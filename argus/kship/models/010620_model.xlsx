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BS별도!$C$5:$AO$92</definedName>
    <definedName name="SUBQH">subQ!$A$1:$AO$1</definedName>
    <definedName name="subQ">subQ!$A$5:$AO$40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0" fillId="0" borderId="0" pivotButton="0" quotePrefix="0" xfId="0"/>
    <xf numFmtId="3" fontId="1" fillId="4" borderId="0" pivotButton="0" quotePrefix="0" xfId="0"/>
    <xf numFmtId="3" fontId="0" fillId="0" borderId="1" pivotButton="0" quotePrefix="0" xfId="0"/>
    <xf numFmtId="3" fontId="0" fillId="5" borderId="0" pivotButton="0" quotePrefix="0" xfId="0"/>
    <xf numFmtId="3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3" fillId="2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Y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AB6" authorId="0" shapeId="0">
      <text>
        <t>모델 assumptions.fx — 가정 — 마지막 ECB 관측치를 2028Q4 까지 평평하게 둔다. 선도환율·컨센서스 아님.</t>
      </text>
    </commen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Y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AB7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Y16" authorId="0" shapeId="0">
      <text>
        <t>모델값 역산(implied): v / 전년동기 − 1
전년동기 × (1+19.3%) — g=최근 4분기 합 YoY 19.3% 클립(−30~+50%), 연차별 절반 감쇠(가정)</t>
      </text>
    </comment>
    <comment ref="AA16" authorId="0" shapeId="0">
      <text>
        <t>모델값 역산(implied): v / 전년동기 − 1
전년동기 × (1+19.3%) — g=최근 4분기 합 YoY 19.3% 클립(−30~+50%), 연차별 절반 감쇠(가정)</t>
      </text>
    </comment>
    <comment ref="AB16" authorId="0" shapeId="0">
      <text>
        <t>모델값 역산(implied): v / 전년동기 − 1
전년동기 × (1+19.3%) — g=최근 4분기 합 YoY 19.3% 클립(−30~+50%), 연차별 절반 감쇠(가정)</t>
      </text>
    </comment>
    <comment ref="AC16" authorId="0" shapeId="0">
      <text>
        <t>모델값 역산(implied): v / 전년동기 − 1
전년동기 × (1+19.3%) — g=최근 4분기 합 YoY 19.3% 클립(−30~+50%), 연차별 절반 감쇠(가정)</t>
      </text>
    </comment>
    <comment ref="AD16" authorId="0" shapeId="0">
      <text>
        <t>모델값 역산(implied): v / 전년동기 − 1
전년동기 × (1+9.6%) — g=최근 4분기 합 YoY 19.3% 클립(−30~+50%), 연차별 절반 감쇠(가정)</t>
      </text>
    </comment>
    <comment ref="AF16" authorId="0" shapeId="0">
      <text>
        <t>모델값 역산(implied): v / 전년동기 − 1
전년동기 × (1+9.6%) — g=최근 4분기 합 YoY 19.3% 클립(−30~+50%), 연차별 절반 감쇠(가정)</t>
      </text>
    </comment>
    <comment ref="AG16" authorId="0" shapeId="0">
      <text>
        <t>모델값 역산(implied): v / 전년동기 − 1
전년동기 × (1+9.6%) — g=최근 4분기 합 YoY 19.3% 클립(−30~+50%), 연차별 절반 감쇠(가정)</t>
      </text>
    </comment>
    <comment ref="AH16" authorId="0" shapeId="0">
      <text>
        <t>모델값 역산(implied): v / 전년동기 − 1
전년동기 × (1+9.6%) — g=최근 4분기 합 YoY 19.3% 클립(−30~+50%), 연차별 절반 감쇠(가정)</t>
      </text>
    </comment>
    <comment ref="AI16" authorId="0" shapeId="0">
      <text>
        <t>모델값 역산(implied): v / 전년동기 − 1
전년동기 × (1+4.8%) — g=최근 4분기 합 YoY 19.3% 클립(−30~+50%), 연차별 절반 감쇠(가정)</t>
      </text>
    </comment>
    <comment ref="AK16" authorId="0" shapeId="0">
      <text>
        <t>모델값 역산(implied): v / 전년동기 − 1
전년동기 × (1+4.8%) — g=최근 4분기 합 YoY 19.3% 클립(−30~+50%), 연차별 절반 감쇠(가정)</t>
      </text>
    </comment>
    <comment ref="AL16" authorId="0" shapeId="0">
      <text>
        <t>모델값 역산(implied): v / 전년동기 − 1
전년동기 × (1+4.8%) — g=최근 4분기 합 YoY 19.3% 클립(−30~+50%), 연차별 절반 감쇠(가정)</t>
      </text>
    </comment>
    <comment ref="AM16" authorId="0" shapeId="0">
      <text>
        <t>모델값 역산(implied): v / 전년동기 − 1
전년동기 × (1+4.8%) — g=최근 4분기 합 YoY 19.3% 클립(−30~+50%), 연차별 절반 감쇠(가정)</t>
      </text>
    </comment>
    <comment ref="AN16" authorId="0" shapeId="0">
      <text>
        <t>모델값 역산(implied): v / 전년동기 − 1
전년동기 × (1+2.4%) — g=최근 4분기 합 YoY 19.3% 클립(−30~+50%), 연차별 절반 감쇠(가정)</t>
      </text>
    </comment>
    <comment ref="Y17" authorId="0" shapeId="0">
      <text>
        <t>3절 스칼라 '판관비율' 참조 — 숫자로 덮어쓰면 이 분기만 바뀐다
매출액 × 판관비율 3.37%(최근 4분기 중위)</t>
      </text>
    </comment>
    <comment ref="AA17" authorId="0" shapeId="0">
      <text>
        <t>3절 스칼라 '판관비율' 참조 — 숫자로 덮어쓰면 이 분기만 바뀐다
매출액 × 판관비율 3.37%(최근 4분기 중위)</t>
      </text>
    </comment>
    <comment ref="AB17" authorId="0" shapeId="0">
      <text>
        <t>3절 스칼라 '판관비율' 참조 — 숫자로 덮어쓰면 이 분기만 바뀐다
매출액 × 판관비율 3.37%(최근 4분기 중위)</t>
      </text>
    </comment>
    <comment ref="AC17" authorId="0" shapeId="0">
      <text>
        <t>3절 스칼라 '판관비율' 참조 — 숫자로 덮어쓰면 이 분기만 바뀐다
매출액 × 판관비율 3.37%(최근 4분기 중위)</t>
      </text>
    </comment>
    <comment ref="AD17" authorId="0" shapeId="0">
      <text>
        <t>3절 스칼라 '판관비율' 참조 — 숫자로 덮어쓰면 이 분기만 바뀐다
매출액 × 판관비율 3.37%(최근 4분기 중위)</t>
      </text>
    </comment>
    <comment ref="AF17" authorId="0" shapeId="0">
      <text>
        <t>3절 스칼라 '판관비율' 참조 — 숫자로 덮어쓰면 이 분기만 바뀐다
매출액 × 판관비율 3.37%(최근 4분기 중위)</t>
      </text>
    </comment>
    <comment ref="AG17" authorId="0" shapeId="0">
      <text>
        <t>3절 스칼라 '판관비율' 참조 — 숫자로 덮어쓰면 이 분기만 바뀐다
매출액 × 판관비율 3.37%(최근 4분기 중위)</t>
      </text>
    </comment>
    <comment ref="AH17" authorId="0" shapeId="0">
      <text>
        <t>3절 스칼라 '판관비율' 참조 — 숫자로 덮어쓰면 이 분기만 바뀐다
매출액 × 판관비율 3.37%(최근 4분기 중위)</t>
      </text>
    </comment>
    <comment ref="AI17" authorId="0" shapeId="0">
      <text>
        <t>3절 스칼라 '판관비율' 참조 — 숫자로 덮어쓰면 이 분기만 바뀐다
매출액 × 판관비율 3.37%(최근 4분기 중위)</t>
      </text>
    </comment>
    <comment ref="AK17" authorId="0" shapeId="0">
      <text>
        <t>3절 스칼라 '판관비율' 참조 — 숫자로 덮어쓰면 이 분기만 바뀐다
매출액 × 판관비율 3.37%(최근 4분기 중위)</t>
      </text>
    </comment>
    <comment ref="AL17" authorId="0" shapeId="0">
      <text>
        <t>3절 스칼라 '판관비율' 참조 — 숫자로 덮어쓰면 이 분기만 바뀐다
매출액 × 판관비율 3.37%(최근 4분기 중위)</t>
      </text>
    </comment>
    <comment ref="AM17" authorId="0" shapeId="0">
      <text>
        <t>3절 스칼라 '판관비율' 참조 — 숫자로 덮어쓰면 이 분기만 바뀐다
매출액 × 판관비율 3.37%(최근 4분기 중위)</t>
      </text>
    </comment>
    <comment ref="AN17" authorId="0" shapeId="0">
      <text>
        <t>3절 스칼라 '판관비율' 참조 — 숫자로 덮어쓰면 이 분기만 바뀐다
매출액 × 판관비율 3.37%(최근 4분기 중위)</t>
      </text>
    </comment>
    <comment ref="Y18" authorId="0" shapeId="0">
      <text>
        <t>모델값 역산(implied): v / 매출액
매출액 × OPM(최근 8분기 OPM 중위 3.3% 유지(클립 −20~40%))</t>
      </text>
    </comment>
    <comment ref="AA18" authorId="0" shapeId="0">
      <text>
        <t>모델값 역산(implied): v / 매출액
매출액 × OPM(최근 8분기 OPM 중위 3.3% 유지(클립 −20~40%))</t>
      </text>
    </comment>
    <comment ref="AB18" authorId="0" shapeId="0">
      <text>
        <t>모델값 역산(implied): v / 매출액
매출액 × OPM(최근 8분기 OPM 중위 3.3% 유지(클립 −20~40%))</t>
      </text>
    </comment>
    <comment ref="AC18" authorId="0" shapeId="0">
      <text>
        <t>모델값 역산(implied): v / 매출액
매출액 × OPM(최근 8분기 OPM 중위 3.3% 유지(클립 −20~40%))</t>
      </text>
    </comment>
    <comment ref="AD18" authorId="0" shapeId="0">
      <text>
        <t>모델값 역산(implied): v / 매출액
매출액 × OPM(최근 8분기 OPM 중위 3.3% 유지(클립 −20~40%))</t>
      </text>
    </comment>
    <comment ref="AF18" authorId="0" shapeId="0">
      <text>
        <t>모델값 역산(implied): v / 매출액
매출액 × OPM(최근 8분기 OPM 중위 3.3% 유지(클립 −20~40%))</t>
      </text>
    </comment>
    <comment ref="AG18" authorId="0" shapeId="0">
      <text>
        <t>모델값 역산(implied): v / 매출액
매출액 × OPM(최근 8분기 OPM 중위 3.3% 유지(클립 −20~40%))</t>
      </text>
    </comment>
    <comment ref="AH18" authorId="0" shapeId="0">
      <text>
        <t>모델값 역산(implied): v / 매출액
매출액 × OPM(최근 8분기 OPM 중위 3.3% 유지(클립 −20~40%))</t>
      </text>
    </comment>
    <comment ref="AI18" authorId="0" shapeId="0">
      <text>
        <t>모델값 역산(implied): v / 매출액
매출액 × OPM(최근 8분기 OPM 중위 3.3% 유지(클립 −20~40%))</t>
      </text>
    </comment>
    <comment ref="AK18" authorId="0" shapeId="0">
      <text>
        <t>모델값 역산(implied): v / 매출액
매출액 × OPM(최근 8분기 OPM 중위 3.3% 유지(클립 −20~40%))</t>
      </text>
    </comment>
    <comment ref="AL18" authorId="0" shapeId="0">
      <text>
        <t>모델값 역산(implied): v / 매출액
매출액 × OPM(최근 8분기 OPM 중위 3.3% 유지(클립 −20~40%))</t>
      </text>
    </comment>
    <comment ref="AM18" authorId="0" shapeId="0">
      <text>
        <t>모델값 역산(implied): v / 매출액
매출액 × OPM(최근 8분기 OPM 중위 3.3% 유지(클립 −20~40%))</t>
      </text>
    </comment>
    <comment ref="AN18" authorId="0" shapeId="0">
      <text>
        <t>모델값 역산(implied): v / 매출액
매출액 × OPM(최근 8분기 OPM 중위 3.3% 유지(클립 −20~40%))</t>
      </text>
    </comment>
    <comment ref="Y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A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B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19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Y20" authorId="0" shapeId="0">
      <text>
        <t>모델값 역산(implied): 모델 v 그대로
파생상품 평가·거래손익 0 가정</t>
      </text>
    </comment>
    <comment ref="AA20" authorId="0" shapeId="0">
      <text>
        <t>모델값 역산(implied): 모델 v 그대로
파생상품 평가·거래손익 0 가정</t>
      </text>
    </comment>
    <comment ref="AB20" authorId="0" shapeId="0">
      <text>
        <t>모델값 역산(implied): 모델 v 그대로
파생상품 평가·거래손익 0 가정</t>
      </text>
    </comment>
    <comment ref="AC20" authorId="0" shapeId="0">
      <text>
        <t>모델값 역산(implied): 모델 v 그대로
파생상품 평가·거래손익 0 가정</t>
      </text>
    </comment>
    <comment ref="AD20" authorId="0" shapeId="0">
      <text>
        <t>모델값 역산(implied): 모델 v 그대로
파생상품 평가·거래손익 0 가정</t>
      </text>
    </comment>
    <comment ref="AF20" authorId="0" shapeId="0">
      <text>
        <t>모델값 역산(implied): 모델 v 그대로
파생상품 평가·거래손익 0 가정</t>
      </text>
    </comment>
    <comment ref="AG20" authorId="0" shapeId="0">
      <text>
        <t>모델값 역산(implied): 모델 v 그대로
파생상품 평가·거래손익 0 가정</t>
      </text>
    </comment>
    <comment ref="AH20" authorId="0" shapeId="0">
      <text>
        <t>모델값 역산(implied): 모델 v 그대로
파생상품 평가·거래손익 0 가정</t>
      </text>
    </comment>
    <comment ref="AI20" authorId="0" shapeId="0">
      <text>
        <t>모델값 역산(implied): 모델 v 그대로
파생상품 평가·거래손익 0 가정</t>
      </text>
    </comment>
    <comment ref="AK20" authorId="0" shapeId="0">
      <text>
        <t>모델값 역산(implied): 모델 v 그대로
파생상품 평가·거래손익 0 가정</t>
      </text>
    </comment>
    <comment ref="AL20" authorId="0" shapeId="0">
      <text>
        <t>모델값 역산(implied): 모델 v 그대로
파생상품 평가·거래손익 0 가정</t>
      </text>
    </comment>
    <comment ref="AM20" authorId="0" shapeId="0">
      <text>
        <t>모델값 역산(implied): 모델 v 그대로
파생상품 평가·거래손익 0 가정</t>
      </text>
    </comment>
    <comment ref="AN20" authorId="0" shapeId="0">
      <text>
        <t>모델값 역산(implied): 모델 v 그대로
파생상품 평가·거래손익 0 가정</t>
      </text>
    </comment>
    <comment ref="Y21" authorId="0" shapeId="0">
      <text>
        <t>모델값 역산(implied): 모델 v 그대로
최근 4분기(2024Q4~2025Q3) 잔차 중위</t>
      </text>
    </comment>
    <comment ref="AA21" authorId="0" shapeId="0">
      <text>
        <t>모델값 역산(implied): 모델 v 그대로
최근 4분기(2024Q4~2025Q3) 잔차 중위</t>
      </text>
    </comment>
    <comment ref="AB21" authorId="0" shapeId="0">
      <text>
        <t>모델값 역산(implied): 모델 v 그대로
최근 4분기(2024Q4~2025Q3) 잔차 중위</t>
      </text>
    </comment>
    <comment ref="AC21" authorId="0" shapeId="0">
      <text>
        <t>모델값 역산(implied): 모델 v 그대로
최근 4분기(2024Q4~2025Q3) 잔차 중위</t>
      </text>
    </comment>
    <comment ref="AD21" authorId="0" shapeId="0">
      <text>
        <t>모델값 역산(implied): 모델 v 그대로
최근 4분기(2024Q4~2025Q3) 잔차 중위</t>
      </text>
    </comment>
    <comment ref="AF21" authorId="0" shapeId="0">
      <text>
        <t>모델값 역산(implied): 모델 v 그대로
최근 4분기(2024Q4~2025Q3) 잔차 중위</t>
      </text>
    </comment>
    <comment ref="AG21" authorId="0" shapeId="0">
      <text>
        <t>모델값 역산(implied): 모델 v 그대로
최근 4분기(2024Q4~2025Q3) 잔차 중위</t>
      </text>
    </comment>
    <comment ref="AH21" authorId="0" shapeId="0">
      <text>
        <t>모델값 역산(implied): 모델 v 그대로
최근 4분기(2024Q4~2025Q3) 잔차 중위</t>
      </text>
    </comment>
    <comment ref="AI21" authorId="0" shapeId="0">
      <text>
        <t>모델값 역산(implied): 모델 v 그대로
최근 4분기(2024Q4~2025Q3) 잔차 중위</t>
      </text>
    </comment>
    <comment ref="AK21" authorId="0" shapeId="0">
      <text>
        <t>모델값 역산(implied): 모델 v 그대로
최근 4분기(2024Q4~2025Q3) 잔차 중위</t>
      </text>
    </comment>
    <comment ref="AL21" authorId="0" shapeId="0">
      <text>
        <t>모델값 역산(implied): 모델 v 그대로
최근 4분기(2024Q4~2025Q3) 잔차 중위</t>
      </text>
    </comment>
    <comment ref="AM21" authorId="0" shapeId="0">
      <text>
        <t>모델값 역산(implied): 모델 v 그대로
최근 4분기(2024Q4~2025Q3) 잔차 중위</t>
      </text>
    </comment>
    <comment ref="AN21" authorId="0" shapeId="0">
      <text>
        <t>모델값 역산(implied): 모델 v 그대로
최근 4분기(2024Q4~2025Q3) 잔차 중위</t>
      </text>
    </comment>
    <comment ref="Y22" authorId="0" shapeId="0">
      <text>
        <t>모델값 역산(implied): 모델 v 그대로
일회성 미가정 → 0</t>
      </text>
    </comment>
    <comment ref="AA22" authorId="0" shapeId="0">
      <text>
        <t>모델값 역산(implied): 모델 v 그대로
일회성 미가정 → 0</t>
      </text>
    </comment>
    <comment ref="AB22" authorId="0" shapeId="0">
      <text>
        <t>모델값 역산(implied): 모델 v 그대로
일회성 미가정 → 0</t>
      </text>
    </comment>
    <comment ref="AC22" authorId="0" shapeId="0">
      <text>
        <t>모델값 역산(implied): 모델 v 그대로
일회성 미가정 → 0</t>
      </text>
    </comment>
    <comment ref="AD22" authorId="0" shapeId="0">
      <text>
        <t>모델값 역산(implied): 모델 v 그대로
일회성 미가정 → 0</t>
      </text>
    </comment>
    <comment ref="AF22" authorId="0" shapeId="0">
      <text>
        <t>모델값 역산(implied): 모델 v 그대로
일회성 미가정 → 0</t>
      </text>
    </comment>
    <comment ref="AG22" authorId="0" shapeId="0">
      <text>
        <t>모델값 역산(implied): 모델 v 그대로
일회성 미가정 → 0</t>
      </text>
    </comment>
    <comment ref="AH22" authorId="0" shapeId="0">
      <text>
        <t>모델값 역산(implied): 모델 v 그대로
일회성 미가정 → 0</t>
      </text>
    </comment>
    <comment ref="AI22" authorId="0" shapeId="0">
      <text>
        <t>모델값 역산(implied): 모델 v 그대로
일회성 미가정 → 0</t>
      </text>
    </comment>
    <comment ref="AK22" authorId="0" shapeId="0">
      <text>
        <t>모델값 역산(implied): 모델 v 그대로
일회성 미가정 → 0</t>
      </text>
    </comment>
    <comment ref="AL22" authorId="0" shapeId="0">
      <text>
        <t>모델값 역산(implied): 모델 v 그대로
일회성 미가정 → 0</t>
      </text>
    </comment>
    <comment ref="AM22" authorId="0" shapeId="0">
      <text>
        <t>모델값 역산(implied): 모델 v 그대로
일회성 미가정 → 0</t>
      </text>
    </comment>
    <comment ref="AN22" authorId="0" shapeId="0">
      <text>
        <t>모델값 역산(implied): 모델 v 그대로
일회성 미가정 → 0</t>
      </text>
    </comment>
    <comment ref="Y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A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B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C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D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F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G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H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I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K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L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M23" authorId="0" shapeId="0">
      <text>
        <t>3절 스칼라 '세율' 참조 — 숫자로 덮어쓰면 이 분기만 바뀐다
max(세전, 0) × 세율 16.2%(최근 12분기 유효세율 16.2%(5~27% 안 — 그대로))</t>
      </text>
    </comment>
    <comment ref="AN23" authorId="0" shapeId="0">
      <text>
        <t>3절 스칼라 '세율' 참조 — 숫자로 덮어쓰면 이 분기만 바뀐다
max(세전, 0) × 세율 16.2%(최근 12분기 유효세율 16.2%(5~27% 안 — 그대로))</t>
      </text>
    </comment>
    <comment ref="Y24" authorId="0" shapeId="0">
      <text>
        <t>3절 스칼라 '지배주주비중' 참조 — 숫자로 덮어쓰면 이 분기만 바뀐다
당기순이익 × (1 − 비지배 비중 6.5%, 최근 8분기 실측)</t>
      </text>
    </comment>
    <comment ref="AA24" authorId="0" shapeId="0">
      <text>
        <t>3절 스칼라 '지배주주비중' 참조 — 숫자로 덮어쓰면 이 분기만 바뀐다
당기순이익 × (1 − 비지배 비중 6.5%, 최근 8분기 실측)</t>
      </text>
    </comment>
    <comment ref="AB24" authorId="0" shapeId="0">
      <text>
        <t>3절 스칼라 '지배주주비중' 참조 — 숫자로 덮어쓰면 이 분기만 바뀐다
당기순이익 × (1 − 비지배 비중 6.5%, 최근 8분기 실측)</t>
      </text>
    </comment>
    <comment ref="AC24" authorId="0" shapeId="0">
      <text>
        <t>3절 스칼라 '지배주주비중' 참조 — 숫자로 덮어쓰면 이 분기만 바뀐다
당기순이익 × (1 − 비지배 비중 6.5%, 최근 8분기 실측)</t>
      </text>
    </comment>
    <comment ref="AD24" authorId="0" shapeId="0">
      <text>
        <t>3절 스칼라 '지배주주비중' 참조 — 숫자로 덮어쓰면 이 분기만 바뀐다
당기순이익 × (1 − 비지배 비중 6.5%, 최근 8분기 실측)</t>
      </text>
    </comment>
    <comment ref="AF24" authorId="0" shapeId="0">
      <text>
        <t>3절 스칼라 '지배주주비중' 참조 — 숫자로 덮어쓰면 이 분기만 바뀐다
당기순이익 × (1 − 비지배 비중 6.5%, 최근 8분기 실측)</t>
      </text>
    </comment>
    <comment ref="AG24" authorId="0" shapeId="0">
      <text>
        <t>3절 스칼라 '지배주주비중' 참조 — 숫자로 덮어쓰면 이 분기만 바뀐다
당기순이익 × (1 − 비지배 비중 6.5%, 최근 8분기 실측)</t>
      </text>
    </comment>
    <comment ref="AH24" authorId="0" shapeId="0">
      <text>
        <t>3절 스칼라 '지배주주비중' 참조 — 숫자로 덮어쓰면 이 분기만 바뀐다
당기순이익 × (1 − 비지배 비중 6.5%, 최근 8분기 실측)</t>
      </text>
    </comment>
    <comment ref="AI24" authorId="0" shapeId="0">
      <text>
        <t>3절 스칼라 '지배주주비중' 참조 — 숫자로 덮어쓰면 이 분기만 바뀐다
당기순이익 × (1 − 비지배 비중 6.5%, 최근 8분기 실측)</t>
      </text>
    </comment>
    <comment ref="AK24" authorId="0" shapeId="0">
      <text>
        <t>3절 스칼라 '지배주주비중' 참조 — 숫자로 덮어쓰면 이 분기만 바뀐다
당기순이익 × (1 − 비지배 비중 6.5%, 최근 8분기 실측)</t>
      </text>
    </comment>
    <comment ref="AL24" authorId="0" shapeId="0">
      <text>
        <t>3절 스칼라 '지배주주비중' 참조 — 숫자로 덮어쓰면 이 분기만 바뀐다
당기순이익 × (1 − 비지배 비중 6.5%, 최근 8분기 실측)</t>
      </text>
    </comment>
    <comment ref="AM24" authorId="0" shapeId="0">
      <text>
        <t>3절 스칼라 '지배주주비중' 참조 — 숫자로 덮어쓰면 이 분기만 바뀐다
당기순이익 × (1 − 비지배 비중 6.5%, 최근 8분기 실측)</t>
      </text>
    </comment>
    <comment ref="AN24" authorId="0" shapeId="0">
      <text>
        <t>3절 스칼라 '지배주주비중' 참조 — 숫자로 덮어쓰면 이 분기만 바뀐다
당기순이익 × (1 − 비지배 비중 6.5%, 최근 8분기 실측)</t>
      </text>
    </comment>
    <comment ref="Y25" authorId="0" shapeId="0">
      <text>
        <t>모델값 역산(implied): v / 전분기 − 1
마지막 실적 유지(가정)</t>
      </text>
    </comment>
    <comment ref="AA25" authorId="0" shapeId="0">
      <text>
        <t>모델값 역산(implied): v / 전분기 − 1
마지막 실적 유지(가정)</t>
      </text>
    </comment>
    <comment ref="AB25" authorId="0" shapeId="0">
      <text>
        <t>모델값 역산(implied): v / 전분기 − 1
마지막 실적 유지(가정)</t>
      </text>
    </comment>
    <comment ref="AC25" authorId="0" shapeId="0">
      <text>
        <t>모델값 역산(implied): v / 전분기 − 1
마지막 실적 유지(가정)</t>
      </text>
    </comment>
    <comment ref="AD25" authorId="0" shapeId="0">
      <text>
        <t>모델값 역산(implied): v / 전분기 − 1
마지막 실적 유지(가정)</t>
      </text>
    </comment>
    <comment ref="AF25" authorId="0" shapeId="0">
      <text>
        <t>모델값 역산(implied): v / 전분기 − 1
마지막 실적 유지(가정)</t>
      </text>
    </comment>
    <comment ref="AG25" authorId="0" shapeId="0">
      <text>
        <t>모델값 역산(implied): v / 전분기 − 1
마지막 실적 유지(가정)</t>
      </text>
    </comment>
    <comment ref="AH25" authorId="0" shapeId="0">
      <text>
        <t>모델값 역산(implied): v / 전분기 − 1
마지막 실적 유지(가정)</t>
      </text>
    </comment>
    <comment ref="AI25" authorId="0" shapeId="0">
      <text>
        <t>모델값 역산(implied): v / 전분기 − 1
마지막 실적 유지(가정)</t>
      </text>
    </comment>
    <comment ref="AK25" authorId="0" shapeId="0">
      <text>
        <t>모델값 역산(implied): v / 전분기 − 1
마지막 실적 유지(가정)</t>
      </text>
    </comment>
    <comment ref="AL25" authorId="0" shapeId="0">
      <text>
        <t>모델값 역산(implied): v / 전분기 − 1
마지막 실적 유지(가정)</t>
      </text>
    </comment>
    <comment ref="AM25" authorId="0" shapeId="0">
      <text>
        <t>모델값 역산(implied): v / 전분기 − 1
마지막 실적 유지(가정)</t>
      </text>
    </comment>
    <comment ref="AN25" authorId="0" shapeId="0">
      <text>
        <t>모델값 역산(implied): v / 전분기 − 1
마지막 실적 유지(가정)</t>
      </text>
    </comment>
    <comment ref="Y26" authorId="0" shapeId="0">
      <text>
        <t>모델값 역산(implied): 전분기(시트값) + 당기순이익(시트 수식값) − v
전분기 + 당기순이익 − 배당(Q2 지급 가정)</t>
      </text>
    </comment>
    <comment ref="AA26" authorId="0" shapeId="0">
      <text>
        <t>모델값 역산(implied): 전분기(시트값) + 당기순이익(시트 수식값) − v
전분기 + 당기순이익 − 배당(Q2 지급 가정)</t>
      </text>
    </comment>
    <comment ref="AB26" authorId="0" shapeId="0">
      <text>
        <t>모델값 역산(implied): 전분기(시트값) + 당기순이익(시트 수식값) − v
전분기 + 당기순이익 − 배당(Q2 지급 가정)</t>
      </text>
    </comment>
    <comment ref="AC26" authorId="0" shapeId="0">
      <text>
        <t>모델값 역산(implied): 전분기(시트값) + 당기순이익(시트 수식값) − v
전분기 + 당기순이익 − 배당(Q2 지급 가정)</t>
      </text>
    </comment>
    <comment ref="AD26" authorId="0" shapeId="0">
      <text>
        <t>모델값 역산(implied): 전분기(시트값) + 당기순이익(시트 수식값) − v
전분기 + 당기순이익 − 배당(Q2 지급 가정)</t>
      </text>
    </comment>
    <comment ref="AF26" authorId="0" shapeId="0">
      <text>
        <t>모델값 역산(implied): 전분기(시트값) + 당기순이익(시트 수식값) − v
전분기 + 당기순이익 − 배당(Q2 지급 가정)</t>
      </text>
    </comment>
    <comment ref="AG26" authorId="0" shapeId="0">
      <text>
        <t>모델값 역산(implied): 전분기(시트값) + 당기순이익(시트 수식값) − v
전분기 + 당기순이익 − 배당(Q2 지급 가정)</t>
      </text>
    </comment>
    <comment ref="AH26" authorId="0" shapeId="0">
      <text>
        <t>모델값 역산(implied): 전분기(시트값) + 당기순이익(시트 수식값) − v
전분기 + 당기순이익 − 배당(Q2 지급 가정)</t>
      </text>
    </comment>
    <comment ref="AI26" authorId="0" shapeId="0">
      <text>
        <t>모델값 역산(implied): 전분기(시트값) + 당기순이익(시트 수식값) − v
전분기 + 당기순이익 − 배당(Q2 지급 가정)</t>
      </text>
    </comment>
    <comment ref="AK26" authorId="0" shapeId="0">
      <text>
        <t>모델값 역산(implied): 전분기(시트값) + 당기순이익(시트 수식값) − v
전분기 + 당기순이익 − 배당(Q2 지급 가정)</t>
      </text>
    </comment>
    <comment ref="AL26" authorId="0" shapeId="0">
      <text>
        <t>모델값 역산(implied): 전분기(시트값) + 당기순이익(시트 수식값) − v
전분기 + 당기순이익 − 배당(Q2 지급 가정)</t>
      </text>
    </comment>
    <comment ref="AM26" authorId="0" shapeId="0">
      <text>
        <t>모델값 역산(implied): 전분기(시트값) + 당기순이익(시트 수식값) − v
전분기 + 당기순이익 − 배당(Q2 지급 가정)</t>
      </text>
    </comment>
    <comment ref="AN26" authorId="0" shapeId="0">
      <text>
        <t>모델값 역산(implied): 전분기(시트값) + 당기순이익(시트 수식값) − v
전분기 + 당기순이익 − 배당(Q2 지급 가정)</t>
      </text>
    </comment>
    <comment ref="Y27" authorId="0" shapeId="0">
      <text>
        <t>모델값 역산(implied): 전분기(시트값) + 지배주주순이익(시트 수식값) − v
전분기 + 지배주주순이익 − 배당</t>
      </text>
    </comment>
    <comment ref="AA27" authorId="0" shapeId="0">
      <text>
        <t>모델값 역산(implied): 전분기(시트값) + 지배주주순이익(시트 수식값) − v
전분기 + 지배주주순이익 − 배당</t>
      </text>
    </comment>
    <comment ref="AB27" authorId="0" shapeId="0">
      <text>
        <t>모델값 역산(implied): 전분기(시트값) + 지배주주순이익(시트 수식값) − v
전분기 + 지배주주순이익 − 배당</t>
      </text>
    </comment>
    <comment ref="AC27" authorId="0" shapeId="0">
      <text>
        <t>모델값 역산(implied): 전분기(시트값) + 지배주주순이익(시트 수식값) − v
전분기 + 지배주주순이익 − 배당</t>
      </text>
    </comment>
    <comment ref="AD27" authorId="0" shapeId="0">
      <text>
        <t>모델값 역산(implied): 전분기(시트값) + 지배주주순이익(시트 수식값) − v
전분기 + 지배주주순이익 − 배당</t>
      </text>
    </comment>
    <comment ref="AF27" authorId="0" shapeId="0">
      <text>
        <t>모델값 역산(implied): 전분기(시트값) + 지배주주순이익(시트 수식값) − v
전분기 + 지배주주순이익 − 배당</t>
      </text>
    </comment>
    <comment ref="AG27" authorId="0" shapeId="0">
      <text>
        <t>모델값 역산(implied): 전분기(시트값) + 지배주주순이익(시트 수식값) − v
전분기 + 지배주주순이익 − 배당</t>
      </text>
    </comment>
    <comment ref="AH27" authorId="0" shapeId="0">
      <text>
        <t>모델값 역산(implied): 전분기(시트값) + 지배주주순이익(시트 수식값) − v
전분기 + 지배주주순이익 − 배당</t>
      </text>
    </comment>
    <comment ref="AI27" authorId="0" shapeId="0">
      <text>
        <t>모델값 역산(implied): 전분기(시트값) + 지배주주순이익(시트 수식값) − v
전분기 + 지배주주순이익 − 배당</t>
      </text>
    </comment>
    <comment ref="AK27" authorId="0" shapeId="0">
      <text>
        <t>모델값 역산(implied): 전분기(시트값) + 지배주주순이익(시트 수식값) − v
전분기 + 지배주주순이익 − 배당</t>
      </text>
    </comment>
    <comment ref="AL27" authorId="0" shapeId="0">
      <text>
        <t>모델값 역산(implied): 전분기(시트값) + 지배주주순이익(시트 수식값) − v
전분기 + 지배주주순이익 − 배당</t>
      </text>
    </comment>
    <comment ref="AM27" authorId="0" shapeId="0">
      <text>
        <t>모델값 역산(implied): 전분기(시트값) + 지배주주순이익(시트 수식값) − v
전분기 + 지배주주순이익 − 배당</t>
      </text>
    </comment>
    <comment ref="AN27" authorId="0" shapeId="0">
      <text>
        <t>모델값 역산(implied): 전분기(시트값) + 지배주주순이익(시트 수식값) − v
전분기 + 지배주주순이익 − 배당</t>
      </text>
    </comment>
    <comment ref="Y28" authorId="0" shapeId="0">
      <text>
        <t>모델값 역산(implied): v / 전분기 − 1
마지막 실적 유지(가정)</t>
      </text>
    </comment>
    <comment ref="AA28" authorId="0" shapeId="0">
      <text>
        <t>모델값 역산(implied): v / 전분기 − 1
마지막 실적 유지(가정)</t>
      </text>
    </comment>
    <comment ref="AB28" authorId="0" shapeId="0">
      <text>
        <t>모델값 역산(implied): v / 전분기 − 1
마지막 실적 유지(가정)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Y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A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B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C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D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F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G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H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I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K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L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M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AN29" authorId="0" shapeId="0">
      <text>
        <t>모델값 역산(implied): v / 전분기 − 1
전분기 − FCF 근사[순이익 − 배당(감가상각비 없음 → CAPEX≈감가 가정, CAPEX 중위 325억은 행에만)] (운전자본 불변·총차입금 유지 가정 → 변동은 전부 현금)</t>
      </text>
    </comment>
    <comment ref="Y30" authorId="0" shapeId="0">
      <text>
        <t>모델값 역산(implied): v / 전분기 − 1
전분기 + FCF 근사 — 순차입금 롤과 같은 가정</t>
      </text>
    </comment>
    <comment ref="AA30" authorId="0" shapeId="0">
      <text>
        <t>모델값 역산(implied): v / 전분기 − 1
전분기 + FCF 근사 — 순차입금 롤과 같은 가정</t>
      </text>
    </comment>
    <comment ref="AB30" authorId="0" shapeId="0">
      <text>
        <t>모델값 역산(implied): v / 전분기 − 1
전분기 + FCF 근사 — 순차입금 롤과 같은 가정</t>
      </text>
    </comment>
    <comment ref="AC30" authorId="0" shapeId="0">
      <text>
        <t>모델값 역산(implied): v / 전분기 − 1
전분기 + FCF 근사 — 순차입금 롤과 같은 가정</t>
      </text>
    </comment>
    <comment ref="AD30" authorId="0" shapeId="0">
      <text>
        <t>모델값 역산(implied): v / 전분기 − 1
전분기 + FCF 근사 — 순차입금 롤과 같은 가정</t>
      </text>
    </comment>
    <comment ref="AF30" authorId="0" shapeId="0">
      <text>
        <t>모델값 역산(implied): v / 전분기 − 1
전분기 + FCF 근사 — 순차입금 롤과 같은 가정</t>
      </text>
    </comment>
    <comment ref="AG30" authorId="0" shapeId="0">
      <text>
        <t>모델값 역산(implied): v / 전분기 − 1
전분기 + FCF 근사 — 순차입금 롤과 같은 가정</t>
      </text>
    </comment>
    <comment ref="AH30" authorId="0" shapeId="0">
      <text>
        <t>모델값 역산(implied): v / 전분기 − 1
전분기 + FCF 근사 — 순차입금 롤과 같은 가정</t>
      </text>
    </comment>
    <comment ref="AI30" authorId="0" shapeId="0">
      <text>
        <t>모델값 역산(implied): v / 전분기 − 1
전분기 + FCF 근사 — 순차입금 롤과 같은 가정</t>
      </text>
    </comment>
    <comment ref="AK30" authorId="0" shapeId="0">
      <text>
        <t>모델값 역산(implied): v / 전분기 − 1
전분기 + FCF 근사 — 순차입금 롤과 같은 가정</t>
      </text>
    </comment>
    <comment ref="AL30" authorId="0" shapeId="0">
      <text>
        <t>모델값 역산(implied): v / 전분기 − 1
전분기 + FCF 근사 — 순차입금 롤과 같은 가정</t>
      </text>
    </comment>
    <comment ref="AM30" authorId="0" shapeId="0">
      <text>
        <t>모델값 역산(implied): v / 전분기 − 1
전분기 + FCF 근사 — 순차입금 롤과 같은 가정</t>
      </text>
    </comment>
    <comment ref="AN30" authorId="0" shapeId="0">
      <text>
        <t>모델값 역산(implied): v / 전분기 − 1
전분기 + FCF 근사 — 순차입금 롤과 같은 가정</t>
      </text>
    </comment>
    <comment ref="Y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A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B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C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D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F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G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H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I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K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L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M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N32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Y34" authorId="0" shapeId="0">
      <text>
        <t>모델값 역산(implied): v / 전분기 − 1
유통주식수 유지 — fin.shares.common_outstanding(2025Q3)</t>
      </text>
    </comment>
    <comment ref="AA34" authorId="0" shapeId="0">
      <text>
        <t>모델값 역산(implied): v / 전분기 − 1
유통주식수 유지 — fin.shares.common_outstanding(2025Q3)</t>
      </text>
    </comment>
    <comment ref="AB34" authorId="0" shapeId="0">
      <text>
        <t>모델값 역산(implied): v / 전분기 − 1
유통주식수 유지 — fin.shares.common_outstanding(2025Q3)</t>
      </text>
    </comment>
    <comment ref="AC34" authorId="0" shapeId="0">
      <text>
        <t>모델값 역산(implied): v / 전분기 − 1
유통주식수 유지 — fin.shares.common_outstanding(2025Q3)</t>
      </text>
    </comment>
    <comment ref="AD34" authorId="0" shapeId="0">
      <text>
        <t>모델값 역산(implied): v / 전분기 − 1
유통주식수 유지 — fin.shares.common_outstanding(2025Q3)</t>
      </text>
    </comment>
    <comment ref="AF34" authorId="0" shapeId="0">
      <text>
        <t>모델값 역산(implied): v / 전분기 − 1
유통주식수 유지 — fin.shares.common_outstanding(2025Q3)</t>
      </text>
    </comment>
    <comment ref="AG34" authorId="0" shapeId="0">
      <text>
        <t>모델값 역산(implied): v / 전분기 − 1
유통주식수 유지 — fin.shares.common_outstanding(2025Q3)</t>
      </text>
    </comment>
    <comment ref="AH34" authorId="0" shapeId="0">
      <text>
        <t>모델값 역산(implied): v / 전분기 − 1
유통주식수 유지 — fin.shares.common_outstanding(2025Q3)</t>
      </text>
    </comment>
    <comment ref="AI34" authorId="0" shapeId="0">
      <text>
        <t>모델값 역산(implied): v / 전분기 − 1
유통주식수 유지 — fin.shares.common_outstanding(2025Q3)</t>
      </text>
    </comment>
    <comment ref="AK34" authorId="0" shapeId="0">
      <text>
        <t>모델값 역산(implied): v / 전분기 − 1
유통주식수 유지 — fin.shares.common_outstanding(2025Q3)</t>
      </text>
    </comment>
    <comment ref="AL34" authorId="0" shapeId="0">
      <text>
        <t>모델값 역산(implied): v / 전분기 − 1
유통주식수 유지 — fin.shares.common_outstanding(2025Q3)</t>
      </text>
    </comment>
    <comment ref="AM34" authorId="0" shapeId="0">
      <text>
        <t>모델값 역산(implied): v / 전분기 − 1
유통주식수 유지 — fin.shares.common_outstanding(2025Q3)</t>
      </text>
    </comment>
    <comment ref="AN34" authorId="0" shapeId="0">
      <text>
        <t>모델값 역산(implied): v / 전분기 − 1
유통주식수 유지 — fin.shares.common_outstanding(2025Q3)</t>
      </text>
    </comment>
    <comment ref="Y35" authorId="0" shapeId="0">
      <text>
        <t>모델값 역산(implied): 모델 v 그대로
직전 결산 DPS 710원 유지</t>
      </text>
    </comment>
    <comment ref="AD35" authorId="0" shapeId="0">
      <text>
        <t>모델값 역산(implied): 모델 v 그대로
직전 결산 DPS 710원 유지</t>
      </text>
    </comment>
    <comment ref="AI35" authorId="0" shapeId="0">
      <text>
        <t>모델값 역산(implied): 모델 v 그대로
직전 결산 DPS 710원 유지</t>
      </text>
    </comment>
    <comment ref="AN35" authorId="0" shapeId="0">
      <text>
        <t>모델값 역산(implied): 모델 v 그대로
직전 결산 DPS 710원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Y5" authorId="0" shapeId="0">
      <text>
        <t>추정: 전년동기 × (1+19.3%) — g=최근 4분기 합 YoY 19.3% 클립(−30~+50%), 연차별 절반 감쇠(가정)
[yoy]</t>
      </text>
    </comment>
    <comment ref="AA5" authorId="0" shapeId="0">
      <text>
        <t>추정: 전년동기 × (1+19.3%) — g=최근 4분기 합 YoY 19.3% 클립(−30~+50%), 연차별 절반 감쇠(가정)
[yoy]</t>
      </text>
    </comment>
    <comment ref="AB5" authorId="0" shapeId="0">
      <text>
        <t>추정: 전년동기 × (1+19.3%) — g=최근 4분기 합 YoY 19.3% 클립(−30~+50%), 연차별 절반 감쇠(가정)
[yoy]</t>
      </text>
    </comment>
    <comment ref="AC5" authorId="0" shapeId="0">
      <text>
        <t>추정: 전년동기 × (1+19.3%) — g=최근 4분기 합 YoY 19.3% 클립(−30~+50%), 연차별 절반 감쇠(가정)
[yoy]</t>
      </text>
    </comment>
    <comment ref="AD5" authorId="0" shapeId="0">
      <text>
        <t>추정: 전년동기 × (1+9.6%) — g=최근 4분기 합 YoY 19.3% 클립(−30~+50%), 연차별 절반 감쇠(가정)
[yoy]</t>
      </text>
    </comment>
    <comment ref="AF5" authorId="0" shapeId="0">
      <text>
        <t>추정: 전년동기 × (1+9.6%) — g=최근 4분기 합 YoY 19.3% 클립(−30~+50%), 연차별 절반 감쇠(가정)
[yoy]</t>
      </text>
    </comment>
    <comment ref="AG5" authorId="0" shapeId="0">
      <text>
        <t>추정: 전년동기 × (1+9.6%) — g=최근 4분기 합 YoY 19.3% 클립(−30~+50%), 연차별 절반 감쇠(가정)
[yoy]</t>
      </text>
    </comment>
    <comment ref="AH5" authorId="0" shapeId="0">
      <text>
        <t>추정: 전년동기 × (1+9.6%) — g=최근 4분기 합 YoY 19.3% 클립(−30~+50%), 연차별 절반 감쇠(가정)
[yoy]</t>
      </text>
    </comment>
    <comment ref="AI5" authorId="0" shapeId="0">
      <text>
        <t>추정: 전년동기 × (1+4.8%) — g=최근 4분기 합 YoY 19.3% 클립(−30~+50%), 연차별 절반 감쇠(가정)
[yoy]</t>
      </text>
    </comment>
    <comment ref="AK5" authorId="0" shapeId="0">
      <text>
        <t>추정: 전년동기 × (1+4.8%) — g=최근 4분기 합 YoY 19.3% 클립(−30~+50%), 연차별 절반 감쇠(가정)
[yoy]</t>
      </text>
    </comment>
    <comment ref="AL5" authorId="0" shapeId="0">
      <text>
        <t>추정: 전년동기 × (1+4.8%) — g=최근 4분기 합 YoY 19.3% 클립(−30~+50%), 연차별 절반 감쇠(가정)
[yoy]</t>
      </text>
    </comment>
    <comment ref="AM5" authorId="0" shapeId="0">
      <text>
        <t>추정: 전년동기 × (1+4.8%) — g=최근 4분기 합 YoY 19.3% 클립(−30~+50%), 연차별 절반 감쇠(가정)
[yoy]</t>
      </text>
    </comment>
    <comment ref="AN5" authorId="0" shapeId="0">
      <text>
        <t>추정: 전년동기 × (1+2.4%) — g=최근 4분기 합 YoY 19.3% 클립(−30~+50%), 연차별 절반 감쇠(가정)
[yoy]</t>
      </text>
    </comment>
    <comment ref="Y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AB6" authorId="0" shapeId="0">
      <text>
        <t>추정: 매출액 − 매출총이익(항등식)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Y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AB7" authorId="0" shapeId="0">
      <text>
        <t>추정: 영업이익 + 판관비 − 기타영업손익(항등식)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Y8" authorId="0" shapeId="0">
      <text>
        <t>추정: 매출액 × 판관비율 3.37%(최근 4분기 중위)
[ratio]</t>
      </text>
    </comment>
    <comment ref="AA8" authorId="0" shapeId="0">
      <text>
        <t>추정: 매출액 × 판관비율 3.37%(최근 4분기 중위)
[ratio]</t>
      </text>
    </comment>
    <comment ref="AB8" authorId="0" shapeId="0">
      <text>
        <t>추정: 매출액 × 판관비율 3.37%(최근 4분기 중위)
[ratio]</t>
      </text>
    </comment>
    <comment ref="AC8" authorId="0" shapeId="0">
      <text>
        <t>추정: 매출액 × 판관비율 3.37%(최근 4분기 중위)
[ratio]</t>
      </text>
    </comment>
    <comment ref="AD8" authorId="0" shapeId="0">
      <text>
        <t>추정: 매출액 × 판관비율 3.37%(최근 4분기 중위)
[ratio]</t>
      </text>
    </comment>
    <comment ref="AF8" authorId="0" shapeId="0">
      <text>
        <t>추정: 매출액 × 판관비율 3.37%(최근 4분기 중위)
[ratio]</t>
      </text>
    </comment>
    <comment ref="AG8" authorId="0" shapeId="0">
      <text>
        <t>추정: 매출액 × 판관비율 3.37%(최근 4분기 중위)
[ratio]</t>
      </text>
    </comment>
    <comment ref="AH8" authorId="0" shapeId="0">
      <text>
        <t>추정: 매출액 × 판관비율 3.37%(최근 4분기 중위)
[ratio]</t>
      </text>
    </comment>
    <comment ref="AI8" authorId="0" shapeId="0">
      <text>
        <t>추정: 매출액 × 판관비율 3.37%(최근 4분기 중위)
[ratio]</t>
      </text>
    </comment>
    <comment ref="AK8" authorId="0" shapeId="0">
      <text>
        <t>추정: 매출액 × 판관비율 3.37%(최근 4분기 중위)
[ratio]</t>
      </text>
    </comment>
    <comment ref="AL8" authorId="0" shapeId="0">
      <text>
        <t>추정: 매출액 × 판관비율 3.37%(최근 4분기 중위)
[ratio]</t>
      </text>
    </comment>
    <comment ref="AM8" authorId="0" shapeId="0">
      <text>
        <t>추정: 매출액 × 판관비율 3.37%(최근 4분기 중위)
[ratio]</t>
      </text>
    </comment>
    <comment ref="AN8" authorId="0" shapeId="0">
      <text>
        <t>추정: 매출액 × 판관비율 3.37%(최근 4분기 중위)
[ratio]</t>
      </text>
    </comment>
    <comment ref="Y9" authorId="0" shapeId="0">
      <text>
        <t>추정: 매출액 × OPM(최근 8분기 OPM 중위 3.3% 유지(클립 −20~40%))
[ratio]</t>
      </text>
    </comment>
    <comment ref="AA9" authorId="0" shapeId="0">
      <text>
        <t>추정: 매출액 × OPM(최근 8분기 OPM 중위 3.3% 유지(클립 −20~40%))
[ratio]</t>
      </text>
    </comment>
    <comment ref="AB9" authorId="0" shapeId="0">
      <text>
        <t>추정: 매출액 × OPM(최근 8분기 OPM 중위 3.3% 유지(클립 −20~40%))
[ratio]</t>
      </text>
    </comment>
    <comment ref="AC9" authorId="0" shapeId="0">
      <text>
        <t>추정: 매출액 × OPM(최근 8분기 OPM 중위 3.3% 유지(클립 −20~40%))
[ratio]</t>
      </text>
    </comment>
    <comment ref="AD9" authorId="0" shapeId="0">
      <text>
        <t>추정: 매출액 × OPM(최근 8분기 OPM 중위 3.3% 유지(클립 −20~40%))
[ratio]</t>
      </text>
    </comment>
    <comment ref="AF9" authorId="0" shapeId="0">
      <text>
        <t>추정: 매출액 × OPM(최근 8분기 OPM 중위 3.3% 유지(클립 −20~40%))
[ratio]</t>
      </text>
    </comment>
    <comment ref="AG9" authorId="0" shapeId="0">
      <text>
        <t>추정: 매출액 × OPM(최근 8분기 OPM 중위 3.3% 유지(클립 −20~40%))
[ratio]</t>
      </text>
    </comment>
    <comment ref="AH9" authorId="0" shapeId="0">
      <text>
        <t>추정: 매출액 × OPM(최근 8분기 OPM 중위 3.3% 유지(클립 −20~40%))
[ratio]</t>
      </text>
    </comment>
    <comment ref="AI9" authorId="0" shapeId="0">
      <text>
        <t>추정: 매출액 × OPM(최근 8분기 OPM 중위 3.3% 유지(클립 −20~40%))
[ratio]</t>
      </text>
    </comment>
    <comment ref="AK9" authorId="0" shapeId="0">
      <text>
        <t>추정: 매출액 × OPM(최근 8분기 OPM 중위 3.3% 유지(클립 −20~40%))
[ratio]</t>
      </text>
    </comment>
    <comment ref="AL9" authorId="0" shapeId="0">
      <text>
        <t>추정: 매출액 × OPM(최근 8분기 OPM 중위 3.3% 유지(클립 −20~40%))
[ratio]</t>
      </text>
    </comment>
    <comment ref="AM9" authorId="0" shapeId="0">
      <text>
        <t>추정: 매출액 × OPM(최근 8분기 OPM 중위 3.3% 유지(클립 −20~40%))
[ratio]</t>
      </text>
    </comment>
    <comment ref="AN9" authorId="0" shapeId="0">
      <text>
        <t>추정: 매출액 × OPM(최근 8분기 OPM 중위 3.3% 유지(클립 −20~40%))
[ratio]</t>
      </text>
    </comment>
    <comment ref="Y10" authorId="0" shapeId="0">
      <text>
        <t>추정: 최근 8분기 OPM 중위 3.3% 유지(클립 −20~40%)
[divide]</t>
      </text>
    </comment>
    <comment ref="AA10" authorId="0" shapeId="0">
      <text>
        <t>추정: 최근 8분기 OPM 중위 3.3% 유지(클립 −20~40%)
[divide]</t>
      </text>
    </comment>
    <comment ref="AB10" authorId="0" shapeId="0">
      <text>
        <t>추정: 최근 8분기 OPM 중위 3.3% 유지(클립 −20~40%)
[divide]</t>
      </text>
    </comment>
    <comment ref="AC10" authorId="0" shapeId="0">
      <text>
        <t>추정: 최근 8분기 OPM 중위 3.3% 유지(클립 −20~40%)
[divide]</t>
      </text>
    </comment>
    <comment ref="AD10" authorId="0" shapeId="0">
      <text>
        <t>추정: 최근 8분기 OPM 중위 3.3% 유지(클립 −20~40%)
[divide]</t>
      </text>
    </comment>
    <comment ref="AF10" authorId="0" shapeId="0">
      <text>
        <t>추정: 최근 8분기 OPM 중위 3.3% 유지(클립 −20~40%)
[divide]</t>
      </text>
    </comment>
    <comment ref="AG10" authorId="0" shapeId="0">
      <text>
        <t>추정: 최근 8분기 OPM 중위 3.3% 유지(클립 −20~40%)
[divide]</t>
      </text>
    </comment>
    <comment ref="AH10" authorId="0" shapeId="0">
      <text>
        <t>추정: 최근 8분기 OPM 중위 3.3% 유지(클립 −20~40%)
[divide]</t>
      </text>
    </comment>
    <comment ref="AI10" authorId="0" shapeId="0">
      <text>
        <t>추정: 최근 8분기 OPM 중위 3.3% 유지(클립 −20~40%)
[divide]</t>
      </text>
    </comment>
    <comment ref="AK10" authorId="0" shapeId="0">
      <text>
        <t>추정: 최근 8분기 OPM 중위 3.3% 유지(클립 −20~40%)
[divide]</t>
      </text>
    </comment>
    <comment ref="AL10" authorId="0" shapeId="0">
      <text>
        <t>추정: 최근 8분기 OPM 중위 3.3% 유지(클립 −20~40%)
[divide]</t>
      </text>
    </comment>
    <comment ref="AM10" authorId="0" shapeId="0">
      <text>
        <t>추정: 최근 8분기 OPM 중위 3.3% 유지(클립 −20~40%)
[divide]</t>
      </text>
    </comment>
    <comment ref="AN10" authorId="0" shapeId="0">
      <text>
        <t>추정: 최근 8분기 OPM 중위 3.3% 유지(클립 −20~40%)
[divide]</t>
      </text>
    </comment>
    <comment ref="Y11" authorId="0" shapeId="0">
      <text>
        <t>추정: 이자손익 + 외환손익 0 + 파생상품손익 0 + 기타금융손익 +0.00억(최근 4분기(2024Q4~2025Q3) 잔차 중위) (항등식); 이자손익 = 이자발생자산 6094억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A11" authorId="0" shapeId="0">
      <text>
        <t>추정: 이자손익 + 외환손익 0 + 파생상품손익 0 + 기타금융손익 +0.00억(최근 4분기(2024Q4~2025Q3) 잔차 중위) (항등식); 이자손익 = 이자발생자산 6581억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B11" authorId="0" shapeId="0">
      <text>
        <t>추정: 이자손익 + 외환손익 0 + 파생상품손익 0 + 기타금융손익 +0.00억(최근 4분기(2024Q4~2025Q3) 잔차 중위) (항등식); 이자손익 = 이자발생자산 6993억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C11" authorId="0" shapeId="0">
      <text>
        <t>추정: 이자손익 + 외환손익 0 + 파생상품손익 0 + 기타금융손익 +0.00억(최근 4분기(2024Q4~2025Q3) 잔차 중위) (항등식); 이자손익 = 이자발생자산 7139억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4분기(2024Q4~2025Q3) 잔차 중위) (항등식); 이자손익 = 이자발생자산 7592억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4분기(2024Q4~2025Q3) 잔차 중위) (항등식); 이자손익 = 이자발생자산 8132억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4분기(2024Q4~2025Q3) 잔차 중위) (항등식); 이자손익 = 이자발생자산 8589억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4분기(2024Q4~2025Q3) 잔차 중위) (항등식); 이자손익 = 이자발생자산 8784억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4분기(2024Q4~2025Q3) 잔차 중위) (항등식); 이자손익 = 이자발생자산 9286억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4분기(2024Q4~2025Q3) 잔차 중위) (항등식); 이자손익 = 이자발생자산 9860억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4분기(2024Q4~2025Q3) 잔차 중위) (항등식); 이자손익 = 이자발생자산 10347억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4분기(2024Q4~2025Q3) 잔차 중위) (항등식); 이자손익 = 이자발생자산 10572억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4분기(2024Q4~2025Q3) 잔차 중위) (항등식); 이자손익 = 이자발생자산 11106억 × 2.55%(주석 이자수익 ÷ 평균 이자발생자산(2024Q4~2025Q3)) − 총차입금 1195억 × 5.04%(주석 이자비용 ÷ 평균 총차입금(2024Q4~2025Q3)) (연율) ÷ 4; 환율 효과는 환관련손익 행 별도
[identity]</t>
      </text>
    </comment>
    <comment ref="Y12" authorId="0" shapeId="0">
      <text>
        <t>추정: 이자발생자산 6094억 × 2.55%(주석 이자수익 ÷ 평균 이자발생자산(2024Q4~2025Q3)) − 총차입금 1195억 × 5.04%(주석 이자비용 ÷ 평균 총차입금(2024Q4~2025Q3)) (연율) ÷ 4
[interest]</t>
      </text>
    </comment>
    <comment ref="AA12" authorId="0" shapeId="0">
      <text>
        <t>추정: 이자발생자산 6581억 × 2.55%(주석 이자수익 ÷ 평균 이자발생자산(2024Q4~2025Q3)) − 총차입금 1195억 × 5.04%(주석 이자비용 ÷ 평균 총차입금(2024Q4~2025Q3)) (연율) ÷ 4
[interest]</t>
      </text>
    </comment>
    <comment ref="AB12" authorId="0" shapeId="0">
      <text>
        <t>추정: 이자발생자산 6993억 × 2.55%(주석 이자수익 ÷ 평균 이자발생자산(2024Q4~2025Q3)) − 총차입금 1195억 × 5.04%(주석 이자비용 ÷ 평균 총차입금(2024Q4~2025Q3)) (연율) ÷ 4
[interest]</t>
      </text>
    </comment>
    <comment ref="AC12" authorId="0" shapeId="0">
      <text>
        <t>추정: 이자발생자산 7139억 × 2.55%(주석 이자수익 ÷ 평균 이자발생자산(2024Q4~2025Q3)) − 총차입금 1195억 × 5.04%(주석 이자비용 ÷ 평균 총차입금(2024Q4~2025Q3)) (연율) ÷ 4
[interest]</t>
      </text>
    </comment>
    <comment ref="AD12" authorId="0" shapeId="0">
      <text>
        <t>추정: 이자발생자산 7592억 × 2.55%(주석 이자수익 ÷ 평균 이자발생자산(2024Q4~2025Q3)) − 총차입금 1195억 × 5.04%(주석 이자비용 ÷ 평균 총차입금(2024Q4~2025Q3)) (연율) ÷ 4
[interest]</t>
      </text>
    </comment>
    <comment ref="AF12" authorId="0" shapeId="0">
      <text>
        <t>추정: 이자발생자산 8132억 × 2.55%(주석 이자수익 ÷ 평균 이자발생자산(2024Q4~2025Q3)) − 총차입금 1195억 × 5.04%(주석 이자비용 ÷ 평균 총차입금(2024Q4~2025Q3)) (연율) ÷ 4
[interest]</t>
      </text>
    </comment>
    <comment ref="AG12" authorId="0" shapeId="0">
      <text>
        <t>추정: 이자발생자산 8589억 × 2.55%(주석 이자수익 ÷ 평균 이자발생자산(2024Q4~2025Q3)) − 총차입금 1195억 × 5.04%(주석 이자비용 ÷ 평균 총차입금(2024Q4~2025Q3)) (연율) ÷ 4
[interest]</t>
      </text>
    </comment>
    <comment ref="AH12" authorId="0" shapeId="0">
      <text>
        <t>추정: 이자발생자산 8784억 × 2.55%(주석 이자수익 ÷ 평균 이자발생자산(2024Q4~2025Q3)) − 총차입금 1195억 × 5.04%(주석 이자비용 ÷ 평균 총차입금(2024Q4~2025Q3)) (연율) ÷ 4
[interest]</t>
      </text>
    </comment>
    <comment ref="AI12" authorId="0" shapeId="0">
      <text>
        <t>추정: 이자발생자산 9286억 × 2.55%(주석 이자수익 ÷ 평균 이자발생자산(2024Q4~2025Q3)) − 총차입금 1195억 × 5.04%(주석 이자비용 ÷ 평균 총차입금(2024Q4~2025Q3)) (연율) ÷ 4
[interest]</t>
      </text>
    </comment>
    <comment ref="AK12" authorId="0" shapeId="0">
      <text>
        <t>추정: 이자발생자산 9860억 × 2.55%(주석 이자수익 ÷ 평균 이자발생자산(2024Q4~2025Q3)) − 총차입금 1195억 × 5.04%(주석 이자비용 ÷ 평균 총차입금(2024Q4~2025Q3)) (연율) ÷ 4
[interest]</t>
      </text>
    </comment>
    <comment ref="AL12" authorId="0" shapeId="0">
      <text>
        <t>추정: 이자발생자산 10347억 × 2.55%(주석 이자수익 ÷ 평균 이자발생자산(2024Q4~2025Q3)) − 총차입금 1195억 × 5.04%(주석 이자비용 ÷ 평균 총차입금(2024Q4~2025Q3)) (연율) ÷ 4
[interest]</t>
      </text>
    </comment>
    <comment ref="AM12" authorId="0" shapeId="0">
      <text>
        <t>추정: 이자발생자산 10572억 × 2.55%(주석 이자수익 ÷ 평균 이자발생자산(2024Q4~2025Q3)) − 총차입금 1195억 × 5.04%(주석 이자비용 ÷ 평균 총차입금(2024Q4~2025Q3)) (연율) ÷ 4
[interest]</t>
      </text>
    </comment>
    <comment ref="AN12" authorId="0" shapeId="0">
      <text>
        <t>추정: 이자발생자산 11106억 × 2.55%(주석 이자수익 ÷ 평균 이자발생자산(2024Q4~2025Q3)) − 총차입금 1195억 × 5.04%(주석 이자비용 ÷ 평균 총차입금(2024Q4~2025Q3))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A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B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추정: 파생상품 평가·거래손익 0 가정
[abs]</t>
      </text>
    </comment>
    <comment ref="AA14" authorId="0" shapeId="0">
      <text>
        <t>추정: 파생상품 평가·거래손익 0 가정
[abs]</t>
      </text>
    </comment>
    <comment ref="AB14" authorId="0" shapeId="0">
      <text>
        <t>추정: 파생상품 평가·거래손익 0 가정
[abs]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Y15" authorId="0" shapeId="0">
      <text>
        <t>추정: 최근 4분기(2024Q4~2025Q3) 잔차 중위
[abs]</t>
      </text>
    </comment>
    <comment ref="AA15" authorId="0" shapeId="0">
      <text>
        <t>추정: 최근 4분기(2024Q4~2025Q3) 잔차 중위
[abs]</t>
      </text>
    </comment>
    <comment ref="AB15" authorId="0" shapeId="0">
      <text>
        <t>추정: 최근 4분기(2024Q4~2025Q3) 잔차 중위
[abs]</t>
      </text>
    </comment>
    <comment ref="AC15" authorId="0" shapeId="0">
      <text>
        <t>추정: 최근 4분기(2024Q4~2025Q3) 잔차 중위
[abs]</t>
      </text>
    </comment>
    <comment ref="AD15" authorId="0" shapeId="0">
      <text>
        <t>추정: 최근 4분기(2024Q4~2025Q3) 잔차 중위
[abs]</t>
      </text>
    </comment>
    <comment ref="AF15" authorId="0" shapeId="0">
      <text>
        <t>추정: 최근 4분기(2024Q4~2025Q3) 잔차 중위
[abs]</t>
      </text>
    </comment>
    <comment ref="AG15" authorId="0" shapeId="0">
      <text>
        <t>추정: 최근 4분기(2024Q4~2025Q3) 잔차 중위
[abs]</t>
      </text>
    </comment>
    <comment ref="AH15" authorId="0" shapeId="0">
      <text>
        <t>추정: 최근 4분기(2024Q4~2025Q3) 잔차 중위
[abs]</t>
      </text>
    </comment>
    <comment ref="AI15" authorId="0" shapeId="0">
      <text>
        <t>추정: 최근 4분기(2024Q4~2025Q3) 잔차 중위
[abs]</t>
      </text>
    </comment>
    <comment ref="AK15" authorId="0" shapeId="0">
      <text>
        <t>추정: 최근 4분기(2024Q4~2025Q3) 잔차 중위
[abs]</t>
      </text>
    </comment>
    <comment ref="AL15" authorId="0" shapeId="0">
      <text>
        <t>추정: 최근 4분기(2024Q4~2025Q3) 잔차 중위
[abs]</t>
      </text>
    </comment>
    <comment ref="AM15" authorId="0" shapeId="0">
      <text>
        <t>추정: 최근 4분기(2024Q4~2025Q3) 잔차 중위
[abs]</t>
      </text>
    </comment>
    <comment ref="AN15" authorId="0" shapeId="0">
      <text>
        <t>추정: 최근 4분기(2024Q4~2025Q3) 잔차 중위
[abs]</t>
      </text>
    </comment>
    <comment ref="Y16" authorId="0" shapeId="0">
      <text>
        <t>추정: 일회성 미가정 → 0
[abs]</t>
      </text>
    </comment>
    <comment ref="AA16" authorId="0" shapeId="0">
      <text>
        <t>추정: 일회성 미가정 → 0
[abs]</t>
      </text>
    </comment>
    <comment ref="AB16" authorId="0" shapeId="0">
      <text>
        <t>추정: 일회성 미가정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Y17" authorId="0" shapeId="0">
      <text>
        <t>추정: 영업이익 + 금융손익 + 기타영업외 + 지분법 + 환관련(항등식)
[identity]</t>
      </text>
    </comment>
    <comment ref="AA17" authorId="0" shapeId="0">
      <text>
        <t>추정: 영업이익 + 금융손익 + 기타영업외 + 지분법 + 환관련(항등식)
[identity]</t>
      </text>
    </comment>
    <comment ref="AB17" authorId="0" shapeId="0">
      <text>
        <t>추정: 영업이익 + 금융손익 + 기타영업외 + 지분법 + 환관련(항등식)
[identity]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Y18" authorId="0" shapeId="0">
      <text>
        <t>추정: max(세전, 0) × 세율 16.2%(최근 12분기 유효세율 16.2%(5~27% 안 — 그대로))
[tax]</t>
      </text>
    </comment>
    <comment ref="AA18" authorId="0" shapeId="0">
      <text>
        <t>추정: max(세전, 0) × 세율 16.2%(최근 12분기 유효세율 16.2%(5~27% 안 — 그대로))
[tax]</t>
      </text>
    </comment>
    <comment ref="AB18" authorId="0" shapeId="0">
      <text>
        <t>추정: max(세전, 0) × 세율 16.2%(최근 12분기 유효세율 16.2%(5~27% 안 — 그대로))
[tax]</t>
      </text>
    </comment>
    <comment ref="AC18" authorId="0" shapeId="0">
      <text>
        <t>추정: max(세전, 0) × 세율 16.2%(최근 12분기 유효세율 16.2%(5~27% 안 — 그대로))
[tax]</t>
      </text>
    </comment>
    <comment ref="AD18" authorId="0" shapeId="0">
      <text>
        <t>추정: max(세전, 0) × 세율 16.2%(최근 12분기 유효세율 16.2%(5~27% 안 — 그대로))
[tax]</t>
      </text>
    </comment>
    <comment ref="AF18" authorId="0" shapeId="0">
      <text>
        <t>추정: max(세전, 0) × 세율 16.2%(최근 12분기 유효세율 16.2%(5~27% 안 — 그대로))
[tax]</t>
      </text>
    </comment>
    <comment ref="AG18" authorId="0" shapeId="0">
      <text>
        <t>추정: max(세전, 0) × 세율 16.2%(최근 12분기 유효세율 16.2%(5~27% 안 — 그대로))
[tax]</t>
      </text>
    </comment>
    <comment ref="AH18" authorId="0" shapeId="0">
      <text>
        <t>추정: max(세전, 0) × 세율 16.2%(최근 12분기 유효세율 16.2%(5~27% 안 — 그대로))
[tax]</t>
      </text>
    </comment>
    <comment ref="AI18" authorId="0" shapeId="0">
      <text>
        <t>추정: max(세전, 0) × 세율 16.2%(최근 12분기 유효세율 16.2%(5~27% 안 — 그대로))
[tax]</t>
      </text>
    </comment>
    <comment ref="AK18" authorId="0" shapeId="0">
      <text>
        <t>추정: max(세전, 0) × 세율 16.2%(최근 12분기 유효세율 16.2%(5~27% 안 — 그대로))
[tax]</t>
      </text>
    </comment>
    <comment ref="AL18" authorId="0" shapeId="0">
      <text>
        <t>추정: max(세전, 0) × 세율 16.2%(최근 12분기 유효세율 16.2%(5~27% 안 — 그대로))
[tax]</t>
      </text>
    </comment>
    <comment ref="AM18" authorId="0" shapeId="0">
      <text>
        <t>추정: max(세전, 0) × 세율 16.2%(최근 12분기 유효세율 16.2%(5~27% 안 — 그대로))
[tax]</t>
      </text>
    </comment>
    <comment ref="AN18" authorId="0" shapeId="0">
      <text>
        <t>추정: max(세전, 0) × 세율 16.2%(최근 12분기 유효세율 16.2%(5~27% 안 — 그대로))
[tax]</t>
      </text>
    </comment>
    <comment ref="Y19" authorId="0" shapeId="0">
      <text>
        <t>추정: 세전이익 − 법인세비용(항등식)
[identity]</t>
      </text>
    </comment>
    <comment ref="AA19" authorId="0" shapeId="0">
      <text>
        <t>추정: 세전이익 − 법인세비용(항등식)
[identity]</t>
      </text>
    </comment>
    <comment ref="AB19" authorId="0" shapeId="0">
      <text>
        <t>추정: 세전이익 − 법인세비용(항등식)
[identity]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Y20" authorId="0" shapeId="0">
      <text>
        <t>추정: 당기순이익 × (1 − 비지배 비중 6.5%, 최근 8분기 실측)
[ratio]</t>
      </text>
    </comment>
    <comment ref="AA20" authorId="0" shapeId="0">
      <text>
        <t>추정: 당기순이익 × (1 − 비지배 비중 6.5%, 최근 8분기 실측)
[ratio]</t>
      </text>
    </comment>
    <comment ref="AB20" authorId="0" shapeId="0">
      <text>
        <t>추정: 당기순이익 × (1 − 비지배 비중 6.5%, 최근 8분기 실측)
[ratio]</t>
      </text>
    </comment>
    <comment ref="AC20" authorId="0" shapeId="0">
      <text>
        <t>추정: 당기순이익 × (1 − 비지배 비중 6.5%, 최근 8분기 실측)
[ratio]</t>
      </text>
    </comment>
    <comment ref="AD20" authorId="0" shapeId="0">
      <text>
        <t>추정: 당기순이익 × (1 − 비지배 비중 6.5%, 최근 8분기 실측)
[ratio]</t>
      </text>
    </comment>
    <comment ref="AF20" authorId="0" shapeId="0">
      <text>
        <t>추정: 당기순이익 × (1 − 비지배 비중 6.5%, 최근 8분기 실측)
[ratio]</t>
      </text>
    </comment>
    <comment ref="AG20" authorId="0" shapeId="0">
      <text>
        <t>추정: 당기순이익 × (1 − 비지배 비중 6.5%, 최근 8분기 실측)
[ratio]</t>
      </text>
    </comment>
    <comment ref="AH20" authorId="0" shapeId="0">
      <text>
        <t>추정: 당기순이익 × (1 − 비지배 비중 6.5%, 최근 8분기 실측)
[ratio]</t>
      </text>
    </comment>
    <comment ref="AI20" authorId="0" shapeId="0">
      <text>
        <t>추정: 당기순이익 × (1 − 비지배 비중 6.5%, 최근 8분기 실측)
[ratio]</t>
      </text>
    </comment>
    <comment ref="AK20" authorId="0" shapeId="0">
      <text>
        <t>추정: 당기순이익 × (1 − 비지배 비중 6.5%, 최근 8분기 실측)
[ratio]</t>
      </text>
    </comment>
    <comment ref="AL20" authorId="0" shapeId="0">
      <text>
        <t>추정: 당기순이익 × (1 − 비지배 비중 6.5%, 최근 8분기 실측)
[ratio]</t>
      </text>
    </comment>
    <comment ref="AM20" authorId="0" shapeId="0">
      <text>
        <t>추정: 당기순이익 × (1 − 비지배 비중 6.5%, 최근 8분기 실측)
[ratio]</t>
      </text>
    </comment>
    <comment ref="AN20" authorId="0" shapeId="0">
      <text>
        <t>추정: 당기순이익 × (1 − 비지배 비중 6.5%, 최근 8분기 실측)
[ratio]</t>
      </text>
    </comment>
    <comment ref="Y21" authorId="0" shapeId="0">
      <text>
        <t>추정: 부채총계 + 자본총계(항등식)
[identity]</t>
      </text>
    </comment>
    <comment ref="AA21" authorId="0" shapeId="0">
      <text>
        <t>추정: 부채총계 + 자본총계(항등식)
[identity]</t>
      </text>
    </comment>
    <comment ref="AB21" authorId="0" shapeId="0">
      <text>
        <t>추정: 부채총계 + 자본총계(항등식)
[identity]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Y22" authorId="0" shapeId="0">
      <text>
        <t>추정: 마지막 실적 유지(가정)
[qoq]</t>
      </text>
    </comment>
    <comment ref="AA22" authorId="0" shapeId="0">
      <text>
        <t>추정: 마지막 실적 유지(가정)
[qoq]</t>
      </text>
    </comment>
    <comment ref="AB22" authorId="0" shapeId="0">
      <text>
        <t>추정: 마지막 실적 유지(가정)
[qoq]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Y23" authorId="0" shapeId="0">
      <text>
        <t>추정: 전분기 + 당기순이익 − 배당(Q2 지급 가정)
[roll]</t>
      </text>
    </comment>
    <comment ref="AA23" authorId="0" shapeId="0">
      <text>
        <t>추정: 전분기 + 당기순이익 − 배당(Q2 지급 가정)
[roll]</t>
      </text>
    </comment>
    <comment ref="AB23" authorId="0" shapeId="0">
      <text>
        <t>추정: 전분기 + 당기순이익 − 배당(Q2 지급 가정)
[roll]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Y24" authorId="0" shapeId="0">
      <text>
        <t>추정: 전분기 + 지배주주순이익 − 배당
[roll]</t>
      </text>
    </comment>
    <comment ref="AA24" authorId="0" shapeId="0">
      <text>
        <t>추정: 전분기 + 지배주주순이익 − 배당
[roll]</t>
      </text>
    </comment>
    <comment ref="AB24" authorId="0" shapeId="0">
      <text>
        <t>추정: 전분기 + 지배주주순이익 − 배당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Y25" authorId="0" shapeId="0">
      <text>
        <t>추정: 마지막 실적 유지(가정)
[qoq]</t>
      </text>
    </comment>
    <comment ref="AA25" authorId="0" shapeId="0">
      <text>
        <t>추정: 마지막 실적 유지(가정)
[qoq]</t>
      </text>
    </comment>
    <comment ref="AB25" authorId="0" shapeId="0">
      <text>
        <t>추정: 마지막 실적 유지(가정)
[qoq]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Y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A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B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C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325억은 행에만)] (운전자본 불변·총차입금 유지 가정 → 변동은 전부 현금)
[qoq]</t>
      </text>
    </comment>
    <comment ref="Y27" authorId="0" shapeId="0">
      <text>
        <t>추정: 전분기 + FCF 근사 — 순차입금 롤과 같은 가정
[qoq]</t>
      </text>
    </comment>
    <comment ref="AA27" authorId="0" shapeId="0">
      <text>
        <t>추정: 전분기 + FCF 근사 — 순차입금 롤과 같은 가정
[qoq]</t>
      </text>
    </comment>
    <comment ref="AB27" authorId="0" shapeId="0">
      <text>
        <t>추정: 전분기 + FCF 근사 — 순차입금 롤과 같은 가정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Y29" authorId="0" shapeId="0">
      <text>
        <t>추정: 최근 4분기(2024Q4~2025Q3) CAPEX 중위 유지 — 순차입금 롤에 미반영(감가상각비 없음 → CAPEX≈감가 가정)
[yoy]</t>
      </text>
    </comment>
    <comment ref="AA29" authorId="0" shapeId="0">
      <text>
        <t>추정: 최근 4분기(2024Q4~2025Q3) CAPEX 중위 유지 — 순차입금 롤에 미반영(감가상각비 없음 → CAPEX≈감가 가정)
[yoy]</t>
      </text>
    </comment>
    <comment ref="AB29" authorId="0" shapeId="0">
      <text>
        <t>추정: 최근 4분기(2024Q4~2025Q3) CAPEX 중위 유지 — 순차입금 롤에 미반영(감가상각비 없음 → CAPEX≈감가 가정)
[yoy]</t>
      </text>
    </comment>
    <comment ref="AC29" authorId="0" shapeId="0">
      <text>
        <t>추정: 최근 4분기(2024Q4~2025Q3) CAPEX 중위 유지 — 순차입금 롤에 미반영(감가상각비 없음 → CAPEX≈감가 가정)
[yoy]</t>
      </text>
    </comment>
    <comment ref="AD29" authorId="0" shapeId="0">
      <text>
        <t>추정: 최근 4분기(2024Q4~2025Q3) CAPEX 중위 유지 — 순차입금 롤에 미반영(감가상각비 없음 → CAPEX≈감가 가정)
[yoy]</t>
      </text>
    </comment>
    <comment ref="AF29" authorId="0" shapeId="0">
      <text>
        <t>추정: 최근 4분기(2024Q4~2025Q3) CAPEX 중위 유지 — 순차입금 롤에 미반영(감가상각비 없음 → CAPEX≈감가 가정)
[yoy]</t>
      </text>
    </comment>
    <comment ref="AG29" authorId="0" shapeId="0">
      <text>
        <t>추정: 최근 4분기(2024Q4~2025Q3) CAPEX 중위 유지 — 순차입금 롤에 미반영(감가상각비 없음 → CAPEX≈감가 가정)
[yoy]</t>
      </text>
    </comment>
    <comment ref="AH29" authorId="0" shapeId="0">
      <text>
        <t>추정: 최근 4분기(2024Q4~2025Q3) CAPEX 중위 유지 — 순차입금 롤에 미반영(감가상각비 없음 → CAPEX≈감가 가정)
[yoy]</t>
      </text>
    </comment>
    <comment ref="AI29" authorId="0" shapeId="0">
      <text>
        <t>추정: 최근 4분기(2024Q4~2025Q3) CAPEX 중위 유지 — 순차입금 롤에 미반영(감가상각비 없음 → CAPEX≈감가 가정)
[yoy]</t>
      </text>
    </comment>
    <comment ref="AK29" authorId="0" shapeId="0">
      <text>
        <t>추정: 최근 4분기(2024Q4~2025Q3) CAPEX 중위 유지 — 순차입금 롤에 미반영(감가상각비 없음 → CAPEX≈감가 가정)
[yoy]</t>
      </text>
    </comment>
    <comment ref="AL29" authorId="0" shapeId="0">
      <text>
        <t>추정: 최근 4분기(2024Q4~2025Q3) CAPEX 중위 유지 — 순차입금 롤에 미반영(감가상각비 없음 → CAPEX≈감가 가정)
[yoy]</t>
      </text>
    </comment>
    <comment ref="AM29" authorId="0" shapeId="0">
      <text>
        <t>추정: 최근 4분기(2024Q4~2025Q3) CAPEX 중위 유지 — 순차입금 롤에 미반영(감가상각비 없음 → CAPEX≈감가 가정)
[yoy]</t>
      </text>
    </comment>
    <comment ref="AN29" authorId="0" shapeId="0">
      <text>
        <t>추정: 최근 4분기(2024Q4~2025Q3)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추정: 유통주식수 유지 — fin.shares.common_outstanding(2025Q3)
[qoq]</t>
      </text>
    </comment>
    <comment ref="AA31" authorId="0" shapeId="0">
      <text>
        <t>추정: 유통주식수 유지 — fin.shares.common_outstanding(2025Q3)
[qoq]</t>
      </text>
    </comment>
    <comment ref="AB31" authorId="0" shapeId="0">
      <text>
        <t>추정: 유통주식수 유지 — fin.shares.common_outstanding(2025Q3)
[qoq]</t>
      </text>
    </comment>
    <comment ref="AC31" authorId="0" shapeId="0">
      <text>
        <t>추정: 유통주식수 유지 — fin.shares.common_outstanding(2025Q3)
[qoq]</t>
      </text>
    </comment>
    <comment ref="AD31" authorId="0" shapeId="0">
      <text>
        <t>추정: 유통주식수 유지 — fin.shares.common_outstanding(2025Q3)
[qoq]</t>
      </text>
    </comment>
    <comment ref="AF31" authorId="0" shapeId="0">
      <text>
        <t>추정: 유통주식수 유지 — fin.shares.common_outstanding(2025Q3)
[qoq]</t>
      </text>
    </comment>
    <comment ref="AG31" authorId="0" shapeId="0">
      <text>
        <t>추정: 유통주식수 유지 — fin.shares.common_outstanding(2025Q3)
[qoq]</t>
      </text>
    </comment>
    <comment ref="AH31" authorId="0" shapeId="0">
      <text>
        <t>추정: 유통주식수 유지 — fin.shares.common_outstanding(2025Q3)
[qoq]</t>
      </text>
    </comment>
    <comment ref="AI31" authorId="0" shapeId="0">
      <text>
        <t>추정: 유통주식수 유지 — fin.shares.common_outstanding(2025Q3)
[qoq]</t>
      </text>
    </comment>
    <comment ref="AK31" authorId="0" shapeId="0">
      <text>
        <t>추정: 유통주식수 유지 — fin.shares.common_outstanding(2025Q3)
[qoq]</t>
      </text>
    </comment>
    <comment ref="AL31" authorId="0" shapeId="0">
      <text>
        <t>추정: 유통주식수 유지 — fin.shares.common_outstanding(2025Q3)
[qoq]</t>
      </text>
    </comment>
    <comment ref="AM31" authorId="0" shapeId="0">
      <text>
        <t>추정: 유통주식수 유지 — fin.shares.common_outstanding(2025Q3)
[qoq]</t>
      </text>
    </comment>
    <comment ref="AN31" authorId="0" shapeId="0">
      <text>
        <t>추정: 유통주식수 유지 — fin.shares.common_outstanding(2025Q3)
[qoq]</t>
      </text>
    </comment>
    <comment ref="Y32" authorId="0" shapeId="0">
      <text>
        <t>추정: 지배주주순이익 ÷ 유통주식수
[per_share]</t>
      </text>
    </comment>
    <comment ref="AA32" authorId="0" shapeId="0">
      <text>
        <t>추정: 지배주주순이익 ÷ 유통주식수
[per_share]</t>
      </text>
    </comment>
    <comment ref="AB32" authorId="0" shapeId="0">
      <text>
        <t>추정: 지배주주순이익 ÷ 유통주식수
[per_share]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Y33" authorId="0" shapeId="0">
      <text>
        <t>추정: 지배주주지분 ÷ 유통주식수
[per_share]</t>
      </text>
    </comment>
    <comment ref="AA33" authorId="0" shapeId="0">
      <text>
        <t>추정: 지배주주지분 ÷ 유통주식수
[per_share]</t>
      </text>
    </comment>
    <comment ref="AB33" authorId="0" shapeId="0">
      <text>
        <t>추정: 지배주주지분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추정: 직전 결산 DPS 710원 유지
[abs]</t>
      </text>
    </comment>
    <comment ref="AD34" authorId="0" shapeId="0">
      <text>
        <t>추정: 직전 결산 DPS 710원 유지
[abs]</t>
      </text>
    </comment>
    <comment ref="AI34" authorId="0" shapeId="0">
      <text>
        <t>추정: 직전 결산 DPS 710원 유지
[abs]</t>
      </text>
    </comment>
    <comment ref="AN34" authorId="0" shapeId="0">
      <text>
        <t>추정: 직전 결산 DPS 710원 유지
[abs]</t>
      </text>
    </comment>
    <comment ref="E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H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M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R35" authorId="0" shapeId="0">
      <text>
        <t>실측(계정 매핑 없음(파생·부문·시세 행) — 모델값 직접) — = 매출액(부문 미분리)</t>
      </text>
    </comment>
    <comment ref="S35" authorId="0" shapeId="0">
      <text>
        <t>실측(계정 매핑 없음(파생·부문·시세 행) — 모델값 직접) — = 매출액(부문 미분리)</t>
      </text>
    </comment>
    <comment ref="T35" authorId="0" shapeId="0">
      <text>
        <t>실측(계정 매핑 없음(파생·부문·시세 행) — 모델값 직접) — = 매출액(부문 미분리)</t>
      </text>
    </comment>
    <comment ref="V35" authorId="0" shapeId="0">
      <text>
        <t>실측(계정 매핑 없음(파생·부문·시세 행) — 모델값 직접) — = 매출액(부문 미분리)</t>
      </text>
    </comment>
    <comment ref="W35" authorId="0" shapeId="0">
      <text>
        <t>실측(계정 매핑 없음(파생·부문·시세 행) — 모델값 직접) — = 매출액(부문 미분리)</t>
      </text>
    </comment>
    <comment ref="X35" authorId="0" shapeId="0">
      <text>
        <t>실측(계정 매핑 없음(파생·부문·시세 행) — 모델값 직접) — = 매출액(부문 미분리)</t>
      </text>
    </comment>
    <comment ref="Y35" authorId="0" shapeId="0">
      <text>
        <t>추정: = 매출액 추정(부문 미분리)
[identity]</t>
      </text>
    </comment>
    <comment ref="AA35" authorId="0" shapeId="0">
      <text>
        <t>추정: = 매출액 추정(부문 미분리)
[identity]</t>
      </text>
    </comment>
    <comment ref="AB35" authorId="0" shapeId="0">
      <text>
        <t>추정: = 매출액 추정(부문 미분리)
[identity]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AF35" authorId="0" shapeId="0">
      <text>
        <t>추정: = 매출액 추정(부문 미분리)
[identity]</t>
      </text>
    </comment>
    <comment ref="AG35" authorId="0" shapeId="0">
      <text>
        <t>추정: = 매출액 추정(부문 미분리)
[identity]</t>
      </text>
    </comment>
    <comment ref="AH35" authorId="0" shapeId="0">
      <text>
        <t>추정: = 매출액 추정(부문 미분리)
[identity]</t>
      </text>
    </comment>
    <comment ref="AI35" authorId="0" shapeId="0">
      <text>
        <t>추정: = 매출액 추정(부문 미분리)
[identity]</t>
      </text>
    </comment>
    <comment ref="AK35" authorId="0" shapeId="0">
      <text>
        <t>추정: = 매출액 추정(부문 미분리)
[identity]</t>
      </text>
    </comment>
    <comment ref="AL35" authorId="0" shapeId="0">
      <text>
        <t>추정: = 매출액 추정(부문 미분리)
[identity]</t>
      </text>
    </comment>
    <comment ref="AM35" authorId="0" shapeId="0">
      <text>
        <t>추정: = 매출액 추정(부문 미분리)
[identity]</t>
      </text>
    </comment>
    <comment ref="AN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H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M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R36" authorId="0" shapeId="0">
      <text>
        <t>실측(계정 매핑 없음(파생·부문·시세 행) — 모델값 직접) — = 영업이익(부문 미분리)</t>
      </text>
    </comment>
    <comment ref="S36" authorId="0" shapeId="0">
      <text>
        <t>실측(계정 매핑 없음(파생·부문·시세 행) — 모델값 직접) — = 영업이익(부문 미분리)</t>
      </text>
    </comment>
    <comment ref="T36" authorId="0" shapeId="0">
      <text>
        <t>실측(계정 매핑 없음(파생·부문·시세 행) — 모델값 직접) — = 영업이익(부문 미분리)</t>
      </text>
    </comment>
    <comment ref="V36" authorId="0" shapeId="0">
      <text>
        <t>실측(계정 매핑 없음(파생·부문·시세 행) — 모델값 직접) — = 영업이익(부문 미분리)</t>
      </text>
    </comment>
    <comment ref="W36" authorId="0" shapeId="0">
      <text>
        <t>실측(계정 매핑 없음(파생·부문·시세 행) — 모델값 직접) — = 영업이익(부문 미분리)</t>
      </text>
    </comment>
    <comment ref="X36" authorId="0" shapeId="0">
      <text>
        <t>실측(계정 매핑 없음(파생·부문·시세 행) — 모델값 직접) — = 영업이익(부문 미분리)</t>
      </text>
    </comment>
    <comment ref="Y36" authorId="0" shapeId="0">
      <text>
        <t>추정: = 매출액 × OPM(부문 미분리)
[identity]</t>
      </text>
    </comment>
    <comment ref="AA36" authorId="0" shapeId="0">
      <text>
        <t>추정: = 매출액 × OPM(부문 미분리)
[identity]</t>
      </text>
    </comment>
    <comment ref="AB36" authorId="0" shapeId="0">
      <text>
        <t>추정: = 매출액 × OPM(부문 미분리)
[identity]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  <comment ref="AF36" authorId="0" shapeId="0">
      <text>
        <t>추정: = 매출액 × OPM(부문 미분리)
[identity]</t>
      </text>
    </comment>
    <comment ref="AG36" authorId="0" shapeId="0">
      <text>
        <t>추정: = 매출액 × OPM(부문 미분리)
[identity]</t>
      </text>
    </comment>
    <comment ref="AH36" authorId="0" shapeId="0">
      <text>
        <t>추정: = 매출액 × OPM(부문 미분리)
[identity]</t>
      </text>
    </comment>
    <comment ref="AI36" authorId="0" shapeId="0">
      <text>
        <t>추정: = 매출액 × OPM(부문 미분리)
[identity]</t>
      </text>
    </comment>
    <comment ref="AK36" authorId="0" shapeId="0">
      <text>
        <t>추정: = 매출액 × OPM(부문 미분리)
[identity]</t>
      </text>
    </comment>
    <comment ref="AL36" authorId="0" shapeId="0">
      <text>
        <t>추정: = 매출액 × OPM(부문 미분리)
[identity]</t>
      </text>
    </comment>
    <comment ref="AM36" authorId="0" shapeId="0">
      <text>
        <t>추정: = 매출액 × OPM(부문 미분리)
[identity]</t>
      </text>
    </comment>
    <comment ref="AN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HD현대미포(010620) 실적 모델 — ARGUS 한국조선</t>
        </is>
      </c>
    </row>
    <row r="2">
      <c r="A2" t="inlineStr">
        <is>
          <t>기준 분기 2025Q3 · 마지막 실적 2025Q3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16.17% — 법인세 = MAX(세전,0) × 세율, 추정 전 분기 연결(Σ법인세/Σmax(세전,0) 역산, 재현 오차 ≤ 0.05억). 모델 가정 16.17% · 근거: 최근 12분기 유효세율 16.2%(5~27% 안 — 그대로)</t>
        </is>
      </c>
    </row>
    <row r="23">
      <c r="A23" t="inlineStr">
        <is>
          <t>· 판관비율 3.37% — 판관비 = 매출액 × 판관비율, 추정 전 분기 연결</t>
        </is>
      </c>
    </row>
    <row r="24">
      <c r="A24" t="inlineStr">
        <is>
          <t>· 지배주주 비중 93.5% — 지배주주순이익 = 당기순이익 × 비중, 추정 전 분기 연결</t>
        </is>
      </c>
    </row>
    <row r="25">
      <c r="A25" t="inlineStr">
        <is>
          <t>· 이자율 자산 2.55% / 부채 5.05% — 이자손익 = (전분기 이자발생자산 × 자산이자율 − 전분기 총차입금 × 부채이자율)/4, 최소자승 역산(모델 assumptions [0.0255, 0.0504] 는 4자리 반올림이라 그대로 쓰면 ±1억 어긋남) · 출처: {"asset": "주석 이자수익 ÷ 평균 이자발생자산(2024Q4~2025Q3)", "debt": "주석 이자비용 ÷ 평균 총차입금(2024Q4~2025Q3)"}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양(+)EPS 분기 0개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assets/models/010620.json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폴백(선표(assets/sls) 없음): 전년동기 × (1+g) 추세 / 감가상각비가 face·CF 에 없음(주석 미파싱) → EBITDA·EV/EBITDA 미산출 / 금융손익 실적→추정 단절: 최근 4분기 실적 -2770/-276/+1870/-996(중위 -636억) → 추정 2025Q4 +24억(차 +659억, +104%) — 추정은 이자손익 + 기타금융 중위, 외환·파생 평가손익 0 가정(환율 효과는 환관련손익 행). 값은 바꾸지 않음 — 지배NI·EPS 해석 시 참고 / 2025Q4 부터 정기보고서 없음(329180 에 합병) — 참고용 모델, 시세 없음</t>
        </is>
      </c>
    </row>
    <row r="34">
      <c r="A34" t="inlineStr">
        <is>
          <t>백테스트: {"freeze": "2025Q2", "horizon": 4, "revenue_wape_pct": 3.5, "op_wape_pct": 85.0, "n": 1, "note": "실측 1분기만 비교(나머지는 실적 없음 — 추정 vs 추정은 세지 않음) · 단일 회사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12543.01, "rev_act": 13003.49, "op_pred": 301.93, "op_act": 2008.07}]}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4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3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X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6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8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7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X5" s="5" t="n"/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5" t="n">
        <v>1386.95</v>
      </c>
      <c r="Y6" s="16" t="n">
        <v>1449.19</v>
      </c>
      <c r="Z6" s="17" t="n">
        <v>1421.52</v>
      </c>
      <c r="AA6" s="16" t="n">
        <v>1466.12</v>
      </c>
      <c r="AB6" s="16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5" t="n">
        <v>1403.67</v>
      </c>
      <c r="Y7" s="16" t="n">
        <v>1444.2</v>
      </c>
      <c r="Z7" s="17" t="n">
        <v>1444.2</v>
      </c>
      <c r="AA7" s="16" t="n">
        <v>1524.8</v>
      </c>
      <c r="AB7" s="16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5" t="n">
        <v>940.3200000000001</v>
      </c>
      <c r="Y8" s="16" t="n">
        <v>940.77</v>
      </c>
      <c r="Z8" s="17" t="n">
        <v>950.17</v>
      </c>
      <c r="AA8" s="16" t="n">
        <v>934.39</v>
      </c>
      <c r="AB8" s="16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5" t="n">
        <v>948.49</v>
      </c>
      <c r="Y9" s="16" t="n">
        <v>921.8099999999999</v>
      </c>
      <c r="Z9" s="17" t="n">
        <v>921.8099999999999</v>
      </c>
      <c r="AA9" s="16" t="n">
        <v>955.99</v>
      </c>
      <c r="AB9" s="16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5" t="n">
        <v>1620.04</v>
      </c>
      <c r="Y10" s="16" t="n">
        <v>1686.02</v>
      </c>
      <c r="Z10" s="17" t="n">
        <v>1605.45</v>
      </c>
      <c r="AA10" s="16" t="n">
        <v>1715.47</v>
      </c>
      <c r="AB10" s="16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5" t="n">
        <v>1648.04</v>
      </c>
      <c r="Y11" s="16" t="n">
        <v>1696.94</v>
      </c>
      <c r="Z11" s="17" t="n">
        <v>1696.94</v>
      </c>
      <c r="AA11" s="16" t="n">
        <v>1753.21</v>
      </c>
      <c r="AB11" s="16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5" t="n">
        <v>193.79</v>
      </c>
      <c r="Y12" s="16" t="n">
        <v>204.38</v>
      </c>
      <c r="Z12" s="17" t="n">
        <v>197.8</v>
      </c>
      <c r="AA12" s="16" t="n">
        <v>211.75</v>
      </c>
      <c r="AB12" s="16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5" t="n">
        <v>197.16</v>
      </c>
      <c r="Y13" s="16" t="n">
        <v>206.28</v>
      </c>
      <c r="Z13" s="17" t="n">
        <v>206.28</v>
      </c>
      <c r="AA13" s="16" t="n">
        <v>220.97</v>
      </c>
      <c r="AB13" s="16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F14" s="9" t="n"/>
      <c r="K14" s="9" t="n"/>
      <c r="P14" s="9" t="n"/>
      <c r="U14" s="9" t="n"/>
      <c r="X14" s="5" t="n"/>
      <c r="Y14" s="10" t="n"/>
      <c r="Z14" s="11" t="n"/>
      <c r="AA14" s="10" t="n"/>
      <c r="AB14" s="10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B15" s="1" t="inlineStr">
        <is>
          <t>2. 추정 드라이버</t>
        </is>
      </c>
      <c r="C15" s="2" t="inlineStr">
        <is>
          <t>실적 열 = subQ 실현값(수식), 추정 열 = 가정(노란 = 모델값 역산, 연녹 = 3절 스칼라 참조)</t>
        </is>
      </c>
      <c r="F15" s="9" t="n"/>
      <c r="K15" s="9" t="n"/>
      <c r="P15" s="9" t="n"/>
      <c r="U15" s="9" t="n"/>
      <c r="X15" s="5" t="n"/>
      <c r="Y15" s="10" t="n"/>
      <c r="Z15" s="11" t="n"/>
      <c r="AA15" s="10" t="n"/>
      <c r="AB15" s="10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drv:매출액</t>
        </is>
      </c>
      <c r="B16" s="2" t="inlineStr">
        <is>
          <t>yoy</t>
        </is>
      </c>
      <c r="C16" t="inlineStr">
        <is>
          <t>매출액 YoY</t>
        </is>
      </c>
      <c r="E16" s="18" t="n"/>
      <c r="F16" s="19" t="n"/>
      <c r="G16" s="18" t="n"/>
      <c r="H16" s="18" t="n"/>
      <c r="I16" s="18" t="n"/>
      <c r="J16" s="18">
        <f>IFERROR(subQ!J5/subQ!E5-1,"")</f>
        <v/>
      </c>
      <c r="K16" s="19" t="n"/>
      <c r="L16" s="18">
        <f>IFERROR(subQ!L5/subQ!G5-1,"")</f>
        <v/>
      </c>
      <c r="M16" s="18">
        <f>IFERROR(subQ!M5/subQ!H5-1,"")</f>
        <v/>
      </c>
      <c r="N16" s="18">
        <f>IFERROR(subQ!N5/subQ!I5-1,"")</f>
        <v/>
      </c>
      <c r="O16" s="18">
        <f>IFERROR(subQ!O5/subQ!J5-1,"")</f>
        <v/>
      </c>
      <c r="P16" s="19" t="n"/>
      <c r="Q16" s="18">
        <f>IFERROR(subQ!Q5/subQ!L5-1,"")</f>
        <v/>
      </c>
      <c r="R16" s="18">
        <f>IFERROR(subQ!R5/subQ!M5-1,"")</f>
        <v/>
      </c>
      <c r="S16" s="18">
        <f>IFERROR(subQ!S5/subQ!N5-1,"")</f>
        <v/>
      </c>
      <c r="T16" s="18">
        <f>IFERROR(subQ!T5/subQ!O5-1,"")</f>
        <v/>
      </c>
      <c r="U16" s="19" t="n"/>
      <c r="V16" s="18">
        <f>IFERROR(subQ!V5/subQ!Q5-1,"")</f>
        <v/>
      </c>
      <c r="W16" s="18">
        <f>IFERROR(subQ!W5/subQ!R5-1,"")</f>
        <v/>
      </c>
      <c r="X16" s="20">
        <f>IFERROR(subQ!X5/subQ!S5-1,"")</f>
        <v/>
      </c>
      <c r="Y16" s="21" t="n">
        <v>0.192923049</v>
      </c>
      <c r="Z16" s="22" t="n"/>
      <c r="AA16" s="21" t="n">
        <v>0.192923246</v>
      </c>
      <c r="AB16" s="21" t="n">
        <v>0.1929231</v>
      </c>
      <c r="AC16" s="21" t="n">
        <v>0.192922658</v>
      </c>
      <c r="AD16" s="21" t="n">
        <v>0.096461424</v>
      </c>
      <c r="AE16" s="22" t="n"/>
      <c r="AF16" s="21" t="n">
        <v>0.09646086600000001</v>
      </c>
      <c r="AG16" s="21" t="n">
        <v>0.09646123</v>
      </c>
      <c r="AH16" s="21" t="n">
        <v>0.096461744</v>
      </c>
      <c r="AI16" s="21" t="n">
        <v>0.048230378</v>
      </c>
      <c r="AJ16" s="22" t="n"/>
      <c r="AK16" s="21" t="n">
        <v>0.048230695</v>
      </c>
      <c r="AL16" s="21" t="n">
        <v>0.048230856</v>
      </c>
      <c r="AM16" s="21" t="n">
        <v>0.048230619</v>
      </c>
      <c r="AN16" s="21" t="n">
        <v>0.024115673</v>
      </c>
      <c r="AO16" s="22" t="n"/>
    </row>
    <row r="17">
      <c r="A17" s="12" t="inlineStr">
        <is>
          <t>drv:판관비</t>
        </is>
      </c>
      <c r="B17" s="2" t="inlineStr">
        <is>
          <t>ratio</t>
        </is>
      </c>
      <c r="C17" t="inlineStr">
        <is>
          <t>판관비율(/매출)</t>
        </is>
      </c>
      <c r="E17" s="18">
        <f>IFERROR(subQ!E8/subQ!E5,"")</f>
        <v/>
      </c>
      <c r="F17" s="19">
        <f>IFERROR(subQ!F8/subQ!F5,"")</f>
        <v/>
      </c>
      <c r="G17" s="18">
        <f>IFERROR(subQ!G8/subQ!G5,"")</f>
        <v/>
      </c>
      <c r="H17" s="18">
        <f>IFERROR(subQ!H8/subQ!H5,"")</f>
        <v/>
      </c>
      <c r="I17" s="18">
        <f>IFERROR(subQ!I8/subQ!I5,"")</f>
        <v/>
      </c>
      <c r="J17" s="18">
        <f>IFERROR(subQ!J8/subQ!J5,"")</f>
        <v/>
      </c>
      <c r="K17" s="19">
        <f>IFERROR(subQ!K8/subQ!K5,"")</f>
        <v/>
      </c>
      <c r="L17" s="18">
        <f>IFERROR(subQ!L8/subQ!L5,"")</f>
        <v/>
      </c>
      <c r="M17" s="18">
        <f>IFERROR(subQ!M8/subQ!M5,"")</f>
        <v/>
      </c>
      <c r="N17" s="18">
        <f>IFERROR(subQ!N8/subQ!N5,"")</f>
        <v/>
      </c>
      <c r="O17" s="18">
        <f>IFERROR(subQ!O8/subQ!O5,"")</f>
        <v/>
      </c>
      <c r="P17" s="19">
        <f>IFERROR(subQ!P8/subQ!P5,"")</f>
        <v/>
      </c>
      <c r="Q17" s="18">
        <f>IFERROR(subQ!Q8/subQ!Q5,"")</f>
        <v/>
      </c>
      <c r="R17" s="18">
        <f>IFERROR(subQ!R8/subQ!R5,"")</f>
        <v/>
      </c>
      <c r="S17" s="18">
        <f>IFERROR(subQ!S8/subQ!S5,"")</f>
        <v/>
      </c>
      <c r="T17" s="18">
        <f>IFERROR(subQ!T8/subQ!T5,"")</f>
        <v/>
      </c>
      <c r="U17" s="19">
        <f>IFERROR(subQ!U8/subQ!U5,"")</f>
        <v/>
      </c>
      <c r="V17" s="18">
        <f>IFERROR(subQ!V8/subQ!V5,"")</f>
        <v/>
      </c>
      <c r="W17" s="18">
        <f>IFERROR(subQ!W8/subQ!W5,"")</f>
        <v/>
      </c>
      <c r="X17" s="20">
        <f>IFERROR(subQ!X8/subQ!X5,"")</f>
        <v/>
      </c>
      <c r="Y17" s="23">
        <f>$D$46</f>
        <v/>
      </c>
      <c r="Z17" s="22">
        <f>IFERROR(subQ!Z8/subQ!Z5,"")</f>
        <v/>
      </c>
      <c r="AA17" s="23">
        <f>$D$46</f>
        <v/>
      </c>
      <c r="AB17" s="23">
        <f>$D$46</f>
        <v/>
      </c>
      <c r="AC17" s="23">
        <f>$D$46</f>
        <v/>
      </c>
      <c r="AD17" s="23">
        <f>$D$46</f>
        <v/>
      </c>
      <c r="AE17" s="22">
        <f>IFERROR(subQ!AE8/subQ!AE5,"")</f>
        <v/>
      </c>
      <c r="AF17" s="23">
        <f>$D$46</f>
        <v/>
      </c>
      <c r="AG17" s="23">
        <f>$D$46</f>
        <v/>
      </c>
      <c r="AH17" s="23">
        <f>$D$46</f>
        <v/>
      </c>
      <c r="AI17" s="23">
        <f>$D$46</f>
        <v/>
      </c>
      <c r="AJ17" s="22">
        <f>IFERROR(subQ!AJ8/subQ!AJ5,"")</f>
        <v/>
      </c>
      <c r="AK17" s="23">
        <f>$D$46</f>
        <v/>
      </c>
      <c r="AL17" s="23">
        <f>$D$46</f>
        <v/>
      </c>
      <c r="AM17" s="23">
        <f>$D$46</f>
        <v/>
      </c>
      <c r="AN17" s="23">
        <f>$D$46</f>
        <v/>
      </c>
      <c r="AO17" s="22">
        <f>IFERROR(subQ!AO8/subQ!AO5,"")</f>
        <v/>
      </c>
    </row>
    <row r="18">
      <c r="A18" s="12" t="inlineStr">
        <is>
          <t>drv:영업이익</t>
        </is>
      </c>
      <c r="B18" s="2" t="inlineStr">
        <is>
          <t>ratio</t>
        </is>
      </c>
      <c r="C18" t="inlineStr">
        <is>
          <t>영업이익률(OPM)</t>
        </is>
      </c>
      <c r="E18" s="18">
        <f>IFERROR(subQ!E9/subQ!E5,"")</f>
        <v/>
      </c>
      <c r="F18" s="19">
        <f>IFERROR(subQ!F9/subQ!F5,"")</f>
        <v/>
      </c>
      <c r="G18" s="18">
        <f>IFERROR(subQ!G9/subQ!G5,"")</f>
        <v/>
      </c>
      <c r="H18" s="18">
        <f>IFERROR(subQ!H9/subQ!H5,"")</f>
        <v/>
      </c>
      <c r="I18" s="18">
        <f>IFERROR(subQ!I9/subQ!I5,"")</f>
        <v/>
      </c>
      <c r="J18" s="18">
        <f>IFERROR(subQ!J9/subQ!J5,"")</f>
        <v/>
      </c>
      <c r="K18" s="19">
        <f>IFERROR(subQ!K9/subQ!K5,"")</f>
        <v/>
      </c>
      <c r="L18" s="18">
        <f>IFERROR(subQ!L9/subQ!L5,"")</f>
        <v/>
      </c>
      <c r="M18" s="18">
        <f>IFERROR(subQ!M9/subQ!M5,"")</f>
        <v/>
      </c>
      <c r="N18" s="18">
        <f>IFERROR(subQ!N9/subQ!N5,"")</f>
        <v/>
      </c>
      <c r="O18" s="18">
        <f>IFERROR(subQ!O9/subQ!O5,"")</f>
        <v/>
      </c>
      <c r="P18" s="19">
        <f>IFERROR(subQ!P9/subQ!P5,"")</f>
        <v/>
      </c>
      <c r="Q18" s="18">
        <f>IFERROR(subQ!Q9/subQ!Q5,"")</f>
        <v/>
      </c>
      <c r="R18" s="18">
        <f>IFERROR(subQ!R9/subQ!R5,"")</f>
        <v/>
      </c>
      <c r="S18" s="18">
        <f>IFERROR(subQ!S9/subQ!S5,"")</f>
        <v/>
      </c>
      <c r="T18" s="18">
        <f>IFERROR(subQ!T9/subQ!T5,"")</f>
        <v/>
      </c>
      <c r="U18" s="19">
        <f>IFERROR(subQ!U9/subQ!U5,"")</f>
        <v/>
      </c>
      <c r="V18" s="18">
        <f>IFERROR(subQ!V9/subQ!V5,"")</f>
        <v/>
      </c>
      <c r="W18" s="18">
        <f>IFERROR(subQ!W9/subQ!W5,"")</f>
        <v/>
      </c>
      <c r="X18" s="20">
        <f>IFERROR(subQ!X9/subQ!X5,"")</f>
        <v/>
      </c>
      <c r="Y18" s="21" t="n">
        <v>0.032835274</v>
      </c>
      <c r="Z18" s="22">
        <f>IFERROR(subQ!Z9/subQ!Z5,"")</f>
        <v/>
      </c>
      <c r="AA18" s="21" t="n">
        <v>0.03283506</v>
      </c>
      <c r="AB18" s="21" t="n">
        <v>0.032835077</v>
      </c>
      <c r="AC18" s="21" t="n">
        <v>0.03283553</v>
      </c>
      <c r="AD18" s="21" t="n">
        <v>0.03283528</v>
      </c>
      <c r="AE18" s="22">
        <f>IFERROR(subQ!AE9/subQ!AE5,"")</f>
        <v/>
      </c>
      <c r="AF18" s="21" t="n">
        <v>0.032835131</v>
      </c>
      <c r="AG18" s="21" t="n">
        <v>0.032834959</v>
      </c>
      <c r="AH18" s="21" t="n">
        <v>0.032835366</v>
      </c>
      <c r="AI18" s="21" t="n">
        <v>0.032835146</v>
      </c>
      <c r="AJ18" s="22">
        <f>IFERROR(subQ!AJ9/subQ!AJ5,"")</f>
        <v/>
      </c>
      <c r="AK18" s="21" t="n">
        <v>0.032835012</v>
      </c>
      <c r="AL18" s="21" t="n">
        <v>0.032834927</v>
      </c>
      <c r="AM18" s="21" t="n">
        <v>0.032835039</v>
      </c>
      <c r="AN18" s="21" t="n">
        <v>0.032835282</v>
      </c>
      <c r="AO18" s="22">
        <f>IFERROR(subQ!AO9/subQ!AO5,"")</f>
        <v/>
      </c>
    </row>
    <row r="19">
      <c r="A19" s="12" t="inlineStr">
        <is>
          <t>drv:외환손익</t>
        </is>
      </c>
      <c r="B19" s="2" t="inlineStr">
        <is>
          <t>abs</t>
        </is>
      </c>
      <c r="C19" t="inlineStr">
        <is>
          <t>외환손익 (가정, 억원)</t>
        </is>
      </c>
      <c r="E19" s="24">
        <f>subQ!E13</f>
        <v/>
      </c>
      <c r="F19" s="25">
        <f>subQ!F13</f>
        <v/>
      </c>
      <c r="G19" s="24">
        <f>subQ!G13</f>
        <v/>
      </c>
      <c r="H19" s="24">
        <f>subQ!H13</f>
        <v/>
      </c>
      <c r="I19" s="24">
        <f>subQ!I13</f>
        <v/>
      </c>
      <c r="J19" s="24">
        <f>subQ!J13</f>
        <v/>
      </c>
      <c r="K19" s="25">
        <f>subQ!K13</f>
        <v/>
      </c>
      <c r="L19" s="24">
        <f>subQ!L13</f>
        <v/>
      </c>
      <c r="M19" s="24">
        <f>subQ!M13</f>
        <v/>
      </c>
      <c r="N19" s="24">
        <f>subQ!N13</f>
        <v/>
      </c>
      <c r="O19" s="24">
        <f>subQ!O13</f>
        <v/>
      </c>
      <c r="P19" s="25">
        <f>subQ!P13</f>
        <v/>
      </c>
      <c r="Q19" s="24">
        <f>subQ!Q13</f>
        <v/>
      </c>
      <c r="R19" s="24">
        <f>subQ!R13</f>
        <v/>
      </c>
      <c r="S19" s="24">
        <f>subQ!S13</f>
        <v/>
      </c>
      <c r="T19" s="24">
        <f>subQ!T13</f>
        <v/>
      </c>
      <c r="U19" s="25">
        <f>subQ!U13</f>
        <v/>
      </c>
      <c r="V19" s="24">
        <f>subQ!V13</f>
        <v/>
      </c>
      <c r="W19" s="24">
        <f>subQ!W13</f>
        <v/>
      </c>
      <c r="X19" s="26">
        <f>subQ!X13</f>
        <v/>
      </c>
      <c r="Y19" s="27" t="n">
        <v>0</v>
      </c>
      <c r="Z19" s="28">
        <f>subQ!Z13</f>
        <v/>
      </c>
      <c r="AA19" s="27" t="n">
        <v>0</v>
      </c>
      <c r="AB19" s="27" t="n">
        <v>0</v>
      </c>
      <c r="AC19" s="27" t="n">
        <v>0</v>
      </c>
      <c r="AD19" s="27" t="n">
        <v>0</v>
      </c>
      <c r="AE19" s="28">
        <f>subQ!AE13</f>
        <v/>
      </c>
      <c r="AF19" s="27" t="n">
        <v>0</v>
      </c>
      <c r="AG19" s="27" t="n">
        <v>0</v>
      </c>
      <c r="AH19" s="27" t="n">
        <v>0</v>
      </c>
      <c r="AI19" s="27" t="n">
        <v>0</v>
      </c>
      <c r="AJ19" s="28">
        <f>subQ!AJ13</f>
        <v/>
      </c>
      <c r="AK19" s="27" t="n">
        <v>0</v>
      </c>
      <c r="AL19" s="27" t="n">
        <v>0</v>
      </c>
      <c r="AM19" s="27" t="n">
        <v>0</v>
      </c>
      <c r="AN19" s="27" t="n">
        <v>0</v>
      </c>
      <c r="AO19" s="28">
        <f>subQ!AO13</f>
        <v/>
      </c>
    </row>
    <row r="20">
      <c r="A20" s="12" t="inlineStr">
        <is>
          <t>drv:파생상품손익</t>
        </is>
      </c>
      <c r="B20" s="2" t="inlineStr">
        <is>
          <t>abs</t>
        </is>
      </c>
      <c r="C20" t="inlineStr">
        <is>
          <t>파생상품손익 (가정, 억원)</t>
        </is>
      </c>
      <c r="E20" s="24">
        <f>subQ!E14</f>
        <v/>
      </c>
      <c r="F20" s="25">
        <f>subQ!F14</f>
        <v/>
      </c>
      <c r="G20" s="24">
        <f>subQ!G14</f>
        <v/>
      </c>
      <c r="H20" s="24">
        <f>subQ!H14</f>
        <v/>
      </c>
      <c r="I20" s="24">
        <f>subQ!I14</f>
        <v/>
      </c>
      <c r="J20" s="24">
        <f>subQ!J14</f>
        <v/>
      </c>
      <c r="K20" s="25">
        <f>subQ!K14</f>
        <v/>
      </c>
      <c r="L20" s="24">
        <f>subQ!L14</f>
        <v/>
      </c>
      <c r="M20" s="24">
        <f>subQ!M14</f>
        <v/>
      </c>
      <c r="N20" s="24">
        <f>subQ!N14</f>
        <v/>
      </c>
      <c r="O20" s="24">
        <f>subQ!O14</f>
        <v/>
      </c>
      <c r="P20" s="25">
        <f>subQ!P14</f>
        <v/>
      </c>
      <c r="Q20" s="24">
        <f>subQ!Q14</f>
        <v/>
      </c>
      <c r="R20" s="24">
        <f>subQ!R14</f>
        <v/>
      </c>
      <c r="S20" s="24">
        <f>subQ!S14</f>
        <v/>
      </c>
      <c r="T20" s="24">
        <f>subQ!T14</f>
        <v/>
      </c>
      <c r="U20" s="25">
        <f>subQ!U14</f>
        <v/>
      </c>
      <c r="V20" s="24">
        <f>subQ!V14</f>
        <v/>
      </c>
      <c r="W20" s="24">
        <f>subQ!W14</f>
        <v/>
      </c>
      <c r="X20" s="26">
        <f>subQ!X14</f>
        <v/>
      </c>
      <c r="Y20" s="27" t="n">
        <v>0</v>
      </c>
      <c r="Z20" s="28">
        <f>subQ!Z14</f>
        <v/>
      </c>
      <c r="AA20" s="27" t="n">
        <v>0</v>
      </c>
      <c r="AB20" s="27" t="n">
        <v>0</v>
      </c>
      <c r="AC20" s="27" t="n">
        <v>0</v>
      </c>
      <c r="AD20" s="27" t="n">
        <v>0</v>
      </c>
      <c r="AE20" s="28">
        <f>subQ!AE14</f>
        <v/>
      </c>
      <c r="AF20" s="27" t="n">
        <v>0</v>
      </c>
      <c r="AG20" s="27" t="n">
        <v>0</v>
      </c>
      <c r="AH20" s="27" t="n">
        <v>0</v>
      </c>
      <c r="AI20" s="27" t="n">
        <v>0</v>
      </c>
      <c r="AJ20" s="28">
        <f>subQ!AJ14</f>
        <v/>
      </c>
      <c r="AK20" s="27" t="n">
        <v>0</v>
      </c>
      <c r="AL20" s="27" t="n">
        <v>0</v>
      </c>
      <c r="AM20" s="27" t="n">
        <v>0</v>
      </c>
      <c r="AN20" s="27" t="n">
        <v>0</v>
      </c>
      <c r="AO20" s="28">
        <f>subQ!AO14</f>
        <v/>
      </c>
    </row>
    <row r="21">
      <c r="A21" s="12" t="inlineStr">
        <is>
          <t>drv:기타금융손익</t>
        </is>
      </c>
      <c r="B21" s="2" t="inlineStr">
        <is>
          <t>abs</t>
        </is>
      </c>
      <c r="C21" t="inlineStr">
        <is>
          <t>기타금융손익 (가정, 억원)</t>
        </is>
      </c>
      <c r="E21" s="24">
        <f>subQ!E15</f>
        <v/>
      </c>
      <c r="F21" s="25">
        <f>subQ!F15</f>
        <v/>
      </c>
      <c r="G21" s="24">
        <f>subQ!G15</f>
        <v/>
      </c>
      <c r="H21" s="24">
        <f>subQ!H15</f>
        <v/>
      </c>
      <c r="I21" s="24">
        <f>subQ!I15</f>
        <v/>
      </c>
      <c r="J21" s="24">
        <f>subQ!J15</f>
        <v/>
      </c>
      <c r="K21" s="25">
        <f>subQ!K15</f>
        <v/>
      </c>
      <c r="L21" s="24">
        <f>subQ!L15</f>
        <v/>
      </c>
      <c r="M21" s="24">
        <f>subQ!M15</f>
        <v/>
      </c>
      <c r="N21" s="24">
        <f>subQ!N15</f>
        <v/>
      </c>
      <c r="O21" s="24">
        <f>subQ!O15</f>
        <v/>
      </c>
      <c r="P21" s="25">
        <f>subQ!P15</f>
        <v/>
      </c>
      <c r="Q21" s="24">
        <f>subQ!Q15</f>
        <v/>
      </c>
      <c r="R21" s="24">
        <f>subQ!R15</f>
        <v/>
      </c>
      <c r="S21" s="24">
        <f>subQ!S15</f>
        <v/>
      </c>
      <c r="T21" s="24">
        <f>subQ!T15</f>
        <v/>
      </c>
      <c r="U21" s="25">
        <f>subQ!U15</f>
        <v/>
      </c>
      <c r="V21" s="24">
        <f>subQ!V15</f>
        <v/>
      </c>
      <c r="W21" s="24">
        <f>subQ!W15</f>
        <v/>
      </c>
      <c r="X21" s="26">
        <f>subQ!X15</f>
        <v/>
      </c>
      <c r="Y21" s="27" t="n">
        <v>0</v>
      </c>
      <c r="Z21" s="28">
        <f>subQ!Z15</f>
        <v/>
      </c>
      <c r="AA21" s="27" t="n">
        <v>0</v>
      </c>
      <c r="AB21" s="27" t="n">
        <v>0</v>
      </c>
      <c r="AC21" s="27" t="n">
        <v>0</v>
      </c>
      <c r="AD21" s="27" t="n">
        <v>0</v>
      </c>
      <c r="AE21" s="28">
        <f>subQ!AE15</f>
        <v/>
      </c>
      <c r="AF21" s="27" t="n">
        <v>0</v>
      </c>
      <c r="AG21" s="27" t="n">
        <v>0</v>
      </c>
      <c r="AH21" s="27" t="n">
        <v>0</v>
      </c>
      <c r="AI21" s="27" t="n">
        <v>0</v>
      </c>
      <c r="AJ21" s="28">
        <f>subQ!AJ15</f>
        <v/>
      </c>
      <c r="AK21" s="27" t="n">
        <v>0</v>
      </c>
      <c r="AL21" s="27" t="n">
        <v>0</v>
      </c>
      <c r="AM21" s="27" t="n">
        <v>0</v>
      </c>
      <c r="AN21" s="27" t="n">
        <v>0</v>
      </c>
      <c r="AO21" s="28">
        <f>subQ!AO15</f>
        <v/>
      </c>
    </row>
    <row r="22">
      <c r="A22" s="12" t="inlineStr">
        <is>
          <t>drv:기타영업외손익</t>
        </is>
      </c>
      <c r="B22" s="2" t="inlineStr">
        <is>
          <t>abs</t>
        </is>
      </c>
      <c r="C22" t="inlineStr">
        <is>
          <t>기타영업외손익 (가정, 억원)</t>
        </is>
      </c>
      <c r="E22" s="24">
        <f>subQ!E16</f>
        <v/>
      </c>
      <c r="F22" s="25">
        <f>subQ!F16</f>
        <v/>
      </c>
      <c r="G22" s="24">
        <f>subQ!G16</f>
        <v/>
      </c>
      <c r="H22" s="24">
        <f>subQ!H16</f>
        <v/>
      </c>
      <c r="I22" s="24">
        <f>subQ!I16</f>
        <v/>
      </c>
      <c r="J22" s="24">
        <f>subQ!J16</f>
        <v/>
      </c>
      <c r="K22" s="25">
        <f>subQ!K16</f>
        <v/>
      </c>
      <c r="L22" s="24">
        <f>subQ!L16</f>
        <v/>
      </c>
      <c r="M22" s="24">
        <f>subQ!M16</f>
        <v/>
      </c>
      <c r="N22" s="24">
        <f>subQ!N16</f>
        <v/>
      </c>
      <c r="O22" s="24">
        <f>subQ!O16</f>
        <v/>
      </c>
      <c r="P22" s="25">
        <f>subQ!P16</f>
        <v/>
      </c>
      <c r="Q22" s="24">
        <f>subQ!Q16</f>
        <v/>
      </c>
      <c r="R22" s="24">
        <f>subQ!R16</f>
        <v/>
      </c>
      <c r="S22" s="24">
        <f>subQ!S16</f>
        <v/>
      </c>
      <c r="T22" s="24">
        <f>subQ!T16</f>
        <v/>
      </c>
      <c r="U22" s="25">
        <f>subQ!U16</f>
        <v/>
      </c>
      <c r="V22" s="24">
        <f>subQ!V16</f>
        <v/>
      </c>
      <c r="W22" s="24">
        <f>subQ!W16</f>
        <v/>
      </c>
      <c r="X22" s="26">
        <f>subQ!X16</f>
        <v/>
      </c>
      <c r="Y22" s="27" t="n">
        <v>0</v>
      </c>
      <c r="Z22" s="28">
        <f>subQ!Z16</f>
        <v/>
      </c>
      <c r="AA22" s="27" t="n">
        <v>0</v>
      </c>
      <c r="AB22" s="27" t="n">
        <v>0</v>
      </c>
      <c r="AC22" s="27" t="n">
        <v>0</v>
      </c>
      <c r="AD22" s="27" t="n">
        <v>0</v>
      </c>
      <c r="AE22" s="28">
        <f>subQ!AE16</f>
        <v/>
      </c>
      <c r="AF22" s="27" t="n">
        <v>0</v>
      </c>
      <c r="AG22" s="27" t="n">
        <v>0</v>
      </c>
      <c r="AH22" s="27" t="n">
        <v>0</v>
      </c>
      <c r="AI22" s="27" t="n">
        <v>0</v>
      </c>
      <c r="AJ22" s="28">
        <f>subQ!AJ16</f>
        <v/>
      </c>
      <c r="AK22" s="27" t="n">
        <v>0</v>
      </c>
      <c r="AL22" s="27" t="n">
        <v>0</v>
      </c>
      <c r="AM22" s="27" t="n">
        <v>0</v>
      </c>
      <c r="AN22" s="27" t="n">
        <v>0</v>
      </c>
      <c r="AO22" s="28">
        <f>subQ!AO16</f>
        <v/>
      </c>
    </row>
    <row r="23">
      <c r="A23" s="12" t="inlineStr">
        <is>
          <t>drv:법인세비용</t>
        </is>
      </c>
      <c r="B23" s="2" t="inlineStr">
        <is>
          <t>tax</t>
        </is>
      </c>
      <c r="C23" t="inlineStr">
        <is>
          <t>법인세율(/세전) — 법인세 = MAX(세전,0) × 세율</t>
        </is>
      </c>
      <c r="E23" s="18">
        <f>IFERROR(subQ!E18/subQ!E17,"")</f>
        <v/>
      </c>
      <c r="F23" s="19">
        <f>IFERROR(subQ!F18/subQ!F17,"")</f>
        <v/>
      </c>
      <c r="G23" s="18">
        <f>IFERROR(subQ!G18/subQ!G17,"")</f>
        <v/>
      </c>
      <c r="H23" s="18">
        <f>IFERROR(subQ!H18/subQ!H17,"")</f>
        <v/>
      </c>
      <c r="I23" s="18">
        <f>IFERROR(subQ!I18/subQ!I17,"")</f>
        <v/>
      </c>
      <c r="J23" s="18">
        <f>IFERROR(subQ!J18/subQ!J17,"")</f>
        <v/>
      </c>
      <c r="K23" s="19">
        <f>IFERROR(subQ!K18/subQ!K17,"")</f>
        <v/>
      </c>
      <c r="L23" s="18">
        <f>IFERROR(subQ!L18/subQ!L17,"")</f>
        <v/>
      </c>
      <c r="M23" s="18">
        <f>IFERROR(subQ!M18/subQ!M17,"")</f>
        <v/>
      </c>
      <c r="N23" s="18">
        <f>IFERROR(subQ!N18/subQ!N17,"")</f>
        <v/>
      </c>
      <c r="O23" s="18">
        <f>IFERROR(subQ!O18/subQ!O17,"")</f>
        <v/>
      </c>
      <c r="P23" s="19">
        <f>IFERROR(subQ!P18/subQ!P17,"")</f>
        <v/>
      </c>
      <c r="Q23" s="18">
        <f>IFERROR(subQ!Q18/subQ!Q17,"")</f>
        <v/>
      </c>
      <c r="R23" s="18">
        <f>IFERROR(subQ!R18/subQ!R17,"")</f>
        <v/>
      </c>
      <c r="S23" s="18">
        <f>IFERROR(subQ!S18/subQ!S17,"")</f>
        <v/>
      </c>
      <c r="T23" s="18">
        <f>IFERROR(subQ!T18/subQ!T17,"")</f>
        <v/>
      </c>
      <c r="U23" s="19">
        <f>IFERROR(subQ!U18/subQ!U17,"")</f>
        <v/>
      </c>
      <c r="V23" s="18">
        <f>IFERROR(subQ!V18/subQ!V17,"")</f>
        <v/>
      </c>
      <c r="W23" s="18">
        <f>IFERROR(subQ!W18/subQ!W17,"")</f>
        <v/>
      </c>
      <c r="X23" s="20">
        <f>IFERROR(subQ!X18/subQ!X17,"")</f>
        <v/>
      </c>
      <c r="Y23" s="23">
        <f>$D$45</f>
        <v/>
      </c>
      <c r="Z23" s="22">
        <f>IFERROR(subQ!Z18/subQ!Z17,"")</f>
        <v/>
      </c>
      <c r="AA23" s="23">
        <f>$D$45</f>
        <v/>
      </c>
      <c r="AB23" s="23">
        <f>$D$45</f>
        <v/>
      </c>
      <c r="AC23" s="23">
        <f>$D$45</f>
        <v/>
      </c>
      <c r="AD23" s="23">
        <f>$D$45</f>
        <v/>
      </c>
      <c r="AE23" s="22">
        <f>IFERROR(subQ!AE18/subQ!AE17,"")</f>
        <v/>
      </c>
      <c r="AF23" s="23">
        <f>$D$45</f>
        <v/>
      </c>
      <c r="AG23" s="23">
        <f>$D$45</f>
        <v/>
      </c>
      <c r="AH23" s="23">
        <f>$D$45</f>
        <v/>
      </c>
      <c r="AI23" s="23">
        <f>$D$45</f>
        <v/>
      </c>
      <c r="AJ23" s="22">
        <f>IFERROR(subQ!AJ18/subQ!AJ17,"")</f>
        <v/>
      </c>
      <c r="AK23" s="23">
        <f>$D$45</f>
        <v/>
      </c>
      <c r="AL23" s="23">
        <f>$D$45</f>
        <v/>
      </c>
      <c r="AM23" s="23">
        <f>$D$45</f>
        <v/>
      </c>
      <c r="AN23" s="23">
        <f>$D$45</f>
        <v/>
      </c>
      <c r="AO23" s="22">
        <f>IFERROR(subQ!AO18/subQ!AO17,"")</f>
        <v/>
      </c>
    </row>
    <row r="24">
      <c r="A24" s="12" t="inlineStr">
        <is>
          <t>drv:지배주주순이익</t>
        </is>
      </c>
      <c r="B24" s="2" t="inlineStr">
        <is>
          <t>ratio</t>
        </is>
      </c>
      <c r="C24" t="inlineStr">
        <is>
          <t>지배주주 비중(/당기순이익)</t>
        </is>
      </c>
      <c r="E24" s="18">
        <f>IFERROR(subQ!E20/subQ!E19,"")</f>
        <v/>
      </c>
      <c r="F24" s="19">
        <f>IFERROR(subQ!F20/subQ!F19,"")</f>
        <v/>
      </c>
      <c r="G24" s="18">
        <f>IFERROR(subQ!G20/subQ!G19,"")</f>
        <v/>
      </c>
      <c r="H24" s="18">
        <f>IFERROR(subQ!H20/subQ!H19,"")</f>
        <v/>
      </c>
      <c r="I24" s="18">
        <f>IFERROR(subQ!I20/subQ!I19,"")</f>
        <v/>
      </c>
      <c r="J24" s="18">
        <f>IFERROR(subQ!J20/subQ!J19,"")</f>
        <v/>
      </c>
      <c r="K24" s="19">
        <f>IFERROR(subQ!K20/subQ!K19,"")</f>
        <v/>
      </c>
      <c r="L24" s="18">
        <f>IFERROR(subQ!L20/subQ!L19,"")</f>
        <v/>
      </c>
      <c r="M24" s="18">
        <f>IFERROR(subQ!M20/subQ!M19,"")</f>
        <v/>
      </c>
      <c r="N24" s="18">
        <f>IFERROR(subQ!N20/subQ!N19,"")</f>
        <v/>
      </c>
      <c r="O24" s="18">
        <f>IFERROR(subQ!O20/subQ!O19,"")</f>
        <v/>
      </c>
      <c r="P24" s="19">
        <f>IFERROR(subQ!P20/subQ!P19,"")</f>
        <v/>
      </c>
      <c r="Q24" s="18">
        <f>IFERROR(subQ!Q20/subQ!Q19,"")</f>
        <v/>
      </c>
      <c r="R24" s="18">
        <f>IFERROR(subQ!R20/subQ!R19,"")</f>
        <v/>
      </c>
      <c r="S24" s="18">
        <f>IFERROR(subQ!S20/subQ!S19,"")</f>
        <v/>
      </c>
      <c r="T24" s="18">
        <f>IFERROR(subQ!T20/subQ!T19,"")</f>
        <v/>
      </c>
      <c r="U24" s="19">
        <f>IFERROR(subQ!U20/subQ!U19,"")</f>
        <v/>
      </c>
      <c r="V24" s="18">
        <f>IFERROR(subQ!V20/subQ!V19,"")</f>
        <v/>
      </c>
      <c r="W24" s="18">
        <f>IFERROR(subQ!W20/subQ!W19,"")</f>
        <v/>
      </c>
      <c r="X24" s="20">
        <f>IFERROR(subQ!X20/subQ!X19,"")</f>
        <v/>
      </c>
      <c r="Y24" s="23">
        <f>$D$47</f>
        <v/>
      </c>
      <c r="Z24" s="22">
        <f>IFERROR(subQ!Z20/subQ!Z19,"")</f>
        <v/>
      </c>
      <c r="AA24" s="23">
        <f>$D$47</f>
        <v/>
      </c>
      <c r="AB24" s="23">
        <f>$D$47</f>
        <v/>
      </c>
      <c r="AC24" s="23">
        <f>$D$47</f>
        <v/>
      </c>
      <c r="AD24" s="23">
        <f>$D$47</f>
        <v/>
      </c>
      <c r="AE24" s="22">
        <f>IFERROR(subQ!AE20/subQ!AE19,"")</f>
        <v/>
      </c>
      <c r="AF24" s="23">
        <f>$D$47</f>
        <v/>
      </c>
      <c r="AG24" s="23">
        <f>$D$47</f>
        <v/>
      </c>
      <c r="AH24" s="23">
        <f>$D$47</f>
        <v/>
      </c>
      <c r="AI24" s="23">
        <f>$D$47</f>
        <v/>
      </c>
      <c r="AJ24" s="22">
        <f>IFERROR(subQ!AJ20/subQ!AJ19,"")</f>
        <v/>
      </c>
      <c r="AK24" s="23">
        <f>$D$47</f>
        <v/>
      </c>
      <c r="AL24" s="23">
        <f>$D$47</f>
        <v/>
      </c>
      <c r="AM24" s="23">
        <f>$D$47</f>
        <v/>
      </c>
      <c r="AN24" s="23">
        <f>$D$47</f>
        <v/>
      </c>
      <c r="AO24" s="22">
        <f>IFERROR(subQ!AO20/subQ!AO19,"")</f>
        <v/>
      </c>
    </row>
    <row r="25">
      <c r="A25" s="12" t="inlineStr">
        <is>
          <t>drv:부채총계</t>
        </is>
      </c>
      <c r="B25" s="2" t="inlineStr">
        <is>
          <t>qoq</t>
        </is>
      </c>
      <c r="C25" t="inlineStr">
        <is>
          <t>부채총계 QoQ</t>
        </is>
      </c>
      <c r="E25" s="18" t="n"/>
      <c r="F25" s="19" t="n"/>
      <c r="G25" s="18">
        <f>IFERROR(subQ!G22/subQ!E22-1,"")</f>
        <v/>
      </c>
      <c r="H25" s="18">
        <f>IFERROR(subQ!H22/subQ!G22-1,"")</f>
        <v/>
      </c>
      <c r="I25" s="18">
        <f>IFERROR(subQ!I22/subQ!H22-1,"")</f>
        <v/>
      </c>
      <c r="J25" s="18">
        <f>IFERROR(subQ!J22/subQ!I22-1,"")</f>
        <v/>
      </c>
      <c r="K25" s="19" t="n"/>
      <c r="L25" s="18">
        <f>IFERROR(subQ!L22/subQ!J22-1,"")</f>
        <v/>
      </c>
      <c r="M25" s="18">
        <f>IFERROR(subQ!M22/subQ!L22-1,"")</f>
        <v/>
      </c>
      <c r="N25" s="18">
        <f>IFERROR(subQ!N22/subQ!M22-1,"")</f>
        <v/>
      </c>
      <c r="O25" s="18">
        <f>IFERROR(subQ!O22/subQ!N22-1,"")</f>
        <v/>
      </c>
      <c r="P25" s="19" t="n"/>
      <c r="Q25" s="18">
        <f>IFERROR(subQ!Q22/subQ!O22-1,"")</f>
        <v/>
      </c>
      <c r="R25" s="18">
        <f>IFERROR(subQ!R22/subQ!Q22-1,"")</f>
        <v/>
      </c>
      <c r="S25" s="18">
        <f>IFERROR(subQ!S22/subQ!R22-1,"")</f>
        <v/>
      </c>
      <c r="T25" s="18">
        <f>IFERROR(subQ!T22/subQ!S22-1,"")</f>
        <v/>
      </c>
      <c r="U25" s="19" t="n"/>
      <c r="V25" s="18">
        <f>IFERROR(subQ!V22/subQ!T22-1,"")</f>
        <v/>
      </c>
      <c r="W25" s="18">
        <f>IFERROR(subQ!W22/subQ!V22-1,"")</f>
        <v/>
      </c>
      <c r="X25" s="20">
        <f>IFERROR(subQ!X22/subQ!W22-1,"")</f>
        <v/>
      </c>
      <c r="Y25" s="21" t="n">
        <v>-2.5e-08</v>
      </c>
      <c r="Z25" s="22" t="n"/>
      <c r="AA25" s="21" t="n">
        <v>0</v>
      </c>
      <c r="AB25" s="21" t="n">
        <v>0</v>
      </c>
      <c r="AC25" s="21" t="n">
        <v>0</v>
      </c>
      <c r="AD25" s="21" t="n">
        <v>0</v>
      </c>
      <c r="AE25" s="22" t="n"/>
      <c r="AF25" s="21" t="n">
        <v>0</v>
      </c>
      <c r="AG25" s="21" t="n">
        <v>0</v>
      </c>
      <c r="AH25" s="21" t="n">
        <v>0</v>
      </c>
      <c r="AI25" s="21" t="n">
        <v>0</v>
      </c>
      <c r="AJ25" s="22" t="n"/>
      <c r="AK25" s="21" t="n">
        <v>0</v>
      </c>
      <c r="AL25" s="21" t="n">
        <v>0</v>
      </c>
      <c r="AM25" s="21" t="n">
        <v>0</v>
      </c>
      <c r="AN25" s="21" t="n">
        <v>0</v>
      </c>
      <c r="AO25" s="22" t="n"/>
    </row>
    <row r="26">
      <c r="A26" s="12" t="inlineStr">
        <is>
          <t>drv:자본총계</t>
        </is>
      </c>
      <c r="B26" s="2" t="inlineStr">
        <is>
          <t>roll</t>
        </is>
      </c>
      <c r="C26" t="inlineStr">
        <is>
          <t>자본총계 기타변동(배당 등, 억원)</t>
        </is>
      </c>
      <c r="E26" s="24" t="n"/>
      <c r="F26" s="25" t="n"/>
      <c r="G26" s="24">
        <f>IFERROR(subQ!E23+subQ!G19-subQ!G23,"")</f>
        <v/>
      </c>
      <c r="H26" s="24">
        <f>IFERROR(subQ!G23+subQ!H19-subQ!H23,"")</f>
        <v/>
      </c>
      <c r="I26" s="24">
        <f>IFERROR(subQ!H23+subQ!I19-subQ!I23,"")</f>
        <v/>
      </c>
      <c r="J26" s="24">
        <f>IFERROR(subQ!I23+subQ!J19-subQ!J23,"")</f>
        <v/>
      </c>
      <c r="K26" s="25" t="n"/>
      <c r="L26" s="24">
        <f>IFERROR(subQ!J23+subQ!L19-subQ!L23,"")</f>
        <v/>
      </c>
      <c r="M26" s="24">
        <f>IFERROR(subQ!L23+subQ!M19-subQ!M23,"")</f>
        <v/>
      </c>
      <c r="N26" s="24">
        <f>IFERROR(subQ!M23+subQ!N19-subQ!N23,"")</f>
        <v/>
      </c>
      <c r="O26" s="24">
        <f>IFERROR(subQ!N23+subQ!O19-subQ!O23,"")</f>
        <v/>
      </c>
      <c r="P26" s="25" t="n"/>
      <c r="Q26" s="24">
        <f>IFERROR(subQ!O23+subQ!Q19-subQ!Q23,"")</f>
        <v/>
      </c>
      <c r="R26" s="24">
        <f>IFERROR(subQ!Q23+subQ!R19-subQ!R23,"")</f>
        <v/>
      </c>
      <c r="S26" s="24">
        <f>IFERROR(subQ!R23+subQ!S19-subQ!S23,"")</f>
        <v/>
      </c>
      <c r="T26" s="24">
        <f>IFERROR(subQ!S23+subQ!T19-subQ!T23,"")</f>
        <v/>
      </c>
      <c r="U26" s="25" t="n"/>
      <c r="V26" s="24">
        <f>IFERROR(subQ!T23+subQ!V19-subQ!V23,"")</f>
        <v/>
      </c>
      <c r="W26" s="24">
        <f>IFERROR(subQ!V23+subQ!W19-subQ!W23,"")</f>
        <v/>
      </c>
      <c r="X26" s="26">
        <f>IFERROR(subQ!W23+subQ!X19-subQ!X23,"")</f>
        <v/>
      </c>
      <c r="Y26" s="27" t="n">
        <v>0.002806108</v>
      </c>
      <c r="Z26" s="28" t="n"/>
      <c r="AA26" s="27" t="n">
        <v>-0.001078958</v>
      </c>
      <c r="AB26" s="27" t="n">
        <v>283.176893476</v>
      </c>
      <c r="AC26" s="27" t="n">
        <v>0.005629916</v>
      </c>
      <c r="AD26" s="27" t="n">
        <v>0.001086456</v>
      </c>
      <c r="AE26" s="28" t="n"/>
      <c r="AF26" s="27" t="n">
        <v>0.001173254</v>
      </c>
      <c r="AG26" s="27" t="n">
        <v>283.174546621</v>
      </c>
      <c r="AH26" s="27" t="n">
        <v>0.004787964</v>
      </c>
      <c r="AI26" s="27" t="n">
        <v>-0.004284398</v>
      </c>
      <c r="AJ26" s="28" t="n"/>
      <c r="AK26" s="27" t="n">
        <v>-0.003726089</v>
      </c>
      <c r="AL26" s="27" t="n">
        <v>283.178793099</v>
      </c>
      <c r="AM26" s="27" t="n">
        <v>-0.006460781</v>
      </c>
      <c r="AN26" s="27" t="n">
        <v>0.002151024</v>
      </c>
      <c r="AO26" s="28" t="n"/>
    </row>
    <row r="27">
      <c r="A27" s="12" t="inlineStr">
        <is>
          <t>drv:지배주주지분</t>
        </is>
      </c>
      <c r="B27" s="2" t="inlineStr">
        <is>
          <t>roll</t>
        </is>
      </c>
      <c r="C27" t="inlineStr">
        <is>
          <t>지배주주지분 기타변동(배당 등, 억원)</t>
        </is>
      </c>
      <c r="E27" s="24" t="n"/>
      <c r="F27" s="25" t="n"/>
      <c r="G27" s="24">
        <f>IFERROR(subQ!E24+subQ!G20-subQ!G24,"")</f>
        <v/>
      </c>
      <c r="H27" s="24">
        <f>IFERROR(subQ!G24+subQ!H20-subQ!H24,"")</f>
        <v/>
      </c>
      <c r="I27" s="24">
        <f>IFERROR(subQ!H24+subQ!I20-subQ!I24,"")</f>
        <v/>
      </c>
      <c r="J27" s="24">
        <f>IFERROR(subQ!I24+subQ!J20-subQ!J24,"")</f>
        <v/>
      </c>
      <c r="K27" s="25" t="n"/>
      <c r="L27" s="24">
        <f>IFERROR(subQ!J24+subQ!L20-subQ!L24,"")</f>
        <v/>
      </c>
      <c r="M27" s="24">
        <f>IFERROR(subQ!L24+subQ!M20-subQ!M24,"")</f>
        <v/>
      </c>
      <c r="N27" s="24">
        <f>IFERROR(subQ!M24+subQ!N20-subQ!N24,"")</f>
        <v/>
      </c>
      <c r="O27" s="24">
        <f>IFERROR(subQ!N24+subQ!O20-subQ!O24,"")</f>
        <v/>
      </c>
      <c r="P27" s="25" t="n"/>
      <c r="Q27" s="24">
        <f>IFERROR(subQ!O24+subQ!Q20-subQ!Q24,"")</f>
        <v/>
      </c>
      <c r="R27" s="24">
        <f>IFERROR(subQ!Q24+subQ!R20-subQ!R24,"")</f>
        <v/>
      </c>
      <c r="S27" s="24">
        <f>IFERROR(subQ!R24+subQ!S20-subQ!S24,"")</f>
        <v/>
      </c>
      <c r="T27" s="24">
        <f>IFERROR(subQ!S24+subQ!T20-subQ!T24,"")</f>
        <v/>
      </c>
      <c r="U27" s="25" t="n"/>
      <c r="V27" s="24">
        <f>IFERROR(subQ!T24+subQ!V20-subQ!V24,"")</f>
        <v/>
      </c>
      <c r="W27" s="24">
        <f>IFERROR(subQ!V24+subQ!W20-subQ!W24,"")</f>
        <v/>
      </c>
      <c r="X27" s="26">
        <f>IFERROR(subQ!W24+subQ!X20-subQ!X24,"")</f>
        <v/>
      </c>
      <c r="Y27" s="27" t="n">
        <v>-0.003836385</v>
      </c>
      <c r="Z27" s="28" t="n"/>
      <c r="AA27" s="27" t="n">
        <v>0.00150822</v>
      </c>
      <c r="AB27" s="27" t="n">
        <v>283.175060739</v>
      </c>
      <c r="AC27" s="27" t="n">
        <v>-0.003643787</v>
      </c>
      <c r="AD27" s="27" t="n">
        <v>0.002376847</v>
      </c>
      <c r="AE27" s="28" t="n"/>
      <c r="AF27" s="27" t="n">
        <v>-0.000156885</v>
      </c>
      <c r="AG27" s="27" t="n">
        <v>283.169703415</v>
      </c>
      <c r="AH27" s="27" t="n">
        <v>0.001394517</v>
      </c>
      <c r="AI27" s="27" t="n">
        <v>-0.00070735</v>
      </c>
      <c r="AJ27" s="28" t="n"/>
      <c r="AK27" s="27" t="n">
        <v>-0.006595615</v>
      </c>
      <c r="AL27" s="27" t="n">
        <v>283.175349117</v>
      </c>
      <c r="AM27" s="27" t="n">
        <v>-0.002641363</v>
      </c>
      <c r="AN27" s="27" t="n">
        <v>-0.007052824</v>
      </c>
      <c r="AO27" s="28" t="n"/>
    </row>
    <row r="28">
      <c r="A28" s="12" t="inlineStr">
        <is>
          <t>drv:총차입금</t>
        </is>
      </c>
      <c r="B28" s="2" t="inlineStr">
        <is>
          <t>qoq</t>
        </is>
      </c>
      <c r="C28" t="inlineStr">
        <is>
          <t>총차입금 QoQ</t>
        </is>
      </c>
      <c r="E28" s="18" t="n"/>
      <c r="F28" s="19" t="n"/>
      <c r="G28" s="18">
        <f>IFERROR(subQ!G25/subQ!E25-1,"")</f>
        <v/>
      </c>
      <c r="H28" s="18">
        <f>IFERROR(subQ!H25/subQ!G25-1,"")</f>
        <v/>
      </c>
      <c r="I28" s="18">
        <f>IFERROR(subQ!I25/subQ!H25-1,"")</f>
        <v/>
      </c>
      <c r="J28" s="18">
        <f>IFERROR(subQ!J25/subQ!I25-1,"")</f>
        <v/>
      </c>
      <c r="K28" s="19" t="n"/>
      <c r="L28" s="18">
        <f>IFERROR(subQ!L25/subQ!J25-1,"")</f>
        <v/>
      </c>
      <c r="M28" s="18">
        <f>IFERROR(subQ!M25/subQ!L25-1,"")</f>
        <v/>
      </c>
      <c r="N28" s="18">
        <f>IFERROR(subQ!N25/subQ!M25-1,"")</f>
        <v/>
      </c>
      <c r="O28" s="18">
        <f>IFERROR(subQ!O25/subQ!N25-1,"")</f>
        <v/>
      </c>
      <c r="P28" s="19" t="n"/>
      <c r="Q28" s="18">
        <f>IFERROR(subQ!Q25/subQ!O25-1,"")</f>
        <v/>
      </c>
      <c r="R28" s="18">
        <f>IFERROR(subQ!R25/subQ!Q25-1,"")</f>
        <v/>
      </c>
      <c r="S28" s="18">
        <f>IFERROR(subQ!S25/subQ!R25-1,"")</f>
        <v/>
      </c>
      <c r="T28" s="18">
        <f>IFERROR(subQ!T25/subQ!S25-1,"")</f>
        <v/>
      </c>
      <c r="U28" s="19" t="n"/>
      <c r="V28" s="18">
        <f>IFERROR(subQ!V25/subQ!T25-1,"")</f>
        <v/>
      </c>
      <c r="W28" s="18">
        <f>IFERROR(subQ!W25/subQ!V25-1,"")</f>
        <v/>
      </c>
      <c r="X28" s="20">
        <f>IFERROR(subQ!X25/subQ!W25-1,"")</f>
        <v/>
      </c>
      <c r="Y28" s="21" t="n">
        <v>3.766e-06</v>
      </c>
      <c r="Z28" s="22" t="n"/>
      <c r="AA28" s="21" t="n">
        <v>0</v>
      </c>
      <c r="AB28" s="21" t="n">
        <v>0</v>
      </c>
      <c r="AC28" s="21" t="n">
        <v>0</v>
      </c>
      <c r="AD28" s="21" t="n">
        <v>0</v>
      </c>
      <c r="AE28" s="22" t="n"/>
      <c r="AF28" s="21" t="n">
        <v>0</v>
      </c>
      <c r="AG28" s="21" t="n">
        <v>0</v>
      </c>
      <c r="AH28" s="21" t="n">
        <v>0</v>
      </c>
      <c r="AI28" s="21" t="n">
        <v>0</v>
      </c>
      <c r="AJ28" s="22" t="n"/>
      <c r="AK28" s="21" t="n">
        <v>0</v>
      </c>
      <c r="AL28" s="21" t="n">
        <v>0</v>
      </c>
      <c r="AM28" s="21" t="n">
        <v>0</v>
      </c>
      <c r="AN28" s="21" t="n">
        <v>0</v>
      </c>
      <c r="AO28" s="22" t="n"/>
    </row>
    <row r="29">
      <c r="A29" s="12" t="inlineStr">
        <is>
          <t>drv:순차입금</t>
        </is>
      </c>
      <c r="B29" s="2" t="inlineStr">
        <is>
          <t>qoq</t>
        </is>
      </c>
      <c r="C29" t="inlineStr">
        <is>
          <t>순차입금 QoQ</t>
        </is>
      </c>
      <c r="E29" s="18" t="n"/>
      <c r="F29" s="19" t="n"/>
      <c r="G29" s="18">
        <f>IFERROR(subQ!G26/subQ!E26-1,"")</f>
        <v/>
      </c>
      <c r="H29" s="18">
        <f>IFERROR(subQ!H26/subQ!G26-1,"")</f>
        <v/>
      </c>
      <c r="I29" s="18">
        <f>IFERROR(subQ!I26/subQ!H26-1,"")</f>
        <v/>
      </c>
      <c r="J29" s="18">
        <f>IFERROR(subQ!J26/subQ!I26-1,"")</f>
        <v/>
      </c>
      <c r="K29" s="19" t="n"/>
      <c r="L29" s="18">
        <f>IFERROR(subQ!L26/subQ!J26-1,"")</f>
        <v/>
      </c>
      <c r="M29" s="18">
        <f>IFERROR(subQ!M26/subQ!L26-1,"")</f>
        <v/>
      </c>
      <c r="N29" s="18">
        <f>IFERROR(subQ!N26/subQ!M26-1,"")</f>
        <v/>
      </c>
      <c r="O29" s="18">
        <f>IFERROR(subQ!O26/subQ!N26-1,"")</f>
        <v/>
      </c>
      <c r="P29" s="19" t="n"/>
      <c r="Q29" s="18">
        <f>IFERROR(subQ!Q26/subQ!O26-1,"")</f>
        <v/>
      </c>
      <c r="R29" s="18">
        <f>IFERROR(subQ!R26/subQ!Q26-1,"")</f>
        <v/>
      </c>
      <c r="S29" s="18">
        <f>IFERROR(subQ!S26/subQ!R26-1,"")</f>
        <v/>
      </c>
      <c r="T29" s="18">
        <f>IFERROR(subQ!T26/subQ!S26-1,"")</f>
        <v/>
      </c>
      <c r="U29" s="19" t="n"/>
      <c r="V29" s="18">
        <f>IFERROR(subQ!V26/subQ!T26-1,"")</f>
        <v/>
      </c>
      <c r="W29" s="18">
        <f>IFERROR(subQ!W26/subQ!V26-1,"")</f>
        <v/>
      </c>
      <c r="X29" s="20">
        <f>IFERROR(subQ!X26/subQ!W26-1,"")</f>
        <v/>
      </c>
      <c r="Y29" s="21" t="n">
        <v>0.1023188</v>
      </c>
      <c r="Z29" s="22" t="n"/>
      <c r="AA29" s="21" t="n">
        <v>0.078361537</v>
      </c>
      <c r="AB29" s="21" t="n">
        <v>0.025950686</v>
      </c>
      <c r="AC29" s="21" t="n">
        <v>0.07793256899999999</v>
      </c>
      <c r="AD29" s="21" t="n">
        <v>0.086312002</v>
      </c>
      <c r="AE29" s="22" t="n"/>
      <c r="AF29" s="21" t="n">
        <v>0.067220142</v>
      </c>
      <c r="AG29" s="21" t="n">
        <v>0.026804075</v>
      </c>
      <c r="AH29" s="21" t="n">
        <v>0.067440209</v>
      </c>
      <c r="AI29" s="21" t="n">
        <v>0.072169434</v>
      </c>
      <c r="AJ29" s="22" t="n"/>
      <c r="AK29" s="21" t="n">
        <v>0.057091116</v>
      </c>
      <c r="AL29" s="21" t="n">
        <v>0.024995617</v>
      </c>
      <c r="AM29" s="21" t="n">
        <v>0.057862798</v>
      </c>
      <c r="AN29" s="21" t="n">
        <v>0.061044144</v>
      </c>
      <c r="AO29" s="22" t="n"/>
    </row>
    <row r="30">
      <c r="A30" s="12" t="inlineStr">
        <is>
          <t>drv:이자발생자산</t>
        </is>
      </c>
      <c r="B30" s="2" t="inlineStr">
        <is>
          <t>qoq</t>
        </is>
      </c>
      <c r="C30" t="inlineStr">
        <is>
          <t>이자발생자산 QoQ</t>
        </is>
      </c>
      <c r="E30" s="18" t="n"/>
      <c r="F30" s="19" t="n"/>
      <c r="G30" s="18">
        <f>IFERROR(subQ!G27/subQ!E27-1,"")</f>
        <v/>
      </c>
      <c r="H30" s="18">
        <f>IFERROR(subQ!H27/subQ!G27-1,"")</f>
        <v/>
      </c>
      <c r="I30" s="18">
        <f>IFERROR(subQ!I27/subQ!H27-1,"")</f>
        <v/>
      </c>
      <c r="J30" s="18">
        <f>IFERROR(subQ!J27/subQ!I27-1,"")</f>
        <v/>
      </c>
      <c r="K30" s="19" t="n"/>
      <c r="L30" s="18">
        <f>IFERROR(subQ!L27/subQ!J27-1,"")</f>
        <v/>
      </c>
      <c r="M30" s="18">
        <f>IFERROR(subQ!M27/subQ!L27-1,"")</f>
        <v/>
      </c>
      <c r="N30" s="18">
        <f>IFERROR(subQ!N27/subQ!M27-1,"")</f>
        <v/>
      </c>
      <c r="O30" s="18">
        <f>IFERROR(subQ!O27/subQ!N27-1,"")</f>
        <v/>
      </c>
      <c r="P30" s="19" t="n"/>
      <c r="Q30" s="18">
        <f>IFERROR(subQ!Q27/subQ!O27-1,"")</f>
        <v/>
      </c>
      <c r="R30" s="18">
        <f>IFERROR(subQ!R27/subQ!Q27-1,"")</f>
        <v/>
      </c>
      <c r="S30" s="18">
        <f>IFERROR(subQ!S27/subQ!R27-1,"")</f>
        <v/>
      </c>
      <c r="T30" s="18">
        <f>IFERROR(subQ!T27/subQ!S27-1,"")</f>
        <v/>
      </c>
      <c r="U30" s="19" t="n"/>
      <c r="V30" s="18">
        <f>IFERROR(subQ!V27/subQ!T27-1,"")</f>
        <v/>
      </c>
      <c r="W30" s="18">
        <f>IFERROR(subQ!W27/subQ!V27-1,"")</f>
        <v/>
      </c>
      <c r="X30" s="20">
        <f>IFERROR(subQ!X27/subQ!W27-1,"")</f>
        <v/>
      </c>
      <c r="Y30" s="21" t="n">
        <v>0.07992571699999999</v>
      </c>
      <c r="Z30" s="22" t="n"/>
      <c r="AA30" s="21" t="n">
        <v>0.062480722</v>
      </c>
      <c r="AB30" s="21" t="n">
        <v>0.021000772</v>
      </c>
      <c r="AC30" s="21" t="n">
        <v>0.063373229</v>
      </c>
      <c r="AD30" s="21" t="n">
        <v>0.071148197</v>
      </c>
      <c r="AE30" s="22" t="n"/>
      <c r="AF30" s="21" t="n">
        <v>0.056194932</v>
      </c>
      <c r="AG30" s="21" t="n">
        <v>0.022641672</v>
      </c>
      <c r="AH30" s="21" t="n">
        <v>0.057199294</v>
      </c>
      <c r="AI30" s="21" t="n">
        <v>0.061803313</v>
      </c>
      <c r="AJ30" s="22" t="n"/>
      <c r="AK30" s="21" t="n">
        <v>0.049368091</v>
      </c>
      <c r="AL30" s="21" t="n">
        <v>0.021773399</v>
      </c>
      <c r="AM30" s="21" t="n">
        <v>0.050562579</v>
      </c>
      <c r="AN30" s="21" t="n">
        <v>0.053713223</v>
      </c>
      <c r="AO30" s="22" t="n"/>
    </row>
    <row r="31">
      <c r="A31" s="12" t="inlineStr">
        <is>
          <t>drv:현금및현금성자산</t>
        </is>
      </c>
      <c r="B31" s="2" t="inlineStr">
        <is>
          <t>qoq</t>
        </is>
      </c>
      <c r="C31" t="inlineStr">
        <is>
          <t>현금및현금성자산 QoQ</t>
        </is>
      </c>
      <c r="E31" s="18" t="n"/>
      <c r="F31" s="19" t="n"/>
      <c r="G31" s="18">
        <f>IFERROR(subQ!G28/subQ!E28-1,"")</f>
        <v/>
      </c>
      <c r="H31" s="18">
        <f>IFERROR(subQ!H28/subQ!G28-1,"")</f>
        <v/>
      </c>
      <c r="I31" s="18">
        <f>IFERROR(subQ!I28/subQ!H28-1,"")</f>
        <v/>
      </c>
      <c r="J31" s="18">
        <f>IFERROR(subQ!J28/subQ!I28-1,"")</f>
        <v/>
      </c>
      <c r="K31" s="19" t="n"/>
      <c r="L31" s="18">
        <f>IFERROR(subQ!L28/subQ!J28-1,"")</f>
        <v/>
      </c>
      <c r="M31" s="18">
        <f>IFERROR(subQ!M28/subQ!L28-1,"")</f>
        <v/>
      </c>
      <c r="N31" s="18">
        <f>IFERROR(subQ!N28/subQ!M28-1,"")</f>
        <v/>
      </c>
      <c r="O31" s="18">
        <f>IFERROR(subQ!O28/subQ!N28-1,"")</f>
        <v/>
      </c>
      <c r="P31" s="19" t="n"/>
      <c r="Q31" s="18">
        <f>IFERROR(subQ!Q28/subQ!O28-1,"")</f>
        <v/>
      </c>
      <c r="R31" s="18">
        <f>IFERROR(subQ!R28/subQ!Q28-1,"")</f>
        <v/>
      </c>
      <c r="S31" s="18">
        <f>IFERROR(subQ!S28/subQ!R28-1,"")</f>
        <v/>
      </c>
      <c r="T31" s="18">
        <f>IFERROR(subQ!T28/subQ!S28-1,"")</f>
        <v/>
      </c>
      <c r="U31" s="19" t="n"/>
      <c r="V31" s="18">
        <f>IFERROR(subQ!V28/subQ!T28-1,"")</f>
        <v/>
      </c>
      <c r="W31" s="18">
        <f>IFERROR(subQ!W28/subQ!V28-1,"")</f>
        <v/>
      </c>
      <c r="X31" s="20">
        <f>IFERROR(subQ!X28/subQ!W28-1,"")</f>
        <v/>
      </c>
      <c r="Y31" s="29" t="n"/>
      <c r="Z31" s="22" t="n"/>
      <c r="AA31" s="29" t="n"/>
      <c r="AB31" s="29" t="n"/>
      <c r="AC31" s="29" t="n"/>
      <c r="AD31" s="29" t="n"/>
      <c r="AE31" s="22" t="n"/>
      <c r="AF31" s="29" t="n"/>
      <c r="AG31" s="29" t="n"/>
      <c r="AH31" s="29" t="n"/>
      <c r="AI31" s="29" t="n"/>
      <c r="AJ31" s="22" t="n"/>
      <c r="AK31" s="29" t="n"/>
      <c r="AL31" s="29" t="n"/>
      <c r="AM31" s="29" t="n"/>
      <c r="AN31" s="29" t="n"/>
      <c r="AO31" s="22" t="n"/>
    </row>
    <row r="32">
      <c r="A32" s="12" t="inlineStr">
        <is>
          <t>drv:CAPEX</t>
        </is>
      </c>
      <c r="B32" s="2" t="inlineStr">
        <is>
          <t>yoy</t>
        </is>
      </c>
      <c r="C32" t="inlineStr">
        <is>
          <t>CAPEX YoY</t>
        </is>
      </c>
      <c r="E32" s="18" t="n"/>
      <c r="F32" s="19" t="n"/>
      <c r="G32" s="18" t="n"/>
      <c r="H32" s="18" t="n"/>
      <c r="I32" s="18" t="n"/>
      <c r="J32" s="18">
        <f>IFERROR(subQ!J29/subQ!E29-1,"")</f>
        <v/>
      </c>
      <c r="K32" s="19" t="n"/>
      <c r="L32" s="18">
        <f>IFERROR(subQ!L29/subQ!G29-1,"")</f>
        <v/>
      </c>
      <c r="M32" s="18">
        <f>IFERROR(subQ!M29/subQ!H29-1,"")</f>
        <v/>
      </c>
      <c r="N32" s="18">
        <f>IFERROR(subQ!N29/subQ!I29-1,"")</f>
        <v/>
      </c>
      <c r="O32" s="18">
        <f>IFERROR(subQ!O29/subQ!J29-1,"")</f>
        <v/>
      </c>
      <c r="P32" s="19" t="n"/>
      <c r="Q32" s="18">
        <f>IFERROR(subQ!Q29/subQ!L29-1,"")</f>
        <v/>
      </c>
      <c r="R32" s="18">
        <f>IFERROR(subQ!R29/subQ!M29-1,"")</f>
        <v/>
      </c>
      <c r="S32" s="18">
        <f>IFERROR(subQ!S29/subQ!N29-1,"")</f>
        <v/>
      </c>
      <c r="T32" s="18">
        <f>IFERROR(subQ!T29/subQ!O29-1,"")</f>
        <v/>
      </c>
      <c r="U32" s="19" t="n"/>
      <c r="V32" s="18">
        <f>IFERROR(subQ!V29/subQ!Q29-1,"")</f>
        <v/>
      </c>
      <c r="W32" s="18">
        <f>IFERROR(subQ!W29/subQ!R29-1,"")</f>
        <v/>
      </c>
      <c r="X32" s="20">
        <f>IFERROR(subQ!X29/subQ!S29-1,"")</f>
        <v/>
      </c>
      <c r="Y32" s="21" t="n">
        <v>0.089245143</v>
      </c>
      <c r="Z32" s="22" t="n"/>
      <c r="AA32" s="21" t="n">
        <v>0.139689474</v>
      </c>
      <c r="AB32" s="21" t="n">
        <v>-0.075724154</v>
      </c>
      <c r="AC32" s="21" t="n">
        <v>-0.243085344</v>
      </c>
      <c r="AD32" s="21" t="n">
        <v>0</v>
      </c>
      <c r="AE32" s="22" t="n"/>
      <c r="AF32" s="21" t="n">
        <v>0</v>
      </c>
      <c r="AG32" s="21" t="n">
        <v>0</v>
      </c>
      <c r="AH32" s="21" t="n">
        <v>0</v>
      </c>
      <c r="AI32" s="21" t="n">
        <v>0</v>
      </c>
      <c r="AJ32" s="22" t="n"/>
      <c r="AK32" s="21" t="n">
        <v>0</v>
      </c>
      <c r="AL32" s="21" t="n">
        <v>0</v>
      </c>
      <c r="AM32" s="21" t="n">
        <v>0</v>
      </c>
      <c r="AN32" s="21" t="n">
        <v>0</v>
      </c>
      <c r="AO32" s="22" t="n"/>
    </row>
    <row r="33">
      <c r="A33" s="12" t="inlineStr">
        <is>
          <t>drv:영업활동현금흐름</t>
        </is>
      </c>
      <c r="B33" s="2" t="inlineStr">
        <is>
          <t>yoy</t>
        </is>
      </c>
      <c r="C33" t="inlineStr">
        <is>
          <t>영업활동현금흐름 YoY</t>
        </is>
      </c>
      <c r="E33" s="18" t="n"/>
      <c r="F33" s="19" t="n"/>
      <c r="G33" s="18" t="n"/>
      <c r="H33" s="18" t="n"/>
      <c r="I33" s="18" t="n"/>
      <c r="J33" s="18">
        <f>IFERROR(subQ!J30/subQ!E30-1,"")</f>
        <v/>
      </c>
      <c r="K33" s="19" t="n"/>
      <c r="L33" s="18">
        <f>IFERROR(subQ!L30/subQ!G30-1,"")</f>
        <v/>
      </c>
      <c r="M33" s="18">
        <f>IFERROR(subQ!M30/subQ!H30-1,"")</f>
        <v/>
      </c>
      <c r="N33" s="18">
        <f>IFERROR(subQ!N30/subQ!I30-1,"")</f>
        <v/>
      </c>
      <c r="O33" s="18">
        <f>IFERROR(subQ!O30/subQ!J30-1,"")</f>
        <v/>
      </c>
      <c r="P33" s="19" t="n"/>
      <c r="Q33" s="18">
        <f>IFERROR(subQ!Q30/subQ!L30-1,"")</f>
        <v/>
      </c>
      <c r="R33" s="18">
        <f>IFERROR(subQ!R30/subQ!M30-1,"")</f>
        <v/>
      </c>
      <c r="S33" s="18">
        <f>IFERROR(subQ!S30/subQ!N30-1,"")</f>
        <v/>
      </c>
      <c r="T33" s="18">
        <f>IFERROR(subQ!T30/subQ!O30-1,"")</f>
        <v/>
      </c>
      <c r="U33" s="19" t="n"/>
      <c r="V33" s="18">
        <f>IFERROR(subQ!V30/subQ!Q30-1,"")</f>
        <v/>
      </c>
      <c r="W33" s="18">
        <f>IFERROR(subQ!W30/subQ!R30-1,"")</f>
        <v/>
      </c>
      <c r="X33" s="20">
        <f>IFERROR(subQ!X30/subQ!S30-1,"")</f>
        <v/>
      </c>
      <c r="Y33" s="29" t="n"/>
      <c r="Z33" s="22" t="n"/>
      <c r="AA33" s="29" t="n"/>
      <c r="AB33" s="29" t="n"/>
      <c r="AC33" s="29" t="n"/>
      <c r="AD33" s="29" t="n"/>
      <c r="AE33" s="22" t="n"/>
      <c r="AF33" s="29" t="n"/>
      <c r="AG33" s="29" t="n"/>
      <c r="AH33" s="29" t="n"/>
      <c r="AI33" s="29" t="n"/>
      <c r="AJ33" s="22" t="n"/>
      <c r="AK33" s="29" t="n"/>
      <c r="AL33" s="29" t="n"/>
      <c r="AM33" s="29" t="n"/>
      <c r="AN33" s="29" t="n"/>
      <c r="AO33" s="22" t="n"/>
    </row>
    <row r="34">
      <c r="A34" s="12" t="inlineStr">
        <is>
          <t>drv:주식수</t>
        </is>
      </c>
      <c r="B34" s="2" t="inlineStr">
        <is>
          <t>qoq</t>
        </is>
      </c>
      <c r="C34" t="inlineStr">
        <is>
          <t>주식수 QoQ</t>
        </is>
      </c>
      <c r="E34" s="18" t="n"/>
      <c r="F34" s="19" t="n"/>
      <c r="G34" s="18">
        <f>IFERROR(subQ!G31/subQ!E31-1,"")</f>
        <v/>
      </c>
      <c r="H34" s="18">
        <f>IFERROR(subQ!H31/subQ!G31-1,"")</f>
        <v/>
      </c>
      <c r="I34" s="18">
        <f>IFERROR(subQ!I31/subQ!H31-1,"")</f>
        <v/>
      </c>
      <c r="J34" s="18">
        <f>IFERROR(subQ!J31/subQ!I31-1,"")</f>
        <v/>
      </c>
      <c r="K34" s="19" t="n"/>
      <c r="L34" s="18">
        <f>IFERROR(subQ!L31/subQ!J31-1,"")</f>
        <v/>
      </c>
      <c r="M34" s="18">
        <f>IFERROR(subQ!M31/subQ!L31-1,"")</f>
        <v/>
      </c>
      <c r="N34" s="18">
        <f>IFERROR(subQ!N31/subQ!M31-1,"")</f>
        <v/>
      </c>
      <c r="O34" s="18">
        <f>IFERROR(subQ!O31/subQ!N31-1,"")</f>
        <v/>
      </c>
      <c r="P34" s="19" t="n"/>
      <c r="Q34" s="18">
        <f>IFERROR(subQ!Q31/subQ!O31-1,"")</f>
        <v/>
      </c>
      <c r="R34" s="18">
        <f>IFERROR(subQ!R31/subQ!Q31-1,"")</f>
        <v/>
      </c>
      <c r="S34" s="18">
        <f>IFERROR(subQ!S31/subQ!R31-1,"")</f>
        <v/>
      </c>
      <c r="T34" s="18">
        <f>IFERROR(subQ!T31/subQ!S31-1,"")</f>
        <v/>
      </c>
      <c r="U34" s="19" t="n"/>
      <c r="V34" s="18">
        <f>IFERROR(subQ!V31/subQ!T31-1,"")</f>
        <v/>
      </c>
      <c r="W34" s="18">
        <f>IFERROR(subQ!W31/subQ!V31-1,"")</f>
        <v/>
      </c>
      <c r="X34" s="20">
        <f>IFERROR(subQ!X31/subQ!W31-1,"")</f>
        <v/>
      </c>
      <c r="Y34" s="21" t="n">
        <v>0</v>
      </c>
      <c r="Z34" s="22" t="n"/>
      <c r="AA34" s="21" t="n">
        <v>0</v>
      </c>
      <c r="AB34" s="21" t="n">
        <v>0</v>
      </c>
      <c r="AC34" s="21" t="n">
        <v>0</v>
      </c>
      <c r="AD34" s="21" t="n">
        <v>0</v>
      </c>
      <c r="AE34" s="22" t="n"/>
      <c r="AF34" s="21" t="n">
        <v>0</v>
      </c>
      <c r="AG34" s="21" t="n">
        <v>0</v>
      </c>
      <c r="AH34" s="21" t="n">
        <v>0</v>
      </c>
      <c r="AI34" s="21" t="n">
        <v>0</v>
      </c>
      <c r="AJ34" s="22" t="n"/>
      <c r="AK34" s="21" t="n">
        <v>0</v>
      </c>
      <c r="AL34" s="21" t="n">
        <v>0</v>
      </c>
      <c r="AM34" s="21" t="n">
        <v>0</v>
      </c>
      <c r="AN34" s="21" t="n">
        <v>0</v>
      </c>
      <c r="AO34" s="22" t="n"/>
    </row>
    <row r="35">
      <c r="A35" s="12" t="inlineStr">
        <is>
          <t>drv:DPS</t>
        </is>
      </c>
      <c r="B35" s="2" t="inlineStr">
        <is>
          <t>abs</t>
        </is>
      </c>
      <c r="C35" t="inlineStr">
        <is>
          <t>DPS (가정, 원)</t>
        </is>
      </c>
      <c r="E35" s="24">
        <f>subQ!E34</f>
        <v/>
      </c>
      <c r="F35" s="25">
        <f>subQ!F34</f>
        <v/>
      </c>
      <c r="G35" s="24">
        <f>subQ!G34</f>
        <v/>
      </c>
      <c r="H35" s="24">
        <f>subQ!H34</f>
        <v/>
      </c>
      <c r="I35" s="24">
        <f>subQ!I34</f>
        <v/>
      </c>
      <c r="J35" s="24">
        <f>subQ!J34</f>
        <v/>
      </c>
      <c r="K35" s="25">
        <f>subQ!K34</f>
        <v/>
      </c>
      <c r="L35" s="24">
        <f>subQ!L34</f>
        <v/>
      </c>
      <c r="M35" s="24">
        <f>subQ!M34</f>
        <v/>
      </c>
      <c r="N35" s="24">
        <f>subQ!N34</f>
        <v/>
      </c>
      <c r="O35" s="24">
        <f>subQ!O34</f>
        <v/>
      </c>
      <c r="P35" s="25">
        <f>subQ!P34</f>
        <v/>
      </c>
      <c r="Q35" s="24">
        <f>subQ!Q34</f>
        <v/>
      </c>
      <c r="R35" s="24">
        <f>subQ!R34</f>
        <v/>
      </c>
      <c r="S35" s="24">
        <f>subQ!S34</f>
        <v/>
      </c>
      <c r="T35" s="24">
        <f>subQ!T34</f>
        <v/>
      </c>
      <c r="U35" s="25">
        <f>subQ!U34</f>
        <v/>
      </c>
      <c r="V35" s="24">
        <f>subQ!V34</f>
        <v/>
      </c>
      <c r="W35" s="24">
        <f>subQ!W34</f>
        <v/>
      </c>
      <c r="X35" s="26">
        <f>subQ!X34</f>
        <v/>
      </c>
      <c r="Y35" s="27" t="n">
        <v>710</v>
      </c>
      <c r="Z35" s="28">
        <f>subQ!Z34</f>
        <v/>
      </c>
      <c r="AA35" s="30" t="n"/>
      <c r="AB35" s="30" t="n"/>
      <c r="AC35" s="30" t="n"/>
      <c r="AD35" s="27" t="n">
        <v>710</v>
      </c>
      <c r="AE35" s="28">
        <f>subQ!AE34</f>
        <v/>
      </c>
      <c r="AF35" s="30" t="n"/>
      <c r="AG35" s="30" t="n"/>
      <c r="AH35" s="30" t="n"/>
      <c r="AI35" s="27" t="n">
        <v>710</v>
      </c>
      <c r="AJ35" s="28">
        <f>subQ!AJ34</f>
        <v/>
      </c>
      <c r="AK35" s="30" t="n"/>
      <c r="AL35" s="30" t="n"/>
      <c r="AM35" s="30" t="n"/>
      <c r="AN35" s="27" t="n">
        <v>710</v>
      </c>
      <c r="AO35" s="28">
        <f>subQ!AO34</f>
        <v/>
      </c>
    </row>
    <row r="36">
      <c r="F36" s="9" t="n"/>
      <c r="K36" s="9" t="n"/>
      <c r="P36" s="9" t="n"/>
      <c r="U36" s="9" t="n"/>
      <c r="X36" s="5" t="n"/>
      <c r="Y36" s="10" t="n"/>
      <c r="Z36" s="11" t="n"/>
      <c r="AA36" s="10" t="n"/>
      <c r="AB36" s="10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B37" s="1" t="inlineStr">
        <is>
          <t>3. 밸류에이션·스칼라</t>
        </is>
      </c>
      <c r="C37" s="2" t="inlineStr">
        <is>
          <t>노란 셀 = 가정. '연결' 표시는 추정 전 분기 수식이 이 셀을 참조한다는 뜻</t>
        </is>
      </c>
      <c r="F37" s="9" t="n"/>
      <c r="K37" s="9" t="n"/>
      <c r="P37" s="9" t="n"/>
      <c r="U37" s="9" t="n"/>
      <c r="X37" s="5" t="n"/>
      <c r="Y37" s="10" t="n"/>
      <c r="Z37" s="11" t="n"/>
      <c r="AA37" s="10" t="n"/>
      <c r="AB37" s="10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sc:종가</t>
        </is>
      </c>
      <c r="C38" t="inlineStr">
        <is>
          <t>종가</t>
        </is>
      </c>
      <c r="D38" s="31" t="n"/>
      <c r="E38" s="2" t="inlineStr">
        <is>
          <t>원 — aikstockdata.com(금융위 확정종가 T+1)</t>
        </is>
      </c>
      <c r="F38" s="9" t="n"/>
      <c r="K38" s="9" t="n"/>
      <c r="P38" s="9" t="n"/>
      <c r="U38" s="9" t="n"/>
      <c r="X38" s="5" t="n"/>
      <c r="Y38" s="10" t="n"/>
      <c r="Z38" s="11" t="n"/>
      <c r="AA38" s="10" t="n"/>
      <c r="AB38" s="10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sc:기준일</t>
        </is>
      </c>
      <c r="C39" t="inlineStr">
        <is>
          <t>기준일</t>
        </is>
      </c>
      <c r="D39" s="32" t="n"/>
      <c r="E39" s="2" t="inlineStr">
        <is>
          <t>종가 기준일</t>
        </is>
      </c>
      <c r="F39" s="9" t="n"/>
      <c r="K39" s="9" t="n"/>
      <c r="P39" s="9" t="n"/>
      <c r="U39" s="9" t="n"/>
      <c r="X39" s="5" t="n"/>
      <c r="Y39" s="10" t="n"/>
      <c r="Z39" s="11" t="n"/>
      <c r="AA39" s="10" t="n"/>
      <c r="AB39" s="10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sc:COE</t>
        </is>
      </c>
      <c r="C40" t="inlineStr">
        <is>
          <t>COE</t>
        </is>
      </c>
      <c r="D40" s="21" t="n">
        <v>0.09</v>
      </c>
      <c r="E40" s="2" t="inlineStr">
        <is>
          <t>자기자본비용(가정) — TP 적정 PBR = ROE/COE</t>
        </is>
      </c>
      <c r="F40" s="9" t="n"/>
      <c r="K40" s="9" t="n"/>
      <c r="P40" s="9" t="n"/>
      <c r="U40" s="9" t="n"/>
      <c r="X40" s="5" t="n"/>
      <c r="Y40" s="10" t="n"/>
      <c r="Z40" s="11" t="n"/>
      <c r="AA40" s="10" t="n"/>
      <c r="AB40" s="10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sc:PER_lo</t>
        </is>
      </c>
      <c r="C41" t="inlineStr">
        <is>
          <t>PER_lo</t>
        </is>
      </c>
      <c r="D41" s="27" t="n">
        <v>10</v>
      </c>
      <c r="E41" s="2" t="inlineStr">
        <is>
          <t>PER 밴드 하단(배) — sector_default(레퍼런스 TP_PE PB 예시 10/15/20배; 과거 양(+)EPS 분기 0개 &lt; 4)</t>
        </is>
      </c>
      <c r="F41" s="9" t="n"/>
      <c r="K41" s="9" t="n"/>
      <c r="P41" s="9" t="n"/>
      <c r="U41" s="9" t="n"/>
      <c r="X41" s="5" t="n"/>
      <c r="Y41" s="10" t="n"/>
      <c r="Z41" s="11" t="n"/>
      <c r="AA41" s="10" t="n"/>
      <c r="AB41" s="10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sc:PER_mid</t>
        </is>
      </c>
      <c r="C42" t="inlineStr">
        <is>
          <t>PER_mid</t>
        </is>
      </c>
      <c r="D42" s="27" t="n">
        <v>15</v>
      </c>
      <c r="E42" s="2" t="inlineStr">
        <is>
          <t>PER 밴드 중단(배)</t>
        </is>
      </c>
      <c r="F42" s="9" t="n"/>
      <c r="K42" s="9" t="n"/>
      <c r="P42" s="9" t="n"/>
      <c r="U42" s="9" t="n"/>
      <c r="X42" s="5" t="n"/>
      <c r="Y42" s="10" t="n"/>
      <c r="Z42" s="11" t="n"/>
      <c r="AA42" s="10" t="n"/>
      <c r="AB42" s="10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sc:PER_hi</t>
        </is>
      </c>
      <c r="C43" t="inlineStr">
        <is>
          <t>PER_hi</t>
        </is>
      </c>
      <c r="D43" s="27" t="n">
        <v>20</v>
      </c>
      <c r="E43" s="2" t="inlineStr">
        <is>
          <t>PER 밴드 상단(배)</t>
        </is>
      </c>
      <c r="F43" s="9" t="n"/>
      <c r="K43" s="9" t="n"/>
      <c r="P43" s="9" t="n"/>
      <c r="U43" s="9" t="n"/>
      <c r="X43" s="5" t="n"/>
      <c r="Y43" s="10" t="n"/>
      <c r="Z43" s="11" t="n"/>
      <c r="AA43" s="10" t="n"/>
      <c r="AB43" s="10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sc:EPS_Y1가중</t>
        </is>
      </c>
      <c r="C44" t="inlineStr">
        <is>
          <t>EPS_Y1가중</t>
        </is>
      </c>
      <c r="D44" s="21" t="n">
        <v>0.5</v>
      </c>
      <c r="E44" s="2" t="inlineStr">
        <is>
          <t>12M fwd EPS = FY(last_actual연도)E × w + FY+1E × (1−w) — 기준 분기 2Q 이면 0.5(가정)</t>
        </is>
      </c>
      <c r="F44" s="9" t="n"/>
      <c r="K44" s="9" t="n"/>
      <c r="P44" s="9" t="n"/>
      <c r="U44" s="9" t="n"/>
      <c r="X44" s="5" t="n"/>
      <c r="Y44" s="10" t="n"/>
      <c r="Z44" s="11" t="n"/>
      <c r="AA44" s="10" t="n"/>
      <c r="AB44" s="10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sc:세율</t>
        </is>
      </c>
      <c r="C45" t="inlineStr">
        <is>
          <t>세율</t>
        </is>
      </c>
      <c r="D45" s="33" t="n">
        <v>0.1616920912168477</v>
      </c>
      <c r="E45" s="2" t="inlineStr">
        <is>
          <t>연결 — 법인세 = MAX(세전,0) × 세율(역산, 재현 오차 ≤ 0.05억 · 모델 assumptions 0.1617) · 최근 12분기 유효세율 16.2%(5~27% 안 — 그대로)</t>
        </is>
      </c>
      <c r="F45" s="9" t="n"/>
      <c r="K45" s="9" t="n"/>
      <c r="P45" s="9" t="n"/>
      <c r="U45" s="9" t="n"/>
      <c r="X45" s="5" t="n"/>
      <c r="Y45" s="10" t="n"/>
      <c r="Z45" s="11" t="n"/>
      <c r="AA45" s="10" t="n"/>
      <c r="AB45" s="10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sc:판관비율</t>
        </is>
      </c>
      <c r="C46" t="inlineStr">
        <is>
          <t>판관비율</t>
        </is>
      </c>
      <c r="D46" s="33" t="n">
        <v>0.03370804879685522</v>
      </c>
      <c r="E46" s="2" t="inlineStr">
        <is>
          <t>연결 — 판관비 = 매출액 × 판관비율(역산, 재현 오차 ≤ 0.05억 · 모델 assumptions 0.0337)</t>
        </is>
      </c>
      <c r="F46" s="9" t="n"/>
      <c r="K46" s="9" t="n"/>
      <c r="P46" s="9" t="n"/>
      <c r="U46" s="9" t="n"/>
      <c r="X46" s="5" t="n"/>
      <c r="Y46" s="10" t="n"/>
      <c r="Z46" s="11" t="n"/>
      <c r="AA46" s="10" t="n"/>
      <c r="AB46" s="10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sc:지배주주비중</t>
        </is>
      </c>
      <c r="C47" t="inlineStr">
        <is>
          <t>지배주주비중</t>
        </is>
      </c>
      <c r="D47" s="33" t="n">
        <v>0.9354648903175656</v>
      </c>
      <c r="E47" s="2" t="inlineStr">
        <is>
          <t>연결 — 지배주주순이익 = 당기순이익 × 비중(역산, 재현 오차 ≤ 0.05억)</t>
        </is>
      </c>
      <c r="F47" s="9" t="n"/>
      <c r="K47" s="9" t="n"/>
      <c r="P47" s="9" t="n"/>
      <c r="U47" s="9" t="n"/>
      <c r="X47" s="5" t="n"/>
      <c r="Y47" s="10" t="n"/>
      <c r="Z47" s="11" t="n"/>
      <c r="AA47" s="10" t="n"/>
      <c r="AB47" s="10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sc:이자율_자산</t>
        </is>
      </c>
      <c r="C48" t="inlineStr">
        <is>
          <t>이자율_자산</t>
        </is>
      </c>
      <c r="D48" s="33" t="n">
        <v>0.02546208950765045</v>
      </c>
      <c r="E48" s="2" t="inlineStr">
        <is>
          <t>연결 — 이자손익 = (전분기 이자발생자산 × 자산이자율 − 전분기 총차입금 × 부채이자율)/4(역산, 재현 오차 ≤ 0.05억 · 모델 assumptions 0.0255)</t>
        </is>
      </c>
      <c r="F48" s="9" t="n"/>
      <c r="K48" s="9" t="n"/>
      <c r="P48" s="9" t="n"/>
      <c r="U48" s="9" t="n"/>
      <c r="X48" s="5" t="n"/>
      <c r="Y48" s="10" t="n"/>
      <c r="Z48" s="11" t="n"/>
      <c r="AA48" s="10" t="n"/>
      <c r="AB48" s="10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sc:이자율_부채</t>
        </is>
      </c>
      <c r="C49" t="inlineStr">
        <is>
          <t>이자율_부채</t>
        </is>
      </c>
      <c r="D49" s="33" t="n">
        <v>0.05045470290776243</v>
      </c>
      <c r="E49" s="2" t="inlineStr">
        <is>
          <t>연결 — 같은 수식의 부채 쪽(총차입금 행이 없으면 0)(역산, 재현 오차 ≤ 0.05억 · 모델 assumptions 0.0504)</t>
        </is>
      </c>
      <c r="F49" s="9" t="n"/>
      <c r="K49" s="9" t="n"/>
      <c r="P49" s="9" t="n"/>
      <c r="U49" s="9" t="n"/>
      <c r="X49" s="5" t="n"/>
      <c r="Y49" s="10" t="n"/>
      <c r="Z49" s="11" t="n"/>
      <c r="AA49" s="10" t="n"/>
      <c r="AB49" s="10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sc:배당성향</t>
        </is>
      </c>
      <c r="C50" t="inlineStr">
        <is>
          <t>배당성향</t>
        </is>
      </c>
      <c r="D50" s="21" t="n">
        <v>0.2683</v>
      </c>
      <c r="E50" s="2" t="inlineStr">
        <is>
          <t>배당성향(참고 — 모델은 직전 DPS 유지·Q2 지급 가정)</t>
        </is>
      </c>
      <c r="F50" s="9" t="n"/>
      <c r="K50" s="9" t="n"/>
      <c r="P50" s="9" t="n"/>
      <c r="U50" s="9" t="n"/>
      <c r="X50" s="5" t="n"/>
      <c r="Y50" s="10" t="n"/>
      <c r="Z50" s="11" t="n"/>
      <c r="AA50" s="10" t="n"/>
      <c r="AB50" s="10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sc:외화순노출_백만$</t>
        </is>
      </c>
      <c r="C51" t="inlineStr">
        <is>
          <t>외화순노출_백만$</t>
        </is>
      </c>
      <c r="D51" s="27" t="n"/>
      <c r="E51" s="2" t="inlineStr">
        <is>
          <t>외화 순노출 × Δ기말환율 (외화 시트 방식) — 외화 순노출 미공시(face) → 0 + 표기</t>
        </is>
      </c>
      <c r="F51" s="9" t="n"/>
      <c r="K51" s="9" t="n"/>
      <c r="P51" s="9" t="n"/>
      <c r="U51" s="9" t="n"/>
      <c r="X51" s="5" t="n"/>
      <c r="Y51" s="10" t="n"/>
      <c r="Z51" s="11" t="n"/>
      <c r="AA51" s="10" t="n"/>
      <c r="AB51" s="10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sc:헤지비율</t>
        </is>
      </c>
      <c r="C52" t="inlineStr">
        <is>
          <t>헤지비율</t>
        </is>
      </c>
      <c r="D52" s="21" t="n"/>
      <c r="E52" s="2" t="inlineStr">
        <is>
          <t>sls 없음</t>
        </is>
      </c>
      <c r="F52" s="9" t="n"/>
      <c r="K52" s="9" t="n"/>
      <c r="P52" s="9" t="n"/>
      <c r="U52" s="9" t="n"/>
      <c r="X52" s="5" t="n"/>
      <c r="Y52" s="10" t="n"/>
      <c r="Z52" s="11" t="n"/>
      <c r="AA52" s="10" t="n"/>
      <c r="AB52" s="10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sc:헤지환율_약정</t>
        </is>
      </c>
      <c r="C53" t="inlineStr">
        <is>
          <t>헤지환율_약정</t>
        </is>
      </c>
      <c r="D53" s="16" t="n"/>
      <c r="E53" s="2" t="inlineStr">
        <is>
          <t>sls 없음</t>
        </is>
      </c>
      <c r="F53" s="9" t="n"/>
      <c r="K53" s="9" t="n"/>
      <c r="P53" s="9" t="n"/>
      <c r="U53" s="9" t="n"/>
      <c r="X53" s="5" t="n"/>
      <c r="Y53" s="10" t="n"/>
      <c r="Z53" s="11" t="n"/>
      <c r="AA53" s="10" t="n"/>
      <c r="AB53" s="10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4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3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X2" s="5" t="n"/>
    </row>
    <row r="3">
      <c r="B3" t="inlineStr">
        <is>
          <t>HD현대미포(연)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6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8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7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34" t="n">
        <v>2046698.16</v>
      </c>
      <c r="F5" s="35" t="n">
        <v>2046698.16</v>
      </c>
      <c r="G5" s="34" t="n">
        <v>2342578.11</v>
      </c>
      <c r="H5" s="34" t="n">
        <v>2480297.23</v>
      </c>
      <c r="I5" s="34" t="n">
        <v>3049846.09</v>
      </c>
      <c r="J5" s="34" t="n">
        <v>2724476.09</v>
      </c>
      <c r="K5" s="35" t="n">
        <v>2724476.09</v>
      </c>
      <c r="L5" s="34" t="n">
        <v>2698711.61</v>
      </c>
      <c r="M5" s="34" t="n">
        <v>2638052.17</v>
      </c>
      <c r="N5" s="34" t="n">
        <v>2720335.71</v>
      </c>
      <c r="O5" s="34" t="n">
        <v>2799391.8</v>
      </c>
      <c r="P5" s="35" t="n">
        <v>2799391.8</v>
      </c>
      <c r="Q5" s="34" t="n">
        <v>2611902.57</v>
      </c>
      <c r="R5" s="34" t="n">
        <v>2556143.13</v>
      </c>
      <c r="S5" s="34" t="n">
        <v>2410367.3</v>
      </c>
      <c r="T5" s="34" t="n">
        <v>2786547.4</v>
      </c>
      <c r="U5" s="35" t="n">
        <v>2786547.4</v>
      </c>
      <c r="V5" s="34" t="n">
        <v>2898372.06</v>
      </c>
      <c r="W5" s="34" t="n">
        <v>2897881.13</v>
      </c>
      <c r="X5" s="36" t="n">
        <v>2891331.77</v>
      </c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34" t="n">
        <v>400370.96</v>
      </c>
      <c r="F6" s="35" t="n">
        <v>400370.96</v>
      </c>
      <c r="G6" s="34" t="n">
        <v>615588.03</v>
      </c>
      <c r="H6" s="34" t="n">
        <v>577796.92</v>
      </c>
      <c r="I6" s="34" t="n">
        <v>426258.03</v>
      </c>
      <c r="J6" s="34" t="n">
        <v>490143.85</v>
      </c>
      <c r="K6" s="35" t="n">
        <v>490143.85</v>
      </c>
      <c r="L6" s="34" t="n">
        <v>364792.08</v>
      </c>
      <c r="M6" s="34" t="n">
        <v>381085.43</v>
      </c>
      <c r="N6" s="34" t="n">
        <v>424198.32</v>
      </c>
      <c r="O6" s="34" t="n">
        <v>310040.89</v>
      </c>
      <c r="P6" s="35" t="n">
        <v>310040.89</v>
      </c>
      <c r="Q6" s="34" t="n">
        <v>418212.43</v>
      </c>
      <c r="R6" s="34" t="n">
        <v>420994.36</v>
      </c>
      <c r="S6" s="34" t="n">
        <v>396603.6</v>
      </c>
      <c r="T6" s="34" t="n">
        <v>165096.21</v>
      </c>
      <c r="U6" s="35" t="n">
        <v>165096.21</v>
      </c>
      <c r="V6" s="34" t="n">
        <v>434009.49</v>
      </c>
      <c r="W6" s="34" t="n">
        <v>512816.28</v>
      </c>
      <c r="X6" s="36" t="n">
        <v>473564.11</v>
      </c>
      <c r="Y6" s="10" t="n"/>
      <c r="Z6" s="11" t="n"/>
      <c r="AA6" s="10" t="n"/>
      <c r="AB6" s="10" t="n"/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34" t="n">
        <v>124527.77</v>
      </c>
      <c r="F7" s="35" t="n">
        <v>124527.77</v>
      </c>
      <c r="G7" s="34" t="n">
        <v>84000.50999999999</v>
      </c>
      <c r="H7" s="34" t="n">
        <v>177001.29</v>
      </c>
      <c r="I7" s="34" t="n">
        <v>129001.48</v>
      </c>
      <c r="J7" s="34" t="n">
        <v>53001.73</v>
      </c>
      <c r="K7" s="35" t="n">
        <v>53001.73</v>
      </c>
      <c r="L7" s="34" t="n">
        <v>39554.07</v>
      </c>
      <c r="M7" s="34" t="n">
        <v>43042.35</v>
      </c>
      <c r="N7" s="34" t="n">
        <v>45990.68</v>
      </c>
      <c r="O7" s="34" t="n">
        <v>39080.73</v>
      </c>
      <c r="P7" s="35" t="n">
        <v>39080.73</v>
      </c>
      <c r="Q7" s="34" t="n">
        <v>33696.22</v>
      </c>
      <c r="R7" s="34" t="n">
        <v>38913.03</v>
      </c>
      <c r="S7" s="34" t="n">
        <v>42592.16</v>
      </c>
      <c r="T7" s="34" t="n">
        <v>38367.96</v>
      </c>
      <c r="U7" s="35" t="n">
        <v>38367.96</v>
      </c>
      <c r="V7" s="34" t="n">
        <v>34300.19</v>
      </c>
      <c r="W7" s="34" t="n">
        <v>41949.56</v>
      </c>
      <c r="X7" s="36" t="n">
        <v>47115.45</v>
      </c>
      <c r="Y7" s="10" t="n"/>
      <c r="Z7" s="11" t="n"/>
      <c r="AA7" s="10" t="n"/>
      <c r="AB7" s="10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34" t="n">
        <v>154979.73</v>
      </c>
      <c r="F8" s="35" t="n">
        <v>154979.73</v>
      </c>
      <c r="G8" s="34" t="n">
        <v>125218.75</v>
      </c>
      <c r="H8" s="34" t="n">
        <v>255829.72</v>
      </c>
      <c r="I8" s="34" t="n">
        <v>284390.78</v>
      </c>
      <c r="J8" s="34" t="n">
        <v>125597.49</v>
      </c>
      <c r="K8" s="35" t="n">
        <v>125597.49</v>
      </c>
      <c r="L8" s="34" t="n">
        <v>107822.77</v>
      </c>
      <c r="M8" s="34" t="n">
        <v>101436.31</v>
      </c>
      <c r="N8" s="34" t="n">
        <v>111327.16</v>
      </c>
      <c r="O8" s="34" t="n">
        <v>87872.77</v>
      </c>
      <c r="P8" s="35" t="n">
        <v>87872.77</v>
      </c>
      <c r="Q8" s="34" t="n">
        <v>92807.27</v>
      </c>
      <c r="R8" s="34" t="n">
        <v>125317.45</v>
      </c>
      <c r="S8" s="34" t="n">
        <v>82253.71000000001</v>
      </c>
      <c r="T8" s="34" t="n">
        <v>174224.62</v>
      </c>
      <c r="U8" s="35" t="n">
        <v>174224.62</v>
      </c>
      <c r="V8" s="34" t="n">
        <v>152810.05</v>
      </c>
      <c r="W8" s="34" t="n">
        <v>86446.08</v>
      </c>
      <c r="X8" s="36" t="n">
        <v>121971.47</v>
      </c>
      <c r="Y8" s="10" t="n"/>
      <c r="Z8" s="11" t="n"/>
      <c r="AA8" s="10" t="n"/>
      <c r="AB8" s="10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34" t="n">
        <v>47534.35</v>
      </c>
      <c r="F9" s="35" t="n">
        <v>47534.35</v>
      </c>
      <c r="G9" s="34" t="n">
        <v>189966.36</v>
      </c>
      <c r="H9" s="34" t="n">
        <v>103537.07</v>
      </c>
      <c r="I9" s="34" t="n">
        <v>241966.56</v>
      </c>
      <c r="J9" s="34" t="n">
        <v>87030.57000000001</v>
      </c>
      <c r="K9" s="35" t="n">
        <v>87030.57000000001</v>
      </c>
      <c r="L9" s="34" t="n">
        <v>77889.3</v>
      </c>
      <c r="M9" s="34" t="n">
        <v>49605.65</v>
      </c>
      <c r="N9" s="34" t="n">
        <v>79112.24000000001</v>
      </c>
      <c r="O9" s="34" t="n">
        <v>164823.67</v>
      </c>
      <c r="P9" s="35" t="n">
        <v>164823.67</v>
      </c>
      <c r="Q9" s="34" t="n">
        <v>146455.76</v>
      </c>
      <c r="R9" s="34" t="n">
        <v>117121.82</v>
      </c>
      <c r="S9" s="34" t="n">
        <v>63301.88</v>
      </c>
      <c r="T9" s="34" t="n">
        <v>131232.52</v>
      </c>
      <c r="U9" s="35" t="n">
        <v>131232.52</v>
      </c>
      <c r="V9" s="34" t="n">
        <v>100782.8</v>
      </c>
      <c r="W9" s="34" t="n">
        <v>114511.86</v>
      </c>
      <c r="X9" s="36" t="n">
        <v>110957.5</v>
      </c>
      <c r="Y9" s="10" t="n"/>
      <c r="Z9" s="11" t="n"/>
      <c r="AA9" s="10" t="n"/>
      <c r="AB9" s="10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34" t="n">
        <v>900692.64</v>
      </c>
      <c r="F10" s="35" t="n">
        <v>900692.64</v>
      </c>
      <c r="G10" s="34" t="n">
        <v>871255.87</v>
      </c>
      <c r="H10" s="34" t="n">
        <v>984525.23</v>
      </c>
      <c r="I10" s="34" t="n">
        <v>1356661.7</v>
      </c>
      <c r="J10" s="34" t="n">
        <v>1301215.86</v>
      </c>
      <c r="K10" s="35" t="n">
        <v>1301215.86</v>
      </c>
      <c r="L10" s="34" t="n">
        <v>1356699.96</v>
      </c>
      <c r="M10" s="34" t="n">
        <v>1322929.36</v>
      </c>
      <c r="N10" s="34" t="n">
        <v>1318559.92</v>
      </c>
      <c r="O10" s="34" t="n">
        <v>1442687.05</v>
      </c>
      <c r="P10" s="35" t="n">
        <v>1442687.05</v>
      </c>
      <c r="Q10" s="34" t="n">
        <v>1166462</v>
      </c>
      <c r="R10" s="34" t="n">
        <v>1011783.85</v>
      </c>
      <c r="S10" s="34" t="n">
        <v>940068.6800000001</v>
      </c>
      <c r="T10" s="34" t="n">
        <v>1488564.02</v>
      </c>
      <c r="U10" s="35" t="n">
        <v>1488564.02</v>
      </c>
      <c r="V10" s="34" t="n">
        <v>1368532.09</v>
      </c>
      <c r="W10" s="34" t="n">
        <v>1249564.24</v>
      </c>
      <c r="X10" s="36" t="n">
        <v>1249293.07</v>
      </c>
      <c r="Y10" s="10" t="n"/>
      <c r="Z10" s="11" t="n"/>
      <c r="AA10" s="10" t="n"/>
      <c r="AB10" s="10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34" t="n">
        <v>1664.05</v>
      </c>
      <c r="F11" s="35" t="n">
        <v>1664.05</v>
      </c>
      <c r="G11" s="34" t="n">
        <v>540.83</v>
      </c>
      <c r="H11" s="34" t="n">
        <v>2.69</v>
      </c>
      <c r="I11" s="34" t="n">
        <v>2.57</v>
      </c>
      <c r="J11" s="34" t="n">
        <v>29527.19</v>
      </c>
      <c r="K11" s="35" t="n">
        <v>29527.19</v>
      </c>
      <c r="L11" s="34" t="n">
        <v>11801.01</v>
      </c>
      <c r="M11" s="34" t="n">
        <v>10449.82</v>
      </c>
      <c r="N11" s="34" t="n">
        <v>3789.3</v>
      </c>
      <c r="O11" s="34" t="n">
        <v>15804.99</v>
      </c>
      <c r="P11" s="35" t="n">
        <v>15804.99</v>
      </c>
      <c r="Q11" s="34" t="n">
        <v>2382.6</v>
      </c>
      <c r="R11" s="34" t="n">
        <v>206.53</v>
      </c>
      <c r="S11" s="34" t="n">
        <v>10028.66</v>
      </c>
      <c r="T11" s="34" t="n">
        <v>185.35</v>
      </c>
      <c r="U11" s="35" t="n">
        <v>185.35</v>
      </c>
      <c r="V11" s="34" t="n">
        <v>16.69</v>
      </c>
      <c r="W11" s="34" t="n">
        <v>7654.67</v>
      </c>
      <c r="X11" s="36" t="n">
        <v>2577.2</v>
      </c>
      <c r="Y11" s="10" t="n"/>
      <c r="Z11" s="11" t="n"/>
      <c r="AA11" s="10" t="n"/>
      <c r="AB11" s="10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유동확정계약자산</t>
        </is>
      </c>
      <c r="E12" s="34" t="n">
        <v>28787.91</v>
      </c>
      <c r="F12" s="35" t="n">
        <v>28787.91</v>
      </c>
      <c r="G12" s="34" t="n">
        <v>40677.41</v>
      </c>
      <c r="H12" s="34" t="n">
        <v>78825.74000000001</v>
      </c>
      <c r="I12" s="34" t="n">
        <v>155386.73</v>
      </c>
      <c r="J12" s="34" t="n">
        <v>43068.57</v>
      </c>
      <c r="K12" s="35" t="n">
        <v>43068.57</v>
      </c>
      <c r="L12" s="34" t="n">
        <v>56467.69</v>
      </c>
      <c r="M12" s="34" t="n">
        <v>47944.14</v>
      </c>
      <c r="N12" s="34" t="n">
        <v>61547.18</v>
      </c>
      <c r="O12" s="34" t="n">
        <v>32987.05</v>
      </c>
      <c r="P12" s="35" t="n">
        <v>32987.05</v>
      </c>
      <c r="Q12" s="34" t="n">
        <v>56728.45</v>
      </c>
      <c r="R12" s="34" t="n">
        <v>86197.89</v>
      </c>
      <c r="S12" s="34" t="n">
        <v>29632.89</v>
      </c>
      <c r="T12" s="34" t="n">
        <v>135671.31</v>
      </c>
      <c r="U12" s="35" t="n">
        <v>135671.31</v>
      </c>
      <c r="V12" s="34" t="n">
        <v>118493.17</v>
      </c>
      <c r="W12" s="34" t="n">
        <v>36841.85</v>
      </c>
      <c r="X12" s="36" t="n">
        <v>72278.82000000001</v>
      </c>
      <c r="Y12" s="10" t="n"/>
      <c r="Z12" s="11" t="n"/>
      <c r="AA12" s="10" t="n"/>
      <c r="AB12" s="10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34" t="n">
        <v>265534.01</v>
      </c>
      <c r="F13" s="35" t="n">
        <v>265534.01</v>
      </c>
      <c r="G13" s="34" t="n">
        <v>268954.88</v>
      </c>
      <c r="H13" s="34" t="n">
        <v>251077.48</v>
      </c>
      <c r="I13" s="34" t="n">
        <v>324082.25</v>
      </c>
      <c r="J13" s="34" t="n">
        <v>292593.55</v>
      </c>
      <c r="K13" s="35" t="n">
        <v>292593.55</v>
      </c>
      <c r="L13" s="34" t="n">
        <v>294033.49</v>
      </c>
      <c r="M13" s="34" t="n">
        <v>276675.46</v>
      </c>
      <c r="N13" s="34" t="n">
        <v>234517.92</v>
      </c>
      <c r="O13" s="34" t="n">
        <v>230175.93</v>
      </c>
      <c r="P13" s="35" t="n">
        <v>230175.93</v>
      </c>
      <c r="Q13" s="34" t="n">
        <v>264411.92</v>
      </c>
      <c r="R13" s="34" t="n">
        <v>281611.38</v>
      </c>
      <c r="S13" s="34" t="n">
        <v>276882.83</v>
      </c>
      <c r="T13" s="34" t="n">
        <v>270834.34</v>
      </c>
      <c r="U13" s="35" t="n">
        <v>270834.34</v>
      </c>
      <c r="V13" s="34" t="n">
        <v>266344.85</v>
      </c>
      <c r="W13" s="34" t="n">
        <v>255118.38</v>
      </c>
      <c r="X13" s="36" t="n">
        <v>277576.08</v>
      </c>
      <c r="Y13" s="10" t="n"/>
      <c r="Z13" s="11" t="n"/>
      <c r="AA13" s="10" t="n"/>
      <c r="AB13" s="10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34" t="n">
        <v>277586.48</v>
      </c>
      <c r="F14" s="35" t="n">
        <v>277586.48</v>
      </c>
      <c r="G14" s="34" t="n">
        <v>271594.23</v>
      </c>
      <c r="H14" s="34" t="n">
        <v>307530.82</v>
      </c>
      <c r="I14" s="34" t="n">
        <v>416486.78</v>
      </c>
      <c r="J14" s="34" t="n">
        <v>427894.77</v>
      </c>
      <c r="K14" s="35" t="n">
        <v>427894.77</v>
      </c>
      <c r="L14" s="34" t="n">
        <v>497474.01</v>
      </c>
      <c r="M14" s="34" t="n">
        <v>506319.97</v>
      </c>
      <c r="N14" s="34" t="n">
        <v>552620.16</v>
      </c>
      <c r="O14" s="34" t="n">
        <v>563791.49</v>
      </c>
      <c r="P14" s="35" t="n">
        <v>563791.49</v>
      </c>
      <c r="Q14" s="34" t="n">
        <v>523553.2</v>
      </c>
      <c r="R14" s="34" t="n">
        <v>599314.26</v>
      </c>
      <c r="S14" s="34" t="n">
        <v>651256.6</v>
      </c>
      <c r="T14" s="34" t="n">
        <v>556595.6899999999</v>
      </c>
      <c r="U14" s="35" t="n">
        <v>556595.6899999999</v>
      </c>
      <c r="V14" s="34" t="n">
        <v>575892.78</v>
      </c>
      <c r="W14" s="34" t="n">
        <v>679424.3</v>
      </c>
      <c r="X14" s="36" t="n">
        <v>657969.54</v>
      </c>
      <c r="Y14" s="10" t="n"/>
      <c r="Z14" s="11" t="n"/>
      <c r="AA14" s="10" t="n"/>
      <c r="AB14" s="10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34" t="n">
        <v>1831622.12</v>
      </c>
      <c r="F15" s="35" t="n">
        <v>1831622.12</v>
      </c>
      <c r="G15" s="34" t="n">
        <v>1855833.61</v>
      </c>
      <c r="H15" s="34" t="n">
        <v>1922888.83</v>
      </c>
      <c r="I15" s="34" t="n">
        <v>2019039.04</v>
      </c>
      <c r="J15" s="34" t="n">
        <v>2023769.41</v>
      </c>
      <c r="K15" s="35" t="n">
        <v>2023769.41</v>
      </c>
      <c r="L15" s="34" t="n">
        <v>2035377.56</v>
      </c>
      <c r="M15" s="34" t="n">
        <v>2068971.19</v>
      </c>
      <c r="N15" s="34" t="n">
        <v>2105433.36</v>
      </c>
      <c r="O15" s="34" t="n">
        <v>2109679.63</v>
      </c>
      <c r="P15" s="35" t="n">
        <v>2109679.63</v>
      </c>
      <c r="Q15" s="34" t="n">
        <v>2136680.38</v>
      </c>
      <c r="R15" s="34" t="n">
        <v>2197709.43</v>
      </c>
      <c r="S15" s="34" t="n">
        <v>2162629.83</v>
      </c>
      <c r="T15" s="34" t="n">
        <v>2322319.89</v>
      </c>
      <c r="U15" s="35" t="n">
        <v>2322319.89</v>
      </c>
      <c r="V15" s="34" t="n">
        <v>2299160.5</v>
      </c>
      <c r="W15" s="34" t="n">
        <v>2247239.13</v>
      </c>
      <c r="X15" s="36" t="n">
        <v>2223214.37</v>
      </c>
      <c r="Y15" s="10" t="n"/>
      <c r="Z15" s="11" t="n"/>
      <c r="AA15" s="10" t="n"/>
      <c r="AB15" s="10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34" t="n">
        <v>13354.46</v>
      </c>
      <c r="F16" s="35" t="n">
        <v>13354.46</v>
      </c>
      <c r="G16" s="34" t="n">
        <v>14125.09</v>
      </c>
      <c r="H16" s="34" t="n">
        <v>14145.49</v>
      </c>
      <c r="I16" s="34" t="n">
        <v>14167.27</v>
      </c>
      <c r="J16" s="34" t="n">
        <v>15458.98</v>
      </c>
      <c r="K16" s="35" t="n">
        <v>15458.98</v>
      </c>
      <c r="L16" s="34" t="n">
        <v>15474.36</v>
      </c>
      <c r="M16" s="34" t="n">
        <v>15486.65</v>
      </c>
      <c r="N16" s="34" t="n">
        <v>15498.59</v>
      </c>
      <c r="O16" s="34" t="n">
        <v>14457.66</v>
      </c>
      <c r="P16" s="35" t="n">
        <v>14457.66</v>
      </c>
      <c r="Q16" s="34" t="n">
        <v>14470.66</v>
      </c>
      <c r="R16" s="34" t="n">
        <v>14484</v>
      </c>
      <c r="S16" s="34" t="n">
        <v>14483.93</v>
      </c>
      <c r="T16" s="34" t="n">
        <v>14001.12</v>
      </c>
      <c r="U16" s="35" t="n">
        <v>14001.12</v>
      </c>
      <c r="V16" s="34" t="n">
        <v>13904.25</v>
      </c>
      <c r="W16" s="34" t="n">
        <v>13894.83</v>
      </c>
      <c r="X16" s="36" t="n">
        <v>13894.3</v>
      </c>
      <c r="Y16" s="10" t="n"/>
      <c r="Z16" s="11" t="n"/>
      <c r="AA16" s="10" t="n"/>
      <c r="AB16" s="10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34" t="n">
        <v>46294.09</v>
      </c>
      <c r="F17" s="35" t="n">
        <v>46294.09</v>
      </c>
      <c r="G17" s="34" t="n">
        <v>44581.11</v>
      </c>
      <c r="H17" s="34" t="n">
        <v>95149.73</v>
      </c>
      <c r="I17" s="34" t="n">
        <v>188694.78</v>
      </c>
      <c r="J17" s="34" t="n">
        <v>59537.78</v>
      </c>
      <c r="K17" s="35" t="n">
        <v>59537.78</v>
      </c>
      <c r="L17" s="34" t="n">
        <v>62016.86</v>
      </c>
      <c r="M17" s="34" t="n">
        <v>60371.51</v>
      </c>
      <c r="N17" s="34" t="n">
        <v>75704.42999999999</v>
      </c>
      <c r="O17" s="34" t="n">
        <v>43853.07</v>
      </c>
      <c r="P17" s="35" t="n">
        <v>43853.07</v>
      </c>
      <c r="Q17" s="34" t="n">
        <v>58626.17</v>
      </c>
      <c r="R17" s="34" t="n">
        <v>96681.45</v>
      </c>
      <c r="S17" s="34" t="n">
        <v>49644.69</v>
      </c>
      <c r="T17" s="34" t="n">
        <v>201896.79</v>
      </c>
      <c r="U17" s="35" t="n">
        <v>201896.79</v>
      </c>
      <c r="V17" s="34" t="n">
        <v>186767.34</v>
      </c>
      <c r="W17" s="34" t="n">
        <v>91308.88</v>
      </c>
      <c r="X17" s="36" t="n">
        <v>87951.64999999999</v>
      </c>
      <c r="Y17" s="10" t="n"/>
      <c r="Z17" s="11" t="n"/>
      <c r="AA17" s="10" t="n"/>
      <c r="AB17" s="10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34" t="n">
        <v>6415.15</v>
      </c>
      <c r="F18" s="35" t="n">
        <v>6415.15</v>
      </c>
      <c r="G18" s="34" t="n">
        <v>6161.17</v>
      </c>
      <c r="H18" s="34" t="n">
        <v>5910.19</v>
      </c>
      <c r="I18" s="34" t="n">
        <v>5653.2</v>
      </c>
      <c r="J18" s="34" t="n">
        <v>7243.58</v>
      </c>
      <c r="K18" s="35" t="n">
        <v>7243.58</v>
      </c>
      <c r="L18" s="34" t="n">
        <v>11979.1</v>
      </c>
      <c r="M18" s="34" t="n">
        <v>11623.79</v>
      </c>
      <c r="N18" s="34" t="n">
        <v>10712.94</v>
      </c>
      <c r="O18" s="34" t="n">
        <v>10322.18</v>
      </c>
      <c r="P18" s="35" t="n">
        <v>10322.18</v>
      </c>
      <c r="Q18" s="34" t="n">
        <v>6655.35</v>
      </c>
      <c r="R18" s="34" t="n">
        <v>6606.72</v>
      </c>
      <c r="S18" s="34" t="n">
        <v>7615.38</v>
      </c>
      <c r="T18" s="34" t="n">
        <v>7280.64</v>
      </c>
      <c r="U18" s="35" t="n">
        <v>7280.64</v>
      </c>
      <c r="V18" s="34" t="n">
        <v>7104.84</v>
      </c>
      <c r="W18" s="34" t="n">
        <v>6585.54</v>
      </c>
      <c r="X18" s="36" t="n">
        <v>6249.25</v>
      </c>
      <c r="Y18" s="10" t="n"/>
      <c r="Z18" s="11" t="n"/>
      <c r="AA18" s="10" t="n"/>
      <c r="AB18" s="10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34" t="n">
        <v>1636392.64</v>
      </c>
      <c r="F19" s="35" t="n">
        <v>1636392.64</v>
      </c>
      <c r="G19" s="34" t="n">
        <v>1652543.18</v>
      </c>
      <c r="H19" s="34" t="n">
        <v>1685160.28</v>
      </c>
      <c r="I19" s="34" t="n">
        <v>1723687.94</v>
      </c>
      <c r="J19" s="34" t="n">
        <v>1702071.85</v>
      </c>
      <c r="K19" s="35" t="n">
        <v>1702071.85</v>
      </c>
      <c r="L19" s="34" t="n">
        <v>1706123.45</v>
      </c>
      <c r="M19" s="34" t="n">
        <v>1729732.86</v>
      </c>
      <c r="N19" s="34" t="n">
        <v>1752246.49</v>
      </c>
      <c r="O19" s="34" t="n">
        <v>1756830.17</v>
      </c>
      <c r="P19" s="35" t="n">
        <v>1756830.17</v>
      </c>
      <c r="Q19" s="34" t="n">
        <v>1776528.95</v>
      </c>
      <c r="R19" s="34" t="n">
        <v>1809340.34</v>
      </c>
      <c r="S19" s="34" t="n">
        <v>1824981.19</v>
      </c>
      <c r="T19" s="34" t="n">
        <v>1861521.41</v>
      </c>
      <c r="U19" s="35" t="n">
        <v>1861521.41</v>
      </c>
      <c r="V19" s="34" t="n">
        <v>1866416.52</v>
      </c>
      <c r="W19" s="34" t="n">
        <v>1936112.73</v>
      </c>
      <c r="X19" s="36" t="n">
        <v>1957565.58</v>
      </c>
      <c r="Y19" s="10" t="n"/>
      <c r="Z19" s="11" t="n"/>
      <c r="AA19" s="10" t="n"/>
      <c r="AB19" s="10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34" t="n">
        <v>1758.94</v>
      </c>
      <c r="F20" s="35" t="n">
        <v>1758.94</v>
      </c>
      <c r="G20" s="34" t="n">
        <v>2429.03</v>
      </c>
      <c r="H20" s="34" t="n">
        <v>3583.87</v>
      </c>
      <c r="I20" s="34" t="n">
        <v>5618.02</v>
      </c>
      <c r="J20" s="34" t="n">
        <v>8876.190000000001</v>
      </c>
      <c r="K20" s="35" t="n">
        <v>8876.190000000001</v>
      </c>
      <c r="L20" s="34" t="n">
        <v>10598.12</v>
      </c>
      <c r="M20" s="34" t="n">
        <v>12957.88</v>
      </c>
      <c r="N20" s="34" t="n">
        <v>15592.62</v>
      </c>
      <c r="O20" s="34" t="n">
        <v>14726.12</v>
      </c>
      <c r="P20" s="35" t="n">
        <v>14726.12</v>
      </c>
      <c r="Q20" s="34" t="n">
        <v>15420.62</v>
      </c>
      <c r="R20" s="34" t="n">
        <v>16621.06</v>
      </c>
      <c r="S20" s="34" t="n">
        <v>17697.01</v>
      </c>
      <c r="T20" s="34" t="n">
        <v>20930.21</v>
      </c>
      <c r="U20" s="35" t="n">
        <v>20930.21</v>
      </c>
      <c r="V20" s="34" t="n">
        <v>20972.33</v>
      </c>
      <c r="W20" s="34" t="n">
        <v>21326.66</v>
      </c>
      <c r="X20" s="36" t="n">
        <v>21733.52</v>
      </c>
      <c r="Y20" s="10" t="n"/>
      <c r="Z20" s="11" t="n"/>
      <c r="AA20" s="10" t="n"/>
      <c r="AB20" s="10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34" t="n">
        <v>15414.19</v>
      </c>
      <c r="F21" s="35" t="n">
        <v>15414.19</v>
      </c>
      <c r="G21" s="34" t="n">
        <v>15342.61</v>
      </c>
      <c r="H21" s="34" t="n">
        <v>15261.05</v>
      </c>
      <c r="I21" s="34" t="n">
        <v>15434.44</v>
      </c>
      <c r="J21" s="34" t="n">
        <v>16955.2</v>
      </c>
      <c r="K21" s="35" t="n">
        <v>16955.2</v>
      </c>
      <c r="L21" s="34" t="n">
        <v>17179.61</v>
      </c>
      <c r="M21" s="34" t="n">
        <v>17283.02</v>
      </c>
      <c r="N21" s="34" t="n">
        <v>23178.69</v>
      </c>
      <c r="O21" s="34" t="n">
        <v>22300.49</v>
      </c>
      <c r="P21" s="35" t="n">
        <v>22300.49</v>
      </c>
      <c r="Q21" s="34" t="n">
        <v>23111.74</v>
      </c>
      <c r="R21" s="34" t="n">
        <v>23078.57</v>
      </c>
      <c r="S21" s="34" t="n">
        <v>21559.29</v>
      </c>
      <c r="T21" s="34" t="n">
        <v>21636.21</v>
      </c>
      <c r="U21" s="35" t="n">
        <v>21636.21</v>
      </c>
      <c r="V21" s="34" t="n">
        <v>20712.06</v>
      </c>
      <c r="W21" s="34" t="n">
        <v>19622.45</v>
      </c>
      <c r="X21" s="36" t="n">
        <v>18690.11</v>
      </c>
      <c r="Y21" s="10" t="n"/>
      <c r="Z21" s="11" t="n"/>
      <c r="AA21" s="10" t="n"/>
      <c r="AB21" s="10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기타비유동자산</t>
        </is>
      </c>
      <c r="E22" s="34" t="n">
        <v>22996.01</v>
      </c>
      <c r="F22" s="35" t="n">
        <v>22996.01</v>
      </c>
      <c r="G22" s="34" t="n">
        <v>22829.08</v>
      </c>
      <c r="H22" s="34" t="n">
        <v>18884.61</v>
      </c>
      <c r="I22" s="34" t="n">
        <v>15434.44</v>
      </c>
      <c r="J22" s="34" t="n">
        <v>110317.92</v>
      </c>
      <c r="K22" s="35" t="n">
        <v>110317.92</v>
      </c>
      <c r="L22" s="34" t="n">
        <v>107881.04</v>
      </c>
      <c r="M22" s="34" t="n">
        <v>103882.1</v>
      </c>
      <c r="N22" s="34" t="n">
        <v>104182.19</v>
      </c>
      <c r="O22" s="34" t="n">
        <v>111761.67</v>
      </c>
      <c r="P22" s="35" t="n">
        <v>111761.67</v>
      </c>
      <c r="Q22" s="34" t="n">
        <v>107797.11</v>
      </c>
      <c r="R22" s="34" t="n">
        <v>103592.78</v>
      </c>
      <c r="S22" s="34" t="n">
        <v>97095.67</v>
      </c>
      <c r="T22" s="34" t="n">
        <v>78148.94</v>
      </c>
      <c r="U22" s="35" t="n">
        <v>78148.94</v>
      </c>
      <c r="V22" s="34" t="n">
        <v>71035.39</v>
      </c>
      <c r="W22" s="34" t="n">
        <v>61884.77</v>
      </c>
      <c r="X22" s="36" t="n">
        <v>54831.15</v>
      </c>
      <c r="Y22" s="10" t="n"/>
      <c r="Z22" s="11" t="n"/>
      <c r="AA22" s="10" t="n"/>
      <c r="AB22" s="10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비유동파생상품자산</t>
        </is>
      </c>
      <c r="E23" s="34" t="n">
        <v>1247.58</v>
      </c>
      <c r="F23" s="35" t="n">
        <v>1247.58</v>
      </c>
      <c r="G23" s="34" t="n">
        <v>2856.12</v>
      </c>
      <c r="J23" s="34" t="n">
        <v>19316.97</v>
      </c>
      <c r="K23" s="35" t="n">
        <v>19316.97</v>
      </c>
      <c r="L23" s="34" t="n">
        <v>10750.01</v>
      </c>
      <c r="M23" s="34" t="n">
        <v>13448.73</v>
      </c>
      <c r="N23" s="34" t="n">
        <v>4016.89</v>
      </c>
      <c r="O23" s="34" t="n">
        <v>15623.77</v>
      </c>
      <c r="P23" s="35" t="n">
        <v>15623.77</v>
      </c>
      <c r="Q23" s="34" t="n">
        <v>954.4400000000001</v>
      </c>
      <c r="R23" s="34" t="n">
        <v>0</v>
      </c>
      <c r="S23" s="34" t="n">
        <v>14890.81</v>
      </c>
      <c r="T23" s="34" t="n">
        <v>0</v>
      </c>
      <c r="U23" s="35" t="n">
        <v>0</v>
      </c>
      <c r="W23" s="34" t="n">
        <v>47644.26</v>
      </c>
      <c r="X23" s="36" t="n">
        <v>10048.05</v>
      </c>
      <c r="Y23" s="10" t="n"/>
      <c r="Z23" s="11" t="n"/>
      <c r="AA23" s="10" t="n"/>
      <c r="AB23" s="10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비유동확정계약자산</t>
        </is>
      </c>
      <c r="E24" s="34" t="n">
        <v>31692.05</v>
      </c>
      <c r="F24" s="35" t="n">
        <v>31692.05</v>
      </c>
      <c r="G24" s="34" t="n">
        <v>27599.9</v>
      </c>
      <c r="H24" s="34" t="n">
        <v>81004.24000000001</v>
      </c>
      <c r="I24" s="34" t="n">
        <v>174527.51</v>
      </c>
      <c r="J24" s="34" t="n">
        <v>24761.83</v>
      </c>
      <c r="K24" s="35" t="n">
        <v>24761.83</v>
      </c>
      <c r="L24" s="34" t="n">
        <v>35792.49</v>
      </c>
      <c r="M24" s="34" t="n">
        <v>31436.13</v>
      </c>
      <c r="N24" s="34" t="n">
        <v>56188.95</v>
      </c>
      <c r="O24" s="34" t="n">
        <v>13771.64</v>
      </c>
      <c r="P24" s="35" t="n">
        <v>13771.64</v>
      </c>
      <c r="Q24" s="34" t="n">
        <v>43201.07</v>
      </c>
      <c r="R24" s="34" t="n">
        <v>82197.45</v>
      </c>
      <c r="S24" s="34" t="n">
        <v>20269.95</v>
      </c>
      <c r="T24" s="34" t="n">
        <v>187895.67</v>
      </c>
      <c r="U24" s="35" t="n">
        <v>187895.67</v>
      </c>
      <c r="V24" s="34" t="n">
        <v>172863.09</v>
      </c>
      <c r="W24" s="34" t="n">
        <v>29769.79</v>
      </c>
      <c r="X24" s="36" t="n">
        <v>64009.3</v>
      </c>
      <c r="Y24" s="10" t="n"/>
      <c r="Z24" s="11" t="n"/>
      <c r="AA24" s="10" t="n"/>
      <c r="AB24" s="10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34" t="n">
        <v>117765.29</v>
      </c>
      <c r="F25" s="35" t="n">
        <v>117765.29</v>
      </c>
      <c r="G25" s="34" t="n">
        <v>127290.04</v>
      </c>
      <c r="H25" s="34" t="n">
        <v>114200.15</v>
      </c>
      <c r="I25" s="34" t="n">
        <v>79950.66</v>
      </c>
      <c r="J25" s="34" t="n">
        <v>135722.09</v>
      </c>
      <c r="K25" s="35" t="n">
        <v>135722.09</v>
      </c>
      <c r="L25" s="34" t="n">
        <v>136778.98</v>
      </c>
      <c r="M25" s="34" t="n">
        <v>150403.05</v>
      </c>
      <c r="N25" s="34" t="n">
        <v>146994.7</v>
      </c>
      <c r="O25" s="34" t="n">
        <v>172186.42</v>
      </c>
      <c r="P25" s="35" t="n">
        <v>172186.42</v>
      </c>
      <c r="Q25" s="34" t="n">
        <v>171652.18</v>
      </c>
      <c r="R25" s="34" t="n">
        <v>164867.08</v>
      </c>
      <c r="S25" s="34" t="n">
        <v>165595.9</v>
      </c>
      <c r="T25" s="34" t="n">
        <v>152541.9</v>
      </c>
      <c r="U25" s="35" t="n">
        <v>152541.9</v>
      </c>
      <c r="V25" s="34" t="n">
        <v>146864.09</v>
      </c>
      <c r="W25" s="34" t="n">
        <v>130020.56</v>
      </c>
      <c r="X25" s="36" t="n">
        <v>94883.22</v>
      </c>
      <c r="Y25" s="10" t="n"/>
      <c r="Z25" s="11" t="n"/>
      <c r="AA25" s="10" t="n"/>
      <c r="AB25" s="10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34" t="n">
        <v>3878320.28</v>
      </c>
      <c r="F26" s="35" t="n">
        <v>3878320.28</v>
      </c>
      <c r="G26" s="34" t="n">
        <v>4198411.72</v>
      </c>
      <c r="H26" s="34" t="n">
        <v>4403186.06</v>
      </c>
      <c r="I26" s="34" t="n">
        <v>5068885.14</v>
      </c>
      <c r="J26" s="34" t="n">
        <v>4748245.5</v>
      </c>
      <c r="K26" s="35" t="n">
        <v>4748245.5</v>
      </c>
      <c r="L26" s="34" t="n">
        <v>4734089.17</v>
      </c>
      <c r="M26" s="34" t="n">
        <v>4707023.36</v>
      </c>
      <c r="N26" s="34" t="n">
        <v>4825769.07</v>
      </c>
      <c r="O26" s="34" t="n">
        <v>4909071.43</v>
      </c>
      <c r="P26" s="35" t="n">
        <v>4909071.43</v>
      </c>
      <c r="Q26" s="34" t="n">
        <v>4748582.95</v>
      </c>
      <c r="R26" s="34" t="n">
        <v>4753852.56</v>
      </c>
      <c r="S26" s="34" t="n">
        <v>4572997.13</v>
      </c>
      <c r="T26" s="34" t="n">
        <v>5108867.29</v>
      </c>
      <c r="U26" s="35" t="n">
        <v>5108867.29</v>
      </c>
      <c r="V26" s="34" t="n">
        <v>5197532.56</v>
      </c>
      <c r="W26" s="34" t="n">
        <v>5145120.26</v>
      </c>
      <c r="X26" s="36" t="n">
        <v>5114546.14</v>
      </c>
      <c r="Y26" s="10" t="n"/>
      <c r="Z26" s="11" t="n"/>
      <c r="AA26" s="10" t="n"/>
      <c r="AB26" s="10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34" t="n">
        <v>1612004.35</v>
      </c>
      <c r="F27" s="35" t="n">
        <v>1612004.35</v>
      </c>
      <c r="G27" s="34" t="n">
        <v>1968685.73</v>
      </c>
      <c r="H27" s="34" t="n">
        <v>2080370.42</v>
      </c>
      <c r="I27" s="34" t="n">
        <v>2533506.92</v>
      </c>
      <c r="J27" s="34" t="n">
        <v>2499086.89</v>
      </c>
      <c r="K27" s="35" t="n">
        <v>2499086.89</v>
      </c>
      <c r="L27" s="34" t="n">
        <v>2484394.55</v>
      </c>
      <c r="M27" s="34" t="n">
        <v>2492321.34</v>
      </c>
      <c r="N27" s="34" t="n">
        <v>2580232.88</v>
      </c>
      <c r="O27" s="34" t="n">
        <v>2735399.72</v>
      </c>
      <c r="P27" s="35" t="n">
        <v>2735399.72</v>
      </c>
      <c r="Q27" s="34" t="n">
        <v>2492849.51</v>
      </c>
      <c r="R27" s="34" t="n">
        <v>2448496.59</v>
      </c>
      <c r="S27" s="34" t="n">
        <v>2379286.52</v>
      </c>
      <c r="T27" s="34" t="n">
        <v>2705577.86</v>
      </c>
      <c r="U27" s="35" t="n">
        <v>2705577.86</v>
      </c>
      <c r="V27" s="34" t="n">
        <v>2870461.04</v>
      </c>
      <c r="W27" s="34" t="n">
        <v>2845940</v>
      </c>
      <c r="X27" s="36" t="n">
        <v>2649454.31</v>
      </c>
      <c r="Y27" s="10" t="n"/>
      <c r="Z27" s="11" t="n"/>
      <c r="AA27" s="10" t="n"/>
      <c r="AB27" s="10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34" t="n">
        <v>169155.8</v>
      </c>
      <c r="F28" s="35" t="n">
        <v>169155.8</v>
      </c>
      <c r="G28" s="34" t="n">
        <v>202029.85</v>
      </c>
      <c r="H28" s="34" t="n">
        <v>193066.4</v>
      </c>
      <c r="I28" s="34" t="n">
        <v>163444.1</v>
      </c>
      <c r="J28" s="34" t="n">
        <v>107721.17</v>
      </c>
      <c r="K28" s="35" t="n">
        <v>107721.17</v>
      </c>
      <c r="L28" s="34" t="n">
        <v>173678.08</v>
      </c>
      <c r="M28" s="34" t="n">
        <v>285828.23</v>
      </c>
      <c r="N28" s="34" t="n">
        <v>362946.64</v>
      </c>
      <c r="O28" s="34" t="n">
        <v>478561.15</v>
      </c>
      <c r="P28" s="35" t="n">
        <v>478561.15</v>
      </c>
      <c r="Q28" s="34" t="n">
        <v>276982.09</v>
      </c>
      <c r="R28" s="34" t="n">
        <v>180481.47</v>
      </c>
      <c r="S28" s="34" t="n">
        <v>94568.63</v>
      </c>
      <c r="T28" s="34" t="n">
        <v>159198.21</v>
      </c>
      <c r="U28" s="35" t="n">
        <v>159198.21</v>
      </c>
      <c r="V28" s="34" t="n">
        <v>158819.16</v>
      </c>
      <c r="W28" s="34" t="n">
        <v>121172.19</v>
      </c>
      <c r="X28" s="36" t="n">
        <v>119484.55</v>
      </c>
      <c r="Y28" s="10" t="n"/>
      <c r="Z28" s="11" t="n"/>
      <c r="AA28" s="10" t="n"/>
      <c r="AB28" s="10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단기금융부채(face)</t>
        </is>
      </c>
      <c r="E29" s="34" t="n">
        <v>169155.8</v>
      </c>
      <c r="F29" s="35" t="n">
        <v>169155.8</v>
      </c>
      <c r="G29" s="34" t="n">
        <v>202029.85</v>
      </c>
      <c r="H29" s="34" t="n">
        <v>193066.4</v>
      </c>
      <c r="I29" s="34" t="n">
        <v>163444.1</v>
      </c>
      <c r="J29" s="34" t="n">
        <v>107721.17</v>
      </c>
      <c r="K29" s="35" t="n">
        <v>107721.17</v>
      </c>
      <c r="L29" s="34" t="n">
        <v>173678.08</v>
      </c>
      <c r="M29" s="34" t="n">
        <v>285828.23</v>
      </c>
      <c r="N29" s="34" t="n">
        <v>362946.64</v>
      </c>
      <c r="O29" s="34" t="n">
        <v>478561.15</v>
      </c>
      <c r="P29" s="35" t="n">
        <v>478561.15</v>
      </c>
      <c r="Q29" s="34" t="n">
        <v>276982.09</v>
      </c>
      <c r="R29" s="34" t="n">
        <v>180481.47</v>
      </c>
      <c r="S29" s="34" t="n">
        <v>94568.63</v>
      </c>
      <c r="T29" s="34" t="n">
        <v>159198.21</v>
      </c>
      <c r="U29" s="35" t="n">
        <v>159198.21</v>
      </c>
      <c r="V29" s="34" t="n">
        <v>158819.16</v>
      </c>
      <c r="W29" s="34" t="n">
        <v>121172.19</v>
      </c>
      <c r="X29" s="36" t="n">
        <v>119484.55</v>
      </c>
      <c r="Y29" s="10" t="n"/>
      <c r="Z29" s="11" t="n"/>
      <c r="AA29" s="10" t="n"/>
      <c r="AB29" s="10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매입채무및기타채무</t>
        </is>
      </c>
      <c r="E30" s="34" t="n">
        <v>519472.56</v>
      </c>
      <c r="F30" s="35" t="n">
        <v>519472.56</v>
      </c>
      <c r="G30" s="34" t="n">
        <v>435136.91</v>
      </c>
      <c r="H30" s="34" t="n">
        <v>583904.61</v>
      </c>
      <c r="I30" s="34" t="n">
        <v>625537.42</v>
      </c>
      <c r="J30" s="34" t="n">
        <v>687506.08</v>
      </c>
      <c r="K30" s="35" t="n">
        <v>687506.08</v>
      </c>
      <c r="L30" s="34" t="n">
        <v>651644.76</v>
      </c>
      <c r="M30" s="34" t="n">
        <v>614360.64</v>
      </c>
      <c r="N30" s="34" t="n">
        <v>516996.7</v>
      </c>
      <c r="O30" s="34" t="n">
        <v>567411.38</v>
      </c>
      <c r="P30" s="35" t="n">
        <v>567411.38</v>
      </c>
      <c r="Q30" s="34" t="n">
        <v>620815.9399999999</v>
      </c>
      <c r="R30" s="34" t="n">
        <v>669370.09</v>
      </c>
      <c r="S30" s="34" t="n">
        <v>587647.98</v>
      </c>
      <c r="T30" s="34" t="n">
        <v>753608.85</v>
      </c>
      <c r="U30" s="35" t="n">
        <v>753608.85</v>
      </c>
      <c r="V30" s="34" t="n">
        <v>708798.85</v>
      </c>
      <c r="W30" s="34" t="n">
        <v>776124.4300000001</v>
      </c>
      <c r="X30" s="36" t="n">
        <v>731594.83</v>
      </c>
      <c r="Y30" s="10" t="n"/>
      <c r="Z30" s="11" t="n"/>
      <c r="AA30" s="10" t="n"/>
      <c r="AB30" s="10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계약부채</t>
        </is>
      </c>
      <c r="E31" s="34" t="n">
        <v>602513.9399999999</v>
      </c>
      <c r="F31" s="35" t="n">
        <v>602513.9399999999</v>
      </c>
      <c r="G31" s="34" t="n">
        <v>974873.75</v>
      </c>
      <c r="H31" s="34" t="n">
        <v>982481.76</v>
      </c>
      <c r="I31" s="34" t="n">
        <v>1352571.32</v>
      </c>
      <c r="J31" s="34" t="n">
        <v>1454465.26</v>
      </c>
      <c r="K31" s="35" t="n">
        <v>1454465.26</v>
      </c>
      <c r="L31" s="34" t="n">
        <v>1498006.89</v>
      </c>
      <c r="M31" s="34" t="n">
        <v>1463662.06</v>
      </c>
      <c r="N31" s="34" t="n">
        <v>1551498.7</v>
      </c>
      <c r="O31" s="34" t="n">
        <v>1557774.39</v>
      </c>
      <c r="P31" s="35" t="n">
        <v>1557774.39</v>
      </c>
      <c r="Q31" s="34" t="n">
        <v>1479866.98</v>
      </c>
      <c r="R31" s="34" t="n">
        <v>1455255.74</v>
      </c>
      <c r="S31" s="34" t="n">
        <v>1628960.47</v>
      </c>
      <c r="T31" s="34" t="n">
        <v>1588626.42</v>
      </c>
      <c r="U31" s="35" t="n">
        <v>1588626.42</v>
      </c>
      <c r="V31" s="34" t="n">
        <v>1816119.55</v>
      </c>
      <c r="W31" s="34" t="n">
        <v>1851368.87</v>
      </c>
      <c r="X31" s="36" t="n">
        <v>1662890.29</v>
      </c>
      <c r="Y31" s="10" t="n"/>
      <c r="Z31" s="11" t="n"/>
      <c r="AA31" s="10" t="n"/>
      <c r="AB31" s="10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단기충당부채</t>
        </is>
      </c>
      <c r="E32" s="34" t="n">
        <v>272843.11</v>
      </c>
      <c r="F32" s="35" t="n">
        <v>272843.11</v>
      </c>
      <c r="G32" s="34" t="n">
        <v>288817.34</v>
      </c>
      <c r="H32" s="34" t="n">
        <v>189206.2</v>
      </c>
      <c r="I32" s="34" t="n">
        <v>123756.54</v>
      </c>
      <c r="J32" s="34" t="n">
        <v>144586.98</v>
      </c>
      <c r="K32" s="35" t="n">
        <v>144586.98</v>
      </c>
      <c r="L32" s="34" t="n">
        <v>49742.78</v>
      </c>
      <c r="M32" s="34" t="n">
        <v>29462.42</v>
      </c>
      <c r="N32" s="34" t="n">
        <v>36587.81</v>
      </c>
      <c r="O32" s="34" t="n">
        <v>74195.60000000001</v>
      </c>
      <c r="P32" s="35" t="n">
        <v>74195.60000000001</v>
      </c>
      <c r="Q32" s="34" t="n">
        <v>35945.67</v>
      </c>
      <c r="R32" s="34" t="n">
        <v>26630.11</v>
      </c>
      <c r="S32" s="34" t="n">
        <v>15566.98</v>
      </c>
      <c r="T32" s="34" t="n">
        <v>11216.9</v>
      </c>
      <c r="U32" s="35" t="n">
        <v>11216.9</v>
      </c>
      <c r="V32" s="34" t="n">
        <v>12003.85</v>
      </c>
      <c r="W32" s="34" t="n">
        <v>26936.98</v>
      </c>
      <c r="X32" s="36" t="n">
        <v>12716.65</v>
      </c>
      <c r="Y32" s="10" t="n"/>
      <c r="Z32" s="11" t="n"/>
      <c r="AA32" s="10" t="n"/>
      <c r="AB32" s="10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유동리스부채</t>
        </is>
      </c>
      <c r="E33" s="34" t="n">
        <v>1454.35</v>
      </c>
      <c r="F33" s="35" t="n">
        <v>1454.35</v>
      </c>
      <c r="G33" s="34" t="n">
        <v>1507.08</v>
      </c>
      <c r="H33" s="34" t="n">
        <v>1231.99</v>
      </c>
      <c r="I33" s="34" t="n">
        <v>1151.79</v>
      </c>
      <c r="J33" s="34" t="n">
        <v>1716.81</v>
      </c>
      <c r="K33" s="35" t="n">
        <v>1716.81</v>
      </c>
      <c r="L33" s="34" t="n">
        <v>1932.27</v>
      </c>
      <c r="M33" s="34" t="n">
        <v>2000.36</v>
      </c>
      <c r="N33" s="34" t="n">
        <v>3816.51</v>
      </c>
      <c r="O33" s="34" t="n">
        <v>4239.09</v>
      </c>
      <c r="P33" s="35" t="n">
        <v>4239.09</v>
      </c>
      <c r="Q33" s="34" t="n">
        <v>4577.01</v>
      </c>
      <c r="R33" s="34" t="n">
        <v>4574.83</v>
      </c>
      <c r="S33" s="34" t="n">
        <v>4174.22</v>
      </c>
      <c r="T33" s="34" t="n">
        <v>4870.32</v>
      </c>
      <c r="U33" s="35" t="n">
        <v>4870.32</v>
      </c>
      <c r="V33" s="34" t="n">
        <v>4527.22</v>
      </c>
      <c r="W33" s="34" t="n">
        <v>4644.92</v>
      </c>
      <c r="X33" s="36" t="n">
        <v>4326.21</v>
      </c>
      <c r="Y33" s="10" t="n"/>
      <c r="Z33" s="11" t="n"/>
      <c r="AA33" s="10" t="n"/>
      <c r="AB33" s="10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리스부채</t>
        </is>
      </c>
      <c r="E34" s="34" t="n">
        <v>10008.11</v>
      </c>
      <c r="F34" s="35" t="n">
        <v>10008.11</v>
      </c>
      <c r="G34" s="34" t="n">
        <v>10081.63</v>
      </c>
      <c r="H34" s="34" t="n">
        <v>9788.940000000001</v>
      </c>
      <c r="I34" s="34" t="n">
        <v>9357.15</v>
      </c>
      <c r="J34" s="34" t="n">
        <v>11558.32</v>
      </c>
      <c r="K34" s="35" t="n">
        <v>11558.32</v>
      </c>
      <c r="L34" s="34" t="n">
        <v>11921.09</v>
      </c>
      <c r="M34" s="34" t="n">
        <v>12152.18</v>
      </c>
      <c r="N34" s="34" t="n">
        <v>18224.38</v>
      </c>
      <c r="O34" s="34" t="n">
        <v>18094.16</v>
      </c>
      <c r="P34" s="35" t="n">
        <v>18094.16</v>
      </c>
      <c r="Q34" s="34" t="n">
        <v>18238.25</v>
      </c>
      <c r="R34" s="34" t="n">
        <v>17886.84</v>
      </c>
      <c r="S34" s="34" t="n">
        <v>16630.34</v>
      </c>
      <c r="T34" s="34" t="n">
        <v>16521.33</v>
      </c>
      <c r="U34" s="35" t="n">
        <v>16521.33</v>
      </c>
      <c r="V34" s="34" t="n">
        <v>15765.97</v>
      </c>
      <c r="W34" s="34" t="n">
        <v>15418.18</v>
      </c>
      <c r="X34" s="36" t="n">
        <v>14240.48</v>
      </c>
      <c r="Y34" s="10" t="n"/>
      <c r="Z34" s="11" t="n"/>
      <c r="AA34" s="10" t="n"/>
      <c r="AB34" s="10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34" t="n">
        <v>47931.26</v>
      </c>
      <c r="F35" s="35" t="n">
        <v>47931.26</v>
      </c>
      <c r="G35" s="34" t="n">
        <v>67794.49000000001</v>
      </c>
      <c r="H35" s="34" t="n">
        <v>131670.24</v>
      </c>
      <c r="I35" s="34" t="n">
        <v>268038.57</v>
      </c>
      <c r="J35" s="34" t="n">
        <v>104637.45</v>
      </c>
      <c r="K35" s="35" t="n">
        <v>104637.45</v>
      </c>
      <c r="L35" s="34" t="n">
        <v>111196.55</v>
      </c>
      <c r="M35" s="34" t="n">
        <v>98852.73</v>
      </c>
      <c r="N35" s="34" t="n">
        <v>111814.46</v>
      </c>
      <c r="O35" s="34" t="n">
        <v>57457.06</v>
      </c>
      <c r="P35" s="35" t="n">
        <v>57457.06</v>
      </c>
      <c r="Q35" s="34" t="n">
        <v>78915.3</v>
      </c>
      <c r="R35" s="34" t="n">
        <v>116135.51</v>
      </c>
      <c r="S35" s="34" t="n">
        <v>51140.21</v>
      </c>
      <c r="T35" s="34" t="n">
        <v>190727.97</v>
      </c>
      <c r="U35" s="35" t="n">
        <v>190727.97</v>
      </c>
      <c r="V35" s="34" t="n">
        <v>172545.39</v>
      </c>
      <c r="W35" s="34" t="n">
        <v>67447.53999999999</v>
      </c>
      <c r="X35" s="36" t="n">
        <v>113433.63</v>
      </c>
      <c r="Y35" s="10" t="n"/>
      <c r="Z35" s="11" t="n"/>
      <c r="AA35" s="10" t="n"/>
      <c r="AB35" s="10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단기파생상품부채</t>
        </is>
      </c>
      <c r="E36" s="34" t="n">
        <v>46476.91</v>
      </c>
      <c r="F36" s="35" t="n">
        <v>46476.91</v>
      </c>
      <c r="G36" s="34" t="n">
        <v>66287.41</v>
      </c>
      <c r="H36" s="34" t="n">
        <v>130438.25</v>
      </c>
      <c r="I36" s="34" t="n">
        <v>266886.78</v>
      </c>
      <c r="J36" s="34" t="n">
        <v>102920.64</v>
      </c>
      <c r="K36" s="35" t="n">
        <v>102920.64</v>
      </c>
      <c r="L36" s="34" t="n">
        <v>109264.28</v>
      </c>
      <c r="M36" s="34" t="n">
        <v>96852.37</v>
      </c>
      <c r="N36" s="34" t="n">
        <v>107997.95</v>
      </c>
      <c r="O36" s="34" t="n">
        <v>53217.97</v>
      </c>
      <c r="P36" s="35" t="n">
        <v>53217.97</v>
      </c>
      <c r="Q36" s="34" t="n">
        <v>74338.28999999999</v>
      </c>
      <c r="R36" s="34" t="n">
        <v>111560.68</v>
      </c>
      <c r="S36" s="34" t="n">
        <v>46965.99</v>
      </c>
      <c r="T36" s="34" t="n">
        <v>185857.65</v>
      </c>
      <c r="U36" s="35" t="n">
        <v>185857.65</v>
      </c>
      <c r="V36" s="34" t="n">
        <v>168018.17</v>
      </c>
      <c r="W36" s="34" t="n">
        <v>62802.62</v>
      </c>
      <c r="X36" s="36" t="n">
        <v>109107.42</v>
      </c>
      <c r="Y36" s="10" t="n"/>
      <c r="Z36" s="11" t="n"/>
      <c r="AA36" s="10" t="n"/>
      <c r="AB36" s="10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기타유동부채</t>
        </is>
      </c>
      <c r="E37" s="34" t="n">
        <v>87.68000000000001</v>
      </c>
      <c r="F37" s="35" t="n">
        <v>87.68000000000001</v>
      </c>
      <c r="G37" s="34" t="n">
        <v>33.38</v>
      </c>
      <c r="H37" s="34" t="n">
        <v>41.2</v>
      </c>
      <c r="I37" s="34" t="n">
        <v>158.98</v>
      </c>
      <c r="J37" s="34" t="n">
        <v>169.94</v>
      </c>
      <c r="K37" s="35" t="n">
        <v>169.94</v>
      </c>
      <c r="L37" s="34" t="n">
        <v>125.49</v>
      </c>
      <c r="M37" s="34" t="n">
        <v>155.25</v>
      </c>
      <c r="N37" s="34" t="n">
        <v>388.58</v>
      </c>
      <c r="O37" s="34" t="n">
        <v>0.14</v>
      </c>
      <c r="P37" s="35" t="n">
        <v>0.14</v>
      </c>
      <c r="Q37" s="34" t="n">
        <v>323.52</v>
      </c>
      <c r="R37" s="34" t="n">
        <v>623.6799999999999</v>
      </c>
      <c r="S37" s="34" t="n">
        <v>1402.24</v>
      </c>
      <c r="T37" s="34" t="n">
        <v>2199.51</v>
      </c>
      <c r="U37" s="35" t="n">
        <v>2199.51</v>
      </c>
      <c r="V37" s="34" t="n">
        <v>2174.24</v>
      </c>
      <c r="W37" s="34" t="n">
        <v>2889.99</v>
      </c>
      <c r="X37" s="36" t="n">
        <v>9334.370000000001</v>
      </c>
      <c r="Y37" s="10" t="n"/>
      <c r="Z37" s="11" t="n"/>
      <c r="AA37" s="10" t="n"/>
      <c r="AB37" s="10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비유동부채</t>
        </is>
      </c>
      <c r="E38" s="34" t="n">
        <v>62017.13</v>
      </c>
      <c r="F38" s="35" t="n">
        <v>62017.13</v>
      </c>
      <c r="G38" s="34" t="n">
        <v>62667.29</v>
      </c>
      <c r="H38" s="34" t="n">
        <v>112693.29</v>
      </c>
      <c r="I38" s="34" t="n">
        <v>208268.62</v>
      </c>
      <c r="J38" s="34" t="n">
        <v>73894.85000000001</v>
      </c>
      <c r="K38" s="35" t="n">
        <v>73894.85000000001</v>
      </c>
      <c r="L38" s="34" t="n">
        <v>76204.21000000001</v>
      </c>
      <c r="M38" s="34" t="n">
        <v>75460.82000000001</v>
      </c>
      <c r="N38" s="34" t="n">
        <v>94159.38</v>
      </c>
      <c r="O38" s="34" t="n">
        <v>158458.47</v>
      </c>
      <c r="P38" s="35" t="n">
        <v>158458.47</v>
      </c>
      <c r="Q38" s="34" t="n">
        <v>235263.95</v>
      </c>
      <c r="R38" s="34" t="n">
        <v>252971.66</v>
      </c>
      <c r="S38" s="34" t="n">
        <v>144021.68</v>
      </c>
      <c r="T38" s="34" t="n">
        <v>296858.66</v>
      </c>
      <c r="U38" s="35" t="n">
        <v>296858.66</v>
      </c>
      <c r="V38" s="34" t="n">
        <v>199995.76</v>
      </c>
      <c r="W38" s="34" t="n">
        <v>102589.62</v>
      </c>
      <c r="X38" s="36" t="n">
        <v>100445.76</v>
      </c>
      <c r="Y38" s="10" t="n"/>
      <c r="Z38" s="11" t="n"/>
      <c r="AA38" s="10" t="n"/>
      <c r="AB38" s="10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장기매입채무및기타채무</t>
        </is>
      </c>
      <c r="E39" s="34" t="n">
        <v>41.19</v>
      </c>
      <c r="F39" s="35" t="n">
        <v>41.19</v>
      </c>
      <c r="G39" s="34" t="n">
        <v>5.72</v>
      </c>
      <c r="H39" s="34" t="n">
        <v>5.72</v>
      </c>
      <c r="I39" s="34" t="n">
        <v>5.72</v>
      </c>
      <c r="J39" s="34" t="n">
        <v>5.73</v>
      </c>
      <c r="K39" s="35" t="n">
        <v>5.73</v>
      </c>
      <c r="L39" s="34" t="n">
        <v>3.28</v>
      </c>
      <c r="M39" s="34" t="n">
        <v>1.78</v>
      </c>
      <c r="N39" s="34" t="n">
        <v>1.78</v>
      </c>
      <c r="O39" s="34" t="n">
        <v>71.78</v>
      </c>
      <c r="P39" s="35" t="n">
        <v>71.78</v>
      </c>
      <c r="Q39" s="34" t="n">
        <v>71.78</v>
      </c>
      <c r="R39" s="34" t="n">
        <v>71.78</v>
      </c>
      <c r="S39" s="34" t="n">
        <v>200.28</v>
      </c>
      <c r="T39" s="34" t="n">
        <v>862.95</v>
      </c>
      <c r="U39" s="35" t="n">
        <v>862.95</v>
      </c>
      <c r="V39" s="34" t="n">
        <v>811.42</v>
      </c>
      <c r="W39" s="34" t="n">
        <v>865.34</v>
      </c>
      <c r="X39" s="36" t="n">
        <v>910.48</v>
      </c>
      <c r="Y39" s="10" t="n"/>
      <c r="Z39" s="11" t="n"/>
      <c r="AA39" s="10" t="n"/>
      <c r="AB39" s="10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확정급여부채</t>
        </is>
      </c>
      <c r="E40" s="34" t="n">
        <v>12542.05</v>
      </c>
      <c r="F40" s="35" t="n">
        <v>12542.05</v>
      </c>
      <c r="G40" s="34" t="n">
        <v>13702.11</v>
      </c>
      <c r="H40" s="34" t="n">
        <v>14792.96</v>
      </c>
      <c r="I40" s="34" t="n">
        <v>16781.4</v>
      </c>
      <c r="J40" s="34" t="n">
        <v>11782.49</v>
      </c>
      <c r="K40" s="35" t="n">
        <v>11782.49</v>
      </c>
      <c r="L40" s="34" t="n">
        <v>11992.51</v>
      </c>
      <c r="M40" s="34" t="n">
        <v>11691.59</v>
      </c>
      <c r="N40" s="34" t="n">
        <v>11168.91</v>
      </c>
      <c r="O40" s="34" t="n">
        <v>11390.81</v>
      </c>
      <c r="P40" s="35" t="n">
        <v>11390.81</v>
      </c>
      <c r="Q40" s="34" t="n">
        <v>9335.950000000001</v>
      </c>
      <c r="R40" s="34" t="n">
        <v>9347.42</v>
      </c>
      <c r="S40" s="34" t="n">
        <v>9148.639999999999</v>
      </c>
      <c r="T40" s="34" t="n">
        <v>9721.57</v>
      </c>
      <c r="U40" s="35" t="n">
        <v>9721.57</v>
      </c>
      <c r="V40" s="34" t="n">
        <v>9967.41</v>
      </c>
      <c r="W40" s="34" t="n">
        <v>9606.559999999999</v>
      </c>
      <c r="X40" s="36" t="n">
        <v>10907.62</v>
      </c>
      <c r="Y40" s="10" t="n"/>
      <c r="Z40" s="11" t="n"/>
      <c r="AA40" s="10" t="n"/>
      <c r="AB40" s="10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장기충당부채</t>
        </is>
      </c>
      <c r="E41" s="34" t="n">
        <v>7940.5</v>
      </c>
      <c r="F41" s="35" t="n">
        <v>7940.5</v>
      </c>
      <c r="G41" s="34" t="n">
        <v>9928.879999999999</v>
      </c>
      <c r="H41" s="34" t="n">
        <v>8333.41</v>
      </c>
      <c r="I41" s="34" t="n">
        <v>8748.620000000001</v>
      </c>
      <c r="J41" s="34" t="n">
        <v>8186.33</v>
      </c>
      <c r="K41" s="35" t="n">
        <v>8186.33</v>
      </c>
      <c r="L41" s="34" t="n">
        <v>7677.1</v>
      </c>
      <c r="M41" s="34" t="n">
        <v>7536.07</v>
      </c>
      <c r="N41" s="34" t="n">
        <v>7180.27</v>
      </c>
      <c r="O41" s="34" t="n">
        <v>6668.35</v>
      </c>
      <c r="P41" s="35" t="n">
        <v>6668.35</v>
      </c>
      <c r="Q41" s="34" t="n">
        <v>6633.91</v>
      </c>
      <c r="R41" s="34" t="n">
        <v>6488.54</v>
      </c>
      <c r="S41" s="34" t="n">
        <v>5650.33</v>
      </c>
      <c r="T41" s="34" t="n">
        <v>5817.02</v>
      </c>
      <c r="U41" s="35" t="n">
        <v>5817.02</v>
      </c>
      <c r="V41" s="34" t="n">
        <v>4204.65</v>
      </c>
      <c r="W41" s="34" t="n">
        <v>3930.41</v>
      </c>
      <c r="X41" s="36" t="n">
        <v>3745.61</v>
      </c>
      <c r="Y41" s="10" t="n"/>
      <c r="Z41" s="11" t="n"/>
      <c r="AA41" s="10" t="n"/>
      <c r="AB41" s="10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비유동리스부채</t>
        </is>
      </c>
      <c r="E42" s="34" t="n">
        <v>8553.76</v>
      </c>
      <c r="F42" s="35" t="n">
        <v>8553.76</v>
      </c>
      <c r="G42" s="34" t="n">
        <v>8574.549999999999</v>
      </c>
      <c r="H42" s="34" t="n">
        <v>8556.950000000001</v>
      </c>
      <c r="I42" s="34" t="n">
        <v>8205.360000000001</v>
      </c>
      <c r="J42" s="34" t="n">
        <v>9841.51</v>
      </c>
      <c r="K42" s="35" t="n">
        <v>9841.51</v>
      </c>
      <c r="L42" s="34" t="n">
        <v>9988.82</v>
      </c>
      <c r="M42" s="34" t="n">
        <v>10151.82</v>
      </c>
      <c r="N42" s="34" t="n">
        <v>14407.87</v>
      </c>
      <c r="O42" s="34" t="n">
        <v>13855.07</v>
      </c>
      <c r="P42" s="35" t="n">
        <v>13855.07</v>
      </c>
      <c r="Q42" s="34" t="n">
        <v>13661.24</v>
      </c>
      <c r="R42" s="34" t="n">
        <v>13312.01</v>
      </c>
      <c r="S42" s="34" t="n">
        <v>12456.12</v>
      </c>
      <c r="T42" s="34" t="n">
        <v>11651.01</v>
      </c>
      <c r="U42" s="35" t="n">
        <v>11651.01</v>
      </c>
      <c r="V42" s="34" t="n">
        <v>11238.75</v>
      </c>
      <c r="W42" s="34" t="n">
        <v>10773.26</v>
      </c>
      <c r="X42" s="36" t="n">
        <v>9914.27</v>
      </c>
      <c r="Y42" s="10" t="n"/>
      <c r="Z42" s="11" t="n"/>
      <c r="AA42" s="10" t="n"/>
      <c r="AB42" s="10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장기금융부채</t>
        </is>
      </c>
      <c r="E43" s="34" t="n">
        <v>41493.39</v>
      </c>
      <c r="F43" s="35" t="n">
        <v>41493.39</v>
      </c>
      <c r="G43" s="34" t="n">
        <v>39030.57</v>
      </c>
      <c r="H43" s="34" t="n">
        <v>89561.19</v>
      </c>
      <c r="I43" s="34" t="n">
        <v>182732.87</v>
      </c>
      <c r="J43" s="34" t="n">
        <v>53920.31</v>
      </c>
      <c r="K43" s="35" t="n">
        <v>53920.31</v>
      </c>
      <c r="L43" s="34" t="n">
        <v>56531.32</v>
      </c>
      <c r="M43" s="34" t="n">
        <v>55036.67</v>
      </c>
      <c r="N43" s="34" t="n">
        <v>74613.71000000001</v>
      </c>
      <c r="O43" s="34" t="n">
        <v>43250.48</v>
      </c>
      <c r="P43" s="35" t="n">
        <v>43250.48</v>
      </c>
      <c r="Q43" s="34" t="n">
        <v>57816.75</v>
      </c>
      <c r="R43" s="34" t="n">
        <v>95658.37</v>
      </c>
      <c r="S43" s="34" t="n">
        <v>47616.88</v>
      </c>
      <c r="T43" s="34" t="n">
        <v>199546.68</v>
      </c>
      <c r="U43" s="35" t="n">
        <v>199546.68</v>
      </c>
      <c r="V43" s="34" t="n">
        <v>184101.84</v>
      </c>
      <c r="W43" s="34" t="n">
        <v>88187.31</v>
      </c>
      <c r="X43" s="36" t="n">
        <v>83971.62</v>
      </c>
      <c r="Y43" s="10" t="n"/>
      <c r="Z43" s="11" t="n"/>
      <c r="AA43" s="10" t="n"/>
      <c r="AB43" s="10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장기파생상품부채</t>
        </is>
      </c>
      <c r="E44" s="34" t="n">
        <v>32939.63</v>
      </c>
      <c r="F44" s="35" t="n">
        <v>32939.63</v>
      </c>
      <c r="G44" s="34" t="n">
        <v>30456.02</v>
      </c>
      <c r="H44" s="34" t="n">
        <v>81004.24000000001</v>
      </c>
      <c r="I44" s="34" t="n">
        <v>174527.51</v>
      </c>
      <c r="J44" s="34" t="n">
        <v>44078.8</v>
      </c>
      <c r="K44" s="35" t="n">
        <v>44078.8</v>
      </c>
      <c r="L44" s="34" t="n">
        <v>46542.5</v>
      </c>
      <c r="M44" s="34" t="n">
        <v>44884.85</v>
      </c>
      <c r="N44" s="34" t="n">
        <v>60205.84</v>
      </c>
      <c r="O44" s="34" t="n">
        <v>29395.41</v>
      </c>
      <c r="P44" s="35" t="n">
        <v>29395.41</v>
      </c>
      <c r="Q44" s="34" t="n">
        <v>44155.51</v>
      </c>
      <c r="R44" s="34" t="n">
        <v>82346.36</v>
      </c>
      <c r="S44" s="34" t="n">
        <v>35160.76</v>
      </c>
      <c r="T44" s="34" t="n">
        <v>187895.67</v>
      </c>
      <c r="U44" s="35" t="n">
        <v>187895.67</v>
      </c>
      <c r="V44" s="34" t="n">
        <v>172863.09</v>
      </c>
      <c r="W44" s="34" t="n">
        <v>77414.05</v>
      </c>
      <c r="X44" s="36" t="n">
        <v>74057.35000000001</v>
      </c>
      <c r="Y44" s="10" t="n"/>
      <c r="Z44" s="11" t="n"/>
      <c r="AA44" s="10" t="n"/>
      <c r="AB44" s="10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부채총계</t>
        </is>
      </c>
      <c r="E45" s="34" t="n">
        <v>1674021.49</v>
      </c>
      <c r="F45" s="35" t="n">
        <v>1674021.49</v>
      </c>
      <c r="G45" s="34" t="n">
        <v>2031353.01</v>
      </c>
      <c r="H45" s="34" t="n">
        <v>2193063.7</v>
      </c>
      <c r="I45" s="34" t="n">
        <v>2741775.54</v>
      </c>
      <c r="J45" s="34" t="n">
        <v>2572981.74</v>
      </c>
      <c r="K45" s="35" t="n">
        <v>2572981.74</v>
      </c>
      <c r="L45" s="34" t="n">
        <v>2560598.76</v>
      </c>
      <c r="M45" s="34" t="n">
        <v>2567782.16</v>
      </c>
      <c r="N45" s="34" t="n">
        <v>2674392.26</v>
      </c>
      <c r="O45" s="34" t="n">
        <v>2893858.2</v>
      </c>
      <c r="P45" s="35" t="n">
        <v>2893858.2</v>
      </c>
      <c r="Q45" s="34" t="n">
        <v>2728113.46</v>
      </c>
      <c r="R45" s="34" t="n">
        <v>2701468.25</v>
      </c>
      <c r="S45" s="34" t="n">
        <v>2523308.2</v>
      </c>
      <c r="T45" s="34" t="n">
        <v>3002436.52</v>
      </c>
      <c r="U45" s="35" t="n">
        <v>3002436.52</v>
      </c>
      <c r="V45" s="34" t="n">
        <v>3070456.8</v>
      </c>
      <c r="W45" s="34" t="n">
        <v>2948529.63</v>
      </c>
      <c r="X45" s="36" t="n">
        <v>2749900.07</v>
      </c>
      <c r="Y45" s="10" t="n"/>
      <c r="Z45" s="11" t="n"/>
      <c r="AA45" s="10" t="n"/>
      <c r="AB45" s="10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34" t="n">
        <v>2163672.01</v>
      </c>
      <c r="F46" s="35" t="n">
        <v>2163672.01</v>
      </c>
      <c r="G46" s="34" t="n">
        <v>2127394.73</v>
      </c>
      <c r="H46" s="34" t="n">
        <v>2170582.26</v>
      </c>
      <c r="I46" s="34" t="n">
        <v>2283200.76</v>
      </c>
      <c r="J46" s="34" t="n">
        <v>2134813.32</v>
      </c>
      <c r="K46" s="35" t="n">
        <v>2134813.32</v>
      </c>
      <c r="L46" s="34" t="n">
        <v>2131724.97</v>
      </c>
      <c r="M46" s="34" t="n">
        <v>2095102.81</v>
      </c>
      <c r="N46" s="34" t="n">
        <v>2105726.78</v>
      </c>
      <c r="O46" s="34" t="n">
        <v>1970119.88</v>
      </c>
      <c r="P46" s="35" t="n">
        <v>1970119.88</v>
      </c>
      <c r="Q46" s="34" t="n">
        <v>1974430.12</v>
      </c>
      <c r="R46" s="34" t="n">
        <v>2003298.17</v>
      </c>
      <c r="S46" s="34" t="n">
        <v>2000362.06</v>
      </c>
      <c r="T46" s="34" t="n">
        <v>2048167.82</v>
      </c>
      <c r="U46" s="35" t="n">
        <v>2048167.82</v>
      </c>
      <c r="V46" s="34" t="n">
        <v>2068721.25</v>
      </c>
      <c r="W46" s="34" t="n">
        <v>2139766.08</v>
      </c>
      <c r="X46" s="36" t="n">
        <v>2303567.86</v>
      </c>
      <c r="Y46" s="10" t="n"/>
      <c r="Z46" s="11" t="n"/>
      <c r="AA46" s="10" t="n"/>
      <c r="AB46" s="10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자본금</t>
        </is>
      </c>
      <c r="E47" s="34" t="n">
        <v>199710.74</v>
      </c>
      <c r="F47" s="35" t="n">
        <v>199710.74</v>
      </c>
      <c r="G47" s="34" t="n">
        <v>199710.74</v>
      </c>
      <c r="H47" s="34" t="n">
        <v>199710.74</v>
      </c>
      <c r="I47" s="34" t="n">
        <v>199710.74</v>
      </c>
      <c r="J47" s="34" t="n">
        <v>199710.74</v>
      </c>
      <c r="K47" s="35" t="n">
        <v>199710.74</v>
      </c>
      <c r="L47" s="34" t="n">
        <v>199710.74</v>
      </c>
      <c r="M47" s="34" t="n">
        <v>199710.74</v>
      </c>
      <c r="N47" s="34" t="n">
        <v>199710.74</v>
      </c>
      <c r="O47" s="34" t="n">
        <v>199710.74</v>
      </c>
      <c r="P47" s="35" t="n">
        <v>199710.74</v>
      </c>
      <c r="Q47" s="34" t="n">
        <v>199710.74</v>
      </c>
      <c r="R47" s="34" t="n">
        <v>199710.74</v>
      </c>
      <c r="S47" s="34" t="n">
        <v>199710.74</v>
      </c>
      <c r="T47" s="34" t="n">
        <v>199710.74</v>
      </c>
      <c r="U47" s="35" t="n">
        <v>199710.74</v>
      </c>
      <c r="V47" s="34" t="n">
        <v>199710.74</v>
      </c>
      <c r="W47" s="34" t="n">
        <v>199710.74</v>
      </c>
      <c r="X47" s="36" t="n">
        <v>199710.74</v>
      </c>
      <c r="Y47" s="10" t="n"/>
      <c r="Z47" s="11" t="n"/>
      <c r="AA47" s="10" t="n"/>
      <c r="AB47" s="10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자본잉여금</t>
        </is>
      </c>
      <c r="E48" s="34" t="n">
        <v>82290.27</v>
      </c>
      <c r="F48" s="35" t="n">
        <v>82290.27</v>
      </c>
      <c r="G48" s="34" t="n">
        <v>82290.27</v>
      </c>
      <c r="H48" s="34" t="n">
        <v>82290.27</v>
      </c>
      <c r="I48" s="34" t="n">
        <v>82290.27</v>
      </c>
      <c r="J48" s="34" t="n">
        <v>82290.27</v>
      </c>
      <c r="K48" s="35" t="n">
        <v>82290.27</v>
      </c>
      <c r="L48" s="34" t="n">
        <v>82290.27</v>
      </c>
      <c r="M48" s="34" t="n">
        <v>82290.27</v>
      </c>
      <c r="N48" s="34" t="n">
        <v>82290.27</v>
      </c>
      <c r="O48" s="34" t="n">
        <v>82290.27</v>
      </c>
      <c r="P48" s="35" t="n">
        <v>82290.27</v>
      </c>
      <c r="Q48" s="34" t="n">
        <v>82290.27</v>
      </c>
      <c r="R48" s="34" t="n">
        <v>82290.27</v>
      </c>
      <c r="S48" s="34" t="n">
        <v>82290.27</v>
      </c>
      <c r="T48" s="34" t="n">
        <v>82290.27</v>
      </c>
      <c r="U48" s="35" t="n">
        <v>82290.27</v>
      </c>
      <c r="V48" s="34" t="n">
        <v>82290.27</v>
      </c>
      <c r="W48" s="34" t="n">
        <v>82290.27</v>
      </c>
      <c r="X48" s="36" t="n">
        <v>82290.27</v>
      </c>
      <c r="Y48" s="10" t="n"/>
      <c r="Z48" s="11" t="n"/>
      <c r="AA48" s="10" t="n"/>
      <c r="AB48" s="10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기타자본</t>
        </is>
      </c>
      <c r="E49" s="34" t="n">
        <v>-40862.6</v>
      </c>
      <c r="F49" s="35" t="n">
        <v>-40862.6</v>
      </c>
      <c r="G49" s="34" t="n">
        <v>-40862.6</v>
      </c>
      <c r="H49" s="34" t="n">
        <v>-40862.6</v>
      </c>
      <c r="I49" s="34" t="n">
        <v>-40862.6</v>
      </c>
      <c r="J49" s="34" t="n">
        <v>-40862.6</v>
      </c>
      <c r="K49" s="35" t="n">
        <v>-40862.6</v>
      </c>
      <c r="L49" s="34" t="n">
        <v>-40862.6</v>
      </c>
      <c r="M49" s="34" t="n">
        <v>-40862.6</v>
      </c>
      <c r="N49" s="34" t="n">
        <v>-40862.6</v>
      </c>
      <c r="O49" s="34" t="n">
        <v>-40862.6</v>
      </c>
      <c r="P49" s="35" t="n">
        <v>-40862.6</v>
      </c>
      <c r="Q49" s="34" t="n">
        <v>-40862.6</v>
      </c>
      <c r="R49" s="34" t="n">
        <v>-40862.6</v>
      </c>
      <c r="S49" s="34" t="n">
        <v>-40862.6</v>
      </c>
      <c r="T49" s="34" t="n">
        <v>-40862.6</v>
      </c>
      <c r="U49" s="35" t="n">
        <v>-40862.6</v>
      </c>
      <c r="V49" s="34" t="n">
        <v>-40862.6</v>
      </c>
      <c r="W49" s="34" t="n">
        <v>-40862.6</v>
      </c>
      <c r="X49" s="36" t="n">
        <v>-40862.6</v>
      </c>
      <c r="Y49" s="10" t="n"/>
      <c r="Z49" s="11" t="n"/>
      <c r="AA49" s="10" t="n"/>
      <c r="AB49" s="10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기타포괄이익누계액</t>
        </is>
      </c>
      <c r="E50" s="34" t="n">
        <v>289159.98</v>
      </c>
      <c r="F50" s="35" t="n">
        <v>289159.98</v>
      </c>
      <c r="G50" s="34" t="n">
        <v>290832.08</v>
      </c>
      <c r="H50" s="34" t="n">
        <v>293909.45</v>
      </c>
      <c r="I50" s="34" t="n">
        <v>299194.43</v>
      </c>
      <c r="J50" s="34" t="n">
        <v>293896.44</v>
      </c>
      <c r="K50" s="35" t="n">
        <v>293896.44</v>
      </c>
      <c r="L50" s="34" t="n">
        <v>295324.33</v>
      </c>
      <c r="M50" s="34" t="n">
        <v>295708.58</v>
      </c>
      <c r="N50" s="34" t="n">
        <v>297030.03</v>
      </c>
      <c r="O50" s="34" t="n">
        <v>300547.41</v>
      </c>
      <c r="P50" s="35" t="n">
        <v>300547.41</v>
      </c>
      <c r="Q50" s="34" t="n">
        <v>302998.17</v>
      </c>
      <c r="R50" s="34" t="n">
        <v>304493.52</v>
      </c>
      <c r="S50" s="34" t="n">
        <v>301725.63</v>
      </c>
      <c r="T50" s="34" t="n">
        <v>308457.94</v>
      </c>
      <c r="U50" s="35" t="n">
        <v>308457.94</v>
      </c>
      <c r="V50" s="34" t="n">
        <v>308326.2</v>
      </c>
      <c r="W50" s="34" t="n">
        <v>357117.81</v>
      </c>
      <c r="X50" s="36" t="n">
        <v>359514.64</v>
      </c>
      <c r="Y50" s="10" t="n"/>
      <c r="Z50" s="11" t="n"/>
      <c r="AA50" s="10" t="n"/>
      <c r="AB50" s="10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이익잉여금</t>
        </is>
      </c>
      <c r="E51" s="34" t="n">
        <v>1633373.61</v>
      </c>
      <c r="F51" s="35" t="n">
        <v>1633373.61</v>
      </c>
      <c r="G51" s="34" t="n">
        <v>1595424.23</v>
      </c>
      <c r="H51" s="34" t="n">
        <v>1635534.39</v>
      </c>
      <c r="I51" s="34" t="n">
        <v>1742867.91</v>
      </c>
      <c r="J51" s="34" t="n">
        <v>1599778.46</v>
      </c>
      <c r="K51" s="35" t="n">
        <v>1599778.46</v>
      </c>
      <c r="L51" s="34" t="n">
        <v>1595262.22</v>
      </c>
      <c r="M51" s="34" t="n">
        <v>1558255.81</v>
      </c>
      <c r="N51" s="34" t="n">
        <v>1567558.33</v>
      </c>
      <c r="O51" s="34" t="n">
        <v>1428434.05</v>
      </c>
      <c r="P51" s="35" t="n">
        <v>1428434.05</v>
      </c>
      <c r="Q51" s="34" t="n">
        <v>1430293.54</v>
      </c>
      <c r="R51" s="34" t="n">
        <v>1457666.23</v>
      </c>
      <c r="S51" s="34" t="n">
        <v>1457498.01</v>
      </c>
      <c r="T51" s="34" t="n">
        <v>1498571.46</v>
      </c>
      <c r="U51" s="35" t="n">
        <v>1498571.46</v>
      </c>
      <c r="V51" s="34" t="n">
        <v>1519256.63</v>
      </c>
      <c r="W51" s="34" t="n">
        <v>1541509.85</v>
      </c>
      <c r="X51" s="36" t="n">
        <v>1702914.8</v>
      </c>
      <c r="Y51" s="10" t="n"/>
      <c r="Z51" s="11" t="n"/>
      <c r="AA51" s="10" t="n"/>
      <c r="AB51" s="10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비지배주주지분</t>
        </is>
      </c>
      <c r="E52" s="34" t="n">
        <v>40626.79</v>
      </c>
      <c r="F52" s="35" t="n">
        <v>40626.79</v>
      </c>
      <c r="G52" s="34" t="n">
        <v>39663.98</v>
      </c>
      <c r="H52" s="34" t="n">
        <v>39540.1</v>
      </c>
      <c r="I52" s="34" t="n">
        <v>43908.84</v>
      </c>
      <c r="J52" s="34" t="n">
        <v>40450.44</v>
      </c>
      <c r="K52" s="35" t="n">
        <v>40450.44</v>
      </c>
      <c r="L52" s="34" t="n">
        <v>41765.44</v>
      </c>
      <c r="M52" s="34" t="n">
        <v>44138.4</v>
      </c>
      <c r="N52" s="34" t="n">
        <v>45650.03</v>
      </c>
      <c r="O52" s="34" t="n">
        <v>45093.36</v>
      </c>
      <c r="P52" s="35" t="n">
        <v>45093.36</v>
      </c>
      <c r="Q52" s="34" t="n">
        <v>46039.37</v>
      </c>
      <c r="R52" s="34" t="n">
        <v>49086.14</v>
      </c>
      <c r="S52" s="34" t="n">
        <v>49326.87</v>
      </c>
      <c r="T52" s="34" t="n">
        <v>58262.95</v>
      </c>
      <c r="U52" s="35" t="n">
        <v>58262.95</v>
      </c>
      <c r="V52" s="34" t="n">
        <v>58354.5</v>
      </c>
      <c r="W52" s="34" t="n">
        <v>56824.55</v>
      </c>
      <c r="X52" s="36" t="n">
        <v>61078.21</v>
      </c>
      <c r="Y52" s="10" t="n"/>
      <c r="Z52" s="11" t="n"/>
      <c r="AA52" s="10" t="n"/>
      <c r="AB52" s="10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자본총계</t>
        </is>
      </c>
      <c r="E53" s="34" t="n">
        <v>2204298.8</v>
      </c>
      <c r="F53" s="35" t="n">
        <v>2204298.8</v>
      </c>
      <c r="G53" s="34" t="n">
        <v>2167058.71</v>
      </c>
      <c r="H53" s="34" t="n">
        <v>2210122.36</v>
      </c>
      <c r="I53" s="34" t="n">
        <v>2327109.6</v>
      </c>
      <c r="J53" s="34" t="n">
        <v>2175263.76</v>
      </c>
      <c r="K53" s="35" t="n">
        <v>2175263.76</v>
      </c>
      <c r="L53" s="34" t="n">
        <v>2173490.41</v>
      </c>
      <c r="M53" s="34" t="n">
        <v>2139241.2</v>
      </c>
      <c r="N53" s="34" t="n">
        <v>2151376.82</v>
      </c>
      <c r="O53" s="34" t="n">
        <v>2015213.24</v>
      </c>
      <c r="P53" s="35" t="n">
        <v>2015213.24</v>
      </c>
      <c r="Q53" s="34" t="n">
        <v>2020469.5</v>
      </c>
      <c r="R53" s="34" t="n">
        <v>2052384.31</v>
      </c>
      <c r="S53" s="34" t="n">
        <v>2049688.93</v>
      </c>
      <c r="T53" s="34" t="n">
        <v>2106430.77</v>
      </c>
      <c r="U53" s="35" t="n">
        <v>2106430.77</v>
      </c>
      <c r="V53" s="34" t="n">
        <v>2127075.76</v>
      </c>
      <c r="W53" s="34" t="n">
        <v>2196590.64</v>
      </c>
      <c r="X53" s="36" t="n">
        <v>2364646.07</v>
      </c>
      <c r="Y53" s="10" t="n"/>
      <c r="Z53" s="11" t="n"/>
      <c r="AA53" s="10" t="n"/>
      <c r="AB53" s="10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부채와자본총계</t>
        </is>
      </c>
      <c r="E54" s="34" t="n">
        <v>3878320.28</v>
      </c>
      <c r="F54" s="35" t="n">
        <v>3878320.28</v>
      </c>
      <c r="G54" s="34" t="n">
        <v>4198411.72</v>
      </c>
      <c r="H54" s="34" t="n">
        <v>4403186.06</v>
      </c>
      <c r="I54" s="34" t="n">
        <v>5068885.14</v>
      </c>
      <c r="J54" s="34" t="n">
        <v>4748245.5</v>
      </c>
      <c r="K54" s="35" t="n">
        <v>4748245.5</v>
      </c>
      <c r="L54" s="34" t="n">
        <v>4734089.17</v>
      </c>
      <c r="M54" s="34" t="n">
        <v>4707023.36</v>
      </c>
      <c r="N54" s="34" t="n">
        <v>4825769.07</v>
      </c>
      <c r="O54" s="34" t="n">
        <v>4909071.43</v>
      </c>
      <c r="P54" s="35" t="n">
        <v>4909071.43</v>
      </c>
      <c r="Q54" s="34" t="n">
        <v>4748582.95</v>
      </c>
      <c r="R54" s="34" t="n">
        <v>4753852.56</v>
      </c>
      <c r="S54" s="34" t="n">
        <v>4572997.13</v>
      </c>
      <c r="T54" s="34" t="n">
        <v>5108867.29</v>
      </c>
      <c r="U54" s="35" t="n">
        <v>5108867.29</v>
      </c>
      <c r="V54" s="34" t="n">
        <v>5197532.56</v>
      </c>
      <c r="W54" s="34" t="n">
        <v>5145120.26</v>
      </c>
      <c r="X54" s="36" t="n">
        <v>5114546.14</v>
      </c>
      <c r="Y54" s="10" t="n"/>
      <c r="Z54" s="11" t="n"/>
      <c r="AA54" s="10" t="n"/>
      <c r="AB54" s="10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총차입금</t>
        </is>
      </c>
      <c r="E55" s="34" t="n">
        <v>169155.8</v>
      </c>
      <c r="F55" s="35" t="n">
        <v>169155.8</v>
      </c>
      <c r="G55" s="34" t="n">
        <v>202029.85</v>
      </c>
      <c r="H55" s="34" t="n">
        <v>193066.4</v>
      </c>
      <c r="I55" s="34" t="n">
        <v>163444.1</v>
      </c>
      <c r="J55" s="34" t="n">
        <v>107721.17</v>
      </c>
      <c r="K55" s="35" t="n">
        <v>107721.17</v>
      </c>
      <c r="L55" s="34" t="n">
        <v>173678.08</v>
      </c>
      <c r="M55" s="34" t="n">
        <v>285828.23</v>
      </c>
      <c r="N55" s="34" t="n">
        <v>362946.64</v>
      </c>
      <c r="O55" s="34" t="n">
        <v>574232.65</v>
      </c>
      <c r="P55" s="35" t="n">
        <v>574232.65</v>
      </c>
      <c r="Q55" s="34" t="n">
        <v>436982.09</v>
      </c>
      <c r="R55" s="34" t="n">
        <v>320481.47</v>
      </c>
      <c r="S55" s="34" t="n">
        <v>174568.63</v>
      </c>
      <c r="T55" s="34" t="n">
        <v>239198.21</v>
      </c>
      <c r="U55" s="35" t="n">
        <v>239198.21</v>
      </c>
      <c r="V55" s="34" t="n">
        <v>158819.16</v>
      </c>
      <c r="W55" s="34" t="n">
        <v>121172.19</v>
      </c>
      <c r="X55" s="36" t="n">
        <v>119484.55</v>
      </c>
      <c r="Y55" s="10" t="n"/>
      <c r="Z55" s="11" t="n"/>
      <c r="AA55" s="10" t="n"/>
      <c r="AB55" s="10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순차입금</t>
        </is>
      </c>
      <c r="E56" s="34" t="n">
        <v>-386194.89</v>
      </c>
      <c r="F56" s="35" t="n">
        <v>-386194.89</v>
      </c>
      <c r="G56" s="34" t="n">
        <v>-538776.9300000001</v>
      </c>
      <c r="H56" s="34" t="n">
        <v>-640560.24</v>
      </c>
      <c r="I56" s="34" t="n">
        <v>-547204.71</v>
      </c>
      <c r="J56" s="34" t="n">
        <v>-508020.17</v>
      </c>
      <c r="K56" s="35" t="n">
        <v>-508020.17</v>
      </c>
      <c r="L56" s="34" t="n">
        <v>-298936.77</v>
      </c>
      <c r="M56" s="34" t="n">
        <v>-196693.51</v>
      </c>
      <c r="N56" s="34" t="n">
        <v>-172578.84</v>
      </c>
      <c r="O56" s="34" t="n">
        <v>176318.99</v>
      </c>
      <c r="P56" s="35" t="n">
        <v>176318.99</v>
      </c>
      <c r="Q56" s="34" t="n">
        <v>-74037.61</v>
      </c>
      <c r="R56" s="34" t="n">
        <v>-225830.34</v>
      </c>
      <c r="S56" s="34" t="n">
        <v>-304288.68</v>
      </c>
      <c r="T56" s="34" t="n">
        <v>-100122.62</v>
      </c>
      <c r="U56" s="35" t="n">
        <v>-100122.62</v>
      </c>
      <c r="V56" s="34" t="n">
        <v>-428000.38</v>
      </c>
      <c r="W56" s="34" t="n">
        <v>-478090.17</v>
      </c>
      <c r="X56" s="36" t="n">
        <v>-476051.03</v>
      </c>
      <c r="Y56" s="10" t="n"/>
      <c r="Z56" s="11" t="n"/>
      <c r="AA56" s="10" t="n"/>
      <c r="AB56" s="10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이자발생자산</t>
        </is>
      </c>
      <c r="E57" s="34" t="n">
        <v>568705.15</v>
      </c>
      <c r="F57" s="35" t="n">
        <v>568705.15</v>
      </c>
      <c r="G57" s="34" t="n">
        <v>754931.87</v>
      </c>
      <c r="H57" s="34" t="n">
        <v>847772.13</v>
      </c>
      <c r="I57" s="34" t="n">
        <v>724816.08</v>
      </c>
      <c r="J57" s="34" t="n">
        <v>631200.3199999999</v>
      </c>
      <c r="K57" s="35" t="n">
        <v>631200.3199999999</v>
      </c>
      <c r="L57" s="34" t="n">
        <v>488089.21</v>
      </c>
      <c r="M57" s="34" t="n">
        <v>498008.39</v>
      </c>
      <c r="N57" s="34" t="n">
        <v>551024.0699999999</v>
      </c>
      <c r="O57" s="34" t="n">
        <v>412371.32</v>
      </c>
      <c r="P57" s="35" t="n">
        <v>412371.32</v>
      </c>
      <c r="Q57" s="34" t="n">
        <v>525490.36</v>
      </c>
      <c r="R57" s="34" t="n">
        <v>560795.8100000001</v>
      </c>
      <c r="S57" s="34" t="n">
        <v>493341.24</v>
      </c>
      <c r="T57" s="34" t="n">
        <v>353321.95</v>
      </c>
      <c r="U57" s="35" t="n">
        <v>353321.95</v>
      </c>
      <c r="V57" s="34" t="n">
        <v>600723.79</v>
      </c>
      <c r="W57" s="34" t="n">
        <v>613157.1899999999</v>
      </c>
      <c r="X57" s="36" t="n">
        <v>609429.88</v>
      </c>
      <c r="Y57" s="10" t="n"/>
      <c r="Z57" s="11" t="n"/>
      <c r="AA57" s="10" t="n"/>
      <c r="AB57" s="10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이연법인세부채</t>
        </is>
      </c>
      <c r="F58" s="9" t="n"/>
      <c r="K58" s="9" t="n"/>
      <c r="M58" s="34" t="n">
        <v>1194.72</v>
      </c>
      <c r="N58" s="34" t="n">
        <v>1194.72</v>
      </c>
      <c r="O58" s="34" t="n">
        <v>1405.56</v>
      </c>
      <c r="P58" s="35" t="n">
        <v>1405.56</v>
      </c>
      <c r="Q58" s="34" t="n">
        <v>1405.56</v>
      </c>
      <c r="R58" s="34" t="n">
        <v>1405.56</v>
      </c>
      <c r="S58" s="34" t="n">
        <v>1405.56</v>
      </c>
      <c r="T58" s="34" t="n">
        <v>910.4400000000001</v>
      </c>
      <c r="U58" s="35" t="n">
        <v>910.4400000000001</v>
      </c>
      <c r="V58" s="34" t="n">
        <v>910.4400000000001</v>
      </c>
      <c r="W58" s="34" t="n">
        <v>0</v>
      </c>
      <c r="X58" s="36" t="n">
        <v>910.4400000000001</v>
      </c>
      <c r="Y58" s="10" t="n"/>
      <c r="Z58" s="11" t="n"/>
      <c r="AA58" s="10" t="n"/>
      <c r="AB58" s="10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장기차입금</t>
        </is>
      </c>
      <c r="F59" s="9" t="n"/>
      <c r="K59" s="9" t="n"/>
      <c r="O59" s="34" t="n">
        <v>95671.5</v>
      </c>
      <c r="P59" s="35" t="n">
        <v>95671.5</v>
      </c>
      <c r="Q59" s="34" t="n">
        <v>160000</v>
      </c>
      <c r="R59" s="34" t="n">
        <v>140000</v>
      </c>
      <c r="S59" s="34" t="n">
        <v>80000</v>
      </c>
      <c r="T59" s="34" t="n">
        <v>80000</v>
      </c>
      <c r="U59" s="35" t="n">
        <v>80000</v>
      </c>
      <c r="V59" s="34" t="n">
        <v>0</v>
      </c>
      <c r="W59" s="34" t="n">
        <v>0</v>
      </c>
      <c r="X59" s="36" t="n">
        <v>0</v>
      </c>
      <c r="Y59" s="10" t="n"/>
      <c r="Z59" s="11" t="n"/>
      <c r="AA59" s="10" t="n"/>
      <c r="AB59" s="10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장기금융부채(face)</t>
        </is>
      </c>
      <c r="F60" s="9" t="n"/>
      <c r="K60" s="9" t="n"/>
      <c r="O60" s="34" t="n">
        <v>95671.5</v>
      </c>
      <c r="P60" s="35" t="n">
        <v>95671.5</v>
      </c>
      <c r="Q60" s="34" t="n">
        <v>160000</v>
      </c>
      <c r="R60" s="34" t="n">
        <v>140000</v>
      </c>
      <c r="S60" s="34" t="n">
        <v>80000</v>
      </c>
      <c r="T60" s="34" t="n">
        <v>80000</v>
      </c>
      <c r="U60" s="35" t="n">
        <v>80000</v>
      </c>
      <c r="V60" s="34" t="n">
        <v>0</v>
      </c>
      <c r="W60" s="34" t="n">
        <v>0</v>
      </c>
      <c r="X60" s="36" t="n">
        <v>0</v>
      </c>
      <c r="Y60" s="10" t="n"/>
      <c r="Z60" s="11" t="n"/>
      <c r="AA60" s="10" t="n"/>
      <c r="AB60" s="10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34" t="n">
        <v>860545.88</v>
      </c>
      <c r="F61" s="9" t="n"/>
      <c r="G61" s="34" t="n">
        <v>875958.75</v>
      </c>
      <c r="H61" s="34" t="n">
        <v>935436.14</v>
      </c>
      <c r="I61" s="34" t="n">
        <v>882268.5699999999</v>
      </c>
      <c r="J61" s="34" t="n">
        <v>1023197.48</v>
      </c>
      <c r="K61" s="35" t="n">
        <v>3716860.94</v>
      </c>
      <c r="L61" s="34" t="n">
        <v>909161.3</v>
      </c>
      <c r="M61" s="34" t="n">
        <v>1033370.76</v>
      </c>
      <c r="N61" s="34" t="n">
        <v>993800.53</v>
      </c>
      <c r="O61" s="34" t="n">
        <v>1102733.12</v>
      </c>
      <c r="P61" s="35" t="n">
        <v>4039065.71</v>
      </c>
      <c r="Q61" s="34" t="n">
        <v>1000493.63</v>
      </c>
      <c r="R61" s="34" t="n">
        <v>1129062.86</v>
      </c>
      <c r="S61" s="34" t="n">
        <v>1077667.04</v>
      </c>
      <c r="T61" s="34" t="n">
        <v>1422825.22</v>
      </c>
      <c r="U61" s="35" t="n">
        <v>4630048.75</v>
      </c>
      <c r="V61" s="34" t="n">
        <v>1183823.02</v>
      </c>
      <c r="W61" s="34" t="n">
        <v>1234448.39</v>
      </c>
      <c r="X61" s="36" t="n">
        <v>1300349.18</v>
      </c>
      <c r="Y61" s="10" t="n"/>
      <c r="Z61" s="11" t="n"/>
      <c r="AA61" s="10" t="n"/>
      <c r="AB61" s="10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34" t="n">
        <v>904118.38</v>
      </c>
      <c r="F62" s="9" t="n"/>
      <c r="G62" s="34" t="n">
        <v>910119.27</v>
      </c>
      <c r="H62" s="34" t="n">
        <v>912937.13</v>
      </c>
      <c r="I62" s="34" t="n">
        <v>837566.97</v>
      </c>
      <c r="J62" s="34" t="n">
        <v>1043382.9</v>
      </c>
      <c r="K62" s="35" t="n">
        <v>3704006.27</v>
      </c>
      <c r="L62" s="34" t="n">
        <v>916503.53</v>
      </c>
      <c r="M62" s="34" t="n">
        <v>1055211.06</v>
      </c>
      <c r="N62" s="34" t="n">
        <v>968931.1800000001</v>
      </c>
      <c r="O62" s="34" t="n">
        <v>1129092.3</v>
      </c>
      <c r="P62" s="35" t="n">
        <v>4069738.07</v>
      </c>
      <c r="Q62" s="34" t="n">
        <v>973253.53</v>
      </c>
      <c r="R62" s="34" t="n">
        <v>1073429.94</v>
      </c>
      <c r="S62" s="34" t="n">
        <v>1003389.35</v>
      </c>
      <c r="T62" s="34" t="n">
        <v>1332063.89</v>
      </c>
      <c r="U62" s="35" t="n">
        <v>4382136.71</v>
      </c>
      <c r="V62" s="34" t="n">
        <v>1076844.94</v>
      </c>
      <c r="W62" s="34" t="n">
        <v>1101947.64</v>
      </c>
      <c r="X62" s="36" t="n">
        <v>1050007.01</v>
      </c>
      <c r="Y62" s="10" t="n"/>
      <c r="Z62" s="11" t="n"/>
      <c r="AA62" s="10" t="n"/>
      <c r="AB62" s="10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34" t="n">
        <v>-43572.51</v>
      </c>
      <c r="F63" s="9" t="n"/>
      <c r="G63" s="34" t="n">
        <v>-34160.52</v>
      </c>
      <c r="H63" s="34" t="n">
        <v>22499.01</v>
      </c>
      <c r="I63" s="34" t="n">
        <v>44701.59</v>
      </c>
      <c r="J63" s="34" t="n">
        <v>-20185.4</v>
      </c>
      <c r="K63" s="35" t="n">
        <v>12854.68</v>
      </c>
      <c r="L63" s="34" t="n">
        <v>-7342.24</v>
      </c>
      <c r="M63" s="34" t="n">
        <v>-21840.3</v>
      </c>
      <c r="N63" s="34" t="n">
        <v>24869.35</v>
      </c>
      <c r="O63" s="34" t="n">
        <v>-26359.17</v>
      </c>
      <c r="P63" s="35" t="n">
        <v>-30672.36</v>
      </c>
      <c r="Q63" s="34" t="n">
        <v>27240.1</v>
      </c>
      <c r="R63" s="34" t="n">
        <v>55632.92</v>
      </c>
      <c r="S63" s="34" t="n">
        <v>74277.7</v>
      </c>
      <c r="T63" s="34" t="n">
        <v>90761.35000000001</v>
      </c>
      <c r="U63" s="35" t="n">
        <v>247912.07</v>
      </c>
      <c r="V63" s="34" t="n">
        <v>106978.08</v>
      </c>
      <c r="W63" s="34" t="n">
        <v>132500.75</v>
      </c>
      <c r="X63" s="36" t="n">
        <v>250342.17</v>
      </c>
      <c r="Y63" s="10" t="n"/>
      <c r="Z63" s="11" t="n"/>
      <c r="AA63" s="10" t="n"/>
      <c r="AB63" s="10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34" t="n">
        <v>33434.36</v>
      </c>
      <c r="F64" s="9" t="n"/>
      <c r="G64" s="34" t="n">
        <v>27674.49</v>
      </c>
      <c r="H64" s="34" t="n">
        <v>29099.78</v>
      </c>
      <c r="I64" s="34" t="n">
        <v>30633.25</v>
      </c>
      <c r="J64" s="34" t="n">
        <v>34513.27</v>
      </c>
      <c r="K64" s="35" t="n">
        <v>121920.79</v>
      </c>
      <c r="L64" s="34" t="n">
        <v>20070.5</v>
      </c>
      <c r="M64" s="34" t="n">
        <v>30627.65</v>
      </c>
      <c r="N64" s="34" t="n">
        <v>32725.63</v>
      </c>
      <c r="O64" s="34" t="n">
        <v>38820.2</v>
      </c>
      <c r="P64" s="35" t="n">
        <v>122243.98</v>
      </c>
      <c r="Q64" s="34" t="n">
        <v>38284.07</v>
      </c>
      <c r="R64" s="34" t="n">
        <v>38208.52</v>
      </c>
      <c r="S64" s="34" t="n">
        <v>39027.39</v>
      </c>
      <c r="T64" s="34" t="n">
        <v>43864.18</v>
      </c>
      <c r="U64" s="35" t="n">
        <v>159384.16</v>
      </c>
      <c r="V64" s="34" t="n">
        <v>38493.99</v>
      </c>
      <c r="W64" s="34" t="n">
        <v>43081.52</v>
      </c>
      <c r="X64" s="36" t="n">
        <v>49534.75</v>
      </c>
      <c r="Y64" s="10" t="n"/>
      <c r="Z64" s="11" t="n"/>
      <c r="AA64" s="10" t="n"/>
      <c r="AB64" s="10" t="n"/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34" t="n">
        <v>-77006.86</v>
      </c>
      <c r="F65" s="9" t="n"/>
      <c r="G65" s="34" t="n">
        <v>-61835.01</v>
      </c>
      <c r="H65" s="34" t="n">
        <v>-6600.78</v>
      </c>
      <c r="I65" s="34" t="n">
        <v>14068.34</v>
      </c>
      <c r="J65" s="34" t="n">
        <v>-54698.67</v>
      </c>
      <c r="K65" s="35" t="n">
        <v>-109066.12</v>
      </c>
      <c r="L65" s="34" t="n">
        <v>-27412.73</v>
      </c>
      <c r="M65" s="34" t="n">
        <v>-52467.95</v>
      </c>
      <c r="N65" s="34" t="n">
        <v>-7856.29</v>
      </c>
      <c r="O65" s="34" t="n">
        <v>-65179.38</v>
      </c>
      <c r="P65" s="35" t="n">
        <v>-152916.35</v>
      </c>
      <c r="Q65" s="34" t="n">
        <v>-11043.97</v>
      </c>
      <c r="R65" s="34" t="n">
        <v>17424.4</v>
      </c>
      <c r="S65" s="34" t="n">
        <v>35250.31</v>
      </c>
      <c r="T65" s="34" t="n">
        <v>46897.16</v>
      </c>
      <c r="U65" s="35" t="n">
        <v>88527.89999999999</v>
      </c>
      <c r="V65" s="34" t="n">
        <v>68484.09</v>
      </c>
      <c r="W65" s="34" t="n">
        <v>89419.23</v>
      </c>
      <c r="X65" s="36" t="n">
        <v>200807.42</v>
      </c>
      <c r="Y65" s="10" t="n"/>
      <c r="Z65" s="11" t="n"/>
      <c r="AA65" s="10" t="n"/>
      <c r="AB65" s="10" t="n"/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34" t="n">
        <v>1195.07</v>
      </c>
      <c r="F66" s="9" t="n"/>
      <c r="G66" s="34" t="n">
        <v>53668.16</v>
      </c>
      <c r="H66" s="34" t="n">
        <v>104555.76</v>
      </c>
      <c r="I66" s="34" t="n">
        <v>189143.77</v>
      </c>
      <c r="J66" s="34" t="n">
        <v>15041.13</v>
      </c>
      <c r="K66" s="35" t="n">
        <v>362408.82</v>
      </c>
      <c r="L66" s="34" t="n">
        <v>96006.47</v>
      </c>
      <c r="M66" s="34" t="n">
        <v>58463.62</v>
      </c>
      <c r="N66" s="34" t="n">
        <v>66725.12</v>
      </c>
      <c r="O66" s="34" t="n">
        <v>25449.53</v>
      </c>
      <c r="P66" s="35" t="n">
        <v>246644.74</v>
      </c>
      <c r="Q66" s="34" t="n">
        <v>96732.17999999999</v>
      </c>
      <c r="R66" s="34" t="n">
        <v>75761.3</v>
      </c>
      <c r="S66" s="34" t="n">
        <v>197846.34</v>
      </c>
      <c r="T66" s="34" t="n">
        <v>111172.08</v>
      </c>
      <c r="U66" s="35" t="n">
        <v>481511.9</v>
      </c>
      <c r="V66" s="34" t="n">
        <v>45383.44</v>
      </c>
      <c r="W66" s="34" t="n">
        <v>336070.62</v>
      </c>
      <c r="X66" s="36" t="n">
        <v>126873.65</v>
      </c>
      <c r="Y66" s="10" t="n"/>
      <c r="Z66" s="11" t="n"/>
      <c r="AA66" s="10" t="n"/>
      <c r="AB66" s="10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34" t="n">
        <v>4460.13</v>
      </c>
      <c r="F67" s="9" t="n"/>
      <c r="G67" s="34" t="n">
        <v>66730.03999999999</v>
      </c>
      <c r="H67" s="34" t="n">
        <v>195716.47</v>
      </c>
      <c r="I67" s="34" t="n">
        <v>317517.92</v>
      </c>
      <c r="J67" s="34" t="n">
        <v>-140005</v>
      </c>
      <c r="K67" s="35" t="n">
        <v>439959.43</v>
      </c>
      <c r="L67" s="34" t="n">
        <v>132242.95</v>
      </c>
      <c r="M67" s="34" t="n">
        <v>64766.54</v>
      </c>
      <c r="N67" s="34" t="n">
        <v>130225.19</v>
      </c>
      <c r="O67" s="34" t="n">
        <v>-16833.39</v>
      </c>
      <c r="P67" s="35" t="n">
        <v>310401.29</v>
      </c>
      <c r="Q67" s="34" t="n">
        <v>176351.15</v>
      </c>
      <c r="R67" s="34" t="n">
        <v>155883.22</v>
      </c>
      <c r="S67" s="34" t="n">
        <v>114720.45</v>
      </c>
      <c r="T67" s="34" t="n">
        <v>388132.17</v>
      </c>
      <c r="U67" s="35" t="n">
        <v>835086.99</v>
      </c>
      <c r="V67" s="34" t="n">
        <v>72937.35000000001</v>
      </c>
      <c r="W67" s="34" t="n">
        <v>149070.35</v>
      </c>
      <c r="X67" s="36" t="n">
        <v>226429.97</v>
      </c>
      <c r="Y67" s="10" t="n"/>
      <c r="Z67" s="11" t="n"/>
      <c r="AA67" s="10" t="n"/>
      <c r="AB67" s="10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기타영업외수익</t>
        </is>
      </c>
      <c r="E68" s="34" t="n">
        <v>285.48</v>
      </c>
      <c r="F68" s="9" t="n"/>
      <c r="G68" s="34" t="n">
        <v>30870.54</v>
      </c>
      <c r="H68" s="34" t="n">
        <v>151072.65</v>
      </c>
      <c r="I68" s="34" t="n">
        <v>284603.73</v>
      </c>
      <c r="J68" s="34" t="n">
        <v>-249360.06</v>
      </c>
      <c r="K68" s="35" t="n">
        <v>217186.86</v>
      </c>
      <c r="L68" s="34" t="n">
        <v>67092.05</v>
      </c>
      <c r="M68" s="34" t="n">
        <v>22391.99</v>
      </c>
      <c r="N68" s="34" t="n">
        <v>90055.83</v>
      </c>
      <c r="O68" s="34" t="n">
        <v>-66761.22</v>
      </c>
      <c r="P68" s="35" t="n">
        <v>112778.65</v>
      </c>
      <c r="Q68" s="34" t="n">
        <v>107249.15</v>
      </c>
      <c r="R68" s="34" t="n">
        <v>103563.63</v>
      </c>
      <c r="S68" s="34" t="n">
        <v>847.11</v>
      </c>
      <c r="T68" s="34" t="n">
        <v>333631.87</v>
      </c>
      <c r="U68" s="35" t="n">
        <v>545291.76</v>
      </c>
      <c r="V68" s="34" t="n">
        <v>28986.59</v>
      </c>
      <c r="W68" s="34" t="n">
        <v>500.66</v>
      </c>
      <c r="X68" s="36" t="n">
        <v>136763.59</v>
      </c>
      <c r="Y68" s="10" t="n"/>
      <c r="Z68" s="11" t="n"/>
      <c r="AA68" s="10" t="n"/>
      <c r="AB68" s="10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기타영업외비용</t>
        </is>
      </c>
      <c r="E69" s="34" t="n">
        <v>23192.57</v>
      </c>
      <c r="F69" s="9" t="n"/>
      <c r="G69" s="34" t="n">
        <v>5630.29</v>
      </c>
      <c r="H69" s="34" t="n">
        <v>2474.16</v>
      </c>
      <c r="I69" s="34" t="n">
        <v>28300.93</v>
      </c>
      <c r="J69" s="34" t="n">
        <v>57412.41</v>
      </c>
      <c r="K69" s="35" t="n">
        <v>93817.78999999999</v>
      </c>
      <c r="L69" s="34" t="n">
        <v>8258.299999999999</v>
      </c>
      <c r="M69" s="34" t="n">
        <v>9968.09</v>
      </c>
      <c r="N69" s="34" t="n">
        <v>5080.01</v>
      </c>
      <c r="O69" s="34" t="n">
        <v>29685.92</v>
      </c>
      <c r="P69" s="35" t="n">
        <v>52992.32</v>
      </c>
      <c r="Q69" s="34" t="n">
        <v>13284.14</v>
      </c>
      <c r="R69" s="34" t="n">
        <v>5274.82</v>
      </c>
      <c r="S69" s="34" t="n">
        <v>116381.47</v>
      </c>
      <c r="T69" s="34" t="n">
        <v>-903.7</v>
      </c>
      <c r="U69" s="35" t="n">
        <v>134036.73</v>
      </c>
      <c r="V69" s="34" t="n">
        <v>10106.06</v>
      </c>
      <c r="W69" s="34" t="n">
        <v>249025.31</v>
      </c>
      <c r="X69" s="36" t="n">
        <v>7236.62</v>
      </c>
      <c r="Y69" s="10" t="n"/>
      <c r="Z69" s="11" t="n"/>
      <c r="AA69" s="10" t="n"/>
      <c r="AB69" s="10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34" t="n">
        <v>-103179.03</v>
      </c>
      <c r="F70" s="9" t="n"/>
      <c r="G70" s="34" t="n">
        <v>-49656.65</v>
      </c>
      <c r="H70" s="34" t="n">
        <v>50837.01</v>
      </c>
      <c r="I70" s="34" t="n">
        <v>141996.99</v>
      </c>
      <c r="J70" s="34" t="n">
        <v>-206425.01</v>
      </c>
      <c r="K70" s="35" t="n">
        <v>-63247.66</v>
      </c>
      <c r="L70" s="34" t="n">
        <v>-4815.46</v>
      </c>
      <c r="M70" s="34" t="n">
        <v>-46346.97</v>
      </c>
      <c r="N70" s="34" t="n">
        <v>13619.47</v>
      </c>
      <c r="O70" s="34" t="n">
        <v>-119343.61</v>
      </c>
      <c r="P70" s="35" t="n">
        <v>-156886.57</v>
      </c>
      <c r="Q70" s="34" t="n">
        <v>3302.06</v>
      </c>
      <c r="R70" s="34" t="n">
        <v>35591.29</v>
      </c>
      <c r="S70" s="34" t="n">
        <v>2841.83</v>
      </c>
      <c r="T70" s="34" t="n">
        <v>104472.65</v>
      </c>
      <c r="U70" s="35" t="n">
        <v>146207.83</v>
      </c>
      <c r="V70" s="34" t="n">
        <v>59810.7</v>
      </c>
      <c r="W70" s="34" t="n">
        <v>27894.84</v>
      </c>
      <c r="X70" s="36" t="n">
        <v>230778.08</v>
      </c>
      <c r="Y70" s="10" t="n"/>
      <c r="Z70" s="11" t="n"/>
      <c r="AA70" s="10" t="n"/>
      <c r="AB70" s="10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34" t="n">
        <v>-24812.81</v>
      </c>
      <c r="F71" s="9" t="n"/>
      <c r="G71" s="34" t="n">
        <v>-10198.24</v>
      </c>
      <c r="H71" s="34" t="n">
        <v>13368.58</v>
      </c>
      <c r="I71" s="34" t="n">
        <v>34717.31</v>
      </c>
      <c r="J71" s="34" t="n">
        <v>-57368.52</v>
      </c>
      <c r="K71" s="35" t="n">
        <v>-19480.87</v>
      </c>
      <c r="L71" s="34" t="n">
        <v>-445.95</v>
      </c>
      <c r="M71" s="34" t="n">
        <v>-11399.12</v>
      </c>
      <c r="N71" s="34" t="n">
        <v>3886.5</v>
      </c>
      <c r="O71" s="34" t="n">
        <v>-9975.280000000001</v>
      </c>
      <c r="P71" s="35" t="n">
        <v>-17933.85</v>
      </c>
      <c r="Q71" s="34" t="n">
        <v>1165.49</v>
      </c>
      <c r="R71" s="34" t="n">
        <v>6662.5</v>
      </c>
      <c r="S71" s="34" t="n">
        <v>237.49</v>
      </c>
      <c r="T71" s="34" t="n">
        <v>24894</v>
      </c>
      <c r="U71" s="35" t="n">
        <v>32959.48</v>
      </c>
      <c r="V71" s="34" t="n">
        <v>8113.35</v>
      </c>
      <c r="W71" s="34" t="n">
        <v>2685.97</v>
      </c>
      <c r="X71" s="36" t="n">
        <v>47936.06</v>
      </c>
      <c r="Y71" s="10" t="n"/>
      <c r="Z71" s="11" t="n"/>
      <c r="AA71" s="10" t="n"/>
      <c r="AB71" s="10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34" t="n">
        <v>-78366.22</v>
      </c>
      <c r="F72" s="9" t="n"/>
      <c r="G72" s="34" t="n">
        <v>-39458.41</v>
      </c>
      <c r="H72" s="34" t="n">
        <v>37468.43</v>
      </c>
      <c r="I72" s="34" t="n">
        <v>107279.69</v>
      </c>
      <c r="J72" s="34" t="n">
        <v>-149056.49</v>
      </c>
      <c r="K72" s="35" t="n">
        <v>-43766.78</v>
      </c>
      <c r="L72" s="34" t="n">
        <v>-4369.51</v>
      </c>
      <c r="M72" s="34" t="n">
        <v>-34947.84</v>
      </c>
      <c r="N72" s="34" t="n">
        <v>9732.969999999999</v>
      </c>
      <c r="O72" s="34" t="n">
        <v>-109368.33</v>
      </c>
      <c r="P72" s="35" t="n">
        <v>-138952.71</v>
      </c>
      <c r="Q72" s="34" t="n">
        <v>2136.57</v>
      </c>
      <c r="R72" s="34" t="n">
        <v>28928.79</v>
      </c>
      <c r="S72" s="34" t="n">
        <v>2604.35</v>
      </c>
      <c r="T72" s="34" t="n">
        <v>79578.64</v>
      </c>
      <c r="U72" s="35" t="n">
        <v>113248.35</v>
      </c>
      <c r="V72" s="34" t="n">
        <v>51697.35</v>
      </c>
      <c r="W72" s="34" t="n">
        <v>25208.87</v>
      </c>
      <c r="X72" s="36" t="n">
        <v>182842.03</v>
      </c>
      <c r="Y72" s="10" t="n"/>
      <c r="Z72" s="11" t="n"/>
      <c r="AA72" s="10" t="n"/>
      <c r="AB72" s="10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34" t="n">
        <v>-85841.95</v>
      </c>
      <c r="F73" s="9" t="n"/>
      <c r="G73" s="34" t="n">
        <v>-33607.76</v>
      </c>
      <c r="H73" s="34" t="n">
        <v>43063.65</v>
      </c>
      <c r="I73" s="34" t="n">
        <v>116987.24</v>
      </c>
      <c r="J73" s="34" t="n">
        <v>-151845.84</v>
      </c>
      <c r="K73" s="35" t="n">
        <v>-25402.71</v>
      </c>
      <c r="L73" s="34" t="n">
        <v>-1773.34</v>
      </c>
      <c r="M73" s="34" t="n">
        <v>-34249.21</v>
      </c>
      <c r="N73" s="34" t="n">
        <v>12135.61</v>
      </c>
      <c r="O73" s="34" t="n">
        <v>-136163.58</v>
      </c>
      <c r="P73" s="35" t="n">
        <v>-160050.52</v>
      </c>
      <c r="Q73" s="34" t="n">
        <v>6592.48</v>
      </c>
      <c r="R73" s="34" t="n">
        <v>31914.81</v>
      </c>
      <c r="S73" s="34" t="n">
        <v>-2695.38</v>
      </c>
      <c r="T73" s="34" t="n">
        <v>56741.83</v>
      </c>
      <c r="U73" s="35" t="n">
        <v>92553.74000000001</v>
      </c>
      <c r="V73" s="34" t="n">
        <v>51457.82</v>
      </c>
      <c r="W73" s="34" t="n">
        <v>69514.88</v>
      </c>
      <c r="X73" s="36" t="n">
        <v>187199.9</v>
      </c>
      <c r="Y73" s="10" t="n"/>
      <c r="Z73" s="11" t="n"/>
      <c r="AA73" s="10" t="n"/>
      <c r="AB73" s="10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34" t="n">
        <v>-79240.08</v>
      </c>
      <c r="F74" s="9" t="n"/>
      <c r="G74" s="34" t="n">
        <v>-41229.95</v>
      </c>
      <c r="H74" s="34" t="n">
        <v>40110.16</v>
      </c>
      <c r="I74" s="34" t="n">
        <v>107279.35</v>
      </c>
      <c r="J74" s="34" t="n">
        <v>-150740.68</v>
      </c>
      <c r="K74" s="35" t="n">
        <v>-44581.12</v>
      </c>
      <c r="L74" s="34" t="n">
        <v>-4516.24</v>
      </c>
      <c r="M74" s="34" t="n">
        <v>-37006.41</v>
      </c>
      <c r="N74" s="34" t="n">
        <v>9302.52</v>
      </c>
      <c r="O74" s="34" t="n">
        <v>-110719</v>
      </c>
      <c r="P74" s="35" t="n">
        <v>-142939.13</v>
      </c>
      <c r="Q74" s="34" t="n">
        <v>1859.49</v>
      </c>
      <c r="R74" s="34" t="n">
        <v>27372.69</v>
      </c>
      <c r="S74" s="34" t="n">
        <v>-168.22</v>
      </c>
      <c r="T74" s="34" t="n">
        <v>76465.67999999999</v>
      </c>
      <c r="U74" s="35" t="n">
        <v>105529.64</v>
      </c>
      <c r="V74" s="34" t="n">
        <v>49003.03</v>
      </c>
      <c r="W74" s="34" t="n">
        <v>22253.22</v>
      </c>
      <c r="X74" s="36" t="n">
        <v>180549.41</v>
      </c>
      <c r="Y74" s="10" t="n"/>
      <c r="Z74" s="11" t="n"/>
      <c r="AA74" s="10" t="n"/>
      <c r="AB74" s="10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(비지배주주지분)당기순이익</t>
        </is>
      </c>
      <c r="E75" s="34" t="n">
        <v>873.87</v>
      </c>
      <c r="F75" s="9" t="n"/>
      <c r="G75" s="34" t="n">
        <v>1771.54</v>
      </c>
      <c r="H75" s="34" t="n">
        <v>-2641.73</v>
      </c>
      <c r="I75" s="34" t="n">
        <v>0.34</v>
      </c>
      <c r="J75" s="34" t="n">
        <v>1684.2</v>
      </c>
      <c r="K75" s="35" t="n">
        <v>814.35</v>
      </c>
      <c r="L75" s="34" t="n">
        <v>146.73</v>
      </c>
      <c r="M75" s="34" t="n">
        <v>2058.57</v>
      </c>
      <c r="N75" s="34" t="n">
        <v>430.45</v>
      </c>
      <c r="O75" s="34" t="n">
        <v>1350.67</v>
      </c>
      <c r="P75" s="35" t="n">
        <v>3986.42</v>
      </c>
      <c r="Q75" s="34" t="n">
        <v>277.08</v>
      </c>
      <c r="R75" s="34" t="n">
        <v>1556.1</v>
      </c>
      <c r="S75" s="34" t="n">
        <v>2772.57</v>
      </c>
      <c r="T75" s="34" t="n">
        <v>3112.97</v>
      </c>
      <c r="U75" s="35" t="n">
        <v>7718.72</v>
      </c>
      <c r="V75" s="34" t="n">
        <v>2694.33</v>
      </c>
      <c r="W75" s="34" t="n">
        <v>2955.64</v>
      </c>
      <c r="X75" s="36" t="n">
        <v>2292.62</v>
      </c>
      <c r="Y75" s="10" t="n"/>
      <c r="Z75" s="11" t="n"/>
      <c r="AA75" s="10" t="n"/>
      <c r="AB75" s="10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금융손익</t>
        </is>
      </c>
      <c r="E76" s="34" t="n">
        <v>-3265.06</v>
      </c>
      <c r="F76" s="9" t="n"/>
      <c r="G76" s="34" t="n">
        <v>-13061.88</v>
      </c>
      <c r="H76" s="34" t="n">
        <v>-91160.71000000001</v>
      </c>
      <c r="I76" s="34" t="n">
        <v>-128374.15</v>
      </c>
      <c r="J76" s="34" t="n">
        <v>155046.13</v>
      </c>
      <c r="K76" s="35" t="n">
        <v>-77550.61</v>
      </c>
      <c r="L76" s="34" t="n">
        <v>-36236.48</v>
      </c>
      <c r="M76" s="34" t="n">
        <v>-6302.92</v>
      </c>
      <c r="N76" s="34" t="n">
        <v>-63500.07</v>
      </c>
      <c r="O76" s="34" t="n">
        <v>42282.92</v>
      </c>
      <c r="P76" s="35" t="n">
        <v>-63756.55</v>
      </c>
      <c r="Q76" s="34" t="n">
        <v>-79618.97</v>
      </c>
      <c r="R76" s="34" t="n">
        <v>-80121.92</v>
      </c>
      <c r="S76" s="34" t="n">
        <v>83125.89</v>
      </c>
      <c r="T76" s="34" t="n">
        <v>-276960.09</v>
      </c>
      <c r="U76" s="35" t="n">
        <v>-353575.09</v>
      </c>
      <c r="V76" s="34" t="n">
        <v>-27553.91</v>
      </c>
      <c r="W76" s="34" t="n">
        <v>187000.27</v>
      </c>
      <c r="X76" s="36" t="n">
        <v>-99556.32000000001</v>
      </c>
      <c r="Y76" s="10" t="n"/>
      <c r="Z76" s="11" t="n"/>
      <c r="AA76" s="10" t="n"/>
      <c r="AB76" s="10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기타영업외손익</t>
        </is>
      </c>
      <c r="E77" s="34" t="n">
        <v>-22907.09</v>
      </c>
      <c r="F77" s="9" t="n"/>
      <c r="G77" s="34" t="n">
        <v>25240.25</v>
      </c>
      <c r="H77" s="34" t="n">
        <v>148598.49</v>
      </c>
      <c r="I77" s="34" t="n">
        <v>256302.8</v>
      </c>
      <c r="J77" s="34" t="n">
        <v>-306772.47</v>
      </c>
      <c r="K77" s="35" t="n">
        <v>123369.07</v>
      </c>
      <c r="L77" s="34" t="n">
        <v>58833.75</v>
      </c>
      <c r="M77" s="34" t="n">
        <v>12423.9</v>
      </c>
      <c r="N77" s="34" t="n">
        <v>84975.82000000001</v>
      </c>
      <c r="O77" s="34" t="n">
        <v>-96447.14</v>
      </c>
      <c r="P77" s="35" t="n">
        <v>59786.33</v>
      </c>
      <c r="Q77" s="34" t="n">
        <v>93965.00999999999</v>
      </c>
      <c r="R77" s="34" t="n">
        <v>98288.81</v>
      </c>
      <c r="S77" s="34" t="n">
        <v>-115534.36</v>
      </c>
      <c r="T77" s="34" t="n">
        <v>334535.57</v>
      </c>
      <c r="U77" s="35" t="n">
        <v>411255.03</v>
      </c>
      <c r="V77" s="34" t="n">
        <v>18880.53</v>
      </c>
      <c r="W77" s="34" t="n">
        <v>-248524.65</v>
      </c>
      <c r="X77" s="36" t="n">
        <v>129526.97</v>
      </c>
      <c r="Y77" s="10" t="n"/>
      <c r="Z77" s="11" t="n"/>
      <c r="AA77" s="10" t="n"/>
      <c r="AB77" s="10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계속사업이익</t>
        </is>
      </c>
      <c r="E78" s="34" t="n">
        <v>-78366.22</v>
      </c>
      <c r="F78" s="9" t="n"/>
      <c r="G78" s="34" t="n">
        <v>-39458.41</v>
      </c>
      <c r="H78" s="34" t="n">
        <v>37468.43</v>
      </c>
      <c r="I78" s="34" t="n">
        <v>107279.69</v>
      </c>
      <c r="J78" s="34" t="n">
        <v>-149056.49</v>
      </c>
      <c r="K78" s="35" t="n">
        <v>-43766.78</v>
      </c>
      <c r="L78" s="34" t="n">
        <v>-4369.51</v>
      </c>
      <c r="M78" s="34" t="n">
        <v>-34947.84</v>
      </c>
      <c r="N78" s="34" t="n">
        <v>9732.969999999999</v>
      </c>
      <c r="O78" s="34" t="n">
        <v>-109368.33</v>
      </c>
      <c r="P78" s="35" t="n">
        <v>-138952.71</v>
      </c>
      <c r="Q78" s="34" t="n">
        <v>2136.57</v>
      </c>
      <c r="R78" s="34" t="n">
        <v>28928.79</v>
      </c>
      <c r="S78" s="34" t="n">
        <v>2604.35</v>
      </c>
      <c r="T78" s="34" t="n">
        <v>79578.64</v>
      </c>
      <c r="U78" s="35" t="n">
        <v>113248.35</v>
      </c>
      <c r="V78" s="34" t="n">
        <v>51697.35</v>
      </c>
      <c r="W78" s="34" t="n">
        <v>25208.87</v>
      </c>
      <c r="X78" s="36" t="n">
        <v>182842.03</v>
      </c>
      <c r="Y78" s="10" t="n"/>
      <c r="Z78" s="11" t="n"/>
      <c r="AA78" s="10" t="n"/>
      <c r="AB78" s="10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이자수익</t>
        </is>
      </c>
      <c r="F79" s="9" t="n"/>
      <c r="G79" s="34" t="n">
        <v>1721</v>
      </c>
      <c r="H79" s="34" t="n">
        <v>2717</v>
      </c>
      <c r="I79" s="34" t="n">
        <v>4028</v>
      </c>
      <c r="J79" s="34" t="n">
        <v>5073</v>
      </c>
      <c r="K79" s="35" t="n">
        <v>13539</v>
      </c>
      <c r="L79" s="34" t="n">
        <v>4039</v>
      </c>
      <c r="M79" s="34" t="n">
        <v>3835</v>
      </c>
      <c r="N79" s="34" t="n">
        <v>3965</v>
      </c>
      <c r="O79" s="34" t="n">
        <v>4081</v>
      </c>
      <c r="P79" s="35" t="n">
        <v>15920</v>
      </c>
      <c r="Q79" s="34" t="n">
        <v>4357</v>
      </c>
      <c r="R79" s="34" t="n">
        <v>3987</v>
      </c>
      <c r="S79" s="34" t="n">
        <v>4372</v>
      </c>
      <c r="T79" s="34" t="n">
        <v>3542</v>
      </c>
      <c r="U79" s="35" t="n">
        <v>16258</v>
      </c>
      <c r="V79" s="34" t="n">
        <v>2662</v>
      </c>
      <c r="W79" s="34" t="n">
        <v>3356</v>
      </c>
      <c r="X79" s="36" t="n">
        <v>4295</v>
      </c>
      <c r="Y79" s="10" t="n"/>
      <c r="Z79" s="11" t="n"/>
      <c r="AA79" s="10" t="n"/>
      <c r="AB79" s="10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배당금수익</t>
        </is>
      </c>
      <c r="F80" s="9" t="n"/>
      <c r="G80" s="34" t="n">
        <v>37</v>
      </c>
      <c r="H80" s="34" t="n">
        <v>0</v>
      </c>
      <c r="I80" s="34" t="n">
        <v>0</v>
      </c>
      <c r="J80" s="34" t="n">
        <v>0</v>
      </c>
      <c r="K80" s="35" t="n">
        <v>37</v>
      </c>
      <c r="L80" s="34" t="n">
        <v>42</v>
      </c>
      <c r="M80" s="34" t="n">
        <v>0</v>
      </c>
      <c r="N80" s="34" t="n">
        <v>0</v>
      </c>
      <c r="O80" s="34" t="n">
        <v>0</v>
      </c>
      <c r="P80" s="35" t="n">
        <v>42</v>
      </c>
      <c r="Q80" s="34" t="n">
        <v>62</v>
      </c>
      <c r="R80" s="34" t="n">
        <v>0</v>
      </c>
      <c r="S80" s="34" t="n">
        <v>0</v>
      </c>
      <c r="T80" s="34" t="n">
        <v>0</v>
      </c>
      <c r="U80" s="35" t="n">
        <v>62</v>
      </c>
      <c r="V80" s="34" t="n">
        <v>62</v>
      </c>
      <c r="W80" s="34" t="n">
        <v>0</v>
      </c>
      <c r="X80" s="36" t="n">
        <v>0</v>
      </c>
      <c r="Y80" s="10" t="n"/>
      <c r="Z80" s="11" t="n"/>
      <c r="AA80" s="10" t="n"/>
      <c r="AB80" s="10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이자비용</t>
        </is>
      </c>
      <c r="F81" s="9" t="n"/>
      <c r="G81" s="34" t="n">
        <v>821</v>
      </c>
      <c r="H81" s="34" t="n">
        <v>1213</v>
      </c>
      <c r="I81" s="34" t="n">
        <v>1509</v>
      </c>
      <c r="J81" s="34" t="n">
        <v>1518</v>
      </c>
      <c r="K81" s="35" t="n">
        <v>5061</v>
      </c>
      <c r="L81" s="34" t="n">
        <v>1517</v>
      </c>
      <c r="M81" s="34" t="n">
        <v>3171</v>
      </c>
      <c r="N81" s="34" t="n">
        <v>3949</v>
      </c>
      <c r="O81" s="34" t="n">
        <v>5196</v>
      </c>
      <c r="P81" s="35" t="n">
        <v>13833</v>
      </c>
      <c r="Q81" s="34" t="n">
        <v>6913</v>
      </c>
      <c r="R81" s="34" t="n">
        <v>5247</v>
      </c>
      <c r="S81" s="34" t="n">
        <v>4547</v>
      </c>
      <c r="T81" s="34" t="n">
        <v>2756</v>
      </c>
      <c r="U81" s="35" t="n">
        <v>19463</v>
      </c>
      <c r="V81" s="34" t="n">
        <v>3218</v>
      </c>
      <c r="W81" s="34" t="n">
        <v>945</v>
      </c>
      <c r="X81" s="36" t="n">
        <v>1136</v>
      </c>
      <c r="Y81" s="10" t="n"/>
      <c r="Z81" s="11" t="n"/>
      <c r="AA81" s="10" t="n"/>
      <c r="AB81" s="10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외환차익</t>
        </is>
      </c>
      <c r="F82" s="9" t="n"/>
      <c r="G82" s="34" t="n">
        <v>38996</v>
      </c>
      <c r="H82" s="34" t="n">
        <v>58814</v>
      </c>
      <c r="I82" s="34" t="n">
        <v>86354</v>
      </c>
      <c r="J82" s="34" t="n">
        <v>87300</v>
      </c>
      <c r="K82" s="35" t="n">
        <v>271464</v>
      </c>
      <c r="L82" s="34" t="n">
        <v>52556</v>
      </c>
      <c r="M82" s="34" t="n">
        <v>46704</v>
      </c>
      <c r="N82" s="34" t="n">
        <v>41098</v>
      </c>
      <c r="O82" s="34" t="n">
        <v>28852</v>
      </c>
      <c r="P82" s="35" t="n">
        <v>169210</v>
      </c>
      <c r="Q82" s="34" t="n">
        <v>55680</v>
      </c>
      <c r="R82" s="34" t="n">
        <v>70776</v>
      </c>
      <c r="S82" s="34" t="n">
        <v>38658</v>
      </c>
      <c r="T82" s="34" t="n">
        <v>49739</v>
      </c>
      <c r="U82" s="35" t="n">
        <v>214853</v>
      </c>
      <c r="V82" s="34" t="n">
        <v>25945</v>
      </c>
      <c r="W82" s="34" t="n">
        <v>42459</v>
      </c>
      <c r="X82" s="36" t="n">
        <v>52535</v>
      </c>
      <c r="Y82" s="10" t="n"/>
      <c r="Z82" s="11" t="n"/>
      <c r="AA82" s="10" t="n"/>
      <c r="AB82" s="10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외환차손</t>
        </is>
      </c>
      <c r="F83" s="9" t="n"/>
      <c r="G83" s="34" t="n">
        <v>23277</v>
      </c>
      <c r="H83" s="34" t="n">
        <v>20508</v>
      </c>
      <c r="I83" s="34" t="n">
        <v>18165</v>
      </c>
      <c r="J83" s="34" t="n">
        <v>70742</v>
      </c>
      <c r="K83" s="35" t="n">
        <v>132692</v>
      </c>
      <c r="L83" s="34" t="n">
        <v>38078</v>
      </c>
      <c r="M83" s="34" t="n">
        <v>23420</v>
      </c>
      <c r="N83" s="34" t="n">
        <v>22862</v>
      </c>
      <c r="O83" s="34" t="n">
        <v>34179</v>
      </c>
      <c r="P83" s="35" t="n">
        <v>118539</v>
      </c>
      <c r="Q83" s="34" t="n">
        <v>23076</v>
      </c>
      <c r="R83" s="34" t="n">
        <v>25167</v>
      </c>
      <c r="S83" s="34" t="n">
        <v>48578</v>
      </c>
      <c r="T83" s="34" t="n">
        <v>20919</v>
      </c>
      <c r="U83" s="35" t="n">
        <v>117740</v>
      </c>
      <c r="V83" s="34" t="n">
        <v>32246</v>
      </c>
      <c r="W83" s="34" t="n">
        <v>82351</v>
      </c>
      <c r="X83" s="36" t="n">
        <v>59961</v>
      </c>
      <c r="Y83" s="10" t="n"/>
      <c r="Z83" s="11" t="n"/>
      <c r="AA83" s="10" t="n"/>
      <c r="AB83" s="10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외화환산이익</t>
        </is>
      </c>
      <c r="F84" s="9" t="n"/>
      <c r="G84" s="34" t="n">
        <v>9518</v>
      </c>
      <c r="H84" s="34" t="n">
        <v>42793</v>
      </c>
      <c r="I84" s="34" t="n">
        <v>98762</v>
      </c>
      <c r="J84" s="34" t="n">
        <v>-132785</v>
      </c>
      <c r="K84" s="35" t="n">
        <v>18288</v>
      </c>
      <c r="L84" s="34" t="n">
        <v>34361</v>
      </c>
      <c r="M84" s="34" t="n">
        <v>-12185</v>
      </c>
      <c r="N84" s="34" t="n">
        <v>16611</v>
      </c>
      <c r="O84" s="34" t="n">
        <v>-31125</v>
      </c>
      <c r="P84" s="35" t="n">
        <v>7662</v>
      </c>
      <c r="Q84" s="34" t="n">
        <v>35797</v>
      </c>
      <c r="R84" s="34" t="n">
        <v>0</v>
      </c>
      <c r="S84" s="34" t="n">
        <v>0</v>
      </c>
      <c r="T84" s="34" t="n">
        <v>77825</v>
      </c>
      <c r="U84" s="35" t="n">
        <v>113622</v>
      </c>
      <c r="V84" s="34" t="n">
        <v>9870</v>
      </c>
      <c r="W84" s="34" t="n">
        <v>11049</v>
      </c>
      <c r="X84" s="36" t="n">
        <v>56424</v>
      </c>
      <c r="Y84" s="10" t="n"/>
      <c r="Z84" s="11" t="n"/>
      <c r="AA84" s="10" t="n"/>
      <c r="AB84" s="10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외화환산손실</t>
        </is>
      </c>
      <c r="F85" s="9" t="n"/>
      <c r="G85" s="34" t="n">
        <v>6962</v>
      </c>
      <c r="H85" s="34" t="n">
        <v>11922</v>
      </c>
      <c r="I85" s="34" t="n">
        <v>21824</v>
      </c>
      <c r="J85" s="34" t="n">
        <v>56309</v>
      </c>
      <c r="K85" s="35" t="n">
        <v>97017</v>
      </c>
      <c r="L85" s="34" t="n">
        <v>9266</v>
      </c>
      <c r="M85" s="34" t="n">
        <v>9146</v>
      </c>
      <c r="N85" s="34" t="n">
        <v>6293</v>
      </c>
      <c r="O85" s="34" t="n">
        <v>17985</v>
      </c>
      <c r="P85" s="35" t="n">
        <v>42690</v>
      </c>
      <c r="Q85" s="34" t="n">
        <v>10002</v>
      </c>
      <c r="R85" s="34" t="n">
        <v>11048</v>
      </c>
      <c r="S85" s="34" t="n">
        <v>38628</v>
      </c>
      <c r="T85" s="34" t="n">
        <v>4848</v>
      </c>
      <c r="U85" s="35" t="n">
        <v>64526</v>
      </c>
      <c r="V85" s="34" t="n">
        <v>6229</v>
      </c>
      <c r="W85" s="34" t="n">
        <v>64400</v>
      </c>
      <c r="X85" s="36" t="n">
        <v>0</v>
      </c>
      <c r="Y85" s="10" t="n"/>
      <c r="Z85" s="11" t="n"/>
      <c r="AA85" s="10" t="n"/>
      <c r="AB85" s="10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파생상품이익</t>
        </is>
      </c>
      <c r="F86" s="9" t="n"/>
      <c r="G86" s="34" t="n">
        <v>3259</v>
      </c>
      <c r="H86" s="34" t="n">
        <v>232</v>
      </c>
      <c r="I86" s="34" t="n">
        <v>-151</v>
      </c>
      <c r="J86" s="34" t="n">
        <v>55453</v>
      </c>
      <c r="K86" s="35" t="n">
        <v>58793</v>
      </c>
      <c r="L86" s="34" t="n">
        <v>5008</v>
      </c>
      <c r="M86" s="34" t="n">
        <v>7925</v>
      </c>
      <c r="N86" s="34" t="n">
        <v>5051</v>
      </c>
      <c r="O86" s="34" t="n">
        <v>23641</v>
      </c>
      <c r="P86" s="35" t="n">
        <v>41625</v>
      </c>
      <c r="Q86" s="34" t="n">
        <v>836</v>
      </c>
      <c r="R86" s="34" t="n">
        <v>998</v>
      </c>
      <c r="S86" s="34" t="n">
        <v>154816</v>
      </c>
      <c r="T86" s="34" t="n">
        <v>-19934</v>
      </c>
      <c r="U86" s="35" t="n">
        <v>136716</v>
      </c>
      <c r="V86" s="34" t="n">
        <v>6844</v>
      </c>
      <c r="W86" s="34" t="n">
        <v>279207</v>
      </c>
      <c r="X86" s="36" t="n">
        <v>13620</v>
      </c>
      <c r="Y86" s="10" t="n"/>
      <c r="Z86" s="11" t="n"/>
      <c r="AA86" s="10" t="n"/>
      <c r="AB86" s="10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파생상품손실</t>
        </is>
      </c>
      <c r="F87" s="9" t="n"/>
      <c r="G87" s="34" t="n">
        <v>35670</v>
      </c>
      <c r="H87" s="34" t="n">
        <v>162073</v>
      </c>
      <c r="I87" s="34" t="n">
        <v>276020</v>
      </c>
      <c r="J87" s="34" t="n">
        <v>-268575</v>
      </c>
      <c r="K87" s="35" t="n">
        <v>205188</v>
      </c>
      <c r="L87" s="34" t="n">
        <v>83382</v>
      </c>
      <c r="M87" s="34" t="n">
        <v>29030</v>
      </c>
      <c r="N87" s="34" t="n">
        <v>97121</v>
      </c>
      <c r="O87" s="34" t="n">
        <v>-74201</v>
      </c>
      <c r="P87" s="35" t="n">
        <v>135332</v>
      </c>
      <c r="Q87" s="34" t="n">
        <v>136360</v>
      </c>
      <c r="R87" s="34" t="n">
        <v>114421</v>
      </c>
      <c r="S87" s="34" t="n">
        <v>22967</v>
      </c>
      <c r="T87" s="34" t="n">
        <v>359609</v>
      </c>
      <c r="U87" s="35" t="n">
        <v>633357</v>
      </c>
      <c r="V87" s="34" t="n">
        <v>31244</v>
      </c>
      <c r="W87" s="34" t="n">
        <v>1374</v>
      </c>
      <c r="X87" s="36" t="n">
        <v>165333</v>
      </c>
      <c r="Y87" s="10" t="n"/>
      <c r="Z87" s="11" t="n"/>
      <c r="AA87" s="10" t="n"/>
      <c r="AB87" s="10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이자손익</t>
        </is>
      </c>
      <c r="F88" s="9" t="n"/>
      <c r="G88" s="34" t="n">
        <v>900</v>
      </c>
      <c r="H88" s="34" t="n">
        <v>1504</v>
      </c>
      <c r="I88" s="34" t="n">
        <v>2519</v>
      </c>
      <c r="J88" s="34" t="n">
        <v>3555</v>
      </c>
      <c r="K88" s="35" t="n">
        <v>8478</v>
      </c>
      <c r="L88" s="34" t="n">
        <v>2522</v>
      </c>
      <c r="M88" s="34" t="n">
        <v>664</v>
      </c>
      <c r="N88" s="34" t="n">
        <v>16</v>
      </c>
      <c r="O88" s="34" t="n">
        <v>-1115</v>
      </c>
      <c r="P88" s="35" t="n">
        <v>2087</v>
      </c>
      <c r="Q88" s="34" t="n">
        <v>-2556</v>
      </c>
      <c r="R88" s="34" t="n">
        <v>-1260</v>
      </c>
      <c r="S88" s="34" t="n">
        <v>-175</v>
      </c>
      <c r="T88" s="34" t="n">
        <v>786</v>
      </c>
      <c r="U88" s="35" t="n">
        <v>-3205</v>
      </c>
      <c r="V88" s="34" t="n">
        <v>-556</v>
      </c>
      <c r="W88" s="34" t="n">
        <v>2411</v>
      </c>
      <c r="X88" s="36" t="n">
        <v>3159</v>
      </c>
      <c r="Y88" s="10" t="n"/>
      <c r="Z88" s="11" t="n"/>
      <c r="AA88" s="10" t="n"/>
      <c r="AB88" s="10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영업활동으로인한현금흐름</t>
        </is>
      </c>
      <c r="E89" s="34" t="n">
        <v>-277126.05</v>
      </c>
      <c r="F89" s="9" t="n"/>
      <c r="G89" s="34" t="n">
        <v>170813.3</v>
      </c>
      <c r="H89" s="34" t="n">
        <v>104465.44</v>
      </c>
      <c r="I89" s="34" t="n">
        <v>-125000.98</v>
      </c>
      <c r="J89" s="34" t="n">
        <v>58129.01</v>
      </c>
      <c r="K89" s="35" t="n">
        <v>208406.77</v>
      </c>
      <c r="L89" s="34" t="n">
        <v>-188211.1</v>
      </c>
      <c r="M89" s="34" t="n">
        <v>-53555.39</v>
      </c>
      <c r="N89" s="34" t="n">
        <v>11244.77</v>
      </c>
      <c r="O89" s="34" t="n">
        <v>-302762.84</v>
      </c>
      <c r="P89" s="35" t="n">
        <v>-533284.5600000001</v>
      </c>
      <c r="Q89" s="34" t="n">
        <v>273016.62</v>
      </c>
      <c r="R89" s="34" t="n">
        <v>173229.52</v>
      </c>
      <c r="S89" s="34" t="n">
        <v>177754.72</v>
      </c>
      <c r="T89" s="34" t="n">
        <v>-263100.88</v>
      </c>
      <c r="U89" s="35" t="n">
        <v>360899.98</v>
      </c>
      <c r="V89" s="34" t="n">
        <v>373397.19</v>
      </c>
      <c r="W89" s="34" t="n">
        <v>185990.07</v>
      </c>
      <c r="X89" s="36" t="n">
        <v>33364.41</v>
      </c>
      <c r="Y89" s="10" t="n"/>
      <c r="Z89" s="11" t="n"/>
      <c r="AA89" s="10" t="n"/>
      <c r="AB89" s="10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이자수취(CF)</t>
        </is>
      </c>
      <c r="E90" s="34" t="n">
        <v>4282.45</v>
      </c>
      <c r="F90" s="9" t="n"/>
      <c r="G90" s="34" t="n">
        <v>1706.76</v>
      </c>
      <c r="H90" s="34" t="n">
        <v>2481.35</v>
      </c>
      <c r="I90" s="34" t="n">
        <v>3695.38</v>
      </c>
      <c r="J90" s="34" t="n">
        <v>5564.86</v>
      </c>
      <c r="K90" s="35" t="n">
        <v>13448.35</v>
      </c>
      <c r="L90" s="34" t="n">
        <v>4357.71</v>
      </c>
      <c r="M90" s="34" t="n">
        <v>3827.73</v>
      </c>
      <c r="N90" s="34" t="n">
        <v>3783.54</v>
      </c>
      <c r="O90" s="34" t="n">
        <v>4127.83</v>
      </c>
      <c r="P90" s="35" t="n">
        <v>16096.81</v>
      </c>
      <c r="Q90" s="34" t="n">
        <v>4101.74</v>
      </c>
      <c r="R90" s="34" t="n">
        <v>4261.59</v>
      </c>
      <c r="S90" s="34" t="n">
        <v>4566.95</v>
      </c>
      <c r="T90" s="34" t="n">
        <v>3566.37</v>
      </c>
      <c r="U90" s="35" t="n">
        <v>16496.65</v>
      </c>
      <c r="V90" s="34" t="n">
        <v>2607.4</v>
      </c>
      <c r="W90" s="34" t="n">
        <v>3185.5</v>
      </c>
      <c r="X90" s="36" t="n">
        <v>4529.74</v>
      </c>
      <c r="Y90" s="10" t="n"/>
      <c r="Z90" s="11" t="n"/>
      <c r="AA90" s="10" t="n"/>
      <c r="AB90" s="10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이자지급(CF)</t>
        </is>
      </c>
      <c r="E91" s="34" t="n">
        <v>-794.54</v>
      </c>
      <c r="F91" s="9" t="n"/>
      <c r="G91" s="34" t="n">
        <v>-893.52</v>
      </c>
      <c r="H91" s="34" t="n">
        <v>-1319.03</v>
      </c>
      <c r="I91" s="34" t="n">
        <v>-1626.76</v>
      </c>
      <c r="J91" s="34" t="n">
        <v>-1579.31</v>
      </c>
      <c r="K91" s="35" t="n">
        <v>-5418.62</v>
      </c>
      <c r="L91" s="34" t="n">
        <v>-1516.71</v>
      </c>
      <c r="M91" s="34" t="n">
        <v>-2761.78</v>
      </c>
      <c r="N91" s="34" t="n">
        <v>-3720.91</v>
      </c>
      <c r="O91" s="34" t="n">
        <v>-4621.86</v>
      </c>
      <c r="P91" s="35" t="n">
        <v>-12621.26</v>
      </c>
      <c r="Q91" s="34" t="n">
        <v>-7512.68</v>
      </c>
      <c r="R91" s="34" t="n">
        <v>-4709.32</v>
      </c>
      <c r="S91" s="34" t="n">
        <v>-5689.37</v>
      </c>
      <c r="T91" s="34" t="n">
        <v>-2725.01</v>
      </c>
      <c r="U91" s="35" t="n">
        <v>-20636.38</v>
      </c>
      <c r="V91" s="34" t="n">
        <v>-3253.48</v>
      </c>
      <c r="W91" s="34" t="n">
        <v>-980.22</v>
      </c>
      <c r="X91" s="36" t="n">
        <v>-1138.26</v>
      </c>
      <c r="Y91" s="10" t="n"/>
      <c r="Z91" s="11" t="n"/>
      <c r="AA91" s="10" t="n"/>
      <c r="AB91" s="10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배당금수취(CF)</t>
        </is>
      </c>
      <c r="E92" s="34" t="n">
        <v>0</v>
      </c>
      <c r="F92" s="9" t="n"/>
      <c r="I92" s="34" t="n">
        <v>0</v>
      </c>
      <c r="J92" s="34" t="n">
        <v>0</v>
      </c>
      <c r="K92" s="9" t="n"/>
      <c r="N92" s="34" t="n">
        <v>0</v>
      </c>
      <c r="O92" s="34" t="n">
        <v>0</v>
      </c>
      <c r="P92" s="9" t="n"/>
      <c r="S92" s="34" t="n">
        <v>0</v>
      </c>
      <c r="T92" s="34" t="n">
        <v>0</v>
      </c>
      <c r="U92" s="9" t="n"/>
      <c r="X92" s="36" t="n">
        <v>0</v>
      </c>
      <c r="Y92" s="10" t="n"/>
      <c r="Z92" s="11" t="n"/>
      <c r="AA92" s="10" t="n"/>
      <c r="AB92" s="10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법인세납부(CF)</t>
        </is>
      </c>
      <c r="E93" s="34" t="n">
        <v>998.0599999999999</v>
      </c>
      <c r="F93" s="9" t="n"/>
      <c r="G93" s="34" t="n">
        <v>-708.73</v>
      </c>
      <c r="H93" s="34" t="n">
        <v>134.1</v>
      </c>
      <c r="I93" s="34" t="n">
        <v>-855.9</v>
      </c>
      <c r="J93" s="34" t="n">
        <v>-754.63</v>
      </c>
      <c r="K93" s="35" t="n">
        <v>-2185.16</v>
      </c>
      <c r="L93" s="34" t="n">
        <v>-1603.51</v>
      </c>
      <c r="M93" s="34" t="n">
        <v>436.18</v>
      </c>
      <c r="N93" s="34" t="n">
        <v>-908.67</v>
      </c>
      <c r="O93" s="34" t="n">
        <v>-891.87</v>
      </c>
      <c r="P93" s="35" t="n">
        <v>-2967.87</v>
      </c>
      <c r="Q93" s="34" t="n">
        <v>-769.0599999999999</v>
      </c>
      <c r="R93" s="34" t="n">
        <v>2243.11</v>
      </c>
      <c r="S93" s="34" t="n">
        <v>-1015.08</v>
      </c>
      <c r="T93" s="34" t="n">
        <v>-1671.63</v>
      </c>
      <c r="U93" s="35" t="n">
        <v>-1212.66</v>
      </c>
      <c r="V93" s="34" t="n">
        <v>-2780.83</v>
      </c>
      <c r="W93" s="34" t="n">
        <v>93.31999999999999</v>
      </c>
      <c r="X93" s="36" t="n">
        <v>-4789.56</v>
      </c>
      <c r="Y93" s="10" t="n"/>
      <c r="Z93" s="11" t="n"/>
      <c r="AA93" s="10" t="n"/>
      <c r="AB93" s="10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투자활동으로인한현금흐름</t>
        </is>
      </c>
      <c r="E94" s="34" t="n">
        <v>59163.3</v>
      </c>
      <c r="F94" s="9" t="n"/>
      <c r="G94" s="34" t="n">
        <v>14323.61</v>
      </c>
      <c r="H94" s="34" t="n">
        <v>-122026.47</v>
      </c>
      <c r="I94" s="34" t="n">
        <v>11195.65</v>
      </c>
      <c r="J94" s="34" t="n">
        <v>49239.81</v>
      </c>
      <c r="K94" s="35" t="n">
        <v>-47267.4</v>
      </c>
      <c r="L94" s="34" t="n">
        <v>-164.79</v>
      </c>
      <c r="M94" s="34" t="n">
        <v>-41967.79</v>
      </c>
      <c r="N94" s="34" t="n">
        <v>-41352.56</v>
      </c>
      <c r="O94" s="34" t="n">
        <v>-28139.68</v>
      </c>
      <c r="P94" s="35" t="n">
        <v>-111624.82</v>
      </c>
      <c r="Q94" s="34" t="n">
        <v>-20168.17</v>
      </c>
      <c r="R94" s="34" t="n">
        <v>-46989.31</v>
      </c>
      <c r="S94" s="34" t="n">
        <v>-57535.23</v>
      </c>
      <c r="T94" s="34" t="n">
        <v>-24467.08</v>
      </c>
      <c r="U94" s="35" t="n">
        <v>-149159.79</v>
      </c>
      <c r="V94" s="34" t="n">
        <v>-24053.75</v>
      </c>
      <c r="W94" s="34" t="n">
        <v>-43203.86</v>
      </c>
      <c r="X94" s="36" t="n">
        <v>-47602.35</v>
      </c>
      <c r="Y94" s="10" t="n"/>
      <c r="Z94" s="11" t="n"/>
      <c r="AA94" s="10" t="n"/>
      <c r="AB94" s="10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유형자산의감소</t>
        </is>
      </c>
      <c r="E95" s="34" t="n">
        <v>81.06999999999999</v>
      </c>
      <c r="F95" s="9" t="n"/>
      <c r="G95" s="34" t="n">
        <v>152.44</v>
      </c>
      <c r="H95" s="34" t="n">
        <v>144.29</v>
      </c>
      <c r="I95" s="34" t="n">
        <v>379.52</v>
      </c>
      <c r="J95" s="34" t="n">
        <v>143.01</v>
      </c>
      <c r="K95" s="35" t="n">
        <v>819.26</v>
      </c>
      <c r="L95" s="34" t="n">
        <v>96.27</v>
      </c>
      <c r="M95" s="34" t="n">
        <v>156.54</v>
      </c>
      <c r="N95" s="34" t="n">
        <v>1122.85</v>
      </c>
      <c r="O95" s="34" t="n">
        <v>59.91</v>
      </c>
      <c r="P95" s="35" t="n">
        <v>1435.57</v>
      </c>
      <c r="Q95" s="34" t="n">
        <v>21.15</v>
      </c>
      <c r="R95" s="34" t="n">
        <v>56.87</v>
      </c>
      <c r="S95" s="34" t="n">
        <v>57.98</v>
      </c>
      <c r="T95" s="34" t="n">
        <v>100.04</v>
      </c>
      <c r="U95" s="35" t="n">
        <v>236.04</v>
      </c>
      <c r="V95" s="34" t="n">
        <v>75.95</v>
      </c>
      <c r="W95" s="34" t="n">
        <v>32.1</v>
      </c>
      <c r="X95" s="36" t="n">
        <v>155.04</v>
      </c>
      <c r="Y95" s="10" t="n"/>
      <c r="Z95" s="11" t="n"/>
      <c r="AA95" s="10" t="n"/>
      <c r="AB95" s="10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무형자산의감소</t>
        </is>
      </c>
      <c r="E96" s="34" t="n">
        <v>300</v>
      </c>
      <c r="F96" s="9" t="n"/>
      <c r="K96" s="9" t="n"/>
      <c r="P96" s="9" t="n"/>
      <c r="U96" s="9" t="n"/>
      <c r="X96" s="5" t="n"/>
      <c r="Y96" s="10" t="n"/>
      <c r="Z96" s="11" t="n"/>
      <c r="AA96" s="10" t="n"/>
      <c r="AB96" s="10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유형자산의증가</t>
        </is>
      </c>
      <c r="E97" s="34" t="n">
        <v>24549.79</v>
      </c>
      <c r="F97" s="9" t="n"/>
      <c r="G97" s="34" t="n">
        <v>25778.59</v>
      </c>
      <c r="H97" s="34" t="n">
        <v>27979.13</v>
      </c>
      <c r="I97" s="34" t="n">
        <v>35363.12</v>
      </c>
      <c r="J97" s="34" t="n">
        <v>24697.17</v>
      </c>
      <c r="K97" s="35" t="n">
        <v>113818.01</v>
      </c>
      <c r="L97" s="34" t="n">
        <v>12709.68</v>
      </c>
      <c r="M97" s="34" t="n">
        <v>36541.6</v>
      </c>
      <c r="N97" s="34" t="n">
        <v>37058.97</v>
      </c>
      <c r="O97" s="34" t="n">
        <v>31051.26</v>
      </c>
      <c r="P97" s="35" t="n">
        <v>117361.51</v>
      </c>
      <c r="Q97" s="34" t="n">
        <v>25245.76</v>
      </c>
      <c r="R97" s="34" t="n">
        <v>40674.65</v>
      </c>
      <c r="S97" s="34" t="n">
        <v>52329.86</v>
      </c>
      <c r="T97" s="34" t="n">
        <v>26366.14</v>
      </c>
      <c r="U97" s="35" t="n">
        <v>144616.41</v>
      </c>
      <c r="V97" s="34" t="n">
        <v>27973.91</v>
      </c>
      <c r="W97" s="34" t="n">
        <v>34297.34</v>
      </c>
      <c r="X97" s="36" t="n">
        <v>42028.58</v>
      </c>
      <c r="Y97" s="10" t="n"/>
      <c r="Z97" s="11" t="n"/>
      <c r="AA97" s="10" t="n"/>
      <c r="AB97" s="10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CAPEX</t>
        </is>
      </c>
      <c r="E98" s="34" t="n">
        <v>24756.66</v>
      </c>
      <c r="F98" s="9" t="n"/>
      <c r="G98" s="34" t="n">
        <v>26483.58</v>
      </c>
      <c r="H98" s="34" t="n">
        <v>29160.3</v>
      </c>
      <c r="I98" s="34" t="n">
        <v>37179.8</v>
      </c>
      <c r="J98" s="34" t="n">
        <v>25944.91</v>
      </c>
      <c r="K98" s="35" t="n">
        <v>118768.59</v>
      </c>
      <c r="L98" s="34" t="n">
        <v>14294.11</v>
      </c>
      <c r="M98" s="34" t="n">
        <v>38862.7</v>
      </c>
      <c r="N98" s="34" t="n">
        <v>39913.4</v>
      </c>
      <c r="O98" s="34" t="n">
        <v>34557.88</v>
      </c>
      <c r="P98" s="35" t="n">
        <v>127628.09</v>
      </c>
      <c r="Q98" s="34" t="n">
        <v>25987.84</v>
      </c>
      <c r="R98" s="34" t="n">
        <v>42005.73</v>
      </c>
      <c r="S98" s="34" t="n">
        <v>53479.73</v>
      </c>
      <c r="T98" s="34" t="n">
        <v>29797.7</v>
      </c>
      <c r="U98" s="35" t="n">
        <v>151271</v>
      </c>
      <c r="V98" s="34" t="n">
        <v>28478.81</v>
      </c>
      <c r="W98" s="34" t="n">
        <v>35116.14</v>
      </c>
      <c r="X98" s="36" t="n">
        <v>42880.66</v>
      </c>
      <c r="Y98" s="10" t="n"/>
      <c r="Z98" s="11" t="n"/>
      <c r="AA98" s="10" t="n"/>
      <c r="AB98" s="10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무형자산의증가</t>
        </is>
      </c>
      <c r="E99" s="34" t="n">
        <v>206.87</v>
      </c>
      <c r="F99" s="9" t="n"/>
      <c r="G99" s="34" t="n">
        <v>704.99</v>
      </c>
      <c r="H99" s="34" t="n">
        <v>1181.17</v>
      </c>
      <c r="I99" s="34" t="n">
        <v>1816.68</v>
      </c>
      <c r="J99" s="34" t="n">
        <v>1247.74</v>
      </c>
      <c r="K99" s="35" t="n">
        <v>4950.58</v>
      </c>
      <c r="L99" s="34" t="n">
        <v>1584.43</v>
      </c>
      <c r="M99" s="34" t="n">
        <v>2321.1</v>
      </c>
      <c r="N99" s="34" t="n">
        <v>2854.43</v>
      </c>
      <c r="O99" s="34" t="n">
        <v>3506.62</v>
      </c>
      <c r="P99" s="35" t="n">
        <v>10266.58</v>
      </c>
      <c r="Q99" s="34" t="n">
        <v>742.08</v>
      </c>
      <c r="R99" s="34" t="n">
        <v>1331.08</v>
      </c>
      <c r="S99" s="34" t="n">
        <v>1149.87</v>
      </c>
      <c r="T99" s="34" t="n">
        <v>3431.56</v>
      </c>
      <c r="U99" s="35" t="n">
        <v>6654.59</v>
      </c>
      <c r="V99" s="34" t="n">
        <v>504.9</v>
      </c>
      <c r="W99" s="34" t="n">
        <v>818.8</v>
      </c>
      <c r="X99" s="36" t="n">
        <v>852.08</v>
      </c>
      <c r="Y99" s="10" t="n"/>
      <c r="Z99" s="11" t="n"/>
      <c r="AA99" s="10" t="n"/>
      <c r="AB99" s="10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재무활동으로인한현금흐름</t>
        </is>
      </c>
      <c r="E100" s="34" t="n">
        <v>-19803.01</v>
      </c>
      <c r="F100" s="9" t="n"/>
      <c r="G100" s="34" t="n">
        <v>29459.88</v>
      </c>
      <c r="H100" s="34" t="n">
        <v>-22849.06</v>
      </c>
      <c r="I100" s="34" t="n">
        <v>-41952.08</v>
      </c>
      <c r="J100" s="34" t="n">
        <v>-36271.62</v>
      </c>
      <c r="K100" s="35" t="n">
        <v>-71612.88</v>
      </c>
      <c r="L100" s="34" t="n">
        <v>61195.62</v>
      </c>
      <c r="M100" s="34" t="n">
        <v>112168.78</v>
      </c>
      <c r="N100" s="34" t="n">
        <v>72702.5</v>
      </c>
      <c r="O100" s="34" t="n">
        <v>217579.95</v>
      </c>
      <c r="P100" s="35" t="n">
        <v>463646.85</v>
      </c>
      <c r="Q100" s="34" t="n">
        <v>-145772.01</v>
      </c>
      <c r="R100" s="34" t="n">
        <v>-124965.07</v>
      </c>
      <c r="S100" s="34" t="n">
        <v>-140452.34</v>
      </c>
      <c r="T100" s="34" t="n">
        <v>48048.03</v>
      </c>
      <c r="U100" s="35" t="n">
        <v>-363141.39</v>
      </c>
      <c r="V100" s="34" t="n">
        <v>-80956.35000000001</v>
      </c>
      <c r="W100" s="34" t="n">
        <v>-58905.22</v>
      </c>
      <c r="X100" s="36" t="n">
        <v>-26092.23</v>
      </c>
      <c r="Y100" s="10" t="n"/>
      <c r="Z100" s="11" t="n"/>
      <c r="AA100" s="10" t="n"/>
      <c r="AB100" s="10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리스부채의상환</t>
        </is>
      </c>
      <c r="E101" s="34" t="n">
        <v>488.69</v>
      </c>
      <c r="F101" s="9" t="n"/>
      <c r="G101" s="34" t="n">
        <v>277.53</v>
      </c>
      <c r="H101" s="34" t="n">
        <v>292.48</v>
      </c>
      <c r="I101" s="34" t="n">
        <v>478.95</v>
      </c>
      <c r="J101" s="34" t="n">
        <v>460.06</v>
      </c>
      <c r="K101" s="35" t="n">
        <v>1509.02</v>
      </c>
      <c r="L101" s="34" t="n">
        <v>298.33</v>
      </c>
      <c r="M101" s="34" t="n">
        <v>369.84</v>
      </c>
      <c r="N101" s="34" t="n">
        <v>591.8200000000001</v>
      </c>
      <c r="O101" s="34" t="n">
        <v>404.48</v>
      </c>
      <c r="P101" s="35" t="n">
        <v>1664.47</v>
      </c>
      <c r="Q101" s="34" t="n">
        <v>1671.26</v>
      </c>
      <c r="R101" s="34" t="n">
        <v>1472.54</v>
      </c>
      <c r="S101" s="34" t="n">
        <v>1346.52</v>
      </c>
      <c r="T101" s="34" t="n">
        <v>1299.29</v>
      </c>
      <c r="U101" s="35" t="n">
        <v>5789.61</v>
      </c>
      <c r="V101" s="34" t="n">
        <v>956.35</v>
      </c>
      <c r="W101" s="34" t="n">
        <v>1012.32</v>
      </c>
      <c r="X101" s="36" t="n">
        <v>1412.31</v>
      </c>
      <c r="Y101" s="10" t="n"/>
      <c r="Z101" s="11" t="n"/>
      <c r="AA101" s="10" t="n"/>
      <c r="AB101" s="10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현금및현금성자산의증감</t>
        </is>
      </c>
      <c r="E102" s="34" t="n">
        <v>-237877.95</v>
      </c>
      <c r="F102" s="9" t="n"/>
      <c r="G102" s="34" t="n">
        <v>215217.07</v>
      </c>
      <c r="H102" s="34" t="n">
        <v>-37791.11</v>
      </c>
      <c r="I102" s="34" t="n">
        <v>-151538.89</v>
      </c>
      <c r="J102" s="34" t="n">
        <v>63885.83</v>
      </c>
      <c r="K102" s="35" t="n">
        <v>89772.89999999999</v>
      </c>
      <c r="L102" s="34" t="n">
        <v>-125351.78</v>
      </c>
      <c r="M102" s="34" t="n">
        <v>16293.35</v>
      </c>
      <c r="N102" s="34" t="n">
        <v>43112.89</v>
      </c>
      <c r="O102" s="34" t="n">
        <v>-114157.42</v>
      </c>
      <c r="P102" s="35" t="n">
        <v>-180102.96</v>
      </c>
      <c r="Q102" s="34" t="n">
        <v>108171.53</v>
      </c>
      <c r="R102" s="34" t="n">
        <v>2781.94</v>
      </c>
      <c r="S102" s="34" t="n">
        <v>-24390.76</v>
      </c>
      <c r="T102" s="34" t="n">
        <v>-231507.39</v>
      </c>
      <c r="U102" s="35" t="n">
        <v>-144944.68</v>
      </c>
      <c r="V102" s="34" t="n">
        <v>268913.28</v>
      </c>
      <c r="W102" s="34" t="n">
        <v>78806.78999999999</v>
      </c>
      <c r="X102" s="36" t="n">
        <v>-39252.17</v>
      </c>
      <c r="Y102" s="10" t="n"/>
      <c r="Z102" s="11" t="n"/>
      <c r="AA102" s="10" t="n"/>
      <c r="AB102" s="10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기말현금및현금성자산</t>
        </is>
      </c>
      <c r="E103" s="34" t="n">
        <v>-237877.95</v>
      </c>
      <c r="F103" s="9" t="n"/>
      <c r="G103" s="34" t="n">
        <v>615588.03</v>
      </c>
      <c r="H103" s="34" t="n">
        <v>-37791.11</v>
      </c>
      <c r="I103" s="34" t="n">
        <v>-151538.89</v>
      </c>
      <c r="J103" s="34" t="n">
        <v>63885.82</v>
      </c>
      <c r="K103" s="35" t="n">
        <v>490143.85</v>
      </c>
      <c r="L103" s="34" t="n">
        <v>364792.08</v>
      </c>
      <c r="M103" s="34" t="n">
        <v>16293.35</v>
      </c>
      <c r="N103" s="34" t="n">
        <v>43112.89</v>
      </c>
      <c r="O103" s="34" t="n">
        <v>-114157.43</v>
      </c>
      <c r="P103" s="35" t="n">
        <v>310040.89</v>
      </c>
      <c r="Q103" s="34" t="n">
        <v>418212.43</v>
      </c>
      <c r="R103" s="34" t="n">
        <v>2781.93</v>
      </c>
      <c r="S103" s="34" t="n">
        <v>-24390.76</v>
      </c>
      <c r="T103" s="34" t="n">
        <v>-231507.39</v>
      </c>
      <c r="U103" s="35" t="n">
        <v>165096.21</v>
      </c>
      <c r="V103" s="34" t="n">
        <v>434009.49</v>
      </c>
      <c r="W103" s="34" t="n">
        <v>78806.78999999999</v>
      </c>
      <c r="X103" s="36" t="n">
        <v>-39252.17</v>
      </c>
      <c r="Y103" s="10" t="n"/>
      <c r="Z103" s="11" t="n"/>
      <c r="AA103" s="10" t="n"/>
      <c r="AB103" s="10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배당금지급</t>
        </is>
      </c>
      <c r="F104" s="9" t="n"/>
      <c r="K104" s="9" t="n"/>
      <c r="P104" s="9" t="n"/>
      <c r="U104" s="9" t="n"/>
      <c r="X104" s="36" t="n">
        <v>19144.46</v>
      </c>
      <c r="Y104" s="10" t="n"/>
      <c r="Z104" s="11" t="n"/>
      <c r="AA104" s="10" t="n"/>
      <c r="AB104" s="10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4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3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X2" s="5" t="n"/>
    </row>
    <row r="3">
      <c r="B3" t="inlineStr">
        <is>
          <t>HD현대미포(별)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6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8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7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34" t="n">
        <v>2158881.36</v>
      </c>
      <c r="F5" s="35" t="n">
        <v>2158881.36</v>
      </c>
      <c r="G5" s="34" t="n">
        <v>2440189.79</v>
      </c>
      <c r="H5" s="34" t="n">
        <v>2661217.74</v>
      </c>
      <c r="I5" s="34" t="n">
        <v>3288166.84</v>
      </c>
      <c r="J5" s="34" t="n">
        <v>2945101.89</v>
      </c>
      <c r="K5" s="35" t="n">
        <v>2945101.89</v>
      </c>
      <c r="L5" s="34" t="n">
        <v>2838712.15</v>
      </c>
      <c r="M5" s="34" t="n">
        <v>2917547.31</v>
      </c>
      <c r="N5" s="34" t="n">
        <v>2948429.73</v>
      </c>
      <c r="O5" s="34" t="n">
        <v>3017901.05</v>
      </c>
      <c r="P5" s="35" t="n">
        <v>3017901.05</v>
      </c>
      <c r="Q5" s="34" t="n">
        <v>2820329.52</v>
      </c>
      <c r="R5" s="34" t="n">
        <v>2772843.18</v>
      </c>
      <c r="S5" s="34" t="n">
        <v>2560872.13</v>
      </c>
      <c r="T5" s="34" t="n">
        <v>2972534.5</v>
      </c>
      <c r="U5" s="35" t="n">
        <v>2972534.5</v>
      </c>
      <c r="V5" s="34" t="n">
        <v>3035854.98</v>
      </c>
      <c r="W5" s="34" t="n">
        <v>3074800.57</v>
      </c>
      <c r="X5" s="36" t="n">
        <v>3049804.87</v>
      </c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34" t="n">
        <v>372686.92</v>
      </c>
      <c r="F6" s="35" t="n">
        <v>372686.92</v>
      </c>
      <c r="G6" s="34" t="n">
        <v>544188.39</v>
      </c>
      <c r="H6" s="34" t="n">
        <v>515417.73</v>
      </c>
      <c r="I6" s="34" t="n">
        <v>363000.29</v>
      </c>
      <c r="J6" s="34" t="n">
        <v>431836.62</v>
      </c>
      <c r="K6" s="35" t="n">
        <v>431836.62</v>
      </c>
      <c r="L6" s="34" t="n">
        <v>290430.89</v>
      </c>
      <c r="M6" s="34" t="n">
        <v>351336.78</v>
      </c>
      <c r="N6" s="34" t="n">
        <v>396957.6</v>
      </c>
      <c r="O6" s="34" t="n">
        <v>273524.46</v>
      </c>
      <c r="P6" s="35" t="n">
        <v>273524.46</v>
      </c>
      <c r="Q6" s="34" t="n">
        <v>390726.17</v>
      </c>
      <c r="R6" s="34" t="n">
        <v>364074.92</v>
      </c>
      <c r="S6" s="34" t="n">
        <v>288905.78</v>
      </c>
      <c r="T6" s="34" t="n">
        <v>83492.25</v>
      </c>
      <c r="U6" s="35" t="n">
        <v>83492.25</v>
      </c>
      <c r="V6" s="34" t="n">
        <v>283730.83</v>
      </c>
      <c r="W6" s="34" t="n">
        <v>451431.26</v>
      </c>
      <c r="X6" s="36" t="n">
        <v>325015.53</v>
      </c>
      <c r="Y6" s="10" t="n"/>
      <c r="Z6" s="11" t="n"/>
      <c r="AA6" s="10" t="n"/>
      <c r="AB6" s="10" t="n"/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34" t="n">
        <v>123027.77</v>
      </c>
      <c r="F7" s="35" t="n">
        <v>123027.77</v>
      </c>
      <c r="G7" s="34" t="n">
        <v>83000.50999999999</v>
      </c>
      <c r="H7" s="34" t="n">
        <v>173001.29</v>
      </c>
      <c r="I7" s="34" t="n">
        <v>123001.48</v>
      </c>
      <c r="J7" s="34" t="n">
        <v>53001.73</v>
      </c>
      <c r="K7" s="35" t="n">
        <v>53001.73</v>
      </c>
      <c r="L7" s="34" t="n">
        <v>23001.44</v>
      </c>
      <c r="M7" s="34" t="n">
        <v>23001.59</v>
      </c>
      <c r="N7" s="34" t="n">
        <v>23001.83</v>
      </c>
      <c r="O7" s="34" t="n">
        <v>23002.07</v>
      </c>
      <c r="P7" s="35" t="n">
        <v>23002.07</v>
      </c>
      <c r="Q7" s="34" t="n">
        <v>23000.13</v>
      </c>
      <c r="R7" s="34" t="n">
        <v>23000.15</v>
      </c>
      <c r="S7" s="34" t="n">
        <v>23000.17</v>
      </c>
      <c r="T7" s="34" t="n">
        <v>24122.31</v>
      </c>
      <c r="U7" s="35" t="n">
        <v>24122.31</v>
      </c>
      <c r="V7" s="34" t="n">
        <v>24112.89</v>
      </c>
      <c r="W7" s="34" t="n">
        <v>24612.96</v>
      </c>
      <c r="X7" s="36" t="n">
        <v>25107.54</v>
      </c>
      <c r="Y7" s="10" t="n"/>
      <c r="Z7" s="11" t="n"/>
      <c r="AA7" s="10" t="n"/>
      <c r="AB7" s="10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34" t="n">
        <v>153479.73</v>
      </c>
      <c r="F8" s="35" t="n">
        <v>153479.73</v>
      </c>
      <c r="G8" s="34" t="n">
        <v>124218.75</v>
      </c>
      <c r="H8" s="34" t="n">
        <v>251829.72</v>
      </c>
      <c r="I8" s="34" t="n">
        <v>278390.78</v>
      </c>
      <c r="J8" s="34" t="n">
        <v>125597.49</v>
      </c>
      <c r="K8" s="35" t="n">
        <v>125597.49</v>
      </c>
      <c r="L8" s="34" t="n">
        <v>91270.14</v>
      </c>
      <c r="M8" s="34" t="n">
        <v>81395.55</v>
      </c>
      <c r="N8" s="34" t="n">
        <v>88338.31</v>
      </c>
      <c r="O8" s="34" t="n">
        <v>71794.11</v>
      </c>
      <c r="P8" s="35" t="n">
        <v>71794.11</v>
      </c>
      <c r="Q8" s="34" t="n">
        <v>82111.17999999999</v>
      </c>
      <c r="R8" s="34" t="n">
        <v>109404.57</v>
      </c>
      <c r="S8" s="34" t="n">
        <v>62661.72</v>
      </c>
      <c r="T8" s="34" t="n">
        <v>159978.97</v>
      </c>
      <c r="U8" s="35" t="n">
        <v>159978.97</v>
      </c>
      <c r="V8" s="34" t="n">
        <v>142622.75</v>
      </c>
      <c r="W8" s="34" t="n">
        <v>69109.48</v>
      </c>
      <c r="X8" s="36" t="n">
        <v>99963.56</v>
      </c>
      <c r="Y8" s="10" t="n"/>
      <c r="Z8" s="11" t="n"/>
      <c r="AA8" s="10" t="n"/>
      <c r="AB8" s="10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34" t="n">
        <v>198948.55</v>
      </c>
      <c r="F9" s="35" t="n">
        <v>198948.55</v>
      </c>
      <c r="G9" s="34" t="n">
        <v>386967.32</v>
      </c>
      <c r="H9" s="34" t="n">
        <v>362527.03</v>
      </c>
      <c r="I9" s="34" t="n">
        <v>557870.48</v>
      </c>
      <c r="J9" s="34" t="n">
        <v>363163.72</v>
      </c>
      <c r="K9" s="35" t="n">
        <v>363163.72</v>
      </c>
      <c r="L9" s="34" t="n">
        <v>139891.3</v>
      </c>
      <c r="M9" s="34" t="n">
        <v>168468.5</v>
      </c>
      <c r="N9" s="34" t="n">
        <v>180146.63</v>
      </c>
      <c r="O9" s="34" t="n">
        <v>248076.57</v>
      </c>
      <c r="P9" s="35" t="n">
        <v>248076.57</v>
      </c>
      <c r="Q9" s="34" t="n">
        <v>222220.27</v>
      </c>
      <c r="R9" s="34" t="n">
        <v>290569.17</v>
      </c>
      <c r="S9" s="34" t="n">
        <v>122466.39</v>
      </c>
      <c r="T9" s="34" t="n">
        <v>171819.32</v>
      </c>
      <c r="U9" s="35" t="n">
        <v>171819.32</v>
      </c>
      <c r="V9" s="34" t="n">
        <v>147599.3</v>
      </c>
      <c r="W9" s="34" t="n">
        <v>156620.22</v>
      </c>
      <c r="X9" s="36" t="n">
        <v>184845.7</v>
      </c>
      <c r="Y9" s="10" t="n"/>
      <c r="Z9" s="11" t="n"/>
      <c r="AA9" s="10" t="n"/>
      <c r="AB9" s="10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34" t="n">
        <v>900681.0600000001</v>
      </c>
      <c r="F10" s="35" t="n">
        <v>900681.0600000001</v>
      </c>
      <c r="G10" s="34" t="n">
        <v>871197.85</v>
      </c>
      <c r="H10" s="34" t="n">
        <v>984461.79</v>
      </c>
      <c r="I10" s="34" t="n">
        <v>1356660.85</v>
      </c>
      <c r="J10" s="34" t="n">
        <v>1301185.49</v>
      </c>
      <c r="K10" s="35" t="n">
        <v>1301185.49</v>
      </c>
      <c r="L10" s="34" t="n">
        <v>1356660.04</v>
      </c>
      <c r="M10" s="34" t="n">
        <v>1337028.83</v>
      </c>
      <c r="N10" s="34" t="n">
        <v>1318559.92</v>
      </c>
      <c r="O10" s="34" t="n">
        <v>1442687.05</v>
      </c>
      <c r="P10" s="35" t="n">
        <v>1442687.05</v>
      </c>
      <c r="Q10" s="34" t="n">
        <v>1166462</v>
      </c>
      <c r="R10" s="34" t="n">
        <v>1011783.85</v>
      </c>
      <c r="S10" s="34" t="n">
        <v>936957.46</v>
      </c>
      <c r="T10" s="34" t="n">
        <v>1488564.02</v>
      </c>
      <c r="U10" s="35" t="n">
        <v>1488564.02</v>
      </c>
      <c r="V10" s="34" t="n">
        <v>1368532.09</v>
      </c>
      <c r="W10" s="34" t="n">
        <v>1249564.24</v>
      </c>
      <c r="X10" s="36" t="n">
        <v>1248566.75</v>
      </c>
      <c r="Y10" s="10" t="n"/>
      <c r="Z10" s="11" t="n"/>
      <c r="AA10" s="10" t="n"/>
      <c r="AB10" s="10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34" t="n">
        <v>1664.05</v>
      </c>
      <c r="F11" s="35" t="n">
        <v>1664.05</v>
      </c>
      <c r="G11" s="34" t="n">
        <v>540.83</v>
      </c>
      <c r="H11" s="34" t="n">
        <v>2.69</v>
      </c>
      <c r="I11" s="34" t="n">
        <v>2.57</v>
      </c>
      <c r="J11" s="34" t="n">
        <v>29527.19</v>
      </c>
      <c r="K11" s="35" t="n">
        <v>29527.19</v>
      </c>
      <c r="L11" s="34" t="n">
        <v>11801.01</v>
      </c>
      <c r="M11" s="34" t="n">
        <v>10449.82</v>
      </c>
      <c r="N11" s="34" t="n">
        <v>3789.3</v>
      </c>
      <c r="O11" s="34" t="n">
        <v>15804.99</v>
      </c>
      <c r="P11" s="35" t="n">
        <v>15804.99</v>
      </c>
      <c r="Q11" s="34" t="n">
        <v>2382.6</v>
      </c>
      <c r="R11" s="34" t="n">
        <v>206.53</v>
      </c>
      <c r="S11" s="34" t="n">
        <v>10028.66</v>
      </c>
      <c r="T11" s="34" t="n">
        <v>185.35</v>
      </c>
      <c r="U11" s="35" t="n">
        <v>185.35</v>
      </c>
      <c r="V11" s="34" t="n">
        <v>16.69</v>
      </c>
      <c r="W11" s="34" t="n">
        <v>7654.67</v>
      </c>
      <c r="X11" s="36" t="n">
        <v>2577.2</v>
      </c>
      <c r="Y11" s="10" t="n"/>
      <c r="Z11" s="11" t="n"/>
      <c r="AA11" s="10" t="n"/>
      <c r="AB11" s="10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유동확정계약자산</t>
        </is>
      </c>
      <c r="E12" s="34" t="n">
        <v>28787.91</v>
      </c>
      <c r="F12" s="35" t="n">
        <v>28787.91</v>
      </c>
      <c r="G12" s="34" t="n">
        <v>40677.41</v>
      </c>
      <c r="H12" s="34" t="n">
        <v>78825.74000000001</v>
      </c>
      <c r="I12" s="34" t="n">
        <v>155386.73</v>
      </c>
      <c r="J12" s="34" t="n">
        <v>43068.57</v>
      </c>
      <c r="K12" s="35" t="n">
        <v>43068.57</v>
      </c>
      <c r="L12" s="34" t="n">
        <v>56467.69</v>
      </c>
      <c r="M12" s="34" t="n">
        <v>47944.14</v>
      </c>
      <c r="N12" s="34" t="n">
        <v>61547.18</v>
      </c>
      <c r="O12" s="34" t="n">
        <v>32987.05</v>
      </c>
      <c r="P12" s="35" t="n">
        <v>32987.05</v>
      </c>
      <c r="Q12" s="34" t="n">
        <v>56728.45</v>
      </c>
      <c r="R12" s="34" t="n">
        <v>86197.89</v>
      </c>
      <c r="S12" s="34" t="n">
        <v>29632.89</v>
      </c>
      <c r="T12" s="34" t="n">
        <v>135671.31</v>
      </c>
      <c r="U12" s="35" t="n">
        <v>135671.31</v>
      </c>
      <c r="V12" s="34" t="n">
        <v>118493.17</v>
      </c>
      <c r="W12" s="34" t="n">
        <v>36841.85</v>
      </c>
      <c r="X12" s="36" t="n">
        <v>72278.82000000001</v>
      </c>
      <c r="Y12" s="10" t="n"/>
      <c r="Z12" s="11" t="n"/>
      <c r="AA12" s="10" t="n"/>
      <c r="AB12" s="10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34" t="n">
        <v>198966.89</v>
      </c>
      <c r="F13" s="35" t="n">
        <v>198966.89</v>
      </c>
      <c r="G13" s="34" t="n">
        <v>189257.67</v>
      </c>
      <c r="H13" s="34" t="n">
        <v>187865.86</v>
      </c>
      <c r="I13" s="34" t="n">
        <v>253988.21</v>
      </c>
      <c r="J13" s="34" t="n">
        <v>253733.47</v>
      </c>
      <c r="K13" s="35" t="n">
        <v>253733.47</v>
      </c>
      <c r="L13" s="34" t="n">
        <v>222679.27</v>
      </c>
      <c r="M13" s="34" t="n">
        <v>217087.52</v>
      </c>
      <c r="N13" s="34" t="n">
        <v>167972.41</v>
      </c>
      <c r="O13" s="34" t="n">
        <v>154750.48</v>
      </c>
      <c r="P13" s="35" t="n">
        <v>154750.48</v>
      </c>
      <c r="Q13" s="34" t="n">
        <v>195753.14</v>
      </c>
      <c r="R13" s="34" t="n">
        <v>198279.92</v>
      </c>
      <c r="S13" s="34" t="n">
        <v>201987.08</v>
      </c>
      <c r="T13" s="34" t="n">
        <v>188896.95</v>
      </c>
      <c r="U13" s="35" t="n">
        <v>188896.95</v>
      </c>
      <c r="V13" s="34" t="n">
        <v>165632.48</v>
      </c>
      <c r="W13" s="34" t="n">
        <v>153212.5</v>
      </c>
      <c r="X13" s="36" t="n">
        <v>174826.28</v>
      </c>
      <c r="Y13" s="10" t="n"/>
      <c r="Z13" s="11" t="n"/>
      <c r="AA13" s="10" t="n"/>
      <c r="AB13" s="10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34" t="n">
        <v>334118.22</v>
      </c>
      <c r="F14" s="35" t="n">
        <v>334118.22</v>
      </c>
      <c r="G14" s="34" t="n">
        <v>324359.82</v>
      </c>
      <c r="H14" s="34" t="n">
        <v>359115.61</v>
      </c>
      <c r="I14" s="34" t="n">
        <v>478256.23</v>
      </c>
      <c r="J14" s="34" t="n">
        <v>469585.1</v>
      </c>
      <c r="K14" s="35" t="n">
        <v>469585.1</v>
      </c>
      <c r="L14" s="34" t="n">
        <v>737780.52</v>
      </c>
      <c r="M14" s="34" t="n">
        <v>762230.12</v>
      </c>
      <c r="N14" s="34" t="n">
        <v>796454.86</v>
      </c>
      <c r="O14" s="34" t="n">
        <v>827068.39</v>
      </c>
      <c r="P14" s="35" t="n">
        <v>827068.39</v>
      </c>
      <c r="Q14" s="34" t="n">
        <v>763056.77</v>
      </c>
      <c r="R14" s="34" t="n">
        <v>798730.75</v>
      </c>
      <c r="S14" s="34" t="n">
        <v>947893.7</v>
      </c>
      <c r="T14" s="34" t="n">
        <v>879782.98</v>
      </c>
      <c r="U14" s="35" t="n">
        <v>879782.98</v>
      </c>
      <c r="V14" s="34" t="n">
        <v>927737.52</v>
      </c>
      <c r="W14" s="34" t="n">
        <v>994862.86</v>
      </c>
      <c r="X14" s="36" t="n">
        <v>1016587.06</v>
      </c>
      <c r="Y14" s="10" t="n"/>
      <c r="Z14" s="11" t="n"/>
      <c r="AA14" s="10" t="n"/>
      <c r="AB14" s="10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34" t="n">
        <v>1699092.02</v>
      </c>
      <c r="F15" s="35" t="n">
        <v>1699092.02</v>
      </c>
      <c r="G15" s="34" t="n">
        <v>1705976.68</v>
      </c>
      <c r="H15" s="34" t="n">
        <v>1756041.66</v>
      </c>
      <c r="I15" s="34" t="n">
        <v>1822221.82</v>
      </c>
      <c r="J15" s="34" t="n">
        <v>1835597.37</v>
      </c>
      <c r="K15" s="35" t="n">
        <v>1835597.37</v>
      </c>
      <c r="L15" s="34" t="n">
        <v>1840141.49</v>
      </c>
      <c r="M15" s="34" t="n">
        <v>1872509.77</v>
      </c>
      <c r="N15" s="34" t="n">
        <v>1904043.35</v>
      </c>
      <c r="O15" s="34" t="n">
        <v>1914824.38</v>
      </c>
      <c r="P15" s="35" t="n">
        <v>1914824.38</v>
      </c>
      <c r="Q15" s="34" t="n">
        <v>1934068.41</v>
      </c>
      <c r="R15" s="34" t="n">
        <v>1985061.93</v>
      </c>
      <c r="S15" s="34" t="n">
        <v>1963877.5</v>
      </c>
      <c r="T15" s="34" t="n">
        <v>2095219.75</v>
      </c>
      <c r="U15" s="35" t="n">
        <v>2095219.75</v>
      </c>
      <c r="V15" s="34" t="n">
        <v>2076619.44</v>
      </c>
      <c r="W15" s="34" t="n">
        <v>2046535.93</v>
      </c>
      <c r="X15" s="36" t="n">
        <v>2015474.41</v>
      </c>
      <c r="Y15" s="10" t="n"/>
      <c r="Z15" s="11" t="n"/>
      <c r="AA15" s="10" t="n"/>
      <c r="AB15" s="10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34" t="n">
        <v>13040.01</v>
      </c>
      <c r="F16" s="35" t="n">
        <v>13040.01</v>
      </c>
      <c r="G16" s="34" t="n">
        <v>13798.02</v>
      </c>
      <c r="H16" s="34" t="n">
        <v>13798.02</v>
      </c>
      <c r="I16" s="34" t="n">
        <v>13797.02</v>
      </c>
      <c r="J16" s="34" t="n">
        <v>15099.67</v>
      </c>
      <c r="K16" s="35" t="n">
        <v>15099.67</v>
      </c>
      <c r="L16" s="34" t="n">
        <v>15099.68</v>
      </c>
      <c r="M16" s="34" t="n">
        <v>15099.69</v>
      </c>
      <c r="N16" s="34" t="n">
        <v>15099.69</v>
      </c>
      <c r="O16" s="34" t="n">
        <v>14212.79</v>
      </c>
      <c r="P16" s="35" t="n">
        <v>14212.79</v>
      </c>
      <c r="Q16" s="34" t="n">
        <v>14212.79</v>
      </c>
      <c r="R16" s="34" t="n">
        <v>14212.79</v>
      </c>
      <c r="S16" s="34" t="n">
        <v>14199.29</v>
      </c>
      <c r="T16" s="34" t="n">
        <v>13702.75</v>
      </c>
      <c r="U16" s="35" t="n">
        <v>13702.75</v>
      </c>
      <c r="V16" s="34" t="n">
        <v>13702.75</v>
      </c>
      <c r="W16" s="34" t="n">
        <v>13700.25</v>
      </c>
      <c r="X16" s="36" t="n">
        <v>13700.25</v>
      </c>
      <c r="Y16" s="10" t="n"/>
      <c r="Z16" s="11" t="n"/>
      <c r="AA16" s="10" t="n"/>
      <c r="AB16" s="10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34" t="n">
        <v>99542.99000000001</v>
      </c>
      <c r="F17" s="35" t="n">
        <v>99542.99000000001</v>
      </c>
      <c r="G17" s="34" t="n">
        <v>97817.39</v>
      </c>
      <c r="H17" s="34" t="n">
        <v>148365.61</v>
      </c>
      <c r="I17" s="34" t="n">
        <v>241887.88</v>
      </c>
      <c r="J17" s="34" t="n">
        <v>112741.82</v>
      </c>
      <c r="K17" s="35" t="n">
        <v>112741.82</v>
      </c>
      <c r="L17" s="34" t="n">
        <v>115205.53</v>
      </c>
      <c r="M17" s="34" t="n">
        <v>113547.9</v>
      </c>
      <c r="N17" s="34" t="n">
        <v>128868.88</v>
      </c>
      <c r="O17" s="34" t="n">
        <v>97171.55</v>
      </c>
      <c r="P17" s="35" t="n">
        <v>97171.55</v>
      </c>
      <c r="Q17" s="34" t="n">
        <v>111931.65</v>
      </c>
      <c r="R17" s="34" t="n">
        <v>149973.59</v>
      </c>
      <c r="S17" s="34" t="n">
        <v>102923.4</v>
      </c>
      <c r="T17" s="34" t="n">
        <v>255161.77</v>
      </c>
      <c r="U17" s="35" t="n">
        <v>255161.77</v>
      </c>
      <c r="V17" s="34" t="n">
        <v>240129.19</v>
      </c>
      <c r="W17" s="34" t="n">
        <v>144677.65</v>
      </c>
      <c r="X17" s="36" t="n">
        <v>141320.95</v>
      </c>
      <c r="Y17" s="10" t="n"/>
      <c r="Z17" s="11" t="n"/>
      <c r="AA17" s="10" t="n"/>
      <c r="AB17" s="10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34" t="n">
        <v>4965.05</v>
      </c>
      <c r="F18" s="35" t="n">
        <v>4965.05</v>
      </c>
      <c r="G18" s="34" t="n">
        <v>4711.06</v>
      </c>
      <c r="H18" s="34" t="n">
        <v>4457.07</v>
      </c>
      <c r="I18" s="34" t="n">
        <v>4203.08</v>
      </c>
      <c r="J18" s="34" t="n">
        <v>5793.47</v>
      </c>
      <c r="K18" s="35" t="n">
        <v>5793.47</v>
      </c>
      <c r="L18" s="34" t="n">
        <v>10511.89</v>
      </c>
      <c r="M18" s="34" t="n">
        <v>10156.58</v>
      </c>
      <c r="N18" s="34" t="n">
        <v>9245.73</v>
      </c>
      <c r="O18" s="34" t="n">
        <v>8844.98</v>
      </c>
      <c r="P18" s="35" t="n">
        <v>8844.98</v>
      </c>
      <c r="Q18" s="34" t="n">
        <v>5178.14</v>
      </c>
      <c r="R18" s="34" t="n">
        <v>5129.51</v>
      </c>
      <c r="S18" s="34" t="n">
        <v>6138.18</v>
      </c>
      <c r="T18" s="34" t="n">
        <v>5803.42</v>
      </c>
      <c r="U18" s="35" t="n">
        <v>5803.42</v>
      </c>
      <c r="V18" s="34" t="n">
        <v>5627.62</v>
      </c>
      <c r="W18" s="34" t="n">
        <v>5118.33</v>
      </c>
      <c r="X18" s="36" t="n">
        <v>4782.04</v>
      </c>
      <c r="Y18" s="10" t="n"/>
      <c r="Z18" s="11" t="n"/>
      <c r="AA18" s="10" t="n"/>
      <c r="AB18" s="10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종속기업및관계기업투자</t>
        </is>
      </c>
      <c r="E19" s="34" t="n">
        <v>53563.35</v>
      </c>
      <c r="F19" s="35" t="n">
        <v>53563.35</v>
      </c>
      <c r="G19" s="34" t="n">
        <v>53563.35</v>
      </c>
      <c r="H19" s="34" t="n">
        <v>53563.35</v>
      </c>
      <c r="I19" s="34" t="n">
        <v>53563.35</v>
      </c>
      <c r="J19" s="34" t="n">
        <v>53563.35</v>
      </c>
      <c r="K19" s="35" t="n">
        <v>53563.35</v>
      </c>
      <c r="L19" s="34" t="n">
        <v>53563.35</v>
      </c>
      <c r="M19" s="34" t="n">
        <v>53563.35</v>
      </c>
      <c r="N19" s="34" t="n">
        <v>53563.35</v>
      </c>
      <c r="O19" s="34" t="n">
        <v>53563.35</v>
      </c>
      <c r="P19" s="35" t="n">
        <v>53563.35</v>
      </c>
      <c r="Q19" s="34" t="n">
        <v>53563.35</v>
      </c>
      <c r="R19" s="34" t="n">
        <v>53563.35</v>
      </c>
      <c r="S19" s="34" t="n">
        <v>53563.35</v>
      </c>
      <c r="T19" s="34" t="n">
        <v>53563.35</v>
      </c>
      <c r="U19" s="35" t="n">
        <v>53563.35</v>
      </c>
      <c r="V19" s="34" t="n">
        <v>53563.35</v>
      </c>
      <c r="W19" s="34" t="n">
        <v>53563.35</v>
      </c>
      <c r="X19" s="36" t="n">
        <v>53563.35</v>
      </c>
      <c r="Y19" s="10" t="n"/>
      <c r="Z19" s="11" t="n"/>
      <c r="AA19" s="10" t="n"/>
      <c r="AB19" s="10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34" t="n">
        <v>1451586.43</v>
      </c>
      <c r="F20" s="35" t="n">
        <v>1451586.43</v>
      </c>
      <c r="G20" s="34" t="n">
        <v>1450720.34</v>
      </c>
      <c r="H20" s="34" t="n">
        <v>1467917.56</v>
      </c>
      <c r="I20" s="34" t="n">
        <v>1476703.17</v>
      </c>
      <c r="J20" s="34" t="n">
        <v>1478451.68</v>
      </c>
      <c r="K20" s="35" t="n">
        <v>1478451.68</v>
      </c>
      <c r="L20" s="34" t="n">
        <v>1475931.87</v>
      </c>
      <c r="M20" s="34" t="n">
        <v>1498212.17</v>
      </c>
      <c r="N20" s="34" t="n">
        <v>1513245.39</v>
      </c>
      <c r="O20" s="34" t="n">
        <v>1530398.67</v>
      </c>
      <c r="P20" s="35" t="n">
        <v>1530398.67</v>
      </c>
      <c r="Q20" s="34" t="n">
        <v>1542575.54</v>
      </c>
      <c r="R20" s="34" t="n">
        <v>1565801.67</v>
      </c>
      <c r="S20" s="34" t="n">
        <v>1594209.63</v>
      </c>
      <c r="T20" s="34" t="n">
        <v>1607409.97</v>
      </c>
      <c r="U20" s="35" t="n">
        <v>1607409.97</v>
      </c>
      <c r="V20" s="34" t="n">
        <v>1615687.14</v>
      </c>
      <c r="W20" s="34" t="n">
        <v>1703671.06</v>
      </c>
      <c r="X20" s="36" t="n">
        <v>1717858.7</v>
      </c>
      <c r="Y20" s="10" t="n"/>
      <c r="Z20" s="11" t="n"/>
      <c r="AA20" s="10" t="n"/>
      <c r="AB20" s="10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34" t="n">
        <v>1294.75</v>
      </c>
      <c r="F21" s="35" t="n">
        <v>1294.75</v>
      </c>
      <c r="G21" s="34" t="n">
        <v>1987.85</v>
      </c>
      <c r="H21" s="34" t="n">
        <v>3153.86</v>
      </c>
      <c r="I21" s="34" t="n">
        <v>5089.51</v>
      </c>
      <c r="J21" s="34" t="n">
        <v>8399.01</v>
      </c>
      <c r="K21" s="35" t="n">
        <v>8399.01</v>
      </c>
      <c r="L21" s="34" t="n">
        <v>10141.26</v>
      </c>
      <c r="M21" s="34" t="n">
        <v>12521.44</v>
      </c>
      <c r="N21" s="34" t="n">
        <v>15156.54</v>
      </c>
      <c r="O21" s="34" t="n">
        <v>13847.92</v>
      </c>
      <c r="P21" s="35" t="n">
        <v>13847.92</v>
      </c>
      <c r="Q21" s="34" t="n">
        <v>14585.89</v>
      </c>
      <c r="R21" s="34" t="n">
        <v>15599.41</v>
      </c>
      <c r="S21" s="34" t="n">
        <v>16747.08</v>
      </c>
      <c r="T21" s="34" t="n">
        <v>19969.84</v>
      </c>
      <c r="U21" s="35" t="n">
        <v>19969.84</v>
      </c>
      <c r="V21" s="34" t="n">
        <v>20075.62</v>
      </c>
      <c r="W21" s="34" t="n">
        <v>20508.24</v>
      </c>
      <c r="X21" s="36" t="n">
        <v>20976.44</v>
      </c>
      <c r="Y21" s="10" t="n"/>
      <c r="Z21" s="11" t="n"/>
      <c r="AA21" s="10" t="n"/>
      <c r="AB21" s="10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사용권자산</t>
        </is>
      </c>
      <c r="E22" s="34" t="n">
        <v>10065</v>
      </c>
      <c r="F22" s="35" t="n">
        <v>10065</v>
      </c>
      <c r="G22" s="34" t="n">
        <v>9907.690000000001</v>
      </c>
      <c r="H22" s="34" t="n">
        <v>9501.51</v>
      </c>
      <c r="I22" s="34" t="n">
        <v>9129.74</v>
      </c>
      <c r="J22" s="34" t="n">
        <v>11423.33</v>
      </c>
      <c r="K22" s="35" t="n">
        <v>11423.33</v>
      </c>
      <c r="L22" s="34" t="n">
        <v>11545.52</v>
      </c>
      <c r="M22" s="34" t="n">
        <v>11680.85</v>
      </c>
      <c r="N22" s="34" t="n">
        <v>17484.18</v>
      </c>
      <c r="O22" s="34" t="n">
        <v>16908.31</v>
      </c>
      <c r="P22" s="35" t="n">
        <v>16908.31</v>
      </c>
      <c r="Q22" s="34" t="n">
        <v>17554.24</v>
      </c>
      <c r="R22" s="34" t="n">
        <v>17371.58</v>
      </c>
      <c r="S22" s="34" t="n">
        <v>16200.66</v>
      </c>
      <c r="T22" s="34" t="n">
        <v>15768.2</v>
      </c>
      <c r="U22" s="35" t="n">
        <v>15768.2</v>
      </c>
      <c r="V22" s="34" t="n">
        <v>14916.43</v>
      </c>
      <c r="W22" s="34" t="n">
        <v>14355.11</v>
      </c>
      <c r="X22" s="36" t="n">
        <v>13325.97</v>
      </c>
      <c r="Y22" s="10" t="n"/>
      <c r="Z22" s="11" t="n"/>
      <c r="AA22" s="10" t="n"/>
      <c r="AB22" s="10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기타비유동자산</t>
        </is>
      </c>
      <c r="E23" s="34" t="n">
        <v>17646.82</v>
      </c>
      <c r="F23" s="35" t="n">
        <v>17646.82</v>
      </c>
      <c r="G23" s="34" t="n">
        <v>17394.16</v>
      </c>
      <c r="H23" s="34" t="n">
        <v>13125.07</v>
      </c>
      <c r="I23" s="34" t="n">
        <v>9129.74</v>
      </c>
      <c r="J23" s="34" t="n">
        <v>93639.32000000001</v>
      </c>
      <c r="K23" s="35" t="n">
        <v>93639.32000000001</v>
      </c>
      <c r="L23" s="34" t="n">
        <v>91165.39</v>
      </c>
      <c r="M23" s="34" t="n">
        <v>88605.25</v>
      </c>
      <c r="N23" s="34" t="n">
        <v>91566.21000000001</v>
      </c>
      <c r="O23" s="34" t="n">
        <v>93469.73</v>
      </c>
      <c r="P23" s="35" t="n">
        <v>93469.73</v>
      </c>
      <c r="Q23" s="34" t="n">
        <v>89332.64999999999</v>
      </c>
      <c r="R23" s="34" t="n">
        <v>84881.72</v>
      </c>
      <c r="S23" s="34" t="n">
        <v>79329.12</v>
      </c>
      <c r="T23" s="34" t="n">
        <v>55746.49</v>
      </c>
      <c r="U23" s="35" t="n">
        <v>55746.49</v>
      </c>
      <c r="V23" s="34" t="n">
        <v>49700.72</v>
      </c>
      <c r="W23" s="34" t="n">
        <v>42898.02</v>
      </c>
      <c r="X23" s="36" t="n">
        <v>36867.39</v>
      </c>
      <c r="Y23" s="10" t="n"/>
      <c r="Z23" s="11" t="n"/>
      <c r="AA23" s="10" t="n"/>
      <c r="AB23" s="10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비유동파생상품자산</t>
        </is>
      </c>
      <c r="E24" s="34" t="n">
        <v>1247.58</v>
      </c>
      <c r="F24" s="35" t="n">
        <v>1247.58</v>
      </c>
      <c r="G24" s="34" t="n">
        <v>2856.12</v>
      </c>
      <c r="J24" s="34" t="n">
        <v>19316.97</v>
      </c>
      <c r="K24" s="35" t="n">
        <v>19316.97</v>
      </c>
      <c r="L24" s="34" t="n">
        <v>10750.01</v>
      </c>
      <c r="M24" s="34" t="n">
        <v>13448.73</v>
      </c>
      <c r="N24" s="34" t="n">
        <v>4016.89</v>
      </c>
      <c r="O24" s="34" t="n">
        <v>15623.77</v>
      </c>
      <c r="P24" s="35" t="n">
        <v>15623.77</v>
      </c>
      <c r="Q24" s="34" t="n">
        <v>954.4400000000001</v>
      </c>
      <c r="R24" s="34" t="n">
        <v>0</v>
      </c>
      <c r="S24" s="34" t="n">
        <v>14890.81</v>
      </c>
      <c r="T24" s="34" t="n">
        <v>0</v>
      </c>
      <c r="U24" s="35" t="n">
        <v>0</v>
      </c>
      <c r="W24" s="34" t="n">
        <v>47644.26</v>
      </c>
      <c r="X24" s="36" t="n">
        <v>10048.05</v>
      </c>
      <c r="Y24" s="10" t="n"/>
      <c r="Z24" s="11" t="n"/>
      <c r="AA24" s="10" t="n"/>
      <c r="AB24" s="10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비유동확정계약자산</t>
        </is>
      </c>
      <c r="E25" s="34" t="n">
        <v>31692.05</v>
      </c>
      <c r="F25" s="35" t="n">
        <v>31692.05</v>
      </c>
      <c r="G25" s="34" t="n">
        <v>27599.9</v>
      </c>
      <c r="H25" s="34" t="n">
        <v>81004.24000000001</v>
      </c>
      <c r="I25" s="34" t="n">
        <v>174527.51</v>
      </c>
      <c r="J25" s="34" t="n">
        <v>24761.83</v>
      </c>
      <c r="K25" s="35" t="n">
        <v>24761.83</v>
      </c>
      <c r="L25" s="34" t="n">
        <v>35792.49</v>
      </c>
      <c r="M25" s="34" t="n">
        <v>31436.13</v>
      </c>
      <c r="N25" s="34" t="n">
        <v>56188.95</v>
      </c>
      <c r="O25" s="34" t="n">
        <v>13771.64</v>
      </c>
      <c r="P25" s="35" t="n">
        <v>13771.64</v>
      </c>
      <c r="Q25" s="34" t="n">
        <v>43201.07</v>
      </c>
      <c r="R25" s="34" t="n">
        <v>82197.45</v>
      </c>
      <c r="S25" s="34" t="n">
        <v>20269.95</v>
      </c>
      <c r="T25" s="34" t="n">
        <v>187895.67</v>
      </c>
      <c r="U25" s="35" t="n">
        <v>187895.67</v>
      </c>
      <c r="V25" s="34" t="n">
        <v>172863.09</v>
      </c>
      <c r="W25" s="34" t="n">
        <v>29769.79</v>
      </c>
      <c r="X25" s="36" t="n">
        <v>64009.3</v>
      </c>
      <c r="Y25" s="10" t="n"/>
      <c r="Z25" s="11" t="n"/>
      <c r="AA25" s="10" t="n"/>
      <c r="AB25" s="10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이연법인세자산</t>
        </is>
      </c>
      <c r="E26" s="34" t="n">
        <v>124055.97</v>
      </c>
      <c r="F26" s="35" t="n">
        <v>124055.97</v>
      </c>
      <c r="G26" s="34" t="n">
        <v>133345.88</v>
      </c>
      <c r="H26" s="34" t="n">
        <v>119022.48</v>
      </c>
      <c r="I26" s="34" t="n">
        <v>85208.44</v>
      </c>
      <c r="J26" s="34" t="n">
        <v>136572.07</v>
      </c>
      <c r="K26" s="35" t="n">
        <v>136572.07</v>
      </c>
      <c r="L26" s="34" t="n">
        <v>137185.54</v>
      </c>
      <c r="M26" s="34" t="n">
        <v>149466.43</v>
      </c>
      <c r="N26" s="34" t="n">
        <v>145960.6</v>
      </c>
      <c r="O26" s="34" t="n">
        <v>171091.53</v>
      </c>
      <c r="P26" s="35" t="n">
        <v>171091.53</v>
      </c>
      <c r="Q26" s="34" t="n">
        <v>170464.55</v>
      </c>
      <c r="R26" s="34" t="n">
        <v>163676.04</v>
      </c>
      <c r="S26" s="34" t="n">
        <v>164530.1</v>
      </c>
      <c r="T26" s="34" t="n">
        <v>151128.26</v>
      </c>
      <c r="U26" s="35" t="n">
        <v>151128.26</v>
      </c>
      <c r="V26" s="34" t="n">
        <v>145399.14</v>
      </c>
      <c r="W26" s="34" t="n">
        <v>129662.63</v>
      </c>
      <c r="X26" s="36" t="n">
        <v>93668.89</v>
      </c>
      <c r="Y26" s="10" t="n"/>
      <c r="Z26" s="11" t="n"/>
      <c r="AA26" s="10" t="n"/>
      <c r="AB26" s="10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자산총계</t>
        </is>
      </c>
      <c r="E27" s="34" t="n">
        <v>3857973.38</v>
      </c>
      <c r="F27" s="35" t="n">
        <v>3857973.38</v>
      </c>
      <c r="G27" s="34" t="n">
        <v>4146166.47</v>
      </c>
      <c r="H27" s="34" t="n">
        <v>4417259.4</v>
      </c>
      <c r="I27" s="34" t="n">
        <v>5110388.66</v>
      </c>
      <c r="J27" s="34" t="n">
        <v>4780699.25</v>
      </c>
      <c r="K27" s="35" t="n">
        <v>4780699.25</v>
      </c>
      <c r="L27" s="34" t="n">
        <v>4678853.64</v>
      </c>
      <c r="M27" s="34" t="n">
        <v>4790057.07</v>
      </c>
      <c r="N27" s="34" t="n">
        <v>4852473.08</v>
      </c>
      <c r="O27" s="34" t="n">
        <v>4932725.43</v>
      </c>
      <c r="P27" s="35" t="n">
        <v>4932725.43</v>
      </c>
      <c r="Q27" s="34" t="n">
        <v>4754397.94</v>
      </c>
      <c r="R27" s="34" t="n">
        <v>4757905.12</v>
      </c>
      <c r="S27" s="34" t="n">
        <v>4524749.62</v>
      </c>
      <c r="T27" s="34" t="n">
        <v>5067754.25</v>
      </c>
      <c r="U27" s="35" t="n">
        <v>5067754.25</v>
      </c>
      <c r="V27" s="34" t="n">
        <v>5112474.41</v>
      </c>
      <c r="W27" s="34" t="n">
        <v>5121336.49</v>
      </c>
      <c r="X27" s="36" t="n">
        <v>5065279.28</v>
      </c>
      <c r="Y27" s="10" t="n"/>
      <c r="Z27" s="11" t="n"/>
      <c r="AA27" s="10" t="n"/>
      <c r="AB27" s="10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유동부채</t>
        </is>
      </c>
      <c r="E28" s="34" t="n">
        <v>1647347.94</v>
      </c>
      <c r="F28" s="35" t="n">
        <v>1647347.94</v>
      </c>
      <c r="G28" s="34" t="n">
        <v>1963791.45</v>
      </c>
      <c r="H28" s="34" t="n">
        <v>2141888.24</v>
      </c>
      <c r="I28" s="34" t="n">
        <v>2635601.17</v>
      </c>
      <c r="J28" s="34" t="n">
        <v>2592825.57</v>
      </c>
      <c r="K28" s="35" t="n">
        <v>2592825.57</v>
      </c>
      <c r="L28" s="34" t="n">
        <v>2492545.77</v>
      </c>
      <c r="M28" s="34" t="n">
        <v>2643994.82</v>
      </c>
      <c r="N28" s="34" t="n">
        <v>2678281.06</v>
      </c>
      <c r="O28" s="34" t="n">
        <v>2826952.77</v>
      </c>
      <c r="P28" s="35" t="n">
        <v>2826952.77</v>
      </c>
      <c r="Q28" s="34" t="n">
        <v>2570211.38</v>
      </c>
      <c r="R28" s="34" t="n">
        <v>2532025.58</v>
      </c>
      <c r="S28" s="34" t="n">
        <v>2410804.15</v>
      </c>
      <c r="T28" s="34" t="n">
        <v>2759395.91</v>
      </c>
      <c r="U28" s="35" t="n">
        <v>2759395.91</v>
      </c>
      <c r="V28" s="34" t="n">
        <v>2881950.54</v>
      </c>
      <c r="W28" s="34" t="n">
        <v>2916366.4</v>
      </c>
      <c r="X28" s="36" t="n">
        <v>2706436.51</v>
      </c>
      <c r="Y28" s="10" t="n"/>
      <c r="Z28" s="11" t="n"/>
      <c r="AA28" s="10" t="n"/>
      <c r="AB28" s="10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34" t="n">
        <v>89727.3</v>
      </c>
      <c r="F29" s="35" t="n">
        <v>89727.3</v>
      </c>
      <c r="G29" s="34" t="n">
        <v>62389.81</v>
      </c>
      <c r="H29" s="34" t="n">
        <v>39303.43</v>
      </c>
      <c r="I29" s="34" t="n">
        <v>9919.74</v>
      </c>
      <c r="K29" s="9" t="n"/>
      <c r="M29" s="34" t="n">
        <v>159000</v>
      </c>
      <c r="N29" s="34" t="n">
        <v>209000</v>
      </c>
      <c r="O29" s="34" t="n">
        <v>314328.5</v>
      </c>
      <c r="P29" s="35" t="n">
        <v>314328.5</v>
      </c>
      <c r="Q29" s="34" t="n">
        <v>159818.88</v>
      </c>
      <c r="R29" s="34" t="n">
        <v>45695.78</v>
      </c>
      <c r="S29" s="34" t="n">
        <v>0</v>
      </c>
      <c r="T29" s="34" t="n">
        <v>0</v>
      </c>
      <c r="U29" s="35" t="n">
        <v>0</v>
      </c>
      <c r="X29" s="5" t="n"/>
      <c r="Y29" s="10" t="n"/>
      <c r="Z29" s="11" t="n"/>
      <c r="AA29" s="10" t="n"/>
      <c r="AB29" s="10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단기금융부채(face)</t>
        </is>
      </c>
      <c r="E30" s="34" t="n">
        <v>89727.3</v>
      </c>
      <c r="F30" s="35" t="n">
        <v>89727.3</v>
      </c>
      <c r="G30" s="34" t="n">
        <v>62389.81</v>
      </c>
      <c r="H30" s="34" t="n">
        <v>39303.43</v>
      </c>
      <c r="I30" s="34" t="n">
        <v>9919.74</v>
      </c>
      <c r="K30" s="9" t="n"/>
      <c r="M30" s="34" t="n">
        <v>159000</v>
      </c>
      <c r="N30" s="34" t="n">
        <v>209000</v>
      </c>
      <c r="O30" s="34" t="n">
        <v>314328.5</v>
      </c>
      <c r="P30" s="35" t="n">
        <v>314328.5</v>
      </c>
      <c r="Q30" s="34" t="n">
        <v>159818.88</v>
      </c>
      <c r="R30" s="34" t="n">
        <v>45695.78</v>
      </c>
      <c r="S30" s="34" t="n">
        <v>0</v>
      </c>
      <c r="T30" s="34" t="n">
        <v>0</v>
      </c>
      <c r="U30" s="35" t="n">
        <v>0</v>
      </c>
      <c r="X30" s="5" t="n"/>
      <c r="Y30" s="10" t="n"/>
      <c r="Z30" s="11" t="n"/>
      <c r="AA30" s="10" t="n"/>
      <c r="AB30" s="10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매입채무및기타채무</t>
        </is>
      </c>
      <c r="E31" s="34" t="n">
        <v>630994.4399999999</v>
      </c>
      <c r="F31" s="35" t="n">
        <v>630994.4399999999</v>
      </c>
      <c r="G31" s="34" t="n">
        <v>567647.9399999999</v>
      </c>
      <c r="H31" s="34" t="n">
        <v>799312.04</v>
      </c>
      <c r="I31" s="34" t="n">
        <v>878596.62</v>
      </c>
      <c r="J31" s="34" t="n">
        <v>886514.65</v>
      </c>
      <c r="K31" s="35" t="n">
        <v>886514.65</v>
      </c>
      <c r="L31" s="34" t="n">
        <v>831756.1</v>
      </c>
      <c r="M31" s="34" t="n">
        <v>877663.34</v>
      </c>
      <c r="N31" s="34" t="n">
        <v>768766.33</v>
      </c>
      <c r="O31" s="34" t="n">
        <v>822925.5699999999</v>
      </c>
      <c r="P31" s="35" t="n">
        <v>822925.5699999999</v>
      </c>
      <c r="Q31" s="34" t="n">
        <v>815639.3199999999</v>
      </c>
      <c r="R31" s="34" t="n">
        <v>888283.54</v>
      </c>
      <c r="S31" s="34" t="n">
        <v>715189.88</v>
      </c>
      <c r="T31" s="34" t="n">
        <v>968882.14</v>
      </c>
      <c r="U31" s="35" t="n">
        <v>968882.14</v>
      </c>
      <c r="V31" s="34" t="n">
        <v>881053.28</v>
      </c>
      <c r="W31" s="34" t="n">
        <v>969874.49</v>
      </c>
      <c r="X31" s="36" t="n">
        <v>909920.47</v>
      </c>
      <c r="Y31" s="10" t="n"/>
      <c r="Z31" s="11" t="n"/>
      <c r="AA31" s="10" t="n"/>
      <c r="AB31" s="10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계약부채</t>
        </is>
      </c>
      <c r="E32" s="34" t="n">
        <v>602513.9399999999</v>
      </c>
      <c r="F32" s="35" t="n">
        <v>602513.9399999999</v>
      </c>
      <c r="G32" s="34" t="n">
        <v>974873.75</v>
      </c>
      <c r="H32" s="34" t="n">
        <v>982481.76</v>
      </c>
      <c r="I32" s="34" t="n">
        <v>1352571.32</v>
      </c>
      <c r="J32" s="34" t="n">
        <v>1454465.26</v>
      </c>
      <c r="K32" s="35" t="n">
        <v>1454465.26</v>
      </c>
      <c r="L32" s="34" t="n">
        <v>1498006.89</v>
      </c>
      <c r="M32" s="34" t="n">
        <v>1477761.54</v>
      </c>
      <c r="N32" s="34" t="n">
        <v>1551498.7</v>
      </c>
      <c r="O32" s="34" t="n">
        <v>1557774.39</v>
      </c>
      <c r="P32" s="35" t="n">
        <v>1557774.39</v>
      </c>
      <c r="Q32" s="34" t="n">
        <v>1479866.98</v>
      </c>
      <c r="R32" s="34" t="n">
        <v>1455255.74</v>
      </c>
      <c r="S32" s="34" t="n">
        <v>1628960.47</v>
      </c>
      <c r="T32" s="34" t="n">
        <v>1588626.42</v>
      </c>
      <c r="U32" s="35" t="n">
        <v>1588626.42</v>
      </c>
      <c r="V32" s="34" t="n">
        <v>1816119.55</v>
      </c>
      <c r="W32" s="34" t="n">
        <v>1851368.87</v>
      </c>
      <c r="X32" s="36" t="n">
        <v>1662890.29</v>
      </c>
      <c r="Y32" s="10" t="n"/>
      <c r="Z32" s="11" t="n"/>
      <c r="AA32" s="10" t="n"/>
      <c r="AB32" s="10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단기충당부채</t>
        </is>
      </c>
      <c r="E33" s="34" t="n">
        <v>276008.65</v>
      </c>
      <c r="F33" s="35" t="n">
        <v>276008.65</v>
      </c>
      <c r="G33" s="34" t="n">
        <v>290997.07</v>
      </c>
      <c r="H33" s="34" t="n">
        <v>189012.93</v>
      </c>
      <c r="I33" s="34" t="n">
        <v>126374.79</v>
      </c>
      <c r="J33" s="34" t="n">
        <v>147142.75</v>
      </c>
      <c r="K33" s="35" t="n">
        <v>147142.75</v>
      </c>
      <c r="L33" s="34" t="n">
        <v>51519.43</v>
      </c>
      <c r="M33" s="34" t="n">
        <v>30729.31</v>
      </c>
      <c r="N33" s="34" t="n">
        <v>37230.16</v>
      </c>
      <c r="O33" s="34" t="n">
        <v>74528.12</v>
      </c>
      <c r="P33" s="35" t="n">
        <v>74528.12</v>
      </c>
      <c r="Q33" s="34" t="n">
        <v>36024.12</v>
      </c>
      <c r="R33" s="34" t="n">
        <v>26716.2</v>
      </c>
      <c r="S33" s="34" t="n">
        <v>15566.99</v>
      </c>
      <c r="T33" s="34" t="n">
        <v>11216.9</v>
      </c>
      <c r="U33" s="35" t="n">
        <v>11216.9</v>
      </c>
      <c r="V33" s="34" t="n">
        <v>12003.85</v>
      </c>
      <c r="W33" s="34" t="n">
        <v>26936.98</v>
      </c>
      <c r="X33" s="36" t="n">
        <v>12716.65</v>
      </c>
      <c r="Y33" s="10" t="n"/>
      <c r="Z33" s="11" t="n"/>
      <c r="AA33" s="10" t="n"/>
      <c r="AB33" s="10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유동리스부채</t>
        </is>
      </c>
      <c r="E34" s="34" t="n">
        <v>1434.63</v>
      </c>
      <c r="F34" s="35" t="n">
        <v>1434.63</v>
      </c>
      <c r="G34" s="34" t="n">
        <v>1477.57</v>
      </c>
      <c r="H34" s="34" t="n">
        <v>1194.33</v>
      </c>
      <c r="I34" s="34" t="n">
        <v>1116.17</v>
      </c>
      <c r="J34" s="34" t="n">
        <v>1676.15</v>
      </c>
      <c r="K34" s="35" t="n">
        <v>1676.15</v>
      </c>
      <c r="L34" s="34" t="n">
        <v>1895.6</v>
      </c>
      <c r="M34" s="34" t="n">
        <v>1972.52</v>
      </c>
      <c r="N34" s="34" t="n">
        <v>3787.92</v>
      </c>
      <c r="O34" s="34" t="n">
        <v>4178.21</v>
      </c>
      <c r="P34" s="35" t="n">
        <v>4178.21</v>
      </c>
      <c r="Q34" s="34" t="n">
        <v>4523.78</v>
      </c>
      <c r="R34" s="34" t="n">
        <v>4513.64</v>
      </c>
      <c r="S34" s="34" t="n">
        <v>4120.81</v>
      </c>
      <c r="T34" s="34" t="n">
        <v>4812.8</v>
      </c>
      <c r="U34" s="35" t="n">
        <v>4812.8</v>
      </c>
      <c r="V34" s="34" t="n">
        <v>4470.17</v>
      </c>
      <c r="W34" s="34" t="n">
        <v>4618.03</v>
      </c>
      <c r="X34" s="36" t="n">
        <v>4312.46</v>
      </c>
      <c r="Y34" s="10" t="n"/>
      <c r="Z34" s="11" t="n"/>
      <c r="AA34" s="10" t="n"/>
      <c r="AB34" s="10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리스부채</t>
        </is>
      </c>
      <c r="E35" s="34" t="n">
        <v>9968.530000000001</v>
      </c>
      <c r="F35" s="35" t="n">
        <v>9968.530000000001</v>
      </c>
      <c r="G35" s="34" t="n">
        <v>10012.97</v>
      </c>
      <c r="H35" s="34" t="n">
        <v>9699.1</v>
      </c>
      <c r="I35" s="34" t="n">
        <v>9277.299999999999</v>
      </c>
      <c r="J35" s="34" t="n">
        <v>11465.14</v>
      </c>
      <c r="K35" s="35" t="n">
        <v>11465.14</v>
      </c>
      <c r="L35" s="34" t="n">
        <v>11821.43</v>
      </c>
      <c r="M35" s="34" t="n">
        <v>12061.34</v>
      </c>
      <c r="N35" s="34" t="n">
        <v>18112.81</v>
      </c>
      <c r="O35" s="34" t="n">
        <v>17993.38</v>
      </c>
      <c r="P35" s="35" t="n">
        <v>17993.38</v>
      </c>
      <c r="Q35" s="34" t="n">
        <v>18145.12</v>
      </c>
      <c r="R35" s="34" t="n">
        <v>17751.7</v>
      </c>
      <c r="S35" s="34" t="n">
        <v>16502.98</v>
      </c>
      <c r="T35" s="34" t="n">
        <v>16419.95</v>
      </c>
      <c r="U35" s="35" t="n">
        <v>16419.95</v>
      </c>
      <c r="V35" s="34" t="n">
        <v>15655.16</v>
      </c>
      <c r="W35" s="34" t="n">
        <v>15337.53</v>
      </c>
      <c r="X35" s="36" t="n">
        <v>14172.97</v>
      </c>
      <c r="Y35" s="10" t="n"/>
      <c r="Z35" s="11" t="n"/>
      <c r="AA35" s="10" t="n"/>
      <c r="AB35" s="10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단기금융부채</t>
        </is>
      </c>
      <c r="E36" s="34" t="n">
        <v>47911.54</v>
      </c>
      <c r="F36" s="35" t="n">
        <v>47911.54</v>
      </c>
      <c r="G36" s="34" t="n">
        <v>67764.98</v>
      </c>
      <c r="H36" s="34" t="n">
        <v>131632.58</v>
      </c>
      <c r="I36" s="34" t="n">
        <v>268002.95</v>
      </c>
      <c r="J36" s="34" t="n">
        <v>104596.79</v>
      </c>
      <c r="K36" s="35" t="n">
        <v>104596.79</v>
      </c>
      <c r="L36" s="34" t="n">
        <v>111159.88</v>
      </c>
      <c r="M36" s="34" t="n">
        <v>98824.89</v>
      </c>
      <c r="N36" s="34" t="n">
        <v>111785.87</v>
      </c>
      <c r="O36" s="34" t="n">
        <v>57396.18</v>
      </c>
      <c r="P36" s="35" t="n">
        <v>57396.18</v>
      </c>
      <c r="Q36" s="34" t="n">
        <v>78862.07000000001</v>
      </c>
      <c r="R36" s="34" t="n">
        <v>116074.32</v>
      </c>
      <c r="S36" s="34" t="n">
        <v>51086.8</v>
      </c>
      <c r="T36" s="34" t="n">
        <v>190670.45</v>
      </c>
      <c r="U36" s="35" t="n">
        <v>190670.45</v>
      </c>
      <c r="V36" s="34" t="n">
        <v>172488.34</v>
      </c>
      <c r="W36" s="34" t="n">
        <v>67420.64999999999</v>
      </c>
      <c r="X36" s="36" t="n">
        <v>113419.88</v>
      </c>
      <c r="Y36" s="10" t="n"/>
      <c r="Z36" s="11" t="n"/>
      <c r="AA36" s="10" t="n"/>
      <c r="AB36" s="10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단기파생상품부채</t>
        </is>
      </c>
      <c r="E37" s="34" t="n">
        <v>46476.91</v>
      </c>
      <c r="F37" s="35" t="n">
        <v>46476.91</v>
      </c>
      <c r="G37" s="34" t="n">
        <v>66287.41</v>
      </c>
      <c r="H37" s="34" t="n">
        <v>130438.25</v>
      </c>
      <c r="I37" s="34" t="n">
        <v>266886.78</v>
      </c>
      <c r="J37" s="34" t="n">
        <v>102920.64</v>
      </c>
      <c r="K37" s="35" t="n">
        <v>102920.64</v>
      </c>
      <c r="L37" s="34" t="n">
        <v>109264.28</v>
      </c>
      <c r="M37" s="34" t="n">
        <v>96852.37</v>
      </c>
      <c r="N37" s="34" t="n">
        <v>107997.95</v>
      </c>
      <c r="O37" s="34" t="n">
        <v>53217.97</v>
      </c>
      <c r="P37" s="35" t="n">
        <v>53217.97</v>
      </c>
      <c r="Q37" s="34" t="n">
        <v>74338.28999999999</v>
      </c>
      <c r="R37" s="34" t="n">
        <v>111560.68</v>
      </c>
      <c r="S37" s="34" t="n">
        <v>46965.99</v>
      </c>
      <c r="T37" s="34" t="n">
        <v>185857.65</v>
      </c>
      <c r="U37" s="35" t="n">
        <v>185857.65</v>
      </c>
      <c r="V37" s="34" t="n">
        <v>168018.17</v>
      </c>
      <c r="W37" s="34" t="n">
        <v>62802.62</v>
      </c>
      <c r="X37" s="36" t="n">
        <v>109107.42</v>
      </c>
      <c r="Y37" s="10" t="n"/>
      <c r="Z37" s="11" t="n"/>
      <c r="AA37" s="10" t="n"/>
      <c r="AB37" s="10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기타유동부채</t>
        </is>
      </c>
      <c r="E38" s="34" t="n">
        <v>192.07</v>
      </c>
      <c r="F38" s="35" t="n">
        <v>192.07</v>
      </c>
      <c r="G38" s="34" t="n">
        <v>117.9</v>
      </c>
      <c r="H38" s="34" t="n">
        <v>145.5</v>
      </c>
      <c r="I38" s="34" t="n">
        <v>135.75</v>
      </c>
      <c r="J38" s="34" t="n">
        <v>106.1</v>
      </c>
      <c r="K38" s="35" t="n">
        <v>106.1</v>
      </c>
      <c r="L38" s="34" t="n">
        <v>103.47</v>
      </c>
      <c r="M38" s="34" t="n">
        <v>15.74</v>
      </c>
      <c r="P38" s="9" t="n"/>
      <c r="T38" s="34" t="n">
        <v>0</v>
      </c>
      <c r="U38" s="35" t="n">
        <v>0</v>
      </c>
      <c r="V38" s="34" t="n">
        <v>285.51</v>
      </c>
      <c r="W38" s="34" t="n">
        <v>765.42</v>
      </c>
      <c r="X38" s="36" t="n">
        <v>7489.22</v>
      </c>
      <c r="Y38" s="10" t="n"/>
      <c r="Z38" s="11" t="n"/>
      <c r="AA38" s="10" t="n"/>
      <c r="AB38" s="10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비유동부채</t>
        </is>
      </c>
      <c r="E39" s="34" t="n">
        <v>54428.39</v>
      </c>
      <c r="F39" s="35" t="n">
        <v>54428.39</v>
      </c>
      <c r="G39" s="34" t="n">
        <v>53965.21</v>
      </c>
      <c r="H39" s="34" t="n">
        <v>102698.84</v>
      </c>
      <c r="I39" s="34" t="n">
        <v>196722.34</v>
      </c>
      <c r="J39" s="34" t="n">
        <v>66728.11</v>
      </c>
      <c r="K39" s="35" t="n">
        <v>66728.11</v>
      </c>
      <c r="L39" s="34" t="n">
        <v>68791.25</v>
      </c>
      <c r="M39" s="34" t="n">
        <v>67288.14999999999</v>
      </c>
      <c r="N39" s="34" t="n">
        <v>86575.42999999999</v>
      </c>
      <c r="O39" s="34" t="n">
        <v>151512.56</v>
      </c>
      <c r="P39" s="35" t="n">
        <v>151512.56</v>
      </c>
      <c r="Q39" s="34" t="n">
        <v>227995.09</v>
      </c>
      <c r="R39" s="34" t="n">
        <v>245761.62</v>
      </c>
      <c r="S39" s="34" t="n">
        <v>137058.69</v>
      </c>
      <c r="T39" s="34" t="n">
        <v>291443.76</v>
      </c>
      <c r="U39" s="35" t="n">
        <v>291443.76</v>
      </c>
      <c r="V39" s="34" t="n">
        <v>194374.24</v>
      </c>
      <c r="W39" s="34" t="n">
        <v>98374.64999999999</v>
      </c>
      <c r="X39" s="36" t="n">
        <v>95341.31</v>
      </c>
      <c r="Y39" s="10" t="n"/>
      <c r="Z39" s="11" t="n"/>
      <c r="AA39" s="10" t="n"/>
      <c r="AB39" s="10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장기매입채무및기타채무</t>
        </is>
      </c>
      <c r="E40" s="34" t="n">
        <v>41.19</v>
      </c>
      <c r="F40" s="35" t="n">
        <v>41.19</v>
      </c>
      <c r="G40" s="34" t="n">
        <v>5.72</v>
      </c>
      <c r="H40" s="34" t="n">
        <v>5.72</v>
      </c>
      <c r="I40" s="34" t="n">
        <v>5.72</v>
      </c>
      <c r="J40" s="34" t="n">
        <v>5.72</v>
      </c>
      <c r="K40" s="35" t="n">
        <v>5.72</v>
      </c>
      <c r="L40" s="34" t="n">
        <v>3.28</v>
      </c>
      <c r="M40" s="34" t="n">
        <v>1.78</v>
      </c>
      <c r="N40" s="34" t="n">
        <v>1.78</v>
      </c>
      <c r="O40" s="34" t="n">
        <v>71.78</v>
      </c>
      <c r="P40" s="35" t="n">
        <v>71.78</v>
      </c>
      <c r="Q40" s="34" t="n">
        <v>71.78</v>
      </c>
      <c r="R40" s="34" t="n">
        <v>71.78</v>
      </c>
      <c r="S40" s="34" t="n">
        <v>71.78</v>
      </c>
      <c r="T40" s="34" t="n">
        <v>689.3</v>
      </c>
      <c r="U40" s="35" t="n">
        <v>689.3</v>
      </c>
      <c r="V40" s="34" t="n">
        <v>608.1799999999999</v>
      </c>
      <c r="W40" s="34" t="n">
        <v>608.1799999999999</v>
      </c>
      <c r="X40" s="36" t="n">
        <v>608.1799999999999</v>
      </c>
      <c r="Y40" s="10" t="n"/>
      <c r="Z40" s="11" t="n"/>
      <c r="AA40" s="10" t="n"/>
      <c r="AB40" s="10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확정급여부채</t>
        </is>
      </c>
      <c r="E41" s="34" t="n">
        <v>8254.860000000001</v>
      </c>
      <c r="F41" s="35" t="n">
        <v>8254.860000000001</v>
      </c>
      <c r="G41" s="34" t="n">
        <v>8254.860000000001</v>
      </c>
      <c r="H41" s="34" t="n">
        <v>8254.860000000001</v>
      </c>
      <c r="I41" s="34" t="n">
        <v>8952.459999999999</v>
      </c>
      <c r="J41" s="34" t="n">
        <v>7470.24</v>
      </c>
      <c r="K41" s="35" t="n">
        <v>7470.24</v>
      </c>
      <c r="L41" s="34" t="n">
        <v>7470.24</v>
      </c>
      <c r="M41" s="34" t="n">
        <v>7470.24</v>
      </c>
      <c r="N41" s="34" t="n">
        <v>7470.24</v>
      </c>
      <c r="O41" s="34" t="n">
        <v>8288.360000000001</v>
      </c>
      <c r="P41" s="35" t="n">
        <v>8288.360000000001</v>
      </c>
      <c r="Q41" s="34" t="n">
        <v>5946.58</v>
      </c>
      <c r="R41" s="34" t="n">
        <v>5946.58</v>
      </c>
      <c r="S41" s="34" t="n">
        <v>5946.58</v>
      </c>
      <c r="T41" s="34" t="n">
        <v>6289.27</v>
      </c>
      <c r="U41" s="35" t="n">
        <v>6289.27</v>
      </c>
      <c r="V41" s="34" t="n">
        <v>6289.27</v>
      </c>
      <c r="W41" s="34" t="n">
        <v>6289.27</v>
      </c>
      <c r="X41" s="36" t="n">
        <v>7544.59</v>
      </c>
      <c r="Y41" s="10" t="n"/>
      <c r="Z41" s="11" t="n"/>
      <c r="AA41" s="10" t="n"/>
      <c r="AB41" s="10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장기충당부채</t>
        </is>
      </c>
      <c r="E42" s="34" t="n">
        <v>4658.81</v>
      </c>
      <c r="F42" s="35" t="n">
        <v>4658.81</v>
      </c>
      <c r="G42" s="34" t="n">
        <v>6713.2</v>
      </c>
      <c r="H42" s="34" t="n">
        <v>4929.24</v>
      </c>
      <c r="I42" s="34" t="n">
        <v>5075.51</v>
      </c>
      <c r="J42" s="34" t="n">
        <v>5384.36</v>
      </c>
      <c r="K42" s="35" t="n">
        <v>5384.36</v>
      </c>
      <c r="L42" s="34" t="n">
        <v>4849.4</v>
      </c>
      <c r="M42" s="34" t="n">
        <v>4842.46</v>
      </c>
      <c r="N42" s="34" t="n">
        <v>4572.69</v>
      </c>
      <c r="O42" s="34" t="n">
        <v>4270.35</v>
      </c>
      <c r="P42" s="35" t="n">
        <v>4270.35</v>
      </c>
      <c r="Q42" s="34" t="n">
        <v>4199.89</v>
      </c>
      <c r="R42" s="34" t="n">
        <v>4158.85</v>
      </c>
      <c r="S42" s="34" t="n">
        <v>3497.41</v>
      </c>
      <c r="T42" s="34" t="n">
        <v>4962.38</v>
      </c>
      <c r="U42" s="35" t="n">
        <v>4962.38</v>
      </c>
      <c r="V42" s="34" t="n">
        <v>3428.72</v>
      </c>
      <c r="W42" s="34" t="n">
        <v>3343.65</v>
      </c>
      <c r="X42" s="36" t="n">
        <v>3270.68</v>
      </c>
      <c r="Y42" s="10" t="n"/>
      <c r="Z42" s="11" t="n"/>
      <c r="AA42" s="10" t="n"/>
      <c r="AB42" s="10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비유동리스부채</t>
        </is>
      </c>
      <c r="E43" s="34" t="n">
        <v>8533.9</v>
      </c>
      <c r="F43" s="35" t="n">
        <v>8533.9</v>
      </c>
      <c r="G43" s="34" t="n">
        <v>8535.4</v>
      </c>
      <c r="H43" s="34" t="n">
        <v>8504.77</v>
      </c>
      <c r="I43" s="34" t="n">
        <v>8161.13</v>
      </c>
      <c r="J43" s="34" t="n">
        <v>9788.99</v>
      </c>
      <c r="K43" s="35" t="n">
        <v>9788.99</v>
      </c>
      <c r="L43" s="34" t="n">
        <v>9925.83</v>
      </c>
      <c r="M43" s="34" t="n">
        <v>10088.82</v>
      </c>
      <c r="N43" s="34" t="n">
        <v>14324.89</v>
      </c>
      <c r="O43" s="34" t="n">
        <v>13815.17</v>
      </c>
      <c r="P43" s="35" t="n">
        <v>13815.17</v>
      </c>
      <c r="Q43" s="34" t="n">
        <v>13621.34</v>
      </c>
      <c r="R43" s="34" t="n">
        <v>13238.06</v>
      </c>
      <c r="S43" s="34" t="n">
        <v>12382.17</v>
      </c>
      <c r="T43" s="34" t="n">
        <v>11607.15</v>
      </c>
      <c r="U43" s="35" t="n">
        <v>11607.15</v>
      </c>
      <c r="V43" s="34" t="n">
        <v>11184.99</v>
      </c>
      <c r="W43" s="34" t="n">
        <v>10719.5</v>
      </c>
      <c r="X43" s="36" t="n">
        <v>9860.51</v>
      </c>
      <c r="Y43" s="10" t="n"/>
      <c r="Z43" s="11" t="n"/>
      <c r="AA43" s="10" t="n"/>
      <c r="AB43" s="10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장기금융부채</t>
        </is>
      </c>
      <c r="E44" s="34" t="n">
        <v>41473.53</v>
      </c>
      <c r="F44" s="35" t="n">
        <v>41473.53</v>
      </c>
      <c r="G44" s="34" t="n">
        <v>38991.42</v>
      </c>
      <c r="H44" s="34" t="n">
        <v>89509.00999999999</v>
      </c>
      <c r="I44" s="34" t="n">
        <v>182688.64</v>
      </c>
      <c r="J44" s="34" t="n">
        <v>53867.79</v>
      </c>
      <c r="K44" s="35" t="n">
        <v>53867.79</v>
      </c>
      <c r="L44" s="34" t="n">
        <v>56468.33</v>
      </c>
      <c r="M44" s="34" t="n">
        <v>54973.68</v>
      </c>
      <c r="N44" s="34" t="n">
        <v>74530.73</v>
      </c>
      <c r="O44" s="34" t="n">
        <v>43210.58</v>
      </c>
      <c r="P44" s="35" t="n">
        <v>43210.58</v>
      </c>
      <c r="Q44" s="34" t="n">
        <v>57776.85</v>
      </c>
      <c r="R44" s="34" t="n">
        <v>95584.42</v>
      </c>
      <c r="S44" s="34" t="n">
        <v>47542.93</v>
      </c>
      <c r="T44" s="34" t="n">
        <v>199502.82</v>
      </c>
      <c r="U44" s="35" t="n">
        <v>199502.82</v>
      </c>
      <c r="V44" s="34" t="n">
        <v>184048.08</v>
      </c>
      <c r="W44" s="34" t="n">
        <v>88133.55</v>
      </c>
      <c r="X44" s="36" t="n">
        <v>83917.86</v>
      </c>
      <c r="Y44" s="10" t="n"/>
      <c r="Z44" s="11" t="n"/>
      <c r="AA44" s="10" t="n"/>
      <c r="AB44" s="10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장기파생상품부채</t>
        </is>
      </c>
      <c r="E45" s="34" t="n">
        <v>32939.63</v>
      </c>
      <c r="F45" s="35" t="n">
        <v>32939.63</v>
      </c>
      <c r="G45" s="34" t="n">
        <v>30456.02</v>
      </c>
      <c r="H45" s="34" t="n">
        <v>81004.24000000001</v>
      </c>
      <c r="I45" s="34" t="n">
        <v>174527.51</v>
      </c>
      <c r="J45" s="34" t="n">
        <v>44078.8</v>
      </c>
      <c r="K45" s="35" t="n">
        <v>44078.8</v>
      </c>
      <c r="L45" s="34" t="n">
        <v>46542.5</v>
      </c>
      <c r="M45" s="34" t="n">
        <v>44884.86</v>
      </c>
      <c r="N45" s="34" t="n">
        <v>60205.84</v>
      </c>
      <c r="O45" s="34" t="n">
        <v>29395.41</v>
      </c>
      <c r="P45" s="35" t="n">
        <v>29395.41</v>
      </c>
      <c r="Q45" s="34" t="n">
        <v>44155.51</v>
      </c>
      <c r="R45" s="34" t="n">
        <v>82346.36</v>
      </c>
      <c r="S45" s="34" t="n">
        <v>35160.76</v>
      </c>
      <c r="T45" s="34" t="n">
        <v>187895.67</v>
      </c>
      <c r="U45" s="35" t="n">
        <v>187895.67</v>
      </c>
      <c r="V45" s="34" t="n">
        <v>172863.09</v>
      </c>
      <c r="W45" s="34" t="n">
        <v>77414.05</v>
      </c>
      <c r="X45" s="36" t="n">
        <v>74057.35000000001</v>
      </c>
      <c r="Y45" s="10" t="n"/>
      <c r="Z45" s="11" t="n"/>
      <c r="AA45" s="10" t="n"/>
      <c r="AB45" s="10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부채총계</t>
        </is>
      </c>
      <c r="E46" s="34" t="n">
        <v>1701776.33</v>
      </c>
      <c r="F46" s="35" t="n">
        <v>1701776.33</v>
      </c>
      <c r="G46" s="34" t="n">
        <v>2017756.66</v>
      </c>
      <c r="H46" s="34" t="n">
        <v>2244587.07</v>
      </c>
      <c r="I46" s="34" t="n">
        <v>2832323.51</v>
      </c>
      <c r="J46" s="34" t="n">
        <v>2659553.68</v>
      </c>
      <c r="K46" s="35" t="n">
        <v>2659553.68</v>
      </c>
      <c r="L46" s="34" t="n">
        <v>2561337.02</v>
      </c>
      <c r="M46" s="34" t="n">
        <v>2711282.97</v>
      </c>
      <c r="N46" s="34" t="n">
        <v>2764856.5</v>
      </c>
      <c r="O46" s="34" t="n">
        <v>2978465.34</v>
      </c>
      <c r="P46" s="35" t="n">
        <v>2978465.34</v>
      </c>
      <c r="Q46" s="34" t="n">
        <v>2798206.46</v>
      </c>
      <c r="R46" s="34" t="n">
        <v>2777787.2</v>
      </c>
      <c r="S46" s="34" t="n">
        <v>2547862.83</v>
      </c>
      <c r="T46" s="34" t="n">
        <v>3050839.67</v>
      </c>
      <c r="U46" s="35" t="n">
        <v>3050839.67</v>
      </c>
      <c r="V46" s="34" t="n">
        <v>3076324.77</v>
      </c>
      <c r="W46" s="34" t="n">
        <v>3014741.04</v>
      </c>
      <c r="X46" s="36" t="n">
        <v>2801777.82</v>
      </c>
      <c r="Y46" s="10" t="n"/>
      <c r="Z46" s="11" t="n"/>
      <c r="AA46" s="10" t="n"/>
      <c r="AB46" s="10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자본금</t>
        </is>
      </c>
      <c r="E47" s="34" t="n">
        <v>199710.74</v>
      </c>
      <c r="F47" s="35" t="n">
        <v>199710.74</v>
      </c>
      <c r="G47" s="34" t="n">
        <v>199710.74</v>
      </c>
      <c r="H47" s="34" t="n">
        <v>199710.74</v>
      </c>
      <c r="I47" s="34" t="n">
        <v>199710.74</v>
      </c>
      <c r="J47" s="34" t="n">
        <v>199710.74</v>
      </c>
      <c r="K47" s="35" t="n">
        <v>199710.74</v>
      </c>
      <c r="L47" s="34" t="n">
        <v>199710.74</v>
      </c>
      <c r="M47" s="34" t="n">
        <v>199710.74</v>
      </c>
      <c r="N47" s="34" t="n">
        <v>199710.74</v>
      </c>
      <c r="O47" s="34" t="n">
        <v>199710.74</v>
      </c>
      <c r="P47" s="35" t="n">
        <v>199710.74</v>
      </c>
      <c r="Q47" s="34" t="n">
        <v>199710.74</v>
      </c>
      <c r="R47" s="34" t="n">
        <v>199710.74</v>
      </c>
      <c r="S47" s="34" t="n">
        <v>199710.74</v>
      </c>
      <c r="T47" s="34" t="n">
        <v>199710.74</v>
      </c>
      <c r="U47" s="35" t="n">
        <v>199710.74</v>
      </c>
      <c r="V47" s="34" t="n">
        <v>199710.74</v>
      </c>
      <c r="W47" s="34" t="n">
        <v>199710.74</v>
      </c>
      <c r="X47" s="36" t="n">
        <v>199710.74</v>
      </c>
      <c r="Y47" s="10" t="n"/>
      <c r="Z47" s="11" t="n"/>
      <c r="AA47" s="10" t="n"/>
      <c r="AB47" s="10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자본잉여금</t>
        </is>
      </c>
      <c r="E48" s="34" t="n">
        <v>81745.92</v>
      </c>
      <c r="F48" s="35" t="n">
        <v>81745.92</v>
      </c>
      <c r="G48" s="34" t="n">
        <v>81745.92</v>
      </c>
      <c r="H48" s="34" t="n">
        <v>81745.92</v>
      </c>
      <c r="I48" s="34" t="n">
        <v>81745.92</v>
      </c>
      <c r="J48" s="34" t="n">
        <v>81745.92</v>
      </c>
      <c r="K48" s="35" t="n">
        <v>81745.92</v>
      </c>
      <c r="L48" s="34" t="n">
        <v>81745.92</v>
      </c>
      <c r="M48" s="34" t="n">
        <v>81745.92</v>
      </c>
      <c r="N48" s="34" t="n">
        <v>81745.92</v>
      </c>
      <c r="O48" s="34" t="n">
        <v>81745.92</v>
      </c>
      <c r="P48" s="35" t="n">
        <v>81745.92</v>
      </c>
      <c r="Q48" s="34" t="n">
        <v>81745.92</v>
      </c>
      <c r="R48" s="34" t="n">
        <v>81745.92</v>
      </c>
      <c r="S48" s="34" t="n">
        <v>81745.92</v>
      </c>
      <c r="T48" s="34" t="n">
        <v>81745.92</v>
      </c>
      <c r="U48" s="35" t="n">
        <v>81745.92</v>
      </c>
      <c r="V48" s="34" t="n">
        <v>81745.92</v>
      </c>
      <c r="W48" s="34" t="n">
        <v>81745.92</v>
      </c>
      <c r="X48" s="36" t="n">
        <v>81745.92</v>
      </c>
      <c r="Y48" s="10" t="n"/>
      <c r="Z48" s="11" t="n"/>
      <c r="AA48" s="10" t="n"/>
      <c r="AB48" s="10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기타자본</t>
        </is>
      </c>
      <c r="E49" s="34" t="n">
        <v>-12349.05</v>
      </c>
      <c r="F49" s="35" t="n">
        <v>-12349.05</v>
      </c>
      <c r="G49" s="34" t="n">
        <v>-12349.05</v>
      </c>
      <c r="H49" s="34" t="n">
        <v>-12349.05</v>
      </c>
      <c r="I49" s="34" t="n">
        <v>-12349.05</v>
      </c>
      <c r="J49" s="34" t="n">
        <v>-12349.05</v>
      </c>
      <c r="K49" s="35" t="n">
        <v>-12349.05</v>
      </c>
      <c r="L49" s="34" t="n">
        <v>-12349.05</v>
      </c>
      <c r="M49" s="34" t="n">
        <v>-12349.05</v>
      </c>
      <c r="N49" s="34" t="n">
        <v>-12349.05</v>
      </c>
      <c r="O49" s="34" t="n">
        <v>-12349.05</v>
      </c>
      <c r="P49" s="35" t="n">
        <v>-12349.05</v>
      </c>
      <c r="Q49" s="34" t="n">
        <v>-12349.05</v>
      </c>
      <c r="R49" s="34" t="n">
        <v>-12349.05</v>
      </c>
      <c r="S49" s="34" t="n">
        <v>-12349.05</v>
      </c>
      <c r="T49" s="34" t="n">
        <v>-12349.05</v>
      </c>
      <c r="U49" s="35" t="n">
        <v>-12349.05</v>
      </c>
      <c r="V49" s="34" t="n">
        <v>-12349.05</v>
      </c>
      <c r="W49" s="34" t="n">
        <v>-12349.05</v>
      </c>
      <c r="X49" s="36" t="n">
        <v>-12349.05</v>
      </c>
      <c r="Y49" s="10" t="n"/>
      <c r="Z49" s="11" t="n"/>
      <c r="AA49" s="10" t="n"/>
      <c r="AB49" s="10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기타포괄이익누계액</t>
        </is>
      </c>
      <c r="E50" s="34" t="n">
        <v>289436.37</v>
      </c>
      <c r="F50" s="35" t="n">
        <v>289436.37</v>
      </c>
      <c r="G50" s="34" t="n">
        <v>290010.93</v>
      </c>
      <c r="H50" s="34" t="n">
        <v>290010.93</v>
      </c>
      <c r="I50" s="34" t="n">
        <v>289956.76</v>
      </c>
      <c r="J50" s="34" t="n">
        <v>290944.16</v>
      </c>
      <c r="K50" s="35" t="n">
        <v>290944.16</v>
      </c>
      <c r="L50" s="34" t="n">
        <v>290944.16</v>
      </c>
      <c r="M50" s="34" t="n">
        <v>290944.16</v>
      </c>
      <c r="N50" s="34" t="n">
        <v>290944.16</v>
      </c>
      <c r="O50" s="34" t="n">
        <v>296792.74</v>
      </c>
      <c r="P50" s="35" t="n">
        <v>296792.74</v>
      </c>
      <c r="Q50" s="34" t="n">
        <v>296792.74</v>
      </c>
      <c r="R50" s="34" t="n">
        <v>296466.16</v>
      </c>
      <c r="S50" s="34" t="n">
        <v>296792.74</v>
      </c>
      <c r="T50" s="34" t="n">
        <v>296407.92</v>
      </c>
      <c r="U50" s="35" t="n">
        <v>296407.92</v>
      </c>
      <c r="V50" s="34" t="n">
        <v>296407.92</v>
      </c>
      <c r="W50" s="34" t="n">
        <v>350681.92</v>
      </c>
      <c r="X50" s="36" t="n">
        <v>350681.92</v>
      </c>
      <c r="Y50" s="10" t="n"/>
      <c r="Z50" s="11" t="n"/>
      <c r="AA50" s="10" t="n"/>
      <c r="AB50" s="10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이익잉여금</t>
        </is>
      </c>
      <c r="E51" s="34" t="n">
        <v>1597653.06</v>
      </c>
      <c r="F51" s="35" t="n">
        <v>1597653.06</v>
      </c>
      <c r="G51" s="34" t="n">
        <v>1569291.27</v>
      </c>
      <c r="H51" s="34" t="n">
        <v>1613553.78</v>
      </c>
      <c r="I51" s="34" t="n">
        <v>1719000.78</v>
      </c>
      <c r="J51" s="34" t="n">
        <v>1561093.8</v>
      </c>
      <c r="K51" s="35" t="n">
        <v>1561093.8</v>
      </c>
      <c r="L51" s="34" t="n">
        <v>1557464.85</v>
      </c>
      <c r="M51" s="34" t="n">
        <v>1518722.33</v>
      </c>
      <c r="N51" s="34" t="n">
        <v>1527564.81</v>
      </c>
      <c r="O51" s="34" t="n">
        <v>1388359.75</v>
      </c>
      <c r="P51" s="35" t="n">
        <v>1388359.75</v>
      </c>
      <c r="Q51" s="34" t="n">
        <v>1390291.12</v>
      </c>
      <c r="R51" s="34" t="n">
        <v>1414544.15</v>
      </c>
      <c r="S51" s="34" t="n">
        <v>1410986.44</v>
      </c>
      <c r="T51" s="34" t="n">
        <v>1451399.05</v>
      </c>
      <c r="U51" s="35" t="n">
        <v>1451399.05</v>
      </c>
      <c r="V51" s="34" t="n">
        <v>1470634.1</v>
      </c>
      <c r="W51" s="34" t="n">
        <v>1486805.92</v>
      </c>
      <c r="X51" s="36" t="n">
        <v>1643711.93</v>
      </c>
      <c r="Y51" s="10" t="n"/>
      <c r="Z51" s="11" t="n"/>
      <c r="AA51" s="10" t="n"/>
      <c r="AB51" s="10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자본총계</t>
        </is>
      </c>
      <c r="E52" s="34" t="n">
        <v>2156197.04</v>
      </c>
      <c r="F52" s="35" t="n">
        <v>2156197.04</v>
      </c>
      <c r="G52" s="34" t="n">
        <v>2128409.81</v>
      </c>
      <c r="H52" s="34" t="n">
        <v>2172672.32</v>
      </c>
      <c r="I52" s="34" t="n">
        <v>2278065.15</v>
      </c>
      <c r="J52" s="34" t="n">
        <v>2121145.58</v>
      </c>
      <c r="K52" s="35" t="n">
        <v>2121145.58</v>
      </c>
      <c r="L52" s="34" t="n">
        <v>2117516.63</v>
      </c>
      <c r="M52" s="34" t="n">
        <v>2078774.1</v>
      </c>
      <c r="N52" s="34" t="n">
        <v>2087616.59</v>
      </c>
      <c r="O52" s="34" t="n">
        <v>1954260.1</v>
      </c>
      <c r="P52" s="35" t="n">
        <v>1954260.1</v>
      </c>
      <c r="Q52" s="34" t="n">
        <v>1956191.47</v>
      </c>
      <c r="R52" s="34" t="n">
        <v>1980117.92</v>
      </c>
      <c r="S52" s="34" t="n">
        <v>1976886.79</v>
      </c>
      <c r="T52" s="34" t="n">
        <v>2016914.58</v>
      </c>
      <c r="U52" s="35" t="n">
        <v>2016914.58</v>
      </c>
      <c r="V52" s="34" t="n">
        <v>2036149.64</v>
      </c>
      <c r="W52" s="34" t="n">
        <v>2106595.45</v>
      </c>
      <c r="X52" s="36" t="n">
        <v>2263501.46</v>
      </c>
      <c r="Y52" s="10" t="n"/>
      <c r="Z52" s="11" t="n"/>
      <c r="AA52" s="10" t="n"/>
      <c r="AB52" s="10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부채와자본총계</t>
        </is>
      </c>
      <c r="E53" s="34" t="n">
        <v>3857973.38</v>
      </c>
      <c r="F53" s="35" t="n">
        <v>3857973.38</v>
      </c>
      <c r="G53" s="34" t="n">
        <v>4146166.47</v>
      </c>
      <c r="H53" s="34" t="n">
        <v>4417259.4</v>
      </c>
      <c r="I53" s="34" t="n">
        <v>5110388.66</v>
      </c>
      <c r="J53" s="34" t="n">
        <v>4780699.25</v>
      </c>
      <c r="K53" s="35" t="n">
        <v>4780699.25</v>
      </c>
      <c r="L53" s="34" t="n">
        <v>4678853.64</v>
      </c>
      <c r="M53" s="34" t="n">
        <v>4790057.07</v>
      </c>
      <c r="N53" s="34" t="n">
        <v>4852473.08</v>
      </c>
      <c r="O53" s="34" t="n">
        <v>4932725.43</v>
      </c>
      <c r="P53" s="35" t="n">
        <v>4932725.43</v>
      </c>
      <c r="Q53" s="34" t="n">
        <v>4754397.94</v>
      </c>
      <c r="R53" s="34" t="n">
        <v>4757905.12</v>
      </c>
      <c r="S53" s="34" t="n">
        <v>4524749.62</v>
      </c>
      <c r="T53" s="34" t="n">
        <v>5067754.25</v>
      </c>
      <c r="U53" s="35" t="n">
        <v>5067754.25</v>
      </c>
      <c r="V53" s="34" t="n">
        <v>5112474.41</v>
      </c>
      <c r="W53" s="34" t="n">
        <v>5121336.49</v>
      </c>
      <c r="X53" s="36" t="n">
        <v>5065279.28</v>
      </c>
      <c r="Y53" s="10" t="n"/>
      <c r="Z53" s="11" t="n"/>
      <c r="AA53" s="10" t="n"/>
      <c r="AB53" s="10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지배주주지분</t>
        </is>
      </c>
      <c r="E54" s="34" t="n">
        <v>2156197.04</v>
      </c>
      <c r="F54" s="35" t="n">
        <v>2156197.04</v>
      </c>
      <c r="G54" s="34" t="n">
        <v>2128409.81</v>
      </c>
      <c r="H54" s="34" t="n">
        <v>2172672.32</v>
      </c>
      <c r="I54" s="34" t="n">
        <v>2278065.15</v>
      </c>
      <c r="J54" s="34" t="n">
        <v>2121145.58</v>
      </c>
      <c r="K54" s="35" t="n">
        <v>2121145.58</v>
      </c>
      <c r="L54" s="34" t="n">
        <v>2117516.63</v>
      </c>
      <c r="M54" s="34" t="n">
        <v>2078774.1</v>
      </c>
      <c r="N54" s="34" t="n">
        <v>2087616.59</v>
      </c>
      <c r="O54" s="34" t="n">
        <v>1954260.1</v>
      </c>
      <c r="P54" s="35" t="n">
        <v>1954260.1</v>
      </c>
      <c r="Q54" s="34" t="n">
        <v>1956191.47</v>
      </c>
      <c r="R54" s="34" t="n">
        <v>1980117.92</v>
      </c>
      <c r="S54" s="34" t="n">
        <v>1976886.79</v>
      </c>
      <c r="T54" s="34" t="n">
        <v>2016914.58</v>
      </c>
      <c r="U54" s="35" t="n">
        <v>2016914.58</v>
      </c>
      <c r="V54" s="34" t="n">
        <v>2036149.64</v>
      </c>
      <c r="W54" s="34" t="n">
        <v>2106595.45</v>
      </c>
      <c r="X54" s="36" t="n">
        <v>2263501.46</v>
      </c>
      <c r="Y54" s="10" t="n"/>
      <c r="Z54" s="11" t="n"/>
      <c r="AA54" s="10" t="n"/>
      <c r="AB54" s="10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총차입금</t>
        </is>
      </c>
      <c r="E55" s="34" t="n">
        <v>89727.3</v>
      </c>
      <c r="F55" s="35" t="n">
        <v>89727.3</v>
      </c>
      <c r="G55" s="34" t="n">
        <v>62389.81</v>
      </c>
      <c r="H55" s="34" t="n">
        <v>39303.43</v>
      </c>
      <c r="I55" s="34" t="n">
        <v>9919.74</v>
      </c>
      <c r="K55" s="9" t="n"/>
      <c r="M55" s="34" t="n">
        <v>159000</v>
      </c>
      <c r="N55" s="34" t="n">
        <v>209000</v>
      </c>
      <c r="O55" s="34" t="n">
        <v>410000</v>
      </c>
      <c r="P55" s="35" t="n">
        <v>410000</v>
      </c>
      <c r="Q55" s="34" t="n">
        <v>319818.88</v>
      </c>
      <c r="R55" s="34" t="n">
        <v>185695.78</v>
      </c>
      <c r="S55" s="34" t="n">
        <v>80000</v>
      </c>
      <c r="T55" s="34" t="n">
        <v>80000</v>
      </c>
      <c r="U55" s="35" t="n">
        <v>80000</v>
      </c>
      <c r="V55" s="34" t="n">
        <v>0</v>
      </c>
      <c r="W55" s="34" t="n">
        <v>0</v>
      </c>
      <c r="X55" s="36" t="n">
        <v>0</v>
      </c>
      <c r="Y55" s="10" t="n"/>
      <c r="Z55" s="11" t="n"/>
      <c r="AA55" s="10" t="n"/>
      <c r="AB55" s="10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순차입금</t>
        </is>
      </c>
      <c r="E56" s="34" t="n">
        <v>-436439.35</v>
      </c>
      <c r="F56" s="35" t="n">
        <v>-436439.35</v>
      </c>
      <c r="G56" s="34" t="n">
        <v>-606017.33</v>
      </c>
      <c r="H56" s="34" t="n">
        <v>-727944.02</v>
      </c>
      <c r="I56" s="34" t="n">
        <v>-631471.33</v>
      </c>
      <c r="K56" s="9" t="n"/>
      <c r="M56" s="34" t="n">
        <v>-273732.33</v>
      </c>
      <c r="N56" s="34" t="n">
        <v>-276295.91</v>
      </c>
      <c r="O56" s="34" t="n">
        <v>64681.43</v>
      </c>
      <c r="P56" s="35" t="n">
        <v>64681.43</v>
      </c>
      <c r="Q56" s="34" t="n">
        <v>-153018.47</v>
      </c>
      <c r="R56" s="34" t="n">
        <v>-287783.71</v>
      </c>
      <c r="S56" s="34" t="n">
        <v>-271567.5</v>
      </c>
      <c r="T56" s="34" t="n">
        <v>-163471.22</v>
      </c>
      <c r="U56" s="35" t="n">
        <v>-163471.22</v>
      </c>
      <c r="V56" s="34" t="n">
        <v>-426353.58</v>
      </c>
      <c r="W56" s="34" t="n">
        <v>-520540.74</v>
      </c>
      <c r="X56" s="36" t="n">
        <v>-424979.09</v>
      </c>
      <c r="Y56" s="10" t="n"/>
      <c r="Z56" s="11" t="n"/>
      <c r="AA56" s="10" t="n"/>
      <c r="AB56" s="10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이자발생자산</t>
        </is>
      </c>
      <c r="E57" s="34" t="n">
        <v>539206.66</v>
      </c>
      <c r="F57" s="35" t="n">
        <v>539206.66</v>
      </c>
      <c r="G57" s="34" t="n">
        <v>682205.16</v>
      </c>
      <c r="H57" s="34" t="n">
        <v>781045.47</v>
      </c>
      <c r="I57" s="34" t="n">
        <v>655188.09</v>
      </c>
      <c r="J57" s="34" t="n">
        <v>572533.78</v>
      </c>
      <c r="K57" s="35" t="n">
        <v>572533.78</v>
      </c>
      <c r="L57" s="34" t="n">
        <v>396800.71</v>
      </c>
      <c r="M57" s="34" t="n">
        <v>447832.02</v>
      </c>
      <c r="N57" s="34" t="n">
        <v>500395.6</v>
      </c>
      <c r="O57" s="34" t="n">
        <v>359531.36</v>
      </c>
      <c r="P57" s="35" t="n">
        <v>359531.36</v>
      </c>
      <c r="Q57" s="34" t="n">
        <v>487050.14</v>
      </c>
      <c r="R57" s="34" t="n">
        <v>487692.28</v>
      </c>
      <c r="S57" s="34" t="n">
        <v>365766.79</v>
      </c>
      <c r="T57" s="34" t="n">
        <v>257173.97</v>
      </c>
      <c r="U57" s="35" t="n">
        <v>257173.97</v>
      </c>
      <c r="V57" s="34" t="n">
        <v>440056.33</v>
      </c>
      <c r="W57" s="34" t="n">
        <v>534240.99</v>
      </c>
      <c r="X57" s="36" t="n">
        <v>438679.34</v>
      </c>
      <c r="Y57" s="10" t="n"/>
      <c r="Z57" s="11" t="n"/>
      <c r="AA57" s="10" t="n"/>
      <c r="AB57" s="10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장기차입금</t>
        </is>
      </c>
      <c r="F58" s="9" t="n"/>
      <c r="K58" s="9" t="n"/>
      <c r="O58" s="34" t="n">
        <v>95671.5</v>
      </c>
      <c r="P58" s="35" t="n">
        <v>95671.5</v>
      </c>
      <c r="Q58" s="34" t="n">
        <v>160000</v>
      </c>
      <c r="R58" s="34" t="n">
        <v>140000</v>
      </c>
      <c r="S58" s="34" t="n">
        <v>80000</v>
      </c>
      <c r="T58" s="34" t="n">
        <v>80000</v>
      </c>
      <c r="U58" s="35" t="n">
        <v>80000</v>
      </c>
      <c r="V58" s="34" t="n">
        <v>0</v>
      </c>
      <c r="W58" s="34" t="n">
        <v>0</v>
      </c>
      <c r="X58" s="36" t="n">
        <v>0</v>
      </c>
      <c r="Y58" s="10" t="n"/>
      <c r="Z58" s="11" t="n"/>
      <c r="AA58" s="10" t="n"/>
      <c r="AB58" s="10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장기금융부채(face)</t>
        </is>
      </c>
      <c r="F59" s="9" t="n"/>
      <c r="K59" s="9" t="n"/>
      <c r="O59" s="34" t="n">
        <v>95671.5</v>
      </c>
      <c r="P59" s="35" t="n">
        <v>95671.5</v>
      </c>
      <c r="Q59" s="34" t="n">
        <v>160000</v>
      </c>
      <c r="R59" s="34" t="n">
        <v>140000</v>
      </c>
      <c r="S59" s="34" t="n">
        <v>80000</v>
      </c>
      <c r="T59" s="34" t="n">
        <v>80000</v>
      </c>
      <c r="U59" s="35" t="n">
        <v>80000</v>
      </c>
      <c r="V59" s="34" t="n">
        <v>0</v>
      </c>
      <c r="W59" s="34" t="n">
        <v>0</v>
      </c>
      <c r="X59" s="36" t="n">
        <v>0</v>
      </c>
      <c r="Y59" s="10" t="n"/>
      <c r="Z59" s="11" t="n"/>
      <c r="AA59" s="10" t="n"/>
      <c r="AB59" s="10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34" t="n">
        <v>853585.77</v>
      </c>
      <c r="F60" s="9" t="n"/>
      <c r="G60" s="34" t="n">
        <v>871221.8</v>
      </c>
      <c r="H60" s="34" t="n">
        <v>930654.47</v>
      </c>
      <c r="I60" s="34" t="n">
        <v>876541.78</v>
      </c>
      <c r="J60" s="34" t="n">
        <v>1017379.82</v>
      </c>
      <c r="K60" s="35" t="n">
        <v>3695797.87</v>
      </c>
      <c r="L60" s="34" t="n">
        <v>897635.23</v>
      </c>
      <c r="M60" s="34" t="n">
        <v>1023179.47</v>
      </c>
      <c r="N60" s="34" t="n">
        <v>986317.1899999999</v>
      </c>
      <c r="O60" s="34" t="n">
        <v>1094159.79</v>
      </c>
      <c r="P60" s="35" t="n">
        <v>4001291.68</v>
      </c>
      <c r="Q60" s="34" t="n">
        <v>987722.21</v>
      </c>
      <c r="R60" s="34" t="n">
        <v>1114417.8</v>
      </c>
      <c r="S60" s="34" t="n">
        <v>1061614.2</v>
      </c>
      <c r="T60" s="34" t="n">
        <v>1408812.4</v>
      </c>
      <c r="U60" s="35" t="n">
        <v>4572566.61</v>
      </c>
      <c r="V60" s="34" t="n">
        <v>1166665.28</v>
      </c>
      <c r="W60" s="34" t="n">
        <v>1211425.36</v>
      </c>
      <c r="X60" s="36" t="n">
        <v>1278505.7</v>
      </c>
      <c r="Y60" s="10" t="n"/>
      <c r="Z60" s="11" t="n"/>
      <c r="AA60" s="10" t="n"/>
      <c r="AB60" s="10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34" t="n">
        <v>901143.6800000001</v>
      </c>
      <c r="F61" s="9" t="n"/>
      <c r="G61" s="34" t="n">
        <v>907001.91</v>
      </c>
      <c r="H61" s="34" t="n">
        <v>905192.78</v>
      </c>
      <c r="I61" s="34" t="n">
        <v>838871.9</v>
      </c>
      <c r="J61" s="34" t="n">
        <v>1050620.72</v>
      </c>
      <c r="K61" s="35" t="n">
        <v>3701687.31</v>
      </c>
      <c r="L61" s="34" t="n">
        <v>908411.39</v>
      </c>
      <c r="M61" s="34" t="n">
        <v>1053860.67</v>
      </c>
      <c r="N61" s="34" t="n">
        <v>966701.21</v>
      </c>
      <c r="O61" s="34" t="n">
        <v>1127209.78</v>
      </c>
      <c r="P61" s="35" t="n">
        <v>4056183.05</v>
      </c>
      <c r="Q61" s="34" t="n">
        <v>966654.54</v>
      </c>
      <c r="R61" s="34" t="n">
        <v>1068882.69</v>
      </c>
      <c r="S61" s="34" t="n">
        <v>997939.85</v>
      </c>
      <c r="T61" s="34" t="n">
        <v>1330224.16</v>
      </c>
      <c r="U61" s="35" t="n">
        <v>4363701.24</v>
      </c>
      <c r="V61" s="34" t="n">
        <v>1072742.49</v>
      </c>
      <c r="W61" s="34" t="n">
        <v>1093851.98</v>
      </c>
      <c r="X61" s="36" t="n">
        <v>1041878.83</v>
      </c>
      <c r="Y61" s="10" t="n"/>
      <c r="Z61" s="11" t="n"/>
      <c r="AA61" s="10" t="n"/>
      <c r="AB61" s="10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34" t="n">
        <v>-47557.91</v>
      </c>
      <c r="F62" s="9" t="n"/>
      <c r="G62" s="34" t="n">
        <v>-35780.11</v>
      </c>
      <c r="H62" s="34" t="n">
        <v>25461.69</v>
      </c>
      <c r="I62" s="34" t="n">
        <v>37669.88</v>
      </c>
      <c r="J62" s="34" t="n">
        <v>-33240.9</v>
      </c>
      <c r="K62" s="35" t="n">
        <v>-5889.44</v>
      </c>
      <c r="L62" s="34" t="n">
        <v>-10776.15</v>
      </c>
      <c r="M62" s="34" t="n">
        <v>-30681.2</v>
      </c>
      <c r="N62" s="34" t="n">
        <v>19615.97</v>
      </c>
      <c r="O62" s="34" t="n">
        <v>-33049.99</v>
      </c>
      <c r="P62" s="35" t="n">
        <v>-54891.37</v>
      </c>
      <c r="Q62" s="34" t="n">
        <v>21067.67</v>
      </c>
      <c r="R62" s="34" t="n">
        <v>45535.11</v>
      </c>
      <c r="S62" s="34" t="n">
        <v>63674.35</v>
      </c>
      <c r="T62" s="34" t="n">
        <v>78588.24000000001</v>
      </c>
      <c r="U62" s="35" t="n">
        <v>208865.37</v>
      </c>
      <c r="V62" s="34" t="n">
        <v>93922.78999999999</v>
      </c>
      <c r="W62" s="34" t="n">
        <v>117573.38</v>
      </c>
      <c r="X62" s="36" t="n">
        <v>236626.86</v>
      </c>
      <c r="Y62" s="10" t="n"/>
      <c r="Z62" s="11" t="n"/>
      <c r="AA62" s="10" t="n"/>
      <c r="AB62" s="10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34" t="n">
        <v>31184.87</v>
      </c>
      <c r="F63" s="9" t="n"/>
      <c r="G63" s="34" t="n">
        <v>25666.16</v>
      </c>
      <c r="H63" s="34" t="n">
        <v>26850.61</v>
      </c>
      <c r="I63" s="34" t="n">
        <v>28377.23</v>
      </c>
      <c r="J63" s="34" t="n">
        <v>31609.05</v>
      </c>
      <c r="K63" s="35" t="n">
        <v>112503.05</v>
      </c>
      <c r="L63" s="34" t="n">
        <v>17795</v>
      </c>
      <c r="M63" s="34" t="n">
        <v>27818.7</v>
      </c>
      <c r="N63" s="34" t="n">
        <v>30161.92</v>
      </c>
      <c r="O63" s="34" t="n">
        <v>35547.95</v>
      </c>
      <c r="P63" s="35" t="n">
        <v>111323.57</v>
      </c>
      <c r="Q63" s="34" t="n">
        <v>35537.02</v>
      </c>
      <c r="R63" s="34" t="n">
        <v>35212.76</v>
      </c>
      <c r="S63" s="34" t="n">
        <v>36214.33</v>
      </c>
      <c r="T63" s="34" t="n">
        <v>41763.78</v>
      </c>
      <c r="U63" s="35" t="n">
        <v>148727.89</v>
      </c>
      <c r="V63" s="34" t="n">
        <v>35193.23</v>
      </c>
      <c r="W63" s="34" t="n">
        <v>39694.45</v>
      </c>
      <c r="X63" s="36" t="n">
        <v>46158.62</v>
      </c>
      <c r="Y63" s="10" t="n"/>
      <c r="Z63" s="11" t="n"/>
      <c r="AA63" s="10" t="n"/>
      <c r="AB63" s="10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34" t="n">
        <v>-78742.78</v>
      </c>
      <c r="F64" s="9" t="n"/>
      <c r="G64" s="34" t="n">
        <v>-61446.28</v>
      </c>
      <c r="H64" s="34" t="n">
        <v>-1388.92</v>
      </c>
      <c r="I64" s="34" t="n">
        <v>9292.65</v>
      </c>
      <c r="J64" s="34" t="n">
        <v>-64849.95</v>
      </c>
      <c r="K64" s="35" t="n">
        <v>-118392.5</v>
      </c>
      <c r="L64" s="34" t="n">
        <v>-28571.15</v>
      </c>
      <c r="M64" s="34" t="n">
        <v>-58499.9</v>
      </c>
      <c r="N64" s="34" t="n">
        <v>-10545.95</v>
      </c>
      <c r="O64" s="34" t="n">
        <v>-68597.94</v>
      </c>
      <c r="P64" s="35" t="n">
        <v>-166214.94</v>
      </c>
      <c r="Q64" s="34" t="n">
        <v>-14469.35</v>
      </c>
      <c r="R64" s="34" t="n">
        <v>10322.35</v>
      </c>
      <c r="S64" s="34" t="n">
        <v>27460.02</v>
      </c>
      <c r="T64" s="34" t="n">
        <v>36824.46</v>
      </c>
      <c r="U64" s="35" t="n">
        <v>60137.48</v>
      </c>
      <c r="V64" s="34" t="n">
        <v>58729.56</v>
      </c>
      <c r="W64" s="34" t="n">
        <v>77878.92999999999</v>
      </c>
      <c r="X64" s="36" t="n">
        <v>190468.24</v>
      </c>
      <c r="Y64" s="10" t="n"/>
      <c r="Z64" s="11" t="n"/>
      <c r="AA64" s="10" t="n"/>
      <c r="AB64" s="10" t="n"/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34" t="n">
        <v>947.09</v>
      </c>
      <c r="F65" s="9" t="n"/>
      <c r="G65" s="34" t="n">
        <v>60810.26</v>
      </c>
      <c r="H65" s="34" t="n">
        <v>104236.82</v>
      </c>
      <c r="I65" s="34" t="n">
        <v>188666.83</v>
      </c>
      <c r="J65" s="34" t="n">
        <v>13960.27</v>
      </c>
      <c r="K65" s="35" t="n">
        <v>367674.18</v>
      </c>
      <c r="L65" s="34" t="n">
        <v>94970.14</v>
      </c>
      <c r="M65" s="34" t="n">
        <v>57863.18</v>
      </c>
      <c r="N65" s="34" t="n">
        <v>65544.53</v>
      </c>
      <c r="O65" s="34" t="n">
        <v>24246.88</v>
      </c>
      <c r="P65" s="35" t="n">
        <v>242624.73</v>
      </c>
      <c r="Q65" s="34" t="n">
        <v>97580.22</v>
      </c>
      <c r="R65" s="34" t="n">
        <v>74935.39</v>
      </c>
      <c r="S65" s="34" t="n">
        <v>196585.53</v>
      </c>
      <c r="T65" s="34" t="n">
        <v>110402.67</v>
      </c>
      <c r="U65" s="35" t="n">
        <v>479503.81</v>
      </c>
      <c r="V65" s="34" t="n">
        <v>47260.04</v>
      </c>
      <c r="W65" s="34" t="n">
        <v>334551.34</v>
      </c>
      <c r="X65" s="36" t="n">
        <v>126126.8</v>
      </c>
      <c r="Y65" s="10" t="n"/>
      <c r="Z65" s="11" t="n"/>
      <c r="AA65" s="10" t="n"/>
      <c r="AB65" s="10" t="n"/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34" t="n">
        <v>3806.01</v>
      </c>
      <c r="F66" s="9" t="n"/>
      <c r="G66" s="34" t="n">
        <v>65995.33</v>
      </c>
      <c r="H66" s="34" t="n">
        <v>194521.33</v>
      </c>
      <c r="I66" s="34" t="n">
        <v>315820.57</v>
      </c>
      <c r="J66" s="34" t="n">
        <v>-142461.69</v>
      </c>
      <c r="K66" s="35" t="n">
        <v>433875.54</v>
      </c>
      <c r="L66" s="34" t="n">
        <v>130379.38</v>
      </c>
      <c r="M66" s="34" t="n">
        <v>62819.25</v>
      </c>
      <c r="N66" s="34" t="n">
        <v>127495.4</v>
      </c>
      <c r="O66" s="34" t="n">
        <v>-19110.6</v>
      </c>
      <c r="P66" s="35" t="n">
        <v>301583.43</v>
      </c>
      <c r="Q66" s="34" t="n">
        <v>174063.47</v>
      </c>
      <c r="R66" s="34" t="n">
        <v>153784.16</v>
      </c>
      <c r="S66" s="34" t="n">
        <v>113023.25</v>
      </c>
      <c r="T66" s="34" t="n">
        <v>386524.09</v>
      </c>
      <c r="U66" s="35" t="n">
        <v>827394.97</v>
      </c>
      <c r="V66" s="34" t="n">
        <v>70866.55</v>
      </c>
      <c r="W66" s="34" t="n">
        <v>146962.72</v>
      </c>
      <c r="X66" s="36" t="n">
        <v>224792.18</v>
      </c>
      <c r="Y66" s="10" t="n"/>
      <c r="Z66" s="11" t="n"/>
      <c r="AA66" s="10" t="n"/>
      <c r="AB66" s="10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34" t="n">
        <v>1055.41</v>
      </c>
      <c r="F67" s="9" t="n"/>
      <c r="G67" s="34" t="n">
        <v>30159.9</v>
      </c>
      <c r="H67" s="34" t="n">
        <v>152659.55</v>
      </c>
      <c r="I67" s="34" t="n">
        <v>285408.44</v>
      </c>
      <c r="J67" s="34" t="n">
        <v>-246424.78</v>
      </c>
      <c r="K67" s="35" t="n">
        <v>221803.11</v>
      </c>
      <c r="L67" s="34" t="n">
        <v>68075.62</v>
      </c>
      <c r="M67" s="34" t="n">
        <v>22400</v>
      </c>
      <c r="N67" s="34" t="n">
        <v>90037.25999999999</v>
      </c>
      <c r="O67" s="34" t="n">
        <v>-67747.27</v>
      </c>
      <c r="P67" s="35" t="n">
        <v>112765.61</v>
      </c>
      <c r="Q67" s="34" t="n">
        <v>106947.43</v>
      </c>
      <c r="R67" s="34" t="n">
        <v>103641.84</v>
      </c>
      <c r="S67" s="34" t="n">
        <v>948.8</v>
      </c>
      <c r="T67" s="34" t="n">
        <v>333240.88</v>
      </c>
      <c r="U67" s="35" t="n">
        <v>544778.95</v>
      </c>
      <c r="V67" s="34" t="n">
        <v>28679.44</v>
      </c>
      <c r="W67" s="34" t="n">
        <v>242.34</v>
      </c>
      <c r="X67" s="36" t="n">
        <v>136438.38</v>
      </c>
      <c r="Y67" s="10" t="n"/>
      <c r="Z67" s="11" t="n"/>
      <c r="AA67" s="10" t="n"/>
      <c r="AB67" s="10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34" t="n">
        <v>23135.64</v>
      </c>
      <c r="F68" s="9" t="n"/>
      <c r="G68" s="34" t="n">
        <v>5623.41</v>
      </c>
      <c r="H68" s="34" t="n">
        <v>2281.94</v>
      </c>
      <c r="I68" s="34" t="n">
        <v>28212.7</v>
      </c>
      <c r="J68" s="34" t="n">
        <v>56006.07</v>
      </c>
      <c r="K68" s="35" t="n">
        <v>92124.12</v>
      </c>
      <c r="L68" s="34" t="n">
        <v>8204.16</v>
      </c>
      <c r="M68" s="34" t="n">
        <v>9822.440000000001</v>
      </c>
      <c r="N68" s="34" t="n">
        <v>5051.58</v>
      </c>
      <c r="O68" s="34" t="n">
        <v>28903.41</v>
      </c>
      <c r="P68" s="35" t="n">
        <v>51981.59</v>
      </c>
      <c r="Q68" s="34" t="n">
        <v>13259.39</v>
      </c>
      <c r="R68" s="34" t="n">
        <v>5212.8</v>
      </c>
      <c r="S68" s="34" t="n">
        <v>116311.97</v>
      </c>
      <c r="T68" s="34" t="n">
        <v>-1083.57</v>
      </c>
      <c r="U68" s="35" t="n">
        <v>133700.59</v>
      </c>
      <c r="V68" s="34" t="n">
        <v>10007.86</v>
      </c>
      <c r="W68" s="34" t="n">
        <v>248876.31</v>
      </c>
      <c r="X68" s="36" t="n">
        <v>6094.8</v>
      </c>
      <c r="Y68" s="10" t="n"/>
      <c r="Z68" s="11" t="n"/>
      <c r="AA68" s="10" t="n"/>
      <c r="AB68" s="10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34" t="n">
        <v>-103681.94</v>
      </c>
      <c r="F69" s="9" t="n"/>
      <c r="G69" s="34" t="n">
        <v>-42094.86</v>
      </c>
      <c r="H69" s="34" t="n">
        <v>58704.19</v>
      </c>
      <c r="I69" s="34" t="n">
        <v>139334.65</v>
      </c>
      <c r="J69" s="34" t="n">
        <v>-210858.84</v>
      </c>
      <c r="K69" s="35" t="n">
        <v>-54914.86</v>
      </c>
      <c r="L69" s="34" t="n">
        <v>-4108.93</v>
      </c>
      <c r="M69" s="34" t="n">
        <v>-50878.42</v>
      </c>
      <c r="N69" s="34" t="n">
        <v>12488.85</v>
      </c>
      <c r="O69" s="34" t="n">
        <v>-121891.15</v>
      </c>
      <c r="P69" s="35" t="n">
        <v>-164389.65</v>
      </c>
      <c r="Q69" s="34" t="n">
        <v>2735.43</v>
      </c>
      <c r="R69" s="34" t="n">
        <v>29902.62</v>
      </c>
      <c r="S69" s="34" t="n">
        <v>-4340.86</v>
      </c>
      <c r="T69" s="34" t="n">
        <v>95027.5</v>
      </c>
      <c r="U69" s="35" t="n">
        <v>123324.69</v>
      </c>
      <c r="V69" s="34" t="n">
        <v>53794.63</v>
      </c>
      <c r="W69" s="34" t="n">
        <v>16833.57</v>
      </c>
      <c r="X69" s="36" t="n">
        <v>222146.44</v>
      </c>
      <c r="Y69" s="10" t="n"/>
      <c r="Z69" s="11" t="n"/>
      <c r="AA69" s="10" t="n"/>
      <c r="AB69" s="10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34" t="n">
        <v>-24581.49</v>
      </c>
      <c r="F70" s="9" t="n"/>
      <c r="G70" s="34" t="n">
        <v>-10327.58</v>
      </c>
      <c r="H70" s="34" t="n">
        <v>14441.67</v>
      </c>
      <c r="I70" s="34" t="n">
        <v>33941.83</v>
      </c>
      <c r="J70" s="34" t="n">
        <v>-51439.86</v>
      </c>
      <c r="K70" s="35" t="n">
        <v>-13383.94</v>
      </c>
      <c r="L70" s="34" t="n">
        <v>-479.98</v>
      </c>
      <c r="M70" s="34" t="n">
        <v>-12135.89</v>
      </c>
      <c r="N70" s="34" t="n">
        <v>3646.37</v>
      </c>
      <c r="O70" s="34" t="n">
        <v>-10234.97</v>
      </c>
      <c r="P70" s="35" t="n">
        <v>-19204.47</v>
      </c>
      <c r="Q70" s="34" t="n">
        <v>804.0599999999999</v>
      </c>
      <c r="R70" s="34" t="n">
        <v>5649.59</v>
      </c>
      <c r="S70" s="34" t="n">
        <v>-783.16</v>
      </c>
      <c r="T70" s="34" t="n">
        <v>22888.58</v>
      </c>
      <c r="U70" s="35" t="n">
        <v>28559.07</v>
      </c>
      <c r="V70" s="34" t="n">
        <v>6241.72</v>
      </c>
      <c r="W70" s="34" t="n">
        <v>661.76</v>
      </c>
      <c r="X70" s="36" t="n">
        <v>46095.97</v>
      </c>
      <c r="Y70" s="10" t="n"/>
      <c r="Z70" s="11" t="n"/>
      <c r="AA70" s="10" t="n"/>
      <c r="AB70" s="10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34" t="n">
        <v>-79100.44</v>
      </c>
      <c r="F71" s="9" t="n"/>
      <c r="G71" s="34" t="n">
        <v>-31767.28</v>
      </c>
      <c r="H71" s="34" t="n">
        <v>44262.51</v>
      </c>
      <c r="I71" s="34" t="n">
        <v>105392.83</v>
      </c>
      <c r="J71" s="34" t="n">
        <v>-159418.98</v>
      </c>
      <c r="K71" s="35" t="n">
        <v>-41530.92</v>
      </c>
      <c r="L71" s="34" t="n">
        <v>-3628.95</v>
      </c>
      <c r="M71" s="34" t="n">
        <v>-38742.53</v>
      </c>
      <c r="N71" s="34" t="n">
        <v>8842.48</v>
      </c>
      <c r="O71" s="34" t="n">
        <v>-111656.18</v>
      </c>
      <c r="P71" s="35" t="n">
        <v>-145185.18</v>
      </c>
      <c r="Q71" s="34" t="n">
        <v>1931.38</v>
      </c>
      <c r="R71" s="34" t="n">
        <v>24253.03</v>
      </c>
      <c r="S71" s="34" t="n">
        <v>-3557.7</v>
      </c>
      <c r="T71" s="34" t="n">
        <v>72138.91</v>
      </c>
      <c r="U71" s="35" t="n">
        <v>94765.62</v>
      </c>
      <c r="V71" s="34" t="n">
        <v>47552.91</v>
      </c>
      <c r="W71" s="34" t="n">
        <v>16171.81</v>
      </c>
      <c r="X71" s="36" t="n">
        <v>176050.47</v>
      </c>
      <c r="Y71" s="10" t="n"/>
      <c r="Z71" s="11" t="n"/>
      <c r="AA71" s="10" t="n"/>
      <c r="AB71" s="10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34" t="n">
        <v>-86363.12</v>
      </c>
      <c r="F72" s="9" t="n"/>
      <c r="G72" s="34" t="n">
        <v>-27787.23</v>
      </c>
      <c r="H72" s="34" t="n">
        <v>44262.51</v>
      </c>
      <c r="I72" s="34" t="n">
        <v>105392.83</v>
      </c>
      <c r="J72" s="34" t="n">
        <v>-156919.58</v>
      </c>
      <c r="K72" s="35" t="n">
        <v>-35051.47</v>
      </c>
      <c r="L72" s="34" t="n">
        <v>-3628.95</v>
      </c>
      <c r="M72" s="34" t="n">
        <v>-38742.53</v>
      </c>
      <c r="N72" s="34" t="n">
        <v>8842.48</v>
      </c>
      <c r="O72" s="34" t="n">
        <v>-133356.49</v>
      </c>
      <c r="P72" s="35" t="n">
        <v>-166885.49</v>
      </c>
      <c r="Q72" s="34" t="n">
        <v>1931.38</v>
      </c>
      <c r="R72" s="34" t="n">
        <v>23926.44</v>
      </c>
      <c r="S72" s="34" t="n">
        <v>-3231.12</v>
      </c>
      <c r="T72" s="34" t="n">
        <v>40027.78</v>
      </c>
      <c r="U72" s="35" t="n">
        <v>62654.48</v>
      </c>
      <c r="V72" s="34" t="n">
        <v>47552.91</v>
      </c>
      <c r="W72" s="34" t="n">
        <v>70445.81</v>
      </c>
      <c r="X72" s="36" t="n">
        <v>176050.47</v>
      </c>
      <c r="Y72" s="10" t="n"/>
      <c r="Z72" s="11" t="n"/>
      <c r="AA72" s="10" t="n"/>
      <c r="AB72" s="10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34" t="n">
        <v>-2858.92</v>
      </c>
      <c r="F73" s="9" t="n"/>
      <c r="G73" s="34" t="n">
        <v>-5185.07</v>
      </c>
      <c r="H73" s="34" t="n">
        <v>-90284.50999999999</v>
      </c>
      <c r="I73" s="34" t="n">
        <v>-127153.74</v>
      </c>
      <c r="J73" s="34" t="n">
        <v>156421.96</v>
      </c>
      <c r="K73" s="35" t="n">
        <v>-66201.36</v>
      </c>
      <c r="L73" s="34" t="n">
        <v>-35409.24</v>
      </c>
      <c r="M73" s="34" t="n">
        <v>-4956.07</v>
      </c>
      <c r="N73" s="34" t="n">
        <v>-61950.87</v>
      </c>
      <c r="O73" s="34" t="n">
        <v>43357.48</v>
      </c>
      <c r="P73" s="35" t="n">
        <v>-58958.7</v>
      </c>
      <c r="Q73" s="34" t="n">
        <v>-76483.25</v>
      </c>
      <c r="R73" s="34" t="n">
        <v>-78848.77</v>
      </c>
      <c r="S73" s="34" t="n">
        <v>83562.28</v>
      </c>
      <c r="T73" s="34" t="n">
        <v>-276121.42</v>
      </c>
      <c r="U73" s="35" t="n">
        <v>-347891.16</v>
      </c>
      <c r="V73" s="34" t="n">
        <v>-23606.51</v>
      </c>
      <c r="W73" s="34" t="n">
        <v>187588.62</v>
      </c>
      <c r="X73" s="36" t="n">
        <v>-98665.38</v>
      </c>
      <c r="Y73" s="10" t="n"/>
      <c r="Z73" s="11" t="n"/>
      <c r="AA73" s="10" t="n"/>
      <c r="AB73" s="10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34" t="n">
        <v>-22080.23</v>
      </c>
      <c r="F74" s="9" t="n"/>
      <c r="G74" s="34" t="n">
        <v>24536.49</v>
      </c>
      <c r="H74" s="34" t="n">
        <v>150377.61</v>
      </c>
      <c r="I74" s="34" t="n">
        <v>257195.74</v>
      </c>
      <c r="J74" s="34" t="n">
        <v>-302430.85</v>
      </c>
      <c r="K74" s="35" t="n">
        <v>129678.99</v>
      </c>
      <c r="L74" s="34" t="n">
        <v>59871.46</v>
      </c>
      <c r="M74" s="34" t="n">
        <v>12577.56</v>
      </c>
      <c r="N74" s="34" t="n">
        <v>84985.67999999999</v>
      </c>
      <c r="O74" s="34" t="n">
        <v>-96650.67999999999</v>
      </c>
      <c r="P74" s="35" t="n">
        <v>60784.02</v>
      </c>
      <c r="Q74" s="34" t="n">
        <v>93688.03999999999</v>
      </c>
      <c r="R74" s="34" t="n">
        <v>98429.03999999999</v>
      </c>
      <c r="S74" s="34" t="n">
        <v>-115363.17</v>
      </c>
      <c r="T74" s="34" t="n">
        <v>334324.45</v>
      </c>
      <c r="U74" s="35" t="n">
        <v>411078.36</v>
      </c>
      <c r="V74" s="34" t="n">
        <v>18671.58</v>
      </c>
      <c r="W74" s="34" t="n">
        <v>-248633.97</v>
      </c>
      <c r="X74" s="36" t="n">
        <v>130343.58</v>
      </c>
      <c r="Y74" s="10" t="n"/>
      <c r="Z74" s="11" t="n"/>
      <c r="AA74" s="10" t="n"/>
      <c r="AB74" s="10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34" t="n">
        <v>-79100.44</v>
      </c>
      <c r="F75" s="9" t="n"/>
      <c r="G75" s="34" t="n">
        <v>-31767.28</v>
      </c>
      <c r="H75" s="34" t="n">
        <v>44262.51</v>
      </c>
      <c r="I75" s="34" t="n">
        <v>105392.83</v>
      </c>
      <c r="J75" s="34" t="n">
        <v>-159418.98</v>
      </c>
      <c r="K75" s="35" t="n">
        <v>-41530.92</v>
      </c>
      <c r="L75" s="34" t="n">
        <v>-3628.95</v>
      </c>
      <c r="M75" s="34" t="n">
        <v>-38742.53</v>
      </c>
      <c r="N75" s="34" t="n">
        <v>8842.48</v>
      </c>
      <c r="O75" s="34" t="n">
        <v>-111656.18</v>
      </c>
      <c r="P75" s="35" t="n">
        <v>-145185.18</v>
      </c>
      <c r="Q75" s="34" t="n">
        <v>1931.38</v>
      </c>
      <c r="R75" s="34" t="n">
        <v>24253.03</v>
      </c>
      <c r="S75" s="34" t="n">
        <v>-3557.7</v>
      </c>
      <c r="T75" s="34" t="n">
        <v>72138.91</v>
      </c>
      <c r="U75" s="35" t="n">
        <v>94765.62</v>
      </c>
      <c r="V75" s="34" t="n">
        <v>47552.91</v>
      </c>
      <c r="W75" s="34" t="n">
        <v>16171.81</v>
      </c>
      <c r="X75" s="36" t="n">
        <v>176050.47</v>
      </c>
      <c r="Y75" s="10" t="n"/>
      <c r="Z75" s="11" t="n"/>
      <c r="AA75" s="10" t="n"/>
      <c r="AB75" s="10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34" t="n">
        <v>-79100.44</v>
      </c>
      <c r="F76" s="9" t="n"/>
      <c r="G76" s="34" t="n">
        <v>-31767.28</v>
      </c>
      <c r="H76" s="34" t="n">
        <v>44262.51</v>
      </c>
      <c r="I76" s="34" t="n">
        <v>105392.83</v>
      </c>
      <c r="J76" s="34" t="n">
        <v>-159418.98</v>
      </c>
      <c r="K76" s="35" t="n">
        <v>-41530.92</v>
      </c>
      <c r="L76" s="34" t="n">
        <v>-3628.95</v>
      </c>
      <c r="M76" s="34" t="n">
        <v>-38742.53</v>
      </c>
      <c r="N76" s="34" t="n">
        <v>8842.48</v>
      </c>
      <c r="O76" s="34" t="n">
        <v>-111656.18</v>
      </c>
      <c r="P76" s="35" t="n">
        <v>-145185.18</v>
      </c>
      <c r="Q76" s="34" t="n">
        <v>1931.38</v>
      </c>
      <c r="R76" s="34" t="n">
        <v>24253.03</v>
      </c>
      <c r="S76" s="34" t="n">
        <v>-3557.7</v>
      </c>
      <c r="T76" s="34" t="n">
        <v>72138.91</v>
      </c>
      <c r="U76" s="35" t="n">
        <v>94765.62</v>
      </c>
      <c r="V76" s="34" t="n">
        <v>47552.91</v>
      </c>
      <c r="W76" s="34" t="n">
        <v>16171.81</v>
      </c>
      <c r="X76" s="36" t="n">
        <v>176050.47</v>
      </c>
      <c r="Y76" s="10" t="n"/>
      <c r="Z76" s="11" t="n"/>
      <c r="AA76" s="10" t="n"/>
      <c r="AB76" s="10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34" t="n">
        <v>-279096.24</v>
      </c>
      <c r="F77" s="9" t="n"/>
      <c r="G77" s="34" t="n">
        <v>169801.58</v>
      </c>
      <c r="H77" s="34" t="n">
        <v>109161.32</v>
      </c>
      <c r="I77" s="34" t="n">
        <v>-146992.65</v>
      </c>
      <c r="J77" s="34" t="n">
        <v>23378.66</v>
      </c>
      <c r="K77" s="35" t="n">
        <v>155348.91</v>
      </c>
      <c r="L77" s="34" t="n">
        <v>-163464.57</v>
      </c>
      <c r="M77" s="34" t="n">
        <v>-64398.68</v>
      </c>
      <c r="N77" s="34" t="n">
        <v>27536.44</v>
      </c>
      <c r="O77" s="34" t="n">
        <v>-293169.2</v>
      </c>
      <c r="P77" s="35" t="n">
        <v>-493496.01</v>
      </c>
      <c r="Q77" s="34" t="n">
        <v>232494.55</v>
      </c>
      <c r="R77" s="34" t="n">
        <v>144833.74</v>
      </c>
      <c r="S77" s="34" t="n">
        <v>78267.09</v>
      </c>
      <c r="T77" s="34" t="n">
        <v>-177377.4</v>
      </c>
      <c r="U77" s="35" t="n">
        <v>278217.98</v>
      </c>
      <c r="V77" s="34" t="n">
        <v>305743.43</v>
      </c>
      <c r="W77" s="34" t="n">
        <v>225627.38</v>
      </c>
      <c r="X77" s="36" t="n">
        <v>-68452.32000000001</v>
      </c>
      <c r="Y77" s="10" t="n"/>
      <c r="Z77" s="11" t="n"/>
      <c r="AA77" s="10" t="n"/>
      <c r="AB77" s="10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이자수취(CF)</t>
        </is>
      </c>
      <c r="E78" s="34" t="n">
        <v>4245.57</v>
      </c>
      <c r="F78" s="9" t="n"/>
      <c r="G78" s="34" t="n">
        <v>1659.94</v>
      </c>
      <c r="H78" s="34" t="n">
        <v>2437.94</v>
      </c>
      <c r="I78" s="34" t="n">
        <v>3637.41</v>
      </c>
      <c r="J78" s="34" t="n">
        <v>5387.63</v>
      </c>
      <c r="K78" s="35" t="n">
        <v>13122.92</v>
      </c>
      <c r="L78" s="34" t="n">
        <v>4212.33</v>
      </c>
      <c r="M78" s="34" t="n">
        <v>3500.42</v>
      </c>
      <c r="N78" s="34" t="n">
        <v>3459.76</v>
      </c>
      <c r="O78" s="34" t="n">
        <v>3668.31</v>
      </c>
      <c r="P78" s="35" t="n">
        <v>14840.82</v>
      </c>
      <c r="Q78" s="34" t="n">
        <v>3837.81</v>
      </c>
      <c r="R78" s="34" t="n">
        <v>4063.26</v>
      </c>
      <c r="S78" s="34" t="n">
        <v>4105.9</v>
      </c>
      <c r="T78" s="34" t="n">
        <v>3296</v>
      </c>
      <c r="U78" s="35" t="n">
        <v>15302.97</v>
      </c>
      <c r="V78" s="34" t="n">
        <v>2407.7</v>
      </c>
      <c r="W78" s="34" t="n">
        <v>3013.82</v>
      </c>
      <c r="X78" s="36" t="n">
        <v>4063.99</v>
      </c>
      <c r="Y78" s="10" t="n"/>
      <c r="Z78" s="11" t="n"/>
      <c r="AA78" s="10" t="n"/>
      <c r="AB78" s="10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이자지급(CF)</t>
        </is>
      </c>
      <c r="E79" s="34" t="n">
        <v>-263.48</v>
      </c>
      <c r="F79" s="9" t="n"/>
      <c r="G79" s="34" t="n">
        <v>-252.02</v>
      </c>
      <c r="H79" s="34" t="n">
        <v>-256.75</v>
      </c>
      <c r="I79" s="34" t="n">
        <v>-214.91</v>
      </c>
      <c r="J79" s="34" t="n">
        <v>-141.41</v>
      </c>
      <c r="K79" s="35" t="n">
        <v>-865.09</v>
      </c>
      <c r="L79" s="34" t="n">
        <v>-96.7</v>
      </c>
      <c r="M79" s="34" t="n">
        <v>-1089.7</v>
      </c>
      <c r="N79" s="34" t="n">
        <v>-2398.07</v>
      </c>
      <c r="O79" s="34" t="n">
        <v>-3021.53</v>
      </c>
      <c r="P79" s="35" t="n">
        <v>-6606</v>
      </c>
      <c r="Q79" s="34" t="n">
        <v>-6038.22</v>
      </c>
      <c r="R79" s="34" t="n">
        <v>-3621.7</v>
      </c>
      <c r="S79" s="34" t="n">
        <v>-4586.09</v>
      </c>
      <c r="T79" s="34" t="n">
        <v>-1656.04</v>
      </c>
      <c r="U79" s="35" t="n">
        <v>-15902.05</v>
      </c>
      <c r="V79" s="34" t="n">
        <v>-1867.04</v>
      </c>
      <c r="W79" s="34" t="n">
        <v>-163.41</v>
      </c>
      <c r="X79" s="36" t="n">
        <v>-160.39</v>
      </c>
      <c r="Y79" s="10" t="n"/>
      <c r="Z79" s="11" t="n"/>
      <c r="AA79" s="10" t="n"/>
      <c r="AB79" s="10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배당금수취(CF)</t>
        </is>
      </c>
      <c r="E80" s="34" t="n">
        <v>4291.2</v>
      </c>
      <c r="F80" s="9" t="n"/>
      <c r="I80" s="34" t="n">
        <v>0</v>
      </c>
      <c r="J80" s="34" t="n">
        <v>0</v>
      </c>
      <c r="K80" s="9" t="n"/>
      <c r="N80" s="34" t="n">
        <v>0</v>
      </c>
      <c r="O80" s="34" t="n">
        <v>0</v>
      </c>
      <c r="P80" s="9" t="n"/>
      <c r="S80" s="34" t="n">
        <v>0</v>
      </c>
      <c r="T80" s="34" t="n">
        <v>0</v>
      </c>
      <c r="U80" s="9" t="n"/>
      <c r="X80" s="36" t="n">
        <v>0</v>
      </c>
      <c r="Y80" s="10" t="n"/>
      <c r="Z80" s="11" t="n"/>
      <c r="AA80" s="10" t="n"/>
      <c r="AB80" s="10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34" t="n">
        <v>-358.55</v>
      </c>
      <c r="F81" s="9" t="n"/>
      <c r="G81" s="34" t="n">
        <v>-475.76</v>
      </c>
      <c r="H81" s="34" t="n">
        <v>129.45</v>
      </c>
      <c r="I81" s="34" t="n">
        <v>-648.46</v>
      </c>
      <c r="J81" s="34" t="n">
        <v>-413.81</v>
      </c>
      <c r="K81" s="35" t="n">
        <v>-1408.58</v>
      </c>
      <c r="L81" s="34" t="n">
        <v>-1306.53</v>
      </c>
      <c r="M81" s="34" t="n">
        <v>1278.17</v>
      </c>
      <c r="N81" s="34" t="n">
        <v>-662.24</v>
      </c>
      <c r="O81" s="34" t="n">
        <v>-757.74</v>
      </c>
      <c r="P81" s="35" t="n">
        <v>-1448.34</v>
      </c>
      <c r="Q81" s="34" t="n">
        <v>-755.91</v>
      </c>
      <c r="R81" s="34" t="n">
        <v>2906.52</v>
      </c>
      <c r="S81" s="34" t="n">
        <v>-788.51</v>
      </c>
      <c r="T81" s="34" t="n">
        <v>-662.7</v>
      </c>
      <c r="U81" s="35" t="n">
        <v>699.4</v>
      </c>
      <c r="V81" s="34" t="n">
        <v>-551.78</v>
      </c>
      <c r="W81" s="34" t="n">
        <v>1698.82</v>
      </c>
      <c r="X81" s="36" t="n">
        <v>-2639.05</v>
      </c>
      <c r="Y81" s="10" t="n"/>
      <c r="Z81" s="11" t="n"/>
      <c r="AA81" s="10" t="n"/>
      <c r="AB81" s="10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E82" s="34" t="n">
        <v>68512.8</v>
      </c>
      <c r="F82" s="9" t="n"/>
      <c r="G82" s="34" t="n">
        <v>30468.41</v>
      </c>
      <c r="H82" s="34" t="n">
        <v>-112931.99</v>
      </c>
      <c r="I82" s="34" t="n">
        <v>23248.94</v>
      </c>
      <c r="J82" s="34" t="n">
        <v>54217.7</v>
      </c>
      <c r="K82" s="35" t="n">
        <v>-4996.94</v>
      </c>
      <c r="L82" s="34" t="n">
        <v>22348.4</v>
      </c>
      <c r="M82" s="34" t="n">
        <v>-33334.42</v>
      </c>
      <c r="N82" s="34" t="n">
        <v>-31331.76</v>
      </c>
      <c r="O82" s="34" t="n">
        <v>-30777.45</v>
      </c>
      <c r="P82" s="35" t="n">
        <v>-73095.23</v>
      </c>
      <c r="Q82" s="34" t="n">
        <v>-23168.09</v>
      </c>
      <c r="R82" s="34" t="n">
        <v>-35197.56</v>
      </c>
      <c r="S82" s="34" t="n">
        <v>-46981.23</v>
      </c>
      <c r="T82" s="34" t="n">
        <v>-27186.78</v>
      </c>
      <c r="U82" s="35" t="n">
        <v>-132533.66</v>
      </c>
      <c r="V82" s="34" t="n">
        <v>-24553.55</v>
      </c>
      <c r="W82" s="34" t="n">
        <v>-28626.94</v>
      </c>
      <c r="X82" s="36" t="n">
        <v>-37419.78</v>
      </c>
      <c r="Y82" s="10" t="n"/>
      <c r="Z82" s="11" t="n"/>
      <c r="AA82" s="10" t="n"/>
      <c r="AB82" s="10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유형자산의감소</t>
        </is>
      </c>
      <c r="E83" s="34" t="n">
        <v>58.78</v>
      </c>
      <c r="F83" s="9" t="n"/>
      <c r="G83" s="34" t="n">
        <v>29.55</v>
      </c>
      <c r="H83" s="34" t="n">
        <v>83.25</v>
      </c>
      <c r="I83" s="34" t="n">
        <v>280.07</v>
      </c>
      <c r="J83" s="34" t="n">
        <v>210.79</v>
      </c>
      <c r="K83" s="35" t="n">
        <v>603.66</v>
      </c>
      <c r="L83" s="34" t="n">
        <v>1318.53</v>
      </c>
      <c r="M83" s="34" t="n">
        <v>516.25</v>
      </c>
      <c r="N83" s="34" t="n">
        <v>1073.96</v>
      </c>
      <c r="O83" s="34" t="n">
        <v>45.83</v>
      </c>
      <c r="P83" s="35" t="n">
        <v>2954.57</v>
      </c>
      <c r="Q83" s="34" t="n">
        <v>8.59</v>
      </c>
      <c r="R83" s="34" t="n">
        <v>1039.97</v>
      </c>
      <c r="S83" s="34" t="n">
        <v>46.09</v>
      </c>
      <c r="T83" s="34" t="n">
        <v>55.27</v>
      </c>
      <c r="U83" s="35" t="n">
        <v>1149.92</v>
      </c>
      <c r="V83" s="34" t="n">
        <v>21.03</v>
      </c>
      <c r="W83" s="34" t="n">
        <v>22.99</v>
      </c>
      <c r="X83" s="36" t="n">
        <v>106.32</v>
      </c>
      <c r="Y83" s="10" t="n"/>
      <c r="Z83" s="11" t="n"/>
      <c r="AA83" s="10" t="n"/>
      <c r="AB83" s="10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무형자산의감소</t>
        </is>
      </c>
      <c r="E84" s="34" t="n">
        <v>300</v>
      </c>
      <c r="F84" s="9" t="n"/>
      <c r="K84" s="9" t="n"/>
      <c r="P84" s="9" t="n"/>
      <c r="U84" s="9" t="n"/>
      <c r="X84" s="5" t="n"/>
      <c r="Y84" s="10" t="n"/>
      <c r="Z84" s="11" t="n"/>
      <c r="AA84" s="10" t="n"/>
      <c r="AB84" s="10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유형자산의증가</t>
        </is>
      </c>
      <c r="E85" s="34" t="n">
        <v>11890.55</v>
      </c>
      <c r="F85" s="9" t="n"/>
      <c r="G85" s="34" t="n">
        <v>9024.030000000001</v>
      </c>
      <c r="H85" s="34" t="n">
        <v>21848.45</v>
      </c>
      <c r="I85" s="34" t="n">
        <v>25321.31</v>
      </c>
      <c r="J85" s="34" t="n">
        <v>13829.27</v>
      </c>
      <c r="K85" s="35" t="n">
        <v>70023.06</v>
      </c>
      <c r="L85" s="34" t="n">
        <v>7649.1</v>
      </c>
      <c r="M85" s="34" t="n">
        <v>31925.96</v>
      </c>
      <c r="N85" s="34" t="n">
        <v>29640.04</v>
      </c>
      <c r="O85" s="34" t="n">
        <v>27866.58</v>
      </c>
      <c r="P85" s="35" t="n">
        <v>97081.67999999999</v>
      </c>
      <c r="Q85" s="34" t="n">
        <v>22262.22</v>
      </c>
      <c r="R85" s="34" t="n">
        <v>35014.99</v>
      </c>
      <c r="S85" s="34" t="n">
        <v>45888.13</v>
      </c>
      <c r="T85" s="34" t="n">
        <v>22694.09</v>
      </c>
      <c r="U85" s="35" t="n">
        <v>125859.43</v>
      </c>
      <c r="V85" s="34" t="n">
        <v>24301.16</v>
      </c>
      <c r="W85" s="34" t="n">
        <v>27527.86</v>
      </c>
      <c r="X85" s="36" t="n">
        <v>36187.93</v>
      </c>
      <c r="Y85" s="10" t="n"/>
      <c r="Z85" s="11" t="n"/>
      <c r="AA85" s="10" t="n"/>
      <c r="AB85" s="10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CAPEX</t>
        </is>
      </c>
      <c r="E86" s="34" t="n">
        <v>11890.55</v>
      </c>
      <c r="F86" s="9" t="n"/>
      <c r="G86" s="34" t="n">
        <v>9717.129999999999</v>
      </c>
      <c r="H86" s="34" t="n">
        <v>23014.46</v>
      </c>
      <c r="I86" s="34" t="n">
        <v>27031.93</v>
      </c>
      <c r="J86" s="34" t="n">
        <v>15044.99</v>
      </c>
      <c r="K86" s="35" t="n">
        <v>74808.50999999999</v>
      </c>
      <c r="L86" s="34" t="n">
        <v>9225.4</v>
      </c>
      <c r="M86" s="34" t="n">
        <v>34235.52</v>
      </c>
      <c r="N86" s="34" t="n">
        <v>32465.48</v>
      </c>
      <c r="O86" s="34" t="n">
        <v>30877.24</v>
      </c>
      <c r="P86" s="35" t="n">
        <v>106803.64</v>
      </c>
      <c r="Q86" s="34" t="n">
        <v>23000.19</v>
      </c>
      <c r="R86" s="34" t="n">
        <v>36028.51</v>
      </c>
      <c r="S86" s="34" t="n">
        <v>47035.81</v>
      </c>
      <c r="T86" s="34" t="n">
        <v>26117.9</v>
      </c>
      <c r="U86" s="35" t="n">
        <v>132182.41</v>
      </c>
      <c r="V86" s="34" t="n">
        <v>24790.83</v>
      </c>
      <c r="W86" s="34" t="n">
        <v>28344.36</v>
      </c>
      <c r="X86" s="36" t="n">
        <v>37040.01</v>
      </c>
      <c r="Y86" s="10" t="n"/>
      <c r="Z86" s="11" t="n"/>
      <c r="AA86" s="10" t="n"/>
      <c r="AB86" s="10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재무활동으로인한현금흐름</t>
        </is>
      </c>
      <c r="E87" s="34" t="n">
        <v>-16287.89</v>
      </c>
      <c r="F87" s="9" t="n"/>
      <c r="G87" s="34" t="n">
        <v>-28768.51</v>
      </c>
      <c r="H87" s="34" t="n">
        <v>-25000</v>
      </c>
      <c r="I87" s="34" t="n">
        <v>-28673.72</v>
      </c>
      <c r="J87" s="34" t="n">
        <v>-8760.040000000001</v>
      </c>
      <c r="K87" s="35" t="n">
        <v>-91202.27</v>
      </c>
      <c r="L87" s="34" t="n">
        <v>-289.57</v>
      </c>
      <c r="M87" s="34" t="n">
        <v>158638.99</v>
      </c>
      <c r="N87" s="34" t="n">
        <v>49416.14</v>
      </c>
      <c r="O87" s="34" t="n">
        <v>200619.51</v>
      </c>
      <c r="P87" s="35" t="n">
        <v>408385.07</v>
      </c>
      <c r="Q87" s="34" t="n">
        <v>-92124.75</v>
      </c>
      <c r="R87" s="34" t="n">
        <v>-136287.44</v>
      </c>
      <c r="S87" s="34" t="n">
        <v>-106054.98</v>
      </c>
      <c r="T87" s="34" t="n">
        <v>-1249.36</v>
      </c>
      <c r="U87" s="35" t="n">
        <v>-335716.53</v>
      </c>
      <c r="V87" s="34" t="n">
        <v>-80951.31</v>
      </c>
      <c r="W87" s="34" t="n">
        <v>-29300</v>
      </c>
      <c r="X87" s="36" t="n">
        <v>-20543.63</v>
      </c>
      <c r="Y87" s="10" t="n"/>
      <c r="Z87" s="11" t="n"/>
      <c r="AA87" s="10" t="n"/>
      <c r="AB87" s="10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리스부채의상환</t>
        </is>
      </c>
      <c r="E88" s="34" t="n">
        <v>484.56</v>
      </c>
      <c r="F88" s="9" t="n"/>
      <c r="G88" s="34" t="n">
        <v>272.2</v>
      </c>
      <c r="H88" s="34" t="n">
        <v>284.43</v>
      </c>
      <c r="I88" s="34" t="n">
        <v>468.96</v>
      </c>
      <c r="J88" s="34" t="n">
        <v>449.38</v>
      </c>
      <c r="K88" s="35" t="n">
        <v>1474.97</v>
      </c>
      <c r="L88" s="34" t="n">
        <v>289.57</v>
      </c>
      <c r="M88" s="34" t="n">
        <v>361.01</v>
      </c>
      <c r="N88" s="34" t="n">
        <v>583.86</v>
      </c>
      <c r="O88" s="34" t="n">
        <v>380.49</v>
      </c>
      <c r="P88" s="35" t="n">
        <v>1614.93</v>
      </c>
      <c r="Q88" s="34" t="n">
        <v>1663.62</v>
      </c>
      <c r="R88" s="34" t="n">
        <v>1464.82</v>
      </c>
      <c r="S88" s="34" t="n">
        <v>1338.74</v>
      </c>
      <c r="T88" s="34" t="n">
        <v>1249.35</v>
      </c>
      <c r="U88" s="35" t="n">
        <v>5716.53</v>
      </c>
      <c r="V88" s="34" t="n">
        <v>951.3099999999999</v>
      </c>
      <c r="W88" s="34" t="n">
        <v>982.15</v>
      </c>
      <c r="X88" s="36" t="n">
        <v>1399.17</v>
      </c>
      <c r="Y88" s="10" t="n"/>
      <c r="Z88" s="11" t="n"/>
      <c r="AA88" s="10" t="n"/>
      <c r="AB88" s="10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현금및현금성자산의증감</t>
        </is>
      </c>
      <c r="E89" s="34" t="n">
        <v>-226871.33</v>
      </c>
      <c r="F89" s="9" t="n"/>
      <c r="G89" s="34" t="n">
        <v>171501.47</v>
      </c>
      <c r="H89" s="34" t="n">
        <v>-28770.66</v>
      </c>
      <c r="I89" s="34" t="n">
        <v>-152417.44</v>
      </c>
      <c r="J89" s="34" t="n">
        <v>68836.33</v>
      </c>
      <c r="K89" s="35" t="n">
        <v>59149.7</v>
      </c>
      <c r="L89" s="34" t="n">
        <v>-141405.74</v>
      </c>
      <c r="M89" s="34" t="n">
        <v>60905.89</v>
      </c>
      <c r="N89" s="34" t="n">
        <v>45620.82</v>
      </c>
      <c r="O89" s="34" t="n">
        <v>-123433.13</v>
      </c>
      <c r="P89" s="35" t="n">
        <v>-158312.16</v>
      </c>
      <c r="Q89" s="34" t="n">
        <v>117201.71</v>
      </c>
      <c r="R89" s="34" t="n">
        <v>-26651.25</v>
      </c>
      <c r="S89" s="34" t="n">
        <v>-75169.14</v>
      </c>
      <c r="T89" s="34" t="n">
        <v>-205413.53</v>
      </c>
      <c r="U89" s="35" t="n">
        <v>-190032.21</v>
      </c>
      <c r="V89" s="34" t="n">
        <v>200238.58</v>
      </c>
      <c r="W89" s="34" t="n">
        <v>167700.43</v>
      </c>
      <c r="X89" s="36" t="n">
        <v>-126415.73</v>
      </c>
      <c r="Y89" s="10" t="n"/>
      <c r="Z89" s="11" t="n"/>
      <c r="AA89" s="10" t="n"/>
      <c r="AB89" s="10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기말현금및현금성자산</t>
        </is>
      </c>
      <c r="E90" s="34" t="n">
        <v>-226871.33</v>
      </c>
      <c r="F90" s="9" t="n"/>
      <c r="G90" s="34" t="n">
        <v>544188.39</v>
      </c>
      <c r="H90" s="34" t="n">
        <v>-28770.66</v>
      </c>
      <c r="I90" s="34" t="n">
        <v>-152417.44</v>
      </c>
      <c r="J90" s="34" t="n">
        <v>68836.33</v>
      </c>
      <c r="K90" s="35" t="n">
        <v>431836.62</v>
      </c>
      <c r="L90" s="34" t="n">
        <v>290430.89</v>
      </c>
      <c r="M90" s="34" t="n">
        <v>60905.89</v>
      </c>
      <c r="N90" s="34" t="n">
        <v>45620.82</v>
      </c>
      <c r="O90" s="34" t="n">
        <v>-123433.14</v>
      </c>
      <c r="P90" s="35" t="n">
        <v>273524.46</v>
      </c>
      <c r="Q90" s="34" t="n">
        <v>390726.17</v>
      </c>
      <c r="R90" s="34" t="n">
        <v>-26651.25</v>
      </c>
      <c r="S90" s="34" t="n">
        <v>-75169.14</v>
      </c>
      <c r="T90" s="34" t="n">
        <v>-205413.53</v>
      </c>
      <c r="U90" s="35" t="n">
        <v>83492.25</v>
      </c>
      <c r="V90" s="34" t="n">
        <v>283730.83</v>
      </c>
      <c r="W90" s="34" t="n">
        <v>167700.43</v>
      </c>
      <c r="X90" s="36" t="n">
        <v>-126415.73</v>
      </c>
      <c r="Y90" s="10" t="n"/>
      <c r="Z90" s="11" t="n"/>
      <c r="AA90" s="10" t="n"/>
      <c r="AB90" s="10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F91" s="9" t="n"/>
      <c r="G91" s="34" t="n">
        <v>693.1</v>
      </c>
      <c r="H91" s="34" t="n">
        <v>1166.01</v>
      </c>
      <c r="I91" s="34" t="n">
        <v>1710.62</v>
      </c>
      <c r="J91" s="34" t="n">
        <v>1215.72</v>
      </c>
      <c r="K91" s="35" t="n">
        <v>4785.45</v>
      </c>
      <c r="L91" s="34" t="n">
        <v>1576.3</v>
      </c>
      <c r="M91" s="34" t="n">
        <v>2309.56</v>
      </c>
      <c r="N91" s="34" t="n">
        <v>2825.44</v>
      </c>
      <c r="O91" s="34" t="n">
        <v>3010.66</v>
      </c>
      <c r="P91" s="35" t="n">
        <v>9721.959999999999</v>
      </c>
      <c r="Q91" s="34" t="n">
        <v>737.97</v>
      </c>
      <c r="R91" s="34" t="n">
        <v>1013.52</v>
      </c>
      <c r="S91" s="34" t="n">
        <v>1147.68</v>
      </c>
      <c r="T91" s="34" t="n">
        <v>3423.81</v>
      </c>
      <c r="U91" s="35" t="n">
        <v>6322.98</v>
      </c>
      <c r="V91" s="34" t="n">
        <v>489.67</v>
      </c>
      <c r="W91" s="34" t="n">
        <v>816.5</v>
      </c>
      <c r="X91" s="36" t="n">
        <v>852.08</v>
      </c>
      <c r="Y91" s="10" t="n"/>
      <c r="Z91" s="11" t="n"/>
      <c r="AA91" s="10" t="n"/>
      <c r="AB91" s="10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배당금지급</t>
        </is>
      </c>
      <c r="F92" s="9" t="n"/>
      <c r="K92" s="9" t="n"/>
      <c r="P92" s="9" t="n"/>
      <c r="U92" s="9" t="n"/>
      <c r="X92" s="36" t="n">
        <v>19144.46</v>
      </c>
      <c r="Y92" s="10" t="n"/>
      <c r="Z92" s="11" t="n"/>
      <c r="AA92" s="10" t="n"/>
      <c r="AB92" s="10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4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3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X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6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8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7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34">
        <f>IFERROR(VLOOKUP($D5,BS연결,MATCH(E$1,BS연결H,0),0)/100,"")</f>
        <v/>
      </c>
      <c r="F5" s="35" t="n"/>
      <c r="G5" s="34">
        <f>IFERROR(VLOOKUP($D5,BS연결,MATCH(G$1,BS연결H,0),0)/100,"")</f>
        <v/>
      </c>
      <c r="H5" s="34">
        <f>IFERROR(VLOOKUP($D5,BS연결,MATCH(H$1,BS연결H,0),0)/100,"")</f>
        <v/>
      </c>
      <c r="I5" s="34">
        <f>IFERROR(VLOOKUP($D5,BS연결,MATCH(I$1,BS연결H,0),0)/100,"")</f>
        <v/>
      </c>
      <c r="J5" s="34">
        <f>IFERROR(VLOOKUP($D5,BS연결,MATCH(J$1,BS연결H,0),0)/100,"")</f>
        <v/>
      </c>
      <c r="K5" s="35">
        <f>IFERROR(VLOOKUP($D5,BS연결,MATCH(K$1,BS연결H,0),0)/100,"")</f>
        <v/>
      </c>
      <c r="L5" s="34">
        <f>IFERROR(VLOOKUP($D5,BS연결,MATCH(L$1,BS연결H,0),0)/100,"")</f>
        <v/>
      </c>
      <c r="M5" s="34">
        <f>IFERROR(VLOOKUP($D5,BS연결,MATCH(M$1,BS연결H,0),0)/100,"")</f>
        <v/>
      </c>
      <c r="N5" s="34">
        <f>IFERROR(VLOOKUP($D5,BS연결,MATCH(N$1,BS연결H,0),0)/100,"")</f>
        <v/>
      </c>
      <c r="O5" s="34">
        <f>IFERROR(VLOOKUP($D5,BS연결,MATCH(O$1,BS연결H,0),0)/100,"")</f>
        <v/>
      </c>
      <c r="P5" s="35">
        <f>IFERROR(VLOOKUP($D5,BS연결,MATCH(P$1,BS연결H,0),0)/100,"")</f>
        <v/>
      </c>
      <c r="Q5" s="34">
        <f>IFERROR(VLOOKUP($D5,BS연결,MATCH(Q$1,BS연결H,0),0)/100,"")</f>
        <v/>
      </c>
      <c r="R5" s="34">
        <f>IFERROR(VLOOKUP($D5,BS연결,MATCH(R$1,BS연결H,0),0)/100,"")</f>
        <v/>
      </c>
      <c r="S5" s="34">
        <f>IFERROR(VLOOKUP($D5,BS연결,MATCH(S$1,BS연결H,0),0)/100,"")</f>
        <v/>
      </c>
      <c r="T5" s="34">
        <f>IFERROR(VLOOKUP($D5,BS연결,MATCH(T$1,BS연결H,0),0)/100,"")</f>
        <v/>
      </c>
      <c r="U5" s="35">
        <f>IFERROR(VLOOKUP($D5,BS연결,MATCH(U$1,BS연결H,0),0)/100,"")</f>
        <v/>
      </c>
      <c r="V5" s="34">
        <f>IFERROR(VLOOKUP($D5,BS연결,MATCH(V$1,BS연결H,0),0)/100,"")</f>
        <v/>
      </c>
      <c r="W5" s="34">
        <f>IFERROR(VLOOKUP($D5,BS연결,MATCH(W$1,BS연결H,0),0)/100,"")</f>
        <v/>
      </c>
      <c r="X5" s="36">
        <f>IFERROR(VLOOKUP($D5,BS연결,MATCH(X$1,BS연결H,0),0)/100,"")</f>
        <v/>
      </c>
      <c r="Y5" s="37">
        <f>IFERROR(T5*(1+변수!Y16),"")</f>
        <v/>
      </c>
      <c r="Z5" s="38">
        <f>SUM(V5:Y5)</f>
        <v/>
      </c>
      <c r="AA5" s="37">
        <f>IFERROR(V5*(1+변수!AA16),"")</f>
        <v/>
      </c>
      <c r="AB5" s="37">
        <f>IFERROR(W5*(1+변수!AB16),"")</f>
        <v/>
      </c>
      <c r="AC5" s="37">
        <f>IFERROR(X5*(1+변수!AC16),"")</f>
        <v/>
      </c>
      <c r="AD5" s="37">
        <f>IFERROR(Y5*(1+변수!AD16),"")</f>
        <v/>
      </c>
      <c r="AE5" s="38">
        <f>SUM(AA5:AD5)</f>
        <v/>
      </c>
      <c r="AF5" s="37">
        <f>IFERROR(AA5*(1+변수!AF16),"")</f>
        <v/>
      </c>
      <c r="AG5" s="37">
        <f>IFERROR(AB5*(1+변수!AG16),"")</f>
        <v/>
      </c>
      <c r="AH5" s="37">
        <f>IFERROR(AC5*(1+변수!AH16),"")</f>
        <v/>
      </c>
      <c r="AI5" s="37">
        <f>IFERROR(AD5*(1+변수!AI16),"")</f>
        <v/>
      </c>
      <c r="AJ5" s="38">
        <f>SUM(AF5:AI5)</f>
        <v/>
      </c>
      <c r="AK5" s="37">
        <f>IFERROR(AF5*(1+변수!AK16),"")</f>
        <v/>
      </c>
      <c r="AL5" s="37">
        <f>IFERROR(AG5*(1+변수!AL16),"")</f>
        <v/>
      </c>
      <c r="AM5" s="37">
        <f>IFERROR(AH5*(1+변수!AM16),"")</f>
        <v/>
      </c>
      <c r="AN5" s="37">
        <f>IFERROR(AI5*(1+변수!AN16),"")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34">
        <f>IFERROR(VLOOKUP($D6,BS연결,MATCH(E$1,BS연결H,0),0)/100,"")</f>
        <v/>
      </c>
      <c r="F6" s="35" t="n"/>
      <c r="G6" s="34">
        <f>IFERROR(VLOOKUP($D6,BS연결,MATCH(G$1,BS연결H,0),0)/100,"")</f>
        <v/>
      </c>
      <c r="H6" s="34">
        <f>IFERROR(VLOOKUP($D6,BS연결,MATCH(H$1,BS연결H,0),0)/100,"")</f>
        <v/>
      </c>
      <c r="I6" s="34">
        <f>IFERROR(VLOOKUP($D6,BS연결,MATCH(I$1,BS연결H,0),0)/100,"")</f>
        <v/>
      </c>
      <c r="J6" s="34">
        <f>IFERROR(VLOOKUP($D6,BS연결,MATCH(J$1,BS연결H,0),0)/100,"")</f>
        <v/>
      </c>
      <c r="K6" s="35">
        <f>IFERROR(VLOOKUP($D6,BS연결,MATCH(K$1,BS연결H,0),0)/100,"")</f>
        <v/>
      </c>
      <c r="L6" s="34">
        <f>IFERROR(VLOOKUP($D6,BS연결,MATCH(L$1,BS연결H,0),0)/100,"")</f>
        <v/>
      </c>
      <c r="M6" s="34">
        <f>IFERROR(VLOOKUP($D6,BS연결,MATCH(M$1,BS연결H,0),0)/100,"")</f>
        <v/>
      </c>
      <c r="N6" s="34">
        <f>IFERROR(VLOOKUP($D6,BS연결,MATCH(N$1,BS연결H,0),0)/100,"")</f>
        <v/>
      </c>
      <c r="O6" s="34">
        <f>IFERROR(VLOOKUP($D6,BS연결,MATCH(O$1,BS연결H,0),0)/100,"")</f>
        <v/>
      </c>
      <c r="P6" s="35">
        <f>IFERROR(VLOOKUP($D6,BS연결,MATCH(P$1,BS연결H,0),0)/100,"")</f>
        <v/>
      </c>
      <c r="Q6" s="34">
        <f>IFERROR(VLOOKUP($D6,BS연결,MATCH(Q$1,BS연결H,0),0)/100,"")</f>
        <v/>
      </c>
      <c r="R6" s="34">
        <f>IFERROR(VLOOKUP($D6,BS연결,MATCH(R$1,BS연결H,0),0)/100,"")</f>
        <v/>
      </c>
      <c r="S6" s="34">
        <f>IFERROR(VLOOKUP($D6,BS연결,MATCH(S$1,BS연결H,0),0)/100,"")</f>
        <v/>
      </c>
      <c r="T6" s="34">
        <f>IFERROR(VLOOKUP($D6,BS연결,MATCH(T$1,BS연결H,0),0)/100,"")</f>
        <v/>
      </c>
      <c r="U6" s="35">
        <f>IFERROR(VLOOKUP($D6,BS연결,MATCH(U$1,BS연결H,0),0)/100,"")</f>
        <v/>
      </c>
      <c r="V6" s="34">
        <f>IFERROR(VLOOKUP($D6,BS연결,MATCH(V$1,BS연결H,0),0)/100,"")</f>
        <v/>
      </c>
      <c r="W6" s="34">
        <f>IFERROR(VLOOKUP($D6,BS연결,MATCH(W$1,BS연결H,0),0)/100,"")</f>
        <v/>
      </c>
      <c r="X6" s="36">
        <f>IFERROR(VLOOKUP($D6,BS연결,MATCH(X$1,BS연결H,0),0)/100,"")</f>
        <v/>
      </c>
      <c r="Y6" s="37">
        <f>IFERROR(Y5-Y7,"")</f>
        <v/>
      </c>
      <c r="Z6" s="38">
        <f>SUM(V6:Y6)</f>
        <v/>
      </c>
      <c r="AA6" s="37">
        <f>IFERROR(AA5-AA7,"")</f>
        <v/>
      </c>
      <c r="AB6" s="37">
        <f>IFERROR(AB5-AB7,"")</f>
        <v/>
      </c>
      <c r="AC6" s="37">
        <f>IFERROR(AC5-AC7,"")</f>
        <v/>
      </c>
      <c r="AD6" s="37">
        <f>IFERROR(AD5-AD7,"")</f>
        <v/>
      </c>
      <c r="AE6" s="38">
        <f>SUM(AA6:AD6)</f>
        <v/>
      </c>
      <c r="AF6" s="37">
        <f>IFERROR(AF5-AF7,"")</f>
        <v/>
      </c>
      <c r="AG6" s="37">
        <f>IFERROR(AG5-AG7,"")</f>
        <v/>
      </c>
      <c r="AH6" s="37">
        <f>IFERROR(AH5-AH7,"")</f>
        <v/>
      </c>
      <c r="AI6" s="37">
        <f>IFERROR(AI5-AI7,"")</f>
        <v/>
      </c>
      <c r="AJ6" s="38">
        <f>SUM(AF6:AI6)</f>
        <v/>
      </c>
      <c r="AK6" s="37">
        <f>IFERROR(AK5-AK7,"")</f>
        <v/>
      </c>
      <c r="AL6" s="37">
        <f>IFERROR(AL5-AL7,"")</f>
        <v/>
      </c>
      <c r="AM6" s="37">
        <f>IFERROR(AM5-AM7,"")</f>
        <v/>
      </c>
      <c r="AN6" s="37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34">
        <f>IFERROR(VLOOKUP($D7,BS연결,MATCH(E$1,BS연결H,0),0)/100,"")</f>
        <v/>
      </c>
      <c r="F7" s="35" t="n"/>
      <c r="G7" s="34">
        <f>IFERROR(VLOOKUP($D7,BS연결,MATCH(G$1,BS연결H,0),0)/100,"")</f>
        <v/>
      </c>
      <c r="H7" s="34">
        <f>IFERROR(VLOOKUP($D7,BS연결,MATCH(H$1,BS연결H,0),0)/100,"")</f>
        <v/>
      </c>
      <c r="I7" s="34">
        <f>IFERROR(VLOOKUP($D7,BS연결,MATCH(I$1,BS연결H,0),0)/100,"")</f>
        <v/>
      </c>
      <c r="J7" s="34">
        <f>IFERROR(VLOOKUP($D7,BS연결,MATCH(J$1,BS연결H,0),0)/100,"")</f>
        <v/>
      </c>
      <c r="K7" s="35">
        <f>IFERROR(VLOOKUP($D7,BS연결,MATCH(K$1,BS연결H,0),0)/100,"")</f>
        <v/>
      </c>
      <c r="L7" s="34">
        <f>IFERROR(VLOOKUP($D7,BS연결,MATCH(L$1,BS연결H,0),0)/100,"")</f>
        <v/>
      </c>
      <c r="M7" s="34">
        <f>IFERROR(VLOOKUP($D7,BS연결,MATCH(M$1,BS연결H,0),0)/100,"")</f>
        <v/>
      </c>
      <c r="N7" s="34">
        <f>IFERROR(VLOOKUP($D7,BS연결,MATCH(N$1,BS연결H,0),0)/100,"")</f>
        <v/>
      </c>
      <c r="O7" s="34">
        <f>IFERROR(VLOOKUP($D7,BS연결,MATCH(O$1,BS연결H,0),0)/100,"")</f>
        <v/>
      </c>
      <c r="P7" s="35">
        <f>IFERROR(VLOOKUP($D7,BS연결,MATCH(P$1,BS연결H,0),0)/100,"")</f>
        <v/>
      </c>
      <c r="Q7" s="34">
        <f>IFERROR(VLOOKUP($D7,BS연결,MATCH(Q$1,BS연결H,0),0)/100,"")</f>
        <v/>
      </c>
      <c r="R7" s="34">
        <f>IFERROR(VLOOKUP($D7,BS연결,MATCH(R$1,BS연결H,0),0)/100,"")</f>
        <v/>
      </c>
      <c r="S7" s="34">
        <f>IFERROR(VLOOKUP($D7,BS연결,MATCH(S$1,BS연결H,0),0)/100,"")</f>
        <v/>
      </c>
      <c r="T7" s="34">
        <f>IFERROR(VLOOKUP($D7,BS연결,MATCH(T$1,BS연결H,0),0)/100,"")</f>
        <v/>
      </c>
      <c r="U7" s="35">
        <f>IFERROR(VLOOKUP($D7,BS연결,MATCH(U$1,BS연결H,0),0)/100,"")</f>
        <v/>
      </c>
      <c r="V7" s="34">
        <f>IFERROR(VLOOKUP($D7,BS연결,MATCH(V$1,BS연결H,0),0)/100,"")</f>
        <v/>
      </c>
      <c r="W7" s="34">
        <f>IFERROR(VLOOKUP($D7,BS연결,MATCH(W$1,BS연결H,0),0)/100,"")</f>
        <v/>
      </c>
      <c r="X7" s="36">
        <f>IFERROR(VLOOKUP($D7,BS연결,MATCH(X$1,BS연결H,0),0)/100,"")</f>
        <v/>
      </c>
      <c r="Y7" s="37">
        <f>IFERROR(Y9+Y8,"")</f>
        <v/>
      </c>
      <c r="Z7" s="38">
        <f>SUM(V7:Y7)</f>
        <v/>
      </c>
      <c r="AA7" s="37">
        <f>IFERROR(AA9+AA8,"")</f>
        <v/>
      </c>
      <c r="AB7" s="37">
        <f>IFERROR(AB9+AB8,"")</f>
        <v/>
      </c>
      <c r="AC7" s="37">
        <f>IFERROR(AC9+AC8,"")</f>
        <v/>
      </c>
      <c r="AD7" s="37">
        <f>IFERROR(AD9+AD8,"")</f>
        <v/>
      </c>
      <c r="AE7" s="38">
        <f>SUM(AA7:AD7)</f>
        <v/>
      </c>
      <c r="AF7" s="37">
        <f>IFERROR(AF9+AF8,"")</f>
        <v/>
      </c>
      <c r="AG7" s="37">
        <f>IFERROR(AG9+AG8,"")</f>
        <v/>
      </c>
      <c r="AH7" s="37">
        <f>IFERROR(AH9+AH8,"")</f>
        <v/>
      </c>
      <c r="AI7" s="37">
        <f>IFERROR(AI9+AI8,"")</f>
        <v/>
      </c>
      <c r="AJ7" s="38">
        <f>SUM(AF7:AI7)</f>
        <v/>
      </c>
      <c r="AK7" s="37">
        <f>IFERROR(AK9+AK8,"")</f>
        <v/>
      </c>
      <c r="AL7" s="37">
        <f>IFERROR(AL9+AL8,"")</f>
        <v/>
      </c>
      <c r="AM7" s="37">
        <f>IFERROR(AM9+AM8,"")</f>
        <v/>
      </c>
      <c r="AN7" s="37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34">
        <f>IFERROR(VLOOKUP($D8,BS연결,MATCH(E$1,BS연결H,0),0)/100,"")</f>
        <v/>
      </c>
      <c r="F8" s="35" t="n"/>
      <c r="G8" s="34">
        <f>IFERROR(VLOOKUP($D8,BS연결,MATCH(G$1,BS연결H,0),0)/100,"")</f>
        <v/>
      </c>
      <c r="H8" s="34">
        <f>IFERROR(VLOOKUP($D8,BS연결,MATCH(H$1,BS연결H,0),0)/100,"")</f>
        <v/>
      </c>
      <c r="I8" s="34">
        <f>IFERROR(VLOOKUP($D8,BS연결,MATCH(I$1,BS연결H,0),0)/100,"")</f>
        <v/>
      </c>
      <c r="J8" s="34">
        <f>IFERROR(VLOOKUP($D8,BS연결,MATCH(J$1,BS연결H,0),0)/100,"")</f>
        <v/>
      </c>
      <c r="K8" s="35">
        <f>IFERROR(VLOOKUP($D8,BS연결,MATCH(K$1,BS연결H,0),0)/100,"")</f>
        <v/>
      </c>
      <c r="L8" s="34">
        <f>IFERROR(VLOOKUP($D8,BS연결,MATCH(L$1,BS연결H,0),0)/100,"")</f>
        <v/>
      </c>
      <c r="M8" s="34">
        <f>IFERROR(VLOOKUP($D8,BS연결,MATCH(M$1,BS연결H,0),0)/100,"")</f>
        <v/>
      </c>
      <c r="N8" s="34">
        <f>IFERROR(VLOOKUP($D8,BS연결,MATCH(N$1,BS연결H,0),0)/100,"")</f>
        <v/>
      </c>
      <c r="O8" s="34">
        <f>IFERROR(VLOOKUP($D8,BS연결,MATCH(O$1,BS연결H,0),0)/100,"")</f>
        <v/>
      </c>
      <c r="P8" s="35">
        <f>IFERROR(VLOOKUP($D8,BS연결,MATCH(P$1,BS연결H,0),0)/100,"")</f>
        <v/>
      </c>
      <c r="Q8" s="34">
        <f>IFERROR(VLOOKUP($D8,BS연결,MATCH(Q$1,BS연결H,0),0)/100,"")</f>
        <v/>
      </c>
      <c r="R8" s="34">
        <f>IFERROR(VLOOKUP($D8,BS연결,MATCH(R$1,BS연결H,0),0)/100,"")</f>
        <v/>
      </c>
      <c r="S8" s="34">
        <f>IFERROR(VLOOKUP($D8,BS연결,MATCH(S$1,BS연결H,0),0)/100,"")</f>
        <v/>
      </c>
      <c r="T8" s="34">
        <f>IFERROR(VLOOKUP($D8,BS연결,MATCH(T$1,BS연결H,0),0)/100,"")</f>
        <v/>
      </c>
      <c r="U8" s="35">
        <f>IFERROR(VLOOKUP($D8,BS연결,MATCH(U$1,BS연결H,0),0)/100,"")</f>
        <v/>
      </c>
      <c r="V8" s="34">
        <f>IFERROR(VLOOKUP($D8,BS연결,MATCH(V$1,BS연결H,0),0)/100,"")</f>
        <v/>
      </c>
      <c r="W8" s="34">
        <f>IFERROR(VLOOKUP($D8,BS연결,MATCH(W$1,BS연결H,0),0)/100,"")</f>
        <v/>
      </c>
      <c r="X8" s="36">
        <f>IFERROR(VLOOKUP($D8,BS연결,MATCH(X$1,BS연결H,0),0)/100,"")</f>
        <v/>
      </c>
      <c r="Y8" s="37">
        <f>IFERROR(Y5*변수!Y17,"")</f>
        <v/>
      </c>
      <c r="Z8" s="38">
        <f>SUM(V8:Y8)</f>
        <v/>
      </c>
      <c r="AA8" s="37">
        <f>IFERROR(AA5*변수!AA17,"")</f>
        <v/>
      </c>
      <c r="AB8" s="37">
        <f>IFERROR(AB5*변수!AB17,"")</f>
        <v/>
      </c>
      <c r="AC8" s="37">
        <f>IFERROR(AC5*변수!AC17,"")</f>
        <v/>
      </c>
      <c r="AD8" s="37">
        <f>IFERROR(AD5*변수!AD17,"")</f>
        <v/>
      </c>
      <c r="AE8" s="38">
        <f>SUM(AA8:AD8)</f>
        <v/>
      </c>
      <c r="AF8" s="37">
        <f>IFERROR(AF5*변수!AF17,"")</f>
        <v/>
      </c>
      <c r="AG8" s="37">
        <f>IFERROR(AG5*변수!AG17,"")</f>
        <v/>
      </c>
      <c r="AH8" s="37">
        <f>IFERROR(AH5*변수!AH17,"")</f>
        <v/>
      </c>
      <c r="AI8" s="37">
        <f>IFERROR(AI5*변수!AI17,"")</f>
        <v/>
      </c>
      <c r="AJ8" s="38">
        <f>SUM(AF8:AI8)</f>
        <v/>
      </c>
      <c r="AK8" s="37">
        <f>IFERROR(AK5*변수!AK17,"")</f>
        <v/>
      </c>
      <c r="AL8" s="37">
        <f>IFERROR(AL5*변수!AL17,"")</f>
        <v/>
      </c>
      <c r="AM8" s="37">
        <f>IFERROR(AM5*변수!AM17,"")</f>
        <v/>
      </c>
      <c r="AN8" s="37">
        <f>IFERROR(AN5*변수!AN17,"")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34">
        <f>IFERROR(VLOOKUP($D9,BS연결,MATCH(E$1,BS연결H,0),0)/100,"")</f>
        <v/>
      </c>
      <c r="F9" s="35" t="n"/>
      <c r="G9" s="34">
        <f>IFERROR(VLOOKUP($D9,BS연결,MATCH(G$1,BS연결H,0),0)/100,"")</f>
        <v/>
      </c>
      <c r="H9" s="34">
        <f>IFERROR(VLOOKUP($D9,BS연결,MATCH(H$1,BS연결H,0),0)/100,"")</f>
        <v/>
      </c>
      <c r="I9" s="34">
        <f>IFERROR(VLOOKUP($D9,BS연결,MATCH(I$1,BS연결H,0),0)/100,"")</f>
        <v/>
      </c>
      <c r="J9" s="34">
        <f>IFERROR(VLOOKUP($D9,BS연결,MATCH(J$1,BS연결H,0),0)/100,"")</f>
        <v/>
      </c>
      <c r="K9" s="35">
        <f>IFERROR(VLOOKUP($D9,BS연결,MATCH(K$1,BS연결H,0),0)/100,"")</f>
        <v/>
      </c>
      <c r="L9" s="34">
        <f>IFERROR(VLOOKUP($D9,BS연결,MATCH(L$1,BS연결H,0),0)/100,"")</f>
        <v/>
      </c>
      <c r="M9" s="34">
        <f>IFERROR(VLOOKUP($D9,BS연결,MATCH(M$1,BS연결H,0),0)/100,"")</f>
        <v/>
      </c>
      <c r="N9" s="34">
        <f>IFERROR(VLOOKUP($D9,BS연결,MATCH(N$1,BS연결H,0),0)/100,"")</f>
        <v/>
      </c>
      <c r="O9" s="34">
        <f>IFERROR(VLOOKUP($D9,BS연결,MATCH(O$1,BS연결H,0),0)/100,"")</f>
        <v/>
      </c>
      <c r="P9" s="35">
        <f>IFERROR(VLOOKUP($D9,BS연결,MATCH(P$1,BS연결H,0),0)/100,"")</f>
        <v/>
      </c>
      <c r="Q9" s="34">
        <f>IFERROR(VLOOKUP($D9,BS연결,MATCH(Q$1,BS연결H,0),0)/100,"")</f>
        <v/>
      </c>
      <c r="R9" s="34">
        <f>IFERROR(VLOOKUP($D9,BS연결,MATCH(R$1,BS연결H,0),0)/100,"")</f>
        <v/>
      </c>
      <c r="S9" s="34">
        <f>IFERROR(VLOOKUP($D9,BS연결,MATCH(S$1,BS연결H,0),0)/100,"")</f>
        <v/>
      </c>
      <c r="T9" s="34">
        <f>IFERROR(VLOOKUP($D9,BS연결,MATCH(T$1,BS연결H,0),0)/100,"")</f>
        <v/>
      </c>
      <c r="U9" s="35">
        <f>IFERROR(VLOOKUP($D9,BS연결,MATCH(U$1,BS연결H,0),0)/100,"")</f>
        <v/>
      </c>
      <c r="V9" s="34">
        <f>IFERROR(VLOOKUP($D9,BS연결,MATCH(V$1,BS연결H,0),0)/100,"")</f>
        <v/>
      </c>
      <c r="W9" s="34">
        <f>IFERROR(VLOOKUP($D9,BS연결,MATCH(W$1,BS연결H,0),0)/100,"")</f>
        <v/>
      </c>
      <c r="X9" s="36">
        <f>IFERROR(VLOOKUP($D9,BS연결,MATCH(X$1,BS연결H,0),0)/100,"")</f>
        <v/>
      </c>
      <c r="Y9" s="37">
        <f>IFERROR(Y5*변수!Y18,"")</f>
        <v/>
      </c>
      <c r="Z9" s="38">
        <f>SUM(V9:Y9)</f>
        <v/>
      </c>
      <c r="AA9" s="37">
        <f>IFERROR(AA5*변수!AA18,"")</f>
        <v/>
      </c>
      <c r="AB9" s="37">
        <f>IFERROR(AB5*변수!AB18,"")</f>
        <v/>
      </c>
      <c r="AC9" s="37">
        <f>IFERROR(AC5*변수!AC18,"")</f>
        <v/>
      </c>
      <c r="AD9" s="37">
        <f>IFERROR(AD5*변수!AD18,"")</f>
        <v/>
      </c>
      <c r="AE9" s="38">
        <f>SUM(AA9:AD9)</f>
        <v/>
      </c>
      <c r="AF9" s="37">
        <f>IFERROR(AF5*변수!AF18,"")</f>
        <v/>
      </c>
      <c r="AG9" s="37">
        <f>IFERROR(AG5*변수!AG18,"")</f>
        <v/>
      </c>
      <c r="AH9" s="37">
        <f>IFERROR(AH5*변수!AH18,"")</f>
        <v/>
      </c>
      <c r="AI9" s="37">
        <f>IFERROR(AI5*변수!AI18,"")</f>
        <v/>
      </c>
      <c r="AJ9" s="38">
        <f>SUM(AF9:AI9)</f>
        <v/>
      </c>
      <c r="AK9" s="37">
        <f>IFERROR(AK5*변수!AK18,"")</f>
        <v/>
      </c>
      <c r="AL9" s="37">
        <f>IFERROR(AL5*변수!AL18,"")</f>
        <v/>
      </c>
      <c r="AM9" s="37">
        <f>IFERROR(AM5*변수!AM18,"")</f>
        <v/>
      </c>
      <c r="AN9" s="37">
        <f>IFERROR(AN5*변수!AN18,"")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18">
        <f>IFERROR(E9/E5,"")</f>
        <v/>
      </c>
      <c r="F10" s="19" t="n"/>
      <c r="G10" s="18">
        <f>IFERROR(G9/G5,"")</f>
        <v/>
      </c>
      <c r="H10" s="18">
        <f>IFERROR(H9/H5,"")</f>
        <v/>
      </c>
      <c r="I10" s="18">
        <f>IFERROR(I9/I5,"")</f>
        <v/>
      </c>
      <c r="J10" s="18">
        <f>IFERROR(J9/J5,"")</f>
        <v/>
      </c>
      <c r="K10" s="19">
        <f>IFERROR(K9/K5,"")</f>
        <v/>
      </c>
      <c r="L10" s="18">
        <f>IFERROR(L9/L5,"")</f>
        <v/>
      </c>
      <c r="M10" s="18">
        <f>IFERROR(M9/M5,"")</f>
        <v/>
      </c>
      <c r="N10" s="18">
        <f>IFERROR(N9/N5,"")</f>
        <v/>
      </c>
      <c r="O10" s="18">
        <f>IFERROR(O9/O5,"")</f>
        <v/>
      </c>
      <c r="P10" s="19">
        <f>IFERROR(P9/P5,"")</f>
        <v/>
      </c>
      <c r="Q10" s="18">
        <f>IFERROR(Q9/Q5,"")</f>
        <v/>
      </c>
      <c r="R10" s="18">
        <f>IFERROR(R9/R5,"")</f>
        <v/>
      </c>
      <c r="S10" s="18">
        <f>IFERROR(S9/S5,"")</f>
        <v/>
      </c>
      <c r="T10" s="18">
        <f>IFERROR(T9/T5,"")</f>
        <v/>
      </c>
      <c r="U10" s="19">
        <f>IFERROR(U9/U5,"")</f>
        <v/>
      </c>
      <c r="V10" s="18">
        <f>IFERROR(V9/V5,"")</f>
        <v/>
      </c>
      <c r="W10" s="18">
        <f>IFERROR(W9/W5,"")</f>
        <v/>
      </c>
      <c r="X10" s="20">
        <f>IFERROR(X9/X5,"")</f>
        <v/>
      </c>
      <c r="Y10" s="29">
        <f>IFERROR(Y9/Y5,"")</f>
        <v/>
      </c>
      <c r="Z10" s="22">
        <f>IFERROR(Z9/Z5,"")</f>
        <v/>
      </c>
      <c r="AA10" s="29">
        <f>IFERROR(AA9/AA5,"")</f>
        <v/>
      </c>
      <c r="AB10" s="29">
        <f>IFERROR(AB9/AB5,"")</f>
        <v/>
      </c>
      <c r="AC10" s="29">
        <f>IFERROR(AC9/AC5,"")</f>
        <v/>
      </c>
      <c r="AD10" s="29">
        <f>IFERROR(AD9/AD5,"")</f>
        <v/>
      </c>
      <c r="AE10" s="22">
        <f>IFERROR(AE9/AE5,"")</f>
        <v/>
      </c>
      <c r="AF10" s="29">
        <f>IFERROR(AF9/AF5,"")</f>
        <v/>
      </c>
      <c r="AG10" s="29">
        <f>IFERROR(AG9/AG5,"")</f>
        <v/>
      </c>
      <c r="AH10" s="29">
        <f>IFERROR(AH9/AH5,"")</f>
        <v/>
      </c>
      <c r="AI10" s="29">
        <f>IFERROR(AI9/AI5,"")</f>
        <v/>
      </c>
      <c r="AJ10" s="22">
        <f>IFERROR(AJ9/AJ5,"")</f>
        <v/>
      </c>
      <c r="AK10" s="29">
        <f>IFERROR(AK9/AK5,"")</f>
        <v/>
      </c>
      <c r="AL10" s="29">
        <f>IFERROR(AL9/AL5,"")</f>
        <v/>
      </c>
      <c r="AM10" s="29">
        <f>IFERROR(AM9/AM5,"")</f>
        <v/>
      </c>
      <c r="AN10" s="29">
        <f>IFERROR(AN9/AN5,"")</f>
        <v/>
      </c>
      <c r="AO10" s="22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34">
        <f>IFERROR(VLOOKUP($D11,BS연결,MATCH(E$1,BS연결H,0),0)/100,"")</f>
        <v/>
      </c>
      <c r="F11" s="35" t="n"/>
      <c r="G11" s="34">
        <f>IFERROR(VLOOKUP($D11,BS연결,MATCH(G$1,BS연결H,0),0)/100,"")</f>
        <v/>
      </c>
      <c r="H11" s="34">
        <f>IFERROR(VLOOKUP($D11,BS연결,MATCH(H$1,BS연결H,0),0)/100,"")</f>
        <v/>
      </c>
      <c r="I11" s="34">
        <f>IFERROR(VLOOKUP($D11,BS연결,MATCH(I$1,BS연결H,0),0)/100,"")</f>
        <v/>
      </c>
      <c r="J11" s="34">
        <f>IFERROR(VLOOKUP($D11,BS연결,MATCH(J$1,BS연결H,0),0)/100,"")</f>
        <v/>
      </c>
      <c r="K11" s="35">
        <f>IFERROR(VLOOKUP($D11,BS연결,MATCH(K$1,BS연결H,0),0)/100,"")</f>
        <v/>
      </c>
      <c r="L11" s="34">
        <f>IFERROR(VLOOKUP($D11,BS연결,MATCH(L$1,BS연결H,0),0)/100,"")</f>
        <v/>
      </c>
      <c r="M11" s="34">
        <f>IFERROR(VLOOKUP($D11,BS연결,MATCH(M$1,BS연결H,0),0)/100,"")</f>
        <v/>
      </c>
      <c r="N11" s="34">
        <f>IFERROR(VLOOKUP($D11,BS연결,MATCH(N$1,BS연결H,0),0)/100,"")</f>
        <v/>
      </c>
      <c r="O11" s="34">
        <f>IFERROR(VLOOKUP($D11,BS연결,MATCH(O$1,BS연결H,0),0)/100,"")</f>
        <v/>
      </c>
      <c r="P11" s="35">
        <f>IFERROR(VLOOKUP($D11,BS연결,MATCH(P$1,BS연결H,0),0)/100,"")</f>
        <v/>
      </c>
      <c r="Q11" s="34">
        <f>IFERROR(VLOOKUP($D11,BS연결,MATCH(Q$1,BS연결H,0),0)/100,"")</f>
        <v/>
      </c>
      <c r="R11" s="34">
        <f>IFERROR(VLOOKUP($D11,BS연결,MATCH(R$1,BS연결H,0),0)/100,"")</f>
        <v/>
      </c>
      <c r="S11" s="34">
        <f>IFERROR(VLOOKUP($D11,BS연결,MATCH(S$1,BS연결H,0),0)/100,"")</f>
        <v/>
      </c>
      <c r="T11" s="34">
        <f>IFERROR(VLOOKUP($D11,BS연결,MATCH(T$1,BS연결H,0),0)/100,"")</f>
        <v/>
      </c>
      <c r="U11" s="35">
        <f>IFERROR(VLOOKUP($D11,BS연결,MATCH(U$1,BS연결H,0),0)/100,"")</f>
        <v/>
      </c>
      <c r="V11" s="34">
        <f>IFERROR(VLOOKUP($D11,BS연결,MATCH(V$1,BS연결H,0),0)/100,"")</f>
        <v/>
      </c>
      <c r="W11" s="34">
        <f>IFERROR(VLOOKUP($D11,BS연결,MATCH(W$1,BS연결H,0),0)/100,"")</f>
        <v/>
      </c>
      <c r="X11" s="36">
        <f>IFERROR(VLOOKUP($D11,BS연결,MATCH(X$1,BS연결H,0),0)/100,"")</f>
        <v/>
      </c>
      <c r="Y11" s="37">
        <f>IFERROR(Y12+Y13+Y14+Y15,"")</f>
        <v/>
      </c>
      <c r="Z11" s="38">
        <f>SUM(V11:Y11)</f>
        <v/>
      </c>
      <c r="AA11" s="37">
        <f>IFERROR(AA12+AA13+AA14+AA15,"")</f>
        <v/>
      </c>
      <c r="AB11" s="37">
        <f>IFERROR(AB12+AB13+AB14+AB15,"")</f>
        <v/>
      </c>
      <c r="AC11" s="37">
        <f>IFERROR(AC12+AC13+AC14+AC15,"")</f>
        <v/>
      </c>
      <c r="AD11" s="37">
        <f>IFERROR(AD12+AD13+AD14+AD15,"")</f>
        <v/>
      </c>
      <c r="AE11" s="38">
        <f>SUM(AA11:AD11)</f>
        <v/>
      </c>
      <c r="AF11" s="37">
        <f>IFERROR(AF12+AF13+AF14+AF15,"")</f>
        <v/>
      </c>
      <c r="AG11" s="37">
        <f>IFERROR(AG12+AG13+AG14+AG15,"")</f>
        <v/>
      </c>
      <c r="AH11" s="37">
        <f>IFERROR(AH12+AH13+AH14+AH15,"")</f>
        <v/>
      </c>
      <c r="AI11" s="37">
        <f>IFERROR(AI12+AI13+AI14+AI15,"")</f>
        <v/>
      </c>
      <c r="AJ11" s="38">
        <f>SUM(AF11:AI11)</f>
        <v/>
      </c>
      <c r="AK11" s="37">
        <f>IFERROR(AK12+AK13+AK14+AK15,"")</f>
        <v/>
      </c>
      <c r="AL11" s="37">
        <f>IFERROR(AL12+AL13+AL14+AL15,"")</f>
        <v/>
      </c>
      <c r="AM11" s="37">
        <f>IFERROR(AM12+AM13+AM14+AM15,"")</f>
        <v/>
      </c>
      <c r="AN11" s="37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34" t="n"/>
      <c r="F12" s="35" t="n"/>
      <c r="G12" s="34">
        <f>IFERROR(VLOOKUP($D12,BS연결,MATCH(G$1,BS연결H,0),0)/100,"")</f>
        <v/>
      </c>
      <c r="H12" s="34">
        <f>IFERROR(VLOOKUP($D12,BS연결,MATCH(H$1,BS연결H,0),0)/100,"")</f>
        <v/>
      </c>
      <c r="I12" s="34">
        <f>IFERROR(VLOOKUP($D12,BS연결,MATCH(I$1,BS연결H,0),0)/100,"")</f>
        <v/>
      </c>
      <c r="J12" s="34">
        <f>IFERROR(VLOOKUP($D12,BS연결,MATCH(J$1,BS연결H,0),0)/100,"")</f>
        <v/>
      </c>
      <c r="K12" s="35">
        <f>IFERROR(VLOOKUP($D12,BS연결,MATCH(K$1,BS연결H,0),0)/100,"")</f>
        <v/>
      </c>
      <c r="L12" s="34">
        <f>IFERROR(VLOOKUP($D12,BS연결,MATCH(L$1,BS연결H,0),0)/100,"")</f>
        <v/>
      </c>
      <c r="M12" s="34">
        <f>IFERROR(VLOOKUP($D12,BS연결,MATCH(M$1,BS연결H,0),0)/100,"")</f>
        <v/>
      </c>
      <c r="N12" s="34">
        <f>IFERROR(VLOOKUP($D12,BS연결,MATCH(N$1,BS연결H,0),0)/100,"")</f>
        <v/>
      </c>
      <c r="O12" s="34">
        <f>IFERROR(VLOOKUP($D12,BS연결,MATCH(O$1,BS연결H,0),0)/100,"")</f>
        <v/>
      </c>
      <c r="P12" s="35">
        <f>IFERROR(VLOOKUP($D12,BS연결,MATCH(P$1,BS연결H,0),0)/100,"")</f>
        <v/>
      </c>
      <c r="Q12" s="34">
        <f>IFERROR(VLOOKUP($D12,BS연결,MATCH(Q$1,BS연결H,0),0)/100,"")</f>
        <v/>
      </c>
      <c r="R12" s="34">
        <f>IFERROR(VLOOKUP($D12,BS연결,MATCH(R$1,BS연결H,0),0)/100,"")</f>
        <v/>
      </c>
      <c r="S12" s="34">
        <f>IFERROR(VLOOKUP($D12,BS연결,MATCH(S$1,BS연결H,0),0)/100,"")</f>
        <v/>
      </c>
      <c r="T12" s="34">
        <f>IFERROR(VLOOKUP($D12,BS연결,MATCH(T$1,BS연결H,0),0)/100,"")</f>
        <v/>
      </c>
      <c r="U12" s="35">
        <f>IFERROR(VLOOKUP($D12,BS연결,MATCH(U$1,BS연결H,0),0)/100,"")</f>
        <v/>
      </c>
      <c r="V12" s="34">
        <f>IFERROR(VLOOKUP($D12,BS연결,MATCH(V$1,BS연결H,0),0)/100,"")</f>
        <v/>
      </c>
      <c r="W12" s="34">
        <f>IFERROR(VLOOKUP($D12,BS연결,MATCH(W$1,BS연결H,0),0)/100,"")</f>
        <v/>
      </c>
      <c r="X12" s="36">
        <f>IFERROR(VLOOKUP($D12,BS연결,MATCH(X$1,BS연결H,0),0)/100,"")</f>
        <v/>
      </c>
      <c r="Y12" s="37">
        <f>IFERROR((X27*변수!$D$48-X25*변수!$D$49)/4,"")</f>
        <v/>
      </c>
      <c r="Z12" s="38">
        <f>SUM(V12:Y12)</f>
        <v/>
      </c>
      <c r="AA12" s="37">
        <f>IFERROR((Y27*변수!$D$48-Y25*변수!$D$49)/4,"")</f>
        <v/>
      </c>
      <c r="AB12" s="37">
        <f>IFERROR((AA27*변수!$D$48-AA25*변수!$D$49)/4,"")</f>
        <v/>
      </c>
      <c r="AC12" s="37">
        <f>IFERROR((AB27*변수!$D$48-AB25*변수!$D$49)/4,"")</f>
        <v/>
      </c>
      <c r="AD12" s="37">
        <f>IFERROR((AC27*변수!$D$48-AC25*변수!$D$49)/4,"")</f>
        <v/>
      </c>
      <c r="AE12" s="38">
        <f>SUM(AA12:AD12)</f>
        <v/>
      </c>
      <c r="AF12" s="37">
        <f>IFERROR((AD27*변수!$D$48-AD25*변수!$D$49)/4,"")</f>
        <v/>
      </c>
      <c r="AG12" s="37">
        <f>IFERROR((AF27*변수!$D$48-AF25*변수!$D$49)/4,"")</f>
        <v/>
      </c>
      <c r="AH12" s="37">
        <f>IFERROR((AG27*변수!$D$48-AG25*변수!$D$49)/4,"")</f>
        <v/>
      </c>
      <c r="AI12" s="37">
        <f>IFERROR((AH27*변수!$D$48-AH25*변수!$D$49)/4,"")</f>
        <v/>
      </c>
      <c r="AJ12" s="38">
        <f>SUM(AF12:AI12)</f>
        <v/>
      </c>
      <c r="AK12" s="37">
        <f>IFERROR((AI27*변수!$D$48-AI25*변수!$D$49)/4,"")</f>
        <v/>
      </c>
      <c r="AL12" s="37">
        <f>IFERROR((AK27*변수!$D$48-AK25*변수!$D$49)/4,"")</f>
        <v/>
      </c>
      <c r="AM12" s="37">
        <f>IFERROR((AL27*변수!$D$48-AL25*변수!$D$49)/4,"")</f>
        <v/>
      </c>
      <c r="AN12" s="37">
        <f>IFERROR((AM27*변수!$D$48-AM25*변수!$D$49)/4,"")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34" t="n"/>
      <c r="F13" s="35" t="n"/>
      <c r="G13" s="34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34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34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34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5">
        <f>SUM(G13:J13)</f>
        <v/>
      </c>
      <c r="L13" s="34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34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34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34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5">
        <f>SUM(L13:O13)</f>
        <v/>
      </c>
      <c r="Q13" s="34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34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34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34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5">
        <f>SUM(Q13:T13)</f>
        <v/>
      </c>
      <c r="V13" s="34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34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36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37">
        <f>변수!Y19</f>
        <v/>
      </c>
      <c r="Z13" s="38">
        <f>SUM(V13:Y13)</f>
        <v/>
      </c>
      <c r="AA13" s="37">
        <f>변수!AA19</f>
        <v/>
      </c>
      <c r="AB13" s="37">
        <f>변수!AB19</f>
        <v/>
      </c>
      <c r="AC13" s="37">
        <f>변수!AC19</f>
        <v/>
      </c>
      <c r="AD13" s="37">
        <f>변수!AD19</f>
        <v/>
      </c>
      <c r="AE13" s="38">
        <f>SUM(AA13:AD13)</f>
        <v/>
      </c>
      <c r="AF13" s="37">
        <f>변수!AF19</f>
        <v/>
      </c>
      <c r="AG13" s="37">
        <f>변수!AG19</f>
        <v/>
      </c>
      <c r="AH13" s="37">
        <f>변수!AH19</f>
        <v/>
      </c>
      <c r="AI13" s="37">
        <f>변수!AI19</f>
        <v/>
      </c>
      <c r="AJ13" s="38">
        <f>SUM(AF13:AI13)</f>
        <v/>
      </c>
      <c r="AK13" s="37">
        <f>변수!AK19</f>
        <v/>
      </c>
      <c r="AL13" s="37">
        <f>변수!AL19</f>
        <v/>
      </c>
      <c r="AM13" s="37">
        <f>변수!AM19</f>
        <v/>
      </c>
      <c r="AN13" s="37">
        <f>변수!AN19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34" t="n"/>
      <c r="F14" s="35" t="n"/>
      <c r="G14" s="34">
        <f>IFERROR((VLOOKUP("파생상품이익",BS연결,MATCH(G$1,BS연결H,0),0)-VLOOKUP("파생상품손실",BS연결,MATCH(G$1,BS연결H,0),0))/100,"")</f>
        <v/>
      </c>
      <c r="H14" s="34">
        <f>IFERROR((VLOOKUP("파생상품이익",BS연결,MATCH(H$1,BS연결H,0),0)-VLOOKUP("파생상품손실",BS연결,MATCH(H$1,BS연결H,0),0))/100,"")</f>
        <v/>
      </c>
      <c r="I14" s="34">
        <f>IFERROR((VLOOKUP("파생상품이익",BS연결,MATCH(I$1,BS연결H,0),0)-VLOOKUP("파생상품손실",BS연결,MATCH(I$1,BS연결H,0),0))/100,"")</f>
        <v/>
      </c>
      <c r="J14" s="34">
        <f>IFERROR((VLOOKUP("파생상품이익",BS연결,MATCH(J$1,BS연결H,0),0)-VLOOKUP("파생상품손실",BS연결,MATCH(J$1,BS연결H,0),0))/100,"")</f>
        <v/>
      </c>
      <c r="K14" s="35">
        <f>SUM(G14:J14)</f>
        <v/>
      </c>
      <c r="L14" s="34">
        <f>IFERROR((VLOOKUP("파생상품이익",BS연결,MATCH(L$1,BS연결H,0),0)-VLOOKUP("파생상품손실",BS연결,MATCH(L$1,BS연결H,0),0))/100,"")</f>
        <v/>
      </c>
      <c r="M14" s="34">
        <f>IFERROR((VLOOKUP("파생상품이익",BS연결,MATCH(M$1,BS연결H,0),0)-VLOOKUP("파생상품손실",BS연결,MATCH(M$1,BS연결H,0),0))/100,"")</f>
        <v/>
      </c>
      <c r="N14" s="34">
        <f>IFERROR((VLOOKUP("파생상품이익",BS연결,MATCH(N$1,BS연결H,0),0)-VLOOKUP("파생상품손실",BS연결,MATCH(N$1,BS연결H,0),0))/100,"")</f>
        <v/>
      </c>
      <c r="O14" s="34">
        <f>IFERROR((VLOOKUP("파생상품이익",BS연결,MATCH(O$1,BS연결H,0),0)-VLOOKUP("파생상품손실",BS연결,MATCH(O$1,BS연결H,0),0))/100,"")</f>
        <v/>
      </c>
      <c r="P14" s="35">
        <f>SUM(L14:O14)</f>
        <v/>
      </c>
      <c r="Q14" s="34">
        <f>IFERROR((VLOOKUP("파생상품이익",BS연결,MATCH(Q$1,BS연결H,0),0)-VLOOKUP("파생상품손실",BS연결,MATCH(Q$1,BS연결H,0),0))/100,"")</f>
        <v/>
      </c>
      <c r="R14" s="34">
        <f>IFERROR((VLOOKUP("파생상품이익",BS연결,MATCH(R$1,BS연결H,0),0)-VLOOKUP("파생상품손실",BS연결,MATCH(R$1,BS연결H,0),0))/100,"")</f>
        <v/>
      </c>
      <c r="S14" s="34">
        <f>IFERROR((VLOOKUP("파생상품이익",BS연결,MATCH(S$1,BS연결H,0),0)-VLOOKUP("파생상품손실",BS연결,MATCH(S$1,BS연결H,0),0))/100,"")</f>
        <v/>
      </c>
      <c r="T14" s="34">
        <f>IFERROR((VLOOKUP("파생상품이익",BS연결,MATCH(T$1,BS연결H,0),0)-VLOOKUP("파생상품손실",BS연결,MATCH(T$1,BS연결H,0),0))/100,"")</f>
        <v/>
      </c>
      <c r="U14" s="35">
        <f>SUM(Q14:T14)</f>
        <v/>
      </c>
      <c r="V14" s="34">
        <f>IFERROR((VLOOKUP("파생상품이익",BS연결,MATCH(V$1,BS연결H,0),0)-VLOOKUP("파생상품손실",BS연결,MATCH(V$1,BS연결H,0),0))/100,"")</f>
        <v/>
      </c>
      <c r="W14" s="34">
        <f>IFERROR((VLOOKUP("파생상품이익",BS연결,MATCH(W$1,BS연결H,0),0)-VLOOKUP("파생상품손실",BS연결,MATCH(W$1,BS연결H,0),0))/100,"")</f>
        <v/>
      </c>
      <c r="X14" s="36">
        <f>IFERROR((VLOOKUP("파생상품이익",BS연결,MATCH(X$1,BS연결H,0),0)-VLOOKUP("파생상품손실",BS연결,MATCH(X$1,BS연결H,0),0))/100,"")</f>
        <v/>
      </c>
      <c r="Y14" s="37">
        <f>변수!Y20</f>
        <v/>
      </c>
      <c r="Z14" s="38">
        <f>SUM(V14:Y14)</f>
        <v/>
      </c>
      <c r="AA14" s="37">
        <f>변수!AA20</f>
        <v/>
      </c>
      <c r="AB14" s="37">
        <f>변수!AB20</f>
        <v/>
      </c>
      <c r="AC14" s="37">
        <f>변수!AC20</f>
        <v/>
      </c>
      <c r="AD14" s="37">
        <f>변수!AD20</f>
        <v/>
      </c>
      <c r="AE14" s="38">
        <f>SUM(AA14:AD14)</f>
        <v/>
      </c>
      <c r="AF14" s="37">
        <f>변수!AF20</f>
        <v/>
      </c>
      <c r="AG14" s="37">
        <f>변수!AG20</f>
        <v/>
      </c>
      <c r="AH14" s="37">
        <f>변수!AH20</f>
        <v/>
      </c>
      <c r="AI14" s="37">
        <f>변수!AI20</f>
        <v/>
      </c>
      <c r="AJ14" s="38">
        <f>SUM(AF14:AI14)</f>
        <v/>
      </c>
      <c r="AK14" s="37">
        <f>변수!AK20</f>
        <v/>
      </c>
      <c r="AL14" s="37">
        <f>변수!AL20</f>
        <v/>
      </c>
      <c r="AM14" s="37">
        <f>변수!AM20</f>
        <v/>
      </c>
      <c r="AN14" s="37">
        <f>변수!AN20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34" t="n"/>
      <c r="F15" s="35" t="n"/>
      <c r="G15" s="34">
        <f>IFERROR(G11-G12-G13-G14,"")</f>
        <v/>
      </c>
      <c r="H15" s="34">
        <f>IFERROR(H11-H12-H13-H14,"")</f>
        <v/>
      </c>
      <c r="I15" s="34">
        <f>IFERROR(I11-I12-I13-I14,"")</f>
        <v/>
      </c>
      <c r="J15" s="34">
        <f>IFERROR(J11-J12-J13-J14,"")</f>
        <v/>
      </c>
      <c r="K15" s="35">
        <f>SUM(G15:J15)</f>
        <v/>
      </c>
      <c r="L15" s="34">
        <f>IFERROR(L11-L12-L13-L14,"")</f>
        <v/>
      </c>
      <c r="M15" s="34">
        <f>IFERROR(M11-M12-M13-M14,"")</f>
        <v/>
      </c>
      <c r="N15" s="34">
        <f>IFERROR(N11-N12-N13-N14,"")</f>
        <v/>
      </c>
      <c r="O15" s="34">
        <f>IFERROR(O11-O12-O13-O14,"")</f>
        <v/>
      </c>
      <c r="P15" s="35">
        <f>SUM(L15:O15)</f>
        <v/>
      </c>
      <c r="Q15" s="34">
        <f>IFERROR(Q11-Q12-Q13-Q14,"")</f>
        <v/>
      </c>
      <c r="R15" s="34">
        <f>IFERROR(R11-R12-R13-R14,"")</f>
        <v/>
      </c>
      <c r="S15" s="34">
        <f>IFERROR(S11-S12-S13-S14,"")</f>
        <v/>
      </c>
      <c r="T15" s="34">
        <f>IFERROR(T11-T12-T13-T14,"")</f>
        <v/>
      </c>
      <c r="U15" s="35">
        <f>SUM(Q15:T15)</f>
        <v/>
      </c>
      <c r="V15" s="34">
        <f>IFERROR(V11-V12-V13-V14,"")</f>
        <v/>
      </c>
      <c r="W15" s="34">
        <f>IFERROR(W11-W12-W13-W14,"")</f>
        <v/>
      </c>
      <c r="X15" s="36">
        <f>IFERROR(X11-X12-X13-X14,"")</f>
        <v/>
      </c>
      <c r="Y15" s="37">
        <f>변수!Y21</f>
        <v/>
      </c>
      <c r="Z15" s="38">
        <f>SUM(V15:Y15)</f>
        <v/>
      </c>
      <c r="AA15" s="37">
        <f>변수!AA21</f>
        <v/>
      </c>
      <c r="AB15" s="37">
        <f>변수!AB21</f>
        <v/>
      </c>
      <c r="AC15" s="37">
        <f>변수!AC21</f>
        <v/>
      </c>
      <c r="AD15" s="37">
        <f>변수!AD21</f>
        <v/>
      </c>
      <c r="AE15" s="38">
        <f>SUM(AA15:AD15)</f>
        <v/>
      </c>
      <c r="AF15" s="37">
        <f>변수!AF21</f>
        <v/>
      </c>
      <c r="AG15" s="37">
        <f>변수!AG21</f>
        <v/>
      </c>
      <c r="AH15" s="37">
        <f>변수!AH21</f>
        <v/>
      </c>
      <c r="AI15" s="37">
        <f>변수!AI21</f>
        <v/>
      </c>
      <c r="AJ15" s="38">
        <f>SUM(AF15:AI15)</f>
        <v/>
      </c>
      <c r="AK15" s="37">
        <f>변수!AK21</f>
        <v/>
      </c>
      <c r="AL15" s="37">
        <f>변수!AL21</f>
        <v/>
      </c>
      <c r="AM15" s="37">
        <f>변수!AM21</f>
        <v/>
      </c>
      <c r="AN15" s="37">
        <f>변수!AN21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34">
        <f>IFERROR(VLOOKUP($D16,BS연결,MATCH(E$1,BS연결H,0),0)/100,"")</f>
        <v/>
      </c>
      <c r="F16" s="35" t="n"/>
      <c r="G16" s="34">
        <f>IFERROR(VLOOKUP($D16,BS연결,MATCH(G$1,BS연결H,0),0)/100,"")</f>
        <v/>
      </c>
      <c r="H16" s="34">
        <f>IFERROR(VLOOKUP($D16,BS연결,MATCH(H$1,BS연결H,0),0)/100,"")</f>
        <v/>
      </c>
      <c r="I16" s="34">
        <f>IFERROR(VLOOKUP($D16,BS연결,MATCH(I$1,BS연결H,0),0)/100,"")</f>
        <v/>
      </c>
      <c r="J16" s="34">
        <f>IFERROR(VLOOKUP($D16,BS연결,MATCH(J$1,BS연결H,0),0)/100,"")</f>
        <v/>
      </c>
      <c r="K16" s="35">
        <f>IFERROR(VLOOKUP($D16,BS연결,MATCH(K$1,BS연결H,0),0)/100,"")</f>
        <v/>
      </c>
      <c r="L16" s="34">
        <f>IFERROR(VLOOKUP($D16,BS연결,MATCH(L$1,BS연결H,0),0)/100,"")</f>
        <v/>
      </c>
      <c r="M16" s="34">
        <f>IFERROR(VLOOKUP($D16,BS연결,MATCH(M$1,BS연결H,0),0)/100,"")</f>
        <v/>
      </c>
      <c r="N16" s="34">
        <f>IFERROR(VLOOKUP($D16,BS연결,MATCH(N$1,BS연결H,0),0)/100,"")</f>
        <v/>
      </c>
      <c r="O16" s="34">
        <f>IFERROR(VLOOKUP($D16,BS연결,MATCH(O$1,BS연결H,0),0)/100,"")</f>
        <v/>
      </c>
      <c r="P16" s="35">
        <f>IFERROR(VLOOKUP($D16,BS연결,MATCH(P$1,BS연결H,0),0)/100,"")</f>
        <v/>
      </c>
      <c r="Q16" s="34">
        <f>IFERROR(VLOOKUP($D16,BS연결,MATCH(Q$1,BS연결H,0),0)/100,"")</f>
        <v/>
      </c>
      <c r="R16" s="34">
        <f>IFERROR(VLOOKUP($D16,BS연결,MATCH(R$1,BS연결H,0),0)/100,"")</f>
        <v/>
      </c>
      <c r="S16" s="34">
        <f>IFERROR(VLOOKUP($D16,BS연결,MATCH(S$1,BS연결H,0),0)/100,"")</f>
        <v/>
      </c>
      <c r="T16" s="34">
        <f>IFERROR(VLOOKUP($D16,BS연결,MATCH(T$1,BS연결H,0),0)/100,"")</f>
        <v/>
      </c>
      <c r="U16" s="35">
        <f>IFERROR(VLOOKUP($D16,BS연결,MATCH(U$1,BS연결H,0),0)/100,"")</f>
        <v/>
      </c>
      <c r="V16" s="34">
        <f>IFERROR(VLOOKUP($D16,BS연결,MATCH(V$1,BS연결H,0),0)/100,"")</f>
        <v/>
      </c>
      <c r="W16" s="34">
        <f>IFERROR(VLOOKUP($D16,BS연결,MATCH(W$1,BS연결H,0),0)/100,"")</f>
        <v/>
      </c>
      <c r="X16" s="36">
        <f>IFERROR(VLOOKUP($D16,BS연결,MATCH(X$1,BS연결H,0),0)/100,"")</f>
        <v/>
      </c>
      <c r="Y16" s="37">
        <f>변수!Y22</f>
        <v/>
      </c>
      <c r="Z16" s="38">
        <f>SUM(V16:Y16)</f>
        <v/>
      </c>
      <c r="AA16" s="37">
        <f>변수!AA22</f>
        <v/>
      </c>
      <c r="AB16" s="37">
        <f>변수!AB22</f>
        <v/>
      </c>
      <c r="AC16" s="37">
        <f>변수!AC22</f>
        <v/>
      </c>
      <c r="AD16" s="37">
        <f>변수!AD22</f>
        <v/>
      </c>
      <c r="AE16" s="38">
        <f>SUM(AA16:AD16)</f>
        <v/>
      </c>
      <c r="AF16" s="37">
        <f>변수!AF22</f>
        <v/>
      </c>
      <c r="AG16" s="37">
        <f>변수!AG22</f>
        <v/>
      </c>
      <c r="AH16" s="37">
        <f>변수!AH22</f>
        <v/>
      </c>
      <c r="AI16" s="37">
        <f>변수!AI22</f>
        <v/>
      </c>
      <c r="AJ16" s="38">
        <f>SUM(AF16:AI16)</f>
        <v/>
      </c>
      <c r="AK16" s="37">
        <f>변수!AK22</f>
        <v/>
      </c>
      <c r="AL16" s="37">
        <f>변수!AL22</f>
        <v/>
      </c>
      <c r="AM16" s="37">
        <f>변수!AM22</f>
        <v/>
      </c>
      <c r="AN16" s="37">
        <f>변수!AN22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34">
        <f>IFERROR(VLOOKUP($D17,BS연결,MATCH(E$1,BS연결H,0),0)/100,"")</f>
        <v/>
      </c>
      <c r="F17" s="35" t="n"/>
      <c r="G17" s="34">
        <f>IFERROR(VLOOKUP($D17,BS연결,MATCH(G$1,BS연결H,0),0)/100,"")</f>
        <v/>
      </c>
      <c r="H17" s="34">
        <f>IFERROR(VLOOKUP($D17,BS연결,MATCH(H$1,BS연결H,0),0)/100,"")</f>
        <v/>
      </c>
      <c r="I17" s="34">
        <f>IFERROR(VLOOKUP($D17,BS연결,MATCH(I$1,BS연결H,0),0)/100,"")</f>
        <v/>
      </c>
      <c r="J17" s="34">
        <f>IFERROR(VLOOKUP($D17,BS연결,MATCH(J$1,BS연결H,0),0)/100,"")</f>
        <v/>
      </c>
      <c r="K17" s="35">
        <f>IFERROR(VLOOKUP($D17,BS연결,MATCH(K$1,BS연결H,0),0)/100,"")</f>
        <v/>
      </c>
      <c r="L17" s="34">
        <f>IFERROR(VLOOKUP($D17,BS연결,MATCH(L$1,BS연결H,0),0)/100,"")</f>
        <v/>
      </c>
      <c r="M17" s="34">
        <f>IFERROR(VLOOKUP($D17,BS연결,MATCH(M$1,BS연결H,0),0)/100,"")</f>
        <v/>
      </c>
      <c r="N17" s="34">
        <f>IFERROR(VLOOKUP($D17,BS연결,MATCH(N$1,BS연결H,0),0)/100,"")</f>
        <v/>
      </c>
      <c r="O17" s="34">
        <f>IFERROR(VLOOKUP($D17,BS연결,MATCH(O$1,BS연결H,0),0)/100,"")</f>
        <v/>
      </c>
      <c r="P17" s="35">
        <f>IFERROR(VLOOKUP($D17,BS연결,MATCH(P$1,BS연결H,0),0)/100,"")</f>
        <v/>
      </c>
      <c r="Q17" s="34">
        <f>IFERROR(VLOOKUP($D17,BS연결,MATCH(Q$1,BS연결H,0),0)/100,"")</f>
        <v/>
      </c>
      <c r="R17" s="34">
        <f>IFERROR(VLOOKUP($D17,BS연결,MATCH(R$1,BS연결H,0),0)/100,"")</f>
        <v/>
      </c>
      <c r="S17" s="34">
        <f>IFERROR(VLOOKUP($D17,BS연결,MATCH(S$1,BS연결H,0),0)/100,"")</f>
        <v/>
      </c>
      <c r="T17" s="34">
        <f>IFERROR(VLOOKUP($D17,BS연결,MATCH(T$1,BS연결H,0),0)/100,"")</f>
        <v/>
      </c>
      <c r="U17" s="35">
        <f>IFERROR(VLOOKUP($D17,BS연결,MATCH(U$1,BS연결H,0),0)/100,"")</f>
        <v/>
      </c>
      <c r="V17" s="34">
        <f>IFERROR(VLOOKUP($D17,BS연결,MATCH(V$1,BS연결H,0),0)/100,"")</f>
        <v/>
      </c>
      <c r="W17" s="34">
        <f>IFERROR(VLOOKUP($D17,BS연결,MATCH(W$1,BS연결H,0),0)/100,"")</f>
        <v/>
      </c>
      <c r="X17" s="36">
        <f>IFERROR(VLOOKUP($D17,BS연결,MATCH(X$1,BS연결H,0),0)/100,"")</f>
        <v/>
      </c>
      <c r="Y17" s="37">
        <f>IFERROR(Y9+Y11+Y16,"")</f>
        <v/>
      </c>
      <c r="Z17" s="38">
        <f>SUM(V17:Y17)</f>
        <v/>
      </c>
      <c r="AA17" s="37">
        <f>IFERROR(AA9+AA11+AA16,"")</f>
        <v/>
      </c>
      <c r="AB17" s="37">
        <f>IFERROR(AB9+AB11+AB16,"")</f>
        <v/>
      </c>
      <c r="AC17" s="37">
        <f>IFERROR(AC9+AC11+AC16,"")</f>
        <v/>
      </c>
      <c r="AD17" s="37">
        <f>IFERROR(AD9+AD11+AD16,"")</f>
        <v/>
      </c>
      <c r="AE17" s="38">
        <f>SUM(AA17:AD17)</f>
        <v/>
      </c>
      <c r="AF17" s="37">
        <f>IFERROR(AF9+AF11+AF16,"")</f>
        <v/>
      </c>
      <c r="AG17" s="37">
        <f>IFERROR(AG9+AG11+AG16,"")</f>
        <v/>
      </c>
      <c r="AH17" s="37">
        <f>IFERROR(AH9+AH11+AH16,"")</f>
        <v/>
      </c>
      <c r="AI17" s="37">
        <f>IFERROR(AI9+AI11+AI16,"")</f>
        <v/>
      </c>
      <c r="AJ17" s="38">
        <f>SUM(AF17:AI17)</f>
        <v/>
      </c>
      <c r="AK17" s="37">
        <f>IFERROR(AK9+AK11+AK16,"")</f>
        <v/>
      </c>
      <c r="AL17" s="37">
        <f>IFERROR(AL9+AL11+AL16,"")</f>
        <v/>
      </c>
      <c r="AM17" s="37">
        <f>IFERROR(AM9+AM11+AM16,"")</f>
        <v/>
      </c>
      <c r="AN17" s="37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34">
        <f>IFERROR(VLOOKUP($D18,BS연결,MATCH(E$1,BS연결H,0),0)/100,"")</f>
        <v/>
      </c>
      <c r="F18" s="35" t="n"/>
      <c r="G18" s="34">
        <f>IFERROR(VLOOKUP($D18,BS연결,MATCH(G$1,BS연결H,0),0)/100,"")</f>
        <v/>
      </c>
      <c r="H18" s="34">
        <f>IFERROR(VLOOKUP($D18,BS연결,MATCH(H$1,BS연결H,0),0)/100,"")</f>
        <v/>
      </c>
      <c r="I18" s="34">
        <f>IFERROR(VLOOKUP($D18,BS연결,MATCH(I$1,BS연결H,0),0)/100,"")</f>
        <v/>
      </c>
      <c r="J18" s="34">
        <f>IFERROR(VLOOKUP($D18,BS연결,MATCH(J$1,BS연결H,0),0)/100,"")</f>
        <v/>
      </c>
      <c r="K18" s="35">
        <f>IFERROR(VLOOKUP($D18,BS연결,MATCH(K$1,BS연결H,0),0)/100,"")</f>
        <v/>
      </c>
      <c r="L18" s="34">
        <f>IFERROR(VLOOKUP($D18,BS연결,MATCH(L$1,BS연결H,0),0)/100,"")</f>
        <v/>
      </c>
      <c r="M18" s="34">
        <f>IFERROR(VLOOKUP($D18,BS연결,MATCH(M$1,BS연결H,0),0)/100,"")</f>
        <v/>
      </c>
      <c r="N18" s="34">
        <f>IFERROR(VLOOKUP($D18,BS연결,MATCH(N$1,BS연결H,0),0)/100,"")</f>
        <v/>
      </c>
      <c r="O18" s="34">
        <f>IFERROR(VLOOKUP($D18,BS연결,MATCH(O$1,BS연결H,0),0)/100,"")</f>
        <v/>
      </c>
      <c r="P18" s="35">
        <f>IFERROR(VLOOKUP($D18,BS연결,MATCH(P$1,BS연결H,0),0)/100,"")</f>
        <v/>
      </c>
      <c r="Q18" s="34">
        <f>IFERROR(VLOOKUP($D18,BS연결,MATCH(Q$1,BS연결H,0),0)/100,"")</f>
        <v/>
      </c>
      <c r="R18" s="34">
        <f>IFERROR(VLOOKUP($D18,BS연결,MATCH(R$1,BS연결H,0),0)/100,"")</f>
        <v/>
      </c>
      <c r="S18" s="34">
        <f>IFERROR(VLOOKUP($D18,BS연결,MATCH(S$1,BS연결H,0),0)/100,"")</f>
        <v/>
      </c>
      <c r="T18" s="34">
        <f>IFERROR(VLOOKUP($D18,BS연결,MATCH(T$1,BS연결H,0),0)/100,"")</f>
        <v/>
      </c>
      <c r="U18" s="35">
        <f>SUM(Q18:T18)</f>
        <v/>
      </c>
      <c r="V18" s="34">
        <f>IFERROR(VLOOKUP($D18,BS연결,MATCH(V$1,BS연결H,0),0)/100,"")</f>
        <v/>
      </c>
      <c r="W18" s="34">
        <f>IFERROR(VLOOKUP($D18,BS연결,MATCH(W$1,BS연결H,0),0)/100,"")</f>
        <v/>
      </c>
      <c r="X18" s="36">
        <f>IFERROR(VLOOKUP($D18,BS연결,MATCH(X$1,BS연결H,0),0)/100,"")</f>
        <v/>
      </c>
      <c r="Y18" s="37">
        <f>IFERROR(MAX(Y17,0)*변수!Y23,"")</f>
        <v/>
      </c>
      <c r="Z18" s="38">
        <f>SUM(V18:Y18)</f>
        <v/>
      </c>
      <c r="AA18" s="37">
        <f>IFERROR(MAX(AA17,0)*변수!AA23,"")</f>
        <v/>
      </c>
      <c r="AB18" s="37">
        <f>IFERROR(MAX(AB17,0)*변수!AB23,"")</f>
        <v/>
      </c>
      <c r="AC18" s="37">
        <f>IFERROR(MAX(AC17,0)*변수!AC23,"")</f>
        <v/>
      </c>
      <c r="AD18" s="37">
        <f>IFERROR(MAX(AD17,0)*변수!AD23,"")</f>
        <v/>
      </c>
      <c r="AE18" s="38">
        <f>SUM(AA18:AD18)</f>
        <v/>
      </c>
      <c r="AF18" s="37">
        <f>IFERROR(MAX(AF17,0)*변수!AF23,"")</f>
        <v/>
      </c>
      <c r="AG18" s="37">
        <f>IFERROR(MAX(AG17,0)*변수!AG23,"")</f>
        <v/>
      </c>
      <c r="AH18" s="37">
        <f>IFERROR(MAX(AH17,0)*변수!AH23,"")</f>
        <v/>
      </c>
      <c r="AI18" s="37">
        <f>IFERROR(MAX(AI17,0)*변수!AI23,"")</f>
        <v/>
      </c>
      <c r="AJ18" s="38">
        <f>SUM(AF18:AI18)</f>
        <v/>
      </c>
      <c r="AK18" s="37">
        <f>IFERROR(MAX(AK17,0)*변수!AK23,"")</f>
        <v/>
      </c>
      <c r="AL18" s="37">
        <f>IFERROR(MAX(AL17,0)*변수!AL23,"")</f>
        <v/>
      </c>
      <c r="AM18" s="37">
        <f>IFERROR(MAX(AM17,0)*변수!AM23,"")</f>
        <v/>
      </c>
      <c r="AN18" s="37">
        <f>IFERROR(MAX(AN17,0)*변수!AN23,"")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34">
        <f>IFERROR(VLOOKUP($D19,BS연결,MATCH(E$1,BS연결H,0),0)/100,"")</f>
        <v/>
      </c>
      <c r="F19" s="35" t="n"/>
      <c r="G19" s="34">
        <f>IFERROR(VLOOKUP($D19,BS연결,MATCH(G$1,BS연결H,0),0)/100,"")</f>
        <v/>
      </c>
      <c r="H19" s="34">
        <f>IFERROR(VLOOKUP($D19,BS연결,MATCH(H$1,BS연결H,0),0)/100,"")</f>
        <v/>
      </c>
      <c r="I19" s="34">
        <f>IFERROR(VLOOKUP($D19,BS연결,MATCH(I$1,BS연결H,0),0)/100,"")</f>
        <v/>
      </c>
      <c r="J19" s="34">
        <f>IFERROR(VLOOKUP($D19,BS연결,MATCH(J$1,BS연결H,0),0)/100,"")</f>
        <v/>
      </c>
      <c r="K19" s="35">
        <f>IFERROR(VLOOKUP($D19,BS연결,MATCH(K$1,BS연결H,0),0)/100,"")</f>
        <v/>
      </c>
      <c r="L19" s="34">
        <f>IFERROR(VLOOKUP($D19,BS연결,MATCH(L$1,BS연결H,0),0)/100,"")</f>
        <v/>
      </c>
      <c r="M19" s="34">
        <f>IFERROR(VLOOKUP($D19,BS연결,MATCH(M$1,BS연결H,0),0)/100,"")</f>
        <v/>
      </c>
      <c r="N19" s="34">
        <f>IFERROR(VLOOKUP($D19,BS연결,MATCH(N$1,BS연결H,0),0)/100,"")</f>
        <v/>
      </c>
      <c r="O19" s="34">
        <f>IFERROR(VLOOKUP($D19,BS연결,MATCH(O$1,BS연결H,0),0)/100,"")</f>
        <v/>
      </c>
      <c r="P19" s="35">
        <f>IFERROR(VLOOKUP($D19,BS연결,MATCH(P$1,BS연결H,0),0)/100,"")</f>
        <v/>
      </c>
      <c r="Q19" s="34">
        <f>IFERROR(VLOOKUP($D19,BS연결,MATCH(Q$1,BS연결H,0),0)/100,"")</f>
        <v/>
      </c>
      <c r="R19" s="34">
        <f>IFERROR(VLOOKUP($D19,BS연결,MATCH(R$1,BS연결H,0),0)/100,"")</f>
        <v/>
      </c>
      <c r="S19" s="34">
        <f>IFERROR(VLOOKUP($D19,BS연결,MATCH(S$1,BS연결H,0),0)/100,"")</f>
        <v/>
      </c>
      <c r="T19" s="34">
        <f>IFERROR(VLOOKUP($D19,BS연결,MATCH(T$1,BS연결H,0),0)/100,"")</f>
        <v/>
      </c>
      <c r="U19" s="35">
        <f>IFERROR(VLOOKUP($D19,BS연결,MATCH(U$1,BS연결H,0),0)/100,"")</f>
        <v/>
      </c>
      <c r="V19" s="34">
        <f>IFERROR(VLOOKUP($D19,BS연결,MATCH(V$1,BS연결H,0),0)/100,"")</f>
        <v/>
      </c>
      <c r="W19" s="34">
        <f>IFERROR(VLOOKUP($D19,BS연결,MATCH(W$1,BS연결H,0),0)/100,"")</f>
        <v/>
      </c>
      <c r="X19" s="36">
        <f>IFERROR(VLOOKUP($D19,BS연결,MATCH(X$1,BS연결H,0),0)/100,"")</f>
        <v/>
      </c>
      <c r="Y19" s="37">
        <f>IFERROR(Y17-Y18,"")</f>
        <v/>
      </c>
      <c r="Z19" s="38">
        <f>SUM(V19:Y19)</f>
        <v/>
      </c>
      <c r="AA19" s="37">
        <f>IFERROR(AA17-AA18,"")</f>
        <v/>
      </c>
      <c r="AB19" s="37">
        <f>IFERROR(AB17-AB18,"")</f>
        <v/>
      </c>
      <c r="AC19" s="37">
        <f>IFERROR(AC17-AC18,"")</f>
        <v/>
      </c>
      <c r="AD19" s="37">
        <f>IFERROR(AD17-AD18,"")</f>
        <v/>
      </c>
      <c r="AE19" s="38">
        <f>SUM(AA19:AD19)</f>
        <v/>
      </c>
      <c r="AF19" s="37">
        <f>IFERROR(AF17-AF18,"")</f>
        <v/>
      </c>
      <c r="AG19" s="37">
        <f>IFERROR(AG17-AG18,"")</f>
        <v/>
      </c>
      <c r="AH19" s="37">
        <f>IFERROR(AH17-AH18,"")</f>
        <v/>
      </c>
      <c r="AI19" s="37">
        <f>IFERROR(AI17-AI18,"")</f>
        <v/>
      </c>
      <c r="AJ19" s="38">
        <f>SUM(AF19:AI19)</f>
        <v/>
      </c>
      <c r="AK19" s="37">
        <f>IFERROR(AK17-AK18,"")</f>
        <v/>
      </c>
      <c r="AL19" s="37">
        <f>IFERROR(AL17-AL18,"")</f>
        <v/>
      </c>
      <c r="AM19" s="37">
        <f>IFERROR(AM17-AM18,"")</f>
        <v/>
      </c>
      <c r="AN19" s="37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34">
        <f>IFERROR(VLOOKUP($D20,BS연결,MATCH(E$1,BS연결H,0),0)/100,"")</f>
        <v/>
      </c>
      <c r="F20" s="35" t="n"/>
      <c r="G20" s="34">
        <f>IFERROR(VLOOKUP($D20,BS연결,MATCH(G$1,BS연결H,0),0)/100,"")</f>
        <v/>
      </c>
      <c r="H20" s="34">
        <f>IFERROR(VLOOKUP($D20,BS연결,MATCH(H$1,BS연결H,0),0)/100,"")</f>
        <v/>
      </c>
      <c r="I20" s="34">
        <f>IFERROR(VLOOKUP($D20,BS연결,MATCH(I$1,BS연결H,0),0)/100,"")</f>
        <v/>
      </c>
      <c r="J20" s="34">
        <f>IFERROR(VLOOKUP($D20,BS연결,MATCH(J$1,BS연결H,0),0)/100,"")</f>
        <v/>
      </c>
      <c r="K20" s="35">
        <f>IFERROR(VLOOKUP($D20,BS연결,MATCH(K$1,BS연결H,0),0)/100,"")</f>
        <v/>
      </c>
      <c r="L20" s="34">
        <f>IFERROR(VLOOKUP($D20,BS연결,MATCH(L$1,BS연결H,0),0)/100,"")</f>
        <v/>
      </c>
      <c r="M20" s="34">
        <f>IFERROR(VLOOKUP($D20,BS연결,MATCH(M$1,BS연결H,0),0)/100,"")</f>
        <v/>
      </c>
      <c r="N20" s="34">
        <f>IFERROR(VLOOKUP($D20,BS연결,MATCH(N$1,BS연결H,0),0)/100,"")</f>
        <v/>
      </c>
      <c r="O20" s="34">
        <f>IFERROR(VLOOKUP($D20,BS연결,MATCH(O$1,BS연결H,0),0)/100,"")</f>
        <v/>
      </c>
      <c r="P20" s="35">
        <f>IFERROR(VLOOKUP($D20,BS연결,MATCH(P$1,BS연결H,0),0)/100,"")</f>
        <v/>
      </c>
      <c r="Q20" s="34">
        <f>IFERROR(VLOOKUP($D20,BS연결,MATCH(Q$1,BS연결H,0),0)/100,"")</f>
        <v/>
      </c>
      <c r="R20" s="34">
        <f>IFERROR(VLOOKUP($D20,BS연결,MATCH(R$1,BS연결H,0),0)/100,"")</f>
        <v/>
      </c>
      <c r="S20" s="34">
        <f>IFERROR(VLOOKUP($D20,BS연결,MATCH(S$1,BS연결H,0),0)/100,"")</f>
        <v/>
      </c>
      <c r="T20" s="34">
        <f>IFERROR(VLOOKUP($D20,BS연결,MATCH(T$1,BS연결H,0),0)/100,"")</f>
        <v/>
      </c>
      <c r="U20" s="35">
        <f>IFERROR(VLOOKUP($D20,BS연결,MATCH(U$1,BS연결H,0),0)/100,"")</f>
        <v/>
      </c>
      <c r="V20" s="34">
        <f>IFERROR(VLOOKUP($D20,BS연결,MATCH(V$1,BS연결H,0),0)/100,"")</f>
        <v/>
      </c>
      <c r="W20" s="34">
        <f>IFERROR(VLOOKUP($D20,BS연결,MATCH(W$1,BS연결H,0),0)/100,"")</f>
        <v/>
      </c>
      <c r="X20" s="36">
        <f>IFERROR(VLOOKUP($D20,BS연결,MATCH(X$1,BS연결H,0),0)/100,"")</f>
        <v/>
      </c>
      <c r="Y20" s="37">
        <f>IFERROR(Y19*변수!Y24,"")</f>
        <v/>
      </c>
      <c r="Z20" s="38">
        <f>SUM(V20:Y20)</f>
        <v/>
      </c>
      <c r="AA20" s="37">
        <f>IFERROR(AA19*변수!AA24,"")</f>
        <v/>
      </c>
      <c r="AB20" s="37">
        <f>IFERROR(AB19*변수!AB24,"")</f>
        <v/>
      </c>
      <c r="AC20" s="37">
        <f>IFERROR(AC19*변수!AC24,"")</f>
        <v/>
      </c>
      <c r="AD20" s="37">
        <f>IFERROR(AD19*변수!AD24,"")</f>
        <v/>
      </c>
      <c r="AE20" s="38">
        <f>SUM(AA20:AD20)</f>
        <v/>
      </c>
      <c r="AF20" s="37">
        <f>IFERROR(AF19*변수!AF24,"")</f>
        <v/>
      </c>
      <c r="AG20" s="37">
        <f>IFERROR(AG19*변수!AG24,"")</f>
        <v/>
      </c>
      <c r="AH20" s="37">
        <f>IFERROR(AH19*변수!AH24,"")</f>
        <v/>
      </c>
      <c r="AI20" s="37">
        <f>IFERROR(AI19*변수!AI24,"")</f>
        <v/>
      </c>
      <c r="AJ20" s="38">
        <f>SUM(AF20:AI20)</f>
        <v/>
      </c>
      <c r="AK20" s="37">
        <f>IFERROR(AK19*변수!AK24,"")</f>
        <v/>
      </c>
      <c r="AL20" s="37">
        <f>IFERROR(AL19*변수!AL24,"")</f>
        <v/>
      </c>
      <c r="AM20" s="37">
        <f>IFERROR(AM19*변수!AM24,"")</f>
        <v/>
      </c>
      <c r="AN20" s="37">
        <f>IFERROR(AN19*변수!AN24,"")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34">
        <f>IFERROR(VLOOKUP($D21,BS연결,MATCH(E$1,BS연결H,0),0)/100,"")</f>
        <v/>
      </c>
      <c r="F21" s="35">
        <f>IFERROR(VLOOKUP($D21,BS연결,MATCH(F$1,BS연결H,0),0)/100,"")</f>
        <v/>
      </c>
      <c r="G21" s="34">
        <f>IFERROR(VLOOKUP($D21,BS연결,MATCH(G$1,BS연결H,0),0)/100,"")</f>
        <v/>
      </c>
      <c r="H21" s="34">
        <f>IFERROR(VLOOKUP($D21,BS연결,MATCH(H$1,BS연결H,0),0)/100,"")</f>
        <v/>
      </c>
      <c r="I21" s="34">
        <f>IFERROR(VLOOKUP($D21,BS연결,MATCH(I$1,BS연결H,0),0)/100,"")</f>
        <v/>
      </c>
      <c r="J21" s="34">
        <f>IFERROR(VLOOKUP($D21,BS연결,MATCH(J$1,BS연결H,0),0)/100,"")</f>
        <v/>
      </c>
      <c r="K21" s="35">
        <f>IFERROR(VLOOKUP($D21,BS연결,MATCH(K$1,BS연결H,0),0)/100,"")</f>
        <v/>
      </c>
      <c r="L21" s="34">
        <f>IFERROR(VLOOKUP($D21,BS연결,MATCH(L$1,BS연결H,0),0)/100,"")</f>
        <v/>
      </c>
      <c r="M21" s="34">
        <f>IFERROR(VLOOKUP($D21,BS연결,MATCH(M$1,BS연결H,0),0)/100,"")</f>
        <v/>
      </c>
      <c r="N21" s="34">
        <f>IFERROR(VLOOKUP($D21,BS연결,MATCH(N$1,BS연결H,0),0)/100,"")</f>
        <v/>
      </c>
      <c r="O21" s="34">
        <f>IFERROR(VLOOKUP($D21,BS연결,MATCH(O$1,BS연결H,0),0)/100,"")</f>
        <v/>
      </c>
      <c r="P21" s="35">
        <f>IFERROR(VLOOKUP($D21,BS연결,MATCH(P$1,BS연결H,0),0)/100,"")</f>
        <v/>
      </c>
      <c r="Q21" s="34">
        <f>IFERROR(VLOOKUP($D21,BS연결,MATCH(Q$1,BS연결H,0),0)/100,"")</f>
        <v/>
      </c>
      <c r="R21" s="34">
        <f>IFERROR(VLOOKUP($D21,BS연결,MATCH(R$1,BS연결H,0),0)/100,"")</f>
        <v/>
      </c>
      <c r="S21" s="34">
        <f>IFERROR(VLOOKUP($D21,BS연결,MATCH(S$1,BS연결H,0),0)/100,"")</f>
        <v/>
      </c>
      <c r="T21" s="34">
        <f>IFERROR(VLOOKUP($D21,BS연결,MATCH(T$1,BS연결H,0),0)/100,"")</f>
        <v/>
      </c>
      <c r="U21" s="35">
        <f>IFERROR(VLOOKUP($D21,BS연결,MATCH(U$1,BS연결H,0),0)/100,"")</f>
        <v/>
      </c>
      <c r="V21" s="34">
        <f>IFERROR(VLOOKUP($D21,BS연결,MATCH(V$1,BS연결H,0),0)/100,"")</f>
        <v/>
      </c>
      <c r="W21" s="34">
        <f>IFERROR(VLOOKUP($D21,BS연결,MATCH(W$1,BS연결H,0),0)/100,"")</f>
        <v/>
      </c>
      <c r="X21" s="36">
        <f>IFERROR(VLOOKUP($D21,BS연결,MATCH(X$1,BS연결H,0),0)/100,"")</f>
        <v/>
      </c>
      <c r="Y21" s="37">
        <f>IFERROR(Y22+Y23,"")</f>
        <v/>
      </c>
      <c r="Z21" s="38">
        <f>Y21</f>
        <v/>
      </c>
      <c r="AA21" s="37">
        <f>IFERROR(AA22+AA23,"")</f>
        <v/>
      </c>
      <c r="AB21" s="37">
        <f>IFERROR(AB22+AB23,"")</f>
        <v/>
      </c>
      <c r="AC21" s="37">
        <f>IFERROR(AC22+AC23,"")</f>
        <v/>
      </c>
      <c r="AD21" s="37">
        <f>IFERROR(AD22+AD23,"")</f>
        <v/>
      </c>
      <c r="AE21" s="38">
        <f>AD21</f>
        <v/>
      </c>
      <c r="AF21" s="37">
        <f>IFERROR(AF22+AF23,"")</f>
        <v/>
      </c>
      <c r="AG21" s="37">
        <f>IFERROR(AG22+AG23,"")</f>
        <v/>
      </c>
      <c r="AH21" s="37">
        <f>IFERROR(AH22+AH23,"")</f>
        <v/>
      </c>
      <c r="AI21" s="37">
        <f>IFERROR(AI22+AI23,"")</f>
        <v/>
      </c>
      <c r="AJ21" s="38">
        <f>AI21</f>
        <v/>
      </c>
      <c r="AK21" s="37">
        <f>IFERROR(AK22+AK23,"")</f>
        <v/>
      </c>
      <c r="AL21" s="37">
        <f>IFERROR(AL22+AL23,"")</f>
        <v/>
      </c>
      <c r="AM21" s="37">
        <f>IFERROR(AM22+AM23,"")</f>
        <v/>
      </c>
      <c r="AN21" s="37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34">
        <f>IFERROR(VLOOKUP($D22,BS연결,MATCH(E$1,BS연결H,0),0)/100,"")</f>
        <v/>
      </c>
      <c r="F22" s="35">
        <f>IFERROR(VLOOKUP($D22,BS연결,MATCH(F$1,BS연결H,0),0)/100,"")</f>
        <v/>
      </c>
      <c r="G22" s="34">
        <f>IFERROR(VLOOKUP($D22,BS연결,MATCH(G$1,BS연결H,0),0)/100,"")</f>
        <v/>
      </c>
      <c r="H22" s="34">
        <f>IFERROR(VLOOKUP($D22,BS연결,MATCH(H$1,BS연결H,0),0)/100,"")</f>
        <v/>
      </c>
      <c r="I22" s="34">
        <f>IFERROR(VLOOKUP($D22,BS연결,MATCH(I$1,BS연결H,0),0)/100,"")</f>
        <v/>
      </c>
      <c r="J22" s="34">
        <f>IFERROR(VLOOKUP($D22,BS연결,MATCH(J$1,BS연결H,0),0)/100,"")</f>
        <v/>
      </c>
      <c r="K22" s="35">
        <f>IFERROR(VLOOKUP($D22,BS연결,MATCH(K$1,BS연결H,0),0)/100,"")</f>
        <v/>
      </c>
      <c r="L22" s="34">
        <f>IFERROR(VLOOKUP($D22,BS연결,MATCH(L$1,BS연결H,0),0)/100,"")</f>
        <v/>
      </c>
      <c r="M22" s="34">
        <f>IFERROR(VLOOKUP($D22,BS연결,MATCH(M$1,BS연결H,0),0)/100,"")</f>
        <v/>
      </c>
      <c r="N22" s="34">
        <f>IFERROR(VLOOKUP($D22,BS연결,MATCH(N$1,BS연결H,0),0)/100,"")</f>
        <v/>
      </c>
      <c r="O22" s="34">
        <f>IFERROR(VLOOKUP($D22,BS연결,MATCH(O$1,BS연결H,0),0)/100,"")</f>
        <v/>
      </c>
      <c r="P22" s="35">
        <f>IFERROR(VLOOKUP($D22,BS연결,MATCH(P$1,BS연결H,0),0)/100,"")</f>
        <v/>
      </c>
      <c r="Q22" s="34">
        <f>IFERROR(VLOOKUP($D22,BS연결,MATCH(Q$1,BS연결H,0),0)/100,"")</f>
        <v/>
      </c>
      <c r="R22" s="34">
        <f>IFERROR(VLOOKUP($D22,BS연결,MATCH(R$1,BS연결H,0),0)/100,"")</f>
        <v/>
      </c>
      <c r="S22" s="34">
        <f>IFERROR(VLOOKUP($D22,BS연결,MATCH(S$1,BS연결H,0),0)/100,"")</f>
        <v/>
      </c>
      <c r="T22" s="34">
        <f>IFERROR(VLOOKUP($D22,BS연결,MATCH(T$1,BS연결H,0),0)/100,"")</f>
        <v/>
      </c>
      <c r="U22" s="35">
        <f>IFERROR(VLOOKUP($D22,BS연결,MATCH(U$1,BS연결H,0),0)/100,"")</f>
        <v/>
      </c>
      <c r="V22" s="34">
        <f>IFERROR(VLOOKUP($D22,BS연결,MATCH(V$1,BS연결H,0),0)/100,"")</f>
        <v/>
      </c>
      <c r="W22" s="34">
        <f>IFERROR(VLOOKUP($D22,BS연결,MATCH(W$1,BS연결H,0),0)/100,"")</f>
        <v/>
      </c>
      <c r="X22" s="36">
        <f>IFERROR(VLOOKUP($D22,BS연결,MATCH(X$1,BS연결H,0),0)/100,"")</f>
        <v/>
      </c>
      <c r="Y22" s="37">
        <f>IFERROR(X22*(1+변수!Y25),"")</f>
        <v/>
      </c>
      <c r="Z22" s="38">
        <f>Y22</f>
        <v/>
      </c>
      <c r="AA22" s="37">
        <f>IFERROR(Y22*(1+변수!AA25),"")</f>
        <v/>
      </c>
      <c r="AB22" s="37">
        <f>IFERROR(AA22*(1+변수!AB25),"")</f>
        <v/>
      </c>
      <c r="AC22" s="37">
        <f>IFERROR(AB22*(1+변수!AC25),"")</f>
        <v/>
      </c>
      <c r="AD22" s="37">
        <f>IFERROR(AC22*(1+변수!AD25),"")</f>
        <v/>
      </c>
      <c r="AE22" s="38">
        <f>AD22</f>
        <v/>
      </c>
      <c r="AF22" s="37">
        <f>IFERROR(AD22*(1+변수!AF25),"")</f>
        <v/>
      </c>
      <c r="AG22" s="37">
        <f>IFERROR(AF22*(1+변수!AG25),"")</f>
        <v/>
      </c>
      <c r="AH22" s="37">
        <f>IFERROR(AG22*(1+변수!AH25),"")</f>
        <v/>
      </c>
      <c r="AI22" s="37">
        <f>IFERROR(AH22*(1+변수!AI25),"")</f>
        <v/>
      </c>
      <c r="AJ22" s="38">
        <f>AI22</f>
        <v/>
      </c>
      <c r="AK22" s="37">
        <f>IFERROR(AI22*(1+변수!AK25),"")</f>
        <v/>
      </c>
      <c r="AL22" s="37">
        <f>IFERROR(AK22*(1+변수!AL25),"")</f>
        <v/>
      </c>
      <c r="AM22" s="37">
        <f>IFERROR(AL22*(1+변수!AM25),"")</f>
        <v/>
      </c>
      <c r="AN22" s="37">
        <f>IFERROR(AM22*(1+변수!AN25),"")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34">
        <f>IFERROR(VLOOKUP($D23,BS연결,MATCH(E$1,BS연결H,0),0)/100,"")</f>
        <v/>
      </c>
      <c r="F23" s="35">
        <f>IFERROR(VLOOKUP($D23,BS연결,MATCH(F$1,BS연결H,0),0)/100,"")</f>
        <v/>
      </c>
      <c r="G23" s="34">
        <f>IFERROR(VLOOKUP($D23,BS연결,MATCH(G$1,BS연결H,0),0)/100,"")</f>
        <v/>
      </c>
      <c r="H23" s="34">
        <f>IFERROR(VLOOKUP($D23,BS연결,MATCH(H$1,BS연결H,0),0)/100,"")</f>
        <v/>
      </c>
      <c r="I23" s="34">
        <f>IFERROR(VLOOKUP($D23,BS연결,MATCH(I$1,BS연결H,0),0)/100,"")</f>
        <v/>
      </c>
      <c r="J23" s="34">
        <f>IFERROR(VLOOKUP($D23,BS연결,MATCH(J$1,BS연결H,0),0)/100,"")</f>
        <v/>
      </c>
      <c r="K23" s="35">
        <f>IFERROR(VLOOKUP($D23,BS연결,MATCH(K$1,BS연결H,0),0)/100,"")</f>
        <v/>
      </c>
      <c r="L23" s="34">
        <f>IFERROR(VLOOKUP($D23,BS연결,MATCH(L$1,BS연결H,0),0)/100,"")</f>
        <v/>
      </c>
      <c r="M23" s="34">
        <f>IFERROR(VLOOKUP($D23,BS연결,MATCH(M$1,BS연결H,0),0)/100,"")</f>
        <v/>
      </c>
      <c r="N23" s="34">
        <f>IFERROR(VLOOKUP($D23,BS연결,MATCH(N$1,BS연결H,0),0)/100,"")</f>
        <v/>
      </c>
      <c r="O23" s="34">
        <f>IFERROR(VLOOKUP($D23,BS연결,MATCH(O$1,BS연결H,0),0)/100,"")</f>
        <v/>
      </c>
      <c r="P23" s="35">
        <f>IFERROR(VLOOKUP($D23,BS연결,MATCH(P$1,BS연결H,0),0)/100,"")</f>
        <v/>
      </c>
      <c r="Q23" s="34">
        <f>IFERROR(VLOOKUP($D23,BS연결,MATCH(Q$1,BS연결H,0),0)/100,"")</f>
        <v/>
      </c>
      <c r="R23" s="34">
        <f>IFERROR(VLOOKUP($D23,BS연결,MATCH(R$1,BS연결H,0),0)/100,"")</f>
        <v/>
      </c>
      <c r="S23" s="34">
        <f>IFERROR(VLOOKUP($D23,BS연결,MATCH(S$1,BS연결H,0),0)/100,"")</f>
        <v/>
      </c>
      <c r="T23" s="34">
        <f>IFERROR(VLOOKUP($D23,BS연결,MATCH(T$1,BS연결H,0),0)/100,"")</f>
        <v/>
      </c>
      <c r="U23" s="35">
        <f>IFERROR(VLOOKUP($D23,BS연결,MATCH(U$1,BS연결H,0),0)/100,"")</f>
        <v/>
      </c>
      <c r="V23" s="34">
        <f>IFERROR(VLOOKUP($D23,BS연결,MATCH(V$1,BS연결H,0),0)/100,"")</f>
        <v/>
      </c>
      <c r="W23" s="34">
        <f>IFERROR(VLOOKUP($D23,BS연결,MATCH(W$1,BS연결H,0),0)/100,"")</f>
        <v/>
      </c>
      <c r="X23" s="36">
        <f>IFERROR(VLOOKUP($D23,BS연결,MATCH(X$1,BS연결H,0),0)/100,"")</f>
        <v/>
      </c>
      <c r="Y23" s="37">
        <f>IFERROR(X23+Y19-변수!Y26,"")</f>
        <v/>
      </c>
      <c r="Z23" s="38">
        <f>Y23</f>
        <v/>
      </c>
      <c r="AA23" s="37">
        <f>IFERROR(Y23+AA19-변수!AA26,"")</f>
        <v/>
      </c>
      <c r="AB23" s="37">
        <f>IFERROR(AA23+AB19-변수!AB26,"")</f>
        <v/>
      </c>
      <c r="AC23" s="37">
        <f>IFERROR(AB23+AC19-변수!AC26,"")</f>
        <v/>
      </c>
      <c r="AD23" s="37">
        <f>IFERROR(AC23+AD19-변수!AD26,"")</f>
        <v/>
      </c>
      <c r="AE23" s="38">
        <f>AD23</f>
        <v/>
      </c>
      <c r="AF23" s="37">
        <f>IFERROR(AD23+AF19-변수!AF26,"")</f>
        <v/>
      </c>
      <c r="AG23" s="37">
        <f>IFERROR(AF23+AG19-변수!AG26,"")</f>
        <v/>
      </c>
      <c r="AH23" s="37">
        <f>IFERROR(AG23+AH19-변수!AH26,"")</f>
        <v/>
      </c>
      <c r="AI23" s="37">
        <f>IFERROR(AH23+AI19-변수!AI26,"")</f>
        <v/>
      </c>
      <c r="AJ23" s="38">
        <f>AI23</f>
        <v/>
      </c>
      <c r="AK23" s="37">
        <f>IFERROR(AI23+AK19-변수!AK26,"")</f>
        <v/>
      </c>
      <c r="AL23" s="37">
        <f>IFERROR(AK23+AL19-변수!AL26,"")</f>
        <v/>
      </c>
      <c r="AM23" s="37">
        <f>IFERROR(AL23+AM19-변수!AM26,"")</f>
        <v/>
      </c>
      <c r="AN23" s="37">
        <f>IFERROR(AM23+AN19-변수!AN26,"")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34">
        <f>IFERROR(VLOOKUP($D24,BS연결,MATCH(E$1,BS연결H,0),0)/100,"")</f>
        <v/>
      </c>
      <c r="F24" s="35">
        <f>IFERROR(VLOOKUP($D24,BS연결,MATCH(F$1,BS연결H,0),0)/100,"")</f>
        <v/>
      </c>
      <c r="G24" s="34">
        <f>IFERROR(VLOOKUP($D24,BS연결,MATCH(G$1,BS연결H,0),0)/100,"")</f>
        <v/>
      </c>
      <c r="H24" s="34">
        <f>IFERROR(VLOOKUP($D24,BS연결,MATCH(H$1,BS연결H,0),0)/100,"")</f>
        <v/>
      </c>
      <c r="I24" s="34">
        <f>IFERROR(VLOOKUP($D24,BS연결,MATCH(I$1,BS연결H,0),0)/100,"")</f>
        <v/>
      </c>
      <c r="J24" s="34">
        <f>IFERROR(VLOOKUP($D24,BS연결,MATCH(J$1,BS연결H,0),0)/100,"")</f>
        <v/>
      </c>
      <c r="K24" s="35">
        <f>IFERROR(VLOOKUP($D24,BS연결,MATCH(K$1,BS연결H,0),0)/100,"")</f>
        <v/>
      </c>
      <c r="L24" s="34">
        <f>IFERROR(VLOOKUP($D24,BS연결,MATCH(L$1,BS연결H,0),0)/100,"")</f>
        <v/>
      </c>
      <c r="M24" s="34">
        <f>IFERROR(VLOOKUP($D24,BS연결,MATCH(M$1,BS연결H,0),0)/100,"")</f>
        <v/>
      </c>
      <c r="N24" s="34">
        <f>IFERROR(VLOOKUP($D24,BS연결,MATCH(N$1,BS연결H,0),0)/100,"")</f>
        <v/>
      </c>
      <c r="O24" s="34">
        <f>IFERROR(VLOOKUP($D24,BS연결,MATCH(O$1,BS연결H,0),0)/100,"")</f>
        <v/>
      </c>
      <c r="P24" s="35">
        <f>IFERROR(VLOOKUP($D24,BS연결,MATCH(P$1,BS연결H,0),0)/100,"")</f>
        <v/>
      </c>
      <c r="Q24" s="34">
        <f>IFERROR(VLOOKUP($D24,BS연결,MATCH(Q$1,BS연결H,0),0)/100,"")</f>
        <v/>
      </c>
      <c r="R24" s="34">
        <f>IFERROR(VLOOKUP($D24,BS연결,MATCH(R$1,BS연결H,0),0)/100,"")</f>
        <v/>
      </c>
      <c r="S24" s="34">
        <f>IFERROR(VLOOKUP($D24,BS연결,MATCH(S$1,BS연결H,0),0)/100,"")</f>
        <v/>
      </c>
      <c r="T24" s="34">
        <f>IFERROR(VLOOKUP($D24,BS연결,MATCH(T$1,BS연결H,0),0)/100,"")</f>
        <v/>
      </c>
      <c r="U24" s="35">
        <f>IFERROR(VLOOKUP($D24,BS연결,MATCH(U$1,BS연결H,0),0)/100,"")</f>
        <v/>
      </c>
      <c r="V24" s="34">
        <f>IFERROR(VLOOKUP($D24,BS연결,MATCH(V$1,BS연결H,0),0)/100,"")</f>
        <v/>
      </c>
      <c r="W24" s="34">
        <f>IFERROR(VLOOKUP($D24,BS연결,MATCH(W$1,BS연결H,0),0)/100,"")</f>
        <v/>
      </c>
      <c r="X24" s="36">
        <f>IFERROR(VLOOKUP($D24,BS연결,MATCH(X$1,BS연결H,0),0)/100,"")</f>
        <v/>
      </c>
      <c r="Y24" s="37">
        <f>IFERROR(X24+Y20-변수!Y27,"")</f>
        <v/>
      </c>
      <c r="Z24" s="38">
        <f>Y24</f>
        <v/>
      </c>
      <c r="AA24" s="37">
        <f>IFERROR(Y24+AA20-변수!AA27,"")</f>
        <v/>
      </c>
      <c r="AB24" s="37">
        <f>IFERROR(AA24+AB20-변수!AB27,"")</f>
        <v/>
      </c>
      <c r="AC24" s="37">
        <f>IFERROR(AB24+AC20-변수!AC27,"")</f>
        <v/>
      </c>
      <c r="AD24" s="37">
        <f>IFERROR(AC24+AD20-변수!AD27,"")</f>
        <v/>
      </c>
      <c r="AE24" s="38">
        <f>AD24</f>
        <v/>
      </c>
      <c r="AF24" s="37">
        <f>IFERROR(AD24+AF20-변수!AF27,"")</f>
        <v/>
      </c>
      <c r="AG24" s="37">
        <f>IFERROR(AF24+AG20-변수!AG27,"")</f>
        <v/>
      </c>
      <c r="AH24" s="37">
        <f>IFERROR(AG24+AH20-변수!AH27,"")</f>
        <v/>
      </c>
      <c r="AI24" s="37">
        <f>IFERROR(AH24+AI20-변수!AI27,"")</f>
        <v/>
      </c>
      <c r="AJ24" s="38">
        <f>AI24</f>
        <v/>
      </c>
      <c r="AK24" s="37">
        <f>IFERROR(AI24+AK20-변수!AK27,"")</f>
        <v/>
      </c>
      <c r="AL24" s="37">
        <f>IFERROR(AK24+AL20-변수!AL27,"")</f>
        <v/>
      </c>
      <c r="AM24" s="37">
        <f>IFERROR(AL24+AM20-변수!AM27,"")</f>
        <v/>
      </c>
      <c r="AN24" s="37">
        <f>IFERROR(AM24+AN20-변수!AN27,"")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34">
        <f>IFERROR(VLOOKUP($D25,BS연결,MATCH(E$1,BS연결H,0),0)/100,"")</f>
        <v/>
      </c>
      <c r="F25" s="35">
        <f>IFERROR(VLOOKUP($D25,BS연결,MATCH(F$1,BS연결H,0),0)/100,"")</f>
        <v/>
      </c>
      <c r="G25" s="34">
        <f>IFERROR(VLOOKUP($D25,BS연결,MATCH(G$1,BS연결H,0),0)/100,"")</f>
        <v/>
      </c>
      <c r="H25" s="34">
        <f>IFERROR(VLOOKUP($D25,BS연결,MATCH(H$1,BS연결H,0),0)/100,"")</f>
        <v/>
      </c>
      <c r="I25" s="34">
        <f>IFERROR(VLOOKUP($D25,BS연결,MATCH(I$1,BS연결H,0),0)/100,"")</f>
        <v/>
      </c>
      <c r="J25" s="34">
        <f>IFERROR(VLOOKUP($D25,BS연결,MATCH(J$1,BS연결H,0),0)/100,"")</f>
        <v/>
      </c>
      <c r="K25" s="35">
        <f>IFERROR(VLOOKUP($D25,BS연결,MATCH(K$1,BS연결H,0),0)/100,"")</f>
        <v/>
      </c>
      <c r="L25" s="34">
        <f>IFERROR(VLOOKUP($D25,BS연결,MATCH(L$1,BS연결H,0),0)/100,"")</f>
        <v/>
      </c>
      <c r="M25" s="34">
        <f>IFERROR(VLOOKUP($D25,BS연결,MATCH(M$1,BS연결H,0),0)/100,"")</f>
        <v/>
      </c>
      <c r="N25" s="34">
        <f>IFERROR(VLOOKUP($D25,BS연결,MATCH(N$1,BS연결H,0),0)/100,"")</f>
        <v/>
      </c>
      <c r="O25" s="34">
        <f>IFERROR(VLOOKUP($D25,BS연결,MATCH(O$1,BS연결H,0),0)/100,"")</f>
        <v/>
      </c>
      <c r="P25" s="35">
        <f>IFERROR(VLOOKUP($D25,BS연결,MATCH(P$1,BS연결H,0),0)/100,"")</f>
        <v/>
      </c>
      <c r="Q25" s="34">
        <f>IFERROR(VLOOKUP($D25,BS연결,MATCH(Q$1,BS연결H,0),0)/100,"")</f>
        <v/>
      </c>
      <c r="R25" s="34">
        <f>IFERROR(VLOOKUP($D25,BS연결,MATCH(R$1,BS연결H,0),0)/100,"")</f>
        <v/>
      </c>
      <c r="S25" s="34">
        <f>IFERROR(VLOOKUP($D25,BS연결,MATCH(S$1,BS연결H,0),0)/100,"")</f>
        <v/>
      </c>
      <c r="T25" s="34">
        <f>IFERROR(VLOOKUP($D25,BS연결,MATCH(T$1,BS연결H,0),0)/100,"")</f>
        <v/>
      </c>
      <c r="U25" s="35">
        <f>IFERROR(VLOOKUP($D25,BS연결,MATCH(U$1,BS연결H,0),0)/100,"")</f>
        <v/>
      </c>
      <c r="V25" s="34">
        <f>IFERROR(VLOOKUP($D25,BS연결,MATCH(V$1,BS연결H,0),0)/100,"")</f>
        <v/>
      </c>
      <c r="W25" s="34">
        <f>IFERROR(VLOOKUP($D25,BS연결,MATCH(W$1,BS연결H,0),0)/100,"")</f>
        <v/>
      </c>
      <c r="X25" s="36">
        <f>IFERROR(VLOOKUP($D25,BS연결,MATCH(X$1,BS연결H,0),0)/100,"")</f>
        <v/>
      </c>
      <c r="Y25" s="37">
        <f>IFERROR(X25*(1+변수!Y28),"")</f>
        <v/>
      </c>
      <c r="Z25" s="38">
        <f>Y25</f>
        <v/>
      </c>
      <c r="AA25" s="37">
        <f>IFERROR(Y25*(1+변수!AA28),"")</f>
        <v/>
      </c>
      <c r="AB25" s="37">
        <f>IFERROR(AA25*(1+변수!AB28),"")</f>
        <v/>
      </c>
      <c r="AC25" s="37">
        <f>IFERROR(AB25*(1+변수!AC28),"")</f>
        <v/>
      </c>
      <c r="AD25" s="37">
        <f>IFERROR(AC25*(1+변수!AD28),"")</f>
        <v/>
      </c>
      <c r="AE25" s="38">
        <f>AD25</f>
        <v/>
      </c>
      <c r="AF25" s="37">
        <f>IFERROR(AD25*(1+변수!AF28),"")</f>
        <v/>
      </c>
      <c r="AG25" s="37">
        <f>IFERROR(AF25*(1+변수!AG28),"")</f>
        <v/>
      </c>
      <c r="AH25" s="37">
        <f>IFERROR(AG25*(1+변수!AH28),"")</f>
        <v/>
      </c>
      <c r="AI25" s="37">
        <f>IFERROR(AH25*(1+변수!AI28),"")</f>
        <v/>
      </c>
      <c r="AJ25" s="38">
        <f>AI25</f>
        <v/>
      </c>
      <c r="AK25" s="37">
        <f>IFERROR(AI25*(1+변수!AK28),"")</f>
        <v/>
      </c>
      <c r="AL25" s="37">
        <f>IFERROR(AK25*(1+변수!AL28),"")</f>
        <v/>
      </c>
      <c r="AM25" s="37">
        <f>IFERROR(AL25*(1+변수!AM28),"")</f>
        <v/>
      </c>
      <c r="AN25" s="37">
        <f>IFERROR(AM25*(1+변수!AN28),"")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34">
        <f>IFERROR(VLOOKUP($D26,BS연결,MATCH(E$1,BS연결H,0),0)/100,"")</f>
        <v/>
      </c>
      <c r="F26" s="35">
        <f>IFERROR(VLOOKUP($D26,BS연결,MATCH(F$1,BS연결H,0),0)/100,"")</f>
        <v/>
      </c>
      <c r="G26" s="34">
        <f>IFERROR(VLOOKUP($D26,BS연결,MATCH(G$1,BS연결H,0),0)/100,"")</f>
        <v/>
      </c>
      <c r="H26" s="34">
        <f>IFERROR(VLOOKUP($D26,BS연결,MATCH(H$1,BS연결H,0),0)/100,"")</f>
        <v/>
      </c>
      <c r="I26" s="34">
        <f>IFERROR(VLOOKUP($D26,BS연결,MATCH(I$1,BS연결H,0),0)/100,"")</f>
        <v/>
      </c>
      <c r="J26" s="34">
        <f>IFERROR(VLOOKUP($D26,BS연결,MATCH(J$1,BS연결H,0),0)/100,"")</f>
        <v/>
      </c>
      <c r="K26" s="35">
        <f>IFERROR(VLOOKUP($D26,BS연결,MATCH(K$1,BS연결H,0),0)/100,"")</f>
        <v/>
      </c>
      <c r="L26" s="34">
        <f>IFERROR(VLOOKUP($D26,BS연결,MATCH(L$1,BS연결H,0),0)/100,"")</f>
        <v/>
      </c>
      <c r="M26" s="34">
        <f>IFERROR(VLOOKUP($D26,BS연결,MATCH(M$1,BS연결H,0),0)/100,"")</f>
        <v/>
      </c>
      <c r="N26" s="34">
        <f>IFERROR(VLOOKUP($D26,BS연결,MATCH(N$1,BS연결H,0),0)/100,"")</f>
        <v/>
      </c>
      <c r="O26" s="34">
        <f>IFERROR(VLOOKUP($D26,BS연결,MATCH(O$1,BS연결H,0),0)/100,"")</f>
        <v/>
      </c>
      <c r="P26" s="35">
        <f>IFERROR(VLOOKUP($D26,BS연결,MATCH(P$1,BS연결H,0),0)/100,"")</f>
        <v/>
      </c>
      <c r="Q26" s="34">
        <f>IFERROR(VLOOKUP($D26,BS연결,MATCH(Q$1,BS연결H,0),0)/100,"")</f>
        <v/>
      </c>
      <c r="R26" s="34">
        <f>IFERROR(VLOOKUP($D26,BS연결,MATCH(R$1,BS연결H,0),0)/100,"")</f>
        <v/>
      </c>
      <c r="S26" s="34">
        <f>IFERROR(VLOOKUP($D26,BS연결,MATCH(S$1,BS연결H,0),0)/100,"")</f>
        <v/>
      </c>
      <c r="T26" s="34">
        <f>IFERROR(VLOOKUP($D26,BS연결,MATCH(T$1,BS연결H,0),0)/100,"")</f>
        <v/>
      </c>
      <c r="U26" s="35">
        <f>IFERROR(VLOOKUP($D26,BS연결,MATCH(U$1,BS연결H,0),0)/100,"")</f>
        <v/>
      </c>
      <c r="V26" s="34">
        <f>IFERROR(VLOOKUP($D26,BS연결,MATCH(V$1,BS연결H,0),0)/100,"")</f>
        <v/>
      </c>
      <c r="W26" s="34">
        <f>IFERROR(VLOOKUP($D26,BS연결,MATCH(W$1,BS연결H,0),0)/100,"")</f>
        <v/>
      </c>
      <c r="X26" s="36">
        <f>IFERROR(VLOOKUP($D26,BS연결,MATCH(X$1,BS연결H,0),0)/100,"")</f>
        <v/>
      </c>
      <c r="Y26" s="37">
        <f>IFERROR(X26*(1+변수!Y29),"")</f>
        <v/>
      </c>
      <c r="Z26" s="38">
        <f>Y26</f>
        <v/>
      </c>
      <c r="AA26" s="37">
        <f>IFERROR(Y26*(1+변수!AA29),"")</f>
        <v/>
      </c>
      <c r="AB26" s="37">
        <f>IFERROR(AA26*(1+변수!AB29),"")</f>
        <v/>
      </c>
      <c r="AC26" s="37">
        <f>IFERROR(AB26*(1+변수!AC29),"")</f>
        <v/>
      </c>
      <c r="AD26" s="37">
        <f>IFERROR(AC26*(1+변수!AD29),"")</f>
        <v/>
      </c>
      <c r="AE26" s="38">
        <f>AD26</f>
        <v/>
      </c>
      <c r="AF26" s="37">
        <f>IFERROR(AD26*(1+변수!AF29),"")</f>
        <v/>
      </c>
      <c r="AG26" s="37">
        <f>IFERROR(AF26*(1+변수!AG29),"")</f>
        <v/>
      </c>
      <c r="AH26" s="37">
        <f>IFERROR(AG26*(1+변수!AH29),"")</f>
        <v/>
      </c>
      <c r="AI26" s="37">
        <f>IFERROR(AH26*(1+변수!AI29),"")</f>
        <v/>
      </c>
      <c r="AJ26" s="38">
        <f>AI26</f>
        <v/>
      </c>
      <c r="AK26" s="37">
        <f>IFERROR(AI26*(1+변수!AK29),"")</f>
        <v/>
      </c>
      <c r="AL26" s="37">
        <f>IFERROR(AK26*(1+변수!AL29),"")</f>
        <v/>
      </c>
      <c r="AM26" s="37">
        <f>IFERROR(AL26*(1+변수!AM29),"")</f>
        <v/>
      </c>
      <c r="AN26" s="37">
        <f>IFERROR(AM26*(1+변수!AN29),"")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34">
        <f>IFERROR(VLOOKUP($D27,BS연결,MATCH(E$1,BS연결H,0),0)/100,"")</f>
        <v/>
      </c>
      <c r="F27" s="35">
        <f>IFERROR(VLOOKUP($D27,BS연결,MATCH(F$1,BS연결H,0),0)/100,"")</f>
        <v/>
      </c>
      <c r="G27" s="34">
        <f>IFERROR(VLOOKUP($D27,BS연결,MATCH(G$1,BS연결H,0),0)/100,"")</f>
        <v/>
      </c>
      <c r="H27" s="34">
        <f>IFERROR(VLOOKUP($D27,BS연결,MATCH(H$1,BS연결H,0),0)/100,"")</f>
        <v/>
      </c>
      <c r="I27" s="34">
        <f>IFERROR(VLOOKUP($D27,BS연결,MATCH(I$1,BS연결H,0),0)/100,"")</f>
        <v/>
      </c>
      <c r="J27" s="34">
        <f>IFERROR(VLOOKUP($D27,BS연결,MATCH(J$1,BS연결H,0),0)/100,"")</f>
        <v/>
      </c>
      <c r="K27" s="35">
        <f>IFERROR(VLOOKUP($D27,BS연결,MATCH(K$1,BS연결H,0),0)/100,"")</f>
        <v/>
      </c>
      <c r="L27" s="34">
        <f>IFERROR(VLOOKUP($D27,BS연결,MATCH(L$1,BS연결H,0),0)/100,"")</f>
        <v/>
      </c>
      <c r="M27" s="34">
        <f>IFERROR(VLOOKUP($D27,BS연결,MATCH(M$1,BS연결H,0),0)/100,"")</f>
        <v/>
      </c>
      <c r="N27" s="34">
        <f>IFERROR(VLOOKUP($D27,BS연결,MATCH(N$1,BS연결H,0),0)/100,"")</f>
        <v/>
      </c>
      <c r="O27" s="34">
        <f>IFERROR(VLOOKUP($D27,BS연결,MATCH(O$1,BS연결H,0),0)/100,"")</f>
        <v/>
      </c>
      <c r="P27" s="35">
        <f>IFERROR(VLOOKUP($D27,BS연결,MATCH(P$1,BS연결H,0),0)/100,"")</f>
        <v/>
      </c>
      <c r="Q27" s="34">
        <f>IFERROR(VLOOKUP($D27,BS연결,MATCH(Q$1,BS연결H,0),0)/100,"")</f>
        <v/>
      </c>
      <c r="R27" s="34">
        <f>IFERROR(VLOOKUP($D27,BS연결,MATCH(R$1,BS연결H,0),0)/100,"")</f>
        <v/>
      </c>
      <c r="S27" s="34">
        <f>IFERROR(VLOOKUP($D27,BS연결,MATCH(S$1,BS연결H,0),0)/100,"")</f>
        <v/>
      </c>
      <c r="T27" s="34">
        <f>IFERROR(VLOOKUP($D27,BS연결,MATCH(T$1,BS연결H,0),0)/100,"")</f>
        <v/>
      </c>
      <c r="U27" s="35">
        <f>IFERROR(VLOOKUP($D27,BS연결,MATCH(U$1,BS연결H,0),0)/100,"")</f>
        <v/>
      </c>
      <c r="V27" s="34">
        <f>IFERROR(VLOOKUP($D27,BS연결,MATCH(V$1,BS연결H,0),0)/100,"")</f>
        <v/>
      </c>
      <c r="W27" s="34">
        <f>IFERROR(VLOOKUP($D27,BS연결,MATCH(W$1,BS연결H,0),0)/100,"")</f>
        <v/>
      </c>
      <c r="X27" s="36">
        <f>IFERROR(VLOOKUP($D27,BS연결,MATCH(X$1,BS연결H,0),0)/100,"")</f>
        <v/>
      </c>
      <c r="Y27" s="37">
        <f>IFERROR(X27*(1+변수!Y30),"")</f>
        <v/>
      </c>
      <c r="Z27" s="38">
        <f>Y27</f>
        <v/>
      </c>
      <c r="AA27" s="37">
        <f>IFERROR(Y27*(1+변수!AA30),"")</f>
        <v/>
      </c>
      <c r="AB27" s="37">
        <f>IFERROR(AA27*(1+변수!AB30),"")</f>
        <v/>
      </c>
      <c r="AC27" s="37">
        <f>IFERROR(AB27*(1+변수!AC30),"")</f>
        <v/>
      </c>
      <c r="AD27" s="37">
        <f>IFERROR(AC27*(1+변수!AD30),"")</f>
        <v/>
      </c>
      <c r="AE27" s="38">
        <f>AD27</f>
        <v/>
      </c>
      <c r="AF27" s="37">
        <f>IFERROR(AD27*(1+변수!AF30),"")</f>
        <v/>
      </c>
      <c r="AG27" s="37">
        <f>IFERROR(AF27*(1+변수!AG30),"")</f>
        <v/>
      </c>
      <c r="AH27" s="37">
        <f>IFERROR(AG27*(1+변수!AH30),"")</f>
        <v/>
      </c>
      <c r="AI27" s="37">
        <f>IFERROR(AH27*(1+변수!AI30),"")</f>
        <v/>
      </c>
      <c r="AJ27" s="38">
        <f>AI27</f>
        <v/>
      </c>
      <c r="AK27" s="37">
        <f>IFERROR(AI27*(1+변수!AK30),"")</f>
        <v/>
      </c>
      <c r="AL27" s="37">
        <f>IFERROR(AK27*(1+변수!AL30),"")</f>
        <v/>
      </c>
      <c r="AM27" s="37">
        <f>IFERROR(AL27*(1+변수!AM30),"")</f>
        <v/>
      </c>
      <c r="AN27" s="37">
        <f>IFERROR(AM27*(1+변수!AN30),"")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34">
        <f>IFERROR(VLOOKUP($D28,BS연결,MATCH(E$1,BS연결H,0),0)/100,"")</f>
        <v/>
      </c>
      <c r="F28" s="35">
        <f>IFERROR(VLOOKUP($D28,BS연결,MATCH(F$1,BS연결H,0),0)/100,"")</f>
        <v/>
      </c>
      <c r="G28" s="34">
        <f>IFERROR(VLOOKUP($D28,BS연결,MATCH(G$1,BS연결H,0),0)/100,"")</f>
        <v/>
      </c>
      <c r="H28" s="34">
        <f>IFERROR(VLOOKUP($D28,BS연결,MATCH(H$1,BS연결H,0),0)/100,"")</f>
        <v/>
      </c>
      <c r="I28" s="34">
        <f>IFERROR(VLOOKUP($D28,BS연결,MATCH(I$1,BS연결H,0),0)/100,"")</f>
        <v/>
      </c>
      <c r="J28" s="34">
        <f>IFERROR(VLOOKUP($D28,BS연결,MATCH(J$1,BS연결H,0),0)/100,"")</f>
        <v/>
      </c>
      <c r="K28" s="35">
        <f>IFERROR(VLOOKUP($D28,BS연결,MATCH(K$1,BS연결H,0),0)/100,"")</f>
        <v/>
      </c>
      <c r="L28" s="34">
        <f>IFERROR(VLOOKUP($D28,BS연결,MATCH(L$1,BS연결H,0),0)/100,"")</f>
        <v/>
      </c>
      <c r="M28" s="34">
        <f>IFERROR(VLOOKUP($D28,BS연결,MATCH(M$1,BS연결H,0),0)/100,"")</f>
        <v/>
      </c>
      <c r="N28" s="34">
        <f>IFERROR(VLOOKUP($D28,BS연결,MATCH(N$1,BS연결H,0),0)/100,"")</f>
        <v/>
      </c>
      <c r="O28" s="34">
        <f>IFERROR(VLOOKUP($D28,BS연결,MATCH(O$1,BS연결H,0),0)/100,"")</f>
        <v/>
      </c>
      <c r="P28" s="35">
        <f>IFERROR(VLOOKUP($D28,BS연결,MATCH(P$1,BS연결H,0),0)/100,"")</f>
        <v/>
      </c>
      <c r="Q28" s="34">
        <f>IFERROR(VLOOKUP($D28,BS연결,MATCH(Q$1,BS연결H,0),0)/100,"")</f>
        <v/>
      </c>
      <c r="R28" s="34">
        <f>IFERROR(VLOOKUP($D28,BS연결,MATCH(R$1,BS연결H,0),0)/100,"")</f>
        <v/>
      </c>
      <c r="S28" s="34">
        <f>IFERROR(VLOOKUP($D28,BS연결,MATCH(S$1,BS연결H,0),0)/100,"")</f>
        <v/>
      </c>
      <c r="T28" s="34">
        <f>IFERROR(VLOOKUP($D28,BS연결,MATCH(T$1,BS연결H,0),0)/100,"")</f>
        <v/>
      </c>
      <c r="U28" s="35">
        <f>IFERROR(VLOOKUP($D28,BS연결,MATCH(U$1,BS연결H,0),0)/100,"")</f>
        <v/>
      </c>
      <c r="V28" s="34">
        <f>IFERROR(VLOOKUP($D28,BS연결,MATCH(V$1,BS연결H,0),0)/100,"")</f>
        <v/>
      </c>
      <c r="W28" s="34">
        <f>IFERROR(VLOOKUP($D28,BS연결,MATCH(W$1,BS연결H,0),0)/100,"")</f>
        <v/>
      </c>
      <c r="X28" s="36">
        <f>IFERROR(VLOOKUP($D28,BS연결,MATCH(X$1,BS연결H,0),0)/100,"")</f>
        <v/>
      </c>
      <c r="Y28" s="37" t="n"/>
      <c r="Z28" s="38">
        <f>Y28</f>
        <v/>
      </c>
      <c r="AA28" s="37" t="n"/>
      <c r="AB28" s="37" t="n"/>
      <c r="AC28" s="37" t="n"/>
      <c r="AD28" s="37" t="n"/>
      <c r="AE28" s="38">
        <f>AD28</f>
        <v/>
      </c>
      <c r="AF28" s="37" t="n"/>
      <c r="AG28" s="37" t="n"/>
      <c r="AH28" s="37" t="n"/>
      <c r="AI28" s="37" t="n"/>
      <c r="AJ28" s="38">
        <f>AI28</f>
        <v/>
      </c>
      <c r="AK28" s="37" t="n"/>
      <c r="AL28" s="37" t="n"/>
      <c r="AM28" s="37" t="n"/>
      <c r="AN28" s="37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34">
        <f>IFERROR(VLOOKUP($D29,BS연결,MATCH(E$1,BS연결H,0),0)/100,"")</f>
        <v/>
      </c>
      <c r="F29" s="35" t="n"/>
      <c r="G29" s="34">
        <f>IFERROR(VLOOKUP($D29,BS연결,MATCH(G$1,BS연결H,0),0)/100,"")</f>
        <v/>
      </c>
      <c r="H29" s="34">
        <f>IFERROR(VLOOKUP($D29,BS연결,MATCH(H$1,BS연결H,0),0)/100,"")</f>
        <v/>
      </c>
      <c r="I29" s="34">
        <f>IFERROR(VLOOKUP($D29,BS연결,MATCH(I$1,BS연결H,0),0)/100,"")</f>
        <v/>
      </c>
      <c r="J29" s="34">
        <f>IFERROR(VLOOKUP($D29,BS연결,MATCH(J$1,BS연결H,0),0)/100,"")</f>
        <v/>
      </c>
      <c r="K29" s="35">
        <f>IFERROR(VLOOKUP($D29,BS연결,MATCH(K$1,BS연결H,0),0)/100,"")</f>
        <v/>
      </c>
      <c r="L29" s="34">
        <f>IFERROR(VLOOKUP($D29,BS연결,MATCH(L$1,BS연결H,0),0)/100,"")</f>
        <v/>
      </c>
      <c r="M29" s="34">
        <f>IFERROR(VLOOKUP($D29,BS연결,MATCH(M$1,BS연결H,0),0)/100,"")</f>
        <v/>
      </c>
      <c r="N29" s="34">
        <f>IFERROR(VLOOKUP($D29,BS연결,MATCH(N$1,BS연결H,0),0)/100,"")</f>
        <v/>
      </c>
      <c r="O29" s="34">
        <f>IFERROR(VLOOKUP($D29,BS연결,MATCH(O$1,BS연결H,0),0)/100,"")</f>
        <v/>
      </c>
      <c r="P29" s="35">
        <f>IFERROR(VLOOKUP($D29,BS연결,MATCH(P$1,BS연결H,0),0)/100,"")</f>
        <v/>
      </c>
      <c r="Q29" s="34">
        <f>IFERROR(VLOOKUP($D29,BS연결,MATCH(Q$1,BS연결H,0),0)/100,"")</f>
        <v/>
      </c>
      <c r="R29" s="34">
        <f>IFERROR(VLOOKUP($D29,BS연결,MATCH(R$1,BS연결H,0),0)/100,"")</f>
        <v/>
      </c>
      <c r="S29" s="34">
        <f>IFERROR(VLOOKUP($D29,BS연결,MATCH(S$1,BS연결H,0),0)/100,"")</f>
        <v/>
      </c>
      <c r="T29" s="34">
        <f>IFERROR(VLOOKUP($D29,BS연결,MATCH(T$1,BS연결H,0),0)/100,"")</f>
        <v/>
      </c>
      <c r="U29" s="35">
        <f>IFERROR(VLOOKUP($D29,BS연결,MATCH(U$1,BS연결H,0),0)/100,"")</f>
        <v/>
      </c>
      <c r="V29" s="34">
        <f>IFERROR(VLOOKUP($D29,BS연결,MATCH(V$1,BS연결H,0),0)/100,"")</f>
        <v/>
      </c>
      <c r="W29" s="34">
        <f>IFERROR(VLOOKUP($D29,BS연결,MATCH(W$1,BS연결H,0),0)/100,"")</f>
        <v/>
      </c>
      <c r="X29" s="36">
        <f>IFERROR(VLOOKUP($D29,BS연결,MATCH(X$1,BS연결H,0),0)/100,"")</f>
        <v/>
      </c>
      <c r="Y29" s="37">
        <f>IFERROR(T29*(1+변수!Y32),"")</f>
        <v/>
      </c>
      <c r="Z29" s="38">
        <f>SUM(V29:Y29)</f>
        <v/>
      </c>
      <c r="AA29" s="37">
        <f>IFERROR(V29*(1+변수!AA32),"")</f>
        <v/>
      </c>
      <c r="AB29" s="37">
        <f>IFERROR(W29*(1+변수!AB32),"")</f>
        <v/>
      </c>
      <c r="AC29" s="37">
        <f>IFERROR(X29*(1+변수!AC32),"")</f>
        <v/>
      </c>
      <c r="AD29" s="37">
        <f>IFERROR(Y29*(1+변수!AD32),"")</f>
        <v/>
      </c>
      <c r="AE29" s="38">
        <f>SUM(AA29:AD29)</f>
        <v/>
      </c>
      <c r="AF29" s="37">
        <f>IFERROR(AA29*(1+변수!AF32),"")</f>
        <v/>
      </c>
      <c r="AG29" s="37">
        <f>IFERROR(AB29*(1+변수!AG32),"")</f>
        <v/>
      </c>
      <c r="AH29" s="37">
        <f>IFERROR(AC29*(1+변수!AH32),"")</f>
        <v/>
      </c>
      <c r="AI29" s="37">
        <f>IFERROR(AD29*(1+변수!AI32),"")</f>
        <v/>
      </c>
      <c r="AJ29" s="38">
        <f>SUM(AF29:AI29)</f>
        <v/>
      </c>
      <c r="AK29" s="37">
        <f>IFERROR(AF29*(1+변수!AK32),"")</f>
        <v/>
      </c>
      <c r="AL29" s="37">
        <f>IFERROR(AG29*(1+변수!AL32),"")</f>
        <v/>
      </c>
      <c r="AM29" s="37">
        <f>IFERROR(AH29*(1+변수!AM32),"")</f>
        <v/>
      </c>
      <c r="AN29" s="37">
        <f>IFERROR(AI29*(1+변수!AN32),"")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34">
        <f>IFERROR(VLOOKUP($D30,BS연결,MATCH(E$1,BS연결H,0),0)/100,"")</f>
        <v/>
      </c>
      <c r="F30" s="35" t="n"/>
      <c r="G30" s="34">
        <f>IFERROR(VLOOKUP($D30,BS연결,MATCH(G$1,BS연결H,0),0)/100,"")</f>
        <v/>
      </c>
      <c r="H30" s="34">
        <f>IFERROR(VLOOKUP($D30,BS연결,MATCH(H$1,BS연결H,0),0)/100,"")</f>
        <v/>
      </c>
      <c r="I30" s="34">
        <f>IFERROR(VLOOKUP($D30,BS연결,MATCH(I$1,BS연결H,0),0)/100,"")</f>
        <v/>
      </c>
      <c r="J30" s="34">
        <f>IFERROR(VLOOKUP($D30,BS연결,MATCH(J$1,BS연결H,0),0)/100,"")</f>
        <v/>
      </c>
      <c r="K30" s="35">
        <f>IFERROR(VLOOKUP($D30,BS연결,MATCH(K$1,BS연결H,0),0)/100,"")</f>
        <v/>
      </c>
      <c r="L30" s="34">
        <f>IFERROR(VLOOKUP($D30,BS연결,MATCH(L$1,BS연결H,0),0)/100,"")</f>
        <v/>
      </c>
      <c r="M30" s="34">
        <f>IFERROR(VLOOKUP($D30,BS연결,MATCH(M$1,BS연결H,0),0)/100,"")</f>
        <v/>
      </c>
      <c r="N30" s="34">
        <f>IFERROR(VLOOKUP($D30,BS연결,MATCH(N$1,BS연결H,0),0)/100,"")</f>
        <v/>
      </c>
      <c r="O30" s="34">
        <f>IFERROR(VLOOKUP($D30,BS연결,MATCH(O$1,BS연결H,0),0)/100,"")</f>
        <v/>
      </c>
      <c r="P30" s="35">
        <f>IFERROR(VLOOKUP($D30,BS연결,MATCH(P$1,BS연결H,0),0)/100,"")</f>
        <v/>
      </c>
      <c r="Q30" s="34">
        <f>IFERROR(VLOOKUP($D30,BS연결,MATCH(Q$1,BS연결H,0),0)/100,"")</f>
        <v/>
      </c>
      <c r="R30" s="34">
        <f>IFERROR(VLOOKUP($D30,BS연결,MATCH(R$1,BS연결H,0),0)/100,"")</f>
        <v/>
      </c>
      <c r="S30" s="34">
        <f>IFERROR(VLOOKUP($D30,BS연결,MATCH(S$1,BS연결H,0),0)/100,"")</f>
        <v/>
      </c>
      <c r="T30" s="34">
        <f>IFERROR(VLOOKUP($D30,BS연결,MATCH(T$1,BS연결H,0),0)/100,"")</f>
        <v/>
      </c>
      <c r="U30" s="35">
        <f>IFERROR(VLOOKUP($D30,BS연결,MATCH(U$1,BS연결H,0),0)/100,"")</f>
        <v/>
      </c>
      <c r="V30" s="34">
        <f>IFERROR(VLOOKUP($D30,BS연결,MATCH(V$1,BS연결H,0),0)/100,"")</f>
        <v/>
      </c>
      <c r="W30" s="34">
        <f>IFERROR(VLOOKUP($D30,BS연결,MATCH(W$1,BS연결H,0),0)/100,"")</f>
        <v/>
      </c>
      <c r="X30" s="36">
        <f>IFERROR(VLOOKUP($D30,BS연결,MATCH(X$1,BS연결H,0),0)/100,"")</f>
        <v/>
      </c>
      <c r="Y30" s="37" t="n"/>
      <c r="Z30" s="38">
        <f>SUM(V30:Y30)</f>
        <v/>
      </c>
      <c r="AA30" s="37" t="n"/>
      <c r="AB30" s="37" t="n"/>
      <c r="AC30" s="37" t="n"/>
      <c r="AD30" s="37" t="n"/>
      <c r="AE30" s="38">
        <f>SUM(AA30:AD30)</f>
        <v/>
      </c>
      <c r="AF30" s="37" t="n"/>
      <c r="AG30" s="37" t="n"/>
      <c r="AH30" s="37" t="n"/>
      <c r="AI30" s="37" t="n"/>
      <c r="AJ30" s="38">
        <f>SUM(AF30:AI30)</f>
        <v/>
      </c>
      <c r="AK30" s="37" t="n"/>
      <c r="AL30" s="37" t="n"/>
      <c r="AM30" s="37" t="n"/>
      <c r="AN30" s="37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4" t="n">
        <v>39.884</v>
      </c>
      <c r="F31" s="25">
        <f>E31</f>
        <v/>
      </c>
      <c r="G31" s="24" t="n">
        <v>39.884</v>
      </c>
      <c r="H31" s="24" t="n">
        <v>39.884</v>
      </c>
      <c r="I31" s="24" t="n">
        <v>39.884</v>
      </c>
      <c r="J31" s="24" t="n">
        <v>39.884</v>
      </c>
      <c r="K31" s="25">
        <f>J31</f>
        <v/>
      </c>
      <c r="L31" s="24" t="n">
        <v>39.884</v>
      </c>
      <c r="M31" s="24" t="n">
        <v>39.884</v>
      </c>
      <c r="N31" s="24" t="n">
        <v>39.884</v>
      </c>
      <c r="O31" s="24" t="n">
        <v>39.884</v>
      </c>
      <c r="P31" s="25">
        <f>O31</f>
        <v/>
      </c>
      <c r="Q31" s="24" t="n">
        <v>39.884</v>
      </c>
      <c r="R31" s="24" t="n">
        <v>39.884</v>
      </c>
      <c r="S31" s="24" t="n">
        <v>39.884</v>
      </c>
      <c r="T31" s="24" t="n">
        <v>39.884</v>
      </c>
      <c r="U31" s="25">
        <f>T31</f>
        <v/>
      </c>
      <c r="V31" s="24" t="n">
        <v>39.884</v>
      </c>
      <c r="W31" s="24" t="n">
        <v>39.884</v>
      </c>
      <c r="X31" s="26" t="n">
        <v>39.884</v>
      </c>
      <c r="Y31" s="30">
        <f>IFERROR(X31*(1+변수!Y34),"")</f>
        <v/>
      </c>
      <c r="Z31" s="28">
        <f>Y31</f>
        <v/>
      </c>
      <c r="AA31" s="30">
        <f>IFERROR(Y31*(1+변수!AA34),"")</f>
        <v/>
      </c>
      <c r="AB31" s="30">
        <f>IFERROR(AA31*(1+변수!AB34),"")</f>
        <v/>
      </c>
      <c r="AC31" s="30">
        <f>IFERROR(AB31*(1+변수!AC34),"")</f>
        <v/>
      </c>
      <c r="AD31" s="30">
        <f>IFERROR(AC31*(1+변수!AD34),"")</f>
        <v/>
      </c>
      <c r="AE31" s="28">
        <f>AD31</f>
        <v/>
      </c>
      <c r="AF31" s="30">
        <f>IFERROR(AD31*(1+변수!AF34),"")</f>
        <v/>
      </c>
      <c r="AG31" s="30">
        <f>IFERROR(AF31*(1+변수!AG34),"")</f>
        <v/>
      </c>
      <c r="AH31" s="30">
        <f>IFERROR(AG31*(1+변수!AH34),"")</f>
        <v/>
      </c>
      <c r="AI31" s="30">
        <f>IFERROR(AH31*(1+변수!AI34),"")</f>
        <v/>
      </c>
      <c r="AJ31" s="28">
        <f>AI31</f>
        <v/>
      </c>
      <c r="AK31" s="30">
        <f>IFERROR(AI31*(1+변수!AK34),"")</f>
        <v/>
      </c>
      <c r="AL31" s="30">
        <f>IFERROR(AK31*(1+변수!AL34),"")</f>
        <v/>
      </c>
      <c r="AM31" s="30">
        <f>IFERROR(AL31*(1+변수!AM34),"")</f>
        <v/>
      </c>
      <c r="AN31" s="30">
        <f>IFERROR(AM31*(1+변수!AN34),"")</f>
        <v/>
      </c>
      <c r="AO31" s="28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34">
        <f>IFERROR(E20*100/E31,"")</f>
        <v/>
      </c>
      <c r="F32" s="35" t="n"/>
      <c r="G32" s="34">
        <f>IFERROR(G20*100/G31,"")</f>
        <v/>
      </c>
      <c r="H32" s="34">
        <f>IFERROR(H20*100/H31,"")</f>
        <v/>
      </c>
      <c r="I32" s="34">
        <f>IFERROR(I20*100/I31,"")</f>
        <v/>
      </c>
      <c r="J32" s="34">
        <f>IFERROR(J20*100/J31,"")</f>
        <v/>
      </c>
      <c r="K32" s="35">
        <f>SUM(G32:J32)</f>
        <v/>
      </c>
      <c r="L32" s="34">
        <f>IFERROR(L20*100/L31,"")</f>
        <v/>
      </c>
      <c r="M32" s="34">
        <f>IFERROR(M20*100/M31,"")</f>
        <v/>
      </c>
      <c r="N32" s="34">
        <f>IFERROR(N20*100/N31,"")</f>
        <v/>
      </c>
      <c r="O32" s="34">
        <f>IFERROR(O20*100/O31,"")</f>
        <v/>
      </c>
      <c r="P32" s="35">
        <f>SUM(L32:O32)</f>
        <v/>
      </c>
      <c r="Q32" s="34">
        <f>IFERROR(Q20*100/Q31,"")</f>
        <v/>
      </c>
      <c r="R32" s="34">
        <f>IFERROR(R20*100/R31,"")</f>
        <v/>
      </c>
      <c r="S32" s="34">
        <f>IFERROR(S20*100/S31,"")</f>
        <v/>
      </c>
      <c r="T32" s="34">
        <f>IFERROR(T20*100/T31,"")</f>
        <v/>
      </c>
      <c r="U32" s="35">
        <f>SUM(Q32:T32)</f>
        <v/>
      </c>
      <c r="V32" s="34">
        <f>IFERROR(V20*100/V31,"")</f>
        <v/>
      </c>
      <c r="W32" s="34">
        <f>IFERROR(W20*100/W31,"")</f>
        <v/>
      </c>
      <c r="X32" s="36">
        <f>IFERROR(X20*100/X31,"")</f>
        <v/>
      </c>
      <c r="Y32" s="37">
        <f>IFERROR(Y20*100/Y31,"")</f>
        <v/>
      </c>
      <c r="Z32" s="38">
        <f>SUM(V32:Y32)</f>
        <v/>
      </c>
      <c r="AA32" s="37">
        <f>IFERROR(AA20*100/AA31,"")</f>
        <v/>
      </c>
      <c r="AB32" s="37">
        <f>IFERROR(AB20*100/AB31,"")</f>
        <v/>
      </c>
      <c r="AC32" s="37">
        <f>IFERROR(AC20*100/AC31,"")</f>
        <v/>
      </c>
      <c r="AD32" s="37">
        <f>IFERROR(AD20*100/AD31,"")</f>
        <v/>
      </c>
      <c r="AE32" s="38">
        <f>SUM(AA32:AD32)</f>
        <v/>
      </c>
      <c r="AF32" s="37">
        <f>IFERROR(AF20*100/AF31,"")</f>
        <v/>
      </c>
      <c r="AG32" s="37">
        <f>IFERROR(AG20*100/AG31,"")</f>
        <v/>
      </c>
      <c r="AH32" s="37">
        <f>IFERROR(AH20*100/AH31,"")</f>
        <v/>
      </c>
      <c r="AI32" s="37">
        <f>IFERROR(AI20*100/AI31,"")</f>
        <v/>
      </c>
      <c r="AJ32" s="38">
        <f>SUM(AF32:AI32)</f>
        <v/>
      </c>
      <c r="AK32" s="37">
        <f>IFERROR(AK20*100/AK31,"")</f>
        <v/>
      </c>
      <c r="AL32" s="37">
        <f>IFERROR(AL20*100/AL31,"")</f>
        <v/>
      </c>
      <c r="AM32" s="37">
        <f>IFERROR(AM20*100/AM31,"")</f>
        <v/>
      </c>
      <c r="AN32" s="37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34">
        <f>IFERROR(E24*100/E31,"")</f>
        <v/>
      </c>
      <c r="F33" s="35">
        <f>E33</f>
        <v/>
      </c>
      <c r="G33" s="34">
        <f>IFERROR(G24*100/G31,"")</f>
        <v/>
      </c>
      <c r="H33" s="34">
        <f>IFERROR(H24*100/H31,"")</f>
        <v/>
      </c>
      <c r="I33" s="34">
        <f>IFERROR(I24*100/I31,"")</f>
        <v/>
      </c>
      <c r="J33" s="34">
        <f>IFERROR(J24*100/J31,"")</f>
        <v/>
      </c>
      <c r="K33" s="35">
        <f>J33</f>
        <v/>
      </c>
      <c r="L33" s="34">
        <f>IFERROR(L24*100/L31,"")</f>
        <v/>
      </c>
      <c r="M33" s="34">
        <f>IFERROR(M24*100/M31,"")</f>
        <v/>
      </c>
      <c r="N33" s="34">
        <f>IFERROR(N24*100/N31,"")</f>
        <v/>
      </c>
      <c r="O33" s="34">
        <f>IFERROR(O24*100/O31,"")</f>
        <v/>
      </c>
      <c r="P33" s="35">
        <f>O33</f>
        <v/>
      </c>
      <c r="Q33" s="34">
        <f>IFERROR(Q24*100/Q31,"")</f>
        <v/>
      </c>
      <c r="R33" s="34">
        <f>IFERROR(R24*100/R31,"")</f>
        <v/>
      </c>
      <c r="S33" s="34">
        <f>IFERROR(S24*100/S31,"")</f>
        <v/>
      </c>
      <c r="T33" s="34">
        <f>IFERROR(T24*100/T31,"")</f>
        <v/>
      </c>
      <c r="U33" s="35">
        <f>T33</f>
        <v/>
      </c>
      <c r="V33" s="34">
        <f>IFERROR(V24*100/V31,"")</f>
        <v/>
      </c>
      <c r="W33" s="34">
        <f>IFERROR(W24*100/W31,"")</f>
        <v/>
      </c>
      <c r="X33" s="36">
        <f>IFERROR(X24*100/X31,"")</f>
        <v/>
      </c>
      <c r="Y33" s="37">
        <f>IFERROR(Y24*100/Y31,"")</f>
        <v/>
      </c>
      <c r="Z33" s="38">
        <f>Y33</f>
        <v/>
      </c>
      <c r="AA33" s="37">
        <f>IFERROR(AA24*100/AA31,"")</f>
        <v/>
      </c>
      <c r="AB33" s="37">
        <f>IFERROR(AB24*100/AB31,"")</f>
        <v/>
      </c>
      <c r="AC33" s="37">
        <f>IFERROR(AC24*100/AC31,"")</f>
        <v/>
      </c>
      <c r="AD33" s="37">
        <f>IFERROR(AD24*100/AD31,"")</f>
        <v/>
      </c>
      <c r="AE33" s="38">
        <f>AD33</f>
        <v/>
      </c>
      <c r="AF33" s="37">
        <f>IFERROR(AF24*100/AF31,"")</f>
        <v/>
      </c>
      <c r="AG33" s="37">
        <f>IFERROR(AG24*100/AG31,"")</f>
        <v/>
      </c>
      <c r="AH33" s="37">
        <f>IFERROR(AH24*100/AH31,"")</f>
        <v/>
      </c>
      <c r="AI33" s="37">
        <f>IFERROR(AI24*100/AI31,"")</f>
        <v/>
      </c>
      <c r="AJ33" s="38">
        <f>AI33</f>
        <v/>
      </c>
      <c r="AK33" s="37">
        <f>IFERROR(AK24*100/AK31,"")</f>
        <v/>
      </c>
      <c r="AL33" s="37">
        <f>IFERROR(AL24*100/AL31,"")</f>
        <v/>
      </c>
      <c r="AM33" s="37">
        <f>IFERROR(AM24*100/AM31,"")</f>
        <v/>
      </c>
      <c r="AN33" s="37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34" t="n">
        <v>0</v>
      </c>
      <c r="F34" s="35" t="n">
        <v>0</v>
      </c>
      <c r="G34" s="34" t="n"/>
      <c r="H34" s="34" t="n"/>
      <c r="I34" s="34" t="n"/>
      <c r="J34" s="34" t="n">
        <v>0</v>
      </c>
      <c r="K34" s="35">
        <f>SUM(G34:J34)</f>
        <v/>
      </c>
      <c r="L34" s="34" t="n"/>
      <c r="M34" s="34" t="n"/>
      <c r="N34" s="34" t="n"/>
      <c r="O34" s="34" t="n">
        <v>0</v>
      </c>
      <c r="P34" s="35">
        <f>SUM(L34:O34)</f>
        <v/>
      </c>
      <c r="Q34" s="34" t="n"/>
      <c r="R34" s="34" t="n"/>
      <c r="S34" s="34" t="n"/>
      <c r="T34" s="34" t="n">
        <v>710</v>
      </c>
      <c r="U34" s="35">
        <f>SUM(Q34:T34)</f>
        <v/>
      </c>
      <c r="V34" s="34" t="n"/>
      <c r="W34" s="34" t="n"/>
      <c r="X34" s="36" t="n"/>
      <c r="Y34" s="37">
        <f>변수!Y35</f>
        <v/>
      </c>
      <c r="Z34" s="38">
        <f>SUM(V34:Y34)</f>
        <v/>
      </c>
      <c r="AA34" s="37" t="n"/>
      <c r="AB34" s="37" t="n"/>
      <c r="AC34" s="37" t="n"/>
      <c r="AD34" s="37">
        <f>변수!AD35</f>
        <v/>
      </c>
      <c r="AE34" s="38">
        <f>SUM(AA34:AD34)</f>
        <v/>
      </c>
      <c r="AF34" s="37" t="n"/>
      <c r="AG34" s="37" t="n"/>
      <c r="AH34" s="37" t="n"/>
      <c r="AI34" s="37">
        <f>변수!AI35</f>
        <v/>
      </c>
      <c r="AJ34" s="38">
        <f>SUM(AF34:AI34)</f>
        <v/>
      </c>
      <c r="AK34" s="37" t="n"/>
      <c r="AL34" s="37" t="n"/>
      <c r="AM34" s="37" t="n"/>
      <c r="AN34" s="37">
        <f>변수!AN35</f>
        <v/>
      </c>
      <c r="AO34" s="38">
        <f>SUM(AK34:AN34)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34" t="n">
        <v>8605.459999999999</v>
      </c>
      <c r="F35" s="35" t="n"/>
      <c r="G35" s="34" t="n">
        <v>8759.59</v>
      </c>
      <c r="H35" s="34" t="n">
        <v>9354.360000000001</v>
      </c>
      <c r="I35" s="34" t="n">
        <v>8822.690000000001</v>
      </c>
      <c r="J35" s="34" t="n">
        <v>10231.97</v>
      </c>
      <c r="K35" s="35">
        <f>SUM(G35:J35)</f>
        <v/>
      </c>
      <c r="L35" s="34" t="n">
        <v>9091.610000000001</v>
      </c>
      <c r="M35" s="34" t="n">
        <v>10333.71</v>
      </c>
      <c r="N35" s="34" t="n">
        <v>9938.01</v>
      </c>
      <c r="O35" s="34" t="n">
        <v>11027.33</v>
      </c>
      <c r="P35" s="35">
        <f>SUM(L35:O35)</f>
        <v/>
      </c>
      <c r="Q35" s="34" t="n">
        <v>10004.94</v>
      </c>
      <c r="R35" s="34" t="n">
        <v>11290.63</v>
      </c>
      <c r="S35" s="34" t="n">
        <v>10776.67</v>
      </c>
      <c r="T35" s="34" t="n">
        <v>14228.25</v>
      </c>
      <c r="U35" s="35">
        <f>SUM(Q35:T35)</f>
        <v/>
      </c>
      <c r="V35" s="34" t="n">
        <v>11838.23</v>
      </c>
      <c r="W35" s="34" t="n">
        <v>12344.48</v>
      </c>
      <c r="X35" s="36" t="n">
        <v>13003.49</v>
      </c>
      <c r="Y35" s="37">
        <f>IFERROR(Y5,"")</f>
        <v/>
      </c>
      <c r="Z35" s="38">
        <f>SUM(V35:Y35)</f>
        <v/>
      </c>
      <c r="AA35" s="37">
        <f>IFERROR(AA5,"")</f>
        <v/>
      </c>
      <c r="AB35" s="37">
        <f>IFERROR(AB5,"")</f>
        <v/>
      </c>
      <c r="AC35" s="37">
        <f>IFERROR(AC5,"")</f>
        <v/>
      </c>
      <c r="AD35" s="37">
        <f>IFERROR(AD5,"")</f>
        <v/>
      </c>
      <c r="AE35" s="38">
        <f>SUM(AA35:AD35)</f>
        <v/>
      </c>
      <c r="AF35" s="37">
        <f>IFERROR(AF5,"")</f>
        <v/>
      </c>
      <c r="AG35" s="37">
        <f>IFERROR(AG5,"")</f>
        <v/>
      </c>
      <c r="AH35" s="37">
        <f>IFERROR(AH5,"")</f>
        <v/>
      </c>
      <c r="AI35" s="37">
        <f>IFERROR(AI5,"")</f>
        <v/>
      </c>
      <c r="AJ35" s="38">
        <f>SUM(AF35:AI35)</f>
        <v/>
      </c>
      <c r="AK35" s="37">
        <f>IFERROR(AK5,"")</f>
        <v/>
      </c>
      <c r="AL35" s="37">
        <f>IFERROR(AL5,"")</f>
        <v/>
      </c>
      <c r="AM35" s="37">
        <f>IFERROR(AM5,"")</f>
        <v/>
      </c>
      <c r="AN35" s="37">
        <f>IFERROR(AN5,"")</f>
        <v/>
      </c>
      <c r="AO35" s="38">
        <f>SUM(AK35:AN35)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34" t="n">
        <v>-770.0700000000001</v>
      </c>
      <c r="F36" s="35" t="n"/>
      <c r="G36" s="34" t="n">
        <v>-618.35</v>
      </c>
      <c r="H36" s="34" t="n">
        <v>-66.01000000000001</v>
      </c>
      <c r="I36" s="34" t="n">
        <v>140.68</v>
      </c>
      <c r="J36" s="34" t="n">
        <v>-546.99</v>
      </c>
      <c r="K36" s="35">
        <f>SUM(G36:J36)</f>
        <v/>
      </c>
      <c r="L36" s="34" t="n">
        <v>-274.13</v>
      </c>
      <c r="M36" s="34" t="n">
        <v>-524.6799999999999</v>
      </c>
      <c r="N36" s="34" t="n">
        <v>-78.56</v>
      </c>
      <c r="O36" s="34" t="n">
        <v>-651.79</v>
      </c>
      <c r="P36" s="35">
        <f>SUM(L36:O36)</f>
        <v/>
      </c>
      <c r="Q36" s="34" t="n">
        <v>-110.44</v>
      </c>
      <c r="R36" s="34" t="n">
        <v>174.24</v>
      </c>
      <c r="S36" s="34" t="n">
        <v>352.5</v>
      </c>
      <c r="T36" s="34" t="n">
        <v>468.97</v>
      </c>
      <c r="U36" s="35">
        <f>SUM(Q36:T36)</f>
        <v/>
      </c>
      <c r="V36" s="34" t="n">
        <v>684.84</v>
      </c>
      <c r="W36" s="34" t="n">
        <v>894.1900000000001</v>
      </c>
      <c r="X36" s="36" t="n">
        <v>2008.07</v>
      </c>
      <c r="Y36" s="37">
        <f>IFERROR(Y9,"")</f>
        <v/>
      </c>
      <c r="Z36" s="38">
        <f>SUM(V36:Y36)</f>
        <v/>
      </c>
      <c r="AA36" s="37">
        <f>IFERROR(AA9,"")</f>
        <v/>
      </c>
      <c r="AB36" s="37">
        <f>IFERROR(AB9,"")</f>
        <v/>
      </c>
      <c r="AC36" s="37">
        <f>IFERROR(AC9,"")</f>
        <v/>
      </c>
      <c r="AD36" s="37">
        <f>IFERROR(AD9,"")</f>
        <v/>
      </c>
      <c r="AE36" s="38">
        <f>SUM(AA36:AD36)</f>
        <v/>
      </c>
      <c r="AF36" s="37">
        <f>IFERROR(AF9,"")</f>
        <v/>
      </c>
      <c r="AG36" s="37">
        <f>IFERROR(AG9,"")</f>
        <v/>
      </c>
      <c r="AH36" s="37">
        <f>IFERROR(AH9,"")</f>
        <v/>
      </c>
      <c r="AI36" s="37">
        <f>IFERROR(AI9,"")</f>
        <v/>
      </c>
      <c r="AJ36" s="38">
        <f>SUM(AF36:AI36)</f>
        <v/>
      </c>
      <c r="AK36" s="37">
        <f>IFERROR(AK9,"")</f>
        <v/>
      </c>
      <c r="AL36" s="37">
        <f>IFERROR(AL9,"")</f>
        <v/>
      </c>
      <c r="AM36" s="37">
        <f>IFERROR(AM9,"")</f>
        <v/>
      </c>
      <c r="AN36" s="37">
        <f>IFERROR(AN9,"")</f>
        <v/>
      </c>
      <c r="AO36" s="38">
        <f>SUM(AK36:AN36)</f>
        <v/>
      </c>
    </row>
    <row r="37">
      <c r="B37" s="2" t="inlineStr">
        <is>
          <t>비율(참고)</t>
        </is>
      </c>
      <c r="F37" s="9" t="n"/>
      <c r="K37" s="9" t="n"/>
      <c r="P37" s="9" t="n"/>
      <c r="U37" s="9" t="n"/>
      <c r="X37" s="5" t="n"/>
      <c r="Y37" s="10" t="n"/>
      <c r="Z37" s="11" t="n"/>
      <c r="AA37" s="10" t="n"/>
      <c r="AB37" s="10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18">
        <f>IFERROR(E20/E5,"")</f>
        <v/>
      </c>
      <c r="F38" s="19">
        <f>IFERROR(F20/F5,"")</f>
        <v/>
      </c>
      <c r="G38" s="18">
        <f>IFERROR(G20/G5,"")</f>
        <v/>
      </c>
      <c r="H38" s="18">
        <f>IFERROR(H20/H5,"")</f>
        <v/>
      </c>
      <c r="I38" s="18">
        <f>IFERROR(I20/I5,"")</f>
        <v/>
      </c>
      <c r="J38" s="18">
        <f>IFERROR(J20/J5,"")</f>
        <v/>
      </c>
      <c r="K38" s="19">
        <f>IFERROR(K20/K5,"")</f>
        <v/>
      </c>
      <c r="L38" s="18">
        <f>IFERROR(L20/L5,"")</f>
        <v/>
      </c>
      <c r="M38" s="18">
        <f>IFERROR(M20/M5,"")</f>
        <v/>
      </c>
      <c r="N38" s="18">
        <f>IFERROR(N20/N5,"")</f>
        <v/>
      </c>
      <c r="O38" s="18">
        <f>IFERROR(O20/O5,"")</f>
        <v/>
      </c>
      <c r="P38" s="19">
        <f>IFERROR(P20/P5,"")</f>
        <v/>
      </c>
      <c r="Q38" s="18">
        <f>IFERROR(Q20/Q5,"")</f>
        <v/>
      </c>
      <c r="R38" s="18">
        <f>IFERROR(R20/R5,"")</f>
        <v/>
      </c>
      <c r="S38" s="18">
        <f>IFERROR(S20/S5,"")</f>
        <v/>
      </c>
      <c r="T38" s="18">
        <f>IFERROR(T20/T5,"")</f>
        <v/>
      </c>
      <c r="U38" s="19">
        <f>IFERROR(U20/U5,"")</f>
        <v/>
      </c>
      <c r="V38" s="18">
        <f>IFERROR(V20/V5,"")</f>
        <v/>
      </c>
      <c r="W38" s="18">
        <f>IFERROR(W20/W5,"")</f>
        <v/>
      </c>
      <c r="X38" s="20">
        <f>IFERROR(X20/X5,"")</f>
        <v/>
      </c>
      <c r="Y38" s="29">
        <f>IFERROR(Y20/Y5,"")</f>
        <v/>
      </c>
      <c r="Z38" s="22">
        <f>IFERROR(Z20/Z5,"")</f>
        <v/>
      </c>
      <c r="AA38" s="29">
        <f>IFERROR(AA20/AA5,"")</f>
        <v/>
      </c>
      <c r="AB38" s="29">
        <f>IFERROR(AB20/AB5,"")</f>
        <v/>
      </c>
      <c r="AC38" s="29">
        <f>IFERROR(AC20/AC5,"")</f>
        <v/>
      </c>
      <c r="AD38" s="29">
        <f>IFERROR(AD20/AD5,"")</f>
        <v/>
      </c>
      <c r="AE38" s="22">
        <f>IFERROR(AE20/AE5,"")</f>
        <v/>
      </c>
      <c r="AF38" s="29">
        <f>IFERROR(AF20/AF5,"")</f>
        <v/>
      </c>
      <c r="AG38" s="29">
        <f>IFERROR(AG20/AG5,"")</f>
        <v/>
      </c>
      <c r="AH38" s="29">
        <f>IFERROR(AH20/AH5,"")</f>
        <v/>
      </c>
      <c r="AI38" s="29">
        <f>IFERROR(AI20/AI5,"")</f>
        <v/>
      </c>
      <c r="AJ38" s="22">
        <f>IFERROR(AJ20/AJ5,"")</f>
        <v/>
      </c>
      <c r="AK38" s="29">
        <f>IFERROR(AK20/AK5,"")</f>
        <v/>
      </c>
      <c r="AL38" s="29">
        <f>IFERROR(AL20/AL5,"")</f>
        <v/>
      </c>
      <c r="AM38" s="29">
        <f>IFERROR(AM20/AM5,"")</f>
        <v/>
      </c>
      <c r="AN38" s="29">
        <f>IFERROR(AN20/AN5,"")</f>
        <v/>
      </c>
      <c r="AO38" s="22">
        <f>IFERROR(AO20/AO5,"")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18">
        <f>IFERROR(E6/E5,"")</f>
        <v/>
      </c>
      <c r="F39" s="19">
        <f>IFERROR(F6/F5,"")</f>
        <v/>
      </c>
      <c r="G39" s="18">
        <f>IFERROR(G6/G5,"")</f>
        <v/>
      </c>
      <c r="H39" s="18">
        <f>IFERROR(H6/H5,"")</f>
        <v/>
      </c>
      <c r="I39" s="18">
        <f>IFERROR(I6/I5,"")</f>
        <v/>
      </c>
      <c r="J39" s="18">
        <f>IFERROR(J6/J5,"")</f>
        <v/>
      </c>
      <c r="K39" s="19">
        <f>IFERROR(K6/K5,"")</f>
        <v/>
      </c>
      <c r="L39" s="18">
        <f>IFERROR(L6/L5,"")</f>
        <v/>
      </c>
      <c r="M39" s="18">
        <f>IFERROR(M6/M5,"")</f>
        <v/>
      </c>
      <c r="N39" s="18">
        <f>IFERROR(N6/N5,"")</f>
        <v/>
      </c>
      <c r="O39" s="18">
        <f>IFERROR(O6/O5,"")</f>
        <v/>
      </c>
      <c r="P39" s="19">
        <f>IFERROR(P6/P5,"")</f>
        <v/>
      </c>
      <c r="Q39" s="18">
        <f>IFERROR(Q6/Q5,"")</f>
        <v/>
      </c>
      <c r="R39" s="18">
        <f>IFERROR(R6/R5,"")</f>
        <v/>
      </c>
      <c r="S39" s="18">
        <f>IFERROR(S6/S5,"")</f>
        <v/>
      </c>
      <c r="T39" s="18">
        <f>IFERROR(T6/T5,"")</f>
        <v/>
      </c>
      <c r="U39" s="19">
        <f>IFERROR(U6/U5,"")</f>
        <v/>
      </c>
      <c r="V39" s="18">
        <f>IFERROR(V6/V5,"")</f>
        <v/>
      </c>
      <c r="W39" s="18">
        <f>IFERROR(W6/W5,"")</f>
        <v/>
      </c>
      <c r="X39" s="20">
        <f>IFERROR(X6/X5,"")</f>
        <v/>
      </c>
      <c r="Y39" s="29">
        <f>IFERROR(Y6/Y5,"")</f>
        <v/>
      </c>
      <c r="Z39" s="22">
        <f>IFERROR(Z6/Z5,"")</f>
        <v/>
      </c>
      <c r="AA39" s="29">
        <f>IFERROR(AA6/AA5,"")</f>
        <v/>
      </c>
      <c r="AB39" s="29">
        <f>IFERROR(AB6/AB5,"")</f>
        <v/>
      </c>
      <c r="AC39" s="29">
        <f>IFERROR(AC6/AC5,"")</f>
        <v/>
      </c>
      <c r="AD39" s="29">
        <f>IFERROR(AD6/AD5,"")</f>
        <v/>
      </c>
      <c r="AE39" s="22">
        <f>IFERROR(AE6/AE5,"")</f>
        <v/>
      </c>
      <c r="AF39" s="29">
        <f>IFERROR(AF6/AF5,"")</f>
        <v/>
      </c>
      <c r="AG39" s="29">
        <f>IFERROR(AG6/AG5,"")</f>
        <v/>
      </c>
      <c r="AH39" s="29">
        <f>IFERROR(AH6/AH5,"")</f>
        <v/>
      </c>
      <c r="AI39" s="29">
        <f>IFERROR(AI6/AI5,"")</f>
        <v/>
      </c>
      <c r="AJ39" s="22">
        <f>IFERROR(AJ6/AJ5,"")</f>
        <v/>
      </c>
      <c r="AK39" s="29">
        <f>IFERROR(AK6/AK5,"")</f>
        <v/>
      </c>
      <c r="AL39" s="29">
        <f>IFERROR(AL6/AL5,"")</f>
        <v/>
      </c>
      <c r="AM39" s="29">
        <f>IFERROR(AM6/AM5,"")</f>
        <v/>
      </c>
      <c r="AN39" s="29">
        <f>IFERROR(AN6/AN5,"")</f>
        <v/>
      </c>
      <c r="AO39" s="22">
        <f>IFERROR(AO6/AO5,"")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18">
        <f>IFERROR(E8/E5,"")</f>
        <v/>
      </c>
      <c r="F40" s="19">
        <f>IFERROR(F8/F5,"")</f>
        <v/>
      </c>
      <c r="G40" s="18">
        <f>IFERROR(G8/G5,"")</f>
        <v/>
      </c>
      <c r="H40" s="18">
        <f>IFERROR(H8/H5,"")</f>
        <v/>
      </c>
      <c r="I40" s="18">
        <f>IFERROR(I8/I5,"")</f>
        <v/>
      </c>
      <c r="J40" s="18">
        <f>IFERROR(J8/J5,"")</f>
        <v/>
      </c>
      <c r="K40" s="19">
        <f>IFERROR(K8/K5,"")</f>
        <v/>
      </c>
      <c r="L40" s="18">
        <f>IFERROR(L8/L5,"")</f>
        <v/>
      </c>
      <c r="M40" s="18">
        <f>IFERROR(M8/M5,"")</f>
        <v/>
      </c>
      <c r="N40" s="18">
        <f>IFERROR(N8/N5,"")</f>
        <v/>
      </c>
      <c r="O40" s="18">
        <f>IFERROR(O8/O5,"")</f>
        <v/>
      </c>
      <c r="P40" s="19">
        <f>IFERROR(P8/P5,"")</f>
        <v/>
      </c>
      <c r="Q40" s="18">
        <f>IFERROR(Q8/Q5,"")</f>
        <v/>
      </c>
      <c r="R40" s="18">
        <f>IFERROR(R8/R5,"")</f>
        <v/>
      </c>
      <c r="S40" s="18">
        <f>IFERROR(S8/S5,"")</f>
        <v/>
      </c>
      <c r="T40" s="18">
        <f>IFERROR(T8/T5,"")</f>
        <v/>
      </c>
      <c r="U40" s="19">
        <f>IFERROR(U8/U5,"")</f>
        <v/>
      </c>
      <c r="V40" s="18">
        <f>IFERROR(V8/V5,"")</f>
        <v/>
      </c>
      <c r="W40" s="18">
        <f>IFERROR(W8/W5,"")</f>
        <v/>
      </c>
      <c r="X40" s="20">
        <f>IFERROR(X8/X5,"")</f>
        <v/>
      </c>
      <c r="Y40" s="29">
        <f>IFERROR(Y8/Y5,"")</f>
        <v/>
      </c>
      <c r="Z40" s="22">
        <f>IFERROR(Z8/Z5,"")</f>
        <v/>
      </c>
      <c r="AA40" s="29">
        <f>IFERROR(AA8/AA5,"")</f>
        <v/>
      </c>
      <c r="AB40" s="29">
        <f>IFERROR(AB8/AB5,"")</f>
        <v/>
      </c>
      <c r="AC40" s="29">
        <f>IFERROR(AC8/AC5,"")</f>
        <v/>
      </c>
      <c r="AD40" s="29">
        <f>IFERROR(AD8/AD5,"")</f>
        <v/>
      </c>
      <c r="AE40" s="22">
        <f>IFERROR(AE8/AE5,"")</f>
        <v/>
      </c>
      <c r="AF40" s="29">
        <f>IFERROR(AF8/AF5,"")</f>
        <v/>
      </c>
      <c r="AG40" s="29">
        <f>IFERROR(AG8/AG5,"")</f>
        <v/>
      </c>
      <c r="AH40" s="29">
        <f>IFERROR(AH8/AH5,"")</f>
        <v/>
      </c>
      <c r="AI40" s="29">
        <f>IFERROR(AI8/AI5,"")</f>
        <v/>
      </c>
      <c r="AJ40" s="22">
        <f>IFERROR(AJ8/AJ5,"")</f>
        <v/>
      </c>
      <c r="AK40" s="29">
        <f>IFERROR(AK8/AK5,"")</f>
        <v/>
      </c>
      <c r="AL40" s="29">
        <f>IFERROR(AL8/AL5,"")</f>
        <v/>
      </c>
      <c r="AM40" s="29">
        <f>IFERROR(AM8/AM5,"")</f>
        <v/>
      </c>
      <c r="AN40" s="29">
        <f>IFERROR(AN8/AN5,"")</f>
        <v/>
      </c>
      <c r="AO40" s="22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9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34">
        <f>변수!D38</f>
        <v/>
      </c>
      <c r="T2" s="40" t="n"/>
    </row>
    <row r="3">
      <c r="C3" t="inlineStr">
        <is>
          <t>기준일: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41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42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34">
        <f>IFERROR(VLOOKUP($A5,subQ,MATCH(E$1,SUBQH,0),0),"")</f>
        <v/>
      </c>
      <c r="F5" s="34">
        <f>IFERROR(VLOOKUP($A5,subQ,MATCH(F$1,SUBQH,0),0),"")</f>
        <v/>
      </c>
      <c r="G5" s="34">
        <f>IFERROR(VLOOKUP($A5,subQ,MATCH(G$1,SUBQH,0),0),"")</f>
        <v/>
      </c>
      <c r="H5" s="34">
        <f>IFERROR(VLOOKUP($A5,subQ,MATCH(H$1,SUBQH,0),0),"")</f>
        <v/>
      </c>
      <c r="I5" s="34">
        <f>IFERROR(VLOOKUP($A5,subQ,MATCH(I$1,SUBQH,0),0),"")</f>
        <v/>
      </c>
      <c r="J5" s="34">
        <f>IFERROR(VLOOKUP($A5,subQ,MATCH(J$1,SUBQH,0),0),"")</f>
        <v/>
      </c>
      <c r="K5" s="34">
        <f>IFERROR(VLOOKUP($A5,subQ,MATCH(K$1,SUBQH,0),0),"")</f>
        <v/>
      </c>
      <c r="L5" s="34">
        <f>IFERROR(VLOOKUP($A5,subQ,MATCH(L$1,SUBQH,0),0),"")</f>
        <v/>
      </c>
      <c r="M5" s="34">
        <f>IFERROR(VLOOKUP($A5,subQ,MATCH(M$1,SUBQH,0),0),"")</f>
        <v/>
      </c>
      <c r="N5" s="34">
        <f>IFERROR(VLOOKUP($A5,subQ,MATCH(N$1,SUBQH,0),0),"")</f>
        <v/>
      </c>
      <c r="O5" s="34">
        <f>IFERROR(VLOOKUP($A5,subQ,MATCH(O$1,SUBQH,0),0),"")</f>
        <v/>
      </c>
      <c r="P5" s="34">
        <f>IFERROR(VLOOKUP($A5,subQ,MATCH(P$1,SUBQH,0),0),"")</f>
        <v/>
      </c>
      <c r="Q5" s="34">
        <f>IFERROR(VLOOKUP($A5,subQ,MATCH(Q$1,SUBQH,0),0),"")</f>
        <v/>
      </c>
      <c r="R5" s="34">
        <f>IFERROR(VLOOKUP($A5,subQ,MATCH(R$1,SUBQH,0),0),"")</f>
        <v/>
      </c>
      <c r="S5" s="34">
        <f>IFERROR(VLOOKUP($A5,subQ,MATCH(S$1,SUBQH,0),0),"")</f>
        <v/>
      </c>
      <c r="T5" s="43">
        <f>IFERROR(VLOOKUP($A5,subQ,MATCH(T$1,SUBQH,0),0),"")</f>
        <v/>
      </c>
      <c r="U5" s="37">
        <f>IFERROR(VLOOKUP($A5,subQ,MATCH(U$1,SUBQH,0),0),"")</f>
        <v/>
      </c>
      <c r="V5" s="37">
        <f>IFERROR(VLOOKUP($A5,subQ,MATCH(V$1,SUBQH,0),0),"")</f>
        <v/>
      </c>
      <c r="W5" s="37">
        <f>IFERROR(VLOOKUP($A5,subQ,MATCH(W$1,SUBQH,0),0),"")</f>
        <v/>
      </c>
      <c r="X5" s="37">
        <f>IFERROR(VLOOKUP($A5,subQ,MATCH(X$1,SUBQH,0),0),"")</f>
        <v/>
      </c>
      <c r="Y5" s="37">
        <f>IFERROR(VLOOKUP($A5,subQ,MATCH(Y$1,SUBQH,0),0),"")</f>
        <v/>
      </c>
      <c r="Z5" s="37">
        <f>IFERROR(VLOOKUP($A5,subQ,MATCH(Z$1,SUBQH,0),0),"")</f>
        <v/>
      </c>
      <c r="AA5" s="37">
        <f>IFERROR(VLOOKUP($A5,subQ,MATCH(AA$1,SUBQH,0),0),"")</f>
        <v/>
      </c>
      <c r="AB5" s="37">
        <f>IFERROR(VLOOKUP($A5,subQ,MATCH(AB$1,SUBQH,0),0),"")</f>
        <v/>
      </c>
      <c r="AC5" s="37">
        <f>IFERROR(VLOOKUP($A5,subQ,MATCH(AC$1,SUBQH,0),0),"")</f>
        <v/>
      </c>
      <c r="AD5" s="37">
        <f>IFERROR(VLOOKUP($A5,subQ,MATCH(AD$1,SUBQH,0),0),"")</f>
        <v/>
      </c>
      <c r="AE5" s="37">
        <f>IFERROR(VLOOKUP($A5,subQ,MATCH(AE$1,SUBQH,0),0),"")</f>
        <v/>
      </c>
      <c r="AF5" s="37">
        <f>IFERROR(VLOOKUP($A5,subQ,MATCH(AF$1,SUBQH,0),0),"")</f>
        <v/>
      </c>
      <c r="AG5" s="37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34">
        <f>IFERROR(VLOOKUP($A6,subQ,MATCH(E$1,SUBQH,0),0),"")</f>
        <v/>
      </c>
      <c r="F6" s="34">
        <f>IFERROR(VLOOKUP($A6,subQ,MATCH(F$1,SUBQH,0),0),"")</f>
        <v/>
      </c>
      <c r="G6" s="34">
        <f>IFERROR(VLOOKUP($A6,subQ,MATCH(G$1,SUBQH,0),0),"")</f>
        <v/>
      </c>
      <c r="H6" s="34">
        <f>IFERROR(VLOOKUP($A6,subQ,MATCH(H$1,SUBQH,0),0),"")</f>
        <v/>
      </c>
      <c r="I6" s="34">
        <f>IFERROR(VLOOKUP($A6,subQ,MATCH(I$1,SUBQH,0),0),"")</f>
        <v/>
      </c>
      <c r="J6" s="34">
        <f>IFERROR(VLOOKUP($A6,subQ,MATCH(J$1,SUBQH,0),0),"")</f>
        <v/>
      </c>
      <c r="K6" s="34">
        <f>IFERROR(VLOOKUP($A6,subQ,MATCH(K$1,SUBQH,0),0),"")</f>
        <v/>
      </c>
      <c r="L6" s="34">
        <f>IFERROR(VLOOKUP($A6,subQ,MATCH(L$1,SUBQH,0),0),"")</f>
        <v/>
      </c>
      <c r="M6" s="34">
        <f>IFERROR(VLOOKUP($A6,subQ,MATCH(M$1,SUBQH,0),0),"")</f>
        <v/>
      </c>
      <c r="N6" s="34">
        <f>IFERROR(VLOOKUP($A6,subQ,MATCH(N$1,SUBQH,0),0),"")</f>
        <v/>
      </c>
      <c r="O6" s="34">
        <f>IFERROR(VLOOKUP($A6,subQ,MATCH(O$1,SUBQH,0),0),"")</f>
        <v/>
      </c>
      <c r="P6" s="34">
        <f>IFERROR(VLOOKUP($A6,subQ,MATCH(P$1,SUBQH,0),0),"")</f>
        <v/>
      </c>
      <c r="Q6" s="34">
        <f>IFERROR(VLOOKUP($A6,subQ,MATCH(Q$1,SUBQH,0),0),"")</f>
        <v/>
      </c>
      <c r="R6" s="34">
        <f>IFERROR(VLOOKUP($A6,subQ,MATCH(R$1,SUBQH,0),0),"")</f>
        <v/>
      </c>
      <c r="S6" s="34">
        <f>IFERROR(VLOOKUP($A6,subQ,MATCH(S$1,SUBQH,0),0),"")</f>
        <v/>
      </c>
      <c r="T6" s="43">
        <f>IFERROR(VLOOKUP($A6,subQ,MATCH(T$1,SUBQH,0),0),"")</f>
        <v/>
      </c>
      <c r="U6" s="37">
        <f>IFERROR(VLOOKUP($A6,subQ,MATCH(U$1,SUBQH,0),0),"")</f>
        <v/>
      </c>
      <c r="V6" s="37">
        <f>IFERROR(VLOOKUP($A6,subQ,MATCH(V$1,SUBQH,0),0),"")</f>
        <v/>
      </c>
      <c r="W6" s="37">
        <f>IFERROR(VLOOKUP($A6,subQ,MATCH(W$1,SUBQH,0),0),"")</f>
        <v/>
      </c>
      <c r="X6" s="37">
        <f>IFERROR(VLOOKUP($A6,subQ,MATCH(X$1,SUBQH,0),0),"")</f>
        <v/>
      </c>
      <c r="Y6" s="37">
        <f>IFERROR(VLOOKUP($A6,subQ,MATCH(Y$1,SUBQH,0),0),"")</f>
        <v/>
      </c>
      <c r="Z6" s="37">
        <f>IFERROR(VLOOKUP($A6,subQ,MATCH(Z$1,SUBQH,0),0),"")</f>
        <v/>
      </c>
      <c r="AA6" s="37">
        <f>IFERROR(VLOOKUP($A6,subQ,MATCH(AA$1,SUBQH,0),0),"")</f>
        <v/>
      </c>
      <c r="AB6" s="37">
        <f>IFERROR(VLOOKUP($A6,subQ,MATCH(AB$1,SUBQH,0),0),"")</f>
        <v/>
      </c>
      <c r="AC6" s="37">
        <f>IFERROR(VLOOKUP($A6,subQ,MATCH(AC$1,SUBQH,0),0),"")</f>
        <v/>
      </c>
      <c r="AD6" s="37">
        <f>IFERROR(VLOOKUP($A6,subQ,MATCH(AD$1,SUBQH,0),0),"")</f>
        <v/>
      </c>
      <c r="AE6" s="37">
        <f>IFERROR(VLOOKUP($A6,subQ,MATCH(AE$1,SUBQH,0),0),"")</f>
        <v/>
      </c>
      <c r="AF6" s="37">
        <f>IFERROR(VLOOKUP($A6,subQ,MATCH(AF$1,SUBQH,0),0),"")</f>
        <v/>
      </c>
      <c r="AG6" s="37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34">
        <f>IFERROR(VLOOKUP($A7,subQ,MATCH(E$1,SUBQH,0),0),"")</f>
        <v/>
      </c>
      <c r="F7" s="34">
        <f>IFERROR(VLOOKUP($A7,subQ,MATCH(F$1,SUBQH,0),0),"")</f>
        <v/>
      </c>
      <c r="G7" s="34">
        <f>IFERROR(VLOOKUP($A7,subQ,MATCH(G$1,SUBQH,0),0),"")</f>
        <v/>
      </c>
      <c r="H7" s="34">
        <f>IFERROR(VLOOKUP($A7,subQ,MATCH(H$1,SUBQH,0),0),"")</f>
        <v/>
      </c>
      <c r="I7" s="34">
        <f>IFERROR(VLOOKUP($A7,subQ,MATCH(I$1,SUBQH,0),0),"")</f>
        <v/>
      </c>
      <c r="J7" s="34">
        <f>IFERROR(VLOOKUP($A7,subQ,MATCH(J$1,SUBQH,0),0),"")</f>
        <v/>
      </c>
      <c r="K7" s="34">
        <f>IFERROR(VLOOKUP($A7,subQ,MATCH(K$1,SUBQH,0),0),"")</f>
        <v/>
      </c>
      <c r="L7" s="34">
        <f>IFERROR(VLOOKUP($A7,subQ,MATCH(L$1,SUBQH,0),0),"")</f>
        <v/>
      </c>
      <c r="M7" s="34">
        <f>IFERROR(VLOOKUP($A7,subQ,MATCH(M$1,SUBQH,0),0),"")</f>
        <v/>
      </c>
      <c r="N7" s="34">
        <f>IFERROR(VLOOKUP($A7,subQ,MATCH(N$1,SUBQH,0),0),"")</f>
        <v/>
      </c>
      <c r="O7" s="34">
        <f>IFERROR(VLOOKUP($A7,subQ,MATCH(O$1,SUBQH,0),0),"")</f>
        <v/>
      </c>
      <c r="P7" s="34">
        <f>IFERROR(VLOOKUP($A7,subQ,MATCH(P$1,SUBQH,0),0),"")</f>
        <v/>
      </c>
      <c r="Q7" s="34">
        <f>IFERROR(VLOOKUP($A7,subQ,MATCH(Q$1,SUBQH,0),0),"")</f>
        <v/>
      </c>
      <c r="R7" s="34">
        <f>IFERROR(VLOOKUP($A7,subQ,MATCH(R$1,SUBQH,0),0),"")</f>
        <v/>
      </c>
      <c r="S7" s="34">
        <f>IFERROR(VLOOKUP($A7,subQ,MATCH(S$1,SUBQH,0),0),"")</f>
        <v/>
      </c>
      <c r="T7" s="43">
        <f>IFERROR(VLOOKUP($A7,subQ,MATCH(T$1,SUBQH,0),0),"")</f>
        <v/>
      </c>
      <c r="U7" s="37">
        <f>IFERROR(VLOOKUP($A7,subQ,MATCH(U$1,SUBQH,0),0),"")</f>
        <v/>
      </c>
      <c r="V7" s="37">
        <f>IFERROR(VLOOKUP($A7,subQ,MATCH(V$1,SUBQH,0),0),"")</f>
        <v/>
      </c>
      <c r="W7" s="37">
        <f>IFERROR(VLOOKUP($A7,subQ,MATCH(W$1,SUBQH,0),0),"")</f>
        <v/>
      </c>
      <c r="X7" s="37">
        <f>IFERROR(VLOOKUP($A7,subQ,MATCH(X$1,SUBQH,0),0),"")</f>
        <v/>
      </c>
      <c r="Y7" s="37">
        <f>IFERROR(VLOOKUP($A7,subQ,MATCH(Y$1,SUBQH,0),0),"")</f>
        <v/>
      </c>
      <c r="Z7" s="37">
        <f>IFERROR(VLOOKUP($A7,subQ,MATCH(Z$1,SUBQH,0),0),"")</f>
        <v/>
      </c>
      <c r="AA7" s="37">
        <f>IFERROR(VLOOKUP($A7,subQ,MATCH(AA$1,SUBQH,0),0),"")</f>
        <v/>
      </c>
      <c r="AB7" s="37">
        <f>IFERROR(VLOOKUP($A7,subQ,MATCH(AB$1,SUBQH,0),0),"")</f>
        <v/>
      </c>
      <c r="AC7" s="37">
        <f>IFERROR(VLOOKUP($A7,subQ,MATCH(AC$1,SUBQH,0),0),"")</f>
        <v/>
      </c>
      <c r="AD7" s="37">
        <f>IFERROR(VLOOKUP($A7,subQ,MATCH(AD$1,SUBQH,0),0),"")</f>
        <v/>
      </c>
      <c r="AE7" s="37">
        <f>IFERROR(VLOOKUP($A7,subQ,MATCH(AE$1,SUBQH,0),0),"")</f>
        <v/>
      </c>
      <c r="AF7" s="37">
        <f>IFERROR(VLOOKUP($A7,subQ,MATCH(AF$1,SUBQH,0),0),"")</f>
        <v/>
      </c>
      <c r="AG7" s="37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34">
        <f>IFERROR(VLOOKUP($A8,subQ,MATCH(E$1,SUBQH,0),0),"")</f>
        <v/>
      </c>
      <c r="F8" s="34">
        <f>IFERROR(VLOOKUP($A8,subQ,MATCH(F$1,SUBQH,0),0),"")</f>
        <v/>
      </c>
      <c r="G8" s="34">
        <f>IFERROR(VLOOKUP($A8,subQ,MATCH(G$1,SUBQH,0),0),"")</f>
        <v/>
      </c>
      <c r="H8" s="34">
        <f>IFERROR(VLOOKUP($A8,subQ,MATCH(H$1,SUBQH,0),0),"")</f>
        <v/>
      </c>
      <c r="I8" s="34">
        <f>IFERROR(VLOOKUP($A8,subQ,MATCH(I$1,SUBQH,0),0),"")</f>
        <v/>
      </c>
      <c r="J8" s="34">
        <f>IFERROR(VLOOKUP($A8,subQ,MATCH(J$1,SUBQH,0),0),"")</f>
        <v/>
      </c>
      <c r="K8" s="34">
        <f>IFERROR(VLOOKUP($A8,subQ,MATCH(K$1,SUBQH,0),0),"")</f>
        <v/>
      </c>
      <c r="L8" s="34">
        <f>IFERROR(VLOOKUP($A8,subQ,MATCH(L$1,SUBQH,0),0),"")</f>
        <v/>
      </c>
      <c r="M8" s="34">
        <f>IFERROR(VLOOKUP($A8,subQ,MATCH(M$1,SUBQH,0),0),"")</f>
        <v/>
      </c>
      <c r="N8" s="34">
        <f>IFERROR(VLOOKUP($A8,subQ,MATCH(N$1,SUBQH,0),0),"")</f>
        <v/>
      </c>
      <c r="O8" s="34">
        <f>IFERROR(VLOOKUP($A8,subQ,MATCH(O$1,SUBQH,0),0),"")</f>
        <v/>
      </c>
      <c r="P8" s="34">
        <f>IFERROR(VLOOKUP($A8,subQ,MATCH(P$1,SUBQH,0),0),"")</f>
        <v/>
      </c>
      <c r="Q8" s="34">
        <f>IFERROR(VLOOKUP($A8,subQ,MATCH(Q$1,SUBQH,0),0),"")</f>
        <v/>
      </c>
      <c r="R8" s="34">
        <f>IFERROR(VLOOKUP($A8,subQ,MATCH(R$1,SUBQH,0),0),"")</f>
        <v/>
      </c>
      <c r="S8" s="34">
        <f>IFERROR(VLOOKUP($A8,subQ,MATCH(S$1,SUBQH,0),0),"")</f>
        <v/>
      </c>
      <c r="T8" s="43">
        <f>IFERROR(VLOOKUP($A8,subQ,MATCH(T$1,SUBQH,0),0),"")</f>
        <v/>
      </c>
      <c r="U8" s="37">
        <f>IFERROR(VLOOKUP($A8,subQ,MATCH(U$1,SUBQH,0),0),"")</f>
        <v/>
      </c>
      <c r="V8" s="37">
        <f>IFERROR(VLOOKUP($A8,subQ,MATCH(V$1,SUBQH,0),0),"")</f>
        <v/>
      </c>
      <c r="W8" s="37">
        <f>IFERROR(VLOOKUP($A8,subQ,MATCH(W$1,SUBQH,0),0),"")</f>
        <v/>
      </c>
      <c r="X8" s="37">
        <f>IFERROR(VLOOKUP($A8,subQ,MATCH(X$1,SUBQH,0),0),"")</f>
        <v/>
      </c>
      <c r="Y8" s="37">
        <f>IFERROR(VLOOKUP($A8,subQ,MATCH(Y$1,SUBQH,0),0),"")</f>
        <v/>
      </c>
      <c r="Z8" s="37">
        <f>IFERROR(VLOOKUP($A8,subQ,MATCH(Z$1,SUBQH,0),0),"")</f>
        <v/>
      </c>
      <c r="AA8" s="37">
        <f>IFERROR(VLOOKUP($A8,subQ,MATCH(AA$1,SUBQH,0),0),"")</f>
        <v/>
      </c>
      <c r="AB8" s="37">
        <f>IFERROR(VLOOKUP($A8,subQ,MATCH(AB$1,SUBQH,0),0),"")</f>
        <v/>
      </c>
      <c r="AC8" s="37">
        <f>IFERROR(VLOOKUP($A8,subQ,MATCH(AC$1,SUBQH,0),0),"")</f>
        <v/>
      </c>
      <c r="AD8" s="37">
        <f>IFERROR(VLOOKUP($A8,subQ,MATCH(AD$1,SUBQH,0),0),"")</f>
        <v/>
      </c>
      <c r="AE8" s="37">
        <f>IFERROR(VLOOKUP($A8,subQ,MATCH(AE$1,SUBQH,0),0),"")</f>
        <v/>
      </c>
      <c r="AF8" s="37">
        <f>IFERROR(VLOOKUP($A8,subQ,MATCH(AF$1,SUBQH,0),0),"")</f>
        <v/>
      </c>
      <c r="AG8" s="37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34">
        <f>IFERROR(VLOOKUP($A9,subQ,MATCH(E$1,SUBQH,0),0),"")</f>
        <v/>
      </c>
      <c r="F9" s="34">
        <f>IFERROR(VLOOKUP($A9,subQ,MATCH(F$1,SUBQH,0),0),"")</f>
        <v/>
      </c>
      <c r="G9" s="34">
        <f>IFERROR(VLOOKUP($A9,subQ,MATCH(G$1,SUBQH,0),0),"")</f>
        <v/>
      </c>
      <c r="H9" s="34">
        <f>IFERROR(VLOOKUP($A9,subQ,MATCH(H$1,SUBQH,0),0),"")</f>
        <v/>
      </c>
      <c r="I9" s="34">
        <f>IFERROR(VLOOKUP($A9,subQ,MATCH(I$1,SUBQH,0),0),"")</f>
        <v/>
      </c>
      <c r="J9" s="34">
        <f>IFERROR(VLOOKUP($A9,subQ,MATCH(J$1,SUBQH,0),0),"")</f>
        <v/>
      </c>
      <c r="K9" s="34">
        <f>IFERROR(VLOOKUP($A9,subQ,MATCH(K$1,SUBQH,0),0),"")</f>
        <v/>
      </c>
      <c r="L9" s="34">
        <f>IFERROR(VLOOKUP($A9,subQ,MATCH(L$1,SUBQH,0),0),"")</f>
        <v/>
      </c>
      <c r="M9" s="34">
        <f>IFERROR(VLOOKUP($A9,subQ,MATCH(M$1,SUBQH,0),0),"")</f>
        <v/>
      </c>
      <c r="N9" s="34">
        <f>IFERROR(VLOOKUP($A9,subQ,MATCH(N$1,SUBQH,0),0),"")</f>
        <v/>
      </c>
      <c r="O9" s="34">
        <f>IFERROR(VLOOKUP($A9,subQ,MATCH(O$1,SUBQH,0),0),"")</f>
        <v/>
      </c>
      <c r="P9" s="34">
        <f>IFERROR(VLOOKUP($A9,subQ,MATCH(P$1,SUBQH,0),0),"")</f>
        <v/>
      </c>
      <c r="Q9" s="34">
        <f>IFERROR(VLOOKUP($A9,subQ,MATCH(Q$1,SUBQH,0),0),"")</f>
        <v/>
      </c>
      <c r="R9" s="34">
        <f>IFERROR(VLOOKUP($A9,subQ,MATCH(R$1,SUBQH,0),0),"")</f>
        <v/>
      </c>
      <c r="S9" s="34">
        <f>IFERROR(VLOOKUP($A9,subQ,MATCH(S$1,SUBQH,0),0),"")</f>
        <v/>
      </c>
      <c r="T9" s="43">
        <f>IFERROR(VLOOKUP($A9,subQ,MATCH(T$1,SUBQH,0),0),"")</f>
        <v/>
      </c>
      <c r="U9" s="37">
        <f>IFERROR(VLOOKUP($A9,subQ,MATCH(U$1,SUBQH,0),0),"")</f>
        <v/>
      </c>
      <c r="V9" s="37">
        <f>IFERROR(VLOOKUP($A9,subQ,MATCH(V$1,SUBQH,0),0),"")</f>
        <v/>
      </c>
      <c r="W9" s="37">
        <f>IFERROR(VLOOKUP($A9,subQ,MATCH(W$1,SUBQH,0),0),"")</f>
        <v/>
      </c>
      <c r="X9" s="37">
        <f>IFERROR(VLOOKUP($A9,subQ,MATCH(X$1,SUBQH,0),0),"")</f>
        <v/>
      </c>
      <c r="Y9" s="37">
        <f>IFERROR(VLOOKUP($A9,subQ,MATCH(Y$1,SUBQH,0),0),"")</f>
        <v/>
      </c>
      <c r="Z9" s="37">
        <f>IFERROR(VLOOKUP($A9,subQ,MATCH(Z$1,SUBQH,0),0),"")</f>
        <v/>
      </c>
      <c r="AA9" s="37">
        <f>IFERROR(VLOOKUP($A9,subQ,MATCH(AA$1,SUBQH,0),0),"")</f>
        <v/>
      </c>
      <c r="AB9" s="37">
        <f>IFERROR(VLOOKUP($A9,subQ,MATCH(AB$1,SUBQH,0),0),"")</f>
        <v/>
      </c>
      <c r="AC9" s="37">
        <f>IFERROR(VLOOKUP($A9,subQ,MATCH(AC$1,SUBQH,0),0),"")</f>
        <v/>
      </c>
      <c r="AD9" s="37">
        <f>IFERROR(VLOOKUP($A9,subQ,MATCH(AD$1,SUBQH,0),0),"")</f>
        <v/>
      </c>
      <c r="AE9" s="37">
        <f>IFERROR(VLOOKUP($A9,subQ,MATCH(AE$1,SUBQH,0),0),"")</f>
        <v/>
      </c>
      <c r="AF9" s="37">
        <f>IFERROR(VLOOKUP($A9,subQ,MATCH(AF$1,SUBQH,0),0),"")</f>
        <v/>
      </c>
      <c r="AG9" s="37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8">
        <f>IFERROR(VLOOKUP($A10,subQ,MATCH(E$1,SUBQH,0),0),"")</f>
        <v/>
      </c>
      <c r="F10" s="18">
        <f>IFERROR(VLOOKUP($A10,subQ,MATCH(F$1,SUBQH,0),0),"")</f>
        <v/>
      </c>
      <c r="G10" s="18">
        <f>IFERROR(VLOOKUP($A10,subQ,MATCH(G$1,SUBQH,0),0),"")</f>
        <v/>
      </c>
      <c r="H10" s="18">
        <f>IFERROR(VLOOKUP($A10,subQ,MATCH(H$1,SUBQH,0),0),"")</f>
        <v/>
      </c>
      <c r="I10" s="18">
        <f>IFERROR(VLOOKUP($A10,subQ,MATCH(I$1,SUBQH,0),0),"")</f>
        <v/>
      </c>
      <c r="J10" s="18">
        <f>IFERROR(VLOOKUP($A10,subQ,MATCH(J$1,SUBQH,0),0),"")</f>
        <v/>
      </c>
      <c r="K10" s="18">
        <f>IFERROR(VLOOKUP($A10,subQ,MATCH(K$1,SUBQH,0),0),"")</f>
        <v/>
      </c>
      <c r="L10" s="18">
        <f>IFERROR(VLOOKUP($A10,subQ,MATCH(L$1,SUBQH,0),0),"")</f>
        <v/>
      </c>
      <c r="M10" s="18">
        <f>IFERROR(VLOOKUP($A10,subQ,MATCH(M$1,SUBQH,0),0),"")</f>
        <v/>
      </c>
      <c r="N10" s="18">
        <f>IFERROR(VLOOKUP($A10,subQ,MATCH(N$1,SUBQH,0),0),"")</f>
        <v/>
      </c>
      <c r="O10" s="18">
        <f>IFERROR(VLOOKUP($A10,subQ,MATCH(O$1,SUBQH,0),0),"")</f>
        <v/>
      </c>
      <c r="P10" s="18">
        <f>IFERROR(VLOOKUP($A10,subQ,MATCH(P$1,SUBQH,0),0),"")</f>
        <v/>
      </c>
      <c r="Q10" s="18">
        <f>IFERROR(VLOOKUP($A10,subQ,MATCH(Q$1,SUBQH,0),0),"")</f>
        <v/>
      </c>
      <c r="R10" s="18">
        <f>IFERROR(VLOOKUP($A10,subQ,MATCH(R$1,SUBQH,0),0),"")</f>
        <v/>
      </c>
      <c r="S10" s="18">
        <f>IFERROR(VLOOKUP($A10,subQ,MATCH(S$1,SUBQH,0),0),"")</f>
        <v/>
      </c>
      <c r="T10" s="44">
        <f>IFERROR(VLOOKUP($A10,subQ,MATCH(T$1,SUBQH,0),0),"")</f>
        <v/>
      </c>
      <c r="U10" s="29">
        <f>IFERROR(VLOOKUP($A10,subQ,MATCH(U$1,SUBQH,0),0),"")</f>
        <v/>
      </c>
      <c r="V10" s="29">
        <f>IFERROR(VLOOKUP($A10,subQ,MATCH(V$1,SUBQH,0),0),"")</f>
        <v/>
      </c>
      <c r="W10" s="29">
        <f>IFERROR(VLOOKUP($A10,subQ,MATCH(W$1,SUBQH,0),0),"")</f>
        <v/>
      </c>
      <c r="X10" s="29">
        <f>IFERROR(VLOOKUP($A10,subQ,MATCH(X$1,SUBQH,0),0),"")</f>
        <v/>
      </c>
      <c r="Y10" s="29">
        <f>IFERROR(VLOOKUP($A10,subQ,MATCH(Y$1,SUBQH,0),0),"")</f>
        <v/>
      </c>
      <c r="Z10" s="29">
        <f>IFERROR(VLOOKUP($A10,subQ,MATCH(Z$1,SUBQH,0),0),"")</f>
        <v/>
      </c>
      <c r="AA10" s="29">
        <f>IFERROR(VLOOKUP($A10,subQ,MATCH(AA$1,SUBQH,0),0),"")</f>
        <v/>
      </c>
      <c r="AB10" s="29">
        <f>IFERROR(VLOOKUP($A10,subQ,MATCH(AB$1,SUBQH,0),0),"")</f>
        <v/>
      </c>
      <c r="AC10" s="29">
        <f>IFERROR(VLOOKUP($A10,subQ,MATCH(AC$1,SUBQH,0),0),"")</f>
        <v/>
      </c>
      <c r="AD10" s="29">
        <f>IFERROR(VLOOKUP($A10,subQ,MATCH(AD$1,SUBQH,0),0),"")</f>
        <v/>
      </c>
      <c r="AE10" s="29">
        <f>IFERROR(VLOOKUP($A10,subQ,MATCH(AE$1,SUBQH,0),0),"")</f>
        <v/>
      </c>
      <c r="AF10" s="29">
        <f>IFERROR(VLOOKUP($A10,subQ,MATCH(AF$1,SUBQH,0),0),"")</f>
        <v/>
      </c>
      <c r="AG10" s="29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34">
        <f>IFERROR(VLOOKUP($A11,subQ,MATCH(E$1,SUBQH,0),0),"")</f>
        <v/>
      </c>
      <c r="F11" s="34">
        <f>IFERROR(VLOOKUP($A11,subQ,MATCH(F$1,SUBQH,0),0),"")</f>
        <v/>
      </c>
      <c r="G11" s="34">
        <f>IFERROR(VLOOKUP($A11,subQ,MATCH(G$1,SUBQH,0),0),"")</f>
        <v/>
      </c>
      <c r="H11" s="34">
        <f>IFERROR(VLOOKUP($A11,subQ,MATCH(H$1,SUBQH,0),0),"")</f>
        <v/>
      </c>
      <c r="I11" s="34">
        <f>IFERROR(VLOOKUP($A11,subQ,MATCH(I$1,SUBQH,0),0),"")</f>
        <v/>
      </c>
      <c r="J11" s="34">
        <f>IFERROR(VLOOKUP($A11,subQ,MATCH(J$1,SUBQH,0),0),"")</f>
        <v/>
      </c>
      <c r="K11" s="34">
        <f>IFERROR(VLOOKUP($A11,subQ,MATCH(K$1,SUBQH,0),0),"")</f>
        <v/>
      </c>
      <c r="L11" s="34">
        <f>IFERROR(VLOOKUP($A11,subQ,MATCH(L$1,SUBQH,0),0),"")</f>
        <v/>
      </c>
      <c r="M11" s="34">
        <f>IFERROR(VLOOKUP($A11,subQ,MATCH(M$1,SUBQH,0),0),"")</f>
        <v/>
      </c>
      <c r="N11" s="34">
        <f>IFERROR(VLOOKUP($A11,subQ,MATCH(N$1,SUBQH,0),0),"")</f>
        <v/>
      </c>
      <c r="O11" s="34">
        <f>IFERROR(VLOOKUP($A11,subQ,MATCH(O$1,SUBQH,0),0),"")</f>
        <v/>
      </c>
      <c r="P11" s="34">
        <f>IFERROR(VLOOKUP($A11,subQ,MATCH(P$1,SUBQH,0),0),"")</f>
        <v/>
      </c>
      <c r="Q11" s="34">
        <f>IFERROR(VLOOKUP($A11,subQ,MATCH(Q$1,SUBQH,0),0),"")</f>
        <v/>
      </c>
      <c r="R11" s="34">
        <f>IFERROR(VLOOKUP($A11,subQ,MATCH(R$1,SUBQH,0),0),"")</f>
        <v/>
      </c>
      <c r="S11" s="34">
        <f>IFERROR(VLOOKUP($A11,subQ,MATCH(S$1,SUBQH,0),0),"")</f>
        <v/>
      </c>
      <c r="T11" s="43">
        <f>IFERROR(VLOOKUP($A11,subQ,MATCH(T$1,SUBQH,0),0),"")</f>
        <v/>
      </c>
      <c r="U11" s="37">
        <f>IFERROR(VLOOKUP($A11,subQ,MATCH(U$1,SUBQH,0),0),"")</f>
        <v/>
      </c>
      <c r="V11" s="37">
        <f>IFERROR(VLOOKUP($A11,subQ,MATCH(V$1,SUBQH,0),0),"")</f>
        <v/>
      </c>
      <c r="W11" s="37">
        <f>IFERROR(VLOOKUP($A11,subQ,MATCH(W$1,SUBQH,0),0),"")</f>
        <v/>
      </c>
      <c r="X11" s="37">
        <f>IFERROR(VLOOKUP($A11,subQ,MATCH(X$1,SUBQH,0),0),"")</f>
        <v/>
      </c>
      <c r="Y11" s="37">
        <f>IFERROR(VLOOKUP($A11,subQ,MATCH(Y$1,SUBQH,0),0),"")</f>
        <v/>
      </c>
      <c r="Z11" s="37">
        <f>IFERROR(VLOOKUP($A11,subQ,MATCH(Z$1,SUBQH,0),0),"")</f>
        <v/>
      </c>
      <c r="AA11" s="37">
        <f>IFERROR(VLOOKUP($A11,subQ,MATCH(AA$1,SUBQH,0),0),"")</f>
        <v/>
      </c>
      <c r="AB11" s="37">
        <f>IFERROR(VLOOKUP($A11,subQ,MATCH(AB$1,SUBQH,0),0),"")</f>
        <v/>
      </c>
      <c r="AC11" s="37">
        <f>IFERROR(VLOOKUP($A11,subQ,MATCH(AC$1,SUBQH,0),0),"")</f>
        <v/>
      </c>
      <c r="AD11" s="37">
        <f>IFERROR(VLOOKUP($A11,subQ,MATCH(AD$1,SUBQH,0),0),"")</f>
        <v/>
      </c>
      <c r="AE11" s="37">
        <f>IFERROR(VLOOKUP($A11,subQ,MATCH(AE$1,SUBQH,0),0),"")</f>
        <v/>
      </c>
      <c r="AF11" s="37">
        <f>IFERROR(VLOOKUP($A11,subQ,MATCH(AF$1,SUBQH,0),0),"")</f>
        <v/>
      </c>
      <c r="AG11" s="37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34">
        <f>IFERROR(VLOOKUP($A12,subQ,MATCH(E$1,SUBQH,0),0),"")</f>
        <v/>
      </c>
      <c r="F12" s="34">
        <f>IFERROR(VLOOKUP($A12,subQ,MATCH(F$1,SUBQH,0),0),"")</f>
        <v/>
      </c>
      <c r="G12" s="34">
        <f>IFERROR(VLOOKUP($A12,subQ,MATCH(G$1,SUBQH,0),0),"")</f>
        <v/>
      </c>
      <c r="H12" s="34">
        <f>IFERROR(VLOOKUP($A12,subQ,MATCH(H$1,SUBQH,0),0),"")</f>
        <v/>
      </c>
      <c r="I12" s="34">
        <f>IFERROR(VLOOKUP($A12,subQ,MATCH(I$1,SUBQH,0),0),"")</f>
        <v/>
      </c>
      <c r="J12" s="34">
        <f>IFERROR(VLOOKUP($A12,subQ,MATCH(J$1,SUBQH,0),0),"")</f>
        <v/>
      </c>
      <c r="K12" s="34">
        <f>IFERROR(VLOOKUP($A12,subQ,MATCH(K$1,SUBQH,0),0),"")</f>
        <v/>
      </c>
      <c r="L12" s="34">
        <f>IFERROR(VLOOKUP($A12,subQ,MATCH(L$1,SUBQH,0),0),"")</f>
        <v/>
      </c>
      <c r="M12" s="34">
        <f>IFERROR(VLOOKUP($A12,subQ,MATCH(M$1,SUBQH,0),0),"")</f>
        <v/>
      </c>
      <c r="N12" s="34">
        <f>IFERROR(VLOOKUP($A12,subQ,MATCH(N$1,SUBQH,0),0),"")</f>
        <v/>
      </c>
      <c r="O12" s="34">
        <f>IFERROR(VLOOKUP($A12,subQ,MATCH(O$1,SUBQH,0),0),"")</f>
        <v/>
      </c>
      <c r="P12" s="34">
        <f>IFERROR(VLOOKUP($A12,subQ,MATCH(P$1,SUBQH,0),0),"")</f>
        <v/>
      </c>
      <c r="Q12" s="34">
        <f>IFERROR(VLOOKUP($A12,subQ,MATCH(Q$1,SUBQH,0),0),"")</f>
        <v/>
      </c>
      <c r="R12" s="34">
        <f>IFERROR(VLOOKUP($A12,subQ,MATCH(R$1,SUBQH,0),0),"")</f>
        <v/>
      </c>
      <c r="S12" s="34">
        <f>IFERROR(VLOOKUP($A12,subQ,MATCH(S$1,SUBQH,0),0),"")</f>
        <v/>
      </c>
      <c r="T12" s="43">
        <f>IFERROR(VLOOKUP($A12,subQ,MATCH(T$1,SUBQH,0),0),"")</f>
        <v/>
      </c>
      <c r="U12" s="37">
        <f>IFERROR(VLOOKUP($A12,subQ,MATCH(U$1,SUBQH,0),0),"")</f>
        <v/>
      </c>
      <c r="V12" s="37">
        <f>IFERROR(VLOOKUP($A12,subQ,MATCH(V$1,SUBQH,0),0),"")</f>
        <v/>
      </c>
      <c r="W12" s="37">
        <f>IFERROR(VLOOKUP($A12,subQ,MATCH(W$1,SUBQH,0),0),"")</f>
        <v/>
      </c>
      <c r="X12" s="37">
        <f>IFERROR(VLOOKUP($A12,subQ,MATCH(X$1,SUBQH,0),0),"")</f>
        <v/>
      </c>
      <c r="Y12" s="37">
        <f>IFERROR(VLOOKUP($A12,subQ,MATCH(Y$1,SUBQH,0),0),"")</f>
        <v/>
      </c>
      <c r="Z12" s="37">
        <f>IFERROR(VLOOKUP($A12,subQ,MATCH(Z$1,SUBQH,0),0),"")</f>
        <v/>
      </c>
      <c r="AA12" s="37">
        <f>IFERROR(VLOOKUP($A12,subQ,MATCH(AA$1,SUBQH,0),0),"")</f>
        <v/>
      </c>
      <c r="AB12" s="37">
        <f>IFERROR(VLOOKUP($A12,subQ,MATCH(AB$1,SUBQH,0),0),"")</f>
        <v/>
      </c>
      <c r="AC12" s="37">
        <f>IFERROR(VLOOKUP($A12,subQ,MATCH(AC$1,SUBQH,0),0),"")</f>
        <v/>
      </c>
      <c r="AD12" s="37">
        <f>IFERROR(VLOOKUP($A12,subQ,MATCH(AD$1,SUBQH,0),0),"")</f>
        <v/>
      </c>
      <c r="AE12" s="37">
        <f>IFERROR(VLOOKUP($A12,subQ,MATCH(AE$1,SUBQH,0),0),"")</f>
        <v/>
      </c>
      <c r="AF12" s="37">
        <f>IFERROR(VLOOKUP($A12,subQ,MATCH(AF$1,SUBQH,0),0),"")</f>
        <v/>
      </c>
      <c r="AG12" s="37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34">
        <f>IFERROR(VLOOKUP($A13,subQ,MATCH(E$1,SUBQH,0),0),"")</f>
        <v/>
      </c>
      <c r="F13" s="34">
        <f>IFERROR(VLOOKUP($A13,subQ,MATCH(F$1,SUBQH,0),0),"")</f>
        <v/>
      </c>
      <c r="G13" s="34">
        <f>IFERROR(VLOOKUP($A13,subQ,MATCH(G$1,SUBQH,0),0),"")</f>
        <v/>
      </c>
      <c r="H13" s="34">
        <f>IFERROR(VLOOKUP($A13,subQ,MATCH(H$1,SUBQH,0),0),"")</f>
        <v/>
      </c>
      <c r="I13" s="34">
        <f>IFERROR(VLOOKUP($A13,subQ,MATCH(I$1,SUBQH,0),0),"")</f>
        <v/>
      </c>
      <c r="J13" s="34">
        <f>IFERROR(VLOOKUP($A13,subQ,MATCH(J$1,SUBQH,0),0),"")</f>
        <v/>
      </c>
      <c r="K13" s="34">
        <f>IFERROR(VLOOKUP($A13,subQ,MATCH(K$1,SUBQH,0),0),"")</f>
        <v/>
      </c>
      <c r="L13" s="34">
        <f>IFERROR(VLOOKUP($A13,subQ,MATCH(L$1,SUBQH,0),0),"")</f>
        <v/>
      </c>
      <c r="M13" s="34">
        <f>IFERROR(VLOOKUP($A13,subQ,MATCH(M$1,SUBQH,0),0),"")</f>
        <v/>
      </c>
      <c r="N13" s="34">
        <f>IFERROR(VLOOKUP($A13,subQ,MATCH(N$1,SUBQH,0),0),"")</f>
        <v/>
      </c>
      <c r="O13" s="34">
        <f>IFERROR(VLOOKUP($A13,subQ,MATCH(O$1,SUBQH,0),0),"")</f>
        <v/>
      </c>
      <c r="P13" s="34">
        <f>IFERROR(VLOOKUP($A13,subQ,MATCH(P$1,SUBQH,0),0),"")</f>
        <v/>
      </c>
      <c r="Q13" s="34">
        <f>IFERROR(VLOOKUP($A13,subQ,MATCH(Q$1,SUBQH,0),0),"")</f>
        <v/>
      </c>
      <c r="R13" s="34">
        <f>IFERROR(VLOOKUP($A13,subQ,MATCH(R$1,SUBQH,0),0),"")</f>
        <v/>
      </c>
      <c r="S13" s="34">
        <f>IFERROR(VLOOKUP($A13,subQ,MATCH(S$1,SUBQH,0),0),"")</f>
        <v/>
      </c>
      <c r="T13" s="43">
        <f>IFERROR(VLOOKUP($A13,subQ,MATCH(T$1,SUBQH,0),0),"")</f>
        <v/>
      </c>
      <c r="U13" s="37">
        <f>IFERROR(VLOOKUP($A13,subQ,MATCH(U$1,SUBQH,0),0),"")</f>
        <v/>
      </c>
      <c r="V13" s="37">
        <f>IFERROR(VLOOKUP($A13,subQ,MATCH(V$1,SUBQH,0),0),"")</f>
        <v/>
      </c>
      <c r="W13" s="37">
        <f>IFERROR(VLOOKUP($A13,subQ,MATCH(W$1,SUBQH,0),0),"")</f>
        <v/>
      </c>
      <c r="X13" s="37">
        <f>IFERROR(VLOOKUP($A13,subQ,MATCH(X$1,SUBQH,0),0),"")</f>
        <v/>
      </c>
      <c r="Y13" s="37">
        <f>IFERROR(VLOOKUP($A13,subQ,MATCH(Y$1,SUBQH,0),0),"")</f>
        <v/>
      </c>
      <c r="Z13" s="37">
        <f>IFERROR(VLOOKUP($A13,subQ,MATCH(Z$1,SUBQH,0),0),"")</f>
        <v/>
      </c>
      <c r="AA13" s="37">
        <f>IFERROR(VLOOKUP($A13,subQ,MATCH(AA$1,SUBQH,0),0),"")</f>
        <v/>
      </c>
      <c r="AB13" s="37">
        <f>IFERROR(VLOOKUP($A13,subQ,MATCH(AB$1,SUBQH,0),0),"")</f>
        <v/>
      </c>
      <c r="AC13" s="37">
        <f>IFERROR(VLOOKUP($A13,subQ,MATCH(AC$1,SUBQH,0),0),"")</f>
        <v/>
      </c>
      <c r="AD13" s="37">
        <f>IFERROR(VLOOKUP($A13,subQ,MATCH(AD$1,SUBQH,0),0),"")</f>
        <v/>
      </c>
      <c r="AE13" s="37">
        <f>IFERROR(VLOOKUP($A13,subQ,MATCH(AE$1,SUBQH,0),0),"")</f>
        <v/>
      </c>
      <c r="AF13" s="37">
        <f>IFERROR(VLOOKUP($A13,subQ,MATCH(AF$1,SUBQH,0),0),"")</f>
        <v/>
      </c>
      <c r="AG13" s="37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34">
        <f>IFERROR(VLOOKUP($A14,subQ,MATCH(E$1,SUBQH,0),0),"")</f>
        <v/>
      </c>
      <c r="F14" s="34">
        <f>IFERROR(VLOOKUP($A14,subQ,MATCH(F$1,SUBQH,0),0),"")</f>
        <v/>
      </c>
      <c r="G14" s="34">
        <f>IFERROR(VLOOKUP($A14,subQ,MATCH(G$1,SUBQH,0),0),"")</f>
        <v/>
      </c>
      <c r="H14" s="34">
        <f>IFERROR(VLOOKUP($A14,subQ,MATCH(H$1,SUBQH,0),0),"")</f>
        <v/>
      </c>
      <c r="I14" s="34">
        <f>IFERROR(VLOOKUP($A14,subQ,MATCH(I$1,SUBQH,0),0),"")</f>
        <v/>
      </c>
      <c r="J14" s="34">
        <f>IFERROR(VLOOKUP($A14,subQ,MATCH(J$1,SUBQH,0),0),"")</f>
        <v/>
      </c>
      <c r="K14" s="34">
        <f>IFERROR(VLOOKUP($A14,subQ,MATCH(K$1,SUBQH,0),0),"")</f>
        <v/>
      </c>
      <c r="L14" s="34">
        <f>IFERROR(VLOOKUP($A14,subQ,MATCH(L$1,SUBQH,0),0),"")</f>
        <v/>
      </c>
      <c r="M14" s="34">
        <f>IFERROR(VLOOKUP($A14,subQ,MATCH(M$1,SUBQH,0),0),"")</f>
        <v/>
      </c>
      <c r="N14" s="34">
        <f>IFERROR(VLOOKUP($A14,subQ,MATCH(N$1,SUBQH,0),0),"")</f>
        <v/>
      </c>
      <c r="O14" s="34">
        <f>IFERROR(VLOOKUP($A14,subQ,MATCH(O$1,SUBQH,0),0),"")</f>
        <v/>
      </c>
      <c r="P14" s="34">
        <f>IFERROR(VLOOKUP($A14,subQ,MATCH(P$1,SUBQH,0),0),"")</f>
        <v/>
      </c>
      <c r="Q14" s="34">
        <f>IFERROR(VLOOKUP($A14,subQ,MATCH(Q$1,SUBQH,0),0),"")</f>
        <v/>
      </c>
      <c r="R14" s="34">
        <f>IFERROR(VLOOKUP($A14,subQ,MATCH(R$1,SUBQH,0),0),"")</f>
        <v/>
      </c>
      <c r="S14" s="34">
        <f>IFERROR(VLOOKUP($A14,subQ,MATCH(S$1,SUBQH,0),0),"")</f>
        <v/>
      </c>
      <c r="T14" s="43">
        <f>IFERROR(VLOOKUP($A14,subQ,MATCH(T$1,SUBQH,0),0),"")</f>
        <v/>
      </c>
      <c r="U14" s="37">
        <f>IFERROR(VLOOKUP($A14,subQ,MATCH(U$1,SUBQH,0),0),"")</f>
        <v/>
      </c>
      <c r="V14" s="37">
        <f>IFERROR(VLOOKUP($A14,subQ,MATCH(V$1,SUBQH,0),0),"")</f>
        <v/>
      </c>
      <c r="W14" s="37">
        <f>IFERROR(VLOOKUP($A14,subQ,MATCH(W$1,SUBQH,0),0),"")</f>
        <v/>
      </c>
      <c r="X14" s="37">
        <f>IFERROR(VLOOKUP($A14,subQ,MATCH(X$1,SUBQH,0),0),"")</f>
        <v/>
      </c>
      <c r="Y14" s="37">
        <f>IFERROR(VLOOKUP($A14,subQ,MATCH(Y$1,SUBQH,0),0),"")</f>
        <v/>
      </c>
      <c r="Z14" s="37">
        <f>IFERROR(VLOOKUP($A14,subQ,MATCH(Z$1,SUBQH,0),0),"")</f>
        <v/>
      </c>
      <c r="AA14" s="37">
        <f>IFERROR(VLOOKUP($A14,subQ,MATCH(AA$1,SUBQH,0),0),"")</f>
        <v/>
      </c>
      <c r="AB14" s="37">
        <f>IFERROR(VLOOKUP($A14,subQ,MATCH(AB$1,SUBQH,0),0),"")</f>
        <v/>
      </c>
      <c r="AC14" s="37">
        <f>IFERROR(VLOOKUP($A14,subQ,MATCH(AC$1,SUBQH,0),0),"")</f>
        <v/>
      </c>
      <c r="AD14" s="37">
        <f>IFERROR(VLOOKUP($A14,subQ,MATCH(AD$1,SUBQH,0),0),"")</f>
        <v/>
      </c>
      <c r="AE14" s="37">
        <f>IFERROR(VLOOKUP($A14,subQ,MATCH(AE$1,SUBQH,0),0),"")</f>
        <v/>
      </c>
      <c r="AF14" s="37">
        <f>IFERROR(VLOOKUP($A14,subQ,MATCH(AF$1,SUBQH,0),0),"")</f>
        <v/>
      </c>
      <c r="AG14" s="37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34">
        <f>IFERROR(VLOOKUP($A15,subQ,MATCH(E$1,SUBQH,0),0),"")</f>
        <v/>
      </c>
      <c r="F15" s="34">
        <f>IFERROR(VLOOKUP($A15,subQ,MATCH(F$1,SUBQH,0),0),"")</f>
        <v/>
      </c>
      <c r="G15" s="34">
        <f>IFERROR(VLOOKUP($A15,subQ,MATCH(G$1,SUBQH,0),0),"")</f>
        <v/>
      </c>
      <c r="H15" s="34">
        <f>IFERROR(VLOOKUP($A15,subQ,MATCH(H$1,SUBQH,0),0),"")</f>
        <v/>
      </c>
      <c r="I15" s="34">
        <f>IFERROR(VLOOKUP($A15,subQ,MATCH(I$1,SUBQH,0),0),"")</f>
        <v/>
      </c>
      <c r="J15" s="34">
        <f>IFERROR(VLOOKUP($A15,subQ,MATCH(J$1,SUBQH,0),0),"")</f>
        <v/>
      </c>
      <c r="K15" s="34">
        <f>IFERROR(VLOOKUP($A15,subQ,MATCH(K$1,SUBQH,0),0),"")</f>
        <v/>
      </c>
      <c r="L15" s="34">
        <f>IFERROR(VLOOKUP($A15,subQ,MATCH(L$1,SUBQH,0),0),"")</f>
        <v/>
      </c>
      <c r="M15" s="34">
        <f>IFERROR(VLOOKUP($A15,subQ,MATCH(M$1,SUBQH,0),0),"")</f>
        <v/>
      </c>
      <c r="N15" s="34">
        <f>IFERROR(VLOOKUP($A15,subQ,MATCH(N$1,SUBQH,0),0),"")</f>
        <v/>
      </c>
      <c r="O15" s="34">
        <f>IFERROR(VLOOKUP($A15,subQ,MATCH(O$1,SUBQH,0),0),"")</f>
        <v/>
      </c>
      <c r="P15" s="34">
        <f>IFERROR(VLOOKUP($A15,subQ,MATCH(P$1,SUBQH,0),0),"")</f>
        <v/>
      </c>
      <c r="Q15" s="34">
        <f>IFERROR(VLOOKUP($A15,subQ,MATCH(Q$1,SUBQH,0),0),"")</f>
        <v/>
      </c>
      <c r="R15" s="34">
        <f>IFERROR(VLOOKUP($A15,subQ,MATCH(R$1,SUBQH,0),0),"")</f>
        <v/>
      </c>
      <c r="S15" s="34">
        <f>IFERROR(VLOOKUP($A15,subQ,MATCH(S$1,SUBQH,0),0),"")</f>
        <v/>
      </c>
      <c r="T15" s="43">
        <f>IFERROR(VLOOKUP($A15,subQ,MATCH(T$1,SUBQH,0),0),"")</f>
        <v/>
      </c>
      <c r="U15" s="37">
        <f>IFERROR(VLOOKUP($A15,subQ,MATCH(U$1,SUBQH,0),0),"")</f>
        <v/>
      </c>
      <c r="V15" s="37">
        <f>IFERROR(VLOOKUP($A15,subQ,MATCH(V$1,SUBQH,0),0),"")</f>
        <v/>
      </c>
      <c r="W15" s="37">
        <f>IFERROR(VLOOKUP($A15,subQ,MATCH(W$1,SUBQH,0),0),"")</f>
        <v/>
      </c>
      <c r="X15" s="37">
        <f>IFERROR(VLOOKUP($A15,subQ,MATCH(X$1,SUBQH,0),0),"")</f>
        <v/>
      </c>
      <c r="Y15" s="37">
        <f>IFERROR(VLOOKUP($A15,subQ,MATCH(Y$1,SUBQH,0),0),"")</f>
        <v/>
      </c>
      <c r="Z15" s="37">
        <f>IFERROR(VLOOKUP($A15,subQ,MATCH(Z$1,SUBQH,0),0),"")</f>
        <v/>
      </c>
      <c r="AA15" s="37">
        <f>IFERROR(VLOOKUP($A15,subQ,MATCH(AA$1,SUBQH,0),0),"")</f>
        <v/>
      </c>
      <c r="AB15" s="37">
        <f>IFERROR(VLOOKUP($A15,subQ,MATCH(AB$1,SUBQH,0),0),"")</f>
        <v/>
      </c>
      <c r="AC15" s="37">
        <f>IFERROR(VLOOKUP($A15,subQ,MATCH(AC$1,SUBQH,0),0),"")</f>
        <v/>
      </c>
      <c r="AD15" s="37">
        <f>IFERROR(VLOOKUP($A15,subQ,MATCH(AD$1,SUBQH,0),0),"")</f>
        <v/>
      </c>
      <c r="AE15" s="37">
        <f>IFERROR(VLOOKUP($A15,subQ,MATCH(AE$1,SUBQH,0),0),"")</f>
        <v/>
      </c>
      <c r="AF15" s="37">
        <f>IFERROR(VLOOKUP($A15,subQ,MATCH(AF$1,SUBQH,0),0),"")</f>
        <v/>
      </c>
      <c r="AG15" s="37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34">
        <f>IFERROR(VLOOKUP($A16,subQ,MATCH(E$1,SUBQH,0),0),"")</f>
        <v/>
      </c>
      <c r="F16" s="34">
        <f>IFERROR(VLOOKUP($A16,subQ,MATCH(F$1,SUBQH,0),0),"")</f>
        <v/>
      </c>
      <c r="G16" s="34">
        <f>IFERROR(VLOOKUP($A16,subQ,MATCH(G$1,SUBQH,0),0),"")</f>
        <v/>
      </c>
      <c r="H16" s="34">
        <f>IFERROR(VLOOKUP($A16,subQ,MATCH(H$1,SUBQH,0),0),"")</f>
        <v/>
      </c>
      <c r="I16" s="34">
        <f>IFERROR(VLOOKUP($A16,subQ,MATCH(I$1,SUBQH,0),0),"")</f>
        <v/>
      </c>
      <c r="J16" s="34">
        <f>IFERROR(VLOOKUP($A16,subQ,MATCH(J$1,SUBQH,0),0),"")</f>
        <v/>
      </c>
      <c r="K16" s="34">
        <f>IFERROR(VLOOKUP($A16,subQ,MATCH(K$1,SUBQH,0),0),"")</f>
        <v/>
      </c>
      <c r="L16" s="34">
        <f>IFERROR(VLOOKUP($A16,subQ,MATCH(L$1,SUBQH,0),0),"")</f>
        <v/>
      </c>
      <c r="M16" s="34">
        <f>IFERROR(VLOOKUP($A16,subQ,MATCH(M$1,SUBQH,0),0),"")</f>
        <v/>
      </c>
      <c r="N16" s="34">
        <f>IFERROR(VLOOKUP($A16,subQ,MATCH(N$1,SUBQH,0),0),"")</f>
        <v/>
      </c>
      <c r="O16" s="34">
        <f>IFERROR(VLOOKUP($A16,subQ,MATCH(O$1,SUBQH,0),0),"")</f>
        <v/>
      </c>
      <c r="P16" s="34">
        <f>IFERROR(VLOOKUP($A16,subQ,MATCH(P$1,SUBQH,0),0),"")</f>
        <v/>
      </c>
      <c r="Q16" s="34">
        <f>IFERROR(VLOOKUP($A16,subQ,MATCH(Q$1,SUBQH,0),0),"")</f>
        <v/>
      </c>
      <c r="R16" s="34">
        <f>IFERROR(VLOOKUP($A16,subQ,MATCH(R$1,SUBQH,0),0),"")</f>
        <v/>
      </c>
      <c r="S16" s="34">
        <f>IFERROR(VLOOKUP($A16,subQ,MATCH(S$1,SUBQH,0),0),"")</f>
        <v/>
      </c>
      <c r="T16" s="43">
        <f>IFERROR(VLOOKUP($A16,subQ,MATCH(T$1,SUBQH,0),0),"")</f>
        <v/>
      </c>
      <c r="U16" s="37">
        <f>IFERROR(VLOOKUP($A16,subQ,MATCH(U$1,SUBQH,0),0),"")</f>
        <v/>
      </c>
      <c r="V16" s="37">
        <f>IFERROR(VLOOKUP($A16,subQ,MATCH(V$1,SUBQH,0),0),"")</f>
        <v/>
      </c>
      <c r="W16" s="37">
        <f>IFERROR(VLOOKUP($A16,subQ,MATCH(W$1,SUBQH,0),0),"")</f>
        <v/>
      </c>
      <c r="X16" s="37">
        <f>IFERROR(VLOOKUP($A16,subQ,MATCH(X$1,SUBQH,0),0),"")</f>
        <v/>
      </c>
      <c r="Y16" s="37">
        <f>IFERROR(VLOOKUP($A16,subQ,MATCH(Y$1,SUBQH,0),0),"")</f>
        <v/>
      </c>
      <c r="Z16" s="37">
        <f>IFERROR(VLOOKUP($A16,subQ,MATCH(Z$1,SUBQH,0),0),"")</f>
        <v/>
      </c>
      <c r="AA16" s="37">
        <f>IFERROR(VLOOKUP($A16,subQ,MATCH(AA$1,SUBQH,0),0),"")</f>
        <v/>
      </c>
      <c r="AB16" s="37">
        <f>IFERROR(VLOOKUP($A16,subQ,MATCH(AB$1,SUBQH,0),0),"")</f>
        <v/>
      </c>
      <c r="AC16" s="37">
        <f>IFERROR(VLOOKUP($A16,subQ,MATCH(AC$1,SUBQH,0),0),"")</f>
        <v/>
      </c>
      <c r="AD16" s="37">
        <f>IFERROR(VLOOKUP($A16,subQ,MATCH(AD$1,SUBQH,0),0),"")</f>
        <v/>
      </c>
      <c r="AE16" s="37">
        <f>IFERROR(VLOOKUP($A16,subQ,MATCH(AE$1,SUBQH,0),0),"")</f>
        <v/>
      </c>
      <c r="AF16" s="37">
        <f>IFERROR(VLOOKUP($A16,subQ,MATCH(AF$1,SUBQH,0),0),"")</f>
        <v/>
      </c>
      <c r="AG16" s="37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34">
        <f>IFERROR(VLOOKUP($A17,subQ,MATCH(E$1,SUBQH,0),0),"")</f>
        <v/>
      </c>
      <c r="F17" s="34">
        <f>IFERROR(VLOOKUP($A17,subQ,MATCH(F$1,SUBQH,0),0),"")</f>
        <v/>
      </c>
      <c r="G17" s="34">
        <f>IFERROR(VLOOKUP($A17,subQ,MATCH(G$1,SUBQH,0),0),"")</f>
        <v/>
      </c>
      <c r="H17" s="34">
        <f>IFERROR(VLOOKUP($A17,subQ,MATCH(H$1,SUBQH,0),0),"")</f>
        <v/>
      </c>
      <c r="I17" s="34">
        <f>IFERROR(VLOOKUP($A17,subQ,MATCH(I$1,SUBQH,0),0),"")</f>
        <v/>
      </c>
      <c r="J17" s="34">
        <f>IFERROR(VLOOKUP($A17,subQ,MATCH(J$1,SUBQH,0),0),"")</f>
        <v/>
      </c>
      <c r="K17" s="34">
        <f>IFERROR(VLOOKUP($A17,subQ,MATCH(K$1,SUBQH,0),0),"")</f>
        <v/>
      </c>
      <c r="L17" s="34">
        <f>IFERROR(VLOOKUP($A17,subQ,MATCH(L$1,SUBQH,0),0),"")</f>
        <v/>
      </c>
      <c r="M17" s="34">
        <f>IFERROR(VLOOKUP($A17,subQ,MATCH(M$1,SUBQH,0),0),"")</f>
        <v/>
      </c>
      <c r="N17" s="34">
        <f>IFERROR(VLOOKUP($A17,subQ,MATCH(N$1,SUBQH,0),0),"")</f>
        <v/>
      </c>
      <c r="O17" s="34">
        <f>IFERROR(VLOOKUP($A17,subQ,MATCH(O$1,SUBQH,0),0),"")</f>
        <v/>
      </c>
      <c r="P17" s="34">
        <f>IFERROR(VLOOKUP($A17,subQ,MATCH(P$1,SUBQH,0),0),"")</f>
        <v/>
      </c>
      <c r="Q17" s="34">
        <f>IFERROR(VLOOKUP($A17,subQ,MATCH(Q$1,SUBQH,0),0),"")</f>
        <v/>
      </c>
      <c r="R17" s="34">
        <f>IFERROR(VLOOKUP($A17,subQ,MATCH(R$1,SUBQH,0),0),"")</f>
        <v/>
      </c>
      <c r="S17" s="34">
        <f>IFERROR(VLOOKUP($A17,subQ,MATCH(S$1,SUBQH,0),0),"")</f>
        <v/>
      </c>
      <c r="T17" s="43">
        <f>IFERROR(VLOOKUP($A17,subQ,MATCH(T$1,SUBQH,0),0),"")</f>
        <v/>
      </c>
      <c r="U17" s="37">
        <f>IFERROR(VLOOKUP($A17,subQ,MATCH(U$1,SUBQH,0),0),"")</f>
        <v/>
      </c>
      <c r="V17" s="37">
        <f>IFERROR(VLOOKUP($A17,subQ,MATCH(V$1,SUBQH,0),0),"")</f>
        <v/>
      </c>
      <c r="W17" s="37">
        <f>IFERROR(VLOOKUP($A17,subQ,MATCH(W$1,SUBQH,0),0),"")</f>
        <v/>
      </c>
      <c r="X17" s="37">
        <f>IFERROR(VLOOKUP($A17,subQ,MATCH(X$1,SUBQH,0),0),"")</f>
        <v/>
      </c>
      <c r="Y17" s="37">
        <f>IFERROR(VLOOKUP($A17,subQ,MATCH(Y$1,SUBQH,0),0),"")</f>
        <v/>
      </c>
      <c r="Z17" s="37">
        <f>IFERROR(VLOOKUP($A17,subQ,MATCH(Z$1,SUBQH,0),0),"")</f>
        <v/>
      </c>
      <c r="AA17" s="37">
        <f>IFERROR(VLOOKUP($A17,subQ,MATCH(AA$1,SUBQH,0),0),"")</f>
        <v/>
      </c>
      <c r="AB17" s="37">
        <f>IFERROR(VLOOKUP($A17,subQ,MATCH(AB$1,SUBQH,0),0),"")</f>
        <v/>
      </c>
      <c r="AC17" s="37">
        <f>IFERROR(VLOOKUP($A17,subQ,MATCH(AC$1,SUBQH,0),0),"")</f>
        <v/>
      </c>
      <c r="AD17" s="37">
        <f>IFERROR(VLOOKUP($A17,subQ,MATCH(AD$1,SUBQH,0),0),"")</f>
        <v/>
      </c>
      <c r="AE17" s="37">
        <f>IFERROR(VLOOKUP($A17,subQ,MATCH(AE$1,SUBQH,0),0),"")</f>
        <v/>
      </c>
      <c r="AF17" s="37">
        <f>IFERROR(VLOOKUP($A17,subQ,MATCH(AF$1,SUBQH,0),0),"")</f>
        <v/>
      </c>
      <c r="AG17" s="37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34">
        <f>IFERROR(VLOOKUP($A18,subQ,MATCH(E$1,SUBQH,0),0),"")</f>
        <v/>
      </c>
      <c r="F18" s="34">
        <f>IFERROR(VLOOKUP($A18,subQ,MATCH(F$1,SUBQH,0),0),"")</f>
        <v/>
      </c>
      <c r="G18" s="34">
        <f>IFERROR(VLOOKUP($A18,subQ,MATCH(G$1,SUBQH,0),0),"")</f>
        <v/>
      </c>
      <c r="H18" s="34">
        <f>IFERROR(VLOOKUP($A18,subQ,MATCH(H$1,SUBQH,0),0),"")</f>
        <v/>
      </c>
      <c r="I18" s="34">
        <f>IFERROR(VLOOKUP($A18,subQ,MATCH(I$1,SUBQH,0),0),"")</f>
        <v/>
      </c>
      <c r="J18" s="34">
        <f>IFERROR(VLOOKUP($A18,subQ,MATCH(J$1,SUBQH,0),0),"")</f>
        <v/>
      </c>
      <c r="K18" s="34">
        <f>IFERROR(VLOOKUP($A18,subQ,MATCH(K$1,SUBQH,0),0),"")</f>
        <v/>
      </c>
      <c r="L18" s="34">
        <f>IFERROR(VLOOKUP($A18,subQ,MATCH(L$1,SUBQH,0),0),"")</f>
        <v/>
      </c>
      <c r="M18" s="34">
        <f>IFERROR(VLOOKUP($A18,subQ,MATCH(M$1,SUBQH,0),0),"")</f>
        <v/>
      </c>
      <c r="N18" s="34">
        <f>IFERROR(VLOOKUP($A18,subQ,MATCH(N$1,SUBQH,0),0),"")</f>
        <v/>
      </c>
      <c r="O18" s="34">
        <f>IFERROR(VLOOKUP($A18,subQ,MATCH(O$1,SUBQH,0),0),"")</f>
        <v/>
      </c>
      <c r="P18" s="34">
        <f>IFERROR(VLOOKUP($A18,subQ,MATCH(P$1,SUBQH,0),0),"")</f>
        <v/>
      </c>
      <c r="Q18" s="34">
        <f>IFERROR(VLOOKUP($A18,subQ,MATCH(Q$1,SUBQH,0),0),"")</f>
        <v/>
      </c>
      <c r="R18" s="34">
        <f>IFERROR(VLOOKUP($A18,subQ,MATCH(R$1,SUBQH,0),0),"")</f>
        <v/>
      </c>
      <c r="S18" s="34">
        <f>IFERROR(VLOOKUP($A18,subQ,MATCH(S$1,SUBQH,0),0),"")</f>
        <v/>
      </c>
      <c r="T18" s="43">
        <f>IFERROR(VLOOKUP($A18,subQ,MATCH(T$1,SUBQH,0),0),"")</f>
        <v/>
      </c>
      <c r="U18" s="37">
        <f>IFERROR(VLOOKUP($A18,subQ,MATCH(U$1,SUBQH,0),0),"")</f>
        <v/>
      </c>
      <c r="V18" s="37">
        <f>IFERROR(VLOOKUP($A18,subQ,MATCH(V$1,SUBQH,0),0),"")</f>
        <v/>
      </c>
      <c r="W18" s="37">
        <f>IFERROR(VLOOKUP($A18,subQ,MATCH(W$1,SUBQH,0),0),"")</f>
        <v/>
      </c>
      <c r="X18" s="37">
        <f>IFERROR(VLOOKUP($A18,subQ,MATCH(X$1,SUBQH,0),0),"")</f>
        <v/>
      </c>
      <c r="Y18" s="37">
        <f>IFERROR(VLOOKUP($A18,subQ,MATCH(Y$1,SUBQH,0),0),"")</f>
        <v/>
      </c>
      <c r="Z18" s="37">
        <f>IFERROR(VLOOKUP($A18,subQ,MATCH(Z$1,SUBQH,0),0),"")</f>
        <v/>
      </c>
      <c r="AA18" s="37">
        <f>IFERROR(VLOOKUP($A18,subQ,MATCH(AA$1,SUBQH,0),0),"")</f>
        <v/>
      </c>
      <c r="AB18" s="37">
        <f>IFERROR(VLOOKUP($A18,subQ,MATCH(AB$1,SUBQH,0),0),"")</f>
        <v/>
      </c>
      <c r="AC18" s="37">
        <f>IFERROR(VLOOKUP($A18,subQ,MATCH(AC$1,SUBQH,0),0),"")</f>
        <v/>
      </c>
      <c r="AD18" s="37">
        <f>IFERROR(VLOOKUP($A18,subQ,MATCH(AD$1,SUBQH,0),0),"")</f>
        <v/>
      </c>
      <c r="AE18" s="37">
        <f>IFERROR(VLOOKUP($A18,subQ,MATCH(AE$1,SUBQH,0),0),"")</f>
        <v/>
      </c>
      <c r="AF18" s="37">
        <f>IFERROR(VLOOKUP($A18,subQ,MATCH(AF$1,SUBQH,0),0),"")</f>
        <v/>
      </c>
      <c r="AG18" s="37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34">
        <f>IFERROR(VLOOKUP($A19,subQ,MATCH(E$1,SUBQH,0),0),"")</f>
        <v/>
      </c>
      <c r="F19" s="34">
        <f>IFERROR(VLOOKUP($A19,subQ,MATCH(F$1,SUBQH,0),0),"")</f>
        <v/>
      </c>
      <c r="G19" s="34">
        <f>IFERROR(VLOOKUP($A19,subQ,MATCH(G$1,SUBQH,0),0),"")</f>
        <v/>
      </c>
      <c r="H19" s="34">
        <f>IFERROR(VLOOKUP($A19,subQ,MATCH(H$1,SUBQH,0),0),"")</f>
        <v/>
      </c>
      <c r="I19" s="34">
        <f>IFERROR(VLOOKUP($A19,subQ,MATCH(I$1,SUBQH,0),0),"")</f>
        <v/>
      </c>
      <c r="J19" s="34">
        <f>IFERROR(VLOOKUP($A19,subQ,MATCH(J$1,SUBQH,0),0),"")</f>
        <v/>
      </c>
      <c r="K19" s="34">
        <f>IFERROR(VLOOKUP($A19,subQ,MATCH(K$1,SUBQH,0),0),"")</f>
        <v/>
      </c>
      <c r="L19" s="34">
        <f>IFERROR(VLOOKUP($A19,subQ,MATCH(L$1,SUBQH,0),0),"")</f>
        <v/>
      </c>
      <c r="M19" s="34">
        <f>IFERROR(VLOOKUP($A19,subQ,MATCH(M$1,SUBQH,0),0),"")</f>
        <v/>
      </c>
      <c r="N19" s="34">
        <f>IFERROR(VLOOKUP($A19,subQ,MATCH(N$1,SUBQH,0),0),"")</f>
        <v/>
      </c>
      <c r="O19" s="34">
        <f>IFERROR(VLOOKUP($A19,subQ,MATCH(O$1,SUBQH,0),0),"")</f>
        <v/>
      </c>
      <c r="P19" s="34">
        <f>IFERROR(VLOOKUP($A19,subQ,MATCH(P$1,SUBQH,0),0),"")</f>
        <v/>
      </c>
      <c r="Q19" s="34">
        <f>IFERROR(VLOOKUP($A19,subQ,MATCH(Q$1,SUBQH,0),0),"")</f>
        <v/>
      </c>
      <c r="R19" s="34">
        <f>IFERROR(VLOOKUP($A19,subQ,MATCH(R$1,SUBQH,0),0),"")</f>
        <v/>
      </c>
      <c r="S19" s="34">
        <f>IFERROR(VLOOKUP($A19,subQ,MATCH(S$1,SUBQH,0),0),"")</f>
        <v/>
      </c>
      <c r="T19" s="43">
        <f>IFERROR(VLOOKUP($A19,subQ,MATCH(T$1,SUBQH,0),0),"")</f>
        <v/>
      </c>
      <c r="U19" s="37">
        <f>IFERROR(VLOOKUP($A19,subQ,MATCH(U$1,SUBQH,0),0),"")</f>
        <v/>
      </c>
      <c r="V19" s="37">
        <f>IFERROR(VLOOKUP($A19,subQ,MATCH(V$1,SUBQH,0),0),"")</f>
        <v/>
      </c>
      <c r="W19" s="37">
        <f>IFERROR(VLOOKUP($A19,subQ,MATCH(W$1,SUBQH,0),0),"")</f>
        <v/>
      </c>
      <c r="X19" s="37">
        <f>IFERROR(VLOOKUP($A19,subQ,MATCH(X$1,SUBQH,0),0),"")</f>
        <v/>
      </c>
      <c r="Y19" s="37">
        <f>IFERROR(VLOOKUP($A19,subQ,MATCH(Y$1,SUBQH,0),0),"")</f>
        <v/>
      </c>
      <c r="Z19" s="37">
        <f>IFERROR(VLOOKUP($A19,subQ,MATCH(Z$1,SUBQH,0),0),"")</f>
        <v/>
      </c>
      <c r="AA19" s="37">
        <f>IFERROR(VLOOKUP($A19,subQ,MATCH(AA$1,SUBQH,0),0),"")</f>
        <v/>
      </c>
      <c r="AB19" s="37">
        <f>IFERROR(VLOOKUP($A19,subQ,MATCH(AB$1,SUBQH,0),0),"")</f>
        <v/>
      </c>
      <c r="AC19" s="37">
        <f>IFERROR(VLOOKUP($A19,subQ,MATCH(AC$1,SUBQH,0),0),"")</f>
        <v/>
      </c>
      <c r="AD19" s="37">
        <f>IFERROR(VLOOKUP($A19,subQ,MATCH(AD$1,SUBQH,0),0),"")</f>
        <v/>
      </c>
      <c r="AE19" s="37">
        <f>IFERROR(VLOOKUP($A19,subQ,MATCH(AE$1,SUBQH,0),0),"")</f>
        <v/>
      </c>
      <c r="AF19" s="37">
        <f>IFERROR(VLOOKUP($A19,subQ,MATCH(AF$1,SUBQH,0),0),"")</f>
        <v/>
      </c>
      <c r="AG19" s="37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34">
        <f>IFERROR(VLOOKUP($A20,subQ,MATCH(E$1,SUBQH,0),0),"")</f>
        <v/>
      </c>
      <c r="F20" s="34">
        <f>IFERROR(VLOOKUP($A20,subQ,MATCH(F$1,SUBQH,0),0),"")</f>
        <v/>
      </c>
      <c r="G20" s="34">
        <f>IFERROR(VLOOKUP($A20,subQ,MATCH(G$1,SUBQH,0),0),"")</f>
        <v/>
      </c>
      <c r="H20" s="34">
        <f>IFERROR(VLOOKUP($A20,subQ,MATCH(H$1,SUBQH,0),0),"")</f>
        <v/>
      </c>
      <c r="I20" s="34">
        <f>IFERROR(VLOOKUP($A20,subQ,MATCH(I$1,SUBQH,0),0),"")</f>
        <v/>
      </c>
      <c r="J20" s="34">
        <f>IFERROR(VLOOKUP($A20,subQ,MATCH(J$1,SUBQH,0),0),"")</f>
        <v/>
      </c>
      <c r="K20" s="34">
        <f>IFERROR(VLOOKUP($A20,subQ,MATCH(K$1,SUBQH,0),0),"")</f>
        <v/>
      </c>
      <c r="L20" s="34">
        <f>IFERROR(VLOOKUP($A20,subQ,MATCH(L$1,SUBQH,0),0),"")</f>
        <v/>
      </c>
      <c r="M20" s="34">
        <f>IFERROR(VLOOKUP($A20,subQ,MATCH(M$1,SUBQH,0),0),"")</f>
        <v/>
      </c>
      <c r="N20" s="34">
        <f>IFERROR(VLOOKUP($A20,subQ,MATCH(N$1,SUBQH,0),0),"")</f>
        <v/>
      </c>
      <c r="O20" s="34">
        <f>IFERROR(VLOOKUP($A20,subQ,MATCH(O$1,SUBQH,0),0),"")</f>
        <v/>
      </c>
      <c r="P20" s="34">
        <f>IFERROR(VLOOKUP($A20,subQ,MATCH(P$1,SUBQH,0),0),"")</f>
        <v/>
      </c>
      <c r="Q20" s="34">
        <f>IFERROR(VLOOKUP($A20,subQ,MATCH(Q$1,SUBQH,0),0),"")</f>
        <v/>
      </c>
      <c r="R20" s="34">
        <f>IFERROR(VLOOKUP($A20,subQ,MATCH(R$1,SUBQH,0),0),"")</f>
        <v/>
      </c>
      <c r="S20" s="34">
        <f>IFERROR(VLOOKUP($A20,subQ,MATCH(S$1,SUBQH,0),0),"")</f>
        <v/>
      </c>
      <c r="T20" s="43">
        <f>IFERROR(VLOOKUP($A20,subQ,MATCH(T$1,SUBQH,0),0),"")</f>
        <v/>
      </c>
      <c r="U20" s="37">
        <f>IFERROR(VLOOKUP($A20,subQ,MATCH(U$1,SUBQH,0),0),"")</f>
        <v/>
      </c>
      <c r="V20" s="37">
        <f>IFERROR(VLOOKUP($A20,subQ,MATCH(V$1,SUBQH,0),0),"")</f>
        <v/>
      </c>
      <c r="W20" s="37">
        <f>IFERROR(VLOOKUP($A20,subQ,MATCH(W$1,SUBQH,0),0),"")</f>
        <v/>
      </c>
      <c r="X20" s="37">
        <f>IFERROR(VLOOKUP($A20,subQ,MATCH(X$1,SUBQH,0),0),"")</f>
        <v/>
      </c>
      <c r="Y20" s="37">
        <f>IFERROR(VLOOKUP($A20,subQ,MATCH(Y$1,SUBQH,0),0),"")</f>
        <v/>
      </c>
      <c r="Z20" s="37">
        <f>IFERROR(VLOOKUP($A20,subQ,MATCH(Z$1,SUBQH,0),0),"")</f>
        <v/>
      </c>
      <c r="AA20" s="37">
        <f>IFERROR(VLOOKUP($A20,subQ,MATCH(AA$1,SUBQH,0),0),"")</f>
        <v/>
      </c>
      <c r="AB20" s="37">
        <f>IFERROR(VLOOKUP($A20,subQ,MATCH(AB$1,SUBQH,0),0),"")</f>
        <v/>
      </c>
      <c r="AC20" s="37">
        <f>IFERROR(VLOOKUP($A20,subQ,MATCH(AC$1,SUBQH,0),0),"")</f>
        <v/>
      </c>
      <c r="AD20" s="37">
        <f>IFERROR(VLOOKUP($A20,subQ,MATCH(AD$1,SUBQH,0),0),"")</f>
        <v/>
      </c>
      <c r="AE20" s="37">
        <f>IFERROR(VLOOKUP($A20,subQ,MATCH(AE$1,SUBQH,0),0),"")</f>
        <v/>
      </c>
      <c r="AF20" s="37">
        <f>IFERROR(VLOOKUP($A20,subQ,MATCH(AF$1,SUBQH,0),0),"")</f>
        <v/>
      </c>
      <c r="AG20" s="37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34">
        <f>IFERROR(VLOOKUP($A21,subQ,MATCH(E$1,SUBQH,0),0),"")</f>
        <v/>
      </c>
      <c r="F21" s="34">
        <f>IFERROR(VLOOKUP($A21,subQ,MATCH(F$1,SUBQH,0),0),"")</f>
        <v/>
      </c>
      <c r="G21" s="34">
        <f>IFERROR(VLOOKUP($A21,subQ,MATCH(G$1,SUBQH,0),0),"")</f>
        <v/>
      </c>
      <c r="H21" s="34">
        <f>IFERROR(VLOOKUP($A21,subQ,MATCH(H$1,SUBQH,0),0),"")</f>
        <v/>
      </c>
      <c r="I21" s="34">
        <f>IFERROR(VLOOKUP($A21,subQ,MATCH(I$1,SUBQH,0),0),"")</f>
        <v/>
      </c>
      <c r="J21" s="34">
        <f>IFERROR(VLOOKUP($A21,subQ,MATCH(J$1,SUBQH,0),0),"")</f>
        <v/>
      </c>
      <c r="K21" s="34">
        <f>IFERROR(VLOOKUP($A21,subQ,MATCH(K$1,SUBQH,0),0),"")</f>
        <v/>
      </c>
      <c r="L21" s="34">
        <f>IFERROR(VLOOKUP($A21,subQ,MATCH(L$1,SUBQH,0),0),"")</f>
        <v/>
      </c>
      <c r="M21" s="34">
        <f>IFERROR(VLOOKUP($A21,subQ,MATCH(M$1,SUBQH,0),0),"")</f>
        <v/>
      </c>
      <c r="N21" s="34">
        <f>IFERROR(VLOOKUP($A21,subQ,MATCH(N$1,SUBQH,0),0),"")</f>
        <v/>
      </c>
      <c r="O21" s="34">
        <f>IFERROR(VLOOKUP($A21,subQ,MATCH(O$1,SUBQH,0),0),"")</f>
        <v/>
      </c>
      <c r="P21" s="34">
        <f>IFERROR(VLOOKUP($A21,subQ,MATCH(P$1,SUBQH,0),0),"")</f>
        <v/>
      </c>
      <c r="Q21" s="34">
        <f>IFERROR(VLOOKUP($A21,subQ,MATCH(Q$1,SUBQH,0),0),"")</f>
        <v/>
      </c>
      <c r="R21" s="34">
        <f>IFERROR(VLOOKUP($A21,subQ,MATCH(R$1,SUBQH,0),0),"")</f>
        <v/>
      </c>
      <c r="S21" s="34">
        <f>IFERROR(VLOOKUP($A21,subQ,MATCH(S$1,SUBQH,0),0),"")</f>
        <v/>
      </c>
      <c r="T21" s="43">
        <f>IFERROR(VLOOKUP($A21,subQ,MATCH(T$1,SUBQH,0),0),"")</f>
        <v/>
      </c>
      <c r="U21" s="37">
        <f>IFERROR(VLOOKUP($A21,subQ,MATCH(U$1,SUBQH,0),0),"")</f>
        <v/>
      </c>
      <c r="V21" s="37">
        <f>IFERROR(VLOOKUP($A21,subQ,MATCH(V$1,SUBQH,0),0),"")</f>
        <v/>
      </c>
      <c r="W21" s="37">
        <f>IFERROR(VLOOKUP($A21,subQ,MATCH(W$1,SUBQH,0),0),"")</f>
        <v/>
      </c>
      <c r="X21" s="37">
        <f>IFERROR(VLOOKUP($A21,subQ,MATCH(X$1,SUBQH,0),0),"")</f>
        <v/>
      </c>
      <c r="Y21" s="37">
        <f>IFERROR(VLOOKUP($A21,subQ,MATCH(Y$1,SUBQH,0),0),"")</f>
        <v/>
      </c>
      <c r="Z21" s="37">
        <f>IFERROR(VLOOKUP($A21,subQ,MATCH(Z$1,SUBQH,0),0),"")</f>
        <v/>
      </c>
      <c r="AA21" s="37">
        <f>IFERROR(VLOOKUP($A21,subQ,MATCH(AA$1,SUBQH,0),0),"")</f>
        <v/>
      </c>
      <c r="AB21" s="37">
        <f>IFERROR(VLOOKUP($A21,subQ,MATCH(AB$1,SUBQH,0),0),"")</f>
        <v/>
      </c>
      <c r="AC21" s="37">
        <f>IFERROR(VLOOKUP($A21,subQ,MATCH(AC$1,SUBQH,0),0),"")</f>
        <v/>
      </c>
      <c r="AD21" s="37">
        <f>IFERROR(VLOOKUP($A21,subQ,MATCH(AD$1,SUBQH,0),0),"")</f>
        <v/>
      </c>
      <c r="AE21" s="37">
        <f>IFERROR(VLOOKUP($A21,subQ,MATCH(AE$1,SUBQH,0),0),"")</f>
        <v/>
      </c>
      <c r="AF21" s="37">
        <f>IFERROR(VLOOKUP($A21,subQ,MATCH(AF$1,SUBQH,0),0),"")</f>
        <v/>
      </c>
      <c r="AG21" s="37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34">
        <f>IFERROR(VLOOKUP($A22,subQ,MATCH(E$1,SUBQH,0),0),"")</f>
        <v/>
      </c>
      <c r="F22" s="34">
        <f>IFERROR(VLOOKUP($A22,subQ,MATCH(F$1,SUBQH,0),0),"")</f>
        <v/>
      </c>
      <c r="G22" s="34">
        <f>IFERROR(VLOOKUP($A22,subQ,MATCH(G$1,SUBQH,0),0),"")</f>
        <v/>
      </c>
      <c r="H22" s="34">
        <f>IFERROR(VLOOKUP($A22,subQ,MATCH(H$1,SUBQH,0),0),"")</f>
        <v/>
      </c>
      <c r="I22" s="34">
        <f>IFERROR(VLOOKUP($A22,subQ,MATCH(I$1,SUBQH,0),0),"")</f>
        <v/>
      </c>
      <c r="J22" s="34">
        <f>IFERROR(VLOOKUP($A22,subQ,MATCH(J$1,SUBQH,0),0),"")</f>
        <v/>
      </c>
      <c r="K22" s="34">
        <f>IFERROR(VLOOKUP($A22,subQ,MATCH(K$1,SUBQH,0),0),"")</f>
        <v/>
      </c>
      <c r="L22" s="34">
        <f>IFERROR(VLOOKUP($A22,subQ,MATCH(L$1,SUBQH,0),0),"")</f>
        <v/>
      </c>
      <c r="M22" s="34">
        <f>IFERROR(VLOOKUP($A22,subQ,MATCH(M$1,SUBQH,0),0),"")</f>
        <v/>
      </c>
      <c r="N22" s="34">
        <f>IFERROR(VLOOKUP($A22,subQ,MATCH(N$1,SUBQH,0),0),"")</f>
        <v/>
      </c>
      <c r="O22" s="34">
        <f>IFERROR(VLOOKUP($A22,subQ,MATCH(O$1,SUBQH,0),0),"")</f>
        <v/>
      </c>
      <c r="P22" s="34">
        <f>IFERROR(VLOOKUP($A22,subQ,MATCH(P$1,SUBQH,0),0),"")</f>
        <v/>
      </c>
      <c r="Q22" s="34">
        <f>IFERROR(VLOOKUP($A22,subQ,MATCH(Q$1,SUBQH,0),0),"")</f>
        <v/>
      </c>
      <c r="R22" s="34">
        <f>IFERROR(VLOOKUP($A22,subQ,MATCH(R$1,SUBQH,0),0),"")</f>
        <v/>
      </c>
      <c r="S22" s="34">
        <f>IFERROR(VLOOKUP($A22,subQ,MATCH(S$1,SUBQH,0),0),"")</f>
        <v/>
      </c>
      <c r="T22" s="43">
        <f>IFERROR(VLOOKUP($A22,subQ,MATCH(T$1,SUBQH,0),0),"")</f>
        <v/>
      </c>
      <c r="U22" s="37">
        <f>IFERROR(VLOOKUP($A22,subQ,MATCH(U$1,SUBQH,0),0),"")</f>
        <v/>
      </c>
      <c r="V22" s="37">
        <f>IFERROR(VLOOKUP($A22,subQ,MATCH(V$1,SUBQH,0),0),"")</f>
        <v/>
      </c>
      <c r="W22" s="37">
        <f>IFERROR(VLOOKUP($A22,subQ,MATCH(W$1,SUBQH,0),0),"")</f>
        <v/>
      </c>
      <c r="X22" s="37">
        <f>IFERROR(VLOOKUP($A22,subQ,MATCH(X$1,SUBQH,0),0),"")</f>
        <v/>
      </c>
      <c r="Y22" s="37">
        <f>IFERROR(VLOOKUP($A22,subQ,MATCH(Y$1,SUBQH,0),0),"")</f>
        <v/>
      </c>
      <c r="Z22" s="37">
        <f>IFERROR(VLOOKUP($A22,subQ,MATCH(Z$1,SUBQH,0),0),"")</f>
        <v/>
      </c>
      <c r="AA22" s="37">
        <f>IFERROR(VLOOKUP($A22,subQ,MATCH(AA$1,SUBQH,0),0),"")</f>
        <v/>
      </c>
      <c r="AB22" s="37">
        <f>IFERROR(VLOOKUP($A22,subQ,MATCH(AB$1,SUBQH,0),0),"")</f>
        <v/>
      </c>
      <c r="AC22" s="37">
        <f>IFERROR(VLOOKUP($A22,subQ,MATCH(AC$1,SUBQH,0),0),"")</f>
        <v/>
      </c>
      <c r="AD22" s="37">
        <f>IFERROR(VLOOKUP($A22,subQ,MATCH(AD$1,SUBQH,0),0),"")</f>
        <v/>
      </c>
      <c r="AE22" s="37">
        <f>IFERROR(VLOOKUP($A22,subQ,MATCH(AE$1,SUBQH,0),0),"")</f>
        <v/>
      </c>
      <c r="AF22" s="37">
        <f>IFERROR(VLOOKUP($A22,subQ,MATCH(AF$1,SUBQH,0),0),"")</f>
        <v/>
      </c>
      <c r="AG22" s="37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34">
        <f>IFERROR(VLOOKUP($A23,subQ,MATCH(E$1,SUBQH,0),0),"")</f>
        <v/>
      </c>
      <c r="F23" s="34">
        <f>IFERROR(VLOOKUP($A23,subQ,MATCH(F$1,SUBQH,0),0),"")</f>
        <v/>
      </c>
      <c r="G23" s="34">
        <f>IFERROR(VLOOKUP($A23,subQ,MATCH(G$1,SUBQH,0),0),"")</f>
        <v/>
      </c>
      <c r="H23" s="34">
        <f>IFERROR(VLOOKUP($A23,subQ,MATCH(H$1,SUBQH,0),0),"")</f>
        <v/>
      </c>
      <c r="I23" s="34">
        <f>IFERROR(VLOOKUP($A23,subQ,MATCH(I$1,SUBQH,0),0),"")</f>
        <v/>
      </c>
      <c r="J23" s="34">
        <f>IFERROR(VLOOKUP($A23,subQ,MATCH(J$1,SUBQH,0),0),"")</f>
        <v/>
      </c>
      <c r="K23" s="34">
        <f>IFERROR(VLOOKUP($A23,subQ,MATCH(K$1,SUBQH,0),0),"")</f>
        <v/>
      </c>
      <c r="L23" s="34">
        <f>IFERROR(VLOOKUP($A23,subQ,MATCH(L$1,SUBQH,0),0),"")</f>
        <v/>
      </c>
      <c r="M23" s="34">
        <f>IFERROR(VLOOKUP($A23,subQ,MATCH(M$1,SUBQH,0),0),"")</f>
        <v/>
      </c>
      <c r="N23" s="34">
        <f>IFERROR(VLOOKUP($A23,subQ,MATCH(N$1,SUBQH,0),0),"")</f>
        <v/>
      </c>
      <c r="O23" s="34">
        <f>IFERROR(VLOOKUP($A23,subQ,MATCH(O$1,SUBQH,0),0),"")</f>
        <v/>
      </c>
      <c r="P23" s="34">
        <f>IFERROR(VLOOKUP($A23,subQ,MATCH(P$1,SUBQH,0),0),"")</f>
        <v/>
      </c>
      <c r="Q23" s="34">
        <f>IFERROR(VLOOKUP($A23,subQ,MATCH(Q$1,SUBQH,0),0),"")</f>
        <v/>
      </c>
      <c r="R23" s="34">
        <f>IFERROR(VLOOKUP($A23,subQ,MATCH(R$1,SUBQH,0),0),"")</f>
        <v/>
      </c>
      <c r="S23" s="34">
        <f>IFERROR(VLOOKUP($A23,subQ,MATCH(S$1,SUBQH,0),0),"")</f>
        <v/>
      </c>
      <c r="T23" s="43">
        <f>IFERROR(VLOOKUP($A23,subQ,MATCH(T$1,SUBQH,0),0),"")</f>
        <v/>
      </c>
      <c r="U23" s="37">
        <f>IFERROR(VLOOKUP($A23,subQ,MATCH(U$1,SUBQH,0),0),"")</f>
        <v/>
      </c>
      <c r="V23" s="37">
        <f>IFERROR(VLOOKUP($A23,subQ,MATCH(V$1,SUBQH,0),0),"")</f>
        <v/>
      </c>
      <c r="W23" s="37">
        <f>IFERROR(VLOOKUP($A23,subQ,MATCH(W$1,SUBQH,0),0),"")</f>
        <v/>
      </c>
      <c r="X23" s="37">
        <f>IFERROR(VLOOKUP($A23,subQ,MATCH(X$1,SUBQH,0),0),"")</f>
        <v/>
      </c>
      <c r="Y23" s="37">
        <f>IFERROR(VLOOKUP($A23,subQ,MATCH(Y$1,SUBQH,0),0),"")</f>
        <v/>
      </c>
      <c r="Z23" s="37">
        <f>IFERROR(VLOOKUP($A23,subQ,MATCH(Z$1,SUBQH,0),0),"")</f>
        <v/>
      </c>
      <c r="AA23" s="37">
        <f>IFERROR(VLOOKUP($A23,subQ,MATCH(AA$1,SUBQH,0),0),"")</f>
        <v/>
      </c>
      <c r="AB23" s="37">
        <f>IFERROR(VLOOKUP($A23,subQ,MATCH(AB$1,SUBQH,0),0),"")</f>
        <v/>
      </c>
      <c r="AC23" s="37">
        <f>IFERROR(VLOOKUP($A23,subQ,MATCH(AC$1,SUBQH,0),0),"")</f>
        <v/>
      </c>
      <c r="AD23" s="37">
        <f>IFERROR(VLOOKUP($A23,subQ,MATCH(AD$1,SUBQH,0),0),"")</f>
        <v/>
      </c>
      <c r="AE23" s="37">
        <f>IFERROR(VLOOKUP($A23,subQ,MATCH(AE$1,SUBQH,0),0),"")</f>
        <v/>
      </c>
      <c r="AF23" s="37">
        <f>IFERROR(VLOOKUP($A23,subQ,MATCH(AF$1,SUBQH,0),0),"")</f>
        <v/>
      </c>
      <c r="AG23" s="37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34">
        <f>IFERROR(VLOOKUP($A24,subQ,MATCH(E$1,SUBQH,0),0),"")</f>
        <v/>
      </c>
      <c r="F24" s="34">
        <f>IFERROR(VLOOKUP($A24,subQ,MATCH(F$1,SUBQH,0),0),"")</f>
        <v/>
      </c>
      <c r="G24" s="34">
        <f>IFERROR(VLOOKUP($A24,subQ,MATCH(G$1,SUBQH,0),0),"")</f>
        <v/>
      </c>
      <c r="H24" s="34">
        <f>IFERROR(VLOOKUP($A24,subQ,MATCH(H$1,SUBQH,0),0),"")</f>
        <v/>
      </c>
      <c r="I24" s="34">
        <f>IFERROR(VLOOKUP($A24,subQ,MATCH(I$1,SUBQH,0),0),"")</f>
        <v/>
      </c>
      <c r="J24" s="34">
        <f>IFERROR(VLOOKUP($A24,subQ,MATCH(J$1,SUBQH,0),0),"")</f>
        <v/>
      </c>
      <c r="K24" s="34">
        <f>IFERROR(VLOOKUP($A24,subQ,MATCH(K$1,SUBQH,0),0),"")</f>
        <v/>
      </c>
      <c r="L24" s="34">
        <f>IFERROR(VLOOKUP($A24,subQ,MATCH(L$1,SUBQH,0),0),"")</f>
        <v/>
      </c>
      <c r="M24" s="34">
        <f>IFERROR(VLOOKUP($A24,subQ,MATCH(M$1,SUBQH,0),0),"")</f>
        <v/>
      </c>
      <c r="N24" s="34">
        <f>IFERROR(VLOOKUP($A24,subQ,MATCH(N$1,SUBQH,0),0),"")</f>
        <v/>
      </c>
      <c r="O24" s="34">
        <f>IFERROR(VLOOKUP($A24,subQ,MATCH(O$1,SUBQH,0),0),"")</f>
        <v/>
      </c>
      <c r="P24" s="34">
        <f>IFERROR(VLOOKUP($A24,subQ,MATCH(P$1,SUBQH,0),0),"")</f>
        <v/>
      </c>
      <c r="Q24" s="34">
        <f>IFERROR(VLOOKUP($A24,subQ,MATCH(Q$1,SUBQH,0),0),"")</f>
        <v/>
      </c>
      <c r="R24" s="34">
        <f>IFERROR(VLOOKUP($A24,subQ,MATCH(R$1,SUBQH,0),0),"")</f>
        <v/>
      </c>
      <c r="S24" s="34">
        <f>IFERROR(VLOOKUP($A24,subQ,MATCH(S$1,SUBQH,0),0),"")</f>
        <v/>
      </c>
      <c r="T24" s="43">
        <f>IFERROR(VLOOKUP($A24,subQ,MATCH(T$1,SUBQH,0),0),"")</f>
        <v/>
      </c>
      <c r="U24" s="37">
        <f>IFERROR(VLOOKUP($A24,subQ,MATCH(U$1,SUBQH,0),0),"")</f>
        <v/>
      </c>
      <c r="V24" s="37">
        <f>IFERROR(VLOOKUP($A24,subQ,MATCH(V$1,SUBQH,0),0),"")</f>
        <v/>
      </c>
      <c r="W24" s="37">
        <f>IFERROR(VLOOKUP($A24,subQ,MATCH(W$1,SUBQH,0),0),"")</f>
        <v/>
      </c>
      <c r="X24" s="37">
        <f>IFERROR(VLOOKUP($A24,subQ,MATCH(X$1,SUBQH,0),0),"")</f>
        <v/>
      </c>
      <c r="Y24" s="37">
        <f>IFERROR(VLOOKUP($A24,subQ,MATCH(Y$1,SUBQH,0),0),"")</f>
        <v/>
      </c>
      <c r="Z24" s="37">
        <f>IFERROR(VLOOKUP($A24,subQ,MATCH(Z$1,SUBQH,0),0),"")</f>
        <v/>
      </c>
      <c r="AA24" s="37">
        <f>IFERROR(VLOOKUP($A24,subQ,MATCH(AA$1,SUBQH,0),0),"")</f>
        <v/>
      </c>
      <c r="AB24" s="37">
        <f>IFERROR(VLOOKUP($A24,subQ,MATCH(AB$1,SUBQH,0),0),"")</f>
        <v/>
      </c>
      <c r="AC24" s="37">
        <f>IFERROR(VLOOKUP($A24,subQ,MATCH(AC$1,SUBQH,0),0),"")</f>
        <v/>
      </c>
      <c r="AD24" s="37">
        <f>IFERROR(VLOOKUP($A24,subQ,MATCH(AD$1,SUBQH,0),0),"")</f>
        <v/>
      </c>
      <c r="AE24" s="37">
        <f>IFERROR(VLOOKUP($A24,subQ,MATCH(AE$1,SUBQH,0),0),"")</f>
        <v/>
      </c>
      <c r="AF24" s="37">
        <f>IFERROR(VLOOKUP($A24,subQ,MATCH(AF$1,SUBQH,0),0),"")</f>
        <v/>
      </c>
      <c r="AG24" s="37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34">
        <f>IFERROR(VLOOKUP($A25,subQ,MATCH(E$1,SUBQH,0),0),"")</f>
        <v/>
      </c>
      <c r="F25" s="34">
        <f>IFERROR(VLOOKUP($A25,subQ,MATCH(F$1,SUBQH,0),0),"")</f>
        <v/>
      </c>
      <c r="G25" s="34">
        <f>IFERROR(VLOOKUP($A25,subQ,MATCH(G$1,SUBQH,0),0),"")</f>
        <v/>
      </c>
      <c r="H25" s="34">
        <f>IFERROR(VLOOKUP($A25,subQ,MATCH(H$1,SUBQH,0),0),"")</f>
        <v/>
      </c>
      <c r="I25" s="34">
        <f>IFERROR(VLOOKUP($A25,subQ,MATCH(I$1,SUBQH,0),0),"")</f>
        <v/>
      </c>
      <c r="J25" s="34">
        <f>IFERROR(VLOOKUP($A25,subQ,MATCH(J$1,SUBQH,0),0),"")</f>
        <v/>
      </c>
      <c r="K25" s="34">
        <f>IFERROR(VLOOKUP($A25,subQ,MATCH(K$1,SUBQH,0),0),"")</f>
        <v/>
      </c>
      <c r="L25" s="34">
        <f>IFERROR(VLOOKUP($A25,subQ,MATCH(L$1,SUBQH,0),0),"")</f>
        <v/>
      </c>
      <c r="M25" s="34">
        <f>IFERROR(VLOOKUP($A25,subQ,MATCH(M$1,SUBQH,0),0),"")</f>
        <v/>
      </c>
      <c r="N25" s="34">
        <f>IFERROR(VLOOKUP($A25,subQ,MATCH(N$1,SUBQH,0),0),"")</f>
        <v/>
      </c>
      <c r="O25" s="34">
        <f>IFERROR(VLOOKUP($A25,subQ,MATCH(O$1,SUBQH,0),0),"")</f>
        <v/>
      </c>
      <c r="P25" s="34">
        <f>IFERROR(VLOOKUP($A25,subQ,MATCH(P$1,SUBQH,0),0),"")</f>
        <v/>
      </c>
      <c r="Q25" s="34">
        <f>IFERROR(VLOOKUP($A25,subQ,MATCH(Q$1,SUBQH,0),0),"")</f>
        <v/>
      </c>
      <c r="R25" s="34">
        <f>IFERROR(VLOOKUP($A25,subQ,MATCH(R$1,SUBQH,0),0),"")</f>
        <v/>
      </c>
      <c r="S25" s="34">
        <f>IFERROR(VLOOKUP($A25,subQ,MATCH(S$1,SUBQH,0),0),"")</f>
        <v/>
      </c>
      <c r="T25" s="43">
        <f>IFERROR(VLOOKUP($A25,subQ,MATCH(T$1,SUBQH,0),0),"")</f>
        <v/>
      </c>
      <c r="U25" s="37">
        <f>IFERROR(VLOOKUP($A25,subQ,MATCH(U$1,SUBQH,0),0),"")</f>
        <v/>
      </c>
      <c r="V25" s="37">
        <f>IFERROR(VLOOKUP($A25,subQ,MATCH(V$1,SUBQH,0),0),"")</f>
        <v/>
      </c>
      <c r="W25" s="37">
        <f>IFERROR(VLOOKUP($A25,subQ,MATCH(W$1,SUBQH,0),0),"")</f>
        <v/>
      </c>
      <c r="X25" s="37">
        <f>IFERROR(VLOOKUP($A25,subQ,MATCH(X$1,SUBQH,0),0),"")</f>
        <v/>
      </c>
      <c r="Y25" s="37">
        <f>IFERROR(VLOOKUP($A25,subQ,MATCH(Y$1,SUBQH,0),0),"")</f>
        <v/>
      </c>
      <c r="Z25" s="37">
        <f>IFERROR(VLOOKUP($A25,subQ,MATCH(Z$1,SUBQH,0),0),"")</f>
        <v/>
      </c>
      <c r="AA25" s="37">
        <f>IFERROR(VLOOKUP($A25,subQ,MATCH(AA$1,SUBQH,0),0),"")</f>
        <v/>
      </c>
      <c r="AB25" s="37">
        <f>IFERROR(VLOOKUP($A25,subQ,MATCH(AB$1,SUBQH,0),0),"")</f>
        <v/>
      </c>
      <c r="AC25" s="37">
        <f>IFERROR(VLOOKUP($A25,subQ,MATCH(AC$1,SUBQH,0),0),"")</f>
        <v/>
      </c>
      <c r="AD25" s="37">
        <f>IFERROR(VLOOKUP($A25,subQ,MATCH(AD$1,SUBQH,0),0),"")</f>
        <v/>
      </c>
      <c r="AE25" s="37">
        <f>IFERROR(VLOOKUP($A25,subQ,MATCH(AE$1,SUBQH,0),0),"")</f>
        <v/>
      </c>
      <c r="AF25" s="37">
        <f>IFERROR(VLOOKUP($A25,subQ,MATCH(AF$1,SUBQH,0),0),"")</f>
        <v/>
      </c>
      <c r="AG25" s="37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34">
        <f>IFERROR(VLOOKUP($A26,subQ,MATCH(E$1,SUBQH,0),0),"")</f>
        <v/>
      </c>
      <c r="F26" s="34">
        <f>IFERROR(VLOOKUP($A26,subQ,MATCH(F$1,SUBQH,0),0),"")</f>
        <v/>
      </c>
      <c r="G26" s="34">
        <f>IFERROR(VLOOKUP($A26,subQ,MATCH(G$1,SUBQH,0),0),"")</f>
        <v/>
      </c>
      <c r="H26" s="34">
        <f>IFERROR(VLOOKUP($A26,subQ,MATCH(H$1,SUBQH,0),0),"")</f>
        <v/>
      </c>
      <c r="I26" s="34">
        <f>IFERROR(VLOOKUP($A26,subQ,MATCH(I$1,SUBQH,0),0),"")</f>
        <v/>
      </c>
      <c r="J26" s="34">
        <f>IFERROR(VLOOKUP($A26,subQ,MATCH(J$1,SUBQH,0),0),"")</f>
        <v/>
      </c>
      <c r="K26" s="34">
        <f>IFERROR(VLOOKUP($A26,subQ,MATCH(K$1,SUBQH,0),0),"")</f>
        <v/>
      </c>
      <c r="L26" s="34">
        <f>IFERROR(VLOOKUP($A26,subQ,MATCH(L$1,SUBQH,0),0),"")</f>
        <v/>
      </c>
      <c r="M26" s="34">
        <f>IFERROR(VLOOKUP($A26,subQ,MATCH(M$1,SUBQH,0),0),"")</f>
        <v/>
      </c>
      <c r="N26" s="34">
        <f>IFERROR(VLOOKUP($A26,subQ,MATCH(N$1,SUBQH,0),0),"")</f>
        <v/>
      </c>
      <c r="O26" s="34">
        <f>IFERROR(VLOOKUP($A26,subQ,MATCH(O$1,SUBQH,0),0),"")</f>
        <v/>
      </c>
      <c r="P26" s="34">
        <f>IFERROR(VLOOKUP($A26,subQ,MATCH(P$1,SUBQH,0),0),"")</f>
        <v/>
      </c>
      <c r="Q26" s="34">
        <f>IFERROR(VLOOKUP($A26,subQ,MATCH(Q$1,SUBQH,0),0),"")</f>
        <v/>
      </c>
      <c r="R26" s="34">
        <f>IFERROR(VLOOKUP($A26,subQ,MATCH(R$1,SUBQH,0),0),"")</f>
        <v/>
      </c>
      <c r="S26" s="34">
        <f>IFERROR(VLOOKUP($A26,subQ,MATCH(S$1,SUBQH,0),0),"")</f>
        <v/>
      </c>
      <c r="T26" s="43">
        <f>IFERROR(VLOOKUP($A26,subQ,MATCH(T$1,SUBQH,0),0),"")</f>
        <v/>
      </c>
      <c r="U26" s="37">
        <f>IFERROR(VLOOKUP($A26,subQ,MATCH(U$1,SUBQH,0),0),"")</f>
        <v/>
      </c>
      <c r="V26" s="37">
        <f>IFERROR(VLOOKUP($A26,subQ,MATCH(V$1,SUBQH,0),0),"")</f>
        <v/>
      </c>
      <c r="W26" s="37">
        <f>IFERROR(VLOOKUP($A26,subQ,MATCH(W$1,SUBQH,0),0),"")</f>
        <v/>
      </c>
      <c r="X26" s="37">
        <f>IFERROR(VLOOKUP($A26,subQ,MATCH(X$1,SUBQH,0),0),"")</f>
        <v/>
      </c>
      <c r="Y26" s="37">
        <f>IFERROR(VLOOKUP($A26,subQ,MATCH(Y$1,SUBQH,0),0),"")</f>
        <v/>
      </c>
      <c r="Z26" s="37">
        <f>IFERROR(VLOOKUP($A26,subQ,MATCH(Z$1,SUBQH,0),0),"")</f>
        <v/>
      </c>
      <c r="AA26" s="37">
        <f>IFERROR(VLOOKUP($A26,subQ,MATCH(AA$1,SUBQH,0),0),"")</f>
        <v/>
      </c>
      <c r="AB26" s="37">
        <f>IFERROR(VLOOKUP($A26,subQ,MATCH(AB$1,SUBQH,0),0),"")</f>
        <v/>
      </c>
      <c r="AC26" s="37">
        <f>IFERROR(VLOOKUP($A26,subQ,MATCH(AC$1,SUBQH,0),0),"")</f>
        <v/>
      </c>
      <c r="AD26" s="37">
        <f>IFERROR(VLOOKUP($A26,subQ,MATCH(AD$1,SUBQH,0),0),"")</f>
        <v/>
      </c>
      <c r="AE26" s="37">
        <f>IFERROR(VLOOKUP($A26,subQ,MATCH(AE$1,SUBQH,0),0),"")</f>
        <v/>
      </c>
      <c r="AF26" s="37">
        <f>IFERROR(VLOOKUP($A26,subQ,MATCH(AF$1,SUBQH,0),0),"")</f>
        <v/>
      </c>
      <c r="AG26" s="37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34">
        <f>IFERROR(VLOOKUP($A27,subQ,MATCH(E$1,SUBQH,0),0),"")</f>
        <v/>
      </c>
      <c r="F27" s="34">
        <f>IFERROR(VLOOKUP($A27,subQ,MATCH(F$1,SUBQH,0),0),"")</f>
        <v/>
      </c>
      <c r="G27" s="34">
        <f>IFERROR(VLOOKUP($A27,subQ,MATCH(G$1,SUBQH,0),0),"")</f>
        <v/>
      </c>
      <c r="H27" s="34">
        <f>IFERROR(VLOOKUP($A27,subQ,MATCH(H$1,SUBQH,0),0),"")</f>
        <v/>
      </c>
      <c r="I27" s="34">
        <f>IFERROR(VLOOKUP($A27,subQ,MATCH(I$1,SUBQH,0),0),"")</f>
        <v/>
      </c>
      <c r="J27" s="34">
        <f>IFERROR(VLOOKUP($A27,subQ,MATCH(J$1,SUBQH,0),0),"")</f>
        <v/>
      </c>
      <c r="K27" s="34">
        <f>IFERROR(VLOOKUP($A27,subQ,MATCH(K$1,SUBQH,0),0),"")</f>
        <v/>
      </c>
      <c r="L27" s="34">
        <f>IFERROR(VLOOKUP($A27,subQ,MATCH(L$1,SUBQH,0),0),"")</f>
        <v/>
      </c>
      <c r="M27" s="34">
        <f>IFERROR(VLOOKUP($A27,subQ,MATCH(M$1,SUBQH,0),0),"")</f>
        <v/>
      </c>
      <c r="N27" s="34">
        <f>IFERROR(VLOOKUP($A27,subQ,MATCH(N$1,SUBQH,0),0),"")</f>
        <v/>
      </c>
      <c r="O27" s="34">
        <f>IFERROR(VLOOKUP($A27,subQ,MATCH(O$1,SUBQH,0),0),"")</f>
        <v/>
      </c>
      <c r="P27" s="34">
        <f>IFERROR(VLOOKUP($A27,subQ,MATCH(P$1,SUBQH,0),0),"")</f>
        <v/>
      </c>
      <c r="Q27" s="34">
        <f>IFERROR(VLOOKUP($A27,subQ,MATCH(Q$1,SUBQH,0),0),"")</f>
        <v/>
      </c>
      <c r="R27" s="34">
        <f>IFERROR(VLOOKUP($A27,subQ,MATCH(R$1,SUBQH,0),0),"")</f>
        <v/>
      </c>
      <c r="S27" s="34">
        <f>IFERROR(VLOOKUP($A27,subQ,MATCH(S$1,SUBQH,0),0),"")</f>
        <v/>
      </c>
      <c r="T27" s="43">
        <f>IFERROR(VLOOKUP($A27,subQ,MATCH(T$1,SUBQH,0),0),"")</f>
        <v/>
      </c>
      <c r="U27" s="37">
        <f>IFERROR(VLOOKUP($A27,subQ,MATCH(U$1,SUBQH,0),0),"")</f>
        <v/>
      </c>
      <c r="V27" s="37">
        <f>IFERROR(VLOOKUP($A27,subQ,MATCH(V$1,SUBQH,0),0),"")</f>
        <v/>
      </c>
      <c r="W27" s="37">
        <f>IFERROR(VLOOKUP($A27,subQ,MATCH(W$1,SUBQH,0),0),"")</f>
        <v/>
      </c>
      <c r="X27" s="37">
        <f>IFERROR(VLOOKUP($A27,subQ,MATCH(X$1,SUBQH,0),0),"")</f>
        <v/>
      </c>
      <c r="Y27" s="37">
        <f>IFERROR(VLOOKUP($A27,subQ,MATCH(Y$1,SUBQH,0),0),"")</f>
        <v/>
      </c>
      <c r="Z27" s="37">
        <f>IFERROR(VLOOKUP($A27,subQ,MATCH(Z$1,SUBQH,0),0),"")</f>
        <v/>
      </c>
      <c r="AA27" s="37">
        <f>IFERROR(VLOOKUP($A27,subQ,MATCH(AA$1,SUBQH,0),0),"")</f>
        <v/>
      </c>
      <c r="AB27" s="37">
        <f>IFERROR(VLOOKUP($A27,subQ,MATCH(AB$1,SUBQH,0),0),"")</f>
        <v/>
      </c>
      <c r="AC27" s="37">
        <f>IFERROR(VLOOKUP($A27,subQ,MATCH(AC$1,SUBQH,0),0),"")</f>
        <v/>
      </c>
      <c r="AD27" s="37">
        <f>IFERROR(VLOOKUP($A27,subQ,MATCH(AD$1,SUBQH,0),0),"")</f>
        <v/>
      </c>
      <c r="AE27" s="37">
        <f>IFERROR(VLOOKUP($A27,subQ,MATCH(AE$1,SUBQH,0),0),"")</f>
        <v/>
      </c>
      <c r="AF27" s="37">
        <f>IFERROR(VLOOKUP($A27,subQ,MATCH(AF$1,SUBQH,0),0),"")</f>
        <v/>
      </c>
      <c r="AG27" s="37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34">
        <f>IFERROR(VLOOKUP($A28,subQ,MATCH(E$1,SUBQH,0),0),"")</f>
        <v/>
      </c>
      <c r="F28" s="34">
        <f>IFERROR(VLOOKUP($A28,subQ,MATCH(F$1,SUBQH,0),0),"")</f>
        <v/>
      </c>
      <c r="G28" s="34">
        <f>IFERROR(VLOOKUP($A28,subQ,MATCH(G$1,SUBQH,0),0),"")</f>
        <v/>
      </c>
      <c r="H28" s="34">
        <f>IFERROR(VLOOKUP($A28,subQ,MATCH(H$1,SUBQH,0),0),"")</f>
        <v/>
      </c>
      <c r="I28" s="34">
        <f>IFERROR(VLOOKUP($A28,subQ,MATCH(I$1,SUBQH,0),0),"")</f>
        <v/>
      </c>
      <c r="J28" s="34">
        <f>IFERROR(VLOOKUP($A28,subQ,MATCH(J$1,SUBQH,0),0),"")</f>
        <v/>
      </c>
      <c r="K28" s="34">
        <f>IFERROR(VLOOKUP($A28,subQ,MATCH(K$1,SUBQH,0),0),"")</f>
        <v/>
      </c>
      <c r="L28" s="34">
        <f>IFERROR(VLOOKUP($A28,subQ,MATCH(L$1,SUBQH,0),0),"")</f>
        <v/>
      </c>
      <c r="M28" s="34">
        <f>IFERROR(VLOOKUP($A28,subQ,MATCH(M$1,SUBQH,0),0),"")</f>
        <v/>
      </c>
      <c r="N28" s="34">
        <f>IFERROR(VLOOKUP($A28,subQ,MATCH(N$1,SUBQH,0),0),"")</f>
        <v/>
      </c>
      <c r="O28" s="34">
        <f>IFERROR(VLOOKUP($A28,subQ,MATCH(O$1,SUBQH,0),0),"")</f>
        <v/>
      </c>
      <c r="P28" s="34">
        <f>IFERROR(VLOOKUP($A28,subQ,MATCH(P$1,SUBQH,0),0),"")</f>
        <v/>
      </c>
      <c r="Q28" s="34">
        <f>IFERROR(VLOOKUP($A28,subQ,MATCH(Q$1,SUBQH,0),0),"")</f>
        <v/>
      </c>
      <c r="R28" s="34">
        <f>IFERROR(VLOOKUP($A28,subQ,MATCH(R$1,SUBQH,0),0),"")</f>
        <v/>
      </c>
      <c r="S28" s="34">
        <f>IFERROR(VLOOKUP($A28,subQ,MATCH(S$1,SUBQH,0),0),"")</f>
        <v/>
      </c>
      <c r="T28" s="43">
        <f>IFERROR(VLOOKUP($A28,subQ,MATCH(T$1,SUBQH,0),0),"")</f>
        <v/>
      </c>
      <c r="U28" s="37">
        <f>IFERROR(VLOOKUP($A28,subQ,MATCH(U$1,SUBQH,0),0),"")</f>
        <v/>
      </c>
      <c r="V28" s="37">
        <f>IFERROR(VLOOKUP($A28,subQ,MATCH(V$1,SUBQH,0),0),"")</f>
        <v/>
      </c>
      <c r="W28" s="37">
        <f>IFERROR(VLOOKUP($A28,subQ,MATCH(W$1,SUBQH,0),0),"")</f>
        <v/>
      </c>
      <c r="X28" s="37">
        <f>IFERROR(VLOOKUP($A28,subQ,MATCH(X$1,SUBQH,0),0),"")</f>
        <v/>
      </c>
      <c r="Y28" s="37">
        <f>IFERROR(VLOOKUP($A28,subQ,MATCH(Y$1,SUBQH,0),0),"")</f>
        <v/>
      </c>
      <c r="Z28" s="37">
        <f>IFERROR(VLOOKUP($A28,subQ,MATCH(Z$1,SUBQH,0),0),"")</f>
        <v/>
      </c>
      <c r="AA28" s="37">
        <f>IFERROR(VLOOKUP($A28,subQ,MATCH(AA$1,SUBQH,0),0),"")</f>
        <v/>
      </c>
      <c r="AB28" s="37">
        <f>IFERROR(VLOOKUP($A28,subQ,MATCH(AB$1,SUBQH,0),0),"")</f>
        <v/>
      </c>
      <c r="AC28" s="37">
        <f>IFERROR(VLOOKUP($A28,subQ,MATCH(AC$1,SUBQH,0),0),"")</f>
        <v/>
      </c>
      <c r="AD28" s="37">
        <f>IFERROR(VLOOKUP($A28,subQ,MATCH(AD$1,SUBQH,0),0),"")</f>
        <v/>
      </c>
      <c r="AE28" s="37">
        <f>IFERROR(VLOOKUP($A28,subQ,MATCH(AE$1,SUBQH,0),0),"")</f>
        <v/>
      </c>
      <c r="AF28" s="37">
        <f>IFERROR(VLOOKUP($A28,subQ,MATCH(AF$1,SUBQH,0),0),"")</f>
        <v/>
      </c>
      <c r="AG28" s="37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34">
        <f>IFERROR(VLOOKUP($A29,subQ,MATCH(E$1,SUBQH,0),0),"")</f>
        <v/>
      </c>
      <c r="F29" s="34">
        <f>IFERROR(VLOOKUP($A29,subQ,MATCH(F$1,SUBQH,0),0),"")</f>
        <v/>
      </c>
      <c r="G29" s="34">
        <f>IFERROR(VLOOKUP($A29,subQ,MATCH(G$1,SUBQH,0),0),"")</f>
        <v/>
      </c>
      <c r="H29" s="34">
        <f>IFERROR(VLOOKUP($A29,subQ,MATCH(H$1,SUBQH,0),0),"")</f>
        <v/>
      </c>
      <c r="I29" s="34">
        <f>IFERROR(VLOOKUP($A29,subQ,MATCH(I$1,SUBQH,0),0),"")</f>
        <v/>
      </c>
      <c r="J29" s="34">
        <f>IFERROR(VLOOKUP($A29,subQ,MATCH(J$1,SUBQH,0),0),"")</f>
        <v/>
      </c>
      <c r="K29" s="34">
        <f>IFERROR(VLOOKUP($A29,subQ,MATCH(K$1,SUBQH,0),0),"")</f>
        <v/>
      </c>
      <c r="L29" s="34">
        <f>IFERROR(VLOOKUP($A29,subQ,MATCH(L$1,SUBQH,0),0),"")</f>
        <v/>
      </c>
      <c r="M29" s="34">
        <f>IFERROR(VLOOKUP($A29,subQ,MATCH(M$1,SUBQH,0),0),"")</f>
        <v/>
      </c>
      <c r="N29" s="34">
        <f>IFERROR(VLOOKUP($A29,subQ,MATCH(N$1,SUBQH,0),0),"")</f>
        <v/>
      </c>
      <c r="O29" s="34">
        <f>IFERROR(VLOOKUP($A29,subQ,MATCH(O$1,SUBQH,0),0),"")</f>
        <v/>
      </c>
      <c r="P29" s="34">
        <f>IFERROR(VLOOKUP($A29,subQ,MATCH(P$1,SUBQH,0),0),"")</f>
        <v/>
      </c>
      <c r="Q29" s="34">
        <f>IFERROR(VLOOKUP($A29,subQ,MATCH(Q$1,SUBQH,0),0),"")</f>
        <v/>
      </c>
      <c r="R29" s="34">
        <f>IFERROR(VLOOKUP($A29,subQ,MATCH(R$1,SUBQH,0),0),"")</f>
        <v/>
      </c>
      <c r="S29" s="34">
        <f>IFERROR(VLOOKUP($A29,subQ,MATCH(S$1,SUBQH,0),0),"")</f>
        <v/>
      </c>
      <c r="T29" s="43">
        <f>IFERROR(VLOOKUP($A29,subQ,MATCH(T$1,SUBQH,0),0),"")</f>
        <v/>
      </c>
      <c r="U29" s="37">
        <f>IFERROR(VLOOKUP($A29,subQ,MATCH(U$1,SUBQH,0),0),"")</f>
        <v/>
      </c>
      <c r="V29" s="37">
        <f>IFERROR(VLOOKUP($A29,subQ,MATCH(V$1,SUBQH,0),0),"")</f>
        <v/>
      </c>
      <c r="W29" s="37">
        <f>IFERROR(VLOOKUP($A29,subQ,MATCH(W$1,SUBQH,0),0),"")</f>
        <v/>
      </c>
      <c r="X29" s="37">
        <f>IFERROR(VLOOKUP($A29,subQ,MATCH(X$1,SUBQH,0),0),"")</f>
        <v/>
      </c>
      <c r="Y29" s="37">
        <f>IFERROR(VLOOKUP($A29,subQ,MATCH(Y$1,SUBQH,0),0),"")</f>
        <v/>
      </c>
      <c r="Z29" s="37">
        <f>IFERROR(VLOOKUP($A29,subQ,MATCH(Z$1,SUBQH,0),0),"")</f>
        <v/>
      </c>
      <c r="AA29" s="37">
        <f>IFERROR(VLOOKUP($A29,subQ,MATCH(AA$1,SUBQH,0),0),"")</f>
        <v/>
      </c>
      <c r="AB29" s="37">
        <f>IFERROR(VLOOKUP($A29,subQ,MATCH(AB$1,SUBQH,0),0),"")</f>
        <v/>
      </c>
      <c r="AC29" s="37">
        <f>IFERROR(VLOOKUP($A29,subQ,MATCH(AC$1,SUBQH,0),0),"")</f>
        <v/>
      </c>
      <c r="AD29" s="37">
        <f>IFERROR(VLOOKUP($A29,subQ,MATCH(AD$1,SUBQH,0),0),"")</f>
        <v/>
      </c>
      <c r="AE29" s="37">
        <f>IFERROR(VLOOKUP($A29,subQ,MATCH(AE$1,SUBQH,0),0),"")</f>
        <v/>
      </c>
      <c r="AF29" s="37">
        <f>IFERROR(VLOOKUP($A29,subQ,MATCH(AF$1,SUBQH,0),0),"")</f>
        <v/>
      </c>
      <c r="AG29" s="37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34">
        <f>IFERROR(VLOOKUP($A30,subQ,MATCH(E$1,SUBQH,0),0),"")</f>
        <v/>
      </c>
      <c r="F30" s="34">
        <f>IFERROR(VLOOKUP($A30,subQ,MATCH(F$1,SUBQH,0),0),"")</f>
        <v/>
      </c>
      <c r="G30" s="34">
        <f>IFERROR(VLOOKUP($A30,subQ,MATCH(G$1,SUBQH,0),0),"")</f>
        <v/>
      </c>
      <c r="H30" s="34">
        <f>IFERROR(VLOOKUP($A30,subQ,MATCH(H$1,SUBQH,0),0),"")</f>
        <v/>
      </c>
      <c r="I30" s="34">
        <f>IFERROR(VLOOKUP($A30,subQ,MATCH(I$1,SUBQH,0),0),"")</f>
        <v/>
      </c>
      <c r="J30" s="34">
        <f>IFERROR(VLOOKUP($A30,subQ,MATCH(J$1,SUBQH,0),0),"")</f>
        <v/>
      </c>
      <c r="K30" s="34">
        <f>IFERROR(VLOOKUP($A30,subQ,MATCH(K$1,SUBQH,0),0),"")</f>
        <v/>
      </c>
      <c r="L30" s="34">
        <f>IFERROR(VLOOKUP($A30,subQ,MATCH(L$1,SUBQH,0),0),"")</f>
        <v/>
      </c>
      <c r="M30" s="34">
        <f>IFERROR(VLOOKUP($A30,subQ,MATCH(M$1,SUBQH,0),0),"")</f>
        <v/>
      </c>
      <c r="N30" s="34">
        <f>IFERROR(VLOOKUP($A30,subQ,MATCH(N$1,SUBQH,0),0),"")</f>
        <v/>
      </c>
      <c r="O30" s="34">
        <f>IFERROR(VLOOKUP($A30,subQ,MATCH(O$1,SUBQH,0),0),"")</f>
        <v/>
      </c>
      <c r="P30" s="34">
        <f>IFERROR(VLOOKUP($A30,subQ,MATCH(P$1,SUBQH,0),0),"")</f>
        <v/>
      </c>
      <c r="Q30" s="34">
        <f>IFERROR(VLOOKUP($A30,subQ,MATCH(Q$1,SUBQH,0),0),"")</f>
        <v/>
      </c>
      <c r="R30" s="34">
        <f>IFERROR(VLOOKUP($A30,subQ,MATCH(R$1,SUBQH,0),0),"")</f>
        <v/>
      </c>
      <c r="S30" s="34">
        <f>IFERROR(VLOOKUP($A30,subQ,MATCH(S$1,SUBQH,0),0),"")</f>
        <v/>
      </c>
      <c r="T30" s="43">
        <f>IFERROR(VLOOKUP($A30,subQ,MATCH(T$1,SUBQH,0),0),"")</f>
        <v/>
      </c>
      <c r="U30" s="37">
        <f>IFERROR(VLOOKUP($A30,subQ,MATCH(U$1,SUBQH,0),0),"")</f>
        <v/>
      </c>
      <c r="V30" s="37">
        <f>IFERROR(VLOOKUP($A30,subQ,MATCH(V$1,SUBQH,0),0),"")</f>
        <v/>
      </c>
      <c r="W30" s="37">
        <f>IFERROR(VLOOKUP($A30,subQ,MATCH(W$1,SUBQH,0),0),"")</f>
        <v/>
      </c>
      <c r="X30" s="37">
        <f>IFERROR(VLOOKUP($A30,subQ,MATCH(X$1,SUBQH,0),0),"")</f>
        <v/>
      </c>
      <c r="Y30" s="37">
        <f>IFERROR(VLOOKUP($A30,subQ,MATCH(Y$1,SUBQH,0),0),"")</f>
        <v/>
      </c>
      <c r="Z30" s="37">
        <f>IFERROR(VLOOKUP($A30,subQ,MATCH(Z$1,SUBQH,0),0),"")</f>
        <v/>
      </c>
      <c r="AA30" s="37">
        <f>IFERROR(VLOOKUP($A30,subQ,MATCH(AA$1,SUBQH,0),0),"")</f>
        <v/>
      </c>
      <c r="AB30" s="37">
        <f>IFERROR(VLOOKUP($A30,subQ,MATCH(AB$1,SUBQH,0),0),"")</f>
        <v/>
      </c>
      <c r="AC30" s="37">
        <f>IFERROR(VLOOKUP($A30,subQ,MATCH(AC$1,SUBQH,0),0),"")</f>
        <v/>
      </c>
      <c r="AD30" s="37">
        <f>IFERROR(VLOOKUP($A30,subQ,MATCH(AD$1,SUBQH,0),0),"")</f>
        <v/>
      </c>
      <c r="AE30" s="37">
        <f>IFERROR(VLOOKUP($A30,subQ,MATCH(AE$1,SUBQH,0),0),"")</f>
        <v/>
      </c>
      <c r="AF30" s="37">
        <f>IFERROR(VLOOKUP($A30,subQ,MATCH(AF$1,SUBQH,0),0),"")</f>
        <v/>
      </c>
      <c r="AG30" s="37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4">
        <f>IFERROR(VLOOKUP($A31,subQ,MATCH(E$1,SUBQH,0),0),"")</f>
        <v/>
      </c>
      <c r="F31" s="24">
        <f>IFERROR(VLOOKUP($A31,subQ,MATCH(F$1,SUBQH,0),0),"")</f>
        <v/>
      </c>
      <c r="G31" s="24">
        <f>IFERROR(VLOOKUP($A31,subQ,MATCH(G$1,SUBQH,0),0),"")</f>
        <v/>
      </c>
      <c r="H31" s="24">
        <f>IFERROR(VLOOKUP($A31,subQ,MATCH(H$1,SUBQH,0),0),"")</f>
        <v/>
      </c>
      <c r="I31" s="24">
        <f>IFERROR(VLOOKUP($A31,subQ,MATCH(I$1,SUBQH,0),0),"")</f>
        <v/>
      </c>
      <c r="J31" s="24">
        <f>IFERROR(VLOOKUP($A31,subQ,MATCH(J$1,SUBQH,0),0),"")</f>
        <v/>
      </c>
      <c r="K31" s="24">
        <f>IFERROR(VLOOKUP($A31,subQ,MATCH(K$1,SUBQH,0),0),"")</f>
        <v/>
      </c>
      <c r="L31" s="24">
        <f>IFERROR(VLOOKUP($A31,subQ,MATCH(L$1,SUBQH,0),0),"")</f>
        <v/>
      </c>
      <c r="M31" s="24">
        <f>IFERROR(VLOOKUP($A31,subQ,MATCH(M$1,SUBQH,0),0),"")</f>
        <v/>
      </c>
      <c r="N31" s="24">
        <f>IFERROR(VLOOKUP($A31,subQ,MATCH(N$1,SUBQH,0),0),"")</f>
        <v/>
      </c>
      <c r="O31" s="24">
        <f>IFERROR(VLOOKUP($A31,subQ,MATCH(O$1,SUBQH,0),0),"")</f>
        <v/>
      </c>
      <c r="P31" s="24">
        <f>IFERROR(VLOOKUP($A31,subQ,MATCH(P$1,SUBQH,0),0),"")</f>
        <v/>
      </c>
      <c r="Q31" s="24">
        <f>IFERROR(VLOOKUP($A31,subQ,MATCH(Q$1,SUBQH,0),0),"")</f>
        <v/>
      </c>
      <c r="R31" s="24">
        <f>IFERROR(VLOOKUP($A31,subQ,MATCH(R$1,SUBQH,0),0),"")</f>
        <v/>
      </c>
      <c r="S31" s="24">
        <f>IFERROR(VLOOKUP($A31,subQ,MATCH(S$1,SUBQH,0),0),"")</f>
        <v/>
      </c>
      <c r="T31" s="45">
        <f>IFERROR(VLOOKUP($A31,subQ,MATCH(T$1,SUBQH,0),0),"")</f>
        <v/>
      </c>
      <c r="U31" s="30">
        <f>IFERROR(VLOOKUP($A31,subQ,MATCH(U$1,SUBQH,0),0),"")</f>
        <v/>
      </c>
      <c r="V31" s="30">
        <f>IFERROR(VLOOKUP($A31,subQ,MATCH(V$1,SUBQH,0),0),"")</f>
        <v/>
      </c>
      <c r="W31" s="30">
        <f>IFERROR(VLOOKUP($A31,subQ,MATCH(W$1,SUBQH,0),0),"")</f>
        <v/>
      </c>
      <c r="X31" s="30">
        <f>IFERROR(VLOOKUP($A31,subQ,MATCH(X$1,SUBQH,0),0),"")</f>
        <v/>
      </c>
      <c r="Y31" s="30">
        <f>IFERROR(VLOOKUP($A31,subQ,MATCH(Y$1,SUBQH,0),0),"")</f>
        <v/>
      </c>
      <c r="Z31" s="30">
        <f>IFERROR(VLOOKUP($A31,subQ,MATCH(Z$1,SUBQH,0),0),"")</f>
        <v/>
      </c>
      <c r="AA31" s="30">
        <f>IFERROR(VLOOKUP($A31,subQ,MATCH(AA$1,SUBQH,0),0),"")</f>
        <v/>
      </c>
      <c r="AB31" s="30">
        <f>IFERROR(VLOOKUP($A31,subQ,MATCH(AB$1,SUBQH,0),0),"")</f>
        <v/>
      </c>
      <c r="AC31" s="30">
        <f>IFERROR(VLOOKUP($A31,subQ,MATCH(AC$1,SUBQH,0),0),"")</f>
        <v/>
      </c>
      <c r="AD31" s="30">
        <f>IFERROR(VLOOKUP($A31,subQ,MATCH(AD$1,SUBQH,0),0),"")</f>
        <v/>
      </c>
      <c r="AE31" s="30">
        <f>IFERROR(VLOOKUP($A31,subQ,MATCH(AE$1,SUBQH,0),0),"")</f>
        <v/>
      </c>
      <c r="AF31" s="30">
        <f>IFERROR(VLOOKUP($A31,subQ,MATCH(AF$1,SUBQH,0),0),"")</f>
        <v/>
      </c>
      <c r="AG31" s="30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34">
        <f>IFERROR(VLOOKUP($A32,subQ,MATCH(E$1,SUBQH,0),0),"")</f>
        <v/>
      </c>
      <c r="F32" s="34">
        <f>IFERROR(VLOOKUP($A32,subQ,MATCH(F$1,SUBQH,0),0),"")</f>
        <v/>
      </c>
      <c r="G32" s="34">
        <f>IFERROR(VLOOKUP($A32,subQ,MATCH(G$1,SUBQH,0),0),"")</f>
        <v/>
      </c>
      <c r="H32" s="34">
        <f>IFERROR(VLOOKUP($A32,subQ,MATCH(H$1,SUBQH,0),0),"")</f>
        <v/>
      </c>
      <c r="I32" s="34">
        <f>IFERROR(VLOOKUP($A32,subQ,MATCH(I$1,SUBQH,0),0),"")</f>
        <v/>
      </c>
      <c r="J32" s="34">
        <f>IFERROR(VLOOKUP($A32,subQ,MATCH(J$1,SUBQH,0),0),"")</f>
        <v/>
      </c>
      <c r="K32" s="34">
        <f>IFERROR(VLOOKUP($A32,subQ,MATCH(K$1,SUBQH,0),0),"")</f>
        <v/>
      </c>
      <c r="L32" s="34">
        <f>IFERROR(VLOOKUP($A32,subQ,MATCH(L$1,SUBQH,0),0),"")</f>
        <v/>
      </c>
      <c r="M32" s="34">
        <f>IFERROR(VLOOKUP($A32,subQ,MATCH(M$1,SUBQH,0),0),"")</f>
        <v/>
      </c>
      <c r="N32" s="34">
        <f>IFERROR(VLOOKUP($A32,subQ,MATCH(N$1,SUBQH,0),0),"")</f>
        <v/>
      </c>
      <c r="O32" s="34">
        <f>IFERROR(VLOOKUP($A32,subQ,MATCH(O$1,SUBQH,0),0),"")</f>
        <v/>
      </c>
      <c r="P32" s="34">
        <f>IFERROR(VLOOKUP($A32,subQ,MATCH(P$1,SUBQH,0),0),"")</f>
        <v/>
      </c>
      <c r="Q32" s="34">
        <f>IFERROR(VLOOKUP($A32,subQ,MATCH(Q$1,SUBQH,0),0),"")</f>
        <v/>
      </c>
      <c r="R32" s="34">
        <f>IFERROR(VLOOKUP($A32,subQ,MATCH(R$1,SUBQH,0),0),"")</f>
        <v/>
      </c>
      <c r="S32" s="34">
        <f>IFERROR(VLOOKUP($A32,subQ,MATCH(S$1,SUBQH,0),0),"")</f>
        <v/>
      </c>
      <c r="T32" s="43">
        <f>IFERROR(VLOOKUP($A32,subQ,MATCH(T$1,SUBQH,0),0),"")</f>
        <v/>
      </c>
      <c r="U32" s="37">
        <f>IFERROR(VLOOKUP($A32,subQ,MATCH(U$1,SUBQH,0),0),"")</f>
        <v/>
      </c>
      <c r="V32" s="37">
        <f>IFERROR(VLOOKUP($A32,subQ,MATCH(V$1,SUBQH,0),0),"")</f>
        <v/>
      </c>
      <c r="W32" s="37">
        <f>IFERROR(VLOOKUP($A32,subQ,MATCH(W$1,SUBQH,0),0),"")</f>
        <v/>
      </c>
      <c r="X32" s="37">
        <f>IFERROR(VLOOKUP($A32,subQ,MATCH(X$1,SUBQH,0),0),"")</f>
        <v/>
      </c>
      <c r="Y32" s="37">
        <f>IFERROR(VLOOKUP($A32,subQ,MATCH(Y$1,SUBQH,0),0),"")</f>
        <v/>
      </c>
      <c r="Z32" s="37">
        <f>IFERROR(VLOOKUP($A32,subQ,MATCH(Z$1,SUBQH,0),0),"")</f>
        <v/>
      </c>
      <c r="AA32" s="37">
        <f>IFERROR(VLOOKUP($A32,subQ,MATCH(AA$1,SUBQH,0),0),"")</f>
        <v/>
      </c>
      <c r="AB32" s="37">
        <f>IFERROR(VLOOKUP($A32,subQ,MATCH(AB$1,SUBQH,0),0),"")</f>
        <v/>
      </c>
      <c r="AC32" s="37">
        <f>IFERROR(VLOOKUP($A32,subQ,MATCH(AC$1,SUBQH,0),0),"")</f>
        <v/>
      </c>
      <c r="AD32" s="37">
        <f>IFERROR(VLOOKUP($A32,subQ,MATCH(AD$1,SUBQH,0),0),"")</f>
        <v/>
      </c>
      <c r="AE32" s="37">
        <f>IFERROR(VLOOKUP($A32,subQ,MATCH(AE$1,SUBQH,0),0),"")</f>
        <v/>
      </c>
      <c r="AF32" s="37">
        <f>IFERROR(VLOOKUP($A32,subQ,MATCH(AF$1,SUBQH,0),0),"")</f>
        <v/>
      </c>
      <c r="AG32" s="37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34">
        <f>IFERROR(VLOOKUP($A33,subQ,MATCH(E$1,SUBQH,0),0),"")</f>
        <v/>
      </c>
      <c r="F33" s="34">
        <f>IFERROR(VLOOKUP($A33,subQ,MATCH(F$1,SUBQH,0),0),"")</f>
        <v/>
      </c>
      <c r="G33" s="34">
        <f>IFERROR(VLOOKUP($A33,subQ,MATCH(G$1,SUBQH,0),0),"")</f>
        <v/>
      </c>
      <c r="H33" s="34">
        <f>IFERROR(VLOOKUP($A33,subQ,MATCH(H$1,SUBQH,0),0),"")</f>
        <v/>
      </c>
      <c r="I33" s="34">
        <f>IFERROR(VLOOKUP($A33,subQ,MATCH(I$1,SUBQH,0),0),"")</f>
        <v/>
      </c>
      <c r="J33" s="34">
        <f>IFERROR(VLOOKUP($A33,subQ,MATCH(J$1,SUBQH,0),0),"")</f>
        <v/>
      </c>
      <c r="K33" s="34">
        <f>IFERROR(VLOOKUP($A33,subQ,MATCH(K$1,SUBQH,0),0),"")</f>
        <v/>
      </c>
      <c r="L33" s="34">
        <f>IFERROR(VLOOKUP($A33,subQ,MATCH(L$1,SUBQH,0),0),"")</f>
        <v/>
      </c>
      <c r="M33" s="34">
        <f>IFERROR(VLOOKUP($A33,subQ,MATCH(M$1,SUBQH,0),0),"")</f>
        <v/>
      </c>
      <c r="N33" s="34">
        <f>IFERROR(VLOOKUP($A33,subQ,MATCH(N$1,SUBQH,0),0),"")</f>
        <v/>
      </c>
      <c r="O33" s="34">
        <f>IFERROR(VLOOKUP($A33,subQ,MATCH(O$1,SUBQH,0),0),"")</f>
        <v/>
      </c>
      <c r="P33" s="34">
        <f>IFERROR(VLOOKUP($A33,subQ,MATCH(P$1,SUBQH,0),0),"")</f>
        <v/>
      </c>
      <c r="Q33" s="34">
        <f>IFERROR(VLOOKUP($A33,subQ,MATCH(Q$1,SUBQH,0),0),"")</f>
        <v/>
      </c>
      <c r="R33" s="34">
        <f>IFERROR(VLOOKUP($A33,subQ,MATCH(R$1,SUBQH,0),0),"")</f>
        <v/>
      </c>
      <c r="S33" s="34">
        <f>IFERROR(VLOOKUP($A33,subQ,MATCH(S$1,SUBQH,0),0),"")</f>
        <v/>
      </c>
      <c r="T33" s="43">
        <f>IFERROR(VLOOKUP($A33,subQ,MATCH(T$1,SUBQH,0),0),"")</f>
        <v/>
      </c>
      <c r="U33" s="37">
        <f>IFERROR(VLOOKUP($A33,subQ,MATCH(U$1,SUBQH,0),0),"")</f>
        <v/>
      </c>
      <c r="V33" s="37">
        <f>IFERROR(VLOOKUP($A33,subQ,MATCH(V$1,SUBQH,0),0),"")</f>
        <v/>
      </c>
      <c r="W33" s="37">
        <f>IFERROR(VLOOKUP($A33,subQ,MATCH(W$1,SUBQH,0),0),"")</f>
        <v/>
      </c>
      <c r="X33" s="37">
        <f>IFERROR(VLOOKUP($A33,subQ,MATCH(X$1,SUBQH,0),0),"")</f>
        <v/>
      </c>
      <c r="Y33" s="37">
        <f>IFERROR(VLOOKUP($A33,subQ,MATCH(Y$1,SUBQH,0),0),"")</f>
        <v/>
      </c>
      <c r="Z33" s="37">
        <f>IFERROR(VLOOKUP($A33,subQ,MATCH(Z$1,SUBQH,0),0),"")</f>
        <v/>
      </c>
      <c r="AA33" s="37">
        <f>IFERROR(VLOOKUP($A33,subQ,MATCH(AA$1,SUBQH,0),0),"")</f>
        <v/>
      </c>
      <c r="AB33" s="37">
        <f>IFERROR(VLOOKUP($A33,subQ,MATCH(AB$1,SUBQH,0),0),"")</f>
        <v/>
      </c>
      <c r="AC33" s="37">
        <f>IFERROR(VLOOKUP($A33,subQ,MATCH(AC$1,SUBQH,0),0),"")</f>
        <v/>
      </c>
      <c r="AD33" s="37">
        <f>IFERROR(VLOOKUP($A33,subQ,MATCH(AD$1,SUBQH,0),0),"")</f>
        <v/>
      </c>
      <c r="AE33" s="37">
        <f>IFERROR(VLOOKUP($A33,subQ,MATCH(AE$1,SUBQH,0),0),"")</f>
        <v/>
      </c>
      <c r="AF33" s="37">
        <f>IFERROR(VLOOKUP($A33,subQ,MATCH(AF$1,SUBQH,0),0),"")</f>
        <v/>
      </c>
      <c r="AG33" s="37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34">
        <f>IFERROR(VLOOKUP($A34,subQ,MATCH(E$1,SUBQH,0),0),"")</f>
        <v/>
      </c>
      <c r="F34" s="34">
        <f>IFERROR(VLOOKUP($A34,subQ,MATCH(F$1,SUBQH,0),0),"")</f>
        <v/>
      </c>
      <c r="G34" s="34">
        <f>IFERROR(VLOOKUP($A34,subQ,MATCH(G$1,SUBQH,0),0),"")</f>
        <v/>
      </c>
      <c r="H34" s="34">
        <f>IFERROR(VLOOKUP($A34,subQ,MATCH(H$1,SUBQH,0),0),"")</f>
        <v/>
      </c>
      <c r="I34" s="34">
        <f>IFERROR(VLOOKUP($A34,subQ,MATCH(I$1,SUBQH,0),0),"")</f>
        <v/>
      </c>
      <c r="J34" s="34">
        <f>IFERROR(VLOOKUP($A34,subQ,MATCH(J$1,SUBQH,0),0),"")</f>
        <v/>
      </c>
      <c r="K34" s="34">
        <f>IFERROR(VLOOKUP($A34,subQ,MATCH(K$1,SUBQH,0),0),"")</f>
        <v/>
      </c>
      <c r="L34" s="34">
        <f>IFERROR(VLOOKUP($A34,subQ,MATCH(L$1,SUBQH,0),0),"")</f>
        <v/>
      </c>
      <c r="M34" s="34">
        <f>IFERROR(VLOOKUP($A34,subQ,MATCH(M$1,SUBQH,0),0),"")</f>
        <v/>
      </c>
      <c r="N34" s="34">
        <f>IFERROR(VLOOKUP($A34,subQ,MATCH(N$1,SUBQH,0),0),"")</f>
        <v/>
      </c>
      <c r="O34" s="34">
        <f>IFERROR(VLOOKUP($A34,subQ,MATCH(O$1,SUBQH,0),0),"")</f>
        <v/>
      </c>
      <c r="P34" s="34">
        <f>IFERROR(VLOOKUP($A34,subQ,MATCH(P$1,SUBQH,0),0),"")</f>
        <v/>
      </c>
      <c r="Q34" s="34">
        <f>IFERROR(VLOOKUP($A34,subQ,MATCH(Q$1,SUBQH,0),0),"")</f>
        <v/>
      </c>
      <c r="R34" s="34">
        <f>IFERROR(VLOOKUP($A34,subQ,MATCH(R$1,SUBQH,0),0),"")</f>
        <v/>
      </c>
      <c r="S34" s="34">
        <f>IFERROR(VLOOKUP($A34,subQ,MATCH(S$1,SUBQH,0),0),"")</f>
        <v/>
      </c>
      <c r="T34" s="43">
        <f>IFERROR(VLOOKUP($A34,subQ,MATCH(T$1,SUBQH,0),0),"")</f>
        <v/>
      </c>
      <c r="U34" s="37">
        <f>IFERROR(VLOOKUP($A34,subQ,MATCH(U$1,SUBQH,0),0),"")</f>
        <v/>
      </c>
      <c r="V34" s="37">
        <f>IFERROR(VLOOKUP($A34,subQ,MATCH(V$1,SUBQH,0),0),"")</f>
        <v/>
      </c>
      <c r="W34" s="37">
        <f>IFERROR(VLOOKUP($A34,subQ,MATCH(W$1,SUBQH,0),0),"")</f>
        <v/>
      </c>
      <c r="X34" s="37">
        <f>IFERROR(VLOOKUP($A34,subQ,MATCH(X$1,SUBQH,0),0),"")</f>
        <v/>
      </c>
      <c r="Y34" s="37">
        <f>IFERROR(VLOOKUP($A34,subQ,MATCH(Y$1,SUBQH,0),0),"")</f>
        <v/>
      </c>
      <c r="Z34" s="37">
        <f>IFERROR(VLOOKUP($A34,subQ,MATCH(Z$1,SUBQH,0),0),"")</f>
        <v/>
      </c>
      <c r="AA34" s="37">
        <f>IFERROR(VLOOKUP($A34,subQ,MATCH(AA$1,SUBQH,0),0),"")</f>
        <v/>
      </c>
      <c r="AB34" s="37">
        <f>IFERROR(VLOOKUP($A34,subQ,MATCH(AB$1,SUBQH,0),0),"")</f>
        <v/>
      </c>
      <c r="AC34" s="37">
        <f>IFERROR(VLOOKUP($A34,subQ,MATCH(AC$1,SUBQH,0),0),"")</f>
        <v/>
      </c>
      <c r="AD34" s="37">
        <f>IFERROR(VLOOKUP($A34,subQ,MATCH(AD$1,SUBQH,0),0),"")</f>
        <v/>
      </c>
      <c r="AE34" s="37">
        <f>IFERROR(VLOOKUP($A34,subQ,MATCH(AE$1,SUBQH,0),0),"")</f>
        <v/>
      </c>
      <c r="AF34" s="37">
        <f>IFERROR(VLOOKUP($A34,subQ,MATCH(AF$1,SUBQH,0),0),"")</f>
        <v/>
      </c>
      <c r="AG34" s="37">
        <f>IFERROR(VLOOKUP($A34,subQ,MATCH(AG$1,SUBQH,0),0),"")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34">
        <f>IFERROR(VLOOKUP($A35,subQ,MATCH(E$1,SUBQH,0),0),"")</f>
        <v/>
      </c>
      <c r="F35" s="34">
        <f>IFERROR(VLOOKUP($A35,subQ,MATCH(F$1,SUBQH,0),0),"")</f>
        <v/>
      </c>
      <c r="G35" s="34">
        <f>IFERROR(VLOOKUP($A35,subQ,MATCH(G$1,SUBQH,0),0),"")</f>
        <v/>
      </c>
      <c r="H35" s="34">
        <f>IFERROR(VLOOKUP($A35,subQ,MATCH(H$1,SUBQH,0),0),"")</f>
        <v/>
      </c>
      <c r="I35" s="34">
        <f>IFERROR(VLOOKUP($A35,subQ,MATCH(I$1,SUBQH,0),0),"")</f>
        <v/>
      </c>
      <c r="J35" s="34">
        <f>IFERROR(VLOOKUP($A35,subQ,MATCH(J$1,SUBQH,0),0),"")</f>
        <v/>
      </c>
      <c r="K35" s="34">
        <f>IFERROR(VLOOKUP($A35,subQ,MATCH(K$1,SUBQH,0),0),"")</f>
        <v/>
      </c>
      <c r="L35" s="34">
        <f>IFERROR(VLOOKUP($A35,subQ,MATCH(L$1,SUBQH,0),0),"")</f>
        <v/>
      </c>
      <c r="M35" s="34">
        <f>IFERROR(VLOOKUP($A35,subQ,MATCH(M$1,SUBQH,0),0),"")</f>
        <v/>
      </c>
      <c r="N35" s="34">
        <f>IFERROR(VLOOKUP($A35,subQ,MATCH(N$1,SUBQH,0),0),"")</f>
        <v/>
      </c>
      <c r="O35" s="34">
        <f>IFERROR(VLOOKUP($A35,subQ,MATCH(O$1,SUBQH,0),0),"")</f>
        <v/>
      </c>
      <c r="P35" s="34">
        <f>IFERROR(VLOOKUP($A35,subQ,MATCH(P$1,SUBQH,0),0),"")</f>
        <v/>
      </c>
      <c r="Q35" s="34">
        <f>IFERROR(VLOOKUP($A35,subQ,MATCH(Q$1,SUBQH,0),0),"")</f>
        <v/>
      </c>
      <c r="R35" s="34">
        <f>IFERROR(VLOOKUP($A35,subQ,MATCH(R$1,SUBQH,0),0),"")</f>
        <v/>
      </c>
      <c r="S35" s="34">
        <f>IFERROR(VLOOKUP($A35,subQ,MATCH(S$1,SUBQH,0),0),"")</f>
        <v/>
      </c>
      <c r="T35" s="43">
        <f>IFERROR(VLOOKUP($A35,subQ,MATCH(T$1,SUBQH,0),0),"")</f>
        <v/>
      </c>
      <c r="U35" s="37">
        <f>IFERROR(VLOOKUP($A35,subQ,MATCH(U$1,SUBQH,0),0),"")</f>
        <v/>
      </c>
      <c r="V35" s="37">
        <f>IFERROR(VLOOKUP($A35,subQ,MATCH(V$1,SUBQH,0),0),"")</f>
        <v/>
      </c>
      <c r="W35" s="37">
        <f>IFERROR(VLOOKUP($A35,subQ,MATCH(W$1,SUBQH,0),0),"")</f>
        <v/>
      </c>
      <c r="X35" s="37">
        <f>IFERROR(VLOOKUP($A35,subQ,MATCH(X$1,SUBQH,0),0),"")</f>
        <v/>
      </c>
      <c r="Y35" s="37">
        <f>IFERROR(VLOOKUP($A35,subQ,MATCH(Y$1,SUBQH,0),0),"")</f>
        <v/>
      </c>
      <c r="Z35" s="37">
        <f>IFERROR(VLOOKUP($A35,subQ,MATCH(Z$1,SUBQH,0),0),"")</f>
        <v/>
      </c>
      <c r="AA35" s="37">
        <f>IFERROR(VLOOKUP($A35,subQ,MATCH(AA$1,SUBQH,0),0),"")</f>
        <v/>
      </c>
      <c r="AB35" s="37">
        <f>IFERROR(VLOOKUP($A35,subQ,MATCH(AB$1,SUBQH,0),0),"")</f>
        <v/>
      </c>
      <c r="AC35" s="37">
        <f>IFERROR(VLOOKUP($A35,subQ,MATCH(AC$1,SUBQH,0),0),"")</f>
        <v/>
      </c>
      <c r="AD35" s="37">
        <f>IFERROR(VLOOKUP($A35,subQ,MATCH(AD$1,SUBQH,0),0),"")</f>
        <v/>
      </c>
      <c r="AE35" s="37">
        <f>IFERROR(VLOOKUP($A35,subQ,MATCH(AE$1,SUBQH,0),0),"")</f>
        <v/>
      </c>
      <c r="AF35" s="37">
        <f>IFERROR(VLOOKUP($A35,subQ,MATCH(AF$1,SUBQH,0),0),"")</f>
        <v/>
      </c>
      <c r="AG35" s="37">
        <f>IFERROR(VLOOKUP($A35,subQ,MATCH(AG$1,SUBQH,0),0),"")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34">
        <f>IFERROR(VLOOKUP($A36,subQ,MATCH(E$1,SUBQH,0),0),"")</f>
        <v/>
      </c>
      <c r="F36" s="34">
        <f>IFERROR(VLOOKUP($A36,subQ,MATCH(F$1,SUBQH,0),0),"")</f>
        <v/>
      </c>
      <c r="G36" s="34">
        <f>IFERROR(VLOOKUP($A36,subQ,MATCH(G$1,SUBQH,0),0),"")</f>
        <v/>
      </c>
      <c r="H36" s="34">
        <f>IFERROR(VLOOKUP($A36,subQ,MATCH(H$1,SUBQH,0),0),"")</f>
        <v/>
      </c>
      <c r="I36" s="34">
        <f>IFERROR(VLOOKUP($A36,subQ,MATCH(I$1,SUBQH,0),0),"")</f>
        <v/>
      </c>
      <c r="J36" s="34">
        <f>IFERROR(VLOOKUP($A36,subQ,MATCH(J$1,SUBQH,0),0),"")</f>
        <v/>
      </c>
      <c r="K36" s="34">
        <f>IFERROR(VLOOKUP($A36,subQ,MATCH(K$1,SUBQH,0),0),"")</f>
        <v/>
      </c>
      <c r="L36" s="34">
        <f>IFERROR(VLOOKUP($A36,subQ,MATCH(L$1,SUBQH,0),0),"")</f>
        <v/>
      </c>
      <c r="M36" s="34">
        <f>IFERROR(VLOOKUP($A36,subQ,MATCH(M$1,SUBQH,0),0),"")</f>
        <v/>
      </c>
      <c r="N36" s="34">
        <f>IFERROR(VLOOKUP($A36,subQ,MATCH(N$1,SUBQH,0),0),"")</f>
        <v/>
      </c>
      <c r="O36" s="34">
        <f>IFERROR(VLOOKUP($A36,subQ,MATCH(O$1,SUBQH,0),0),"")</f>
        <v/>
      </c>
      <c r="P36" s="34">
        <f>IFERROR(VLOOKUP($A36,subQ,MATCH(P$1,SUBQH,0),0),"")</f>
        <v/>
      </c>
      <c r="Q36" s="34">
        <f>IFERROR(VLOOKUP($A36,subQ,MATCH(Q$1,SUBQH,0),0),"")</f>
        <v/>
      </c>
      <c r="R36" s="34">
        <f>IFERROR(VLOOKUP($A36,subQ,MATCH(R$1,SUBQH,0),0),"")</f>
        <v/>
      </c>
      <c r="S36" s="34">
        <f>IFERROR(VLOOKUP($A36,subQ,MATCH(S$1,SUBQH,0),0),"")</f>
        <v/>
      </c>
      <c r="T36" s="43">
        <f>IFERROR(VLOOKUP($A36,subQ,MATCH(T$1,SUBQH,0),0),"")</f>
        <v/>
      </c>
      <c r="U36" s="37">
        <f>IFERROR(VLOOKUP($A36,subQ,MATCH(U$1,SUBQH,0),0),"")</f>
        <v/>
      </c>
      <c r="V36" s="37">
        <f>IFERROR(VLOOKUP($A36,subQ,MATCH(V$1,SUBQH,0),0),"")</f>
        <v/>
      </c>
      <c r="W36" s="37">
        <f>IFERROR(VLOOKUP($A36,subQ,MATCH(W$1,SUBQH,0),0),"")</f>
        <v/>
      </c>
      <c r="X36" s="37">
        <f>IFERROR(VLOOKUP($A36,subQ,MATCH(X$1,SUBQH,0),0),"")</f>
        <v/>
      </c>
      <c r="Y36" s="37">
        <f>IFERROR(VLOOKUP($A36,subQ,MATCH(Y$1,SUBQH,0),0),"")</f>
        <v/>
      </c>
      <c r="Z36" s="37">
        <f>IFERROR(VLOOKUP($A36,subQ,MATCH(Z$1,SUBQH,0),0),"")</f>
        <v/>
      </c>
      <c r="AA36" s="37">
        <f>IFERROR(VLOOKUP($A36,subQ,MATCH(AA$1,SUBQH,0),0),"")</f>
        <v/>
      </c>
      <c r="AB36" s="37">
        <f>IFERROR(VLOOKUP($A36,subQ,MATCH(AB$1,SUBQH,0),0),"")</f>
        <v/>
      </c>
      <c r="AC36" s="37">
        <f>IFERROR(VLOOKUP($A36,subQ,MATCH(AC$1,SUBQH,0),0),"")</f>
        <v/>
      </c>
      <c r="AD36" s="37">
        <f>IFERROR(VLOOKUP($A36,subQ,MATCH(AD$1,SUBQH,0),0),"")</f>
        <v/>
      </c>
      <c r="AE36" s="37">
        <f>IFERROR(VLOOKUP($A36,subQ,MATCH(AE$1,SUBQH,0),0),"")</f>
        <v/>
      </c>
      <c r="AF36" s="37">
        <f>IFERROR(VLOOKUP($A36,subQ,MATCH(AF$1,SUBQH,0),0),"")</f>
        <v/>
      </c>
      <c r="AG36" s="37">
        <f>IFERROR(VLOOKUP($A36,subQ,MATCH(AG$1,SUBQH,0),0),"")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44">
        <f>IFERROR(VLOOKUP($A37,subQ,MATCH(T$1,SUBQH,0),0),"")</f>
        <v/>
      </c>
      <c r="U37" s="29">
        <f>IFERROR(VLOOKUP($A37,subQ,MATCH(U$1,SUBQH,0),0),"")</f>
        <v/>
      </c>
      <c r="V37" s="29">
        <f>IFERROR(VLOOKUP($A37,subQ,MATCH(V$1,SUBQH,0),0),"")</f>
        <v/>
      </c>
      <c r="W37" s="29">
        <f>IFERROR(VLOOKUP($A37,subQ,MATCH(W$1,SUBQH,0),0),"")</f>
        <v/>
      </c>
      <c r="X37" s="29">
        <f>IFERROR(VLOOKUP($A37,subQ,MATCH(X$1,SUBQH,0),0),"")</f>
        <v/>
      </c>
      <c r="Y37" s="29">
        <f>IFERROR(VLOOKUP($A37,subQ,MATCH(Y$1,SUBQH,0),0),"")</f>
        <v/>
      </c>
      <c r="Z37" s="29">
        <f>IFERROR(VLOOKUP($A37,subQ,MATCH(Z$1,SUBQH,0),0),"")</f>
        <v/>
      </c>
      <c r="AA37" s="29">
        <f>IFERROR(VLOOKUP($A37,subQ,MATCH(AA$1,SUBQH,0),0),"")</f>
        <v/>
      </c>
      <c r="AB37" s="29">
        <f>IFERROR(VLOOKUP($A37,subQ,MATCH(AB$1,SUBQH,0),0),"")</f>
        <v/>
      </c>
      <c r="AC37" s="29">
        <f>IFERROR(VLOOKUP($A37,subQ,MATCH(AC$1,SUBQH,0),0),"")</f>
        <v/>
      </c>
      <c r="AD37" s="29">
        <f>IFERROR(VLOOKUP($A37,subQ,MATCH(AD$1,SUBQH,0),0),"")</f>
        <v/>
      </c>
      <c r="AE37" s="29">
        <f>IFERROR(VLOOKUP($A37,subQ,MATCH(AE$1,SUBQH,0),0),"")</f>
        <v/>
      </c>
      <c r="AF37" s="29">
        <f>IFERROR(VLOOKUP($A37,subQ,MATCH(AF$1,SUBQH,0),0),"")</f>
        <v/>
      </c>
      <c r="AG37" s="29">
        <f>IFERROR(VLOOKUP($A37,subQ,MATCH(AG$1,SUBQH,0),0),"")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18">
        <f>IFERROR(I5/E5-1,"")</f>
        <v/>
      </c>
      <c r="J38" s="18">
        <f>IFERROR(J5/F5-1,"")</f>
        <v/>
      </c>
      <c r="K38" s="18">
        <f>IFERROR(K5/G5-1,"")</f>
        <v/>
      </c>
      <c r="L38" s="18">
        <f>IFERROR(L5/H5-1,"")</f>
        <v/>
      </c>
      <c r="M38" s="18">
        <f>IFERROR(M5/I5-1,"")</f>
        <v/>
      </c>
      <c r="N38" s="18">
        <f>IFERROR(N5/J5-1,"")</f>
        <v/>
      </c>
      <c r="O38" s="18">
        <f>IFERROR(O5/K5-1,"")</f>
        <v/>
      </c>
      <c r="P38" s="18">
        <f>IFERROR(P5/L5-1,"")</f>
        <v/>
      </c>
      <c r="Q38" s="18">
        <f>IFERROR(Q5/M5-1,"")</f>
        <v/>
      </c>
      <c r="R38" s="18">
        <f>IFERROR(R5/N5-1,"")</f>
        <v/>
      </c>
      <c r="S38" s="18">
        <f>IFERROR(S5/O5-1,"")</f>
        <v/>
      </c>
      <c r="T38" s="44">
        <f>IFERROR(T5/P5-1,"")</f>
        <v/>
      </c>
      <c r="U38" s="29">
        <f>IFERROR(U5/Q5-1,"")</f>
        <v/>
      </c>
      <c r="V38" s="29">
        <f>IFERROR(V5/R5-1,"")</f>
        <v/>
      </c>
      <c r="W38" s="29">
        <f>IFERROR(W5/S5-1,"")</f>
        <v/>
      </c>
      <c r="X38" s="29">
        <f>IFERROR(X5/T5-1,"")</f>
        <v/>
      </c>
      <c r="Y38" s="29">
        <f>IFERROR(Y5/U5-1,"")</f>
        <v/>
      </c>
      <c r="Z38" s="29">
        <f>IFERROR(Z5/V5-1,"")</f>
        <v/>
      </c>
      <c r="AA38" s="29">
        <f>IFERROR(AA5/W5-1,"")</f>
        <v/>
      </c>
      <c r="AB38" s="29">
        <f>IFERROR(AB5/X5-1,"")</f>
        <v/>
      </c>
      <c r="AC38" s="29">
        <f>IFERROR(AC5/Y5-1,"")</f>
        <v/>
      </c>
      <c r="AD38" s="29">
        <f>IFERROR(AD5/Z5-1,"")</f>
        <v/>
      </c>
      <c r="AE38" s="29">
        <f>IFERROR(AE5/AA5-1,"")</f>
        <v/>
      </c>
      <c r="AF38" s="29">
        <f>IFERROR(AF5/AB5-1,"")</f>
        <v/>
      </c>
      <c r="AG38" s="29">
        <f>IFERROR(AG5/AC5-1,"")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18">
        <f>IFERROR(I9/E9-1,"")</f>
        <v/>
      </c>
      <c r="J39" s="18">
        <f>IFERROR(J9/F9-1,"")</f>
        <v/>
      </c>
      <c r="K39" s="18">
        <f>IFERROR(K9/G9-1,"")</f>
        <v/>
      </c>
      <c r="L39" s="18">
        <f>IFERROR(L9/H9-1,"")</f>
        <v/>
      </c>
      <c r="M39" s="18">
        <f>IFERROR(M9/I9-1,"")</f>
        <v/>
      </c>
      <c r="N39" s="18">
        <f>IFERROR(N9/J9-1,"")</f>
        <v/>
      </c>
      <c r="O39" s="18">
        <f>IFERROR(O9/K9-1,"")</f>
        <v/>
      </c>
      <c r="P39" s="18">
        <f>IFERROR(P9/L9-1,"")</f>
        <v/>
      </c>
      <c r="Q39" s="18">
        <f>IFERROR(Q9/M9-1,"")</f>
        <v/>
      </c>
      <c r="R39" s="18">
        <f>IFERROR(R9/N9-1,"")</f>
        <v/>
      </c>
      <c r="S39" s="18">
        <f>IFERROR(S9/O9-1,"")</f>
        <v/>
      </c>
      <c r="T39" s="44">
        <f>IFERROR(T9/P9-1,"")</f>
        <v/>
      </c>
      <c r="U39" s="29">
        <f>IFERROR(U9/Q9-1,"")</f>
        <v/>
      </c>
      <c r="V39" s="29">
        <f>IFERROR(V9/R9-1,"")</f>
        <v/>
      </c>
      <c r="W39" s="29">
        <f>IFERROR(W9/S9-1,"")</f>
        <v/>
      </c>
      <c r="X39" s="29">
        <f>IFERROR(X9/T9-1,"")</f>
        <v/>
      </c>
      <c r="Y39" s="29">
        <f>IFERROR(Y9/U9-1,"")</f>
        <v/>
      </c>
      <c r="Z39" s="29">
        <f>IFERROR(Z9/V9-1,"")</f>
        <v/>
      </c>
      <c r="AA39" s="29">
        <f>IFERROR(AA9/W9-1,"")</f>
        <v/>
      </c>
      <c r="AB39" s="29">
        <f>IFERROR(AB9/X9-1,"")</f>
        <v/>
      </c>
      <c r="AC39" s="29">
        <f>IFERROR(AC9/Y9-1,"")</f>
        <v/>
      </c>
      <c r="AD39" s="29">
        <f>IFERROR(AD9/Z9-1,"")</f>
        <v/>
      </c>
      <c r="AE39" s="29">
        <f>IFERROR(AE9/AA9-1,"")</f>
        <v/>
      </c>
      <c r="AF39" s="29">
        <f>IFERROR(AF9/AB9-1,"")</f>
        <v/>
      </c>
      <c r="AG39" s="29">
        <f>IFERROR(AG9/AC9-1,"")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18">
        <f>IFERROR(I20/E20-1,"")</f>
        <v/>
      </c>
      <c r="J40" s="18">
        <f>IFERROR(J20/F20-1,"")</f>
        <v/>
      </c>
      <c r="K40" s="18">
        <f>IFERROR(K20/G20-1,"")</f>
        <v/>
      </c>
      <c r="L40" s="18">
        <f>IFERROR(L20/H20-1,"")</f>
        <v/>
      </c>
      <c r="M40" s="18">
        <f>IFERROR(M20/I20-1,"")</f>
        <v/>
      </c>
      <c r="N40" s="18">
        <f>IFERROR(N20/J20-1,"")</f>
        <v/>
      </c>
      <c r="O40" s="18">
        <f>IFERROR(O20/K20-1,"")</f>
        <v/>
      </c>
      <c r="P40" s="18">
        <f>IFERROR(P20/L20-1,"")</f>
        <v/>
      </c>
      <c r="Q40" s="18">
        <f>IFERROR(Q20/M20-1,"")</f>
        <v/>
      </c>
      <c r="R40" s="18">
        <f>IFERROR(R20/N20-1,"")</f>
        <v/>
      </c>
      <c r="S40" s="18">
        <f>IFERROR(S20/O20-1,"")</f>
        <v/>
      </c>
      <c r="T40" s="44">
        <f>IFERROR(T20/P20-1,"")</f>
        <v/>
      </c>
      <c r="U40" s="29">
        <f>IFERROR(U20/Q20-1,"")</f>
        <v/>
      </c>
      <c r="V40" s="29">
        <f>IFERROR(V20/R20-1,"")</f>
        <v/>
      </c>
      <c r="W40" s="29">
        <f>IFERROR(W20/S20-1,"")</f>
        <v/>
      </c>
      <c r="X40" s="29">
        <f>IFERROR(X20/T20-1,"")</f>
        <v/>
      </c>
      <c r="Y40" s="29">
        <f>IFERROR(Y20/U20-1,"")</f>
        <v/>
      </c>
      <c r="Z40" s="29">
        <f>IFERROR(Z20/V20-1,"")</f>
        <v/>
      </c>
      <c r="AA40" s="29">
        <f>IFERROR(AA20/W20-1,"")</f>
        <v/>
      </c>
      <c r="AB40" s="29">
        <f>IFERROR(AB20/X20-1,"")</f>
        <v/>
      </c>
      <c r="AC40" s="29">
        <f>IFERROR(AC20/Y20-1,"")</f>
        <v/>
      </c>
      <c r="AD40" s="29">
        <f>IFERROR(AD20/Z20-1,"")</f>
        <v/>
      </c>
      <c r="AE40" s="29">
        <f>IFERROR(AE20/AA20-1,"")</f>
        <v/>
      </c>
      <c r="AF40" s="29">
        <f>IFERROR(AF20/AB20-1,"")</f>
        <v/>
      </c>
      <c r="AG40" s="29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9" t="n">
        <v>2024</v>
      </c>
      <c r="I1" s="3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34">
        <f>변수!D38</f>
        <v/>
      </c>
      <c r="H2" s="40" t="n"/>
    </row>
    <row r="3">
      <c r="C3" t="inlineStr">
        <is>
          <t>기준일:</t>
        </is>
      </c>
      <c r="E3" s="2" t="n">
        <v>1</v>
      </c>
      <c r="F3" s="2" t="n">
        <v>2</v>
      </c>
      <c r="G3" s="2" t="n">
        <v>3</v>
      </c>
      <c r="H3" s="41" t="n">
        <v>4</v>
      </c>
      <c r="I3" s="2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42" t="inlineStr">
        <is>
          <t>2024.12A</t>
        </is>
      </c>
      <c r="I4" s="7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34">
        <f>IFERROR(VLOOKUP($A5,subQ,MATCH(E$1,SUBQH,0),0),"")</f>
        <v/>
      </c>
      <c r="F5" s="34">
        <f>IFERROR(VLOOKUP($A5,subQ,MATCH(F$1,SUBQH,0),0),"")</f>
        <v/>
      </c>
      <c r="G5" s="34">
        <f>IFERROR(VLOOKUP($A5,subQ,MATCH(G$1,SUBQH,0),0),"")</f>
        <v/>
      </c>
      <c r="H5" s="43">
        <f>IFERROR(VLOOKUP($A5,subQ,MATCH(H$1,SUBQH,0),0),"")</f>
        <v/>
      </c>
      <c r="I5" s="37">
        <f>IFERROR(VLOOKUP($A5,subQ,MATCH(I$1,SUBQH,0),0),"")</f>
        <v/>
      </c>
      <c r="J5" s="37">
        <f>IFERROR(VLOOKUP($A5,subQ,MATCH(J$1,SUBQH,0),0),"")</f>
        <v/>
      </c>
      <c r="K5" s="37">
        <f>IFERROR(VLOOKUP($A5,subQ,MATCH(K$1,SUBQH,0),0),"")</f>
        <v/>
      </c>
      <c r="L5" s="37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34">
        <f>IFERROR(VLOOKUP($A6,subQ,MATCH(E$1,SUBQH,0),0),"")</f>
        <v/>
      </c>
      <c r="F6" s="34">
        <f>IFERROR(VLOOKUP($A6,subQ,MATCH(F$1,SUBQH,0),0),"")</f>
        <v/>
      </c>
      <c r="G6" s="34">
        <f>IFERROR(VLOOKUP($A6,subQ,MATCH(G$1,SUBQH,0),0),"")</f>
        <v/>
      </c>
      <c r="H6" s="43">
        <f>IFERROR(VLOOKUP($A6,subQ,MATCH(H$1,SUBQH,0),0),"")</f>
        <v/>
      </c>
      <c r="I6" s="37">
        <f>IFERROR(VLOOKUP($A6,subQ,MATCH(I$1,SUBQH,0),0),"")</f>
        <v/>
      </c>
      <c r="J6" s="37">
        <f>IFERROR(VLOOKUP($A6,subQ,MATCH(J$1,SUBQH,0),0),"")</f>
        <v/>
      </c>
      <c r="K6" s="37">
        <f>IFERROR(VLOOKUP($A6,subQ,MATCH(K$1,SUBQH,0),0),"")</f>
        <v/>
      </c>
      <c r="L6" s="37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34">
        <f>IFERROR(VLOOKUP($A7,subQ,MATCH(E$1,SUBQH,0),0),"")</f>
        <v/>
      </c>
      <c r="F7" s="34">
        <f>IFERROR(VLOOKUP($A7,subQ,MATCH(F$1,SUBQH,0),0),"")</f>
        <v/>
      </c>
      <c r="G7" s="34">
        <f>IFERROR(VLOOKUP($A7,subQ,MATCH(G$1,SUBQH,0),0),"")</f>
        <v/>
      </c>
      <c r="H7" s="43">
        <f>IFERROR(VLOOKUP($A7,subQ,MATCH(H$1,SUBQH,0),0),"")</f>
        <v/>
      </c>
      <c r="I7" s="37">
        <f>IFERROR(VLOOKUP($A7,subQ,MATCH(I$1,SUBQH,0),0),"")</f>
        <v/>
      </c>
      <c r="J7" s="37">
        <f>IFERROR(VLOOKUP($A7,subQ,MATCH(J$1,SUBQH,0),0),"")</f>
        <v/>
      </c>
      <c r="K7" s="37">
        <f>IFERROR(VLOOKUP($A7,subQ,MATCH(K$1,SUBQH,0),0),"")</f>
        <v/>
      </c>
      <c r="L7" s="37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34">
        <f>IFERROR(VLOOKUP($A8,subQ,MATCH(E$1,SUBQH,0),0),"")</f>
        <v/>
      </c>
      <c r="F8" s="34">
        <f>IFERROR(VLOOKUP($A8,subQ,MATCH(F$1,SUBQH,0),0),"")</f>
        <v/>
      </c>
      <c r="G8" s="34">
        <f>IFERROR(VLOOKUP($A8,subQ,MATCH(G$1,SUBQH,0),0),"")</f>
        <v/>
      </c>
      <c r="H8" s="43">
        <f>IFERROR(VLOOKUP($A8,subQ,MATCH(H$1,SUBQH,0),0),"")</f>
        <v/>
      </c>
      <c r="I8" s="37">
        <f>IFERROR(VLOOKUP($A8,subQ,MATCH(I$1,SUBQH,0),0),"")</f>
        <v/>
      </c>
      <c r="J8" s="37">
        <f>IFERROR(VLOOKUP($A8,subQ,MATCH(J$1,SUBQH,0),0),"")</f>
        <v/>
      </c>
      <c r="K8" s="37">
        <f>IFERROR(VLOOKUP($A8,subQ,MATCH(K$1,SUBQH,0),0),"")</f>
        <v/>
      </c>
      <c r="L8" s="37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34">
        <f>IFERROR(VLOOKUP($A9,subQ,MATCH(E$1,SUBQH,0),0),"")</f>
        <v/>
      </c>
      <c r="F9" s="34">
        <f>IFERROR(VLOOKUP($A9,subQ,MATCH(F$1,SUBQH,0),0),"")</f>
        <v/>
      </c>
      <c r="G9" s="34">
        <f>IFERROR(VLOOKUP($A9,subQ,MATCH(G$1,SUBQH,0),0),"")</f>
        <v/>
      </c>
      <c r="H9" s="43">
        <f>IFERROR(VLOOKUP($A9,subQ,MATCH(H$1,SUBQH,0),0),"")</f>
        <v/>
      </c>
      <c r="I9" s="37">
        <f>IFERROR(VLOOKUP($A9,subQ,MATCH(I$1,SUBQH,0),0),"")</f>
        <v/>
      </c>
      <c r="J9" s="37">
        <f>IFERROR(VLOOKUP($A9,subQ,MATCH(J$1,SUBQH,0),0),"")</f>
        <v/>
      </c>
      <c r="K9" s="37">
        <f>IFERROR(VLOOKUP($A9,subQ,MATCH(K$1,SUBQH,0),0),"")</f>
        <v/>
      </c>
      <c r="L9" s="37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8">
        <f>IFERROR(VLOOKUP($A10,subQ,MATCH(E$1,SUBQH,0),0),"")</f>
        <v/>
      </c>
      <c r="F10" s="18">
        <f>IFERROR(VLOOKUP($A10,subQ,MATCH(F$1,SUBQH,0),0),"")</f>
        <v/>
      </c>
      <c r="G10" s="18">
        <f>IFERROR(VLOOKUP($A10,subQ,MATCH(G$1,SUBQH,0),0),"")</f>
        <v/>
      </c>
      <c r="H10" s="44">
        <f>IFERROR(VLOOKUP($A10,subQ,MATCH(H$1,SUBQH,0),0),"")</f>
        <v/>
      </c>
      <c r="I10" s="29">
        <f>IFERROR(VLOOKUP($A10,subQ,MATCH(I$1,SUBQH,0),0),"")</f>
        <v/>
      </c>
      <c r="J10" s="29">
        <f>IFERROR(VLOOKUP($A10,subQ,MATCH(J$1,SUBQH,0),0),"")</f>
        <v/>
      </c>
      <c r="K10" s="29">
        <f>IFERROR(VLOOKUP($A10,subQ,MATCH(K$1,SUBQH,0),0),"")</f>
        <v/>
      </c>
      <c r="L10" s="29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34">
        <f>IFERROR(VLOOKUP($A11,subQ,MATCH(E$1,SUBQH,0),0),"")</f>
        <v/>
      </c>
      <c r="F11" s="34">
        <f>IFERROR(VLOOKUP($A11,subQ,MATCH(F$1,SUBQH,0),0),"")</f>
        <v/>
      </c>
      <c r="G11" s="34">
        <f>IFERROR(VLOOKUP($A11,subQ,MATCH(G$1,SUBQH,0),0),"")</f>
        <v/>
      </c>
      <c r="H11" s="43">
        <f>IFERROR(VLOOKUP($A11,subQ,MATCH(H$1,SUBQH,0),0),"")</f>
        <v/>
      </c>
      <c r="I11" s="37">
        <f>IFERROR(VLOOKUP($A11,subQ,MATCH(I$1,SUBQH,0),0),"")</f>
        <v/>
      </c>
      <c r="J11" s="37">
        <f>IFERROR(VLOOKUP($A11,subQ,MATCH(J$1,SUBQH,0),0),"")</f>
        <v/>
      </c>
      <c r="K11" s="37">
        <f>IFERROR(VLOOKUP($A11,subQ,MATCH(K$1,SUBQH,0),0),"")</f>
        <v/>
      </c>
      <c r="L11" s="37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34">
        <f>IFERROR(VLOOKUP($A12,subQ,MATCH(E$1,SUBQH,0),0),"")</f>
        <v/>
      </c>
      <c r="F12" s="34">
        <f>IFERROR(VLOOKUP($A12,subQ,MATCH(F$1,SUBQH,0),0),"")</f>
        <v/>
      </c>
      <c r="G12" s="34">
        <f>IFERROR(VLOOKUP($A12,subQ,MATCH(G$1,SUBQH,0),0),"")</f>
        <v/>
      </c>
      <c r="H12" s="43">
        <f>IFERROR(VLOOKUP($A12,subQ,MATCH(H$1,SUBQH,0),0),"")</f>
        <v/>
      </c>
      <c r="I12" s="37">
        <f>IFERROR(VLOOKUP($A12,subQ,MATCH(I$1,SUBQH,0),0),"")</f>
        <v/>
      </c>
      <c r="J12" s="37">
        <f>IFERROR(VLOOKUP($A12,subQ,MATCH(J$1,SUBQH,0),0),"")</f>
        <v/>
      </c>
      <c r="K12" s="37">
        <f>IFERROR(VLOOKUP($A12,subQ,MATCH(K$1,SUBQH,0),0),"")</f>
        <v/>
      </c>
      <c r="L12" s="37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34">
        <f>IFERROR(VLOOKUP($A13,subQ,MATCH(E$1,SUBQH,0),0),"")</f>
        <v/>
      </c>
      <c r="F13" s="34">
        <f>IFERROR(VLOOKUP($A13,subQ,MATCH(F$1,SUBQH,0),0),"")</f>
        <v/>
      </c>
      <c r="G13" s="34">
        <f>IFERROR(VLOOKUP($A13,subQ,MATCH(G$1,SUBQH,0),0),"")</f>
        <v/>
      </c>
      <c r="H13" s="43">
        <f>IFERROR(VLOOKUP($A13,subQ,MATCH(H$1,SUBQH,0),0),"")</f>
        <v/>
      </c>
      <c r="I13" s="37">
        <f>IFERROR(VLOOKUP($A13,subQ,MATCH(I$1,SUBQH,0),0),"")</f>
        <v/>
      </c>
      <c r="J13" s="37">
        <f>IFERROR(VLOOKUP($A13,subQ,MATCH(J$1,SUBQH,0),0),"")</f>
        <v/>
      </c>
      <c r="K13" s="37">
        <f>IFERROR(VLOOKUP($A13,subQ,MATCH(K$1,SUBQH,0),0),"")</f>
        <v/>
      </c>
      <c r="L13" s="37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34">
        <f>IFERROR(VLOOKUP($A14,subQ,MATCH(E$1,SUBQH,0),0),"")</f>
        <v/>
      </c>
      <c r="F14" s="34">
        <f>IFERROR(VLOOKUP($A14,subQ,MATCH(F$1,SUBQH,0),0),"")</f>
        <v/>
      </c>
      <c r="G14" s="34">
        <f>IFERROR(VLOOKUP($A14,subQ,MATCH(G$1,SUBQH,0),0),"")</f>
        <v/>
      </c>
      <c r="H14" s="43">
        <f>IFERROR(VLOOKUP($A14,subQ,MATCH(H$1,SUBQH,0),0),"")</f>
        <v/>
      </c>
      <c r="I14" s="37">
        <f>IFERROR(VLOOKUP($A14,subQ,MATCH(I$1,SUBQH,0),0),"")</f>
        <v/>
      </c>
      <c r="J14" s="37">
        <f>IFERROR(VLOOKUP($A14,subQ,MATCH(J$1,SUBQH,0),0),"")</f>
        <v/>
      </c>
      <c r="K14" s="37">
        <f>IFERROR(VLOOKUP($A14,subQ,MATCH(K$1,SUBQH,0),0),"")</f>
        <v/>
      </c>
      <c r="L14" s="37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34">
        <f>IFERROR(VLOOKUP($A15,subQ,MATCH(E$1,SUBQH,0),0),"")</f>
        <v/>
      </c>
      <c r="F15" s="34">
        <f>IFERROR(VLOOKUP($A15,subQ,MATCH(F$1,SUBQH,0),0),"")</f>
        <v/>
      </c>
      <c r="G15" s="34">
        <f>IFERROR(VLOOKUP($A15,subQ,MATCH(G$1,SUBQH,0),0),"")</f>
        <v/>
      </c>
      <c r="H15" s="43">
        <f>IFERROR(VLOOKUP($A15,subQ,MATCH(H$1,SUBQH,0),0),"")</f>
        <v/>
      </c>
      <c r="I15" s="37">
        <f>IFERROR(VLOOKUP($A15,subQ,MATCH(I$1,SUBQH,0),0),"")</f>
        <v/>
      </c>
      <c r="J15" s="37">
        <f>IFERROR(VLOOKUP($A15,subQ,MATCH(J$1,SUBQH,0),0),"")</f>
        <v/>
      </c>
      <c r="K15" s="37">
        <f>IFERROR(VLOOKUP($A15,subQ,MATCH(K$1,SUBQH,0),0),"")</f>
        <v/>
      </c>
      <c r="L15" s="37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34">
        <f>IFERROR(VLOOKUP($A16,subQ,MATCH(E$1,SUBQH,0),0),"")</f>
        <v/>
      </c>
      <c r="F16" s="34">
        <f>IFERROR(VLOOKUP($A16,subQ,MATCH(F$1,SUBQH,0),0),"")</f>
        <v/>
      </c>
      <c r="G16" s="34">
        <f>IFERROR(VLOOKUP($A16,subQ,MATCH(G$1,SUBQH,0),0),"")</f>
        <v/>
      </c>
      <c r="H16" s="43">
        <f>IFERROR(VLOOKUP($A16,subQ,MATCH(H$1,SUBQH,0),0),"")</f>
        <v/>
      </c>
      <c r="I16" s="37">
        <f>IFERROR(VLOOKUP($A16,subQ,MATCH(I$1,SUBQH,0),0),"")</f>
        <v/>
      </c>
      <c r="J16" s="37">
        <f>IFERROR(VLOOKUP($A16,subQ,MATCH(J$1,SUBQH,0),0),"")</f>
        <v/>
      </c>
      <c r="K16" s="37">
        <f>IFERROR(VLOOKUP($A16,subQ,MATCH(K$1,SUBQH,0),0),"")</f>
        <v/>
      </c>
      <c r="L16" s="37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34">
        <f>IFERROR(VLOOKUP($A17,subQ,MATCH(E$1,SUBQH,0),0),"")</f>
        <v/>
      </c>
      <c r="F17" s="34">
        <f>IFERROR(VLOOKUP($A17,subQ,MATCH(F$1,SUBQH,0),0),"")</f>
        <v/>
      </c>
      <c r="G17" s="34">
        <f>IFERROR(VLOOKUP($A17,subQ,MATCH(G$1,SUBQH,0),0),"")</f>
        <v/>
      </c>
      <c r="H17" s="43">
        <f>IFERROR(VLOOKUP($A17,subQ,MATCH(H$1,SUBQH,0),0),"")</f>
        <v/>
      </c>
      <c r="I17" s="37">
        <f>IFERROR(VLOOKUP($A17,subQ,MATCH(I$1,SUBQH,0),0),"")</f>
        <v/>
      </c>
      <c r="J17" s="37">
        <f>IFERROR(VLOOKUP($A17,subQ,MATCH(J$1,SUBQH,0),0),"")</f>
        <v/>
      </c>
      <c r="K17" s="37">
        <f>IFERROR(VLOOKUP($A17,subQ,MATCH(K$1,SUBQH,0),0),"")</f>
        <v/>
      </c>
      <c r="L17" s="37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34">
        <f>IFERROR(VLOOKUP($A18,subQ,MATCH(E$1,SUBQH,0),0),"")</f>
        <v/>
      </c>
      <c r="F18" s="34">
        <f>IFERROR(VLOOKUP($A18,subQ,MATCH(F$1,SUBQH,0),0),"")</f>
        <v/>
      </c>
      <c r="G18" s="34">
        <f>IFERROR(VLOOKUP($A18,subQ,MATCH(G$1,SUBQH,0),0),"")</f>
        <v/>
      </c>
      <c r="H18" s="43">
        <f>IFERROR(VLOOKUP($A18,subQ,MATCH(H$1,SUBQH,0),0),"")</f>
        <v/>
      </c>
      <c r="I18" s="37">
        <f>IFERROR(VLOOKUP($A18,subQ,MATCH(I$1,SUBQH,0),0),"")</f>
        <v/>
      </c>
      <c r="J18" s="37">
        <f>IFERROR(VLOOKUP($A18,subQ,MATCH(J$1,SUBQH,0),0),"")</f>
        <v/>
      </c>
      <c r="K18" s="37">
        <f>IFERROR(VLOOKUP($A18,subQ,MATCH(K$1,SUBQH,0),0),"")</f>
        <v/>
      </c>
      <c r="L18" s="37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34">
        <f>IFERROR(VLOOKUP($A19,subQ,MATCH(E$1,SUBQH,0),0),"")</f>
        <v/>
      </c>
      <c r="F19" s="34">
        <f>IFERROR(VLOOKUP($A19,subQ,MATCH(F$1,SUBQH,0),0),"")</f>
        <v/>
      </c>
      <c r="G19" s="34">
        <f>IFERROR(VLOOKUP($A19,subQ,MATCH(G$1,SUBQH,0),0),"")</f>
        <v/>
      </c>
      <c r="H19" s="43">
        <f>IFERROR(VLOOKUP($A19,subQ,MATCH(H$1,SUBQH,0),0),"")</f>
        <v/>
      </c>
      <c r="I19" s="37">
        <f>IFERROR(VLOOKUP($A19,subQ,MATCH(I$1,SUBQH,0),0),"")</f>
        <v/>
      </c>
      <c r="J19" s="37">
        <f>IFERROR(VLOOKUP($A19,subQ,MATCH(J$1,SUBQH,0),0),"")</f>
        <v/>
      </c>
      <c r="K19" s="37">
        <f>IFERROR(VLOOKUP($A19,subQ,MATCH(K$1,SUBQH,0),0),"")</f>
        <v/>
      </c>
      <c r="L19" s="37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34">
        <f>IFERROR(VLOOKUP($A20,subQ,MATCH(E$1,SUBQH,0),0),"")</f>
        <v/>
      </c>
      <c r="F20" s="34">
        <f>IFERROR(VLOOKUP($A20,subQ,MATCH(F$1,SUBQH,0),0),"")</f>
        <v/>
      </c>
      <c r="G20" s="34">
        <f>IFERROR(VLOOKUP($A20,subQ,MATCH(G$1,SUBQH,0),0),"")</f>
        <v/>
      </c>
      <c r="H20" s="43">
        <f>IFERROR(VLOOKUP($A20,subQ,MATCH(H$1,SUBQH,0),0),"")</f>
        <v/>
      </c>
      <c r="I20" s="37">
        <f>IFERROR(VLOOKUP($A20,subQ,MATCH(I$1,SUBQH,0),0),"")</f>
        <v/>
      </c>
      <c r="J20" s="37">
        <f>IFERROR(VLOOKUP($A20,subQ,MATCH(J$1,SUBQH,0),0),"")</f>
        <v/>
      </c>
      <c r="K20" s="37">
        <f>IFERROR(VLOOKUP($A20,subQ,MATCH(K$1,SUBQH,0),0),"")</f>
        <v/>
      </c>
      <c r="L20" s="37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34">
        <f>IFERROR(VLOOKUP($A21,subQ,MATCH(E$1,SUBQH,0),0),"")</f>
        <v/>
      </c>
      <c r="F21" s="34">
        <f>IFERROR(VLOOKUP($A21,subQ,MATCH(F$1,SUBQH,0),0),"")</f>
        <v/>
      </c>
      <c r="G21" s="34">
        <f>IFERROR(VLOOKUP($A21,subQ,MATCH(G$1,SUBQH,0),0),"")</f>
        <v/>
      </c>
      <c r="H21" s="43">
        <f>IFERROR(VLOOKUP($A21,subQ,MATCH(H$1,SUBQH,0),0),"")</f>
        <v/>
      </c>
      <c r="I21" s="37">
        <f>IFERROR(VLOOKUP($A21,subQ,MATCH(I$1,SUBQH,0),0),"")</f>
        <v/>
      </c>
      <c r="J21" s="37">
        <f>IFERROR(VLOOKUP($A21,subQ,MATCH(J$1,SUBQH,0),0),"")</f>
        <v/>
      </c>
      <c r="K21" s="37">
        <f>IFERROR(VLOOKUP($A21,subQ,MATCH(K$1,SUBQH,0),0),"")</f>
        <v/>
      </c>
      <c r="L21" s="37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34">
        <f>IFERROR(VLOOKUP($A22,subQ,MATCH(E$1,SUBQH,0),0),"")</f>
        <v/>
      </c>
      <c r="F22" s="34">
        <f>IFERROR(VLOOKUP($A22,subQ,MATCH(F$1,SUBQH,0),0),"")</f>
        <v/>
      </c>
      <c r="G22" s="34">
        <f>IFERROR(VLOOKUP($A22,subQ,MATCH(G$1,SUBQH,0),0),"")</f>
        <v/>
      </c>
      <c r="H22" s="43">
        <f>IFERROR(VLOOKUP($A22,subQ,MATCH(H$1,SUBQH,0),0),"")</f>
        <v/>
      </c>
      <c r="I22" s="37">
        <f>IFERROR(VLOOKUP($A22,subQ,MATCH(I$1,SUBQH,0),0),"")</f>
        <v/>
      </c>
      <c r="J22" s="37">
        <f>IFERROR(VLOOKUP($A22,subQ,MATCH(J$1,SUBQH,0),0),"")</f>
        <v/>
      </c>
      <c r="K22" s="37">
        <f>IFERROR(VLOOKUP($A22,subQ,MATCH(K$1,SUBQH,0),0),"")</f>
        <v/>
      </c>
      <c r="L22" s="37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34">
        <f>IFERROR(VLOOKUP($A23,subQ,MATCH(E$1,SUBQH,0),0),"")</f>
        <v/>
      </c>
      <c r="F23" s="34">
        <f>IFERROR(VLOOKUP($A23,subQ,MATCH(F$1,SUBQH,0),0),"")</f>
        <v/>
      </c>
      <c r="G23" s="34">
        <f>IFERROR(VLOOKUP($A23,subQ,MATCH(G$1,SUBQH,0),0),"")</f>
        <v/>
      </c>
      <c r="H23" s="43">
        <f>IFERROR(VLOOKUP($A23,subQ,MATCH(H$1,SUBQH,0),0),"")</f>
        <v/>
      </c>
      <c r="I23" s="37">
        <f>IFERROR(VLOOKUP($A23,subQ,MATCH(I$1,SUBQH,0),0),"")</f>
        <v/>
      </c>
      <c r="J23" s="37">
        <f>IFERROR(VLOOKUP($A23,subQ,MATCH(J$1,SUBQH,0),0),"")</f>
        <v/>
      </c>
      <c r="K23" s="37">
        <f>IFERROR(VLOOKUP($A23,subQ,MATCH(K$1,SUBQH,0),0),"")</f>
        <v/>
      </c>
      <c r="L23" s="37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34">
        <f>IFERROR(VLOOKUP($A24,subQ,MATCH(E$1,SUBQH,0),0),"")</f>
        <v/>
      </c>
      <c r="F24" s="34">
        <f>IFERROR(VLOOKUP($A24,subQ,MATCH(F$1,SUBQH,0),0),"")</f>
        <v/>
      </c>
      <c r="G24" s="34">
        <f>IFERROR(VLOOKUP($A24,subQ,MATCH(G$1,SUBQH,0),0),"")</f>
        <v/>
      </c>
      <c r="H24" s="43">
        <f>IFERROR(VLOOKUP($A24,subQ,MATCH(H$1,SUBQH,0),0),"")</f>
        <v/>
      </c>
      <c r="I24" s="37">
        <f>IFERROR(VLOOKUP($A24,subQ,MATCH(I$1,SUBQH,0),0),"")</f>
        <v/>
      </c>
      <c r="J24" s="37">
        <f>IFERROR(VLOOKUP($A24,subQ,MATCH(J$1,SUBQH,0),0),"")</f>
        <v/>
      </c>
      <c r="K24" s="37">
        <f>IFERROR(VLOOKUP($A24,subQ,MATCH(K$1,SUBQH,0),0),"")</f>
        <v/>
      </c>
      <c r="L24" s="37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34">
        <f>IFERROR(VLOOKUP($A25,subQ,MATCH(E$1,SUBQH,0),0),"")</f>
        <v/>
      </c>
      <c r="F25" s="34">
        <f>IFERROR(VLOOKUP($A25,subQ,MATCH(F$1,SUBQH,0),0),"")</f>
        <v/>
      </c>
      <c r="G25" s="34">
        <f>IFERROR(VLOOKUP($A25,subQ,MATCH(G$1,SUBQH,0),0),"")</f>
        <v/>
      </c>
      <c r="H25" s="43">
        <f>IFERROR(VLOOKUP($A25,subQ,MATCH(H$1,SUBQH,0),0),"")</f>
        <v/>
      </c>
      <c r="I25" s="37">
        <f>IFERROR(VLOOKUP($A25,subQ,MATCH(I$1,SUBQH,0),0),"")</f>
        <v/>
      </c>
      <c r="J25" s="37">
        <f>IFERROR(VLOOKUP($A25,subQ,MATCH(J$1,SUBQH,0),0),"")</f>
        <v/>
      </c>
      <c r="K25" s="37">
        <f>IFERROR(VLOOKUP($A25,subQ,MATCH(K$1,SUBQH,0),0),"")</f>
        <v/>
      </c>
      <c r="L25" s="37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34">
        <f>IFERROR(VLOOKUP($A26,subQ,MATCH(E$1,SUBQH,0),0),"")</f>
        <v/>
      </c>
      <c r="F26" s="34">
        <f>IFERROR(VLOOKUP($A26,subQ,MATCH(F$1,SUBQH,0),0),"")</f>
        <v/>
      </c>
      <c r="G26" s="34">
        <f>IFERROR(VLOOKUP($A26,subQ,MATCH(G$1,SUBQH,0),0),"")</f>
        <v/>
      </c>
      <c r="H26" s="43">
        <f>IFERROR(VLOOKUP($A26,subQ,MATCH(H$1,SUBQH,0),0),"")</f>
        <v/>
      </c>
      <c r="I26" s="37">
        <f>IFERROR(VLOOKUP($A26,subQ,MATCH(I$1,SUBQH,0),0),"")</f>
        <v/>
      </c>
      <c r="J26" s="37">
        <f>IFERROR(VLOOKUP($A26,subQ,MATCH(J$1,SUBQH,0),0),"")</f>
        <v/>
      </c>
      <c r="K26" s="37">
        <f>IFERROR(VLOOKUP($A26,subQ,MATCH(K$1,SUBQH,0),0),"")</f>
        <v/>
      </c>
      <c r="L26" s="37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34">
        <f>IFERROR(VLOOKUP($A27,subQ,MATCH(E$1,SUBQH,0),0),"")</f>
        <v/>
      </c>
      <c r="F27" s="34">
        <f>IFERROR(VLOOKUP($A27,subQ,MATCH(F$1,SUBQH,0),0),"")</f>
        <v/>
      </c>
      <c r="G27" s="34">
        <f>IFERROR(VLOOKUP($A27,subQ,MATCH(G$1,SUBQH,0),0),"")</f>
        <v/>
      </c>
      <c r="H27" s="43">
        <f>IFERROR(VLOOKUP($A27,subQ,MATCH(H$1,SUBQH,0),0),"")</f>
        <v/>
      </c>
      <c r="I27" s="37">
        <f>IFERROR(VLOOKUP($A27,subQ,MATCH(I$1,SUBQH,0),0),"")</f>
        <v/>
      </c>
      <c r="J27" s="37">
        <f>IFERROR(VLOOKUP($A27,subQ,MATCH(J$1,SUBQH,0),0),"")</f>
        <v/>
      </c>
      <c r="K27" s="37">
        <f>IFERROR(VLOOKUP($A27,subQ,MATCH(K$1,SUBQH,0),0),"")</f>
        <v/>
      </c>
      <c r="L27" s="37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34">
        <f>IFERROR(VLOOKUP($A28,subQ,MATCH(E$1,SUBQH,0),0),"")</f>
        <v/>
      </c>
      <c r="F28" s="34">
        <f>IFERROR(VLOOKUP($A28,subQ,MATCH(F$1,SUBQH,0),0),"")</f>
        <v/>
      </c>
      <c r="G28" s="34">
        <f>IFERROR(VLOOKUP($A28,subQ,MATCH(G$1,SUBQH,0),0),"")</f>
        <v/>
      </c>
      <c r="H28" s="43">
        <f>IFERROR(VLOOKUP($A28,subQ,MATCH(H$1,SUBQH,0),0),"")</f>
        <v/>
      </c>
      <c r="I28" s="37">
        <f>IFERROR(VLOOKUP($A28,subQ,MATCH(I$1,SUBQH,0),0),"")</f>
        <v/>
      </c>
      <c r="J28" s="37">
        <f>IFERROR(VLOOKUP($A28,subQ,MATCH(J$1,SUBQH,0),0),"")</f>
        <v/>
      </c>
      <c r="K28" s="37">
        <f>IFERROR(VLOOKUP($A28,subQ,MATCH(K$1,SUBQH,0),0),"")</f>
        <v/>
      </c>
      <c r="L28" s="37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34">
        <f>IFERROR(VLOOKUP($A29,subQ,MATCH(E$1,SUBQH,0),0),"")</f>
        <v/>
      </c>
      <c r="F29" s="34">
        <f>IFERROR(VLOOKUP($A29,subQ,MATCH(F$1,SUBQH,0),0),"")</f>
        <v/>
      </c>
      <c r="G29" s="34">
        <f>IFERROR(VLOOKUP($A29,subQ,MATCH(G$1,SUBQH,0),0),"")</f>
        <v/>
      </c>
      <c r="H29" s="43">
        <f>IFERROR(VLOOKUP($A29,subQ,MATCH(H$1,SUBQH,0),0),"")</f>
        <v/>
      </c>
      <c r="I29" s="37">
        <f>IFERROR(VLOOKUP($A29,subQ,MATCH(I$1,SUBQH,0),0),"")</f>
        <v/>
      </c>
      <c r="J29" s="37">
        <f>IFERROR(VLOOKUP($A29,subQ,MATCH(J$1,SUBQH,0),0),"")</f>
        <v/>
      </c>
      <c r="K29" s="37">
        <f>IFERROR(VLOOKUP($A29,subQ,MATCH(K$1,SUBQH,0),0),"")</f>
        <v/>
      </c>
      <c r="L29" s="37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34">
        <f>IFERROR(VLOOKUP($A30,subQ,MATCH(E$1,SUBQH,0),0),"")</f>
        <v/>
      </c>
      <c r="F30" s="34">
        <f>IFERROR(VLOOKUP($A30,subQ,MATCH(F$1,SUBQH,0),0),"")</f>
        <v/>
      </c>
      <c r="G30" s="34">
        <f>IFERROR(VLOOKUP($A30,subQ,MATCH(G$1,SUBQH,0),0),"")</f>
        <v/>
      </c>
      <c r="H30" s="43">
        <f>IFERROR(VLOOKUP($A30,subQ,MATCH(H$1,SUBQH,0),0),"")</f>
        <v/>
      </c>
      <c r="I30" s="37">
        <f>IFERROR(VLOOKUP($A30,subQ,MATCH(I$1,SUBQH,0),0),"")</f>
        <v/>
      </c>
      <c r="J30" s="37">
        <f>IFERROR(VLOOKUP($A30,subQ,MATCH(J$1,SUBQH,0),0),"")</f>
        <v/>
      </c>
      <c r="K30" s="37">
        <f>IFERROR(VLOOKUP($A30,subQ,MATCH(K$1,SUBQH,0),0),"")</f>
        <v/>
      </c>
      <c r="L30" s="37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4">
        <f>IFERROR(VLOOKUP($A31,subQ,MATCH(E$1,SUBQH,0),0),"")</f>
        <v/>
      </c>
      <c r="F31" s="24">
        <f>IFERROR(VLOOKUP($A31,subQ,MATCH(F$1,SUBQH,0),0),"")</f>
        <v/>
      </c>
      <c r="G31" s="24">
        <f>IFERROR(VLOOKUP($A31,subQ,MATCH(G$1,SUBQH,0),0),"")</f>
        <v/>
      </c>
      <c r="H31" s="45">
        <f>IFERROR(VLOOKUP($A31,subQ,MATCH(H$1,SUBQH,0),0),"")</f>
        <v/>
      </c>
      <c r="I31" s="30">
        <f>IFERROR(VLOOKUP($A31,subQ,MATCH(I$1,SUBQH,0),0),"")</f>
        <v/>
      </c>
      <c r="J31" s="30">
        <f>IFERROR(VLOOKUP($A31,subQ,MATCH(J$1,SUBQH,0),0),"")</f>
        <v/>
      </c>
      <c r="K31" s="30">
        <f>IFERROR(VLOOKUP($A31,subQ,MATCH(K$1,SUBQH,0),0),"")</f>
        <v/>
      </c>
      <c r="L31" s="30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34">
        <f>IFERROR(VLOOKUP($A32,subQ,MATCH(E$1,SUBQH,0),0),"")</f>
        <v/>
      </c>
      <c r="F32" s="34">
        <f>IFERROR(VLOOKUP($A32,subQ,MATCH(F$1,SUBQH,0),0),"")</f>
        <v/>
      </c>
      <c r="G32" s="34">
        <f>IFERROR(VLOOKUP($A32,subQ,MATCH(G$1,SUBQH,0),0),"")</f>
        <v/>
      </c>
      <c r="H32" s="43">
        <f>IFERROR(VLOOKUP($A32,subQ,MATCH(H$1,SUBQH,0),0),"")</f>
        <v/>
      </c>
      <c r="I32" s="37">
        <f>IFERROR(VLOOKUP($A32,subQ,MATCH(I$1,SUBQH,0),0),"")</f>
        <v/>
      </c>
      <c r="J32" s="37">
        <f>IFERROR(VLOOKUP($A32,subQ,MATCH(J$1,SUBQH,0),0),"")</f>
        <v/>
      </c>
      <c r="K32" s="37">
        <f>IFERROR(VLOOKUP($A32,subQ,MATCH(K$1,SUBQH,0),0),"")</f>
        <v/>
      </c>
      <c r="L32" s="37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34">
        <f>IFERROR(VLOOKUP($A33,subQ,MATCH(E$1,SUBQH,0),0),"")</f>
        <v/>
      </c>
      <c r="F33" s="34">
        <f>IFERROR(VLOOKUP($A33,subQ,MATCH(F$1,SUBQH,0),0),"")</f>
        <v/>
      </c>
      <c r="G33" s="34">
        <f>IFERROR(VLOOKUP($A33,subQ,MATCH(G$1,SUBQH,0),0),"")</f>
        <v/>
      </c>
      <c r="H33" s="43">
        <f>IFERROR(VLOOKUP($A33,subQ,MATCH(H$1,SUBQH,0),0),"")</f>
        <v/>
      </c>
      <c r="I33" s="37">
        <f>IFERROR(VLOOKUP($A33,subQ,MATCH(I$1,SUBQH,0),0),"")</f>
        <v/>
      </c>
      <c r="J33" s="37">
        <f>IFERROR(VLOOKUP($A33,subQ,MATCH(J$1,SUBQH,0),0),"")</f>
        <v/>
      </c>
      <c r="K33" s="37">
        <f>IFERROR(VLOOKUP($A33,subQ,MATCH(K$1,SUBQH,0),0),"")</f>
        <v/>
      </c>
      <c r="L33" s="37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34">
        <f>IFERROR(VLOOKUP($A34,subQ,MATCH(E$1,SUBQH,0),0),"")</f>
        <v/>
      </c>
      <c r="F34" s="34">
        <f>IFERROR(VLOOKUP($A34,subQ,MATCH(F$1,SUBQH,0),0),"")</f>
        <v/>
      </c>
      <c r="G34" s="34">
        <f>IFERROR(VLOOKUP($A34,subQ,MATCH(G$1,SUBQH,0),0),"")</f>
        <v/>
      </c>
      <c r="H34" s="43">
        <f>IFERROR(VLOOKUP($A34,subQ,MATCH(H$1,SUBQH,0),0),"")</f>
        <v/>
      </c>
      <c r="I34" s="37">
        <f>IFERROR(VLOOKUP($A34,subQ,MATCH(I$1,SUBQH,0),0),"")</f>
        <v/>
      </c>
      <c r="J34" s="37">
        <f>IFERROR(VLOOKUP($A34,subQ,MATCH(J$1,SUBQH,0),0),"")</f>
        <v/>
      </c>
      <c r="K34" s="37">
        <f>IFERROR(VLOOKUP($A34,subQ,MATCH(K$1,SUBQH,0),0),"")</f>
        <v/>
      </c>
      <c r="L34" s="37">
        <f>IFERROR(VLOOKUP($A34,subQ,MATCH(L$1,SUBQH,0),0),"")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34">
        <f>IFERROR(VLOOKUP($A35,subQ,MATCH(E$1,SUBQH,0),0),"")</f>
        <v/>
      </c>
      <c r="F35" s="34">
        <f>IFERROR(VLOOKUP($A35,subQ,MATCH(F$1,SUBQH,0),0),"")</f>
        <v/>
      </c>
      <c r="G35" s="34">
        <f>IFERROR(VLOOKUP($A35,subQ,MATCH(G$1,SUBQH,0),0),"")</f>
        <v/>
      </c>
      <c r="H35" s="43">
        <f>IFERROR(VLOOKUP($A35,subQ,MATCH(H$1,SUBQH,0),0),"")</f>
        <v/>
      </c>
      <c r="I35" s="37">
        <f>IFERROR(VLOOKUP($A35,subQ,MATCH(I$1,SUBQH,0),0),"")</f>
        <v/>
      </c>
      <c r="J35" s="37">
        <f>IFERROR(VLOOKUP($A35,subQ,MATCH(J$1,SUBQH,0),0),"")</f>
        <v/>
      </c>
      <c r="K35" s="37">
        <f>IFERROR(VLOOKUP($A35,subQ,MATCH(K$1,SUBQH,0),0),"")</f>
        <v/>
      </c>
      <c r="L35" s="37">
        <f>IFERROR(VLOOKUP($A35,subQ,MATCH(L$1,SUBQH,0),0),"")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34">
        <f>IFERROR(VLOOKUP($A36,subQ,MATCH(E$1,SUBQH,0),0),"")</f>
        <v/>
      </c>
      <c r="F36" s="34">
        <f>IFERROR(VLOOKUP($A36,subQ,MATCH(F$1,SUBQH,0),0),"")</f>
        <v/>
      </c>
      <c r="G36" s="34">
        <f>IFERROR(VLOOKUP($A36,subQ,MATCH(G$1,SUBQH,0),0),"")</f>
        <v/>
      </c>
      <c r="H36" s="43">
        <f>IFERROR(VLOOKUP($A36,subQ,MATCH(H$1,SUBQH,0),0),"")</f>
        <v/>
      </c>
      <c r="I36" s="37">
        <f>IFERROR(VLOOKUP($A36,subQ,MATCH(I$1,SUBQH,0),0),"")</f>
        <v/>
      </c>
      <c r="J36" s="37">
        <f>IFERROR(VLOOKUP($A36,subQ,MATCH(J$1,SUBQH,0),0),"")</f>
        <v/>
      </c>
      <c r="K36" s="37">
        <f>IFERROR(VLOOKUP($A36,subQ,MATCH(K$1,SUBQH,0),0),"")</f>
        <v/>
      </c>
      <c r="L36" s="37">
        <f>IFERROR(VLOOKUP($A36,subQ,MATCH(L$1,SUBQH,0),0),"")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44">
        <f>IFERROR(VLOOKUP($A37,subQ,MATCH(H$1,SUBQH,0),0),"")</f>
        <v/>
      </c>
      <c r="I37" s="29">
        <f>IFERROR(VLOOKUP($A37,subQ,MATCH(I$1,SUBQH,0),0),"")</f>
        <v/>
      </c>
      <c r="J37" s="29">
        <f>IFERROR(VLOOKUP($A37,subQ,MATCH(J$1,SUBQH,0),0),"")</f>
        <v/>
      </c>
      <c r="K37" s="29">
        <f>IFERROR(VLOOKUP($A37,subQ,MATCH(K$1,SUBQH,0),0),"")</f>
        <v/>
      </c>
      <c r="L37" s="29">
        <f>IFERROR(VLOOKUP($A37,subQ,MATCH(L$1,SUBQH,0),0),"")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18">
        <f>IFERROR(F5/E5-1,"")</f>
        <v/>
      </c>
      <c r="G38" s="18">
        <f>IFERROR(G5/F5-1,"")</f>
        <v/>
      </c>
      <c r="H38" s="44">
        <f>IFERROR(H5/G5-1,"")</f>
        <v/>
      </c>
      <c r="I38" s="29">
        <f>IFERROR(I5/H5-1,"")</f>
        <v/>
      </c>
      <c r="J38" s="29">
        <f>IFERROR(J5/I5-1,"")</f>
        <v/>
      </c>
      <c r="K38" s="29">
        <f>IFERROR(K5/J5-1,"")</f>
        <v/>
      </c>
      <c r="L38" s="29">
        <f>IFERROR(L5/K5-1,"")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18">
        <f>IFERROR(F9/E9-1,"")</f>
        <v/>
      </c>
      <c r="G39" s="18">
        <f>IFERROR(G9/F9-1,"")</f>
        <v/>
      </c>
      <c r="H39" s="44">
        <f>IFERROR(H9/G9-1,"")</f>
        <v/>
      </c>
      <c r="I39" s="29">
        <f>IFERROR(I9/H9-1,"")</f>
        <v/>
      </c>
      <c r="J39" s="29">
        <f>IFERROR(J9/I9-1,"")</f>
        <v/>
      </c>
      <c r="K39" s="29">
        <f>IFERROR(K9/J9-1,"")</f>
        <v/>
      </c>
      <c r="L39" s="29">
        <f>IFERROR(L9/K9-1,"")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18">
        <f>IFERROR(F20/E20-1,"")</f>
        <v/>
      </c>
      <c r="G40" s="18">
        <f>IFERROR(G20/F20-1,"")</f>
        <v/>
      </c>
      <c r="H40" s="44">
        <f>IFERROR(H20/G20-1,"")</f>
        <v/>
      </c>
      <c r="I40" s="29">
        <f>IFERROR(I20/H20-1,"")</f>
        <v/>
      </c>
      <c r="J40" s="29">
        <f>IFERROR(J20/I20-1,"")</f>
        <v/>
      </c>
      <c r="K40" s="29">
        <f>IFERROR(K20/J20-1,"")</f>
        <v/>
      </c>
      <c r="L40" s="29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34">
        <f>변수!D38</f>
        <v/>
      </c>
    </row>
    <row r="2">
      <c r="B2" s="1" t="inlineStr">
        <is>
          <t>기준일</t>
        </is>
      </c>
      <c r="C2">
        <f>변수!D39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6" t="n">
        <v>2024</v>
      </c>
      <c r="E5" s="46" t="n">
        <v>2025</v>
      </c>
      <c r="F5" s="46" t="n">
        <v>2026</v>
      </c>
      <c r="G5" s="46" t="n">
        <v>2027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34">
        <f>IFERROR(VLOOKUP("EPS",subQ,MATCH(D$5,SUBQH,0),0),"")</f>
        <v/>
      </c>
      <c r="E7" s="34">
        <f>IFERROR(VLOOKUP("EPS",subQ,MATCH(E$5,SUBQH,0),0),"")</f>
        <v/>
      </c>
      <c r="F7" s="34">
        <f>IFERROR(VLOOKUP("EPS",subQ,MATCH(F$5,SUBQH,0),0),"")</f>
        <v/>
      </c>
      <c r="G7" s="34">
        <f>IFERROR(VLOOKUP("EPS",subQ,MATCH(G$5,SUBQH,0),0),"")</f>
        <v/>
      </c>
    </row>
    <row r="8">
      <c r="C8" t="inlineStr">
        <is>
          <t>BPS(원)</t>
        </is>
      </c>
      <c r="D8" s="34">
        <f>IFERROR(VLOOKUP("BPS",subQ,MATCH(D$5,SUBQH,0),0),"")</f>
        <v/>
      </c>
      <c r="E8" s="34">
        <f>IFERROR(VLOOKUP("BPS",subQ,MATCH(E$5,SUBQH,0),0),"")</f>
        <v/>
      </c>
      <c r="F8" s="34">
        <f>IFERROR(VLOOKUP("BPS",subQ,MATCH(F$5,SUBQH,0),0),"")</f>
        <v/>
      </c>
      <c r="G8" s="34">
        <f>IFERROR(VLOOKUP("BPS",subQ,MATCH(G$5,SUBQH,0),0),"")</f>
        <v/>
      </c>
    </row>
    <row r="9">
      <c r="C9" t="inlineStr">
        <is>
          <t>지배주주순이익(억원)</t>
        </is>
      </c>
      <c r="D9" s="34">
        <f>IFERROR(VLOOKUP("지배주주순이익",subQ,MATCH(D$5,SUBQH,0),0),"")</f>
        <v/>
      </c>
      <c r="E9" s="34">
        <f>IFERROR(VLOOKUP("지배주주순이익",subQ,MATCH(E$5,SUBQH,0),0),"")</f>
        <v/>
      </c>
      <c r="F9" s="34">
        <f>IFERROR(VLOOKUP("지배주주순이익",subQ,MATCH(F$5,SUBQH,0),0),"")</f>
        <v/>
      </c>
      <c r="G9" s="34">
        <f>IFERROR(VLOOKUP("지배주주순이익",subQ,MATCH(G$5,SUBQH,0),0),"")</f>
        <v/>
      </c>
    </row>
    <row r="10">
      <c r="C10" t="inlineStr">
        <is>
          <t>영업이익(억원)</t>
        </is>
      </c>
      <c r="D10" s="34">
        <f>IFERROR(VLOOKUP("영업이익",subQ,MATCH(D$5,SUBQH,0),0),"")</f>
        <v/>
      </c>
      <c r="E10" s="34">
        <f>IFERROR(VLOOKUP("영업이익",subQ,MATCH(E$5,SUBQH,0),0),"")</f>
        <v/>
      </c>
      <c r="F10" s="34">
        <f>IFERROR(VLOOKUP("영업이익",subQ,MATCH(F$5,SUBQH,0),0),"")</f>
        <v/>
      </c>
      <c r="G10" s="34">
        <f>IFERROR(VLOOKUP("영업이익",subQ,MATCH(G$5,SUBQH,0),0),"")</f>
        <v/>
      </c>
    </row>
    <row r="11">
      <c r="C11" t="inlineStr">
        <is>
          <t>ROE(EPS/기초BPS)</t>
        </is>
      </c>
      <c r="E11" s="18">
        <f>IFERROR(E7/D8,"")</f>
        <v/>
      </c>
      <c r="F11" s="18">
        <f>IFERROR(F7/E8,"")</f>
        <v/>
      </c>
      <c r="G11" s="18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34">
        <f>IFERROR(E7*변수!D44+F7*(1-변수!D44),"")</f>
        <v/>
      </c>
    </row>
    <row r="15">
      <c r="C15" t="inlineStr">
        <is>
          <t>적정가치 @PER_lo</t>
        </is>
      </c>
      <c r="D15" s="24">
        <f>변수!D41</f>
        <v/>
      </c>
      <c r="E15" s="34">
        <f>IFERROR(ROUND($D$14*D15,-2),"")</f>
        <v/>
      </c>
      <c r="F15" s="18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4">
        <f>변수!D42</f>
        <v/>
      </c>
      <c r="E16" s="34">
        <f>IFERROR(ROUND($D$14*D16,-2),"")</f>
        <v/>
      </c>
      <c r="F16" s="18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4">
        <f>변수!D43</f>
        <v/>
      </c>
      <c r="E17" s="34">
        <f>IFERROR(ROUND($D$14*D17,-2),"")</f>
        <v/>
      </c>
      <c r="F17" s="18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4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34">
        <f>IFERROR(VLOOKUP("BPS",subQ,MATCH("3Q25",SUBQH,0),0),"")</f>
        <v/>
      </c>
    </row>
    <row r="22">
      <c r="C22" t="inlineStr">
        <is>
          <t>ROE fwd(12M fwd EPS / BPS)</t>
        </is>
      </c>
      <c r="D22" s="18">
        <f>IFERROR($D$14/$D$21,"")</f>
        <v/>
      </c>
    </row>
    <row r="23">
      <c r="C23" t="inlineStr">
        <is>
          <t>COE</t>
        </is>
      </c>
      <c r="D23" s="18">
        <f>변수!D40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34">
        <f>IFERROR(ROUND(D21*D24,-2),"")</f>
        <v/>
      </c>
      <c r="E25" s="18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4176.8</v>
      </c>
    </row>
    <row r="30">
      <c r="C30" s="2" t="inlineStr">
        <is>
          <t>bps_latest</t>
        </is>
      </c>
      <c r="D30" t="n">
        <v>57756.3</v>
      </c>
    </row>
    <row r="31">
      <c r="C31" s="2" t="inlineStr">
        <is>
          <t>per_now</t>
        </is>
      </c>
    </row>
    <row r="32">
      <c r="C32" s="2" t="inlineStr">
        <is>
          <t>pbr_now</t>
        </is>
      </c>
    </row>
    <row r="33">
      <c r="C33" s="2" t="inlineStr">
        <is>
          <t>roe_fwd</t>
        </is>
      </c>
      <c r="D33" t="n">
        <v>0.0723</v>
      </c>
    </row>
    <row r="34">
      <c r="C34" s="2" t="inlineStr">
        <is>
          <t>fair_pbr</t>
        </is>
      </c>
      <c r="D34" t="n">
        <v>0.8</v>
      </c>
    </row>
    <row r="35">
      <c r="C35" s="2" t="inlineStr">
        <is>
          <t>fair_value_pbr</t>
        </is>
      </c>
      <c r="D35" t="n">
        <v>46200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47">
        <f>IFERROR(VLOOKUP($D5,환율,MATCH(U$1,변수H,0),0),"")</f>
        <v/>
      </c>
      <c r="V5" s="47">
        <f>IFERROR(VLOOKUP($D5,환율,MATCH(V$1,변수H,0),0),"")</f>
        <v/>
      </c>
      <c r="W5" s="47">
        <f>IFERROR(VLOOKUP($D5,환율,MATCH(W$1,변수H,0),0),"")</f>
        <v/>
      </c>
      <c r="X5" s="47">
        <f>IFERROR(VLOOKUP($D5,환율,MATCH(X$1,변수H,0),0),"")</f>
        <v/>
      </c>
      <c r="Y5" s="47">
        <f>IFERROR(VLOOKUP($D5,환율,MATCH(Y$1,변수H,0),0),"")</f>
        <v/>
      </c>
      <c r="Z5" s="47">
        <f>IFERROR(VLOOKUP($D5,환율,MATCH(Z$1,변수H,0),0),"")</f>
        <v/>
      </c>
      <c r="AA5" s="47">
        <f>IFERROR(VLOOKUP($D5,환율,MATCH(AA$1,변수H,0),0),"")</f>
        <v/>
      </c>
      <c r="AB5" s="47">
        <f>IFERROR(VLOOKUP($D5,환율,MATCH(AB$1,변수H,0),0),"")</f>
        <v/>
      </c>
      <c r="AC5" s="47">
        <f>IFERROR(VLOOKUP($D5,환율,MATCH(AC$1,변수H,0),0),"")</f>
        <v/>
      </c>
      <c r="AD5" s="47">
        <f>IFERROR(VLOOKUP($D5,환율,MATCH(AD$1,변수H,0),0),"")</f>
        <v/>
      </c>
      <c r="AE5" s="47">
        <f>IFERROR(VLOOKUP($D5,환율,MATCH(AE$1,변수H,0),0),"")</f>
        <v/>
      </c>
      <c r="AF5" s="47">
        <f>IFERROR(VLOOKUP($D5,환율,MATCH(AF$1,변수H,0),0),"")</f>
        <v/>
      </c>
      <c r="AG5" s="47">
        <f>IFERROR(VLOOKUP($D5,환율,MATCH(AG$1,변수H,0),0),"")</f>
        <v/>
      </c>
    </row>
    <row r="6">
      <c r="A6" s="12" t="inlineStr">
        <is>
          <t>원/달러(평균) QoQ</t>
        </is>
      </c>
      <c r="F6" s="18">
        <f>IFERROR(F5/E5-1,"")</f>
        <v/>
      </c>
      <c r="G6" s="18">
        <f>IFERROR(G5/F5-1,"")</f>
        <v/>
      </c>
      <c r="H6" s="18">
        <f>IFERROR(H5/G5-1,"")</f>
        <v/>
      </c>
      <c r="I6" s="18">
        <f>IFERROR(I5/H5-1,"")</f>
        <v/>
      </c>
      <c r="J6" s="18">
        <f>IFERROR(J5/I5-1,"")</f>
        <v/>
      </c>
      <c r="K6" s="18">
        <f>IFERROR(K5/J5-1,"")</f>
        <v/>
      </c>
      <c r="L6" s="18">
        <f>IFERROR(L5/K5-1,"")</f>
        <v/>
      </c>
      <c r="M6" s="18">
        <f>IFERROR(M5/L5-1,"")</f>
        <v/>
      </c>
      <c r="N6" s="18">
        <f>IFERROR(N5/M5-1,"")</f>
        <v/>
      </c>
      <c r="O6" s="18">
        <f>IFERROR(O5/N5-1,"")</f>
        <v/>
      </c>
      <c r="P6" s="18">
        <f>IFERROR(P5/O5-1,"")</f>
        <v/>
      </c>
      <c r="Q6" s="18">
        <f>IFERROR(Q5/P5-1,"")</f>
        <v/>
      </c>
      <c r="R6" s="18">
        <f>IFERROR(R5/Q5-1,"")</f>
        <v/>
      </c>
      <c r="S6" s="18">
        <f>IFERROR(S5/R5-1,"")</f>
        <v/>
      </c>
      <c r="T6" s="18">
        <f>IFERROR(T5/S5-1,"")</f>
        <v/>
      </c>
      <c r="U6" s="29">
        <f>IFERROR(U5/T5-1,"")</f>
        <v/>
      </c>
      <c r="V6" s="29">
        <f>IFERROR(V5/U5-1,"")</f>
        <v/>
      </c>
      <c r="W6" s="29">
        <f>IFERROR(W5/V5-1,"")</f>
        <v/>
      </c>
      <c r="X6" s="29">
        <f>IFERROR(X5/W5-1,"")</f>
        <v/>
      </c>
      <c r="Y6" s="29">
        <f>IFERROR(Y5/X5-1,"")</f>
        <v/>
      </c>
      <c r="Z6" s="29">
        <f>IFERROR(Z5/Y5-1,"")</f>
        <v/>
      </c>
      <c r="AA6" s="29">
        <f>IFERROR(AA5/Z5-1,"")</f>
        <v/>
      </c>
      <c r="AB6" s="29">
        <f>IFERROR(AB5/AA5-1,"")</f>
        <v/>
      </c>
      <c r="AC6" s="29">
        <f>IFERROR(AC5/AB5-1,"")</f>
        <v/>
      </c>
      <c r="AD6" s="29">
        <f>IFERROR(AD5/AC5-1,"")</f>
        <v/>
      </c>
      <c r="AE6" s="29">
        <f>IFERROR(AE5/AD5-1,"")</f>
        <v/>
      </c>
      <c r="AF6" s="29">
        <f>IFERROR(AF5/AE5-1,"")</f>
        <v/>
      </c>
      <c r="AG6" s="29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47">
        <f>IFERROR(VLOOKUP($D7,환율,MATCH(U$1,변수H,0),0),"")</f>
        <v/>
      </c>
      <c r="V7" s="47">
        <f>IFERROR(VLOOKUP($D7,환율,MATCH(V$1,변수H,0),0),"")</f>
        <v/>
      </c>
      <c r="W7" s="47">
        <f>IFERROR(VLOOKUP($D7,환율,MATCH(W$1,변수H,0),0),"")</f>
        <v/>
      </c>
      <c r="X7" s="47">
        <f>IFERROR(VLOOKUP($D7,환율,MATCH(X$1,변수H,0),0),"")</f>
        <v/>
      </c>
      <c r="Y7" s="47">
        <f>IFERROR(VLOOKUP($D7,환율,MATCH(Y$1,변수H,0),0),"")</f>
        <v/>
      </c>
      <c r="Z7" s="47">
        <f>IFERROR(VLOOKUP($D7,환율,MATCH(Z$1,변수H,0),0),"")</f>
        <v/>
      </c>
      <c r="AA7" s="47">
        <f>IFERROR(VLOOKUP($D7,환율,MATCH(AA$1,변수H,0),0),"")</f>
        <v/>
      </c>
      <c r="AB7" s="47">
        <f>IFERROR(VLOOKUP($D7,환율,MATCH(AB$1,변수H,0),0),"")</f>
        <v/>
      </c>
      <c r="AC7" s="47">
        <f>IFERROR(VLOOKUP($D7,환율,MATCH(AC$1,변수H,0),0),"")</f>
        <v/>
      </c>
      <c r="AD7" s="47">
        <f>IFERROR(VLOOKUP($D7,환율,MATCH(AD$1,변수H,0),0),"")</f>
        <v/>
      </c>
      <c r="AE7" s="47">
        <f>IFERROR(VLOOKUP($D7,환율,MATCH(AE$1,변수H,0),0),"")</f>
        <v/>
      </c>
      <c r="AF7" s="47">
        <f>IFERROR(VLOOKUP($D7,환율,MATCH(AF$1,변수H,0),0),"")</f>
        <v/>
      </c>
      <c r="AG7" s="47">
        <f>IFERROR(VLOOKUP($D7,환율,MATCH(AG$1,변수H,0),0),"")</f>
        <v/>
      </c>
    </row>
    <row r="8">
      <c r="A8" s="12" t="inlineStr">
        <is>
          <t>원/달러(기말) QoQ</t>
        </is>
      </c>
      <c r="F8" s="18">
        <f>IFERROR(F7/E7-1,"")</f>
        <v/>
      </c>
      <c r="G8" s="18">
        <f>IFERROR(G7/F7-1,"")</f>
        <v/>
      </c>
      <c r="H8" s="18">
        <f>IFERROR(H7/G7-1,"")</f>
        <v/>
      </c>
      <c r="I8" s="18">
        <f>IFERROR(I7/H7-1,"")</f>
        <v/>
      </c>
      <c r="J8" s="18">
        <f>IFERROR(J7/I7-1,"")</f>
        <v/>
      </c>
      <c r="K8" s="18">
        <f>IFERROR(K7/J7-1,"")</f>
        <v/>
      </c>
      <c r="L8" s="18">
        <f>IFERROR(L7/K7-1,"")</f>
        <v/>
      </c>
      <c r="M8" s="18">
        <f>IFERROR(M7/L7-1,"")</f>
        <v/>
      </c>
      <c r="N8" s="18">
        <f>IFERROR(N7/M7-1,"")</f>
        <v/>
      </c>
      <c r="O8" s="18">
        <f>IFERROR(O7/N7-1,"")</f>
        <v/>
      </c>
      <c r="P8" s="18">
        <f>IFERROR(P7/O7-1,"")</f>
        <v/>
      </c>
      <c r="Q8" s="18">
        <f>IFERROR(Q7/P7-1,"")</f>
        <v/>
      </c>
      <c r="R8" s="18">
        <f>IFERROR(R7/Q7-1,"")</f>
        <v/>
      </c>
      <c r="S8" s="18">
        <f>IFERROR(S7/R7-1,"")</f>
        <v/>
      </c>
      <c r="T8" s="18">
        <f>IFERROR(T7/S7-1,"")</f>
        <v/>
      </c>
      <c r="U8" s="29">
        <f>IFERROR(U7/T7-1,"")</f>
        <v/>
      </c>
      <c r="V8" s="29">
        <f>IFERROR(V7/U7-1,"")</f>
        <v/>
      </c>
      <c r="W8" s="29">
        <f>IFERROR(W7/V7-1,"")</f>
        <v/>
      </c>
      <c r="X8" s="29">
        <f>IFERROR(X7/W7-1,"")</f>
        <v/>
      </c>
      <c r="Y8" s="29">
        <f>IFERROR(Y7/X7-1,"")</f>
        <v/>
      </c>
      <c r="Z8" s="29">
        <f>IFERROR(Z7/Y7-1,"")</f>
        <v/>
      </c>
      <c r="AA8" s="29">
        <f>IFERROR(AA7/Z7-1,"")</f>
        <v/>
      </c>
      <c r="AB8" s="29">
        <f>IFERROR(AB7/AA7-1,"")</f>
        <v/>
      </c>
      <c r="AC8" s="29">
        <f>IFERROR(AC7/AB7-1,"")</f>
        <v/>
      </c>
      <c r="AD8" s="29">
        <f>IFERROR(AD7/AC7-1,"")</f>
        <v/>
      </c>
      <c r="AE8" s="29">
        <f>IFERROR(AE7/AD7-1,"")</f>
        <v/>
      </c>
      <c r="AF8" s="29">
        <f>IFERROR(AF7/AE7-1,"")</f>
        <v/>
      </c>
      <c r="AG8" s="29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47">
        <f>IFERROR(VLOOKUP($D9,환율,MATCH(U$1,변수H,0),0),"")</f>
        <v/>
      </c>
      <c r="V9" s="47">
        <f>IFERROR(VLOOKUP($D9,환율,MATCH(V$1,변수H,0),0),"")</f>
        <v/>
      </c>
      <c r="W9" s="47">
        <f>IFERROR(VLOOKUP($D9,환율,MATCH(W$1,변수H,0),0),"")</f>
        <v/>
      </c>
      <c r="X9" s="47">
        <f>IFERROR(VLOOKUP($D9,환율,MATCH(X$1,변수H,0),0),"")</f>
        <v/>
      </c>
      <c r="Y9" s="47">
        <f>IFERROR(VLOOKUP($D9,환율,MATCH(Y$1,변수H,0),0),"")</f>
        <v/>
      </c>
      <c r="Z9" s="47">
        <f>IFERROR(VLOOKUP($D9,환율,MATCH(Z$1,변수H,0),0),"")</f>
        <v/>
      </c>
      <c r="AA9" s="47">
        <f>IFERROR(VLOOKUP($D9,환율,MATCH(AA$1,변수H,0),0),"")</f>
        <v/>
      </c>
      <c r="AB9" s="47">
        <f>IFERROR(VLOOKUP($D9,환율,MATCH(AB$1,변수H,0),0),"")</f>
        <v/>
      </c>
      <c r="AC9" s="47">
        <f>IFERROR(VLOOKUP($D9,환율,MATCH(AC$1,변수H,0),0),"")</f>
        <v/>
      </c>
      <c r="AD9" s="47">
        <f>IFERROR(VLOOKUP($D9,환율,MATCH(AD$1,변수H,0),0),"")</f>
        <v/>
      </c>
      <c r="AE9" s="47">
        <f>IFERROR(VLOOKUP($D9,환율,MATCH(AE$1,변수H,0),0),"")</f>
        <v/>
      </c>
      <c r="AF9" s="47">
        <f>IFERROR(VLOOKUP($D9,환율,MATCH(AF$1,변수H,0),0),"")</f>
        <v/>
      </c>
      <c r="AG9" s="47">
        <f>IFERROR(VLOOKUP($D9,환율,MATCH(AG$1,변수H,0),0),"")</f>
        <v/>
      </c>
    </row>
    <row r="10">
      <c r="A10" s="12" t="inlineStr">
        <is>
          <t>W/Euro(평균) QoQ</t>
        </is>
      </c>
      <c r="F10" s="18">
        <f>IFERROR(F9/E9-1,"")</f>
        <v/>
      </c>
      <c r="G10" s="18">
        <f>IFERROR(G9/F9-1,"")</f>
        <v/>
      </c>
      <c r="H10" s="18">
        <f>IFERROR(H9/G9-1,"")</f>
        <v/>
      </c>
      <c r="I10" s="18">
        <f>IFERROR(I9/H9-1,"")</f>
        <v/>
      </c>
      <c r="J10" s="18">
        <f>IFERROR(J9/I9-1,"")</f>
        <v/>
      </c>
      <c r="K10" s="18">
        <f>IFERROR(K9/J9-1,"")</f>
        <v/>
      </c>
      <c r="L10" s="18">
        <f>IFERROR(L9/K9-1,"")</f>
        <v/>
      </c>
      <c r="M10" s="18">
        <f>IFERROR(M9/L9-1,"")</f>
        <v/>
      </c>
      <c r="N10" s="18">
        <f>IFERROR(N9/M9-1,"")</f>
        <v/>
      </c>
      <c r="O10" s="18">
        <f>IFERROR(O9/N9-1,"")</f>
        <v/>
      </c>
      <c r="P10" s="18">
        <f>IFERROR(P9/O9-1,"")</f>
        <v/>
      </c>
      <c r="Q10" s="18">
        <f>IFERROR(Q9/P9-1,"")</f>
        <v/>
      </c>
      <c r="R10" s="18">
        <f>IFERROR(R9/Q9-1,"")</f>
        <v/>
      </c>
      <c r="S10" s="18">
        <f>IFERROR(S9/R9-1,"")</f>
        <v/>
      </c>
      <c r="T10" s="18">
        <f>IFERROR(T9/S9-1,"")</f>
        <v/>
      </c>
      <c r="U10" s="29">
        <f>IFERROR(U9/T9-1,"")</f>
        <v/>
      </c>
      <c r="V10" s="29">
        <f>IFERROR(V9/U9-1,"")</f>
        <v/>
      </c>
      <c r="W10" s="29">
        <f>IFERROR(W9/V9-1,"")</f>
        <v/>
      </c>
      <c r="X10" s="29">
        <f>IFERROR(X9/W9-1,"")</f>
        <v/>
      </c>
      <c r="Y10" s="29">
        <f>IFERROR(Y9/X9-1,"")</f>
        <v/>
      </c>
      <c r="Z10" s="29">
        <f>IFERROR(Z9/Y9-1,"")</f>
        <v/>
      </c>
      <c r="AA10" s="29">
        <f>IFERROR(AA9/Z9-1,"")</f>
        <v/>
      </c>
      <c r="AB10" s="29">
        <f>IFERROR(AB9/AA9-1,"")</f>
        <v/>
      </c>
      <c r="AC10" s="29">
        <f>IFERROR(AC9/AB9-1,"")</f>
        <v/>
      </c>
      <c r="AD10" s="29">
        <f>IFERROR(AD9/AC9-1,"")</f>
        <v/>
      </c>
      <c r="AE10" s="29">
        <f>IFERROR(AE9/AD9-1,"")</f>
        <v/>
      </c>
      <c r="AF10" s="29">
        <f>IFERROR(AF9/AE9-1,"")</f>
        <v/>
      </c>
      <c r="AG10" s="29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47">
        <f>IFERROR(VLOOKUP($D11,환율,MATCH(U$1,변수H,0),0),"")</f>
        <v/>
      </c>
      <c r="V11" s="47">
        <f>IFERROR(VLOOKUP($D11,환율,MATCH(V$1,변수H,0),0),"")</f>
        <v/>
      </c>
      <c r="W11" s="47">
        <f>IFERROR(VLOOKUP($D11,환율,MATCH(W$1,변수H,0),0),"")</f>
        <v/>
      </c>
      <c r="X11" s="47">
        <f>IFERROR(VLOOKUP($D11,환율,MATCH(X$1,변수H,0),0),"")</f>
        <v/>
      </c>
      <c r="Y11" s="47">
        <f>IFERROR(VLOOKUP($D11,환율,MATCH(Y$1,변수H,0),0),"")</f>
        <v/>
      </c>
      <c r="Z11" s="47">
        <f>IFERROR(VLOOKUP($D11,환율,MATCH(Z$1,변수H,0),0),"")</f>
        <v/>
      </c>
      <c r="AA11" s="47">
        <f>IFERROR(VLOOKUP($D11,환율,MATCH(AA$1,변수H,0),0),"")</f>
        <v/>
      </c>
      <c r="AB11" s="47">
        <f>IFERROR(VLOOKUP($D11,환율,MATCH(AB$1,변수H,0),0),"")</f>
        <v/>
      </c>
      <c r="AC11" s="47">
        <f>IFERROR(VLOOKUP($D11,환율,MATCH(AC$1,변수H,0),0),"")</f>
        <v/>
      </c>
      <c r="AD11" s="47">
        <f>IFERROR(VLOOKUP($D11,환율,MATCH(AD$1,변수H,0),0),"")</f>
        <v/>
      </c>
      <c r="AE11" s="47">
        <f>IFERROR(VLOOKUP($D11,환율,MATCH(AE$1,변수H,0),0),"")</f>
        <v/>
      </c>
      <c r="AF11" s="47">
        <f>IFERROR(VLOOKUP($D11,환율,MATCH(AF$1,변수H,0),0),"")</f>
        <v/>
      </c>
      <c r="AG11" s="47">
        <f>IFERROR(VLOOKUP($D11,환율,MATCH(AG$1,변수H,0),0),"")</f>
        <v/>
      </c>
    </row>
    <row r="12">
      <c r="A12" s="12" t="inlineStr">
        <is>
          <t>W/Euro(기말) QoQ</t>
        </is>
      </c>
      <c r="F12" s="18">
        <f>IFERROR(F11/E11-1,"")</f>
        <v/>
      </c>
      <c r="G12" s="18">
        <f>IFERROR(G11/F11-1,"")</f>
        <v/>
      </c>
      <c r="H12" s="18">
        <f>IFERROR(H11/G11-1,"")</f>
        <v/>
      </c>
      <c r="I12" s="18">
        <f>IFERROR(I11/H11-1,"")</f>
        <v/>
      </c>
      <c r="J12" s="18">
        <f>IFERROR(J11/I11-1,"")</f>
        <v/>
      </c>
      <c r="K12" s="18">
        <f>IFERROR(K11/J11-1,"")</f>
        <v/>
      </c>
      <c r="L12" s="18">
        <f>IFERROR(L11/K11-1,"")</f>
        <v/>
      </c>
      <c r="M12" s="18">
        <f>IFERROR(M11/L11-1,"")</f>
        <v/>
      </c>
      <c r="N12" s="18">
        <f>IFERROR(N11/M11-1,"")</f>
        <v/>
      </c>
      <c r="O12" s="18">
        <f>IFERROR(O11/N11-1,"")</f>
        <v/>
      </c>
      <c r="P12" s="18">
        <f>IFERROR(P11/O11-1,"")</f>
        <v/>
      </c>
      <c r="Q12" s="18">
        <f>IFERROR(Q11/P11-1,"")</f>
        <v/>
      </c>
      <c r="R12" s="18">
        <f>IFERROR(R11/Q11-1,"")</f>
        <v/>
      </c>
      <c r="S12" s="18">
        <f>IFERROR(S11/R11-1,"")</f>
        <v/>
      </c>
      <c r="T12" s="18">
        <f>IFERROR(T11/S11-1,"")</f>
        <v/>
      </c>
      <c r="U12" s="29">
        <f>IFERROR(U11/T11-1,"")</f>
        <v/>
      </c>
      <c r="V12" s="29">
        <f>IFERROR(V11/U11-1,"")</f>
        <v/>
      </c>
      <c r="W12" s="29">
        <f>IFERROR(W11/V11-1,"")</f>
        <v/>
      </c>
      <c r="X12" s="29">
        <f>IFERROR(X11/W11-1,"")</f>
        <v/>
      </c>
      <c r="Y12" s="29">
        <f>IFERROR(Y11/X11-1,"")</f>
        <v/>
      </c>
      <c r="Z12" s="29">
        <f>IFERROR(Z11/Y11-1,"")</f>
        <v/>
      </c>
      <c r="AA12" s="29">
        <f>IFERROR(AA11/Z11-1,"")</f>
        <v/>
      </c>
      <c r="AB12" s="29">
        <f>IFERROR(AB11/AA11-1,"")</f>
        <v/>
      </c>
      <c r="AC12" s="29">
        <f>IFERROR(AC11/AB11-1,"")</f>
        <v/>
      </c>
      <c r="AD12" s="29">
        <f>IFERROR(AD11/AC11-1,"")</f>
        <v/>
      </c>
      <c r="AE12" s="29">
        <f>IFERROR(AE11/AD11-1,"")</f>
        <v/>
      </c>
      <c r="AF12" s="29">
        <f>IFERROR(AF11/AE11-1,"")</f>
        <v/>
      </c>
      <c r="AG12" s="29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47">
        <f>IFERROR(VLOOKUP($D13,환율,MATCH(U$1,변수H,0),0),"")</f>
        <v/>
      </c>
      <c r="V13" s="47">
        <f>IFERROR(VLOOKUP($D13,환율,MATCH(V$1,변수H,0),0),"")</f>
        <v/>
      </c>
      <c r="W13" s="47">
        <f>IFERROR(VLOOKUP($D13,환율,MATCH(W$1,변수H,0),0),"")</f>
        <v/>
      </c>
      <c r="X13" s="47">
        <f>IFERROR(VLOOKUP($D13,환율,MATCH(X$1,변수H,0),0),"")</f>
        <v/>
      </c>
      <c r="Y13" s="47">
        <f>IFERROR(VLOOKUP($D13,환율,MATCH(Y$1,변수H,0),0),"")</f>
        <v/>
      </c>
      <c r="Z13" s="47">
        <f>IFERROR(VLOOKUP($D13,환율,MATCH(Z$1,변수H,0),0),"")</f>
        <v/>
      </c>
      <c r="AA13" s="47">
        <f>IFERROR(VLOOKUP($D13,환율,MATCH(AA$1,변수H,0),0),"")</f>
        <v/>
      </c>
      <c r="AB13" s="47">
        <f>IFERROR(VLOOKUP($D13,환율,MATCH(AB$1,변수H,0),0),"")</f>
        <v/>
      </c>
      <c r="AC13" s="47">
        <f>IFERROR(VLOOKUP($D13,환율,MATCH(AC$1,변수H,0),0),"")</f>
        <v/>
      </c>
      <c r="AD13" s="47">
        <f>IFERROR(VLOOKUP($D13,환율,MATCH(AD$1,변수H,0),0),"")</f>
        <v/>
      </c>
      <c r="AE13" s="47">
        <f>IFERROR(VLOOKUP($D13,환율,MATCH(AE$1,변수H,0),0),"")</f>
        <v/>
      </c>
      <c r="AF13" s="47">
        <f>IFERROR(VLOOKUP($D13,환율,MATCH(AF$1,변수H,0),0),"")</f>
        <v/>
      </c>
      <c r="AG13" s="47">
        <f>IFERROR(VLOOKUP($D13,환율,MATCH(AG$1,변수H,0),0),"")</f>
        <v/>
      </c>
    </row>
    <row r="14">
      <c r="A14" s="12" t="inlineStr">
        <is>
          <t>원/100Y(기말) QoQ</t>
        </is>
      </c>
      <c r="F14" s="18">
        <f>IFERROR(F13/E13-1,"")</f>
        <v/>
      </c>
      <c r="G14" s="18">
        <f>IFERROR(G13/F13-1,"")</f>
        <v/>
      </c>
      <c r="H14" s="18">
        <f>IFERROR(H13/G13-1,"")</f>
        <v/>
      </c>
      <c r="I14" s="18">
        <f>IFERROR(I13/H13-1,"")</f>
        <v/>
      </c>
      <c r="J14" s="18">
        <f>IFERROR(J13/I13-1,"")</f>
        <v/>
      </c>
      <c r="K14" s="18">
        <f>IFERROR(K13/J13-1,"")</f>
        <v/>
      </c>
      <c r="L14" s="18">
        <f>IFERROR(L13/K13-1,"")</f>
        <v/>
      </c>
      <c r="M14" s="18">
        <f>IFERROR(M13/L13-1,"")</f>
        <v/>
      </c>
      <c r="N14" s="18">
        <f>IFERROR(N13/M13-1,"")</f>
        <v/>
      </c>
      <c r="O14" s="18">
        <f>IFERROR(O13/N13-1,"")</f>
        <v/>
      </c>
      <c r="P14" s="18">
        <f>IFERROR(P13/O13-1,"")</f>
        <v/>
      </c>
      <c r="Q14" s="18">
        <f>IFERROR(Q13/P13-1,"")</f>
        <v/>
      </c>
      <c r="R14" s="18">
        <f>IFERROR(R13/Q13-1,"")</f>
        <v/>
      </c>
      <c r="S14" s="18">
        <f>IFERROR(S13/R13-1,"")</f>
        <v/>
      </c>
      <c r="T14" s="18">
        <f>IFERROR(T13/S13-1,"")</f>
        <v/>
      </c>
      <c r="U14" s="29">
        <f>IFERROR(U13/T13-1,"")</f>
        <v/>
      </c>
      <c r="V14" s="29">
        <f>IFERROR(V13/U13-1,"")</f>
        <v/>
      </c>
      <c r="W14" s="29">
        <f>IFERROR(W13/V13-1,"")</f>
        <v/>
      </c>
      <c r="X14" s="29">
        <f>IFERROR(X13/W13-1,"")</f>
        <v/>
      </c>
      <c r="Y14" s="29">
        <f>IFERROR(Y13/X13-1,"")</f>
        <v/>
      </c>
      <c r="Z14" s="29">
        <f>IFERROR(Z13/Y13-1,"")</f>
        <v/>
      </c>
      <c r="AA14" s="29">
        <f>IFERROR(AA13/Z13-1,"")</f>
        <v/>
      </c>
      <c r="AB14" s="29">
        <f>IFERROR(AB13/AA13-1,"")</f>
        <v/>
      </c>
      <c r="AC14" s="29">
        <f>IFERROR(AC13/AB13-1,"")</f>
        <v/>
      </c>
      <c r="AD14" s="29">
        <f>IFERROR(AD13/AC13-1,"")</f>
        <v/>
      </c>
      <c r="AE14" s="29">
        <f>IFERROR(AE13/AD13-1,"")</f>
        <v/>
      </c>
      <c r="AF14" s="29">
        <f>IFERROR(AF13/AE13-1,"")</f>
        <v/>
      </c>
      <c r="AG14" s="29">
        <f>IFERROR(AG13/AF13-1,"")</f>
        <v/>
      </c>
    </row>
    <row r="15"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4">
        <f>변수!D51</f>
        <v/>
      </c>
      <c r="E16" s="2" t="inlineStr">
        <is>
          <t>외화 순노출 × Δ기말환율 (외화 시트 방식)</t>
        </is>
      </c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34">
        <f>IFERROR($D$16*(F7-E7)/100,"")</f>
        <v/>
      </c>
      <c r="G17" s="34">
        <f>IFERROR($D$16*(G7-F7)/100,"")</f>
        <v/>
      </c>
      <c r="H17" s="34">
        <f>IFERROR($D$16*(H7-G7)/100,"")</f>
        <v/>
      </c>
      <c r="I17" s="34">
        <f>IFERROR($D$16*(I7-H7)/100,"")</f>
        <v/>
      </c>
      <c r="J17" s="34">
        <f>IFERROR($D$16*(J7-I7)/100,"")</f>
        <v/>
      </c>
      <c r="K17" s="34">
        <f>IFERROR($D$16*(K7-J7)/100,"")</f>
        <v/>
      </c>
      <c r="L17" s="34">
        <f>IFERROR($D$16*(L7-K7)/100,"")</f>
        <v/>
      </c>
      <c r="M17" s="34">
        <f>IFERROR($D$16*(M7-L7)/100,"")</f>
        <v/>
      </c>
      <c r="N17" s="34">
        <f>IFERROR($D$16*(N7-M7)/100,"")</f>
        <v/>
      </c>
      <c r="O17" s="34">
        <f>IFERROR($D$16*(O7-N7)/100,"")</f>
        <v/>
      </c>
      <c r="P17" s="34">
        <f>IFERROR($D$16*(P7-O7)/100,"")</f>
        <v/>
      </c>
      <c r="Q17" s="34">
        <f>IFERROR($D$16*(Q7-P7)/100,"")</f>
        <v/>
      </c>
      <c r="R17" s="34">
        <f>IFERROR($D$16*(R7-Q7)/100,"")</f>
        <v/>
      </c>
      <c r="S17" s="34">
        <f>IFERROR($D$16*(S7-R7)/100,"")</f>
        <v/>
      </c>
      <c r="T17" s="34">
        <f>IFERROR($D$16*(T7-S7)/100,"")</f>
        <v/>
      </c>
      <c r="U17" s="37">
        <f>IFERROR($D$16*(U7-T7)/100,"")</f>
        <v/>
      </c>
      <c r="V17" s="37">
        <f>IFERROR($D$16*(V7-U7)/100,"")</f>
        <v/>
      </c>
      <c r="W17" s="37">
        <f>IFERROR($D$16*(W7-V7)/100,"")</f>
        <v/>
      </c>
      <c r="X17" s="37">
        <f>IFERROR($D$16*(X7-W7)/100,"")</f>
        <v/>
      </c>
      <c r="Y17" s="37">
        <f>IFERROR($D$16*(Y7-X7)/100,"")</f>
        <v/>
      </c>
      <c r="Z17" s="37">
        <f>IFERROR($D$16*(Z7-Y7)/100,"")</f>
        <v/>
      </c>
      <c r="AA17" s="37">
        <f>IFERROR($D$16*(AA7-Z7)/100,"")</f>
        <v/>
      </c>
      <c r="AB17" s="37">
        <f>IFERROR($D$16*(AB7-AA7)/100,"")</f>
        <v/>
      </c>
      <c r="AC17" s="37">
        <f>IFERROR($D$16*(AC7-AB7)/100,"")</f>
        <v/>
      </c>
      <c r="AD17" s="37">
        <f>IFERROR($D$16*(AD7-AC7)/100,"")</f>
        <v/>
      </c>
      <c r="AE17" s="37">
        <f>IFERROR($D$16*(AE7-AD7)/100,"")</f>
        <v/>
      </c>
      <c r="AF17" s="37">
        <f>IFERROR($D$16*(AF7-AE7)/100,"")</f>
        <v/>
      </c>
      <c r="AG17" s="37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