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v / 전년동기 − 1
= EPS(추정 구간은 일회성 미가정)</t>
      </text>
    </comment>
    <comment ref="AF39" authorId="0" shapeId="0">
      <text>
        <t>모델값 역산(implied): v / 전년동기 − 1
= EPS(추정 구간은 일회성 미가정)</t>
      </text>
    </comment>
    <comment ref="AG39" authorId="0" shapeId="0">
      <text>
        <t>모델값 역산(implied): v / 전년동기 − 1
= EPS(추정 구간은 일회성 미가정)</t>
      </text>
    </comment>
    <comment ref="AH39" authorId="0" shapeId="0">
      <text>
        <t>모델값 역산(implied): v / 전년동기 − 1
= EPS(추정 구간은 일회성 미가정)</t>
      </text>
    </comment>
    <comment ref="AI39" authorId="0" shapeId="0">
      <text>
        <t>모델값 역산(implied): v / 전년동기 − 1
= EPS(추정 구간은 일회성 미가정)</t>
      </text>
    </comment>
    <comment ref="AK39" authorId="0" shapeId="0">
      <text>
        <t>모델값 역산(implied): v / 전년동기 − 1
= EPS(추정 구간은 일회성 미가정)</t>
      </text>
    </comment>
    <comment ref="AL39" authorId="0" shapeId="0">
      <text>
        <t>모델값 역산(implied): v / 전년동기 − 1
= EPS(추정 구간은 일회성 미가정)</t>
      </text>
    </comment>
    <comment ref="AM39" authorId="0" shapeId="0">
      <text>
        <t>모델값 역산(implied): v / 전년동기 − 1
= EPS(추정 구간은 일회성 미가정)</t>
      </text>
    </comment>
    <comment ref="AN39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38억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48억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D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F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G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H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I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K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L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M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N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E32" authorId="0" shapeId="0">
      <text>
        <t>실측(계정 매핑 없음(파생·부문·시세 행) — 모델값 직접) — = EPS(일회성 의심 없음)</t>
      </text>
    </comment>
    <comment ref="G32" authorId="0" shapeId="0">
      <text>
        <t>실측(계정 매핑 없음(파생·부문·시세 행) — 모델값 직접) — = EPS(일회성 의심 없음)</t>
      </text>
    </comment>
    <comment ref="H32" authorId="0" shapeId="0">
      <text>
        <t>실측(계정 매핑 없음(파생·부문·시세 행) — 모델값 직접) — = EPS(일회성 의심 없음)</t>
      </text>
    </comment>
    <comment ref="I32" authorId="0" shapeId="0">
      <text>
        <t>실측(계정 매핑 없음(파생·부문·시세 행) — 모델값 직접) — = EPS(일회성 의심 없음)</t>
      </text>
    </comment>
    <comment ref="J32" authorId="0" shapeId="0">
      <text>
        <t>실측(계정 매핑 없음(파생·부문·시세 행) — 모델값 직접) — = EPS(일회성 의심 없음)</t>
      </text>
    </comment>
    <comment ref="L32" authorId="0" shapeId="0">
      <text>
        <t>실측(계정 매핑 없음(파생·부문·시세 행) — 모델값 직접) — = EPS(일회성 의심 없음)</t>
      </text>
    </comment>
    <comment ref="M32" authorId="0" shapeId="0">
      <text>
        <t>실측(계정 매핑 없음(파생·부문·시세 행) — 모델값 직접) — = EPS(일회성 의심 없음)</t>
      </text>
    </comment>
    <comment ref="N32" authorId="0" shapeId="0">
      <text>
        <t>실측(계정 매핑 없음(파생·부문·시세 행) — 모델값 직접) — = EPS(일회성 의심 없음)</t>
      </text>
    </comment>
    <comment ref="O32" authorId="0" shapeId="0">
      <text>
        <t>실측(계정 매핑 없음(파생·부문·시세 행) — 모델값 직접) — = EPS(일회성 의심 없음)</t>
      </text>
    </comment>
    <comment ref="Q32" authorId="0" shapeId="0">
      <text>
        <t>실측(계정 매핑 없음(파생·부문·시세 행) — 모델값 직접) — = EPS(일회성 의심 없음)</t>
      </text>
    </comment>
    <comment ref="R32" authorId="0" shapeId="0">
      <text>
        <t>실측(계정 매핑 없음(파생·부문·시세 행) — 모델값 직접) — = EPS(일회성 의심 없음)</t>
      </text>
    </comment>
    <comment ref="S32" authorId="0" shapeId="0">
      <text>
        <t>실측(계정 매핑 없음(파생·부문·시세 행) — 모델값 직접) — = EPS(일회성 의심 없음)</t>
      </text>
    </comment>
    <comment ref="T32" authorId="0" shapeId="0">
      <text>
        <t>실측(계정 매핑 없음(파생·부문·시세 행) — 모델값 직접) — = EPS(일회성 의심 없음)</t>
      </text>
    </comment>
    <comment ref="V32" authorId="0" shapeId="0">
      <text>
        <t>실측(계정 매핑 없음(파생·부문·시세 행) — 모델값 직접) — = EPS(일회성 의심 없음)</t>
      </text>
    </comment>
    <comment ref="W32" authorId="0" shapeId="0">
      <text>
        <t>실측(계정 매핑 없음(파생·부문·시세 행) — 모델값 직접) — = EPS(일회성 의심 없음)</t>
      </text>
    </comment>
    <comment ref="X32" authorId="0" shapeId="0">
      <text>
        <t>실측(계정 매핑 없음(파생·부문·시세 행) — 모델값 직접) — = EPS(일회성 의심 없음)</t>
      </text>
    </comment>
    <comment ref="Y32" authorId="0" shapeId="0">
      <text>
        <t>추정(실적 구간 갭필): 지배NI -2억 − (비영업손익 -7억 − 12분기 기준선 1억) × (1 − 22.0%, 모델 세율(분기 유효세율이 0~35% 밖·세전 ≤ 0)) × 지배 비중 1.00(그 분기 지배NI/NI) = 4억 ÷ 유통주식수 — 일회성 여부·세효과는 주석 미확인(모델 추정); 보고 EPS -30.0원</t>
      </text>
    </comment>
    <comment ref="AA32" authorId="0" shapeId="0">
      <text>
        <t>실측(계정 매핑 없음(파생·부문·시세 행) — 모델값 직접) — = EPS(일회성 의심 없음)</t>
      </text>
    </comment>
    <comment ref="AB32" authorId="0" shapeId="0">
      <text>
        <t>실측(계정 매핑 없음(파생·부문·시세 행) — 모델값 직접) — = EPS(일회성 의심 없음)</t>
      </text>
    </comment>
    <comment ref="AC32" authorId="0" shapeId="0">
      <text>
        <t>추정: = EPS(추정 구간은 일회성 미가정)
[yoy]</t>
      </text>
    </comment>
    <comment ref="AD32" authorId="0" shapeId="0">
      <text>
        <t>추정: = EPS(추정 구간은 일회성 미가정)
[yoy]</t>
      </text>
    </comment>
    <comment ref="AF32" authorId="0" shapeId="0">
      <text>
        <t>추정: = EPS(추정 구간은 일회성 미가정)
[yoy]</t>
      </text>
    </comment>
    <comment ref="AG32" authorId="0" shapeId="0">
      <text>
        <t>추정: = EPS(추정 구간은 일회성 미가정)
[yoy]</t>
      </text>
    </comment>
    <comment ref="AH32" authorId="0" shapeId="0">
      <text>
        <t>추정: = EPS(추정 구간은 일회성 미가정)
[yoy]</t>
      </text>
    </comment>
    <comment ref="AI32" authorId="0" shapeId="0">
      <text>
        <t>추정: = EPS(추정 구간은 일회성 미가정)
[yoy]</t>
      </text>
    </comment>
    <comment ref="AK32" authorId="0" shapeId="0">
      <text>
        <t>추정: = EPS(추정 구간은 일회성 미가정)
[yoy]</t>
      </text>
    </comment>
    <comment ref="AL32" authorId="0" shapeId="0">
      <text>
        <t>추정: = EPS(추정 구간은 일회성 미가정)
[yoy]</t>
      </text>
    </comment>
    <comment ref="AM32" authorId="0" shapeId="0">
      <text>
        <t>추정: = EPS(추정 구간은 일회성 미가정)
[yoy]</t>
      </text>
    </comment>
    <comment ref="AN32" authorId="0" shapeId="0">
      <text>
        <t>추정: = EPS(추정 구간은 일회성 미가정)
[yoy]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-27.3% 가 5~27% 밖; 세전 &gt; 0 분기 중위 -35.1% 도 5~27% 밖 → 법정세율 근사 22% 가정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1.61% / 부채 1.17%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50.6원(보고 -30.0원; 초과 비영업손익 -7억 × (1 − 세율 22.0%) × 지배 비중 1.00 = -6억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1402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1422.5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-0.001084398</v>
      </c>
      <c r="AD30" s="30" t="n">
        <v>0.011542335</v>
      </c>
      <c r="AE30" s="31" t="n"/>
      <c r="AF30" s="30" t="n">
        <v>-0.009935497</v>
      </c>
      <c r="AG30" s="30" t="n">
        <v>0.003814284</v>
      </c>
      <c r="AH30" s="30" t="n">
        <v>0.003526412</v>
      </c>
      <c r="AI30" s="30" t="n">
        <v>-0.008458134000000001</v>
      </c>
      <c r="AJ30" s="31" t="n"/>
      <c r="AK30" s="30" t="n">
        <v>0.00789516</v>
      </c>
      <c r="AL30" s="30" t="n">
        <v>-0.006154794</v>
      </c>
      <c r="AM30" s="30" t="n">
        <v>0.006988009</v>
      </c>
      <c r="AN30" s="30" t="n">
        <v>0.005066322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-0.001084398</v>
      </c>
      <c r="AD31" s="30" t="n">
        <v>0.011542335</v>
      </c>
      <c r="AE31" s="31" t="n"/>
      <c r="AF31" s="30" t="n">
        <v>-0.009935497</v>
      </c>
      <c r="AG31" s="30" t="n">
        <v>0.003814284</v>
      </c>
      <c r="AH31" s="30" t="n">
        <v>0.003526412</v>
      </c>
      <c r="AI31" s="30" t="n">
        <v>-0.008458134000000001</v>
      </c>
      <c r="AJ31" s="31" t="n"/>
      <c r="AK31" s="30" t="n">
        <v>0.00789516</v>
      </c>
      <c r="AL31" s="30" t="n">
        <v>-0.006154794</v>
      </c>
      <c r="AM31" s="30" t="n">
        <v>0.006988009</v>
      </c>
      <c r="AN31" s="30" t="n">
        <v>0.005066322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-0.019440122</v>
      </c>
      <c r="AD33" s="24" t="n">
        <v>-0.021640664</v>
      </c>
      <c r="AE33" s="25" t="n"/>
      <c r="AF33" s="24" t="n">
        <v>-0.020061728</v>
      </c>
      <c r="AG33" s="24" t="n">
        <v>-0.023097113</v>
      </c>
      <c r="AH33" s="24" t="n">
        <v>-0.02113559</v>
      </c>
      <c r="AI33" s="24" t="n">
        <v>-0.023696249</v>
      </c>
      <c r="AJ33" s="25" t="n"/>
      <c r="AK33" s="24" t="n">
        <v>-0.021928592</v>
      </c>
      <c r="AL33" s="24" t="n">
        <v>-0.025390438</v>
      </c>
      <c r="AM33" s="24" t="n">
        <v>-0.023397562</v>
      </c>
      <c r="AN33" s="24" t="n">
        <v>-0.02617274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0.07669942</v>
      </c>
      <c r="AD34" s="24" t="n">
        <v>0.07775768500000001</v>
      </c>
      <c r="AE34" s="25" t="n"/>
      <c r="AF34" s="24" t="n">
        <v>0.06543624200000001</v>
      </c>
      <c r="AG34" s="24" t="n">
        <v>0.06929133899999999</v>
      </c>
      <c r="AH34" s="24" t="n">
        <v>0.057928326</v>
      </c>
      <c r="AI34" s="24" t="n">
        <v>0.060092807</v>
      </c>
      <c r="AJ34" s="25" t="n"/>
      <c r="AK34" s="24" t="n">
        <v>0.051214708</v>
      </c>
      <c r="AL34" s="24" t="n">
        <v>0.05517385</v>
      </c>
      <c r="AM34" s="24" t="n">
        <v>0.046961326</v>
      </c>
      <c r="AN34" s="24" t="n">
        <v>0.049001131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drv:조정EPS</t>
        </is>
      </c>
      <c r="B39" s="2" t="inlineStr">
        <is>
          <t>yoy</t>
        </is>
      </c>
      <c r="C39" t="inlineStr">
        <is>
          <t>조정EPS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-0.7431480029999999</v>
      </c>
      <c r="AD39" s="24" t="n">
        <v>-0.292490119</v>
      </c>
      <c r="AE39" s="25" t="n"/>
      <c r="AF39" s="24" t="n">
        <v>-0.121621622</v>
      </c>
      <c r="AG39" s="24" t="n">
        <v>-0.583900227</v>
      </c>
      <c r="AH39" s="24" t="n">
        <v>0</v>
      </c>
      <c r="AI39" s="24" t="n">
        <v>0.002793296</v>
      </c>
      <c r="AJ39" s="25" t="n"/>
      <c r="AK39" s="24" t="n">
        <v>0.003076923</v>
      </c>
      <c r="AL39" s="24" t="n">
        <v>0</v>
      </c>
      <c r="AM39" s="24" t="n">
        <v>0.009146341000000001</v>
      </c>
      <c r="AN39" s="24" t="n">
        <v>0.005571031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1402</v>
      </c>
      <c r="E43" s="2" t="inlineStr">
        <is>
          <t>원 — 네이버 정규장 종가(aik 확정종가 대조 · aik 1,443원)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5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8.300000000000001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10.2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0.2200251098556183</v>
      </c>
      <c r="E50" s="2" t="inlineStr">
        <is>
          <t>연결 — 법인세 = MAX(세전,0) × 세율(역산, 재현 오차 ≤ 0.05억 · 모델 assumptions 0.22) · 최근 12분기 유효세율 -27.3% 가 5~27% 밖; 세전 &gt; 0 분기 중위 -35.1%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0.1049707849944957</v>
      </c>
      <c r="E51" s="2" t="inlineStr">
        <is>
          <t>연결 — 판관비 = 매출액 × 판관비율(역산, 재현 오차 ≤ 0.05억 · 모델 assumptions 0.105)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0.01612875992847357</v>
      </c>
      <c r="E53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0.0116538536404746</v>
      </c>
      <c r="E54" s="2" t="inlineStr">
        <is>
          <t>연결 — 같은 수식의 부채 쪽(총차입금 행이 없으면 0)(역산, 재현 오차 ≤ 0.05억 · 모델 assumptions 0.0116)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IFERROR((AB26*변수!$D$53-AB24*변수!$D$54)/4,"")</f>
        <v/>
      </c>
      <c r="AD12" s="20">
        <f>IFERROR((AC26*변수!$D$53-AC24*변수!$D$54)/4,"")</f>
        <v/>
      </c>
      <c r="AE12" s="38">
        <f>SUM(AA12:AD12)</f>
        <v/>
      </c>
      <c r="AF12" s="20">
        <f>IFERROR((AD26*변수!$D$53-AD24*변수!$D$54)/4,"")</f>
        <v/>
      </c>
      <c r="AG12" s="20">
        <f>IFERROR((AF26*변수!$D$53-AF24*변수!$D$54)/4,"")</f>
        <v/>
      </c>
      <c r="AH12" s="20">
        <f>IFERROR((AG26*변수!$D$53-AG24*변수!$D$54)/4,"")</f>
        <v/>
      </c>
      <c r="AI12" s="20">
        <f>IFERROR((AH26*변수!$D$53-AH24*변수!$D$54)/4,"")</f>
        <v/>
      </c>
      <c r="AJ12" s="38">
        <f>SUM(AF12:AI12)</f>
        <v/>
      </c>
      <c r="AK12" s="20">
        <f>IFERROR((AI26*변수!$D$53-AI24*변수!$D$54)/4,"")</f>
        <v/>
      </c>
      <c r="AL12" s="20">
        <f>IFERROR((AK26*변수!$D$53-AK24*변수!$D$54)/4,"")</f>
        <v/>
      </c>
      <c r="AM12" s="20">
        <f>IFERROR((AL26*변수!$D$53-AL24*변수!$D$54)/4,"")</f>
        <v/>
      </c>
      <c r="AN12" s="20">
        <f>IFERROR((AM26*변수!$D$53-AM24*변수!$D$54)/4,"")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>
        <v>152.2</v>
      </c>
      <c r="F32" s="37" t="n"/>
      <c r="G32" s="18" t="n">
        <v>-2</v>
      </c>
      <c r="H32" s="18" t="n">
        <v>49.8</v>
      </c>
      <c r="I32" s="18" t="n">
        <v>126</v>
      </c>
      <c r="J32" s="18" t="n">
        <v>149.1</v>
      </c>
      <c r="K32" s="37">
        <f>SUM(G32:J32)</f>
        <v/>
      </c>
      <c r="L32" s="18" t="n">
        <v>163.1</v>
      </c>
      <c r="M32" s="18" t="n">
        <v>171.2</v>
      </c>
      <c r="N32" s="18" t="n">
        <v>101</v>
      </c>
      <c r="O32" s="18" t="n">
        <v>46.2</v>
      </c>
      <c r="P32" s="37">
        <f>SUM(L32:O32)</f>
        <v/>
      </c>
      <c r="Q32" s="18" t="n">
        <v>160.1</v>
      </c>
      <c r="R32" s="18" t="n">
        <v>116.6</v>
      </c>
      <c r="S32" s="18" t="n">
        <v>-60.5</v>
      </c>
      <c r="T32" s="18" t="n">
        <v>445.1</v>
      </c>
      <c r="U32" s="37">
        <f>SUM(Q32:T32)</f>
        <v/>
      </c>
      <c r="V32" s="18" t="n">
        <v>256.3</v>
      </c>
      <c r="W32" s="18" t="n">
        <v>150.3</v>
      </c>
      <c r="X32" s="18" t="n">
        <v>127.7</v>
      </c>
      <c r="Y32" s="20" t="n">
        <v>50.6</v>
      </c>
      <c r="Z32" s="37">
        <f>SUM(V32:Y32)</f>
        <v/>
      </c>
      <c r="AA32" s="18" t="n">
        <v>37</v>
      </c>
      <c r="AB32" s="19" t="n">
        <v>88.2</v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IFERROR(변수!$D$43/(Y31+AA31+AB31+AC31),"")</f>
        <v/>
      </c>
      <c r="AD35" s="39">
        <f>IFERROR(변수!$D$43/(AA31+AB31+AC31+AD31),"")</f>
        <v/>
      </c>
      <c r="AE35" s="40">
        <f>AD35</f>
        <v/>
      </c>
      <c r="AF35" s="39">
        <f>IFERROR(변수!$D$43/(AB31+AC31+AD31+AF31),"")</f>
        <v/>
      </c>
      <c r="AG35" s="39">
        <f>IFERROR(변수!$D$43/(AC31+AD31+AF31+AG31),"")</f>
        <v/>
      </c>
      <c r="AH35" s="39">
        <f>IFERROR(변수!$D$43/(AD31+AF31+AG31+AH31),"")</f>
        <v/>
      </c>
      <c r="AI35" s="39">
        <f>IFERROR(변수!$D$43/(AF31+AG31+AH31+AI31),"")</f>
        <v/>
      </c>
      <c r="AJ35" s="40">
        <f>AI35</f>
        <v/>
      </c>
      <c r="AK35" s="39">
        <f>IFERROR(변수!$D$43/(AG31+AH31+AI31+AK31),"")</f>
        <v/>
      </c>
      <c r="AL35" s="39">
        <f>IFERROR(변수!$D$43/(AH31+AI31+AK31+AL31),"")</f>
        <v/>
      </c>
      <c r="AM35" s="39">
        <f>IFERROR(변수!$D$43/(AI31+AK31+AL31+AM31),"")</f>
        <v/>
      </c>
      <c r="AN35" s="39">
        <f>IFERROR(변수!$D$43/(AK31+AL31+AM31+AN31),"")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10.17</v>
      </c>
    </row>
    <row r="32">
      <c r="C32" s="2" t="inlineStr">
        <is>
          <t>pbr_now</t>
        </is>
      </c>
      <c r="D32" t="n">
        <v>0.19</v>
      </c>
    </row>
    <row r="33">
      <c r="C33" s="2" t="inlineStr">
        <is>
          <t>roe_fwd</t>
        </is>
      </c>
      <c r="D33" t="n">
        <v>0.0182</v>
      </c>
    </row>
    <row r="34">
      <c r="C34" s="2" t="inlineStr">
        <is>
          <t>fair_pbr</t>
        </is>
      </c>
      <c r="D34" t="n">
        <v>0.2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