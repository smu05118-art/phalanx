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변수" sheetId="2" state="visible" r:id="rId2"/>
    <sheet name="BS연결" sheetId="3" state="visible" r:id="rId3"/>
    <sheet name="BS별도" sheetId="4" state="visible" r:id="rId4"/>
    <sheet name="subQ" sheetId="5" state="visible" r:id="rId5"/>
    <sheet name="분기" sheetId="6" state="visible" r:id="rId6"/>
    <sheet name="연간예상" sheetId="7" state="visible" r:id="rId7"/>
    <sheet name="TP" sheetId="8" state="visible" r:id="rId8"/>
    <sheet name="외화" sheetId="9" state="visible" r:id="rId9"/>
  </sheets>
  <definedNames>
    <definedName name="변수H">변수!$C$1:$AO$1</definedName>
    <definedName name="환율">변수!$C$6:$AO$13</definedName>
    <definedName name="BS연결H">BS연결!$C$1:$AO$1</definedName>
    <definedName name="BS연결">BS연결!$C$5:$AO$5</definedName>
    <definedName name="BS별도H">BS별도!$C$1:$AO$1</definedName>
    <definedName name="BS별도">BS별도!$C$5:$AO$88</definedName>
    <definedName name="SUBQH">subQ!$A$1:$AO$1</definedName>
    <definedName name="subQ">subQ!$A$5:$AO$42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5">
    <font>
      <name val="Calibri"/>
      <family val="2"/>
      <color theme="1"/>
      <sz val="11"/>
      <scheme val="minor"/>
    </font>
    <font>
      <b val="1"/>
    </font>
    <font>
      <i val="1"/>
      <color rgb="00666666"/>
      <sz val="9"/>
    </font>
    <font>
      <b val="1"/>
      <color rgb="00FFFFFF"/>
    </font>
    <font>
      <color rgb="001F4E79"/>
    </font>
  </fonts>
  <fills count="7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FFF2AB"/>
      </patternFill>
    </fill>
    <fill>
      <patternFill patternType="solid">
        <fgColor rgb="00EDEDED"/>
      </patternFill>
    </fill>
    <fill>
      <patternFill patternType="solid">
        <fgColor rgb="00FFF9DB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/>
      <right style="medium">
        <color rgb="00000000"/>
      </right>
      <top/>
      <bottom/>
    </border>
    <border>
      <right style="medium">
        <color rgb="00000000"/>
      </right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pivotButton="0" quotePrefix="0" xfId="0"/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1" fillId="4" borderId="0" pivotButton="0" quotePrefix="0" xfId="0"/>
    <xf numFmtId="0" fontId="0" fillId="5" borderId="0" pivotButton="0" quotePrefix="0" xfId="0"/>
    <xf numFmtId="0" fontId="1" fillId="5" borderId="0" pivotButton="0" quotePrefix="0" xfId="0"/>
    <xf numFmtId="0" fontId="4" fillId="0" borderId="0" pivotButton="0" quotePrefix="0" xfId="0"/>
    <xf numFmtId="4" fontId="0" fillId="0" borderId="0" pivotButton="0" quotePrefix="0" xfId="0"/>
    <xf numFmtId="4" fontId="1" fillId="4" borderId="0" pivotButton="0" quotePrefix="0" xfId="0"/>
    <xf numFmtId="4" fontId="0" fillId="0" borderId="1" pivotButton="0" quotePrefix="0" xfId="0"/>
    <xf numFmtId="4" fontId="0" fillId="3" borderId="0" pivotButton="0" quotePrefix="0" xfId="0"/>
    <xf numFmtId="4" fontId="1" fillId="3" borderId="0" pivotButton="0" quotePrefix="0" xfId="0"/>
    <xf numFmtId="3" fontId="0" fillId="0" borderId="0" pivotButton="0" quotePrefix="0" xfId="0"/>
    <xf numFmtId="3" fontId="0" fillId="0" borderId="1" pivotButton="0" quotePrefix="0" xfId="0"/>
    <xf numFmtId="3" fontId="0" fillId="5" borderId="0" pivotButton="0" quotePrefix="0" xfId="0"/>
    <xf numFmtId="164" fontId="0" fillId="0" borderId="0" pivotButton="0" quotePrefix="0" xfId="0"/>
    <xf numFmtId="164" fontId="1" fillId="4" borderId="0" pivotButton="0" quotePrefix="0" xfId="0"/>
    <xf numFmtId="164" fontId="0" fillId="0" borderId="1" pivotButton="0" quotePrefix="0" xfId="0"/>
    <xf numFmtId="164" fontId="0" fillId="3" borderId="0" pivotButton="0" quotePrefix="0" xfId="0"/>
    <xf numFmtId="164" fontId="1" fillId="5" borderId="0" pivotButton="0" quotePrefix="0" xfId="0"/>
    <xf numFmtId="164" fontId="0" fillId="6" borderId="0" pivotButton="0" quotePrefix="0" xfId="0"/>
    <xf numFmtId="165" fontId="0" fillId="0" borderId="0" pivotButton="0" quotePrefix="0" xfId="0"/>
    <xf numFmtId="165" fontId="1" fillId="4" borderId="0" pivotButton="0" quotePrefix="0" xfId="0"/>
    <xf numFmtId="165" fontId="0" fillId="0" borderId="1" pivotButton="0" quotePrefix="0" xfId="0"/>
    <xf numFmtId="165" fontId="0" fillId="3" borderId="0" pivotButton="0" quotePrefix="0" xfId="0"/>
    <xf numFmtId="165" fontId="1" fillId="5" borderId="0" pivotButton="0" quotePrefix="0" xfId="0"/>
    <xf numFmtId="164" fontId="0" fillId="5" borderId="0" pivotButton="0" quotePrefix="0" xfId="0"/>
    <xf numFmtId="165" fontId="0" fillId="5" borderId="0" pivotButton="0" quotePrefix="0" xfId="0"/>
    <xf numFmtId="3" fontId="0" fillId="3" borderId="0" pivotButton="0" quotePrefix="0" xfId="0"/>
    <xf numFmtId="0" fontId="0" fillId="3" borderId="0" pivotButton="0" quotePrefix="0" xfId="0"/>
    <xf numFmtId="10" fontId="0" fillId="3" borderId="0" pivotButton="0" quotePrefix="0" xfId="0"/>
    <xf numFmtId="3" fontId="1" fillId="4" borderId="0" pivotButton="0" quotePrefix="0" xfId="0"/>
    <xf numFmtId="3" fontId="1" fillId="5" borderId="0" pivotButton="0" quotePrefix="0" xfId="0"/>
    <xf numFmtId="4" fontId="0" fillId="5" borderId="0" pivotButton="0" quotePrefix="0" xfId="0"/>
    <xf numFmtId="4" fontId="1" fillId="5" borderId="0" pivotButton="0" quotePrefix="0" xfId="0"/>
    <xf numFmtId="0" fontId="3" fillId="2" borderId="2" applyAlignment="1" pivotButton="0" quotePrefix="0" xfId="0">
      <alignment horizontal="center"/>
    </xf>
    <xf numFmtId="0" fontId="0" fillId="0" borderId="2" pivotButton="0" quotePrefix="0" xfId="0"/>
    <xf numFmtId="0" fontId="2" fillId="0" borderId="2" pivotButton="0" quotePrefix="0" xfId="0"/>
    <xf numFmtId="0" fontId="2" fillId="0" borderId="2" applyAlignment="1" pivotButton="0" quotePrefix="0" xfId="0">
      <alignment horizontal="center"/>
    </xf>
    <xf numFmtId="3" fontId="0" fillId="0" borderId="2" pivotButton="0" quotePrefix="0" xfId="0"/>
    <xf numFmtId="164" fontId="0" fillId="0" borderId="2" pivotButton="0" quotePrefix="0" xfId="0"/>
    <xf numFmtId="165" fontId="0" fillId="0" borderId="2" pivotButton="0" quotePrefix="0" xfId="0"/>
    <xf numFmtId="4" fontId="0" fillId="0" borderId="2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kship</author>
  </authors>
  <commentList>
    <comment ref="AC6" authorId="0" shapeId="0">
      <text>
        <t>모델 assumptions.fx — 가정 — 마지막 ECB 관측치를 2028Q4 까지 평평하게 둔다. 선도환율·컨센서스 아님.</t>
      </text>
    </comment>
    <comment ref="AD6" authorId="0" shapeId="0">
      <text>
        <t>모델 assumptions.fx — 가정 — 마지막 ECB 관측치를 2028Q4 까지 평평하게 둔다. 선도환율·컨센서스 아님.</t>
      </text>
    </comment>
    <comment ref="AF6" authorId="0" shapeId="0">
      <text>
        <t>모델 assumptions.fx — 가정 — 마지막 ECB 관측치를 2028Q4 까지 평평하게 둔다. 선도환율·컨센서스 아님.</t>
      </text>
    </comment>
    <comment ref="AG6" authorId="0" shapeId="0">
      <text>
        <t>모델 assumptions.fx — 가정 — 마지막 ECB 관측치를 2028Q4 까지 평평하게 둔다. 선도환율·컨센서스 아님.</t>
      </text>
    </comment>
    <comment ref="AH6" authorId="0" shapeId="0">
      <text>
        <t>모델 assumptions.fx — 가정 — 마지막 ECB 관측치를 2028Q4 까지 평평하게 둔다. 선도환율·컨센서스 아님.</t>
      </text>
    </comment>
    <comment ref="AI6" authorId="0" shapeId="0">
      <text>
        <t>모델 assumptions.fx — 가정 — 마지막 ECB 관측치를 2028Q4 까지 평평하게 둔다. 선도환율·컨센서스 아님.</t>
      </text>
    </comment>
    <comment ref="AK6" authorId="0" shapeId="0">
      <text>
        <t>모델 assumptions.fx — 가정 — 마지막 ECB 관측치를 2028Q4 까지 평평하게 둔다. 선도환율·컨센서스 아님.</t>
      </text>
    </comment>
    <comment ref="AL6" authorId="0" shapeId="0">
      <text>
        <t>모델 assumptions.fx — 가정 — 마지막 ECB 관측치를 2028Q4 까지 평평하게 둔다. 선도환율·컨센서스 아님.</t>
      </text>
    </comment>
    <comment ref="AM6" authorId="0" shapeId="0">
      <text>
        <t>모델 assumptions.fx — 가정 — 마지막 ECB 관측치를 2028Q4 까지 평평하게 둔다. 선도환율·컨센서스 아님.</t>
      </text>
    </comment>
    <comment ref="AN6" authorId="0" shapeId="0">
      <text>
        <t>모델 assumptions.fx — 가정 — 마지막 ECB 관측치를 2028Q4 까지 평평하게 둔다. 선도환율·컨센서스 아님.</t>
      </text>
    </comment>
    <comment ref="AC7" authorId="0" shapeId="0">
      <text>
        <t>모델 assumptions.fx — 가정 — 마지막 ECB 관측치를 2028Q4 까지 평평하게 둔다. 선도환율·컨센서스 아님.</t>
      </text>
    </comment>
    <comment ref="AD7" authorId="0" shapeId="0">
      <text>
        <t>모델 assumptions.fx — 가정 — 마지막 ECB 관측치를 2028Q4 까지 평평하게 둔다. 선도환율·컨센서스 아님.</t>
      </text>
    </comment>
    <comment ref="AF7" authorId="0" shapeId="0">
      <text>
        <t>모델 assumptions.fx — 가정 — 마지막 ECB 관측치를 2028Q4 까지 평평하게 둔다. 선도환율·컨센서스 아님.</t>
      </text>
    </comment>
    <comment ref="AG7" authorId="0" shapeId="0">
      <text>
        <t>모델 assumptions.fx — 가정 — 마지막 ECB 관측치를 2028Q4 까지 평평하게 둔다. 선도환율·컨센서스 아님.</t>
      </text>
    </comment>
    <comment ref="AH7" authorId="0" shapeId="0">
      <text>
        <t>모델 assumptions.fx — 가정 — 마지막 ECB 관측치를 2028Q4 까지 평평하게 둔다. 선도환율·컨센서스 아님.</t>
      </text>
    </comment>
    <comment ref="AI7" authorId="0" shapeId="0">
      <text>
        <t>모델 assumptions.fx — 가정 — 마지막 ECB 관측치를 2028Q4 까지 평평하게 둔다. 선도환율·컨센서스 아님.</t>
      </text>
    </comment>
    <comment ref="AK7" authorId="0" shapeId="0">
      <text>
        <t>모델 assumptions.fx — 가정 — 마지막 ECB 관측치를 2028Q4 까지 평평하게 둔다. 선도환율·컨센서스 아님.</t>
      </text>
    </comment>
    <comment ref="AL7" authorId="0" shapeId="0">
      <text>
        <t>모델 assumptions.fx — 가정 — 마지막 ECB 관측치를 2028Q4 까지 평평하게 둔다. 선도환율·컨센서스 아님.</t>
      </text>
    </comment>
    <comment ref="AM7" authorId="0" shapeId="0">
      <text>
        <t>모델 assumptions.fx — 가정 — 마지막 ECB 관측치를 2028Q4 까지 평평하게 둔다. 선도환율·컨센서스 아님.</t>
      </text>
    </comment>
    <comment ref="AN7" authorId="0" shapeId="0">
      <text>
        <t>모델 assumptions.fx — 가정 — 마지막 ECB 관측치를 2028Q4 까지 평평하게 둔다. 선도환율·컨센서스 아님.</t>
      </text>
    </comment>
    <comment ref="AD8" authorId="0" shapeId="0">
      <text>
        <t>fx.json quarters(partial — 분기 진행 중 실측 평균)</t>
      </text>
    </comment>
    <comment ref="AF8" authorId="0" shapeId="0">
      <text>
        <t>fx.json forward(flat_last_end) — 가정</t>
      </text>
    </comment>
    <comment ref="AG8" authorId="0" shapeId="0">
      <text>
        <t>fx.json forward(flat_last_end) — 가정</t>
      </text>
    </comment>
    <comment ref="AH8" authorId="0" shapeId="0">
      <text>
        <t>fx.json forward(flat_last_end) — 가정</t>
      </text>
    </comment>
    <comment ref="AI8" authorId="0" shapeId="0">
      <text>
        <t>fx.json forward(flat_last_end) — 가정</t>
      </text>
    </comment>
    <comment ref="AK8" authorId="0" shapeId="0">
      <text>
        <t>fx.json forward(flat_last_end) — 가정</t>
      </text>
    </comment>
    <comment ref="AL8" authorId="0" shapeId="0">
      <text>
        <t>fx.json forward(flat_last_end) — 가정</t>
      </text>
    </comment>
    <comment ref="AM8" authorId="0" shapeId="0">
      <text>
        <t>fx.json forward(flat_last_end) — 가정</t>
      </text>
    </comment>
    <comment ref="AN8" authorId="0" shapeId="0">
      <text>
        <t>fx.json forward(flat_last_end) — 가정</t>
      </text>
    </comment>
    <comment ref="AD9" authorId="0" shapeId="0">
      <text>
        <t>fx.json quarters(partial — 분기 진행 중 실측 평균)</t>
      </text>
    </comment>
    <comment ref="AF9" authorId="0" shapeId="0">
      <text>
        <t>fx.json forward(flat_last_end) — 가정</t>
      </text>
    </comment>
    <comment ref="AG9" authorId="0" shapeId="0">
      <text>
        <t>fx.json forward(flat_last_end) — 가정</t>
      </text>
    </comment>
    <comment ref="AH9" authorId="0" shapeId="0">
      <text>
        <t>fx.json forward(flat_last_end) — 가정</t>
      </text>
    </comment>
    <comment ref="AI9" authorId="0" shapeId="0">
      <text>
        <t>fx.json forward(flat_last_end) — 가정</t>
      </text>
    </comment>
    <comment ref="AK9" authorId="0" shapeId="0">
      <text>
        <t>fx.json forward(flat_last_end) — 가정</t>
      </text>
    </comment>
    <comment ref="AL9" authorId="0" shapeId="0">
      <text>
        <t>fx.json forward(flat_last_end) — 가정</t>
      </text>
    </comment>
    <comment ref="AM9" authorId="0" shapeId="0">
      <text>
        <t>fx.json forward(flat_last_end) — 가정</t>
      </text>
    </comment>
    <comment ref="AN9" authorId="0" shapeId="0">
      <text>
        <t>fx.json forward(flat_last_end) — 가정</t>
      </text>
    </comment>
    <comment ref="AD10" authorId="0" shapeId="0">
      <text>
        <t>fx.json quarters(partial — 분기 진행 중 실측 평균)</t>
      </text>
    </comment>
    <comment ref="AF10" authorId="0" shapeId="0">
      <text>
        <t>fx.json forward(flat_last_end) — 가정</t>
      </text>
    </comment>
    <comment ref="AG10" authorId="0" shapeId="0">
      <text>
        <t>fx.json forward(flat_last_end) — 가정</t>
      </text>
    </comment>
    <comment ref="AH10" authorId="0" shapeId="0">
      <text>
        <t>fx.json forward(flat_last_end) — 가정</t>
      </text>
    </comment>
    <comment ref="AI10" authorId="0" shapeId="0">
      <text>
        <t>fx.json forward(flat_last_end) — 가정</t>
      </text>
    </comment>
    <comment ref="AK10" authorId="0" shapeId="0">
      <text>
        <t>fx.json forward(flat_last_end) — 가정</t>
      </text>
    </comment>
    <comment ref="AL10" authorId="0" shapeId="0">
      <text>
        <t>fx.json forward(flat_last_end) — 가정</t>
      </text>
    </comment>
    <comment ref="AM10" authorId="0" shapeId="0">
      <text>
        <t>fx.json forward(flat_last_end) — 가정</t>
      </text>
    </comment>
    <comment ref="AN10" authorId="0" shapeId="0">
      <text>
        <t>fx.json forward(flat_last_end) — 가정</t>
      </text>
    </comment>
    <comment ref="AD11" authorId="0" shapeId="0">
      <text>
        <t>fx.json quarters(partial — 분기 진행 중 실측 평균)</t>
      </text>
    </comment>
    <comment ref="AF11" authorId="0" shapeId="0">
      <text>
        <t>fx.json forward(flat_last_end) — 가정</t>
      </text>
    </comment>
    <comment ref="AG11" authorId="0" shapeId="0">
      <text>
        <t>fx.json forward(flat_last_end) — 가정</t>
      </text>
    </comment>
    <comment ref="AH11" authorId="0" shapeId="0">
      <text>
        <t>fx.json forward(flat_last_end) — 가정</t>
      </text>
    </comment>
    <comment ref="AI11" authorId="0" shapeId="0">
      <text>
        <t>fx.json forward(flat_last_end) — 가정</t>
      </text>
    </comment>
    <comment ref="AK11" authorId="0" shapeId="0">
      <text>
        <t>fx.json forward(flat_last_end) — 가정</t>
      </text>
    </comment>
    <comment ref="AL11" authorId="0" shapeId="0">
      <text>
        <t>fx.json forward(flat_last_end) — 가정</t>
      </text>
    </comment>
    <comment ref="AM11" authorId="0" shapeId="0">
      <text>
        <t>fx.json forward(flat_last_end) — 가정</t>
      </text>
    </comment>
    <comment ref="AN11" authorId="0" shapeId="0">
      <text>
        <t>fx.json forward(flat_last_end) — 가정</t>
      </text>
    </comment>
    <comment ref="AD12" authorId="0" shapeId="0">
      <text>
        <t>fx.json quarters(partial — 분기 진행 중 실측 평균)</t>
      </text>
    </comment>
    <comment ref="AF12" authorId="0" shapeId="0">
      <text>
        <t>fx.json forward(flat_last_end) — 가정</t>
      </text>
    </comment>
    <comment ref="AG12" authorId="0" shapeId="0">
      <text>
        <t>fx.json forward(flat_last_end) — 가정</t>
      </text>
    </comment>
    <comment ref="AH12" authorId="0" shapeId="0">
      <text>
        <t>fx.json forward(flat_last_end) — 가정</t>
      </text>
    </comment>
    <comment ref="AI12" authorId="0" shapeId="0">
      <text>
        <t>fx.json forward(flat_last_end) — 가정</t>
      </text>
    </comment>
    <comment ref="AK12" authorId="0" shapeId="0">
      <text>
        <t>fx.json forward(flat_last_end) — 가정</t>
      </text>
    </comment>
    <comment ref="AL12" authorId="0" shapeId="0">
      <text>
        <t>fx.json forward(flat_last_end) — 가정</t>
      </text>
    </comment>
    <comment ref="AM12" authorId="0" shapeId="0">
      <text>
        <t>fx.json forward(flat_last_end) — 가정</t>
      </text>
    </comment>
    <comment ref="AN12" authorId="0" shapeId="0">
      <text>
        <t>fx.json forward(flat_last_end) — 가정</t>
      </text>
    </comment>
    <comment ref="AD13" authorId="0" shapeId="0">
      <text>
        <t>fx.json quarters(partial — 분기 진행 중 실측 평균)</t>
      </text>
    </comment>
    <comment ref="AF13" authorId="0" shapeId="0">
      <text>
        <t>fx.json forward(flat_last_end) — 가정</t>
      </text>
    </comment>
    <comment ref="AG13" authorId="0" shapeId="0">
      <text>
        <t>fx.json forward(flat_last_end) — 가정</t>
      </text>
    </comment>
    <comment ref="AH13" authorId="0" shapeId="0">
      <text>
        <t>fx.json forward(flat_last_end) — 가정</t>
      </text>
    </comment>
    <comment ref="AI13" authorId="0" shapeId="0">
      <text>
        <t>fx.json forward(flat_last_end) — 가정</t>
      </text>
    </comment>
    <comment ref="AK13" authorId="0" shapeId="0">
      <text>
        <t>fx.json forward(flat_last_end) — 가정</t>
      </text>
    </comment>
    <comment ref="AL13" authorId="0" shapeId="0">
      <text>
        <t>fx.json forward(flat_last_end) — 가정</t>
      </text>
    </comment>
    <comment ref="AM13" authorId="0" shapeId="0">
      <text>
        <t>fx.json forward(flat_last_end) — 가정</t>
      </text>
    </comment>
    <comment ref="AN13" authorId="0" shapeId="0">
      <text>
        <t>fx.json forward(flat_last_end) — 가정</t>
      </text>
    </comment>
    <comment ref="AD15" authorId="0" shapeId="0">
      <text>
        <t>분기 진행 중(partial) — aikstockdata/토스 일봉</t>
      </text>
    </comment>
    <comment ref="AD16" authorId="0" shapeId="0">
      <text>
        <t>분기 진행 중(partial) — aikstockdata/토스 일봉</t>
      </text>
    </comment>
    <comment ref="AD17" authorId="0" shapeId="0">
      <text>
        <t>분기 진행 중(partial) — aikstockdata/토스 일봉</t>
      </text>
    </comment>
    <comment ref="AD18" authorId="0" shapeId="0">
      <text>
        <t>분기 진행 중(partial) — aikstockdata/토스 일봉</t>
      </text>
    </comment>
    <comment ref="AC21" authorId="0" shapeId="0">
      <text>
        <t>모델값 역산(implied): v / 전년동기 − 1
전년동기 × (1+-2.0%) — g=최근 4분기 합 YoY -2.0% 클립(−30~+50%), 연차별 절반 감쇠(가정)</t>
      </text>
    </comment>
    <comment ref="AD21" authorId="0" shapeId="0">
      <text>
        <t>모델값 역산(implied): v / 전년동기 − 1
전년동기 × (1+-2.0%) — g=최근 4분기 합 YoY -2.0% 클립(−30~+50%), 연차별 절반 감쇠(가정)</t>
      </text>
    </comment>
    <comment ref="AF21" authorId="0" shapeId="0">
      <text>
        <t>모델값 역산(implied): v / 전년동기 − 1
전년동기 × (1+-2.0%) — g=최근 4분기 합 YoY -2.0% 클립(−30~+50%), 연차별 절반 감쇠(가정)</t>
      </text>
    </comment>
    <comment ref="AG21" authorId="0" shapeId="0">
      <text>
        <t>모델값 역산(implied): v / 전년동기 − 1
전년동기 × (1+-2.0%) — g=최근 4분기 합 YoY -2.0% 클립(−30~+50%), 연차별 절반 감쇠(가정)</t>
      </text>
    </comment>
    <comment ref="AH21" authorId="0" shapeId="0">
      <text>
        <t>모델값 역산(implied): v / 전년동기 − 1
전년동기 × (1+-1.0%) — g=최근 4분기 합 YoY -2.0% 클립(−30~+50%), 연차별 절반 감쇠(가정)</t>
      </text>
    </comment>
    <comment ref="AI21" authorId="0" shapeId="0">
      <text>
        <t>모델값 역산(implied): v / 전년동기 − 1
전년동기 × (1+-1.0%) — g=최근 4분기 합 YoY -2.0% 클립(−30~+50%), 연차별 절반 감쇠(가정)</t>
      </text>
    </comment>
    <comment ref="AK21" authorId="0" shapeId="0">
      <text>
        <t>모델값 역산(implied): v / 전년동기 − 1
전년동기 × (1+-1.0%) — g=최근 4분기 합 YoY -2.0% 클립(−30~+50%), 연차별 절반 감쇠(가정)</t>
      </text>
    </comment>
    <comment ref="AL21" authorId="0" shapeId="0">
      <text>
        <t>모델값 역산(implied): v / 전년동기 − 1
전년동기 × (1+-1.0%) — g=최근 4분기 합 YoY -2.0% 클립(−30~+50%), 연차별 절반 감쇠(가정)</t>
      </text>
    </comment>
    <comment ref="AM21" authorId="0" shapeId="0">
      <text>
        <t>모델값 역산(implied): v / 전년동기 − 1
전년동기 × (1+-0.5%) — g=최근 4분기 합 YoY -2.0% 클립(−30~+50%), 연차별 절반 감쇠(가정)</t>
      </text>
    </comment>
    <comment ref="AN21" authorId="0" shapeId="0">
      <text>
        <t>모델값 역산(implied): v / 전년동기 − 1
전년동기 × (1+-0.5%) — g=최근 4분기 합 YoY -2.0% 클립(−30~+50%), 연차별 절반 감쇠(가정)</t>
      </text>
    </comment>
    <comment ref="AC22" authorId="0" shapeId="0">
      <text>
        <t>3절 스칼라 '판관비율' 참조 — 숫자로 덮어쓰면 이 분기만 바뀐다
매출액 × 판관비율 10.50%(최근 4분기 중위)</t>
      </text>
    </comment>
    <comment ref="AD22" authorId="0" shapeId="0">
      <text>
        <t>3절 스칼라 '판관비율' 참조 — 숫자로 덮어쓰면 이 분기만 바뀐다
매출액 × 판관비율 10.50%(최근 4분기 중위)</t>
      </text>
    </comment>
    <comment ref="AF22" authorId="0" shapeId="0">
      <text>
        <t>3절 스칼라 '판관비율' 참조 — 숫자로 덮어쓰면 이 분기만 바뀐다
매출액 × 판관비율 10.50%(최근 4분기 중위)</t>
      </text>
    </comment>
    <comment ref="AG22" authorId="0" shapeId="0">
      <text>
        <t>3절 스칼라 '판관비율' 참조 — 숫자로 덮어쓰면 이 분기만 바뀐다
매출액 × 판관비율 10.50%(최근 4분기 중위)</t>
      </text>
    </comment>
    <comment ref="AH22" authorId="0" shapeId="0">
      <text>
        <t>3절 스칼라 '판관비율' 참조 — 숫자로 덮어쓰면 이 분기만 바뀐다
매출액 × 판관비율 10.50%(최근 4분기 중위)</t>
      </text>
    </comment>
    <comment ref="AI22" authorId="0" shapeId="0">
      <text>
        <t>3절 스칼라 '판관비율' 참조 — 숫자로 덮어쓰면 이 분기만 바뀐다
매출액 × 판관비율 10.50%(최근 4분기 중위)</t>
      </text>
    </comment>
    <comment ref="AK22" authorId="0" shapeId="0">
      <text>
        <t>3절 스칼라 '판관비율' 참조 — 숫자로 덮어쓰면 이 분기만 바뀐다
매출액 × 판관비율 10.50%(최근 4분기 중위)</t>
      </text>
    </comment>
    <comment ref="AL22" authorId="0" shapeId="0">
      <text>
        <t>3절 스칼라 '판관비율' 참조 — 숫자로 덮어쓰면 이 분기만 바뀐다
매출액 × 판관비율 10.50%(최근 4분기 중위)</t>
      </text>
    </comment>
    <comment ref="AM22" authorId="0" shapeId="0">
      <text>
        <t>3절 스칼라 '판관비율' 참조 — 숫자로 덮어쓰면 이 분기만 바뀐다
매출액 × 판관비율 10.50%(최근 4분기 중위)</t>
      </text>
    </comment>
    <comment ref="AN22" authorId="0" shapeId="0">
      <text>
        <t>3절 스칼라 '판관비율' 참조 — 숫자로 덮어쓰면 이 분기만 바뀐다
매출액 × 판관비율 10.50%(최근 4분기 중위)</t>
      </text>
    </comment>
    <comment ref="AC23" authorId="0" shapeId="0">
      <text>
        <t>모델값 역산(implied): v / 매출액
매출액 × OPM(최근 8분기 OPM 중위 2.9% 유지(클립 −20~40%))</t>
      </text>
    </comment>
    <comment ref="AD23" authorId="0" shapeId="0">
      <text>
        <t>모델값 역산(implied): v / 매출액
매출액 × OPM(최근 8분기 OPM 중위 2.9% 유지(클립 −20~40%))</t>
      </text>
    </comment>
    <comment ref="AF23" authorId="0" shapeId="0">
      <text>
        <t>모델값 역산(implied): v / 매출액
매출액 × OPM(최근 8분기 OPM 중위 2.9% 유지(클립 −20~40%))</t>
      </text>
    </comment>
    <comment ref="AG23" authorId="0" shapeId="0">
      <text>
        <t>모델값 역산(implied): v / 매출액
매출액 × OPM(최근 8분기 OPM 중위 2.9% 유지(클립 −20~40%))</t>
      </text>
    </comment>
    <comment ref="AH23" authorId="0" shapeId="0">
      <text>
        <t>모델값 역산(implied): v / 매출액
매출액 × OPM(최근 8분기 OPM 중위 2.9% 유지(클립 −20~40%))</t>
      </text>
    </comment>
    <comment ref="AI23" authorId="0" shapeId="0">
      <text>
        <t>모델값 역산(implied): v / 매출액
매출액 × OPM(최근 8분기 OPM 중위 2.9% 유지(클립 −20~40%))</t>
      </text>
    </comment>
    <comment ref="AK23" authorId="0" shapeId="0">
      <text>
        <t>모델값 역산(implied): v / 매출액
매출액 × OPM(최근 8분기 OPM 중위 2.9% 유지(클립 −20~40%))</t>
      </text>
    </comment>
    <comment ref="AL23" authorId="0" shapeId="0">
      <text>
        <t>모델값 역산(implied): v / 매출액
매출액 × OPM(최근 8분기 OPM 중위 2.9% 유지(클립 −20~40%))</t>
      </text>
    </comment>
    <comment ref="AM23" authorId="0" shapeId="0">
      <text>
        <t>모델값 역산(implied): v / 매출액
매출액 × OPM(최근 8분기 OPM 중위 2.9% 유지(클립 −20~40%))</t>
      </text>
    </comment>
    <comment ref="AN23" authorId="0" shapeId="0">
      <text>
        <t>모델값 역산(implied): v / 매출액
매출액 × OPM(최근 8분기 OPM 중위 2.9% 유지(클립 −20~40%))</t>
      </text>
    </comment>
    <comment ref="AC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D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F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G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H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I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K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L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M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N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C25" authorId="0" shapeId="0">
      <text>
        <t>모델값 역산(implied): 모델 v 그대로
일회성 미가정 → 0</t>
      </text>
    </comment>
    <comment ref="AD25" authorId="0" shapeId="0">
      <text>
        <t>모델값 역산(implied): 모델 v 그대로
일회성 미가정 → 0</t>
      </text>
    </comment>
    <comment ref="AF25" authorId="0" shapeId="0">
      <text>
        <t>모델값 역산(implied): 모델 v 그대로
일회성 미가정 → 0</t>
      </text>
    </comment>
    <comment ref="AG25" authorId="0" shapeId="0">
      <text>
        <t>모델값 역산(implied): 모델 v 그대로
일회성 미가정 → 0</t>
      </text>
    </comment>
    <comment ref="AH25" authorId="0" shapeId="0">
      <text>
        <t>모델값 역산(implied): 모델 v 그대로
일회성 미가정 → 0</t>
      </text>
    </comment>
    <comment ref="AI25" authorId="0" shapeId="0">
      <text>
        <t>모델값 역산(implied): 모델 v 그대로
일회성 미가정 → 0</t>
      </text>
    </comment>
    <comment ref="AK25" authorId="0" shapeId="0">
      <text>
        <t>모델값 역산(implied): 모델 v 그대로
일회성 미가정 → 0</t>
      </text>
    </comment>
    <comment ref="AL25" authorId="0" shapeId="0">
      <text>
        <t>모델값 역산(implied): 모델 v 그대로
일회성 미가정 → 0</t>
      </text>
    </comment>
    <comment ref="AM25" authorId="0" shapeId="0">
      <text>
        <t>모델값 역산(implied): 모델 v 그대로
일회성 미가정 → 0</t>
      </text>
    </comment>
    <comment ref="AN25" authorId="0" shapeId="0">
      <text>
        <t>모델값 역산(implied): 모델 v 그대로
일회성 미가정 → 0</t>
      </text>
    </comment>
    <comment ref="AC26" authorId="0" shapeId="0">
      <text>
        <t>모델값 역산(implied): 모델 v 그대로
최근 4분기 중위</t>
      </text>
    </comment>
    <comment ref="AD26" authorId="0" shapeId="0">
      <text>
        <t>모델값 역산(implied): 모델 v 그대로
최근 4분기 중위</t>
      </text>
    </comment>
    <comment ref="AF26" authorId="0" shapeId="0">
      <text>
        <t>모델값 역산(implied): 모델 v 그대로
최근 4분기 중위</t>
      </text>
    </comment>
    <comment ref="AG26" authorId="0" shapeId="0">
      <text>
        <t>모델값 역산(implied): 모델 v 그대로
최근 4분기 중위</t>
      </text>
    </comment>
    <comment ref="AH26" authorId="0" shapeId="0">
      <text>
        <t>모델값 역산(implied): 모델 v 그대로
최근 4분기 중위</t>
      </text>
    </comment>
    <comment ref="AI26" authorId="0" shapeId="0">
      <text>
        <t>모델값 역산(implied): 모델 v 그대로
최근 4분기 중위</t>
      </text>
    </comment>
    <comment ref="AK26" authorId="0" shapeId="0">
      <text>
        <t>모델값 역산(implied): 모델 v 그대로
최근 4분기 중위</t>
      </text>
    </comment>
    <comment ref="AL26" authorId="0" shapeId="0">
      <text>
        <t>모델값 역산(implied): 모델 v 그대로
최근 4분기 중위</t>
      </text>
    </comment>
    <comment ref="AM26" authorId="0" shapeId="0">
      <text>
        <t>모델값 역산(implied): 모델 v 그대로
최근 4분기 중위</t>
      </text>
    </comment>
    <comment ref="AN26" authorId="0" shapeId="0">
      <text>
        <t>모델값 역산(implied): 모델 v 그대로
최근 4분기 중위</t>
      </text>
    </comment>
    <comment ref="AC27" authorId="0" shapeId="0">
      <text>
        <t>모델값 역산(implied): v / 세전이익 · 모델 가정 tax_schedule 0.0(r4)
max(세전, 0) × 세율 0.0%(이월결손 경로 유지 — 최근 8분기 중 세전 &gt; 0 인 6분기(2024Q4~2026Q2) 법인세/세전 중위 -35.1%·최근 4분기 중위 -35.1% 가 모두 5% 미만 → 이월결손 공제 중으로 보고 0.0% 를 2026Q4 까지 유지, 2027Q1~2028Q4 선형 램프로 법정세율 근사 22% 수렴)</t>
      </text>
    </comment>
    <comment ref="AD27" authorId="0" shapeId="0">
      <text>
        <t>모델값 역산(implied): v / 세전이익 · 모델 가정 tax_schedule 0.0(r4)
max(세전, 0) × 세율 0.0%(이월결손 경로 유지 — 최근 8분기 중 세전 &gt; 0 인 6분기(2024Q4~2026Q2) 법인세/세전 중위 -35.1%·최근 4분기 중위 -35.1% 가 모두 5% 미만 → 이월결손 공제 중으로 보고 0.0% 를 2026Q4 까지 유지, 2027Q1~2028Q4 선형 램프로 법정세율 근사 22% 수렴)</t>
      </text>
    </comment>
    <comment ref="AF27" authorId="0" shapeId="0">
      <text>
        <t>모델값 역산(implied): v / 세전이익 · 모델 가정 tax_schedule 0.0275(r4)
max(세전, 0) × 세율 2.8%(이월결손 경로 램프 1/8 — 최근 8분기 중 세전 &gt; 0 인 6분기(2024Q4~2026Q2) 법인세/세전 중위 -35.1%·최근 4분기 중위 -35.1% 가 모두 5% 미만 → 이월결손 공제 중으로 보고 0.0% 를 2026Q4 까지 유지, 2027Q1~2028Q4 선형 램프로 법정세율 근사 22% 수렴)</t>
      </text>
    </comment>
    <comment ref="AG27" authorId="0" shapeId="0">
      <text>
        <t>모델값 역산(implied): v / 세전이익 · 모델 가정 tax_schedule 0.055(r4)
max(세전, 0) × 세율 5.5%(이월결손 경로 램프 2/8 — 최근 8분기 중 세전 &gt; 0 인 6분기(2024Q4~2026Q2) 법인세/세전 중위 -35.1%·최근 4분기 중위 -35.1% 가 모두 5% 미만 → 이월결손 공제 중으로 보고 0.0% 를 2026Q4 까지 유지, 2027Q1~2028Q4 선형 램프로 법정세율 근사 22% 수렴)</t>
      </text>
    </comment>
    <comment ref="AH27" authorId="0" shapeId="0">
      <text>
        <t>모델값 역산(implied): v / 세전이익 · 모델 가정 tax_schedule 0.0825(r4)
max(세전, 0) × 세율 8.2%(이월결손 경로 램프 3/8 — 최근 8분기 중 세전 &gt; 0 인 6분기(2024Q4~2026Q2) 법인세/세전 중위 -35.1%·최근 4분기 중위 -35.1% 가 모두 5% 미만 → 이월결손 공제 중으로 보고 0.0% 를 2026Q4 까지 유지, 2027Q1~2028Q4 선형 램프로 법정세율 근사 22% 수렴)</t>
      </text>
    </comment>
    <comment ref="AI27" authorId="0" shapeId="0">
      <text>
        <t>모델값 역산(implied): v / 세전이익 · 모델 가정 tax_schedule 0.11(r4)
max(세전, 0) × 세율 11.0%(이월결손 경로 램프 4/8 — 최근 8분기 중 세전 &gt; 0 인 6분기(2024Q4~2026Q2) 법인세/세전 중위 -35.1%·최근 4분기 중위 -35.1% 가 모두 5% 미만 → 이월결손 공제 중으로 보고 0.0% 를 2026Q4 까지 유지, 2027Q1~2028Q4 선형 램프로 법정세율 근사 22% 수렴)</t>
      </text>
    </comment>
    <comment ref="AK27" authorId="0" shapeId="0">
      <text>
        <t>모델값 역산(implied): v / 세전이익 · 모델 가정 tax_schedule 0.1375(r4)
max(세전, 0) × 세율 13.8%(이월결손 경로 램프 5/8 — 최근 8분기 중 세전 &gt; 0 인 6분기(2024Q4~2026Q2) 법인세/세전 중위 -35.1%·최근 4분기 중위 -35.1% 가 모두 5% 미만 → 이월결손 공제 중으로 보고 0.0% 를 2026Q4 까지 유지, 2027Q1~2028Q4 선형 램프로 법정세율 근사 22% 수렴)</t>
      </text>
    </comment>
    <comment ref="AL27" authorId="0" shapeId="0">
      <text>
        <t>모델값 역산(implied): v / 세전이익 · 모델 가정 tax_schedule 0.165(r4)
max(세전, 0) × 세율 16.5%(이월결손 경로 램프 6/8 — 최근 8분기 중 세전 &gt; 0 인 6분기(2024Q4~2026Q2) 법인세/세전 중위 -35.1%·최근 4분기 중위 -35.1% 가 모두 5% 미만 → 이월결손 공제 중으로 보고 0.0% 를 2026Q4 까지 유지, 2027Q1~2028Q4 선형 램프로 법정세율 근사 22% 수렴)</t>
      </text>
    </comment>
    <comment ref="AM27" authorId="0" shapeId="0">
      <text>
        <t>모델값 역산(implied): v / 세전이익 · 모델 가정 tax_schedule 0.1925(r4)
max(세전, 0) × 세율 19.2%(이월결손 경로 램프 7/8 — 최근 8분기 중 세전 &gt; 0 인 6분기(2024Q4~2026Q2) 법인세/세전 중위 -35.1%·최근 4분기 중위 -35.1% 가 모두 5% 미만 → 이월결손 공제 중으로 보고 0.0% 를 2026Q4 까지 유지, 2027Q1~2028Q4 선형 램프로 법정세율 근사 22% 수렴)</t>
      </text>
    </comment>
    <comment ref="AN27" authorId="0" shapeId="0">
      <text>
        <t>모델값 역산(implied): v / 세전이익 · 모델 가정 tax_schedule 0.22(r4)
max(세전, 0) × 세율 22.0%(이월결손 경로 램프 8/8 — 최근 8분기 중 세전 &gt; 0 인 6분기(2024Q4~2026Q2) 법인세/세전 중위 -35.1%·최근 4분기 중위 -35.1% 가 모두 5% 미만 → 이월결손 공제 중으로 보고 0.0% 를 2026Q4 까지 유지, 2027Q1~2028Q4 선형 램프로 법정세율 근사 22% 수렴)</t>
      </text>
    </comment>
    <comment ref="AC28" authorId="0" shapeId="0">
      <text>
        <t>3절 스칼라 '지배주주비중' 참조 — 숫자로 덮어쓰면 이 분기만 바뀐다
당기순이익 × (1 − 비지배 비중 0.0%, 최근 8분기 실측)</t>
      </text>
    </comment>
    <comment ref="AD28" authorId="0" shapeId="0">
      <text>
        <t>3절 스칼라 '지배주주비중' 참조 — 숫자로 덮어쓰면 이 분기만 바뀐다
당기순이익 × (1 − 비지배 비중 0.0%, 최근 8분기 실측)</t>
      </text>
    </comment>
    <comment ref="AF28" authorId="0" shapeId="0">
      <text>
        <t>3절 스칼라 '지배주주비중' 참조 — 숫자로 덮어쓰면 이 분기만 바뀐다
당기순이익 × (1 − 비지배 비중 0.0%, 최근 8분기 실측)</t>
      </text>
    </comment>
    <comment ref="AG28" authorId="0" shapeId="0">
      <text>
        <t>3절 스칼라 '지배주주비중' 참조 — 숫자로 덮어쓰면 이 분기만 바뀐다
당기순이익 × (1 − 비지배 비중 0.0%, 최근 8분기 실측)</t>
      </text>
    </comment>
    <comment ref="AH28" authorId="0" shapeId="0">
      <text>
        <t>3절 스칼라 '지배주주비중' 참조 — 숫자로 덮어쓰면 이 분기만 바뀐다
당기순이익 × (1 − 비지배 비중 0.0%, 최근 8분기 실측)</t>
      </text>
    </comment>
    <comment ref="AI28" authorId="0" shapeId="0">
      <text>
        <t>3절 스칼라 '지배주주비중' 참조 — 숫자로 덮어쓰면 이 분기만 바뀐다
당기순이익 × (1 − 비지배 비중 0.0%, 최근 8분기 실측)</t>
      </text>
    </comment>
    <comment ref="AK28" authorId="0" shapeId="0">
      <text>
        <t>3절 스칼라 '지배주주비중' 참조 — 숫자로 덮어쓰면 이 분기만 바뀐다
당기순이익 × (1 − 비지배 비중 0.0%, 최근 8분기 실측)</t>
      </text>
    </comment>
    <comment ref="AL28" authorId="0" shapeId="0">
      <text>
        <t>3절 스칼라 '지배주주비중' 참조 — 숫자로 덮어쓰면 이 분기만 바뀐다
당기순이익 × (1 − 비지배 비중 0.0%, 최근 8분기 실측)</t>
      </text>
    </comment>
    <comment ref="AM28" authorId="0" shapeId="0">
      <text>
        <t>3절 스칼라 '지배주주비중' 참조 — 숫자로 덮어쓰면 이 분기만 바뀐다
당기순이익 × (1 − 비지배 비중 0.0%, 최근 8분기 실측)</t>
      </text>
    </comment>
    <comment ref="AN28" authorId="0" shapeId="0">
      <text>
        <t>3절 스칼라 '지배주주비중' 참조 — 숫자로 덮어쓰면 이 분기만 바뀐다
당기순이익 × (1 − 비지배 비중 0.0%, 최근 8분기 실측)</t>
      </text>
    </comment>
    <comment ref="AC29" authorId="0" shapeId="0">
      <text>
        <t>모델값 역산(implied): v / 전분기 − 1
마지막 실적 유지(가정)</t>
      </text>
    </comment>
    <comment ref="AD29" authorId="0" shapeId="0">
      <text>
        <t>모델값 역산(implied): v / 전분기 − 1
마지막 실적 유지(가정)</t>
      </text>
    </comment>
    <comment ref="AF29" authorId="0" shapeId="0">
      <text>
        <t>모델값 역산(implied): v / 전분기 − 1
마지막 실적 유지(가정)</t>
      </text>
    </comment>
    <comment ref="AG29" authorId="0" shapeId="0">
      <text>
        <t>모델값 역산(implied): v / 전분기 − 1
마지막 실적 유지(가정)</t>
      </text>
    </comment>
    <comment ref="AH29" authorId="0" shapeId="0">
      <text>
        <t>모델값 역산(implied): v / 전분기 − 1
마지막 실적 유지(가정)</t>
      </text>
    </comment>
    <comment ref="AI29" authorId="0" shapeId="0">
      <text>
        <t>모델값 역산(implied): v / 전분기 − 1
마지막 실적 유지(가정)</t>
      </text>
    </comment>
    <comment ref="AK29" authorId="0" shapeId="0">
      <text>
        <t>모델값 역산(implied): v / 전분기 − 1
마지막 실적 유지(가정)</t>
      </text>
    </comment>
    <comment ref="AL29" authorId="0" shapeId="0">
      <text>
        <t>모델값 역산(implied): v / 전분기 − 1
마지막 실적 유지(가정)</t>
      </text>
    </comment>
    <comment ref="AM29" authorId="0" shapeId="0">
      <text>
        <t>모델값 역산(implied): v / 전분기 − 1
마지막 실적 유지(가정)</t>
      </text>
    </comment>
    <comment ref="AN29" authorId="0" shapeId="0">
      <text>
        <t>모델값 역산(implied): v / 전분기 − 1
마지막 실적 유지(가정)</t>
      </text>
    </comment>
    <comment ref="AC30" authorId="0" shapeId="0">
      <text>
        <t>모델값 역산(implied): 전분기(시트값) + 당기순이익(시트 수식값) − v
전분기 + 당기순이익 − 배당(Q2 지급 가정)</t>
      </text>
    </comment>
    <comment ref="AD30" authorId="0" shapeId="0">
      <text>
        <t>모델값 역산(implied): 전분기(시트값) + 당기순이익(시트 수식값) − v
전분기 + 당기순이익 − 배당(Q2 지급 가정)</t>
      </text>
    </comment>
    <comment ref="AF30" authorId="0" shapeId="0">
      <text>
        <t>모델값 역산(implied): 전분기(시트값) + 당기순이익(시트 수식값) − v
전분기 + 당기순이익 − 배당(Q2 지급 가정)</t>
      </text>
    </comment>
    <comment ref="AG30" authorId="0" shapeId="0">
      <text>
        <t>모델값 역산(implied): 전분기(시트값) + 당기순이익(시트 수식값) − v
전분기 + 당기순이익 − 배당(Q2 지급 가정)</t>
      </text>
    </comment>
    <comment ref="AH30" authorId="0" shapeId="0">
      <text>
        <t>모델값 역산(implied): 전분기(시트값) + 당기순이익(시트 수식값) − v
전분기 + 당기순이익 − 배당(Q2 지급 가정)</t>
      </text>
    </comment>
    <comment ref="AI30" authorId="0" shapeId="0">
      <text>
        <t>모델값 역산(implied): 전분기(시트값) + 당기순이익(시트 수식값) − v
전분기 + 당기순이익 − 배당(Q2 지급 가정)</t>
      </text>
    </comment>
    <comment ref="AK30" authorId="0" shapeId="0">
      <text>
        <t>모델값 역산(implied): 전분기(시트값) + 당기순이익(시트 수식값) − v
전분기 + 당기순이익 − 배당(Q2 지급 가정)</t>
      </text>
    </comment>
    <comment ref="AL30" authorId="0" shapeId="0">
      <text>
        <t>모델값 역산(implied): 전분기(시트값) + 당기순이익(시트 수식값) − v
전분기 + 당기순이익 − 배당(Q2 지급 가정)</t>
      </text>
    </comment>
    <comment ref="AM30" authorId="0" shapeId="0">
      <text>
        <t>모델값 역산(implied): 전분기(시트값) + 당기순이익(시트 수식값) − v
전분기 + 당기순이익 − 배당(Q2 지급 가정)</t>
      </text>
    </comment>
    <comment ref="AN30" authorId="0" shapeId="0">
      <text>
        <t>모델값 역산(implied): 전분기(시트값) + 당기순이익(시트 수식값) − v
전분기 + 당기순이익 − 배당(Q2 지급 가정)</t>
      </text>
    </comment>
    <comment ref="AC31" authorId="0" shapeId="0">
      <text>
        <t>모델값 역산(implied): 전분기(시트값) + 지배주주순이익(시트 수식값) − v
전분기 + 지배주주순이익 − 배당</t>
      </text>
    </comment>
    <comment ref="AD31" authorId="0" shapeId="0">
      <text>
        <t>모델값 역산(implied): 전분기(시트값) + 지배주주순이익(시트 수식값) − v
전분기 + 지배주주순이익 − 배당</t>
      </text>
    </comment>
    <comment ref="AF31" authorId="0" shapeId="0">
      <text>
        <t>모델값 역산(implied): 전분기(시트값) + 지배주주순이익(시트 수식값) − v
전분기 + 지배주주순이익 − 배당</t>
      </text>
    </comment>
    <comment ref="AG31" authorId="0" shapeId="0">
      <text>
        <t>모델값 역산(implied): 전분기(시트값) + 지배주주순이익(시트 수식값) − v
전분기 + 지배주주순이익 − 배당</t>
      </text>
    </comment>
    <comment ref="AH31" authorId="0" shapeId="0">
      <text>
        <t>모델값 역산(implied): 전분기(시트값) + 지배주주순이익(시트 수식값) − v
전분기 + 지배주주순이익 − 배당</t>
      </text>
    </comment>
    <comment ref="AI31" authorId="0" shapeId="0">
      <text>
        <t>모델값 역산(implied): 전분기(시트값) + 지배주주순이익(시트 수식값) − v
전분기 + 지배주주순이익 − 배당</t>
      </text>
    </comment>
    <comment ref="AK31" authorId="0" shapeId="0">
      <text>
        <t>모델값 역산(implied): 전분기(시트값) + 지배주주순이익(시트 수식값) − v
전분기 + 지배주주순이익 − 배당</t>
      </text>
    </comment>
    <comment ref="AL31" authorId="0" shapeId="0">
      <text>
        <t>모델값 역산(implied): 전분기(시트값) + 지배주주순이익(시트 수식값) − v
전분기 + 지배주주순이익 − 배당</t>
      </text>
    </comment>
    <comment ref="AM31" authorId="0" shapeId="0">
      <text>
        <t>모델값 역산(implied): 전분기(시트값) + 지배주주순이익(시트 수식값) − v
전분기 + 지배주주순이익 − 배당</t>
      </text>
    </comment>
    <comment ref="AN31" authorId="0" shapeId="0">
      <text>
        <t>모델값 역산(implied): 전분기(시트값) + 지배주주순이익(시트 수식값) − v
전분기 + 지배주주순이익 − 배당</t>
      </text>
    </comment>
    <comment ref="AC32" authorId="0" shapeId="0">
      <text>
        <t>모델값 역산(implied): v / 전분기 − 1
마지막 실적 유지(가정)</t>
      </text>
    </comment>
    <comment ref="AD32" authorId="0" shapeId="0">
      <text>
        <t>모델값 역산(implied): v / 전분기 − 1
마지막 실적 유지(가정)</t>
      </text>
    </comment>
    <comment ref="AF32" authorId="0" shapeId="0">
      <text>
        <t>모델값 역산(implied): v / 전분기 − 1
마지막 실적 유지(가정)</t>
      </text>
    </comment>
    <comment ref="AG32" authorId="0" shapeId="0">
      <text>
        <t>모델값 역산(implied): v / 전분기 − 1
마지막 실적 유지(가정)</t>
      </text>
    </comment>
    <comment ref="AH32" authorId="0" shapeId="0">
      <text>
        <t>모델값 역산(implied): v / 전분기 − 1
마지막 실적 유지(가정)</t>
      </text>
    </comment>
    <comment ref="AI32" authorId="0" shapeId="0">
      <text>
        <t>모델값 역산(implied): v / 전분기 − 1
마지막 실적 유지(가정)</t>
      </text>
    </comment>
    <comment ref="AK32" authorId="0" shapeId="0">
      <text>
        <t>모델값 역산(implied): v / 전분기 − 1
마지막 실적 유지(가정)</t>
      </text>
    </comment>
    <comment ref="AL32" authorId="0" shapeId="0">
      <text>
        <t>모델값 역산(implied): v / 전분기 − 1
마지막 실적 유지(가정)</t>
      </text>
    </comment>
    <comment ref="AM32" authorId="0" shapeId="0">
      <text>
        <t>모델값 역산(implied): v / 전분기 − 1
마지막 실적 유지(가정)</t>
      </text>
    </comment>
    <comment ref="AN32" authorId="0" shapeId="0">
      <text>
        <t>모델값 역산(implied): v / 전분기 − 1
마지막 실적 유지(가정)</t>
      </text>
    </comment>
    <comment ref="AC33" authorId="0" shapeId="0">
      <text>
        <t>모델값 역산(implied): v / 전분기 − 1
전분기 − FCF 근사[순이익 − 배당(감가상각비 없음 → CAPEX≈감가 가정, CAPEX 중위 5억은 행에만)] (운전자본 불변·총차입금 유지 가정 → 변동은 전부 현금)</t>
      </text>
    </comment>
    <comment ref="AD33" authorId="0" shapeId="0">
      <text>
        <t>모델값 역산(implied): v / 전분기 − 1
전분기 − FCF 근사[순이익 − 배당(감가상각비 없음 → CAPEX≈감가 가정, CAPEX 중위 5억은 행에만)] (운전자본 불변·총차입금 유지 가정 → 변동은 전부 현금)</t>
      </text>
    </comment>
    <comment ref="AF33" authorId="0" shapeId="0">
      <text>
        <t>모델값 역산(implied): v / 전분기 − 1
전분기 − FCF 근사[순이익 − 배당(감가상각비 없음 → CAPEX≈감가 가정, CAPEX 중위 5억은 행에만)] (운전자본 불변·총차입금 유지 가정 → 변동은 전부 현금)</t>
      </text>
    </comment>
    <comment ref="AG33" authorId="0" shapeId="0">
      <text>
        <t>모델값 역산(implied): v / 전분기 − 1
전분기 − FCF 근사[순이익 − 배당(감가상각비 없음 → CAPEX≈감가 가정, CAPEX 중위 5억은 행에만)] (운전자본 불변·총차입금 유지 가정 → 변동은 전부 현금)</t>
      </text>
    </comment>
    <comment ref="AH33" authorId="0" shapeId="0">
      <text>
        <t>모델값 역산(implied): v / 전분기 − 1
전분기 − FCF 근사[순이익 − 배당(감가상각비 없음 → CAPEX≈감가 가정, CAPEX 중위 5억은 행에만)] (운전자본 불변·총차입금 유지 가정 → 변동은 전부 현금)</t>
      </text>
    </comment>
    <comment ref="AI33" authorId="0" shapeId="0">
      <text>
        <t>모델값 역산(implied): v / 전분기 − 1
전분기 − FCF 근사[순이익 − 배당(감가상각비 없음 → CAPEX≈감가 가정, CAPEX 중위 5억은 행에만)] (운전자본 불변·총차입금 유지 가정 → 변동은 전부 현금)</t>
      </text>
    </comment>
    <comment ref="AK33" authorId="0" shapeId="0">
      <text>
        <t>모델값 역산(implied): v / 전분기 − 1
전분기 − FCF 근사[순이익 − 배당(감가상각비 없음 → CAPEX≈감가 가정, CAPEX 중위 5억은 행에만)] (운전자본 불변·총차입금 유지 가정 → 변동은 전부 현금)</t>
      </text>
    </comment>
    <comment ref="AL33" authorId="0" shapeId="0">
      <text>
        <t>모델값 역산(implied): v / 전분기 − 1
전분기 − FCF 근사[순이익 − 배당(감가상각비 없음 → CAPEX≈감가 가정, CAPEX 중위 5억은 행에만)] (운전자본 불변·총차입금 유지 가정 → 변동은 전부 현금)</t>
      </text>
    </comment>
    <comment ref="AM33" authorId="0" shapeId="0">
      <text>
        <t>모델값 역산(implied): v / 전분기 − 1
전분기 − FCF 근사[순이익 − 배당(감가상각비 없음 → CAPEX≈감가 가정, CAPEX 중위 5억은 행에만)] (운전자본 불변·총차입금 유지 가정 → 변동은 전부 현금)</t>
      </text>
    </comment>
    <comment ref="AN33" authorId="0" shapeId="0">
      <text>
        <t>모델값 역산(implied): v / 전분기 − 1
전분기 − FCF 근사[순이익 − 배당(감가상각비 없음 → CAPEX≈감가 가정, CAPEX 중위 5억은 행에만)] (운전자본 불변·총차입금 유지 가정 → 변동은 전부 현금)</t>
      </text>
    </comment>
    <comment ref="AC34" authorId="0" shapeId="0">
      <text>
        <t>모델값 역산(implied): v / 전분기 − 1
전분기 + FCF 근사 — 순차입금 롤과 같은 가정</t>
      </text>
    </comment>
    <comment ref="AD34" authorId="0" shapeId="0">
      <text>
        <t>모델값 역산(implied): v / 전분기 − 1
전분기 + FCF 근사 — 순차입금 롤과 같은 가정</t>
      </text>
    </comment>
    <comment ref="AF34" authorId="0" shapeId="0">
      <text>
        <t>모델값 역산(implied): v / 전분기 − 1
전분기 + FCF 근사 — 순차입금 롤과 같은 가정</t>
      </text>
    </comment>
    <comment ref="AG34" authorId="0" shapeId="0">
      <text>
        <t>모델값 역산(implied): v / 전분기 − 1
전분기 + FCF 근사 — 순차입금 롤과 같은 가정</t>
      </text>
    </comment>
    <comment ref="AH34" authorId="0" shapeId="0">
      <text>
        <t>모델값 역산(implied): v / 전분기 − 1
전분기 + FCF 근사 — 순차입금 롤과 같은 가정</t>
      </text>
    </comment>
    <comment ref="AI34" authorId="0" shapeId="0">
      <text>
        <t>모델값 역산(implied): v / 전분기 − 1
전분기 + FCF 근사 — 순차입금 롤과 같은 가정</t>
      </text>
    </comment>
    <comment ref="AK34" authorId="0" shapeId="0">
      <text>
        <t>모델값 역산(implied): v / 전분기 − 1
전분기 + FCF 근사 — 순차입금 롤과 같은 가정</t>
      </text>
    </comment>
    <comment ref="AL34" authorId="0" shapeId="0">
      <text>
        <t>모델값 역산(implied): v / 전분기 − 1
전분기 + FCF 근사 — 순차입금 롤과 같은 가정</t>
      </text>
    </comment>
    <comment ref="AM34" authorId="0" shapeId="0">
      <text>
        <t>모델값 역산(implied): v / 전분기 − 1
전분기 + FCF 근사 — 순차입금 롤과 같은 가정</t>
      </text>
    </comment>
    <comment ref="AN34" authorId="0" shapeId="0">
      <text>
        <t>모델값 역산(implied): v / 전분기 − 1
전분기 + FCF 근사 — 순차입금 롤과 같은 가정</t>
      </text>
    </comment>
    <comment ref="AC36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D36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F36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G36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H36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I36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K36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L36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M36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N36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C38" authorId="0" shapeId="0">
      <text>
        <t>모델값 역산(implied): v / 전분기 − 1
유통주식수 유지 — fin.shares.common_outstanding(2026Q2)</t>
      </text>
    </comment>
    <comment ref="AD38" authorId="0" shapeId="0">
      <text>
        <t>모델값 역산(implied): v / 전분기 − 1
유통주식수 유지 — fin.shares.common_outstanding(2026Q2)</t>
      </text>
    </comment>
    <comment ref="AF38" authorId="0" shapeId="0">
      <text>
        <t>모델값 역산(implied): v / 전분기 − 1
유통주식수 유지 — fin.shares.common_outstanding(2026Q2)</t>
      </text>
    </comment>
    <comment ref="AG38" authorId="0" shapeId="0">
      <text>
        <t>모델값 역산(implied): v / 전분기 − 1
유통주식수 유지 — fin.shares.common_outstanding(2026Q2)</t>
      </text>
    </comment>
    <comment ref="AH38" authorId="0" shapeId="0">
      <text>
        <t>모델값 역산(implied): v / 전분기 − 1
유통주식수 유지 — fin.shares.common_outstanding(2026Q2)</t>
      </text>
    </comment>
    <comment ref="AI38" authorId="0" shapeId="0">
      <text>
        <t>모델값 역산(implied): v / 전분기 − 1
유통주식수 유지 — fin.shares.common_outstanding(2026Q2)</t>
      </text>
    </comment>
    <comment ref="AK38" authorId="0" shapeId="0">
      <text>
        <t>모델값 역산(implied): v / 전분기 − 1
유통주식수 유지 — fin.shares.common_outstanding(2026Q2)</t>
      </text>
    </comment>
    <comment ref="AL38" authorId="0" shapeId="0">
      <text>
        <t>모델값 역산(implied): v / 전분기 − 1
유통주식수 유지 — fin.shares.common_outstanding(2026Q2)</t>
      </text>
    </comment>
    <comment ref="AM38" authorId="0" shapeId="0">
      <text>
        <t>모델값 역산(implied): v / 전분기 − 1
유통주식수 유지 — fin.shares.common_outstanding(2026Q2)</t>
      </text>
    </comment>
    <comment ref="AN38" authorId="0" shapeId="0">
      <text>
        <t>모델값 역산(implied): v / 전분기 − 1
유통주식수 유지 — fin.shares.common_outstanding(2026Q2)</t>
      </text>
    </comment>
    <comment ref="AD39" authorId="0" shapeId="0">
      <text>
        <t>모델값 역산(implied): 모델 v 그대로
직전 결산 DPS 0원 유지</t>
      </text>
    </comment>
    <comment ref="AI39" authorId="0" shapeId="0">
      <text>
        <t>모델값 역산(implied): 모델 v 그대로
직전 결산 DPS 0원 유지</t>
      </text>
    </comment>
    <comment ref="AN39" authorId="0" shapeId="0">
      <text>
        <t>모델값 역산(implied): 모델 v 그대로
직전 결산 DPS 0원 유지</t>
      </text>
    </comment>
  </commentList>
</comments>
</file>

<file path=xl/comments/comment2.xml><?xml version="1.0" encoding="utf-8"?>
<comments xmlns="http://schemas.openxmlformats.org/spreadsheetml/2006/main">
  <authors>
    <author>kship</author>
  </authors>
  <commentList>
    <comment ref="AC5" authorId="0" shapeId="0">
      <text>
        <t>추정: 전년동기 × (1+-2.0%) — g=최근 4분기 합 YoY -2.0% 클립(−30~+50%), 연차별 절반 감쇠(가정)
[yoy]</t>
      </text>
    </comment>
    <comment ref="AD5" authorId="0" shapeId="0">
      <text>
        <t>추정: 전년동기 × (1+-2.0%) — g=최근 4분기 합 YoY -2.0% 클립(−30~+50%), 연차별 절반 감쇠(가정)
[yoy]</t>
      </text>
    </comment>
    <comment ref="AF5" authorId="0" shapeId="0">
      <text>
        <t>추정: 전년동기 × (1+-2.0%) — g=최근 4분기 합 YoY -2.0% 클립(−30~+50%), 연차별 절반 감쇠(가정)
[yoy]</t>
      </text>
    </comment>
    <comment ref="AG5" authorId="0" shapeId="0">
      <text>
        <t>추정: 전년동기 × (1+-2.0%) — g=최근 4분기 합 YoY -2.0% 클립(−30~+50%), 연차별 절반 감쇠(가정)
[yoy]</t>
      </text>
    </comment>
    <comment ref="AH5" authorId="0" shapeId="0">
      <text>
        <t>추정: 전년동기 × (1+-1.0%) — g=최근 4분기 합 YoY -2.0% 클립(−30~+50%), 연차별 절반 감쇠(가정)
[yoy]</t>
      </text>
    </comment>
    <comment ref="AI5" authorId="0" shapeId="0">
      <text>
        <t>추정: 전년동기 × (1+-1.0%) — g=최근 4분기 합 YoY -2.0% 클립(−30~+50%), 연차별 절반 감쇠(가정)
[yoy]</t>
      </text>
    </comment>
    <comment ref="AK5" authorId="0" shapeId="0">
      <text>
        <t>추정: 전년동기 × (1+-1.0%) — g=최근 4분기 합 YoY -2.0% 클립(−30~+50%), 연차별 절반 감쇠(가정)
[yoy]</t>
      </text>
    </comment>
    <comment ref="AL5" authorId="0" shapeId="0">
      <text>
        <t>추정: 전년동기 × (1+-1.0%) — g=최근 4분기 합 YoY -2.0% 클립(−30~+50%), 연차별 절반 감쇠(가정)
[yoy]</t>
      </text>
    </comment>
    <comment ref="AM5" authorId="0" shapeId="0">
      <text>
        <t>추정: 전년동기 × (1+-0.5%) — g=최근 4분기 합 YoY -2.0% 클립(−30~+50%), 연차별 절반 감쇠(가정)
[yoy]</t>
      </text>
    </comment>
    <comment ref="AN5" authorId="0" shapeId="0">
      <text>
        <t>추정: 전년동기 × (1+-0.5%) — g=최근 4분기 합 YoY -2.0% 클립(−30~+50%), 연차별 절반 감쇠(가정)
[yoy]</t>
      </text>
    </comment>
    <comment ref="AC6" authorId="0" shapeId="0">
      <text>
        <t>추정: 매출액 − 매출총이익(항등식)
[identity]</t>
      </text>
    </comment>
    <comment ref="AD6" authorId="0" shapeId="0">
      <text>
        <t>추정: 매출액 − 매출총이익(항등식)
[identity]</t>
      </text>
    </comment>
    <comment ref="AF6" authorId="0" shapeId="0">
      <text>
        <t>추정: 매출액 − 매출총이익(항등식)
[identity]</t>
      </text>
    </comment>
    <comment ref="AG6" authorId="0" shapeId="0">
      <text>
        <t>추정: 매출액 − 매출총이익(항등식)
[identity]</t>
      </text>
    </comment>
    <comment ref="AH6" authorId="0" shapeId="0">
      <text>
        <t>추정: 매출액 − 매출총이익(항등식)
[identity]</t>
      </text>
    </comment>
    <comment ref="AI6" authorId="0" shapeId="0">
      <text>
        <t>추정: 매출액 − 매출총이익(항등식)
[identity]</t>
      </text>
    </comment>
    <comment ref="AK6" authorId="0" shapeId="0">
      <text>
        <t>추정: 매출액 − 매출총이익(항등식)
[identity]</t>
      </text>
    </comment>
    <comment ref="AL6" authorId="0" shapeId="0">
      <text>
        <t>추정: 매출액 − 매출총이익(항등식)
[identity]</t>
      </text>
    </comment>
    <comment ref="AM6" authorId="0" shapeId="0">
      <text>
        <t>추정: 매출액 − 매출총이익(항등식)
[identity]</t>
      </text>
    </comment>
    <comment ref="AN6" authorId="0" shapeId="0">
      <text>
        <t>추정: 매출액 − 매출총이익(항등식)
[identity]</t>
      </text>
    </comment>
    <comment ref="AC7" authorId="0" shapeId="0">
      <text>
        <t>추정: 영업이익 + 판관비 − 기타영업손익(항등식)
[identity]</t>
      </text>
    </comment>
    <comment ref="AD7" authorId="0" shapeId="0">
      <text>
        <t>추정: 영업이익 + 판관비 − 기타영업손익(항등식)
[identity]</t>
      </text>
    </comment>
    <comment ref="AF7" authorId="0" shapeId="0">
      <text>
        <t>추정: 영업이익 + 판관비 − 기타영업손익(항등식)
[identity]</t>
      </text>
    </comment>
    <comment ref="AG7" authorId="0" shapeId="0">
      <text>
        <t>추정: 영업이익 + 판관비 − 기타영업손익(항등식)
[identity]</t>
      </text>
    </comment>
    <comment ref="AH7" authorId="0" shapeId="0">
      <text>
        <t>추정: 영업이익 + 판관비 − 기타영업손익(항등식)
[identity]</t>
      </text>
    </comment>
    <comment ref="AI7" authorId="0" shapeId="0">
      <text>
        <t>추정: 영업이익 + 판관비 − 기타영업손익(항등식)
[identity]</t>
      </text>
    </comment>
    <comment ref="AK7" authorId="0" shapeId="0">
      <text>
        <t>추정: 영업이익 + 판관비 − 기타영업손익(항등식)
[identity]</t>
      </text>
    </comment>
    <comment ref="AL7" authorId="0" shapeId="0">
      <text>
        <t>추정: 영업이익 + 판관비 − 기타영업손익(항등식)
[identity]</t>
      </text>
    </comment>
    <comment ref="AM7" authorId="0" shapeId="0">
      <text>
        <t>추정: 영업이익 + 판관비 − 기타영업손익(항등식)
[identity]</t>
      </text>
    </comment>
    <comment ref="AN7" authorId="0" shapeId="0">
      <text>
        <t>추정: 영업이익 + 판관비 − 기타영업손익(항등식)
[identity]</t>
      </text>
    </comment>
    <comment ref="AC8" authorId="0" shapeId="0">
      <text>
        <t>추정: 매출액 × 판관비율 10.50%(최근 4분기 중위)
[ratio]</t>
      </text>
    </comment>
    <comment ref="AD8" authorId="0" shapeId="0">
      <text>
        <t>추정: 매출액 × 판관비율 10.50%(최근 4분기 중위)
[ratio]</t>
      </text>
    </comment>
    <comment ref="AF8" authorId="0" shapeId="0">
      <text>
        <t>추정: 매출액 × 판관비율 10.50%(최근 4분기 중위)
[ratio]</t>
      </text>
    </comment>
    <comment ref="AG8" authorId="0" shapeId="0">
      <text>
        <t>추정: 매출액 × 판관비율 10.50%(최근 4분기 중위)
[ratio]</t>
      </text>
    </comment>
    <comment ref="AH8" authorId="0" shapeId="0">
      <text>
        <t>추정: 매출액 × 판관비율 10.50%(최근 4분기 중위)
[ratio]</t>
      </text>
    </comment>
    <comment ref="AI8" authorId="0" shapeId="0">
      <text>
        <t>추정: 매출액 × 판관비율 10.50%(최근 4분기 중위)
[ratio]</t>
      </text>
    </comment>
    <comment ref="AK8" authorId="0" shapeId="0">
      <text>
        <t>추정: 매출액 × 판관비율 10.50%(최근 4분기 중위)
[ratio]</t>
      </text>
    </comment>
    <comment ref="AL8" authorId="0" shapeId="0">
      <text>
        <t>추정: 매출액 × 판관비율 10.50%(최근 4분기 중위)
[ratio]</t>
      </text>
    </comment>
    <comment ref="AM8" authorId="0" shapeId="0">
      <text>
        <t>추정: 매출액 × 판관비율 10.50%(최근 4분기 중위)
[ratio]</t>
      </text>
    </comment>
    <comment ref="AN8" authorId="0" shapeId="0">
      <text>
        <t>추정: 매출액 × 판관비율 10.50%(최근 4분기 중위)
[ratio]</t>
      </text>
    </comment>
    <comment ref="AC9" authorId="0" shapeId="0">
      <text>
        <t>추정: 매출액 × OPM(최근 8분기 OPM 중위 2.9% 유지(클립 −20~40%))
[ratio]</t>
      </text>
    </comment>
    <comment ref="AD9" authorId="0" shapeId="0">
      <text>
        <t>추정: 매출액 × OPM(최근 8분기 OPM 중위 2.9% 유지(클립 −20~40%))
[ratio]</t>
      </text>
    </comment>
    <comment ref="AF9" authorId="0" shapeId="0">
      <text>
        <t>추정: 매출액 × OPM(최근 8분기 OPM 중위 2.9% 유지(클립 −20~40%))
[ratio]</t>
      </text>
    </comment>
    <comment ref="AG9" authorId="0" shapeId="0">
      <text>
        <t>추정: 매출액 × OPM(최근 8분기 OPM 중위 2.9% 유지(클립 −20~40%))
[ratio]</t>
      </text>
    </comment>
    <comment ref="AH9" authorId="0" shapeId="0">
      <text>
        <t>추정: 매출액 × OPM(최근 8분기 OPM 중위 2.9% 유지(클립 −20~40%))
[ratio]</t>
      </text>
    </comment>
    <comment ref="AI9" authorId="0" shapeId="0">
      <text>
        <t>추정: 매출액 × OPM(최근 8분기 OPM 중위 2.9% 유지(클립 −20~40%))
[ratio]</t>
      </text>
    </comment>
    <comment ref="AK9" authorId="0" shapeId="0">
      <text>
        <t>추정: 매출액 × OPM(최근 8분기 OPM 중위 2.9% 유지(클립 −20~40%))
[ratio]</t>
      </text>
    </comment>
    <comment ref="AL9" authorId="0" shapeId="0">
      <text>
        <t>추정: 매출액 × OPM(최근 8분기 OPM 중위 2.9% 유지(클립 −20~40%))
[ratio]</t>
      </text>
    </comment>
    <comment ref="AM9" authorId="0" shapeId="0">
      <text>
        <t>추정: 매출액 × OPM(최근 8분기 OPM 중위 2.9% 유지(클립 −20~40%))
[ratio]</t>
      </text>
    </comment>
    <comment ref="AN9" authorId="0" shapeId="0">
      <text>
        <t>추정: 매출액 × OPM(최근 8분기 OPM 중위 2.9% 유지(클립 −20~40%))
[ratio]</t>
      </text>
    </comment>
    <comment ref="AC10" authorId="0" shapeId="0">
      <text>
        <t>추정: 최근 8분기 OPM 중위 2.9% 유지(클립 −20~40%)
[divide]</t>
      </text>
    </comment>
    <comment ref="AD10" authorId="0" shapeId="0">
      <text>
        <t>추정: 최근 8분기 OPM 중위 2.9% 유지(클립 −20~40%)
[divide]</t>
      </text>
    </comment>
    <comment ref="AF10" authorId="0" shapeId="0">
      <text>
        <t>추정: 최근 8분기 OPM 중위 2.9% 유지(클립 −20~40%)
[divide]</t>
      </text>
    </comment>
    <comment ref="AG10" authorId="0" shapeId="0">
      <text>
        <t>추정: 최근 8분기 OPM 중위 2.9% 유지(클립 −20~40%)
[divide]</t>
      </text>
    </comment>
    <comment ref="AH10" authorId="0" shapeId="0">
      <text>
        <t>추정: 최근 8분기 OPM 중위 2.9% 유지(클립 −20~40%)
[divide]</t>
      </text>
    </comment>
    <comment ref="AI10" authorId="0" shapeId="0">
      <text>
        <t>추정: 최근 8분기 OPM 중위 2.9% 유지(클립 −20~40%)
[divide]</t>
      </text>
    </comment>
    <comment ref="AK10" authorId="0" shapeId="0">
      <text>
        <t>추정: 최근 8분기 OPM 중위 2.9% 유지(클립 −20~40%)
[divide]</t>
      </text>
    </comment>
    <comment ref="AL10" authorId="0" shapeId="0">
      <text>
        <t>추정: 최근 8분기 OPM 중위 2.9% 유지(클립 −20~40%)
[divide]</t>
      </text>
    </comment>
    <comment ref="AM10" authorId="0" shapeId="0">
      <text>
        <t>추정: 최근 8분기 OPM 중위 2.9% 유지(클립 −20~40%)
[divide]</t>
      </text>
    </comment>
    <comment ref="AN10" authorId="0" shapeId="0">
      <text>
        <t>추정: 최근 8분기 OPM 중위 2.9% 유지(클립 −20~40%)
[divide]</t>
      </text>
    </comment>
    <comment ref="AC11" authorId="0" shapeId="0">
      <text>
        <t>추정: 이자손익 + 외환손익 0 + 파생상품손익 0 + 기타금융손익 +0.00억(잔차 실측 0분기 &lt; 4 → 0) (항등식); 이자손익 = 이자발생자산 31억 × 1.58%(CF 이자수취 ÷ 평균 이자발생자산(2025Q3~2026Q2; 주석 이자수익 1분기 &lt; 4)) − 총차입금 152억 × 1.16%(CF 이자지급 ÷ 평균 총차입금(2023Q1~2025Q1; 주석 이자비용 1분기 &lt; 4)) (연율) ÷ 4; 환율 효과는 환관련손익 행 별도
[identity]</t>
      </text>
    </comment>
    <comment ref="AD11" authorId="0" shapeId="0">
      <text>
        <t>추정: 이자손익 + 외환손익 0 + 파생상품손익 0 + 기타금융손익 +0.00억(잔차 실측 0분기 &lt; 4 → 0) (항등식); 이자손익 = 이자발생자산 34억 × 1.58%(CF 이자수취 ÷ 평균 이자발생자산(2025Q3~2026Q2; 주석 이자수익 1분기 &lt; 4)) − 총차입금 152억 × 1.16%(CF 이자지급 ÷ 평균 총차입금(2023Q1~2025Q1; 주석 이자비용 1분기 &lt; 4)) (연율) ÷ 4; 환율 효과는 환관련손익 행 별도
[identity]</t>
      </text>
    </comment>
    <comment ref="AF11" authorId="0" shapeId="0">
      <text>
        <t>추정: 이자손익 + 외환손익 0 + 파생상품손익 0 + 기타금융손익 +0.00억(잔차 실측 0분기 &lt; 4 → 0) (항등식); 이자손익 = 이자발생자산 37억 × 1.58%(CF 이자수취 ÷ 평균 이자발생자산(2025Q3~2026Q2; 주석 이자수익 1분기 &lt; 4)) − 총차입금 152억 × 1.16%(CF 이자지급 ÷ 평균 총차입금(2023Q1~2025Q1; 주석 이자비용 1분기 &lt; 4)) (연율) ÷ 4; 환율 효과는 환관련손익 행 별도
[identity]</t>
      </text>
    </comment>
    <comment ref="AG11" authorId="0" shapeId="0">
      <text>
        <t>추정: 이자손익 + 외환손익 0 + 파생상품손익 0 + 기타금융손익 +0.00억(잔차 실측 0분기 &lt; 4 → 0) (항등식); 이자손익 = 이자발생자산 40억 × 1.58%(CF 이자수취 ÷ 평균 이자발생자산(2025Q3~2026Q2; 주석 이자수익 1분기 &lt; 4)) − 총차입금 152억 × 1.16%(CF 이자지급 ÷ 평균 총차입금(2023Q1~2025Q1; 주석 이자비용 1분기 &lt; 4)) (연율) ÷ 4; 환율 효과는 환관련손익 행 별도
[identity]</t>
      </text>
    </comment>
    <comment ref="AH11" authorId="0" shapeId="0">
      <text>
        <t>추정: 이자손익 + 외환손익 0 + 파생상품손익 0 + 기타금융손익 +0.00억(잔차 실측 0분기 &lt; 4 → 0) (항등식); 이자손익 = 이자발생자산 43억 × 1.58%(CF 이자수취 ÷ 평균 이자발생자산(2025Q3~2026Q2; 주석 이자수익 1분기 &lt; 4)) − 총차입금 152억 × 1.16%(CF 이자지급 ÷ 평균 총차입금(2023Q1~2025Q1; 주석 이자비용 1분기 &lt; 4)) (연율) ÷ 4; 환율 효과는 환관련손익 행 별도
[identity]</t>
      </text>
    </comment>
    <comment ref="AI11" authorId="0" shapeId="0">
      <text>
        <t>추정: 이자손익 + 외환손익 0 + 파생상품손익 0 + 기타금융손익 +0.00억(잔차 실측 0분기 &lt; 4 → 0) (항등식); 이자손익 = 이자발생자산 46억 × 1.58%(CF 이자수취 ÷ 평균 이자발생자산(2025Q3~2026Q2; 주석 이자수익 1분기 &lt; 4)) − 총차입금 152억 × 1.16%(CF 이자지급 ÷ 평균 총차입금(2023Q1~2025Q1; 주석 이자비용 1분기 &lt; 4)) (연율) ÷ 4; 환율 효과는 환관련손익 행 별도
[identity]</t>
      </text>
    </comment>
    <comment ref="AK11" authorId="0" shapeId="0">
      <text>
        <t>추정: 이자손익 + 외환손익 0 + 파생상품손익 0 + 기타금융손익 +0.00억(잔차 실측 0분기 &lt; 4 → 0) (항등식); 이자손익 = 이자발생자산 49억 × 1.58%(CF 이자수취 ÷ 평균 이자발생자산(2025Q3~2026Q2; 주석 이자수익 1분기 &lt; 4)) − 총차입금 152억 × 1.16%(CF 이자지급 ÷ 평균 총차입금(2023Q1~2025Q1; 주석 이자비용 1분기 &lt; 4)) (연율) ÷ 4; 환율 효과는 환관련손익 행 별도
[identity]</t>
      </text>
    </comment>
    <comment ref="AL11" authorId="0" shapeId="0">
      <text>
        <t>추정: 이자손익 + 외환손익 0 + 파생상품손익 0 + 기타금융손익 +0.00억(잔차 실측 0분기 &lt; 4 → 0) (항등식); 이자손익 = 이자발생자산 52억 × 1.58%(CF 이자수취 ÷ 평균 이자발생자산(2025Q3~2026Q2; 주석 이자수익 1분기 &lt; 4)) − 총차입금 152억 × 1.16%(CF 이자지급 ÷ 평균 총차입금(2023Q1~2025Q1; 주석 이자비용 1분기 &lt; 4)) (연율) ÷ 4; 환율 효과는 환관련손익 행 별도
[identity]</t>
      </text>
    </comment>
    <comment ref="AM11" authorId="0" shapeId="0">
      <text>
        <t>추정: 이자손익 + 외환손익 0 + 파생상품손익 0 + 기타금융손익 +0.00억(잔차 실측 0분기 &lt; 4 → 0) (항등식); 이자손익 = 이자발생자산 54억 × 1.58%(CF 이자수취 ÷ 평균 이자발생자산(2025Q3~2026Q2; 주석 이자수익 1분기 &lt; 4)) − 총차입금 152억 × 1.16%(CF 이자지급 ÷ 평균 총차입금(2023Q1~2025Q1; 주석 이자비용 1분기 &lt; 4)) (연율) ÷ 4; 환율 효과는 환관련손익 행 별도
[identity]</t>
      </text>
    </comment>
    <comment ref="AN11" authorId="0" shapeId="0">
      <text>
        <t>추정: 이자손익 + 외환손익 0 + 파생상품손익 0 + 기타금융손익 +0.00억(잔차 실측 0분기 &lt; 4 → 0) (항등식); 이자손익 = 이자발생자산 57억 × 1.58%(CF 이자수취 ÷ 평균 이자발생자산(2025Q3~2026Q2; 주석 이자수익 1분기 &lt; 4)) − 총차입금 152억 × 1.16%(CF 이자지급 ÷ 평균 총차입금(2023Q1~2025Q1; 주석 이자비용 1분기 &lt; 4)) (연율) ÷ 4; 환율 효과는 환관련손익 행 별도
[identity]</t>
      </text>
    </comment>
    <comment ref="AC12" authorId="0" shapeId="0">
      <text>
        <t>추정: 이자발생자산 31억 × 1.58%(CF 이자수취 ÷ 평균 이자발생자산(2025Q3~2026Q2; 주석 이자수익 1분기 &lt; 4)) − 총차입금 152억 × 1.16%(CF 이자지급 ÷ 평균 총차입금(2023Q1~2025Q1; 주석 이자비용 1분기 &lt; 4)) (연율) ÷ 4
[interest]</t>
      </text>
    </comment>
    <comment ref="AD12" authorId="0" shapeId="0">
      <text>
        <t>추정: 이자발생자산 34억 × 1.58%(CF 이자수취 ÷ 평균 이자발생자산(2025Q3~2026Q2; 주석 이자수익 1분기 &lt; 4)) − 총차입금 152억 × 1.16%(CF 이자지급 ÷ 평균 총차입금(2023Q1~2025Q1; 주석 이자비용 1분기 &lt; 4)) (연율) ÷ 4
[interest]</t>
      </text>
    </comment>
    <comment ref="AF12" authorId="0" shapeId="0">
      <text>
        <t>추정: 이자발생자산 37억 × 1.58%(CF 이자수취 ÷ 평균 이자발생자산(2025Q3~2026Q2; 주석 이자수익 1분기 &lt; 4)) − 총차입금 152억 × 1.16%(CF 이자지급 ÷ 평균 총차입금(2023Q1~2025Q1; 주석 이자비용 1분기 &lt; 4)) (연율) ÷ 4
[interest]</t>
      </text>
    </comment>
    <comment ref="AG12" authorId="0" shapeId="0">
      <text>
        <t>추정: 이자발생자산 40억 × 1.58%(CF 이자수취 ÷ 평균 이자발생자산(2025Q3~2026Q2; 주석 이자수익 1분기 &lt; 4)) − 총차입금 152억 × 1.16%(CF 이자지급 ÷ 평균 총차입금(2023Q1~2025Q1; 주석 이자비용 1분기 &lt; 4)) (연율) ÷ 4
[interest]</t>
      </text>
    </comment>
    <comment ref="AH12" authorId="0" shapeId="0">
      <text>
        <t>추정: 이자발생자산 43억 × 1.58%(CF 이자수취 ÷ 평균 이자발생자산(2025Q3~2026Q2; 주석 이자수익 1분기 &lt; 4)) − 총차입금 152억 × 1.16%(CF 이자지급 ÷ 평균 총차입금(2023Q1~2025Q1; 주석 이자비용 1분기 &lt; 4)) (연율) ÷ 4
[interest]</t>
      </text>
    </comment>
    <comment ref="AI12" authorId="0" shapeId="0">
      <text>
        <t>추정: 이자발생자산 46억 × 1.58%(CF 이자수취 ÷ 평균 이자발생자산(2025Q3~2026Q2; 주석 이자수익 1분기 &lt; 4)) − 총차입금 152억 × 1.16%(CF 이자지급 ÷ 평균 총차입금(2023Q1~2025Q1; 주석 이자비용 1분기 &lt; 4)) (연율) ÷ 4
[interest]</t>
      </text>
    </comment>
    <comment ref="AK12" authorId="0" shapeId="0">
      <text>
        <t>추정: 이자발생자산 49억 × 1.58%(CF 이자수취 ÷ 평균 이자발생자산(2025Q3~2026Q2; 주석 이자수익 1분기 &lt; 4)) − 총차입금 152억 × 1.16%(CF 이자지급 ÷ 평균 총차입금(2023Q1~2025Q1; 주석 이자비용 1분기 &lt; 4)) (연율) ÷ 4
[interest]</t>
      </text>
    </comment>
    <comment ref="AL12" authorId="0" shapeId="0">
      <text>
        <t>추정: 이자발생자산 52억 × 1.58%(CF 이자수취 ÷ 평균 이자발생자산(2025Q3~2026Q2; 주석 이자수익 1분기 &lt; 4)) − 총차입금 152억 × 1.16%(CF 이자지급 ÷ 평균 총차입금(2023Q1~2025Q1; 주석 이자비용 1분기 &lt; 4)) (연율) ÷ 4
[interest]</t>
      </text>
    </comment>
    <comment ref="AM12" authorId="0" shapeId="0">
      <text>
        <t>추정: 이자발생자산 54억 × 1.58%(CF 이자수취 ÷ 평균 이자발생자산(2025Q3~2026Q2; 주석 이자수익 1분기 &lt; 4)) − 총차입금 152억 × 1.16%(CF 이자지급 ÷ 평균 총차입금(2023Q1~2025Q1; 주석 이자비용 1분기 &lt; 4)) (연율) ÷ 4
[interest]</t>
      </text>
    </comment>
    <comment ref="AN12" authorId="0" shapeId="0">
      <text>
        <t>추정: 이자발생자산 57억 × 1.58%(CF 이자수취 ÷ 평균 이자발생자산(2025Q3~2026Q2; 주석 이자수익 1분기 &lt; 4)) − 총차입금 152억 × 1.16%(CF 이자지급 ÷ 평균 총차입금(2023Q1~2025Q1; 주석 이자비용 1분기 &lt; 4)) (연율) ÷ 4
[interest]</t>
      </text>
    </comment>
    <comment ref="AA13" authorId="0" shapeId="0">
      <text>
        <t>BS 계정 합·차: +외환차익 -외환차손 +외화환산이익 -외화환산손실</t>
      </text>
    </comment>
    <comment ref="AC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D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F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G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H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I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K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L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M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N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C14" authorId="0" shapeId="0">
      <text>
        <t>추정: 일회성 미가정 → 0
[abs]</t>
      </text>
    </comment>
    <comment ref="AD14" authorId="0" shapeId="0">
      <text>
        <t>추정: 일회성 미가정 → 0
[abs]</t>
      </text>
    </comment>
    <comment ref="AF14" authorId="0" shapeId="0">
      <text>
        <t>추정: 일회성 미가정 → 0
[abs]</t>
      </text>
    </comment>
    <comment ref="AG14" authorId="0" shapeId="0">
      <text>
        <t>추정: 일회성 미가정 → 0
[abs]</t>
      </text>
    </comment>
    <comment ref="AH14" authorId="0" shapeId="0">
      <text>
        <t>추정: 일회성 미가정 → 0
[abs]</t>
      </text>
    </comment>
    <comment ref="AI14" authorId="0" shapeId="0">
      <text>
        <t>추정: 일회성 미가정 → 0
[abs]</t>
      </text>
    </comment>
    <comment ref="AK14" authorId="0" shapeId="0">
      <text>
        <t>추정: 일회성 미가정 → 0
[abs]</t>
      </text>
    </comment>
    <comment ref="AL14" authorId="0" shapeId="0">
      <text>
        <t>추정: 일회성 미가정 → 0
[abs]</t>
      </text>
    </comment>
    <comment ref="AM14" authorId="0" shapeId="0">
      <text>
        <t>추정: 일회성 미가정 → 0
[abs]</t>
      </text>
    </comment>
    <comment ref="AN14" authorId="0" shapeId="0">
      <text>
        <t>추정: 일회성 미가정 → 0
[abs]</t>
      </text>
    </comment>
    <comment ref="AC15" authorId="0" shapeId="0">
      <text>
        <t>추정: 최근 4분기 중위
[abs]</t>
      </text>
    </comment>
    <comment ref="AD15" authorId="0" shapeId="0">
      <text>
        <t>추정: 최근 4분기 중위
[abs]</t>
      </text>
    </comment>
    <comment ref="AF15" authorId="0" shapeId="0">
      <text>
        <t>추정: 최근 4분기 중위
[abs]</t>
      </text>
    </comment>
    <comment ref="AG15" authorId="0" shapeId="0">
      <text>
        <t>추정: 최근 4분기 중위
[abs]</t>
      </text>
    </comment>
    <comment ref="AH15" authorId="0" shapeId="0">
      <text>
        <t>추정: 최근 4분기 중위
[abs]</t>
      </text>
    </comment>
    <comment ref="AI15" authorId="0" shapeId="0">
      <text>
        <t>추정: 최근 4분기 중위
[abs]</t>
      </text>
    </comment>
    <comment ref="AK15" authorId="0" shapeId="0">
      <text>
        <t>추정: 최근 4분기 중위
[abs]</t>
      </text>
    </comment>
    <comment ref="AL15" authorId="0" shapeId="0">
      <text>
        <t>추정: 최근 4분기 중위
[abs]</t>
      </text>
    </comment>
    <comment ref="AM15" authorId="0" shapeId="0">
      <text>
        <t>추정: 최근 4분기 중위
[abs]</t>
      </text>
    </comment>
    <comment ref="AN15" authorId="0" shapeId="0">
      <text>
        <t>추정: 최근 4분기 중위
[abs]</t>
      </text>
    </comment>
    <comment ref="AC16" authorId="0" shapeId="0">
      <text>
        <t>추정: 영업이익 + 금융손익 + 기타영업외 + 지분법 + 환관련(항등식)
[identity]</t>
      </text>
    </comment>
    <comment ref="AD16" authorId="0" shapeId="0">
      <text>
        <t>추정: 영업이익 + 금융손익 + 기타영업외 + 지분법 + 환관련(항등식)
[identity]</t>
      </text>
    </comment>
    <comment ref="AF16" authorId="0" shapeId="0">
      <text>
        <t>추정: 영업이익 + 금융손익 + 기타영업외 + 지분법 + 환관련(항등식)
[identity]</t>
      </text>
    </comment>
    <comment ref="AG16" authorId="0" shapeId="0">
      <text>
        <t>추정: 영업이익 + 금융손익 + 기타영업외 + 지분법 + 환관련(항등식)
[identity]</t>
      </text>
    </comment>
    <comment ref="AH16" authorId="0" shapeId="0">
      <text>
        <t>추정: 영업이익 + 금융손익 + 기타영업외 + 지분법 + 환관련(항등식)
[identity]</t>
      </text>
    </comment>
    <comment ref="AI16" authorId="0" shapeId="0">
      <text>
        <t>추정: 영업이익 + 금융손익 + 기타영업외 + 지분법 + 환관련(항등식)
[identity]</t>
      </text>
    </comment>
    <comment ref="AK16" authorId="0" shapeId="0">
      <text>
        <t>추정: 영업이익 + 금융손익 + 기타영업외 + 지분법 + 환관련(항등식)
[identity]</t>
      </text>
    </comment>
    <comment ref="AL16" authorId="0" shapeId="0">
      <text>
        <t>추정: 영업이익 + 금융손익 + 기타영업외 + 지분법 + 환관련(항등식)
[identity]</t>
      </text>
    </comment>
    <comment ref="AM16" authorId="0" shapeId="0">
      <text>
        <t>추정: 영업이익 + 금융손익 + 기타영업외 + 지분법 + 환관련(항등식)
[identity]</t>
      </text>
    </comment>
    <comment ref="AN16" authorId="0" shapeId="0">
      <text>
        <t>추정: 영업이익 + 금융손익 + 기타영업외 + 지분법 + 환관련(항등식)
[identity]</t>
      </text>
    </comment>
    <comment ref="AC17" authorId="0" shapeId="0">
      <text>
        <t>추정: max(세전, 0) × 세율 0.0%(이월결손 경로 유지 — 최근 8분기 중 세전 &gt; 0 인 6분기(2024Q4~2026Q2) 법인세/세전 중위 -35.1%·최근 4분기 중위 -35.1% 가 모두 5% 미만 → 이월결손 공제 중으로 보고 0.0% 를 2026Q4 까지 유지, 2027Q1~2028Q4 선형 램프로 법정세율 근사 22% 수렴)
[tax]</t>
      </text>
    </comment>
    <comment ref="AD17" authorId="0" shapeId="0">
      <text>
        <t>추정: max(세전, 0) × 세율 0.0%(이월결손 경로 유지 — 최근 8분기 중 세전 &gt; 0 인 6분기(2024Q4~2026Q2) 법인세/세전 중위 -35.1%·최근 4분기 중위 -35.1% 가 모두 5% 미만 → 이월결손 공제 중으로 보고 0.0% 를 2026Q4 까지 유지, 2027Q1~2028Q4 선형 램프로 법정세율 근사 22% 수렴)
[tax]</t>
      </text>
    </comment>
    <comment ref="AF17" authorId="0" shapeId="0">
      <text>
        <t>추정: max(세전, 0) × 세율 2.8%(이월결손 경로 램프 1/8 — 최근 8분기 중 세전 &gt; 0 인 6분기(2024Q4~2026Q2) 법인세/세전 중위 -35.1%·최근 4분기 중위 -35.1% 가 모두 5% 미만 → 이월결손 공제 중으로 보고 0.0% 를 2026Q4 까지 유지, 2027Q1~2028Q4 선형 램프로 법정세율 근사 22% 수렴)
[tax]</t>
      </text>
    </comment>
    <comment ref="AG17" authorId="0" shapeId="0">
      <text>
        <t>추정: max(세전, 0) × 세율 5.5%(이월결손 경로 램프 2/8 — 최근 8분기 중 세전 &gt; 0 인 6분기(2024Q4~2026Q2) 법인세/세전 중위 -35.1%·최근 4분기 중위 -35.1% 가 모두 5% 미만 → 이월결손 공제 중으로 보고 0.0% 를 2026Q4 까지 유지, 2027Q1~2028Q4 선형 램프로 법정세율 근사 22% 수렴)
[tax]</t>
      </text>
    </comment>
    <comment ref="AH17" authorId="0" shapeId="0">
      <text>
        <t>추정: max(세전, 0) × 세율 8.2%(이월결손 경로 램프 3/8 — 최근 8분기 중 세전 &gt; 0 인 6분기(2024Q4~2026Q2) 법인세/세전 중위 -35.1%·최근 4분기 중위 -35.1% 가 모두 5% 미만 → 이월결손 공제 중으로 보고 0.0% 를 2026Q4 까지 유지, 2027Q1~2028Q4 선형 램프로 법정세율 근사 22% 수렴)
[tax]</t>
      </text>
    </comment>
    <comment ref="AI17" authorId="0" shapeId="0">
      <text>
        <t>추정: max(세전, 0) × 세율 11.0%(이월결손 경로 램프 4/8 — 최근 8분기 중 세전 &gt; 0 인 6분기(2024Q4~2026Q2) 법인세/세전 중위 -35.1%·최근 4분기 중위 -35.1% 가 모두 5% 미만 → 이월결손 공제 중으로 보고 0.0% 를 2026Q4 까지 유지, 2027Q1~2028Q4 선형 램프로 법정세율 근사 22% 수렴)
[tax]</t>
      </text>
    </comment>
    <comment ref="AK17" authorId="0" shapeId="0">
      <text>
        <t>추정: max(세전, 0) × 세율 13.8%(이월결손 경로 램프 5/8 — 최근 8분기 중 세전 &gt; 0 인 6분기(2024Q4~2026Q2) 법인세/세전 중위 -35.1%·최근 4분기 중위 -35.1% 가 모두 5% 미만 → 이월결손 공제 중으로 보고 0.0% 를 2026Q4 까지 유지, 2027Q1~2028Q4 선형 램프로 법정세율 근사 22% 수렴)
[tax]</t>
      </text>
    </comment>
    <comment ref="AL17" authorId="0" shapeId="0">
      <text>
        <t>추정: max(세전, 0) × 세율 16.5%(이월결손 경로 램프 6/8 — 최근 8분기 중 세전 &gt; 0 인 6분기(2024Q4~2026Q2) 법인세/세전 중위 -35.1%·최근 4분기 중위 -35.1% 가 모두 5% 미만 → 이월결손 공제 중으로 보고 0.0% 를 2026Q4 까지 유지, 2027Q1~2028Q4 선형 램프로 법정세율 근사 22% 수렴)
[tax]</t>
      </text>
    </comment>
    <comment ref="AM17" authorId="0" shapeId="0">
      <text>
        <t>추정: max(세전, 0) × 세율 19.2%(이월결손 경로 램프 7/8 — 최근 8분기 중 세전 &gt; 0 인 6분기(2024Q4~2026Q2) 법인세/세전 중위 -35.1%·최근 4분기 중위 -35.1% 가 모두 5% 미만 → 이월결손 공제 중으로 보고 0.0% 를 2026Q4 까지 유지, 2027Q1~2028Q4 선형 램프로 법정세율 근사 22% 수렴)
[tax]</t>
      </text>
    </comment>
    <comment ref="AN17" authorId="0" shapeId="0">
      <text>
        <t>추정: max(세전, 0) × 세율 22.0%(이월결손 경로 램프 8/8 — 최근 8분기 중 세전 &gt; 0 인 6분기(2024Q4~2026Q2) 법인세/세전 중위 -35.1%·최근 4분기 중위 -35.1% 가 모두 5% 미만 → 이월결손 공제 중으로 보고 0.0% 를 2026Q4 까지 유지, 2027Q1~2028Q4 선형 램프로 법정세율 근사 22% 수렴)
[tax]</t>
      </text>
    </comment>
    <comment ref="AC18" authorId="0" shapeId="0">
      <text>
        <t>추정: 세전이익 − 법인세비용(항등식)
[identity]</t>
      </text>
    </comment>
    <comment ref="AD18" authorId="0" shapeId="0">
      <text>
        <t>추정: 세전이익 − 법인세비용(항등식)
[identity]</t>
      </text>
    </comment>
    <comment ref="AF18" authorId="0" shapeId="0">
      <text>
        <t>추정: 세전이익 − 법인세비용(항등식)
[identity]</t>
      </text>
    </comment>
    <comment ref="AG18" authorId="0" shapeId="0">
      <text>
        <t>추정: 세전이익 − 법인세비용(항등식)
[identity]</t>
      </text>
    </comment>
    <comment ref="AH18" authorId="0" shapeId="0">
      <text>
        <t>추정: 세전이익 − 법인세비용(항등식)
[identity]</t>
      </text>
    </comment>
    <comment ref="AI18" authorId="0" shapeId="0">
      <text>
        <t>추정: 세전이익 − 법인세비용(항등식)
[identity]</t>
      </text>
    </comment>
    <comment ref="AK18" authorId="0" shapeId="0">
      <text>
        <t>추정: 세전이익 − 법인세비용(항등식)
[identity]</t>
      </text>
    </comment>
    <comment ref="AL18" authorId="0" shapeId="0">
      <text>
        <t>추정: 세전이익 − 법인세비용(항등식)
[identity]</t>
      </text>
    </comment>
    <comment ref="AM18" authorId="0" shapeId="0">
      <text>
        <t>추정: 세전이익 − 법인세비용(항등식)
[identity]</t>
      </text>
    </comment>
    <comment ref="AN18" authorId="0" shapeId="0">
      <text>
        <t>추정: 세전이익 − 법인세비용(항등식)
[identity]</t>
      </text>
    </comment>
    <comment ref="AC19" authorId="0" shapeId="0">
      <text>
        <t>추정: 당기순이익 × (1 − 비지배 비중 0.0%, 최근 8분기 실측)
[ratio]</t>
      </text>
    </comment>
    <comment ref="AD19" authorId="0" shapeId="0">
      <text>
        <t>추정: 당기순이익 × (1 − 비지배 비중 0.0%, 최근 8분기 실측)
[ratio]</t>
      </text>
    </comment>
    <comment ref="AF19" authorId="0" shapeId="0">
      <text>
        <t>추정: 당기순이익 × (1 − 비지배 비중 0.0%, 최근 8분기 실측)
[ratio]</t>
      </text>
    </comment>
    <comment ref="AG19" authorId="0" shapeId="0">
      <text>
        <t>추정: 당기순이익 × (1 − 비지배 비중 0.0%, 최근 8분기 실측)
[ratio]</t>
      </text>
    </comment>
    <comment ref="AH19" authorId="0" shapeId="0">
      <text>
        <t>추정: 당기순이익 × (1 − 비지배 비중 0.0%, 최근 8분기 실측)
[ratio]</t>
      </text>
    </comment>
    <comment ref="AI19" authorId="0" shapeId="0">
      <text>
        <t>추정: 당기순이익 × (1 − 비지배 비중 0.0%, 최근 8분기 실측)
[ratio]</t>
      </text>
    </comment>
    <comment ref="AK19" authorId="0" shapeId="0">
      <text>
        <t>추정: 당기순이익 × (1 − 비지배 비중 0.0%, 최근 8분기 실측)
[ratio]</t>
      </text>
    </comment>
    <comment ref="AL19" authorId="0" shapeId="0">
      <text>
        <t>추정: 당기순이익 × (1 − 비지배 비중 0.0%, 최근 8분기 실측)
[ratio]</t>
      </text>
    </comment>
    <comment ref="AM19" authorId="0" shapeId="0">
      <text>
        <t>추정: 당기순이익 × (1 − 비지배 비중 0.0%, 최근 8분기 실측)
[ratio]</t>
      </text>
    </comment>
    <comment ref="AN19" authorId="0" shapeId="0">
      <text>
        <t>추정: 당기순이익 × (1 − 비지배 비중 0.0%, 최근 8분기 실측)
[ratio]</t>
      </text>
    </comment>
    <comment ref="F20" authorId="0" shapeId="0">
      <text>
        <t>연간 실측(BS 시트에 2021.12A 없음 — 모델 a 값 직접)</t>
      </text>
    </comment>
    <comment ref="AC20" authorId="0" shapeId="0">
      <text>
        <t>추정: 부채총계 + 자본총계(항등식)
[identity]</t>
      </text>
    </comment>
    <comment ref="AD20" authorId="0" shapeId="0">
      <text>
        <t>추정: 부채총계 + 자본총계(항등식)
[identity]</t>
      </text>
    </comment>
    <comment ref="AF20" authorId="0" shapeId="0">
      <text>
        <t>추정: 부채총계 + 자본총계(항등식)
[identity]</t>
      </text>
    </comment>
    <comment ref="AG20" authorId="0" shapeId="0">
      <text>
        <t>추정: 부채총계 + 자본총계(항등식)
[identity]</t>
      </text>
    </comment>
    <comment ref="AH20" authorId="0" shapeId="0">
      <text>
        <t>추정: 부채총계 + 자본총계(항등식)
[identity]</t>
      </text>
    </comment>
    <comment ref="AI20" authorId="0" shapeId="0">
      <text>
        <t>추정: 부채총계 + 자본총계(항등식)
[identity]</t>
      </text>
    </comment>
    <comment ref="AK20" authorId="0" shapeId="0">
      <text>
        <t>추정: 부채총계 + 자본총계(항등식)
[identity]</t>
      </text>
    </comment>
    <comment ref="AL20" authorId="0" shapeId="0">
      <text>
        <t>추정: 부채총계 + 자본총계(항등식)
[identity]</t>
      </text>
    </comment>
    <comment ref="AM20" authorId="0" shapeId="0">
      <text>
        <t>추정: 부채총계 + 자본총계(항등식)
[identity]</t>
      </text>
    </comment>
    <comment ref="AN20" authorId="0" shapeId="0">
      <text>
        <t>추정: 부채총계 + 자본총계(항등식)
[identity]</t>
      </text>
    </comment>
    <comment ref="F21" authorId="0" shapeId="0">
      <text>
        <t>연간 실측(BS 시트에 2021.12A 없음 — 모델 a 값 직접)</t>
      </text>
    </comment>
    <comment ref="AC21" authorId="0" shapeId="0">
      <text>
        <t>추정: 마지막 실적 유지(가정)
[qoq]</t>
      </text>
    </comment>
    <comment ref="AD21" authorId="0" shapeId="0">
      <text>
        <t>추정: 마지막 실적 유지(가정)
[qoq]</t>
      </text>
    </comment>
    <comment ref="AF21" authorId="0" shapeId="0">
      <text>
        <t>추정: 마지막 실적 유지(가정)
[qoq]</t>
      </text>
    </comment>
    <comment ref="AG21" authorId="0" shapeId="0">
      <text>
        <t>추정: 마지막 실적 유지(가정)
[qoq]</t>
      </text>
    </comment>
    <comment ref="AH21" authorId="0" shapeId="0">
      <text>
        <t>추정: 마지막 실적 유지(가정)
[qoq]</t>
      </text>
    </comment>
    <comment ref="AI21" authorId="0" shapeId="0">
      <text>
        <t>추정: 마지막 실적 유지(가정)
[qoq]</t>
      </text>
    </comment>
    <comment ref="AK21" authorId="0" shapeId="0">
      <text>
        <t>추정: 마지막 실적 유지(가정)
[qoq]</t>
      </text>
    </comment>
    <comment ref="AL21" authorId="0" shapeId="0">
      <text>
        <t>추정: 마지막 실적 유지(가정)
[qoq]</t>
      </text>
    </comment>
    <comment ref="AM21" authorId="0" shapeId="0">
      <text>
        <t>추정: 마지막 실적 유지(가정)
[qoq]</t>
      </text>
    </comment>
    <comment ref="AN21" authorId="0" shapeId="0">
      <text>
        <t>추정: 마지막 실적 유지(가정)
[qoq]</t>
      </text>
    </comment>
    <comment ref="F22" authorId="0" shapeId="0">
      <text>
        <t>연간 실측(BS 시트에 2021.12A 없음 — 모델 a 값 직접)</t>
      </text>
    </comment>
    <comment ref="AC22" authorId="0" shapeId="0">
      <text>
        <t>추정: 전분기 + 당기순이익 − 배당(Q2 지급 가정)
[roll]</t>
      </text>
    </comment>
    <comment ref="AD22" authorId="0" shapeId="0">
      <text>
        <t>추정: 전분기 + 당기순이익 − 배당(Q2 지급 가정)
[roll]</t>
      </text>
    </comment>
    <comment ref="AF22" authorId="0" shapeId="0">
      <text>
        <t>추정: 전분기 + 당기순이익 − 배당(Q2 지급 가정)
[roll]</t>
      </text>
    </comment>
    <comment ref="AG22" authorId="0" shapeId="0">
      <text>
        <t>추정: 전분기 + 당기순이익 − 배당(Q2 지급 가정)
[roll]</t>
      </text>
    </comment>
    <comment ref="AH22" authorId="0" shapeId="0">
      <text>
        <t>추정: 전분기 + 당기순이익 − 배당(Q2 지급 가정)
[roll]</t>
      </text>
    </comment>
    <comment ref="AI22" authorId="0" shapeId="0">
      <text>
        <t>추정: 전분기 + 당기순이익 − 배당(Q2 지급 가정)
[roll]</t>
      </text>
    </comment>
    <comment ref="AK22" authorId="0" shapeId="0">
      <text>
        <t>추정: 전분기 + 당기순이익 − 배당(Q2 지급 가정)
[roll]</t>
      </text>
    </comment>
    <comment ref="AL22" authorId="0" shapeId="0">
      <text>
        <t>추정: 전분기 + 당기순이익 − 배당(Q2 지급 가정)
[roll]</t>
      </text>
    </comment>
    <comment ref="AM22" authorId="0" shapeId="0">
      <text>
        <t>추정: 전분기 + 당기순이익 − 배당(Q2 지급 가정)
[roll]</t>
      </text>
    </comment>
    <comment ref="AN22" authorId="0" shapeId="0">
      <text>
        <t>추정: 전분기 + 당기순이익 − 배당(Q2 지급 가정)
[roll]</t>
      </text>
    </comment>
    <comment ref="F23" authorId="0" shapeId="0">
      <text>
        <t>연간 실측(BS 시트에 2021.12A 없음 — 모델 a 값 직접)</t>
      </text>
    </comment>
    <comment ref="AC23" authorId="0" shapeId="0">
      <text>
        <t>추정: 전분기 + 지배주주순이익 − 배당
[roll]</t>
      </text>
    </comment>
    <comment ref="AD23" authorId="0" shapeId="0">
      <text>
        <t>추정: 전분기 + 지배주주순이익 − 배당
[roll]</t>
      </text>
    </comment>
    <comment ref="AF23" authorId="0" shapeId="0">
      <text>
        <t>추정: 전분기 + 지배주주순이익 − 배당
[roll]</t>
      </text>
    </comment>
    <comment ref="AG23" authorId="0" shapeId="0">
      <text>
        <t>추정: 전분기 + 지배주주순이익 − 배당
[roll]</t>
      </text>
    </comment>
    <comment ref="AH23" authorId="0" shapeId="0">
      <text>
        <t>추정: 전분기 + 지배주주순이익 − 배당
[roll]</t>
      </text>
    </comment>
    <comment ref="AI23" authorId="0" shapeId="0">
      <text>
        <t>추정: 전분기 + 지배주주순이익 − 배당
[roll]</t>
      </text>
    </comment>
    <comment ref="AK23" authorId="0" shapeId="0">
      <text>
        <t>추정: 전분기 + 지배주주순이익 − 배당
[roll]</t>
      </text>
    </comment>
    <comment ref="AL23" authorId="0" shapeId="0">
      <text>
        <t>추정: 전분기 + 지배주주순이익 − 배당
[roll]</t>
      </text>
    </comment>
    <comment ref="AM23" authorId="0" shapeId="0">
      <text>
        <t>추정: 전분기 + 지배주주순이익 − 배당
[roll]</t>
      </text>
    </comment>
    <comment ref="AN23" authorId="0" shapeId="0">
      <text>
        <t>추정: 전분기 + 지배주주순이익 − 배당
[roll]</t>
      </text>
    </comment>
    <comment ref="F24" authorId="0" shapeId="0">
      <text>
        <t>연간 실측(BS 시트에 2021.12A 없음 — 모델 a 값 직접)</t>
      </text>
    </comment>
    <comment ref="AC24" authorId="0" shapeId="0">
      <text>
        <t>추정: 마지막 실적 유지(가정)
[qoq]</t>
      </text>
    </comment>
    <comment ref="AD24" authorId="0" shapeId="0">
      <text>
        <t>추정: 마지막 실적 유지(가정)
[qoq]</t>
      </text>
    </comment>
    <comment ref="AF24" authorId="0" shapeId="0">
      <text>
        <t>추정: 마지막 실적 유지(가정)
[qoq]</t>
      </text>
    </comment>
    <comment ref="AG24" authorId="0" shapeId="0">
      <text>
        <t>추정: 마지막 실적 유지(가정)
[qoq]</t>
      </text>
    </comment>
    <comment ref="AH24" authorId="0" shapeId="0">
      <text>
        <t>추정: 마지막 실적 유지(가정)
[qoq]</t>
      </text>
    </comment>
    <comment ref="AI24" authorId="0" shapeId="0">
      <text>
        <t>추정: 마지막 실적 유지(가정)
[qoq]</t>
      </text>
    </comment>
    <comment ref="AK24" authorId="0" shapeId="0">
      <text>
        <t>추정: 마지막 실적 유지(가정)
[qoq]</t>
      </text>
    </comment>
    <comment ref="AL24" authorId="0" shapeId="0">
      <text>
        <t>추정: 마지막 실적 유지(가정)
[qoq]</t>
      </text>
    </comment>
    <comment ref="AM24" authorId="0" shapeId="0">
      <text>
        <t>추정: 마지막 실적 유지(가정)
[qoq]</t>
      </text>
    </comment>
    <comment ref="AN24" authorId="0" shapeId="0">
      <text>
        <t>추정: 마지막 실적 유지(가정)
[qoq]</t>
      </text>
    </comment>
    <comment ref="F25" authorId="0" shapeId="0">
      <text>
        <t>연간 실측(BS 시트에 2021.12A 없음 — 모델 a 값 직접)</t>
      </text>
    </comment>
    <comment ref="AC25" authorId="0" shapeId="0">
      <text>
        <t>추정: 전분기 − FCF 근사[순이익 − 배당(감가상각비 없음 → CAPEX≈감가 가정, CAPEX 중위 5억은 행에만)] (운전자본 불변·총차입금 유지 가정 → 변동은 전부 현금)
[qoq]</t>
      </text>
    </comment>
    <comment ref="AD25" authorId="0" shapeId="0">
      <text>
        <t>추정: 전분기 − FCF 근사[순이익 − 배당(감가상각비 없음 → CAPEX≈감가 가정, CAPEX 중위 5억은 행에만)] (운전자본 불변·총차입금 유지 가정 → 변동은 전부 현금)
[qoq]</t>
      </text>
    </comment>
    <comment ref="AF25" authorId="0" shapeId="0">
      <text>
        <t>추정: 전분기 − FCF 근사[순이익 − 배당(감가상각비 없음 → CAPEX≈감가 가정, CAPEX 중위 5억은 행에만)] (운전자본 불변·총차입금 유지 가정 → 변동은 전부 현금)
[qoq]</t>
      </text>
    </comment>
    <comment ref="AG25" authorId="0" shapeId="0">
      <text>
        <t>추정: 전분기 − FCF 근사[순이익 − 배당(감가상각비 없음 → CAPEX≈감가 가정, CAPEX 중위 5억은 행에만)] (운전자본 불변·총차입금 유지 가정 → 변동은 전부 현금)
[qoq]</t>
      </text>
    </comment>
    <comment ref="AH25" authorId="0" shapeId="0">
      <text>
        <t>추정: 전분기 − FCF 근사[순이익 − 배당(감가상각비 없음 → CAPEX≈감가 가정, CAPEX 중위 5억은 행에만)] (운전자본 불변·총차입금 유지 가정 → 변동은 전부 현금)
[qoq]</t>
      </text>
    </comment>
    <comment ref="AI25" authorId="0" shapeId="0">
      <text>
        <t>추정: 전분기 − FCF 근사[순이익 − 배당(감가상각비 없음 → CAPEX≈감가 가정, CAPEX 중위 5억은 행에만)] (운전자본 불변·총차입금 유지 가정 → 변동은 전부 현금)
[qoq]</t>
      </text>
    </comment>
    <comment ref="AK25" authorId="0" shapeId="0">
      <text>
        <t>추정: 전분기 − FCF 근사[순이익 − 배당(감가상각비 없음 → CAPEX≈감가 가정, CAPEX 중위 5억은 행에만)] (운전자본 불변·총차입금 유지 가정 → 변동은 전부 현금)
[qoq]</t>
      </text>
    </comment>
    <comment ref="AL25" authorId="0" shapeId="0">
      <text>
        <t>추정: 전분기 − FCF 근사[순이익 − 배당(감가상각비 없음 → CAPEX≈감가 가정, CAPEX 중위 5억은 행에만)] (운전자본 불변·총차입금 유지 가정 → 변동은 전부 현금)
[qoq]</t>
      </text>
    </comment>
    <comment ref="AM25" authorId="0" shapeId="0">
      <text>
        <t>추정: 전분기 − FCF 근사[순이익 − 배당(감가상각비 없음 → CAPEX≈감가 가정, CAPEX 중위 5억은 행에만)] (운전자본 불변·총차입금 유지 가정 → 변동은 전부 현금)
[qoq]</t>
      </text>
    </comment>
    <comment ref="AN25" authorId="0" shapeId="0">
      <text>
        <t>추정: 전분기 − FCF 근사[순이익 − 배당(감가상각비 없음 → CAPEX≈감가 가정, CAPEX 중위 5억은 행에만)] (운전자본 불변·총차입금 유지 가정 → 변동은 전부 현금)
[qoq]</t>
      </text>
    </comment>
    <comment ref="F26" authorId="0" shapeId="0">
      <text>
        <t>연간 실측(BS 시트에 2021.12A 없음 — 모델 a 값 직접)</t>
      </text>
    </comment>
    <comment ref="AC26" authorId="0" shapeId="0">
      <text>
        <t>추정: 전분기 + FCF 근사 — 순차입금 롤과 같은 가정
[qoq]</t>
      </text>
    </comment>
    <comment ref="AD26" authorId="0" shapeId="0">
      <text>
        <t>추정: 전분기 + FCF 근사 — 순차입금 롤과 같은 가정
[qoq]</t>
      </text>
    </comment>
    <comment ref="AF26" authorId="0" shapeId="0">
      <text>
        <t>추정: 전분기 + FCF 근사 — 순차입금 롤과 같은 가정
[qoq]</t>
      </text>
    </comment>
    <comment ref="AG26" authorId="0" shapeId="0">
      <text>
        <t>추정: 전분기 + FCF 근사 — 순차입금 롤과 같은 가정
[qoq]</t>
      </text>
    </comment>
    <comment ref="AH26" authorId="0" shapeId="0">
      <text>
        <t>추정: 전분기 + FCF 근사 — 순차입금 롤과 같은 가정
[qoq]</t>
      </text>
    </comment>
    <comment ref="AI26" authorId="0" shapeId="0">
      <text>
        <t>추정: 전분기 + FCF 근사 — 순차입금 롤과 같은 가정
[qoq]</t>
      </text>
    </comment>
    <comment ref="AK26" authorId="0" shapeId="0">
      <text>
        <t>추정: 전분기 + FCF 근사 — 순차입금 롤과 같은 가정
[qoq]</t>
      </text>
    </comment>
    <comment ref="AL26" authorId="0" shapeId="0">
      <text>
        <t>추정: 전분기 + FCF 근사 — 순차입금 롤과 같은 가정
[qoq]</t>
      </text>
    </comment>
    <comment ref="AM26" authorId="0" shapeId="0">
      <text>
        <t>추정: 전분기 + FCF 근사 — 순차입금 롤과 같은 가정
[qoq]</t>
      </text>
    </comment>
    <comment ref="AN26" authorId="0" shapeId="0">
      <text>
        <t>추정: 전분기 + FCF 근사 — 순차입금 롤과 같은 가정
[qoq]</t>
      </text>
    </comment>
    <comment ref="F27" authorId="0" shapeId="0">
      <text>
        <t>연간 실측(BS 시트에 2021.12A 없음 — 모델 a 값 직접)</t>
      </text>
    </comment>
    <comment ref="AC28" authorId="0" shapeId="0">
      <text>
        <t>추정: 최근 4분기(2025Q3~2026Q2) CAPEX 중위 유지 — 순차입금 롤에 미반영(감가상각비 없음 → CAPEX≈감가 가정)
[yoy]</t>
      </text>
    </comment>
    <comment ref="AD28" authorId="0" shapeId="0">
      <text>
        <t>추정: 최근 4분기(2025Q3~2026Q2) CAPEX 중위 유지 — 순차입금 롤에 미반영(감가상각비 없음 → CAPEX≈감가 가정)
[yoy]</t>
      </text>
    </comment>
    <comment ref="AF28" authorId="0" shapeId="0">
      <text>
        <t>추정: 최근 4분기(2025Q3~2026Q2) CAPEX 중위 유지 — 순차입금 롤에 미반영(감가상각비 없음 → CAPEX≈감가 가정)
[yoy]</t>
      </text>
    </comment>
    <comment ref="AG28" authorId="0" shapeId="0">
      <text>
        <t>추정: 최근 4분기(2025Q3~2026Q2) CAPEX 중위 유지 — 순차입금 롤에 미반영(감가상각비 없음 → CAPEX≈감가 가정)
[yoy]</t>
      </text>
    </comment>
    <comment ref="AH28" authorId="0" shapeId="0">
      <text>
        <t>추정: 최근 4분기(2025Q3~2026Q2) CAPEX 중위 유지 — 순차입금 롤에 미반영(감가상각비 없음 → CAPEX≈감가 가정)
[yoy]</t>
      </text>
    </comment>
    <comment ref="AI28" authorId="0" shapeId="0">
      <text>
        <t>추정: 최근 4분기(2025Q3~2026Q2) CAPEX 중위 유지 — 순차입금 롤에 미반영(감가상각비 없음 → CAPEX≈감가 가정)
[yoy]</t>
      </text>
    </comment>
    <comment ref="AK28" authorId="0" shapeId="0">
      <text>
        <t>추정: 최근 4분기(2025Q3~2026Q2) CAPEX 중위 유지 — 순차입금 롤에 미반영(감가상각비 없음 → CAPEX≈감가 가정)
[yoy]</t>
      </text>
    </comment>
    <comment ref="AL28" authorId="0" shapeId="0">
      <text>
        <t>추정: 최근 4분기(2025Q3~2026Q2) CAPEX 중위 유지 — 순차입금 롤에 미반영(감가상각비 없음 → CAPEX≈감가 가정)
[yoy]</t>
      </text>
    </comment>
    <comment ref="AM28" authorId="0" shapeId="0">
      <text>
        <t>추정: 최근 4분기(2025Q3~2026Q2) CAPEX 중위 유지 — 순차입금 롤에 미반영(감가상각비 없음 → CAPEX≈감가 가정)
[yoy]</t>
      </text>
    </comment>
    <comment ref="AN28" authorId="0" shapeId="0">
      <text>
        <t>추정: 최근 4분기(2025Q3~2026Q2) CAPEX 중위 유지 — 순차입금 롤에 미반영(감가상각비 없음 → CAPEX≈감가 가정)
[yoy]</t>
      </text>
    </comment>
    <comment ref="E30" authorId="0" shapeId="0">
      <text>
        <t>실측(계정 매핑 없음(파생·부문·시세 행) — 모델값 직접) — fin.shares.common_outstanding</t>
      </text>
    </comment>
    <comment ref="G30" authorId="0" shapeId="0">
      <text>
        <t>실측(계정 매핑 없음(파생·부문·시세 행) — 모델값 직접) — fin.shares.common_outstanding</t>
      </text>
    </comment>
    <comment ref="H30" authorId="0" shapeId="0">
      <text>
        <t>실측(계정 매핑 없음(파생·부문·시세 행) — 모델값 직접) — fin.shares.common_outstanding</t>
      </text>
    </comment>
    <comment ref="I30" authorId="0" shapeId="0">
      <text>
        <t>실측(계정 매핑 없음(파생·부문·시세 행) — 모델값 직접) — fin.shares.common_outstanding</t>
      </text>
    </comment>
    <comment ref="J30" authorId="0" shapeId="0">
      <text>
        <t>실측(계정 매핑 없음(파생·부문·시세 행) — 모델값 직접) — fin.shares.common_outstanding</t>
      </text>
    </comment>
    <comment ref="L30" authorId="0" shapeId="0">
      <text>
        <t>실측(계정 매핑 없음(파생·부문·시세 행) — 모델값 직접) — fin.shares.common_outstanding</t>
      </text>
    </comment>
    <comment ref="M30" authorId="0" shapeId="0">
      <text>
        <t>실측(계정 매핑 없음(파생·부문·시세 행) — 모델값 직접) — fin.shares.common_outstanding</t>
      </text>
    </comment>
    <comment ref="N30" authorId="0" shapeId="0">
      <text>
        <t>실측(계정 매핑 없음(파생·부문·시세 행) — 모델값 직접) — fin.shares.common_outstanding</t>
      </text>
    </comment>
    <comment ref="O30" authorId="0" shapeId="0">
      <text>
        <t>실측(계정 매핑 없음(파생·부문·시세 행) — 모델값 직접) — fin.shares.common_outstanding</t>
      </text>
    </comment>
    <comment ref="Q30" authorId="0" shapeId="0">
      <text>
        <t>실측(계정 매핑 없음(파생·부문·시세 행) — 모델값 직접) — fin.shares.common_outstanding</t>
      </text>
    </comment>
    <comment ref="R30" authorId="0" shapeId="0">
      <text>
        <t>실측(계정 매핑 없음(파생·부문·시세 행) — 모델값 직접) — fin.shares.common_outstanding</t>
      </text>
    </comment>
    <comment ref="S30" authorId="0" shapeId="0">
      <text>
        <t>실측(계정 매핑 없음(파생·부문·시세 행) — 모델값 직접) — fin.shares.common_outstanding</t>
      </text>
    </comment>
    <comment ref="T30" authorId="0" shapeId="0">
      <text>
        <t>실측(계정 매핑 없음(파생·부문·시세 행) — 모델값 직접) — fin.shares.common_outstanding</t>
      </text>
    </comment>
    <comment ref="V30" authorId="0" shapeId="0">
      <text>
        <t>실측(계정 매핑 없음(파생·부문·시세 행) — 모델값 직접) — fin.shares.common_outstanding</t>
      </text>
    </comment>
    <comment ref="W30" authorId="0" shapeId="0">
      <text>
        <t>실측(계정 매핑 없음(파생·부문·시세 행) — 모델값 직접) — fin.shares.common_outstanding</t>
      </text>
    </comment>
    <comment ref="X30" authorId="0" shapeId="0">
      <text>
        <t>실측(계정 매핑 없음(파생·부문·시세 행) — 모델값 직접) — fin.shares.common_outstanding</t>
      </text>
    </comment>
    <comment ref="Y30" authorId="0" shapeId="0">
      <text>
        <t>실측(계정 매핑 없음(파생·부문·시세 행) — 모델값 직접) — fin.shares.common_outstanding</t>
      </text>
    </comment>
    <comment ref="AA30" authorId="0" shapeId="0">
      <text>
        <t>실측(계정 매핑 없음(파생·부문·시세 행) — 모델값 직접) — fin.shares.common_outstanding</t>
      </text>
    </comment>
    <comment ref="AB30" authorId="0" shapeId="0">
      <text>
        <t>실측(계정 매핑 없음(파생·부문·시세 행) — 모델값 직접) — fin.shares.common_outstanding</t>
      </text>
    </comment>
    <comment ref="AC30" authorId="0" shapeId="0">
      <text>
        <t>추정: 유통주식수 유지 — fin.shares.common_outstanding(2026Q2)
[qoq]</t>
      </text>
    </comment>
    <comment ref="AD30" authorId="0" shapeId="0">
      <text>
        <t>추정: 유통주식수 유지 — fin.shares.common_outstanding(2026Q2)
[qoq]</t>
      </text>
    </comment>
    <comment ref="AF30" authorId="0" shapeId="0">
      <text>
        <t>추정: 유통주식수 유지 — fin.shares.common_outstanding(2026Q2)
[qoq]</t>
      </text>
    </comment>
    <comment ref="AG30" authorId="0" shapeId="0">
      <text>
        <t>추정: 유통주식수 유지 — fin.shares.common_outstanding(2026Q2)
[qoq]</t>
      </text>
    </comment>
    <comment ref="AH30" authorId="0" shapeId="0">
      <text>
        <t>추정: 유통주식수 유지 — fin.shares.common_outstanding(2026Q2)
[qoq]</t>
      </text>
    </comment>
    <comment ref="AI30" authorId="0" shapeId="0">
      <text>
        <t>추정: 유통주식수 유지 — fin.shares.common_outstanding(2026Q2)
[qoq]</t>
      </text>
    </comment>
    <comment ref="AK30" authorId="0" shapeId="0">
      <text>
        <t>추정: 유통주식수 유지 — fin.shares.common_outstanding(2026Q2)
[qoq]</t>
      </text>
    </comment>
    <comment ref="AL30" authorId="0" shapeId="0">
      <text>
        <t>추정: 유통주식수 유지 — fin.shares.common_outstanding(2026Q2)
[qoq]</t>
      </text>
    </comment>
    <comment ref="AM30" authorId="0" shapeId="0">
      <text>
        <t>추정: 유통주식수 유지 — fin.shares.common_outstanding(2026Q2)
[qoq]</t>
      </text>
    </comment>
    <comment ref="AN30" authorId="0" shapeId="0">
      <text>
        <t>추정: 유통주식수 유지 — fin.shares.common_outstanding(2026Q2)
[qoq]</t>
      </text>
    </comment>
    <comment ref="AC31" authorId="0" shapeId="0">
      <text>
        <t>추정: 지배주주순이익 ÷ 유통주식수
[per_share]</t>
      </text>
    </comment>
    <comment ref="AD31" authorId="0" shapeId="0">
      <text>
        <t>추정: 지배주주순이익 ÷ 유통주식수
[per_share]</t>
      </text>
    </comment>
    <comment ref="AF31" authorId="0" shapeId="0">
      <text>
        <t>추정: 지배주주순이익 ÷ 유통주식수
[per_share]</t>
      </text>
    </comment>
    <comment ref="AG31" authorId="0" shapeId="0">
      <text>
        <t>추정: 지배주주순이익 ÷ 유통주식수
[per_share]</t>
      </text>
    </comment>
    <comment ref="AH31" authorId="0" shapeId="0">
      <text>
        <t>추정: 지배주주순이익 ÷ 유통주식수
[per_share]</t>
      </text>
    </comment>
    <comment ref="AI31" authorId="0" shapeId="0">
      <text>
        <t>추정: 지배주주순이익 ÷ 유통주식수
[per_share]</t>
      </text>
    </comment>
    <comment ref="AK31" authorId="0" shapeId="0">
      <text>
        <t>추정: 지배주주순이익 ÷ 유통주식수
[per_share]</t>
      </text>
    </comment>
    <comment ref="AL31" authorId="0" shapeId="0">
      <text>
        <t>추정: 지배주주순이익 ÷ 유통주식수
[per_share]</t>
      </text>
    </comment>
    <comment ref="AM31" authorId="0" shapeId="0">
      <text>
        <t>추정: 지배주주순이익 ÷ 유통주식수
[per_share]</t>
      </text>
    </comment>
    <comment ref="AN31" authorId="0" shapeId="0">
      <text>
        <t>추정: 지배주주순이익 ÷ 유통주식수
[per_share]</t>
      </text>
    </comment>
    <comment ref="Y32" authorId="0" shapeId="0">
      <text>
        <t>조정EPS 산식(모델 추정, 일회성 여부·세효과 주석 미확인): 지배NI − 초과 비영업손익 -7억 × (1 − 세율 0.0% [모델 세율(분기 유효세율이 0~35% 밖·세전 ≤ 0)]) × 지배 비중 1.0000 [그 분기 지배NI/NI] = 5억 ÷ 유통주식수 · 초과 = 비영업손익 -7억 − 12분기 기준선 1억 · 보고 EPS -30원(EPS 행 불변) · 상수 -7.44·1.0 는 모델 one_offs_detected 값(세전·법인세 셀을 바꿔도 재계산되지 않음)</t>
      </text>
    </comment>
    <comment ref="AC32" authorId="0" shapeId="0">
      <text>
        <t>추정: = EPS(추정 구간은 일회성 미가정)
[identity]</t>
      </text>
    </comment>
    <comment ref="AD32" authorId="0" shapeId="0">
      <text>
        <t>추정: = EPS(추정 구간은 일회성 미가정)
[identity]</t>
      </text>
    </comment>
    <comment ref="AF32" authorId="0" shapeId="0">
      <text>
        <t>추정: = EPS(추정 구간은 일회성 미가정)
[identity]</t>
      </text>
    </comment>
    <comment ref="AG32" authorId="0" shapeId="0">
      <text>
        <t>추정: = EPS(추정 구간은 일회성 미가정)
[identity]</t>
      </text>
    </comment>
    <comment ref="AH32" authorId="0" shapeId="0">
      <text>
        <t>추정: = EPS(추정 구간은 일회성 미가정)
[identity]</t>
      </text>
    </comment>
    <comment ref="AI32" authorId="0" shapeId="0">
      <text>
        <t>추정: = EPS(추정 구간은 일회성 미가정)
[identity]</t>
      </text>
    </comment>
    <comment ref="AK32" authorId="0" shapeId="0">
      <text>
        <t>추정: = EPS(추정 구간은 일회성 미가정)
[identity]</t>
      </text>
    </comment>
    <comment ref="AL32" authorId="0" shapeId="0">
      <text>
        <t>추정: = EPS(추정 구간은 일회성 미가정)
[identity]</t>
      </text>
    </comment>
    <comment ref="AM32" authorId="0" shapeId="0">
      <text>
        <t>추정: = EPS(추정 구간은 일회성 미가정)
[identity]</t>
      </text>
    </comment>
    <comment ref="AN32" authorId="0" shapeId="0">
      <text>
        <t>추정: = EPS(추정 구간은 일회성 미가정)
[identity]</t>
      </text>
    </comment>
    <comment ref="AC33" authorId="0" shapeId="0">
      <text>
        <t>추정: 지배주주지분 ÷ 유통주식수
[per_share]</t>
      </text>
    </comment>
    <comment ref="AD33" authorId="0" shapeId="0">
      <text>
        <t>추정: 지배주주지분 ÷ 유통주식수
[per_share]</t>
      </text>
    </comment>
    <comment ref="AF33" authorId="0" shapeId="0">
      <text>
        <t>추정: 지배주주지분 ÷ 유통주식수
[per_share]</t>
      </text>
    </comment>
    <comment ref="AG33" authorId="0" shapeId="0">
      <text>
        <t>추정: 지배주주지분 ÷ 유통주식수
[per_share]</t>
      </text>
    </comment>
    <comment ref="AH33" authorId="0" shapeId="0">
      <text>
        <t>추정: 지배주주지분 ÷ 유통주식수
[per_share]</t>
      </text>
    </comment>
    <comment ref="AI33" authorId="0" shapeId="0">
      <text>
        <t>추정: 지배주주지분 ÷ 유통주식수
[per_share]</t>
      </text>
    </comment>
    <comment ref="AK33" authorId="0" shapeId="0">
      <text>
        <t>추정: 지배주주지분 ÷ 유통주식수
[per_share]</t>
      </text>
    </comment>
    <comment ref="AL33" authorId="0" shapeId="0">
      <text>
        <t>추정: 지배주주지분 ÷ 유통주식수
[per_share]</t>
      </text>
    </comment>
    <comment ref="AM33" authorId="0" shapeId="0">
      <text>
        <t>추정: 지배주주지분 ÷ 유통주식수
[per_share]</t>
      </text>
    </comment>
    <comment ref="AN33" authorId="0" shapeId="0">
      <text>
        <t>추정: 지배주주지분 ÷ 유통주식수
[per_share]</t>
      </text>
    </comment>
    <comment ref="E34" authorId="0" shapeId="0">
      <text>
        <t>실측(계정 매핑 없음(파생·부문·시세 행) — 모델값 직접) — fin.dividend.dps_common(연간, Q4 에 표기)</t>
      </text>
    </comment>
    <comment ref="F34" authorId="0" shapeId="0">
      <text>
        <t>연간(actual) — 분기 미완 연도, 모델 a 값 직접</t>
      </text>
    </comment>
    <comment ref="J34" authorId="0" shapeId="0">
      <text>
        <t>실측(계정 매핑 없음(파생·부문·시세 행) — 모델값 직접) — fin.dividend.dps_common(연간, Q4 에 표기)</t>
      </text>
    </comment>
    <comment ref="O34" authorId="0" shapeId="0">
      <text>
        <t>실측(계정 매핑 없음(파생·부문·시세 행) — 모델값 직접) — fin.dividend.dps_common(연간, Q4 에 표기)</t>
      </text>
    </comment>
    <comment ref="T34" authorId="0" shapeId="0">
      <text>
        <t>실측(계정 매핑 없음(파생·부문·시세 행) — 모델값 직접) — fin.dividend.dps_common(연간, Q4 에 표기)</t>
      </text>
    </comment>
    <comment ref="Y34" authorId="0" shapeId="0">
      <text>
        <t>실측(계정 매핑 없음(파생·부문·시세 행) — 모델값 직접) — fin.dividend.dps_common(연간, Q4 에 표기)</t>
      </text>
    </comment>
    <comment ref="AD34" authorId="0" shapeId="0">
      <text>
        <t>추정: 직전 결산 DPS 0원 유지
[abs]</t>
      </text>
    </comment>
    <comment ref="AI34" authorId="0" shapeId="0">
      <text>
        <t>추정: 직전 결산 DPS 0원 유지
[abs]</t>
      </text>
    </comment>
    <comment ref="AN34" authorId="0" shapeId="0">
      <text>
        <t>추정: 직전 결산 DPS 0원 유지
[abs]</t>
      </text>
    </comment>
    <comment ref="AC35" authorId="0" shapeId="0">
      <text>
        <t>추정: 현재 종가 ÷ TTM EPS(추정 포함)
[valuation]</t>
      </text>
    </comment>
    <comment ref="AD35" authorId="0" shapeId="0">
      <text>
        <t>추정: 현재 종가 ÷ TTM EPS(추정 포함)
[valuation]</t>
      </text>
    </comment>
    <comment ref="AF35" authorId="0" shapeId="0">
      <text>
        <t>추정: 현재 종가 ÷ TTM EPS(추정 포함)
[valuation]</t>
      </text>
    </comment>
    <comment ref="AG35" authorId="0" shapeId="0">
      <text>
        <t>추정: 현재 종가 ÷ TTM EPS(추정 포함)
[valuation]</t>
      </text>
    </comment>
    <comment ref="AH35" authorId="0" shapeId="0">
      <text>
        <t>추정: 현재 종가 ÷ TTM EPS(추정 포함)
[valuation]</t>
      </text>
    </comment>
    <comment ref="AI35" authorId="0" shapeId="0">
      <text>
        <t>추정: 현재 종가 ÷ TTM EPS(추정 포함)
[valuation]</t>
      </text>
    </comment>
    <comment ref="AK35" authorId="0" shapeId="0">
      <text>
        <t>추정: 현재 종가 ÷ TTM EPS(추정 포함)
[valuation]</t>
      </text>
    </comment>
    <comment ref="AL35" authorId="0" shapeId="0">
      <text>
        <t>추정: 현재 종가 ÷ TTM EPS(추정 포함)
[valuation]</t>
      </text>
    </comment>
    <comment ref="AM35" authorId="0" shapeId="0">
      <text>
        <t>추정: 현재 종가 ÷ TTM EPS(추정 포함)
[valuation]</t>
      </text>
    </comment>
    <comment ref="AN35" authorId="0" shapeId="0">
      <text>
        <t>추정: 현재 종가 ÷ TTM EPS(추정 포함)
[valuation]</t>
      </text>
    </comment>
    <comment ref="AC36" authorId="0" shapeId="0">
      <text>
        <t>추정: 현재 종가 ÷ BPS(추정 포함)
[valuation]</t>
      </text>
    </comment>
    <comment ref="AD36" authorId="0" shapeId="0">
      <text>
        <t>추정: 현재 종가 ÷ BPS(추정 포함)
[valuation]</t>
      </text>
    </comment>
    <comment ref="AF36" authorId="0" shapeId="0">
      <text>
        <t>추정: 현재 종가 ÷ BPS(추정 포함)
[valuation]</t>
      </text>
    </comment>
    <comment ref="AG36" authorId="0" shapeId="0">
      <text>
        <t>추정: 현재 종가 ÷ BPS(추정 포함)
[valuation]</t>
      </text>
    </comment>
    <comment ref="AH36" authorId="0" shapeId="0">
      <text>
        <t>추정: 현재 종가 ÷ BPS(추정 포함)
[valuation]</t>
      </text>
    </comment>
    <comment ref="AI36" authorId="0" shapeId="0">
      <text>
        <t>추정: 현재 종가 ÷ BPS(추정 포함)
[valuation]</t>
      </text>
    </comment>
    <comment ref="AK36" authorId="0" shapeId="0">
      <text>
        <t>추정: 현재 종가 ÷ BPS(추정 포함)
[valuation]</t>
      </text>
    </comment>
    <comment ref="AL36" authorId="0" shapeId="0">
      <text>
        <t>추정: 현재 종가 ÷ BPS(추정 포함)
[valuation]</t>
      </text>
    </comment>
    <comment ref="AM36" authorId="0" shapeId="0">
      <text>
        <t>추정: 현재 종가 ÷ BPS(추정 포함)
[valuation]</t>
      </text>
    </comment>
    <comment ref="AN36" authorId="0" shapeId="0">
      <text>
        <t>추정: 현재 종가 ÷ BPS(추정 포함)
[valuation]</t>
      </text>
    </comment>
    <comment ref="E37" authorId="0" shapeId="0">
      <text>
        <t>실측(계정 매핑 없음(파생·부문·시세 행) — 모델값 직접) — = 매출액(부문 미분리)</t>
      </text>
    </comment>
    <comment ref="G37" authorId="0" shapeId="0">
      <text>
        <t>실측(계정 매핑 없음(파생·부문·시세 행) — 모델값 직접) — = 매출액(부문 미분리)</t>
      </text>
    </comment>
    <comment ref="H37" authorId="0" shapeId="0">
      <text>
        <t>실측(계정 매핑 없음(파생·부문·시세 행) — 모델값 직접) — = 매출액(부문 미분리)</t>
      </text>
    </comment>
    <comment ref="I37" authorId="0" shapeId="0">
      <text>
        <t>실측(계정 매핑 없음(파생·부문·시세 행) — 모델값 직접) — = 매출액(부문 미분리)</t>
      </text>
    </comment>
    <comment ref="J37" authorId="0" shapeId="0">
      <text>
        <t>실측(계정 매핑 없음(파생·부문·시세 행) — 모델값 직접) — = 매출액(부문 미분리)</t>
      </text>
    </comment>
    <comment ref="L37" authorId="0" shapeId="0">
      <text>
        <t>실측(계정 매핑 없음(파생·부문·시세 행) — 모델값 직접) — = 매출액(부문 미분리)</t>
      </text>
    </comment>
    <comment ref="M37" authorId="0" shapeId="0">
      <text>
        <t>실측(계정 매핑 없음(파생·부문·시세 행) — 모델값 직접) — = 매출액(부문 미분리)</t>
      </text>
    </comment>
    <comment ref="N37" authorId="0" shapeId="0">
      <text>
        <t>실측(계정 매핑 없음(파생·부문·시세 행) — 모델값 직접) — = 매출액(부문 미분리)</t>
      </text>
    </comment>
    <comment ref="O37" authorId="0" shapeId="0">
      <text>
        <t>실측(계정 매핑 없음(파생·부문·시세 행) — 모델값 직접) — = 매출액(부문 미분리)</t>
      </text>
    </comment>
    <comment ref="Q37" authorId="0" shapeId="0">
      <text>
        <t>실측(계정 매핑 없음(파생·부문·시세 행) — 모델값 직접) — = 매출액(부문 미분리)</t>
      </text>
    </comment>
    <comment ref="R37" authorId="0" shapeId="0">
      <text>
        <t>실측(계정 매핑 없음(파생·부문·시세 행) — 모델값 직접) — = 매출액(부문 미분리)</t>
      </text>
    </comment>
    <comment ref="S37" authorId="0" shapeId="0">
      <text>
        <t>실측(계정 매핑 없음(파생·부문·시세 행) — 모델값 직접) — = 매출액(부문 미분리)</t>
      </text>
    </comment>
    <comment ref="T37" authorId="0" shapeId="0">
      <text>
        <t>실측(계정 매핑 없음(파생·부문·시세 행) — 모델값 직접) — = 매출액(부문 미분리)</t>
      </text>
    </comment>
    <comment ref="V37" authorId="0" shapeId="0">
      <text>
        <t>실측(계정 매핑 없음(파생·부문·시세 행) — 모델값 직접) — = 매출액(부문 미분리)</t>
      </text>
    </comment>
    <comment ref="W37" authorId="0" shapeId="0">
      <text>
        <t>실측(계정 매핑 없음(파생·부문·시세 행) — 모델값 직접) — = 매출액(부문 미분리)</t>
      </text>
    </comment>
    <comment ref="X37" authorId="0" shapeId="0">
      <text>
        <t>실측(계정 매핑 없음(파생·부문·시세 행) — 모델값 직접) — = 매출액(부문 미분리)</t>
      </text>
    </comment>
    <comment ref="Y37" authorId="0" shapeId="0">
      <text>
        <t>실측(계정 매핑 없음(파생·부문·시세 행) — 모델값 직접) — = 매출액(부문 미분리)</t>
      </text>
    </comment>
    <comment ref="AA37" authorId="0" shapeId="0">
      <text>
        <t>실측(계정 매핑 없음(파생·부문·시세 행) — 모델값 직접) — = 매출액(부문 미분리)</t>
      </text>
    </comment>
    <comment ref="AB37" authorId="0" shapeId="0">
      <text>
        <t>실측(계정 매핑 없음(파생·부문·시세 행) — 모델값 직접) — = 매출액(부문 미분리)</t>
      </text>
    </comment>
    <comment ref="AC37" authorId="0" shapeId="0">
      <text>
        <t>추정: = 매출액 추정(부문 미분리)
[identity]</t>
      </text>
    </comment>
    <comment ref="AD37" authorId="0" shapeId="0">
      <text>
        <t>추정: = 매출액 추정(부문 미분리)
[identity]</t>
      </text>
    </comment>
    <comment ref="AF37" authorId="0" shapeId="0">
      <text>
        <t>추정: = 매출액 추정(부문 미분리)
[identity]</t>
      </text>
    </comment>
    <comment ref="AG37" authorId="0" shapeId="0">
      <text>
        <t>추정: = 매출액 추정(부문 미분리)
[identity]</t>
      </text>
    </comment>
    <comment ref="AH37" authorId="0" shapeId="0">
      <text>
        <t>추정: = 매출액 추정(부문 미분리)
[identity]</t>
      </text>
    </comment>
    <comment ref="AI37" authorId="0" shapeId="0">
      <text>
        <t>추정: = 매출액 추정(부문 미분리)
[identity]</t>
      </text>
    </comment>
    <comment ref="AK37" authorId="0" shapeId="0">
      <text>
        <t>추정: = 매출액 추정(부문 미분리)
[identity]</t>
      </text>
    </comment>
    <comment ref="AL37" authorId="0" shapeId="0">
      <text>
        <t>추정: = 매출액 추정(부문 미분리)
[identity]</t>
      </text>
    </comment>
    <comment ref="AM37" authorId="0" shapeId="0">
      <text>
        <t>추정: = 매출액 추정(부문 미분리)
[identity]</t>
      </text>
    </comment>
    <comment ref="AN37" authorId="0" shapeId="0">
      <text>
        <t>추정: = 매출액 추정(부문 미분리)
[identity]</t>
      </text>
    </comment>
    <comment ref="E38" authorId="0" shapeId="0">
      <text>
        <t>실측(계정 매핑 없음(파생·부문·시세 행) — 모델값 직접) — = 영업이익(부문 미분리)</t>
      </text>
    </comment>
    <comment ref="G38" authorId="0" shapeId="0">
      <text>
        <t>실측(계정 매핑 없음(파생·부문·시세 행) — 모델값 직접) — = 영업이익(부문 미분리)</t>
      </text>
    </comment>
    <comment ref="H38" authorId="0" shapeId="0">
      <text>
        <t>실측(계정 매핑 없음(파생·부문·시세 행) — 모델값 직접) — = 영업이익(부문 미분리)</t>
      </text>
    </comment>
    <comment ref="I38" authorId="0" shapeId="0">
      <text>
        <t>실측(계정 매핑 없음(파생·부문·시세 행) — 모델값 직접) — = 영업이익(부문 미분리)</t>
      </text>
    </comment>
    <comment ref="J38" authorId="0" shapeId="0">
      <text>
        <t>실측(계정 매핑 없음(파생·부문·시세 행) — 모델값 직접) — = 영업이익(부문 미분리)</t>
      </text>
    </comment>
    <comment ref="L38" authorId="0" shapeId="0">
      <text>
        <t>실측(계정 매핑 없음(파생·부문·시세 행) — 모델값 직접) — = 영업이익(부문 미분리)</t>
      </text>
    </comment>
    <comment ref="M38" authorId="0" shapeId="0">
      <text>
        <t>실측(계정 매핑 없음(파생·부문·시세 행) — 모델값 직접) — = 영업이익(부문 미분리)</t>
      </text>
    </comment>
    <comment ref="N38" authorId="0" shapeId="0">
      <text>
        <t>실측(계정 매핑 없음(파생·부문·시세 행) — 모델값 직접) — = 영업이익(부문 미분리)</t>
      </text>
    </comment>
    <comment ref="O38" authorId="0" shapeId="0">
      <text>
        <t>실측(계정 매핑 없음(파생·부문·시세 행) — 모델값 직접) — = 영업이익(부문 미분리)</t>
      </text>
    </comment>
    <comment ref="Q38" authorId="0" shapeId="0">
      <text>
        <t>실측(계정 매핑 없음(파생·부문·시세 행) — 모델값 직접) — = 영업이익(부문 미분리)</t>
      </text>
    </comment>
    <comment ref="R38" authorId="0" shapeId="0">
      <text>
        <t>실측(계정 매핑 없음(파생·부문·시세 행) — 모델값 직접) — = 영업이익(부문 미분리)</t>
      </text>
    </comment>
    <comment ref="S38" authorId="0" shapeId="0">
      <text>
        <t>실측(계정 매핑 없음(파생·부문·시세 행) — 모델값 직접) — = 영업이익(부문 미분리)</t>
      </text>
    </comment>
    <comment ref="T38" authorId="0" shapeId="0">
      <text>
        <t>실측(계정 매핑 없음(파생·부문·시세 행) — 모델값 직접) — = 영업이익(부문 미분리)</t>
      </text>
    </comment>
    <comment ref="V38" authorId="0" shapeId="0">
      <text>
        <t>실측(계정 매핑 없음(파생·부문·시세 행) — 모델값 직접) — = 영업이익(부문 미분리)</t>
      </text>
    </comment>
    <comment ref="W38" authorId="0" shapeId="0">
      <text>
        <t>실측(계정 매핑 없음(파생·부문·시세 행) — 모델값 직접) — = 영업이익(부문 미분리)</t>
      </text>
    </comment>
    <comment ref="X38" authorId="0" shapeId="0">
      <text>
        <t>실측(계정 매핑 없음(파생·부문·시세 행) — 모델값 직접) — = 영업이익(부문 미분리)</t>
      </text>
    </comment>
    <comment ref="Y38" authorId="0" shapeId="0">
      <text>
        <t>실측(계정 매핑 없음(파생·부문·시세 행) — 모델값 직접) — = 영업이익(부문 미분리)</t>
      </text>
    </comment>
    <comment ref="AA38" authorId="0" shapeId="0">
      <text>
        <t>실측(계정 매핑 없음(파생·부문·시세 행) — 모델값 직접) — = 영업이익(부문 미분리)</t>
      </text>
    </comment>
    <comment ref="AB38" authorId="0" shapeId="0">
      <text>
        <t>실측(계정 매핑 없음(파생·부문·시세 행) — 모델값 직접) — = 영업이익(부문 미분리)</t>
      </text>
    </comment>
    <comment ref="AC38" authorId="0" shapeId="0">
      <text>
        <t>추정: = 매출액 × OPM(부문 미분리)
[identity]</t>
      </text>
    </comment>
    <comment ref="AD38" authorId="0" shapeId="0">
      <text>
        <t>추정: = 매출액 × OPM(부문 미분리)
[identity]</t>
      </text>
    </comment>
    <comment ref="AF38" authorId="0" shapeId="0">
      <text>
        <t>추정: = 매출액 × OPM(부문 미분리)
[identity]</t>
      </text>
    </comment>
    <comment ref="AG38" authorId="0" shapeId="0">
      <text>
        <t>추정: = 매출액 × OPM(부문 미분리)
[identity]</t>
      </text>
    </comment>
    <comment ref="AH38" authorId="0" shapeId="0">
      <text>
        <t>추정: = 매출액 × OPM(부문 미분리)
[identity]</t>
      </text>
    </comment>
    <comment ref="AI38" authorId="0" shapeId="0">
      <text>
        <t>추정: = 매출액 × OPM(부문 미분리)
[identity]</t>
      </text>
    </comment>
    <comment ref="AK38" authorId="0" shapeId="0">
      <text>
        <t>추정: = 매출액 × OPM(부문 미분리)
[identity]</t>
      </text>
    </comment>
    <comment ref="AL38" authorId="0" shapeId="0">
      <text>
        <t>추정: = 매출액 × OPM(부문 미분리)
[identity]</t>
      </text>
    </comment>
    <comment ref="AM38" authorId="0" shapeId="0">
      <text>
        <t>추정: = 매출액 × OPM(부문 미분리)
[identity]</t>
      </text>
    </comment>
    <comment ref="AN38" authorId="0" shapeId="0">
      <text>
        <t>추정: = 매출액 × OPM(부문 미분리)
[identity]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" t="inlineStr">
        <is>
          <t>에스앤더블류(103230) 실적 모델 — ARGUS 한국조선</t>
        </is>
      </c>
    </row>
    <row r="2">
      <c r="A2" t="inlineStr">
        <is>
          <t>기준 분기 2026Q2 · 마지막 실적 2026Q2 · 생성 2026-10-13</t>
        </is>
      </c>
    </row>
    <row r="3">
      <c r="A3" s="1" t="inlineStr">
        <is>
          <t>모든 수치는 모델 산출값(DART 공개 재무제표 + 우리 추정)이다 — 목표주가·투자 추천 아님. 참고용 · 투자조언 아님.</t>
        </is>
      </c>
    </row>
    <row r="4">
      <c r="A4" t="inlineStr"/>
    </row>
    <row r="5">
      <c r="A5" s="1" t="inlineStr">
        <is>
          <t>시트</t>
        </is>
      </c>
    </row>
    <row r="6">
      <c r="A6" t="inlineStr">
        <is>
          <t>변수      가정 시계열. 환율 8행(ECB via frankfurter — L2 fx.json; 추정 분기 = 노란 가정), 추정 드라이버(노란 셀 = 모델값에서 역산한 가정, 바꾸면 재계산; 연녹 셀 = 3절 스칼라 참조 수식), 3절 스칼라 가정(세율·판관비율·지배주주비중·이자율·종가·PER 밴드·COE·외화 순노출·헤지비율)</t>
        </is>
      </c>
    </row>
    <row r="7">
      <c r="A7" t="inlineStr">
        <is>
          <t>BS연결/BS별도  FnGuide 계정명 × 기간 값 덤프(백만원). 행1 분기라벨, 행4 YYYY.MM / YYYY.12A. 이름정의 BS연결H·BS연결(계정명 C열부터)</t>
        </is>
      </c>
    </row>
    <row r="8">
      <c r="A8" t="inlineStr">
        <is>
          <t>subQ      분기 서브모델(억원 = 백만원/100). 확정 행: =IFERROR(VLOOKUP($D행,BS연결,MATCH(E$1,BS연결H,0),0)/100,"")  추정 행: 변수 시트 가정 셀 참조 수식. 외환손익·파생상품손익은 BS 계정 합·차, 기타금융손익은 잔차, OPM·EPS·BPS·PER·PBR 은 파생 수식, 조정EPS 는 EPS 참조(일회성 의심 분기만 산식 셀)</t>
        </is>
      </c>
    </row>
    <row r="9">
      <c r="A9" t="inlineStr">
        <is>
          <t>SLS       선표(조선사만, sls json 있을 때): 요약 행(sls 저장값) + 계약별 스케줄(백만$) × (헤지비율 × 헤지환율 + (1−헤지비율) × 건조시점 환율[변수 원/달러(평균)]) → 원화 수식 블록 → 합계 행이 subQ 매출조선에 연결</t>
        </is>
      </c>
    </row>
    <row r="10">
      <c r="A10" t="inlineStr">
        <is>
          <t>시나리오   신규수주 보수/기준/낙관(forecast_panel 패널, 모델에 scenarios 가 있을 때만): 매출액·영업이익 = subQ 기준값 ± (시나리오 신규 − base 신규) × OPM. base 만 subQ 행에 포함, 나머지는 합산 안 함</t>
        </is>
      </c>
    </row>
    <row r="11">
      <c r="A11" t="inlineStr">
        <is>
          <t>분기/연간예상  subQ 를 이름(A열 key)으로 VLOOKUP 한 보고서 표(억원)</t>
        </is>
      </c>
    </row>
    <row r="12">
      <c r="A12" t="inlineStr">
        <is>
          <t>TP        PER 밴드 × 12M fwd EPS, PBR = ROE/COE × BPS — 모델 산출값 구간, 목표주가·추천 아님</t>
        </is>
      </c>
    </row>
    <row r="13">
      <c r="A13" t="inlineStr">
        <is>
          <t>외화      환율 QoQ, 외화 순노출 × Δ기말환율 → 환관련손익 추정</t>
        </is>
      </c>
    </row>
    <row r="14">
      <c r="A14" t="inlineStr"/>
    </row>
    <row r="15">
      <c r="A15" s="1" t="inlineStr">
        <is>
          <t>규약</t>
        </is>
      </c>
    </row>
    <row r="16">
      <c r="A16" t="inlineStr">
        <is>
          <t>· 데이터는 E열부터, 4분기 뒤 연간 1열(라벨은 숫자 연도). 실적/추정 경계 = 굵은 세로선, 추정 열 = 연노랑, 연간 열 = 회색, 가정 입력 = 노란 셀, 스칼라 참조 수식 = 연녹 셀(숫자로 덮어쓰면 그 분기만 바뀜)</t>
        </is>
      </c>
    </row>
    <row r="17">
      <c r="A17" t="inlineStr">
        <is>
          <t>· 숫자 서식 #,##0(억원) · EPS/BPS 원 · 주식수 백만주 · 환율 원 · 선표 백만$/백만원</t>
        </is>
      </c>
    </row>
    <row r="18">
      <c r="A18" t="inlineStr">
        <is>
          <t>· 추정 셀 메모 = 모델 json 의 basis. 변수 시트 노란 셀 메모 = 역산 방법. 출처 없는 숫자는 없다 — 가정이면 가정이라고 적었다</t>
        </is>
      </c>
    </row>
    <row r="19">
      <c r="A19" t="inlineStr">
        <is>
          <t>· BS 시트에 값이 없거나 모델값과 다른(비용 부호 반전 등) 기간의 확정 셀은 모델값 직접 + 메모. fin(L1) 수집 후 재생성</t>
        </is>
      </c>
    </row>
    <row r="20">
      <c r="A20" t="inlineStr"/>
    </row>
    <row r="21">
      <c r="A21" s="1" t="inlineStr">
        <is>
          <t>가정 요약 — 변수 시트 3절 노란 셀을 바꾸면 subQ·분기·연간예상·TP·시나리오가 재계산된다(연결된 항목만)</t>
        </is>
      </c>
    </row>
    <row r="22">
      <c r="A22" t="inlineStr">
        <is>
          <t>· 세율 0% → 22%(terminal, 2026Q4 까지 유지 → 2027Q1~2028Q4 선형 램프) — 이월결손 램프(assumptions.tax_schedule): 변수 drv:법인세비용 추정 분기 셀이 분기별 세율(3절 '세율' 스칼라 연결 안 됨 — 그 값은 시작 세율) · 근거: 최근 8분기 중 세전 &gt; 0 인 6분기(2024Q4~2026Q2) 법인세/세전 중위 -35.1%·최근 4분기 중위 -35.1% 가 모두 5% 미만 → 이월결손 공제 중으로 보고 0.0% 를 2026Q4 까지 유지, 2027Q1~2028Q4 선형 램프로 법정세율 근사 22% 수렴</t>
        </is>
      </c>
    </row>
    <row r="23">
      <c r="A23" t="inlineStr">
        <is>
          <t>· 판관비율 10.50% — 판관비 = 매출액 × 판관비율, 추정 전 분기 연결</t>
        </is>
      </c>
    </row>
    <row r="24">
      <c r="A24" t="inlineStr">
        <is>
          <t>· 지배주주 비중 100.0% — 지배주주순이익 = 당기순이익 × 비중, 추정 전 분기 연결</t>
        </is>
      </c>
    </row>
    <row r="25">
      <c r="A25" t="inlineStr">
        <is>
          <t>· 이자율 자산 1.55% / 부채 1.15% — 이자손익 = (전분기 이자발생자산 × 자산이자율 − 전분기 총차입금 × 부채이자율)/4, 최소자승 역산(모델 assumptions [0.0158, 0.0116] 는 4자리 반올림이라 그대로 쓰면 ±1억 어긋남) · 출처: {"asset": "CF 이자수취 ÷ 평균 이자발생자산(2025Q3~2026Q2; 주석 이자수익 1분기 &lt; 4)", "debt": "CF 이자지급 ÷ 평균 총차입금(2023Q1~2025Q1; 주석 이자비용 1분기 &lt; 4)"}</t>
        </is>
      </c>
    </row>
    <row r="26">
      <c r="A26" t="inlineStr">
        <is>
          <t>· 환율 — 변수 1절 8행. 실적 분기 = ECB 분기 평균/기말(fx.json), 추정 분기(노란) = 가정 — 마지막 ECB 관측치를 2028Q4 까지 평평하게 둔다. 선도환율·컨센서스 아님.. 원/달러(평균) → SLS 건조시점 환율 → 매출조선(조선사, 선표 연결 시) ; 원/달러(기말) → 환관련손익 행 없음(외화 순노출 미공시(face) → 0 + 표기)</t>
        </is>
      </c>
    </row>
    <row r="27">
      <c r="A27" t="inlineStr">
        <is>
          <t>· 조정EPS(일회성 의심 1분기: 2025Q4 보고 -30→조정 73원) — 의심 분기 = 지배NI − (비영업손익 − 12분기 기준선) × (1 − 세율) × 지배 비중 ÷ 유통주식수(subQ 수식+메모, 세후 초과·지배 비중은 모델 상수), 다른 분기 = EPS. 보고 EPS 행·TP 12M fwd EPS(추정 분기만) 는 불변. 일회성 여부·세효과는 주석 미확인(모델 추정)</t>
        </is>
      </c>
    </row>
    <row r="28">
      <c r="A28" t="inlineStr">
        <is>
          <t>· 연결된 가정: 판관비율, 지배주주비중, 이자율 · 연결 안 된 가정(모델값·분기별 역산 그대로): 세율(이월결손 램프(assumptions.tax_schedule, 0%→22%) — 분기별 세율 드라이버 행 사용)</t>
        </is>
      </c>
    </row>
    <row r="29">
      <c r="A29" t="inlineStr">
        <is>
          <t>· 밸류에이션 — PER 밴드 5.0/8.3/10.2배(hist_quarterly(분기 평균가 ÷ TTM EPS, 14분기, 25/50/75 백분위)) · COE 9.0% · 12M fwd EPS 가중 0.5(가정). 모델 산출값 구간이며 추천이 아니다</t>
        </is>
      </c>
    </row>
    <row r="30">
      <c r="A30" t="inlineStr"/>
    </row>
    <row r="31">
      <c r="A31" t="inlineStr">
        <is>
          <t>출처: DART 정기보고서(연결/별도 재무제표·주석), FnGuide 계정명 규약, ECB 환율(api.frankfurter.app), 종가 네이버 정규장(aikstockdata 금융위 확정종가 대조·출처표기·비영리), 척당 계약 공시(contracts.json), forecast_panel(신규수주 패널)</t>
        </is>
      </c>
    </row>
    <row r="32">
      <c r="A32" t="inlineStr">
        <is>
          <t>재현: cd argus/kship/tools &amp;&amp; python3 kship_model_xlsx.py --model assets/models/103230.json --verify   (모델 json 부터: kship_model.py --build --all --xlsx · xlsx 58사 일괄: kship_model_xlsx.py --all --verify)</t>
        </is>
      </c>
    </row>
    <row r="33">
      <c r="A33" t="inlineStr">
        <is>
          <t>검증(--verify): 추정 전 분기·실적 수식 셀을 자체 계산기로 재계산해 모델값과 대조(억원 ±0.05), 세율·OPM·환율 forward·이자율·신규수주 셀을 바꿔 종속 셀이 기대만큼 움직이는지 확인. Excel 실개봉은 미확인(LibreOffice/Excel 없음)</t>
        </is>
      </c>
    </row>
    <row r="34">
      <c r="A34" t="inlineStr">
        <is>
          <t>한계: 모델 quality.warnings — 매출 드라이버 폴백(고객 연동 OOS 기각 — 동결 2025Q2 이후 4분기 매출 WAPE 연동 22.6% &gt; 추세 18.8% × 1.10 (suppliers_mentions·시차 2·4분기 이동합·창 19, r=0.89 유의)): 전년동기 × (1+g) 추세 / 법인세율 이월결손 경로: 최근 양(+)세전 6분기 유효세율 중위 -35.1% → 0.0% 를 2026Q4 까지 유지, 2027Q1~2028Q4 선형 램프로 법정세율 근사 22% 수렴 — 결손 잔액·만기는 주석 미파싱(추정) / 감가상각비가 face·CF 에 없음(주석 미파싱) → EBITDA·EV/EBITDA 미산출 / 일회성 의심 2025Q4: 비영업손익 -7억(영업이익 -1억의 7배, 12분기 중위 1억·기준선 1억) → 지배NI -2억·보고 EPS·FY2025 합계·TTM PER 에 그대로 포함 — 처분이익 등 일회성 여부는 주석 확인 전까지 미확정(12M fwd EPS 에는 미포함) · 조정EPS 73.3원(보고 -30.0원; 초과 비영업손익 -7억 × (1 − 세율 0.0%) × 지배 비중 1.00 = -7억 차감 — 추정, 조정EPS 행) / 금융손익 실적→추정 단절: 최근 4분기 실적 -0/+0/+0/+0(중위 +0억) → 추정 2026Q3 -0억(차 -0억, -401%) — 추정은 이자손익 + 기타금융 중위, 외환·파생 평가손익 0 가정(환율 효과는 환관련손익 행). 값은 바꾸지 않음 — 지배NI·EPS 해석 시 참고</t>
        </is>
      </c>
    </row>
    <row r="35">
      <c r="A35" t="inlineStr">
        <is>
          <t>백테스트: {"freeze": "2025Q2", "horizon": 4, "revenue_wape_pct": 18.5, "op_wape_pct": 205.4, "n": 4, "note": "단일 회사 4분기 — 통계 아님", "driver_at_freeze": "customer_yard_revenue_weighted", "selection_oos_at_freeze": {"freeze": "2024Q2", "n": 4, "wape_link": 11.8, "wape_trend": 11.2, "adopted": true, "decision": "adopted"}, "frozen_inputs": "fin(연결/별도)·고객 조선사 모델·지주 자회사 모델은 2025Q2 까지의 분기만; 선표는 체결일 ≤ 2025Q2 말일 계약(원장 최신 금액·코호트 등급, 환산 없음); 잔고는 yards_cache 2025Q2; 시세·환율 forward·prices·forecast_panel 신규수주 미사용. 고객 가중치(suppliers.json 언급 비중)와 합병 체인링크는 현재 지식; 고객 연동 채택은 동결 모델 안에서도 자기 la−4분기 OOS 규칙(selection_oos_at_freeze)", "detail": [{"q": "2025Q3", "rev_pred": 127.59, "rev_act": 116.42, "op_pred": 7.65, "op_act": 3.7}, {"q": "2025Q4", "rev_pred": 163.85, "rev_act": 125.9, "op_pred": 9.82, "op_act": -1.02}, {"q": "2026Q1", "rev_pred": 132.61, "rev_act": 114.94, "op_pred": 7.95, "op_act": 3.09}, {"q": "2026Q2", "rev_pred": 151.15, "rev_act": 127.96, "op_pred": 9.06, "op_act": 4.15}]}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57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C1" s="2" t="inlineStr">
        <is>
          <t>이름: 변수H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A2" s="2" t="inlineStr">
        <is>
          <t>가정 시계열 — 노란 셀은 추정 가정(모델값에서 역산), 연녹 셀은 3절 스칼라 참조 수식. 바꾸면 subQ·분기·연간예상·TP·시나리오가 재계산됩니다.</t>
        </is>
      </c>
      <c r="AB2" s="5" t="n"/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B5" s="1" t="inlineStr">
        <is>
          <t>1. FX</t>
        </is>
      </c>
      <c r="C5" s="2" t="inlineStr">
        <is>
          <t>이름: 환율</t>
        </is>
      </c>
      <c r="F5" s="9" t="n"/>
      <c r="K5" s="9" t="n"/>
      <c r="P5" s="9" t="n"/>
      <c r="U5" s="9" t="n"/>
      <c r="Z5" s="9" t="n"/>
      <c r="AB5" s="5" t="n"/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s="12" t="inlineStr">
        <is>
          <t>USDKRW_avg</t>
        </is>
      </c>
      <c r="C6" t="inlineStr">
        <is>
          <t xml:space="preserve"> 원/달러(평균)</t>
        </is>
      </c>
      <c r="E6" s="13" t="n">
        <v>1183.5</v>
      </c>
      <c r="F6" s="14" t="n">
        <v>1145.51</v>
      </c>
      <c r="G6" s="13" t="n">
        <v>1205.78</v>
      </c>
      <c r="H6" s="13" t="n">
        <v>1262.09</v>
      </c>
      <c r="I6" s="13" t="n">
        <v>1341.93</v>
      </c>
      <c r="J6" s="13" t="n">
        <v>1360.12</v>
      </c>
      <c r="K6" s="14" t="n">
        <v>1292.98</v>
      </c>
      <c r="L6" s="13" t="n">
        <v>1276.95</v>
      </c>
      <c r="M6" s="13" t="n">
        <v>1315.69</v>
      </c>
      <c r="N6" s="13" t="n">
        <v>1313.62</v>
      </c>
      <c r="O6" s="13" t="n">
        <v>1322.01</v>
      </c>
      <c r="P6" s="14" t="n">
        <v>1306.85</v>
      </c>
      <c r="Q6" s="13" t="n">
        <v>1330.14</v>
      </c>
      <c r="R6" s="13" t="n">
        <v>1371.28</v>
      </c>
      <c r="S6" s="13" t="n">
        <v>1356.22</v>
      </c>
      <c r="T6" s="13" t="n">
        <v>1396.3</v>
      </c>
      <c r="U6" s="14" t="n">
        <v>1363.53</v>
      </c>
      <c r="V6" s="13" t="n">
        <v>1452.28</v>
      </c>
      <c r="W6" s="13" t="n">
        <v>1398.52</v>
      </c>
      <c r="X6" s="13" t="n">
        <v>1386.95</v>
      </c>
      <c r="Y6" s="13" t="n">
        <v>1449.19</v>
      </c>
      <c r="Z6" s="14" t="n">
        <v>1421.52</v>
      </c>
      <c r="AA6" s="13" t="n">
        <v>1466.12</v>
      </c>
      <c r="AB6" s="15" t="n">
        <v>1501.75</v>
      </c>
      <c r="AC6" s="16" t="n">
        <v>1418.75</v>
      </c>
      <c r="AD6" s="16" t="n">
        <v>1343.63</v>
      </c>
      <c r="AE6" s="17" t="n">
        <v>1456.58</v>
      </c>
      <c r="AF6" s="16" t="n">
        <v>1333.09</v>
      </c>
      <c r="AG6" s="16" t="n">
        <v>1333.09</v>
      </c>
      <c r="AH6" s="16" t="n">
        <v>1333.09</v>
      </c>
      <c r="AI6" s="16" t="n">
        <v>1333.09</v>
      </c>
      <c r="AJ6" s="11" t="n"/>
      <c r="AK6" s="16" t="n">
        <v>1333.09</v>
      </c>
      <c r="AL6" s="16" t="n">
        <v>1333.09</v>
      </c>
      <c r="AM6" s="16" t="n">
        <v>1333.09</v>
      </c>
      <c r="AN6" s="16" t="n">
        <v>1333.09</v>
      </c>
      <c r="AO6" s="11" t="n"/>
    </row>
    <row r="7">
      <c r="A7" s="12" t="inlineStr">
        <is>
          <t>USDKRW_end</t>
        </is>
      </c>
      <c r="C7" t="inlineStr">
        <is>
          <t xml:space="preserve"> 원/달러(기말)</t>
        </is>
      </c>
      <c r="E7" s="13" t="n">
        <v>1188.75</v>
      </c>
      <c r="F7" s="14" t="n">
        <v>1188.75</v>
      </c>
      <c r="G7" s="13" t="n">
        <v>1213.74</v>
      </c>
      <c r="H7" s="13" t="n">
        <v>1301.24</v>
      </c>
      <c r="I7" s="13" t="n">
        <v>1436.9</v>
      </c>
      <c r="J7" s="13" t="n">
        <v>1260.16</v>
      </c>
      <c r="K7" s="14" t="n">
        <v>1260.16</v>
      </c>
      <c r="L7" s="13" t="n">
        <v>1305.99</v>
      </c>
      <c r="M7" s="13" t="n">
        <v>1321.44</v>
      </c>
      <c r="N7" s="13" t="n">
        <v>1345.35</v>
      </c>
      <c r="O7" s="13" t="n">
        <v>1297.43</v>
      </c>
      <c r="P7" s="14" t="n">
        <v>1297.43</v>
      </c>
      <c r="Q7" s="13" t="n">
        <v>1349.25</v>
      </c>
      <c r="R7" s="13" t="n">
        <v>1377.73</v>
      </c>
      <c r="S7" s="13" t="n">
        <v>1312.17</v>
      </c>
      <c r="T7" s="13" t="n">
        <v>1474.78</v>
      </c>
      <c r="U7" s="14" t="n">
        <v>1474.78</v>
      </c>
      <c r="V7" s="13" t="n">
        <v>1474.54</v>
      </c>
      <c r="W7" s="13" t="n">
        <v>1355.13</v>
      </c>
      <c r="X7" s="13" t="n">
        <v>1403.67</v>
      </c>
      <c r="Y7" s="13" t="n">
        <v>1444.2</v>
      </c>
      <c r="Z7" s="14" t="n">
        <v>1444.2</v>
      </c>
      <c r="AA7" s="13" t="n">
        <v>1524.8</v>
      </c>
      <c r="AB7" s="15" t="n">
        <v>1550.89</v>
      </c>
      <c r="AC7" s="16" t="n">
        <v>1355.4</v>
      </c>
      <c r="AD7" s="16" t="n">
        <v>1333.09</v>
      </c>
      <c r="AE7" s="17" t="n">
        <v>1333.09</v>
      </c>
      <c r="AF7" s="16" t="n">
        <v>1333.09</v>
      </c>
      <c r="AG7" s="16" t="n">
        <v>1333.09</v>
      </c>
      <c r="AH7" s="16" t="n">
        <v>1333.09</v>
      </c>
      <c r="AI7" s="16" t="n">
        <v>1333.09</v>
      </c>
      <c r="AJ7" s="11" t="n"/>
      <c r="AK7" s="16" t="n">
        <v>1333.09</v>
      </c>
      <c r="AL7" s="16" t="n">
        <v>1333.09</v>
      </c>
      <c r="AM7" s="16" t="n">
        <v>1333.09</v>
      </c>
      <c r="AN7" s="16" t="n">
        <v>1333.09</v>
      </c>
      <c r="AO7" s="11" t="n"/>
    </row>
    <row r="8">
      <c r="A8" s="12" t="inlineStr">
        <is>
          <t>JPY100KRW_avg</t>
        </is>
      </c>
      <c r="C8" t="inlineStr">
        <is>
          <t xml:space="preserve"> 원/100Y(평균)</t>
        </is>
      </c>
      <c r="E8" s="13" t="n">
        <v>1041.02</v>
      </c>
      <c r="F8" s="14" t="n">
        <v>1042.74</v>
      </c>
      <c r="G8" s="13" t="n">
        <v>1036.79</v>
      </c>
      <c r="H8" s="13" t="n">
        <v>972.23</v>
      </c>
      <c r="I8" s="13" t="n">
        <v>970.61</v>
      </c>
      <c r="J8" s="13" t="n">
        <v>961.03</v>
      </c>
      <c r="K8" s="14" t="n">
        <v>985.1</v>
      </c>
      <c r="L8" s="13" t="n">
        <v>964.89</v>
      </c>
      <c r="M8" s="13" t="n">
        <v>957.36</v>
      </c>
      <c r="N8" s="13" t="n">
        <v>909</v>
      </c>
      <c r="O8" s="13" t="n">
        <v>893.22</v>
      </c>
      <c r="P8" s="14" t="n">
        <v>931.11</v>
      </c>
      <c r="Q8" s="13" t="n">
        <v>896.29</v>
      </c>
      <c r="R8" s="13" t="n">
        <v>880.14</v>
      </c>
      <c r="S8" s="13" t="n">
        <v>909.35</v>
      </c>
      <c r="T8" s="13" t="n">
        <v>917.25</v>
      </c>
      <c r="U8" s="14" t="n">
        <v>900.92</v>
      </c>
      <c r="V8" s="13" t="n">
        <v>952.59</v>
      </c>
      <c r="W8" s="13" t="n">
        <v>967.92</v>
      </c>
      <c r="X8" s="13" t="n">
        <v>940.3200000000001</v>
      </c>
      <c r="Y8" s="13" t="n">
        <v>940.77</v>
      </c>
      <c r="Z8" s="14" t="n">
        <v>950.17</v>
      </c>
      <c r="AA8" s="13" t="n">
        <v>934.39</v>
      </c>
      <c r="AB8" s="15" t="n">
        <v>942.16</v>
      </c>
      <c r="AC8" s="16" t="n">
        <v>890.41</v>
      </c>
      <c r="AD8" s="16" t="n">
        <v>849.51</v>
      </c>
      <c r="AE8" s="17" t="n">
        <v>918.8099999999999</v>
      </c>
      <c r="AF8" s="16" t="n">
        <v>840.54</v>
      </c>
      <c r="AG8" s="16" t="n">
        <v>840.54</v>
      </c>
      <c r="AH8" s="16" t="n">
        <v>840.54</v>
      </c>
      <c r="AI8" s="16" t="n">
        <v>840.54</v>
      </c>
      <c r="AJ8" s="11" t="n"/>
      <c r="AK8" s="16" t="n">
        <v>840.54</v>
      </c>
      <c r="AL8" s="16" t="n">
        <v>840.54</v>
      </c>
      <c r="AM8" s="16" t="n">
        <v>840.54</v>
      </c>
      <c r="AN8" s="16" t="n">
        <v>840.54</v>
      </c>
      <c r="AO8" s="11" t="n"/>
    </row>
    <row r="9">
      <c r="A9" s="12" t="inlineStr">
        <is>
          <t>JPY100KRW_end</t>
        </is>
      </c>
      <c r="C9" t="inlineStr">
        <is>
          <t xml:space="preserve"> 원/100Y(기말)</t>
        </is>
      </c>
      <c r="E9" s="13" t="n">
        <v>1032.62</v>
      </c>
      <c r="F9" s="14" t="n">
        <v>1032.62</v>
      </c>
      <c r="G9" s="13" t="n">
        <v>996.83</v>
      </c>
      <c r="H9" s="13" t="n">
        <v>954.9</v>
      </c>
      <c r="I9" s="13" t="n">
        <v>993.29</v>
      </c>
      <c r="J9" s="13" t="n">
        <v>955.54</v>
      </c>
      <c r="K9" s="14" t="n">
        <v>955.54</v>
      </c>
      <c r="L9" s="13" t="n">
        <v>980.62</v>
      </c>
      <c r="M9" s="13" t="n">
        <v>913.67</v>
      </c>
      <c r="N9" s="13" t="n">
        <v>901.47</v>
      </c>
      <c r="O9" s="13" t="n">
        <v>917.04</v>
      </c>
      <c r="P9" s="14" t="n">
        <v>917.04</v>
      </c>
      <c r="Q9" s="13" t="n">
        <v>892.42</v>
      </c>
      <c r="R9" s="13" t="n">
        <v>857.76</v>
      </c>
      <c r="S9" s="13" t="n">
        <v>919.21</v>
      </c>
      <c r="T9" s="13" t="n">
        <v>939.65</v>
      </c>
      <c r="U9" s="14" t="n">
        <v>939.65</v>
      </c>
      <c r="V9" s="13" t="n">
        <v>986.84</v>
      </c>
      <c r="W9" s="13" t="n">
        <v>938.85</v>
      </c>
      <c r="X9" s="13" t="n">
        <v>948.49</v>
      </c>
      <c r="Y9" s="13" t="n">
        <v>921.8099999999999</v>
      </c>
      <c r="Z9" s="14" t="n">
        <v>921.8099999999999</v>
      </c>
      <c r="AA9" s="13" t="n">
        <v>955.99</v>
      </c>
      <c r="AB9" s="15" t="n">
        <v>954.75</v>
      </c>
      <c r="AC9" s="16" t="n">
        <v>863.3099999999999</v>
      </c>
      <c r="AD9" s="16" t="n">
        <v>840.54</v>
      </c>
      <c r="AE9" s="17" t="n">
        <v>840.54</v>
      </c>
      <c r="AF9" s="16" t="n">
        <v>840.54</v>
      </c>
      <c r="AG9" s="16" t="n">
        <v>840.54</v>
      </c>
      <c r="AH9" s="16" t="n">
        <v>840.54</v>
      </c>
      <c r="AI9" s="16" t="n">
        <v>840.54</v>
      </c>
      <c r="AJ9" s="11" t="n"/>
      <c r="AK9" s="16" t="n">
        <v>840.54</v>
      </c>
      <c r="AL9" s="16" t="n">
        <v>840.54</v>
      </c>
      <c r="AM9" s="16" t="n">
        <v>840.54</v>
      </c>
      <c r="AN9" s="16" t="n">
        <v>840.54</v>
      </c>
      <c r="AO9" s="11" t="n"/>
    </row>
    <row r="10">
      <c r="A10" s="12" t="inlineStr">
        <is>
          <t>EURKRW_avg</t>
        </is>
      </c>
      <c r="C10" t="inlineStr">
        <is>
          <t xml:space="preserve"> W/Euro(평균)</t>
        </is>
      </c>
      <c r="E10" s="13" t="n">
        <v>1353.32</v>
      </c>
      <c r="F10" s="14" t="n">
        <v>1354.06</v>
      </c>
      <c r="G10" s="13" t="n">
        <v>1352.29</v>
      </c>
      <c r="H10" s="13" t="n">
        <v>1343.31</v>
      </c>
      <c r="I10" s="13" t="n">
        <v>1350.63</v>
      </c>
      <c r="J10" s="13" t="n">
        <v>1386.07</v>
      </c>
      <c r="K10" s="14" t="n">
        <v>1358.07</v>
      </c>
      <c r="L10" s="13" t="n">
        <v>1369.93</v>
      </c>
      <c r="M10" s="13" t="n">
        <v>1432.41</v>
      </c>
      <c r="N10" s="13" t="n">
        <v>1429.41</v>
      </c>
      <c r="O10" s="13" t="n">
        <v>1420.91</v>
      </c>
      <c r="P10" s="14" t="n">
        <v>1412.88</v>
      </c>
      <c r="Q10" s="13" t="n">
        <v>1444.21</v>
      </c>
      <c r="R10" s="13" t="n">
        <v>1476.42</v>
      </c>
      <c r="S10" s="13" t="n">
        <v>1489.3</v>
      </c>
      <c r="T10" s="13" t="n">
        <v>1490.78</v>
      </c>
      <c r="U10" s="14" t="n">
        <v>1475.4</v>
      </c>
      <c r="V10" s="13" t="n">
        <v>1528.33</v>
      </c>
      <c r="W10" s="13" t="n">
        <v>1585.13</v>
      </c>
      <c r="X10" s="13" t="n">
        <v>1620.04</v>
      </c>
      <c r="Y10" s="13" t="n">
        <v>1686.02</v>
      </c>
      <c r="Z10" s="14" t="n">
        <v>1605.45</v>
      </c>
      <c r="AA10" s="13" t="n">
        <v>1715.47</v>
      </c>
      <c r="AB10" s="15" t="n">
        <v>1746.09</v>
      </c>
      <c r="AC10" s="16" t="n">
        <v>1631.97</v>
      </c>
      <c r="AD10" s="16" t="n">
        <v>1507.34</v>
      </c>
      <c r="AE10" s="17" t="n">
        <v>1688.95</v>
      </c>
      <c r="AF10" s="16" t="n">
        <v>1490.54</v>
      </c>
      <c r="AG10" s="16" t="n">
        <v>1490.54</v>
      </c>
      <c r="AH10" s="16" t="n">
        <v>1490.54</v>
      </c>
      <c r="AI10" s="16" t="n">
        <v>1490.54</v>
      </c>
      <c r="AJ10" s="11" t="n"/>
      <c r="AK10" s="16" t="n">
        <v>1490.54</v>
      </c>
      <c r="AL10" s="16" t="n">
        <v>1490.54</v>
      </c>
      <c r="AM10" s="16" t="n">
        <v>1490.54</v>
      </c>
      <c r="AN10" s="16" t="n">
        <v>1490.54</v>
      </c>
      <c r="AO10" s="11" t="n"/>
    </row>
    <row r="11">
      <c r="A11" s="12" t="inlineStr">
        <is>
          <t>EURKRW_end</t>
        </is>
      </c>
      <c r="C11" t="inlineStr">
        <is>
          <t xml:space="preserve"> W/Euro(기말)</t>
        </is>
      </c>
      <c r="E11" s="13" t="n">
        <v>1346.38</v>
      </c>
      <c r="F11" s="14" t="n">
        <v>1346.38</v>
      </c>
      <c r="G11" s="13" t="n">
        <v>1347.37</v>
      </c>
      <c r="H11" s="13" t="n">
        <v>1351.6</v>
      </c>
      <c r="I11" s="13" t="n">
        <v>1400.62</v>
      </c>
      <c r="J11" s="13" t="n">
        <v>1344.08</v>
      </c>
      <c r="K11" s="14" t="n">
        <v>1344.08</v>
      </c>
      <c r="L11" s="13" t="n">
        <v>1420.26</v>
      </c>
      <c r="M11" s="13" t="n">
        <v>1435.88</v>
      </c>
      <c r="N11" s="13" t="n">
        <v>1425.26</v>
      </c>
      <c r="O11" s="13" t="n">
        <v>1433.66</v>
      </c>
      <c r="P11" s="14" t="n">
        <v>1433.66</v>
      </c>
      <c r="Q11" s="13" t="n">
        <v>1458.68</v>
      </c>
      <c r="R11" s="13" t="n">
        <v>1474.86</v>
      </c>
      <c r="S11" s="13" t="n">
        <v>1469.1</v>
      </c>
      <c r="T11" s="13" t="n">
        <v>1532.14</v>
      </c>
      <c r="U11" s="14" t="n">
        <v>1532.14</v>
      </c>
      <c r="V11" s="13" t="n">
        <v>1594.72</v>
      </c>
      <c r="W11" s="13" t="n">
        <v>1588.22</v>
      </c>
      <c r="X11" s="13" t="n">
        <v>1648.04</v>
      </c>
      <c r="Y11" s="13" t="n">
        <v>1696.94</v>
      </c>
      <c r="Z11" s="14" t="n">
        <v>1696.94</v>
      </c>
      <c r="AA11" s="13" t="n">
        <v>1753.21</v>
      </c>
      <c r="AB11" s="15" t="n">
        <v>1767.09</v>
      </c>
      <c r="AC11" s="16" t="n">
        <v>1539.06</v>
      </c>
      <c r="AD11" s="16" t="n">
        <v>1490.54</v>
      </c>
      <c r="AE11" s="17" t="n">
        <v>1490.54</v>
      </c>
      <c r="AF11" s="16" t="n">
        <v>1490.54</v>
      </c>
      <c r="AG11" s="16" t="n">
        <v>1490.54</v>
      </c>
      <c r="AH11" s="16" t="n">
        <v>1490.54</v>
      </c>
      <c r="AI11" s="16" t="n">
        <v>1490.54</v>
      </c>
      <c r="AJ11" s="11" t="n"/>
      <c r="AK11" s="16" t="n">
        <v>1490.54</v>
      </c>
      <c r="AL11" s="16" t="n">
        <v>1490.54</v>
      </c>
      <c r="AM11" s="16" t="n">
        <v>1490.54</v>
      </c>
      <c r="AN11" s="16" t="n">
        <v>1490.54</v>
      </c>
      <c r="AO11" s="11" t="n"/>
    </row>
    <row r="12">
      <c r="A12" s="12" t="inlineStr">
        <is>
          <t>CNYKRW_avg</t>
        </is>
      </c>
      <c r="C12" t="inlineStr">
        <is>
          <t xml:space="preserve"> 원/중국원(평균)</t>
        </is>
      </c>
      <c r="E12" s="13" t="n">
        <v>185.14</v>
      </c>
      <c r="F12" s="14" t="n">
        <v>177.65</v>
      </c>
      <c r="G12" s="13" t="n">
        <v>189.93</v>
      </c>
      <c r="H12" s="13" t="n">
        <v>190.76</v>
      </c>
      <c r="I12" s="13" t="n">
        <v>195.79</v>
      </c>
      <c r="J12" s="13" t="n">
        <v>191.09</v>
      </c>
      <c r="K12" s="14" t="n">
        <v>191.93</v>
      </c>
      <c r="L12" s="13" t="n">
        <v>186.59</v>
      </c>
      <c r="M12" s="13" t="n">
        <v>187.45</v>
      </c>
      <c r="N12" s="13" t="n">
        <v>181.28</v>
      </c>
      <c r="O12" s="13" t="n">
        <v>182.86</v>
      </c>
      <c r="P12" s="14" t="n">
        <v>184.52</v>
      </c>
      <c r="Q12" s="13" t="n">
        <v>185.04</v>
      </c>
      <c r="R12" s="13" t="n">
        <v>189.35</v>
      </c>
      <c r="S12" s="13" t="n">
        <v>189.24</v>
      </c>
      <c r="T12" s="13" t="n">
        <v>194.24</v>
      </c>
      <c r="U12" s="14" t="n">
        <v>189.49</v>
      </c>
      <c r="V12" s="13" t="n">
        <v>199.63</v>
      </c>
      <c r="W12" s="13" t="n">
        <v>193.41</v>
      </c>
      <c r="X12" s="13" t="n">
        <v>193.79</v>
      </c>
      <c r="Y12" s="13" t="n">
        <v>204.38</v>
      </c>
      <c r="Z12" s="14" t="n">
        <v>197.8</v>
      </c>
      <c r="AA12" s="13" t="n">
        <v>211.75</v>
      </c>
      <c r="AB12" s="15" t="n">
        <v>220.8</v>
      </c>
      <c r="AC12" s="16" t="n">
        <v>210.43</v>
      </c>
      <c r="AD12" s="16" t="n">
        <v>200.5</v>
      </c>
      <c r="AE12" s="17" t="n">
        <v>213.68</v>
      </c>
      <c r="AF12" s="16" t="n">
        <v>199.18</v>
      </c>
      <c r="AG12" s="16" t="n">
        <v>199.18</v>
      </c>
      <c r="AH12" s="16" t="n">
        <v>199.18</v>
      </c>
      <c r="AI12" s="16" t="n">
        <v>199.18</v>
      </c>
      <c r="AJ12" s="11" t="n"/>
      <c r="AK12" s="16" t="n">
        <v>199.18</v>
      </c>
      <c r="AL12" s="16" t="n">
        <v>199.18</v>
      </c>
      <c r="AM12" s="16" t="n">
        <v>199.18</v>
      </c>
      <c r="AN12" s="16" t="n">
        <v>199.18</v>
      </c>
      <c r="AO12" s="11" t="n"/>
    </row>
    <row r="13">
      <c r="A13" s="12" t="inlineStr">
        <is>
          <t>CNYKRW_end</t>
        </is>
      </c>
      <c r="C13" t="inlineStr">
        <is>
          <t xml:space="preserve"> 원/중국원(기말)</t>
        </is>
      </c>
      <c r="E13" s="13" t="n">
        <v>187.13</v>
      </c>
      <c r="F13" s="14" t="n">
        <v>187.13</v>
      </c>
      <c r="G13" s="13" t="n">
        <v>191.38</v>
      </c>
      <c r="H13" s="13" t="n">
        <v>194.13</v>
      </c>
      <c r="I13" s="13" t="n">
        <v>201.92</v>
      </c>
      <c r="J13" s="13" t="n">
        <v>182.67</v>
      </c>
      <c r="K13" s="14" t="n">
        <v>182.67</v>
      </c>
      <c r="L13" s="13" t="n">
        <v>189.97</v>
      </c>
      <c r="M13" s="13" t="n">
        <v>181.8</v>
      </c>
      <c r="N13" s="13" t="n">
        <v>184.26</v>
      </c>
      <c r="O13" s="13" t="n">
        <v>182.61</v>
      </c>
      <c r="P13" s="14" t="n">
        <v>182.61</v>
      </c>
      <c r="Q13" s="13" t="n">
        <v>186.66</v>
      </c>
      <c r="R13" s="13" t="n">
        <v>189.7</v>
      </c>
      <c r="S13" s="13" t="n">
        <v>187.12</v>
      </c>
      <c r="T13" s="13" t="n">
        <v>202.04</v>
      </c>
      <c r="U13" s="14" t="n">
        <v>202.04</v>
      </c>
      <c r="V13" s="13" t="n">
        <v>203.3</v>
      </c>
      <c r="W13" s="13" t="n">
        <v>189.14</v>
      </c>
      <c r="X13" s="13" t="n">
        <v>197.16</v>
      </c>
      <c r="Y13" s="13" t="n">
        <v>206.28</v>
      </c>
      <c r="Z13" s="14" t="n">
        <v>206.28</v>
      </c>
      <c r="AA13" s="13" t="n">
        <v>220.97</v>
      </c>
      <c r="AB13" s="15" t="n">
        <v>228.56</v>
      </c>
      <c r="AC13" s="16" t="n">
        <v>202.16</v>
      </c>
      <c r="AD13" s="16" t="n">
        <v>199.18</v>
      </c>
      <c r="AE13" s="17" t="n">
        <v>199.18</v>
      </c>
      <c r="AF13" s="16" t="n">
        <v>199.18</v>
      </c>
      <c r="AG13" s="16" t="n">
        <v>199.18</v>
      </c>
      <c r="AH13" s="16" t="n">
        <v>199.18</v>
      </c>
      <c r="AI13" s="16" t="n">
        <v>199.18</v>
      </c>
      <c r="AJ13" s="11" t="n"/>
      <c r="AK13" s="16" t="n">
        <v>199.18</v>
      </c>
      <c r="AL13" s="16" t="n">
        <v>199.18</v>
      </c>
      <c r="AM13" s="16" t="n">
        <v>199.18</v>
      </c>
      <c r="AN13" s="16" t="n">
        <v>199.18</v>
      </c>
      <c r="AO13" s="11" t="n"/>
    </row>
    <row r="14">
      <c r="B14" s="1" t="inlineStr">
        <is>
          <t>1b. 종가</t>
        </is>
      </c>
      <c r="F14" s="9" t="n"/>
      <c r="K14" s="9" t="n"/>
      <c r="P14" s="9" t="n"/>
      <c r="U14" s="9" t="n"/>
      <c r="Z14" s="9" t="n"/>
      <c r="AB14" s="5" t="n"/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s="12" t="inlineStr">
        <is>
          <t>price_close_end</t>
        </is>
      </c>
      <c r="C15" t="inlineStr">
        <is>
          <t>종가(기말)</t>
        </is>
      </c>
      <c r="F15" s="9" t="n"/>
      <c r="K15" s="9" t="n"/>
      <c r="L15" s="18" t="n">
        <v>3750</v>
      </c>
      <c r="M15" s="18" t="n">
        <v>4810</v>
      </c>
      <c r="N15" s="18" t="n">
        <v>4410</v>
      </c>
      <c r="O15" s="18" t="n">
        <v>4030</v>
      </c>
      <c r="P15" s="9" t="n"/>
      <c r="Q15" s="18" t="n">
        <v>3945</v>
      </c>
      <c r="R15" s="18" t="n">
        <v>4540</v>
      </c>
      <c r="S15" s="18" t="n">
        <v>3670</v>
      </c>
      <c r="T15" s="18" t="n">
        <v>3250</v>
      </c>
      <c r="U15" s="9" t="n"/>
      <c r="V15" s="18" t="n">
        <v>3150</v>
      </c>
      <c r="W15" s="18" t="n">
        <v>3365</v>
      </c>
      <c r="X15" s="18" t="n">
        <v>4440</v>
      </c>
      <c r="Y15" s="18" t="n">
        <v>4160</v>
      </c>
      <c r="Z15" s="9" t="n"/>
      <c r="AA15" s="18" t="n">
        <v>3685</v>
      </c>
      <c r="AB15" s="19" t="n">
        <v>2360</v>
      </c>
      <c r="AC15" s="20" t="n">
        <v>1746</v>
      </c>
      <c r="AD15" s="20" t="n">
        <v>1507</v>
      </c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s="12" t="inlineStr">
        <is>
          <t>price_high</t>
        </is>
      </c>
      <c r="C16" t="inlineStr">
        <is>
          <t>종가(최고)</t>
        </is>
      </c>
      <c r="F16" s="9" t="n"/>
      <c r="K16" s="9" t="n"/>
      <c r="L16" s="18" t="n">
        <v>4690</v>
      </c>
      <c r="M16" s="18" t="n">
        <v>5050</v>
      </c>
      <c r="N16" s="18" t="n">
        <v>8780</v>
      </c>
      <c r="O16" s="18" t="n">
        <v>4850</v>
      </c>
      <c r="P16" s="9" t="n"/>
      <c r="Q16" s="18" t="n">
        <v>4345</v>
      </c>
      <c r="R16" s="18" t="n">
        <v>5120</v>
      </c>
      <c r="S16" s="18" t="n">
        <v>4845</v>
      </c>
      <c r="T16" s="18" t="n">
        <v>3880</v>
      </c>
      <c r="U16" s="9" t="n"/>
      <c r="V16" s="18" t="n">
        <v>3640</v>
      </c>
      <c r="W16" s="18" t="n">
        <v>3940</v>
      </c>
      <c r="X16" s="18" t="n">
        <v>6100</v>
      </c>
      <c r="Y16" s="18" t="n">
        <v>5000</v>
      </c>
      <c r="Z16" s="9" t="n"/>
      <c r="AA16" s="18" t="n">
        <v>4390</v>
      </c>
      <c r="AB16" s="19" t="n">
        <v>4800</v>
      </c>
      <c r="AC16" s="20" t="n">
        <v>2850</v>
      </c>
      <c r="AD16" s="20" t="n">
        <v>1689</v>
      </c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s="12" t="inlineStr">
        <is>
          <t>price_low</t>
        </is>
      </c>
      <c r="C17" t="inlineStr">
        <is>
          <t>종가(최저)</t>
        </is>
      </c>
      <c r="F17" s="9" t="n"/>
      <c r="K17" s="9" t="n"/>
      <c r="L17" s="18" t="n">
        <v>3425</v>
      </c>
      <c r="M17" s="18" t="n">
        <v>3600</v>
      </c>
      <c r="N17" s="18" t="n">
        <v>4055</v>
      </c>
      <c r="O17" s="18" t="n">
        <v>3840</v>
      </c>
      <c r="P17" s="9" t="n"/>
      <c r="Q17" s="18" t="n">
        <v>3300</v>
      </c>
      <c r="R17" s="18" t="n">
        <v>3735</v>
      </c>
      <c r="S17" s="18" t="n">
        <v>3250</v>
      </c>
      <c r="T17" s="18" t="n">
        <v>2500</v>
      </c>
      <c r="U17" s="9" t="n"/>
      <c r="V17" s="18" t="n">
        <v>2725</v>
      </c>
      <c r="W17" s="18" t="n">
        <v>3140</v>
      </c>
      <c r="X17" s="18" t="n">
        <v>3155</v>
      </c>
      <c r="Y17" s="18" t="n">
        <v>3980</v>
      </c>
      <c r="Z17" s="9" t="n"/>
      <c r="AA17" s="18" t="n">
        <v>3280</v>
      </c>
      <c r="AB17" s="19" t="n">
        <v>2100</v>
      </c>
      <c r="AC17" s="20" t="n">
        <v>1700</v>
      </c>
      <c r="AD17" s="20" t="n">
        <v>1287</v>
      </c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s="12" t="inlineStr">
        <is>
          <t>price_avg</t>
        </is>
      </c>
      <c r="C18" t="inlineStr">
        <is>
          <t>종가(평균)</t>
        </is>
      </c>
      <c r="F18" s="9" t="n"/>
      <c r="K18" s="9" t="n"/>
      <c r="L18" s="18" t="n">
        <v>3683.8</v>
      </c>
      <c r="M18" s="18" t="n">
        <v>4265.5</v>
      </c>
      <c r="N18" s="18" t="n">
        <v>5268.7</v>
      </c>
      <c r="O18" s="18" t="n">
        <v>4167.9</v>
      </c>
      <c r="P18" s="9" t="n"/>
      <c r="Q18" s="18" t="n">
        <v>3811.4</v>
      </c>
      <c r="R18" s="18" t="n">
        <v>4340.5</v>
      </c>
      <c r="S18" s="18" t="n">
        <v>4000.3</v>
      </c>
      <c r="T18" s="18" t="n">
        <v>3302.6</v>
      </c>
      <c r="U18" s="9" t="n"/>
      <c r="V18" s="18" t="n">
        <v>3127.7</v>
      </c>
      <c r="W18" s="18" t="n">
        <v>3478.2</v>
      </c>
      <c r="X18" s="18" t="n">
        <v>3941.2</v>
      </c>
      <c r="Y18" s="18" t="n">
        <v>4345.1</v>
      </c>
      <c r="Z18" s="9" t="n"/>
      <c r="AA18" s="18" t="n">
        <v>3910</v>
      </c>
      <c r="AB18" s="19" t="n">
        <v>3432</v>
      </c>
      <c r="AC18" s="20" t="n">
        <v>2401.1</v>
      </c>
      <c r="AD18" s="20" t="n">
        <v>1503.6</v>
      </c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F19" s="9" t="n"/>
      <c r="K19" s="9" t="n"/>
      <c r="P19" s="9" t="n"/>
      <c r="U19" s="9" t="n"/>
      <c r="Z19" s="9" t="n"/>
      <c r="AB19" s="5" t="n"/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B20" s="1" t="inlineStr">
        <is>
          <t>2. 추정 드라이버</t>
        </is>
      </c>
      <c r="C20" s="2" t="inlineStr">
        <is>
          <t>실적 열 = subQ 실현값(수식), 추정 열 = 가정(노란 = 모델값 역산, 연녹 = 3절 스칼라 참조)</t>
        </is>
      </c>
      <c r="F20" s="9" t="n"/>
      <c r="K20" s="9" t="n"/>
      <c r="P20" s="9" t="n"/>
      <c r="U20" s="9" t="n"/>
      <c r="Z20" s="9" t="n"/>
      <c r="AB20" s="5" t="n"/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s="12" t="inlineStr">
        <is>
          <t>drv:매출액</t>
        </is>
      </c>
      <c r="B21" s="2" t="inlineStr">
        <is>
          <t>yoy</t>
        </is>
      </c>
      <c r="C21" t="inlineStr">
        <is>
          <t>매출액 YoY</t>
        </is>
      </c>
      <c r="E21" s="21" t="n"/>
      <c r="F21" s="22" t="n"/>
      <c r="G21" s="21" t="n"/>
      <c r="H21" s="21" t="n"/>
      <c r="I21" s="21" t="n"/>
      <c r="J21" s="21">
        <f>IFERROR(subQ!J5/subQ!E5-1,"")</f>
        <v/>
      </c>
      <c r="K21" s="22" t="n"/>
      <c r="L21" s="21">
        <f>IFERROR(subQ!L5/subQ!G5-1,"")</f>
        <v/>
      </c>
      <c r="M21" s="21">
        <f>IFERROR(subQ!M5/subQ!H5-1,"")</f>
        <v/>
      </c>
      <c r="N21" s="21">
        <f>IFERROR(subQ!N5/subQ!I5-1,"")</f>
        <v/>
      </c>
      <c r="O21" s="21">
        <f>IFERROR(subQ!O5/subQ!J5-1,"")</f>
        <v/>
      </c>
      <c r="P21" s="22" t="n"/>
      <c r="Q21" s="21">
        <f>IFERROR(subQ!Q5/subQ!L5-1,"")</f>
        <v/>
      </c>
      <c r="R21" s="21">
        <f>IFERROR(subQ!R5/subQ!M5-1,"")</f>
        <v/>
      </c>
      <c r="S21" s="21">
        <f>IFERROR(subQ!S5/subQ!N5-1,"")</f>
        <v/>
      </c>
      <c r="T21" s="21">
        <f>IFERROR(subQ!T5/subQ!O5-1,"")</f>
        <v/>
      </c>
      <c r="U21" s="22" t="n"/>
      <c r="V21" s="21">
        <f>IFERROR(subQ!V5/subQ!Q5-1,"")</f>
        <v/>
      </c>
      <c r="W21" s="21">
        <f>IFERROR(subQ!W5/subQ!R5-1,"")</f>
        <v/>
      </c>
      <c r="X21" s="21">
        <f>IFERROR(subQ!X5/subQ!S5-1,"")</f>
        <v/>
      </c>
      <c r="Y21" s="21">
        <f>IFERROR(subQ!Y5/subQ!T5-1,"")</f>
        <v/>
      </c>
      <c r="Z21" s="22" t="n"/>
      <c r="AA21" s="21">
        <f>IFERROR(subQ!AA5/subQ!V5-1,"")</f>
        <v/>
      </c>
      <c r="AB21" s="23">
        <f>IFERROR(subQ!AB5/subQ!W5-1,"")</f>
        <v/>
      </c>
      <c r="AC21" s="24" t="n">
        <v>-0.019529529</v>
      </c>
      <c r="AD21" s="24" t="n">
        <v>-0.019580587</v>
      </c>
      <c r="AE21" s="25" t="n"/>
      <c r="AF21" s="24" t="n">
        <v>-0.019533632</v>
      </c>
      <c r="AG21" s="24" t="n">
        <v>-0.019564939</v>
      </c>
      <c r="AH21" s="24" t="n">
        <v>-0.009811650999999999</v>
      </c>
      <c r="AI21" s="24" t="n">
        <v>-0.009803127</v>
      </c>
      <c r="AJ21" s="25" t="n"/>
      <c r="AK21" s="24" t="n">
        <v>-0.009850031</v>
      </c>
      <c r="AL21" s="24" t="n">
        <v>-0.009803922</v>
      </c>
      <c r="AM21" s="24" t="n">
        <v>-0.004865965</v>
      </c>
      <c r="AN21" s="24" t="n">
        <v>-0.00482736</v>
      </c>
      <c r="AO21" s="25" t="n"/>
    </row>
    <row r="22">
      <c r="A22" s="12" t="inlineStr">
        <is>
          <t>drv:판관비</t>
        </is>
      </c>
      <c r="B22" s="2" t="inlineStr">
        <is>
          <t>ratio</t>
        </is>
      </c>
      <c r="C22" t="inlineStr">
        <is>
          <t>판관비율(/매출)</t>
        </is>
      </c>
      <c r="E22" s="21">
        <f>IFERROR(subQ!E8/subQ!E5,"")</f>
        <v/>
      </c>
      <c r="F22" s="22">
        <f>IFERROR(subQ!F8/subQ!F5,"")</f>
        <v/>
      </c>
      <c r="G22" s="21">
        <f>IFERROR(subQ!G8/subQ!G5,"")</f>
        <v/>
      </c>
      <c r="H22" s="21">
        <f>IFERROR(subQ!H8/subQ!H5,"")</f>
        <v/>
      </c>
      <c r="I22" s="21">
        <f>IFERROR(subQ!I8/subQ!I5,"")</f>
        <v/>
      </c>
      <c r="J22" s="21">
        <f>IFERROR(subQ!J8/subQ!J5,"")</f>
        <v/>
      </c>
      <c r="K22" s="22">
        <f>IFERROR(subQ!K8/subQ!K5,"")</f>
        <v/>
      </c>
      <c r="L22" s="21">
        <f>IFERROR(subQ!L8/subQ!L5,"")</f>
        <v/>
      </c>
      <c r="M22" s="21">
        <f>IFERROR(subQ!M8/subQ!M5,"")</f>
        <v/>
      </c>
      <c r="N22" s="21">
        <f>IFERROR(subQ!N8/subQ!N5,"")</f>
        <v/>
      </c>
      <c r="O22" s="21">
        <f>IFERROR(subQ!O8/subQ!O5,"")</f>
        <v/>
      </c>
      <c r="P22" s="22">
        <f>IFERROR(subQ!P8/subQ!P5,"")</f>
        <v/>
      </c>
      <c r="Q22" s="21">
        <f>IFERROR(subQ!Q8/subQ!Q5,"")</f>
        <v/>
      </c>
      <c r="R22" s="21">
        <f>IFERROR(subQ!R8/subQ!R5,"")</f>
        <v/>
      </c>
      <c r="S22" s="21">
        <f>IFERROR(subQ!S8/subQ!S5,"")</f>
        <v/>
      </c>
      <c r="T22" s="21">
        <f>IFERROR(subQ!T8/subQ!T5,"")</f>
        <v/>
      </c>
      <c r="U22" s="22">
        <f>IFERROR(subQ!U8/subQ!U5,"")</f>
        <v/>
      </c>
      <c r="V22" s="21">
        <f>IFERROR(subQ!V8/subQ!V5,"")</f>
        <v/>
      </c>
      <c r="W22" s="21">
        <f>IFERROR(subQ!W8/subQ!W5,"")</f>
        <v/>
      </c>
      <c r="X22" s="21">
        <f>IFERROR(subQ!X8/subQ!X5,"")</f>
        <v/>
      </c>
      <c r="Y22" s="21">
        <f>IFERROR(subQ!Y8/subQ!Y5,"")</f>
        <v/>
      </c>
      <c r="Z22" s="22">
        <f>IFERROR(subQ!Z8/subQ!Z5,"")</f>
        <v/>
      </c>
      <c r="AA22" s="21">
        <f>IFERROR(subQ!AA8/subQ!AA5,"")</f>
        <v/>
      </c>
      <c r="AB22" s="23">
        <f>IFERROR(subQ!AB8/subQ!AB5,"")</f>
        <v/>
      </c>
      <c r="AC22" s="26">
        <f>$D$50</f>
        <v/>
      </c>
      <c r="AD22" s="26">
        <f>$D$50</f>
        <v/>
      </c>
      <c r="AE22" s="25">
        <f>IFERROR(subQ!AE8/subQ!AE5,"")</f>
        <v/>
      </c>
      <c r="AF22" s="26">
        <f>$D$50</f>
        <v/>
      </c>
      <c r="AG22" s="26">
        <f>$D$50</f>
        <v/>
      </c>
      <c r="AH22" s="26">
        <f>$D$50</f>
        <v/>
      </c>
      <c r="AI22" s="26">
        <f>$D$50</f>
        <v/>
      </c>
      <c r="AJ22" s="25">
        <f>IFERROR(subQ!AJ8/subQ!AJ5,"")</f>
        <v/>
      </c>
      <c r="AK22" s="26">
        <f>$D$50</f>
        <v/>
      </c>
      <c r="AL22" s="26">
        <f>$D$50</f>
        <v/>
      </c>
      <c r="AM22" s="26">
        <f>$D$50</f>
        <v/>
      </c>
      <c r="AN22" s="26">
        <f>$D$50</f>
        <v/>
      </c>
      <c r="AO22" s="25">
        <f>IFERROR(subQ!AO8/subQ!AO5,"")</f>
        <v/>
      </c>
    </row>
    <row r="23">
      <c r="A23" s="12" t="inlineStr">
        <is>
          <t>drv:영업이익</t>
        </is>
      </c>
      <c r="B23" s="2" t="inlineStr">
        <is>
          <t>ratio</t>
        </is>
      </c>
      <c r="C23" t="inlineStr">
        <is>
          <t>영업이익률(OPM)</t>
        </is>
      </c>
      <c r="E23" s="21">
        <f>IFERROR(subQ!E9/subQ!E5,"")</f>
        <v/>
      </c>
      <c r="F23" s="22">
        <f>IFERROR(subQ!F9/subQ!F5,"")</f>
        <v/>
      </c>
      <c r="G23" s="21">
        <f>IFERROR(subQ!G9/subQ!G5,"")</f>
        <v/>
      </c>
      <c r="H23" s="21">
        <f>IFERROR(subQ!H9/subQ!H5,"")</f>
        <v/>
      </c>
      <c r="I23" s="21">
        <f>IFERROR(subQ!I9/subQ!I5,"")</f>
        <v/>
      </c>
      <c r="J23" s="21">
        <f>IFERROR(subQ!J9/subQ!J5,"")</f>
        <v/>
      </c>
      <c r="K23" s="22">
        <f>IFERROR(subQ!K9/subQ!K5,"")</f>
        <v/>
      </c>
      <c r="L23" s="21">
        <f>IFERROR(subQ!L9/subQ!L5,"")</f>
        <v/>
      </c>
      <c r="M23" s="21">
        <f>IFERROR(subQ!M9/subQ!M5,"")</f>
        <v/>
      </c>
      <c r="N23" s="21">
        <f>IFERROR(subQ!N9/subQ!N5,"")</f>
        <v/>
      </c>
      <c r="O23" s="21">
        <f>IFERROR(subQ!O9/subQ!O5,"")</f>
        <v/>
      </c>
      <c r="P23" s="22">
        <f>IFERROR(subQ!P9/subQ!P5,"")</f>
        <v/>
      </c>
      <c r="Q23" s="21">
        <f>IFERROR(subQ!Q9/subQ!Q5,"")</f>
        <v/>
      </c>
      <c r="R23" s="21">
        <f>IFERROR(subQ!R9/subQ!R5,"")</f>
        <v/>
      </c>
      <c r="S23" s="21">
        <f>IFERROR(subQ!S9/subQ!S5,"")</f>
        <v/>
      </c>
      <c r="T23" s="21">
        <f>IFERROR(subQ!T9/subQ!T5,"")</f>
        <v/>
      </c>
      <c r="U23" s="22">
        <f>IFERROR(subQ!U9/subQ!U5,"")</f>
        <v/>
      </c>
      <c r="V23" s="21">
        <f>IFERROR(subQ!V9/subQ!V5,"")</f>
        <v/>
      </c>
      <c r="W23" s="21">
        <f>IFERROR(subQ!W9/subQ!W5,"")</f>
        <v/>
      </c>
      <c r="X23" s="21">
        <f>IFERROR(subQ!X9/subQ!X5,"")</f>
        <v/>
      </c>
      <c r="Y23" s="21">
        <f>IFERROR(subQ!Y9/subQ!Y5,"")</f>
        <v/>
      </c>
      <c r="Z23" s="22">
        <f>IFERROR(subQ!Z9/subQ!Z5,"")</f>
        <v/>
      </c>
      <c r="AA23" s="21">
        <f>IFERROR(subQ!AA9/subQ!AA5,"")</f>
        <v/>
      </c>
      <c r="AB23" s="23">
        <f>IFERROR(subQ!AB9/subQ!AB5,"")</f>
        <v/>
      </c>
      <c r="AC23" s="24" t="n">
        <v>0.02934735</v>
      </c>
      <c r="AD23" s="24" t="n">
        <v>0.029328364</v>
      </c>
      <c r="AE23" s="25">
        <f>IFERROR(subQ!AE9/subQ!AE5,"")</f>
        <v/>
      </c>
      <c r="AF23" s="24" t="n">
        <v>0.029283876</v>
      </c>
      <c r="AG23" s="24" t="n">
        <v>0.029332058</v>
      </c>
      <c r="AH23" s="24" t="n">
        <v>0.029284261</v>
      </c>
      <c r="AI23" s="24" t="n">
        <v>0.029291442</v>
      </c>
      <c r="AJ23" s="25">
        <f>IFERROR(subQ!AJ9/subQ!AJ5,"")</f>
        <v/>
      </c>
      <c r="AK23" s="24" t="n">
        <v>0.029306327</v>
      </c>
      <c r="AL23" s="24" t="n">
        <v>0.029300491</v>
      </c>
      <c r="AM23" s="24" t="n">
        <v>0.029338549</v>
      </c>
      <c r="AN23" s="24" t="n">
        <v>0.029351311</v>
      </c>
      <c r="AO23" s="25">
        <f>IFERROR(subQ!AO9/subQ!AO5,"")</f>
        <v/>
      </c>
    </row>
    <row r="24">
      <c r="A24" s="12" t="inlineStr">
        <is>
          <t>drv:외환손익</t>
        </is>
      </c>
      <c r="B24" s="2" t="inlineStr">
        <is>
          <t>abs</t>
        </is>
      </c>
      <c r="C24" t="inlineStr">
        <is>
          <t>외환손익 (가정, 억원)</t>
        </is>
      </c>
      <c r="E24" s="27">
        <f>subQ!E13</f>
        <v/>
      </c>
      <c r="F24" s="28">
        <f>subQ!F13</f>
        <v/>
      </c>
      <c r="G24" s="27">
        <f>subQ!G13</f>
        <v/>
      </c>
      <c r="H24" s="27">
        <f>subQ!H13</f>
        <v/>
      </c>
      <c r="I24" s="27">
        <f>subQ!I13</f>
        <v/>
      </c>
      <c r="J24" s="27">
        <f>subQ!J13</f>
        <v/>
      </c>
      <c r="K24" s="28">
        <f>subQ!K13</f>
        <v/>
      </c>
      <c r="L24" s="27">
        <f>subQ!L13</f>
        <v/>
      </c>
      <c r="M24" s="27">
        <f>subQ!M13</f>
        <v/>
      </c>
      <c r="N24" s="27">
        <f>subQ!N13</f>
        <v/>
      </c>
      <c r="O24" s="27">
        <f>subQ!O13</f>
        <v/>
      </c>
      <c r="P24" s="28">
        <f>subQ!P13</f>
        <v/>
      </c>
      <c r="Q24" s="27">
        <f>subQ!Q13</f>
        <v/>
      </c>
      <c r="R24" s="27">
        <f>subQ!R13</f>
        <v/>
      </c>
      <c r="S24" s="27">
        <f>subQ!S13</f>
        <v/>
      </c>
      <c r="T24" s="27">
        <f>subQ!T13</f>
        <v/>
      </c>
      <c r="U24" s="28">
        <f>subQ!U13</f>
        <v/>
      </c>
      <c r="V24" s="27">
        <f>subQ!V13</f>
        <v/>
      </c>
      <c r="W24" s="27">
        <f>subQ!W13</f>
        <v/>
      </c>
      <c r="X24" s="27">
        <f>subQ!X13</f>
        <v/>
      </c>
      <c r="Y24" s="27">
        <f>subQ!Y13</f>
        <v/>
      </c>
      <c r="Z24" s="28">
        <f>subQ!Z13</f>
        <v/>
      </c>
      <c r="AA24" s="27">
        <f>subQ!AA13</f>
        <v/>
      </c>
      <c r="AB24" s="29">
        <f>subQ!AB13</f>
        <v/>
      </c>
      <c r="AC24" s="30" t="n">
        <v>0</v>
      </c>
      <c r="AD24" s="30" t="n">
        <v>0</v>
      </c>
      <c r="AE24" s="31">
        <f>subQ!AE13</f>
        <v/>
      </c>
      <c r="AF24" s="30" t="n">
        <v>0</v>
      </c>
      <c r="AG24" s="30" t="n">
        <v>0</v>
      </c>
      <c r="AH24" s="30" t="n">
        <v>0</v>
      </c>
      <c r="AI24" s="30" t="n">
        <v>0</v>
      </c>
      <c r="AJ24" s="31">
        <f>subQ!AJ13</f>
        <v/>
      </c>
      <c r="AK24" s="30" t="n">
        <v>0</v>
      </c>
      <c r="AL24" s="30" t="n">
        <v>0</v>
      </c>
      <c r="AM24" s="30" t="n">
        <v>0</v>
      </c>
      <c r="AN24" s="30" t="n">
        <v>0</v>
      </c>
      <c r="AO24" s="31">
        <f>subQ!AO13</f>
        <v/>
      </c>
    </row>
    <row r="25">
      <c r="A25" s="12" t="inlineStr">
        <is>
          <t>drv:기타영업외손익</t>
        </is>
      </c>
      <c r="B25" s="2" t="inlineStr">
        <is>
          <t>abs</t>
        </is>
      </c>
      <c r="C25" t="inlineStr">
        <is>
          <t>기타영업외손익 (가정, 억원)</t>
        </is>
      </c>
      <c r="E25" s="27">
        <f>subQ!E14</f>
        <v/>
      </c>
      <c r="F25" s="28">
        <f>subQ!F14</f>
        <v/>
      </c>
      <c r="G25" s="27">
        <f>subQ!G14</f>
        <v/>
      </c>
      <c r="H25" s="27">
        <f>subQ!H14</f>
        <v/>
      </c>
      <c r="I25" s="27">
        <f>subQ!I14</f>
        <v/>
      </c>
      <c r="J25" s="27">
        <f>subQ!J14</f>
        <v/>
      </c>
      <c r="K25" s="28">
        <f>subQ!K14</f>
        <v/>
      </c>
      <c r="L25" s="27">
        <f>subQ!L14</f>
        <v/>
      </c>
      <c r="M25" s="27">
        <f>subQ!M14</f>
        <v/>
      </c>
      <c r="N25" s="27">
        <f>subQ!N14</f>
        <v/>
      </c>
      <c r="O25" s="27">
        <f>subQ!O14</f>
        <v/>
      </c>
      <c r="P25" s="28">
        <f>subQ!P14</f>
        <v/>
      </c>
      <c r="Q25" s="27">
        <f>subQ!Q14</f>
        <v/>
      </c>
      <c r="R25" s="27">
        <f>subQ!R14</f>
        <v/>
      </c>
      <c r="S25" s="27">
        <f>subQ!S14</f>
        <v/>
      </c>
      <c r="T25" s="27">
        <f>subQ!T14</f>
        <v/>
      </c>
      <c r="U25" s="28">
        <f>subQ!U14</f>
        <v/>
      </c>
      <c r="V25" s="27">
        <f>subQ!V14</f>
        <v/>
      </c>
      <c r="W25" s="27">
        <f>subQ!W14</f>
        <v/>
      </c>
      <c r="X25" s="27">
        <f>subQ!X14</f>
        <v/>
      </c>
      <c r="Y25" s="27">
        <f>subQ!Y14</f>
        <v/>
      </c>
      <c r="Z25" s="28">
        <f>subQ!Z14</f>
        <v/>
      </c>
      <c r="AA25" s="27">
        <f>subQ!AA14</f>
        <v/>
      </c>
      <c r="AB25" s="29">
        <f>subQ!AB14</f>
        <v/>
      </c>
      <c r="AC25" s="30" t="n">
        <v>0</v>
      </c>
      <c r="AD25" s="30" t="n">
        <v>0</v>
      </c>
      <c r="AE25" s="31">
        <f>subQ!AE14</f>
        <v/>
      </c>
      <c r="AF25" s="30" t="n">
        <v>0</v>
      </c>
      <c r="AG25" s="30" t="n">
        <v>0</v>
      </c>
      <c r="AH25" s="30" t="n">
        <v>0</v>
      </c>
      <c r="AI25" s="30" t="n">
        <v>0</v>
      </c>
      <c r="AJ25" s="31">
        <f>subQ!AJ14</f>
        <v/>
      </c>
      <c r="AK25" s="30" t="n">
        <v>0</v>
      </c>
      <c r="AL25" s="30" t="n">
        <v>0</v>
      </c>
      <c r="AM25" s="30" t="n">
        <v>0</v>
      </c>
      <c r="AN25" s="30" t="n">
        <v>0</v>
      </c>
      <c r="AO25" s="31">
        <f>subQ!AO14</f>
        <v/>
      </c>
    </row>
    <row r="26">
      <c r="A26" s="12" t="inlineStr">
        <is>
          <t>drv:지분법손익</t>
        </is>
      </c>
      <c r="B26" s="2" t="inlineStr">
        <is>
          <t>abs</t>
        </is>
      </c>
      <c r="C26" t="inlineStr">
        <is>
          <t>지분법손익 (가정, 억원)</t>
        </is>
      </c>
      <c r="E26" s="27">
        <f>subQ!E15</f>
        <v/>
      </c>
      <c r="F26" s="28">
        <f>subQ!F15</f>
        <v/>
      </c>
      <c r="G26" s="27">
        <f>subQ!G15</f>
        <v/>
      </c>
      <c r="H26" s="27">
        <f>subQ!H15</f>
        <v/>
      </c>
      <c r="I26" s="27">
        <f>subQ!I15</f>
        <v/>
      </c>
      <c r="J26" s="27">
        <f>subQ!J15</f>
        <v/>
      </c>
      <c r="K26" s="28">
        <f>subQ!K15</f>
        <v/>
      </c>
      <c r="L26" s="27">
        <f>subQ!L15</f>
        <v/>
      </c>
      <c r="M26" s="27">
        <f>subQ!M15</f>
        <v/>
      </c>
      <c r="N26" s="27">
        <f>subQ!N15</f>
        <v/>
      </c>
      <c r="O26" s="27">
        <f>subQ!O15</f>
        <v/>
      </c>
      <c r="P26" s="28">
        <f>subQ!P15</f>
        <v/>
      </c>
      <c r="Q26" s="27">
        <f>subQ!Q15</f>
        <v/>
      </c>
      <c r="R26" s="27">
        <f>subQ!R15</f>
        <v/>
      </c>
      <c r="S26" s="27">
        <f>subQ!S15</f>
        <v/>
      </c>
      <c r="T26" s="27">
        <f>subQ!T15</f>
        <v/>
      </c>
      <c r="U26" s="28">
        <f>subQ!U15</f>
        <v/>
      </c>
      <c r="V26" s="27">
        <f>subQ!V15</f>
        <v/>
      </c>
      <c r="W26" s="27">
        <f>subQ!W15</f>
        <v/>
      </c>
      <c r="X26" s="27">
        <f>subQ!X15</f>
        <v/>
      </c>
      <c r="Y26" s="27">
        <f>subQ!Y15</f>
        <v/>
      </c>
      <c r="Z26" s="28">
        <f>subQ!Z15</f>
        <v/>
      </c>
      <c r="AA26" s="27">
        <f>subQ!AA15</f>
        <v/>
      </c>
      <c r="AB26" s="29">
        <f>subQ!AB15</f>
        <v/>
      </c>
      <c r="AC26" s="30" t="n">
        <v>0</v>
      </c>
      <c r="AD26" s="30" t="n">
        <v>0</v>
      </c>
      <c r="AE26" s="31">
        <f>subQ!AE15</f>
        <v/>
      </c>
      <c r="AF26" s="30" t="n">
        <v>0</v>
      </c>
      <c r="AG26" s="30" t="n">
        <v>0</v>
      </c>
      <c r="AH26" s="30" t="n">
        <v>0</v>
      </c>
      <c r="AI26" s="30" t="n">
        <v>0</v>
      </c>
      <c r="AJ26" s="31">
        <f>subQ!AJ15</f>
        <v/>
      </c>
      <c r="AK26" s="30" t="n">
        <v>0</v>
      </c>
      <c r="AL26" s="30" t="n">
        <v>0</v>
      </c>
      <c r="AM26" s="30" t="n">
        <v>0</v>
      </c>
      <c r="AN26" s="30" t="n">
        <v>0</v>
      </c>
      <c r="AO26" s="31">
        <f>subQ!AO15</f>
        <v/>
      </c>
    </row>
    <row r="27">
      <c r="A27" s="12" t="inlineStr">
        <is>
          <t>drv:법인세비용</t>
        </is>
      </c>
      <c r="B27" s="2" t="inlineStr">
        <is>
          <t>tax</t>
        </is>
      </c>
      <c r="C27" t="inlineStr">
        <is>
          <t>법인세율(/세전) — 법인세 = MAX(세전,0) × 분기별 세율(이월결손 램프, assumptions.tax_schedule)</t>
        </is>
      </c>
      <c r="E27" s="21">
        <f>IFERROR(subQ!E17/subQ!E16,"")</f>
        <v/>
      </c>
      <c r="F27" s="22">
        <f>IFERROR(subQ!F17/subQ!F16,"")</f>
        <v/>
      </c>
      <c r="G27" s="21">
        <f>IFERROR(subQ!G17/subQ!G16,"")</f>
        <v/>
      </c>
      <c r="H27" s="21">
        <f>IFERROR(subQ!H17/subQ!H16,"")</f>
        <v/>
      </c>
      <c r="I27" s="21">
        <f>IFERROR(subQ!I17/subQ!I16,"")</f>
        <v/>
      </c>
      <c r="J27" s="21">
        <f>IFERROR(subQ!J17/subQ!J16,"")</f>
        <v/>
      </c>
      <c r="K27" s="22">
        <f>IFERROR(subQ!K17/subQ!K16,"")</f>
        <v/>
      </c>
      <c r="L27" s="21">
        <f>IFERROR(subQ!L17/subQ!L16,"")</f>
        <v/>
      </c>
      <c r="M27" s="21">
        <f>IFERROR(subQ!M17/subQ!M16,"")</f>
        <v/>
      </c>
      <c r="N27" s="21">
        <f>IFERROR(subQ!N17/subQ!N16,"")</f>
        <v/>
      </c>
      <c r="O27" s="21">
        <f>IFERROR(subQ!O17/subQ!O16,"")</f>
        <v/>
      </c>
      <c r="P27" s="22">
        <f>IFERROR(subQ!P17/subQ!P16,"")</f>
        <v/>
      </c>
      <c r="Q27" s="21">
        <f>IFERROR(subQ!Q17/subQ!Q16,"")</f>
        <v/>
      </c>
      <c r="R27" s="21">
        <f>IFERROR(subQ!R17/subQ!R16,"")</f>
        <v/>
      </c>
      <c r="S27" s="21">
        <f>IFERROR(subQ!S17/subQ!S16,"")</f>
        <v/>
      </c>
      <c r="T27" s="21">
        <f>IFERROR(subQ!T17/subQ!T16,"")</f>
        <v/>
      </c>
      <c r="U27" s="22">
        <f>IFERROR(subQ!U17/subQ!U16,"")</f>
        <v/>
      </c>
      <c r="V27" s="21">
        <f>IFERROR(subQ!V17/subQ!V16,"")</f>
        <v/>
      </c>
      <c r="W27" s="21">
        <f>IFERROR(subQ!W17/subQ!W16,"")</f>
        <v/>
      </c>
      <c r="X27" s="21">
        <f>IFERROR(subQ!X17/subQ!X16,"")</f>
        <v/>
      </c>
      <c r="Y27" s="21">
        <f>IFERROR(subQ!Y17/subQ!Y16,"")</f>
        <v/>
      </c>
      <c r="Z27" s="22">
        <f>IFERROR(subQ!Z17/subQ!Z16,"")</f>
        <v/>
      </c>
      <c r="AA27" s="21">
        <f>IFERROR(subQ!AA17/subQ!AA16,"")</f>
        <v/>
      </c>
      <c r="AB27" s="23">
        <f>IFERROR(subQ!AB17/subQ!AB16,"")</f>
        <v/>
      </c>
      <c r="AC27" s="24" t="n">
        <v>0</v>
      </c>
      <c r="AD27" s="24" t="n">
        <v>0</v>
      </c>
      <c r="AE27" s="25">
        <f>IFERROR(subQ!AE17/subQ!AE16,"")</f>
        <v/>
      </c>
      <c r="AF27" s="24" t="n">
        <v>0.026578073</v>
      </c>
      <c r="AG27" s="24" t="n">
        <v>0.056047198</v>
      </c>
      <c r="AH27" s="24" t="n">
        <v>0.082236842</v>
      </c>
      <c r="AI27" s="24" t="n">
        <v>0.111445783</v>
      </c>
      <c r="AJ27" s="25">
        <f>IFERROR(subQ!AJ17/subQ!AJ16,"")</f>
        <v/>
      </c>
      <c r="AK27" s="24" t="n">
        <v>0.139072848</v>
      </c>
      <c r="AL27" s="24" t="n">
        <v>0.164705882</v>
      </c>
      <c r="AM27" s="24" t="n">
        <v>0.19218241</v>
      </c>
      <c r="AN27" s="24" t="n">
        <v>0.220895522</v>
      </c>
      <c r="AO27" s="25">
        <f>IFERROR(subQ!AO17/subQ!AO16,"")</f>
        <v/>
      </c>
    </row>
    <row r="28">
      <c r="A28" s="12" t="inlineStr">
        <is>
          <t>drv:지배주주순이익</t>
        </is>
      </c>
      <c r="B28" s="2" t="inlineStr">
        <is>
          <t>ratio</t>
        </is>
      </c>
      <c r="C28" t="inlineStr">
        <is>
          <t>지배주주 비중(/당기순이익)</t>
        </is>
      </c>
      <c r="E28" s="21">
        <f>IFERROR(subQ!E19/subQ!E18,"")</f>
        <v/>
      </c>
      <c r="F28" s="22">
        <f>IFERROR(subQ!F19/subQ!F18,"")</f>
        <v/>
      </c>
      <c r="G28" s="21">
        <f>IFERROR(subQ!G19/subQ!G18,"")</f>
        <v/>
      </c>
      <c r="H28" s="21">
        <f>IFERROR(subQ!H19/subQ!H18,"")</f>
        <v/>
      </c>
      <c r="I28" s="21">
        <f>IFERROR(subQ!I19/subQ!I18,"")</f>
        <v/>
      </c>
      <c r="J28" s="21">
        <f>IFERROR(subQ!J19/subQ!J18,"")</f>
        <v/>
      </c>
      <c r="K28" s="22">
        <f>IFERROR(subQ!K19/subQ!K18,"")</f>
        <v/>
      </c>
      <c r="L28" s="21">
        <f>IFERROR(subQ!L19/subQ!L18,"")</f>
        <v/>
      </c>
      <c r="M28" s="21">
        <f>IFERROR(subQ!M19/subQ!M18,"")</f>
        <v/>
      </c>
      <c r="N28" s="21">
        <f>IFERROR(subQ!N19/subQ!N18,"")</f>
        <v/>
      </c>
      <c r="O28" s="21">
        <f>IFERROR(subQ!O19/subQ!O18,"")</f>
        <v/>
      </c>
      <c r="P28" s="22">
        <f>IFERROR(subQ!P19/subQ!P18,"")</f>
        <v/>
      </c>
      <c r="Q28" s="21">
        <f>IFERROR(subQ!Q19/subQ!Q18,"")</f>
        <v/>
      </c>
      <c r="R28" s="21">
        <f>IFERROR(subQ!R19/subQ!R18,"")</f>
        <v/>
      </c>
      <c r="S28" s="21">
        <f>IFERROR(subQ!S19/subQ!S18,"")</f>
        <v/>
      </c>
      <c r="T28" s="21">
        <f>IFERROR(subQ!T19/subQ!T18,"")</f>
        <v/>
      </c>
      <c r="U28" s="22">
        <f>IFERROR(subQ!U19/subQ!U18,"")</f>
        <v/>
      </c>
      <c r="V28" s="21">
        <f>IFERROR(subQ!V19/subQ!V18,"")</f>
        <v/>
      </c>
      <c r="W28" s="21">
        <f>IFERROR(subQ!W19/subQ!W18,"")</f>
        <v/>
      </c>
      <c r="X28" s="21">
        <f>IFERROR(subQ!X19/subQ!X18,"")</f>
        <v/>
      </c>
      <c r="Y28" s="21">
        <f>IFERROR(subQ!Y19/subQ!Y18,"")</f>
        <v/>
      </c>
      <c r="Z28" s="22">
        <f>IFERROR(subQ!Z19/subQ!Z18,"")</f>
        <v/>
      </c>
      <c r="AA28" s="21">
        <f>IFERROR(subQ!AA19/subQ!AA18,"")</f>
        <v/>
      </c>
      <c r="AB28" s="23">
        <f>IFERROR(subQ!AB19/subQ!AB18,"")</f>
        <v/>
      </c>
      <c r="AC28" s="26">
        <f>$D$51</f>
        <v/>
      </c>
      <c r="AD28" s="26">
        <f>$D$51</f>
        <v/>
      </c>
      <c r="AE28" s="25">
        <f>IFERROR(subQ!AE19/subQ!AE18,"")</f>
        <v/>
      </c>
      <c r="AF28" s="26">
        <f>$D$51</f>
        <v/>
      </c>
      <c r="AG28" s="26">
        <f>$D$51</f>
        <v/>
      </c>
      <c r="AH28" s="26">
        <f>$D$51</f>
        <v/>
      </c>
      <c r="AI28" s="26">
        <f>$D$51</f>
        <v/>
      </c>
      <c r="AJ28" s="25">
        <f>IFERROR(subQ!AJ19/subQ!AJ18,"")</f>
        <v/>
      </c>
      <c r="AK28" s="26">
        <f>$D$51</f>
        <v/>
      </c>
      <c r="AL28" s="26">
        <f>$D$51</f>
        <v/>
      </c>
      <c r="AM28" s="26">
        <f>$D$51</f>
        <v/>
      </c>
      <c r="AN28" s="26">
        <f>$D$51</f>
        <v/>
      </c>
      <c r="AO28" s="25">
        <f>IFERROR(subQ!AO19/subQ!AO18,"")</f>
        <v/>
      </c>
    </row>
    <row r="29">
      <c r="A29" s="12" t="inlineStr">
        <is>
          <t>drv:부채총계</t>
        </is>
      </c>
      <c r="B29" s="2" t="inlineStr">
        <is>
          <t>qoq</t>
        </is>
      </c>
      <c r="C29" t="inlineStr">
        <is>
          <t>부채총계 QoQ</t>
        </is>
      </c>
      <c r="E29" s="21" t="n"/>
      <c r="F29" s="22" t="n"/>
      <c r="G29" s="21">
        <f>IFERROR(subQ!G21/subQ!E21-1,"")</f>
        <v/>
      </c>
      <c r="H29" s="21">
        <f>IFERROR(subQ!H21/subQ!G21-1,"")</f>
        <v/>
      </c>
      <c r="I29" s="21">
        <f>IFERROR(subQ!I21/subQ!H21-1,"")</f>
        <v/>
      </c>
      <c r="J29" s="21">
        <f>IFERROR(subQ!J21/subQ!I21-1,"")</f>
        <v/>
      </c>
      <c r="K29" s="22" t="n"/>
      <c r="L29" s="21">
        <f>IFERROR(subQ!L21/subQ!J21-1,"")</f>
        <v/>
      </c>
      <c r="M29" s="21">
        <f>IFERROR(subQ!M21/subQ!L21-1,"")</f>
        <v/>
      </c>
      <c r="N29" s="21">
        <f>IFERROR(subQ!N21/subQ!M21-1,"")</f>
        <v/>
      </c>
      <c r="O29" s="21">
        <f>IFERROR(subQ!O21/subQ!N21-1,"")</f>
        <v/>
      </c>
      <c r="P29" s="22" t="n"/>
      <c r="Q29" s="21">
        <f>IFERROR(subQ!Q21/subQ!O21-1,"")</f>
        <v/>
      </c>
      <c r="R29" s="21">
        <f>IFERROR(subQ!R21/subQ!Q21-1,"")</f>
        <v/>
      </c>
      <c r="S29" s="21">
        <f>IFERROR(subQ!S21/subQ!R21-1,"")</f>
        <v/>
      </c>
      <c r="T29" s="21">
        <f>IFERROR(subQ!T21/subQ!S21-1,"")</f>
        <v/>
      </c>
      <c r="U29" s="22" t="n"/>
      <c r="V29" s="21">
        <f>IFERROR(subQ!V21/subQ!T21-1,"")</f>
        <v/>
      </c>
      <c r="W29" s="21">
        <f>IFERROR(subQ!W21/subQ!V21-1,"")</f>
        <v/>
      </c>
      <c r="X29" s="21">
        <f>IFERROR(subQ!X21/subQ!W21-1,"")</f>
        <v/>
      </c>
      <c r="Y29" s="21">
        <f>IFERROR(subQ!Y21/subQ!X21-1,"")</f>
        <v/>
      </c>
      <c r="Z29" s="22" t="n"/>
      <c r="AA29" s="21">
        <f>IFERROR(subQ!AA21/subQ!Y21-1,"")</f>
        <v/>
      </c>
      <c r="AB29" s="23">
        <f>IFERROR(subQ!AB21/subQ!AA21-1,"")</f>
        <v/>
      </c>
      <c r="AC29" s="24" t="n">
        <v>-4.145e-06</v>
      </c>
      <c r="AD29" s="24" t="n">
        <v>0</v>
      </c>
      <c r="AE29" s="25" t="n"/>
      <c r="AF29" s="24" t="n">
        <v>0</v>
      </c>
      <c r="AG29" s="24" t="n">
        <v>0</v>
      </c>
      <c r="AH29" s="24" t="n">
        <v>0</v>
      </c>
      <c r="AI29" s="24" t="n">
        <v>0</v>
      </c>
      <c r="AJ29" s="25" t="n"/>
      <c r="AK29" s="24" t="n">
        <v>0</v>
      </c>
      <c r="AL29" s="24" t="n">
        <v>0</v>
      </c>
      <c r="AM29" s="24" t="n">
        <v>0</v>
      </c>
      <c r="AN29" s="24" t="n">
        <v>0</v>
      </c>
      <c r="AO29" s="25" t="n"/>
    </row>
    <row r="30">
      <c r="A30" s="12" t="inlineStr">
        <is>
          <t>drv:자본총계</t>
        </is>
      </c>
      <c r="B30" s="2" t="inlineStr">
        <is>
          <t>roll</t>
        </is>
      </c>
      <c r="C30" t="inlineStr">
        <is>
          <t>자본총계 기타변동(배당 등, 억원)</t>
        </is>
      </c>
      <c r="E30" s="27" t="n"/>
      <c r="F30" s="28" t="n"/>
      <c r="G30" s="27">
        <f>IFERROR(subQ!E22+subQ!G18-subQ!G22,"")</f>
        <v/>
      </c>
      <c r="H30" s="27">
        <f>IFERROR(subQ!G22+subQ!H18-subQ!H22,"")</f>
        <v/>
      </c>
      <c r="I30" s="27">
        <f>IFERROR(subQ!H22+subQ!I18-subQ!I22,"")</f>
        <v/>
      </c>
      <c r="J30" s="27">
        <f>IFERROR(subQ!I22+subQ!J18-subQ!J22,"")</f>
        <v/>
      </c>
      <c r="K30" s="28" t="n"/>
      <c r="L30" s="27">
        <f>IFERROR(subQ!J22+subQ!L18-subQ!L22,"")</f>
        <v/>
      </c>
      <c r="M30" s="27">
        <f>IFERROR(subQ!L22+subQ!M18-subQ!M22,"")</f>
        <v/>
      </c>
      <c r="N30" s="27">
        <f>IFERROR(subQ!M22+subQ!N18-subQ!N22,"")</f>
        <v/>
      </c>
      <c r="O30" s="27">
        <f>IFERROR(subQ!N22+subQ!O18-subQ!O22,"")</f>
        <v/>
      </c>
      <c r="P30" s="28" t="n"/>
      <c r="Q30" s="27">
        <f>IFERROR(subQ!O22+subQ!Q18-subQ!Q22,"")</f>
        <v/>
      </c>
      <c r="R30" s="27">
        <f>IFERROR(subQ!Q22+subQ!R18-subQ!R22,"")</f>
        <v/>
      </c>
      <c r="S30" s="27">
        <f>IFERROR(subQ!R22+subQ!S18-subQ!S22,"")</f>
        <v/>
      </c>
      <c r="T30" s="27">
        <f>IFERROR(subQ!S22+subQ!T18-subQ!T22,"")</f>
        <v/>
      </c>
      <c r="U30" s="28" t="n"/>
      <c r="V30" s="27">
        <f>IFERROR(subQ!T22+subQ!V18-subQ!V22,"")</f>
        <v/>
      </c>
      <c r="W30" s="27">
        <f>IFERROR(subQ!V22+subQ!W18-subQ!W22,"")</f>
        <v/>
      </c>
      <c r="X30" s="27">
        <f>IFERROR(subQ!W22+subQ!X18-subQ!X22,"")</f>
        <v/>
      </c>
      <c r="Y30" s="27">
        <f>IFERROR(subQ!X22+subQ!Y18-subQ!Y22,"")</f>
        <v/>
      </c>
      <c r="Z30" s="28" t="n"/>
      <c r="AA30" s="27">
        <f>IFERROR(subQ!Y22+subQ!AA18-subQ!AA22,"")</f>
        <v/>
      </c>
      <c r="AB30" s="29">
        <f>IFERROR(subQ!AA22+subQ!AB18-subQ!AB22,"")</f>
        <v/>
      </c>
      <c r="AC30" s="30" t="n">
        <v>0.005180418</v>
      </c>
      <c r="AD30" s="30" t="n">
        <v>0.001460245</v>
      </c>
      <c r="AE30" s="31" t="n"/>
      <c r="AF30" s="30" t="n">
        <v>-0.005600626</v>
      </c>
      <c r="AG30" s="30" t="n">
        <v>0.005252865</v>
      </c>
      <c r="AH30" s="30" t="n">
        <v>-0.00190339</v>
      </c>
      <c r="AI30" s="30" t="n">
        <v>-0.011151955</v>
      </c>
      <c r="AJ30" s="31" t="n"/>
      <c r="AK30" s="30" t="n">
        <v>-0.009881480999999999</v>
      </c>
      <c r="AL30" s="30" t="n">
        <v>0.000183645</v>
      </c>
      <c r="AM30" s="30" t="n">
        <v>0.000961695</v>
      </c>
      <c r="AN30" s="30" t="n">
        <v>0.000600254</v>
      </c>
      <c r="AO30" s="31" t="n"/>
    </row>
    <row r="31">
      <c r="A31" s="12" t="inlineStr">
        <is>
          <t>drv:지배주주지분</t>
        </is>
      </c>
      <c r="B31" s="2" t="inlineStr">
        <is>
          <t>roll</t>
        </is>
      </c>
      <c r="C31" t="inlineStr">
        <is>
          <t>지배주주지분 기타변동(배당 등, 억원)</t>
        </is>
      </c>
      <c r="E31" s="27" t="n"/>
      <c r="F31" s="28" t="n"/>
      <c r="G31" s="27">
        <f>IFERROR(subQ!E23+subQ!G19-subQ!G23,"")</f>
        <v/>
      </c>
      <c r="H31" s="27">
        <f>IFERROR(subQ!G23+subQ!H19-subQ!H23,"")</f>
        <v/>
      </c>
      <c r="I31" s="27">
        <f>IFERROR(subQ!H23+subQ!I19-subQ!I23,"")</f>
        <v/>
      </c>
      <c r="J31" s="27">
        <f>IFERROR(subQ!I23+subQ!J19-subQ!J23,"")</f>
        <v/>
      </c>
      <c r="K31" s="28" t="n"/>
      <c r="L31" s="27">
        <f>IFERROR(subQ!J23+subQ!L19-subQ!L23,"")</f>
        <v/>
      </c>
      <c r="M31" s="27">
        <f>IFERROR(subQ!L23+subQ!M19-subQ!M23,"")</f>
        <v/>
      </c>
      <c r="N31" s="27">
        <f>IFERROR(subQ!M23+subQ!N19-subQ!N23,"")</f>
        <v/>
      </c>
      <c r="O31" s="27">
        <f>IFERROR(subQ!N23+subQ!O19-subQ!O23,"")</f>
        <v/>
      </c>
      <c r="P31" s="28" t="n"/>
      <c r="Q31" s="27">
        <f>IFERROR(subQ!O23+subQ!Q19-subQ!Q23,"")</f>
        <v/>
      </c>
      <c r="R31" s="27">
        <f>IFERROR(subQ!Q23+subQ!R19-subQ!R23,"")</f>
        <v/>
      </c>
      <c r="S31" s="27">
        <f>IFERROR(subQ!R23+subQ!S19-subQ!S23,"")</f>
        <v/>
      </c>
      <c r="T31" s="27">
        <f>IFERROR(subQ!S23+subQ!T19-subQ!T23,"")</f>
        <v/>
      </c>
      <c r="U31" s="28" t="n"/>
      <c r="V31" s="27">
        <f>IFERROR(subQ!T23+subQ!V19-subQ!V23,"")</f>
        <v/>
      </c>
      <c r="W31" s="27">
        <f>IFERROR(subQ!V23+subQ!W19-subQ!W23,"")</f>
        <v/>
      </c>
      <c r="X31" s="27">
        <f>IFERROR(subQ!W23+subQ!X19-subQ!X23,"")</f>
        <v/>
      </c>
      <c r="Y31" s="27">
        <f>IFERROR(subQ!X23+subQ!Y19-subQ!Y23,"")</f>
        <v/>
      </c>
      <c r="Z31" s="28" t="n"/>
      <c r="AA31" s="27">
        <f>IFERROR(subQ!Y23+subQ!AA19-subQ!AA23,"")</f>
        <v/>
      </c>
      <c r="AB31" s="29">
        <f>IFERROR(subQ!AA23+subQ!AB19-subQ!AB23,"")</f>
        <v/>
      </c>
      <c r="AC31" s="30" t="n">
        <v>0.005180418</v>
      </c>
      <c r="AD31" s="30" t="n">
        <v>0.001460245</v>
      </c>
      <c r="AE31" s="31" t="n"/>
      <c r="AF31" s="30" t="n">
        <v>-0.005600626</v>
      </c>
      <c r="AG31" s="30" t="n">
        <v>0.005252865</v>
      </c>
      <c r="AH31" s="30" t="n">
        <v>-0.00190339</v>
      </c>
      <c r="AI31" s="30" t="n">
        <v>-0.011151955</v>
      </c>
      <c r="AJ31" s="31" t="n"/>
      <c r="AK31" s="30" t="n">
        <v>-0.009881480999999999</v>
      </c>
      <c r="AL31" s="30" t="n">
        <v>0.000183645</v>
      </c>
      <c r="AM31" s="30" t="n">
        <v>0.000961695</v>
      </c>
      <c r="AN31" s="30" t="n">
        <v>0.000600254</v>
      </c>
      <c r="AO31" s="31" t="n"/>
    </row>
    <row r="32">
      <c r="A32" s="12" t="inlineStr">
        <is>
          <t>drv:총차입금</t>
        </is>
      </c>
      <c r="B32" s="2" t="inlineStr">
        <is>
          <t>qoq</t>
        </is>
      </c>
      <c r="C32" t="inlineStr">
        <is>
          <t>총차입금 QoQ</t>
        </is>
      </c>
      <c r="E32" s="21" t="n"/>
      <c r="F32" s="22" t="n"/>
      <c r="G32" s="21">
        <f>IFERROR(subQ!G24/subQ!E24-1,"")</f>
        <v/>
      </c>
      <c r="H32" s="21">
        <f>IFERROR(subQ!H24/subQ!G24-1,"")</f>
        <v/>
      </c>
      <c r="I32" s="21">
        <f>IFERROR(subQ!I24/subQ!H24-1,"")</f>
        <v/>
      </c>
      <c r="J32" s="21">
        <f>IFERROR(subQ!J24/subQ!I24-1,"")</f>
        <v/>
      </c>
      <c r="K32" s="22" t="n"/>
      <c r="L32" s="21">
        <f>IFERROR(subQ!L24/subQ!J24-1,"")</f>
        <v/>
      </c>
      <c r="M32" s="21">
        <f>IFERROR(subQ!M24/subQ!L24-1,"")</f>
        <v/>
      </c>
      <c r="N32" s="21">
        <f>IFERROR(subQ!N24/subQ!M24-1,"")</f>
        <v/>
      </c>
      <c r="O32" s="21">
        <f>IFERROR(subQ!O24/subQ!N24-1,"")</f>
        <v/>
      </c>
      <c r="P32" s="22" t="n"/>
      <c r="Q32" s="21">
        <f>IFERROR(subQ!Q24/subQ!O24-1,"")</f>
        <v/>
      </c>
      <c r="R32" s="21">
        <f>IFERROR(subQ!R24/subQ!Q24-1,"")</f>
        <v/>
      </c>
      <c r="S32" s="21">
        <f>IFERROR(subQ!S24/subQ!R24-1,"")</f>
        <v/>
      </c>
      <c r="T32" s="21">
        <f>IFERROR(subQ!T24/subQ!S24-1,"")</f>
        <v/>
      </c>
      <c r="U32" s="22" t="n"/>
      <c r="V32" s="21">
        <f>IFERROR(subQ!V24/subQ!T24-1,"")</f>
        <v/>
      </c>
      <c r="W32" s="21">
        <f>IFERROR(subQ!W24/subQ!V24-1,"")</f>
        <v/>
      </c>
      <c r="X32" s="21">
        <f>IFERROR(subQ!X24/subQ!W24-1,"")</f>
        <v/>
      </c>
      <c r="Y32" s="21">
        <f>IFERROR(subQ!Y24/subQ!X24-1,"")</f>
        <v/>
      </c>
      <c r="Z32" s="22" t="n"/>
      <c r="AA32" s="21">
        <f>IFERROR(subQ!AA24/subQ!Y24-1,"")</f>
        <v/>
      </c>
      <c r="AB32" s="23">
        <f>IFERROR(subQ!AB24/subQ!AA24-1,"")</f>
        <v/>
      </c>
      <c r="AC32" s="24" t="n">
        <v>0</v>
      </c>
      <c r="AD32" s="24" t="n">
        <v>0</v>
      </c>
      <c r="AE32" s="25" t="n"/>
      <c r="AF32" s="24" t="n">
        <v>0</v>
      </c>
      <c r="AG32" s="24" t="n">
        <v>0</v>
      </c>
      <c r="AH32" s="24" t="n">
        <v>0</v>
      </c>
      <c r="AI32" s="24" t="n">
        <v>0</v>
      </c>
      <c r="AJ32" s="25" t="n"/>
      <c r="AK32" s="24" t="n">
        <v>0</v>
      </c>
      <c r="AL32" s="24" t="n">
        <v>0</v>
      </c>
      <c r="AM32" s="24" t="n">
        <v>0</v>
      </c>
      <c r="AN32" s="24" t="n">
        <v>0</v>
      </c>
      <c r="AO32" s="25" t="n"/>
    </row>
    <row r="33">
      <c r="A33" s="12" t="inlineStr">
        <is>
          <t>drv:순차입금</t>
        </is>
      </c>
      <c r="B33" s="2" t="inlineStr">
        <is>
          <t>qoq</t>
        </is>
      </c>
      <c r="C33" t="inlineStr">
        <is>
          <t>순차입금 QoQ</t>
        </is>
      </c>
      <c r="E33" s="21" t="n"/>
      <c r="F33" s="22" t="n"/>
      <c r="G33" s="21">
        <f>IFERROR(subQ!G25/subQ!E25-1,"")</f>
        <v/>
      </c>
      <c r="H33" s="21">
        <f>IFERROR(subQ!H25/subQ!G25-1,"")</f>
        <v/>
      </c>
      <c r="I33" s="21">
        <f>IFERROR(subQ!I25/subQ!H25-1,"")</f>
        <v/>
      </c>
      <c r="J33" s="21">
        <f>IFERROR(subQ!J25/subQ!I25-1,"")</f>
        <v/>
      </c>
      <c r="K33" s="22" t="n"/>
      <c r="L33" s="21">
        <f>IFERROR(subQ!L25/subQ!J25-1,"")</f>
        <v/>
      </c>
      <c r="M33" s="21">
        <f>IFERROR(subQ!M25/subQ!L25-1,"")</f>
        <v/>
      </c>
      <c r="N33" s="21">
        <f>IFERROR(subQ!N25/subQ!M25-1,"")</f>
        <v/>
      </c>
      <c r="O33" s="21">
        <f>IFERROR(subQ!O25/subQ!N25-1,"")</f>
        <v/>
      </c>
      <c r="P33" s="22" t="n"/>
      <c r="Q33" s="21">
        <f>IFERROR(subQ!Q25/subQ!O25-1,"")</f>
        <v/>
      </c>
      <c r="R33" s="21">
        <f>IFERROR(subQ!R25/subQ!Q25-1,"")</f>
        <v/>
      </c>
      <c r="S33" s="21">
        <f>IFERROR(subQ!S25/subQ!R25-1,"")</f>
        <v/>
      </c>
      <c r="T33" s="21">
        <f>IFERROR(subQ!T25/subQ!S25-1,"")</f>
        <v/>
      </c>
      <c r="U33" s="22" t="n"/>
      <c r="V33" s="21">
        <f>IFERROR(subQ!V25/subQ!T25-1,"")</f>
        <v/>
      </c>
      <c r="W33" s="21">
        <f>IFERROR(subQ!W25/subQ!V25-1,"")</f>
        <v/>
      </c>
      <c r="X33" s="21">
        <f>IFERROR(subQ!X25/subQ!W25-1,"")</f>
        <v/>
      </c>
      <c r="Y33" s="21">
        <f>IFERROR(subQ!Y25/subQ!X25-1,"")</f>
        <v/>
      </c>
      <c r="Z33" s="22" t="n"/>
      <c r="AA33" s="21">
        <f>IFERROR(subQ!AA25/subQ!Y25-1,"")</f>
        <v/>
      </c>
      <c r="AB33" s="23">
        <f>IFERROR(subQ!AB25/subQ!AA25-1,"")</f>
        <v/>
      </c>
      <c r="AC33" s="24" t="n">
        <v>-0.024868486</v>
      </c>
      <c r="AD33" s="24" t="n">
        <v>-0.027918354</v>
      </c>
      <c r="AE33" s="25" t="n"/>
      <c r="AF33" s="24" t="n">
        <v>-0.025422993</v>
      </c>
      <c r="AG33" s="24" t="n">
        <v>-0.028490028</v>
      </c>
      <c r="AH33" s="24" t="n">
        <v>-0.025568182</v>
      </c>
      <c r="AI33" s="24" t="n">
        <v>-0.027837863</v>
      </c>
      <c r="AJ33" s="25" t="n"/>
      <c r="AK33" s="24" t="n">
        <v>-0.025249105</v>
      </c>
      <c r="AL33" s="24" t="n">
        <v>-0.028185788</v>
      </c>
      <c r="AM33" s="24" t="n">
        <v>-0.025326797</v>
      </c>
      <c r="AN33" s="24" t="n">
        <v>-0.027347024</v>
      </c>
      <c r="AO33" s="25" t="n"/>
    </row>
    <row r="34">
      <c r="A34" s="12" t="inlineStr">
        <is>
          <t>drv:이자발생자산</t>
        </is>
      </c>
      <c r="B34" s="2" t="inlineStr">
        <is>
          <t>qoq</t>
        </is>
      </c>
      <c r="C34" t="inlineStr">
        <is>
          <t>이자발생자산 QoQ</t>
        </is>
      </c>
      <c r="E34" s="21" t="n"/>
      <c r="F34" s="22" t="n"/>
      <c r="G34" s="21">
        <f>IFERROR(subQ!G26/subQ!E26-1,"")</f>
        <v/>
      </c>
      <c r="H34" s="21">
        <f>IFERROR(subQ!H26/subQ!G26-1,"")</f>
        <v/>
      </c>
      <c r="I34" s="21">
        <f>IFERROR(subQ!I26/subQ!H26-1,"")</f>
        <v/>
      </c>
      <c r="J34" s="21">
        <f>IFERROR(subQ!J26/subQ!I26-1,"")</f>
        <v/>
      </c>
      <c r="K34" s="22" t="n"/>
      <c r="L34" s="21">
        <f>IFERROR(subQ!L26/subQ!J26-1,"")</f>
        <v/>
      </c>
      <c r="M34" s="21">
        <f>IFERROR(subQ!M26/subQ!L26-1,"")</f>
        <v/>
      </c>
      <c r="N34" s="21">
        <f>IFERROR(subQ!N26/subQ!M26-1,"")</f>
        <v/>
      </c>
      <c r="O34" s="21">
        <f>IFERROR(subQ!O26/subQ!N26-1,"")</f>
        <v/>
      </c>
      <c r="P34" s="22" t="n"/>
      <c r="Q34" s="21">
        <f>IFERROR(subQ!Q26/subQ!O26-1,"")</f>
        <v/>
      </c>
      <c r="R34" s="21">
        <f>IFERROR(subQ!R26/subQ!Q26-1,"")</f>
        <v/>
      </c>
      <c r="S34" s="21">
        <f>IFERROR(subQ!S26/subQ!R26-1,"")</f>
        <v/>
      </c>
      <c r="T34" s="21">
        <f>IFERROR(subQ!T26/subQ!S26-1,"")</f>
        <v/>
      </c>
      <c r="U34" s="22" t="n"/>
      <c r="V34" s="21">
        <f>IFERROR(subQ!V26/subQ!T26-1,"")</f>
        <v/>
      </c>
      <c r="W34" s="21">
        <f>IFERROR(subQ!W26/subQ!V26-1,"")</f>
        <v/>
      </c>
      <c r="X34" s="21">
        <f>IFERROR(subQ!X26/subQ!W26-1,"")</f>
        <v/>
      </c>
      <c r="Y34" s="21">
        <f>IFERROR(subQ!Y26/subQ!X26-1,"")</f>
        <v/>
      </c>
      <c r="Z34" s="22" t="n"/>
      <c r="AA34" s="21">
        <f>IFERROR(subQ!AA26/subQ!Y26-1,"")</f>
        <v/>
      </c>
      <c r="AB34" s="23">
        <f>IFERROR(subQ!AB26/subQ!AA26-1,"")</f>
        <v/>
      </c>
      <c r="AC34" s="24" t="n">
        <v>0.09811658700000001</v>
      </c>
      <c r="AD34" s="24" t="n">
        <v>0.097813239</v>
      </c>
      <c r="AE34" s="25" t="n"/>
      <c r="AF34" s="24" t="n">
        <v>0.07886944799999999</v>
      </c>
      <c r="AG34" s="24" t="n">
        <v>0.07984031900000001</v>
      </c>
      <c r="AH34" s="24" t="n">
        <v>0.064463956</v>
      </c>
      <c r="AI34" s="24" t="n">
        <v>0.064250054</v>
      </c>
      <c r="AJ34" s="25" t="n"/>
      <c r="AK34" s="24" t="n">
        <v>0.053232715</v>
      </c>
      <c r="AL34" s="24" t="n">
        <v>0.054996127</v>
      </c>
      <c r="AM34" s="24" t="n">
        <v>0.045521292</v>
      </c>
      <c r="AN34" s="24" t="n">
        <v>0.045821629</v>
      </c>
      <c r="AO34" s="25" t="n"/>
    </row>
    <row r="35">
      <c r="A35" s="12" t="inlineStr">
        <is>
          <t>drv:현금및현금성자산</t>
        </is>
      </c>
      <c r="B35" s="2" t="inlineStr">
        <is>
          <t>qoq</t>
        </is>
      </c>
      <c r="C35" t="inlineStr">
        <is>
          <t>현금및현금성자산 QoQ</t>
        </is>
      </c>
      <c r="E35" s="21" t="n"/>
      <c r="F35" s="22" t="n"/>
      <c r="G35" s="21">
        <f>IFERROR(subQ!G27/subQ!E27-1,"")</f>
        <v/>
      </c>
      <c r="H35" s="21">
        <f>IFERROR(subQ!H27/subQ!G27-1,"")</f>
        <v/>
      </c>
      <c r="I35" s="21">
        <f>IFERROR(subQ!I27/subQ!H27-1,"")</f>
        <v/>
      </c>
      <c r="J35" s="21">
        <f>IFERROR(subQ!J27/subQ!I27-1,"")</f>
        <v/>
      </c>
      <c r="K35" s="22" t="n"/>
      <c r="L35" s="21">
        <f>IFERROR(subQ!L27/subQ!J27-1,"")</f>
        <v/>
      </c>
      <c r="M35" s="21">
        <f>IFERROR(subQ!M27/subQ!L27-1,"")</f>
        <v/>
      </c>
      <c r="N35" s="21">
        <f>IFERROR(subQ!N27/subQ!M27-1,"")</f>
        <v/>
      </c>
      <c r="O35" s="21">
        <f>IFERROR(subQ!O27/subQ!N27-1,"")</f>
        <v/>
      </c>
      <c r="P35" s="22" t="n"/>
      <c r="Q35" s="21">
        <f>IFERROR(subQ!Q27/subQ!O27-1,"")</f>
        <v/>
      </c>
      <c r="R35" s="21">
        <f>IFERROR(subQ!R27/subQ!Q27-1,"")</f>
        <v/>
      </c>
      <c r="S35" s="21">
        <f>IFERROR(subQ!S27/subQ!R27-1,"")</f>
        <v/>
      </c>
      <c r="T35" s="21">
        <f>IFERROR(subQ!T27/subQ!S27-1,"")</f>
        <v/>
      </c>
      <c r="U35" s="22" t="n"/>
      <c r="V35" s="21">
        <f>IFERROR(subQ!V27/subQ!T27-1,"")</f>
        <v/>
      </c>
      <c r="W35" s="21">
        <f>IFERROR(subQ!W27/subQ!V27-1,"")</f>
        <v/>
      </c>
      <c r="X35" s="21">
        <f>IFERROR(subQ!X27/subQ!W27-1,"")</f>
        <v/>
      </c>
      <c r="Y35" s="21">
        <f>IFERROR(subQ!Y27/subQ!X27-1,"")</f>
        <v/>
      </c>
      <c r="Z35" s="22" t="n"/>
      <c r="AA35" s="21">
        <f>IFERROR(subQ!AA27/subQ!Y27-1,"")</f>
        <v/>
      </c>
      <c r="AB35" s="23">
        <f>IFERROR(subQ!AB27/subQ!AA27-1,"")</f>
        <v/>
      </c>
      <c r="AC35" s="32" t="n"/>
      <c r="AD35" s="32" t="n"/>
      <c r="AE35" s="25" t="n"/>
      <c r="AF35" s="32" t="n"/>
      <c r="AG35" s="32" t="n"/>
      <c r="AH35" s="32" t="n"/>
      <c r="AI35" s="32" t="n"/>
      <c r="AJ35" s="25" t="n"/>
      <c r="AK35" s="32" t="n"/>
      <c r="AL35" s="32" t="n"/>
      <c r="AM35" s="32" t="n"/>
      <c r="AN35" s="32" t="n"/>
      <c r="AO35" s="25" t="n"/>
    </row>
    <row r="36">
      <c r="A36" s="12" t="inlineStr">
        <is>
          <t>drv:CAPEX</t>
        </is>
      </c>
      <c r="B36" s="2" t="inlineStr">
        <is>
          <t>yoy</t>
        </is>
      </c>
      <c r="C36" t="inlineStr">
        <is>
          <t>CAPEX YoY</t>
        </is>
      </c>
      <c r="E36" s="21" t="n"/>
      <c r="F36" s="22" t="n"/>
      <c r="G36" s="21" t="n"/>
      <c r="H36" s="21" t="n"/>
      <c r="I36" s="21" t="n"/>
      <c r="J36" s="21">
        <f>IFERROR(subQ!J28/subQ!E28-1,"")</f>
        <v/>
      </c>
      <c r="K36" s="22" t="n"/>
      <c r="L36" s="21">
        <f>IFERROR(subQ!L28/subQ!G28-1,"")</f>
        <v/>
      </c>
      <c r="M36" s="21">
        <f>IFERROR(subQ!M28/subQ!H28-1,"")</f>
        <v/>
      </c>
      <c r="N36" s="21">
        <f>IFERROR(subQ!N28/subQ!I28-1,"")</f>
        <v/>
      </c>
      <c r="O36" s="21">
        <f>IFERROR(subQ!O28/subQ!J28-1,"")</f>
        <v/>
      </c>
      <c r="P36" s="22" t="n"/>
      <c r="Q36" s="21">
        <f>IFERROR(subQ!Q28/subQ!L28-1,"")</f>
        <v/>
      </c>
      <c r="R36" s="21">
        <f>IFERROR(subQ!R28/subQ!M28-1,"")</f>
        <v/>
      </c>
      <c r="S36" s="21">
        <f>IFERROR(subQ!S28/subQ!N28-1,"")</f>
        <v/>
      </c>
      <c r="T36" s="21">
        <f>IFERROR(subQ!T28/subQ!O28-1,"")</f>
        <v/>
      </c>
      <c r="U36" s="22" t="n"/>
      <c r="V36" s="21">
        <f>IFERROR(subQ!V28/subQ!Q28-1,"")</f>
        <v/>
      </c>
      <c r="W36" s="21">
        <f>IFERROR(subQ!W28/subQ!R28-1,"")</f>
        <v/>
      </c>
      <c r="X36" s="21">
        <f>IFERROR(subQ!X28/subQ!S28-1,"")</f>
        <v/>
      </c>
      <c r="Y36" s="21">
        <f>IFERROR(subQ!Y28/subQ!T28-1,"")</f>
        <v/>
      </c>
      <c r="Z36" s="22" t="n"/>
      <c r="AA36" s="21">
        <f>IFERROR(subQ!AA28/subQ!V28-1,"")</f>
        <v/>
      </c>
      <c r="AB36" s="23">
        <f>IFERROR(subQ!AB28/subQ!W28-1,"")</f>
        <v/>
      </c>
      <c r="AC36" s="24" t="n">
        <v>-0.032107957</v>
      </c>
      <c r="AD36" s="24" t="n">
        <v>0.034043907</v>
      </c>
      <c r="AE36" s="25" t="n"/>
      <c r="AF36" s="24" t="n">
        <v>6.996309396</v>
      </c>
      <c r="AG36" s="24" t="n">
        <v>-0.553268443</v>
      </c>
      <c r="AH36" s="24" t="n">
        <v>0</v>
      </c>
      <c r="AI36" s="24" t="n">
        <v>0</v>
      </c>
      <c r="AJ36" s="25" t="n"/>
      <c r="AK36" s="24" t="n">
        <v>0</v>
      </c>
      <c r="AL36" s="24" t="n">
        <v>0</v>
      </c>
      <c r="AM36" s="24" t="n">
        <v>0</v>
      </c>
      <c r="AN36" s="24" t="n">
        <v>0</v>
      </c>
      <c r="AO36" s="25" t="n"/>
    </row>
    <row r="37">
      <c r="A37" s="12" t="inlineStr">
        <is>
          <t>drv:영업활동현금흐름</t>
        </is>
      </c>
      <c r="B37" s="2" t="inlineStr">
        <is>
          <t>yoy</t>
        </is>
      </c>
      <c r="C37" t="inlineStr">
        <is>
          <t>영업활동현금흐름 YoY</t>
        </is>
      </c>
      <c r="E37" s="21" t="n"/>
      <c r="F37" s="22" t="n"/>
      <c r="G37" s="21" t="n"/>
      <c r="H37" s="21" t="n"/>
      <c r="I37" s="21" t="n"/>
      <c r="J37" s="21">
        <f>IFERROR(subQ!J29/subQ!E29-1,"")</f>
        <v/>
      </c>
      <c r="K37" s="22" t="n"/>
      <c r="L37" s="21">
        <f>IFERROR(subQ!L29/subQ!G29-1,"")</f>
        <v/>
      </c>
      <c r="M37" s="21">
        <f>IFERROR(subQ!M29/subQ!H29-1,"")</f>
        <v/>
      </c>
      <c r="N37" s="21">
        <f>IFERROR(subQ!N29/subQ!I29-1,"")</f>
        <v/>
      </c>
      <c r="O37" s="21">
        <f>IFERROR(subQ!O29/subQ!J29-1,"")</f>
        <v/>
      </c>
      <c r="P37" s="22" t="n"/>
      <c r="Q37" s="21">
        <f>IFERROR(subQ!Q29/subQ!L29-1,"")</f>
        <v/>
      </c>
      <c r="R37" s="21">
        <f>IFERROR(subQ!R29/subQ!M29-1,"")</f>
        <v/>
      </c>
      <c r="S37" s="21">
        <f>IFERROR(subQ!S29/subQ!N29-1,"")</f>
        <v/>
      </c>
      <c r="T37" s="21">
        <f>IFERROR(subQ!T29/subQ!O29-1,"")</f>
        <v/>
      </c>
      <c r="U37" s="22" t="n"/>
      <c r="V37" s="21">
        <f>IFERROR(subQ!V29/subQ!Q29-1,"")</f>
        <v/>
      </c>
      <c r="W37" s="21">
        <f>IFERROR(subQ!W29/subQ!R29-1,"")</f>
        <v/>
      </c>
      <c r="X37" s="21">
        <f>IFERROR(subQ!X29/subQ!S29-1,"")</f>
        <v/>
      </c>
      <c r="Y37" s="21">
        <f>IFERROR(subQ!Y29/subQ!T29-1,"")</f>
        <v/>
      </c>
      <c r="Z37" s="22" t="n"/>
      <c r="AA37" s="21">
        <f>IFERROR(subQ!AA29/subQ!V29-1,"")</f>
        <v/>
      </c>
      <c r="AB37" s="23">
        <f>IFERROR(subQ!AB29/subQ!W29-1,"")</f>
        <v/>
      </c>
      <c r="AC37" s="32" t="n"/>
      <c r="AD37" s="32" t="n"/>
      <c r="AE37" s="25" t="n"/>
      <c r="AF37" s="32" t="n"/>
      <c r="AG37" s="32" t="n"/>
      <c r="AH37" s="32" t="n"/>
      <c r="AI37" s="32" t="n"/>
      <c r="AJ37" s="25" t="n"/>
      <c r="AK37" s="32" t="n"/>
      <c r="AL37" s="32" t="n"/>
      <c r="AM37" s="32" t="n"/>
      <c r="AN37" s="32" t="n"/>
      <c r="AO37" s="25" t="n"/>
    </row>
    <row r="38">
      <c r="A38" s="12" t="inlineStr">
        <is>
          <t>drv:주식수</t>
        </is>
      </c>
      <c r="B38" s="2" t="inlineStr">
        <is>
          <t>qoq</t>
        </is>
      </c>
      <c r="C38" t="inlineStr">
        <is>
          <t>주식수 QoQ</t>
        </is>
      </c>
      <c r="E38" s="21" t="n"/>
      <c r="F38" s="22" t="n"/>
      <c r="G38" s="21">
        <f>IFERROR(subQ!G30/subQ!E30-1,"")</f>
        <v/>
      </c>
      <c r="H38" s="21">
        <f>IFERROR(subQ!H30/subQ!G30-1,"")</f>
        <v/>
      </c>
      <c r="I38" s="21">
        <f>IFERROR(subQ!I30/subQ!H30-1,"")</f>
        <v/>
      </c>
      <c r="J38" s="21">
        <f>IFERROR(subQ!J30/subQ!I30-1,"")</f>
        <v/>
      </c>
      <c r="K38" s="22" t="n"/>
      <c r="L38" s="21">
        <f>IFERROR(subQ!L30/subQ!J30-1,"")</f>
        <v/>
      </c>
      <c r="M38" s="21">
        <f>IFERROR(subQ!M30/subQ!L30-1,"")</f>
        <v/>
      </c>
      <c r="N38" s="21">
        <f>IFERROR(subQ!N30/subQ!M30-1,"")</f>
        <v/>
      </c>
      <c r="O38" s="21">
        <f>IFERROR(subQ!O30/subQ!N30-1,"")</f>
        <v/>
      </c>
      <c r="P38" s="22" t="n"/>
      <c r="Q38" s="21">
        <f>IFERROR(subQ!Q30/subQ!O30-1,"")</f>
        <v/>
      </c>
      <c r="R38" s="21">
        <f>IFERROR(subQ!R30/subQ!Q30-1,"")</f>
        <v/>
      </c>
      <c r="S38" s="21">
        <f>IFERROR(subQ!S30/subQ!R30-1,"")</f>
        <v/>
      </c>
      <c r="T38" s="21">
        <f>IFERROR(subQ!T30/subQ!S30-1,"")</f>
        <v/>
      </c>
      <c r="U38" s="22" t="n"/>
      <c r="V38" s="21">
        <f>IFERROR(subQ!V30/subQ!T30-1,"")</f>
        <v/>
      </c>
      <c r="W38" s="21">
        <f>IFERROR(subQ!W30/subQ!V30-1,"")</f>
        <v/>
      </c>
      <c r="X38" s="21">
        <f>IFERROR(subQ!X30/subQ!W30-1,"")</f>
        <v/>
      </c>
      <c r="Y38" s="21">
        <f>IFERROR(subQ!Y30/subQ!X30-1,"")</f>
        <v/>
      </c>
      <c r="Z38" s="22" t="n"/>
      <c r="AA38" s="21">
        <f>IFERROR(subQ!AA30/subQ!Y30-1,"")</f>
        <v/>
      </c>
      <c r="AB38" s="23">
        <f>IFERROR(subQ!AB30/subQ!AA30-1,"")</f>
        <v/>
      </c>
      <c r="AC38" s="24" t="n">
        <v>0</v>
      </c>
      <c r="AD38" s="24" t="n">
        <v>0</v>
      </c>
      <c r="AE38" s="25" t="n"/>
      <c r="AF38" s="24" t="n">
        <v>0</v>
      </c>
      <c r="AG38" s="24" t="n">
        <v>0</v>
      </c>
      <c r="AH38" s="24" t="n">
        <v>0</v>
      </c>
      <c r="AI38" s="24" t="n">
        <v>0</v>
      </c>
      <c r="AJ38" s="25" t="n"/>
      <c r="AK38" s="24" t="n">
        <v>0</v>
      </c>
      <c r="AL38" s="24" t="n">
        <v>0</v>
      </c>
      <c r="AM38" s="24" t="n">
        <v>0</v>
      </c>
      <c r="AN38" s="24" t="n">
        <v>0</v>
      </c>
      <c r="AO38" s="25" t="n"/>
    </row>
    <row r="39">
      <c r="A39" s="12" t="inlineStr">
        <is>
          <t>drv:DPS</t>
        </is>
      </c>
      <c r="B39" s="2" t="inlineStr">
        <is>
          <t>abs</t>
        </is>
      </c>
      <c r="C39" t="inlineStr">
        <is>
          <t>DPS (가정, 원)</t>
        </is>
      </c>
      <c r="E39" s="27">
        <f>subQ!E34</f>
        <v/>
      </c>
      <c r="F39" s="28">
        <f>subQ!F34</f>
        <v/>
      </c>
      <c r="G39" s="27">
        <f>subQ!G34</f>
        <v/>
      </c>
      <c r="H39" s="27">
        <f>subQ!H34</f>
        <v/>
      </c>
      <c r="I39" s="27">
        <f>subQ!I34</f>
        <v/>
      </c>
      <c r="J39" s="27">
        <f>subQ!J34</f>
        <v/>
      </c>
      <c r="K39" s="28">
        <f>subQ!K34</f>
        <v/>
      </c>
      <c r="L39" s="27">
        <f>subQ!L34</f>
        <v/>
      </c>
      <c r="M39" s="27">
        <f>subQ!M34</f>
        <v/>
      </c>
      <c r="N39" s="27">
        <f>subQ!N34</f>
        <v/>
      </c>
      <c r="O39" s="27">
        <f>subQ!O34</f>
        <v/>
      </c>
      <c r="P39" s="28">
        <f>subQ!P34</f>
        <v/>
      </c>
      <c r="Q39" s="27">
        <f>subQ!Q34</f>
        <v/>
      </c>
      <c r="R39" s="27">
        <f>subQ!R34</f>
        <v/>
      </c>
      <c r="S39" s="27">
        <f>subQ!S34</f>
        <v/>
      </c>
      <c r="T39" s="27">
        <f>subQ!T34</f>
        <v/>
      </c>
      <c r="U39" s="28">
        <f>subQ!U34</f>
        <v/>
      </c>
      <c r="V39" s="27">
        <f>subQ!V34</f>
        <v/>
      </c>
      <c r="W39" s="27">
        <f>subQ!W34</f>
        <v/>
      </c>
      <c r="X39" s="27">
        <f>subQ!X34</f>
        <v/>
      </c>
      <c r="Y39" s="27">
        <f>subQ!Y34</f>
        <v/>
      </c>
      <c r="Z39" s="28">
        <f>subQ!Z34</f>
        <v/>
      </c>
      <c r="AA39" s="27">
        <f>subQ!AA34</f>
        <v/>
      </c>
      <c r="AB39" s="29">
        <f>subQ!AB34</f>
        <v/>
      </c>
      <c r="AC39" s="33" t="n"/>
      <c r="AD39" s="30" t="n">
        <v>0</v>
      </c>
      <c r="AE39" s="31">
        <f>subQ!AE34</f>
        <v/>
      </c>
      <c r="AF39" s="33" t="n"/>
      <c r="AG39" s="33" t="n"/>
      <c r="AH39" s="33" t="n"/>
      <c r="AI39" s="30" t="n">
        <v>0</v>
      </c>
      <c r="AJ39" s="31">
        <f>subQ!AJ34</f>
        <v/>
      </c>
      <c r="AK39" s="33" t="n"/>
      <c r="AL39" s="33" t="n"/>
      <c r="AM39" s="33" t="n"/>
      <c r="AN39" s="30" t="n">
        <v>0</v>
      </c>
      <c r="AO39" s="31">
        <f>subQ!AO34</f>
        <v/>
      </c>
    </row>
    <row r="40">
      <c r="F40" s="9" t="n"/>
      <c r="K40" s="9" t="n"/>
      <c r="P40" s="9" t="n"/>
      <c r="U40" s="9" t="n"/>
      <c r="Z40" s="9" t="n"/>
      <c r="AB40" s="5" t="n"/>
      <c r="AC40" s="10" t="n"/>
      <c r="AD40" s="10" t="n"/>
      <c r="AE40" s="11" t="n"/>
      <c r="AF40" s="10" t="n"/>
      <c r="AG40" s="10" t="n"/>
      <c r="AH40" s="10" t="n"/>
      <c r="AI40" s="10" t="n"/>
      <c r="AJ40" s="11" t="n"/>
      <c r="AK40" s="10" t="n"/>
      <c r="AL40" s="10" t="n"/>
      <c r="AM40" s="10" t="n"/>
      <c r="AN40" s="10" t="n"/>
      <c r="AO40" s="11" t="n"/>
    </row>
    <row r="41">
      <c r="B41" s="1" t="inlineStr">
        <is>
          <t>3. 밸류에이션·스칼라</t>
        </is>
      </c>
      <c r="C41" s="2" t="inlineStr">
        <is>
          <t>노란 셀 = 가정. '연결' 표시는 추정 전 분기 수식이 이 셀을 참조한다는 뜻</t>
        </is>
      </c>
      <c r="F41" s="9" t="n"/>
      <c r="K41" s="9" t="n"/>
      <c r="P41" s="9" t="n"/>
      <c r="U41" s="9" t="n"/>
      <c r="Z41" s="9" t="n"/>
      <c r="AB41" s="5" t="n"/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A42" s="12" t="inlineStr">
        <is>
          <t>sc:종가</t>
        </is>
      </c>
      <c r="C42" t="inlineStr">
        <is>
          <t>종가</t>
        </is>
      </c>
      <c r="D42" s="34" t="n">
        <v>1507</v>
      </c>
      <c r="E42" s="2" t="inlineStr">
        <is>
          <t>원 — 네이버 정규장 종가(aik 확정종가 대조 · aik 1,645원)</t>
        </is>
      </c>
      <c r="F42" s="9" t="n"/>
      <c r="K42" s="9" t="n"/>
      <c r="P42" s="9" t="n"/>
      <c r="U42" s="9" t="n"/>
      <c r="Z42" s="9" t="n"/>
      <c r="AB42" s="5" t="n"/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A43" s="12" t="inlineStr">
        <is>
          <t>sc:기준일</t>
        </is>
      </c>
      <c r="C43" t="inlineStr">
        <is>
          <t>기준일</t>
        </is>
      </c>
      <c r="D43" s="35" t="inlineStr">
        <is>
          <t>20261013</t>
        </is>
      </c>
      <c r="E43" s="2" t="inlineStr">
        <is>
          <t>종가 기준일</t>
        </is>
      </c>
      <c r="F43" s="9" t="n"/>
      <c r="K43" s="9" t="n"/>
      <c r="P43" s="9" t="n"/>
      <c r="U43" s="9" t="n"/>
      <c r="Z43" s="9" t="n"/>
      <c r="AB43" s="5" t="n"/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s="12" t="inlineStr">
        <is>
          <t>sc:COE</t>
        </is>
      </c>
      <c r="C44" t="inlineStr">
        <is>
          <t>COE</t>
        </is>
      </c>
      <c r="D44" s="24" t="n">
        <v>0.09</v>
      </c>
      <c r="E44" s="2" t="inlineStr">
        <is>
          <t>자기자본비용(가정) — TP 적정 PBR = ROE/COE</t>
        </is>
      </c>
      <c r="F44" s="9" t="n"/>
      <c r="K44" s="9" t="n"/>
      <c r="P44" s="9" t="n"/>
      <c r="U44" s="9" t="n"/>
      <c r="Z44" s="9" t="n"/>
      <c r="AB44" s="5" t="n"/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s="12" t="inlineStr">
        <is>
          <t>sc:PER_lo</t>
        </is>
      </c>
      <c r="C45" t="inlineStr">
        <is>
          <t>PER_lo</t>
        </is>
      </c>
      <c r="D45" s="30" t="n">
        <v>5</v>
      </c>
      <c r="E45" s="2" t="inlineStr">
        <is>
          <t>PER 밴드 하단(배) — hist_quarterly(분기 평균가 ÷ TTM EPS, 14분기, 25/50/75 백분위)</t>
        </is>
      </c>
      <c r="F45" s="9" t="n"/>
      <c r="K45" s="9" t="n"/>
      <c r="P45" s="9" t="n"/>
      <c r="U45" s="9" t="n"/>
      <c r="Z45" s="9" t="n"/>
      <c r="AB45" s="5" t="n"/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s="12" t="inlineStr">
        <is>
          <t>sc:PER_mid</t>
        </is>
      </c>
      <c r="C46" t="inlineStr">
        <is>
          <t>PER_mid</t>
        </is>
      </c>
      <c r="D46" s="30" t="n">
        <v>8.300000000000001</v>
      </c>
      <c r="E46" s="2" t="inlineStr">
        <is>
          <t>PER 밴드 중단(배)</t>
        </is>
      </c>
      <c r="F46" s="9" t="n"/>
      <c r="K46" s="9" t="n"/>
      <c r="P46" s="9" t="n"/>
      <c r="U46" s="9" t="n"/>
      <c r="Z46" s="9" t="n"/>
      <c r="AB46" s="5" t="n"/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s="12" t="inlineStr">
        <is>
          <t>sc:PER_hi</t>
        </is>
      </c>
      <c r="C47" t="inlineStr">
        <is>
          <t>PER_hi</t>
        </is>
      </c>
      <c r="D47" s="30" t="n">
        <v>10.2</v>
      </c>
      <c r="E47" s="2" t="inlineStr">
        <is>
          <t>PER 밴드 상단(배)</t>
        </is>
      </c>
      <c r="F47" s="9" t="n"/>
      <c r="K47" s="9" t="n"/>
      <c r="P47" s="9" t="n"/>
      <c r="U47" s="9" t="n"/>
      <c r="Z47" s="9" t="n"/>
      <c r="AB47" s="5" t="n"/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s="12" t="inlineStr">
        <is>
          <t>sc:EPS_Y1가중</t>
        </is>
      </c>
      <c r="C48" t="inlineStr">
        <is>
          <t>EPS_Y1가중</t>
        </is>
      </c>
      <c r="D48" s="24" t="n">
        <v>0.5</v>
      </c>
      <c r="E48" s="2" t="inlineStr">
        <is>
          <t>12M fwd EPS = FY(last_actual연도)E × w + FY+1E × (1−w) — 기준 분기 2Q 이면 0.5(가정)</t>
        </is>
      </c>
      <c r="F48" s="9" t="n"/>
      <c r="K48" s="9" t="n"/>
      <c r="P48" s="9" t="n"/>
      <c r="U48" s="9" t="n"/>
      <c r="Z48" s="9" t="n"/>
      <c r="AB48" s="5" t="n"/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s="12" t="inlineStr">
        <is>
          <t>sc:세율</t>
        </is>
      </c>
      <c r="C49" t="inlineStr">
        <is>
          <t>세율</t>
        </is>
      </c>
      <c r="D49" s="36" t="n">
        <v>0</v>
      </c>
      <c r="E49" s="2" t="inlineStr">
        <is>
          <t>참고(연결 안 됨: 이월결손 램프(assumptions.tax_schedule, 0%→22%) — 분기별 세율 드라이버 행 사용) — 모델 assumptions 값(시작 0% → terminal 22%, 2026Q4 까지 유지 → 2027Q1~2028Q4 선형 램프 — 분기별 값은 2절 drv:법인세비용 행) · 최근 8분기 중 세전 &gt; 0 인 6분기(2024Q4~2026Q2) 법인세/세전 중위 -35.1%·최근 4분기 중위 -35.1% 가 모두 5% 미만 → 이월결손 공제 중으로 보고 0.0% 를 2026Q4 까지 유지, 2027Q1~2028Q4 선형 램프로 법정세율 근사 22% 수렴</t>
        </is>
      </c>
      <c r="F49" s="9" t="n"/>
      <c r="K49" s="9" t="n"/>
      <c r="P49" s="9" t="n"/>
      <c r="U49" s="9" t="n"/>
      <c r="Z49" s="9" t="n"/>
      <c r="AB49" s="5" t="n"/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s="12" t="inlineStr">
        <is>
          <t>sc:판관비율</t>
        </is>
      </c>
      <c r="C50" t="inlineStr">
        <is>
          <t>판관비율</t>
        </is>
      </c>
      <c r="D50" s="36" t="n">
        <v>0.1049707849944957</v>
      </c>
      <c r="E50" s="2" t="inlineStr">
        <is>
          <t>연결 — 판관비 = 매출액 × 판관비율(역산, 재현 오차 ≤ 0.05억 · 모델 assumptions 0.105)</t>
        </is>
      </c>
      <c r="F50" s="9" t="n"/>
      <c r="K50" s="9" t="n"/>
      <c r="P50" s="9" t="n"/>
      <c r="U50" s="9" t="n"/>
      <c r="Z50" s="9" t="n"/>
      <c r="AB50" s="5" t="n"/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s="12" t="inlineStr">
        <is>
          <t>sc:지배주주비중</t>
        </is>
      </c>
      <c r="C51" t="inlineStr">
        <is>
          <t>지배주주비중</t>
        </is>
      </c>
      <c r="D51" s="36" t="n">
        <v>1</v>
      </c>
      <c r="E51" s="2" t="inlineStr">
        <is>
          <t>연결 — 지배주주순이익 = 당기순이익 × 비중(역산, 재현 오차 ≤ 0.05억)</t>
        </is>
      </c>
      <c r="F51" s="9" t="n"/>
      <c r="K51" s="9" t="n"/>
      <c r="P51" s="9" t="n"/>
      <c r="U51" s="9" t="n"/>
      <c r="Z51" s="9" t="n"/>
      <c r="AB51" s="5" t="n"/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s="12" t="inlineStr">
        <is>
          <t>sc:이자율_자산</t>
        </is>
      </c>
      <c r="C52" t="inlineStr">
        <is>
          <t>이자율_자산</t>
        </is>
      </c>
      <c r="D52" s="36" t="n">
        <v>0.01545159234920242</v>
      </c>
      <c r="E52" s="2" t="inlineStr">
        <is>
          <t>연결 — 이자손익 = (전분기 이자발생자산 × 자산이자율 − 전분기 총차입금 × 부채이자율)/4(역산, 재현 오차 ≤ 0.05억 · 모델 assumptions 0.0158)</t>
        </is>
      </c>
      <c r="F52" s="9" t="n"/>
      <c r="K52" s="9" t="n"/>
      <c r="P52" s="9" t="n"/>
      <c r="U52" s="9" t="n"/>
      <c r="Z52" s="9" t="n"/>
      <c r="AB52" s="5" t="n"/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s="12" t="inlineStr">
        <is>
          <t>sc:이자율_부채</t>
        </is>
      </c>
      <c r="C53" t="inlineStr">
        <is>
          <t>이자율_부채</t>
        </is>
      </c>
      <c r="D53" s="36" t="n">
        <v>0.01152913900412498</v>
      </c>
      <c r="E53" s="2" t="inlineStr">
        <is>
          <t>연결 — 같은 수식의 부채 쪽(총차입금 행이 없으면 0)(역산, 재현 오차 ≤ 0.05억 · 모델 assumptions 0.0116)</t>
        </is>
      </c>
      <c r="F53" s="9" t="n"/>
      <c r="K53" s="9" t="n"/>
      <c r="P53" s="9" t="n"/>
      <c r="U53" s="9" t="n"/>
      <c r="Z53" s="9" t="n"/>
      <c r="AB53" s="5" t="n"/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s="12" t="inlineStr">
        <is>
          <t>sc:배당성향</t>
        </is>
      </c>
      <c r="C54" t="inlineStr">
        <is>
          <t>배당성향</t>
        </is>
      </c>
      <c r="D54" s="24" t="n">
        <v>0</v>
      </c>
      <c r="E54" s="2" t="inlineStr">
        <is>
          <t>배당성향(참고 — 모델은 직전 DPS 유지·Q2 지급 가정)</t>
        </is>
      </c>
      <c r="F54" s="9" t="n"/>
      <c r="K54" s="9" t="n"/>
      <c r="P54" s="9" t="n"/>
      <c r="U54" s="9" t="n"/>
      <c r="Z54" s="9" t="n"/>
      <c r="AB54" s="5" t="n"/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s="12" t="inlineStr">
        <is>
          <t>sc:외화순노출_백만$</t>
        </is>
      </c>
      <c r="C55" t="inlineStr">
        <is>
          <t>외화순노출_백만$</t>
        </is>
      </c>
      <c r="D55" s="30" t="n"/>
      <c r="E55" s="2" t="inlineStr">
        <is>
          <t>외화 순노출 × Δ기말환율 (외화 시트 방식) — 외화 순노출 미공시(face) → 0 + 표기</t>
        </is>
      </c>
      <c r="F55" s="9" t="n"/>
      <c r="K55" s="9" t="n"/>
      <c r="P55" s="9" t="n"/>
      <c r="U55" s="9" t="n"/>
      <c r="Z55" s="9" t="n"/>
      <c r="AB55" s="5" t="n"/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s="12" t="inlineStr">
        <is>
          <t>sc:헤지비율</t>
        </is>
      </c>
      <c r="C56" t="inlineStr">
        <is>
          <t>헤지비율</t>
        </is>
      </c>
      <c r="D56" s="24" t="n"/>
      <c r="E56" s="2" t="inlineStr">
        <is>
          <t>sls 없음</t>
        </is>
      </c>
      <c r="F56" s="9" t="n"/>
      <c r="K56" s="9" t="n"/>
      <c r="P56" s="9" t="n"/>
      <c r="U56" s="9" t="n"/>
      <c r="Z56" s="9" t="n"/>
      <c r="AB56" s="5" t="n"/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s="12" t="inlineStr">
        <is>
          <t>sc:헤지환율_약정</t>
        </is>
      </c>
      <c r="C57" t="inlineStr">
        <is>
          <t>헤지환율_약정</t>
        </is>
      </c>
      <c r="D57" s="16" t="n"/>
      <c r="E57" s="2" t="inlineStr">
        <is>
          <t>sls 없음</t>
        </is>
      </c>
      <c r="F57" s="9" t="n"/>
      <c r="K57" s="9" t="n"/>
      <c r="P57" s="9" t="n"/>
      <c r="U57" s="9" t="n"/>
      <c r="Z57" s="9" t="n"/>
      <c r="AB57" s="5" t="n"/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5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B1" s="2" t="inlineStr">
        <is>
          <t>(백만원)</t>
        </is>
      </c>
      <c r="C1" s="2" t="inlineStr">
        <is>
          <t>이름: BS연결H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B2" t="inlineStr">
        <is>
          <t>연결</t>
        </is>
      </c>
      <c r="D2" s="2" t="inlineStr">
        <is>
          <t>fin json(kship_fin.py)</t>
        </is>
      </c>
      <c r="AB2" s="5" t="n"/>
    </row>
    <row r="3">
      <c r="B3" t="inlineStr">
        <is>
          <t>에스앤더블류(연)</t>
        </is>
      </c>
      <c r="C3" s="2" t="inlineStr">
        <is>
          <t>UPDATE: 26-10-13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B4" s="2" t="inlineStr">
        <is>
          <t>Account Code</t>
        </is>
      </c>
      <c r="C4" s="2" t="inlineStr">
        <is>
          <t>AccountNAME</t>
        </is>
      </c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F5" s="9" t="n"/>
      <c r="K5" s="9" t="n"/>
      <c r="P5" s="9" t="n"/>
      <c r="U5" s="9" t="n"/>
      <c r="Z5" s="9" t="n"/>
      <c r="AB5" s="5" t="n"/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88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B1" s="2" t="inlineStr">
        <is>
          <t>(백만원)</t>
        </is>
      </c>
      <c r="C1" s="2" t="inlineStr">
        <is>
          <t>이름: BS별도H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B2" t="inlineStr">
        <is>
          <t>별도</t>
        </is>
      </c>
      <c r="D2" s="2" t="inlineStr">
        <is>
          <t>fin json(kship_fin.py)</t>
        </is>
      </c>
      <c r="AB2" s="5" t="n"/>
    </row>
    <row r="3">
      <c r="B3" t="inlineStr">
        <is>
          <t>에스앤더블류(별)</t>
        </is>
      </c>
      <c r="C3" s="2" t="inlineStr">
        <is>
          <t>UPDATE: 26-10-13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B4" s="2" t="inlineStr">
        <is>
          <t>Account Code</t>
        </is>
      </c>
      <c r="C4" s="2" t="inlineStr">
        <is>
          <t>AccountNAME</t>
        </is>
      </c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t="n">
        <v>1</v>
      </c>
      <c r="C5" t="inlineStr">
        <is>
          <t>유동자산</t>
        </is>
      </c>
      <c r="E5" s="18" t="n">
        <v>16928.95</v>
      </c>
      <c r="F5" s="37" t="n">
        <v>16928.95</v>
      </c>
      <c r="G5" s="18" t="n">
        <v>18372.65</v>
      </c>
      <c r="H5" s="18" t="n">
        <v>37453.11</v>
      </c>
      <c r="I5" s="18" t="n">
        <v>37007.74</v>
      </c>
      <c r="J5" s="18" t="n">
        <v>38407.88</v>
      </c>
      <c r="K5" s="37" t="n">
        <v>38407.88</v>
      </c>
      <c r="L5" s="18" t="n">
        <v>40090.49</v>
      </c>
      <c r="M5" s="18" t="n">
        <v>39103.81</v>
      </c>
      <c r="N5" s="18" t="n">
        <v>43720.72</v>
      </c>
      <c r="O5" s="18" t="n">
        <v>42551</v>
      </c>
      <c r="P5" s="37" t="n">
        <v>42551</v>
      </c>
      <c r="Q5" s="18" t="n">
        <v>44210.47</v>
      </c>
      <c r="R5" s="18" t="n">
        <v>45311.7</v>
      </c>
      <c r="S5" s="18" t="n">
        <v>41982.95</v>
      </c>
      <c r="T5" s="18" t="n">
        <v>23323.59</v>
      </c>
      <c r="U5" s="37" t="n">
        <v>23323.59</v>
      </c>
      <c r="V5" s="18" t="n">
        <v>21691.17</v>
      </c>
      <c r="W5" s="18" t="n">
        <v>21230.91</v>
      </c>
      <c r="X5" s="18" t="n">
        <v>20855.8</v>
      </c>
      <c r="Y5" s="18" t="n">
        <v>23330.81</v>
      </c>
      <c r="Z5" s="37" t="n">
        <v>23330.81</v>
      </c>
      <c r="AA5" s="18" t="n">
        <v>24350.91</v>
      </c>
      <c r="AB5" s="19" t="n">
        <v>23212.71</v>
      </c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t="n">
        <v>1</v>
      </c>
      <c r="C6" t="inlineStr">
        <is>
          <t>현금및현금성자산</t>
        </is>
      </c>
      <c r="E6" s="18" t="n">
        <v>774.77</v>
      </c>
      <c r="F6" s="37" t="n">
        <v>774.77</v>
      </c>
      <c r="G6" s="18" t="n">
        <v>3152.38</v>
      </c>
      <c r="H6" s="18" t="n">
        <v>6286.13</v>
      </c>
      <c r="I6" s="18" t="n">
        <v>5475.69</v>
      </c>
      <c r="J6" s="18" t="n">
        <v>5083.15</v>
      </c>
      <c r="K6" s="37" t="n">
        <v>5083.15</v>
      </c>
      <c r="L6" s="18" t="n">
        <v>4268.21</v>
      </c>
      <c r="M6" s="18" t="n">
        <v>2169.39</v>
      </c>
      <c r="N6" s="18" t="n">
        <v>5101.68</v>
      </c>
      <c r="O6" s="18" t="n">
        <v>4000.15</v>
      </c>
      <c r="P6" s="37" t="n">
        <v>4000.15</v>
      </c>
      <c r="Q6" s="18" t="n">
        <v>3339.54</v>
      </c>
      <c r="R6" s="18" t="n">
        <v>3698.95</v>
      </c>
      <c r="S6" s="18" t="n">
        <v>502.96</v>
      </c>
      <c r="T6" s="18" t="n">
        <v>2709.56</v>
      </c>
      <c r="U6" s="37" t="n">
        <v>2709.56</v>
      </c>
      <c r="V6" s="18" t="n">
        <v>1889.31</v>
      </c>
      <c r="W6" s="18" t="n">
        <v>1127.1</v>
      </c>
      <c r="X6" s="18" t="n">
        <v>1173.68</v>
      </c>
      <c r="Y6" s="18" t="n">
        <v>2382</v>
      </c>
      <c r="Z6" s="37" t="n">
        <v>2382</v>
      </c>
      <c r="AA6" s="18" t="n">
        <v>4081.32</v>
      </c>
      <c r="AB6" s="19" t="n">
        <v>3081.64</v>
      </c>
      <c r="AC6" s="10" t="n"/>
      <c r="AD6" s="10" t="n"/>
      <c r="AE6" s="11" t="n"/>
      <c r="AF6" s="10" t="n"/>
      <c r="AG6" s="10" t="n"/>
      <c r="AH6" s="10" t="n"/>
      <c r="AI6" s="10" t="n"/>
      <c r="AJ6" s="11" t="n"/>
      <c r="AK6" s="10" t="n"/>
      <c r="AL6" s="10" t="n"/>
      <c r="AM6" s="10" t="n"/>
      <c r="AN6" s="10" t="n"/>
      <c r="AO6" s="11" t="n"/>
    </row>
    <row r="7">
      <c r="A7" t="n">
        <v>1</v>
      </c>
      <c r="C7" t="inlineStr">
        <is>
          <t>기타유동금융자산</t>
        </is>
      </c>
      <c r="E7" s="18" t="n">
        <v>0.01</v>
      </c>
      <c r="F7" s="37" t="n">
        <v>0.01</v>
      </c>
      <c r="G7" s="18" t="n">
        <v>40.84</v>
      </c>
      <c r="H7" s="18" t="n">
        <v>220.07</v>
      </c>
      <c r="I7" s="18" t="n">
        <v>288.56</v>
      </c>
      <c r="J7" s="18" t="n">
        <v>2058.36</v>
      </c>
      <c r="K7" s="37" t="n">
        <v>2058.36</v>
      </c>
      <c r="L7" s="18" t="n">
        <v>2128.47</v>
      </c>
      <c r="M7" s="18" t="n">
        <v>3919.04</v>
      </c>
      <c r="N7" s="18" t="n">
        <v>4317.3</v>
      </c>
      <c r="O7" s="18" t="n">
        <v>3751.17</v>
      </c>
      <c r="P7" s="37" t="n">
        <v>3751.17</v>
      </c>
      <c r="Q7" s="18" t="n">
        <v>2531.14</v>
      </c>
      <c r="R7" s="18" t="n">
        <v>4032.68</v>
      </c>
      <c r="S7" s="18" t="n">
        <v>3904.06</v>
      </c>
      <c r="T7" s="18" t="n">
        <v>0</v>
      </c>
      <c r="U7" s="37" t="n">
        <v>0</v>
      </c>
      <c r="V7" s="18" t="n">
        <v>220.41</v>
      </c>
      <c r="W7" s="18" t="n">
        <v>0</v>
      </c>
      <c r="X7" s="18" t="n">
        <v>0</v>
      </c>
      <c r="Y7" s="18" t="n">
        <v>0</v>
      </c>
      <c r="Z7" s="37" t="n">
        <v>0</v>
      </c>
      <c r="AA7" s="18" t="n">
        <v>0</v>
      </c>
      <c r="AB7" s="19" t="n">
        <v>0</v>
      </c>
      <c r="AC7" s="10" t="n"/>
      <c r="AD7" s="10" t="n"/>
      <c r="AE7" s="11" t="n"/>
      <c r="AF7" s="10" t="n"/>
      <c r="AG7" s="10" t="n"/>
      <c r="AH7" s="10" t="n"/>
      <c r="AI7" s="10" t="n"/>
      <c r="AJ7" s="11" t="n"/>
      <c r="AK7" s="10" t="n"/>
      <c r="AL7" s="10" t="n"/>
      <c r="AM7" s="10" t="n"/>
      <c r="AN7" s="10" t="n"/>
      <c r="AO7" s="11" t="n"/>
    </row>
    <row r="8">
      <c r="A8" t="n">
        <v>1</v>
      </c>
      <c r="C8" t="inlineStr">
        <is>
          <t>단기투자자산(공정가치)</t>
        </is>
      </c>
      <c r="E8" s="18" t="n">
        <v>112.07</v>
      </c>
      <c r="F8" s="37" t="n">
        <v>112.07</v>
      </c>
      <c r="G8" s="18" t="n">
        <v>112.93</v>
      </c>
      <c r="H8" s="18" t="n">
        <v>88.17</v>
      </c>
      <c r="I8" s="18" t="n">
        <v>72.34999999999999</v>
      </c>
      <c r="J8" s="18" t="n">
        <v>75.95</v>
      </c>
      <c r="K8" s="37" t="n">
        <v>75.95</v>
      </c>
      <c r="L8" s="18" t="n">
        <v>71.95</v>
      </c>
      <c r="M8" s="18" t="n">
        <v>75.48</v>
      </c>
      <c r="N8" s="18" t="n">
        <v>67.7</v>
      </c>
      <c r="O8" s="18" t="n">
        <v>69.2</v>
      </c>
      <c r="P8" s="37" t="n">
        <v>69.2</v>
      </c>
      <c r="Q8" s="18" t="n">
        <v>66.29000000000001</v>
      </c>
      <c r="R8" s="18" t="n">
        <v>61.38</v>
      </c>
      <c r="S8" s="18" t="n">
        <v>53.49</v>
      </c>
      <c r="T8" s="18" t="n">
        <v>51.55</v>
      </c>
      <c r="U8" s="37" t="n">
        <v>51.55</v>
      </c>
      <c r="V8" s="18" t="n">
        <v>49.47</v>
      </c>
      <c r="W8" s="18" t="n">
        <v>57.78</v>
      </c>
      <c r="X8" s="18" t="n">
        <v>53.12</v>
      </c>
      <c r="Y8" s="18" t="n">
        <v>51.57</v>
      </c>
      <c r="Z8" s="37" t="n">
        <v>51.57</v>
      </c>
      <c r="AA8" s="18" t="n">
        <v>28.45</v>
      </c>
      <c r="AB8" s="19" t="n">
        <v>19.97</v>
      </c>
      <c r="AC8" s="10" t="n"/>
      <c r="AD8" s="10" t="n"/>
      <c r="AE8" s="11" t="n"/>
      <c r="AF8" s="10" t="n"/>
      <c r="AG8" s="10" t="n"/>
      <c r="AH8" s="10" t="n"/>
      <c r="AI8" s="10" t="n"/>
      <c r="AJ8" s="11" t="n"/>
      <c r="AK8" s="10" t="n"/>
      <c r="AL8" s="10" t="n"/>
      <c r="AM8" s="10" t="n"/>
      <c r="AN8" s="10" t="n"/>
      <c r="AO8" s="11" t="n"/>
    </row>
    <row r="9">
      <c r="A9" t="n">
        <v>1</v>
      </c>
      <c r="C9" t="inlineStr">
        <is>
          <t>매출채권및기타채권</t>
        </is>
      </c>
      <c r="E9" s="18" t="n">
        <v>9930.82</v>
      </c>
      <c r="F9" s="37" t="n">
        <v>9930.82</v>
      </c>
      <c r="G9" s="18" t="n">
        <v>8339.34</v>
      </c>
      <c r="H9" s="18" t="n">
        <v>11169.15</v>
      </c>
      <c r="I9" s="18" t="n">
        <v>5164.94</v>
      </c>
      <c r="J9" s="18" t="n">
        <v>10519.41</v>
      </c>
      <c r="K9" s="37" t="n">
        <v>10519.41</v>
      </c>
      <c r="L9" s="18" t="n">
        <v>12759.46</v>
      </c>
      <c r="M9" s="18" t="n">
        <v>11013.32</v>
      </c>
      <c r="N9" s="18" t="n">
        <v>9836.110000000001</v>
      </c>
      <c r="O9" s="18" t="n">
        <v>11665.64</v>
      </c>
      <c r="P9" s="37" t="n">
        <v>11665.64</v>
      </c>
      <c r="Q9" s="18" t="n">
        <v>14062.97</v>
      </c>
      <c r="R9" s="18" t="n">
        <v>12906.34</v>
      </c>
      <c r="S9" s="18" t="n">
        <v>11362.36</v>
      </c>
      <c r="T9" s="18" t="n">
        <v>11713.06</v>
      </c>
      <c r="U9" s="37" t="n">
        <v>11713.06</v>
      </c>
      <c r="V9" s="18" t="n">
        <v>12721.13</v>
      </c>
      <c r="W9" s="18" t="n">
        <v>11943.74</v>
      </c>
      <c r="X9" s="18" t="n">
        <v>9929.68</v>
      </c>
      <c r="Y9" s="18" t="n">
        <v>13634.38</v>
      </c>
      <c r="Z9" s="37" t="n">
        <v>13634.38</v>
      </c>
      <c r="AA9" s="18" t="n">
        <v>11364.46</v>
      </c>
      <c r="AB9" s="19" t="n">
        <v>8272.76</v>
      </c>
      <c r="AC9" s="10" t="n"/>
      <c r="AD9" s="10" t="n"/>
      <c r="AE9" s="11" t="n"/>
      <c r="AF9" s="10" t="n"/>
      <c r="AG9" s="10" t="n"/>
      <c r="AH9" s="10" t="n"/>
      <c r="AI9" s="10" t="n"/>
      <c r="AJ9" s="11" t="n"/>
      <c r="AK9" s="10" t="n"/>
      <c r="AL9" s="10" t="n"/>
      <c r="AM9" s="10" t="n"/>
      <c r="AN9" s="10" t="n"/>
      <c r="AO9" s="11" t="n"/>
    </row>
    <row r="10">
      <c r="A10" t="n">
        <v>1</v>
      </c>
      <c r="C10" t="inlineStr">
        <is>
          <t>기타유동자산</t>
        </is>
      </c>
      <c r="E10" s="18" t="n">
        <v>66.52</v>
      </c>
      <c r="F10" s="37" t="n">
        <v>66.52</v>
      </c>
      <c r="G10" s="18" t="n">
        <v>36.27</v>
      </c>
      <c r="H10" s="18" t="n">
        <v>29.96</v>
      </c>
      <c r="I10" s="18" t="n">
        <v>179.2</v>
      </c>
      <c r="J10" s="18" t="n">
        <v>38.43</v>
      </c>
      <c r="K10" s="37" t="n">
        <v>38.43</v>
      </c>
      <c r="L10" s="18" t="n">
        <v>56.01</v>
      </c>
      <c r="M10" s="18" t="n">
        <v>42.86</v>
      </c>
      <c r="N10" s="18" t="n">
        <v>47.04</v>
      </c>
      <c r="O10" s="18" t="n">
        <v>49.74</v>
      </c>
      <c r="P10" s="37" t="n">
        <v>49.74</v>
      </c>
      <c r="Q10" s="18" t="n">
        <v>74.42</v>
      </c>
      <c r="R10" s="18" t="n">
        <v>60.61</v>
      </c>
      <c r="S10" s="18" t="n">
        <v>286.37</v>
      </c>
      <c r="T10" s="18" t="n">
        <v>506.18</v>
      </c>
      <c r="U10" s="37" t="n">
        <v>506.18</v>
      </c>
      <c r="V10" s="18" t="n">
        <v>459.79</v>
      </c>
      <c r="W10" s="18" t="n">
        <v>82.25</v>
      </c>
      <c r="X10" s="18" t="n">
        <v>128.17</v>
      </c>
      <c r="Y10" s="18" t="n">
        <v>21.03</v>
      </c>
      <c r="Z10" s="37" t="n">
        <v>21.03</v>
      </c>
      <c r="AA10" s="18" t="n">
        <v>34.46</v>
      </c>
      <c r="AB10" s="19" t="n">
        <v>21.89</v>
      </c>
      <c r="AC10" s="10" t="n"/>
      <c r="AD10" s="10" t="n"/>
      <c r="AE10" s="11" t="n"/>
      <c r="AF10" s="10" t="n"/>
      <c r="AG10" s="10" t="n"/>
      <c r="AH10" s="10" t="n"/>
      <c r="AI10" s="10" t="n"/>
      <c r="AJ10" s="11" t="n"/>
      <c r="AK10" s="10" t="n"/>
      <c r="AL10" s="10" t="n"/>
      <c r="AM10" s="10" t="n"/>
      <c r="AN10" s="10" t="n"/>
      <c r="AO10" s="11" t="n"/>
    </row>
    <row r="11">
      <c r="A11" t="n">
        <v>1</v>
      </c>
      <c r="C11" t="inlineStr">
        <is>
          <t>재고자산</t>
        </is>
      </c>
      <c r="E11" s="18" t="n">
        <v>10999.32</v>
      </c>
      <c r="F11" s="37" t="n">
        <v>10999.32</v>
      </c>
      <c r="G11" s="18" t="n">
        <v>10838.31</v>
      </c>
      <c r="H11" s="18" t="n">
        <v>10001.6</v>
      </c>
      <c r="I11" s="18" t="n">
        <v>10594.01</v>
      </c>
      <c r="J11" s="18" t="n">
        <v>10642.13</v>
      </c>
      <c r="K11" s="37" t="n">
        <v>10642.13</v>
      </c>
      <c r="L11" s="18" t="n">
        <v>11921.84</v>
      </c>
      <c r="M11" s="18" t="n">
        <v>12125.94</v>
      </c>
      <c r="N11" s="18" t="n">
        <v>13989.97</v>
      </c>
      <c r="O11" s="18" t="n">
        <v>13589.6</v>
      </c>
      <c r="P11" s="37" t="n">
        <v>13589.6</v>
      </c>
      <c r="Q11" s="18" t="n">
        <v>15448.07</v>
      </c>
      <c r="R11" s="18" t="n">
        <v>15739.04</v>
      </c>
      <c r="S11" s="18" t="n">
        <v>16278.67</v>
      </c>
      <c r="T11" s="18" t="n">
        <v>14185.98</v>
      </c>
      <c r="U11" s="37" t="n">
        <v>14185.98</v>
      </c>
      <c r="V11" s="18" t="n">
        <v>12682.12</v>
      </c>
      <c r="W11" s="18" t="n">
        <v>13962.43</v>
      </c>
      <c r="X11" s="18" t="n">
        <v>14511.86</v>
      </c>
      <c r="Y11" s="18" t="n">
        <v>13901.08</v>
      </c>
      <c r="Z11" s="37" t="n">
        <v>13901.08</v>
      </c>
      <c r="AA11" s="18" t="n">
        <v>14504.53</v>
      </c>
      <c r="AB11" s="19" t="n">
        <v>15936.01</v>
      </c>
      <c r="AC11" s="10" t="n"/>
      <c r="AD11" s="10" t="n"/>
      <c r="AE11" s="11" t="n"/>
      <c r="AF11" s="10" t="n"/>
      <c r="AG11" s="10" t="n"/>
      <c r="AH11" s="10" t="n"/>
      <c r="AI11" s="10" t="n"/>
      <c r="AJ11" s="11" t="n"/>
      <c r="AK11" s="10" t="n"/>
      <c r="AL11" s="10" t="n"/>
      <c r="AM11" s="10" t="n"/>
      <c r="AN11" s="10" t="n"/>
      <c r="AO11" s="11" t="n"/>
    </row>
    <row r="12">
      <c r="A12" t="n">
        <v>1</v>
      </c>
      <c r="C12" t="inlineStr">
        <is>
          <t>비유동자산</t>
        </is>
      </c>
      <c r="E12" s="18" t="n">
        <v>36322.59</v>
      </c>
      <c r="F12" s="37" t="n">
        <v>36322.59</v>
      </c>
      <c r="G12" s="18" t="n">
        <v>36131.97</v>
      </c>
      <c r="H12" s="18" t="n">
        <v>22988.86</v>
      </c>
      <c r="I12" s="18" t="n">
        <v>23831.45</v>
      </c>
      <c r="J12" s="18" t="n">
        <v>23627.08</v>
      </c>
      <c r="K12" s="37" t="n">
        <v>23627.08</v>
      </c>
      <c r="L12" s="18" t="n">
        <v>23476.88</v>
      </c>
      <c r="M12" s="18" t="n">
        <v>23731.51</v>
      </c>
      <c r="N12" s="18" t="n">
        <v>23684.08</v>
      </c>
      <c r="O12" s="18" t="n">
        <v>24217.56</v>
      </c>
      <c r="P12" s="37" t="n">
        <v>24217.56</v>
      </c>
      <c r="Q12" s="18" t="n">
        <v>28816.39</v>
      </c>
      <c r="R12" s="18" t="n">
        <v>29778.16</v>
      </c>
      <c r="S12" s="18" t="n">
        <v>30589.54</v>
      </c>
      <c r="T12" s="18" t="n">
        <v>47973.46</v>
      </c>
      <c r="U12" s="37" t="n">
        <v>47973.46</v>
      </c>
      <c r="V12" s="18" t="n">
        <v>61114.9</v>
      </c>
      <c r="W12" s="18" t="n">
        <v>61541.91</v>
      </c>
      <c r="X12" s="18" t="n">
        <v>63177.54</v>
      </c>
      <c r="Y12" s="18" t="n">
        <v>61946.79</v>
      </c>
      <c r="Z12" s="37" t="n">
        <v>61946.79</v>
      </c>
      <c r="AA12" s="18" t="n">
        <v>62273.3</v>
      </c>
      <c r="AB12" s="19" t="n">
        <v>62703.97</v>
      </c>
      <c r="AC12" s="10" t="n"/>
      <c r="AD12" s="10" t="n"/>
      <c r="AE12" s="11" t="n"/>
      <c r="AF12" s="10" t="n"/>
      <c r="AG12" s="10" t="n"/>
      <c r="AH12" s="10" t="n"/>
      <c r="AI12" s="10" t="n"/>
      <c r="AJ12" s="11" t="n"/>
      <c r="AK12" s="10" t="n"/>
      <c r="AL12" s="10" t="n"/>
      <c r="AM12" s="10" t="n"/>
      <c r="AN12" s="10" t="n"/>
      <c r="AO12" s="11" t="n"/>
    </row>
    <row r="13">
      <c r="A13" t="n">
        <v>1</v>
      </c>
      <c r="C13" t="inlineStr">
        <is>
          <t>장기금융자산</t>
        </is>
      </c>
      <c r="E13" s="18" t="n">
        <v>0.74</v>
      </c>
      <c r="F13" s="37" t="n">
        <v>0.74</v>
      </c>
      <c r="G13" s="18" t="n">
        <v>0.74</v>
      </c>
      <c r="H13" s="18" t="n">
        <v>1.48</v>
      </c>
      <c r="J13" s="18" t="n">
        <v>0.74</v>
      </c>
      <c r="K13" s="37" t="n">
        <v>0.74</v>
      </c>
      <c r="L13" s="18" t="n">
        <v>0.74</v>
      </c>
      <c r="M13" s="18" t="n">
        <v>1.48</v>
      </c>
      <c r="N13" s="18" t="n">
        <v>1.48</v>
      </c>
      <c r="O13" s="18" t="n">
        <v>0.74</v>
      </c>
      <c r="P13" s="37" t="n">
        <v>0.74</v>
      </c>
      <c r="Q13" s="18" t="n">
        <v>0.74</v>
      </c>
      <c r="R13" s="18" t="n">
        <v>1.48</v>
      </c>
      <c r="S13" s="18" t="n">
        <v>1.48</v>
      </c>
      <c r="T13" s="18" t="n">
        <v>0</v>
      </c>
      <c r="U13" s="37" t="n">
        <v>0</v>
      </c>
      <c r="W13" s="18" t="n">
        <v>0</v>
      </c>
      <c r="X13" s="18" t="n">
        <v>0</v>
      </c>
      <c r="Y13" s="18" t="n">
        <v>0</v>
      </c>
      <c r="Z13" s="37" t="n">
        <v>0</v>
      </c>
      <c r="AA13" s="18" t="n">
        <v>0</v>
      </c>
      <c r="AB13" s="19" t="n">
        <v>0</v>
      </c>
      <c r="AC13" s="10" t="n"/>
      <c r="AD13" s="10" t="n"/>
      <c r="AE13" s="11" t="n"/>
      <c r="AF13" s="10" t="n"/>
      <c r="AG13" s="10" t="n"/>
      <c r="AH13" s="10" t="n"/>
      <c r="AI13" s="10" t="n"/>
      <c r="AJ13" s="11" t="n"/>
      <c r="AK13" s="10" t="n"/>
      <c r="AL13" s="10" t="n"/>
      <c r="AM13" s="10" t="n"/>
      <c r="AN13" s="10" t="n"/>
      <c r="AO13" s="11" t="n"/>
    </row>
    <row r="14">
      <c r="A14" t="n">
        <v>1</v>
      </c>
      <c r="C14" t="inlineStr">
        <is>
          <t>투자자산</t>
        </is>
      </c>
      <c r="E14" s="18" t="n">
        <v>0.74</v>
      </c>
      <c r="F14" s="37" t="n">
        <v>0.74</v>
      </c>
      <c r="G14" s="18" t="n">
        <v>0.74</v>
      </c>
      <c r="H14" s="18" t="n">
        <v>1.48</v>
      </c>
      <c r="I14" s="18" t="n">
        <v>530.2</v>
      </c>
      <c r="J14" s="18" t="n">
        <v>0.74</v>
      </c>
      <c r="K14" s="37" t="n">
        <v>0.74</v>
      </c>
      <c r="L14" s="18" t="n">
        <v>0.74</v>
      </c>
      <c r="M14" s="18" t="n">
        <v>1.48</v>
      </c>
      <c r="N14" s="18" t="n">
        <v>1.48</v>
      </c>
      <c r="O14" s="18" t="n">
        <v>0.74</v>
      </c>
      <c r="P14" s="37" t="n">
        <v>0.74</v>
      </c>
      <c r="Q14" s="18" t="n">
        <v>0.74</v>
      </c>
      <c r="R14" s="18" t="n">
        <v>1.48</v>
      </c>
      <c r="S14" s="18" t="n">
        <v>1.48</v>
      </c>
      <c r="T14" s="18" t="n">
        <v>0</v>
      </c>
      <c r="U14" s="37" t="n">
        <v>0</v>
      </c>
      <c r="W14" s="18" t="n">
        <v>0</v>
      </c>
      <c r="X14" s="18" t="n">
        <v>0</v>
      </c>
      <c r="Y14" s="18" t="n">
        <v>0</v>
      </c>
      <c r="Z14" s="37" t="n">
        <v>0</v>
      </c>
      <c r="AA14" s="18" t="n">
        <v>0</v>
      </c>
      <c r="AB14" s="19" t="n">
        <v>0</v>
      </c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t="n">
        <v>1</v>
      </c>
      <c r="C15" t="inlineStr">
        <is>
          <t>유형자산</t>
        </is>
      </c>
      <c r="E15" s="18" t="n">
        <v>33691.92</v>
      </c>
      <c r="F15" s="37" t="n">
        <v>33691.92</v>
      </c>
      <c r="G15" s="18" t="n">
        <v>34623.78</v>
      </c>
      <c r="H15" s="18" t="n">
        <v>21467.48</v>
      </c>
      <c r="I15" s="18" t="n">
        <v>22416.92</v>
      </c>
      <c r="J15" s="18" t="n">
        <v>22735.83</v>
      </c>
      <c r="K15" s="37" t="n">
        <v>22735.83</v>
      </c>
      <c r="L15" s="18" t="n">
        <v>22572.07</v>
      </c>
      <c r="M15" s="18" t="n">
        <v>22801.31</v>
      </c>
      <c r="N15" s="18" t="n">
        <v>22745.46</v>
      </c>
      <c r="O15" s="18" t="n">
        <v>23215.51</v>
      </c>
      <c r="P15" s="37" t="n">
        <v>23215.51</v>
      </c>
      <c r="Q15" s="18" t="n">
        <v>27861.49</v>
      </c>
      <c r="R15" s="18" t="n">
        <v>28842.58</v>
      </c>
      <c r="S15" s="18" t="n">
        <v>29679.33</v>
      </c>
      <c r="T15" s="18" t="n">
        <v>46812.68</v>
      </c>
      <c r="U15" s="37" t="n">
        <v>46812.68</v>
      </c>
      <c r="V15" s="18" t="n">
        <v>59895.62</v>
      </c>
      <c r="W15" s="18" t="n">
        <v>60520.05</v>
      </c>
      <c r="X15" s="18" t="n">
        <v>62073.44</v>
      </c>
      <c r="Y15" s="18" t="n">
        <v>60777.4</v>
      </c>
      <c r="Z15" s="37" t="n">
        <v>60777.4</v>
      </c>
      <c r="AA15" s="18" t="n">
        <v>61101.38</v>
      </c>
      <c r="AB15" s="19" t="n">
        <v>61501.49</v>
      </c>
      <c r="AC15" s="10" t="n"/>
      <c r="AD15" s="10" t="n"/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t="n">
        <v>1</v>
      </c>
      <c r="C16" t="inlineStr">
        <is>
          <t>무형자산</t>
        </is>
      </c>
      <c r="E16" s="18" t="n">
        <v>55.32</v>
      </c>
      <c r="F16" s="37" t="n">
        <v>55.32</v>
      </c>
      <c r="G16" s="18" t="n">
        <v>55.53</v>
      </c>
      <c r="H16" s="18" t="n">
        <v>55.46</v>
      </c>
      <c r="I16" s="18" t="n">
        <v>55.38</v>
      </c>
      <c r="J16" s="18" t="n">
        <v>55.31</v>
      </c>
      <c r="K16" s="37" t="n">
        <v>55.31</v>
      </c>
      <c r="L16" s="18" t="n">
        <v>55.23</v>
      </c>
      <c r="M16" s="18" t="n">
        <v>55.15</v>
      </c>
      <c r="N16" s="18" t="n">
        <v>55.08</v>
      </c>
      <c r="O16" s="18" t="n">
        <v>55</v>
      </c>
      <c r="P16" s="37" t="n">
        <v>55</v>
      </c>
      <c r="Q16" s="18" t="n">
        <v>54.93</v>
      </c>
      <c r="R16" s="18" t="n">
        <v>72.25</v>
      </c>
      <c r="S16" s="18" t="n">
        <v>72.31999999999999</v>
      </c>
      <c r="T16" s="18" t="n">
        <v>71.29000000000001</v>
      </c>
      <c r="U16" s="37" t="n">
        <v>71.29000000000001</v>
      </c>
      <c r="V16" s="18" t="n">
        <v>75.90000000000001</v>
      </c>
      <c r="W16" s="18" t="n">
        <v>74.58</v>
      </c>
      <c r="X16" s="18" t="n">
        <v>130.89</v>
      </c>
      <c r="Y16" s="18" t="n">
        <v>129.39</v>
      </c>
      <c r="Z16" s="37" t="n">
        <v>129.39</v>
      </c>
      <c r="AA16" s="18" t="n">
        <v>127.93</v>
      </c>
      <c r="AB16" s="19" t="n">
        <v>154.5</v>
      </c>
      <c r="AC16" s="10" t="n"/>
      <c r="AD16" s="10" t="n"/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t="n">
        <v>1</v>
      </c>
      <c r="C17" t="inlineStr">
        <is>
          <t>자산총계</t>
        </is>
      </c>
      <c r="E17" s="18" t="n">
        <v>53251.54</v>
      </c>
      <c r="F17" s="37" t="n">
        <v>53251.54</v>
      </c>
      <c r="G17" s="18" t="n">
        <v>54504.62</v>
      </c>
      <c r="H17" s="18" t="n">
        <v>60441.97</v>
      </c>
      <c r="I17" s="18" t="n">
        <v>60839.19</v>
      </c>
      <c r="J17" s="18" t="n">
        <v>62034.96</v>
      </c>
      <c r="K17" s="37" t="n">
        <v>62034.96</v>
      </c>
      <c r="L17" s="18" t="n">
        <v>63567.37</v>
      </c>
      <c r="M17" s="18" t="n">
        <v>62835.32</v>
      </c>
      <c r="N17" s="18" t="n">
        <v>67404.8</v>
      </c>
      <c r="O17" s="18" t="n">
        <v>66768.56</v>
      </c>
      <c r="P17" s="37" t="n">
        <v>66768.56</v>
      </c>
      <c r="Q17" s="18" t="n">
        <v>73026.85000000001</v>
      </c>
      <c r="R17" s="18" t="n">
        <v>75089.85000000001</v>
      </c>
      <c r="S17" s="18" t="n">
        <v>72572.48</v>
      </c>
      <c r="T17" s="18" t="n">
        <v>71297.05</v>
      </c>
      <c r="U17" s="37" t="n">
        <v>71297.05</v>
      </c>
      <c r="V17" s="18" t="n">
        <v>82806.08</v>
      </c>
      <c r="W17" s="18" t="n">
        <v>82772.83</v>
      </c>
      <c r="X17" s="18" t="n">
        <v>84033.35000000001</v>
      </c>
      <c r="Y17" s="18" t="n">
        <v>85277.60000000001</v>
      </c>
      <c r="Z17" s="37" t="n">
        <v>85277.60000000001</v>
      </c>
      <c r="AA17" s="18" t="n">
        <v>86624.21000000001</v>
      </c>
      <c r="AB17" s="19" t="n">
        <v>85916.67</v>
      </c>
      <c r="AC17" s="10" t="n"/>
      <c r="AD17" s="10" t="n"/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t="n">
        <v>1</v>
      </c>
      <c r="C18" t="inlineStr">
        <is>
          <t>유동부채</t>
        </is>
      </c>
      <c r="E18" s="18" t="n">
        <v>5366.02</v>
      </c>
      <c r="F18" s="37" t="n">
        <v>5366.02</v>
      </c>
      <c r="G18" s="18" t="n">
        <v>6467.92</v>
      </c>
      <c r="H18" s="18" t="n">
        <v>10470.27</v>
      </c>
      <c r="I18" s="18" t="n">
        <v>10788.67</v>
      </c>
      <c r="J18" s="18" t="n">
        <v>13414.47</v>
      </c>
      <c r="K18" s="37" t="n">
        <v>13414.47</v>
      </c>
      <c r="L18" s="18" t="n">
        <v>13625.12</v>
      </c>
      <c r="M18" s="18" t="n">
        <v>11445.06</v>
      </c>
      <c r="N18" s="18" t="n">
        <v>15018.61</v>
      </c>
      <c r="O18" s="18" t="n">
        <v>13902.76</v>
      </c>
      <c r="P18" s="37" t="n">
        <v>13902.76</v>
      </c>
      <c r="Q18" s="18" t="n">
        <v>18643.42</v>
      </c>
      <c r="R18" s="18" t="n">
        <v>19702.85</v>
      </c>
      <c r="S18" s="18" t="n">
        <v>17409.02</v>
      </c>
      <c r="T18" s="18" t="n">
        <v>14169.7</v>
      </c>
      <c r="U18" s="37" t="n">
        <v>14169.7</v>
      </c>
      <c r="V18" s="18" t="n">
        <v>10693.51</v>
      </c>
      <c r="W18" s="18" t="n">
        <v>7262.29</v>
      </c>
      <c r="X18" s="18" t="n">
        <v>8109.99</v>
      </c>
      <c r="Y18" s="18" t="n">
        <v>9546.24</v>
      </c>
      <c r="Z18" s="37" t="n">
        <v>9546.24</v>
      </c>
      <c r="AA18" s="18" t="n">
        <v>10788.96</v>
      </c>
      <c r="AB18" s="19" t="n">
        <v>9211.67</v>
      </c>
      <c r="AC18" s="10" t="n"/>
      <c r="AD18" s="10" t="n"/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A19" t="n">
        <v>1</v>
      </c>
      <c r="C19" t="inlineStr">
        <is>
          <t>매입채무및기타채무</t>
        </is>
      </c>
      <c r="E19" s="18" t="n">
        <v>8247.65</v>
      </c>
      <c r="F19" s="37" t="n">
        <v>8247.65</v>
      </c>
      <c r="G19" s="18" t="n">
        <v>9090.200000000001</v>
      </c>
      <c r="H19" s="18" t="n">
        <v>7941.37</v>
      </c>
      <c r="I19" s="18" t="n">
        <v>4048.77</v>
      </c>
      <c r="J19" s="18" t="n">
        <v>10683.05</v>
      </c>
      <c r="K19" s="37" t="n">
        <v>10683.05</v>
      </c>
      <c r="L19" s="18" t="n">
        <v>12598.01</v>
      </c>
      <c r="M19" s="18" t="n">
        <v>7612.66</v>
      </c>
      <c r="N19" s="18" t="n">
        <v>12186.82</v>
      </c>
      <c r="O19" s="18" t="n">
        <v>5698.67</v>
      </c>
      <c r="P19" s="37" t="n">
        <v>5698.67</v>
      </c>
      <c r="Q19" s="18" t="n">
        <v>5730.02</v>
      </c>
      <c r="R19" s="18" t="n">
        <v>12600.26</v>
      </c>
      <c r="S19" s="18" t="n">
        <v>8508.49</v>
      </c>
      <c r="T19" s="18" t="n">
        <v>9044.780000000001</v>
      </c>
      <c r="U19" s="37" t="n">
        <v>9044.780000000001</v>
      </c>
      <c r="V19" s="18" t="n">
        <v>11622.91</v>
      </c>
      <c r="W19" s="18" t="n">
        <v>10800.42</v>
      </c>
      <c r="X19" s="18" t="n">
        <v>11141.23</v>
      </c>
      <c r="Y19" s="18" t="n">
        <v>13488.81</v>
      </c>
      <c r="Z19" s="37" t="n">
        <v>13488.81</v>
      </c>
      <c r="AA19" s="18" t="n">
        <v>17773.51</v>
      </c>
      <c r="AB19" s="19" t="n">
        <v>13907.61</v>
      </c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A20" t="n">
        <v>1</v>
      </c>
      <c r="C20" t="inlineStr">
        <is>
          <t>단기차입금</t>
        </is>
      </c>
      <c r="E20" s="18" t="n">
        <v>320</v>
      </c>
      <c r="F20" s="37" t="n">
        <v>320</v>
      </c>
      <c r="G20" s="18" t="n">
        <v>0</v>
      </c>
      <c r="H20" s="18" t="n">
        <v>0</v>
      </c>
      <c r="J20" s="18" t="n">
        <v>0</v>
      </c>
      <c r="K20" s="37" t="n">
        <v>0</v>
      </c>
      <c r="L20" s="18" t="n">
        <v>0</v>
      </c>
      <c r="M20" s="18" t="n">
        <v>0</v>
      </c>
      <c r="N20" s="18" t="n">
        <v>0</v>
      </c>
      <c r="O20" s="18" t="n">
        <v>0</v>
      </c>
      <c r="P20" s="37" t="n">
        <v>0</v>
      </c>
      <c r="Q20" s="18" t="n">
        <v>4193.09</v>
      </c>
      <c r="U20" s="9" t="n"/>
      <c r="Y20" s="18" t="n">
        <v>860.64</v>
      </c>
      <c r="Z20" s="37" t="n">
        <v>860.64</v>
      </c>
      <c r="AA20" s="18" t="n">
        <v>0</v>
      </c>
      <c r="AB20" s="19" t="n">
        <v>0</v>
      </c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t="n">
        <v>1</v>
      </c>
      <c r="C21" t="inlineStr">
        <is>
          <t>기타유동부채</t>
        </is>
      </c>
      <c r="E21" s="18" t="n">
        <v>377.01</v>
      </c>
      <c r="F21" s="37" t="n">
        <v>377.01</v>
      </c>
      <c r="G21" s="18" t="n">
        <v>1241.54</v>
      </c>
      <c r="H21" s="18" t="n">
        <v>5807.58</v>
      </c>
      <c r="I21" s="18" t="n">
        <v>5739.9</v>
      </c>
      <c r="J21" s="18" t="n">
        <v>5835.98</v>
      </c>
      <c r="K21" s="37" t="n">
        <v>5835.98</v>
      </c>
      <c r="L21" s="18" t="n">
        <v>6716.62</v>
      </c>
      <c r="M21" s="18" t="n">
        <v>6882.56</v>
      </c>
      <c r="N21" s="18" t="n">
        <v>8113.56</v>
      </c>
      <c r="O21" s="18" t="n">
        <v>8204.09</v>
      </c>
      <c r="P21" s="37" t="n">
        <v>8204.09</v>
      </c>
      <c r="Q21" s="18" t="n">
        <v>12913.4</v>
      </c>
      <c r="R21" s="18" t="n">
        <v>12531.12</v>
      </c>
      <c r="S21" s="18" t="n">
        <v>12362.81</v>
      </c>
      <c r="T21" s="18" t="n">
        <v>8630.709999999999</v>
      </c>
      <c r="U21" s="37" t="n">
        <v>8630.709999999999</v>
      </c>
      <c r="V21" s="18" t="n">
        <v>3495.53</v>
      </c>
      <c r="W21" s="18" t="n">
        <v>645.17</v>
      </c>
      <c r="X21" s="18" t="n">
        <v>732.4</v>
      </c>
      <c r="Y21" s="18" t="n">
        <v>713.75</v>
      </c>
      <c r="Z21" s="37" t="n">
        <v>713.75</v>
      </c>
      <c r="AA21" s="18" t="n">
        <v>270.75</v>
      </c>
      <c r="AB21" s="19" t="n">
        <v>806.26</v>
      </c>
      <c r="AC21" s="10" t="n"/>
      <c r="AD21" s="10" t="n"/>
      <c r="AE21" s="11" t="n"/>
      <c r="AF21" s="10" t="n"/>
      <c r="AG21" s="10" t="n"/>
      <c r="AH21" s="10" t="n"/>
      <c r="AI21" s="10" t="n"/>
      <c r="AJ21" s="11" t="n"/>
      <c r="AK21" s="10" t="n"/>
      <c r="AL21" s="10" t="n"/>
      <c r="AM21" s="10" t="n"/>
      <c r="AN21" s="10" t="n"/>
      <c r="AO21" s="11" t="n"/>
    </row>
    <row r="22">
      <c r="A22" t="n">
        <v>1</v>
      </c>
      <c r="C22" t="inlineStr">
        <is>
          <t>비유동부채</t>
        </is>
      </c>
      <c r="E22" s="18" t="n">
        <v>9149.870000000001</v>
      </c>
      <c r="F22" s="37" t="n">
        <v>9149.870000000001</v>
      </c>
      <c r="G22" s="18" t="n">
        <v>9316.309999999999</v>
      </c>
      <c r="H22" s="18" t="n">
        <v>9025.17</v>
      </c>
      <c r="I22" s="18" t="n">
        <v>7943.03</v>
      </c>
      <c r="J22" s="18" t="n">
        <v>6093.22</v>
      </c>
      <c r="K22" s="37" t="n">
        <v>6093.22</v>
      </c>
      <c r="L22" s="18" t="n">
        <v>6404</v>
      </c>
      <c r="M22" s="18" t="n">
        <v>6664.96</v>
      </c>
      <c r="N22" s="18" t="n">
        <v>6802.27</v>
      </c>
      <c r="O22" s="18" t="n">
        <v>7436.18</v>
      </c>
      <c r="P22" s="37" t="n">
        <v>7436.18</v>
      </c>
      <c r="Q22" s="18" t="n">
        <v>7896.67</v>
      </c>
      <c r="R22" s="18" t="n">
        <v>8252.68</v>
      </c>
      <c r="S22" s="18" t="n">
        <v>8350.25</v>
      </c>
      <c r="T22" s="18" t="n">
        <v>7306.07</v>
      </c>
      <c r="U22" s="37" t="n">
        <v>7306.07</v>
      </c>
      <c r="V22" s="18" t="n">
        <v>20682.55</v>
      </c>
      <c r="W22" s="18" t="n">
        <v>22971.64</v>
      </c>
      <c r="X22" s="18" t="n">
        <v>22280.92</v>
      </c>
      <c r="Y22" s="18" t="n">
        <v>22252.9</v>
      </c>
      <c r="Z22" s="37" t="n">
        <v>22252.9</v>
      </c>
      <c r="AA22" s="18" t="n">
        <v>22232.3</v>
      </c>
      <c r="AB22" s="19" t="n">
        <v>22154.46</v>
      </c>
      <c r="AC22" s="10" t="n"/>
      <c r="AD22" s="10" t="n"/>
      <c r="AE22" s="11" t="n"/>
      <c r="AF22" s="10" t="n"/>
      <c r="AG22" s="10" t="n"/>
      <c r="AH22" s="10" t="n"/>
      <c r="AI22" s="10" t="n"/>
      <c r="AJ22" s="11" t="n"/>
      <c r="AK22" s="10" t="n"/>
      <c r="AL22" s="10" t="n"/>
      <c r="AM22" s="10" t="n"/>
      <c r="AN22" s="10" t="n"/>
      <c r="AO22" s="11" t="n"/>
    </row>
    <row r="23">
      <c r="A23" t="n">
        <v>1</v>
      </c>
      <c r="C23" t="inlineStr">
        <is>
          <t>장기매입채무및기타채무</t>
        </is>
      </c>
      <c r="E23" s="18" t="n">
        <v>3000</v>
      </c>
      <c r="F23" s="37" t="n">
        <v>3000</v>
      </c>
      <c r="G23" s="18" t="n">
        <v>3000</v>
      </c>
      <c r="H23" s="18" t="n">
        <v>3000</v>
      </c>
      <c r="I23" s="18" t="n">
        <v>2000</v>
      </c>
      <c r="J23" s="18" t="n">
        <v>0</v>
      </c>
      <c r="K23" s="37" t="n">
        <v>0</v>
      </c>
      <c r="L23" s="18" t="n">
        <v>0</v>
      </c>
      <c r="P23" s="9" t="n"/>
      <c r="U23" s="9" t="n"/>
      <c r="V23" s="18" t="n">
        <v>12000</v>
      </c>
      <c r="W23" s="18" t="n">
        <v>14500</v>
      </c>
      <c r="X23" s="18" t="n">
        <v>14500</v>
      </c>
      <c r="Y23" s="18" t="n">
        <v>14860</v>
      </c>
      <c r="Z23" s="37" t="n">
        <v>14860</v>
      </c>
      <c r="AA23" s="18" t="n">
        <v>15000</v>
      </c>
      <c r="AB23" s="19" t="n">
        <v>15240</v>
      </c>
      <c r="AC23" s="10" t="n"/>
      <c r="AD23" s="10" t="n"/>
      <c r="AE23" s="11" t="n"/>
      <c r="AF23" s="10" t="n"/>
      <c r="AG23" s="10" t="n"/>
      <c r="AH23" s="10" t="n"/>
      <c r="AI23" s="10" t="n"/>
      <c r="AJ23" s="11" t="n"/>
      <c r="AK23" s="10" t="n"/>
      <c r="AL23" s="10" t="n"/>
      <c r="AM23" s="10" t="n"/>
      <c r="AN23" s="10" t="n"/>
      <c r="AO23" s="11" t="n"/>
    </row>
    <row r="24">
      <c r="A24" t="n">
        <v>1</v>
      </c>
      <c r="C24" t="inlineStr">
        <is>
          <t>장기차입금</t>
        </is>
      </c>
      <c r="E24" s="18" t="n">
        <v>3000</v>
      </c>
      <c r="F24" s="37" t="n">
        <v>3000</v>
      </c>
      <c r="G24" s="18" t="n">
        <v>3000</v>
      </c>
      <c r="H24" s="18" t="n">
        <v>3000</v>
      </c>
      <c r="I24" s="18" t="n">
        <v>2000</v>
      </c>
      <c r="J24" s="18" t="n">
        <v>0</v>
      </c>
      <c r="K24" s="37" t="n">
        <v>0</v>
      </c>
      <c r="L24" s="18" t="n">
        <v>0</v>
      </c>
      <c r="P24" s="9" t="n"/>
      <c r="U24" s="9" t="n"/>
      <c r="V24" s="18" t="n">
        <v>12000</v>
      </c>
      <c r="W24" s="18" t="n">
        <v>14500</v>
      </c>
      <c r="X24" s="18" t="n">
        <v>14500</v>
      </c>
      <c r="Y24" s="18" t="n">
        <v>14860</v>
      </c>
      <c r="Z24" s="37" t="n">
        <v>14860</v>
      </c>
      <c r="AA24" s="18" t="n">
        <v>15000</v>
      </c>
      <c r="AB24" s="19" t="n">
        <v>15240</v>
      </c>
      <c r="AC24" s="10" t="n"/>
      <c r="AD24" s="10" t="n"/>
      <c r="AE24" s="11" t="n"/>
      <c r="AF24" s="10" t="n"/>
      <c r="AG24" s="10" t="n"/>
      <c r="AH24" s="10" t="n"/>
      <c r="AI24" s="10" t="n"/>
      <c r="AJ24" s="11" t="n"/>
      <c r="AK24" s="10" t="n"/>
      <c r="AL24" s="10" t="n"/>
      <c r="AM24" s="10" t="n"/>
      <c r="AN24" s="10" t="n"/>
      <c r="AO24" s="11" t="n"/>
    </row>
    <row r="25">
      <c r="A25" t="n">
        <v>1</v>
      </c>
      <c r="C25" t="inlineStr">
        <is>
          <t>확정급여부채</t>
        </is>
      </c>
      <c r="E25" s="18" t="n">
        <v>3595.35</v>
      </c>
      <c r="F25" s="37" t="n">
        <v>3595.35</v>
      </c>
      <c r="G25" s="18" t="n">
        <v>3767.15</v>
      </c>
      <c r="H25" s="18" t="n">
        <v>3436.41</v>
      </c>
      <c r="I25" s="18" t="n">
        <v>3323.4</v>
      </c>
      <c r="J25" s="18" t="n">
        <v>3562.16</v>
      </c>
      <c r="K25" s="37" t="n">
        <v>3562.16</v>
      </c>
      <c r="L25" s="18" t="n">
        <v>3901.37</v>
      </c>
      <c r="M25" s="18" t="n">
        <v>4086.59</v>
      </c>
      <c r="N25" s="18" t="n">
        <v>4087.58</v>
      </c>
      <c r="O25" s="18" t="n">
        <v>4675.69</v>
      </c>
      <c r="P25" s="37" t="n">
        <v>4675.69</v>
      </c>
      <c r="Q25" s="18" t="n">
        <v>5009.42</v>
      </c>
      <c r="R25" s="18" t="n">
        <v>5336.45</v>
      </c>
      <c r="S25" s="18" t="n">
        <v>5398.64</v>
      </c>
      <c r="T25" s="18" t="n">
        <v>5639.28</v>
      </c>
      <c r="U25" s="37" t="n">
        <v>5639.28</v>
      </c>
      <c r="V25" s="18" t="n">
        <v>6148.22</v>
      </c>
      <c r="W25" s="18" t="n">
        <v>6335.48</v>
      </c>
      <c r="X25" s="18" t="n">
        <v>6232.32</v>
      </c>
      <c r="Y25" s="18" t="n">
        <v>6262.72</v>
      </c>
      <c r="Z25" s="37" t="n">
        <v>6262.72</v>
      </c>
      <c r="AA25" s="18" t="n">
        <v>6588.67</v>
      </c>
      <c r="AB25" s="19" t="n">
        <v>6361.85</v>
      </c>
      <c r="AC25" s="10" t="n"/>
      <c r="AD25" s="10" t="n"/>
      <c r="AE25" s="11" t="n"/>
      <c r="AF25" s="10" t="n"/>
      <c r="AG25" s="10" t="n"/>
      <c r="AH25" s="10" t="n"/>
      <c r="AI25" s="10" t="n"/>
      <c r="AJ25" s="11" t="n"/>
      <c r="AK25" s="10" t="n"/>
      <c r="AL25" s="10" t="n"/>
      <c r="AM25" s="10" t="n"/>
      <c r="AN25" s="10" t="n"/>
      <c r="AO25" s="11" t="n"/>
    </row>
    <row r="26">
      <c r="A26" t="n">
        <v>1</v>
      </c>
      <c r="C26" t="inlineStr">
        <is>
          <t>이연법인세부채</t>
        </is>
      </c>
      <c r="E26" s="18" t="n">
        <v>2437.34</v>
      </c>
      <c r="F26" s="37" t="n">
        <v>2437.34</v>
      </c>
      <c r="G26" s="18" t="n">
        <v>2437.34</v>
      </c>
      <c r="H26" s="18" t="n">
        <v>2437.34</v>
      </c>
      <c r="I26" s="18" t="n">
        <v>2437.34</v>
      </c>
      <c r="J26" s="18" t="n">
        <v>2326.55</v>
      </c>
      <c r="K26" s="37" t="n">
        <v>2326.55</v>
      </c>
      <c r="L26" s="18" t="n">
        <v>2326.55</v>
      </c>
      <c r="M26" s="18" t="n">
        <v>2326.55</v>
      </c>
      <c r="N26" s="18" t="n">
        <v>2326.55</v>
      </c>
      <c r="O26" s="18" t="n">
        <v>2326.55</v>
      </c>
      <c r="P26" s="37" t="n">
        <v>2326.55</v>
      </c>
      <c r="Q26" s="18" t="n">
        <v>2326.55</v>
      </c>
      <c r="R26" s="18" t="n">
        <v>2326.55</v>
      </c>
      <c r="S26" s="18" t="n">
        <v>2326.55</v>
      </c>
      <c r="T26" s="18" t="n">
        <v>1040.86</v>
      </c>
      <c r="U26" s="37" t="n">
        <v>1040.86</v>
      </c>
      <c r="V26" s="18" t="n">
        <v>1040.86</v>
      </c>
      <c r="W26" s="18" t="n">
        <v>937.16</v>
      </c>
      <c r="X26" s="18" t="n">
        <v>428.76</v>
      </c>
      <c r="Y26" s="18" t="n">
        <v>0</v>
      </c>
      <c r="Z26" s="37" t="n">
        <v>0</v>
      </c>
      <c r="AA26" s="18" t="n">
        <v>0</v>
      </c>
      <c r="AB26" s="19" t="n">
        <v>0</v>
      </c>
      <c r="AC26" s="10" t="n"/>
      <c r="AD26" s="10" t="n"/>
      <c r="AE26" s="11" t="n"/>
      <c r="AF26" s="10" t="n"/>
      <c r="AG26" s="10" t="n"/>
      <c r="AH26" s="10" t="n"/>
      <c r="AI26" s="10" t="n"/>
      <c r="AJ26" s="11" t="n"/>
      <c r="AK26" s="10" t="n"/>
      <c r="AL26" s="10" t="n"/>
      <c r="AM26" s="10" t="n"/>
      <c r="AN26" s="10" t="n"/>
      <c r="AO26" s="11" t="n"/>
    </row>
    <row r="27">
      <c r="A27" t="n">
        <v>1</v>
      </c>
      <c r="C27" t="inlineStr">
        <is>
          <t>기타비유동부채</t>
        </is>
      </c>
      <c r="E27" s="18" t="n">
        <v>58.12</v>
      </c>
      <c r="F27" s="37" t="n">
        <v>58.12</v>
      </c>
      <c r="G27" s="18" t="n">
        <v>50.18</v>
      </c>
      <c r="H27" s="18" t="n">
        <v>51.62</v>
      </c>
      <c r="I27" s="18" t="n">
        <v>52.26</v>
      </c>
      <c r="J27" s="18" t="n">
        <v>54.12</v>
      </c>
      <c r="K27" s="37" t="n">
        <v>54.12</v>
      </c>
      <c r="L27" s="18" t="n">
        <v>53</v>
      </c>
      <c r="M27" s="18" t="n">
        <v>84.63</v>
      </c>
      <c r="N27" s="18" t="n">
        <v>228.05</v>
      </c>
      <c r="O27" s="18" t="n">
        <v>240.36</v>
      </c>
      <c r="P27" s="37" t="n">
        <v>240.36</v>
      </c>
      <c r="Q27" s="18" t="n">
        <v>370.77</v>
      </c>
      <c r="R27" s="18" t="n">
        <v>387.61</v>
      </c>
      <c r="S27" s="18" t="n">
        <v>429.91</v>
      </c>
      <c r="T27" s="18" t="n">
        <v>432.22</v>
      </c>
      <c r="U27" s="37" t="n">
        <v>432.22</v>
      </c>
      <c r="V27" s="18" t="n">
        <v>556.62</v>
      </c>
      <c r="W27" s="18" t="n">
        <v>369.77</v>
      </c>
      <c r="X27" s="18" t="n">
        <v>281.9</v>
      </c>
      <c r="Y27" s="18" t="n">
        <v>381.99</v>
      </c>
      <c r="Z27" s="37" t="n">
        <v>381.99</v>
      </c>
      <c r="AA27" s="18" t="n">
        <v>0.76</v>
      </c>
      <c r="AB27" s="19" t="n">
        <v>14.35</v>
      </c>
      <c r="AC27" s="10" t="n"/>
      <c r="AD27" s="10" t="n"/>
      <c r="AE27" s="11" t="n"/>
      <c r="AF27" s="10" t="n"/>
      <c r="AG27" s="10" t="n"/>
      <c r="AH27" s="10" t="n"/>
      <c r="AI27" s="10" t="n"/>
      <c r="AJ27" s="11" t="n"/>
      <c r="AK27" s="10" t="n"/>
      <c r="AL27" s="10" t="n"/>
      <c r="AM27" s="10" t="n"/>
      <c r="AN27" s="10" t="n"/>
      <c r="AO27" s="11" t="n"/>
    </row>
    <row r="28">
      <c r="A28" t="n">
        <v>1</v>
      </c>
      <c r="C28" t="inlineStr">
        <is>
          <t>부채총계</t>
        </is>
      </c>
      <c r="E28" s="18" t="n">
        <v>14515.89</v>
      </c>
      <c r="F28" s="37" t="n">
        <v>14515.89</v>
      </c>
      <c r="G28" s="18" t="n">
        <v>15784.23</v>
      </c>
      <c r="H28" s="18" t="n">
        <v>19495.44</v>
      </c>
      <c r="I28" s="18" t="n">
        <v>18731.7</v>
      </c>
      <c r="J28" s="18" t="n">
        <v>19507.69</v>
      </c>
      <c r="K28" s="37" t="n">
        <v>19507.69</v>
      </c>
      <c r="L28" s="18" t="n">
        <v>20029.13</v>
      </c>
      <c r="M28" s="18" t="n">
        <v>18110.02</v>
      </c>
      <c r="N28" s="18" t="n">
        <v>21820.88</v>
      </c>
      <c r="O28" s="18" t="n">
        <v>21338.94</v>
      </c>
      <c r="P28" s="37" t="n">
        <v>21338.94</v>
      </c>
      <c r="Q28" s="18" t="n">
        <v>26540.09</v>
      </c>
      <c r="R28" s="18" t="n">
        <v>27955.53</v>
      </c>
      <c r="S28" s="18" t="n">
        <v>25759.27</v>
      </c>
      <c r="T28" s="18" t="n">
        <v>21475.77</v>
      </c>
      <c r="U28" s="37" t="n">
        <v>21475.77</v>
      </c>
      <c r="V28" s="18" t="n">
        <v>31376.06</v>
      </c>
      <c r="W28" s="18" t="n">
        <v>30233.93</v>
      </c>
      <c r="X28" s="18" t="n">
        <v>30390.91</v>
      </c>
      <c r="Y28" s="18" t="n">
        <v>31799.14</v>
      </c>
      <c r="Z28" s="37" t="n">
        <v>31799.14</v>
      </c>
      <c r="AA28" s="18" t="n">
        <v>33021.26</v>
      </c>
      <c r="AB28" s="19" t="n">
        <v>31366.13</v>
      </c>
      <c r="AC28" s="10" t="n"/>
      <c r="AD28" s="10" t="n"/>
      <c r="AE28" s="11" t="n"/>
      <c r="AF28" s="10" t="n"/>
      <c r="AG28" s="10" t="n"/>
      <c r="AH28" s="10" t="n"/>
      <c r="AI28" s="10" t="n"/>
      <c r="AJ28" s="11" t="n"/>
      <c r="AK28" s="10" t="n"/>
      <c r="AL28" s="10" t="n"/>
      <c r="AM28" s="10" t="n"/>
      <c r="AN28" s="10" t="n"/>
      <c r="AO28" s="11" t="n"/>
    </row>
    <row r="29">
      <c r="A29" t="n">
        <v>1</v>
      </c>
      <c r="C29" t="inlineStr">
        <is>
          <t>자본금</t>
        </is>
      </c>
      <c r="E29" s="18" t="n">
        <v>3600</v>
      </c>
      <c r="F29" s="37" t="n">
        <v>3600</v>
      </c>
      <c r="G29" s="18" t="n">
        <v>3600</v>
      </c>
      <c r="H29" s="18" t="n">
        <v>3600</v>
      </c>
      <c r="I29" s="18" t="n">
        <v>3600</v>
      </c>
      <c r="J29" s="18" t="n">
        <v>3600</v>
      </c>
      <c r="K29" s="37" t="n">
        <v>3600</v>
      </c>
      <c r="L29" s="18" t="n">
        <v>3600</v>
      </c>
      <c r="M29" s="18" t="n">
        <v>3600</v>
      </c>
      <c r="N29" s="18" t="n">
        <v>3600</v>
      </c>
      <c r="O29" s="18" t="n">
        <v>3600</v>
      </c>
      <c r="P29" s="37" t="n">
        <v>3600</v>
      </c>
      <c r="Q29" s="18" t="n">
        <v>3600</v>
      </c>
      <c r="R29" s="18" t="n">
        <v>3600</v>
      </c>
      <c r="S29" s="18" t="n">
        <v>3600</v>
      </c>
      <c r="T29" s="18" t="n">
        <v>3600</v>
      </c>
      <c r="U29" s="37" t="n">
        <v>3600</v>
      </c>
      <c r="V29" s="18" t="n">
        <v>3600</v>
      </c>
      <c r="W29" s="18" t="n">
        <v>3600</v>
      </c>
      <c r="X29" s="18" t="n">
        <v>3600</v>
      </c>
      <c r="Y29" s="18" t="n">
        <v>3600</v>
      </c>
      <c r="Z29" s="37" t="n">
        <v>3600</v>
      </c>
      <c r="AA29" s="18" t="n">
        <v>3600</v>
      </c>
      <c r="AB29" s="19" t="n">
        <v>3600</v>
      </c>
      <c r="AC29" s="10" t="n"/>
      <c r="AD29" s="10" t="n"/>
      <c r="AE29" s="11" t="n"/>
      <c r="AF29" s="10" t="n"/>
      <c r="AG29" s="10" t="n"/>
      <c r="AH29" s="10" t="n"/>
      <c r="AI29" s="10" t="n"/>
      <c r="AJ29" s="11" t="n"/>
      <c r="AK29" s="10" t="n"/>
      <c r="AL29" s="10" t="n"/>
      <c r="AM29" s="10" t="n"/>
      <c r="AN29" s="10" t="n"/>
      <c r="AO29" s="11" t="n"/>
    </row>
    <row r="30">
      <c r="A30" t="n">
        <v>1</v>
      </c>
      <c r="C30" t="inlineStr">
        <is>
          <t>자본잉여금</t>
        </is>
      </c>
      <c r="E30" s="18" t="n">
        <v>24698.88</v>
      </c>
      <c r="F30" s="37" t="n">
        <v>24698.88</v>
      </c>
      <c r="G30" s="18" t="n">
        <v>24698.88</v>
      </c>
      <c r="H30" s="18" t="n">
        <v>26189.24</v>
      </c>
      <c r="I30" s="18" t="n">
        <v>26189.24</v>
      </c>
      <c r="J30" s="18" t="n">
        <v>25861.36</v>
      </c>
      <c r="K30" s="37" t="n">
        <v>25861.36</v>
      </c>
      <c r="L30" s="18" t="n">
        <v>25861.36</v>
      </c>
      <c r="M30" s="18" t="n">
        <v>25861.36</v>
      </c>
      <c r="N30" s="18" t="n">
        <v>25861.36</v>
      </c>
      <c r="O30" s="18" t="n">
        <v>13511.92</v>
      </c>
      <c r="P30" s="37" t="n">
        <v>13511.92</v>
      </c>
      <c r="Q30" s="18" t="n">
        <v>13511.92</v>
      </c>
      <c r="R30" s="18" t="n">
        <v>25861.36</v>
      </c>
      <c r="S30" s="18" t="n">
        <v>25861.36</v>
      </c>
      <c r="T30" s="18" t="n">
        <v>25861.36</v>
      </c>
      <c r="U30" s="37" t="n">
        <v>25861.36</v>
      </c>
      <c r="V30" s="18" t="n">
        <v>25861.36</v>
      </c>
      <c r="W30" s="18" t="n">
        <v>25861.36</v>
      </c>
      <c r="X30" s="18" t="n">
        <v>25861.36</v>
      </c>
      <c r="Y30" s="18" t="n">
        <v>25861.36</v>
      </c>
      <c r="Z30" s="37" t="n">
        <v>25861.36</v>
      </c>
      <c r="AA30" s="18" t="n">
        <v>25861.36</v>
      </c>
      <c r="AB30" s="19" t="n">
        <v>25861.36</v>
      </c>
      <c r="AC30" s="10" t="n"/>
      <c r="AD30" s="10" t="n"/>
      <c r="AE30" s="11" t="n"/>
      <c r="AF30" s="10" t="n"/>
      <c r="AG30" s="10" t="n"/>
      <c r="AH30" s="10" t="n"/>
      <c r="AI30" s="10" t="n"/>
      <c r="AJ30" s="11" t="n"/>
      <c r="AK30" s="10" t="n"/>
      <c r="AL30" s="10" t="n"/>
      <c r="AM30" s="10" t="n"/>
      <c r="AN30" s="10" t="n"/>
      <c r="AO30" s="11" t="n"/>
    </row>
    <row r="31">
      <c r="A31" t="n">
        <v>1</v>
      </c>
      <c r="C31" t="inlineStr">
        <is>
          <t>이익잉여금</t>
        </is>
      </c>
      <c r="E31" s="18" t="n">
        <v>22786.21</v>
      </c>
      <c r="F31" s="37" t="n">
        <v>22786.21</v>
      </c>
      <c r="G31" s="18" t="n">
        <v>22770.96</v>
      </c>
      <c r="H31" s="18" t="n">
        <v>23506.74</v>
      </c>
      <c r="I31" s="18" t="n">
        <v>24667.69</v>
      </c>
      <c r="J31" s="18" t="n">
        <v>25415.36</v>
      </c>
      <c r="K31" s="37" t="n">
        <v>25415.36</v>
      </c>
      <c r="L31" s="18" t="n">
        <v>26426.33</v>
      </c>
      <c r="M31" s="18" t="n">
        <v>27613.38</v>
      </c>
      <c r="N31" s="18" t="n">
        <v>28472.01</v>
      </c>
      <c r="O31" s="18" t="n">
        <v>28317.7</v>
      </c>
      <c r="P31" s="37" t="n">
        <v>28317.7</v>
      </c>
      <c r="Q31" s="18" t="n">
        <v>29374.85</v>
      </c>
      <c r="R31" s="18" t="n">
        <v>30022.4</v>
      </c>
      <c r="S31" s="18" t="n">
        <v>29701.3</v>
      </c>
      <c r="T31" s="18" t="n">
        <v>32709.36</v>
      </c>
      <c r="U31" s="37" t="n">
        <v>32709.36</v>
      </c>
      <c r="V31" s="18" t="n">
        <v>34318.1</v>
      </c>
      <c r="W31" s="18" t="n">
        <v>35426.98</v>
      </c>
      <c r="X31" s="18" t="n">
        <v>36530.52</v>
      </c>
      <c r="Y31" s="18" t="n">
        <v>36366.54</v>
      </c>
      <c r="Z31" s="37" t="n">
        <v>36366.54</v>
      </c>
      <c r="AA31" s="18" t="n">
        <v>36491.04</v>
      </c>
      <c r="AB31" s="19" t="n">
        <v>37438.63</v>
      </c>
      <c r="AC31" s="10" t="n"/>
      <c r="AD31" s="10" t="n"/>
      <c r="AE31" s="11" t="n"/>
      <c r="AF31" s="10" t="n"/>
      <c r="AG31" s="10" t="n"/>
      <c r="AH31" s="10" t="n"/>
      <c r="AI31" s="10" t="n"/>
      <c r="AJ31" s="11" t="n"/>
      <c r="AK31" s="10" t="n"/>
      <c r="AL31" s="10" t="n"/>
      <c r="AM31" s="10" t="n"/>
      <c r="AN31" s="10" t="n"/>
      <c r="AO31" s="11" t="n"/>
    </row>
    <row r="32">
      <c r="A32" t="n">
        <v>1</v>
      </c>
      <c r="C32" t="inlineStr">
        <is>
          <t>자본총계</t>
        </is>
      </c>
      <c r="E32" s="18" t="n">
        <v>38735.65</v>
      </c>
      <c r="F32" s="37" t="n">
        <v>38735.65</v>
      </c>
      <c r="G32" s="18" t="n">
        <v>38720.4</v>
      </c>
      <c r="H32" s="18" t="n">
        <v>40946.53</v>
      </c>
      <c r="I32" s="18" t="n">
        <v>42107.49</v>
      </c>
      <c r="J32" s="18" t="n">
        <v>42527.27</v>
      </c>
      <c r="K32" s="37" t="n">
        <v>42527.27</v>
      </c>
      <c r="L32" s="18" t="n">
        <v>43538.24</v>
      </c>
      <c r="M32" s="18" t="n">
        <v>44725.3</v>
      </c>
      <c r="N32" s="18" t="n">
        <v>45583.92</v>
      </c>
      <c r="O32" s="18" t="n">
        <v>45429.62</v>
      </c>
      <c r="P32" s="37" t="n">
        <v>45429.62</v>
      </c>
      <c r="Q32" s="18" t="n">
        <v>46486.76</v>
      </c>
      <c r="R32" s="18" t="n">
        <v>47134.32</v>
      </c>
      <c r="S32" s="18" t="n">
        <v>46813.21</v>
      </c>
      <c r="T32" s="18" t="n">
        <v>49821.27</v>
      </c>
      <c r="U32" s="37" t="n">
        <v>49821.27</v>
      </c>
      <c r="V32" s="18" t="n">
        <v>51430.01</v>
      </c>
      <c r="W32" s="18" t="n">
        <v>52538.9</v>
      </c>
      <c r="X32" s="18" t="n">
        <v>53642.44</v>
      </c>
      <c r="Y32" s="18" t="n">
        <v>53478.46</v>
      </c>
      <c r="Z32" s="37" t="n">
        <v>53478.46</v>
      </c>
      <c r="AA32" s="18" t="n">
        <v>53602.95</v>
      </c>
      <c r="AB32" s="19" t="n">
        <v>54550.54</v>
      </c>
      <c r="AC32" s="10" t="n"/>
      <c r="AD32" s="10" t="n"/>
      <c r="AE32" s="11" t="n"/>
      <c r="AF32" s="10" t="n"/>
      <c r="AG32" s="10" t="n"/>
      <c r="AH32" s="10" t="n"/>
      <c r="AI32" s="10" t="n"/>
      <c r="AJ32" s="11" t="n"/>
      <c r="AK32" s="10" t="n"/>
      <c r="AL32" s="10" t="n"/>
      <c r="AM32" s="10" t="n"/>
      <c r="AN32" s="10" t="n"/>
      <c r="AO32" s="11" t="n"/>
    </row>
    <row r="33">
      <c r="A33" t="n">
        <v>1</v>
      </c>
      <c r="C33" t="inlineStr">
        <is>
          <t>부채와자본총계</t>
        </is>
      </c>
      <c r="E33" s="18" t="n">
        <v>53251.54</v>
      </c>
      <c r="F33" s="37" t="n">
        <v>53251.54</v>
      </c>
      <c r="G33" s="18" t="n">
        <v>54504.62</v>
      </c>
      <c r="H33" s="18" t="n">
        <v>60441.97</v>
      </c>
      <c r="I33" s="18" t="n">
        <v>60839.19</v>
      </c>
      <c r="J33" s="18" t="n">
        <v>62034.96</v>
      </c>
      <c r="K33" s="37" t="n">
        <v>62034.96</v>
      </c>
      <c r="L33" s="18" t="n">
        <v>63567.37</v>
      </c>
      <c r="M33" s="18" t="n">
        <v>62835.32</v>
      </c>
      <c r="N33" s="18" t="n">
        <v>67404.8</v>
      </c>
      <c r="O33" s="18" t="n">
        <v>66768.56</v>
      </c>
      <c r="P33" s="37" t="n">
        <v>66768.56</v>
      </c>
      <c r="Q33" s="18" t="n">
        <v>73026.85000000001</v>
      </c>
      <c r="R33" s="18" t="n">
        <v>75089.85000000001</v>
      </c>
      <c r="S33" s="18" t="n">
        <v>72572.48</v>
      </c>
      <c r="T33" s="18" t="n">
        <v>71297.05</v>
      </c>
      <c r="U33" s="37" t="n">
        <v>71297.05</v>
      </c>
      <c r="V33" s="18" t="n">
        <v>82806.08</v>
      </c>
      <c r="W33" s="18" t="n">
        <v>82772.83</v>
      </c>
      <c r="X33" s="18" t="n">
        <v>84033.35000000001</v>
      </c>
      <c r="Y33" s="18" t="n">
        <v>85277.60000000001</v>
      </c>
      <c r="Z33" s="37" t="n">
        <v>85277.60000000001</v>
      </c>
      <c r="AA33" s="18" t="n">
        <v>86624.21000000001</v>
      </c>
      <c r="AB33" s="19" t="n">
        <v>85916.67</v>
      </c>
      <c r="AC33" s="10" t="n"/>
      <c r="AD33" s="10" t="n"/>
      <c r="AE33" s="11" t="n"/>
      <c r="AF33" s="10" t="n"/>
      <c r="AG33" s="10" t="n"/>
      <c r="AH33" s="10" t="n"/>
      <c r="AI33" s="10" t="n"/>
      <c r="AJ33" s="11" t="n"/>
      <c r="AK33" s="10" t="n"/>
      <c r="AL33" s="10" t="n"/>
      <c r="AM33" s="10" t="n"/>
      <c r="AN33" s="10" t="n"/>
      <c r="AO33" s="11" t="n"/>
    </row>
    <row r="34">
      <c r="A34" t="n">
        <v>1</v>
      </c>
      <c r="C34" t="inlineStr">
        <is>
          <t>지배주주지분</t>
        </is>
      </c>
      <c r="E34" s="18" t="n">
        <v>38735.65</v>
      </c>
      <c r="F34" s="37" t="n">
        <v>38735.65</v>
      </c>
      <c r="G34" s="18" t="n">
        <v>38720.4</v>
      </c>
      <c r="H34" s="18" t="n">
        <v>40946.53</v>
      </c>
      <c r="I34" s="18" t="n">
        <v>42107.49</v>
      </c>
      <c r="J34" s="18" t="n">
        <v>42527.27</v>
      </c>
      <c r="K34" s="37" t="n">
        <v>42527.27</v>
      </c>
      <c r="L34" s="18" t="n">
        <v>43538.24</v>
      </c>
      <c r="M34" s="18" t="n">
        <v>44725.3</v>
      </c>
      <c r="N34" s="18" t="n">
        <v>45583.92</v>
      </c>
      <c r="O34" s="18" t="n">
        <v>45429.62</v>
      </c>
      <c r="P34" s="37" t="n">
        <v>45429.62</v>
      </c>
      <c r="Q34" s="18" t="n">
        <v>46486.76</v>
      </c>
      <c r="R34" s="18" t="n">
        <v>47134.32</v>
      </c>
      <c r="S34" s="18" t="n">
        <v>46813.21</v>
      </c>
      <c r="T34" s="18" t="n">
        <v>49821.27</v>
      </c>
      <c r="U34" s="37" t="n">
        <v>49821.27</v>
      </c>
      <c r="V34" s="18" t="n">
        <v>51430.01</v>
      </c>
      <c r="W34" s="18" t="n">
        <v>52538.9</v>
      </c>
      <c r="X34" s="18" t="n">
        <v>53642.44</v>
      </c>
      <c r="Y34" s="18" t="n">
        <v>53478.46</v>
      </c>
      <c r="Z34" s="37" t="n">
        <v>53478.46</v>
      </c>
      <c r="AA34" s="18" t="n">
        <v>53602.95</v>
      </c>
      <c r="AB34" s="19" t="n">
        <v>54550.54</v>
      </c>
      <c r="AC34" s="10" t="n"/>
      <c r="AD34" s="10" t="n"/>
      <c r="AE34" s="11" t="n"/>
      <c r="AF34" s="10" t="n"/>
      <c r="AG34" s="10" t="n"/>
      <c r="AH34" s="10" t="n"/>
      <c r="AI34" s="10" t="n"/>
      <c r="AJ34" s="11" t="n"/>
      <c r="AK34" s="10" t="n"/>
      <c r="AL34" s="10" t="n"/>
      <c r="AM34" s="10" t="n"/>
      <c r="AN34" s="10" t="n"/>
      <c r="AO34" s="11" t="n"/>
    </row>
    <row r="35">
      <c r="A35" t="n">
        <v>1</v>
      </c>
      <c r="C35" t="inlineStr">
        <is>
          <t>총차입금</t>
        </is>
      </c>
      <c r="E35" s="18" t="n">
        <v>3320</v>
      </c>
      <c r="F35" s="37" t="n">
        <v>3320</v>
      </c>
      <c r="G35" s="18" t="n">
        <v>3000</v>
      </c>
      <c r="H35" s="18" t="n">
        <v>3000</v>
      </c>
      <c r="I35" s="18" t="n">
        <v>3000</v>
      </c>
      <c r="J35" s="18" t="n">
        <v>3000</v>
      </c>
      <c r="K35" s="37" t="n">
        <v>3000</v>
      </c>
      <c r="L35" s="18" t="n">
        <v>0</v>
      </c>
      <c r="M35" s="18" t="n">
        <v>0</v>
      </c>
      <c r="N35" s="18" t="n">
        <v>0</v>
      </c>
      <c r="O35" s="18" t="n">
        <v>0</v>
      </c>
      <c r="P35" s="37" t="n">
        <v>0</v>
      </c>
      <c r="Q35" s="18" t="n">
        <v>4193.09</v>
      </c>
      <c r="T35" s="18" t="n">
        <v>0</v>
      </c>
      <c r="U35" s="37" t="n">
        <v>0</v>
      </c>
      <c r="V35" s="18" t="n">
        <v>12000</v>
      </c>
      <c r="W35" s="18" t="n">
        <v>14500</v>
      </c>
      <c r="X35" s="18" t="n">
        <v>14500</v>
      </c>
      <c r="Y35" s="18" t="n">
        <v>15720.64</v>
      </c>
      <c r="Z35" s="37" t="n">
        <v>15720.64</v>
      </c>
      <c r="AA35" s="18" t="n">
        <v>15000</v>
      </c>
      <c r="AB35" s="19" t="n">
        <v>15240</v>
      </c>
      <c r="AC35" s="10" t="n"/>
      <c r="AD35" s="10" t="n"/>
      <c r="AE35" s="11" t="n"/>
      <c r="AF35" s="10" t="n"/>
      <c r="AG35" s="10" t="n"/>
      <c r="AH35" s="10" t="n"/>
      <c r="AI35" s="10" t="n"/>
      <c r="AJ35" s="11" t="n"/>
      <c r="AK35" s="10" t="n"/>
      <c r="AL35" s="10" t="n"/>
      <c r="AM35" s="10" t="n"/>
      <c r="AN35" s="10" t="n"/>
      <c r="AO35" s="11" t="n"/>
    </row>
    <row r="36">
      <c r="A36" t="n">
        <v>1</v>
      </c>
      <c r="C36" t="inlineStr">
        <is>
          <t>순차입금</t>
        </is>
      </c>
      <c r="E36" s="18" t="n">
        <v>2545.23</v>
      </c>
      <c r="F36" s="37" t="n">
        <v>2545.23</v>
      </c>
      <c r="G36" s="18" t="n">
        <v>-152.38</v>
      </c>
      <c r="H36" s="18" t="n">
        <v>-3286.13</v>
      </c>
      <c r="I36" s="18" t="n">
        <v>-2475.69</v>
      </c>
      <c r="J36" s="18" t="n">
        <v>-2083.15</v>
      </c>
      <c r="K36" s="37" t="n">
        <v>-2083.15</v>
      </c>
      <c r="L36" s="18" t="n">
        <v>-4268.21</v>
      </c>
      <c r="M36" s="18" t="n">
        <v>-2169.39</v>
      </c>
      <c r="N36" s="18" t="n">
        <v>-5101.68</v>
      </c>
      <c r="O36" s="18" t="n">
        <v>-4000.15</v>
      </c>
      <c r="P36" s="37" t="n">
        <v>-4000.15</v>
      </c>
      <c r="Q36" s="18" t="n">
        <v>853.55</v>
      </c>
      <c r="T36" s="18" t="n">
        <v>-2709.56</v>
      </c>
      <c r="U36" s="37" t="n">
        <v>-2709.56</v>
      </c>
      <c r="V36" s="18" t="n">
        <v>10110.69</v>
      </c>
      <c r="W36" s="18" t="n">
        <v>13372.9</v>
      </c>
      <c r="X36" s="18" t="n">
        <v>13326.32</v>
      </c>
      <c r="Y36" s="18" t="n">
        <v>13338.64</v>
      </c>
      <c r="Z36" s="37" t="n">
        <v>13338.64</v>
      </c>
      <c r="AA36" s="18" t="n">
        <v>10918.68</v>
      </c>
      <c r="AB36" s="19" t="n">
        <v>12158.36</v>
      </c>
      <c r="AC36" s="10" t="n"/>
      <c r="AD36" s="10" t="n"/>
      <c r="AE36" s="11" t="n"/>
      <c r="AF36" s="10" t="n"/>
      <c r="AG36" s="10" t="n"/>
      <c r="AH36" s="10" t="n"/>
      <c r="AI36" s="10" t="n"/>
      <c r="AJ36" s="11" t="n"/>
      <c r="AK36" s="10" t="n"/>
      <c r="AL36" s="10" t="n"/>
      <c r="AM36" s="10" t="n"/>
      <c r="AN36" s="10" t="n"/>
      <c r="AO36" s="11" t="n"/>
    </row>
    <row r="37">
      <c r="A37" t="n">
        <v>1</v>
      </c>
      <c r="C37" t="inlineStr">
        <is>
          <t>이자발생자산</t>
        </is>
      </c>
      <c r="E37" s="18" t="n">
        <v>775.51</v>
      </c>
      <c r="F37" s="37" t="n">
        <v>775.51</v>
      </c>
      <c r="G37" s="18" t="n">
        <v>3153.12</v>
      </c>
      <c r="H37" s="18" t="n">
        <v>6287.61</v>
      </c>
      <c r="I37" s="18" t="n">
        <v>5475.69</v>
      </c>
      <c r="J37" s="18" t="n">
        <v>5083.89</v>
      </c>
      <c r="K37" s="37" t="n">
        <v>5083.89</v>
      </c>
      <c r="L37" s="18" t="n">
        <v>4268.95</v>
      </c>
      <c r="M37" s="18" t="n">
        <v>2170.87</v>
      </c>
      <c r="N37" s="18" t="n">
        <v>5103.16</v>
      </c>
      <c r="O37" s="18" t="n">
        <v>4000.89</v>
      </c>
      <c r="P37" s="37" t="n">
        <v>4000.89</v>
      </c>
      <c r="Q37" s="18" t="n">
        <v>3340.28</v>
      </c>
      <c r="R37" s="18" t="n">
        <v>3700.43</v>
      </c>
      <c r="S37" s="18" t="n">
        <v>504.44</v>
      </c>
      <c r="T37" s="18" t="n">
        <v>2709.56</v>
      </c>
      <c r="U37" s="37" t="n">
        <v>2709.56</v>
      </c>
      <c r="V37" s="18" t="n">
        <v>1889.31</v>
      </c>
      <c r="W37" s="18" t="n">
        <v>1127.1</v>
      </c>
      <c r="X37" s="18" t="n">
        <v>1173.68</v>
      </c>
      <c r="Y37" s="18" t="n">
        <v>2382</v>
      </c>
      <c r="Z37" s="37" t="n">
        <v>2382</v>
      </c>
      <c r="AA37" s="18" t="n">
        <v>4081.32</v>
      </c>
      <c r="AB37" s="19" t="n">
        <v>3081.64</v>
      </c>
      <c r="AC37" s="10" t="n"/>
      <c r="AD37" s="10" t="n"/>
      <c r="AE37" s="11" t="n"/>
      <c r="AF37" s="10" t="n"/>
      <c r="AG37" s="10" t="n"/>
      <c r="AH37" s="10" t="n"/>
      <c r="AI37" s="10" t="n"/>
      <c r="AJ37" s="11" t="n"/>
      <c r="AK37" s="10" t="n"/>
      <c r="AL37" s="10" t="n"/>
      <c r="AM37" s="10" t="n"/>
      <c r="AN37" s="10" t="n"/>
      <c r="AO37" s="11" t="n"/>
    </row>
    <row r="38">
      <c r="A38" t="n">
        <v>1</v>
      </c>
      <c r="C38" t="inlineStr">
        <is>
          <t>매각예정비유동자산및처분자산</t>
        </is>
      </c>
      <c r="F38" s="9" t="n"/>
      <c r="H38" s="18" t="n">
        <v>15233</v>
      </c>
      <c r="I38" s="18" t="n">
        <v>15233</v>
      </c>
      <c r="J38" s="18" t="n">
        <v>15233</v>
      </c>
      <c r="K38" s="37" t="n">
        <v>15233</v>
      </c>
      <c r="L38" s="18" t="n">
        <v>15233</v>
      </c>
      <c r="M38" s="18" t="n">
        <v>15233</v>
      </c>
      <c r="N38" s="18" t="n">
        <v>15233</v>
      </c>
      <c r="O38" s="18" t="n">
        <v>15233</v>
      </c>
      <c r="P38" s="37" t="n">
        <v>15233</v>
      </c>
      <c r="Q38" s="18" t="n">
        <v>15233</v>
      </c>
      <c r="R38" s="18" t="n">
        <v>15233</v>
      </c>
      <c r="S38" s="18" t="n">
        <v>15233</v>
      </c>
      <c r="T38" s="18" t="n">
        <v>0</v>
      </c>
      <c r="U38" s="37" t="n">
        <v>0</v>
      </c>
      <c r="Y38" s="18" t="n">
        <v>0</v>
      </c>
      <c r="Z38" s="37" t="n">
        <v>0</v>
      </c>
      <c r="AB38" s="5" t="n"/>
      <c r="AC38" s="10" t="n"/>
      <c r="AD38" s="10" t="n"/>
      <c r="AE38" s="11" t="n"/>
      <c r="AF38" s="10" t="n"/>
      <c r="AG38" s="10" t="n"/>
      <c r="AH38" s="10" t="n"/>
      <c r="AI38" s="10" t="n"/>
      <c r="AJ38" s="11" t="n"/>
      <c r="AK38" s="10" t="n"/>
      <c r="AL38" s="10" t="n"/>
      <c r="AM38" s="10" t="n"/>
      <c r="AN38" s="10" t="n"/>
      <c r="AO38" s="11" t="n"/>
    </row>
    <row r="39">
      <c r="A39" t="n">
        <v>1</v>
      </c>
      <c r="C39" t="inlineStr">
        <is>
          <t>기타자본</t>
        </is>
      </c>
      <c r="F39" s="9" t="n"/>
      <c r="H39" s="18" t="n">
        <v>1490.36</v>
      </c>
      <c r="I39" s="18" t="n">
        <v>1490.36</v>
      </c>
      <c r="J39" s="18" t="n">
        <v>1162.48</v>
      </c>
      <c r="K39" s="37" t="n">
        <v>1162.48</v>
      </c>
      <c r="L39" s="18" t="n">
        <v>1162.48</v>
      </c>
      <c r="M39" s="18" t="n">
        <v>1162.48</v>
      </c>
      <c r="N39" s="18" t="n">
        <v>1162.48</v>
      </c>
      <c r="P39" s="9" t="n"/>
      <c r="R39" s="18" t="n">
        <v>1162.48</v>
      </c>
      <c r="S39" s="18" t="n">
        <v>1162.48</v>
      </c>
      <c r="T39" s="18" t="n">
        <v>1162.48</v>
      </c>
      <c r="U39" s="37" t="n">
        <v>1162.48</v>
      </c>
      <c r="V39" s="18" t="n">
        <v>1162.48</v>
      </c>
      <c r="W39" s="18" t="n">
        <v>1162.48</v>
      </c>
      <c r="X39" s="18" t="n">
        <v>1162.48</v>
      </c>
      <c r="Y39" s="18" t="n">
        <v>1162.48</v>
      </c>
      <c r="Z39" s="37" t="n">
        <v>1162.48</v>
      </c>
      <c r="AA39" s="18" t="n">
        <v>1162.48</v>
      </c>
      <c r="AB39" s="19" t="n">
        <v>1162.48</v>
      </c>
      <c r="AC39" s="10" t="n"/>
      <c r="AD39" s="10" t="n"/>
      <c r="AE39" s="11" t="n"/>
      <c r="AF39" s="10" t="n"/>
      <c r="AG39" s="10" t="n"/>
      <c r="AH39" s="10" t="n"/>
      <c r="AI39" s="10" t="n"/>
      <c r="AJ39" s="11" t="n"/>
      <c r="AK39" s="10" t="n"/>
      <c r="AL39" s="10" t="n"/>
      <c r="AM39" s="10" t="n"/>
      <c r="AN39" s="10" t="n"/>
      <c r="AO39" s="11" t="n"/>
    </row>
    <row r="40">
      <c r="A40" t="n">
        <v>1</v>
      </c>
      <c r="C40" t="inlineStr">
        <is>
          <t>종속기업및관계기업투자</t>
        </is>
      </c>
      <c r="F40" s="9" t="n"/>
      <c r="I40" s="18" t="n">
        <v>530.2</v>
      </c>
      <c r="K40" s="9" t="n"/>
      <c r="P40" s="9" t="n"/>
      <c r="U40" s="9" t="n"/>
      <c r="Z40" s="9" t="n"/>
      <c r="AB40" s="5" t="n"/>
      <c r="AC40" s="10" t="n"/>
      <c r="AD40" s="10" t="n"/>
      <c r="AE40" s="11" t="n"/>
      <c r="AF40" s="10" t="n"/>
      <c r="AG40" s="10" t="n"/>
      <c r="AH40" s="10" t="n"/>
      <c r="AI40" s="10" t="n"/>
      <c r="AJ40" s="11" t="n"/>
      <c r="AK40" s="10" t="n"/>
      <c r="AL40" s="10" t="n"/>
      <c r="AM40" s="10" t="n"/>
      <c r="AN40" s="10" t="n"/>
      <c r="AO40" s="11" t="n"/>
    </row>
    <row r="41">
      <c r="A41" t="n">
        <v>1</v>
      </c>
      <c r="C41" t="inlineStr">
        <is>
          <t>유동성장기부채</t>
        </is>
      </c>
      <c r="F41" s="9" t="n"/>
      <c r="I41" s="18" t="n">
        <v>1000</v>
      </c>
      <c r="J41" s="18" t="n">
        <v>3000</v>
      </c>
      <c r="K41" s="37" t="n">
        <v>3000</v>
      </c>
      <c r="L41" s="18" t="n">
        <v>0</v>
      </c>
      <c r="M41" s="18" t="n">
        <v>0</v>
      </c>
      <c r="N41" s="18" t="n">
        <v>0</v>
      </c>
      <c r="P41" s="9" t="n"/>
      <c r="T41" s="18" t="n">
        <v>0</v>
      </c>
      <c r="U41" s="37" t="n">
        <v>0</v>
      </c>
      <c r="V41" s="18" t="n">
        <v>0</v>
      </c>
      <c r="Y41" s="18" t="n">
        <v>0</v>
      </c>
      <c r="Z41" s="37" t="n">
        <v>0</v>
      </c>
      <c r="AA41" s="18" t="n">
        <v>0</v>
      </c>
      <c r="AB41" s="19" t="n">
        <v>0</v>
      </c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A42" t="n">
        <v>1</v>
      </c>
      <c r="C42" t="inlineStr">
        <is>
          <t>단기금융부채(face)</t>
        </is>
      </c>
      <c r="F42" s="9" t="n"/>
      <c r="K42" s="9" t="n"/>
      <c r="N42" s="18" t="n">
        <v>0</v>
      </c>
      <c r="P42" s="9" t="n"/>
      <c r="U42" s="9" t="n"/>
      <c r="Z42" s="9" t="n"/>
      <c r="AB42" s="5" t="n"/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A43" t="n">
        <v>1</v>
      </c>
      <c r="C43" t="inlineStr">
        <is>
          <t>기타비유동자산</t>
        </is>
      </c>
      <c r="F43" s="9" t="n"/>
      <c r="K43" s="9" t="n"/>
      <c r="P43" s="9" t="n"/>
      <c r="T43" s="18" t="n">
        <v>0</v>
      </c>
      <c r="U43" s="37" t="n">
        <v>0</v>
      </c>
      <c r="W43" s="18" t="n">
        <v>0</v>
      </c>
      <c r="X43" s="18" t="n">
        <v>0</v>
      </c>
      <c r="Z43" s="9" t="n"/>
      <c r="AB43" s="5" t="n"/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t="n">
        <v>1</v>
      </c>
      <c r="C44" t="inlineStr">
        <is>
          <t>당기법인세부채(미지급법인세)</t>
        </is>
      </c>
      <c r="F44" s="9" t="n"/>
      <c r="K44" s="9" t="n"/>
      <c r="P44" s="9" t="n"/>
      <c r="U44" s="9" t="n"/>
      <c r="V44" s="18" t="n">
        <v>256.75</v>
      </c>
      <c r="W44" s="18" t="n">
        <v>56.94</v>
      </c>
      <c r="X44" s="18" t="n">
        <v>62.35</v>
      </c>
      <c r="Y44" s="18" t="n">
        <v>31.71</v>
      </c>
      <c r="Z44" s="37" t="n">
        <v>31.71</v>
      </c>
      <c r="AA44" s="18" t="n">
        <v>96.27</v>
      </c>
      <c r="AB44" s="19" t="n">
        <v>1.49</v>
      </c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t="n">
        <v>1</v>
      </c>
      <c r="C45" t="inlineStr">
        <is>
          <t>이연법인세자산</t>
        </is>
      </c>
      <c r="F45" s="9" t="n"/>
      <c r="K45" s="9" t="n"/>
      <c r="P45" s="9" t="n"/>
      <c r="U45" s="9" t="n"/>
      <c r="Y45" s="18" t="n">
        <v>84.88</v>
      </c>
      <c r="Z45" s="37" t="n">
        <v>84.88</v>
      </c>
      <c r="AA45" s="18" t="n">
        <v>84.88</v>
      </c>
      <c r="AB45" s="19" t="n">
        <v>84.88</v>
      </c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t="n">
        <v>1</v>
      </c>
      <c r="C46" t="inlineStr">
        <is>
          <t>매출액(수익)</t>
        </is>
      </c>
      <c r="E46" s="18" t="n">
        <v>9305.26</v>
      </c>
      <c r="F46" s="9" t="n"/>
      <c r="G46" s="18" t="n">
        <v>7359.45</v>
      </c>
      <c r="H46" s="18" t="n">
        <v>9565.540000000001</v>
      </c>
      <c r="I46" s="18" t="n">
        <v>8897.040000000001</v>
      </c>
      <c r="J46" s="18" t="n">
        <v>10193.84</v>
      </c>
      <c r="K46" s="37" t="n">
        <v>36015.87</v>
      </c>
      <c r="L46" s="18" t="n">
        <v>10968.43</v>
      </c>
      <c r="M46" s="18" t="n">
        <v>11538.2</v>
      </c>
      <c r="N46" s="18" t="n">
        <v>9901.18</v>
      </c>
      <c r="O46" s="18" t="n">
        <v>11225.78</v>
      </c>
      <c r="P46" s="37" t="n">
        <v>43633.59</v>
      </c>
      <c r="Q46" s="18" t="n">
        <v>10688.52</v>
      </c>
      <c r="R46" s="18" t="n">
        <v>11523.92</v>
      </c>
      <c r="S46" s="18" t="n">
        <v>9710.02</v>
      </c>
      <c r="T46" s="18" t="n">
        <v>15207.78</v>
      </c>
      <c r="U46" s="37" t="n">
        <v>47130.24</v>
      </c>
      <c r="V46" s="18" t="n">
        <v>12538.68</v>
      </c>
      <c r="W46" s="18" t="n">
        <v>12033.72</v>
      </c>
      <c r="X46" s="18" t="n">
        <v>11642.37</v>
      </c>
      <c r="Y46" s="18" t="n">
        <v>12589.51</v>
      </c>
      <c r="Z46" s="37" t="n">
        <v>48804.28</v>
      </c>
      <c r="AA46" s="18" t="n">
        <v>11493.51</v>
      </c>
      <c r="AB46" s="19" t="n">
        <v>12796.36</v>
      </c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t="n">
        <v>1</v>
      </c>
      <c r="C47" t="inlineStr">
        <is>
          <t>매출원가</t>
        </is>
      </c>
      <c r="E47" s="18" t="n">
        <v>7223.52</v>
      </c>
      <c r="F47" s="9" t="n"/>
      <c r="G47" s="18" t="n">
        <v>6658.74</v>
      </c>
      <c r="H47" s="18" t="n">
        <v>8451.780000000001</v>
      </c>
      <c r="I47" s="18" t="n">
        <v>7010.25</v>
      </c>
      <c r="J47" s="18" t="n">
        <v>8470.379999999999</v>
      </c>
      <c r="K47" s="37" t="n">
        <v>30591.15</v>
      </c>
      <c r="L47" s="18" t="n">
        <v>8997.120000000001</v>
      </c>
      <c r="M47" s="18" t="n">
        <v>9369.709999999999</v>
      </c>
      <c r="N47" s="18" t="n">
        <v>8136.14</v>
      </c>
      <c r="O47" s="18" t="n">
        <v>10124.41</v>
      </c>
      <c r="P47" s="37" t="n">
        <v>36627.38</v>
      </c>
      <c r="Q47" s="18" t="n">
        <v>8468.719999999999</v>
      </c>
      <c r="R47" s="18" t="n">
        <v>9669.030000000001</v>
      </c>
      <c r="S47" s="18" t="n">
        <v>9143.209999999999</v>
      </c>
      <c r="T47" s="18" t="n">
        <v>12092.46</v>
      </c>
      <c r="U47" s="37" t="n">
        <v>39373.42</v>
      </c>
      <c r="V47" s="18" t="n">
        <v>11297.74</v>
      </c>
      <c r="W47" s="18" t="n">
        <v>10117.16</v>
      </c>
      <c r="X47" s="18" t="n">
        <v>9852.09</v>
      </c>
      <c r="Y47" s="18" t="n">
        <v>11378.46</v>
      </c>
      <c r="Z47" s="37" t="n">
        <v>42645.45</v>
      </c>
      <c r="AA47" s="18" t="n">
        <v>10412.41</v>
      </c>
      <c r="AB47" s="19" t="n">
        <v>11030.16</v>
      </c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t="n">
        <v>1</v>
      </c>
      <c r="C48" t="inlineStr">
        <is>
          <t>매출총이익</t>
        </is>
      </c>
      <c r="E48" s="18" t="n">
        <v>2081.74</v>
      </c>
      <c r="F48" s="9" t="n"/>
      <c r="G48" s="18" t="n">
        <v>700.71</v>
      </c>
      <c r="H48" s="18" t="n">
        <v>1113.76</v>
      </c>
      <c r="I48" s="18" t="n">
        <v>1886.79</v>
      </c>
      <c r="J48" s="18" t="n">
        <v>1723.46</v>
      </c>
      <c r="K48" s="37" t="n">
        <v>5424.72</v>
      </c>
      <c r="L48" s="18" t="n">
        <v>1971.31</v>
      </c>
      <c r="M48" s="18" t="n">
        <v>2168.49</v>
      </c>
      <c r="N48" s="18" t="n">
        <v>1765.04</v>
      </c>
      <c r="O48" s="18" t="n">
        <v>1101.37</v>
      </c>
      <c r="P48" s="37" t="n">
        <v>7006.21</v>
      </c>
      <c r="Q48" s="18" t="n">
        <v>2219.8</v>
      </c>
      <c r="R48" s="18" t="n">
        <v>1854.89</v>
      </c>
      <c r="S48" s="18" t="n">
        <v>566.8099999999999</v>
      </c>
      <c r="T48" s="18" t="n">
        <v>3115.32</v>
      </c>
      <c r="U48" s="37" t="n">
        <v>7756.82</v>
      </c>
      <c r="V48" s="18" t="n">
        <v>1240.95</v>
      </c>
      <c r="W48" s="18" t="n">
        <v>1916.56</v>
      </c>
      <c r="X48" s="18" t="n">
        <v>1790.28</v>
      </c>
      <c r="Y48" s="18" t="n">
        <v>1211.05</v>
      </c>
      <c r="Z48" s="37" t="n">
        <v>6158.84</v>
      </c>
      <c r="AA48" s="18" t="n">
        <v>1081.1</v>
      </c>
      <c r="AB48" s="19" t="n">
        <v>1766.2</v>
      </c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t="n">
        <v>1</v>
      </c>
      <c r="C49" t="inlineStr">
        <is>
          <t>판관비</t>
        </is>
      </c>
      <c r="E49" s="18" t="n">
        <v>621.6799999999999</v>
      </c>
      <c r="F49" s="9" t="n"/>
      <c r="G49" s="18" t="n">
        <v>643.48</v>
      </c>
      <c r="H49" s="18" t="n">
        <v>749.59</v>
      </c>
      <c r="I49" s="18" t="n">
        <v>943.4</v>
      </c>
      <c r="J49" s="18" t="n">
        <v>588.63</v>
      </c>
      <c r="K49" s="37" t="n">
        <v>2925.1</v>
      </c>
      <c r="L49" s="18" t="n">
        <v>859.03</v>
      </c>
      <c r="M49" s="18" t="n">
        <v>1024.24</v>
      </c>
      <c r="N49" s="18" t="n">
        <v>1161.9</v>
      </c>
      <c r="O49" s="18" t="n">
        <v>728.38</v>
      </c>
      <c r="P49" s="37" t="n">
        <v>3773.55</v>
      </c>
      <c r="Q49" s="18" t="n">
        <v>1162.96</v>
      </c>
      <c r="R49" s="18" t="n">
        <v>1098.62</v>
      </c>
      <c r="S49" s="18" t="n">
        <v>1038.47</v>
      </c>
      <c r="T49" s="18" t="n">
        <v>1000.9</v>
      </c>
      <c r="U49" s="37" t="n">
        <v>4300.95</v>
      </c>
      <c r="V49" s="18" t="n">
        <v>1317.12</v>
      </c>
      <c r="W49" s="18" t="n">
        <v>1207.04</v>
      </c>
      <c r="X49" s="18" t="n">
        <v>1420.5</v>
      </c>
      <c r="Y49" s="18" t="n">
        <v>1313.19</v>
      </c>
      <c r="Z49" s="37" t="n">
        <v>5257.85</v>
      </c>
      <c r="AA49" s="18" t="n">
        <v>772.16</v>
      </c>
      <c r="AB49" s="19" t="n">
        <v>1351.5</v>
      </c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t="n">
        <v>1</v>
      </c>
      <c r="C50" t="inlineStr">
        <is>
          <t>영업이익</t>
        </is>
      </c>
      <c r="E50" s="18" t="n">
        <v>1460.06</v>
      </c>
      <c r="F50" s="9" t="n"/>
      <c r="G50" s="18" t="n">
        <v>57.23</v>
      </c>
      <c r="H50" s="18" t="n">
        <v>364.18</v>
      </c>
      <c r="I50" s="18" t="n">
        <v>943.39</v>
      </c>
      <c r="J50" s="18" t="n">
        <v>1134.83</v>
      </c>
      <c r="K50" s="37" t="n">
        <v>2499.63</v>
      </c>
      <c r="L50" s="18" t="n">
        <v>1112.29</v>
      </c>
      <c r="M50" s="18" t="n">
        <v>1144.25</v>
      </c>
      <c r="N50" s="18" t="n">
        <v>603.14</v>
      </c>
      <c r="O50" s="18" t="n">
        <v>372.99</v>
      </c>
      <c r="P50" s="37" t="n">
        <v>3232.67</v>
      </c>
      <c r="Q50" s="18" t="n">
        <v>1056.84</v>
      </c>
      <c r="R50" s="18" t="n">
        <v>756.27</v>
      </c>
      <c r="S50" s="18" t="n">
        <v>-471.66</v>
      </c>
      <c r="T50" s="18" t="n">
        <v>2114.43</v>
      </c>
      <c r="U50" s="37" t="n">
        <v>3455.88</v>
      </c>
      <c r="V50" s="18" t="n">
        <v>-76.18000000000001</v>
      </c>
      <c r="W50" s="18" t="n">
        <v>709.52</v>
      </c>
      <c r="X50" s="18" t="n">
        <v>369.78</v>
      </c>
      <c r="Y50" s="18" t="n">
        <v>-102.14</v>
      </c>
      <c r="Z50" s="37" t="n">
        <v>900.98</v>
      </c>
      <c r="AA50" s="18" t="n">
        <v>308.94</v>
      </c>
      <c r="AB50" s="19" t="n">
        <v>414.7</v>
      </c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t="n">
        <v>1</v>
      </c>
      <c r="C51" t="inlineStr">
        <is>
          <t>기타영업외수익</t>
        </is>
      </c>
      <c r="E51" s="18" t="n">
        <v>51.97</v>
      </c>
      <c r="F51" s="9" t="n"/>
      <c r="G51" s="18" t="n">
        <v>144.88</v>
      </c>
      <c r="H51" s="18" t="n">
        <v>6.75</v>
      </c>
      <c r="I51" s="18" t="n">
        <v>47.24</v>
      </c>
      <c r="J51" s="18" t="n">
        <v>16.26</v>
      </c>
      <c r="K51" s="37" t="n">
        <v>215.13</v>
      </c>
      <c r="L51" s="18" t="n">
        <v>46.29</v>
      </c>
      <c r="M51" s="18" t="n">
        <v>9.199999999999999</v>
      </c>
      <c r="N51" s="18" t="n">
        <v>22.55</v>
      </c>
      <c r="O51" s="18" t="n">
        <v>71.91</v>
      </c>
      <c r="P51" s="37" t="n">
        <v>149.95</v>
      </c>
      <c r="Q51" s="18" t="n">
        <v>30.88</v>
      </c>
      <c r="R51" s="18" t="n">
        <v>25.89</v>
      </c>
      <c r="S51" s="18" t="n">
        <v>29.31</v>
      </c>
      <c r="T51" s="18" t="n">
        <v>46.74</v>
      </c>
      <c r="U51" s="37" t="n">
        <v>132.82</v>
      </c>
      <c r="V51" s="18" t="n">
        <v>2320.71</v>
      </c>
      <c r="W51" s="18" t="n">
        <v>64.09999999999999</v>
      </c>
      <c r="X51" s="18" t="n">
        <v>17.89</v>
      </c>
      <c r="Y51" s="18" t="n">
        <v>49.38</v>
      </c>
      <c r="Z51" s="37" t="n">
        <v>2452.08</v>
      </c>
      <c r="AA51" s="18" t="n">
        <v>46.53</v>
      </c>
      <c r="AB51" s="19" t="n">
        <v>56.72</v>
      </c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t="n">
        <v>1</v>
      </c>
      <c r="C52" t="inlineStr">
        <is>
          <t>기타영업외비용</t>
        </is>
      </c>
      <c r="E52" s="18" t="n">
        <v>90.28</v>
      </c>
      <c r="F52" s="9" t="n"/>
      <c r="G52" s="18" t="n">
        <v>5.61</v>
      </c>
      <c r="H52" s="18" t="n">
        <v>2.5</v>
      </c>
      <c r="I52" s="18" t="n">
        <v>-4.74</v>
      </c>
      <c r="J52" s="18" t="n">
        <v>17.29</v>
      </c>
      <c r="K52" s="37" t="n">
        <v>20.66</v>
      </c>
      <c r="L52" s="18" t="n">
        <v>29.55</v>
      </c>
      <c r="M52" s="18" t="n">
        <v>-5.59</v>
      </c>
      <c r="N52" s="18" t="n">
        <v>30.13</v>
      </c>
      <c r="O52" s="18" t="n">
        <v>3.56</v>
      </c>
      <c r="P52" s="37" t="n">
        <v>57.65</v>
      </c>
      <c r="Q52" s="18" t="n">
        <v>0.88</v>
      </c>
      <c r="R52" s="18" t="n">
        <v>1.28</v>
      </c>
      <c r="S52" s="18" t="n">
        <v>1.77</v>
      </c>
      <c r="T52" s="18" t="n">
        <v>316.19</v>
      </c>
      <c r="U52" s="37" t="n">
        <v>320.12</v>
      </c>
      <c r="V52" s="18" t="n">
        <v>113.82</v>
      </c>
      <c r="W52" s="18" t="n">
        <v>6.47</v>
      </c>
      <c r="X52" s="18" t="n">
        <v>1.72</v>
      </c>
      <c r="Y52" s="18" t="n">
        <v>724.76</v>
      </c>
      <c r="Z52" s="37" t="n">
        <v>846.77</v>
      </c>
      <c r="AA52" s="18" t="n">
        <v>0.6899999999999999</v>
      </c>
      <c r="AB52" s="19" t="n">
        <v>0.39</v>
      </c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t="n">
        <v>1</v>
      </c>
      <c r="C53" t="inlineStr">
        <is>
          <t>금융수익</t>
        </is>
      </c>
      <c r="E53" s="18" t="n">
        <v>-0.06</v>
      </c>
      <c r="F53" s="9" t="n"/>
      <c r="G53" s="18" t="n">
        <v>35.41</v>
      </c>
      <c r="H53" s="18" t="n">
        <v>24.47</v>
      </c>
      <c r="I53" s="18" t="n">
        <v>58.73</v>
      </c>
      <c r="J53" s="18" t="n">
        <v>30.42</v>
      </c>
      <c r="K53" s="37" t="n">
        <v>149.03</v>
      </c>
      <c r="L53" s="18" t="n">
        <v>112.94</v>
      </c>
      <c r="M53" s="18" t="n">
        <v>90</v>
      </c>
      <c r="N53" s="18" t="n">
        <v>104.46</v>
      </c>
      <c r="O53" s="18" t="n">
        <v>18.48</v>
      </c>
      <c r="P53" s="37" t="n">
        <v>325.88</v>
      </c>
      <c r="Q53" s="18" t="n">
        <v>98.61</v>
      </c>
      <c r="R53" s="18" t="n">
        <v>115.38</v>
      </c>
      <c r="S53" s="18" t="n">
        <v>11.73</v>
      </c>
      <c r="T53" s="18" t="n">
        <v>125.01</v>
      </c>
      <c r="U53" s="37" t="n">
        <v>350.73</v>
      </c>
      <c r="V53" s="18" t="n">
        <v>94.23</v>
      </c>
      <c r="W53" s="18" t="n">
        <v>24.74</v>
      </c>
      <c r="X53" s="18" t="n">
        <v>49.7</v>
      </c>
      <c r="Y53" s="18" t="n">
        <v>25.94</v>
      </c>
      <c r="Z53" s="37" t="n">
        <v>194.61</v>
      </c>
      <c r="AA53" s="18" t="n">
        <v>90.47</v>
      </c>
      <c r="AB53" s="19" t="n">
        <v>74.90000000000001</v>
      </c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t="n">
        <v>1</v>
      </c>
      <c r="C54" t="inlineStr">
        <is>
          <t>금융비용</t>
        </is>
      </c>
      <c r="E54" s="18" t="n">
        <v>27.8</v>
      </c>
      <c r="F54" s="9" t="n"/>
      <c r="G54" s="18" t="n">
        <v>20.16</v>
      </c>
      <c r="H54" s="18" t="n">
        <v>38.82</v>
      </c>
      <c r="I54" s="18" t="n">
        <v>36.15</v>
      </c>
      <c r="J54" s="18" t="n">
        <v>79.86</v>
      </c>
      <c r="K54" s="37" t="n">
        <v>174.99</v>
      </c>
      <c r="L54" s="18" t="n">
        <v>24.37</v>
      </c>
      <c r="M54" s="18" t="n">
        <v>3.88</v>
      </c>
      <c r="N54" s="18" t="n">
        <v>7.8</v>
      </c>
      <c r="O54" s="18" t="n">
        <v>-2.04</v>
      </c>
      <c r="P54" s="37" t="n">
        <v>34.01</v>
      </c>
      <c r="Q54" s="18" t="n">
        <v>6.9</v>
      </c>
      <c r="R54" s="18" t="n">
        <v>7.56</v>
      </c>
      <c r="S54" s="18" t="n">
        <v>37.56</v>
      </c>
      <c r="T54" s="18" t="n">
        <v>-5.29</v>
      </c>
      <c r="U54" s="37" t="n">
        <v>46.73</v>
      </c>
      <c r="V54" s="18" t="n">
        <v>58.12</v>
      </c>
      <c r="W54" s="18" t="n">
        <v>18.44</v>
      </c>
      <c r="X54" s="18" t="n">
        <v>67.68000000000001</v>
      </c>
      <c r="Y54" s="18" t="n">
        <v>21.51</v>
      </c>
      <c r="Z54" s="37" t="n">
        <v>165.75</v>
      </c>
      <c r="AA54" s="18" t="n">
        <v>62.91</v>
      </c>
      <c r="AB54" s="19" t="n">
        <v>58.09</v>
      </c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t="n">
        <v>1</v>
      </c>
      <c r="C55" t="inlineStr">
        <is>
          <t>종속기업,공동지배기업및관계기업관련손익</t>
        </is>
      </c>
      <c r="E55" s="18" t="n">
        <v>-370.16</v>
      </c>
      <c r="F55" s="9" t="n"/>
      <c r="G55" s="18" t="n">
        <v>-225.81</v>
      </c>
      <c r="H55" s="18" t="n">
        <v>4.31</v>
      </c>
      <c r="I55" s="18" t="n">
        <v>-110.75</v>
      </c>
      <c r="J55" s="18" t="n">
        <v>-530.2</v>
      </c>
      <c r="K55" s="37" t="n">
        <v>-862.45</v>
      </c>
      <c r="L55" s="18" t="n">
        <v>0</v>
      </c>
      <c r="M55" s="18" t="n">
        <v>0</v>
      </c>
      <c r="N55" s="18" t="n">
        <v>0</v>
      </c>
      <c r="P55" s="9" t="n"/>
      <c r="R55" s="18" t="n">
        <v>0</v>
      </c>
      <c r="S55" s="18" t="n">
        <v>0</v>
      </c>
      <c r="T55" s="18" t="n">
        <v>0</v>
      </c>
      <c r="U55" s="9" t="n"/>
      <c r="V55" s="18" t="n">
        <v>0</v>
      </c>
      <c r="X55" s="18" t="n">
        <v>0</v>
      </c>
      <c r="Y55" s="18" t="n">
        <v>0</v>
      </c>
      <c r="Z55" s="9" t="n"/>
      <c r="AA55" s="18" t="n">
        <v>0</v>
      </c>
      <c r="AB55" s="19" t="n">
        <v>0</v>
      </c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t="n">
        <v>1</v>
      </c>
      <c r="C56" t="inlineStr">
        <is>
          <t>지분법관련손익</t>
        </is>
      </c>
      <c r="E56" s="18" t="n">
        <v>-370.16</v>
      </c>
      <c r="F56" s="9" t="n"/>
      <c r="G56" s="18" t="n">
        <v>-225.81</v>
      </c>
      <c r="H56" s="18" t="n">
        <v>4.31</v>
      </c>
      <c r="I56" s="18" t="n">
        <v>-110.75</v>
      </c>
      <c r="J56" s="18" t="n">
        <v>-530.2</v>
      </c>
      <c r="K56" s="37" t="n">
        <v>-862.45</v>
      </c>
      <c r="L56" s="18" t="n">
        <v>0</v>
      </c>
      <c r="M56" s="18" t="n">
        <v>0</v>
      </c>
      <c r="N56" s="18" t="n">
        <v>0</v>
      </c>
      <c r="P56" s="9" t="n"/>
      <c r="R56" s="18" t="n">
        <v>0</v>
      </c>
      <c r="S56" s="18" t="n">
        <v>0</v>
      </c>
      <c r="T56" s="18" t="n">
        <v>0</v>
      </c>
      <c r="U56" s="9" t="n"/>
      <c r="V56" s="18" t="n">
        <v>0</v>
      </c>
      <c r="X56" s="18" t="n">
        <v>0</v>
      </c>
      <c r="Y56" s="18" t="n">
        <v>0</v>
      </c>
      <c r="Z56" s="9" t="n"/>
      <c r="AA56" s="18" t="n">
        <v>0</v>
      </c>
      <c r="AB56" s="19" t="n">
        <v>0</v>
      </c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t="n">
        <v>1</v>
      </c>
      <c r="C57" t="inlineStr">
        <is>
          <t>법인세비용차감전계속사업이익</t>
        </is>
      </c>
      <c r="E57" s="18" t="n">
        <v>1023.73</v>
      </c>
      <c r="F57" s="9" t="n"/>
      <c r="G57" s="18" t="n">
        <v>-14.07</v>
      </c>
      <c r="H57" s="18" t="n">
        <v>358.39</v>
      </c>
      <c r="I57" s="18" t="n">
        <v>907.1799999999999</v>
      </c>
      <c r="J57" s="18" t="n">
        <v>554.16</v>
      </c>
      <c r="K57" s="37" t="n">
        <v>1805.66</v>
      </c>
      <c r="L57" s="18" t="n">
        <v>1217.6</v>
      </c>
      <c r="M57" s="18" t="n">
        <v>1245.17</v>
      </c>
      <c r="N57" s="18" t="n">
        <v>692.23</v>
      </c>
      <c r="O57" s="18" t="n">
        <v>461.87</v>
      </c>
      <c r="P57" s="37" t="n">
        <v>3616.87</v>
      </c>
      <c r="Q57" s="18" t="n">
        <v>1178.54</v>
      </c>
      <c r="R57" s="18" t="n">
        <v>891.26</v>
      </c>
      <c r="S57" s="18" t="n">
        <v>-466.4</v>
      </c>
      <c r="T57" s="18" t="n">
        <v>1970.96</v>
      </c>
      <c r="U57" s="37" t="n">
        <v>3574.36</v>
      </c>
      <c r="V57" s="18" t="n">
        <v>2166.82</v>
      </c>
      <c r="W57" s="18" t="n">
        <v>773.45</v>
      </c>
      <c r="X57" s="18" t="n">
        <v>367.98</v>
      </c>
      <c r="Y57" s="18" t="n">
        <v>-773.08</v>
      </c>
      <c r="Z57" s="37" t="n">
        <v>2535.17</v>
      </c>
      <c r="AA57" s="18" t="n">
        <v>382.33</v>
      </c>
      <c r="AB57" s="19" t="n">
        <v>487.84</v>
      </c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  <row r="58">
      <c r="A58" t="n">
        <v>1</v>
      </c>
      <c r="C58" t="inlineStr">
        <is>
          <t>법인세비용</t>
        </is>
      </c>
      <c r="E58" s="18" t="n">
        <v>-71.75</v>
      </c>
      <c r="F58" s="9" t="n"/>
      <c r="G58" s="18" t="n">
        <v>0.26</v>
      </c>
      <c r="H58" s="18" t="n">
        <v>-0.26</v>
      </c>
      <c r="I58" s="18" t="n">
        <v>0</v>
      </c>
      <c r="J58" s="18" t="n">
        <v>-519.48</v>
      </c>
      <c r="K58" s="37" t="n">
        <v>-519.48</v>
      </c>
      <c r="L58" s="18" t="n">
        <v>43.39</v>
      </c>
      <c r="M58" s="18" t="n">
        <v>12.2</v>
      </c>
      <c r="N58" s="18" t="n">
        <v>-34.94</v>
      </c>
      <c r="O58" s="18" t="n">
        <v>129.4</v>
      </c>
      <c r="P58" s="37" t="n">
        <v>150.05</v>
      </c>
      <c r="Q58" s="18" t="n">
        <v>25.49</v>
      </c>
      <c r="R58" s="18" t="n">
        <v>51.59</v>
      </c>
      <c r="S58" s="18" t="n">
        <v>-30.51</v>
      </c>
      <c r="T58" s="18" t="n">
        <v>-1233.48</v>
      </c>
      <c r="U58" s="37" t="n">
        <v>-1186.91</v>
      </c>
      <c r="V58" s="18" t="n">
        <v>321.17</v>
      </c>
      <c r="W58" s="18" t="n">
        <v>-308.91</v>
      </c>
      <c r="X58" s="18" t="n">
        <v>-551.2</v>
      </c>
      <c r="Y58" s="18" t="n">
        <v>-557.0599999999999</v>
      </c>
      <c r="Z58" s="37" t="n">
        <v>-1096</v>
      </c>
      <c r="AA58" s="18" t="n">
        <v>116.18</v>
      </c>
      <c r="AB58" s="19" t="n">
        <v>-147.18</v>
      </c>
      <c r="AC58" s="10" t="n"/>
      <c r="AD58" s="10" t="n"/>
      <c r="AE58" s="11" t="n"/>
      <c r="AF58" s="10" t="n"/>
      <c r="AG58" s="10" t="n"/>
      <c r="AH58" s="10" t="n"/>
      <c r="AI58" s="10" t="n"/>
      <c r="AJ58" s="11" t="n"/>
      <c r="AK58" s="10" t="n"/>
      <c r="AL58" s="10" t="n"/>
      <c r="AM58" s="10" t="n"/>
      <c r="AN58" s="10" t="n"/>
      <c r="AO58" s="11" t="n"/>
    </row>
    <row r="59">
      <c r="A59" t="n">
        <v>1</v>
      </c>
      <c r="C59" t="inlineStr">
        <is>
          <t>당기순이익</t>
        </is>
      </c>
      <c r="E59" s="18" t="n">
        <v>1095.48</v>
      </c>
      <c r="F59" s="9" t="n"/>
      <c r="G59" s="18" t="n">
        <v>-14.33</v>
      </c>
      <c r="H59" s="18" t="n">
        <v>358.65</v>
      </c>
      <c r="I59" s="18" t="n">
        <v>907.1799999999999</v>
      </c>
      <c r="J59" s="18" t="n">
        <v>1073.64</v>
      </c>
      <c r="K59" s="37" t="n">
        <v>2325.14</v>
      </c>
      <c r="L59" s="18" t="n">
        <v>1174.21</v>
      </c>
      <c r="M59" s="18" t="n">
        <v>1232.97</v>
      </c>
      <c r="N59" s="18" t="n">
        <v>727.17</v>
      </c>
      <c r="O59" s="18" t="n">
        <v>332.48</v>
      </c>
      <c r="P59" s="37" t="n">
        <v>3466.83</v>
      </c>
      <c r="Q59" s="18" t="n">
        <v>1153.05</v>
      </c>
      <c r="R59" s="18" t="n">
        <v>839.67</v>
      </c>
      <c r="S59" s="18" t="n">
        <v>-435.89</v>
      </c>
      <c r="T59" s="18" t="n">
        <v>3204.44</v>
      </c>
      <c r="U59" s="37" t="n">
        <v>4761.27</v>
      </c>
      <c r="V59" s="18" t="n">
        <v>1845.65</v>
      </c>
      <c r="W59" s="18" t="n">
        <v>1082.36</v>
      </c>
      <c r="X59" s="18" t="n">
        <v>919.17</v>
      </c>
      <c r="Y59" s="18" t="n">
        <v>-216.02</v>
      </c>
      <c r="Z59" s="37" t="n">
        <v>3631.16</v>
      </c>
      <c r="AA59" s="18" t="n">
        <v>266.15</v>
      </c>
      <c r="AB59" s="19" t="n">
        <v>635.01</v>
      </c>
      <c r="AC59" s="10" t="n"/>
      <c r="AD59" s="10" t="n"/>
      <c r="AE59" s="11" t="n"/>
      <c r="AF59" s="10" t="n"/>
      <c r="AG59" s="10" t="n"/>
      <c r="AH59" s="10" t="n"/>
      <c r="AI59" s="10" t="n"/>
      <c r="AJ59" s="11" t="n"/>
      <c r="AK59" s="10" t="n"/>
      <c r="AL59" s="10" t="n"/>
      <c r="AM59" s="10" t="n"/>
      <c r="AN59" s="10" t="n"/>
      <c r="AO59" s="11" t="n"/>
    </row>
    <row r="60">
      <c r="A60" t="n">
        <v>1</v>
      </c>
      <c r="C60" t="inlineStr">
        <is>
          <t>금융손익</t>
        </is>
      </c>
      <c r="E60" s="18" t="n">
        <v>-27.86</v>
      </c>
      <c r="F60" s="9" t="n"/>
      <c r="G60" s="18" t="n">
        <v>15.25</v>
      </c>
      <c r="H60" s="18" t="n">
        <v>-14.35</v>
      </c>
      <c r="I60" s="18" t="n">
        <v>22.58</v>
      </c>
      <c r="J60" s="18" t="n">
        <v>-49.44</v>
      </c>
      <c r="K60" s="37" t="n">
        <v>-25.96</v>
      </c>
      <c r="L60" s="18" t="n">
        <v>88.56999999999999</v>
      </c>
      <c r="M60" s="18" t="n">
        <v>86.12</v>
      </c>
      <c r="N60" s="18" t="n">
        <v>96.66</v>
      </c>
      <c r="O60" s="18" t="n">
        <v>20.52</v>
      </c>
      <c r="P60" s="37" t="n">
        <v>291.87</v>
      </c>
      <c r="Q60" s="18" t="n">
        <v>91.70999999999999</v>
      </c>
      <c r="R60" s="18" t="n">
        <v>107.82</v>
      </c>
      <c r="S60" s="18" t="n">
        <v>-25.83</v>
      </c>
      <c r="T60" s="18" t="n">
        <v>130.3</v>
      </c>
      <c r="U60" s="37" t="n">
        <v>304</v>
      </c>
      <c r="V60" s="18" t="n">
        <v>36.11</v>
      </c>
      <c r="W60" s="18" t="n">
        <v>6.3</v>
      </c>
      <c r="X60" s="18" t="n">
        <v>-17.98</v>
      </c>
      <c r="Y60" s="18" t="n">
        <v>4.43</v>
      </c>
      <c r="Z60" s="37" t="n">
        <v>28.86</v>
      </c>
      <c r="AA60" s="18" t="n">
        <v>27.56</v>
      </c>
      <c r="AB60" s="19" t="n">
        <v>16.81</v>
      </c>
      <c r="AC60" s="10" t="n"/>
      <c r="AD60" s="10" t="n"/>
      <c r="AE60" s="11" t="n"/>
      <c r="AF60" s="10" t="n"/>
      <c r="AG60" s="10" t="n"/>
      <c r="AH60" s="10" t="n"/>
      <c r="AI60" s="10" t="n"/>
      <c r="AJ60" s="11" t="n"/>
      <c r="AK60" s="10" t="n"/>
      <c r="AL60" s="10" t="n"/>
      <c r="AM60" s="10" t="n"/>
      <c r="AN60" s="10" t="n"/>
      <c r="AO60" s="11" t="n"/>
    </row>
    <row r="61">
      <c r="A61" t="n">
        <v>1</v>
      </c>
      <c r="C61" t="inlineStr">
        <is>
          <t>기타영업외손익</t>
        </is>
      </c>
      <c r="E61" s="18" t="n">
        <v>-38.31</v>
      </c>
      <c r="F61" s="9" t="n"/>
      <c r="G61" s="18" t="n">
        <v>139.27</v>
      </c>
      <c r="H61" s="18" t="n">
        <v>4.25</v>
      </c>
      <c r="I61" s="18" t="n">
        <v>51.98</v>
      </c>
      <c r="J61" s="18" t="n">
        <v>-1.03</v>
      </c>
      <c r="K61" s="37" t="n">
        <v>194.47</v>
      </c>
      <c r="L61" s="18" t="n">
        <v>16.74</v>
      </c>
      <c r="M61" s="18" t="n">
        <v>14.79</v>
      </c>
      <c r="N61" s="18" t="n">
        <v>-7.58</v>
      </c>
      <c r="O61" s="18" t="n">
        <v>68.34999999999999</v>
      </c>
      <c r="P61" s="37" t="n">
        <v>92.3</v>
      </c>
      <c r="Q61" s="18" t="n">
        <v>30</v>
      </c>
      <c r="R61" s="18" t="n">
        <v>24.61</v>
      </c>
      <c r="S61" s="18" t="n">
        <v>27.54</v>
      </c>
      <c r="T61" s="18" t="n">
        <v>-269.45</v>
      </c>
      <c r="U61" s="37" t="n">
        <v>-187.3</v>
      </c>
      <c r="V61" s="18" t="n">
        <v>2206.89</v>
      </c>
      <c r="W61" s="18" t="n">
        <v>57.63</v>
      </c>
      <c r="X61" s="18" t="n">
        <v>16.17</v>
      </c>
      <c r="Y61" s="18" t="n">
        <v>-675.38</v>
      </c>
      <c r="Z61" s="37" t="n">
        <v>1605.31</v>
      </c>
      <c r="AA61" s="18" t="n">
        <v>45.84</v>
      </c>
      <c r="AB61" s="19" t="n">
        <v>56.33</v>
      </c>
      <c r="AC61" s="10" t="n"/>
      <c r="AD61" s="10" t="n"/>
      <c r="AE61" s="11" t="n"/>
      <c r="AF61" s="10" t="n"/>
      <c r="AG61" s="10" t="n"/>
      <c r="AH61" s="10" t="n"/>
      <c r="AI61" s="10" t="n"/>
      <c r="AJ61" s="11" t="n"/>
      <c r="AK61" s="10" t="n"/>
      <c r="AL61" s="10" t="n"/>
      <c r="AM61" s="10" t="n"/>
      <c r="AN61" s="10" t="n"/>
      <c r="AO61" s="11" t="n"/>
    </row>
    <row r="62">
      <c r="A62" t="n">
        <v>1</v>
      </c>
      <c r="C62" t="inlineStr">
        <is>
          <t>(지배주주지분)당기순이익</t>
        </is>
      </c>
      <c r="E62" s="18" t="n">
        <v>1095.48</v>
      </c>
      <c r="F62" s="9" t="n"/>
      <c r="G62" s="18" t="n">
        <v>-14.33</v>
      </c>
      <c r="H62" s="18" t="n">
        <v>358.65</v>
      </c>
      <c r="I62" s="18" t="n">
        <v>907.1799999999999</v>
      </c>
      <c r="J62" s="18" t="n">
        <v>1073.64</v>
      </c>
      <c r="K62" s="37" t="n">
        <v>2325.14</v>
      </c>
      <c r="L62" s="18" t="n">
        <v>1174.21</v>
      </c>
      <c r="M62" s="18" t="n">
        <v>1232.97</v>
      </c>
      <c r="N62" s="18" t="n">
        <v>727.17</v>
      </c>
      <c r="O62" s="18" t="n">
        <v>332.48</v>
      </c>
      <c r="P62" s="37" t="n">
        <v>3466.83</v>
      </c>
      <c r="Q62" s="18" t="n">
        <v>1153.05</v>
      </c>
      <c r="R62" s="18" t="n">
        <v>839.67</v>
      </c>
      <c r="S62" s="18" t="n">
        <v>-435.89</v>
      </c>
      <c r="T62" s="18" t="n">
        <v>3204.44</v>
      </c>
      <c r="U62" s="37" t="n">
        <v>4761.27</v>
      </c>
      <c r="V62" s="18" t="n">
        <v>1845.65</v>
      </c>
      <c r="W62" s="18" t="n">
        <v>1082.36</v>
      </c>
      <c r="X62" s="18" t="n">
        <v>919.17</v>
      </c>
      <c r="Y62" s="18" t="n">
        <v>-216.02</v>
      </c>
      <c r="Z62" s="37" t="n">
        <v>3631.16</v>
      </c>
      <c r="AA62" s="18" t="n">
        <v>266.15</v>
      </c>
      <c r="AB62" s="19" t="n">
        <v>635.01</v>
      </c>
      <c r="AC62" s="10" t="n"/>
      <c r="AD62" s="10" t="n"/>
      <c r="AE62" s="11" t="n"/>
      <c r="AF62" s="10" t="n"/>
      <c r="AG62" s="10" t="n"/>
      <c r="AH62" s="10" t="n"/>
      <c r="AI62" s="10" t="n"/>
      <c r="AJ62" s="11" t="n"/>
      <c r="AK62" s="10" t="n"/>
      <c r="AL62" s="10" t="n"/>
      <c r="AM62" s="10" t="n"/>
      <c r="AN62" s="10" t="n"/>
      <c r="AO62" s="11" t="n"/>
    </row>
    <row r="63">
      <c r="A63" t="n">
        <v>1</v>
      </c>
      <c r="C63" t="inlineStr">
        <is>
          <t>계속사업이익</t>
        </is>
      </c>
      <c r="E63" s="18" t="n">
        <v>1095.48</v>
      </c>
      <c r="F63" s="9" t="n"/>
      <c r="G63" s="18" t="n">
        <v>-14.33</v>
      </c>
      <c r="H63" s="18" t="n">
        <v>358.65</v>
      </c>
      <c r="I63" s="18" t="n">
        <v>907.1799999999999</v>
      </c>
      <c r="J63" s="18" t="n">
        <v>1073.64</v>
      </c>
      <c r="K63" s="37" t="n">
        <v>2325.14</v>
      </c>
      <c r="L63" s="18" t="n">
        <v>1174.21</v>
      </c>
      <c r="M63" s="18" t="n">
        <v>1232.97</v>
      </c>
      <c r="N63" s="18" t="n">
        <v>727.17</v>
      </c>
      <c r="O63" s="18" t="n">
        <v>332.48</v>
      </c>
      <c r="P63" s="37" t="n">
        <v>3466.83</v>
      </c>
      <c r="Q63" s="18" t="n">
        <v>1153.05</v>
      </c>
      <c r="R63" s="18" t="n">
        <v>839.67</v>
      </c>
      <c r="S63" s="18" t="n">
        <v>-435.89</v>
      </c>
      <c r="T63" s="18" t="n">
        <v>3204.44</v>
      </c>
      <c r="U63" s="37" t="n">
        <v>4761.27</v>
      </c>
      <c r="V63" s="18" t="n">
        <v>1845.65</v>
      </c>
      <c r="W63" s="18" t="n">
        <v>1082.36</v>
      </c>
      <c r="X63" s="18" t="n">
        <v>919.17</v>
      </c>
      <c r="Y63" s="18" t="n">
        <v>-216.02</v>
      </c>
      <c r="Z63" s="37" t="n">
        <v>3631.16</v>
      </c>
      <c r="AA63" s="18" t="n">
        <v>266.15</v>
      </c>
      <c r="AB63" s="19" t="n">
        <v>635.01</v>
      </c>
      <c r="AC63" s="10" t="n"/>
      <c r="AD63" s="10" t="n"/>
      <c r="AE63" s="11" t="n"/>
      <c r="AF63" s="10" t="n"/>
      <c r="AG63" s="10" t="n"/>
      <c r="AH63" s="10" t="n"/>
      <c r="AI63" s="10" t="n"/>
      <c r="AJ63" s="11" t="n"/>
      <c r="AK63" s="10" t="n"/>
      <c r="AL63" s="10" t="n"/>
      <c r="AM63" s="10" t="n"/>
      <c r="AN63" s="10" t="n"/>
      <c r="AO63" s="11" t="n"/>
    </row>
    <row r="64">
      <c r="A64" t="n">
        <v>1</v>
      </c>
      <c r="C64" t="inlineStr">
        <is>
          <t>총포괄손익</t>
        </is>
      </c>
      <c r="F64" s="9" t="n"/>
      <c r="G64" s="18" t="n">
        <v>-15.25</v>
      </c>
      <c r="H64" s="18" t="n">
        <v>735.78</v>
      </c>
      <c r="K64" s="9" t="n"/>
      <c r="L64" s="18" t="n">
        <v>1010.97</v>
      </c>
      <c r="M64" s="18" t="n">
        <v>1187.06</v>
      </c>
      <c r="N64" s="18" t="n">
        <v>858.62</v>
      </c>
      <c r="O64" s="18" t="n">
        <v>-154.3</v>
      </c>
      <c r="P64" s="37" t="n">
        <v>2902.35</v>
      </c>
      <c r="Q64" s="18" t="n">
        <v>1057.14</v>
      </c>
      <c r="R64" s="18" t="n">
        <v>645.6</v>
      </c>
      <c r="S64" s="18" t="n">
        <v>-321.11</v>
      </c>
      <c r="T64" s="18" t="n">
        <v>3008.07</v>
      </c>
      <c r="U64" s="37" t="n">
        <v>4389.7</v>
      </c>
      <c r="V64" s="18" t="n">
        <v>1608.74</v>
      </c>
      <c r="W64" s="18" t="n">
        <v>1108.88</v>
      </c>
      <c r="X64" s="18" t="n">
        <v>1103.54</v>
      </c>
      <c r="Y64" s="18" t="n">
        <v>-163.98</v>
      </c>
      <c r="Z64" s="37" t="n">
        <v>3657.18</v>
      </c>
      <c r="AA64" s="18" t="n">
        <v>124.5</v>
      </c>
      <c r="AB64" s="19" t="n">
        <v>947.59</v>
      </c>
      <c r="AC64" s="10" t="n"/>
      <c r="AD64" s="10" t="n"/>
      <c r="AE64" s="11" t="n"/>
      <c r="AF64" s="10" t="n"/>
      <c r="AG64" s="10" t="n"/>
      <c r="AH64" s="10" t="n"/>
      <c r="AI64" s="10" t="n"/>
      <c r="AJ64" s="11" t="n"/>
      <c r="AK64" s="10" t="n"/>
      <c r="AL64" s="10" t="n"/>
      <c r="AM64" s="10" t="n"/>
      <c r="AN64" s="10" t="n"/>
      <c r="AO64" s="11" t="n"/>
    </row>
    <row r="65">
      <c r="A65" t="n">
        <v>1</v>
      </c>
      <c r="C65" t="inlineStr">
        <is>
          <t>이자수익</t>
        </is>
      </c>
      <c r="F65" s="9" t="n"/>
      <c r="K65" s="9" t="n"/>
      <c r="P65" s="9" t="n"/>
      <c r="U65" s="9" t="n"/>
      <c r="Z65" s="9" t="n"/>
      <c r="AA65" s="18" t="n">
        <v>12.38</v>
      </c>
      <c r="AB65" s="5" t="n"/>
      <c r="AC65" s="10" t="n"/>
      <c r="AD65" s="10" t="n"/>
      <c r="AE65" s="11" t="n"/>
      <c r="AF65" s="10" t="n"/>
      <c r="AG65" s="10" t="n"/>
      <c r="AH65" s="10" t="n"/>
      <c r="AI65" s="10" t="n"/>
      <c r="AJ65" s="11" t="n"/>
      <c r="AK65" s="10" t="n"/>
      <c r="AL65" s="10" t="n"/>
      <c r="AM65" s="10" t="n"/>
      <c r="AN65" s="10" t="n"/>
      <c r="AO65" s="11" t="n"/>
    </row>
    <row r="66">
      <c r="A66" t="n">
        <v>1</v>
      </c>
      <c r="C66" t="inlineStr">
        <is>
          <t>이자비용</t>
        </is>
      </c>
      <c r="F66" s="9" t="n"/>
      <c r="K66" s="9" t="n"/>
      <c r="P66" s="9" t="n"/>
      <c r="U66" s="9" t="n"/>
      <c r="Z66" s="9" t="n"/>
      <c r="AA66" s="18" t="n">
        <v>46.49</v>
      </c>
      <c r="AB66" s="5" t="n"/>
      <c r="AC66" s="10" t="n"/>
      <c r="AD66" s="10" t="n"/>
      <c r="AE66" s="11" t="n"/>
      <c r="AF66" s="10" t="n"/>
      <c r="AG66" s="10" t="n"/>
      <c r="AH66" s="10" t="n"/>
      <c r="AI66" s="10" t="n"/>
      <c r="AJ66" s="11" t="n"/>
      <c r="AK66" s="10" t="n"/>
      <c r="AL66" s="10" t="n"/>
      <c r="AM66" s="10" t="n"/>
      <c r="AN66" s="10" t="n"/>
      <c r="AO66" s="11" t="n"/>
    </row>
    <row r="67">
      <c r="A67" t="n">
        <v>1</v>
      </c>
      <c r="C67" t="inlineStr">
        <is>
          <t>외환차익</t>
        </is>
      </c>
      <c r="F67" s="9" t="n"/>
      <c r="K67" s="9" t="n"/>
      <c r="P67" s="9" t="n"/>
      <c r="U67" s="9" t="n"/>
      <c r="Z67" s="9" t="n"/>
      <c r="AA67" s="18" t="n">
        <v>4.44</v>
      </c>
      <c r="AB67" s="5" t="n"/>
      <c r="AC67" s="10" t="n"/>
      <c r="AD67" s="10" t="n"/>
      <c r="AE67" s="11" t="n"/>
      <c r="AF67" s="10" t="n"/>
      <c r="AG67" s="10" t="n"/>
      <c r="AH67" s="10" t="n"/>
      <c r="AI67" s="10" t="n"/>
      <c r="AJ67" s="11" t="n"/>
      <c r="AK67" s="10" t="n"/>
      <c r="AL67" s="10" t="n"/>
      <c r="AM67" s="10" t="n"/>
      <c r="AN67" s="10" t="n"/>
      <c r="AO67" s="11" t="n"/>
    </row>
    <row r="68">
      <c r="A68" t="n">
        <v>1</v>
      </c>
      <c r="C68" t="inlineStr">
        <is>
          <t>외환차손</t>
        </is>
      </c>
      <c r="F68" s="9" t="n"/>
      <c r="K68" s="9" t="n"/>
      <c r="P68" s="9" t="n"/>
      <c r="U68" s="9" t="n"/>
      <c r="Z68" s="9" t="n"/>
      <c r="AA68" s="18" t="n">
        <v>6.09</v>
      </c>
      <c r="AB68" s="5" t="n"/>
      <c r="AC68" s="10" t="n"/>
      <c r="AD68" s="10" t="n"/>
      <c r="AE68" s="11" t="n"/>
      <c r="AF68" s="10" t="n"/>
      <c r="AG68" s="10" t="n"/>
      <c r="AH68" s="10" t="n"/>
      <c r="AI68" s="10" t="n"/>
      <c r="AJ68" s="11" t="n"/>
      <c r="AK68" s="10" t="n"/>
      <c r="AL68" s="10" t="n"/>
      <c r="AM68" s="10" t="n"/>
      <c r="AN68" s="10" t="n"/>
      <c r="AO68" s="11" t="n"/>
    </row>
    <row r="69">
      <c r="A69" t="n">
        <v>1</v>
      </c>
      <c r="C69" t="inlineStr">
        <is>
          <t>외화환산이익</t>
        </is>
      </c>
      <c r="F69" s="9" t="n"/>
      <c r="K69" s="9" t="n"/>
      <c r="P69" s="9" t="n"/>
      <c r="U69" s="9" t="n"/>
      <c r="Z69" s="9" t="n"/>
      <c r="AA69" s="18" t="n">
        <v>72.7</v>
      </c>
      <c r="AB69" s="5" t="n"/>
      <c r="AC69" s="10" t="n"/>
      <c r="AD69" s="10" t="n"/>
      <c r="AE69" s="11" t="n"/>
      <c r="AF69" s="10" t="n"/>
      <c r="AG69" s="10" t="n"/>
      <c r="AH69" s="10" t="n"/>
      <c r="AI69" s="10" t="n"/>
      <c r="AJ69" s="11" t="n"/>
      <c r="AK69" s="10" t="n"/>
      <c r="AL69" s="10" t="n"/>
      <c r="AM69" s="10" t="n"/>
      <c r="AN69" s="10" t="n"/>
      <c r="AO69" s="11" t="n"/>
    </row>
    <row r="70">
      <c r="A70" t="n">
        <v>1</v>
      </c>
      <c r="C70" t="inlineStr">
        <is>
          <t>외화환산손실</t>
        </is>
      </c>
      <c r="F70" s="9" t="n"/>
      <c r="K70" s="9" t="n"/>
      <c r="P70" s="9" t="n"/>
      <c r="U70" s="9" t="n"/>
      <c r="Z70" s="9" t="n"/>
      <c r="AA70" s="18" t="n">
        <v>5.66</v>
      </c>
      <c r="AB70" s="5" t="n"/>
      <c r="AC70" s="10" t="n"/>
      <c r="AD70" s="10" t="n"/>
      <c r="AE70" s="11" t="n"/>
      <c r="AF70" s="10" t="n"/>
      <c r="AG70" s="10" t="n"/>
      <c r="AH70" s="10" t="n"/>
      <c r="AI70" s="10" t="n"/>
      <c r="AJ70" s="11" t="n"/>
      <c r="AK70" s="10" t="n"/>
      <c r="AL70" s="10" t="n"/>
      <c r="AM70" s="10" t="n"/>
      <c r="AN70" s="10" t="n"/>
      <c r="AO70" s="11" t="n"/>
    </row>
    <row r="71">
      <c r="A71" t="n">
        <v>1</v>
      </c>
      <c r="C71" t="inlineStr">
        <is>
          <t>이자손익</t>
        </is>
      </c>
      <c r="F71" s="9" t="n"/>
      <c r="K71" s="9" t="n"/>
      <c r="P71" s="9" t="n"/>
      <c r="U71" s="9" t="n"/>
      <c r="Z71" s="9" t="n"/>
      <c r="AA71" s="18" t="n">
        <v>-34.11</v>
      </c>
      <c r="AB71" s="5" t="n"/>
      <c r="AC71" s="10" t="n"/>
      <c r="AD71" s="10" t="n"/>
      <c r="AE71" s="11" t="n"/>
      <c r="AF71" s="10" t="n"/>
      <c r="AG71" s="10" t="n"/>
      <c r="AH71" s="10" t="n"/>
      <c r="AI71" s="10" t="n"/>
      <c r="AJ71" s="11" t="n"/>
      <c r="AK71" s="10" t="n"/>
      <c r="AL71" s="10" t="n"/>
      <c r="AM71" s="10" t="n"/>
      <c r="AN71" s="10" t="n"/>
      <c r="AO71" s="11" t="n"/>
    </row>
    <row r="72">
      <c r="A72" t="n">
        <v>1</v>
      </c>
      <c r="C72" t="inlineStr">
        <is>
          <t>영업활동으로인한현금흐름</t>
        </is>
      </c>
      <c r="E72" s="18" t="n">
        <v>895.74</v>
      </c>
      <c r="F72" s="9" t="n"/>
      <c r="G72" s="18" t="n">
        <v>2927.98</v>
      </c>
      <c r="H72" s="18" t="n">
        <v>-1662.71</v>
      </c>
      <c r="I72" s="18" t="n">
        <v>194.59</v>
      </c>
      <c r="J72" s="18" t="n">
        <v>2230.76</v>
      </c>
      <c r="K72" s="37" t="n">
        <v>3690.62</v>
      </c>
      <c r="L72" s="18" t="n">
        <v>1517.47</v>
      </c>
      <c r="M72" s="18" t="n">
        <v>53.35</v>
      </c>
      <c r="N72" s="18" t="n">
        <v>2096.93</v>
      </c>
      <c r="O72" s="18" t="n">
        <v>544.15</v>
      </c>
      <c r="P72" s="37" t="n">
        <v>4211.9</v>
      </c>
      <c r="Q72" s="18" t="n">
        <v>3799.22</v>
      </c>
      <c r="R72" s="18" t="n">
        <v>2002.58</v>
      </c>
      <c r="S72" s="18" t="n">
        <v>-2283.35</v>
      </c>
      <c r="T72" s="18" t="n">
        <v>938.89</v>
      </c>
      <c r="U72" s="37" t="n">
        <v>4457.34</v>
      </c>
      <c r="V72" s="18" t="n">
        <v>-409.92</v>
      </c>
      <c r="W72" s="18" t="n">
        <v>1939.8</v>
      </c>
      <c r="X72" s="18" t="n">
        <v>861.85</v>
      </c>
      <c r="Y72" s="18" t="n">
        <v>411.74</v>
      </c>
      <c r="Z72" s="37" t="n">
        <v>2803.47</v>
      </c>
      <c r="AA72" s="18" t="n">
        <v>3402.04</v>
      </c>
      <c r="AB72" s="19" t="n">
        <v>-7.16</v>
      </c>
      <c r="AC72" s="10" t="n"/>
      <c r="AD72" s="10" t="n"/>
      <c r="AE72" s="11" t="n"/>
      <c r="AF72" s="10" t="n"/>
      <c r="AG72" s="10" t="n"/>
      <c r="AH72" s="10" t="n"/>
      <c r="AI72" s="10" t="n"/>
      <c r="AJ72" s="11" t="n"/>
      <c r="AK72" s="10" t="n"/>
      <c r="AL72" s="10" t="n"/>
      <c r="AM72" s="10" t="n"/>
      <c r="AN72" s="10" t="n"/>
      <c r="AO72" s="11" t="n"/>
    </row>
    <row r="73">
      <c r="A73" t="n">
        <v>1</v>
      </c>
      <c r="C73" t="inlineStr">
        <is>
          <t>이자수취(CF)</t>
        </is>
      </c>
      <c r="E73" s="18" t="n">
        <v>2.15</v>
      </c>
      <c r="F73" s="9" t="n"/>
      <c r="G73" s="18" t="n">
        <v>27.73</v>
      </c>
      <c r="H73" s="18" t="n">
        <v>3.99</v>
      </c>
      <c r="I73" s="18" t="n">
        <v>29.2</v>
      </c>
      <c r="J73" s="18" t="n">
        <v>35.4</v>
      </c>
      <c r="K73" s="37" t="n">
        <v>96.31999999999999</v>
      </c>
      <c r="L73" s="18" t="n">
        <v>37.65</v>
      </c>
      <c r="M73" s="18" t="n">
        <v>40.74</v>
      </c>
      <c r="N73" s="18" t="n">
        <v>53.4</v>
      </c>
      <c r="O73" s="18" t="n">
        <v>60.85</v>
      </c>
      <c r="P73" s="37" t="n">
        <v>192.64</v>
      </c>
      <c r="Q73" s="18" t="n">
        <v>53.55</v>
      </c>
      <c r="R73" s="18" t="n">
        <v>42.96</v>
      </c>
      <c r="S73" s="18" t="n">
        <v>61.13</v>
      </c>
      <c r="T73" s="18" t="n">
        <v>26.05</v>
      </c>
      <c r="U73" s="37" t="n">
        <v>183.69</v>
      </c>
      <c r="V73" s="18" t="n">
        <v>42.88</v>
      </c>
      <c r="W73" s="18" t="n">
        <v>10.74</v>
      </c>
      <c r="X73" s="18" t="n">
        <v>-10.31</v>
      </c>
      <c r="Y73" s="18" t="n">
        <v>-11.47</v>
      </c>
      <c r="Z73" s="37" t="n">
        <v>31.84</v>
      </c>
      <c r="AA73" s="18" t="n">
        <v>12.17</v>
      </c>
      <c r="AB73" s="19" t="n">
        <v>8.44</v>
      </c>
      <c r="AC73" s="10" t="n"/>
      <c r="AD73" s="10" t="n"/>
      <c r="AE73" s="11" t="n"/>
      <c r="AF73" s="10" t="n"/>
      <c r="AG73" s="10" t="n"/>
      <c r="AH73" s="10" t="n"/>
      <c r="AI73" s="10" t="n"/>
      <c r="AJ73" s="11" t="n"/>
      <c r="AK73" s="10" t="n"/>
      <c r="AL73" s="10" t="n"/>
      <c r="AM73" s="10" t="n"/>
      <c r="AN73" s="10" t="n"/>
      <c r="AO73" s="11" t="n"/>
    </row>
    <row r="74">
      <c r="A74" t="n">
        <v>1</v>
      </c>
      <c r="C74" t="inlineStr">
        <is>
          <t>이자지급(CF)</t>
        </is>
      </c>
      <c r="E74" s="18" t="n">
        <v>-12.46</v>
      </c>
      <c r="F74" s="9" t="n"/>
      <c r="G74" s="18" t="n">
        <v>-13.28</v>
      </c>
      <c r="H74" s="18" t="n">
        <v>-17.31</v>
      </c>
      <c r="I74" s="18" t="n">
        <v>-19.85</v>
      </c>
      <c r="J74" s="18" t="n">
        <v>-22.95</v>
      </c>
      <c r="K74" s="37" t="n">
        <v>-73.39</v>
      </c>
      <c r="L74" s="18" t="n">
        <v>-16.48</v>
      </c>
      <c r="M74" s="18" t="n">
        <v>0</v>
      </c>
      <c r="P74" s="9" t="n"/>
      <c r="Q74" s="18" t="n">
        <v>-0.04</v>
      </c>
      <c r="U74" s="9" t="n"/>
      <c r="V74" s="18" t="n">
        <v>-30.57</v>
      </c>
      <c r="Z74" s="9" t="n"/>
      <c r="AB74" s="5" t="n"/>
      <c r="AC74" s="10" t="n"/>
      <c r="AD74" s="10" t="n"/>
      <c r="AE74" s="11" t="n"/>
      <c r="AF74" s="10" t="n"/>
      <c r="AG74" s="10" t="n"/>
      <c r="AH74" s="10" t="n"/>
      <c r="AI74" s="10" t="n"/>
      <c r="AJ74" s="11" t="n"/>
      <c r="AK74" s="10" t="n"/>
      <c r="AL74" s="10" t="n"/>
      <c r="AM74" s="10" t="n"/>
      <c r="AN74" s="10" t="n"/>
      <c r="AO74" s="11" t="n"/>
    </row>
    <row r="75">
      <c r="A75" t="n">
        <v>1</v>
      </c>
      <c r="C75" t="inlineStr">
        <is>
          <t>투자활동으로인한현금흐름</t>
        </is>
      </c>
      <c r="E75" s="18" t="n">
        <v>368.47</v>
      </c>
      <c r="F75" s="9" t="n"/>
      <c r="G75" s="18" t="n">
        <v>-239.42</v>
      </c>
      <c r="H75" s="18" t="n">
        <v>3285.88</v>
      </c>
      <c r="I75" s="18" t="n">
        <v>-998.02</v>
      </c>
      <c r="J75" s="18" t="n">
        <v>-2613.12</v>
      </c>
      <c r="K75" s="37" t="n">
        <v>-564.6799999999999</v>
      </c>
      <c r="L75" s="18" t="n">
        <v>650.79</v>
      </c>
      <c r="M75" s="18" t="n">
        <v>-2156.83</v>
      </c>
      <c r="N75" s="18" t="n">
        <v>842.71</v>
      </c>
      <c r="O75" s="18" t="n">
        <v>-1747.77</v>
      </c>
      <c r="P75" s="37" t="n">
        <v>-2411.1</v>
      </c>
      <c r="Q75" s="18" t="n">
        <v>-4470.03</v>
      </c>
      <c r="R75" s="18" t="n">
        <v>-1629.69</v>
      </c>
      <c r="S75" s="18" t="n">
        <v>-894.5700000000001</v>
      </c>
      <c r="T75" s="18" t="n">
        <v>1132.21</v>
      </c>
      <c r="U75" s="37" t="n">
        <v>-5862.08</v>
      </c>
      <c r="V75" s="18" t="n">
        <v>-12366.56</v>
      </c>
      <c r="W75" s="18" t="n">
        <v>-5067.68</v>
      </c>
      <c r="X75" s="18" t="n">
        <v>-721.79</v>
      </c>
      <c r="Y75" s="18" t="n">
        <v>-444.15</v>
      </c>
      <c r="Z75" s="37" t="n">
        <v>-18600.18</v>
      </c>
      <c r="AA75" s="18" t="n">
        <v>-909.24</v>
      </c>
      <c r="AB75" s="19" t="n">
        <v>-1150.86</v>
      </c>
      <c r="AC75" s="10" t="n"/>
      <c r="AD75" s="10" t="n"/>
      <c r="AE75" s="11" t="n"/>
      <c r="AF75" s="10" t="n"/>
      <c r="AG75" s="10" t="n"/>
      <c r="AH75" s="10" t="n"/>
      <c r="AI75" s="10" t="n"/>
      <c r="AJ75" s="11" t="n"/>
      <c r="AK75" s="10" t="n"/>
      <c r="AL75" s="10" t="n"/>
      <c r="AM75" s="10" t="n"/>
      <c r="AN75" s="10" t="n"/>
      <c r="AO75" s="11" t="n"/>
    </row>
    <row r="76">
      <c r="A76" t="n">
        <v>1</v>
      </c>
      <c r="C76" t="inlineStr">
        <is>
          <t>유형자산의감소</t>
        </is>
      </c>
      <c r="E76" s="18" t="n">
        <v>185.84</v>
      </c>
      <c r="F76" s="9" t="n"/>
      <c r="G76" s="18" t="n">
        <v>30</v>
      </c>
      <c r="H76" s="18" t="n">
        <v>6.82</v>
      </c>
      <c r="I76" s="18" t="n">
        <v>7.17</v>
      </c>
      <c r="J76" s="18" t="n">
        <v>1</v>
      </c>
      <c r="K76" s="37" t="n">
        <v>44.99</v>
      </c>
      <c r="L76" s="18" t="n">
        <v>39.69</v>
      </c>
      <c r="M76" s="18" t="n">
        <v>0</v>
      </c>
      <c r="N76" s="18" t="n">
        <v>0</v>
      </c>
      <c r="O76" s="18" t="n">
        <v>91.38</v>
      </c>
      <c r="P76" s="37" t="n">
        <v>131.07</v>
      </c>
      <c r="Q76" s="18" t="n">
        <v>6.56</v>
      </c>
      <c r="R76" s="18" t="n">
        <v>0.37</v>
      </c>
      <c r="S76" s="18" t="n">
        <v>0</v>
      </c>
      <c r="T76" s="18" t="n">
        <v>6.85</v>
      </c>
      <c r="U76" s="37" t="n">
        <v>13.78</v>
      </c>
      <c r="V76" s="18" t="n">
        <v>285.77</v>
      </c>
      <c r="W76" s="18" t="n">
        <v>1.18</v>
      </c>
      <c r="X76" s="18" t="n">
        <v>4.83</v>
      </c>
      <c r="Y76" s="18" t="n">
        <v>31.27</v>
      </c>
      <c r="Z76" s="37" t="n">
        <v>323.05</v>
      </c>
      <c r="AB76" s="5" t="n"/>
      <c r="AC76" s="10" t="n"/>
      <c r="AD76" s="10" t="n"/>
      <c r="AE76" s="11" t="n"/>
      <c r="AF76" s="10" t="n"/>
      <c r="AG76" s="10" t="n"/>
      <c r="AH76" s="10" t="n"/>
      <c r="AI76" s="10" t="n"/>
      <c r="AJ76" s="11" t="n"/>
      <c r="AK76" s="10" t="n"/>
      <c r="AL76" s="10" t="n"/>
      <c r="AM76" s="10" t="n"/>
      <c r="AN76" s="10" t="n"/>
      <c r="AO76" s="11" t="n"/>
    </row>
    <row r="77">
      <c r="A77" t="n">
        <v>1</v>
      </c>
      <c r="C77" t="inlineStr">
        <is>
          <t>유형자산의증가</t>
        </is>
      </c>
      <c r="E77" s="18" t="n">
        <v>108.74</v>
      </c>
      <c r="F77" s="9" t="n"/>
      <c r="G77" s="18" t="n">
        <v>978</v>
      </c>
      <c r="H77" s="18" t="n">
        <v>2114.58</v>
      </c>
      <c r="I77" s="18" t="n">
        <v>1039.2</v>
      </c>
      <c r="J77" s="18" t="n">
        <v>779.95</v>
      </c>
      <c r="K77" s="37" t="n">
        <v>4911.73</v>
      </c>
      <c r="L77" s="18" t="n">
        <v>102.59</v>
      </c>
      <c r="M77" s="18" t="n">
        <v>324.47</v>
      </c>
      <c r="N77" s="18" t="n">
        <v>65.45</v>
      </c>
      <c r="O77" s="18" t="n">
        <v>1036.97</v>
      </c>
      <c r="P77" s="37" t="n">
        <v>1529.48</v>
      </c>
      <c r="Q77" s="18" t="n">
        <v>4860.91</v>
      </c>
      <c r="R77" s="18" t="n">
        <v>1032.39</v>
      </c>
      <c r="S77" s="18" t="n">
        <v>1049.54</v>
      </c>
      <c r="T77" s="18" t="n">
        <v>2530.72</v>
      </c>
      <c r="U77" s="37" t="n">
        <v>9473.559999999999</v>
      </c>
      <c r="V77" s="18" t="n">
        <v>12134.73</v>
      </c>
      <c r="W77" s="18" t="n">
        <v>1234.71</v>
      </c>
      <c r="X77" s="18" t="n">
        <v>479.46</v>
      </c>
      <c r="Y77" s="18" t="n">
        <v>502.88</v>
      </c>
      <c r="Z77" s="37" t="n">
        <v>14351.78</v>
      </c>
      <c r="AA77" s="18" t="n">
        <v>65.03</v>
      </c>
      <c r="AB77" s="19" t="n">
        <v>1164.01</v>
      </c>
      <c r="AC77" s="10" t="n"/>
      <c r="AD77" s="10" t="n"/>
      <c r="AE77" s="11" t="n"/>
      <c r="AF77" s="10" t="n"/>
      <c r="AG77" s="10" t="n"/>
      <c r="AH77" s="10" t="n"/>
      <c r="AI77" s="10" t="n"/>
      <c r="AJ77" s="11" t="n"/>
      <c r="AK77" s="10" t="n"/>
      <c r="AL77" s="10" t="n"/>
      <c r="AM77" s="10" t="n"/>
      <c r="AN77" s="10" t="n"/>
      <c r="AO77" s="11" t="n"/>
    </row>
    <row r="78">
      <c r="A78" t="n">
        <v>1</v>
      </c>
      <c r="C78" t="inlineStr">
        <is>
          <t>CAPEX</t>
        </is>
      </c>
      <c r="E78" s="18" t="n">
        <v>108.74</v>
      </c>
      <c r="F78" s="9" t="n"/>
      <c r="G78" s="18" t="n">
        <v>978.29</v>
      </c>
      <c r="H78" s="18" t="n">
        <v>2114.58</v>
      </c>
      <c r="I78" s="18" t="n">
        <v>1039.2</v>
      </c>
      <c r="J78" s="18" t="n">
        <v>779.95</v>
      </c>
      <c r="K78" s="37" t="n">
        <v>4912.02</v>
      </c>
      <c r="L78" s="18" t="n">
        <v>102.59</v>
      </c>
      <c r="M78" s="18" t="n">
        <v>324.47</v>
      </c>
      <c r="N78" s="18" t="n">
        <v>65.45</v>
      </c>
      <c r="O78" s="18" t="n">
        <v>1036.97</v>
      </c>
      <c r="P78" s="37" t="n">
        <v>1529.48</v>
      </c>
      <c r="Q78" s="18" t="n">
        <v>4860.91</v>
      </c>
      <c r="R78" s="18" t="n">
        <v>1041.39</v>
      </c>
      <c r="S78" s="18" t="n">
        <v>1050.62</v>
      </c>
      <c r="T78" s="18" t="n">
        <v>2530.72</v>
      </c>
      <c r="U78" s="37" t="n">
        <v>9483.639999999999</v>
      </c>
      <c r="V78" s="18" t="n">
        <v>12140.57</v>
      </c>
      <c r="W78" s="18" t="n">
        <v>1234.71</v>
      </c>
      <c r="X78" s="18" t="n">
        <v>537.25</v>
      </c>
      <c r="Y78" s="18" t="n">
        <v>502.88</v>
      </c>
      <c r="Z78" s="37" t="n">
        <v>14415.41</v>
      </c>
      <c r="AA78" s="18" t="n">
        <v>65.03</v>
      </c>
      <c r="AB78" s="19" t="n">
        <v>1164.01</v>
      </c>
      <c r="AC78" s="10" t="n"/>
      <c r="AD78" s="10" t="n"/>
      <c r="AE78" s="11" t="n"/>
      <c r="AF78" s="10" t="n"/>
      <c r="AG78" s="10" t="n"/>
      <c r="AH78" s="10" t="n"/>
      <c r="AI78" s="10" t="n"/>
      <c r="AJ78" s="11" t="n"/>
      <c r="AK78" s="10" t="n"/>
      <c r="AL78" s="10" t="n"/>
      <c r="AM78" s="10" t="n"/>
      <c r="AN78" s="10" t="n"/>
      <c r="AO78" s="11" t="n"/>
    </row>
    <row r="79">
      <c r="A79" t="n">
        <v>1</v>
      </c>
      <c r="C79" t="inlineStr">
        <is>
          <t>무형자산의증가</t>
        </is>
      </c>
      <c r="E79" s="18" t="n">
        <v>0</v>
      </c>
      <c r="F79" s="9" t="n"/>
      <c r="G79" s="18" t="n">
        <v>0.29</v>
      </c>
      <c r="H79" s="18" t="n">
        <v>0</v>
      </c>
      <c r="I79" s="18" t="n">
        <v>0</v>
      </c>
      <c r="J79" s="18" t="n">
        <v>0</v>
      </c>
      <c r="K79" s="37" t="n">
        <v>0.29</v>
      </c>
      <c r="L79" s="18" t="n">
        <v>0</v>
      </c>
      <c r="M79" s="18" t="n">
        <v>0</v>
      </c>
      <c r="P79" s="9" t="n"/>
      <c r="S79" s="18" t="n">
        <v>1.08</v>
      </c>
      <c r="T79" s="18" t="n">
        <v>0</v>
      </c>
      <c r="U79" s="9" t="n"/>
      <c r="V79" s="18" t="n">
        <v>5.84</v>
      </c>
      <c r="W79" s="18" t="n">
        <v>0</v>
      </c>
      <c r="X79" s="18" t="n">
        <v>57.79</v>
      </c>
      <c r="Y79" s="18" t="n">
        <v>0</v>
      </c>
      <c r="Z79" s="37" t="n">
        <v>63.63</v>
      </c>
      <c r="AB79" s="5" t="n"/>
      <c r="AC79" s="10" t="n"/>
      <c r="AD79" s="10" t="n"/>
      <c r="AE79" s="11" t="n"/>
      <c r="AF79" s="10" t="n"/>
      <c r="AG79" s="10" t="n"/>
      <c r="AH79" s="10" t="n"/>
      <c r="AI79" s="10" t="n"/>
      <c r="AJ79" s="11" t="n"/>
      <c r="AK79" s="10" t="n"/>
      <c r="AL79" s="10" t="n"/>
      <c r="AM79" s="10" t="n"/>
      <c r="AN79" s="10" t="n"/>
      <c r="AO79" s="11" t="n"/>
    </row>
    <row r="80">
      <c r="A80" t="n">
        <v>1</v>
      </c>
      <c r="C80" t="inlineStr">
        <is>
          <t>재무활동으로인한현금흐름</t>
        </is>
      </c>
      <c r="E80" s="18" t="n">
        <v>-902.02</v>
      </c>
      <c r="F80" s="9" t="n"/>
      <c r="G80" s="18" t="n">
        <v>-317.43</v>
      </c>
      <c r="H80" s="18" t="n">
        <v>1491.95</v>
      </c>
      <c r="I80" s="18" t="n">
        <v>4.1</v>
      </c>
      <c r="J80" s="18" t="n">
        <v>60.15</v>
      </c>
      <c r="K80" s="37" t="n">
        <v>1238.77</v>
      </c>
      <c r="L80" s="18" t="n">
        <v>-2982.25</v>
      </c>
      <c r="M80" s="18" t="n">
        <v>-2.83</v>
      </c>
      <c r="N80" s="18" t="n">
        <v>-4.25</v>
      </c>
      <c r="O80" s="18" t="n">
        <v>104.45</v>
      </c>
      <c r="P80" s="37" t="n">
        <v>-2884.88</v>
      </c>
      <c r="Q80" s="18" t="n">
        <v>-6.25</v>
      </c>
      <c r="R80" s="18" t="n">
        <v>-8.25</v>
      </c>
      <c r="S80" s="18" t="n">
        <v>-7.43</v>
      </c>
      <c r="T80" s="18" t="n">
        <v>131.74</v>
      </c>
      <c r="U80" s="37" t="n">
        <v>109.81</v>
      </c>
      <c r="V80" s="18" t="n">
        <v>11932.92</v>
      </c>
      <c r="W80" s="18" t="n">
        <v>2388.94</v>
      </c>
      <c r="X80" s="18" t="n">
        <v>-93.43000000000001</v>
      </c>
      <c r="Y80" s="18" t="n">
        <v>1230.45</v>
      </c>
      <c r="Z80" s="37" t="n">
        <v>15458.88</v>
      </c>
      <c r="AA80" s="18" t="n">
        <v>-828.5700000000001</v>
      </c>
      <c r="AB80" s="19" t="n">
        <v>134.83</v>
      </c>
      <c r="AC80" s="10" t="n"/>
      <c r="AD80" s="10" t="n"/>
      <c r="AE80" s="11" t="n"/>
      <c r="AF80" s="10" t="n"/>
      <c r="AG80" s="10" t="n"/>
      <c r="AH80" s="10" t="n"/>
      <c r="AI80" s="10" t="n"/>
      <c r="AJ80" s="11" t="n"/>
      <c r="AK80" s="10" t="n"/>
      <c r="AL80" s="10" t="n"/>
      <c r="AM80" s="10" t="n"/>
      <c r="AN80" s="10" t="n"/>
      <c r="AO80" s="11" t="n"/>
    </row>
    <row r="81">
      <c r="A81" t="n">
        <v>1</v>
      </c>
      <c r="C81" t="inlineStr">
        <is>
          <t>단기차입금의증가</t>
        </is>
      </c>
      <c r="E81" s="18" t="n">
        <v>5780</v>
      </c>
      <c r="F81" s="9" t="n"/>
      <c r="G81" s="18" t="n">
        <v>1690</v>
      </c>
      <c r="H81" s="18" t="n">
        <v>60</v>
      </c>
      <c r="I81" s="18" t="n">
        <v>0</v>
      </c>
      <c r="J81" s="18" t="n">
        <v>0</v>
      </c>
      <c r="K81" s="37" t="n">
        <v>1750</v>
      </c>
      <c r="L81" s="18" t="n">
        <v>0</v>
      </c>
      <c r="M81" s="18" t="n">
        <v>0</v>
      </c>
      <c r="P81" s="9" t="n"/>
      <c r="Q81" s="18" t="n">
        <v>196</v>
      </c>
      <c r="R81" s="18" t="n">
        <v>0</v>
      </c>
      <c r="S81" s="18" t="n">
        <v>0</v>
      </c>
      <c r="T81" s="18" t="n">
        <v>0</v>
      </c>
      <c r="U81" s="37" t="n">
        <v>196</v>
      </c>
      <c r="Z81" s="9" t="n"/>
      <c r="AB81" s="5" t="n"/>
      <c r="AC81" s="10" t="n"/>
      <c r="AD81" s="10" t="n"/>
      <c r="AE81" s="11" t="n"/>
      <c r="AF81" s="10" t="n"/>
      <c r="AG81" s="10" t="n"/>
      <c r="AH81" s="10" t="n"/>
      <c r="AI81" s="10" t="n"/>
      <c r="AJ81" s="11" t="n"/>
      <c r="AK81" s="10" t="n"/>
      <c r="AL81" s="10" t="n"/>
      <c r="AM81" s="10" t="n"/>
      <c r="AN81" s="10" t="n"/>
      <c r="AO81" s="11" t="n"/>
    </row>
    <row r="82">
      <c r="A82" t="n">
        <v>1</v>
      </c>
      <c r="C82" t="inlineStr">
        <is>
          <t>장기차입금의증가</t>
        </is>
      </c>
      <c r="E82" s="18" t="n">
        <v>0</v>
      </c>
      <c r="F82" s="9" t="n"/>
      <c r="K82" s="9" t="n"/>
      <c r="L82" s="18" t="n">
        <v>0</v>
      </c>
      <c r="M82" s="18" t="n">
        <v>0</v>
      </c>
      <c r="P82" s="9" t="n"/>
      <c r="U82" s="9" t="n"/>
      <c r="V82" s="18" t="n">
        <v>12000</v>
      </c>
      <c r="W82" s="18" t="n">
        <v>2500</v>
      </c>
      <c r="X82" s="18" t="n">
        <v>0</v>
      </c>
      <c r="Y82" s="18" t="n">
        <v>360</v>
      </c>
      <c r="Z82" s="37" t="n">
        <v>14860</v>
      </c>
      <c r="AA82" s="18" t="n">
        <v>140</v>
      </c>
      <c r="AB82" s="19" t="n">
        <v>240</v>
      </c>
      <c r="AC82" s="10" t="n"/>
      <c r="AD82" s="10" t="n"/>
      <c r="AE82" s="11" t="n"/>
      <c r="AF82" s="10" t="n"/>
      <c r="AG82" s="10" t="n"/>
      <c r="AH82" s="10" t="n"/>
      <c r="AI82" s="10" t="n"/>
      <c r="AJ82" s="11" t="n"/>
      <c r="AK82" s="10" t="n"/>
      <c r="AL82" s="10" t="n"/>
      <c r="AM82" s="10" t="n"/>
      <c r="AN82" s="10" t="n"/>
      <c r="AO82" s="11" t="n"/>
    </row>
    <row r="83">
      <c r="A83" t="n">
        <v>1</v>
      </c>
      <c r="C83" t="inlineStr">
        <is>
          <t>단기차입금의감소</t>
        </is>
      </c>
      <c r="E83" s="18" t="n">
        <v>6686</v>
      </c>
      <c r="F83" s="9" t="n"/>
      <c r="G83" s="18" t="n">
        <v>2010</v>
      </c>
      <c r="H83" s="18" t="n">
        <v>60</v>
      </c>
      <c r="I83" s="18" t="n">
        <v>0</v>
      </c>
      <c r="J83" s="18" t="n">
        <v>0</v>
      </c>
      <c r="K83" s="37" t="n">
        <v>2070</v>
      </c>
      <c r="L83" s="18" t="n">
        <v>0</v>
      </c>
      <c r="P83" s="9" t="n"/>
      <c r="Q83" s="18" t="n">
        <v>196</v>
      </c>
      <c r="R83" s="18" t="n">
        <v>0</v>
      </c>
      <c r="S83" s="18" t="n">
        <v>0</v>
      </c>
      <c r="T83" s="18" t="n">
        <v>0</v>
      </c>
      <c r="U83" s="37" t="n">
        <v>196</v>
      </c>
      <c r="Z83" s="9" t="n"/>
      <c r="AA83" s="18" t="n">
        <v>860.64</v>
      </c>
      <c r="AB83" s="19" t="n">
        <v>0</v>
      </c>
      <c r="AC83" s="10" t="n"/>
      <c r="AD83" s="10" t="n"/>
      <c r="AE83" s="11" t="n"/>
      <c r="AF83" s="10" t="n"/>
      <c r="AG83" s="10" t="n"/>
      <c r="AH83" s="10" t="n"/>
      <c r="AI83" s="10" t="n"/>
      <c r="AJ83" s="11" t="n"/>
      <c r="AK83" s="10" t="n"/>
      <c r="AL83" s="10" t="n"/>
      <c r="AM83" s="10" t="n"/>
      <c r="AN83" s="10" t="n"/>
      <c r="AO83" s="11" t="n"/>
    </row>
    <row r="84">
      <c r="A84" t="n">
        <v>1</v>
      </c>
      <c r="C84" t="inlineStr">
        <is>
          <t>리스부채의상환</t>
        </is>
      </c>
      <c r="E84" s="18" t="n">
        <v>0</v>
      </c>
      <c r="F84" s="9" t="n"/>
      <c r="I84" s="18" t="n">
        <v>2.48</v>
      </c>
      <c r="J84" s="18" t="n">
        <v>10.93</v>
      </c>
      <c r="K84" s="9" t="n"/>
      <c r="L84" s="18" t="n">
        <v>8.69</v>
      </c>
      <c r="M84" s="18" t="n">
        <v>8.33</v>
      </c>
      <c r="N84" s="18" t="n">
        <v>8.77</v>
      </c>
      <c r="O84" s="18" t="n">
        <v>8.77</v>
      </c>
      <c r="P84" s="37" t="n">
        <v>34.56</v>
      </c>
      <c r="Q84" s="18" t="n">
        <v>8.77</v>
      </c>
      <c r="R84" s="18" t="n">
        <v>10.09</v>
      </c>
      <c r="S84" s="18" t="n">
        <v>9.25</v>
      </c>
      <c r="T84" s="18" t="n">
        <v>8.91</v>
      </c>
      <c r="U84" s="37" t="n">
        <v>37.02</v>
      </c>
      <c r="V84" s="18" t="n">
        <v>78.91</v>
      </c>
      <c r="W84" s="18" t="n">
        <v>99.64</v>
      </c>
      <c r="X84" s="18" t="n">
        <v>106.43</v>
      </c>
      <c r="Y84" s="18" t="n">
        <v>107.17</v>
      </c>
      <c r="Z84" s="37" t="n">
        <v>392.15</v>
      </c>
      <c r="AA84" s="18" t="n">
        <v>107.92</v>
      </c>
      <c r="AB84" s="19" t="n">
        <v>105.18</v>
      </c>
      <c r="AC84" s="10" t="n"/>
      <c r="AD84" s="10" t="n"/>
      <c r="AE84" s="11" t="n"/>
      <c r="AF84" s="10" t="n"/>
      <c r="AG84" s="10" t="n"/>
      <c r="AH84" s="10" t="n"/>
      <c r="AI84" s="10" t="n"/>
      <c r="AJ84" s="11" t="n"/>
      <c r="AK84" s="10" t="n"/>
      <c r="AL84" s="10" t="n"/>
      <c r="AM84" s="10" t="n"/>
      <c r="AN84" s="10" t="n"/>
      <c r="AO84" s="11" t="n"/>
    </row>
    <row r="85">
      <c r="A85" t="n">
        <v>1</v>
      </c>
      <c r="C85" t="inlineStr">
        <is>
          <t>현금및현금성자산의증감</t>
        </is>
      </c>
      <c r="E85" s="18" t="n">
        <v>357.51</v>
      </c>
      <c r="F85" s="9" t="n"/>
      <c r="G85" s="18" t="n">
        <v>2377.62</v>
      </c>
      <c r="H85" s="18" t="n">
        <v>3133.75</v>
      </c>
      <c r="I85" s="18" t="n">
        <v>-810.45</v>
      </c>
      <c r="J85" s="18" t="n">
        <v>-392.54</v>
      </c>
      <c r="K85" s="37" t="n">
        <v>4308.38</v>
      </c>
      <c r="L85" s="18" t="n">
        <v>-814.9400000000001</v>
      </c>
      <c r="M85" s="18" t="n">
        <v>-2098.81</v>
      </c>
      <c r="N85" s="18" t="n">
        <v>2932.29</v>
      </c>
      <c r="O85" s="18" t="n">
        <v>-1101.54</v>
      </c>
      <c r="P85" s="37" t="n">
        <v>-1083</v>
      </c>
      <c r="Q85" s="18" t="n">
        <v>-660.61</v>
      </c>
      <c r="R85" s="18" t="n">
        <v>359.42</v>
      </c>
      <c r="S85" s="18" t="n">
        <v>-3195.99</v>
      </c>
      <c r="T85" s="18" t="n">
        <v>2206.59</v>
      </c>
      <c r="U85" s="37" t="n">
        <v>-1290.59</v>
      </c>
      <c r="V85" s="18" t="n">
        <v>-820.25</v>
      </c>
      <c r="W85" s="18" t="n">
        <v>-762.21</v>
      </c>
      <c r="X85" s="18" t="n">
        <v>46.58</v>
      </c>
      <c r="Y85" s="18" t="n">
        <v>1208.32</v>
      </c>
      <c r="Z85" s="37" t="n">
        <v>-327.56</v>
      </c>
      <c r="AA85" s="18" t="n">
        <v>1699.32</v>
      </c>
      <c r="AB85" s="19" t="n">
        <v>-999.6799999999999</v>
      </c>
      <c r="AC85" s="10" t="n"/>
      <c r="AD85" s="10" t="n"/>
      <c r="AE85" s="11" t="n"/>
      <c r="AF85" s="10" t="n"/>
      <c r="AG85" s="10" t="n"/>
      <c r="AH85" s="10" t="n"/>
      <c r="AI85" s="10" t="n"/>
      <c r="AJ85" s="11" t="n"/>
      <c r="AK85" s="10" t="n"/>
      <c r="AL85" s="10" t="n"/>
      <c r="AM85" s="10" t="n"/>
      <c r="AN85" s="10" t="n"/>
      <c r="AO85" s="11" t="n"/>
    </row>
    <row r="86">
      <c r="A86" t="n">
        <v>1</v>
      </c>
      <c r="C86" t="inlineStr">
        <is>
          <t>기말현금및현금성자산</t>
        </is>
      </c>
      <c r="E86" s="18" t="n">
        <v>357.52</v>
      </c>
      <c r="F86" s="9" t="n"/>
      <c r="G86" s="18" t="n">
        <v>3152.38</v>
      </c>
      <c r="H86" s="18" t="n">
        <v>3133.75</v>
      </c>
      <c r="I86" s="18" t="n">
        <v>-810.4400000000001</v>
      </c>
      <c r="J86" s="18" t="n">
        <v>-392.54</v>
      </c>
      <c r="K86" s="37" t="n">
        <v>5083.15</v>
      </c>
      <c r="L86" s="18" t="n">
        <v>4268.21</v>
      </c>
      <c r="M86" s="18" t="n">
        <v>-2098.82</v>
      </c>
      <c r="N86" s="18" t="n">
        <v>2932.29</v>
      </c>
      <c r="O86" s="18" t="n">
        <v>-1101.53</v>
      </c>
      <c r="P86" s="37" t="n">
        <v>4000.15</v>
      </c>
      <c r="Q86" s="18" t="n">
        <v>3339.54</v>
      </c>
      <c r="R86" s="18" t="n">
        <v>359.41</v>
      </c>
      <c r="S86" s="18" t="n">
        <v>-3195.99</v>
      </c>
      <c r="T86" s="18" t="n">
        <v>2206.6</v>
      </c>
      <c r="U86" s="37" t="n">
        <v>2709.56</v>
      </c>
      <c r="V86" s="18" t="n">
        <v>1889.31</v>
      </c>
      <c r="W86" s="18" t="n">
        <v>-762.21</v>
      </c>
      <c r="X86" s="18" t="n">
        <v>46.58</v>
      </c>
      <c r="Y86" s="18" t="n">
        <v>1208.32</v>
      </c>
      <c r="Z86" s="37" t="n">
        <v>2382</v>
      </c>
      <c r="AA86" s="18" t="n">
        <v>4081.32</v>
      </c>
      <c r="AB86" s="19" t="n">
        <v>-999.6799999999999</v>
      </c>
      <c r="AC86" s="10" t="n"/>
      <c r="AD86" s="10" t="n"/>
      <c r="AE86" s="11" t="n"/>
      <c r="AF86" s="10" t="n"/>
      <c r="AG86" s="10" t="n"/>
      <c r="AH86" s="10" t="n"/>
      <c r="AI86" s="10" t="n"/>
      <c r="AJ86" s="11" t="n"/>
      <c r="AK86" s="10" t="n"/>
      <c r="AL86" s="10" t="n"/>
      <c r="AM86" s="10" t="n"/>
      <c r="AN86" s="10" t="n"/>
      <c r="AO86" s="11" t="n"/>
    </row>
    <row r="87">
      <c r="A87" t="n">
        <v>1</v>
      </c>
      <c r="C87" t="inlineStr">
        <is>
          <t>법인세납부(CF)</t>
        </is>
      </c>
      <c r="F87" s="9" t="n"/>
      <c r="K87" s="9" t="n"/>
      <c r="L87" s="18" t="n">
        <v>-5.75</v>
      </c>
      <c r="M87" s="18" t="n">
        <v>11.59</v>
      </c>
      <c r="N87" s="18" t="n">
        <v>-8.25</v>
      </c>
      <c r="P87" s="9" t="n"/>
      <c r="U87" s="9" t="n"/>
      <c r="V87" s="18" t="n">
        <v>-1.44</v>
      </c>
      <c r="Z87" s="9" t="n"/>
      <c r="AB87" s="5" t="n"/>
      <c r="AC87" s="10" t="n"/>
      <c r="AD87" s="10" t="n"/>
      <c r="AE87" s="11" t="n"/>
      <c r="AF87" s="10" t="n"/>
      <c r="AG87" s="10" t="n"/>
      <c r="AH87" s="10" t="n"/>
      <c r="AI87" s="10" t="n"/>
      <c r="AJ87" s="11" t="n"/>
      <c r="AK87" s="10" t="n"/>
      <c r="AL87" s="10" t="n"/>
      <c r="AM87" s="10" t="n"/>
      <c r="AN87" s="10" t="n"/>
      <c r="AO87" s="11" t="n"/>
    </row>
    <row r="88">
      <c r="A88" t="n">
        <v>1</v>
      </c>
      <c r="C88" t="inlineStr">
        <is>
          <t>유동성장기부채의감소</t>
        </is>
      </c>
      <c r="F88" s="9" t="n"/>
      <c r="K88" s="9" t="n"/>
      <c r="L88" s="18" t="n">
        <v>3000</v>
      </c>
      <c r="M88" s="18" t="n">
        <v>0</v>
      </c>
      <c r="N88" s="18" t="n">
        <v>0</v>
      </c>
      <c r="O88" s="18" t="n">
        <v>0</v>
      </c>
      <c r="P88" s="37" t="n">
        <v>3000</v>
      </c>
      <c r="U88" s="9" t="n"/>
      <c r="Z88" s="9" t="n"/>
      <c r="AB88" s="5" t="n"/>
      <c r="AC88" s="10" t="n"/>
      <c r="AD88" s="10" t="n"/>
      <c r="AE88" s="11" t="n"/>
      <c r="AF88" s="10" t="n"/>
      <c r="AG88" s="10" t="n"/>
      <c r="AH88" s="10" t="n"/>
      <c r="AI88" s="10" t="n"/>
      <c r="AJ88" s="11" t="n"/>
      <c r="AK88" s="10" t="n"/>
      <c r="AL88" s="10" t="n"/>
      <c r="AM88" s="10" t="n"/>
      <c r="AN88" s="10" t="n"/>
      <c r="AO88" s="1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42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A1" s="1" t="inlineStr">
        <is>
          <t>YQ</t>
        </is>
      </c>
      <c r="C1" s="2" t="inlineStr">
        <is>
          <t>subQ 분기 서브모델(억원, U=100)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A2" s="2" t="inlineStr">
        <is>
          <t>A=이름(key) B=그룹 C=단위 D=FnGuide 계정명(VLOOKUP 키). 확정=VLOOKUP(BS), 추정=변수 가정 참조</t>
        </is>
      </c>
      <c r="AB2" s="5" t="n"/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s="12" t="inlineStr">
        <is>
          <t>매출액</t>
        </is>
      </c>
      <c r="B5" t="inlineStr">
        <is>
          <t>손익</t>
        </is>
      </c>
      <c r="C5" t="inlineStr">
        <is>
          <t>억원</t>
        </is>
      </c>
      <c r="D5" t="inlineStr">
        <is>
          <t>매출액(수익)</t>
        </is>
      </c>
      <c r="E5" s="18">
        <f>IFERROR(VLOOKUP($D5,BS별도,MATCH(E$1,BS별도H,0),0)/100,"")</f>
        <v/>
      </c>
      <c r="F5" s="37" t="n"/>
      <c r="G5" s="18">
        <f>IFERROR(VLOOKUP($D5,BS별도,MATCH(G$1,BS별도H,0),0)/100,"")</f>
        <v/>
      </c>
      <c r="H5" s="18">
        <f>IFERROR(VLOOKUP($D5,BS별도,MATCH(H$1,BS별도H,0),0)/100,"")</f>
        <v/>
      </c>
      <c r="I5" s="18">
        <f>IFERROR(VLOOKUP($D5,BS별도,MATCH(I$1,BS별도H,0),0)/100,"")</f>
        <v/>
      </c>
      <c r="J5" s="18">
        <f>IFERROR(VLOOKUP($D5,BS별도,MATCH(J$1,BS별도H,0),0)/100,"")</f>
        <v/>
      </c>
      <c r="K5" s="37">
        <f>SUM(G5:J5)</f>
        <v/>
      </c>
      <c r="L5" s="18">
        <f>IFERROR(VLOOKUP($D5,BS별도,MATCH(L$1,BS별도H,0),0)/100,"")</f>
        <v/>
      </c>
      <c r="M5" s="18">
        <f>IFERROR(VLOOKUP($D5,BS별도,MATCH(M$1,BS별도H,0),0)/100,"")</f>
        <v/>
      </c>
      <c r="N5" s="18">
        <f>IFERROR(VLOOKUP($D5,BS별도,MATCH(N$1,BS별도H,0),0)/100,"")</f>
        <v/>
      </c>
      <c r="O5" s="18">
        <f>IFERROR(VLOOKUP($D5,BS별도,MATCH(O$1,BS별도H,0),0)/100,"")</f>
        <v/>
      </c>
      <c r="P5" s="37">
        <f>SUM(L5:O5)</f>
        <v/>
      </c>
      <c r="Q5" s="18">
        <f>IFERROR(VLOOKUP($D5,BS별도,MATCH(Q$1,BS별도H,0),0)/100,"")</f>
        <v/>
      </c>
      <c r="R5" s="18">
        <f>IFERROR(VLOOKUP($D5,BS별도,MATCH(R$1,BS별도H,0),0)/100,"")</f>
        <v/>
      </c>
      <c r="S5" s="18">
        <f>IFERROR(VLOOKUP($D5,BS별도,MATCH(S$1,BS별도H,0),0)/100,"")</f>
        <v/>
      </c>
      <c r="T5" s="18">
        <f>IFERROR(VLOOKUP($D5,BS별도,MATCH(T$1,BS별도H,0),0)/100,"")</f>
        <v/>
      </c>
      <c r="U5" s="37">
        <f>SUM(Q5:T5)</f>
        <v/>
      </c>
      <c r="V5" s="18">
        <f>IFERROR(VLOOKUP($D5,BS별도,MATCH(V$1,BS별도H,0),0)/100,"")</f>
        <v/>
      </c>
      <c r="W5" s="18">
        <f>IFERROR(VLOOKUP($D5,BS별도,MATCH(W$1,BS별도H,0),0)/100,"")</f>
        <v/>
      </c>
      <c r="X5" s="18">
        <f>IFERROR(VLOOKUP($D5,BS별도,MATCH(X$1,BS별도H,0),0)/100,"")</f>
        <v/>
      </c>
      <c r="Y5" s="18">
        <f>IFERROR(VLOOKUP($D5,BS별도,MATCH(Y$1,BS별도H,0),0)/100,"")</f>
        <v/>
      </c>
      <c r="Z5" s="37">
        <f>SUM(V5:Y5)</f>
        <v/>
      </c>
      <c r="AA5" s="18">
        <f>IFERROR(VLOOKUP($D5,BS별도,MATCH(AA$1,BS별도H,0),0)/100,"")</f>
        <v/>
      </c>
      <c r="AB5" s="19">
        <f>IFERROR(VLOOKUP($D5,BS별도,MATCH(AB$1,BS별도H,0),0)/100,"")</f>
        <v/>
      </c>
      <c r="AC5" s="20">
        <f>IFERROR(X5*(1+변수!AC21),"")</f>
        <v/>
      </c>
      <c r="AD5" s="20">
        <f>IFERROR(Y5*(1+변수!AD21),"")</f>
        <v/>
      </c>
      <c r="AE5" s="38">
        <f>SUM(AA5:AD5)</f>
        <v/>
      </c>
      <c r="AF5" s="20">
        <f>IFERROR(AA5*(1+변수!AF21),"")</f>
        <v/>
      </c>
      <c r="AG5" s="20">
        <f>IFERROR(AB5*(1+변수!AG21),"")</f>
        <v/>
      </c>
      <c r="AH5" s="20">
        <f>IFERROR(AC5*(1+변수!AH21),"")</f>
        <v/>
      </c>
      <c r="AI5" s="20">
        <f>IFERROR(AD5*(1+변수!AI21),"")</f>
        <v/>
      </c>
      <c r="AJ5" s="38">
        <f>SUM(AF5:AI5)</f>
        <v/>
      </c>
      <c r="AK5" s="20">
        <f>IFERROR(AF5*(1+변수!AK21),"")</f>
        <v/>
      </c>
      <c r="AL5" s="20">
        <f>IFERROR(AG5*(1+변수!AL21),"")</f>
        <v/>
      </c>
      <c r="AM5" s="20">
        <f>IFERROR(AH5*(1+변수!AM21),"")</f>
        <v/>
      </c>
      <c r="AN5" s="20">
        <f>IFERROR(AI5*(1+변수!AN21),"")</f>
        <v/>
      </c>
      <c r="AO5" s="38">
        <f>SUM(AK5:AN5)</f>
        <v/>
      </c>
    </row>
    <row r="6">
      <c r="A6" s="12" t="inlineStr">
        <is>
          <t>매출원가</t>
        </is>
      </c>
      <c r="B6" t="inlineStr">
        <is>
          <t>손익</t>
        </is>
      </c>
      <c r="C6" t="inlineStr">
        <is>
          <t>억원</t>
        </is>
      </c>
      <c r="D6" t="inlineStr">
        <is>
          <t>매출원가</t>
        </is>
      </c>
      <c r="E6" s="18">
        <f>IFERROR(VLOOKUP($D6,BS별도,MATCH(E$1,BS별도H,0),0)/100,"")</f>
        <v/>
      </c>
      <c r="F6" s="37" t="n"/>
      <c r="G6" s="18">
        <f>IFERROR(VLOOKUP($D6,BS별도,MATCH(G$1,BS별도H,0),0)/100,"")</f>
        <v/>
      </c>
      <c r="H6" s="18">
        <f>IFERROR(VLOOKUP($D6,BS별도,MATCH(H$1,BS별도H,0),0)/100,"")</f>
        <v/>
      </c>
      <c r="I6" s="18">
        <f>IFERROR(VLOOKUP($D6,BS별도,MATCH(I$1,BS별도H,0),0)/100,"")</f>
        <v/>
      </c>
      <c r="J6" s="18">
        <f>IFERROR(VLOOKUP($D6,BS별도,MATCH(J$1,BS별도H,0),0)/100,"")</f>
        <v/>
      </c>
      <c r="K6" s="37">
        <f>SUM(G6:J6)</f>
        <v/>
      </c>
      <c r="L6" s="18">
        <f>IFERROR(VLOOKUP($D6,BS별도,MATCH(L$1,BS별도H,0),0)/100,"")</f>
        <v/>
      </c>
      <c r="M6" s="18">
        <f>IFERROR(VLOOKUP($D6,BS별도,MATCH(M$1,BS별도H,0),0)/100,"")</f>
        <v/>
      </c>
      <c r="N6" s="18">
        <f>IFERROR(VLOOKUP($D6,BS별도,MATCH(N$1,BS별도H,0),0)/100,"")</f>
        <v/>
      </c>
      <c r="O6" s="18">
        <f>IFERROR(VLOOKUP($D6,BS별도,MATCH(O$1,BS별도H,0),0)/100,"")</f>
        <v/>
      </c>
      <c r="P6" s="37">
        <f>SUM(L6:O6)</f>
        <v/>
      </c>
      <c r="Q6" s="18">
        <f>IFERROR(VLOOKUP($D6,BS별도,MATCH(Q$1,BS별도H,0),0)/100,"")</f>
        <v/>
      </c>
      <c r="R6" s="18">
        <f>IFERROR(VLOOKUP($D6,BS별도,MATCH(R$1,BS별도H,0),0)/100,"")</f>
        <v/>
      </c>
      <c r="S6" s="18">
        <f>IFERROR(VLOOKUP($D6,BS별도,MATCH(S$1,BS별도H,0),0)/100,"")</f>
        <v/>
      </c>
      <c r="T6" s="18">
        <f>IFERROR(VLOOKUP($D6,BS별도,MATCH(T$1,BS별도H,0),0)/100,"")</f>
        <v/>
      </c>
      <c r="U6" s="37">
        <f>SUM(Q6:T6)</f>
        <v/>
      </c>
      <c r="V6" s="18">
        <f>IFERROR(VLOOKUP($D6,BS별도,MATCH(V$1,BS별도H,0),0)/100,"")</f>
        <v/>
      </c>
      <c r="W6" s="18">
        <f>IFERROR(VLOOKUP($D6,BS별도,MATCH(W$1,BS별도H,0),0)/100,"")</f>
        <v/>
      </c>
      <c r="X6" s="18">
        <f>IFERROR(VLOOKUP($D6,BS별도,MATCH(X$1,BS별도H,0),0)/100,"")</f>
        <v/>
      </c>
      <c r="Y6" s="18">
        <f>IFERROR(VLOOKUP($D6,BS별도,MATCH(Y$1,BS별도H,0),0)/100,"")</f>
        <v/>
      </c>
      <c r="Z6" s="37">
        <f>SUM(V6:Y6)</f>
        <v/>
      </c>
      <c r="AA6" s="18">
        <f>IFERROR(VLOOKUP($D6,BS별도,MATCH(AA$1,BS별도H,0),0)/100,"")</f>
        <v/>
      </c>
      <c r="AB6" s="19">
        <f>IFERROR(VLOOKUP($D6,BS별도,MATCH(AB$1,BS별도H,0),0)/100,"")</f>
        <v/>
      </c>
      <c r="AC6" s="20">
        <f>IFERROR(AC5-AC7,"")</f>
        <v/>
      </c>
      <c r="AD6" s="20">
        <f>IFERROR(AD5-AD7,"")</f>
        <v/>
      </c>
      <c r="AE6" s="38">
        <f>SUM(AA6:AD6)</f>
        <v/>
      </c>
      <c r="AF6" s="20">
        <f>IFERROR(AF5-AF7,"")</f>
        <v/>
      </c>
      <c r="AG6" s="20">
        <f>IFERROR(AG5-AG7,"")</f>
        <v/>
      </c>
      <c r="AH6" s="20">
        <f>IFERROR(AH5-AH7,"")</f>
        <v/>
      </c>
      <c r="AI6" s="20">
        <f>IFERROR(AI5-AI7,"")</f>
        <v/>
      </c>
      <c r="AJ6" s="38">
        <f>SUM(AF6:AI6)</f>
        <v/>
      </c>
      <c r="AK6" s="20">
        <f>IFERROR(AK5-AK7,"")</f>
        <v/>
      </c>
      <c r="AL6" s="20">
        <f>IFERROR(AL5-AL7,"")</f>
        <v/>
      </c>
      <c r="AM6" s="20">
        <f>IFERROR(AM5-AM7,"")</f>
        <v/>
      </c>
      <c r="AN6" s="20">
        <f>IFERROR(AN5-AN7,"")</f>
        <v/>
      </c>
      <c r="AO6" s="38">
        <f>SUM(AK6:AN6)</f>
        <v/>
      </c>
    </row>
    <row r="7">
      <c r="A7" s="12" t="inlineStr">
        <is>
          <t>매출총이익</t>
        </is>
      </c>
      <c r="B7" t="inlineStr">
        <is>
          <t>손익</t>
        </is>
      </c>
      <c r="C7" t="inlineStr">
        <is>
          <t>억원</t>
        </is>
      </c>
      <c r="D7" t="inlineStr">
        <is>
          <t>매출총이익</t>
        </is>
      </c>
      <c r="E7" s="18">
        <f>IFERROR(VLOOKUP($D7,BS별도,MATCH(E$1,BS별도H,0),0)/100,"")</f>
        <v/>
      </c>
      <c r="F7" s="37" t="n"/>
      <c r="G7" s="18">
        <f>IFERROR(VLOOKUP($D7,BS별도,MATCH(G$1,BS별도H,0),0)/100,"")</f>
        <v/>
      </c>
      <c r="H7" s="18">
        <f>IFERROR(VLOOKUP($D7,BS별도,MATCH(H$1,BS별도H,0),0)/100,"")</f>
        <v/>
      </c>
      <c r="I7" s="18">
        <f>IFERROR(VLOOKUP($D7,BS별도,MATCH(I$1,BS별도H,0),0)/100,"")</f>
        <v/>
      </c>
      <c r="J7" s="18">
        <f>IFERROR(VLOOKUP($D7,BS별도,MATCH(J$1,BS별도H,0),0)/100,"")</f>
        <v/>
      </c>
      <c r="K7" s="37">
        <f>SUM(G7:J7)</f>
        <v/>
      </c>
      <c r="L7" s="18">
        <f>IFERROR(VLOOKUP($D7,BS별도,MATCH(L$1,BS별도H,0),0)/100,"")</f>
        <v/>
      </c>
      <c r="M7" s="18">
        <f>IFERROR(VLOOKUP($D7,BS별도,MATCH(M$1,BS별도H,0),0)/100,"")</f>
        <v/>
      </c>
      <c r="N7" s="18">
        <f>IFERROR(VLOOKUP($D7,BS별도,MATCH(N$1,BS별도H,0),0)/100,"")</f>
        <v/>
      </c>
      <c r="O7" s="18">
        <f>IFERROR(VLOOKUP($D7,BS별도,MATCH(O$1,BS별도H,0),0)/100,"")</f>
        <v/>
      </c>
      <c r="P7" s="37">
        <f>SUM(L7:O7)</f>
        <v/>
      </c>
      <c r="Q7" s="18">
        <f>IFERROR(VLOOKUP($D7,BS별도,MATCH(Q$1,BS별도H,0),0)/100,"")</f>
        <v/>
      </c>
      <c r="R7" s="18">
        <f>IFERROR(VLOOKUP($D7,BS별도,MATCH(R$1,BS별도H,0),0)/100,"")</f>
        <v/>
      </c>
      <c r="S7" s="18">
        <f>IFERROR(VLOOKUP($D7,BS별도,MATCH(S$1,BS별도H,0),0)/100,"")</f>
        <v/>
      </c>
      <c r="T7" s="18">
        <f>IFERROR(VLOOKUP($D7,BS별도,MATCH(T$1,BS별도H,0),0)/100,"")</f>
        <v/>
      </c>
      <c r="U7" s="37">
        <f>SUM(Q7:T7)</f>
        <v/>
      </c>
      <c r="V7" s="18">
        <f>IFERROR(VLOOKUP($D7,BS별도,MATCH(V$1,BS별도H,0),0)/100,"")</f>
        <v/>
      </c>
      <c r="W7" s="18">
        <f>IFERROR(VLOOKUP($D7,BS별도,MATCH(W$1,BS별도H,0),0)/100,"")</f>
        <v/>
      </c>
      <c r="X7" s="18">
        <f>IFERROR(VLOOKUP($D7,BS별도,MATCH(X$1,BS별도H,0),0)/100,"")</f>
        <v/>
      </c>
      <c r="Y7" s="18">
        <f>IFERROR(VLOOKUP($D7,BS별도,MATCH(Y$1,BS별도H,0),0)/100,"")</f>
        <v/>
      </c>
      <c r="Z7" s="37">
        <f>SUM(V7:Y7)</f>
        <v/>
      </c>
      <c r="AA7" s="18">
        <f>IFERROR(VLOOKUP($D7,BS별도,MATCH(AA$1,BS별도H,0),0)/100,"")</f>
        <v/>
      </c>
      <c r="AB7" s="19">
        <f>IFERROR(VLOOKUP($D7,BS별도,MATCH(AB$1,BS별도H,0),0)/100,"")</f>
        <v/>
      </c>
      <c r="AC7" s="20">
        <f>IFERROR(AC9+AC8,"")</f>
        <v/>
      </c>
      <c r="AD7" s="20">
        <f>IFERROR(AD9+AD8,"")</f>
        <v/>
      </c>
      <c r="AE7" s="38">
        <f>SUM(AA7:AD7)</f>
        <v/>
      </c>
      <c r="AF7" s="20">
        <f>IFERROR(AF9+AF8,"")</f>
        <v/>
      </c>
      <c r="AG7" s="20">
        <f>IFERROR(AG9+AG8,"")</f>
        <v/>
      </c>
      <c r="AH7" s="20">
        <f>IFERROR(AH9+AH8,"")</f>
        <v/>
      </c>
      <c r="AI7" s="20">
        <f>IFERROR(AI9+AI8,"")</f>
        <v/>
      </c>
      <c r="AJ7" s="38">
        <f>SUM(AF7:AI7)</f>
        <v/>
      </c>
      <c r="AK7" s="20">
        <f>IFERROR(AK9+AK8,"")</f>
        <v/>
      </c>
      <c r="AL7" s="20">
        <f>IFERROR(AL9+AL8,"")</f>
        <v/>
      </c>
      <c r="AM7" s="20">
        <f>IFERROR(AM9+AM8,"")</f>
        <v/>
      </c>
      <c r="AN7" s="20">
        <f>IFERROR(AN9+AN8,"")</f>
        <v/>
      </c>
      <c r="AO7" s="38">
        <f>SUM(AK7:AN7)</f>
        <v/>
      </c>
    </row>
    <row r="8">
      <c r="A8" s="12" t="inlineStr">
        <is>
          <t>판관비</t>
        </is>
      </c>
      <c r="B8" t="inlineStr">
        <is>
          <t>손익</t>
        </is>
      </c>
      <c r="C8" t="inlineStr">
        <is>
          <t>억원</t>
        </is>
      </c>
      <c r="D8" t="inlineStr">
        <is>
          <t>판관비</t>
        </is>
      </c>
      <c r="E8" s="18">
        <f>IFERROR(VLOOKUP($D8,BS별도,MATCH(E$1,BS별도H,0),0)/100,"")</f>
        <v/>
      </c>
      <c r="F8" s="37" t="n"/>
      <c r="G8" s="18">
        <f>IFERROR(VLOOKUP($D8,BS별도,MATCH(G$1,BS별도H,0),0)/100,"")</f>
        <v/>
      </c>
      <c r="H8" s="18">
        <f>IFERROR(VLOOKUP($D8,BS별도,MATCH(H$1,BS별도H,0),0)/100,"")</f>
        <v/>
      </c>
      <c r="I8" s="18">
        <f>IFERROR(VLOOKUP($D8,BS별도,MATCH(I$1,BS별도H,0),0)/100,"")</f>
        <v/>
      </c>
      <c r="J8" s="18">
        <f>IFERROR(VLOOKUP($D8,BS별도,MATCH(J$1,BS별도H,0),0)/100,"")</f>
        <v/>
      </c>
      <c r="K8" s="37">
        <f>SUM(G8:J8)</f>
        <v/>
      </c>
      <c r="L8" s="18">
        <f>IFERROR(VLOOKUP($D8,BS별도,MATCH(L$1,BS별도H,0),0)/100,"")</f>
        <v/>
      </c>
      <c r="M8" s="18">
        <f>IFERROR(VLOOKUP($D8,BS별도,MATCH(M$1,BS별도H,0),0)/100,"")</f>
        <v/>
      </c>
      <c r="N8" s="18">
        <f>IFERROR(VLOOKUP($D8,BS별도,MATCH(N$1,BS별도H,0),0)/100,"")</f>
        <v/>
      </c>
      <c r="O8" s="18">
        <f>IFERROR(VLOOKUP($D8,BS별도,MATCH(O$1,BS별도H,0),0)/100,"")</f>
        <v/>
      </c>
      <c r="P8" s="37">
        <f>SUM(L8:O8)</f>
        <v/>
      </c>
      <c r="Q8" s="18">
        <f>IFERROR(VLOOKUP($D8,BS별도,MATCH(Q$1,BS별도H,0),0)/100,"")</f>
        <v/>
      </c>
      <c r="R8" s="18">
        <f>IFERROR(VLOOKUP($D8,BS별도,MATCH(R$1,BS별도H,0),0)/100,"")</f>
        <v/>
      </c>
      <c r="S8" s="18">
        <f>IFERROR(VLOOKUP($D8,BS별도,MATCH(S$1,BS별도H,0),0)/100,"")</f>
        <v/>
      </c>
      <c r="T8" s="18">
        <f>IFERROR(VLOOKUP($D8,BS별도,MATCH(T$1,BS별도H,0),0)/100,"")</f>
        <v/>
      </c>
      <c r="U8" s="37">
        <f>SUM(Q8:T8)</f>
        <v/>
      </c>
      <c r="V8" s="18">
        <f>IFERROR(VLOOKUP($D8,BS별도,MATCH(V$1,BS별도H,0),0)/100,"")</f>
        <v/>
      </c>
      <c r="W8" s="18">
        <f>IFERROR(VLOOKUP($D8,BS별도,MATCH(W$1,BS별도H,0),0)/100,"")</f>
        <v/>
      </c>
      <c r="X8" s="18">
        <f>IFERROR(VLOOKUP($D8,BS별도,MATCH(X$1,BS별도H,0),0)/100,"")</f>
        <v/>
      </c>
      <c r="Y8" s="18">
        <f>IFERROR(VLOOKUP($D8,BS별도,MATCH(Y$1,BS별도H,0),0)/100,"")</f>
        <v/>
      </c>
      <c r="Z8" s="37">
        <f>SUM(V8:Y8)</f>
        <v/>
      </c>
      <c r="AA8" s="18">
        <f>IFERROR(VLOOKUP($D8,BS별도,MATCH(AA$1,BS별도H,0),0)/100,"")</f>
        <v/>
      </c>
      <c r="AB8" s="19">
        <f>IFERROR(VLOOKUP($D8,BS별도,MATCH(AB$1,BS별도H,0),0)/100,"")</f>
        <v/>
      </c>
      <c r="AC8" s="20">
        <f>IFERROR(AC5*변수!AC22,"")</f>
        <v/>
      </c>
      <c r="AD8" s="20">
        <f>IFERROR(AD5*변수!AD22,"")</f>
        <v/>
      </c>
      <c r="AE8" s="38">
        <f>SUM(AA8:AD8)</f>
        <v/>
      </c>
      <c r="AF8" s="20">
        <f>IFERROR(AF5*변수!AF22,"")</f>
        <v/>
      </c>
      <c r="AG8" s="20">
        <f>IFERROR(AG5*변수!AG22,"")</f>
        <v/>
      </c>
      <c r="AH8" s="20">
        <f>IFERROR(AH5*변수!AH22,"")</f>
        <v/>
      </c>
      <c r="AI8" s="20">
        <f>IFERROR(AI5*변수!AI22,"")</f>
        <v/>
      </c>
      <c r="AJ8" s="38">
        <f>SUM(AF8:AI8)</f>
        <v/>
      </c>
      <c r="AK8" s="20">
        <f>IFERROR(AK5*변수!AK22,"")</f>
        <v/>
      </c>
      <c r="AL8" s="20">
        <f>IFERROR(AL5*변수!AL22,"")</f>
        <v/>
      </c>
      <c r="AM8" s="20">
        <f>IFERROR(AM5*변수!AM22,"")</f>
        <v/>
      </c>
      <c r="AN8" s="20">
        <f>IFERROR(AN5*변수!AN22,"")</f>
        <v/>
      </c>
      <c r="AO8" s="38">
        <f>SUM(AK8:AN8)</f>
        <v/>
      </c>
    </row>
    <row r="9">
      <c r="A9" s="12" t="inlineStr">
        <is>
          <t>영업이익</t>
        </is>
      </c>
      <c r="B9" t="inlineStr">
        <is>
          <t>손익</t>
        </is>
      </c>
      <c r="C9" t="inlineStr">
        <is>
          <t>억원</t>
        </is>
      </c>
      <c r="D9" t="inlineStr">
        <is>
          <t>영업이익</t>
        </is>
      </c>
      <c r="E9" s="18">
        <f>IFERROR(VLOOKUP($D9,BS별도,MATCH(E$1,BS별도H,0),0)/100,"")</f>
        <v/>
      </c>
      <c r="F9" s="37" t="n"/>
      <c r="G9" s="18">
        <f>IFERROR(VLOOKUP($D9,BS별도,MATCH(G$1,BS별도H,0),0)/100,"")</f>
        <v/>
      </c>
      <c r="H9" s="18">
        <f>IFERROR(VLOOKUP($D9,BS별도,MATCH(H$1,BS별도H,0),0)/100,"")</f>
        <v/>
      </c>
      <c r="I9" s="18">
        <f>IFERROR(VLOOKUP($D9,BS별도,MATCH(I$1,BS별도H,0),0)/100,"")</f>
        <v/>
      </c>
      <c r="J9" s="18">
        <f>IFERROR(VLOOKUP($D9,BS별도,MATCH(J$1,BS별도H,0),0)/100,"")</f>
        <v/>
      </c>
      <c r="K9" s="37">
        <f>SUM(G9:J9)</f>
        <v/>
      </c>
      <c r="L9" s="18">
        <f>IFERROR(VLOOKUP($D9,BS별도,MATCH(L$1,BS별도H,0),0)/100,"")</f>
        <v/>
      </c>
      <c r="M9" s="18">
        <f>IFERROR(VLOOKUP($D9,BS별도,MATCH(M$1,BS별도H,0),0)/100,"")</f>
        <v/>
      </c>
      <c r="N9" s="18">
        <f>IFERROR(VLOOKUP($D9,BS별도,MATCH(N$1,BS별도H,0),0)/100,"")</f>
        <v/>
      </c>
      <c r="O9" s="18">
        <f>IFERROR(VLOOKUP($D9,BS별도,MATCH(O$1,BS별도H,0),0)/100,"")</f>
        <v/>
      </c>
      <c r="P9" s="37">
        <f>SUM(L9:O9)</f>
        <v/>
      </c>
      <c r="Q9" s="18">
        <f>IFERROR(VLOOKUP($D9,BS별도,MATCH(Q$1,BS별도H,0),0)/100,"")</f>
        <v/>
      </c>
      <c r="R9" s="18">
        <f>IFERROR(VLOOKUP($D9,BS별도,MATCH(R$1,BS별도H,0),0)/100,"")</f>
        <v/>
      </c>
      <c r="S9" s="18">
        <f>IFERROR(VLOOKUP($D9,BS별도,MATCH(S$1,BS별도H,0),0)/100,"")</f>
        <v/>
      </c>
      <c r="T9" s="18">
        <f>IFERROR(VLOOKUP($D9,BS별도,MATCH(T$1,BS별도H,0),0)/100,"")</f>
        <v/>
      </c>
      <c r="U9" s="37">
        <f>SUM(Q9:T9)</f>
        <v/>
      </c>
      <c r="V9" s="18">
        <f>IFERROR(VLOOKUP($D9,BS별도,MATCH(V$1,BS별도H,0),0)/100,"")</f>
        <v/>
      </c>
      <c r="W9" s="18">
        <f>IFERROR(VLOOKUP($D9,BS별도,MATCH(W$1,BS별도H,0),0)/100,"")</f>
        <v/>
      </c>
      <c r="X9" s="18">
        <f>IFERROR(VLOOKUP($D9,BS별도,MATCH(X$1,BS별도H,0),0)/100,"")</f>
        <v/>
      </c>
      <c r="Y9" s="18">
        <f>IFERROR(VLOOKUP($D9,BS별도,MATCH(Y$1,BS별도H,0),0)/100,"")</f>
        <v/>
      </c>
      <c r="Z9" s="37">
        <f>SUM(V9:Y9)</f>
        <v/>
      </c>
      <c r="AA9" s="18">
        <f>IFERROR(VLOOKUP($D9,BS별도,MATCH(AA$1,BS별도H,0),0)/100,"")</f>
        <v/>
      </c>
      <c r="AB9" s="19">
        <f>IFERROR(VLOOKUP($D9,BS별도,MATCH(AB$1,BS별도H,0),0)/100,"")</f>
        <v/>
      </c>
      <c r="AC9" s="20">
        <f>IFERROR(AC5*변수!AC23,"")</f>
        <v/>
      </c>
      <c r="AD9" s="20">
        <f>IFERROR(AD5*변수!AD23,"")</f>
        <v/>
      </c>
      <c r="AE9" s="38">
        <f>SUM(AA9:AD9)</f>
        <v/>
      </c>
      <c r="AF9" s="20">
        <f>IFERROR(AF5*변수!AF23,"")</f>
        <v/>
      </c>
      <c r="AG9" s="20">
        <f>IFERROR(AG5*변수!AG23,"")</f>
        <v/>
      </c>
      <c r="AH9" s="20">
        <f>IFERROR(AH5*변수!AH23,"")</f>
        <v/>
      </c>
      <c r="AI9" s="20">
        <f>IFERROR(AI5*변수!AI23,"")</f>
        <v/>
      </c>
      <c r="AJ9" s="38">
        <f>SUM(AF9:AI9)</f>
        <v/>
      </c>
      <c r="AK9" s="20">
        <f>IFERROR(AK5*변수!AK23,"")</f>
        <v/>
      </c>
      <c r="AL9" s="20">
        <f>IFERROR(AL5*변수!AL23,"")</f>
        <v/>
      </c>
      <c r="AM9" s="20">
        <f>IFERROR(AM5*변수!AM23,"")</f>
        <v/>
      </c>
      <c r="AN9" s="20">
        <f>IFERROR(AN5*변수!AN23,"")</f>
        <v/>
      </c>
      <c r="AO9" s="38">
        <f>SUM(AK9:AN9)</f>
        <v/>
      </c>
    </row>
    <row r="10">
      <c r="A10" s="12" t="inlineStr">
        <is>
          <t>OPM</t>
        </is>
      </c>
      <c r="B10" t="inlineStr">
        <is>
          <t>손익</t>
        </is>
      </c>
      <c r="C10" t="inlineStr">
        <is>
          <t>%</t>
        </is>
      </c>
      <c r="D10" t="inlineStr">
        <is>
          <t>영업이익률</t>
        </is>
      </c>
      <c r="E10" s="21">
        <f>IFERROR(E9/E5,"")</f>
        <v/>
      </c>
      <c r="F10" s="22" t="n"/>
      <c r="G10" s="21">
        <f>IFERROR(G9/G5,"")</f>
        <v/>
      </c>
      <c r="H10" s="21">
        <f>IFERROR(H9/H5,"")</f>
        <v/>
      </c>
      <c r="I10" s="21">
        <f>IFERROR(I9/I5,"")</f>
        <v/>
      </c>
      <c r="J10" s="21">
        <f>IFERROR(J9/J5,"")</f>
        <v/>
      </c>
      <c r="K10" s="22">
        <f>IFERROR(K9/K5,"")</f>
        <v/>
      </c>
      <c r="L10" s="21">
        <f>IFERROR(L9/L5,"")</f>
        <v/>
      </c>
      <c r="M10" s="21">
        <f>IFERROR(M9/M5,"")</f>
        <v/>
      </c>
      <c r="N10" s="21">
        <f>IFERROR(N9/N5,"")</f>
        <v/>
      </c>
      <c r="O10" s="21">
        <f>IFERROR(O9/O5,"")</f>
        <v/>
      </c>
      <c r="P10" s="22">
        <f>IFERROR(P9/P5,"")</f>
        <v/>
      </c>
      <c r="Q10" s="21">
        <f>IFERROR(Q9/Q5,"")</f>
        <v/>
      </c>
      <c r="R10" s="21">
        <f>IFERROR(R9/R5,"")</f>
        <v/>
      </c>
      <c r="S10" s="21">
        <f>IFERROR(S9/S5,"")</f>
        <v/>
      </c>
      <c r="T10" s="21">
        <f>IFERROR(T9/T5,"")</f>
        <v/>
      </c>
      <c r="U10" s="22">
        <f>IFERROR(U9/U5,"")</f>
        <v/>
      </c>
      <c r="V10" s="21">
        <f>IFERROR(V9/V5,"")</f>
        <v/>
      </c>
      <c r="W10" s="21">
        <f>IFERROR(W9/W5,"")</f>
        <v/>
      </c>
      <c r="X10" s="21">
        <f>IFERROR(X9/X5,"")</f>
        <v/>
      </c>
      <c r="Y10" s="21">
        <f>IFERROR(Y9/Y5,"")</f>
        <v/>
      </c>
      <c r="Z10" s="22">
        <f>IFERROR(Z9/Z5,"")</f>
        <v/>
      </c>
      <c r="AA10" s="21">
        <f>IFERROR(AA9/AA5,"")</f>
        <v/>
      </c>
      <c r="AB10" s="23">
        <f>IFERROR(AB9/AB5,"")</f>
        <v/>
      </c>
      <c r="AC10" s="32">
        <f>IFERROR(AC9/AC5,"")</f>
        <v/>
      </c>
      <c r="AD10" s="32">
        <f>IFERROR(AD9/AD5,"")</f>
        <v/>
      </c>
      <c r="AE10" s="25">
        <f>IFERROR(AE9/AE5,"")</f>
        <v/>
      </c>
      <c r="AF10" s="32">
        <f>IFERROR(AF9/AF5,"")</f>
        <v/>
      </c>
      <c r="AG10" s="32">
        <f>IFERROR(AG9/AG5,"")</f>
        <v/>
      </c>
      <c r="AH10" s="32">
        <f>IFERROR(AH9/AH5,"")</f>
        <v/>
      </c>
      <c r="AI10" s="32">
        <f>IFERROR(AI9/AI5,"")</f>
        <v/>
      </c>
      <c r="AJ10" s="25">
        <f>IFERROR(AJ9/AJ5,"")</f>
        <v/>
      </c>
      <c r="AK10" s="32">
        <f>IFERROR(AK9/AK5,"")</f>
        <v/>
      </c>
      <c r="AL10" s="32">
        <f>IFERROR(AL9/AL5,"")</f>
        <v/>
      </c>
      <c r="AM10" s="32">
        <f>IFERROR(AM9/AM5,"")</f>
        <v/>
      </c>
      <c r="AN10" s="32">
        <f>IFERROR(AN9/AN5,"")</f>
        <v/>
      </c>
      <c r="AO10" s="25">
        <f>IFERROR(AO9/AO5,"")</f>
        <v/>
      </c>
    </row>
    <row r="11">
      <c r="A11" s="12" t="inlineStr">
        <is>
          <t>금융손익</t>
        </is>
      </c>
      <c r="B11" t="inlineStr">
        <is>
          <t>손익</t>
        </is>
      </c>
      <c r="C11" t="inlineStr">
        <is>
          <t>억원</t>
        </is>
      </c>
      <c r="D11" t="inlineStr">
        <is>
          <t>금융손익</t>
        </is>
      </c>
      <c r="E11" s="18">
        <f>IFERROR(VLOOKUP($D11,BS별도,MATCH(E$1,BS별도H,0),0)/100,"")</f>
        <v/>
      </c>
      <c r="F11" s="37" t="n"/>
      <c r="G11" s="18">
        <f>IFERROR(VLOOKUP($D11,BS별도,MATCH(G$1,BS별도H,0),0)/100,"")</f>
        <v/>
      </c>
      <c r="H11" s="18">
        <f>IFERROR(VLOOKUP($D11,BS별도,MATCH(H$1,BS별도H,0),0)/100,"")</f>
        <v/>
      </c>
      <c r="I11" s="18">
        <f>IFERROR(VLOOKUP($D11,BS별도,MATCH(I$1,BS별도H,0),0)/100,"")</f>
        <v/>
      </c>
      <c r="J11" s="18">
        <f>IFERROR(VLOOKUP($D11,BS별도,MATCH(J$1,BS별도H,0),0)/100,"")</f>
        <v/>
      </c>
      <c r="K11" s="37">
        <f>SUM(G11:J11)</f>
        <v/>
      </c>
      <c r="L11" s="18">
        <f>IFERROR(VLOOKUP($D11,BS별도,MATCH(L$1,BS별도H,0),0)/100,"")</f>
        <v/>
      </c>
      <c r="M11" s="18">
        <f>IFERROR(VLOOKUP($D11,BS별도,MATCH(M$1,BS별도H,0),0)/100,"")</f>
        <v/>
      </c>
      <c r="N11" s="18">
        <f>IFERROR(VLOOKUP($D11,BS별도,MATCH(N$1,BS별도H,0),0)/100,"")</f>
        <v/>
      </c>
      <c r="O11" s="18">
        <f>IFERROR(VLOOKUP($D11,BS별도,MATCH(O$1,BS별도H,0),0)/100,"")</f>
        <v/>
      </c>
      <c r="P11" s="37">
        <f>SUM(L11:O11)</f>
        <v/>
      </c>
      <c r="Q11" s="18">
        <f>IFERROR(VLOOKUP($D11,BS별도,MATCH(Q$1,BS별도H,0),0)/100,"")</f>
        <v/>
      </c>
      <c r="R11" s="18">
        <f>IFERROR(VLOOKUP($D11,BS별도,MATCH(R$1,BS별도H,0),0)/100,"")</f>
        <v/>
      </c>
      <c r="S11" s="18">
        <f>IFERROR(VLOOKUP($D11,BS별도,MATCH(S$1,BS별도H,0),0)/100,"")</f>
        <v/>
      </c>
      <c r="T11" s="18">
        <f>IFERROR(VLOOKUP($D11,BS별도,MATCH(T$1,BS별도H,0),0)/100,"")</f>
        <v/>
      </c>
      <c r="U11" s="37">
        <f>SUM(Q11:T11)</f>
        <v/>
      </c>
      <c r="V11" s="18">
        <f>IFERROR(VLOOKUP($D11,BS별도,MATCH(V$1,BS별도H,0),0)/100,"")</f>
        <v/>
      </c>
      <c r="W11" s="18">
        <f>IFERROR(VLOOKUP($D11,BS별도,MATCH(W$1,BS별도H,0),0)/100,"")</f>
        <v/>
      </c>
      <c r="X11" s="18">
        <f>IFERROR(VLOOKUP($D11,BS별도,MATCH(X$1,BS별도H,0),0)/100,"")</f>
        <v/>
      </c>
      <c r="Y11" s="18">
        <f>IFERROR(VLOOKUP($D11,BS별도,MATCH(Y$1,BS별도H,0),0)/100,"")</f>
        <v/>
      </c>
      <c r="Z11" s="37">
        <f>SUM(V11:Y11)</f>
        <v/>
      </c>
      <c r="AA11" s="18">
        <f>IFERROR(VLOOKUP($D11,BS별도,MATCH(AA$1,BS별도H,0),0)/100,"")</f>
        <v/>
      </c>
      <c r="AB11" s="19">
        <f>IFERROR(VLOOKUP($D11,BS별도,MATCH(AB$1,BS별도H,0),0)/100,"")</f>
        <v/>
      </c>
      <c r="AC11" s="20">
        <f>IFERROR(AC12+AC13,"")</f>
        <v/>
      </c>
      <c r="AD11" s="20">
        <f>IFERROR(AD12+AD13,"")</f>
        <v/>
      </c>
      <c r="AE11" s="38">
        <f>SUM(AA11:AD11)</f>
        <v/>
      </c>
      <c r="AF11" s="20">
        <f>IFERROR(AF12+AF13,"")</f>
        <v/>
      </c>
      <c r="AG11" s="20">
        <f>IFERROR(AG12+AG13,"")</f>
        <v/>
      </c>
      <c r="AH11" s="20">
        <f>IFERROR(AH12+AH13,"")</f>
        <v/>
      </c>
      <c r="AI11" s="20">
        <f>IFERROR(AI12+AI13,"")</f>
        <v/>
      </c>
      <c r="AJ11" s="38">
        <f>SUM(AF11:AI11)</f>
        <v/>
      </c>
      <c r="AK11" s="20">
        <f>IFERROR(AK12+AK13,"")</f>
        <v/>
      </c>
      <c r="AL11" s="20">
        <f>IFERROR(AL12+AL13,"")</f>
        <v/>
      </c>
      <c r="AM11" s="20">
        <f>IFERROR(AM12+AM13,"")</f>
        <v/>
      </c>
      <c r="AN11" s="20">
        <f>IFERROR(AN12+AN13,"")</f>
        <v/>
      </c>
      <c r="AO11" s="38">
        <f>SUM(AK11:AN11)</f>
        <v/>
      </c>
    </row>
    <row r="12">
      <c r="A12" s="12" t="inlineStr">
        <is>
          <t>이자손익</t>
        </is>
      </c>
      <c r="B12" t="inlineStr">
        <is>
          <t>손익</t>
        </is>
      </c>
      <c r="C12" t="inlineStr">
        <is>
          <t>억원</t>
        </is>
      </c>
      <c r="D12" t="inlineStr">
        <is>
          <t>이자손익</t>
        </is>
      </c>
      <c r="E12" s="18" t="n"/>
      <c r="F12" s="37" t="n"/>
      <c r="G12" s="18" t="n"/>
      <c r="H12" s="18" t="n"/>
      <c r="I12" s="18" t="n"/>
      <c r="J12" s="18" t="n"/>
      <c r="K12" s="37">
        <f>SUM(G12:J12)</f>
        <v/>
      </c>
      <c r="L12" s="18" t="n"/>
      <c r="M12" s="18" t="n"/>
      <c r="N12" s="18" t="n"/>
      <c r="O12" s="18" t="n"/>
      <c r="P12" s="37">
        <f>SUM(L12:O12)</f>
        <v/>
      </c>
      <c r="Q12" s="18" t="n"/>
      <c r="R12" s="18" t="n"/>
      <c r="S12" s="18" t="n"/>
      <c r="T12" s="18" t="n"/>
      <c r="U12" s="37">
        <f>SUM(Q12:T12)</f>
        <v/>
      </c>
      <c r="V12" s="18" t="n"/>
      <c r="W12" s="18" t="n"/>
      <c r="X12" s="18" t="n"/>
      <c r="Y12" s="18" t="n"/>
      <c r="Z12" s="37">
        <f>SUM(V12:Y12)</f>
        <v/>
      </c>
      <c r="AA12" s="18">
        <f>IFERROR(VLOOKUP($D12,BS별도,MATCH(AA$1,BS별도H,0),0)/100,"")</f>
        <v/>
      </c>
      <c r="AB12" s="19" t="n"/>
      <c r="AC12" s="20">
        <f>IFERROR((AB26*변수!$D$52-AB24*변수!$D$53)/4,"")</f>
        <v/>
      </c>
      <c r="AD12" s="20">
        <f>IFERROR((AC26*변수!$D$52-AC24*변수!$D$53)/4,"")</f>
        <v/>
      </c>
      <c r="AE12" s="38">
        <f>SUM(AA12:AD12)</f>
        <v/>
      </c>
      <c r="AF12" s="20">
        <f>IFERROR((AD26*변수!$D$52-AD24*변수!$D$53)/4,"")</f>
        <v/>
      </c>
      <c r="AG12" s="20">
        <f>IFERROR((AF26*변수!$D$52-AF24*변수!$D$53)/4,"")</f>
        <v/>
      </c>
      <c r="AH12" s="20">
        <f>IFERROR((AG26*변수!$D$52-AG24*변수!$D$53)/4,"")</f>
        <v/>
      </c>
      <c r="AI12" s="20">
        <f>IFERROR((AH26*변수!$D$52-AH24*변수!$D$53)/4,"")</f>
        <v/>
      </c>
      <c r="AJ12" s="38">
        <f>SUM(AF12:AI12)</f>
        <v/>
      </c>
      <c r="AK12" s="20">
        <f>IFERROR((AI26*변수!$D$52-AI24*변수!$D$53)/4,"")</f>
        <v/>
      </c>
      <c r="AL12" s="20">
        <f>IFERROR((AK26*변수!$D$52-AK24*변수!$D$53)/4,"")</f>
        <v/>
      </c>
      <c r="AM12" s="20">
        <f>IFERROR((AL26*변수!$D$52-AL24*변수!$D$53)/4,"")</f>
        <v/>
      </c>
      <c r="AN12" s="20">
        <f>IFERROR((AM26*변수!$D$52-AM24*변수!$D$53)/4,"")</f>
        <v/>
      </c>
      <c r="AO12" s="38">
        <f>SUM(AK12:AN12)</f>
        <v/>
      </c>
    </row>
    <row r="13">
      <c r="A13" s="12" t="inlineStr">
        <is>
          <t>외환손익</t>
        </is>
      </c>
      <c r="B13" t="inlineStr">
        <is>
          <t>손익</t>
        </is>
      </c>
      <c r="C13" t="inlineStr">
        <is>
          <t>억원</t>
        </is>
      </c>
      <c r="D13" t="inlineStr">
        <is>
          <t>외환손익(실적만; 추정 환효과는 환관련손익)</t>
        </is>
      </c>
      <c r="E13" s="18" t="n"/>
      <c r="F13" s="37" t="n"/>
      <c r="G13" s="18" t="n"/>
      <c r="H13" s="18" t="n"/>
      <c r="I13" s="18" t="n"/>
      <c r="J13" s="18" t="n"/>
      <c r="K13" s="37">
        <f>SUM(G13:J13)</f>
        <v/>
      </c>
      <c r="L13" s="18" t="n"/>
      <c r="M13" s="18" t="n"/>
      <c r="N13" s="18" t="n"/>
      <c r="O13" s="18" t="n"/>
      <c r="P13" s="37">
        <f>SUM(L13:O13)</f>
        <v/>
      </c>
      <c r="Q13" s="18" t="n"/>
      <c r="R13" s="18" t="n"/>
      <c r="S13" s="18" t="n"/>
      <c r="T13" s="18" t="n"/>
      <c r="U13" s="37">
        <f>SUM(Q13:T13)</f>
        <v/>
      </c>
      <c r="V13" s="18" t="n"/>
      <c r="W13" s="18" t="n"/>
      <c r="X13" s="18" t="n"/>
      <c r="Y13" s="18" t="n"/>
      <c r="Z13" s="37">
        <f>SUM(V13:Y13)</f>
        <v/>
      </c>
      <c r="AA13" s="18">
        <f>IFERROR((VLOOKUP("외환차익",BS별도,MATCH(AA$1,BS별도H,0),0)-VLOOKUP("외환차손",BS별도,MATCH(AA$1,BS별도H,0),0)+VLOOKUP("외화환산이익",BS별도,MATCH(AA$1,BS별도H,0),0)-VLOOKUP("외화환산손실",BS별도,MATCH(AA$1,BS별도H,0),0))/100,"")</f>
        <v/>
      </c>
      <c r="AB13" s="19" t="n"/>
      <c r="AC13" s="20">
        <f>변수!AC24</f>
        <v/>
      </c>
      <c r="AD13" s="20">
        <f>변수!AD24</f>
        <v/>
      </c>
      <c r="AE13" s="38">
        <f>SUM(AA13:AD13)</f>
        <v/>
      </c>
      <c r="AF13" s="20">
        <f>변수!AF24</f>
        <v/>
      </c>
      <c r="AG13" s="20">
        <f>변수!AG24</f>
        <v/>
      </c>
      <c r="AH13" s="20">
        <f>변수!AH24</f>
        <v/>
      </c>
      <c r="AI13" s="20">
        <f>변수!AI24</f>
        <v/>
      </c>
      <c r="AJ13" s="38">
        <f>SUM(AF13:AI13)</f>
        <v/>
      </c>
      <c r="AK13" s="20">
        <f>변수!AK24</f>
        <v/>
      </c>
      <c r="AL13" s="20">
        <f>변수!AL24</f>
        <v/>
      </c>
      <c r="AM13" s="20">
        <f>변수!AM24</f>
        <v/>
      </c>
      <c r="AN13" s="20">
        <f>변수!AN24</f>
        <v/>
      </c>
      <c r="AO13" s="38">
        <f>SUM(AK13:AN13)</f>
        <v/>
      </c>
    </row>
    <row r="14">
      <c r="A14" s="12" t="inlineStr">
        <is>
          <t>기타영업외손익</t>
        </is>
      </c>
      <c r="B14" t="inlineStr">
        <is>
          <t>손익</t>
        </is>
      </c>
      <c r="C14" t="inlineStr">
        <is>
          <t>억원</t>
        </is>
      </c>
      <c r="D14" t="inlineStr">
        <is>
          <t>기타영업외손익</t>
        </is>
      </c>
      <c r="E14" s="18">
        <f>IFERROR(VLOOKUP($D14,BS별도,MATCH(E$1,BS별도H,0),0)/100,"")</f>
        <v/>
      </c>
      <c r="F14" s="37" t="n"/>
      <c r="G14" s="18">
        <f>IFERROR(VLOOKUP($D14,BS별도,MATCH(G$1,BS별도H,0),0)/100,"")</f>
        <v/>
      </c>
      <c r="H14" s="18">
        <f>IFERROR(VLOOKUP($D14,BS별도,MATCH(H$1,BS별도H,0),0)/100,"")</f>
        <v/>
      </c>
      <c r="I14" s="18">
        <f>IFERROR(VLOOKUP($D14,BS별도,MATCH(I$1,BS별도H,0),0)/100,"")</f>
        <v/>
      </c>
      <c r="J14" s="18">
        <f>IFERROR(VLOOKUP($D14,BS별도,MATCH(J$1,BS별도H,0),0)/100,"")</f>
        <v/>
      </c>
      <c r="K14" s="37">
        <f>SUM(G14:J14)</f>
        <v/>
      </c>
      <c r="L14" s="18">
        <f>IFERROR(VLOOKUP($D14,BS별도,MATCH(L$1,BS별도H,0),0)/100,"")</f>
        <v/>
      </c>
      <c r="M14" s="18">
        <f>IFERROR(VLOOKUP($D14,BS별도,MATCH(M$1,BS별도H,0),0)/100,"")</f>
        <v/>
      </c>
      <c r="N14" s="18">
        <f>IFERROR(VLOOKUP($D14,BS별도,MATCH(N$1,BS별도H,0),0)/100,"")</f>
        <v/>
      </c>
      <c r="O14" s="18">
        <f>IFERROR(VLOOKUP($D14,BS별도,MATCH(O$1,BS별도H,0),0)/100,"")</f>
        <v/>
      </c>
      <c r="P14" s="37">
        <f>SUM(L14:O14)</f>
        <v/>
      </c>
      <c r="Q14" s="18">
        <f>IFERROR(VLOOKUP($D14,BS별도,MATCH(Q$1,BS별도H,0),0)/100,"")</f>
        <v/>
      </c>
      <c r="R14" s="18">
        <f>IFERROR(VLOOKUP($D14,BS별도,MATCH(R$1,BS별도H,0),0)/100,"")</f>
        <v/>
      </c>
      <c r="S14" s="18">
        <f>IFERROR(VLOOKUP($D14,BS별도,MATCH(S$1,BS별도H,0),0)/100,"")</f>
        <v/>
      </c>
      <c r="T14" s="18">
        <f>IFERROR(VLOOKUP($D14,BS별도,MATCH(T$1,BS별도H,0),0)/100,"")</f>
        <v/>
      </c>
      <c r="U14" s="37">
        <f>SUM(Q14:T14)</f>
        <v/>
      </c>
      <c r="V14" s="18">
        <f>IFERROR(VLOOKUP($D14,BS별도,MATCH(V$1,BS별도H,0),0)/100,"")</f>
        <v/>
      </c>
      <c r="W14" s="18">
        <f>IFERROR(VLOOKUP($D14,BS별도,MATCH(W$1,BS별도H,0),0)/100,"")</f>
        <v/>
      </c>
      <c r="X14" s="18">
        <f>IFERROR(VLOOKUP($D14,BS별도,MATCH(X$1,BS별도H,0),0)/100,"")</f>
        <v/>
      </c>
      <c r="Y14" s="18">
        <f>IFERROR(VLOOKUP($D14,BS별도,MATCH(Y$1,BS별도H,0),0)/100,"")</f>
        <v/>
      </c>
      <c r="Z14" s="37">
        <f>SUM(V14:Y14)</f>
        <v/>
      </c>
      <c r="AA14" s="18">
        <f>IFERROR(VLOOKUP($D14,BS별도,MATCH(AA$1,BS별도H,0),0)/100,"")</f>
        <v/>
      </c>
      <c r="AB14" s="19">
        <f>IFERROR(VLOOKUP($D14,BS별도,MATCH(AB$1,BS별도H,0),0)/100,"")</f>
        <v/>
      </c>
      <c r="AC14" s="20">
        <f>변수!AC25</f>
        <v/>
      </c>
      <c r="AD14" s="20">
        <f>변수!AD25</f>
        <v/>
      </c>
      <c r="AE14" s="38">
        <f>SUM(AA14:AD14)</f>
        <v/>
      </c>
      <c r="AF14" s="20">
        <f>변수!AF25</f>
        <v/>
      </c>
      <c r="AG14" s="20">
        <f>변수!AG25</f>
        <v/>
      </c>
      <c r="AH14" s="20">
        <f>변수!AH25</f>
        <v/>
      </c>
      <c r="AI14" s="20">
        <f>변수!AI25</f>
        <v/>
      </c>
      <c r="AJ14" s="38">
        <f>SUM(AF14:AI14)</f>
        <v/>
      </c>
      <c r="AK14" s="20">
        <f>변수!AK25</f>
        <v/>
      </c>
      <c r="AL14" s="20">
        <f>변수!AL25</f>
        <v/>
      </c>
      <c r="AM14" s="20">
        <f>변수!AM25</f>
        <v/>
      </c>
      <c r="AN14" s="20">
        <f>변수!AN25</f>
        <v/>
      </c>
      <c r="AO14" s="38">
        <f>SUM(AK14:AN14)</f>
        <v/>
      </c>
    </row>
    <row r="15">
      <c r="A15" s="12" t="inlineStr">
        <is>
          <t>지분법손익</t>
        </is>
      </c>
      <c r="B15" t="inlineStr">
        <is>
          <t>손익</t>
        </is>
      </c>
      <c r="C15" t="inlineStr">
        <is>
          <t>억원</t>
        </is>
      </c>
      <c r="D15" t="inlineStr">
        <is>
          <t>종속기업,공동지배기업및관계기업관련손익</t>
        </is>
      </c>
      <c r="E15" s="18">
        <f>IFERROR(VLOOKUP($D15,BS별도,MATCH(E$1,BS별도H,0),0)/100,"")</f>
        <v/>
      </c>
      <c r="F15" s="37" t="n"/>
      <c r="G15" s="18">
        <f>IFERROR(VLOOKUP($D15,BS별도,MATCH(G$1,BS별도H,0),0)/100,"")</f>
        <v/>
      </c>
      <c r="H15" s="18">
        <f>IFERROR(VLOOKUP($D15,BS별도,MATCH(H$1,BS별도H,0),0)/100,"")</f>
        <v/>
      </c>
      <c r="I15" s="18">
        <f>IFERROR(VLOOKUP($D15,BS별도,MATCH(I$1,BS별도H,0),0)/100,"")</f>
        <v/>
      </c>
      <c r="J15" s="18">
        <f>IFERROR(VLOOKUP($D15,BS별도,MATCH(J$1,BS별도H,0),0)/100,"")</f>
        <v/>
      </c>
      <c r="K15" s="37">
        <f>SUM(G15:J15)</f>
        <v/>
      </c>
      <c r="L15" s="18">
        <f>IFERROR(VLOOKUP($D15,BS별도,MATCH(L$1,BS별도H,0),0)/100,"")</f>
        <v/>
      </c>
      <c r="M15" s="18">
        <f>IFERROR(VLOOKUP($D15,BS별도,MATCH(M$1,BS별도H,0),0)/100,"")</f>
        <v/>
      </c>
      <c r="N15" s="18">
        <f>IFERROR(VLOOKUP($D15,BS별도,MATCH(N$1,BS별도H,0),0)/100,"")</f>
        <v/>
      </c>
      <c r="O15" s="18" t="n"/>
      <c r="P15" s="37">
        <f>SUM(L15:O15)</f>
        <v/>
      </c>
      <c r="Q15" s="18" t="n"/>
      <c r="R15" s="18">
        <f>IFERROR(VLOOKUP($D15,BS별도,MATCH(R$1,BS별도H,0),0)/100,"")</f>
        <v/>
      </c>
      <c r="S15" s="18">
        <f>IFERROR(VLOOKUP($D15,BS별도,MATCH(S$1,BS별도H,0),0)/100,"")</f>
        <v/>
      </c>
      <c r="T15" s="18">
        <f>IFERROR(VLOOKUP($D15,BS별도,MATCH(T$1,BS별도H,0),0)/100,"")</f>
        <v/>
      </c>
      <c r="U15" s="37">
        <f>SUM(Q15:T15)</f>
        <v/>
      </c>
      <c r="V15" s="18">
        <f>IFERROR(VLOOKUP($D15,BS별도,MATCH(V$1,BS별도H,0),0)/100,"")</f>
        <v/>
      </c>
      <c r="W15" s="18" t="n"/>
      <c r="X15" s="18">
        <f>IFERROR(VLOOKUP($D15,BS별도,MATCH(X$1,BS별도H,0),0)/100,"")</f>
        <v/>
      </c>
      <c r="Y15" s="18">
        <f>IFERROR(VLOOKUP($D15,BS별도,MATCH(Y$1,BS별도H,0),0)/100,"")</f>
        <v/>
      </c>
      <c r="Z15" s="37">
        <f>SUM(V15:Y15)</f>
        <v/>
      </c>
      <c r="AA15" s="18">
        <f>IFERROR(VLOOKUP($D15,BS별도,MATCH(AA$1,BS별도H,0),0)/100,"")</f>
        <v/>
      </c>
      <c r="AB15" s="19">
        <f>IFERROR(VLOOKUP($D15,BS별도,MATCH(AB$1,BS별도H,0),0)/100,"")</f>
        <v/>
      </c>
      <c r="AC15" s="20">
        <f>변수!AC26</f>
        <v/>
      </c>
      <c r="AD15" s="20">
        <f>변수!AD26</f>
        <v/>
      </c>
      <c r="AE15" s="38">
        <f>SUM(AA15:AD15)</f>
        <v/>
      </c>
      <c r="AF15" s="20">
        <f>변수!AF26</f>
        <v/>
      </c>
      <c r="AG15" s="20">
        <f>변수!AG26</f>
        <v/>
      </c>
      <c r="AH15" s="20">
        <f>변수!AH26</f>
        <v/>
      </c>
      <c r="AI15" s="20">
        <f>변수!AI26</f>
        <v/>
      </c>
      <c r="AJ15" s="38">
        <f>SUM(AF15:AI15)</f>
        <v/>
      </c>
      <c r="AK15" s="20">
        <f>변수!AK26</f>
        <v/>
      </c>
      <c r="AL15" s="20">
        <f>변수!AL26</f>
        <v/>
      </c>
      <c r="AM15" s="20">
        <f>변수!AM26</f>
        <v/>
      </c>
      <c r="AN15" s="20">
        <f>변수!AN26</f>
        <v/>
      </c>
      <c r="AO15" s="38">
        <f>SUM(AK15:AN15)</f>
        <v/>
      </c>
    </row>
    <row r="16">
      <c r="A16" s="12" t="inlineStr">
        <is>
          <t>세전이익</t>
        </is>
      </c>
      <c r="B16" t="inlineStr">
        <is>
          <t>손익</t>
        </is>
      </c>
      <c r="C16" t="inlineStr">
        <is>
          <t>억원</t>
        </is>
      </c>
      <c r="D16" t="inlineStr">
        <is>
          <t>법인세비용차감전계속사업이익</t>
        </is>
      </c>
      <c r="E16" s="18">
        <f>IFERROR(VLOOKUP($D16,BS별도,MATCH(E$1,BS별도H,0),0)/100,"")</f>
        <v/>
      </c>
      <c r="F16" s="37" t="n"/>
      <c r="G16" s="18">
        <f>IFERROR(VLOOKUP($D16,BS별도,MATCH(G$1,BS별도H,0),0)/100,"")</f>
        <v/>
      </c>
      <c r="H16" s="18">
        <f>IFERROR(VLOOKUP($D16,BS별도,MATCH(H$1,BS별도H,0),0)/100,"")</f>
        <v/>
      </c>
      <c r="I16" s="18">
        <f>IFERROR(VLOOKUP($D16,BS별도,MATCH(I$1,BS별도H,0),0)/100,"")</f>
        <v/>
      </c>
      <c r="J16" s="18">
        <f>IFERROR(VLOOKUP($D16,BS별도,MATCH(J$1,BS별도H,0),0)/100,"")</f>
        <v/>
      </c>
      <c r="K16" s="37">
        <f>SUM(G16:J16)</f>
        <v/>
      </c>
      <c r="L16" s="18">
        <f>IFERROR(VLOOKUP($D16,BS별도,MATCH(L$1,BS별도H,0),0)/100,"")</f>
        <v/>
      </c>
      <c r="M16" s="18">
        <f>IFERROR(VLOOKUP($D16,BS별도,MATCH(M$1,BS별도H,0),0)/100,"")</f>
        <v/>
      </c>
      <c r="N16" s="18">
        <f>IFERROR(VLOOKUP($D16,BS별도,MATCH(N$1,BS별도H,0),0)/100,"")</f>
        <v/>
      </c>
      <c r="O16" s="18">
        <f>IFERROR(VLOOKUP($D16,BS별도,MATCH(O$1,BS별도H,0),0)/100,"")</f>
        <v/>
      </c>
      <c r="P16" s="37">
        <f>SUM(L16:O16)</f>
        <v/>
      </c>
      <c r="Q16" s="18">
        <f>IFERROR(VLOOKUP($D16,BS별도,MATCH(Q$1,BS별도H,0),0)/100,"")</f>
        <v/>
      </c>
      <c r="R16" s="18">
        <f>IFERROR(VLOOKUP($D16,BS별도,MATCH(R$1,BS별도H,0),0)/100,"")</f>
        <v/>
      </c>
      <c r="S16" s="18">
        <f>IFERROR(VLOOKUP($D16,BS별도,MATCH(S$1,BS별도H,0),0)/100,"")</f>
        <v/>
      </c>
      <c r="T16" s="18">
        <f>IFERROR(VLOOKUP($D16,BS별도,MATCH(T$1,BS별도H,0),0)/100,"")</f>
        <v/>
      </c>
      <c r="U16" s="37">
        <f>SUM(Q16:T16)</f>
        <v/>
      </c>
      <c r="V16" s="18">
        <f>IFERROR(VLOOKUP($D16,BS별도,MATCH(V$1,BS별도H,0),0)/100,"")</f>
        <v/>
      </c>
      <c r="W16" s="18">
        <f>IFERROR(VLOOKUP($D16,BS별도,MATCH(W$1,BS별도H,0),0)/100,"")</f>
        <v/>
      </c>
      <c r="X16" s="18">
        <f>IFERROR(VLOOKUP($D16,BS별도,MATCH(X$1,BS별도H,0),0)/100,"")</f>
        <v/>
      </c>
      <c r="Y16" s="18">
        <f>IFERROR(VLOOKUP($D16,BS별도,MATCH(Y$1,BS별도H,0),0)/100,"")</f>
        <v/>
      </c>
      <c r="Z16" s="37">
        <f>SUM(V16:Y16)</f>
        <v/>
      </c>
      <c r="AA16" s="18">
        <f>IFERROR(VLOOKUP($D16,BS별도,MATCH(AA$1,BS별도H,0),0)/100,"")</f>
        <v/>
      </c>
      <c r="AB16" s="19">
        <f>IFERROR(VLOOKUP($D16,BS별도,MATCH(AB$1,BS별도H,0),0)/100,"")</f>
        <v/>
      </c>
      <c r="AC16" s="20">
        <f>IFERROR(AC9+AC11+AC14+AC15,"")</f>
        <v/>
      </c>
      <c r="AD16" s="20">
        <f>IFERROR(AD9+AD11+AD14+AD15,"")</f>
        <v/>
      </c>
      <c r="AE16" s="38">
        <f>SUM(AA16:AD16)</f>
        <v/>
      </c>
      <c r="AF16" s="20">
        <f>IFERROR(AF9+AF11+AF14+AF15,"")</f>
        <v/>
      </c>
      <c r="AG16" s="20">
        <f>IFERROR(AG9+AG11+AG14+AG15,"")</f>
        <v/>
      </c>
      <c r="AH16" s="20">
        <f>IFERROR(AH9+AH11+AH14+AH15,"")</f>
        <v/>
      </c>
      <c r="AI16" s="20">
        <f>IFERROR(AI9+AI11+AI14+AI15,"")</f>
        <v/>
      </c>
      <c r="AJ16" s="38">
        <f>SUM(AF16:AI16)</f>
        <v/>
      </c>
      <c r="AK16" s="20">
        <f>IFERROR(AK9+AK11+AK14+AK15,"")</f>
        <v/>
      </c>
      <c r="AL16" s="20">
        <f>IFERROR(AL9+AL11+AL14+AL15,"")</f>
        <v/>
      </c>
      <c r="AM16" s="20">
        <f>IFERROR(AM9+AM11+AM14+AM15,"")</f>
        <v/>
      </c>
      <c r="AN16" s="20">
        <f>IFERROR(AN9+AN11+AN14+AN15,"")</f>
        <v/>
      </c>
      <c r="AO16" s="38">
        <f>SUM(AK16:AN16)</f>
        <v/>
      </c>
    </row>
    <row r="17">
      <c r="A17" s="12" t="inlineStr">
        <is>
          <t>법인세비용</t>
        </is>
      </c>
      <c r="B17" t="inlineStr">
        <is>
          <t>손익</t>
        </is>
      </c>
      <c r="C17" t="inlineStr">
        <is>
          <t>억원</t>
        </is>
      </c>
      <c r="D17" t="inlineStr">
        <is>
          <t>법인세비용</t>
        </is>
      </c>
      <c r="E17" s="18">
        <f>IFERROR(VLOOKUP($D17,BS별도,MATCH(E$1,BS별도H,0),0)/100,"")</f>
        <v/>
      </c>
      <c r="F17" s="37" t="n"/>
      <c r="G17" s="18">
        <f>IFERROR(VLOOKUP($D17,BS별도,MATCH(G$1,BS별도H,0),0)/100,"")</f>
        <v/>
      </c>
      <c r="H17" s="18">
        <f>IFERROR(VLOOKUP($D17,BS별도,MATCH(H$1,BS별도H,0),0)/100,"")</f>
        <v/>
      </c>
      <c r="I17" s="18">
        <f>IFERROR(VLOOKUP($D17,BS별도,MATCH(I$1,BS별도H,0),0)/100,"")</f>
        <v/>
      </c>
      <c r="J17" s="18">
        <f>IFERROR(VLOOKUP($D17,BS별도,MATCH(J$1,BS별도H,0),0)/100,"")</f>
        <v/>
      </c>
      <c r="K17" s="37">
        <f>SUM(G17:J17)</f>
        <v/>
      </c>
      <c r="L17" s="18">
        <f>IFERROR(VLOOKUP($D17,BS별도,MATCH(L$1,BS별도H,0),0)/100,"")</f>
        <v/>
      </c>
      <c r="M17" s="18">
        <f>IFERROR(VLOOKUP($D17,BS별도,MATCH(M$1,BS별도H,0),0)/100,"")</f>
        <v/>
      </c>
      <c r="N17" s="18">
        <f>IFERROR(VLOOKUP($D17,BS별도,MATCH(N$1,BS별도H,0),0)/100,"")</f>
        <v/>
      </c>
      <c r="O17" s="18">
        <f>IFERROR(VLOOKUP($D17,BS별도,MATCH(O$1,BS별도H,0),0)/100,"")</f>
        <v/>
      </c>
      <c r="P17" s="37">
        <f>SUM(L17:O17)</f>
        <v/>
      </c>
      <c r="Q17" s="18">
        <f>IFERROR(VLOOKUP($D17,BS별도,MATCH(Q$1,BS별도H,0),0)/100,"")</f>
        <v/>
      </c>
      <c r="R17" s="18">
        <f>IFERROR(VLOOKUP($D17,BS별도,MATCH(R$1,BS별도H,0),0)/100,"")</f>
        <v/>
      </c>
      <c r="S17" s="18">
        <f>IFERROR(VLOOKUP($D17,BS별도,MATCH(S$1,BS별도H,0),0)/100,"")</f>
        <v/>
      </c>
      <c r="T17" s="18">
        <f>IFERROR(VLOOKUP($D17,BS별도,MATCH(T$1,BS별도H,0),0)/100,"")</f>
        <v/>
      </c>
      <c r="U17" s="37">
        <f>SUM(Q17:T17)</f>
        <v/>
      </c>
      <c r="V17" s="18">
        <f>IFERROR(VLOOKUP($D17,BS별도,MATCH(V$1,BS별도H,0),0)/100,"")</f>
        <v/>
      </c>
      <c r="W17" s="18">
        <f>IFERROR(VLOOKUP($D17,BS별도,MATCH(W$1,BS별도H,0),0)/100,"")</f>
        <v/>
      </c>
      <c r="X17" s="18">
        <f>IFERROR(VLOOKUP($D17,BS별도,MATCH(X$1,BS별도H,0),0)/100,"")</f>
        <v/>
      </c>
      <c r="Y17" s="18">
        <f>IFERROR(VLOOKUP($D17,BS별도,MATCH(Y$1,BS별도H,0),0)/100,"")</f>
        <v/>
      </c>
      <c r="Z17" s="37">
        <f>SUM(V17:Y17)</f>
        <v/>
      </c>
      <c r="AA17" s="18">
        <f>IFERROR(VLOOKUP($D17,BS별도,MATCH(AA$1,BS별도H,0),0)/100,"")</f>
        <v/>
      </c>
      <c r="AB17" s="19">
        <f>IFERROR(VLOOKUP($D17,BS별도,MATCH(AB$1,BS별도H,0),0)/100,"")</f>
        <v/>
      </c>
      <c r="AC17" s="20">
        <f>IFERROR(MAX(AC16,0)*변수!AC27,"")</f>
        <v/>
      </c>
      <c r="AD17" s="20">
        <f>IFERROR(MAX(AD16,0)*변수!AD27,"")</f>
        <v/>
      </c>
      <c r="AE17" s="38">
        <f>SUM(AA17:AD17)</f>
        <v/>
      </c>
      <c r="AF17" s="20">
        <f>IFERROR(MAX(AF16,0)*변수!AF27,"")</f>
        <v/>
      </c>
      <c r="AG17" s="20">
        <f>IFERROR(MAX(AG16,0)*변수!AG27,"")</f>
        <v/>
      </c>
      <c r="AH17" s="20">
        <f>IFERROR(MAX(AH16,0)*변수!AH27,"")</f>
        <v/>
      </c>
      <c r="AI17" s="20">
        <f>IFERROR(MAX(AI16,0)*변수!AI27,"")</f>
        <v/>
      </c>
      <c r="AJ17" s="38">
        <f>SUM(AF17:AI17)</f>
        <v/>
      </c>
      <c r="AK17" s="20">
        <f>IFERROR(MAX(AK16,0)*변수!AK27,"")</f>
        <v/>
      </c>
      <c r="AL17" s="20">
        <f>IFERROR(MAX(AL16,0)*변수!AL27,"")</f>
        <v/>
      </c>
      <c r="AM17" s="20">
        <f>IFERROR(MAX(AM16,0)*변수!AM27,"")</f>
        <v/>
      </c>
      <c r="AN17" s="20">
        <f>IFERROR(MAX(AN16,0)*변수!AN27,"")</f>
        <v/>
      </c>
      <c r="AO17" s="38">
        <f>SUM(AK17:AN17)</f>
        <v/>
      </c>
    </row>
    <row r="18">
      <c r="A18" s="12" t="inlineStr">
        <is>
          <t>당기순이익</t>
        </is>
      </c>
      <c r="B18" t="inlineStr">
        <is>
          <t>손익</t>
        </is>
      </c>
      <c r="C18" t="inlineStr">
        <is>
          <t>억원</t>
        </is>
      </c>
      <c r="D18" t="inlineStr">
        <is>
          <t>당기순이익</t>
        </is>
      </c>
      <c r="E18" s="18">
        <f>IFERROR(VLOOKUP($D18,BS별도,MATCH(E$1,BS별도H,0),0)/100,"")</f>
        <v/>
      </c>
      <c r="F18" s="37" t="n"/>
      <c r="G18" s="18">
        <f>IFERROR(VLOOKUP($D18,BS별도,MATCH(G$1,BS별도H,0),0)/100,"")</f>
        <v/>
      </c>
      <c r="H18" s="18">
        <f>IFERROR(VLOOKUP($D18,BS별도,MATCH(H$1,BS별도H,0),0)/100,"")</f>
        <v/>
      </c>
      <c r="I18" s="18">
        <f>IFERROR(VLOOKUP($D18,BS별도,MATCH(I$1,BS별도H,0),0)/100,"")</f>
        <v/>
      </c>
      <c r="J18" s="18">
        <f>IFERROR(VLOOKUP($D18,BS별도,MATCH(J$1,BS별도H,0),0)/100,"")</f>
        <v/>
      </c>
      <c r="K18" s="37">
        <f>SUM(G18:J18)</f>
        <v/>
      </c>
      <c r="L18" s="18">
        <f>IFERROR(VLOOKUP($D18,BS별도,MATCH(L$1,BS별도H,0),0)/100,"")</f>
        <v/>
      </c>
      <c r="M18" s="18">
        <f>IFERROR(VLOOKUP($D18,BS별도,MATCH(M$1,BS별도H,0),0)/100,"")</f>
        <v/>
      </c>
      <c r="N18" s="18">
        <f>IFERROR(VLOOKUP($D18,BS별도,MATCH(N$1,BS별도H,0),0)/100,"")</f>
        <v/>
      </c>
      <c r="O18" s="18">
        <f>IFERROR(VLOOKUP($D18,BS별도,MATCH(O$1,BS별도H,0),0)/100,"")</f>
        <v/>
      </c>
      <c r="P18" s="37">
        <f>SUM(L18:O18)</f>
        <v/>
      </c>
      <c r="Q18" s="18">
        <f>IFERROR(VLOOKUP($D18,BS별도,MATCH(Q$1,BS별도H,0),0)/100,"")</f>
        <v/>
      </c>
      <c r="R18" s="18">
        <f>IFERROR(VLOOKUP($D18,BS별도,MATCH(R$1,BS별도H,0),0)/100,"")</f>
        <v/>
      </c>
      <c r="S18" s="18">
        <f>IFERROR(VLOOKUP($D18,BS별도,MATCH(S$1,BS별도H,0),0)/100,"")</f>
        <v/>
      </c>
      <c r="T18" s="18">
        <f>IFERROR(VLOOKUP($D18,BS별도,MATCH(T$1,BS별도H,0),0)/100,"")</f>
        <v/>
      </c>
      <c r="U18" s="37">
        <f>SUM(Q18:T18)</f>
        <v/>
      </c>
      <c r="V18" s="18">
        <f>IFERROR(VLOOKUP($D18,BS별도,MATCH(V$1,BS별도H,0),0)/100,"")</f>
        <v/>
      </c>
      <c r="W18" s="18">
        <f>IFERROR(VLOOKUP($D18,BS별도,MATCH(W$1,BS별도H,0),0)/100,"")</f>
        <v/>
      </c>
      <c r="X18" s="18">
        <f>IFERROR(VLOOKUP($D18,BS별도,MATCH(X$1,BS별도H,0),0)/100,"")</f>
        <v/>
      </c>
      <c r="Y18" s="18">
        <f>IFERROR(VLOOKUP($D18,BS별도,MATCH(Y$1,BS별도H,0),0)/100,"")</f>
        <v/>
      </c>
      <c r="Z18" s="37">
        <f>SUM(V18:Y18)</f>
        <v/>
      </c>
      <c r="AA18" s="18">
        <f>IFERROR(VLOOKUP($D18,BS별도,MATCH(AA$1,BS별도H,0),0)/100,"")</f>
        <v/>
      </c>
      <c r="AB18" s="19">
        <f>IFERROR(VLOOKUP($D18,BS별도,MATCH(AB$1,BS별도H,0),0)/100,"")</f>
        <v/>
      </c>
      <c r="AC18" s="20">
        <f>IFERROR(AC16-AC17,"")</f>
        <v/>
      </c>
      <c r="AD18" s="20">
        <f>IFERROR(AD16-AD17,"")</f>
        <v/>
      </c>
      <c r="AE18" s="38">
        <f>SUM(AA18:AD18)</f>
        <v/>
      </c>
      <c r="AF18" s="20">
        <f>IFERROR(AF16-AF17,"")</f>
        <v/>
      </c>
      <c r="AG18" s="20">
        <f>IFERROR(AG16-AG17,"")</f>
        <v/>
      </c>
      <c r="AH18" s="20">
        <f>IFERROR(AH16-AH17,"")</f>
        <v/>
      </c>
      <c r="AI18" s="20">
        <f>IFERROR(AI16-AI17,"")</f>
        <v/>
      </c>
      <c r="AJ18" s="38">
        <f>SUM(AF18:AI18)</f>
        <v/>
      </c>
      <c r="AK18" s="20">
        <f>IFERROR(AK16-AK17,"")</f>
        <v/>
      </c>
      <c r="AL18" s="20">
        <f>IFERROR(AL16-AL17,"")</f>
        <v/>
      </c>
      <c r="AM18" s="20">
        <f>IFERROR(AM16-AM17,"")</f>
        <v/>
      </c>
      <c r="AN18" s="20">
        <f>IFERROR(AN16-AN17,"")</f>
        <v/>
      </c>
      <c r="AO18" s="38">
        <f>SUM(AK18:AN18)</f>
        <v/>
      </c>
    </row>
    <row r="19">
      <c r="A19" s="12" t="inlineStr">
        <is>
          <t>지배주주순이익</t>
        </is>
      </c>
      <c r="B19" t="inlineStr">
        <is>
          <t>손익</t>
        </is>
      </c>
      <c r="C19" t="inlineStr">
        <is>
          <t>억원</t>
        </is>
      </c>
      <c r="D19" t="inlineStr">
        <is>
          <t>(지배주주지분)당기순이익</t>
        </is>
      </c>
      <c r="E19" s="18">
        <f>IFERROR(VLOOKUP($D19,BS별도,MATCH(E$1,BS별도H,0),0)/100,"")</f>
        <v/>
      </c>
      <c r="F19" s="37" t="n"/>
      <c r="G19" s="18">
        <f>IFERROR(VLOOKUP($D19,BS별도,MATCH(G$1,BS별도H,0),0)/100,"")</f>
        <v/>
      </c>
      <c r="H19" s="18">
        <f>IFERROR(VLOOKUP($D19,BS별도,MATCH(H$1,BS별도H,0),0)/100,"")</f>
        <v/>
      </c>
      <c r="I19" s="18">
        <f>IFERROR(VLOOKUP($D19,BS별도,MATCH(I$1,BS별도H,0),0)/100,"")</f>
        <v/>
      </c>
      <c r="J19" s="18">
        <f>IFERROR(VLOOKUP($D19,BS별도,MATCH(J$1,BS별도H,0),0)/100,"")</f>
        <v/>
      </c>
      <c r="K19" s="37">
        <f>SUM(G19:J19)</f>
        <v/>
      </c>
      <c r="L19" s="18">
        <f>IFERROR(VLOOKUP($D19,BS별도,MATCH(L$1,BS별도H,0),0)/100,"")</f>
        <v/>
      </c>
      <c r="M19" s="18">
        <f>IFERROR(VLOOKUP($D19,BS별도,MATCH(M$1,BS별도H,0),0)/100,"")</f>
        <v/>
      </c>
      <c r="N19" s="18">
        <f>IFERROR(VLOOKUP($D19,BS별도,MATCH(N$1,BS별도H,0),0)/100,"")</f>
        <v/>
      </c>
      <c r="O19" s="18">
        <f>IFERROR(VLOOKUP($D19,BS별도,MATCH(O$1,BS별도H,0),0)/100,"")</f>
        <v/>
      </c>
      <c r="P19" s="37">
        <f>SUM(L19:O19)</f>
        <v/>
      </c>
      <c r="Q19" s="18">
        <f>IFERROR(VLOOKUP($D19,BS별도,MATCH(Q$1,BS별도H,0),0)/100,"")</f>
        <v/>
      </c>
      <c r="R19" s="18">
        <f>IFERROR(VLOOKUP($D19,BS별도,MATCH(R$1,BS별도H,0),0)/100,"")</f>
        <v/>
      </c>
      <c r="S19" s="18">
        <f>IFERROR(VLOOKUP($D19,BS별도,MATCH(S$1,BS별도H,0),0)/100,"")</f>
        <v/>
      </c>
      <c r="T19" s="18">
        <f>IFERROR(VLOOKUP($D19,BS별도,MATCH(T$1,BS별도H,0),0)/100,"")</f>
        <v/>
      </c>
      <c r="U19" s="37">
        <f>SUM(Q19:T19)</f>
        <v/>
      </c>
      <c r="V19" s="18">
        <f>IFERROR(VLOOKUP($D19,BS별도,MATCH(V$1,BS별도H,0),0)/100,"")</f>
        <v/>
      </c>
      <c r="W19" s="18">
        <f>IFERROR(VLOOKUP($D19,BS별도,MATCH(W$1,BS별도H,0),0)/100,"")</f>
        <v/>
      </c>
      <c r="X19" s="18">
        <f>IFERROR(VLOOKUP($D19,BS별도,MATCH(X$1,BS별도H,0),0)/100,"")</f>
        <v/>
      </c>
      <c r="Y19" s="18">
        <f>IFERROR(VLOOKUP($D19,BS별도,MATCH(Y$1,BS별도H,0),0)/100,"")</f>
        <v/>
      </c>
      <c r="Z19" s="37">
        <f>SUM(V19:Y19)</f>
        <v/>
      </c>
      <c r="AA19" s="18">
        <f>IFERROR(VLOOKUP($D19,BS별도,MATCH(AA$1,BS별도H,0),0)/100,"")</f>
        <v/>
      </c>
      <c r="AB19" s="19">
        <f>IFERROR(VLOOKUP($D19,BS별도,MATCH(AB$1,BS별도H,0),0)/100,"")</f>
        <v/>
      </c>
      <c r="AC19" s="20">
        <f>IFERROR(AC18*변수!AC28,"")</f>
        <v/>
      </c>
      <c r="AD19" s="20">
        <f>IFERROR(AD18*변수!AD28,"")</f>
        <v/>
      </c>
      <c r="AE19" s="38">
        <f>SUM(AA19:AD19)</f>
        <v/>
      </c>
      <c r="AF19" s="20">
        <f>IFERROR(AF18*변수!AF28,"")</f>
        <v/>
      </c>
      <c r="AG19" s="20">
        <f>IFERROR(AG18*변수!AG28,"")</f>
        <v/>
      </c>
      <c r="AH19" s="20">
        <f>IFERROR(AH18*변수!AH28,"")</f>
        <v/>
      </c>
      <c r="AI19" s="20">
        <f>IFERROR(AI18*변수!AI28,"")</f>
        <v/>
      </c>
      <c r="AJ19" s="38">
        <f>SUM(AF19:AI19)</f>
        <v/>
      </c>
      <c r="AK19" s="20">
        <f>IFERROR(AK18*변수!AK28,"")</f>
        <v/>
      </c>
      <c r="AL19" s="20">
        <f>IFERROR(AL18*변수!AL28,"")</f>
        <v/>
      </c>
      <c r="AM19" s="20">
        <f>IFERROR(AM18*변수!AM28,"")</f>
        <v/>
      </c>
      <c r="AN19" s="20">
        <f>IFERROR(AN18*변수!AN28,"")</f>
        <v/>
      </c>
      <c r="AO19" s="38">
        <f>SUM(AK19:AN19)</f>
        <v/>
      </c>
    </row>
    <row r="20">
      <c r="A20" s="12" t="inlineStr">
        <is>
          <t>자산총계</t>
        </is>
      </c>
      <c r="B20" t="inlineStr">
        <is>
          <t>재무상태</t>
        </is>
      </c>
      <c r="C20" t="inlineStr">
        <is>
          <t>억원</t>
        </is>
      </c>
      <c r="D20" t="inlineStr">
        <is>
          <t>자산총계</t>
        </is>
      </c>
      <c r="E20" s="18">
        <f>IFERROR(VLOOKUP($D20,BS별도,MATCH(E$1,BS별도H,0),0)/100,"")</f>
        <v/>
      </c>
      <c r="F20" s="37" t="n">
        <v>532.52</v>
      </c>
      <c r="G20" s="18">
        <f>IFERROR(VLOOKUP($D20,BS별도,MATCH(G$1,BS별도H,0),0)/100,"")</f>
        <v/>
      </c>
      <c r="H20" s="18">
        <f>IFERROR(VLOOKUP($D20,BS별도,MATCH(H$1,BS별도H,0),0)/100,"")</f>
        <v/>
      </c>
      <c r="I20" s="18">
        <f>IFERROR(VLOOKUP($D20,BS별도,MATCH(I$1,BS별도H,0),0)/100,"")</f>
        <v/>
      </c>
      <c r="J20" s="18">
        <f>IFERROR(VLOOKUP($D20,BS별도,MATCH(J$1,BS별도H,0),0)/100,"")</f>
        <v/>
      </c>
      <c r="K20" s="37">
        <f>J20</f>
        <v/>
      </c>
      <c r="L20" s="18">
        <f>IFERROR(VLOOKUP($D20,BS별도,MATCH(L$1,BS별도H,0),0)/100,"")</f>
        <v/>
      </c>
      <c r="M20" s="18">
        <f>IFERROR(VLOOKUP($D20,BS별도,MATCH(M$1,BS별도H,0),0)/100,"")</f>
        <v/>
      </c>
      <c r="N20" s="18">
        <f>IFERROR(VLOOKUP($D20,BS별도,MATCH(N$1,BS별도H,0),0)/100,"")</f>
        <v/>
      </c>
      <c r="O20" s="18">
        <f>IFERROR(VLOOKUP($D20,BS별도,MATCH(O$1,BS별도H,0),0)/100,"")</f>
        <v/>
      </c>
      <c r="P20" s="37">
        <f>O20</f>
        <v/>
      </c>
      <c r="Q20" s="18">
        <f>IFERROR(VLOOKUP($D20,BS별도,MATCH(Q$1,BS별도H,0),0)/100,"")</f>
        <v/>
      </c>
      <c r="R20" s="18">
        <f>IFERROR(VLOOKUP($D20,BS별도,MATCH(R$1,BS별도H,0),0)/100,"")</f>
        <v/>
      </c>
      <c r="S20" s="18">
        <f>IFERROR(VLOOKUP($D20,BS별도,MATCH(S$1,BS별도H,0),0)/100,"")</f>
        <v/>
      </c>
      <c r="T20" s="18">
        <f>IFERROR(VLOOKUP($D20,BS별도,MATCH(T$1,BS별도H,0),0)/100,"")</f>
        <v/>
      </c>
      <c r="U20" s="37">
        <f>T20</f>
        <v/>
      </c>
      <c r="V20" s="18">
        <f>IFERROR(VLOOKUP($D20,BS별도,MATCH(V$1,BS별도H,0),0)/100,"")</f>
        <v/>
      </c>
      <c r="W20" s="18">
        <f>IFERROR(VLOOKUP($D20,BS별도,MATCH(W$1,BS별도H,0),0)/100,"")</f>
        <v/>
      </c>
      <c r="X20" s="18">
        <f>IFERROR(VLOOKUP($D20,BS별도,MATCH(X$1,BS별도H,0),0)/100,"")</f>
        <v/>
      </c>
      <c r="Y20" s="18">
        <f>IFERROR(VLOOKUP($D20,BS별도,MATCH(Y$1,BS별도H,0),0)/100,"")</f>
        <v/>
      </c>
      <c r="Z20" s="37">
        <f>Y20</f>
        <v/>
      </c>
      <c r="AA20" s="18">
        <f>IFERROR(VLOOKUP($D20,BS별도,MATCH(AA$1,BS별도H,0),0)/100,"")</f>
        <v/>
      </c>
      <c r="AB20" s="19">
        <f>IFERROR(VLOOKUP($D20,BS별도,MATCH(AB$1,BS별도H,0),0)/100,"")</f>
        <v/>
      </c>
      <c r="AC20" s="20">
        <f>IFERROR(AC21+AC22,"")</f>
        <v/>
      </c>
      <c r="AD20" s="20">
        <f>IFERROR(AD21+AD22,"")</f>
        <v/>
      </c>
      <c r="AE20" s="38">
        <f>AD20</f>
        <v/>
      </c>
      <c r="AF20" s="20">
        <f>IFERROR(AF21+AF22,"")</f>
        <v/>
      </c>
      <c r="AG20" s="20">
        <f>IFERROR(AG21+AG22,"")</f>
        <v/>
      </c>
      <c r="AH20" s="20">
        <f>IFERROR(AH21+AH22,"")</f>
        <v/>
      </c>
      <c r="AI20" s="20">
        <f>IFERROR(AI21+AI22,"")</f>
        <v/>
      </c>
      <c r="AJ20" s="38">
        <f>AI20</f>
        <v/>
      </c>
      <c r="AK20" s="20">
        <f>IFERROR(AK21+AK22,"")</f>
        <v/>
      </c>
      <c r="AL20" s="20">
        <f>IFERROR(AL21+AL22,"")</f>
        <v/>
      </c>
      <c r="AM20" s="20">
        <f>IFERROR(AM21+AM22,"")</f>
        <v/>
      </c>
      <c r="AN20" s="20">
        <f>IFERROR(AN21+AN22,"")</f>
        <v/>
      </c>
      <c r="AO20" s="38">
        <f>AN20</f>
        <v/>
      </c>
    </row>
    <row r="21">
      <c r="A21" s="12" t="inlineStr">
        <is>
          <t>부채총계</t>
        </is>
      </c>
      <c r="B21" t="inlineStr">
        <is>
          <t>재무상태</t>
        </is>
      </c>
      <c r="C21" t="inlineStr">
        <is>
          <t>억원</t>
        </is>
      </c>
      <c r="D21" t="inlineStr">
        <is>
          <t>부채총계</t>
        </is>
      </c>
      <c r="E21" s="18">
        <f>IFERROR(VLOOKUP($D21,BS별도,MATCH(E$1,BS별도H,0),0)/100,"")</f>
        <v/>
      </c>
      <c r="F21" s="37" t="n">
        <v>145.16</v>
      </c>
      <c r="G21" s="18">
        <f>IFERROR(VLOOKUP($D21,BS별도,MATCH(G$1,BS별도H,0),0)/100,"")</f>
        <v/>
      </c>
      <c r="H21" s="18">
        <f>IFERROR(VLOOKUP($D21,BS별도,MATCH(H$1,BS별도H,0),0)/100,"")</f>
        <v/>
      </c>
      <c r="I21" s="18">
        <f>IFERROR(VLOOKUP($D21,BS별도,MATCH(I$1,BS별도H,0),0)/100,"")</f>
        <v/>
      </c>
      <c r="J21" s="18">
        <f>IFERROR(VLOOKUP($D21,BS별도,MATCH(J$1,BS별도H,0),0)/100,"")</f>
        <v/>
      </c>
      <c r="K21" s="37">
        <f>J21</f>
        <v/>
      </c>
      <c r="L21" s="18">
        <f>IFERROR(VLOOKUP($D21,BS별도,MATCH(L$1,BS별도H,0),0)/100,"")</f>
        <v/>
      </c>
      <c r="M21" s="18">
        <f>IFERROR(VLOOKUP($D21,BS별도,MATCH(M$1,BS별도H,0),0)/100,"")</f>
        <v/>
      </c>
      <c r="N21" s="18">
        <f>IFERROR(VLOOKUP($D21,BS별도,MATCH(N$1,BS별도H,0),0)/100,"")</f>
        <v/>
      </c>
      <c r="O21" s="18">
        <f>IFERROR(VLOOKUP($D21,BS별도,MATCH(O$1,BS별도H,0),0)/100,"")</f>
        <v/>
      </c>
      <c r="P21" s="37">
        <f>O21</f>
        <v/>
      </c>
      <c r="Q21" s="18">
        <f>IFERROR(VLOOKUP($D21,BS별도,MATCH(Q$1,BS별도H,0),0)/100,"")</f>
        <v/>
      </c>
      <c r="R21" s="18">
        <f>IFERROR(VLOOKUP($D21,BS별도,MATCH(R$1,BS별도H,0),0)/100,"")</f>
        <v/>
      </c>
      <c r="S21" s="18">
        <f>IFERROR(VLOOKUP($D21,BS별도,MATCH(S$1,BS별도H,0),0)/100,"")</f>
        <v/>
      </c>
      <c r="T21" s="18">
        <f>IFERROR(VLOOKUP($D21,BS별도,MATCH(T$1,BS별도H,0),0)/100,"")</f>
        <v/>
      </c>
      <c r="U21" s="37">
        <f>T21</f>
        <v/>
      </c>
      <c r="V21" s="18">
        <f>IFERROR(VLOOKUP($D21,BS별도,MATCH(V$1,BS별도H,0),0)/100,"")</f>
        <v/>
      </c>
      <c r="W21" s="18">
        <f>IFERROR(VLOOKUP($D21,BS별도,MATCH(W$1,BS별도H,0),0)/100,"")</f>
        <v/>
      </c>
      <c r="X21" s="18">
        <f>IFERROR(VLOOKUP($D21,BS별도,MATCH(X$1,BS별도H,0),0)/100,"")</f>
        <v/>
      </c>
      <c r="Y21" s="18">
        <f>IFERROR(VLOOKUP($D21,BS별도,MATCH(Y$1,BS별도H,0),0)/100,"")</f>
        <v/>
      </c>
      <c r="Z21" s="37">
        <f>Y21</f>
        <v/>
      </c>
      <c r="AA21" s="18">
        <f>IFERROR(VLOOKUP($D21,BS별도,MATCH(AA$1,BS별도H,0),0)/100,"")</f>
        <v/>
      </c>
      <c r="AB21" s="19">
        <f>IFERROR(VLOOKUP($D21,BS별도,MATCH(AB$1,BS별도H,0),0)/100,"")</f>
        <v/>
      </c>
      <c r="AC21" s="20">
        <f>IFERROR(AB21*(1+변수!AC29),"")</f>
        <v/>
      </c>
      <c r="AD21" s="20">
        <f>IFERROR(AC21*(1+변수!AD29),"")</f>
        <v/>
      </c>
      <c r="AE21" s="38">
        <f>AD21</f>
        <v/>
      </c>
      <c r="AF21" s="20">
        <f>IFERROR(AD21*(1+변수!AF29),"")</f>
        <v/>
      </c>
      <c r="AG21" s="20">
        <f>IFERROR(AF21*(1+변수!AG29),"")</f>
        <v/>
      </c>
      <c r="AH21" s="20">
        <f>IFERROR(AG21*(1+변수!AH29),"")</f>
        <v/>
      </c>
      <c r="AI21" s="20">
        <f>IFERROR(AH21*(1+변수!AI29),"")</f>
        <v/>
      </c>
      <c r="AJ21" s="38">
        <f>AI21</f>
        <v/>
      </c>
      <c r="AK21" s="20">
        <f>IFERROR(AI21*(1+변수!AK29),"")</f>
        <v/>
      </c>
      <c r="AL21" s="20">
        <f>IFERROR(AK21*(1+변수!AL29),"")</f>
        <v/>
      </c>
      <c r="AM21" s="20">
        <f>IFERROR(AL21*(1+변수!AM29),"")</f>
        <v/>
      </c>
      <c r="AN21" s="20">
        <f>IFERROR(AM21*(1+변수!AN29),"")</f>
        <v/>
      </c>
      <c r="AO21" s="38">
        <f>AN21</f>
        <v/>
      </c>
    </row>
    <row r="22">
      <c r="A22" s="12" t="inlineStr">
        <is>
          <t>자본총계</t>
        </is>
      </c>
      <c r="B22" t="inlineStr">
        <is>
          <t>재무상태</t>
        </is>
      </c>
      <c r="C22" t="inlineStr">
        <is>
          <t>억원</t>
        </is>
      </c>
      <c r="D22" t="inlineStr">
        <is>
          <t>자본총계</t>
        </is>
      </c>
      <c r="E22" s="18">
        <f>IFERROR(VLOOKUP($D22,BS별도,MATCH(E$1,BS별도H,0),0)/100,"")</f>
        <v/>
      </c>
      <c r="F22" s="37" t="n">
        <v>387.36</v>
      </c>
      <c r="G22" s="18">
        <f>IFERROR(VLOOKUP($D22,BS별도,MATCH(G$1,BS별도H,0),0)/100,"")</f>
        <v/>
      </c>
      <c r="H22" s="18">
        <f>IFERROR(VLOOKUP($D22,BS별도,MATCH(H$1,BS별도H,0),0)/100,"")</f>
        <v/>
      </c>
      <c r="I22" s="18">
        <f>IFERROR(VLOOKUP($D22,BS별도,MATCH(I$1,BS별도H,0),0)/100,"")</f>
        <v/>
      </c>
      <c r="J22" s="18">
        <f>IFERROR(VLOOKUP($D22,BS별도,MATCH(J$1,BS별도H,0),0)/100,"")</f>
        <v/>
      </c>
      <c r="K22" s="37">
        <f>J22</f>
        <v/>
      </c>
      <c r="L22" s="18">
        <f>IFERROR(VLOOKUP($D22,BS별도,MATCH(L$1,BS별도H,0),0)/100,"")</f>
        <v/>
      </c>
      <c r="M22" s="18">
        <f>IFERROR(VLOOKUP($D22,BS별도,MATCH(M$1,BS별도H,0),0)/100,"")</f>
        <v/>
      </c>
      <c r="N22" s="18">
        <f>IFERROR(VLOOKUP($D22,BS별도,MATCH(N$1,BS별도H,0),0)/100,"")</f>
        <v/>
      </c>
      <c r="O22" s="18">
        <f>IFERROR(VLOOKUP($D22,BS별도,MATCH(O$1,BS별도H,0),0)/100,"")</f>
        <v/>
      </c>
      <c r="P22" s="37">
        <f>O22</f>
        <v/>
      </c>
      <c r="Q22" s="18">
        <f>IFERROR(VLOOKUP($D22,BS별도,MATCH(Q$1,BS별도H,0),0)/100,"")</f>
        <v/>
      </c>
      <c r="R22" s="18">
        <f>IFERROR(VLOOKUP($D22,BS별도,MATCH(R$1,BS별도H,0),0)/100,"")</f>
        <v/>
      </c>
      <c r="S22" s="18">
        <f>IFERROR(VLOOKUP($D22,BS별도,MATCH(S$1,BS별도H,0),0)/100,"")</f>
        <v/>
      </c>
      <c r="T22" s="18">
        <f>IFERROR(VLOOKUP($D22,BS별도,MATCH(T$1,BS별도H,0),0)/100,"")</f>
        <v/>
      </c>
      <c r="U22" s="37">
        <f>T22</f>
        <v/>
      </c>
      <c r="V22" s="18">
        <f>IFERROR(VLOOKUP($D22,BS별도,MATCH(V$1,BS별도H,0),0)/100,"")</f>
        <v/>
      </c>
      <c r="W22" s="18">
        <f>IFERROR(VLOOKUP($D22,BS별도,MATCH(W$1,BS별도H,0),0)/100,"")</f>
        <v/>
      </c>
      <c r="X22" s="18">
        <f>IFERROR(VLOOKUP($D22,BS별도,MATCH(X$1,BS별도H,0),0)/100,"")</f>
        <v/>
      </c>
      <c r="Y22" s="18">
        <f>IFERROR(VLOOKUP($D22,BS별도,MATCH(Y$1,BS별도H,0),0)/100,"")</f>
        <v/>
      </c>
      <c r="Z22" s="37">
        <f>Y22</f>
        <v/>
      </c>
      <c r="AA22" s="18">
        <f>IFERROR(VLOOKUP($D22,BS별도,MATCH(AA$1,BS별도H,0),0)/100,"")</f>
        <v/>
      </c>
      <c r="AB22" s="19">
        <f>IFERROR(VLOOKUP($D22,BS별도,MATCH(AB$1,BS별도H,0),0)/100,"")</f>
        <v/>
      </c>
      <c r="AC22" s="20">
        <f>IFERROR(AB22+AC18-변수!AC30,"")</f>
        <v/>
      </c>
      <c r="AD22" s="20">
        <f>IFERROR(AC22+AD18-변수!AD30,"")</f>
        <v/>
      </c>
      <c r="AE22" s="38">
        <f>AD22</f>
        <v/>
      </c>
      <c r="AF22" s="20">
        <f>IFERROR(AD22+AF18-변수!AF30,"")</f>
        <v/>
      </c>
      <c r="AG22" s="20">
        <f>IFERROR(AF22+AG18-변수!AG30,"")</f>
        <v/>
      </c>
      <c r="AH22" s="20">
        <f>IFERROR(AG22+AH18-변수!AH30,"")</f>
        <v/>
      </c>
      <c r="AI22" s="20">
        <f>IFERROR(AH22+AI18-변수!AI30,"")</f>
        <v/>
      </c>
      <c r="AJ22" s="38">
        <f>AI22</f>
        <v/>
      </c>
      <c r="AK22" s="20">
        <f>IFERROR(AI22+AK18-변수!AK30,"")</f>
        <v/>
      </c>
      <c r="AL22" s="20">
        <f>IFERROR(AK22+AL18-변수!AL30,"")</f>
        <v/>
      </c>
      <c r="AM22" s="20">
        <f>IFERROR(AL22+AM18-변수!AM30,"")</f>
        <v/>
      </c>
      <c r="AN22" s="20">
        <f>IFERROR(AM22+AN18-변수!AN30,"")</f>
        <v/>
      </c>
      <c r="AO22" s="38">
        <f>AN22</f>
        <v/>
      </c>
    </row>
    <row r="23">
      <c r="A23" s="12" t="inlineStr">
        <is>
          <t>지배주주지분</t>
        </is>
      </c>
      <c r="B23" t="inlineStr">
        <is>
          <t>재무상태</t>
        </is>
      </c>
      <c r="C23" t="inlineStr">
        <is>
          <t>억원</t>
        </is>
      </c>
      <c r="D23" t="inlineStr">
        <is>
          <t>지배주주지분</t>
        </is>
      </c>
      <c r="E23" s="18">
        <f>IFERROR(VLOOKUP($D23,BS별도,MATCH(E$1,BS별도H,0),0)/100,"")</f>
        <v/>
      </c>
      <c r="F23" s="37" t="n">
        <v>387.36</v>
      </c>
      <c r="G23" s="18">
        <f>IFERROR(VLOOKUP($D23,BS별도,MATCH(G$1,BS별도H,0),0)/100,"")</f>
        <v/>
      </c>
      <c r="H23" s="18">
        <f>IFERROR(VLOOKUP($D23,BS별도,MATCH(H$1,BS별도H,0),0)/100,"")</f>
        <v/>
      </c>
      <c r="I23" s="18">
        <f>IFERROR(VLOOKUP($D23,BS별도,MATCH(I$1,BS별도H,0),0)/100,"")</f>
        <v/>
      </c>
      <c r="J23" s="18">
        <f>IFERROR(VLOOKUP($D23,BS별도,MATCH(J$1,BS별도H,0),0)/100,"")</f>
        <v/>
      </c>
      <c r="K23" s="37">
        <f>J23</f>
        <v/>
      </c>
      <c r="L23" s="18">
        <f>IFERROR(VLOOKUP($D23,BS별도,MATCH(L$1,BS별도H,0),0)/100,"")</f>
        <v/>
      </c>
      <c r="M23" s="18">
        <f>IFERROR(VLOOKUP($D23,BS별도,MATCH(M$1,BS별도H,0),0)/100,"")</f>
        <v/>
      </c>
      <c r="N23" s="18">
        <f>IFERROR(VLOOKUP($D23,BS별도,MATCH(N$1,BS별도H,0),0)/100,"")</f>
        <v/>
      </c>
      <c r="O23" s="18">
        <f>IFERROR(VLOOKUP($D23,BS별도,MATCH(O$1,BS별도H,0),0)/100,"")</f>
        <v/>
      </c>
      <c r="P23" s="37">
        <f>O23</f>
        <v/>
      </c>
      <c r="Q23" s="18">
        <f>IFERROR(VLOOKUP($D23,BS별도,MATCH(Q$1,BS별도H,0),0)/100,"")</f>
        <v/>
      </c>
      <c r="R23" s="18">
        <f>IFERROR(VLOOKUP($D23,BS별도,MATCH(R$1,BS별도H,0),0)/100,"")</f>
        <v/>
      </c>
      <c r="S23" s="18">
        <f>IFERROR(VLOOKUP($D23,BS별도,MATCH(S$1,BS별도H,0),0)/100,"")</f>
        <v/>
      </c>
      <c r="T23" s="18">
        <f>IFERROR(VLOOKUP($D23,BS별도,MATCH(T$1,BS별도H,0),0)/100,"")</f>
        <v/>
      </c>
      <c r="U23" s="37">
        <f>T23</f>
        <v/>
      </c>
      <c r="V23" s="18">
        <f>IFERROR(VLOOKUP($D23,BS별도,MATCH(V$1,BS별도H,0),0)/100,"")</f>
        <v/>
      </c>
      <c r="W23" s="18">
        <f>IFERROR(VLOOKUP($D23,BS별도,MATCH(W$1,BS별도H,0),0)/100,"")</f>
        <v/>
      </c>
      <c r="X23" s="18">
        <f>IFERROR(VLOOKUP($D23,BS별도,MATCH(X$1,BS별도H,0),0)/100,"")</f>
        <v/>
      </c>
      <c r="Y23" s="18">
        <f>IFERROR(VLOOKUP($D23,BS별도,MATCH(Y$1,BS별도H,0),0)/100,"")</f>
        <v/>
      </c>
      <c r="Z23" s="37">
        <f>Y23</f>
        <v/>
      </c>
      <c r="AA23" s="18">
        <f>IFERROR(VLOOKUP($D23,BS별도,MATCH(AA$1,BS별도H,0),0)/100,"")</f>
        <v/>
      </c>
      <c r="AB23" s="19">
        <f>IFERROR(VLOOKUP($D23,BS별도,MATCH(AB$1,BS별도H,0),0)/100,"")</f>
        <v/>
      </c>
      <c r="AC23" s="20">
        <f>IFERROR(AB23+AC19-변수!AC31,"")</f>
        <v/>
      </c>
      <c r="AD23" s="20">
        <f>IFERROR(AC23+AD19-변수!AD31,"")</f>
        <v/>
      </c>
      <c r="AE23" s="38">
        <f>AD23</f>
        <v/>
      </c>
      <c r="AF23" s="20">
        <f>IFERROR(AD23+AF19-변수!AF31,"")</f>
        <v/>
      </c>
      <c r="AG23" s="20">
        <f>IFERROR(AF23+AG19-변수!AG31,"")</f>
        <v/>
      </c>
      <c r="AH23" s="20">
        <f>IFERROR(AG23+AH19-변수!AH31,"")</f>
        <v/>
      </c>
      <c r="AI23" s="20">
        <f>IFERROR(AH23+AI19-변수!AI31,"")</f>
        <v/>
      </c>
      <c r="AJ23" s="38">
        <f>AI23</f>
        <v/>
      </c>
      <c r="AK23" s="20">
        <f>IFERROR(AI23+AK19-변수!AK31,"")</f>
        <v/>
      </c>
      <c r="AL23" s="20">
        <f>IFERROR(AK23+AL19-변수!AL31,"")</f>
        <v/>
      </c>
      <c r="AM23" s="20">
        <f>IFERROR(AL23+AM19-변수!AM31,"")</f>
        <v/>
      </c>
      <c r="AN23" s="20">
        <f>IFERROR(AM23+AN19-변수!AN31,"")</f>
        <v/>
      </c>
      <c r="AO23" s="38">
        <f>AN23</f>
        <v/>
      </c>
    </row>
    <row r="24">
      <c r="A24" s="12" t="inlineStr">
        <is>
          <t>총차입금</t>
        </is>
      </c>
      <c r="B24" t="inlineStr">
        <is>
          <t>재무상태</t>
        </is>
      </c>
      <c r="C24" t="inlineStr">
        <is>
          <t>억원</t>
        </is>
      </c>
      <c r="D24" t="inlineStr">
        <is>
          <t>총차입금</t>
        </is>
      </c>
      <c r="E24" s="18">
        <f>IFERROR(VLOOKUP($D24,BS별도,MATCH(E$1,BS별도H,0),0)/100,"")</f>
        <v/>
      </c>
      <c r="F24" s="37" t="n">
        <v>33.2</v>
      </c>
      <c r="G24" s="18">
        <f>IFERROR(VLOOKUP($D24,BS별도,MATCH(G$1,BS별도H,0),0)/100,"")</f>
        <v/>
      </c>
      <c r="H24" s="18">
        <f>IFERROR(VLOOKUP($D24,BS별도,MATCH(H$1,BS별도H,0),0)/100,"")</f>
        <v/>
      </c>
      <c r="I24" s="18">
        <f>IFERROR(VLOOKUP($D24,BS별도,MATCH(I$1,BS별도H,0),0)/100,"")</f>
        <v/>
      </c>
      <c r="J24" s="18">
        <f>IFERROR(VLOOKUP($D24,BS별도,MATCH(J$1,BS별도H,0),0)/100,"")</f>
        <v/>
      </c>
      <c r="K24" s="37">
        <f>J24</f>
        <v/>
      </c>
      <c r="L24" s="18">
        <f>IFERROR(VLOOKUP($D24,BS별도,MATCH(L$1,BS별도H,0),0)/100,"")</f>
        <v/>
      </c>
      <c r="M24" s="18">
        <f>IFERROR(VLOOKUP($D24,BS별도,MATCH(M$1,BS별도H,0),0)/100,"")</f>
        <v/>
      </c>
      <c r="N24" s="18">
        <f>IFERROR(VLOOKUP($D24,BS별도,MATCH(N$1,BS별도H,0),0)/100,"")</f>
        <v/>
      </c>
      <c r="O24" s="18">
        <f>IFERROR(VLOOKUP($D24,BS별도,MATCH(O$1,BS별도H,0),0)/100,"")</f>
        <v/>
      </c>
      <c r="P24" s="37">
        <f>O24</f>
        <v/>
      </c>
      <c r="Q24" s="18">
        <f>IFERROR(VLOOKUP($D24,BS별도,MATCH(Q$1,BS별도H,0),0)/100,"")</f>
        <v/>
      </c>
      <c r="R24" s="18" t="n"/>
      <c r="S24" s="18" t="n"/>
      <c r="T24" s="18">
        <f>IFERROR(VLOOKUP($D24,BS별도,MATCH(T$1,BS별도H,0),0)/100,"")</f>
        <v/>
      </c>
      <c r="U24" s="37">
        <f>T24</f>
        <v/>
      </c>
      <c r="V24" s="18">
        <f>IFERROR(VLOOKUP($D24,BS별도,MATCH(V$1,BS별도H,0),0)/100,"")</f>
        <v/>
      </c>
      <c r="W24" s="18">
        <f>IFERROR(VLOOKUP($D24,BS별도,MATCH(W$1,BS별도H,0),0)/100,"")</f>
        <v/>
      </c>
      <c r="X24" s="18">
        <f>IFERROR(VLOOKUP($D24,BS별도,MATCH(X$1,BS별도H,0),0)/100,"")</f>
        <v/>
      </c>
      <c r="Y24" s="18">
        <f>IFERROR(VLOOKUP($D24,BS별도,MATCH(Y$1,BS별도H,0),0)/100,"")</f>
        <v/>
      </c>
      <c r="Z24" s="37">
        <f>Y24</f>
        <v/>
      </c>
      <c r="AA24" s="18">
        <f>IFERROR(VLOOKUP($D24,BS별도,MATCH(AA$1,BS별도H,0),0)/100,"")</f>
        <v/>
      </c>
      <c r="AB24" s="19">
        <f>IFERROR(VLOOKUP($D24,BS별도,MATCH(AB$1,BS별도H,0),0)/100,"")</f>
        <v/>
      </c>
      <c r="AC24" s="20">
        <f>IFERROR(AB24*(1+변수!AC32),"")</f>
        <v/>
      </c>
      <c r="AD24" s="20">
        <f>IFERROR(AC24*(1+변수!AD32),"")</f>
        <v/>
      </c>
      <c r="AE24" s="38">
        <f>AD24</f>
        <v/>
      </c>
      <c r="AF24" s="20">
        <f>IFERROR(AD24*(1+변수!AF32),"")</f>
        <v/>
      </c>
      <c r="AG24" s="20">
        <f>IFERROR(AF24*(1+변수!AG32),"")</f>
        <v/>
      </c>
      <c r="AH24" s="20">
        <f>IFERROR(AG24*(1+변수!AH32),"")</f>
        <v/>
      </c>
      <c r="AI24" s="20">
        <f>IFERROR(AH24*(1+변수!AI32),"")</f>
        <v/>
      </c>
      <c r="AJ24" s="38">
        <f>AI24</f>
        <v/>
      </c>
      <c r="AK24" s="20">
        <f>IFERROR(AI24*(1+변수!AK32),"")</f>
        <v/>
      </c>
      <c r="AL24" s="20">
        <f>IFERROR(AK24*(1+변수!AL32),"")</f>
        <v/>
      </c>
      <c r="AM24" s="20">
        <f>IFERROR(AL24*(1+변수!AM32),"")</f>
        <v/>
      </c>
      <c r="AN24" s="20">
        <f>IFERROR(AM24*(1+변수!AN32),"")</f>
        <v/>
      </c>
      <c r="AO24" s="38">
        <f>AN24</f>
        <v/>
      </c>
    </row>
    <row r="25">
      <c r="A25" s="12" t="inlineStr">
        <is>
          <t>순차입금</t>
        </is>
      </c>
      <c r="B25" t="inlineStr">
        <is>
          <t>재무상태</t>
        </is>
      </c>
      <c r="C25" t="inlineStr">
        <is>
          <t>억원</t>
        </is>
      </c>
      <c r="D25" t="inlineStr">
        <is>
          <t>순차입금</t>
        </is>
      </c>
      <c r="E25" s="18">
        <f>IFERROR(VLOOKUP($D25,BS별도,MATCH(E$1,BS별도H,0),0)/100,"")</f>
        <v/>
      </c>
      <c r="F25" s="37" t="n">
        <v>25.45</v>
      </c>
      <c r="G25" s="18">
        <f>IFERROR(VLOOKUP($D25,BS별도,MATCH(G$1,BS별도H,0),0)/100,"")</f>
        <v/>
      </c>
      <c r="H25" s="18">
        <f>IFERROR(VLOOKUP($D25,BS별도,MATCH(H$1,BS별도H,0),0)/100,"")</f>
        <v/>
      </c>
      <c r="I25" s="18">
        <f>IFERROR(VLOOKUP($D25,BS별도,MATCH(I$1,BS별도H,0),0)/100,"")</f>
        <v/>
      </c>
      <c r="J25" s="18">
        <f>IFERROR(VLOOKUP($D25,BS별도,MATCH(J$1,BS별도H,0),0)/100,"")</f>
        <v/>
      </c>
      <c r="K25" s="37">
        <f>J25</f>
        <v/>
      </c>
      <c r="L25" s="18">
        <f>IFERROR(VLOOKUP($D25,BS별도,MATCH(L$1,BS별도H,0),0)/100,"")</f>
        <v/>
      </c>
      <c r="M25" s="18">
        <f>IFERROR(VLOOKUP($D25,BS별도,MATCH(M$1,BS별도H,0),0)/100,"")</f>
        <v/>
      </c>
      <c r="N25" s="18">
        <f>IFERROR(VLOOKUP($D25,BS별도,MATCH(N$1,BS별도H,0),0)/100,"")</f>
        <v/>
      </c>
      <c r="O25" s="18">
        <f>IFERROR(VLOOKUP($D25,BS별도,MATCH(O$1,BS별도H,0),0)/100,"")</f>
        <v/>
      </c>
      <c r="P25" s="37">
        <f>O25</f>
        <v/>
      </c>
      <c r="Q25" s="18">
        <f>IFERROR(VLOOKUP($D25,BS별도,MATCH(Q$1,BS별도H,0),0)/100,"")</f>
        <v/>
      </c>
      <c r="R25" s="18" t="n"/>
      <c r="S25" s="18" t="n"/>
      <c r="T25" s="18">
        <f>IFERROR(VLOOKUP($D25,BS별도,MATCH(T$1,BS별도H,0),0)/100,"")</f>
        <v/>
      </c>
      <c r="U25" s="37">
        <f>T25</f>
        <v/>
      </c>
      <c r="V25" s="18">
        <f>IFERROR(VLOOKUP($D25,BS별도,MATCH(V$1,BS별도H,0),0)/100,"")</f>
        <v/>
      </c>
      <c r="W25" s="18">
        <f>IFERROR(VLOOKUP($D25,BS별도,MATCH(W$1,BS별도H,0),0)/100,"")</f>
        <v/>
      </c>
      <c r="X25" s="18">
        <f>IFERROR(VLOOKUP($D25,BS별도,MATCH(X$1,BS별도H,0),0)/100,"")</f>
        <v/>
      </c>
      <c r="Y25" s="18">
        <f>IFERROR(VLOOKUP($D25,BS별도,MATCH(Y$1,BS별도H,0),0)/100,"")</f>
        <v/>
      </c>
      <c r="Z25" s="37">
        <f>Y25</f>
        <v/>
      </c>
      <c r="AA25" s="18">
        <f>IFERROR(VLOOKUP($D25,BS별도,MATCH(AA$1,BS별도H,0),0)/100,"")</f>
        <v/>
      </c>
      <c r="AB25" s="19">
        <f>IFERROR(VLOOKUP($D25,BS별도,MATCH(AB$1,BS별도H,0),0)/100,"")</f>
        <v/>
      </c>
      <c r="AC25" s="20">
        <f>IFERROR(AB25*(1+변수!AC33),"")</f>
        <v/>
      </c>
      <c r="AD25" s="20">
        <f>IFERROR(AC25*(1+변수!AD33),"")</f>
        <v/>
      </c>
      <c r="AE25" s="38">
        <f>AD25</f>
        <v/>
      </c>
      <c r="AF25" s="20">
        <f>IFERROR(AD25*(1+변수!AF33),"")</f>
        <v/>
      </c>
      <c r="AG25" s="20">
        <f>IFERROR(AF25*(1+변수!AG33),"")</f>
        <v/>
      </c>
      <c r="AH25" s="20">
        <f>IFERROR(AG25*(1+변수!AH33),"")</f>
        <v/>
      </c>
      <c r="AI25" s="20">
        <f>IFERROR(AH25*(1+변수!AI33),"")</f>
        <v/>
      </c>
      <c r="AJ25" s="38">
        <f>AI25</f>
        <v/>
      </c>
      <c r="AK25" s="20">
        <f>IFERROR(AI25*(1+변수!AK33),"")</f>
        <v/>
      </c>
      <c r="AL25" s="20">
        <f>IFERROR(AK25*(1+변수!AL33),"")</f>
        <v/>
      </c>
      <c r="AM25" s="20">
        <f>IFERROR(AL25*(1+변수!AM33),"")</f>
        <v/>
      </c>
      <c r="AN25" s="20">
        <f>IFERROR(AM25*(1+변수!AN33),"")</f>
        <v/>
      </c>
      <c r="AO25" s="38">
        <f>AN25</f>
        <v/>
      </c>
    </row>
    <row r="26">
      <c r="A26" s="12" t="inlineStr">
        <is>
          <t>이자발생자산</t>
        </is>
      </c>
      <c r="B26" t="inlineStr">
        <is>
          <t>재무상태</t>
        </is>
      </c>
      <c r="C26" t="inlineStr">
        <is>
          <t>억원</t>
        </is>
      </c>
      <c r="D26" t="inlineStr">
        <is>
          <t>이자발생자산</t>
        </is>
      </c>
      <c r="E26" s="18">
        <f>IFERROR(VLOOKUP($D26,BS별도,MATCH(E$1,BS별도H,0),0)/100,"")</f>
        <v/>
      </c>
      <c r="F26" s="37" t="n">
        <v>7.76</v>
      </c>
      <c r="G26" s="18">
        <f>IFERROR(VLOOKUP($D26,BS별도,MATCH(G$1,BS별도H,0),0)/100,"")</f>
        <v/>
      </c>
      <c r="H26" s="18">
        <f>IFERROR(VLOOKUP($D26,BS별도,MATCH(H$1,BS별도H,0),0)/100,"")</f>
        <v/>
      </c>
      <c r="I26" s="18">
        <f>IFERROR(VLOOKUP($D26,BS별도,MATCH(I$1,BS별도H,0),0)/100,"")</f>
        <v/>
      </c>
      <c r="J26" s="18">
        <f>IFERROR(VLOOKUP($D26,BS별도,MATCH(J$1,BS별도H,0),0)/100,"")</f>
        <v/>
      </c>
      <c r="K26" s="37">
        <f>J26</f>
        <v/>
      </c>
      <c r="L26" s="18">
        <f>IFERROR(VLOOKUP($D26,BS별도,MATCH(L$1,BS별도H,0),0)/100,"")</f>
        <v/>
      </c>
      <c r="M26" s="18">
        <f>IFERROR(VLOOKUP($D26,BS별도,MATCH(M$1,BS별도H,0),0)/100,"")</f>
        <v/>
      </c>
      <c r="N26" s="18">
        <f>IFERROR(VLOOKUP($D26,BS별도,MATCH(N$1,BS별도H,0),0)/100,"")</f>
        <v/>
      </c>
      <c r="O26" s="18">
        <f>IFERROR(VLOOKUP($D26,BS별도,MATCH(O$1,BS별도H,0),0)/100,"")</f>
        <v/>
      </c>
      <c r="P26" s="37">
        <f>O26</f>
        <v/>
      </c>
      <c r="Q26" s="18">
        <f>IFERROR(VLOOKUP($D26,BS별도,MATCH(Q$1,BS별도H,0),0)/100,"")</f>
        <v/>
      </c>
      <c r="R26" s="18">
        <f>IFERROR(VLOOKUP($D26,BS별도,MATCH(R$1,BS별도H,0),0)/100,"")</f>
        <v/>
      </c>
      <c r="S26" s="18">
        <f>IFERROR(VLOOKUP($D26,BS별도,MATCH(S$1,BS별도H,0),0)/100,"")</f>
        <v/>
      </c>
      <c r="T26" s="18">
        <f>IFERROR(VLOOKUP($D26,BS별도,MATCH(T$1,BS별도H,0),0)/100,"")</f>
        <v/>
      </c>
      <c r="U26" s="37">
        <f>T26</f>
        <v/>
      </c>
      <c r="V26" s="18">
        <f>IFERROR(VLOOKUP($D26,BS별도,MATCH(V$1,BS별도H,0),0)/100,"")</f>
        <v/>
      </c>
      <c r="W26" s="18">
        <f>IFERROR(VLOOKUP($D26,BS별도,MATCH(W$1,BS별도H,0),0)/100,"")</f>
        <v/>
      </c>
      <c r="X26" s="18">
        <f>IFERROR(VLOOKUP($D26,BS별도,MATCH(X$1,BS별도H,0),0)/100,"")</f>
        <v/>
      </c>
      <c r="Y26" s="18">
        <f>IFERROR(VLOOKUP($D26,BS별도,MATCH(Y$1,BS별도H,0),0)/100,"")</f>
        <v/>
      </c>
      <c r="Z26" s="37">
        <f>Y26</f>
        <v/>
      </c>
      <c r="AA26" s="18">
        <f>IFERROR(VLOOKUP($D26,BS별도,MATCH(AA$1,BS별도H,0),0)/100,"")</f>
        <v/>
      </c>
      <c r="AB26" s="19">
        <f>IFERROR(VLOOKUP($D26,BS별도,MATCH(AB$1,BS별도H,0),0)/100,"")</f>
        <v/>
      </c>
      <c r="AC26" s="20">
        <f>IFERROR(AB26*(1+변수!AC34),"")</f>
        <v/>
      </c>
      <c r="AD26" s="20">
        <f>IFERROR(AC26*(1+변수!AD34),"")</f>
        <v/>
      </c>
      <c r="AE26" s="38">
        <f>AD26</f>
        <v/>
      </c>
      <c r="AF26" s="20">
        <f>IFERROR(AD26*(1+변수!AF34),"")</f>
        <v/>
      </c>
      <c r="AG26" s="20">
        <f>IFERROR(AF26*(1+변수!AG34),"")</f>
        <v/>
      </c>
      <c r="AH26" s="20">
        <f>IFERROR(AG26*(1+변수!AH34),"")</f>
        <v/>
      </c>
      <c r="AI26" s="20">
        <f>IFERROR(AH26*(1+변수!AI34),"")</f>
        <v/>
      </c>
      <c r="AJ26" s="38">
        <f>AI26</f>
        <v/>
      </c>
      <c r="AK26" s="20">
        <f>IFERROR(AI26*(1+변수!AK34),"")</f>
        <v/>
      </c>
      <c r="AL26" s="20">
        <f>IFERROR(AK26*(1+변수!AL34),"")</f>
        <v/>
      </c>
      <c r="AM26" s="20">
        <f>IFERROR(AL26*(1+변수!AM34),"")</f>
        <v/>
      </c>
      <c r="AN26" s="20">
        <f>IFERROR(AM26*(1+변수!AN34),"")</f>
        <v/>
      </c>
      <c r="AO26" s="38">
        <f>AN26</f>
        <v/>
      </c>
    </row>
    <row r="27">
      <c r="A27" s="12" t="inlineStr">
        <is>
          <t>현금및현금성자산</t>
        </is>
      </c>
      <c r="B27" t="inlineStr">
        <is>
          <t>재무상태</t>
        </is>
      </c>
      <c r="C27" t="inlineStr">
        <is>
          <t>억원</t>
        </is>
      </c>
      <c r="D27" t="inlineStr">
        <is>
          <t>현금및현금성자산</t>
        </is>
      </c>
      <c r="E27" s="18">
        <f>IFERROR(VLOOKUP($D27,BS별도,MATCH(E$1,BS별도H,0),0)/100,"")</f>
        <v/>
      </c>
      <c r="F27" s="37" t="n">
        <v>7.75</v>
      </c>
      <c r="G27" s="18">
        <f>IFERROR(VLOOKUP($D27,BS별도,MATCH(G$1,BS별도H,0),0)/100,"")</f>
        <v/>
      </c>
      <c r="H27" s="18">
        <f>IFERROR(VLOOKUP($D27,BS별도,MATCH(H$1,BS별도H,0),0)/100,"")</f>
        <v/>
      </c>
      <c r="I27" s="18">
        <f>IFERROR(VLOOKUP($D27,BS별도,MATCH(I$1,BS별도H,0),0)/100,"")</f>
        <v/>
      </c>
      <c r="J27" s="18">
        <f>IFERROR(VLOOKUP($D27,BS별도,MATCH(J$1,BS별도H,0),0)/100,"")</f>
        <v/>
      </c>
      <c r="K27" s="37">
        <f>J27</f>
        <v/>
      </c>
      <c r="L27" s="18">
        <f>IFERROR(VLOOKUP($D27,BS별도,MATCH(L$1,BS별도H,0),0)/100,"")</f>
        <v/>
      </c>
      <c r="M27" s="18">
        <f>IFERROR(VLOOKUP($D27,BS별도,MATCH(M$1,BS별도H,0),0)/100,"")</f>
        <v/>
      </c>
      <c r="N27" s="18">
        <f>IFERROR(VLOOKUP($D27,BS별도,MATCH(N$1,BS별도H,0),0)/100,"")</f>
        <v/>
      </c>
      <c r="O27" s="18">
        <f>IFERROR(VLOOKUP($D27,BS별도,MATCH(O$1,BS별도H,0),0)/100,"")</f>
        <v/>
      </c>
      <c r="P27" s="37">
        <f>O27</f>
        <v/>
      </c>
      <c r="Q27" s="18">
        <f>IFERROR(VLOOKUP($D27,BS별도,MATCH(Q$1,BS별도H,0),0)/100,"")</f>
        <v/>
      </c>
      <c r="R27" s="18">
        <f>IFERROR(VLOOKUP($D27,BS별도,MATCH(R$1,BS별도H,0),0)/100,"")</f>
        <v/>
      </c>
      <c r="S27" s="18">
        <f>IFERROR(VLOOKUP($D27,BS별도,MATCH(S$1,BS별도H,0),0)/100,"")</f>
        <v/>
      </c>
      <c r="T27" s="18">
        <f>IFERROR(VLOOKUP($D27,BS별도,MATCH(T$1,BS별도H,0),0)/100,"")</f>
        <v/>
      </c>
      <c r="U27" s="37">
        <f>T27</f>
        <v/>
      </c>
      <c r="V27" s="18">
        <f>IFERROR(VLOOKUP($D27,BS별도,MATCH(V$1,BS별도H,0),0)/100,"")</f>
        <v/>
      </c>
      <c r="W27" s="18">
        <f>IFERROR(VLOOKUP($D27,BS별도,MATCH(W$1,BS별도H,0),0)/100,"")</f>
        <v/>
      </c>
      <c r="X27" s="18">
        <f>IFERROR(VLOOKUP($D27,BS별도,MATCH(X$1,BS별도H,0),0)/100,"")</f>
        <v/>
      </c>
      <c r="Y27" s="18">
        <f>IFERROR(VLOOKUP($D27,BS별도,MATCH(Y$1,BS별도H,0),0)/100,"")</f>
        <v/>
      </c>
      <c r="Z27" s="37">
        <f>Y27</f>
        <v/>
      </c>
      <c r="AA27" s="18">
        <f>IFERROR(VLOOKUP($D27,BS별도,MATCH(AA$1,BS별도H,0),0)/100,"")</f>
        <v/>
      </c>
      <c r="AB27" s="19">
        <f>IFERROR(VLOOKUP($D27,BS별도,MATCH(AB$1,BS별도H,0),0)/100,"")</f>
        <v/>
      </c>
      <c r="AC27" s="20" t="n"/>
      <c r="AD27" s="20" t="n"/>
      <c r="AE27" s="38">
        <f>AD27</f>
        <v/>
      </c>
      <c r="AF27" s="20" t="n"/>
      <c r="AG27" s="20" t="n"/>
      <c r="AH27" s="20" t="n"/>
      <c r="AI27" s="20" t="n"/>
      <c r="AJ27" s="38">
        <f>AI27</f>
        <v/>
      </c>
      <c r="AK27" s="20" t="n"/>
      <c r="AL27" s="20" t="n"/>
      <c r="AM27" s="20" t="n"/>
      <c r="AN27" s="20" t="n"/>
      <c r="AO27" s="38">
        <f>AN27</f>
        <v/>
      </c>
    </row>
    <row r="28">
      <c r="A28" s="12" t="inlineStr">
        <is>
          <t>CAPEX</t>
        </is>
      </c>
      <c r="B28" t="inlineStr">
        <is>
          <t>현금흐름</t>
        </is>
      </c>
      <c r="C28" t="inlineStr">
        <is>
          <t>억원</t>
        </is>
      </c>
      <c r="D28" t="inlineStr">
        <is>
          <t>CAPEX</t>
        </is>
      </c>
      <c r="E28" s="18">
        <f>IFERROR(VLOOKUP($D28,BS별도,MATCH(E$1,BS별도H,0),0)/100,"")</f>
        <v/>
      </c>
      <c r="F28" s="37" t="n"/>
      <c r="G28" s="18">
        <f>IFERROR(VLOOKUP($D28,BS별도,MATCH(G$1,BS별도H,0),0)/100,"")</f>
        <v/>
      </c>
      <c r="H28" s="18">
        <f>IFERROR(VLOOKUP($D28,BS별도,MATCH(H$1,BS별도H,0),0)/100,"")</f>
        <v/>
      </c>
      <c r="I28" s="18">
        <f>IFERROR(VLOOKUP($D28,BS별도,MATCH(I$1,BS별도H,0),0)/100,"")</f>
        <v/>
      </c>
      <c r="J28" s="18">
        <f>IFERROR(VLOOKUP($D28,BS별도,MATCH(J$1,BS별도H,0),0)/100,"")</f>
        <v/>
      </c>
      <c r="K28" s="37">
        <f>SUM(G28:J28)</f>
        <v/>
      </c>
      <c r="L28" s="18">
        <f>IFERROR(VLOOKUP($D28,BS별도,MATCH(L$1,BS별도H,0),0)/100,"")</f>
        <v/>
      </c>
      <c r="M28" s="18">
        <f>IFERROR(VLOOKUP($D28,BS별도,MATCH(M$1,BS별도H,0),0)/100,"")</f>
        <v/>
      </c>
      <c r="N28" s="18">
        <f>IFERROR(VLOOKUP($D28,BS별도,MATCH(N$1,BS별도H,0),0)/100,"")</f>
        <v/>
      </c>
      <c r="O28" s="18">
        <f>IFERROR(VLOOKUP($D28,BS별도,MATCH(O$1,BS별도H,0),0)/100,"")</f>
        <v/>
      </c>
      <c r="P28" s="37">
        <f>SUM(L28:O28)</f>
        <v/>
      </c>
      <c r="Q28" s="18">
        <f>IFERROR(VLOOKUP($D28,BS별도,MATCH(Q$1,BS별도H,0),0)/100,"")</f>
        <v/>
      </c>
      <c r="R28" s="18">
        <f>IFERROR(VLOOKUP($D28,BS별도,MATCH(R$1,BS별도H,0),0)/100,"")</f>
        <v/>
      </c>
      <c r="S28" s="18">
        <f>IFERROR(VLOOKUP($D28,BS별도,MATCH(S$1,BS별도H,0),0)/100,"")</f>
        <v/>
      </c>
      <c r="T28" s="18">
        <f>IFERROR(VLOOKUP($D28,BS별도,MATCH(T$1,BS별도H,0),0)/100,"")</f>
        <v/>
      </c>
      <c r="U28" s="37">
        <f>SUM(Q28:T28)</f>
        <v/>
      </c>
      <c r="V28" s="18">
        <f>IFERROR(VLOOKUP($D28,BS별도,MATCH(V$1,BS별도H,0),0)/100,"")</f>
        <v/>
      </c>
      <c r="W28" s="18">
        <f>IFERROR(VLOOKUP($D28,BS별도,MATCH(W$1,BS별도H,0),0)/100,"")</f>
        <v/>
      </c>
      <c r="X28" s="18">
        <f>IFERROR(VLOOKUP($D28,BS별도,MATCH(X$1,BS별도H,0),0)/100,"")</f>
        <v/>
      </c>
      <c r="Y28" s="18">
        <f>IFERROR(VLOOKUP($D28,BS별도,MATCH(Y$1,BS별도H,0),0)/100,"")</f>
        <v/>
      </c>
      <c r="Z28" s="37">
        <f>SUM(V28:Y28)</f>
        <v/>
      </c>
      <c r="AA28" s="18">
        <f>IFERROR(VLOOKUP($D28,BS별도,MATCH(AA$1,BS별도H,0),0)/100,"")</f>
        <v/>
      </c>
      <c r="AB28" s="19">
        <f>IFERROR(VLOOKUP($D28,BS별도,MATCH(AB$1,BS별도H,0),0)/100,"")</f>
        <v/>
      </c>
      <c r="AC28" s="20">
        <f>IFERROR(X28*(1+변수!AC36),"")</f>
        <v/>
      </c>
      <c r="AD28" s="20">
        <f>IFERROR(Y28*(1+변수!AD36),"")</f>
        <v/>
      </c>
      <c r="AE28" s="38">
        <f>SUM(AA28:AD28)</f>
        <v/>
      </c>
      <c r="AF28" s="20">
        <f>IFERROR(AA28*(1+변수!AF36),"")</f>
        <v/>
      </c>
      <c r="AG28" s="20">
        <f>IFERROR(AB28*(1+변수!AG36),"")</f>
        <v/>
      </c>
      <c r="AH28" s="20">
        <f>IFERROR(AC28*(1+변수!AH36),"")</f>
        <v/>
      </c>
      <c r="AI28" s="20">
        <f>IFERROR(AD28*(1+변수!AI36),"")</f>
        <v/>
      </c>
      <c r="AJ28" s="38">
        <f>SUM(AF28:AI28)</f>
        <v/>
      </c>
      <c r="AK28" s="20">
        <f>IFERROR(AF28*(1+변수!AK36),"")</f>
        <v/>
      </c>
      <c r="AL28" s="20">
        <f>IFERROR(AG28*(1+변수!AL36),"")</f>
        <v/>
      </c>
      <c r="AM28" s="20">
        <f>IFERROR(AH28*(1+변수!AM36),"")</f>
        <v/>
      </c>
      <c r="AN28" s="20">
        <f>IFERROR(AI28*(1+변수!AN36),"")</f>
        <v/>
      </c>
      <c r="AO28" s="38">
        <f>SUM(AK28:AN28)</f>
        <v/>
      </c>
    </row>
    <row r="29">
      <c r="A29" s="12" t="inlineStr">
        <is>
          <t>영업활동현금흐름</t>
        </is>
      </c>
      <c r="B29" t="inlineStr">
        <is>
          <t>현금흐름</t>
        </is>
      </c>
      <c r="C29" t="inlineStr">
        <is>
          <t>억원</t>
        </is>
      </c>
      <c r="D29" t="inlineStr">
        <is>
          <t>영업활동으로인한현금흐름</t>
        </is>
      </c>
      <c r="E29" s="18">
        <f>IFERROR(VLOOKUP($D29,BS별도,MATCH(E$1,BS별도H,0),0)/100,"")</f>
        <v/>
      </c>
      <c r="F29" s="37" t="n"/>
      <c r="G29" s="18">
        <f>IFERROR(VLOOKUP($D29,BS별도,MATCH(G$1,BS별도H,0),0)/100,"")</f>
        <v/>
      </c>
      <c r="H29" s="18">
        <f>IFERROR(VLOOKUP($D29,BS별도,MATCH(H$1,BS별도H,0),0)/100,"")</f>
        <v/>
      </c>
      <c r="I29" s="18">
        <f>IFERROR(VLOOKUP($D29,BS별도,MATCH(I$1,BS별도H,0),0)/100,"")</f>
        <v/>
      </c>
      <c r="J29" s="18">
        <f>IFERROR(VLOOKUP($D29,BS별도,MATCH(J$1,BS별도H,0),0)/100,"")</f>
        <v/>
      </c>
      <c r="K29" s="37">
        <f>SUM(G29:J29)</f>
        <v/>
      </c>
      <c r="L29" s="18">
        <f>IFERROR(VLOOKUP($D29,BS별도,MATCH(L$1,BS별도H,0),0)/100,"")</f>
        <v/>
      </c>
      <c r="M29" s="18">
        <f>IFERROR(VLOOKUP($D29,BS별도,MATCH(M$1,BS별도H,0),0)/100,"")</f>
        <v/>
      </c>
      <c r="N29" s="18">
        <f>IFERROR(VLOOKUP($D29,BS별도,MATCH(N$1,BS별도H,0),0)/100,"")</f>
        <v/>
      </c>
      <c r="O29" s="18">
        <f>IFERROR(VLOOKUP($D29,BS별도,MATCH(O$1,BS별도H,0),0)/100,"")</f>
        <v/>
      </c>
      <c r="P29" s="37">
        <f>SUM(L29:O29)</f>
        <v/>
      </c>
      <c r="Q29" s="18">
        <f>IFERROR(VLOOKUP($D29,BS별도,MATCH(Q$1,BS별도H,0),0)/100,"")</f>
        <v/>
      </c>
      <c r="R29" s="18">
        <f>IFERROR(VLOOKUP($D29,BS별도,MATCH(R$1,BS별도H,0),0)/100,"")</f>
        <v/>
      </c>
      <c r="S29" s="18">
        <f>IFERROR(VLOOKUP($D29,BS별도,MATCH(S$1,BS별도H,0),0)/100,"")</f>
        <v/>
      </c>
      <c r="T29" s="18">
        <f>IFERROR(VLOOKUP($D29,BS별도,MATCH(T$1,BS별도H,0),0)/100,"")</f>
        <v/>
      </c>
      <c r="U29" s="37">
        <f>SUM(Q29:T29)</f>
        <v/>
      </c>
      <c r="V29" s="18">
        <f>IFERROR(VLOOKUP($D29,BS별도,MATCH(V$1,BS별도H,0),0)/100,"")</f>
        <v/>
      </c>
      <c r="W29" s="18">
        <f>IFERROR(VLOOKUP($D29,BS별도,MATCH(W$1,BS별도H,0),0)/100,"")</f>
        <v/>
      </c>
      <c r="X29" s="18">
        <f>IFERROR(VLOOKUP($D29,BS별도,MATCH(X$1,BS별도H,0),0)/100,"")</f>
        <v/>
      </c>
      <c r="Y29" s="18">
        <f>IFERROR(VLOOKUP($D29,BS별도,MATCH(Y$1,BS별도H,0),0)/100,"")</f>
        <v/>
      </c>
      <c r="Z29" s="37">
        <f>SUM(V29:Y29)</f>
        <v/>
      </c>
      <c r="AA29" s="18">
        <f>IFERROR(VLOOKUP($D29,BS별도,MATCH(AA$1,BS별도H,0),0)/100,"")</f>
        <v/>
      </c>
      <c r="AB29" s="19">
        <f>IFERROR(VLOOKUP($D29,BS별도,MATCH(AB$1,BS별도H,0),0)/100,"")</f>
        <v/>
      </c>
      <c r="AC29" s="20" t="n"/>
      <c r="AD29" s="20" t="n"/>
      <c r="AE29" s="38">
        <f>SUM(AA29:AD29)</f>
        <v/>
      </c>
      <c r="AF29" s="20" t="n"/>
      <c r="AG29" s="20" t="n"/>
      <c r="AH29" s="20" t="n"/>
      <c r="AI29" s="20" t="n"/>
      <c r="AJ29" s="38">
        <f>SUM(AF29:AI29)</f>
        <v/>
      </c>
      <c r="AK29" s="20" t="n"/>
      <c r="AL29" s="20" t="n"/>
      <c r="AM29" s="20" t="n"/>
      <c r="AN29" s="20" t="n"/>
      <c r="AO29" s="38">
        <f>SUM(AK29:AN29)</f>
        <v/>
      </c>
    </row>
    <row r="30">
      <c r="A30" s="12" t="inlineStr">
        <is>
          <t>주식수</t>
        </is>
      </c>
      <c r="B30" t="inlineStr">
        <is>
          <t>주당</t>
        </is>
      </c>
      <c r="C30" t="inlineStr">
        <is>
          <t>백만주</t>
        </is>
      </c>
      <c r="D30" t="inlineStr">
        <is>
          <t>유통주식수</t>
        </is>
      </c>
      <c r="E30" s="27" t="n">
        <v>7.2</v>
      </c>
      <c r="F30" s="28">
        <f>E30</f>
        <v/>
      </c>
      <c r="G30" s="27" t="n">
        <v>7.2</v>
      </c>
      <c r="H30" s="27" t="n">
        <v>7.2</v>
      </c>
      <c r="I30" s="27" t="n">
        <v>7.2</v>
      </c>
      <c r="J30" s="27" t="n">
        <v>7.2</v>
      </c>
      <c r="K30" s="28">
        <f>J30</f>
        <v/>
      </c>
      <c r="L30" s="27" t="n">
        <v>7.2</v>
      </c>
      <c r="M30" s="27" t="n">
        <v>7.2</v>
      </c>
      <c r="N30" s="27" t="n">
        <v>7.2</v>
      </c>
      <c r="O30" s="27" t="n">
        <v>7.2</v>
      </c>
      <c r="P30" s="28">
        <f>O30</f>
        <v/>
      </c>
      <c r="Q30" s="27" t="n">
        <v>7.2</v>
      </c>
      <c r="R30" s="27" t="n">
        <v>7.2</v>
      </c>
      <c r="S30" s="27" t="n">
        <v>7.2</v>
      </c>
      <c r="T30" s="27" t="n">
        <v>7.2</v>
      </c>
      <c r="U30" s="28">
        <f>T30</f>
        <v/>
      </c>
      <c r="V30" s="27" t="n">
        <v>7.2</v>
      </c>
      <c r="W30" s="27" t="n">
        <v>7.2</v>
      </c>
      <c r="X30" s="27" t="n">
        <v>7.2</v>
      </c>
      <c r="Y30" s="27" t="n">
        <v>7.2</v>
      </c>
      <c r="Z30" s="28">
        <f>Y30</f>
        <v/>
      </c>
      <c r="AA30" s="27" t="n">
        <v>7.2</v>
      </c>
      <c r="AB30" s="29" t="n">
        <v>7.2</v>
      </c>
      <c r="AC30" s="33">
        <f>IFERROR(AB30*(1+변수!AC38),"")</f>
        <v/>
      </c>
      <c r="AD30" s="33">
        <f>IFERROR(AC30*(1+변수!AD38),"")</f>
        <v/>
      </c>
      <c r="AE30" s="31">
        <f>AD30</f>
        <v/>
      </c>
      <c r="AF30" s="33">
        <f>IFERROR(AD30*(1+변수!AF38),"")</f>
        <v/>
      </c>
      <c r="AG30" s="33">
        <f>IFERROR(AF30*(1+변수!AG38),"")</f>
        <v/>
      </c>
      <c r="AH30" s="33">
        <f>IFERROR(AG30*(1+변수!AH38),"")</f>
        <v/>
      </c>
      <c r="AI30" s="33">
        <f>IFERROR(AH30*(1+변수!AI38),"")</f>
        <v/>
      </c>
      <c r="AJ30" s="31">
        <f>AI30</f>
        <v/>
      </c>
      <c r="AK30" s="33">
        <f>IFERROR(AI30*(1+변수!AK38),"")</f>
        <v/>
      </c>
      <c r="AL30" s="33">
        <f>IFERROR(AK30*(1+변수!AL38),"")</f>
        <v/>
      </c>
      <c r="AM30" s="33">
        <f>IFERROR(AL30*(1+변수!AM38),"")</f>
        <v/>
      </c>
      <c r="AN30" s="33">
        <f>IFERROR(AM30*(1+변수!AN38),"")</f>
        <v/>
      </c>
      <c r="AO30" s="31">
        <f>AN30</f>
        <v/>
      </c>
    </row>
    <row r="31">
      <c r="A31" s="12" t="inlineStr">
        <is>
          <t>EPS</t>
        </is>
      </c>
      <c r="B31" t="inlineStr">
        <is>
          <t>주당</t>
        </is>
      </c>
      <c r="C31" t="inlineStr">
        <is>
          <t>원</t>
        </is>
      </c>
      <c r="D31" t="inlineStr">
        <is>
          <t>EPS</t>
        </is>
      </c>
      <c r="E31" s="18">
        <f>IFERROR(E19*100/E30,"")</f>
        <v/>
      </c>
      <c r="F31" s="37" t="n"/>
      <c r="G31" s="18">
        <f>IFERROR(G19*100/G30,"")</f>
        <v/>
      </c>
      <c r="H31" s="18">
        <f>IFERROR(H19*100/H30,"")</f>
        <v/>
      </c>
      <c r="I31" s="18">
        <f>IFERROR(I19*100/I30,"")</f>
        <v/>
      </c>
      <c r="J31" s="18">
        <f>IFERROR(J19*100/J30,"")</f>
        <v/>
      </c>
      <c r="K31" s="37">
        <f>SUM(G31:J31)</f>
        <v/>
      </c>
      <c r="L31" s="18">
        <f>IFERROR(L19*100/L30,"")</f>
        <v/>
      </c>
      <c r="M31" s="18">
        <f>IFERROR(M19*100/M30,"")</f>
        <v/>
      </c>
      <c r="N31" s="18">
        <f>IFERROR(N19*100/N30,"")</f>
        <v/>
      </c>
      <c r="O31" s="18">
        <f>IFERROR(O19*100/O30,"")</f>
        <v/>
      </c>
      <c r="P31" s="37">
        <f>SUM(L31:O31)</f>
        <v/>
      </c>
      <c r="Q31" s="18">
        <f>IFERROR(Q19*100/Q30,"")</f>
        <v/>
      </c>
      <c r="R31" s="18">
        <f>IFERROR(R19*100/R30,"")</f>
        <v/>
      </c>
      <c r="S31" s="18">
        <f>IFERROR(S19*100/S30,"")</f>
        <v/>
      </c>
      <c r="T31" s="18">
        <f>IFERROR(T19*100/T30,"")</f>
        <v/>
      </c>
      <c r="U31" s="37">
        <f>SUM(Q31:T31)</f>
        <v/>
      </c>
      <c r="V31" s="18">
        <f>IFERROR(V19*100/V30,"")</f>
        <v/>
      </c>
      <c r="W31" s="18">
        <f>IFERROR(W19*100/W30,"")</f>
        <v/>
      </c>
      <c r="X31" s="18">
        <f>IFERROR(X19*100/X30,"")</f>
        <v/>
      </c>
      <c r="Y31" s="18">
        <f>IFERROR(Y19*100/Y30,"")</f>
        <v/>
      </c>
      <c r="Z31" s="37">
        <f>SUM(V31:Y31)</f>
        <v/>
      </c>
      <c r="AA31" s="18">
        <f>IFERROR(AA19*100/AA30,"")</f>
        <v/>
      </c>
      <c r="AB31" s="19">
        <f>IFERROR(AB19*100/AB30,"")</f>
        <v/>
      </c>
      <c r="AC31" s="20">
        <f>IFERROR(AC19*100/AC30,"")</f>
        <v/>
      </c>
      <c r="AD31" s="20">
        <f>IFERROR(AD19*100/AD30,"")</f>
        <v/>
      </c>
      <c r="AE31" s="38">
        <f>SUM(AA31:AD31)</f>
        <v/>
      </c>
      <c r="AF31" s="20">
        <f>IFERROR(AF19*100/AF30,"")</f>
        <v/>
      </c>
      <c r="AG31" s="20">
        <f>IFERROR(AG19*100/AG30,"")</f>
        <v/>
      </c>
      <c r="AH31" s="20">
        <f>IFERROR(AH19*100/AH30,"")</f>
        <v/>
      </c>
      <c r="AI31" s="20">
        <f>IFERROR(AI19*100/AI30,"")</f>
        <v/>
      </c>
      <c r="AJ31" s="38">
        <f>SUM(AF31:AI31)</f>
        <v/>
      </c>
      <c r="AK31" s="20">
        <f>IFERROR(AK19*100/AK30,"")</f>
        <v/>
      </c>
      <c r="AL31" s="20">
        <f>IFERROR(AL19*100/AL30,"")</f>
        <v/>
      </c>
      <c r="AM31" s="20">
        <f>IFERROR(AM19*100/AM30,"")</f>
        <v/>
      </c>
      <c r="AN31" s="20">
        <f>IFERROR(AN19*100/AN30,"")</f>
        <v/>
      </c>
      <c r="AO31" s="38">
        <f>SUM(AK31:AN31)</f>
        <v/>
      </c>
    </row>
    <row r="32">
      <c r="A32" s="12" t="inlineStr">
        <is>
          <t>조정EPS</t>
        </is>
      </c>
      <c r="B32" t="inlineStr">
        <is>
          <t>주당</t>
        </is>
      </c>
      <c r="C32" t="inlineStr">
        <is>
          <t>원</t>
        </is>
      </c>
      <c r="D32" t="inlineStr">
        <is>
          <t>조정 EPS(일회성 의심 분기의 초과 비영업손익 세후 차감 — 모델 추정)</t>
        </is>
      </c>
      <c r="E32" s="18">
        <f>IFERROR(E31,"")</f>
        <v/>
      </c>
      <c r="F32" s="37" t="n"/>
      <c r="G32" s="18">
        <f>IFERROR(G31,"")</f>
        <v/>
      </c>
      <c r="H32" s="18">
        <f>IFERROR(H31,"")</f>
        <v/>
      </c>
      <c r="I32" s="18">
        <f>IFERROR(I31,"")</f>
        <v/>
      </c>
      <c r="J32" s="18">
        <f>IFERROR(J31,"")</f>
        <v/>
      </c>
      <c r="K32" s="37">
        <f>SUM(G32:J32)</f>
        <v/>
      </c>
      <c r="L32" s="18">
        <f>IFERROR(L31,"")</f>
        <v/>
      </c>
      <c r="M32" s="18">
        <f>IFERROR(M31,"")</f>
        <v/>
      </c>
      <c r="N32" s="18">
        <f>IFERROR(N31,"")</f>
        <v/>
      </c>
      <c r="O32" s="18">
        <f>IFERROR(O31,"")</f>
        <v/>
      </c>
      <c r="P32" s="37">
        <f>SUM(L32:O32)</f>
        <v/>
      </c>
      <c r="Q32" s="18">
        <f>IFERROR(Q31,"")</f>
        <v/>
      </c>
      <c r="R32" s="18">
        <f>IFERROR(R31,"")</f>
        <v/>
      </c>
      <c r="S32" s="18">
        <f>IFERROR(S31,"")</f>
        <v/>
      </c>
      <c r="T32" s="18">
        <f>IFERROR(T31,"")</f>
        <v/>
      </c>
      <c r="U32" s="37">
        <f>SUM(Q32:T32)</f>
        <v/>
      </c>
      <c r="V32" s="18">
        <f>IFERROR(V31,"")</f>
        <v/>
      </c>
      <c r="W32" s="18">
        <f>IFERROR(W31,"")</f>
        <v/>
      </c>
      <c r="X32" s="18">
        <f>IFERROR(X31,"")</f>
        <v/>
      </c>
      <c r="Y32" s="20">
        <f>IFERROR((Y19-(-7.44)*(1.0))*100/Y30,"")</f>
        <v/>
      </c>
      <c r="Z32" s="37">
        <f>SUM(V32:Y32)</f>
        <v/>
      </c>
      <c r="AA32" s="18">
        <f>IFERROR(AA31,"")</f>
        <v/>
      </c>
      <c r="AB32" s="19">
        <f>IFERROR(AB31,"")</f>
        <v/>
      </c>
      <c r="AC32" s="20">
        <f>IFERROR(AC31,"")</f>
        <v/>
      </c>
      <c r="AD32" s="20">
        <f>IFERROR(AD31,"")</f>
        <v/>
      </c>
      <c r="AE32" s="38">
        <f>SUM(AA32:AD32)</f>
        <v/>
      </c>
      <c r="AF32" s="20">
        <f>IFERROR(AF31,"")</f>
        <v/>
      </c>
      <c r="AG32" s="20">
        <f>IFERROR(AG31,"")</f>
        <v/>
      </c>
      <c r="AH32" s="20">
        <f>IFERROR(AH31,"")</f>
        <v/>
      </c>
      <c r="AI32" s="20">
        <f>IFERROR(AI31,"")</f>
        <v/>
      </c>
      <c r="AJ32" s="38">
        <f>SUM(AF32:AI32)</f>
        <v/>
      </c>
      <c r="AK32" s="20">
        <f>IFERROR(AK31,"")</f>
        <v/>
      </c>
      <c r="AL32" s="20">
        <f>IFERROR(AL31,"")</f>
        <v/>
      </c>
      <c r="AM32" s="20">
        <f>IFERROR(AM31,"")</f>
        <v/>
      </c>
      <c r="AN32" s="20">
        <f>IFERROR(AN31,"")</f>
        <v/>
      </c>
      <c r="AO32" s="38">
        <f>SUM(AK32:AN32)</f>
        <v/>
      </c>
    </row>
    <row r="33">
      <c r="A33" s="12" t="inlineStr">
        <is>
          <t>BPS</t>
        </is>
      </c>
      <c r="B33" t="inlineStr">
        <is>
          <t>주당</t>
        </is>
      </c>
      <c r="C33" t="inlineStr">
        <is>
          <t>원</t>
        </is>
      </c>
      <c r="D33" t="inlineStr">
        <is>
          <t>BPS</t>
        </is>
      </c>
      <c r="E33" s="18">
        <f>IFERROR(E23*100/E30,"")</f>
        <v/>
      </c>
      <c r="F33" s="37">
        <f>E33</f>
        <v/>
      </c>
      <c r="G33" s="18">
        <f>IFERROR(G23*100/G30,"")</f>
        <v/>
      </c>
      <c r="H33" s="18">
        <f>IFERROR(H23*100/H30,"")</f>
        <v/>
      </c>
      <c r="I33" s="18">
        <f>IFERROR(I23*100/I30,"")</f>
        <v/>
      </c>
      <c r="J33" s="18">
        <f>IFERROR(J23*100/J30,"")</f>
        <v/>
      </c>
      <c r="K33" s="37">
        <f>J33</f>
        <v/>
      </c>
      <c r="L33" s="18">
        <f>IFERROR(L23*100/L30,"")</f>
        <v/>
      </c>
      <c r="M33" s="18">
        <f>IFERROR(M23*100/M30,"")</f>
        <v/>
      </c>
      <c r="N33" s="18">
        <f>IFERROR(N23*100/N30,"")</f>
        <v/>
      </c>
      <c r="O33" s="18">
        <f>IFERROR(O23*100/O30,"")</f>
        <v/>
      </c>
      <c r="P33" s="37">
        <f>O33</f>
        <v/>
      </c>
      <c r="Q33" s="18">
        <f>IFERROR(Q23*100/Q30,"")</f>
        <v/>
      </c>
      <c r="R33" s="18">
        <f>IFERROR(R23*100/R30,"")</f>
        <v/>
      </c>
      <c r="S33" s="18">
        <f>IFERROR(S23*100/S30,"")</f>
        <v/>
      </c>
      <c r="T33" s="18">
        <f>IFERROR(T23*100/T30,"")</f>
        <v/>
      </c>
      <c r="U33" s="37">
        <f>T33</f>
        <v/>
      </c>
      <c r="V33" s="18">
        <f>IFERROR(V23*100/V30,"")</f>
        <v/>
      </c>
      <c r="W33" s="18">
        <f>IFERROR(W23*100/W30,"")</f>
        <v/>
      </c>
      <c r="X33" s="18">
        <f>IFERROR(X23*100/X30,"")</f>
        <v/>
      </c>
      <c r="Y33" s="18">
        <f>IFERROR(Y23*100/Y30,"")</f>
        <v/>
      </c>
      <c r="Z33" s="37">
        <f>Y33</f>
        <v/>
      </c>
      <c r="AA33" s="18">
        <f>IFERROR(AA23*100/AA30,"")</f>
        <v/>
      </c>
      <c r="AB33" s="19">
        <f>IFERROR(AB23*100/AB30,"")</f>
        <v/>
      </c>
      <c r="AC33" s="20">
        <f>IFERROR(AC23*100/AC30,"")</f>
        <v/>
      </c>
      <c r="AD33" s="20">
        <f>IFERROR(AD23*100/AD30,"")</f>
        <v/>
      </c>
      <c r="AE33" s="38">
        <f>AD33</f>
        <v/>
      </c>
      <c r="AF33" s="20">
        <f>IFERROR(AF23*100/AF30,"")</f>
        <v/>
      </c>
      <c r="AG33" s="20">
        <f>IFERROR(AG23*100/AG30,"")</f>
        <v/>
      </c>
      <c r="AH33" s="20">
        <f>IFERROR(AH23*100/AH30,"")</f>
        <v/>
      </c>
      <c r="AI33" s="20">
        <f>IFERROR(AI23*100/AI30,"")</f>
        <v/>
      </c>
      <c r="AJ33" s="38">
        <f>AI33</f>
        <v/>
      </c>
      <c r="AK33" s="20">
        <f>IFERROR(AK23*100/AK30,"")</f>
        <v/>
      </c>
      <c r="AL33" s="20">
        <f>IFERROR(AL23*100/AL30,"")</f>
        <v/>
      </c>
      <c r="AM33" s="20">
        <f>IFERROR(AM23*100/AM30,"")</f>
        <v/>
      </c>
      <c r="AN33" s="20">
        <f>IFERROR(AN23*100/AN30,"")</f>
        <v/>
      </c>
      <c r="AO33" s="38">
        <f>AN33</f>
        <v/>
      </c>
    </row>
    <row r="34">
      <c r="A34" s="12" t="inlineStr">
        <is>
          <t>DPS</t>
        </is>
      </c>
      <c r="B34" t="inlineStr">
        <is>
          <t>주당</t>
        </is>
      </c>
      <c r="C34" t="inlineStr">
        <is>
          <t>원</t>
        </is>
      </c>
      <c r="D34" t="inlineStr">
        <is>
          <t>DPS(보통주)</t>
        </is>
      </c>
      <c r="E34" s="18" t="n">
        <v>0</v>
      </c>
      <c r="F34" s="37" t="n">
        <v>0</v>
      </c>
      <c r="G34" s="18" t="n"/>
      <c r="H34" s="18" t="n"/>
      <c r="I34" s="18" t="n"/>
      <c r="J34" s="18" t="n">
        <v>0</v>
      </c>
      <c r="K34" s="37">
        <f>SUM(G34:J34)</f>
        <v/>
      </c>
      <c r="L34" s="18" t="n"/>
      <c r="M34" s="18" t="n"/>
      <c r="N34" s="18" t="n"/>
      <c r="O34" s="18" t="n">
        <v>0</v>
      </c>
      <c r="P34" s="37">
        <f>SUM(L34:O34)</f>
        <v/>
      </c>
      <c r="Q34" s="18" t="n"/>
      <c r="R34" s="18" t="n"/>
      <c r="S34" s="18" t="n"/>
      <c r="T34" s="18" t="n">
        <v>0</v>
      </c>
      <c r="U34" s="37">
        <f>SUM(Q34:T34)</f>
        <v/>
      </c>
      <c r="V34" s="18" t="n"/>
      <c r="W34" s="18" t="n"/>
      <c r="X34" s="18" t="n"/>
      <c r="Y34" s="18" t="n">
        <v>0</v>
      </c>
      <c r="Z34" s="37">
        <f>SUM(V34:Y34)</f>
        <v/>
      </c>
      <c r="AA34" s="18" t="n"/>
      <c r="AB34" s="19" t="n"/>
      <c r="AC34" s="20" t="n"/>
      <c r="AD34" s="20">
        <f>변수!AD39</f>
        <v/>
      </c>
      <c r="AE34" s="38">
        <f>SUM(AA34:AD34)</f>
        <v/>
      </c>
      <c r="AF34" s="20" t="n"/>
      <c r="AG34" s="20" t="n"/>
      <c r="AH34" s="20" t="n"/>
      <c r="AI34" s="20">
        <f>변수!AI39</f>
        <v/>
      </c>
      <c r="AJ34" s="38">
        <f>SUM(AF34:AI34)</f>
        <v/>
      </c>
      <c r="AK34" s="20" t="n"/>
      <c r="AL34" s="20" t="n"/>
      <c r="AM34" s="20" t="n"/>
      <c r="AN34" s="20">
        <f>변수!AN39</f>
        <v/>
      </c>
      <c r="AO34" s="38">
        <f>SUM(AK34:AN34)</f>
        <v/>
      </c>
    </row>
    <row r="35">
      <c r="A35" s="12" t="inlineStr">
        <is>
          <t>PER</t>
        </is>
      </c>
      <c r="B35" t="inlineStr">
        <is>
          <t>주당</t>
        </is>
      </c>
      <c r="C35" t="inlineStr">
        <is>
          <t>배</t>
        </is>
      </c>
      <c r="D35" t="inlineStr">
        <is>
          <t>PER</t>
        </is>
      </c>
      <c r="E35" s="13" t="n"/>
      <c r="F35" s="14">
        <f>E35</f>
        <v/>
      </c>
      <c r="G35" s="13" t="n"/>
      <c r="H35" s="13" t="n"/>
      <c r="I35" s="13" t="n"/>
      <c r="J35" s="13" t="n"/>
      <c r="K35" s="14">
        <f>J35</f>
        <v/>
      </c>
      <c r="L35" s="13">
        <f>IFERROR(변수!L18/(H31+I31+J31+L31),"")</f>
        <v/>
      </c>
      <c r="M35" s="13">
        <f>IFERROR(변수!M18/(I31+J31+L31+M31),"")</f>
        <v/>
      </c>
      <c r="N35" s="13">
        <f>IFERROR(변수!N18/(J31+L31+M31+N31),"")</f>
        <v/>
      </c>
      <c r="O35" s="13">
        <f>IFERROR(변수!O18/(L31+M31+N31+O31),"")</f>
        <v/>
      </c>
      <c r="P35" s="14">
        <f>O35</f>
        <v/>
      </c>
      <c r="Q35" s="13">
        <f>IFERROR(변수!Q18/(M31+N31+O31+Q31),"")</f>
        <v/>
      </c>
      <c r="R35" s="13">
        <f>IFERROR(변수!R18/(N31+O31+Q31+R31),"")</f>
        <v/>
      </c>
      <c r="S35" s="13">
        <f>IFERROR(변수!S18/(O31+Q31+R31+S31),"")</f>
        <v/>
      </c>
      <c r="T35" s="13">
        <f>IFERROR(변수!T18/(Q31+R31+S31+T31),"")</f>
        <v/>
      </c>
      <c r="U35" s="14">
        <f>T35</f>
        <v/>
      </c>
      <c r="V35" s="13">
        <f>IFERROR(변수!V18/(R31+S31+T31+V31),"")</f>
        <v/>
      </c>
      <c r="W35" s="13">
        <f>IFERROR(변수!W18/(S31+T31+V31+W31),"")</f>
        <v/>
      </c>
      <c r="X35" s="13">
        <f>IFERROR(변수!X18/(T31+V31+W31+X31),"")</f>
        <v/>
      </c>
      <c r="Y35" s="13">
        <f>IFERROR(변수!Y18/(V31+W31+X31+Y31),"")</f>
        <v/>
      </c>
      <c r="Z35" s="14">
        <f>Y35</f>
        <v/>
      </c>
      <c r="AA35" s="13">
        <f>IFERROR(변수!AA18/(W31+X31+Y31+AA31),"")</f>
        <v/>
      </c>
      <c r="AB35" s="15">
        <f>IFERROR(변수!AB18/(X31+Y31+AA31+AB31),"")</f>
        <v/>
      </c>
      <c r="AC35" s="39">
        <f>IFERROR(변수!$D$42/(Y31+AA31+AB31+AC31),"")</f>
        <v/>
      </c>
      <c r="AD35" s="39">
        <f>IFERROR(변수!$D$42/(AA31+AB31+AC31+AD31),"")</f>
        <v/>
      </c>
      <c r="AE35" s="40">
        <f>AD35</f>
        <v/>
      </c>
      <c r="AF35" s="39">
        <f>IFERROR(변수!$D$42/(AB31+AC31+AD31+AF31),"")</f>
        <v/>
      </c>
      <c r="AG35" s="39">
        <f>IFERROR(변수!$D$42/(AC31+AD31+AF31+AG31),"")</f>
        <v/>
      </c>
      <c r="AH35" s="39">
        <f>IFERROR(변수!$D$42/(AD31+AF31+AG31+AH31),"")</f>
        <v/>
      </c>
      <c r="AI35" s="39">
        <f>IFERROR(변수!$D$42/(AF31+AG31+AH31+AI31),"")</f>
        <v/>
      </c>
      <c r="AJ35" s="40">
        <f>AI35</f>
        <v/>
      </c>
      <c r="AK35" s="39">
        <f>IFERROR(변수!$D$42/(AG31+AH31+AI31+AK31),"")</f>
        <v/>
      </c>
      <c r="AL35" s="39">
        <f>IFERROR(변수!$D$42/(AH31+AI31+AK31+AL31),"")</f>
        <v/>
      </c>
      <c r="AM35" s="39">
        <f>IFERROR(변수!$D$42/(AI31+AK31+AL31+AM31),"")</f>
        <v/>
      </c>
      <c r="AN35" s="39">
        <f>IFERROR(변수!$D$42/(AK31+AL31+AM31+AN31),"")</f>
        <v/>
      </c>
      <c r="AO35" s="40">
        <f>AN35</f>
        <v/>
      </c>
    </row>
    <row r="36">
      <c r="A36" s="12" t="inlineStr">
        <is>
          <t>PBR</t>
        </is>
      </c>
      <c r="B36" t="inlineStr">
        <is>
          <t>주당</t>
        </is>
      </c>
      <c r="C36" t="inlineStr">
        <is>
          <t>배</t>
        </is>
      </c>
      <c r="D36" t="inlineStr">
        <is>
          <t>PBR</t>
        </is>
      </c>
      <c r="E36" s="13" t="n"/>
      <c r="F36" s="14">
        <f>E36</f>
        <v/>
      </c>
      <c r="G36" s="13" t="n"/>
      <c r="H36" s="13" t="n"/>
      <c r="I36" s="13" t="n"/>
      <c r="J36" s="13" t="n"/>
      <c r="K36" s="14">
        <f>J36</f>
        <v/>
      </c>
      <c r="L36" s="13">
        <f>IFERROR(변수!L18/L33,"")</f>
        <v/>
      </c>
      <c r="M36" s="13">
        <f>IFERROR(변수!M18/M33,"")</f>
        <v/>
      </c>
      <c r="N36" s="13">
        <f>IFERROR(변수!N18/N33,"")</f>
        <v/>
      </c>
      <c r="O36" s="13">
        <f>IFERROR(변수!O18/O33,"")</f>
        <v/>
      </c>
      <c r="P36" s="14">
        <f>O36</f>
        <v/>
      </c>
      <c r="Q36" s="13">
        <f>IFERROR(변수!Q18/Q33,"")</f>
        <v/>
      </c>
      <c r="R36" s="13">
        <f>IFERROR(변수!R18/R33,"")</f>
        <v/>
      </c>
      <c r="S36" s="13">
        <f>IFERROR(변수!S18/S33,"")</f>
        <v/>
      </c>
      <c r="T36" s="13">
        <f>IFERROR(변수!T18/T33,"")</f>
        <v/>
      </c>
      <c r="U36" s="14">
        <f>T36</f>
        <v/>
      </c>
      <c r="V36" s="13">
        <f>IFERROR(변수!V18/V33,"")</f>
        <v/>
      </c>
      <c r="W36" s="13">
        <f>IFERROR(변수!W18/W33,"")</f>
        <v/>
      </c>
      <c r="X36" s="13">
        <f>IFERROR(변수!X18/X33,"")</f>
        <v/>
      </c>
      <c r="Y36" s="13">
        <f>IFERROR(변수!Y18/Y33,"")</f>
        <v/>
      </c>
      <c r="Z36" s="14">
        <f>Y36</f>
        <v/>
      </c>
      <c r="AA36" s="13">
        <f>IFERROR(변수!AA18/AA33,"")</f>
        <v/>
      </c>
      <c r="AB36" s="15">
        <f>IFERROR(변수!AB18/AB33,"")</f>
        <v/>
      </c>
      <c r="AC36" s="39">
        <f>IFERROR(변수!$D$42/AC33,"")</f>
        <v/>
      </c>
      <c r="AD36" s="39">
        <f>IFERROR(변수!$D$42/AD33,"")</f>
        <v/>
      </c>
      <c r="AE36" s="40">
        <f>AD36</f>
        <v/>
      </c>
      <c r="AF36" s="39">
        <f>IFERROR(변수!$D$42/AF33,"")</f>
        <v/>
      </c>
      <c r="AG36" s="39">
        <f>IFERROR(변수!$D$42/AG33,"")</f>
        <v/>
      </c>
      <c r="AH36" s="39">
        <f>IFERROR(변수!$D$42/AH33,"")</f>
        <v/>
      </c>
      <c r="AI36" s="39">
        <f>IFERROR(변수!$D$42/AI33,"")</f>
        <v/>
      </c>
      <c r="AJ36" s="40">
        <f>AI36</f>
        <v/>
      </c>
      <c r="AK36" s="39">
        <f>IFERROR(변수!$D$42/AK33,"")</f>
        <v/>
      </c>
      <c r="AL36" s="39">
        <f>IFERROR(변수!$D$42/AL33,"")</f>
        <v/>
      </c>
      <c r="AM36" s="39">
        <f>IFERROR(변수!$D$42/AM33,"")</f>
        <v/>
      </c>
      <c r="AN36" s="39">
        <f>IFERROR(변수!$D$42/AN33,"")</f>
        <v/>
      </c>
      <c r="AO36" s="40">
        <f>AN36</f>
        <v/>
      </c>
    </row>
    <row r="37">
      <c r="A37" s="12" t="inlineStr">
        <is>
          <t>매출전사</t>
        </is>
      </c>
      <c r="B37" t="inlineStr">
        <is>
          <t>사업부</t>
        </is>
      </c>
      <c r="C37" t="inlineStr">
        <is>
          <t>억원</t>
        </is>
      </c>
      <c r="D37" t="inlineStr">
        <is>
          <t>매출 전사(부문 미분리)</t>
        </is>
      </c>
      <c r="E37" s="18" t="n">
        <v>93.05</v>
      </c>
      <c r="F37" s="37" t="n"/>
      <c r="G37" s="18" t="n">
        <v>73.59</v>
      </c>
      <c r="H37" s="18" t="n">
        <v>95.66</v>
      </c>
      <c r="I37" s="18" t="n">
        <v>88.97</v>
      </c>
      <c r="J37" s="18" t="n">
        <v>101.94</v>
      </c>
      <c r="K37" s="37">
        <f>SUM(G37:J37)</f>
        <v/>
      </c>
      <c r="L37" s="18" t="n">
        <v>109.68</v>
      </c>
      <c r="M37" s="18" t="n">
        <v>115.38</v>
      </c>
      <c r="N37" s="18" t="n">
        <v>99.01000000000001</v>
      </c>
      <c r="O37" s="18" t="n">
        <v>112.26</v>
      </c>
      <c r="P37" s="37">
        <f>SUM(L37:O37)</f>
        <v/>
      </c>
      <c r="Q37" s="18" t="n">
        <v>106.89</v>
      </c>
      <c r="R37" s="18" t="n">
        <v>115.24</v>
      </c>
      <c r="S37" s="18" t="n">
        <v>97.09999999999999</v>
      </c>
      <c r="T37" s="18" t="n">
        <v>152.08</v>
      </c>
      <c r="U37" s="37">
        <f>SUM(Q37:T37)</f>
        <v/>
      </c>
      <c r="V37" s="18" t="n">
        <v>125.39</v>
      </c>
      <c r="W37" s="18" t="n">
        <v>120.34</v>
      </c>
      <c r="X37" s="18" t="n">
        <v>116.42</v>
      </c>
      <c r="Y37" s="18" t="n">
        <v>125.9</v>
      </c>
      <c r="Z37" s="37">
        <f>SUM(V37:Y37)</f>
        <v/>
      </c>
      <c r="AA37" s="18" t="n">
        <v>114.94</v>
      </c>
      <c r="AB37" s="19" t="n">
        <v>127.96</v>
      </c>
      <c r="AC37" s="20">
        <f>IFERROR(AC5,"")</f>
        <v/>
      </c>
      <c r="AD37" s="20">
        <f>IFERROR(AD5,"")</f>
        <v/>
      </c>
      <c r="AE37" s="38">
        <f>SUM(AA37:AD37)</f>
        <v/>
      </c>
      <c r="AF37" s="20">
        <f>IFERROR(AF5,"")</f>
        <v/>
      </c>
      <c r="AG37" s="20">
        <f>IFERROR(AG5,"")</f>
        <v/>
      </c>
      <c r="AH37" s="20">
        <f>IFERROR(AH5,"")</f>
        <v/>
      </c>
      <c r="AI37" s="20">
        <f>IFERROR(AI5,"")</f>
        <v/>
      </c>
      <c r="AJ37" s="38">
        <f>SUM(AF37:AI37)</f>
        <v/>
      </c>
      <c r="AK37" s="20">
        <f>IFERROR(AK5,"")</f>
        <v/>
      </c>
      <c r="AL37" s="20">
        <f>IFERROR(AL5,"")</f>
        <v/>
      </c>
      <c r="AM37" s="20">
        <f>IFERROR(AM5,"")</f>
        <v/>
      </c>
      <c r="AN37" s="20">
        <f>IFERROR(AN5,"")</f>
        <v/>
      </c>
      <c r="AO37" s="38">
        <f>SUM(AK37:AN37)</f>
        <v/>
      </c>
    </row>
    <row r="38">
      <c r="A38" s="12" t="inlineStr">
        <is>
          <t>OP전사</t>
        </is>
      </c>
      <c r="B38" t="inlineStr">
        <is>
          <t>사업부</t>
        </is>
      </c>
      <c r="C38" t="inlineStr">
        <is>
          <t>억원</t>
        </is>
      </c>
      <c r="D38" t="inlineStr">
        <is>
          <t>OP 전사(부문 미분리)</t>
        </is>
      </c>
      <c r="E38" s="18" t="n">
        <v>14.6</v>
      </c>
      <c r="F38" s="37" t="n"/>
      <c r="G38" s="18" t="n">
        <v>0.57</v>
      </c>
      <c r="H38" s="18" t="n">
        <v>3.64</v>
      </c>
      <c r="I38" s="18" t="n">
        <v>9.43</v>
      </c>
      <c r="J38" s="18" t="n">
        <v>11.35</v>
      </c>
      <c r="K38" s="37">
        <f>SUM(G38:J38)</f>
        <v/>
      </c>
      <c r="L38" s="18" t="n">
        <v>11.12</v>
      </c>
      <c r="M38" s="18" t="n">
        <v>11.44</v>
      </c>
      <c r="N38" s="18" t="n">
        <v>6.03</v>
      </c>
      <c r="O38" s="18" t="n">
        <v>3.73</v>
      </c>
      <c r="P38" s="37">
        <f>SUM(L38:O38)</f>
        <v/>
      </c>
      <c r="Q38" s="18" t="n">
        <v>10.57</v>
      </c>
      <c r="R38" s="18" t="n">
        <v>7.56</v>
      </c>
      <c r="S38" s="18" t="n">
        <v>-4.72</v>
      </c>
      <c r="T38" s="18" t="n">
        <v>21.14</v>
      </c>
      <c r="U38" s="37">
        <f>SUM(Q38:T38)</f>
        <v/>
      </c>
      <c r="V38" s="18" t="n">
        <v>-0.76</v>
      </c>
      <c r="W38" s="18" t="n">
        <v>7.1</v>
      </c>
      <c r="X38" s="18" t="n">
        <v>3.7</v>
      </c>
      <c r="Y38" s="18" t="n">
        <v>-1.02</v>
      </c>
      <c r="Z38" s="37">
        <f>SUM(V38:Y38)</f>
        <v/>
      </c>
      <c r="AA38" s="18" t="n">
        <v>3.09</v>
      </c>
      <c r="AB38" s="19" t="n">
        <v>4.15</v>
      </c>
      <c r="AC38" s="20">
        <f>IFERROR(AC9,"")</f>
        <v/>
      </c>
      <c r="AD38" s="20">
        <f>IFERROR(AD9,"")</f>
        <v/>
      </c>
      <c r="AE38" s="38">
        <f>SUM(AA38:AD38)</f>
        <v/>
      </c>
      <c r="AF38" s="20">
        <f>IFERROR(AF9,"")</f>
        <v/>
      </c>
      <c r="AG38" s="20">
        <f>IFERROR(AG9,"")</f>
        <v/>
      </c>
      <c r="AH38" s="20">
        <f>IFERROR(AH9,"")</f>
        <v/>
      </c>
      <c r="AI38" s="20">
        <f>IFERROR(AI9,"")</f>
        <v/>
      </c>
      <c r="AJ38" s="38">
        <f>SUM(AF38:AI38)</f>
        <v/>
      </c>
      <c r="AK38" s="20">
        <f>IFERROR(AK9,"")</f>
        <v/>
      </c>
      <c r="AL38" s="20">
        <f>IFERROR(AL9,"")</f>
        <v/>
      </c>
      <c r="AM38" s="20">
        <f>IFERROR(AM9,"")</f>
        <v/>
      </c>
      <c r="AN38" s="20">
        <f>IFERROR(AN9,"")</f>
        <v/>
      </c>
      <c r="AO38" s="38">
        <f>SUM(AK38:AN38)</f>
        <v/>
      </c>
    </row>
    <row r="39">
      <c r="B39" s="2" t="inlineStr">
        <is>
          <t>비율(참고)</t>
        </is>
      </c>
      <c r="F39" s="9" t="n"/>
      <c r="K39" s="9" t="n"/>
      <c r="P39" s="9" t="n"/>
      <c r="U39" s="9" t="n"/>
      <c r="Z39" s="9" t="n"/>
      <c r="AB39" s="5" t="n"/>
      <c r="AC39" s="10" t="n"/>
      <c r="AD39" s="10" t="n"/>
      <c r="AE39" s="11" t="n"/>
      <c r="AF39" s="10" t="n"/>
      <c r="AG39" s="10" t="n"/>
      <c r="AH39" s="10" t="n"/>
      <c r="AI39" s="10" t="n"/>
      <c r="AJ39" s="11" t="n"/>
      <c r="AK39" s="10" t="n"/>
      <c r="AL39" s="10" t="n"/>
      <c r="AM39" s="10" t="n"/>
      <c r="AN39" s="10" t="n"/>
      <c r="AO39" s="11" t="n"/>
    </row>
    <row r="40">
      <c r="A40" s="12" t="inlineStr">
        <is>
          <t>NPM</t>
        </is>
      </c>
      <c r="C40" t="inlineStr">
        <is>
          <t>%</t>
        </is>
      </c>
      <c r="D40" t="inlineStr">
        <is>
          <t>지배주주순이익 / 매출액</t>
        </is>
      </c>
      <c r="E40" s="21">
        <f>IFERROR(E19/E5,"")</f>
        <v/>
      </c>
      <c r="F40" s="22">
        <f>IFERROR(F19/F5,"")</f>
        <v/>
      </c>
      <c r="G40" s="21">
        <f>IFERROR(G19/G5,"")</f>
        <v/>
      </c>
      <c r="H40" s="21">
        <f>IFERROR(H19/H5,"")</f>
        <v/>
      </c>
      <c r="I40" s="21">
        <f>IFERROR(I19/I5,"")</f>
        <v/>
      </c>
      <c r="J40" s="21">
        <f>IFERROR(J19/J5,"")</f>
        <v/>
      </c>
      <c r="K40" s="22">
        <f>IFERROR(K19/K5,"")</f>
        <v/>
      </c>
      <c r="L40" s="21">
        <f>IFERROR(L19/L5,"")</f>
        <v/>
      </c>
      <c r="M40" s="21">
        <f>IFERROR(M19/M5,"")</f>
        <v/>
      </c>
      <c r="N40" s="21">
        <f>IFERROR(N19/N5,"")</f>
        <v/>
      </c>
      <c r="O40" s="21">
        <f>IFERROR(O19/O5,"")</f>
        <v/>
      </c>
      <c r="P40" s="22">
        <f>IFERROR(P19/P5,"")</f>
        <v/>
      </c>
      <c r="Q40" s="21">
        <f>IFERROR(Q19/Q5,"")</f>
        <v/>
      </c>
      <c r="R40" s="21">
        <f>IFERROR(R19/R5,"")</f>
        <v/>
      </c>
      <c r="S40" s="21">
        <f>IFERROR(S19/S5,"")</f>
        <v/>
      </c>
      <c r="T40" s="21">
        <f>IFERROR(T19/T5,"")</f>
        <v/>
      </c>
      <c r="U40" s="22">
        <f>IFERROR(U19/U5,"")</f>
        <v/>
      </c>
      <c r="V40" s="21">
        <f>IFERROR(V19/V5,"")</f>
        <v/>
      </c>
      <c r="W40" s="21">
        <f>IFERROR(W19/W5,"")</f>
        <v/>
      </c>
      <c r="X40" s="21">
        <f>IFERROR(X19/X5,"")</f>
        <v/>
      </c>
      <c r="Y40" s="21">
        <f>IFERROR(Y19/Y5,"")</f>
        <v/>
      </c>
      <c r="Z40" s="22">
        <f>IFERROR(Z19/Z5,"")</f>
        <v/>
      </c>
      <c r="AA40" s="21">
        <f>IFERROR(AA19/AA5,"")</f>
        <v/>
      </c>
      <c r="AB40" s="23">
        <f>IFERROR(AB19/AB5,"")</f>
        <v/>
      </c>
      <c r="AC40" s="32">
        <f>IFERROR(AC19/AC5,"")</f>
        <v/>
      </c>
      <c r="AD40" s="32">
        <f>IFERROR(AD19/AD5,"")</f>
        <v/>
      </c>
      <c r="AE40" s="25">
        <f>IFERROR(AE19/AE5,"")</f>
        <v/>
      </c>
      <c r="AF40" s="32">
        <f>IFERROR(AF19/AF5,"")</f>
        <v/>
      </c>
      <c r="AG40" s="32">
        <f>IFERROR(AG19/AG5,"")</f>
        <v/>
      </c>
      <c r="AH40" s="32">
        <f>IFERROR(AH19/AH5,"")</f>
        <v/>
      </c>
      <c r="AI40" s="32">
        <f>IFERROR(AI19/AI5,"")</f>
        <v/>
      </c>
      <c r="AJ40" s="25">
        <f>IFERROR(AJ19/AJ5,"")</f>
        <v/>
      </c>
      <c r="AK40" s="32">
        <f>IFERROR(AK19/AK5,"")</f>
        <v/>
      </c>
      <c r="AL40" s="32">
        <f>IFERROR(AL19/AL5,"")</f>
        <v/>
      </c>
      <c r="AM40" s="32">
        <f>IFERROR(AM19/AM5,"")</f>
        <v/>
      </c>
      <c r="AN40" s="32">
        <f>IFERROR(AN19/AN5,"")</f>
        <v/>
      </c>
      <c r="AO40" s="25">
        <f>IFERROR(AO19/AO5,"")</f>
        <v/>
      </c>
    </row>
    <row r="41">
      <c r="A41" s="12" t="inlineStr">
        <is>
          <t>매출원가율</t>
        </is>
      </c>
      <c r="C41" t="inlineStr">
        <is>
          <t>%</t>
        </is>
      </c>
      <c r="D41" t="inlineStr">
        <is>
          <t>매출원가 / 매출액</t>
        </is>
      </c>
      <c r="E41" s="21">
        <f>IFERROR(E6/E5,"")</f>
        <v/>
      </c>
      <c r="F41" s="22">
        <f>IFERROR(F6/F5,"")</f>
        <v/>
      </c>
      <c r="G41" s="21">
        <f>IFERROR(G6/G5,"")</f>
        <v/>
      </c>
      <c r="H41" s="21">
        <f>IFERROR(H6/H5,"")</f>
        <v/>
      </c>
      <c r="I41" s="21">
        <f>IFERROR(I6/I5,"")</f>
        <v/>
      </c>
      <c r="J41" s="21">
        <f>IFERROR(J6/J5,"")</f>
        <v/>
      </c>
      <c r="K41" s="22">
        <f>IFERROR(K6/K5,"")</f>
        <v/>
      </c>
      <c r="L41" s="21">
        <f>IFERROR(L6/L5,"")</f>
        <v/>
      </c>
      <c r="M41" s="21">
        <f>IFERROR(M6/M5,"")</f>
        <v/>
      </c>
      <c r="N41" s="21">
        <f>IFERROR(N6/N5,"")</f>
        <v/>
      </c>
      <c r="O41" s="21">
        <f>IFERROR(O6/O5,"")</f>
        <v/>
      </c>
      <c r="P41" s="22">
        <f>IFERROR(P6/P5,"")</f>
        <v/>
      </c>
      <c r="Q41" s="21">
        <f>IFERROR(Q6/Q5,"")</f>
        <v/>
      </c>
      <c r="R41" s="21">
        <f>IFERROR(R6/R5,"")</f>
        <v/>
      </c>
      <c r="S41" s="21">
        <f>IFERROR(S6/S5,"")</f>
        <v/>
      </c>
      <c r="T41" s="21">
        <f>IFERROR(T6/T5,"")</f>
        <v/>
      </c>
      <c r="U41" s="22">
        <f>IFERROR(U6/U5,"")</f>
        <v/>
      </c>
      <c r="V41" s="21">
        <f>IFERROR(V6/V5,"")</f>
        <v/>
      </c>
      <c r="W41" s="21">
        <f>IFERROR(W6/W5,"")</f>
        <v/>
      </c>
      <c r="X41" s="21">
        <f>IFERROR(X6/X5,"")</f>
        <v/>
      </c>
      <c r="Y41" s="21">
        <f>IFERROR(Y6/Y5,"")</f>
        <v/>
      </c>
      <c r="Z41" s="22">
        <f>IFERROR(Z6/Z5,"")</f>
        <v/>
      </c>
      <c r="AA41" s="21">
        <f>IFERROR(AA6/AA5,"")</f>
        <v/>
      </c>
      <c r="AB41" s="23">
        <f>IFERROR(AB6/AB5,"")</f>
        <v/>
      </c>
      <c r="AC41" s="32">
        <f>IFERROR(AC6/AC5,"")</f>
        <v/>
      </c>
      <c r="AD41" s="32">
        <f>IFERROR(AD6/AD5,"")</f>
        <v/>
      </c>
      <c r="AE41" s="25">
        <f>IFERROR(AE6/AE5,"")</f>
        <v/>
      </c>
      <c r="AF41" s="32">
        <f>IFERROR(AF6/AF5,"")</f>
        <v/>
      </c>
      <c r="AG41" s="32">
        <f>IFERROR(AG6/AG5,"")</f>
        <v/>
      </c>
      <c r="AH41" s="32">
        <f>IFERROR(AH6/AH5,"")</f>
        <v/>
      </c>
      <c r="AI41" s="32">
        <f>IFERROR(AI6/AI5,"")</f>
        <v/>
      </c>
      <c r="AJ41" s="25">
        <f>IFERROR(AJ6/AJ5,"")</f>
        <v/>
      </c>
      <c r="AK41" s="32">
        <f>IFERROR(AK6/AK5,"")</f>
        <v/>
      </c>
      <c r="AL41" s="32">
        <f>IFERROR(AL6/AL5,"")</f>
        <v/>
      </c>
      <c r="AM41" s="32">
        <f>IFERROR(AM6/AM5,"")</f>
        <v/>
      </c>
      <c r="AN41" s="32">
        <f>IFERROR(AN6/AN5,"")</f>
        <v/>
      </c>
      <c r="AO41" s="25">
        <f>IFERROR(AO6/AO5,"")</f>
        <v/>
      </c>
    </row>
    <row r="42">
      <c r="A42" s="12" t="inlineStr">
        <is>
          <t>판관비율</t>
        </is>
      </c>
      <c r="C42" t="inlineStr">
        <is>
          <t>%</t>
        </is>
      </c>
      <c r="D42" t="inlineStr">
        <is>
          <t>판관비 / 매출액</t>
        </is>
      </c>
      <c r="E42" s="21">
        <f>IFERROR(E8/E5,"")</f>
        <v/>
      </c>
      <c r="F42" s="22">
        <f>IFERROR(F8/F5,"")</f>
        <v/>
      </c>
      <c r="G42" s="21">
        <f>IFERROR(G8/G5,"")</f>
        <v/>
      </c>
      <c r="H42" s="21">
        <f>IFERROR(H8/H5,"")</f>
        <v/>
      </c>
      <c r="I42" s="21">
        <f>IFERROR(I8/I5,"")</f>
        <v/>
      </c>
      <c r="J42" s="21">
        <f>IFERROR(J8/J5,"")</f>
        <v/>
      </c>
      <c r="K42" s="22">
        <f>IFERROR(K8/K5,"")</f>
        <v/>
      </c>
      <c r="L42" s="21">
        <f>IFERROR(L8/L5,"")</f>
        <v/>
      </c>
      <c r="M42" s="21">
        <f>IFERROR(M8/M5,"")</f>
        <v/>
      </c>
      <c r="N42" s="21">
        <f>IFERROR(N8/N5,"")</f>
        <v/>
      </c>
      <c r="O42" s="21">
        <f>IFERROR(O8/O5,"")</f>
        <v/>
      </c>
      <c r="P42" s="22">
        <f>IFERROR(P8/P5,"")</f>
        <v/>
      </c>
      <c r="Q42" s="21">
        <f>IFERROR(Q8/Q5,"")</f>
        <v/>
      </c>
      <c r="R42" s="21">
        <f>IFERROR(R8/R5,"")</f>
        <v/>
      </c>
      <c r="S42" s="21">
        <f>IFERROR(S8/S5,"")</f>
        <v/>
      </c>
      <c r="T42" s="21">
        <f>IFERROR(T8/T5,"")</f>
        <v/>
      </c>
      <c r="U42" s="22">
        <f>IFERROR(U8/U5,"")</f>
        <v/>
      </c>
      <c r="V42" s="21">
        <f>IFERROR(V8/V5,"")</f>
        <v/>
      </c>
      <c r="W42" s="21">
        <f>IFERROR(W8/W5,"")</f>
        <v/>
      </c>
      <c r="X42" s="21">
        <f>IFERROR(X8/X5,"")</f>
        <v/>
      </c>
      <c r="Y42" s="21">
        <f>IFERROR(Y8/Y5,"")</f>
        <v/>
      </c>
      <c r="Z42" s="22">
        <f>IFERROR(Z8/Z5,"")</f>
        <v/>
      </c>
      <c r="AA42" s="21">
        <f>IFERROR(AA8/AA5,"")</f>
        <v/>
      </c>
      <c r="AB42" s="23">
        <f>IFERROR(AB8/AB5,"")</f>
        <v/>
      </c>
      <c r="AC42" s="32">
        <f>IFERROR(AC8/AC5,"")</f>
        <v/>
      </c>
      <c r="AD42" s="32">
        <f>IFERROR(AD8/AD5,"")</f>
        <v/>
      </c>
      <c r="AE42" s="25">
        <f>IFERROR(AE8/AE5,"")</f>
        <v/>
      </c>
      <c r="AF42" s="32">
        <f>IFERROR(AF8/AF5,"")</f>
        <v/>
      </c>
      <c r="AG42" s="32">
        <f>IFERROR(AG8/AG5,"")</f>
        <v/>
      </c>
      <c r="AH42" s="32">
        <f>IFERROR(AH8/AH5,"")</f>
        <v/>
      </c>
      <c r="AI42" s="32">
        <f>IFERROR(AI8/AI5,"")</f>
        <v/>
      </c>
      <c r="AJ42" s="25">
        <f>IFERROR(AJ8/AJ5,"")</f>
        <v/>
      </c>
      <c r="AK42" s="32">
        <f>IFERROR(AK8/AK5,"")</f>
        <v/>
      </c>
      <c r="AL42" s="32">
        <f>IFERROR(AL8/AL5,"")</f>
        <v/>
      </c>
      <c r="AM42" s="32">
        <f>IFERROR(AM8/AM5,"")</f>
        <v/>
      </c>
      <c r="AN42" s="32">
        <f>IFERROR(AN8/AN5,"")</f>
        <v/>
      </c>
      <c r="AO42" s="25">
        <f>IFERROR(AO8/AO5,"")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42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</cols>
  <sheetData>
    <row r="1">
      <c r="C1" s="2" t="inlineStr">
        <is>
          <t>이름: 분기H — subQ 를 이름으로 VLOOKUP(억원)</t>
        </is>
      </c>
      <c r="E1" s="3" t="inlineStr">
        <is>
          <t>4Q21</t>
        </is>
      </c>
      <c r="F1" s="3" t="inlineStr">
        <is>
          <t>1Q22</t>
        </is>
      </c>
      <c r="G1" s="3" t="inlineStr">
        <is>
          <t>2Q22</t>
        </is>
      </c>
      <c r="H1" s="3" t="inlineStr">
        <is>
          <t>3Q22</t>
        </is>
      </c>
      <c r="I1" s="3" t="inlineStr">
        <is>
          <t>4Q22</t>
        </is>
      </c>
      <c r="J1" s="3" t="inlineStr">
        <is>
          <t>1Q23</t>
        </is>
      </c>
      <c r="K1" s="3" t="inlineStr">
        <is>
          <t>2Q23</t>
        </is>
      </c>
      <c r="L1" s="3" t="inlineStr">
        <is>
          <t>3Q23</t>
        </is>
      </c>
      <c r="M1" s="3" t="inlineStr">
        <is>
          <t>4Q23</t>
        </is>
      </c>
      <c r="N1" s="3" t="inlineStr">
        <is>
          <t>1Q24</t>
        </is>
      </c>
      <c r="O1" s="3" t="inlineStr">
        <is>
          <t>2Q24</t>
        </is>
      </c>
      <c r="P1" s="3" t="inlineStr">
        <is>
          <t>3Q24</t>
        </is>
      </c>
      <c r="Q1" s="3" t="inlineStr">
        <is>
          <t>4Q24</t>
        </is>
      </c>
      <c r="R1" s="3" t="inlineStr">
        <is>
          <t>1Q25</t>
        </is>
      </c>
      <c r="S1" s="3" t="inlineStr">
        <is>
          <t>2Q25</t>
        </is>
      </c>
      <c r="T1" s="3" t="inlineStr">
        <is>
          <t>3Q25</t>
        </is>
      </c>
      <c r="U1" s="3" t="inlineStr">
        <is>
          <t>4Q25</t>
        </is>
      </c>
      <c r="V1" s="3" t="inlineStr">
        <is>
          <t>1Q26</t>
        </is>
      </c>
      <c r="W1" s="41" t="inlineStr">
        <is>
          <t>2Q26</t>
        </is>
      </c>
      <c r="X1" s="3" t="inlineStr">
        <is>
          <t>3Q26</t>
        </is>
      </c>
      <c r="Y1" s="3" t="inlineStr">
        <is>
          <t>4Q26</t>
        </is>
      </c>
      <c r="Z1" s="3" t="inlineStr">
        <is>
          <t>1Q27</t>
        </is>
      </c>
      <c r="AA1" s="3" t="inlineStr">
        <is>
          <t>2Q27</t>
        </is>
      </c>
      <c r="AB1" s="3" t="inlineStr">
        <is>
          <t>3Q27</t>
        </is>
      </c>
      <c r="AC1" s="3" t="inlineStr">
        <is>
          <t>4Q27</t>
        </is>
      </c>
      <c r="AD1" s="3" t="inlineStr">
        <is>
          <t>1Q28</t>
        </is>
      </c>
      <c r="AE1" s="3" t="inlineStr">
        <is>
          <t>2Q28</t>
        </is>
      </c>
      <c r="AF1" s="3" t="inlineStr">
        <is>
          <t>3Q28</t>
        </is>
      </c>
      <c r="AG1" s="3" t="inlineStr">
        <is>
          <t>4Q28</t>
        </is>
      </c>
    </row>
    <row r="2">
      <c r="C2" t="inlineStr">
        <is>
          <t>종가:</t>
        </is>
      </c>
      <c r="D2" s="18">
        <f>변수!D42</f>
        <v/>
      </c>
      <c r="W2" s="42" t="n"/>
    </row>
    <row r="3">
      <c r="C3" t="inlineStr">
        <is>
          <t>기준일:</t>
        </is>
      </c>
      <c r="D3" t="inlineStr">
        <is>
          <t>20261013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43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2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</row>
    <row r="4">
      <c r="E4" s="7" t="inlineStr">
        <is>
          <t>2021.12</t>
        </is>
      </c>
      <c r="F4" s="7" t="inlineStr">
        <is>
          <t>2022.03</t>
        </is>
      </c>
      <c r="G4" s="7" t="inlineStr">
        <is>
          <t>2022.06</t>
        </is>
      </c>
      <c r="H4" s="7" t="inlineStr">
        <is>
          <t>2022.09</t>
        </is>
      </c>
      <c r="I4" s="7" t="inlineStr">
        <is>
          <t>2022.12</t>
        </is>
      </c>
      <c r="J4" s="7" t="inlineStr">
        <is>
          <t>2023.03</t>
        </is>
      </c>
      <c r="K4" s="7" t="inlineStr">
        <is>
          <t>2023.06</t>
        </is>
      </c>
      <c r="L4" s="7" t="inlineStr">
        <is>
          <t>2023.09</t>
        </is>
      </c>
      <c r="M4" s="7" t="inlineStr">
        <is>
          <t>2023.12</t>
        </is>
      </c>
      <c r="N4" s="7" t="inlineStr">
        <is>
          <t>2024.03</t>
        </is>
      </c>
      <c r="O4" s="7" t="inlineStr">
        <is>
          <t>2024.06</t>
        </is>
      </c>
      <c r="P4" s="7" t="inlineStr">
        <is>
          <t>2024.09</t>
        </is>
      </c>
      <c r="Q4" s="7" t="inlineStr">
        <is>
          <t>2024.12</t>
        </is>
      </c>
      <c r="R4" s="7" t="inlineStr">
        <is>
          <t>2025.03</t>
        </is>
      </c>
      <c r="S4" s="7" t="inlineStr">
        <is>
          <t>2025.06</t>
        </is>
      </c>
      <c r="T4" s="7" t="inlineStr">
        <is>
          <t>2025.09</t>
        </is>
      </c>
      <c r="U4" s="7" t="inlineStr">
        <is>
          <t>2025.12</t>
        </is>
      </c>
      <c r="V4" s="7" t="inlineStr">
        <is>
          <t>2026.03</t>
        </is>
      </c>
      <c r="W4" s="44" t="inlineStr">
        <is>
          <t>2026.06</t>
        </is>
      </c>
      <c r="X4" s="7" t="inlineStr">
        <is>
          <t>2026.09</t>
        </is>
      </c>
      <c r="Y4" s="7" t="inlineStr">
        <is>
          <t>2026.12</t>
        </is>
      </c>
      <c r="Z4" s="7" t="inlineStr">
        <is>
          <t>2027.03</t>
        </is>
      </c>
      <c r="AA4" s="7" t="inlineStr">
        <is>
          <t>2027.06</t>
        </is>
      </c>
      <c r="AB4" s="7" t="inlineStr">
        <is>
          <t>2027.09</t>
        </is>
      </c>
      <c r="AC4" s="7" t="inlineStr">
        <is>
          <t>2027.12</t>
        </is>
      </c>
      <c r="AD4" s="7" t="inlineStr">
        <is>
          <t>2028.03</t>
        </is>
      </c>
      <c r="AE4" s="7" t="inlineStr">
        <is>
          <t>2028.06</t>
        </is>
      </c>
      <c r="AF4" s="7" t="inlineStr">
        <is>
          <t>2028.09</t>
        </is>
      </c>
      <c r="AG4" s="7" t="inlineStr">
        <is>
          <t>2028.12</t>
        </is>
      </c>
    </row>
    <row r="5">
      <c r="A5" s="12" t="inlineStr">
        <is>
          <t>매출액</t>
        </is>
      </c>
      <c r="D5" t="inlineStr">
        <is>
          <t>매출액</t>
        </is>
      </c>
      <c r="E5" s="18">
        <f>IFERROR(VLOOKUP($A5,subQ,MATCH(E$1,SUBQH,0),0),"")</f>
        <v/>
      </c>
      <c r="F5" s="18">
        <f>IFERROR(VLOOKUP($A5,subQ,MATCH(F$1,SUBQH,0),0),"")</f>
        <v/>
      </c>
      <c r="G5" s="18">
        <f>IFERROR(VLOOKUP($A5,subQ,MATCH(G$1,SUBQH,0),0),"")</f>
        <v/>
      </c>
      <c r="H5" s="18">
        <f>IFERROR(VLOOKUP($A5,subQ,MATCH(H$1,SUBQH,0),0),"")</f>
        <v/>
      </c>
      <c r="I5" s="18">
        <f>IFERROR(VLOOKUP($A5,subQ,MATCH(I$1,SUBQH,0),0),"")</f>
        <v/>
      </c>
      <c r="J5" s="18">
        <f>IFERROR(VLOOKUP($A5,subQ,MATCH(J$1,SUBQH,0),0),"")</f>
        <v/>
      </c>
      <c r="K5" s="18">
        <f>IFERROR(VLOOKUP($A5,subQ,MATCH(K$1,SUBQH,0),0),"")</f>
        <v/>
      </c>
      <c r="L5" s="18">
        <f>IFERROR(VLOOKUP($A5,subQ,MATCH(L$1,SUBQH,0),0),"")</f>
        <v/>
      </c>
      <c r="M5" s="18">
        <f>IFERROR(VLOOKUP($A5,subQ,MATCH(M$1,SUBQH,0),0),"")</f>
        <v/>
      </c>
      <c r="N5" s="18">
        <f>IFERROR(VLOOKUP($A5,subQ,MATCH(N$1,SUBQH,0),0),"")</f>
        <v/>
      </c>
      <c r="O5" s="18">
        <f>IFERROR(VLOOKUP($A5,subQ,MATCH(O$1,SUBQH,0),0),"")</f>
        <v/>
      </c>
      <c r="P5" s="18">
        <f>IFERROR(VLOOKUP($A5,subQ,MATCH(P$1,SUBQH,0),0),"")</f>
        <v/>
      </c>
      <c r="Q5" s="18">
        <f>IFERROR(VLOOKUP($A5,subQ,MATCH(Q$1,SUBQH,0),0),"")</f>
        <v/>
      </c>
      <c r="R5" s="18">
        <f>IFERROR(VLOOKUP($A5,subQ,MATCH(R$1,SUBQH,0),0),"")</f>
        <v/>
      </c>
      <c r="S5" s="18">
        <f>IFERROR(VLOOKUP($A5,subQ,MATCH(S$1,SUBQH,0),0),"")</f>
        <v/>
      </c>
      <c r="T5" s="18">
        <f>IFERROR(VLOOKUP($A5,subQ,MATCH(T$1,SUBQH,0),0),"")</f>
        <v/>
      </c>
      <c r="U5" s="18">
        <f>IFERROR(VLOOKUP($A5,subQ,MATCH(U$1,SUBQH,0),0),"")</f>
        <v/>
      </c>
      <c r="V5" s="18">
        <f>IFERROR(VLOOKUP($A5,subQ,MATCH(V$1,SUBQH,0),0),"")</f>
        <v/>
      </c>
      <c r="W5" s="45">
        <f>IFERROR(VLOOKUP($A5,subQ,MATCH(W$1,SUBQH,0),0),"")</f>
        <v/>
      </c>
      <c r="X5" s="20">
        <f>IFERROR(VLOOKUP($A5,subQ,MATCH(X$1,SUBQH,0),0),"")</f>
        <v/>
      </c>
      <c r="Y5" s="20">
        <f>IFERROR(VLOOKUP($A5,subQ,MATCH(Y$1,SUBQH,0),0),"")</f>
        <v/>
      </c>
      <c r="Z5" s="20">
        <f>IFERROR(VLOOKUP($A5,subQ,MATCH(Z$1,SUBQH,0),0),"")</f>
        <v/>
      </c>
      <c r="AA5" s="20">
        <f>IFERROR(VLOOKUP($A5,subQ,MATCH(AA$1,SUBQH,0),0),"")</f>
        <v/>
      </c>
      <c r="AB5" s="20">
        <f>IFERROR(VLOOKUP($A5,subQ,MATCH(AB$1,SUBQH,0),0),"")</f>
        <v/>
      </c>
      <c r="AC5" s="20">
        <f>IFERROR(VLOOKUP($A5,subQ,MATCH(AC$1,SUBQH,0),0),"")</f>
        <v/>
      </c>
      <c r="AD5" s="20">
        <f>IFERROR(VLOOKUP($A5,subQ,MATCH(AD$1,SUBQH,0),0),"")</f>
        <v/>
      </c>
      <c r="AE5" s="20">
        <f>IFERROR(VLOOKUP($A5,subQ,MATCH(AE$1,SUBQH,0),0),"")</f>
        <v/>
      </c>
      <c r="AF5" s="20">
        <f>IFERROR(VLOOKUP($A5,subQ,MATCH(AF$1,SUBQH,0),0),"")</f>
        <v/>
      </c>
      <c r="AG5" s="20">
        <f>IFERROR(VLOOKUP($A5,subQ,MATCH(AG$1,SUBQH,0),0),"")</f>
        <v/>
      </c>
    </row>
    <row r="6">
      <c r="A6" s="12" t="inlineStr">
        <is>
          <t>매출원가</t>
        </is>
      </c>
      <c r="D6" t="inlineStr">
        <is>
          <t>매출원가</t>
        </is>
      </c>
      <c r="E6" s="18">
        <f>IFERROR(VLOOKUP($A6,subQ,MATCH(E$1,SUBQH,0),0),"")</f>
        <v/>
      </c>
      <c r="F6" s="18">
        <f>IFERROR(VLOOKUP($A6,subQ,MATCH(F$1,SUBQH,0),0),"")</f>
        <v/>
      </c>
      <c r="G6" s="18">
        <f>IFERROR(VLOOKUP($A6,subQ,MATCH(G$1,SUBQH,0),0),"")</f>
        <v/>
      </c>
      <c r="H6" s="18">
        <f>IFERROR(VLOOKUP($A6,subQ,MATCH(H$1,SUBQH,0),0),"")</f>
        <v/>
      </c>
      <c r="I6" s="18">
        <f>IFERROR(VLOOKUP($A6,subQ,MATCH(I$1,SUBQH,0),0),"")</f>
        <v/>
      </c>
      <c r="J6" s="18">
        <f>IFERROR(VLOOKUP($A6,subQ,MATCH(J$1,SUBQH,0),0),"")</f>
        <v/>
      </c>
      <c r="K6" s="18">
        <f>IFERROR(VLOOKUP($A6,subQ,MATCH(K$1,SUBQH,0),0),"")</f>
        <v/>
      </c>
      <c r="L6" s="18">
        <f>IFERROR(VLOOKUP($A6,subQ,MATCH(L$1,SUBQH,0),0),"")</f>
        <v/>
      </c>
      <c r="M6" s="18">
        <f>IFERROR(VLOOKUP($A6,subQ,MATCH(M$1,SUBQH,0),0),"")</f>
        <v/>
      </c>
      <c r="N6" s="18">
        <f>IFERROR(VLOOKUP($A6,subQ,MATCH(N$1,SUBQH,0),0),"")</f>
        <v/>
      </c>
      <c r="O6" s="18">
        <f>IFERROR(VLOOKUP($A6,subQ,MATCH(O$1,SUBQH,0),0),"")</f>
        <v/>
      </c>
      <c r="P6" s="18">
        <f>IFERROR(VLOOKUP($A6,subQ,MATCH(P$1,SUBQH,0),0),"")</f>
        <v/>
      </c>
      <c r="Q6" s="18">
        <f>IFERROR(VLOOKUP($A6,subQ,MATCH(Q$1,SUBQH,0),0),"")</f>
        <v/>
      </c>
      <c r="R6" s="18">
        <f>IFERROR(VLOOKUP($A6,subQ,MATCH(R$1,SUBQH,0),0),"")</f>
        <v/>
      </c>
      <c r="S6" s="18">
        <f>IFERROR(VLOOKUP($A6,subQ,MATCH(S$1,SUBQH,0),0),"")</f>
        <v/>
      </c>
      <c r="T6" s="18">
        <f>IFERROR(VLOOKUP($A6,subQ,MATCH(T$1,SUBQH,0),0),"")</f>
        <v/>
      </c>
      <c r="U6" s="18">
        <f>IFERROR(VLOOKUP($A6,subQ,MATCH(U$1,SUBQH,0),0),"")</f>
        <v/>
      </c>
      <c r="V6" s="18">
        <f>IFERROR(VLOOKUP($A6,subQ,MATCH(V$1,SUBQH,0),0),"")</f>
        <v/>
      </c>
      <c r="W6" s="45">
        <f>IFERROR(VLOOKUP($A6,subQ,MATCH(W$1,SUBQH,0),0),"")</f>
        <v/>
      </c>
      <c r="X6" s="20">
        <f>IFERROR(VLOOKUP($A6,subQ,MATCH(X$1,SUBQH,0),0),"")</f>
        <v/>
      </c>
      <c r="Y6" s="20">
        <f>IFERROR(VLOOKUP($A6,subQ,MATCH(Y$1,SUBQH,0),0),"")</f>
        <v/>
      </c>
      <c r="Z6" s="20">
        <f>IFERROR(VLOOKUP($A6,subQ,MATCH(Z$1,SUBQH,0),0),"")</f>
        <v/>
      </c>
      <c r="AA6" s="20">
        <f>IFERROR(VLOOKUP($A6,subQ,MATCH(AA$1,SUBQH,0),0),"")</f>
        <v/>
      </c>
      <c r="AB6" s="20">
        <f>IFERROR(VLOOKUP($A6,subQ,MATCH(AB$1,SUBQH,0),0),"")</f>
        <v/>
      </c>
      <c r="AC6" s="20">
        <f>IFERROR(VLOOKUP($A6,subQ,MATCH(AC$1,SUBQH,0),0),"")</f>
        <v/>
      </c>
      <c r="AD6" s="20">
        <f>IFERROR(VLOOKUP($A6,subQ,MATCH(AD$1,SUBQH,0),0),"")</f>
        <v/>
      </c>
      <c r="AE6" s="20">
        <f>IFERROR(VLOOKUP($A6,subQ,MATCH(AE$1,SUBQH,0),0),"")</f>
        <v/>
      </c>
      <c r="AF6" s="20">
        <f>IFERROR(VLOOKUP($A6,subQ,MATCH(AF$1,SUBQH,0),0),"")</f>
        <v/>
      </c>
      <c r="AG6" s="20">
        <f>IFERROR(VLOOKUP($A6,subQ,MATCH(AG$1,SUBQH,0),0),"")</f>
        <v/>
      </c>
    </row>
    <row r="7">
      <c r="A7" s="12" t="inlineStr">
        <is>
          <t>매출총이익</t>
        </is>
      </c>
      <c r="D7" t="inlineStr">
        <is>
          <t>매출총이익</t>
        </is>
      </c>
      <c r="E7" s="18">
        <f>IFERROR(VLOOKUP($A7,subQ,MATCH(E$1,SUBQH,0),0),"")</f>
        <v/>
      </c>
      <c r="F7" s="18">
        <f>IFERROR(VLOOKUP($A7,subQ,MATCH(F$1,SUBQH,0),0),"")</f>
        <v/>
      </c>
      <c r="G7" s="18">
        <f>IFERROR(VLOOKUP($A7,subQ,MATCH(G$1,SUBQH,0),0),"")</f>
        <v/>
      </c>
      <c r="H7" s="18">
        <f>IFERROR(VLOOKUP($A7,subQ,MATCH(H$1,SUBQH,0),0),"")</f>
        <v/>
      </c>
      <c r="I7" s="18">
        <f>IFERROR(VLOOKUP($A7,subQ,MATCH(I$1,SUBQH,0),0),"")</f>
        <v/>
      </c>
      <c r="J7" s="18">
        <f>IFERROR(VLOOKUP($A7,subQ,MATCH(J$1,SUBQH,0),0),"")</f>
        <v/>
      </c>
      <c r="K7" s="18">
        <f>IFERROR(VLOOKUP($A7,subQ,MATCH(K$1,SUBQH,0),0),"")</f>
        <v/>
      </c>
      <c r="L7" s="18">
        <f>IFERROR(VLOOKUP($A7,subQ,MATCH(L$1,SUBQH,0),0),"")</f>
        <v/>
      </c>
      <c r="M7" s="18">
        <f>IFERROR(VLOOKUP($A7,subQ,MATCH(M$1,SUBQH,0),0),"")</f>
        <v/>
      </c>
      <c r="N7" s="18">
        <f>IFERROR(VLOOKUP($A7,subQ,MATCH(N$1,SUBQH,0),0),"")</f>
        <v/>
      </c>
      <c r="O7" s="18">
        <f>IFERROR(VLOOKUP($A7,subQ,MATCH(O$1,SUBQH,0),0),"")</f>
        <v/>
      </c>
      <c r="P7" s="18">
        <f>IFERROR(VLOOKUP($A7,subQ,MATCH(P$1,SUBQH,0),0),"")</f>
        <v/>
      </c>
      <c r="Q7" s="18">
        <f>IFERROR(VLOOKUP($A7,subQ,MATCH(Q$1,SUBQH,0),0),"")</f>
        <v/>
      </c>
      <c r="R7" s="18">
        <f>IFERROR(VLOOKUP($A7,subQ,MATCH(R$1,SUBQH,0),0),"")</f>
        <v/>
      </c>
      <c r="S7" s="18">
        <f>IFERROR(VLOOKUP($A7,subQ,MATCH(S$1,SUBQH,0),0),"")</f>
        <v/>
      </c>
      <c r="T7" s="18">
        <f>IFERROR(VLOOKUP($A7,subQ,MATCH(T$1,SUBQH,0),0),"")</f>
        <v/>
      </c>
      <c r="U7" s="18">
        <f>IFERROR(VLOOKUP($A7,subQ,MATCH(U$1,SUBQH,0),0),"")</f>
        <v/>
      </c>
      <c r="V7" s="18">
        <f>IFERROR(VLOOKUP($A7,subQ,MATCH(V$1,SUBQH,0),0),"")</f>
        <v/>
      </c>
      <c r="W7" s="45">
        <f>IFERROR(VLOOKUP($A7,subQ,MATCH(W$1,SUBQH,0),0),"")</f>
        <v/>
      </c>
      <c r="X7" s="20">
        <f>IFERROR(VLOOKUP($A7,subQ,MATCH(X$1,SUBQH,0),0),"")</f>
        <v/>
      </c>
      <c r="Y7" s="20">
        <f>IFERROR(VLOOKUP($A7,subQ,MATCH(Y$1,SUBQH,0),0),"")</f>
        <v/>
      </c>
      <c r="Z7" s="20">
        <f>IFERROR(VLOOKUP($A7,subQ,MATCH(Z$1,SUBQH,0),0),"")</f>
        <v/>
      </c>
      <c r="AA7" s="20">
        <f>IFERROR(VLOOKUP($A7,subQ,MATCH(AA$1,SUBQH,0),0),"")</f>
        <v/>
      </c>
      <c r="AB7" s="20">
        <f>IFERROR(VLOOKUP($A7,subQ,MATCH(AB$1,SUBQH,0),0),"")</f>
        <v/>
      </c>
      <c r="AC7" s="20">
        <f>IFERROR(VLOOKUP($A7,subQ,MATCH(AC$1,SUBQH,0),0),"")</f>
        <v/>
      </c>
      <c r="AD7" s="20">
        <f>IFERROR(VLOOKUP($A7,subQ,MATCH(AD$1,SUBQH,0),0),"")</f>
        <v/>
      </c>
      <c r="AE7" s="20">
        <f>IFERROR(VLOOKUP($A7,subQ,MATCH(AE$1,SUBQH,0),0),"")</f>
        <v/>
      </c>
      <c r="AF7" s="20">
        <f>IFERROR(VLOOKUP($A7,subQ,MATCH(AF$1,SUBQH,0),0),"")</f>
        <v/>
      </c>
      <c r="AG7" s="20">
        <f>IFERROR(VLOOKUP($A7,subQ,MATCH(AG$1,SUBQH,0),0),"")</f>
        <v/>
      </c>
    </row>
    <row r="8">
      <c r="A8" s="12" t="inlineStr">
        <is>
          <t>판관비</t>
        </is>
      </c>
      <c r="D8" t="inlineStr">
        <is>
          <t>판매비와관리비</t>
        </is>
      </c>
      <c r="E8" s="18">
        <f>IFERROR(VLOOKUP($A8,subQ,MATCH(E$1,SUBQH,0),0),"")</f>
        <v/>
      </c>
      <c r="F8" s="18">
        <f>IFERROR(VLOOKUP($A8,subQ,MATCH(F$1,SUBQH,0),0),"")</f>
        <v/>
      </c>
      <c r="G8" s="18">
        <f>IFERROR(VLOOKUP($A8,subQ,MATCH(G$1,SUBQH,0),0),"")</f>
        <v/>
      </c>
      <c r="H8" s="18">
        <f>IFERROR(VLOOKUP($A8,subQ,MATCH(H$1,SUBQH,0),0),"")</f>
        <v/>
      </c>
      <c r="I8" s="18">
        <f>IFERROR(VLOOKUP($A8,subQ,MATCH(I$1,SUBQH,0),0),"")</f>
        <v/>
      </c>
      <c r="J8" s="18">
        <f>IFERROR(VLOOKUP($A8,subQ,MATCH(J$1,SUBQH,0),0),"")</f>
        <v/>
      </c>
      <c r="K8" s="18">
        <f>IFERROR(VLOOKUP($A8,subQ,MATCH(K$1,SUBQH,0),0),"")</f>
        <v/>
      </c>
      <c r="L8" s="18">
        <f>IFERROR(VLOOKUP($A8,subQ,MATCH(L$1,SUBQH,0),0),"")</f>
        <v/>
      </c>
      <c r="M8" s="18">
        <f>IFERROR(VLOOKUP($A8,subQ,MATCH(M$1,SUBQH,0),0),"")</f>
        <v/>
      </c>
      <c r="N8" s="18">
        <f>IFERROR(VLOOKUP($A8,subQ,MATCH(N$1,SUBQH,0),0),"")</f>
        <v/>
      </c>
      <c r="O8" s="18">
        <f>IFERROR(VLOOKUP($A8,subQ,MATCH(O$1,SUBQH,0),0),"")</f>
        <v/>
      </c>
      <c r="P8" s="18">
        <f>IFERROR(VLOOKUP($A8,subQ,MATCH(P$1,SUBQH,0),0),"")</f>
        <v/>
      </c>
      <c r="Q8" s="18">
        <f>IFERROR(VLOOKUP($A8,subQ,MATCH(Q$1,SUBQH,0),0),"")</f>
        <v/>
      </c>
      <c r="R8" s="18">
        <f>IFERROR(VLOOKUP($A8,subQ,MATCH(R$1,SUBQH,0),0),"")</f>
        <v/>
      </c>
      <c r="S8" s="18">
        <f>IFERROR(VLOOKUP($A8,subQ,MATCH(S$1,SUBQH,0),0),"")</f>
        <v/>
      </c>
      <c r="T8" s="18">
        <f>IFERROR(VLOOKUP($A8,subQ,MATCH(T$1,SUBQH,0),0),"")</f>
        <v/>
      </c>
      <c r="U8" s="18">
        <f>IFERROR(VLOOKUP($A8,subQ,MATCH(U$1,SUBQH,0),0),"")</f>
        <v/>
      </c>
      <c r="V8" s="18">
        <f>IFERROR(VLOOKUP($A8,subQ,MATCH(V$1,SUBQH,0),0),"")</f>
        <v/>
      </c>
      <c r="W8" s="45">
        <f>IFERROR(VLOOKUP($A8,subQ,MATCH(W$1,SUBQH,0),0),"")</f>
        <v/>
      </c>
      <c r="X8" s="20">
        <f>IFERROR(VLOOKUP($A8,subQ,MATCH(X$1,SUBQH,0),0),"")</f>
        <v/>
      </c>
      <c r="Y8" s="20">
        <f>IFERROR(VLOOKUP($A8,subQ,MATCH(Y$1,SUBQH,0),0),"")</f>
        <v/>
      </c>
      <c r="Z8" s="20">
        <f>IFERROR(VLOOKUP($A8,subQ,MATCH(Z$1,SUBQH,0),0),"")</f>
        <v/>
      </c>
      <c r="AA8" s="20">
        <f>IFERROR(VLOOKUP($A8,subQ,MATCH(AA$1,SUBQH,0),0),"")</f>
        <v/>
      </c>
      <c r="AB8" s="20">
        <f>IFERROR(VLOOKUP($A8,subQ,MATCH(AB$1,SUBQH,0),0),"")</f>
        <v/>
      </c>
      <c r="AC8" s="20">
        <f>IFERROR(VLOOKUP($A8,subQ,MATCH(AC$1,SUBQH,0),0),"")</f>
        <v/>
      </c>
      <c r="AD8" s="20">
        <f>IFERROR(VLOOKUP($A8,subQ,MATCH(AD$1,SUBQH,0),0),"")</f>
        <v/>
      </c>
      <c r="AE8" s="20">
        <f>IFERROR(VLOOKUP($A8,subQ,MATCH(AE$1,SUBQH,0),0),"")</f>
        <v/>
      </c>
      <c r="AF8" s="20">
        <f>IFERROR(VLOOKUP($A8,subQ,MATCH(AF$1,SUBQH,0),0),"")</f>
        <v/>
      </c>
      <c r="AG8" s="20">
        <f>IFERROR(VLOOKUP($A8,subQ,MATCH(AG$1,SUBQH,0),0),"")</f>
        <v/>
      </c>
    </row>
    <row r="9">
      <c r="A9" s="12" t="inlineStr">
        <is>
          <t>영업이익</t>
        </is>
      </c>
      <c r="D9" t="inlineStr">
        <is>
          <t>영업이익</t>
        </is>
      </c>
      <c r="E9" s="18">
        <f>IFERROR(VLOOKUP($A9,subQ,MATCH(E$1,SUBQH,0),0),"")</f>
        <v/>
      </c>
      <c r="F9" s="18">
        <f>IFERROR(VLOOKUP($A9,subQ,MATCH(F$1,SUBQH,0),0),"")</f>
        <v/>
      </c>
      <c r="G9" s="18">
        <f>IFERROR(VLOOKUP($A9,subQ,MATCH(G$1,SUBQH,0),0),"")</f>
        <v/>
      </c>
      <c r="H9" s="18">
        <f>IFERROR(VLOOKUP($A9,subQ,MATCH(H$1,SUBQH,0),0),"")</f>
        <v/>
      </c>
      <c r="I9" s="18">
        <f>IFERROR(VLOOKUP($A9,subQ,MATCH(I$1,SUBQH,0),0),"")</f>
        <v/>
      </c>
      <c r="J9" s="18">
        <f>IFERROR(VLOOKUP($A9,subQ,MATCH(J$1,SUBQH,0),0),"")</f>
        <v/>
      </c>
      <c r="K9" s="18">
        <f>IFERROR(VLOOKUP($A9,subQ,MATCH(K$1,SUBQH,0),0),"")</f>
        <v/>
      </c>
      <c r="L9" s="18">
        <f>IFERROR(VLOOKUP($A9,subQ,MATCH(L$1,SUBQH,0),0),"")</f>
        <v/>
      </c>
      <c r="M9" s="18">
        <f>IFERROR(VLOOKUP($A9,subQ,MATCH(M$1,SUBQH,0),0),"")</f>
        <v/>
      </c>
      <c r="N9" s="18">
        <f>IFERROR(VLOOKUP($A9,subQ,MATCH(N$1,SUBQH,0),0),"")</f>
        <v/>
      </c>
      <c r="O9" s="18">
        <f>IFERROR(VLOOKUP($A9,subQ,MATCH(O$1,SUBQH,0),0),"")</f>
        <v/>
      </c>
      <c r="P9" s="18">
        <f>IFERROR(VLOOKUP($A9,subQ,MATCH(P$1,SUBQH,0),0),"")</f>
        <v/>
      </c>
      <c r="Q9" s="18">
        <f>IFERROR(VLOOKUP($A9,subQ,MATCH(Q$1,SUBQH,0),0),"")</f>
        <v/>
      </c>
      <c r="R9" s="18">
        <f>IFERROR(VLOOKUP($A9,subQ,MATCH(R$1,SUBQH,0),0),"")</f>
        <v/>
      </c>
      <c r="S9" s="18">
        <f>IFERROR(VLOOKUP($A9,subQ,MATCH(S$1,SUBQH,0),0),"")</f>
        <v/>
      </c>
      <c r="T9" s="18">
        <f>IFERROR(VLOOKUP($A9,subQ,MATCH(T$1,SUBQH,0),0),"")</f>
        <v/>
      </c>
      <c r="U9" s="18">
        <f>IFERROR(VLOOKUP($A9,subQ,MATCH(U$1,SUBQH,0),0),"")</f>
        <v/>
      </c>
      <c r="V9" s="18">
        <f>IFERROR(VLOOKUP($A9,subQ,MATCH(V$1,SUBQH,0),0),"")</f>
        <v/>
      </c>
      <c r="W9" s="45">
        <f>IFERROR(VLOOKUP($A9,subQ,MATCH(W$1,SUBQH,0),0),"")</f>
        <v/>
      </c>
      <c r="X9" s="20">
        <f>IFERROR(VLOOKUP($A9,subQ,MATCH(X$1,SUBQH,0),0),"")</f>
        <v/>
      </c>
      <c r="Y9" s="20">
        <f>IFERROR(VLOOKUP($A9,subQ,MATCH(Y$1,SUBQH,0),0),"")</f>
        <v/>
      </c>
      <c r="Z9" s="20">
        <f>IFERROR(VLOOKUP($A9,subQ,MATCH(Z$1,SUBQH,0),0),"")</f>
        <v/>
      </c>
      <c r="AA9" s="20">
        <f>IFERROR(VLOOKUP($A9,subQ,MATCH(AA$1,SUBQH,0),0),"")</f>
        <v/>
      </c>
      <c r="AB9" s="20">
        <f>IFERROR(VLOOKUP($A9,subQ,MATCH(AB$1,SUBQH,0),0),"")</f>
        <v/>
      </c>
      <c r="AC9" s="20">
        <f>IFERROR(VLOOKUP($A9,subQ,MATCH(AC$1,SUBQH,0),0),"")</f>
        <v/>
      </c>
      <c r="AD9" s="20">
        <f>IFERROR(VLOOKUP($A9,subQ,MATCH(AD$1,SUBQH,0),0),"")</f>
        <v/>
      </c>
      <c r="AE9" s="20">
        <f>IFERROR(VLOOKUP($A9,subQ,MATCH(AE$1,SUBQH,0),0),"")</f>
        <v/>
      </c>
      <c r="AF9" s="20">
        <f>IFERROR(VLOOKUP($A9,subQ,MATCH(AF$1,SUBQH,0),0),"")</f>
        <v/>
      </c>
      <c r="AG9" s="20">
        <f>IFERROR(VLOOKUP($A9,subQ,MATCH(AG$1,SUBQH,0),0),"")</f>
        <v/>
      </c>
    </row>
    <row r="10">
      <c r="A10" s="12" t="inlineStr">
        <is>
          <t>OPM</t>
        </is>
      </c>
      <c r="D10" t="inlineStr">
        <is>
          <t>영업이익률</t>
        </is>
      </c>
      <c r="E10" s="21">
        <f>IFERROR(VLOOKUP($A10,subQ,MATCH(E$1,SUBQH,0),0),"")</f>
        <v/>
      </c>
      <c r="F10" s="21">
        <f>IFERROR(VLOOKUP($A10,subQ,MATCH(F$1,SUBQH,0),0),"")</f>
        <v/>
      </c>
      <c r="G10" s="21">
        <f>IFERROR(VLOOKUP($A10,subQ,MATCH(G$1,SUBQH,0),0),"")</f>
        <v/>
      </c>
      <c r="H10" s="21">
        <f>IFERROR(VLOOKUP($A10,subQ,MATCH(H$1,SUBQH,0),0),"")</f>
        <v/>
      </c>
      <c r="I10" s="21">
        <f>IFERROR(VLOOKUP($A10,subQ,MATCH(I$1,SUBQH,0),0),"")</f>
        <v/>
      </c>
      <c r="J10" s="21">
        <f>IFERROR(VLOOKUP($A10,subQ,MATCH(J$1,SUBQH,0),0),"")</f>
        <v/>
      </c>
      <c r="K10" s="21">
        <f>IFERROR(VLOOKUP($A10,subQ,MATCH(K$1,SUBQH,0),0),"")</f>
        <v/>
      </c>
      <c r="L10" s="21">
        <f>IFERROR(VLOOKUP($A10,subQ,MATCH(L$1,SUBQH,0),0),"")</f>
        <v/>
      </c>
      <c r="M10" s="21">
        <f>IFERROR(VLOOKUP($A10,subQ,MATCH(M$1,SUBQH,0),0),"")</f>
        <v/>
      </c>
      <c r="N10" s="21">
        <f>IFERROR(VLOOKUP($A10,subQ,MATCH(N$1,SUBQH,0),0),"")</f>
        <v/>
      </c>
      <c r="O10" s="21">
        <f>IFERROR(VLOOKUP($A10,subQ,MATCH(O$1,SUBQH,0),0),"")</f>
        <v/>
      </c>
      <c r="P10" s="21">
        <f>IFERROR(VLOOKUP($A10,subQ,MATCH(P$1,SUBQH,0),0),"")</f>
        <v/>
      </c>
      <c r="Q10" s="21">
        <f>IFERROR(VLOOKUP($A10,subQ,MATCH(Q$1,SUBQH,0),0),"")</f>
        <v/>
      </c>
      <c r="R10" s="21">
        <f>IFERROR(VLOOKUP($A10,subQ,MATCH(R$1,SUBQH,0),0),"")</f>
        <v/>
      </c>
      <c r="S10" s="21">
        <f>IFERROR(VLOOKUP($A10,subQ,MATCH(S$1,SUBQH,0),0),"")</f>
        <v/>
      </c>
      <c r="T10" s="21">
        <f>IFERROR(VLOOKUP($A10,subQ,MATCH(T$1,SUBQH,0),0),"")</f>
        <v/>
      </c>
      <c r="U10" s="21">
        <f>IFERROR(VLOOKUP($A10,subQ,MATCH(U$1,SUBQH,0),0),"")</f>
        <v/>
      </c>
      <c r="V10" s="21">
        <f>IFERROR(VLOOKUP($A10,subQ,MATCH(V$1,SUBQH,0),0),"")</f>
        <v/>
      </c>
      <c r="W10" s="46">
        <f>IFERROR(VLOOKUP($A10,subQ,MATCH(W$1,SUBQH,0),0),"")</f>
        <v/>
      </c>
      <c r="X10" s="32">
        <f>IFERROR(VLOOKUP($A10,subQ,MATCH(X$1,SUBQH,0),0),"")</f>
        <v/>
      </c>
      <c r="Y10" s="32">
        <f>IFERROR(VLOOKUP($A10,subQ,MATCH(Y$1,SUBQH,0),0),"")</f>
        <v/>
      </c>
      <c r="Z10" s="32">
        <f>IFERROR(VLOOKUP($A10,subQ,MATCH(Z$1,SUBQH,0),0),"")</f>
        <v/>
      </c>
      <c r="AA10" s="32">
        <f>IFERROR(VLOOKUP($A10,subQ,MATCH(AA$1,SUBQH,0),0),"")</f>
        <v/>
      </c>
      <c r="AB10" s="32">
        <f>IFERROR(VLOOKUP($A10,subQ,MATCH(AB$1,SUBQH,0),0),"")</f>
        <v/>
      </c>
      <c r="AC10" s="32">
        <f>IFERROR(VLOOKUP($A10,subQ,MATCH(AC$1,SUBQH,0),0),"")</f>
        <v/>
      </c>
      <c r="AD10" s="32">
        <f>IFERROR(VLOOKUP($A10,subQ,MATCH(AD$1,SUBQH,0),0),"")</f>
        <v/>
      </c>
      <c r="AE10" s="32">
        <f>IFERROR(VLOOKUP($A10,subQ,MATCH(AE$1,SUBQH,0),0),"")</f>
        <v/>
      </c>
      <c r="AF10" s="32">
        <f>IFERROR(VLOOKUP($A10,subQ,MATCH(AF$1,SUBQH,0),0),"")</f>
        <v/>
      </c>
      <c r="AG10" s="32">
        <f>IFERROR(VLOOKUP($A10,subQ,MATCH(AG$1,SUBQH,0),0),"")</f>
        <v/>
      </c>
    </row>
    <row r="11">
      <c r="A11" s="12" t="inlineStr">
        <is>
          <t>금융손익</t>
        </is>
      </c>
      <c r="D11" t="inlineStr">
        <is>
          <t>금융손익(이자·환 포함)</t>
        </is>
      </c>
      <c r="E11" s="18">
        <f>IFERROR(VLOOKUP($A11,subQ,MATCH(E$1,SUBQH,0),0),"")</f>
        <v/>
      </c>
      <c r="F11" s="18">
        <f>IFERROR(VLOOKUP($A11,subQ,MATCH(F$1,SUBQH,0),0),"")</f>
        <v/>
      </c>
      <c r="G11" s="18">
        <f>IFERROR(VLOOKUP($A11,subQ,MATCH(G$1,SUBQH,0),0),"")</f>
        <v/>
      </c>
      <c r="H11" s="18">
        <f>IFERROR(VLOOKUP($A11,subQ,MATCH(H$1,SUBQH,0),0),"")</f>
        <v/>
      </c>
      <c r="I11" s="18">
        <f>IFERROR(VLOOKUP($A11,subQ,MATCH(I$1,SUBQH,0),0),"")</f>
        <v/>
      </c>
      <c r="J11" s="18">
        <f>IFERROR(VLOOKUP($A11,subQ,MATCH(J$1,SUBQH,0),0),"")</f>
        <v/>
      </c>
      <c r="K11" s="18">
        <f>IFERROR(VLOOKUP($A11,subQ,MATCH(K$1,SUBQH,0),0),"")</f>
        <v/>
      </c>
      <c r="L11" s="18">
        <f>IFERROR(VLOOKUP($A11,subQ,MATCH(L$1,SUBQH,0),0),"")</f>
        <v/>
      </c>
      <c r="M11" s="18">
        <f>IFERROR(VLOOKUP($A11,subQ,MATCH(M$1,SUBQH,0),0),"")</f>
        <v/>
      </c>
      <c r="N11" s="18">
        <f>IFERROR(VLOOKUP($A11,subQ,MATCH(N$1,SUBQH,0),0),"")</f>
        <v/>
      </c>
      <c r="O11" s="18">
        <f>IFERROR(VLOOKUP($A11,subQ,MATCH(O$1,SUBQH,0),0),"")</f>
        <v/>
      </c>
      <c r="P11" s="18">
        <f>IFERROR(VLOOKUP($A11,subQ,MATCH(P$1,SUBQH,0),0),"")</f>
        <v/>
      </c>
      <c r="Q11" s="18">
        <f>IFERROR(VLOOKUP($A11,subQ,MATCH(Q$1,SUBQH,0),0),"")</f>
        <v/>
      </c>
      <c r="R11" s="18">
        <f>IFERROR(VLOOKUP($A11,subQ,MATCH(R$1,SUBQH,0),0),"")</f>
        <v/>
      </c>
      <c r="S11" s="18">
        <f>IFERROR(VLOOKUP($A11,subQ,MATCH(S$1,SUBQH,0),0),"")</f>
        <v/>
      </c>
      <c r="T11" s="18">
        <f>IFERROR(VLOOKUP($A11,subQ,MATCH(T$1,SUBQH,0),0),"")</f>
        <v/>
      </c>
      <c r="U11" s="18">
        <f>IFERROR(VLOOKUP($A11,subQ,MATCH(U$1,SUBQH,0),0),"")</f>
        <v/>
      </c>
      <c r="V11" s="18">
        <f>IFERROR(VLOOKUP($A11,subQ,MATCH(V$1,SUBQH,0),0),"")</f>
        <v/>
      </c>
      <c r="W11" s="45">
        <f>IFERROR(VLOOKUP($A11,subQ,MATCH(W$1,SUBQH,0),0),"")</f>
        <v/>
      </c>
      <c r="X11" s="20">
        <f>IFERROR(VLOOKUP($A11,subQ,MATCH(X$1,SUBQH,0),0),"")</f>
        <v/>
      </c>
      <c r="Y11" s="20">
        <f>IFERROR(VLOOKUP($A11,subQ,MATCH(Y$1,SUBQH,0),0),"")</f>
        <v/>
      </c>
      <c r="Z11" s="20">
        <f>IFERROR(VLOOKUP($A11,subQ,MATCH(Z$1,SUBQH,0),0),"")</f>
        <v/>
      </c>
      <c r="AA11" s="20">
        <f>IFERROR(VLOOKUP($A11,subQ,MATCH(AA$1,SUBQH,0),0),"")</f>
        <v/>
      </c>
      <c r="AB11" s="20">
        <f>IFERROR(VLOOKUP($A11,subQ,MATCH(AB$1,SUBQH,0),0),"")</f>
        <v/>
      </c>
      <c r="AC11" s="20">
        <f>IFERROR(VLOOKUP($A11,subQ,MATCH(AC$1,SUBQH,0),0),"")</f>
        <v/>
      </c>
      <c r="AD11" s="20">
        <f>IFERROR(VLOOKUP($A11,subQ,MATCH(AD$1,SUBQH,0),0),"")</f>
        <v/>
      </c>
      <c r="AE11" s="20">
        <f>IFERROR(VLOOKUP($A11,subQ,MATCH(AE$1,SUBQH,0),0),"")</f>
        <v/>
      </c>
      <c r="AF11" s="20">
        <f>IFERROR(VLOOKUP($A11,subQ,MATCH(AF$1,SUBQH,0),0),"")</f>
        <v/>
      </c>
      <c r="AG11" s="20">
        <f>IFERROR(VLOOKUP($A11,subQ,MATCH(AG$1,SUBQH,0),0),"")</f>
        <v/>
      </c>
    </row>
    <row r="12">
      <c r="A12" s="12" t="inlineStr">
        <is>
          <t>이자손익</t>
        </is>
      </c>
      <c r="D12" t="inlineStr">
        <is>
          <t>이자손익(이자수익 − 이자비용)</t>
        </is>
      </c>
      <c r="E12" s="18">
        <f>IFERROR(VLOOKUP($A12,subQ,MATCH(E$1,SUBQH,0),0),"")</f>
        <v/>
      </c>
      <c r="F12" s="18">
        <f>IFERROR(VLOOKUP($A12,subQ,MATCH(F$1,SUBQH,0),0),"")</f>
        <v/>
      </c>
      <c r="G12" s="18">
        <f>IFERROR(VLOOKUP($A12,subQ,MATCH(G$1,SUBQH,0),0),"")</f>
        <v/>
      </c>
      <c r="H12" s="18">
        <f>IFERROR(VLOOKUP($A12,subQ,MATCH(H$1,SUBQH,0),0),"")</f>
        <v/>
      </c>
      <c r="I12" s="18">
        <f>IFERROR(VLOOKUP($A12,subQ,MATCH(I$1,SUBQH,0),0),"")</f>
        <v/>
      </c>
      <c r="J12" s="18">
        <f>IFERROR(VLOOKUP($A12,subQ,MATCH(J$1,SUBQH,0),0),"")</f>
        <v/>
      </c>
      <c r="K12" s="18">
        <f>IFERROR(VLOOKUP($A12,subQ,MATCH(K$1,SUBQH,0),0),"")</f>
        <v/>
      </c>
      <c r="L12" s="18">
        <f>IFERROR(VLOOKUP($A12,subQ,MATCH(L$1,SUBQH,0),0),"")</f>
        <v/>
      </c>
      <c r="M12" s="18">
        <f>IFERROR(VLOOKUP($A12,subQ,MATCH(M$1,SUBQH,0),0),"")</f>
        <v/>
      </c>
      <c r="N12" s="18">
        <f>IFERROR(VLOOKUP($A12,subQ,MATCH(N$1,SUBQH,0),0),"")</f>
        <v/>
      </c>
      <c r="O12" s="18">
        <f>IFERROR(VLOOKUP($A12,subQ,MATCH(O$1,SUBQH,0),0),"")</f>
        <v/>
      </c>
      <c r="P12" s="18">
        <f>IFERROR(VLOOKUP($A12,subQ,MATCH(P$1,SUBQH,0),0),"")</f>
        <v/>
      </c>
      <c r="Q12" s="18">
        <f>IFERROR(VLOOKUP($A12,subQ,MATCH(Q$1,SUBQH,0),0),"")</f>
        <v/>
      </c>
      <c r="R12" s="18">
        <f>IFERROR(VLOOKUP($A12,subQ,MATCH(R$1,SUBQH,0),0),"")</f>
        <v/>
      </c>
      <c r="S12" s="18">
        <f>IFERROR(VLOOKUP($A12,subQ,MATCH(S$1,SUBQH,0),0),"")</f>
        <v/>
      </c>
      <c r="T12" s="18">
        <f>IFERROR(VLOOKUP($A12,subQ,MATCH(T$1,SUBQH,0),0),"")</f>
        <v/>
      </c>
      <c r="U12" s="18">
        <f>IFERROR(VLOOKUP($A12,subQ,MATCH(U$1,SUBQH,0),0),"")</f>
        <v/>
      </c>
      <c r="V12" s="18">
        <f>IFERROR(VLOOKUP($A12,subQ,MATCH(V$1,SUBQH,0),0),"")</f>
        <v/>
      </c>
      <c r="W12" s="45">
        <f>IFERROR(VLOOKUP($A12,subQ,MATCH(W$1,SUBQH,0),0),"")</f>
        <v/>
      </c>
      <c r="X12" s="20">
        <f>IFERROR(VLOOKUP($A12,subQ,MATCH(X$1,SUBQH,0),0),"")</f>
        <v/>
      </c>
      <c r="Y12" s="20">
        <f>IFERROR(VLOOKUP($A12,subQ,MATCH(Y$1,SUBQH,0),0),"")</f>
        <v/>
      </c>
      <c r="Z12" s="20">
        <f>IFERROR(VLOOKUP($A12,subQ,MATCH(Z$1,SUBQH,0),0),"")</f>
        <v/>
      </c>
      <c r="AA12" s="20">
        <f>IFERROR(VLOOKUP($A12,subQ,MATCH(AA$1,SUBQH,0),0),"")</f>
        <v/>
      </c>
      <c r="AB12" s="20">
        <f>IFERROR(VLOOKUP($A12,subQ,MATCH(AB$1,SUBQH,0),0),"")</f>
        <v/>
      </c>
      <c r="AC12" s="20">
        <f>IFERROR(VLOOKUP($A12,subQ,MATCH(AC$1,SUBQH,0),0),"")</f>
        <v/>
      </c>
      <c r="AD12" s="20">
        <f>IFERROR(VLOOKUP($A12,subQ,MATCH(AD$1,SUBQH,0),0),"")</f>
        <v/>
      </c>
      <c r="AE12" s="20">
        <f>IFERROR(VLOOKUP($A12,subQ,MATCH(AE$1,SUBQH,0),0),"")</f>
        <v/>
      </c>
      <c r="AF12" s="20">
        <f>IFERROR(VLOOKUP($A12,subQ,MATCH(AF$1,SUBQH,0),0),"")</f>
        <v/>
      </c>
      <c r="AG12" s="20">
        <f>IFERROR(VLOOKUP($A12,subQ,MATCH(AG$1,SUBQH,0),0),"")</f>
        <v/>
      </c>
    </row>
    <row r="13">
      <c r="A13" s="12" t="inlineStr">
        <is>
          <t>외환손익</t>
        </is>
      </c>
      <c r="D13" t="inlineStr">
        <is>
          <t>외환손익(실적만; 추정 환효과는 환관련손익)</t>
        </is>
      </c>
      <c r="E13" s="18">
        <f>IFERROR(VLOOKUP($A13,subQ,MATCH(E$1,SUBQH,0),0),"")</f>
        <v/>
      </c>
      <c r="F13" s="18">
        <f>IFERROR(VLOOKUP($A13,subQ,MATCH(F$1,SUBQH,0),0),"")</f>
        <v/>
      </c>
      <c r="G13" s="18">
        <f>IFERROR(VLOOKUP($A13,subQ,MATCH(G$1,SUBQH,0),0),"")</f>
        <v/>
      </c>
      <c r="H13" s="18">
        <f>IFERROR(VLOOKUP($A13,subQ,MATCH(H$1,SUBQH,0),0),"")</f>
        <v/>
      </c>
      <c r="I13" s="18">
        <f>IFERROR(VLOOKUP($A13,subQ,MATCH(I$1,SUBQH,0),0),"")</f>
        <v/>
      </c>
      <c r="J13" s="18">
        <f>IFERROR(VLOOKUP($A13,subQ,MATCH(J$1,SUBQH,0),0),"")</f>
        <v/>
      </c>
      <c r="K13" s="18">
        <f>IFERROR(VLOOKUP($A13,subQ,MATCH(K$1,SUBQH,0),0),"")</f>
        <v/>
      </c>
      <c r="L13" s="18">
        <f>IFERROR(VLOOKUP($A13,subQ,MATCH(L$1,SUBQH,0),0),"")</f>
        <v/>
      </c>
      <c r="M13" s="18">
        <f>IFERROR(VLOOKUP($A13,subQ,MATCH(M$1,SUBQH,0),0),"")</f>
        <v/>
      </c>
      <c r="N13" s="18">
        <f>IFERROR(VLOOKUP($A13,subQ,MATCH(N$1,SUBQH,0),0),"")</f>
        <v/>
      </c>
      <c r="O13" s="18">
        <f>IFERROR(VLOOKUP($A13,subQ,MATCH(O$1,SUBQH,0),0),"")</f>
        <v/>
      </c>
      <c r="P13" s="18">
        <f>IFERROR(VLOOKUP($A13,subQ,MATCH(P$1,SUBQH,0),0),"")</f>
        <v/>
      </c>
      <c r="Q13" s="18">
        <f>IFERROR(VLOOKUP($A13,subQ,MATCH(Q$1,SUBQH,0),0),"")</f>
        <v/>
      </c>
      <c r="R13" s="18">
        <f>IFERROR(VLOOKUP($A13,subQ,MATCH(R$1,SUBQH,0),0),"")</f>
        <v/>
      </c>
      <c r="S13" s="18">
        <f>IFERROR(VLOOKUP($A13,subQ,MATCH(S$1,SUBQH,0),0),"")</f>
        <v/>
      </c>
      <c r="T13" s="18">
        <f>IFERROR(VLOOKUP($A13,subQ,MATCH(T$1,SUBQH,0),0),"")</f>
        <v/>
      </c>
      <c r="U13" s="18">
        <f>IFERROR(VLOOKUP($A13,subQ,MATCH(U$1,SUBQH,0),0),"")</f>
        <v/>
      </c>
      <c r="V13" s="18">
        <f>IFERROR(VLOOKUP($A13,subQ,MATCH(V$1,SUBQH,0),0),"")</f>
        <v/>
      </c>
      <c r="W13" s="45">
        <f>IFERROR(VLOOKUP($A13,subQ,MATCH(W$1,SUBQH,0),0),"")</f>
        <v/>
      </c>
      <c r="X13" s="20">
        <f>IFERROR(VLOOKUP($A13,subQ,MATCH(X$1,SUBQH,0),0),"")</f>
        <v/>
      </c>
      <c r="Y13" s="20">
        <f>IFERROR(VLOOKUP($A13,subQ,MATCH(Y$1,SUBQH,0),0),"")</f>
        <v/>
      </c>
      <c r="Z13" s="20">
        <f>IFERROR(VLOOKUP($A13,subQ,MATCH(Z$1,SUBQH,0),0),"")</f>
        <v/>
      </c>
      <c r="AA13" s="20">
        <f>IFERROR(VLOOKUP($A13,subQ,MATCH(AA$1,SUBQH,0),0),"")</f>
        <v/>
      </c>
      <c r="AB13" s="20">
        <f>IFERROR(VLOOKUP($A13,subQ,MATCH(AB$1,SUBQH,0),0),"")</f>
        <v/>
      </c>
      <c r="AC13" s="20">
        <f>IFERROR(VLOOKUP($A13,subQ,MATCH(AC$1,SUBQH,0),0),"")</f>
        <v/>
      </c>
      <c r="AD13" s="20">
        <f>IFERROR(VLOOKUP($A13,subQ,MATCH(AD$1,SUBQH,0),0),"")</f>
        <v/>
      </c>
      <c r="AE13" s="20">
        <f>IFERROR(VLOOKUP($A13,subQ,MATCH(AE$1,SUBQH,0),0),"")</f>
        <v/>
      </c>
      <c r="AF13" s="20">
        <f>IFERROR(VLOOKUP($A13,subQ,MATCH(AF$1,SUBQH,0),0),"")</f>
        <v/>
      </c>
      <c r="AG13" s="20">
        <f>IFERROR(VLOOKUP($A13,subQ,MATCH(AG$1,SUBQH,0),0),"")</f>
        <v/>
      </c>
    </row>
    <row r="14">
      <c r="A14" s="12" t="inlineStr">
        <is>
          <t>기타영업외손익</t>
        </is>
      </c>
      <c r="D14" t="inlineStr">
        <is>
          <t>기타영업외손익</t>
        </is>
      </c>
      <c r="E14" s="18">
        <f>IFERROR(VLOOKUP($A14,subQ,MATCH(E$1,SUBQH,0),0),"")</f>
        <v/>
      </c>
      <c r="F14" s="18">
        <f>IFERROR(VLOOKUP($A14,subQ,MATCH(F$1,SUBQH,0),0),"")</f>
        <v/>
      </c>
      <c r="G14" s="18">
        <f>IFERROR(VLOOKUP($A14,subQ,MATCH(G$1,SUBQH,0),0),"")</f>
        <v/>
      </c>
      <c r="H14" s="18">
        <f>IFERROR(VLOOKUP($A14,subQ,MATCH(H$1,SUBQH,0),0),"")</f>
        <v/>
      </c>
      <c r="I14" s="18">
        <f>IFERROR(VLOOKUP($A14,subQ,MATCH(I$1,SUBQH,0),0),"")</f>
        <v/>
      </c>
      <c r="J14" s="18">
        <f>IFERROR(VLOOKUP($A14,subQ,MATCH(J$1,SUBQH,0),0),"")</f>
        <v/>
      </c>
      <c r="K14" s="18">
        <f>IFERROR(VLOOKUP($A14,subQ,MATCH(K$1,SUBQH,0),0),"")</f>
        <v/>
      </c>
      <c r="L14" s="18">
        <f>IFERROR(VLOOKUP($A14,subQ,MATCH(L$1,SUBQH,0),0),"")</f>
        <v/>
      </c>
      <c r="M14" s="18">
        <f>IFERROR(VLOOKUP($A14,subQ,MATCH(M$1,SUBQH,0),0),"")</f>
        <v/>
      </c>
      <c r="N14" s="18">
        <f>IFERROR(VLOOKUP($A14,subQ,MATCH(N$1,SUBQH,0),0),"")</f>
        <v/>
      </c>
      <c r="O14" s="18">
        <f>IFERROR(VLOOKUP($A14,subQ,MATCH(O$1,SUBQH,0),0),"")</f>
        <v/>
      </c>
      <c r="P14" s="18">
        <f>IFERROR(VLOOKUP($A14,subQ,MATCH(P$1,SUBQH,0),0),"")</f>
        <v/>
      </c>
      <c r="Q14" s="18">
        <f>IFERROR(VLOOKUP($A14,subQ,MATCH(Q$1,SUBQH,0),0),"")</f>
        <v/>
      </c>
      <c r="R14" s="18">
        <f>IFERROR(VLOOKUP($A14,subQ,MATCH(R$1,SUBQH,0),0),"")</f>
        <v/>
      </c>
      <c r="S14" s="18">
        <f>IFERROR(VLOOKUP($A14,subQ,MATCH(S$1,SUBQH,0),0),"")</f>
        <v/>
      </c>
      <c r="T14" s="18">
        <f>IFERROR(VLOOKUP($A14,subQ,MATCH(T$1,SUBQH,0),0),"")</f>
        <v/>
      </c>
      <c r="U14" s="18">
        <f>IFERROR(VLOOKUP($A14,subQ,MATCH(U$1,SUBQH,0),0),"")</f>
        <v/>
      </c>
      <c r="V14" s="18">
        <f>IFERROR(VLOOKUP($A14,subQ,MATCH(V$1,SUBQH,0),0),"")</f>
        <v/>
      </c>
      <c r="W14" s="45">
        <f>IFERROR(VLOOKUP($A14,subQ,MATCH(W$1,SUBQH,0),0),"")</f>
        <v/>
      </c>
      <c r="X14" s="20">
        <f>IFERROR(VLOOKUP($A14,subQ,MATCH(X$1,SUBQH,0),0),"")</f>
        <v/>
      </c>
      <c r="Y14" s="20">
        <f>IFERROR(VLOOKUP($A14,subQ,MATCH(Y$1,SUBQH,0),0),"")</f>
        <v/>
      </c>
      <c r="Z14" s="20">
        <f>IFERROR(VLOOKUP($A14,subQ,MATCH(Z$1,SUBQH,0),0),"")</f>
        <v/>
      </c>
      <c r="AA14" s="20">
        <f>IFERROR(VLOOKUP($A14,subQ,MATCH(AA$1,SUBQH,0),0),"")</f>
        <v/>
      </c>
      <c r="AB14" s="20">
        <f>IFERROR(VLOOKUP($A14,subQ,MATCH(AB$1,SUBQH,0),0),"")</f>
        <v/>
      </c>
      <c r="AC14" s="20">
        <f>IFERROR(VLOOKUP($A14,subQ,MATCH(AC$1,SUBQH,0),0),"")</f>
        <v/>
      </c>
      <c r="AD14" s="20">
        <f>IFERROR(VLOOKUP($A14,subQ,MATCH(AD$1,SUBQH,0),0),"")</f>
        <v/>
      </c>
      <c r="AE14" s="20">
        <f>IFERROR(VLOOKUP($A14,subQ,MATCH(AE$1,SUBQH,0),0),"")</f>
        <v/>
      </c>
      <c r="AF14" s="20">
        <f>IFERROR(VLOOKUP($A14,subQ,MATCH(AF$1,SUBQH,0),0),"")</f>
        <v/>
      </c>
      <c r="AG14" s="20">
        <f>IFERROR(VLOOKUP($A14,subQ,MATCH(AG$1,SUBQH,0),0),"")</f>
        <v/>
      </c>
    </row>
    <row r="15">
      <c r="A15" s="12" t="inlineStr">
        <is>
          <t>지분법손익</t>
        </is>
      </c>
      <c r="D15" t="inlineStr">
        <is>
          <t>지분법손익</t>
        </is>
      </c>
      <c r="E15" s="18">
        <f>IFERROR(VLOOKUP($A15,subQ,MATCH(E$1,SUBQH,0),0),"")</f>
        <v/>
      </c>
      <c r="F15" s="18">
        <f>IFERROR(VLOOKUP($A15,subQ,MATCH(F$1,SUBQH,0),0),"")</f>
        <v/>
      </c>
      <c r="G15" s="18">
        <f>IFERROR(VLOOKUP($A15,subQ,MATCH(G$1,SUBQH,0),0),"")</f>
        <v/>
      </c>
      <c r="H15" s="18">
        <f>IFERROR(VLOOKUP($A15,subQ,MATCH(H$1,SUBQH,0),0),"")</f>
        <v/>
      </c>
      <c r="I15" s="18">
        <f>IFERROR(VLOOKUP($A15,subQ,MATCH(I$1,SUBQH,0),0),"")</f>
        <v/>
      </c>
      <c r="J15" s="18">
        <f>IFERROR(VLOOKUP($A15,subQ,MATCH(J$1,SUBQH,0),0),"")</f>
        <v/>
      </c>
      <c r="K15" s="18">
        <f>IFERROR(VLOOKUP($A15,subQ,MATCH(K$1,SUBQH,0),0),"")</f>
        <v/>
      </c>
      <c r="L15" s="18">
        <f>IFERROR(VLOOKUP($A15,subQ,MATCH(L$1,SUBQH,0),0),"")</f>
        <v/>
      </c>
      <c r="M15" s="18">
        <f>IFERROR(VLOOKUP($A15,subQ,MATCH(M$1,SUBQH,0),0),"")</f>
        <v/>
      </c>
      <c r="N15" s="18">
        <f>IFERROR(VLOOKUP($A15,subQ,MATCH(N$1,SUBQH,0),0),"")</f>
        <v/>
      </c>
      <c r="O15" s="18">
        <f>IFERROR(VLOOKUP($A15,subQ,MATCH(O$1,SUBQH,0),0),"")</f>
        <v/>
      </c>
      <c r="P15" s="18">
        <f>IFERROR(VLOOKUP($A15,subQ,MATCH(P$1,SUBQH,0),0),"")</f>
        <v/>
      </c>
      <c r="Q15" s="18">
        <f>IFERROR(VLOOKUP($A15,subQ,MATCH(Q$1,SUBQH,0),0),"")</f>
        <v/>
      </c>
      <c r="R15" s="18">
        <f>IFERROR(VLOOKUP($A15,subQ,MATCH(R$1,SUBQH,0),0),"")</f>
        <v/>
      </c>
      <c r="S15" s="18">
        <f>IFERROR(VLOOKUP($A15,subQ,MATCH(S$1,SUBQH,0),0),"")</f>
        <v/>
      </c>
      <c r="T15" s="18">
        <f>IFERROR(VLOOKUP($A15,subQ,MATCH(T$1,SUBQH,0),0),"")</f>
        <v/>
      </c>
      <c r="U15" s="18">
        <f>IFERROR(VLOOKUP($A15,subQ,MATCH(U$1,SUBQH,0),0),"")</f>
        <v/>
      </c>
      <c r="V15" s="18">
        <f>IFERROR(VLOOKUP($A15,subQ,MATCH(V$1,SUBQH,0),0),"")</f>
        <v/>
      </c>
      <c r="W15" s="45">
        <f>IFERROR(VLOOKUP($A15,subQ,MATCH(W$1,SUBQH,0),0),"")</f>
        <v/>
      </c>
      <c r="X15" s="20">
        <f>IFERROR(VLOOKUP($A15,subQ,MATCH(X$1,SUBQH,0),0),"")</f>
        <v/>
      </c>
      <c r="Y15" s="20">
        <f>IFERROR(VLOOKUP($A15,subQ,MATCH(Y$1,SUBQH,0),0),"")</f>
        <v/>
      </c>
      <c r="Z15" s="20">
        <f>IFERROR(VLOOKUP($A15,subQ,MATCH(Z$1,SUBQH,0),0),"")</f>
        <v/>
      </c>
      <c r="AA15" s="20">
        <f>IFERROR(VLOOKUP($A15,subQ,MATCH(AA$1,SUBQH,0),0),"")</f>
        <v/>
      </c>
      <c r="AB15" s="20">
        <f>IFERROR(VLOOKUP($A15,subQ,MATCH(AB$1,SUBQH,0),0),"")</f>
        <v/>
      </c>
      <c r="AC15" s="20">
        <f>IFERROR(VLOOKUP($A15,subQ,MATCH(AC$1,SUBQH,0),0),"")</f>
        <v/>
      </c>
      <c r="AD15" s="20">
        <f>IFERROR(VLOOKUP($A15,subQ,MATCH(AD$1,SUBQH,0),0),"")</f>
        <v/>
      </c>
      <c r="AE15" s="20">
        <f>IFERROR(VLOOKUP($A15,subQ,MATCH(AE$1,SUBQH,0),0),"")</f>
        <v/>
      </c>
      <c r="AF15" s="20">
        <f>IFERROR(VLOOKUP($A15,subQ,MATCH(AF$1,SUBQH,0),0),"")</f>
        <v/>
      </c>
      <c r="AG15" s="20">
        <f>IFERROR(VLOOKUP($A15,subQ,MATCH(AG$1,SUBQH,0),0),"")</f>
        <v/>
      </c>
    </row>
    <row r="16">
      <c r="A16" s="12" t="inlineStr">
        <is>
          <t>세전이익</t>
        </is>
      </c>
      <c r="D16" t="inlineStr">
        <is>
          <t>법인세비용차감전이익</t>
        </is>
      </c>
      <c r="E16" s="18">
        <f>IFERROR(VLOOKUP($A16,subQ,MATCH(E$1,SUBQH,0),0),"")</f>
        <v/>
      </c>
      <c r="F16" s="18">
        <f>IFERROR(VLOOKUP($A16,subQ,MATCH(F$1,SUBQH,0),0),"")</f>
        <v/>
      </c>
      <c r="G16" s="18">
        <f>IFERROR(VLOOKUP($A16,subQ,MATCH(G$1,SUBQH,0),0),"")</f>
        <v/>
      </c>
      <c r="H16" s="18">
        <f>IFERROR(VLOOKUP($A16,subQ,MATCH(H$1,SUBQH,0),0),"")</f>
        <v/>
      </c>
      <c r="I16" s="18">
        <f>IFERROR(VLOOKUP($A16,subQ,MATCH(I$1,SUBQH,0),0),"")</f>
        <v/>
      </c>
      <c r="J16" s="18">
        <f>IFERROR(VLOOKUP($A16,subQ,MATCH(J$1,SUBQH,0),0),"")</f>
        <v/>
      </c>
      <c r="K16" s="18">
        <f>IFERROR(VLOOKUP($A16,subQ,MATCH(K$1,SUBQH,0),0),"")</f>
        <v/>
      </c>
      <c r="L16" s="18">
        <f>IFERROR(VLOOKUP($A16,subQ,MATCH(L$1,SUBQH,0),0),"")</f>
        <v/>
      </c>
      <c r="M16" s="18">
        <f>IFERROR(VLOOKUP($A16,subQ,MATCH(M$1,SUBQH,0),0),"")</f>
        <v/>
      </c>
      <c r="N16" s="18">
        <f>IFERROR(VLOOKUP($A16,subQ,MATCH(N$1,SUBQH,0),0),"")</f>
        <v/>
      </c>
      <c r="O16" s="18">
        <f>IFERROR(VLOOKUP($A16,subQ,MATCH(O$1,SUBQH,0),0),"")</f>
        <v/>
      </c>
      <c r="P16" s="18">
        <f>IFERROR(VLOOKUP($A16,subQ,MATCH(P$1,SUBQH,0),0),"")</f>
        <v/>
      </c>
      <c r="Q16" s="18">
        <f>IFERROR(VLOOKUP($A16,subQ,MATCH(Q$1,SUBQH,0),0),"")</f>
        <v/>
      </c>
      <c r="R16" s="18">
        <f>IFERROR(VLOOKUP($A16,subQ,MATCH(R$1,SUBQH,0),0),"")</f>
        <v/>
      </c>
      <c r="S16" s="18">
        <f>IFERROR(VLOOKUP($A16,subQ,MATCH(S$1,SUBQH,0),0),"")</f>
        <v/>
      </c>
      <c r="T16" s="18">
        <f>IFERROR(VLOOKUP($A16,subQ,MATCH(T$1,SUBQH,0),0),"")</f>
        <v/>
      </c>
      <c r="U16" s="18">
        <f>IFERROR(VLOOKUP($A16,subQ,MATCH(U$1,SUBQH,0),0),"")</f>
        <v/>
      </c>
      <c r="V16" s="18">
        <f>IFERROR(VLOOKUP($A16,subQ,MATCH(V$1,SUBQH,0),0),"")</f>
        <v/>
      </c>
      <c r="W16" s="45">
        <f>IFERROR(VLOOKUP($A16,subQ,MATCH(W$1,SUBQH,0),0),"")</f>
        <v/>
      </c>
      <c r="X16" s="20">
        <f>IFERROR(VLOOKUP($A16,subQ,MATCH(X$1,SUBQH,0),0),"")</f>
        <v/>
      </c>
      <c r="Y16" s="20">
        <f>IFERROR(VLOOKUP($A16,subQ,MATCH(Y$1,SUBQH,0),0),"")</f>
        <v/>
      </c>
      <c r="Z16" s="20">
        <f>IFERROR(VLOOKUP($A16,subQ,MATCH(Z$1,SUBQH,0),0),"")</f>
        <v/>
      </c>
      <c r="AA16" s="20">
        <f>IFERROR(VLOOKUP($A16,subQ,MATCH(AA$1,SUBQH,0),0),"")</f>
        <v/>
      </c>
      <c r="AB16" s="20">
        <f>IFERROR(VLOOKUP($A16,subQ,MATCH(AB$1,SUBQH,0),0),"")</f>
        <v/>
      </c>
      <c r="AC16" s="20">
        <f>IFERROR(VLOOKUP($A16,subQ,MATCH(AC$1,SUBQH,0),0),"")</f>
        <v/>
      </c>
      <c r="AD16" s="20">
        <f>IFERROR(VLOOKUP($A16,subQ,MATCH(AD$1,SUBQH,0),0),"")</f>
        <v/>
      </c>
      <c r="AE16" s="20">
        <f>IFERROR(VLOOKUP($A16,subQ,MATCH(AE$1,SUBQH,0),0),"")</f>
        <v/>
      </c>
      <c r="AF16" s="20">
        <f>IFERROR(VLOOKUP($A16,subQ,MATCH(AF$1,SUBQH,0),0),"")</f>
        <v/>
      </c>
      <c r="AG16" s="20">
        <f>IFERROR(VLOOKUP($A16,subQ,MATCH(AG$1,SUBQH,0),0),"")</f>
        <v/>
      </c>
    </row>
    <row r="17">
      <c r="A17" s="12" t="inlineStr">
        <is>
          <t>법인세비용</t>
        </is>
      </c>
      <c r="D17" t="inlineStr">
        <is>
          <t>법인세비용</t>
        </is>
      </c>
      <c r="E17" s="18">
        <f>IFERROR(VLOOKUP($A17,subQ,MATCH(E$1,SUBQH,0),0),"")</f>
        <v/>
      </c>
      <c r="F17" s="18">
        <f>IFERROR(VLOOKUP($A17,subQ,MATCH(F$1,SUBQH,0),0),"")</f>
        <v/>
      </c>
      <c r="G17" s="18">
        <f>IFERROR(VLOOKUP($A17,subQ,MATCH(G$1,SUBQH,0),0),"")</f>
        <v/>
      </c>
      <c r="H17" s="18">
        <f>IFERROR(VLOOKUP($A17,subQ,MATCH(H$1,SUBQH,0),0),"")</f>
        <v/>
      </c>
      <c r="I17" s="18">
        <f>IFERROR(VLOOKUP($A17,subQ,MATCH(I$1,SUBQH,0),0),"")</f>
        <v/>
      </c>
      <c r="J17" s="18">
        <f>IFERROR(VLOOKUP($A17,subQ,MATCH(J$1,SUBQH,0),0),"")</f>
        <v/>
      </c>
      <c r="K17" s="18">
        <f>IFERROR(VLOOKUP($A17,subQ,MATCH(K$1,SUBQH,0),0),"")</f>
        <v/>
      </c>
      <c r="L17" s="18">
        <f>IFERROR(VLOOKUP($A17,subQ,MATCH(L$1,SUBQH,0),0),"")</f>
        <v/>
      </c>
      <c r="M17" s="18">
        <f>IFERROR(VLOOKUP($A17,subQ,MATCH(M$1,SUBQH,0),0),"")</f>
        <v/>
      </c>
      <c r="N17" s="18">
        <f>IFERROR(VLOOKUP($A17,subQ,MATCH(N$1,SUBQH,0),0),"")</f>
        <v/>
      </c>
      <c r="O17" s="18">
        <f>IFERROR(VLOOKUP($A17,subQ,MATCH(O$1,SUBQH,0),0),"")</f>
        <v/>
      </c>
      <c r="P17" s="18">
        <f>IFERROR(VLOOKUP($A17,subQ,MATCH(P$1,SUBQH,0),0),"")</f>
        <v/>
      </c>
      <c r="Q17" s="18">
        <f>IFERROR(VLOOKUP($A17,subQ,MATCH(Q$1,SUBQH,0),0),"")</f>
        <v/>
      </c>
      <c r="R17" s="18">
        <f>IFERROR(VLOOKUP($A17,subQ,MATCH(R$1,SUBQH,0),0),"")</f>
        <v/>
      </c>
      <c r="S17" s="18">
        <f>IFERROR(VLOOKUP($A17,subQ,MATCH(S$1,SUBQH,0),0),"")</f>
        <v/>
      </c>
      <c r="T17" s="18">
        <f>IFERROR(VLOOKUP($A17,subQ,MATCH(T$1,SUBQH,0),0),"")</f>
        <v/>
      </c>
      <c r="U17" s="18">
        <f>IFERROR(VLOOKUP($A17,subQ,MATCH(U$1,SUBQH,0),0),"")</f>
        <v/>
      </c>
      <c r="V17" s="18">
        <f>IFERROR(VLOOKUP($A17,subQ,MATCH(V$1,SUBQH,0),0),"")</f>
        <v/>
      </c>
      <c r="W17" s="45">
        <f>IFERROR(VLOOKUP($A17,subQ,MATCH(W$1,SUBQH,0),0),"")</f>
        <v/>
      </c>
      <c r="X17" s="20">
        <f>IFERROR(VLOOKUP($A17,subQ,MATCH(X$1,SUBQH,0),0),"")</f>
        <v/>
      </c>
      <c r="Y17" s="20">
        <f>IFERROR(VLOOKUP($A17,subQ,MATCH(Y$1,SUBQH,0),0),"")</f>
        <v/>
      </c>
      <c r="Z17" s="20">
        <f>IFERROR(VLOOKUP($A17,subQ,MATCH(Z$1,SUBQH,0),0),"")</f>
        <v/>
      </c>
      <c r="AA17" s="20">
        <f>IFERROR(VLOOKUP($A17,subQ,MATCH(AA$1,SUBQH,0),0),"")</f>
        <v/>
      </c>
      <c r="AB17" s="20">
        <f>IFERROR(VLOOKUP($A17,subQ,MATCH(AB$1,SUBQH,0),0),"")</f>
        <v/>
      </c>
      <c r="AC17" s="20">
        <f>IFERROR(VLOOKUP($A17,subQ,MATCH(AC$1,SUBQH,0),0),"")</f>
        <v/>
      </c>
      <c r="AD17" s="20">
        <f>IFERROR(VLOOKUP($A17,subQ,MATCH(AD$1,SUBQH,0),0),"")</f>
        <v/>
      </c>
      <c r="AE17" s="20">
        <f>IFERROR(VLOOKUP($A17,subQ,MATCH(AE$1,SUBQH,0),0),"")</f>
        <v/>
      </c>
      <c r="AF17" s="20">
        <f>IFERROR(VLOOKUP($A17,subQ,MATCH(AF$1,SUBQH,0),0),"")</f>
        <v/>
      </c>
      <c r="AG17" s="20">
        <f>IFERROR(VLOOKUP($A17,subQ,MATCH(AG$1,SUBQH,0),0),"")</f>
        <v/>
      </c>
    </row>
    <row r="18">
      <c r="A18" s="12" t="inlineStr">
        <is>
          <t>당기순이익</t>
        </is>
      </c>
      <c r="D18" t="inlineStr">
        <is>
          <t>당기순이익</t>
        </is>
      </c>
      <c r="E18" s="18">
        <f>IFERROR(VLOOKUP($A18,subQ,MATCH(E$1,SUBQH,0),0),"")</f>
        <v/>
      </c>
      <c r="F18" s="18">
        <f>IFERROR(VLOOKUP($A18,subQ,MATCH(F$1,SUBQH,0),0),"")</f>
        <v/>
      </c>
      <c r="G18" s="18">
        <f>IFERROR(VLOOKUP($A18,subQ,MATCH(G$1,SUBQH,0),0),"")</f>
        <v/>
      </c>
      <c r="H18" s="18">
        <f>IFERROR(VLOOKUP($A18,subQ,MATCH(H$1,SUBQH,0),0),"")</f>
        <v/>
      </c>
      <c r="I18" s="18">
        <f>IFERROR(VLOOKUP($A18,subQ,MATCH(I$1,SUBQH,0),0),"")</f>
        <v/>
      </c>
      <c r="J18" s="18">
        <f>IFERROR(VLOOKUP($A18,subQ,MATCH(J$1,SUBQH,0),0),"")</f>
        <v/>
      </c>
      <c r="K18" s="18">
        <f>IFERROR(VLOOKUP($A18,subQ,MATCH(K$1,SUBQH,0),0),"")</f>
        <v/>
      </c>
      <c r="L18" s="18">
        <f>IFERROR(VLOOKUP($A18,subQ,MATCH(L$1,SUBQH,0),0),"")</f>
        <v/>
      </c>
      <c r="M18" s="18">
        <f>IFERROR(VLOOKUP($A18,subQ,MATCH(M$1,SUBQH,0),0),"")</f>
        <v/>
      </c>
      <c r="N18" s="18">
        <f>IFERROR(VLOOKUP($A18,subQ,MATCH(N$1,SUBQH,0),0),"")</f>
        <v/>
      </c>
      <c r="O18" s="18">
        <f>IFERROR(VLOOKUP($A18,subQ,MATCH(O$1,SUBQH,0),0),"")</f>
        <v/>
      </c>
      <c r="P18" s="18">
        <f>IFERROR(VLOOKUP($A18,subQ,MATCH(P$1,SUBQH,0),0),"")</f>
        <v/>
      </c>
      <c r="Q18" s="18">
        <f>IFERROR(VLOOKUP($A18,subQ,MATCH(Q$1,SUBQH,0),0),"")</f>
        <v/>
      </c>
      <c r="R18" s="18">
        <f>IFERROR(VLOOKUP($A18,subQ,MATCH(R$1,SUBQH,0),0),"")</f>
        <v/>
      </c>
      <c r="S18" s="18">
        <f>IFERROR(VLOOKUP($A18,subQ,MATCH(S$1,SUBQH,0),0),"")</f>
        <v/>
      </c>
      <c r="T18" s="18">
        <f>IFERROR(VLOOKUP($A18,subQ,MATCH(T$1,SUBQH,0),0),"")</f>
        <v/>
      </c>
      <c r="U18" s="18">
        <f>IFERROR(VLOOKUP($A18,subQ,MATCH(U$1,SUBQH,0),0),"")</f>
        <v/>
      </c>
      <c r="V18" s="18">
        <f>IFERROR(VLOOKUP($A18,subQ,MATCH(V$1,SUBQH,0),0),"")</f>
        <v/>
      </c>
      <c r="W18" s="45">
        <f>IFERROR(VLOOKUP($A18,subQ,MATCH(W$1,SUBQH,0),0),"")</f>
        <v/>
      </c>
      <c r="X18" s="20">
        <f>IFERROR(VLOOKUP($A18,subQ,MATCH(X$1,SUBQH,0),0),"")</f>
        <v/>
      </c>
      <c r="Y18" s="20">
        <f>IFERROR(VLOOKUP($A18,subQ,MATCH(Y$1,SUBQH,0),0),"")</f>
        <v/>
      </c>
      <c r="Z18" s="20">
        <f>IFERROR(VLOOKUP($A18,subQ,MATCH(Z$1,SUBQH,0),0),"")</f>
        <v/>
      </c>
      <c r="AA18" s="20">
        <f>IFERROR(VLOOKUP($A18,subQ,MATCH(AA$1,SUBQH,0),0),"")</f>
        <v/>
      </c>
      <c r="AB18" s="20">
        <f>IFERROR(VLOOKUP($A18,subQ,MATCH(AB$1,SUBQH,0),0),"")</f>
        <v/>
      </c>
      <c r="AC18" s="20">
        <f>IFERROR(VLOOKUP($A18,subQ,MATCH(AC$1,SUBQH,0),0),"")</f>
        <v/>
      </c>
      <c r="AD18" s="20">
        <f>IFERROR(VLOOKUP($A18,subQ,MATCH(AD$1,SUBQH,0),0),"")</f>
        <v/>
      </c>
      <c r="AE18" s="20">
        <f>IFERROR(VLOOKUP($A18,subQ,MATCH(AE$1,SUBQH,0),0),"")</f>
        <v/>
      </c>
      <c r="AF18" s="20">
        <f>IFERROR(VLOOKUP($A18,subQ,MATCH(AF$1,SUBQH,0),0),"")</f>
        <v/>
      </c>
      <c r="AG18" s="20">
        <f>IFERROR(VLOOKUP($A18,subQ,MATCH(AG$1,SUBQH,0),0),"")</f>
        <v/>
      </c>
    </row>
    <row r="19">
      <c r="A19" s="12" t="inlineStr">
        <is>
          <t>지배주주순이익</t>
        </is>
      </c>
      <c r="D19" t="inlineStr">
        <is>
          <t>지배주주순이익</t>
        </is>
      </c>
      <c r="E19" s="18">
        <f>IFERROR(VLOOKUP($A19,subQ,MATCH(E$1,SUBQH,0),0),"")</f>
        <v/>
      </c>
      <c r="F19" s="18">
        <f>IFERROR(VLOOKUP($A19,subQ,MATCH(F$1,SUBQH,0),0),"")</f>
        <v/>
      </c>
      <c r="G19" s="18">
        <f>IFERROR(VLOOKUP($A19,subQ,MATCH(G$1,SUBQH,0),0),"")</f>
        <v/>
      </c>
      <c r="H19" s="18">
        <f>IFERROR(VLOOKUP($A19,subQ,MATCH(H$1,SUBQH,0),0),"")</f>
        <v/>
      </c>
      <c r="I19" s="18">
        <f>IFERROR(VLOOKUP($A19,subQ,MATCH(I$1,SUBQH,0),0),"")</f>
        <v/>
      </c>
      <c r="J19" s="18">
        <f>IFERROR(VLOOKUP($A19,subQ,MATCH(J$1,SUBQH,0),0),"")</f>
        <v/>
      </c>
      <c r="K19" s="18">
        <f>IFERROR(VLOOKUP($A19,subQ,MATCH(K$1,SUBQH,0),0),"")</f>
        <v/>
      </c>
      <c r="L19" s="18">
        <f>IFERROR(VLOOKUP($A19,subQ,MATCH(L$1,SUBQH,0),0),"")</f>
        <v/>
      </c>
      <c r="M19" s="18">
        <f>IFERROR(VLOOKUP($A19,subQ,MATCH(M$1,SUBQH,0),0),"")</f>
        <v/>
      </c>
      <c r="N19" s="18">
        <f>IFERROR(VLOOKUP($A19,subQ,MATCH(N$1,SUBQH,0),0),"")</f>
        <v/>
      </c>
      <c r="O19" s="18">
        <f>IFERROR(VLOOKUP($A19,subQ,MATCH(O$1,SUBQH,0),0),"")</f>
        <v/>
      </c>
      <c r="P19" s="18">
        <f>IFERROR(VLOOKUP($A19,subQ,MATCH(P$1,SUBQH,0),0),"")</f>
        <v/>
      </c>
      <c r="Q19" s="18">
        <f>IFERROR(VLOOKUP($A19,subQ,MATCH(Q$1,SUBQH,0),0),"")</f>
        <v/>
      </c>
      <c r="R19" s="18">
        <f>IFERROR(VLOOKUP($A19,subQ,MATCH(R$1,SUBQH,0),0),"")</f>
        <v/>
      </c>
      <c r="S19" s="18">
        <f>IFERROR(VLOOKUP($A19,subQ,MATCH(S$1,SUBQH,0),0),"")</f>
        <v/>
      </c>
      <c r="T19" s="18">
        <f>IFERROR(VLOOKUP($A19,subQ,MATCH(T$1,SUBQH,0),0),"")</f>
        <v/>
      </c>
      <c r="U19" s="18">
        <f>IFERROR(VLOOKUP($A19,subQ,MATCH(U$1,SUBQH,0),0),"")</f>
        <v/>
      </c>
      <c r="V19" s="18">
        <f>IFERROR(VLOOKUP($A19,subQ,MATCH(V$1,SUBQH,0),0),"")</f>
        <v/>
      </c>
      <c r="W19" s="45">
        <f>IFERROR(VLOOKUP($A19,subQ,MATCH(W$1,SUBQH,0),0),"")</f>
        <v/>
      </c>
      <c r="X19" s="20">
        <f>IFERROR(VLOOKUP($A19,subQ,MATCH(X$1,SUBQH,0),0),"")</f>
        <v/>
      </c>
      <c r="Y19" s="20">
        <f>IFERROR(VLOOKUP($A19,subQ,MATCH(Y$1,SUBQH,0),0),"")</f>
        <v/>
      </c>
      <c r="Z19" s="20">
        <f>IFERROR(VLOOKUP($A19,subQ,MATCH(Z$1,SUBQH,0),0),"")</f>
        <v/>
      </c>
      <c r="AA19" s="20">
        <f>IFERROR(VLOOKUP($A19,subQ,MATCH(AA$1,SUBQH,0),0),"")</f>
        <v/>
      </c>
      <c r="AB19" s="20">
        <f>IFERROR(VLOOKUP($A19,subQ,MATCH(AB$1,SUBQH,0),0),"")</f>
        <v/>
      </c>
      <c r="AC19" s="20">
        <f>IFERROR(VLOOKUP($A19,subQ,MATCH(AC$1,SUBQH,0),0),"")</f>
        <v/>
      </c>
      <c r="AD19" s="20">
        <f>IFERROR(VLOOKUP($A19,subQ,MATCH(AD$1,SUBQH,0),0),"")</f>
        <v/>
      </c>
      <c r="AE19" s="20">
        <f>IFERROR(VLOOKUP($A19,subQ,MATCH(AE$1,SUBQH,0),0),"")</f>
        <v/>
      </c>
      <c r="AF19" s="20">
        <f>IFERROR(VLOOKUP($A19,subQ,MATCH(AF$1,SUBQH,0),0),"")</f>
        <v/>
      </c>
      <c r="AG19" s="20">
        <f>IFERROR(VLOOKUP($A19,subQ,MATCH(AG$1,SUBQH,0),0),"")</f>
        <v/>
      </c>
    </row>
    <row r="20">
      <c r="A20" s="12" t="inlineStr">
        <is>
          <t>자산총계</t>
        </is>
      </c>
      <c r="D20" t="inlineStr">
        <is>
          <t>자산총계</t>
        </is>
      </c>
      <c r="E20" s="18">
        <f>IFERROR(VLOOKUP($A20,subQ,MATCH(E$1,SUBQH,0),0),"")</f>
        <v/>
      </c>
      <c r="F20" s="18">
        <f>IFERROR(VLOOKUP($A20,subQ,MATCH(F$1,SUBQH,0),0),"")</f>
        <v/>
      </c>
      <c r="G20" s="18">
        <f>IFERROR(VLOOKUP($A20,subQ,MATCH(G$1,SUBQH,0),0),"")</f>
        <v/>
      </c>
      <c r="H20" s="18">
        <f>IFERROR(VLOOKUP($A20,subQ,MATCH(H$1,SUBQH,0),0),"")</f>
        <v/>
      </c>
      <c r="I20" s="18">
        <f>IFERROR(VLOOKUP($A20,subQ,MATCH(I$1,SUBQH,0),0),"")</f>
        <v/>
      </c>
      <c r="J20" s="18">
        <f>IFERROR(VLOOKUP($A20,subQ,MATCH(J$1,SUBQH,0),0),"")</f>
        <v/>
      </c>
      <c r="K20" s="18">
        <f>IFERROR(VLOOKUP($A20,subQ,MATCH(K$1,SUBQH,0),0),"")</f>
        <v/>
      </c>
      <c r="L20" s="18">
        <f>IFERROR(VLOOKUP($A20,subQ,MATCH(L$1,SUBQH,0),0),"")</f>
        <v/>
      </c>
      <c r="M20" s="18">
        <f>IFERROR(VLOOKUP($A20,subQ,MATCH(M$1,SUBQH,0),0),"")</f>
        <v/>
      </c>
      <c r="N20" s="18">
        <f>IFERROR(VLOOKUP($A20,subQ,MATCH(N$1,SUBQH,0),0),"")</f>
        <v/>
      </c>
      <c r="O20" s="18">
        <f>IFERROR(VLOOKUP($A20,subQ,MATCH(O$1,SUBQH,0),0),"")</f>
        <v/>
      </c>
      <c r="P20" s="18">
        <f>IFERROR(VLOOKUP($A20,subQ,MATCH(P$1,SUBQH,0),0),"")</f>
        <v/>
      </c>
      <c r="Q20" s="18">
        <f>IFERROR(VLOOKUP($A20,subQ,MATCH(Q$1,SUBQH,0),0),"")</f>
        <v/>
      </c>
      <c r="R20" s="18">
        <f>IFERROR(VLOOKUP($A20,subQ,MATCH(R$1,SUBQH,0),0),"")</f>
        <v/>
      </c>
      <c r="S20" s="18">
        <f>IFERROR(VLOOKUP($A20,subQ,MATCH(S$1,SUBQH,0),0),"")</f>
        <v/>
      </c>
      <c r="T20" s="18">
        <f>IFERROR(VLOOKUP($A20,subQ,MATCH(T$1,SUBQH,0),0),"")</f>
        <v/>
      </c>
      <c r="U20" s="18">
        <f>IFERROR(VLOOKUP($A20,subQ,MATCH(U$1,SUBQH,0),0),"")</f>
        <v/>
      </c>
      <c r="V20" s="18">
        <f>IFERROR(VLOOKUP($A20,subQ,MATCH(V$1,SUBQH,0),0),"")</f>
        <v/>
      </c>
      <c r="W20" s="45">
        <f>IFERROR(VLOOKUP($A20,subQ,MATCH(W$1,SUBQH,0),0),"")</f>
        <v/>
      </c>
      <c r="X20" s="20">
        <f>IFERROR(VLOOKUP($A20,subQ,MATCH(X$1,SUBQH,0),0),"")</f>
        <v/>
      </c>
      <c r="Y20" s="20">
        <f>IFERROR(VLOOKUP($A20,subQ,MATCH(Y$1,SUBQH,0),0),"")</f>
        <v/>
      </c>
      <c r="Z20" s="20">
        <f>IFERROR(VLOOKUP($A20,subQ,MATCH(Z$1,SUBQH,0),0),"")</f>
        <v/>
      </c>
      <c r="AA20" s="20">
        <f>IFERROR(VLOOKUP($A20,subQ,MATCH(AA$1,SUBQH,0),0),"")</f>
        <v/>
      </c>
      <c r="AB20" s="20">
        <f>IFERROR(VLOOKUP($A20,subQ,MATCH(AB$1,SUBQH,0),0),"")</f>
        <v/>
      </c>
      <c r="AC20" s="20">
        <f>IFERROR(VLOOKUP($A20,subQ,MATCH(AC$1,SUBQH,0),0),"")</f>
        <v/>
      </c>
      <c r="AD20" s="20">
        <f>IFERROR(VLOOKUP($A20,subQ,MATCH(AD$1,SUBQH,0),0),"")</f>
        <v/>
      </c>
      <c r="AE20" s="20">
        <f>IFERROR(VLOOKUP($A20,subQ,MATCH(AE$1,SUBQH,0),0),"")</f>
        <v/>
      </c>
      <c r="AF20" s="20">
        <f>IFERROR(VLOOKUP($A20,subQ,MATCH(AF$1,SUBQH,0),0),"")</f>
        <v/>
      </c>
      <c r="AG20" s="20">
        <f>IFERROR(VLOOKUP($A20,subQ,MATCH(AG$1,SUBQH,0),0),"")</f>
        <v/>
      </c>
    </row>
    <row r="21">
      <c r="A21" s="12" t="inlineStr">
        <is>
          <t>부채총계</t>
        </is>
      </c>
      <c r="D21" t="inlineStr">
        <is>
          <t>부채총계</t>
        </is>
      </c>
      <c r="E21" s="18">
        <f>IFERROR(VLOOKUP($A21,subQ,MATCH(E$1,SUBQH,0),0),"")</f>
        <v/>
      </c>
      <c r="F21" s="18">
        <f>IFERROR(VLOOKUP($A21,subQ,MATCH(F$1,SUBQH,0),0),"")</f>
        <v/>
      </c>
      <c r="G21" s="18">
        <f>IFERROR(VLOOKUP($A21,subQ,MATCH(G$1,SUBQH,0),0),"")</f>
        <v/>
      </c>
      <c r="H21" s="18">
        <f>IFERROR(VLOOKUP($A21,subQ,MATCH(H$1,SUBQH,0),0),"")</f>
        <v/>
      </c>
      <c r="I21" s="18">
        <f>IFERROR(VLOOKUP($A21,subQ,MATCH(I$1,SUBQH,0),0),"")</f>
        <v/>
      </c>
      <c r="J21" s="18">
        <f>IFERROR(VLOOKUP($A21,subQ,MATCH(J$1,SUBQH,0),0),"")</f>
        <v/>
      </c>
      <c r="K21" s="18">
        <f>IFERROR(VLOOKUP($A21,subQ,MATCH(K$1,SUBQH,0),0),"")</f>
        <v/>
      </c>
      <c r="L21" s="18">
        <f>IFERROR(VLOOKUP($A21,subQ,MATCH(L$1,SUBQH,0),0),"")</f>
        <v/>
      </c>
      <c r="M21" s="18">
        <f>IFERROR(VLOOKUP($A21,subQ,MATCH(M$1,SUBQH,0),0),"")</f>
        <v/>
      </c>
      <c r="N21" s="18">
        <f>IFERROR(VLOOKUP($A21,subQ,MATCH(N$1,SUBQH,0),0),"")</f>
        <v/>
      </c>
      <c r="O21" s="18">
        <f>IFERROR(VLOOKUP($A21,subQ,MATCH(O$1,SUBQH,0),0),"")</f>
        <v/>
      </c>
      <c r="P21" s="18">
        <f>IFERROR(VLOOKUP($A21,subQ,MATCH(P$1,SUBQH,0),0),"")</f>
        <v/>
      </c>
      <c r="Q21" s="18">
        <f>IFERROR(VLOOKUP($A21,subQ,MATCH(Q$1,SUBQH,0),0),"")</f>
        <v/>
      </c>
      <c r="R21" s="18">
        <f>IFERROR(VLOOKUP($A21,subQ,MATCH(R$1,SUBQH,0),0),"")</f>
        <v/>
      </c>
      <c r="S21" s="18">
        <f>IFERROR(VLOOKUP($A21,subQ,MATCH(S$1,SUBQH,0),0),"")</f>
        <v/>
      </c>
      <c r="T21" s="18">
        <f>IFERROR(VLOOKUP($A21,subQ,MATCH(T$1,SUBQH,0),0),"")</f>
        <v/>
      </c>
      <c r="U21" s="18">
        <f>IFERROR(VLOOKUP($A21,subQ,MATCH(U$1,SUBQH,0),0),"")</f>
        <v/>
      </c>
      <c r="V21" s="18">
        <f>IFERROR(VLOOKUP($A21,subQ,MATCH(V$1,SUBQH,0),0),"")</f>
        <v/>
      </c>
      <c r="W21" s="45">
        <f>IFERROR(VLOOKUP($A21,subQ,MATCH(W$1,SUBQH,0),0),"")</f>
        <v/>
      </c>
      <c r="X21" s="20">
        <f>IFERROR(VLOOKUP($A21,subQ,MATCH(X$1,SUBQH,0),0),"")</f>
        <v/>
      </c>
      <c r="Y21" s="20">
        <f>IFERROR(VLOOKUP($A21,subQ,MATCH(Y$1,SUBQH,0),0),"")</f>
        <v/>
      </c>
      <c r="Z21" s="20">
        <f>IFERROR(VLOOKUP($A21,subQ,MATCH(Z$1,SUBQH,0),0),"")</f>
        <v/>
      </c>
      <c r="AA21" s="20">
        <f>IFERROR(VLOOKUP($A21,subQ,MATCH(AA$1,SUBQH,0),0),"")</f>
        <v/>
      </c>
      <c r="AB21" s="20">
        <f>IFERROR(VLOOKUP($A21,subQ,MATCH(AB$1,SUBQH,0),0),"")</f>
        <v/>
      </c>
      <c r="AC21" s="20">
        <f>IFERROR(VLOOKUP($A21,subQ,MATCH(AC$1,SUBQH,0),0),"")</f>
        <v/>
      </c>
      <c r="AD21" s="20">
        <f>IFERROR(VLOOKUP($A21,subQ,MATCH(AD$1,SUBQH,0),0),"")</f>
        <v/>
      </c>
      <c r="AE21" s="20">
        <f>IFERROR(VLOOKUP($A21,subQ,MATCH(AE$1,SUBQH,0),0),"")</f>
        <v/>
      </c>
      <c r="AF21" s="20">
        <f>IFERROR(VLOOKUP($A21,subQ,MATCH(AF$1,SUBQH,0),0),"")</f>
        <v/>
      </c>
      <c r="AG21" s="20">
        <f>IFERROR(VLOOKUP($A21,subQ,MATCH(AG$1,SUBQH,0),0),"")</f>
        <v/>
      </c>
    </row>
    <row r="22">
      <c r="A22" s="12" t="inlineStr">
        <is>
          <t>자본총계</t>
        </is>
      </c>
      <c r="D22" t="inlineStr">
        <is>
          <t>자본총계</t>
        </is>
      </c>
      <c r="E22" s="18">
        <f>IFERROR(VLOOKUP($A22,subQ,MATCH(E$1,SUBQH,0),0),"")</f>
        <v/>
      </c>
      <c r="F22" s="18">
        <f>IFERROR(VLOOKUP($A22,subQ,MATCH(F$1,SUBQH,0),0),"")</f>
        <v/>
      </c>
      <c r="G22" s="18">
        <f>IFERROR(VLOOKUP($A22,subQ,MATCH(G$1,SUBQH,0),0),"")</f>
        <v/>
      </c>
      <c r="H22" s="18">
        <f>IFERROR(VLOOKUP($A22,subQ,MATCH(H$1,SUBQH,0),0),"")</f>
        <v/>
      </c>
      <c r="I22" s="18">
        <f>IFERROR(VLOOKUP($A22,subQ,MATCH(I$1,SUBQH,0),0),"")</f>
        <v/>
      </c>
      <c r="J22" s="18">
        <f>IFERROR(VLOOKUP($A22,subQ,MATCH(J$1,SUBQH,0),0),"")</f>
        <v/>
      </c>
      <c r="K22" s="18">
        <f>IFERROR(VLOOKUP($A22,subQ,MATCH(K$1,SUBQH,0),0),"")</f>
        <v/>
      </c>
      <c r="L22" s="18">
        <f>IFERROR(VLOOKUP($A22,subQ,MATCH(L$1,SUBQH,0),0),"")</f>
        <v/>
      </c>
      <c r="M22" s="18">
        <f>IFERROR(VLOOKUP($A22,subQ,MATCH(M$1,SUBQH,0),0),"")</f>
        <v/>
      </c>
      <c r="N22" s="18">
        <f>IFERROR(VLOOKUP($A22,subQ,MATCH(N$1,SUBQH,0),0),"")</f>
        <v/>
      </c>
      <c r="O22" s="18">
        <f>IFERROR(VLOOKUP($A22,subQ,MATCH(O$1,SUBQH,0),0),"")</f>
        <v/>
      </c>
      <c r="P22" s="18">
        <f>IFERROR(VLOOKUP($A22,subQ,MATCH(P$1,SUBQH,0),0),"")</f>
        <v/>
      </c>
      <c r="Q22" s="18">
        <f>IFERROR(VLOOKUP($A22,subQ,MATCH(Q$1,SUBQH,0),0),"")</f>
        <v/>
      </c>
      <c r="R22" s="18">
        <f>IFERROR(VLOOKUP($A22,subQ,MATCH(R$1,SUBQH,0),0),"")</f>
        <v/>
      </c>
      <c r="S22" s="18">
        <f>IFERROR(VLOOKUP($A22,subQ,MATCH(S$1,SUBQH,0),0),"")</f>
        <v/>
      </c>
      <c r="T22" s="18">
        <f>IFERROR(VLOOKUP($A22,subQ,MATCH(T$1,SUBQH,0),0),"")</f>
        <v/>
      </c>
      <c r="U22" s="18">
        <f>IFERROR(VLOOKUP($A22,subQ,MATCH(U$1,SUBQH,0),0),"")</f>
        <v/>
      </c>
      <c r="V22" s="18">
        <f>IFERROR(VLOOKUP($A22,subQ,MATCH(V$1,SUBQH,0),0),"")</f>
        <v/>
      </c>
      <c r="W22" s="45">
        <f>IFERROR(VLOOKUP($A22,subQ,MATCH(W$1,SUBQH,0),0),"")</f>
        <v/>
      </c>
      <c r="X22" s="20">
        <f>IFERROR(VLOOKUP($A22,subQ,MATCH(X$1,SUBQH,0),0),"")</f>
        <v/>
      </c>
      <c r="Y22" s="20">
        <f>IFERROR(VLOOKUP($A22,subQ,MATCH(Y$1,SUBQH,0),0),"")</f>
        <v/>
      </c>
      <c r="Z22" s="20">
        <f>IFERROR(VLOOKUP($A22,subQ,MATCH(Z$1,SUBQH,0),0),"")</f>
        <v/>
      </c>
      <c r="AA22" s="20">
        <f>IFERROR(VLOOKUP($A22,subQ,MATCH(AA$1,SUBQH,0),0),"")</f>
        <v/>
      </c>
      <c r="AB22" s="20">
        <f>IFERROR(VLOOKUP($A22,subQ,MATCH(AB$1,SUBQH,0),0),"")</f>
        <v/>
      </c>
      <c r="AC22" s="20">
        <f>IFERROR(VLOOKUP($A22,subQ,MATCH(AC$1,SUBQH,0),0),"")</f>
        <v/>
      </c>
      <c r="AD22" s="20">
        <f>IFERROR(VLOOKUP($A22,subQ,MATCH(AD$1,SUBQH,0),0),"")</f>
        <v/>
      </c>
      <c r="AE22" s="20">
        <f>IFERROR(VLOOKUP($A22,subQ,MATCH(AE$1,SUBQH,0),0),"")</f>
        <v/>
      </c>
      <c r="AF22" s="20">
        <f>IFERROR(VLOOKUP($A22,subQ,MATCH(AF$1,SUBQH,0),0),"")</f>
        <v/>
      </c>
      <c r="AG22" s="20">
        <f>IFERROR(VLOOKUP($A22,subQ,MATCH(AG$1,SUBQH,0),0),"")</f>
        <v/>
      </c>
    </row>
    <row r="23">
      <c r="A23" s="12" t="inlineStr">
        <is>
          <t>지배주주지분</t>
        </is>
      </c>
      <c r="D23" t="inlineStr">
        <is>
          <t>지배주주지분</t>
        </is>
      </c>
      <c r="E23" s="18">
        <f>IFERROR(VLOOKUP($A23,subQ,MATCH(E$1,SUBQH,0),0),"")</f>
        <v/>
      </c>
      <c r="F23" s="18">
        <f>IFERROR(VLOOKUP($A23,subQ,MATCH(F$1,SUBQH,0),0),"")</f>
        <v/>
      </c>
      <c r="G23" s="18">
        <f>IFERROR(VLOOKUP($A23,subQ,MATCH(G$1,SUBQH,0),0),"")</f>
        <v/>
      </c>
      <c r="H23" s="18">
        <f>IFERROR(VLOOKUP($A23,subQ,MATCH(H$1,SUBQH,0),0),"")</f>
        <v/>
      </c>
      <c r="I23" s="18">
        <f>IFERROR(VLOOKUP($A23,subQ,MATCH(I$1,SUBQH,0),0),"")</f>
        <v/>
      </c>
      <c r="J23" s="18">
        <f>IFERROR(VLOOKUP($A23,subQ,MATCH(J$1,SUBQH,0),0),"")</f>
        <v/>
      </c>
      <c r="K23" s="18">
        <f>IFERROR(VLOOKUP($A23,subQ,MATCH(K$1,SUBQH,0),0),"")</f>
        <v/>
      </c>
      <c r="L23" s="18">
        <f>IFERROR(VLOOKUP($A23,subQ,MATCH(L$1,SUBQH,0),0),"")</f>
        <v/>
      </c>
      <c r="M23" s="18">
        <f>IFERROR(VLOOKUP($A23,subQ,MATCH(M$1,SUBQH,0),0),"")</f>
        <v/>
      </c>
      <c r="N23" s="18">
        <f>IFERROR(VLOOKUP($A23,subQ,MATCH(N$1,SUBQH,0),0),"")</f>
        <v/>
      </c>
      <c r="O23" s="18">
        <f>IFERROR(VLOOKUP($A23,subQ,MATCH(O$1,SUBQH,0),0),"")</f>
        <v/>
      </c>
      <c r="P23" s="18">
        <f>IFERROR(VLOOKUP($A23,subQ,MATCH(P$1,SUBQH,0),0),"")</f>
        <v/>
      </c>
      <c r="Q23" s="18">
        <f>IFERROR(VLOOKUP($A23,subQ,MATCH(Q$1,SUBQH,0),0),"")</f>
        <v/>
      </c>
      <c r="R23" s="18">
        <f>IFERROR(VLOOKUP($A23,subQ,MATCH(R$1,SUBQH,0),0),"")</f>
        <v/>
      </c>
      <c r="S23" s="18">
        <f>IFERROR(VLOOKUP($A23,subQ,MATCH(S$1,SUBQH,0),0),"")</f>
        <v/>
      </c>
      <c r="T23" s="18">
        <f>IFERROR(VLOOKUP($A23,subQ,MATCH(T$1,SUBQH,0),0),"")</f>
        <v/>
      </c>
      <c r="U23" s="18">
        <f>IFERROR(VLOOKUP($A23,subQ,MATCH(U$1,SUBQH,0),0),"")</f>
        <v/>
      </c>
      <c r="V23" s="18">
        <f>IFERROR(VLOOKUP($A23,subQ,MATCH(V$1,SUBQH,0),0),"")</f>
        <v/>
      </c>
      <c r="W23" s="45">
        <f>IFERROR(VLOOKUP($A23,subQ,MATCH(W$1,SUBQH,0),0),"")</f>
        <v/>
      </c>
      <c r="X23" s="20">
        <f>IFERROR(VLOOKUP($A23,subQ,MATCH(X$1,SUBQH,0),0),"")</f>
        <v/>
      </c>
      <c r="Y23" s="20">
        <f>IFERROR(VLOOKUP($A23,subQ,MATCH(Y$1,SUBQH,0),0),"")</f>
        <v/>
      </c>
      <c r="Z23" s="20">
        <f>IFERROR(VLOOKUP($A23,subQ,MATCH(Z$1,SUBQH,0),0),"")</f>
        <v/>
      </c>
      <c r="AA23" s="20">
        <f>IFERROR(VLOOKUP($A23,subQ,MATCH(AA$1,SUBQH,0),0),"")</f>
        <v/>
      </c>
      <c r="AB23" s="20">
        <f>IFERROR(VLOOKUP($A23,subQ,MATCH(AB$1,SUBQH,0),0),"")</f>
        <v/>
      </c>
      <c r="AC23" s="20">
        <f>IFERROR(VLOOKUP($A23,subQ,MATCH(AC$1,SUBQH,0),0),"")</f>
        <v/>
      </c>
      <c r="AD23" s="20">
        <f>IFERROR(VLOOKUP($A23,subQ,MATCH(AD$1,SUBQH,0),0),"")</f>
        <v/>
      </c>
      <c r="AE23" s="20">
        <f>IFERROR(VLOOKUP($A23,subQ,MATCH(AE$1,SUBQH,0),0),"")</f>
        <v/>
      </c>
      <c r="AF23" s="20">
        <f>IFERROR(VLOOKUP($A23,subQ,MATCH(AF$1,SUBQH,0),0),"")</f>
        <v/>
      </c>
      <c r="AG23" s="20">
        <f>IFERROR(VLOOKUP($A23,subQ,MATCH(AG$1,SUBQH,0),0),"")</f>
        <v/>
      </c>
    </row>
    <row r="24">
      <c r="A24" s="12" t="inlineStr">
        <is>
          <t>총차입금</t>
        </is>
      </c>
      <c r="D24" t="inlineStr">
        <is>
          <t>총차입금</t>
        </is>
      </c>
      <c r="E24" s="18">
        <f>IFERROR(VLOOKUP($A24,subQ,MATCH(E$1,SUBQH,0),0),"")</f>
        <v/>
      </c>
      <c r="F24" s="18">
        <f>IFERROR(VLOOKUP($A24,subQ,MATCH(F$1,SUBQH,0),0),"")</f>
        <v/>
      </c>
      <c r="G24" s="18">
        <f>IFERROR(VLOOKUP($A24,subQ,MATCH(G$1,SUBQH,0),0),"")</f>
        <v/>
      </c>
      <c r="H24" s="18">
        <f>IFERROR(VLOOKUP($A24,subQ,MATCH(H$1,SUBQH,0),0),"")</f>
        <v/>
      </c>
      <c r="I24" s="18">
        <f>IFERROR(VLOOKUP($A24,subQ,MATCH(I$1,SUBQH,0),0),"")</f>
        <v/>
      </c>
      <c r="J24" s="18">
        <f>IFERROR(VLOOKUP($A24,subQ,MATCH(J$1,SUBQH,0),0),"")</f>
        <v/>
      </c>
      <c r="K24" s="18">
        <f>IFERROR(VLOOKUP($A24,subQ,MATCH(K$1,SUBQH,0),0),"")</f>
        <v/>
      </c>
      <c r="L24" s="18">
        <f>IFERROR(VLOOKUP($A24,subQ,MATCH(L$1,SUBQH,0),0),"")</f>
        <v/>
      </c>
      <c r="M24" s="18">
        <f>IFERROR(VLOOKUP($A24,subQ,MATCH(M$1,SUBQH,0),0),"")</f>
        <v/>
      </c>
      <c r="N24" s="18">
        <f>IFERROR(VLOOKUP($A24,subQ,MATCH(N$1,SUBQH,0),0),"")</f>
        <v/>
      </c>
      <c r="O24" s="18">
        <f>IFERROR(VLOOKUP($A24,subQ,MATCH(O$1,SUBQH,0),0),"")</f>
        <v/>
      </c>
      <c r="P24" s="18">
        <f>IFERROR(VLOOKUP($A24,subQ,MATCH(P$1,SUBQH,0),0),"")</f>
        <v/>
      </c>
      <c r="Q24" s="18">
        <f>IFERROR(VLOOKUP($A24,subQ,MATCH(Q$1,SUBQH,0),0),"")</f>
        <v/>
      </c>
      <c r="R24" s="18">
        <f>IFERROR(VLOOKUP($A24,subQ,MATCH(R$1,SUBQH,0),0),"")</f>
        <v/>
      </c>
      <c r="S24" s="18">
        <f>IFERROR(VLOOKUP($A24,subQ,MATCH(S$1,SUBQH,0),0),"")</f>
        <v/>
      </c>
      <c r="T24" s="18">
        <f>IFERROR(VLOOKUP($A24,subQ,MATCH(T$1,SUBQH,0),0),"")</f>
        <v/>
      </c>
      <c r="U24" s="18">
        <f>IFERROR(VLOOKUP($A24,subQ,MATCH(U$1,SUBQH,0),0),"")</f>
        <v/>
      </c>
      <c r="V24" s="18">
        <f>IFERROR(VLOOKUP($A24,subQ,MATCH(V$1,SUBQH,0),0),"")</f>
        <v/>
      </c>
      <c r="W24" s="45">
        <f>IFERROR(VLOOKUP($A24,subQ,MATCH(W$1,SUBQH,0),0),"")</f>
        <v/>
      </c>
      <c r="X24" s="20">
        <f>IFERROR(VLOOKUP($A24,subQ,MATCH(X$1,SUBQH,0),0),"")</f>
        <v/>
      </c>
      <c r="Y24" s="20">
        <f>IFERROR(VLOOKUP($A24,subQ,MATCH(Y$1,SUBQH,0),0),"")</f>
        <v/>
      </c>
      <c r="Z24" s="20">
        <f>IFERROR(VLOOKUP($A24,subQ,MATCH(Z$1,SUBQH,0),0),"")</f>
        <v/>
      </c>
      <c r="AA24" s="20">
        <f>IFERROR(VLOOKUP($A24,subQ,MATCH(AA$1,SUBQH,0),0),"")</f>
        <v/>
      </c>
      <c r="AB24" s="20">
        <f>IFERROR(VLOOKUP($A24,subQ,MATCH(AB$1,SUBQH,0),0),"")</f>
        <v/>
      </c>
      <c r="AC24" s="20">
        <f>IFERROR(VLOOKUP($A24,subQ,MATCH(AC$1,SUBQH,0),0),"")</f>
        <v/>
      </c>
      <c r="AD24" s="20">
        <f>IFERROR(VLOOKUP($A24,subQ,MATCH(AD$1,SUBQH,0),0),"")</f>
        <v/>
      </c>
      <c r="AE24" s="20">
        <f>IFERROR(VLOOKUP($A24,subQ,MATCH(AE$1,SUBQH,0),0),"")</f>
        <v/>
      </c>
      <c r="AF24" s="20">
        <f>IFERROR(VLOOKUP($A24,subQ,MATCH(AF$1,SUBQH,0),0),"")</f>
        <v/>
      </c>
      <c r="AG24" s="20">
        <f>IFERROR(VLOOKUP($A24,subQ,MATCH(AG$1,SUBQH,0),0),"")</f>
        <v/>
      </c>
    </row>
    <row r="25">
      <c r="A25" s="12" t="inlineStr">
        <is>
          <t>순차입금</t>
        </is>
      </c>
      <c r="D25" t="inlineStr">
        <is>
          <t>순차입금</t>
        </is>
      </c>
      <c r="E25" s="18">
        <f>IFERROR(VLOOKUP($A25,subQ,MATCH(E$1,SUBQH,0),0),"")</f>
        <v/>
      </c>
      <c r="F25" s="18">
        <f>IFERROR(VLOOKUP($A25,subQ,MATCH(F$1,SUBQH,0),0),"")</f>
        <v/>
      </c>
      <c r="G25" s="18">
        <f>IFERROR(VLOOKUP($A25,subQ,MATCH(G$1,SUBQH,0),0),"")</f>
        <v/>
      </c>
      <c r="H25" s="18">
        <f>IFERROR(VLOOKUP($A25,subQ,MATCH(H$1,SUBQH,0),0),"")</f>
        <v/>
      </c>
      <c r="I25" s="18">
        <f>IFERROR(VLOOKUP($A25,subQ,MATCH(I$1,SUBQH,0),0),"")</f>
        <v/>
      </c>
      <c r="J25" s="18">
        <f>IFERROR(VLOOKUP($A25,subQ,MATCH(J$1,SUBQH,0),0),"")</f>
        <v/>
      </c>
      <c r="K25" s="18">
        <f>IFERROR(VLOOKUP($A25,subQ,MATCH(K$1,SUBQH,0),0),"")</f>
        <v/>
      </c>
      <c r="L25" s="18">
        <f>IFERROR(VLOOKUP($A25,subQ,MATCH(L$1,SUBQH,0),0),"")</f>
        <v/>
      </c>
      <c r="M25" s="18">
        <f>IFERROR(VLOOKUP($A25,subQ,MATCH(M$1,SUBQH,0),0),"")</f>
        <v/>
      </c>
      <c r="N25" s="18">
        <f>IFERROR(VLOOKUP($A25,subQ,MATCH(N$1,SUBQH,0),0),"")</f>
        <v/>
      </c>
      <c r="O25" s="18">
        <f>IFERROR(VLOOKUP($A25,subQ,MATCH(O$1,SUBQH,0),0),"")</f>
        <v/>
      </c>
      <c r="P25" s="18">
        <f>IFERROR(VLOOKUP($A25,subQ,MATCH(P$1,SUBQH,0),0),"")</f>
        <v/>
      </c>
      <c r="Q25" s="18">
        <f>IFERROR(VLOOKUP($A25,subQ,MATCH(Q$1,SUBQH,0),0),"")</f>
        <v/>
      </c>
      <c r="R25" s="18">
        <f>IFERROR(VLOOKUP($A25,subQ,MATCH(R$1,SUBQH,0),0),"")</f>
        <v/>
      </c>
      <c r="S25" s="18">
        <f>IFERROR(VLOOKUP($A25,subQ,MATCH(S$1,SUBQH,0),0),"")</f>
        <v/>
      </c>
      <c r="T25" s="18">
        <f>IFERROR(VLOOKUP($A25,subQ,MATCH(T$1,SUBQH,0),0),"")</f>
        <v/>
      </c>
      <c r="U25" s="18">
        <f>IFERROR(VLOOKUP($A25,subQ,MATCH(U$1,SUBQH,0),0),"")</f>
        <v/>
      </c>
      <c r="V25" s="18">
        <f>IFERROR(VLOOKUP($A25,subQ,MATCH(V$1,SUBQH,0),0),"")</f>
        <v/>
      </c>
      <c r="W25" s="45">
        <f>IFERROR(VLOOKUP($A25,subQ,MATCH(W$1,SUBQH,0),0),"")</f>
        <v/>
      </c>
      <c r="X25" s="20">
        <f>IFERROR(VLOOKUP($A25,subQ,MATCH(X$1,SUBQH,0),0),"")</f>
        <v/>
      </c>
      <c r="Y25" s="20">
        <f>IFERROR(VLOOKUP($A25,subQ,MATCH(Y$1,SUBQH,0),0),"")</f>
        <v/>
      </c>
      <c r="Z25" s="20">
        <f>IFERROR(VLOOKUP($A25,subQ,MATCH(Z$1,SUBQH,0),0),"")</f>
        <v/>
      </c>
      <c r="AA25" s="20">
        <f>IFERROR(VLOOKUP($A25,subQ,MATCH(AA$1,SUBQH,0),0),"")</f>
        <v/>
      </c>
      <c r="AB25" s="20">
        <f>IFERROR(VLOOKUP($A25,subQ,MATCH(AB$1,SUBQH,0),0),"")</f>
        <v/>
      </c>
      <c r="AC25" s="20">
        <f>IFERROR(VLOOKUP($A25,subQ,MATCH(AC$1,SUBQH,0),0),"")</f>
        <v/>
      </c>
      <c r="AD25" s="20">
        <f>IFERROR(VLOOKUP($A25,subQ,MATCH(AD$1,SUBQH,0),0),"")</f>
        <v/>
      </c>
      <c r="AE25" s="20">
        <f>IFERROR(VLOOKUP($A25,subQ,MATCH(AE$1,SUBQH,0),0),"")</f>
        <v/>
      </c>
      <c r="AF25" s="20">
        <f>IFERROR(VLOOKUP($A25,subQ,MATCH(AF$1,SUBQH,0),0),"")</f>
        <v/>
      </c>
      <c r="AG25" s="20">
        <f>IFERROR(VLOOKUP($A25,subQ,MATCH(AG$1,SUBQH,0),0),"")</f>
        <v/>
      </c>
    </row>
    <row r="26">
      <c r="A26" s="12" t="inlineStr">
        <is>
          <t>이자발생자산</t>
        </is>
      </c>
      <c r="D26" t="inlineStr">
        <is>
          <t>이자발생자산</t>
        </is>
      </c>
      <c r="E26" s="18">
        <f>IFERROR(VLOOKUP($A26,subQ,MATCH(E$1,SUBQH,0),0),"")</f>
        <v/>
      </c>
      <c r="F26" s="18">
        <f>IFERROR(VLOOKUP($A26,subQ,MATCH(F$1,SUBQH,0),0),"")</f>
        <v/>
      </c>
      <c r="G26" s="18">
        <f>IFERROR(VLOOKUP($A26,subQ,MATCH(G$1,SUBQH,0),0),"")</f>
        <v/>
      </c>
      <c r="H26" s="18">
        <f>IFERROR(VLOOKUP($A26,subQ,MATCH(H$1,SUBQH,0),0),"")</f>
        <v/>
      </c>
      <c r="I26" s="18">
        <f>IFERROR(VLOOKUP($A26,subQ,MATCH(I$1,SUBQH,0),0),"")</f>
        <v/>
      </c>
      <c r="J26" s="18">
        <f>IFERROR(VLOOKUP($A26,subQ,MATCH(J$1,SUBQH,0),0),"")</f>
        <v/>
      </c>
      <c r="K26" s="18">
        <f>IFERROR(VLOOKUP($A26,subQ,MATCH(K$1,SUBQH,0),0),"")</f>
        <v/>
      </c>
      <c r="L26" s="18">
        <f>IFERROR(VLOOKUP($A26,subQ,MATCH(L$1,SUBQH,0),0),"")</f>
        <v/>
      </c>
      <c r="M26" s="18">
        <f>IFERROR(VLOOKUP($A26,subQ,MATCH(M$1,SUBQH,0),0),"")</f>
        <v/>
      </c>
      <c r="N26" s="18">
        <f>IFERROR(VLOOKUP($A26,subQ,MATCH(N$1,SUBQH,0),0),"")</f>
        <v/>
      </c>
      <c r="O26" s="18">
        <f>IFERROR(VLOOKUP($A26,subQ,MATCH(O$1,SUBQH,0),0),"")</f>
        <v/>
      </c>
      <c r="P26" s="18">
        <f>IFERROR(VLOOKUP($A26,subQ,MATCH(P$1,SUBQH,0),0),"")</f>
        <v/>
      </c>
      <c r="Q26" s="18">
        <f>IFERROR(VLOOKUP($A26,subQ,MATCH(Q$1,SUBQH,0),0),"")</f>
        <v/>
      </c>
      <c r="R26" s="18">
        <f>IFERROR(VLOOKUP($A26,subQ,MATCH(R$1,SUBQH,0),0),"")</f>
        <v/>
      </c>
      <c r="S26" s="18">
        <f>IFERROR(VLOOKUP($A26,subQ,MATCH(S$1,SUBQH,0),0),"")</f>
        <v/>
      </c>
      <c r="T26" s="18">
        <f>IFERROR(VLOOKUP($A26,subQ,MATCH(T$1,SUBQH,0),0),"")</f>
        <v/>
      </c>
      <c r="U26" s="18">
        <f>IFERROR(VLOOKUP($A26,subQ,MATCH(U$1,SUBQH,0),0),"")</f>
        <v/>
      </c>
      <c r="V26" s="18">
        <f>IFERROR(VLOOKUP($A26,subQ,MATCH(V$1,SUBQH,0),0),"")</f>
        <v/>
      </c>
      <c r="W26" s="45">
        <f>IFERROR(VLOOKUP($A26,subQ,MATCH(W$1,SUBQH,0),0),"")</f>
        <v/>
      </c>
      <c r="X26" s="20">
        <f>IFERROR(VLOOKUP($A26,subQ,MATCH(X$1,SUBQH,0),0),"")</f>
        <v/>
      </c>
      <c r="Y26" s="20">
        <f>IFERROR(VLOOKUP($A26,subQ,MATCH(Y$1,SUBQH,0),0),"")</f>
        <v/>
      </c>
      <c r="Z26" s="20">
        <f>IFERROR(VLOOKUP($A26,subQ,MATCH(Z$1,SUBQH,0),0),"")</f>
        <v/>
      </c>
      <c r="AA26" s="20">
        <f>IFERROR(VLOOKUP($A26,subQ,MATCH(AA$1,SUBQH,0),0),"")</f>
        <v/>
      </c>
      <c r="AB26" s="20">
        <f>IFERROR(VLOOKUP($A26,subQ,MATCH(AB$1,SUBQH,0),0),"")</f>
        <v/>
      </c>
      <c r="AC26" s="20">
        <f>IFERROR(VLOOKUP($A26,subQ,MATCH(AC$1,SUBQH,0),0),"")</f>
        <v/>
      </c>
      <c r="AD26" s="20">
        <f>IFERROR(VLOOKUP($A26,subQ,MATCH(AD$1,SUBQH,0),0),"")</f>
        <v/>
      </c>
      <c r="AE26" s="20">
        <f>IFERROR(VLOOKUP($A26,subQ,MATCH(AE$1,SUBQH,0),0),"")</f>
        <v/>
      </c>
      <c r="AF26" s="20">
        <f>IFERROR(VLOOKUP($A26,subQ,MATCH(AF$1,SUBQH,0),0),"")</f>
        <v/>
      </c>
      <c r="AG26" s="20">
        <f>IFERROR(VLOOKUP($A26,subQ,MATCH(AG$1,SUBQH,0),0),"")</f>
        <v/>
      </c>
    </row>
    <row r="27">
      <c r="A27" s="12" t="inlineStr">
        <is>
          <t>현금및현금성자산</t>
        </is>
      </c>
      <c r="D27" t="inlineStr">
        <is>
          <t>현금및현금성자산</t>
        </is>
      </c>
      <c r="E27" s="18">
        <f>IFERROR(VLOOKUP($A27,subQ,MATCH(E$1,SUBQH,0),0),"")</f>
        <v/>
      </c>
      <c r="F27" s="18">
        <f>IFERROR(VLOOKUP($A27,subQ,MATCH(F$1,SUBQH,0),0),"")</f>
        <v/>
      </c>
      <c r="G27" s="18">
        <f>IFERROR(VLOOKUP($A27,subQ,MATCH(G$1,SUBQH,0),0),"")</f>
        <v/>
      </c>
      <c r="H27" s="18">
        <f>IFERROR(VLOOKUP($A27,subQ,MATCH(H$1,SUBQH,0),0),"")</f>
        <v/>
      </c>
      <c r="I27" s="18">
        <f>IFERROR(VLOOKUP($A27,subQ,MATCH(I$1,SUBQH,0),0),"")</f>
        <v/>
      </c>
      <c r="J27" s="18">
        <f>IFERROR(VLOOKUP($A27,subQ,MATCH(J$1,SUBQH,0),0),"")</f>
        <v/>
      </c>
      <c r="K27" s="18">
        <f>IFERROR(VLOOKUP($A27,subQ,MATCH(K$1,SUBQH,0),0),"")</f>
        <v/>
      </c>
      <c r="L27" s="18">
        <f>IFERROR(VLOOKUP($A27,subQ,MATCH(L$1,SUBQH,0),0),"")</f>
        <v/>
      </c>
      <c r="M27" s="18">
        <f>IFERROR(VLOOKUP($A27,subQ,MATCH(M$1,SUBQH,0),0),"")</f>
        <v/>
      </c>
      <c r="N27" s="18">
        <f>IFERROR(VLOOKUP($A27,subQ,MATCH(N$1,SUBQH,0),0),"")</f>
        <v/>
      </c>
      <c r="O27" s="18">
        <f>IFERROR(VLOOKUP($A27,subQ,MATCH(O$1,SUBQH,0),0),"")</f>
        <v/>
      </c>
      <c r="P27" s="18">
        <f>IFERROR(VLOOKUP($A27,subQ,MATCH(P$1,SUBQH,0),0),"")</f>
        <v/>
      </c>
      <c r="Q27" s="18">
        <f>IFERROR(VLOOKUP($A27,subQ,MATCH(Q$1,SUBQH,0),0),"")</f>
        <v/>
      </c>
      <c r="R27" s="18">
        <f>IFERROR(VLOOKUP($A27,subQ,MATCH(R$1,SUBQH,0),0),"")</f>
        <v/>
      </c>
      <c r="S27" s="18">
        <f>IFERROR(VLOOKUP($A27,subQ,MATCH(S$1,SUBQH,0),0),"")</f>
        <v/>
      </c>
      <c r="T27" s="18">
        <f>IFERROR(VLOOKUP($A27,subQ,MATCH(T$1,SUBQH,0),0),"")</f>
        <v/>
      </c>
      <c r="U27" s="18">
        <f>IFERROR(VLOOKUP($A27,subQ,MATCH(U$1,SUBQH,0),0),"")</f>
        <v/>
      </c>
      <c r="V27" s="18">
        <f>IFERROR(VLOOKUP($A27,subQ,MATCH(V$1,SUBQH,0),0),"")</f>
        <v/>
      </c>
      <c r="W27" s="45">
        <f>IFERROR(VLOOKUP($A27,subQ,MATCH(W$1,SUBQH,0),0),"")</f>
        <v/>
      </c>
      <c r="X27" s="20">
        <f>IFERROR(VLOOKUP($A27,subQ,MATCH(X$1,SUBQH,0),0),"")</f>
        <v/>
      </c>
      <c r="Y27" s="20">
        <f>IFERROR(VLOOKUP($A27,subQ,MATCH(Y$1,SUBQH,0),0),"")</f>
        <v/>
      </c>
      <c r="Z27" s="20">
        <f>IFERROR(VLOOKUP($A27,subQ,MATCH(Z$1,SUBQH,0),0),"")</f>
        <v/>
      </c>
      <c r="AA27" s="20">
        <f>IFERROR(VLOOKUP($A27,subQ,MATCH(AA$1,SUBQH,0),0),"")</f>
        <v/>
      </c>
      <c r="AB27" s="20">
        <f>IFERROR(VLOOKUP($A27,subQ,MATCH(AB$1,SUBQH,0),0),"")</f>
        <v/>
      </c>
      <c r="AC27" s="20">
        <f>IFERROR(VLOOKUP($A27,subQ,MATCH(AC$1,SUBQH,0),0),"")</f>
        <v/>
      </c>
      <c r="AD27" s="20">
        <f>IFERROR(VLOOKUP($A27,subQ,MATCH(AD$1,SUBQH,0),0),"")</f>
        <v/>
      </c>
      <c r="AE27" s="20">
        <f>IFERROR(VLOOKUP($A27,subQ,MATCH(AE$1,SUBQH,0),0),"")</f>
        <v/>
      </c>
      <c r="AF27" s="20">
        <f>IFERROR(VLOOKUP($A27,subQ,MATCH(AF$1,SUBQH,0),0),"")</f>
        <v/>
      </c>
      <c r="AG27" s="20">
        <f>IFERROR(VLOOKUP($A27,subQ,MATCH(AG$1,SUBQH,0),0),"")</f>
        <v/>
      </c>
    </row>
    <row r="28">
      <c r="A28" s="12" t="inlineStr">
        <is>
          <t>CAPEX</t>
        </is>
      </c>
      <c r="D28" t="inlineStr">
        <is>
          <t>CAPEX</t>
        </is>
      </c>
      <c r="E28" s="18">
        <f>IFERROR(VLOOKUP($A28,subQ,MATCH(E$1,SUBQH,0),0),"")</f>
        <v/>
      </c>
      <c r="F28" s="18">
        <f>IFERROR(VLOOKUP($A28,subQ,MATCH(F$1,SUBQH,0),0),"")</f>
        <v/>
      </c>
      <c r="G28" s="18">
        <f>IFERROR(VLOOKUP($A28,subQ,MATCH(G$1,SUBQH,0),0),"")</f>
        <v/>
      </c>
      <c r="H28" s="18">
        <f>IFERROR(VLOOKUP($A28,subQ,MATCH(H$1,SUBQH,0),0),"")</f>
        <v/>
      </c>
      <c r="I28" s="18">
        <f>IFERROR(VLOOKUP($A28,subQ,MATCH(I$1,SUBQH,0),0),"")</f>
        <v/>
      </c>
      <c r="J28" s="18">
        <f>IFERROR(VLOOKUP($A28,subQ,MATCH(J$1,SUBQH,0),0),"")</f>
        <v/>
      </c>
      <c r="K28" s="18">
        <f>IFERROR(VLOOKUP($A28,subQ,MATCH(K$1,SUBQH,0),0),"")</f>
        <v/>
      </c>
      <c r="L28" s="18">
        <f>IFERROR(VLOOKUP($A28,subQ,MATCH(L$1,SUBQH,0),0),"")</f>
        <v/>
      </c>
      <c r="M28" s="18">
        <f>IFERROR(VLOOKUP($A28,subQ,MATCH(M$1,SUBQH,0),0),"")</f>
        <v/>
      </c>
      <c r="N28" s="18">
        <f>IFERROR(VLOOKUP($A28,subQ,MATCH(N$1,SUBQH,0),0),"")</f>
        <v/>
      </c>
      <c r="O28" s="18">
        <f>IFERROR(VLOOKUP($A28,subQ,MATCH(O$1,SUBQH,0),0),"")</f>
        <v/>
      </c>
      <c r="P28" s="18">
        <f>IFERROR(VLOOKUP($A28,subQ,MATCH(P$1,SUBQH,0),0),"")</f>
        <v/>
      </c>
      <c r="Q28" s="18">
        <f>IFERROR(VLOOKUP($A28,subQ,MATCH(Q$1,SUBQH,0),0),"")</f>
        <v/>
      </c>
      <c r="R28" s="18">
        <f>IFERROR(VLOOKUP($A28,subQ,MATCH(R$1,SUBQH,0),0),"")</f>
        <v/>
      </c>
      <c r="S28" s="18">
        <f>IFERROR(VLOOKUP($A28,subQ,MATCH(S$1,SUBQH,0),0),"")</f>
        <v/>
      </c>
      <c r="T28" s="18">
        <f>IFERROR(VLOOKUP($A28,subQ,MATCH(T$1,SUBQH,0),0),"")</f>
        <v/>
      </c>
      <c r="U28" s="18">
        <f>IFERROR(VLOOKUP($A28,subQ,MATCH(U$1,SUBQH,0),0),"")</f>
        <v/>
      </c>
      <c r="V28" s="18">
        <f>IFERROR(VLOOKUP($A28,subQ,MATCH(V$1,SUBQH,0),0),"")</f>
        <v/>
      </c>
      <c r="W28" s="45">
        <f>IFERROR(VLOOKUP($A28,subQ,MATCH(W$1,SUBQH,0),0),"")</f>
        <v/>
      </c>
      <c r="X28" s="20">
        <f>IFERROR(VLOOKUP($A28,subQ,MATCH(X$1,SUBQH,0),0),"")</f>
        <v/>
      </c>
      <c r="Y28" s="20">
        <f>IFERROR(VLOOKUP($A28,subQ,MATCH(Y$1,SUBQH,0),0),"")</f>
        <v/>
      </c>
      <c r="Z28" s="20">
        <f>IFERROR(VLOOKUP($A28,subQ,MATCH(Z$1,SUBQH,0),0),"")</f>
        <v/>
      </c>
      <c r="AA28" s="20">
        <f>IFERROR(VLOOKUP($A28,subQ,MATCH(AA$1,SUBQH,0),0),"")</f>
        <v/>
      </c>
      <c r="AB28" s="20">
        <f>IFERROR(VLOOKUP($A28,subQ,MATCH(AB$1,SUBQH,0),0),"")</f>
        <v/>
      </c>
      <c r="AC28" s="20">
        <f>IFERROR(VLOOKUP($A28,subQ,MATCH(AC$1,SUBQH,0),0),"")</f>
        <v/>
      </c>
      <c r="AD28" s="20">
        <f>IFERROR(VLOOKUP($A28,subQ,MATCH(AD$1,SUBQH,0),0),"")</f>
        <v/>
      </c>
      <c r="AE28" s="20">
        <f>IFERROR(VLOOKUP($A28,subQ,MATCH(AE$1,SUBQH,0),0),"")</f>
        <v/>
      </c>
      <c r="AF28" s="20">
        <f>IFERROR(VLOOKUP($A28,subQ,MATCH(AF$1,SUBQH,0),0),"")</f>
        <v/>
      </c>
      <c r="AG28" s="20">
        <f>IFERROR(VLOOKUP($A28,subQ,MATCH(AG$1,SUBQH,0),0),"")</f>
        <v/>
      </c>
    </row>
    <row r="29">
      <c r="A29" s="12" t="inlineStr">
        <is>
          <t>영업활동현금흐름</t>
        </is>
      </c>
      <c r="D29" t="inlineStr">
        <is>
          <t>영업활동현금흐름</t>
        </is>
      </c>
      <c r="E29" s="18">
        <f>IFERROR(VLOOKUP($A29,subQ,MATCH(E$1,SUBQH,0),0),"")</f>
        <v/>
      </c>
      <c r="F29" s="18">
        <f>IFERROR(VLOOKUP($A29,subQ,MATCH(F$1,SUBQH,0),0),"")</f>
        <v/>
      </c>
      <c r="G29" s="18">
        <f>IFERROR(VLOOKUP($A29,subQ,MATCH(G$1,SUBQH,0),0),"")</f>
        <v/>
      </c>
      <c r="H29" s="18">
        <f>IFERROR(VLOOKUP($A29,subQ,MATCH(H$1,SUBQH,0),0),"")</f>
        <v/>
      </c>
      <c r="I29" s="18">
        <f>IFERROR(VLOOKUP($A29,subQ,MATCH(I$1,SUBQH,0),0),"")</f>
        <v/>
      </c>
      <c r="J29" s="18">
        <f>IFERROR(VLOOKUP($A29,subQ,MATCH(J$1,SUBQH,0),0),"")</f>
        <v/>
      </c>
      <c r="K29" s="18">
        <f>IFERROR(VLOOKUP($A29,subQ,MATCH(K$1,SUBQH,0),0),"")</f>
        <v/>
      </c>
      <c r="L29" s="18">
        <f>IFERROR(VLOOKUP($A29,subQ,MATCH(L$1,SUBQH,0),0),"")</f>
        <v/>
      </c>
      <c r="M29" s="18">
        <f>IFERROR(VLOOKUP($A29,subQ,MATCH(M$1,SUBQH,0),0),"")</f>
        <v/>
      </c>
      <c r="N29" s="18">
        <f>IFERROR(VLOOKUP($A29,subQ,MATCH(N$1,SUBQH,0),0),"")</f>
        <v/>
      </c>
      <c r="O29" s="18">
        <f>IFERROR(VLOOKUP($A29,subQ,MATCH(O$1,SUBQH,0),0),"")</f>
        <v/>
      </c>
      <c r="P29" s="18">
        <f>IFERROR(VLOOKUP($A29,subQ,MATCH(P$1,SUBQH,0),0),"")</f>
        <v/>
      </c>
      <c r="Q29" s="18">
        <f>IFERROR(VLOOKUP($A29,subQ,MATCH(Q$1,SUBQH,0),0),"")</f>
        <v/>
      </c>
      <c r="R29" s="18">
        <f>IFERROR(VLOOKUP($A29,subQ,MATCH(R$1,SUBQH,0),0),"")</f>
        <v/>
      </c>
      <c r="S29" s="18">
        <f>IFERROR(VLOOKUP($A29,subQ,MATCH(S$1,SUBQH,0),0),"")</f>
        <v/>
      </c>
      <c r="T29" s="18">
        <f>IFERROR(VLOOKUP($A29,subQ,MATCH(T$1,SUBQH,0),0),"")</f>
        <v/>
      </c>
      <c r="U29" s="18">
        <f>IFERROR(VLOOKUP($A29,subQ,MATCH(U$1,SUBQH,0),0),"")</f>
        <v/>
      </c>
      <c r="V29" s="18">
        <f>IFERROR(VLOOKUP($A29,subQ,MATCH(V$1,SUBQH,0),0),"")</f>
        <v/>
      </c>
      <c r="W29" s="45">
        <f>IFERROR(VLOOKUP($A29,subQ,MATCH(W$1,SUBQH,0),0),"")</f>
        <v/>
      </c>
      <c r="X29" s="20">
        <f>IFERROR(VLOOKUP($A29,subQ,MATCH(X$1,SUBQH,0),0),"")</f>
        <v/>
      </c>
      <c r="Y29" s="20">
        <f>IFERROR(VLOOKUP($A29,subQ,MATCH(Y$1,SUBQH,0),0),"")</f>
        <v/>
      </c>
      <c r="Z29" s="20">
        <f>IFERROR(VLOOKUP($A29,subQ,MATCH(Z$1,SUBQH,0),0),"")</f>
        <v/>
      </c>
      <c r="AA29" s="20">
        <f>IFERROR(VLOOKUP($A29,subQ,MATCH(AA$1,SUBQH,0),0),"")</f>
        <v/>
      </c>
      <c r="AB29" s="20">
        <f>IFERROR(VLOOKUP($A29,subQ,MATCH(AB$1,SUBQH,0),0),"")</f>
        <v/>
      </c>
      <c r="AC29" s="20">
        <f>IFERROR(VLOOKUP($A29,subQ,MATCH(AC$1,SUBQH,0),0),"")</f>
        <v/>
      </c>
      <c r="AD29" s="20">
        <f>IFERROR(VLOOKUP($A29,subQ,MATCH(AD$1,SUBQH,0),0),"")</f>
        <v/>
      </c>
      <c r="AE29" s="20">
        <f>IFERROR(VLOOKUP($A29,subQ,MATCH(AE$1,SUBQH,0),0),"")</f>
        <v/>
      </c>
      <c r="AF29" s="20">
        <f>IFERROR(VLOOKUP($A29,subQ,MATCH(AF$1,SUBQH,0),0),"")</f>
        <v/>
      </c>
      <c r="AG29" s="20">
        <f>IFERROR(VLOOKUP($A29,subQ,MATCH(AG$1,SUBQH,0),0),"")</f>
        <v/>
      </c>
    </row>
    <row r="30">
      <c r="A30" s="12" t="inlineStr">
        <is>
          <t>주식수</t>
        </is>
      </c>
      <c r="D30" t="inlineStr">
        <is>
          <t>유통주식수</t>
        </is>
      </c>
      <c r="E30" s="27">
        <f>IFERROR(VLOOKUP($A30,subQ,MATCH(E$1,SUBQH,0),0),"")</f>
        <v/>
      </c>
      <c r="F30" s="27">
        <f>IFERROR(VLOOKUP($A30,subQ,MATCH(F$1,SUBQH,0),0),"")</f>
        <v/>
      </c>
      <c r="G30" s="27">
        <f>IFERROR(VLOOKUP($A30,subQ,MATCH(G$1,SUBQH,0),0),"")</f>
        <v/>
      </c>
      <c r="H30" s="27">
        <f>IFERROR(VLOOKUP($A30,subQ,MATCH(H$1,SUBQH,0),0),"")</f>
        <v/>
      </c>
      <c r="I30" s="27">
        <f>IFERROR(VLOOKUP($A30,subQ,MATCH(I$1,SUBQH,0),0),"")</f>
        <v/>
      </c>
      <c r="J30" s="27">
        <f>IFERROR(VLOOKUP($A30,subQ,MATCH(J$1,SUBQH,0),0),"")</f>
        <v/>
      </c>
      <c r="K30" s="27">
        <f>IFERROR(VLOOKUP($A30,subQ,MATCH(K$1,SUBQH,0),0),"")</f>
        <v/>
      </c>
      <c r="L30" s="27">
        <f>IFERROR(VLOOKUP($A30,subQ,MATCH(L$1,SUBQH,0),0),"")</f>
        <v/>
      </c>
      <c r="M30" s="27">
        <f>IFERROR(VLOOKUP($A30,subQ,MATCH(M$1,SUBQH,0),0),"")</f>
        <v/>
      </c>
      <c r="N30" s="27">
        <f>IFERROR(VLOOKUP($A30,subQ,MATCH(N$1,SUBQH,0),0),"")</f>
        <v/>
      </c>
      <c r="O30" s="27">
        <f>IFERROR(VLOOKUP($A30,subQ,MATCH(O$1,SUBQH,0),0),"")</f>
        <v/>
      </c>
      <c r="P30" s="27">
        <f>IFERROR(VLOOKUP($A30,subQ,MATCH(P$1,SUBQH,0),0),"")</f>
        <v/>
      </c>
      <c r="Q30" s="27">
        <f>IFERROR(VLOOKUP($A30,subQ,MATCH(Q$1,SUBQH,0),0),"")</f>
        <v/>
      </c>
      <c r="R30" s="27">
        <f>IFERROR(VLOOKUP($A30,subQ,MATCH(R$1,SUBQH,0),0),"")</f>
        <v/>
      </c>
      <c r="S30" s="27">
        <f>IFERROR(VLOOKUP($A30,subQ,MATCH(S$1,SUBQH,0),0),"")</f>
        <v/>
      </c>
      <c r="T30" s="27">
        <f>IFERROR(VLOOKUP($A30,subQ,MATCH(T$1,SUBQH,0),0),"")</f>
        <v/>
      </c>
      <c r="U30" s="27">
        <f>IFERROR(VLOOKUP($A30,subQ,MATCH(U$1,SUBQH,0),0),"")</f>
        <v/>
      </c>
      <c r="V30" s="27">
        <f>IFERROR(VLOOKUP($A30,subQ,MATCH(V$1,SUBQH,0),0),"")</f>
        <v/>
      </c>
      <c r="W30" s="47">
        <f>IFERROR(VLOOKUP($A30,subQ,MATCH(W$1,SUBQH,0),0),"")</f>
        <v/>
      </c>
      <c r="X30" s="33">
        <f>IFERROR(VLOOKUP($A30,subQ,MATCH(X$1,SUBQH,0),0),"")</f>
        <v/>
      </c>
      <c r="Y30" s="33">
        <f>IFERROR(VLOOKUP($A30,subQ,MATCH(Y$1,SUBQH,0),0),"")</f>
        <v/>
      </c>
      <c r="Z30" s="33">
        <f>IFERROR(VLOOKUP($A30,subQ,MATCH(Z$1,SUBQH,0),0),"")</f>
        <v/>
      </c>
      <c r="AA30" s="33">
        <f>IFERROR(VLOOKUP($A30,subQ,MATCH(AA$1,SUBQH,0),0),"")</f>
        <v/>
      </c>
      <c r="AB30" s="33">
        <f>IFERROR(VLOOKUP($A30,subQ,MATCH(AB$1,SUBQH,0),0),"")</f>
        <v/>
      </c>
      <c r="AC30" s="33">
        <f>IFERROR(VLOOKUP($A30,subQ,MATCH(AC$1,SUBQH,0),0),"")</f>
        <v/>
      </c>
      <c r="AD30" s="33">
        <f>IFERROR(VLOOKUP($A30,subQ,MATCH(AD$1,SUBQH,0),0),"")</f>
        <v/>
      </c>
      <c r="AE30" s="33">
        <f>IFERROR(VLOOKUP($A30,subQ,MATCH(AE$1,SUBQH,0),0),"")</f>
        <v/>
      </c>
      <c r="AF30" s="33">
        <f>IFERROR(VLOOKUP($A30,subQ,MATCH(AF$1,SUBQH,0),0),"")</f>
        <v/>
      </c>
      <c r="AG30" s="33">
        <f>IFERROR(VLOOKUP($A30,subQ,MATCH(AG$1,SUBQH,0),0),"")</f>
        <v/>
      </c>
    </row>
    <row r="31">
      <c r="A31" s="12" t="inlineStr">
        <is>
          <t>EPS</t>
        </is>
      </c>
      <c r="D31" t="inlineStr">
        <is>
          <t>EPS</t>
        </is>
      </c>
      <c r="E31" s="18">
        <f>IFERROR(VLOOKUP($A31,subQ,MATCH(E$1,SUBQH,0),0),"")</f>
        <v/>
      </c>
      <c r="F31" s="18">
        <f>IFERROR(VLOOKUP($A31,subQ,MATCH(F$1,SUBQH,0),0),"")</f>
        <v/>
      </c>
      <c r="G31" s="18">
        <f>IFERROR(VLOOKUP($A31,subQ,MATCH(G$1,SUBQH,0),0),"")</f>
        <v/>
      </c>
      <c r="H31" s="18">
        <f>IFERROR(VLOOKUP($A31,subQ,MATCH(H$1,SUBQH,0),0),"")</f>
        <v/>
      </c>
      <c r="I31" s="18">
        <f>IFERROR(VLOOKUP($A31,subQ,MATCH(I$1,SUBQH,0),0),"")</f>
        <v/>
      </c>
      <c r="J31" s="18">
        <f>IFERROR(VLOOKUP($A31,subQ,MATCH(J$1,SUBQH,0),0),"")</f>
        <v/>
      </c>
      <c r="K31" s="18">
        <f>IFERROR(VLOOKUP($A31,subQ,MATCH(K$1,SUBQH,0),0),"")</f>
        <v/>
      </c>
      <c r="L31" s="18">
        <f>IFERROR(VLOOKUP($A31,subQ,MATCH(L$1,SUBQH,0),0),"")</f>
        <v/>
      </c>
      <c r="M31" s="18">
        <f>IFERROR(VLOOKUP($A31,subQ,MATCH(M$1,SUBQH,0),0),"")</f>
        <v/>
      </c>
      <c r="N31" s="18">
        <f>IFERROR(VLOOKUP($A31,subQ,MATCH(N$1,SUBQH,0),0),"")</f>
        <v/>
      </c>
      <c r="O31" s="18">
        <f>IFERROR(VLOOKUP($A31,subQ,MATCH(O$1,SUBQH,0),0),"")</f>
        <v/>
      </c>
      <c r="P31" s="18">
        <f>IFERROR(VLOOKUP($A31,subQ,MATCH(P$1,SUBQH,0),0),"")</f>
        <v/>
      </c>
      <c r="Q31" s="18">
        <f>IFERROR(VLOOKUP($A31,subQ,MATCH(Q$1,SUBQH,0),0),"")</f>
        <v/>
      </c>
      <c r="R31" s="18">
        <f>IFERROR(VLOOKUP($A31,subQ,MATCH(R$1,SUBQH,0),0),"")</f>
        <v/>
      </c>
      <c r="S31" s="18">
        <f>IFERROR(VLOOKUP($A31,subQ,MATCH(S$1,SUBQH,0),0),"")</f>
        <v/>
      </c>
      <c r="T31" s="18">
        <f>IFERROR(VLOOKUP($A31,subQ,MATCH(T$1,SUBQH,0),0),"")</f>
        <v/>
      </c>
      <c r="U31" s="18">
        <f>IFERROR(VLOOKUP($A31,subQ,MATCH(U$1,SUBQH,0),0),"")</f>
        <v/>
      </c>
      <c r="V31" s="18">
        <f>IFERROR(VLOOKUP($A31,subQ,MATCH(V$1,SUBQH,0),0),"")</f>
        <v/>
      </c>
      <c r="W31" s="45">
        <f>IFERROR(VLOOKUP($A31,subQ,MATCH(W$1,SUBQH,0),0),"")</f>
        <v/>
      </c>
      <c r="X31" s="20">
        <f>IFERROR(VLOOKUP($A31,subQ,MATCH(X$1,SUBQH,0),0),"")</f>
        <v/>
      </c>
      <c r="Y31" s="20">
        <f>IFERROR(VLOOKUP($A31,subQ,MATCH(Y$1,SUBQH,0),0),"")</f>
        <v/>
      </c>
      <c r="Z31" s="20">
        <f>IFERROR(VLOOKUP($A31,subQ,MATCH(Z$1,SUBQH,0),0),"")</f>
        <v/>
      </c>
      <c r="AA31" s="20">
        <f>IFERROR(VLOOKUP($A31,subQ,MATCH(AA$1,SUBQH,0),0),"")</f>
        <v/>
      </c>
      <c r="AB31" s="20">
        <f>IFERROR(VLOOKUP($A31,subQ,MATCH(AB$1,SUBQH,0),0),"")</f>
        <v/>
      </c>
      <c r="AC31" s="20">
        <f>IFERROR(VLOOKUP($A31,subQ,MATCH(AC$1,SUBQH,0),0),"")</f>
        <v/>
      </c>
      <c r="AD31" s="20">
        <f>IFERROR(VLOOKUP($A31,subQ,MATCH(AD$1,SUBQH,0),0),"")</f>
        <v/>
      </c>
      <c r="AE31" s="20">
        <f>IFERROR(VLOOKUP($A31,subQ,MATCH(AE$1,SUBQH,0),0),"")</f>
        <v/>
      </c>
      <c r="AF31" s="20">
        <f>IFERROR(VLOOKUP($A31,subQ,MATCH(AF$1,SUBQH,0),0),"")</f>
        <v/>
      </c>
      <c r="AG31" s="20">
        <f>IFERROR(VLOOKUP($A31,subQ,MATCH(AG$1,SUBQH,0),0),"")</f>
        <v/>
      </c>
    </row>
    <row r="32">
      <c r="A32" s="12" t="inlineStr">
        <is>
          <t>조정EPS</t>
        </is>
      </c>
      <c r="D32" t="inlineStr">
        <is>
          <t>조정 EPS(일회성 의심 분기의 초과 비영업손익 세후 차감 — 모델 추정)</t>
        </is>
      </c>
      <c r="E32" s="18">
        <f>IFERROR(VLOOKUP($A32,subQ,MATCH(E$1,SUBQH,0),0),"")</f>
        <v/>
      </c>
      <c r="F32" s="18">
        <f>IFERROR(VLOOKUP($A32,subQ,MATCH(F$1,SUBQH,0),0),"")</f>
        <v/>
      </c>
      <c r="G32" s="18">
        <f>IFERROR(VLOOKUP($A32,subQ,MATCH(G$1,SUBQH,0),0),"")</f>
        <v/>
      </c>
      <c r="H32" s="18">
        <f>IFERROR(VLOOKUP($A32,subQ,MATCH(H$1,SUBQH,0),0),"")</f>
        <v/>
      </c>
      <c r="I32" s="18">
        <f>IFERROR(VLOOKUP($A32,subQ,MATCH(I$1,SUBQH,0),0),"")</f>
        <v/>
      </c>
      <c r="J32" s="18">
        <f>IFERROR(VLOOKUP($A32,subQ,MATCH(J$1,SUBQH,0),0),"")</f>
        <v/>
      </c>
      <c r="K32" s="18">
        <f>IFERROR(VLOOKUP($A32,subQ,MATCH(K$1,SUBQH,0),0),"")</f>
        <v/>
      </c>
      <c r="L32" s="18">
        <f>IFERROR(VLOOKUP($A32,subQ,MATCH(L$1,SUBQH,0),0),"")</f>
        <v/>
      </c>
      <c r="M32" s="18">
        <f>IFERROR(VLOOKUP($A32,subQ,MATCH(M$1,SUBQH,0),0),"")</f>
        <v/>
      </c>
      <c r="N32" s="18">
        <f>IFERROR(VLOOKUP($A32,subQ,MATCH(N$1,SUBQH,0),0),"")</f>
        <v/>
      </c>
      <c r="O32" s="18">
        <f>IFERROR(VLOOKUP($A32,subQ,MATCH(O$1,SUBQH,0),0),"")</f>
        <v/>
      </c>
      <c r="P32" s="18">
        <f>IFERROR(VLOOKUP($A32,subQ,MATCH(P$1,SUBQH,0),0),"")</f>
        <v/>
      </c>
      <c r="Q32" s="18">
        <f>IFERROR(VLOOKUP($A32,subQ,MATCH(Q$1,SUBQH,0),0),"")</f>
        <v/>
      </c>
      <c r="R32" s="18">
        <f>IFERROR(VLOOKUP($A32,subQ,MATCH(R$1,SUBQH,0),0),"")</f>
        <v/>
      </c>
      <c r="S32" s="18">
        <f>IFERROR(VLOOKUP($A32,subQ,MATCH(S$1,SUBQH,0),0),"")</f>
        <v/>
      </c>
      <c r="T32" s="18">
        <f>IFERROR(VLOOKUP($A32,subQ,MATCH(T$1,SUBQH,0),0),"")</f>
        <v/>
      </c>
      <c r="U32" s="18">
        <f>IFERROR(VLOOKUP($A32,subQ,MATCH(U$1,SUBQH,0),0),"")</f>
        <v/>
      </c>
      <c r="V32" s="18">
        <f>IFERROR(VLOOKUP($A32,subQ,MATCH(V$1,SUBQH,0),0),"")</f>
        <v/>
      </c>
      <c r="W32" s="45">
        <f>IFERROR(VLOOKUP($A32,subQ,MATCH(W$1,SUBQH,0),0),"")</f>
        <v/>
      </c>
      <c r="X32" s="20">
        <f>IFERROR(VLOOKUP($A32,subQ,MATCH(X$1,SUBQH,0),0),"")</f>
        <v/>
      </c>
      <c r="Y32" s="20">
        <f>IFERROR(VLOOKUP($A32,subQ,MATCH(Y$1,SUBQH,0),0),"")</f>
        <v/>
      </c>
      <c r="Z32" s="20">
        <f>IFERROR(VLOOKUP($A32,subQ,MATCH(Z$1,SUBQH,0),0),"")</f>
        <v/>
      </c>
      <c r="AA32" s="20">
        <f>IFERROR(VLOOKUP($A32,subQ,MATCH(AA$1,SUBQH,0),0),"")</f>
        <v/>
      </c>
      <c r="AB32" s="20">
        <f>IFERROR(VLOOKUP($A32,subQ,MATCH(AB$1,SUBQH,0),0),"")</f>
        <v/>
      </c>
      <c r="AC32" s="20">
        <f>IFERROR(VLOOKUP($A32,subQ,MATCH(AC$1,SUBQH,0),0),"")</f>
        <v/>
      </c>
      <c r="AD32" s="20">
        <f>IFERROR(VLOOKUP($A32,subQ,MATCH(AD$1,SUBQH,0),0),"")</f>
        <v/>
      </c>
      <c r="AE32" s="20">
        <f>IFERROR(VLOOKUP($A32,subQ,MATCH(AE$1,SUBQH,0),0),"")</f>
        <v/>
      </c>
      <c r="AF32" s="20">
        <f>IFERROR(VLOOKUP($A32,subQ,MATCH(AF$1,SUBQH,0),0),"")</f>
        <v/>
      </c>
      <c r="AG32" s="20">
        <f>IFERROR(VLOOKUP($A32,subQ,MATCH(AG$1,SUBQH,0),0),"")</f>
        <v/>
      </c>
    </row>
    <row r="33">
      <c r="A33" s="12" t="inlineStr">
        <is>
          <t>BPS</t>
        </is>
      </c>
      <c r="D33" t="inlineStr">
        <is>
          <t>BPS</t>
        </is>
      </c>
      <c r="E33" s="18">
        <f>IFERROR(VLOOKUP($A33,subQ,MATCH(E$1,SUBQH,0),0),"")</f>
        <v/>
      </c>
      <c r="F33" s="18">
        <f>IFERROR(VLOOKUP($A33,subQ,MATCH(F$1,SUBQH,0),0),"")</f>
        <v/>
      </c>
      <c r="G33" s="18">
        <f>IFERROR(VLOOKUP($A33,subQ,MATCH(G$1,SUBQH,0),0),"")</f>
        <v/>
      </c>
      <c r="H33" s="18">
        <f>IFERROR(VLOOKUP($A33,subQ,MATCH(H$1,SUBQH,0),0),"")</f>
        <v/>
      </c>
      <c r="I33" s="18">
        <f>IFERROR(VLOOKUP($A33,subQ,MATCH(I$1,SUBQH,0),0),"")</f>
        <v/>
      </c>
      <c r="J33" s="18">
        <f>IFERROR(VLOOKUP($A33,subQ,MATCH(J$1,SUBQH,0),0),"")</f>
        <v/>
      </c>
      <c r="K33" s="18">
        <f>IFERROR(VLOOKUP($A33,subQ,MATCH(K$1,SUBQH,0),0),"")</f>
        <v/>
      </c>
      <c r="L33" s="18">
        <f>IFERROR(VLOOKUP($A33,subQ,MATCH(L$1,SUBQH,0),0),"")</f>
        <v/>
      </c>
      <c r="M33" s="18">
        <f>IFERROR(VLOOKUP($A33,subQ,MATCH(M$1,SUBQH,0),0),"")</f>
        <v/>
      </c>
      <c r="N33" s="18">
        <f>IFERROR(VLOOKUP($A33,subQ,MATCH(N$1,SUBQH,0),0),"")</f>
        <v/>
      </c>
      <c r="O33" s="18">
        <f>IFERROR(VLOOKUP($A33,subQ,MATCH(O$1,SUBQH,0),0),"")</f>
        <v/>
      </c>
      <c r="P33" s="18">
        <f>IFERROR(VLOOKUP($A33,subQ,MATCH(P$1,SUBQH,0),0),"")</f>
        <v/>
      </c>
      <c r="Q33" s="18">
        <f>IFERROR(VLOOKUP($A33,subQ,MATCH(Q$1,SUBQH,0),0),"")</f>
        <v/>
      </c>
      <c r="R33" s="18">
        <f>IFERROR(VLOOKUP($A33,subQ,MATCH(R$1,SUBQH,0),0),"")</f>
        <v/>
      </c>
      <c r="S33" s="18">
        <f>IFERROR(VLOOKUP($A33,subQ,MATCH(S$1,SUBQH,0),0),"")</f>
        <v/>
      </c>
      <c r="T33" s="18">
        <f>IFERROR(VLOOKUP($A33,subQ,MATCH(T$1,SUBQH,0),0),"")</f>
        <v/>
      </c>
      <c r="U33" s="18">
        <f>IFERROR(VLOOKUP($A33,subQ,MATCH(U$1,SUBQH,0),0),"")</f>
        <v/>
      </c>
      <c r="V33" s="18">
        <f>IFERROR(VLOOKUP($A33,subQ,MATCH(V$1,SUBQH,0),0),"")</f>
        <v/>
      </c>
      <c r="W33" s="45">
        <f>IFERROR(VLOOKUP($A33,subQ,MATCH(W$1,SUBQH,0),0),"")</f>
        <v/>
      </c>
      <c r="X33" s="20">
        <f>IFERROR(VLOOKUP($A33,subQ,MATCH(X$1,SUBQH,0),0),"")</f>
        <v/>
      </c>
      <c r="Y33" s="20">
        <f>IFERROR(VLOOKUP($A33,subQ,MATCH(Y$1,SUBQH,0),0),"")</f>
        <v/>
      </c>
      <c r="Z33" s="20">
        <f>IFERROR(VLOOKUP($A33,subQ,MATCH(Z$1,SUBQH,0),0),"")</f>
        <v/>
      </c>
      <c r="AA33" s="20">
        <f>IFERROR(VLOOKUP($A33,subQ,MATCH(AA$1,SUBQH,0),0),"")</f>
        <v/>
      </c>
      <c r="AB33" s="20">
        <f>IFERROR(VLOOKUP($A33,subQ,MATCH(AB$1,SUBQH,0),0),"")</f>
        <v/>
      </c>
      <c r="AC33" s="20">
        <f>IFERROR(VLOOKUP($A33,subQ,MATCH(AC$1,SUBQH,0),0),"")</f>
        <v/>
      </c>
      <c r="AD33" s="20">
        <f>IFERROR(VLOOKUP($A33,subQ,MATCH(AD$1,SUBQH,0),0),"")</f>
        <v/>
      </c>
      <c r="AE33" s="20">
        <f>IFERROR(VLOOKUP($A33,subQ,MATCH(AE$1,SUBQH,0),0),"")</f>
        <v/>
      </c>
      <c r="AF33" s="20">
        <f>IFERROR(VLOOKUP($A33,subQ,MATCH(AF$1,SUBQH,0),0),"")</f>
        <v/>
      </c>
      <c r="AG33" s="20">
        <f>IFERROR(VLOOKUP($A33,subQ,MATCH(AG$1,SUBQH,0),0),"")</f>
        <v/>
      </c>
    </row>
    <row r="34">
      <c r="A34" s="12" t="inlineStr">
        <is>
          <t>DPS</t>
        </is>
      </c>
      <c r="D34" t="inlineStr">
        <is>
          <t>DPS(보통주)</t>
        </is>
      </c>
      <c r="E34" s="18">
        <f>IFERROR(VLOOKUP($A34,subQ,MATCH(E$1,SUBQH,0),0),"")</f>
        <v/>
      </c>
      <c r="F34" s="18">
        <f>IFERROR(VLOOKUP($A34,subQ,MATCH(F$1,SUBQH,0),0),"")</f>
        <v/>
      </c>
      <c r="G34" s="18">
        <f>IFERROR(VLOOKUP($A34,subQ,MATCH(G$1,SUBQH,0),0),"")</f>
        <v/>
      </c>
      <c r="H34" s="18">
        <f>IFERROR(VLOOKUP($A34,subQ,MATCH(H$1,SUBQH,0),0),"")</f>
        <v/>
      </c>
      <c r="I34" s="18">
        <f>IFERROR(VLOOKUP($A34,subQ,MATCH(I$1,SUBQH,0),0),"")</f>
        <v/>
      </c>
      <c r="J34" s="18">
        <f>IFERROR(VLOOKUP($A34,subQ,MATCH(J$1,SUBQH,0),0),"")</f>
        <v/>
      </c>
      <c r="K34" s="18">
        <f>IFERROR(VLOOKUP($A34,subQ,MATCH(K$1,SUBQH,0),0),"")</f>
        <v/>
      </c>
      <c r="L34" s="18">
        <f>IFERROR(VLOOKUP($A34,subQ,MATCH(L$1,SUBQH,0),0),"")</f>
        <v/>
      </c>
      <c r="M34" s="18">
        <f>IFERROR(VLOOKUP($A34,subQ,MATCH(M$1,SUBQH,0),0),"")</f>
        <v/>
      </c>
      <c r="N34" s="18">
        <f>IFERROR(VLOOKUP($A34,subQ,MATCH(N$1,SUBQH,0),0),"")</f>
        <v/>
      </c>
      <c r="O34" s="18">
        <f>IFERROR(VLOOKUP($A34,subQ,MATCH(O$1,SUBQH,0),0),"")</f>
        <v/>
      </c>
      <c r="P34" s="18">
        <f>IFERROR(VLOOKUP($A34,subQ,MATCH(P$1,SUBQH,0),0),"")</f>
        <v/>
      </c>
      <c r="Q34" s="18">
        <f>IFERROR(VLOOKUP($A34,subQ,MATCH(Q$1,SUBQH,0),0),"")</f>
        <v/>
      </c>
      <c r="R34" s="18">
        <f>IFERROR(VLOOKUP($A34,subQ,MATCH(R$1,SUBQH,0),0),"")</f>
        <v/>
      </c>
      <c r="S34" s="18">
        <f>IFERROR(VLOOKUP($A34,subQ,MATCH(S$1,SUBQH,0),0),"")</f>
        <v/>
      </c>
      <c r="T34" s="18">
        <f>IFERROR(VLOOKUP($A34,subQ,MATCH(T$1,SUBQH,0),0),"")</f>
        <v/>
      </c>
      <c r="U34" s="18">
        <f>IFERROR(VLOOKUP($A34,subQ,MATCH(U$1,SUBQH,0),0),"")</f>
        <v/>
      </c>
      <c r="V34" s="18">
        <f>IFERROR(VLOOKUP($A34,subQ,MATCH(V$1,SUBQH,0),0),"")</f>
        <v/>
      </c>
      <c r="W34" s="45">
        <f>IFERROR(VLOOKUP($A34,subQ,MATCH(W$1,SUBQH,0),0),"")</f>
        <v/>
      </c>
      <c r="X34" s="20">
        <f>IFERROR(VLOOKUP($A34,subQ,MATCH(X$1,SUBQH,0),0),"")</f>
        <v/>
      </c>
      <c r="Y34" s="20">
        <f>IFERROR(VLOOKUP($A34,subQ,MATCH(Y$1,SUBQH,0),0),"")</f>
        <v/>
      </c>
      <c r="Z34" s="20">
        <f>IFERROR(VLOOKUP($A34,subQ,MATCH(Z$1,SUBQH,0),0),"")</f>
        <v/>
      </c>
      <c r="AA34" s="20">
        <f>IFERROR(VLOOKUP($A34,subQ,MATCH(AA$1,SUBQH,0),0),"")</f>
        <v/>
      </c>
      <c r="AB34" s="20">
        <f>IFERROR(VLOOKUP($A34,subQ,MATCH(AB$1,SUBQH,0),0),"")</f>
        <v/>
      </c>
      <c r="AC34" s="20">
        <f>IFERROR(VLOOKUP($A34,subQ,MATCH(AC$1,SUBQH,0),0),"")</f>
        <v/>
      </c>
      <c r="AD34" s="20">
        <f>IFERROR(VLOOKUP($A34,subQ,MATCH(AD$1,SUBQH,0),0),"")</f>
        <v/>
      </c>
      <c r="AE34" s="20">
        <f>IFERROR(VLOOKUP($A34,subQ,MATCH(AE$1,SUBQH,0),0),"")</f>
        <v/>
      </c>
      <c r="AF34" s="20">
        <f>IFERROR(VLOOKUP($A34,subQ,MATCH(AF$1,SUBQH,0),0),"")</f>
        <v/>
      </c>
      <c r="AG34" s="20">
        <f>IFERROR(VLOOKUP($A34,subQ,MATCH(AG$1,SUBQH,0),0),"")</f>
        <v/>
      </c>
    </row>
    <row r="35">
      <c r="A35" s="12" t="inlineStr">
        <is>
          <t>PER</t>
        </is>
      </c>
      <c r="D35" t="inlineStr">
        <is>
          <t>PER</t>
        </is>
      </c>
      <c r="E35" s="13">
        <f>IFERROR(VLOOKUP($A35,subQ,MATCH(E$1,SUBQH,0),0),"")</f>
        <v/>
      </c>
      <c r="F35" s="13">
        <f>IFERROR(VLOOKUP($A35,subQ,MATCH(F$1,SUBQH,0),0),"")</f>
        <v/>
      </c>
      <c r="G35" s="13">
        <f>IFERROR(VLOOKUP($A35,subQ,MATCH(G$1,SUBQH,0),0),"")</f>
        <v/>
      </c>
      <c r="H35" s="13">
        <f>IFERROR(VLOOKUP($A35,subQ,MATCH(H$1,SUBQH,0),0),"")</f>
        <v/>
      </c>
      <c r="I35" s="13">
        <f>IFERROR(VLOOKUP($A35,subQ,MATCH(I$1,SUBQH,0),0),"")</f>
        <v/>
      </c>
      <c r="J35" s="13">
        <f>IFERROR(VLOOKUP($A35,subQ,MATCH(J$1,SUBQH,0),0),"")</f>
        <v/>
      </c>
      <c r="K35" s="13">
        <f>IFERROR(VLOOKUP($A35,subQ,MATCH(K$1,SUBQH,0),0),"")</f>
        <v/>
      </c>
      <c r="L35" s="13">
        <f>IFERROR(VLOOKUP($A35,subQ,MATCH(L$1,SUBQH,0),0),"")</f>
        <v/>
      </c>
      <c r="M35" s="13">
        <f>IFERROR(VLOOKUP($A35,subQ,MATCH(M$1,SUBQH,0),0),"")</f>
        <v/>
      </c>
      <c r="N35" s="13">
        <f>IFERROR(VLOOKUP($A35,subQ,MATCH(N$1,SUBQH,0),0),"")</f>
        <v/>
      </c>
      <c r="O35" s="13">
        <f>IFERROR(VLOOKUP($A35,subQ,MATCH(O$1,SUBQH,0),0),"")</f>
        <v/>
      </c>
      <c r="P35" s="13">
        <f>IFERROR(VLOOKUP($A35,subQ,MATCH(P$1,SUBQH,0),0),"")</f>
        <v/>
      </c>
      <c r="Q35" s="13">
        <f>IFERROR(VLOOKUP($A35,subQ,MATCH(Q$1,SUBQH,0),0),"")</f>
        <v/>
      </c>
      <c r="R35" s="13">
        <f>IFERROR(VLOOKUP($A35,subQ,MATCH(R$1,SUBQH,0),0),"")</f>
        <v/>
      </c>
      <c r="S35" s="13">
        <f>IFERROR(VLOOKUP($A35,subQ,MATCH(S$1,SUBQH,0),0),"")</f>
        <v/>
      </c>
      <c r="T35" s="13">
        <f>IFERROR(VLOOKUP($A35,subQ,MATCH(T$1,SUBQH,0),0),"")</f>
        <v/>
      </c>
      <c r="U35" s="13">
        <f>IFERROR(VLOOKUP($A35,subQ,MATCH(U$1,SUBQH,0),0),"")</f>
        <v/>
      </c>
      <c r="V35" s="13">
        <f>IFERROR(VLOOKUP($A35,subQ,MATCH(V$1,SUBQH,0),0),"")</f>
        <v/>
      </c>
      <c r="W35" s="48">
        <f>IFERROR(VLOOKUP($A35,subQ,MATCH(W$1,SUBQH,0),0),"")</f>
        <v/>
      </c>
      <c r="X35" s="39">
        <f>IFERROR(VLOOKUP($A35,subQ,MATCH(X$1,SUBQH,0),0),"")</f>
        <v/>
      </c>
      <c r="Y35" s="39">
        <f>IFERROR(VLOOKUP($A35,subQ,MATCH(Y$1,SUBQH,0),0),"")</f>
        <v/>
      </c>
      <c r="Z35" s="39">
        <f>IFERROR(VLOOKUP($A35,subQ,MATCH(Z$1,SUBQH,0),0),"")</f>
        <v/>
      </c>
      <c r="AA35" s="39">
        <f>IFERROR(VLOOKUP($A35,subQ,MATCH(AA$1,SUBQH,0),0),"")</f>
        <v/>
      </c>
      <c r="AB35" s="39">
        <f>IFERROR(VLOOKUP($A35,subQ,MATCH(AB$1,SUBQH,0),0),"")</f>
        <v/>
      </c>
      <c r="AC35" s="39">
        <f>IFERROR(VLOOKUP($A35,subQ,MATCH(AC$1,SUBQH,0),0),"")</f>
        <v/>
      </c>
      <c r="AD35" s="39">
        <f>IFERROR(VLOOKUP($A35,subQ,MATCH(AD$1,SUBQH,0),0),"")</f>
        <v/>
      </c>
      <c r="AE35" s="39">
        <f>IFERROR(VLOOKUP($A35,subQ,MATCH(AE$1,SUBQH,0),0),"")</f>
        <v/>
      </c>
      <c r="AF35" s="39">
        <f>IFERROR(VLOOKUP($A35,subQ,MATCH(AF$1,SUBQH,0),0),"")</f>
        <v/>
      </c>
      <c r="AG35" s="39">
        <f>IFERROR(VLOOKUP($A35,subQ,MATCH(AG$1,SUBQH,0),0),"")</f>
        <v/>
      </c>
    </row>
    <row r="36">
      <c r="A36" s="12" t="inlineStr">
        <is>
          <t>PBR</t>
        </is>
      </c>
      <c r="D36" t="inlineStr">
        <is>
          <t>PBR</t>
        </is>
      </c>
      <c r="E36" s="13">
        <f>IFERROR(VLOOKUP($A36,subQ,MATCH(E$1,SUBQH,0),0),"")</f>
        <v/>
      </c>
      <c r="F36" s="13">
        <f>IFERROR(VLOOKUP($A36,subQ,MATCH(F$1,SUBQH,0),0),"")</f>
        <v/>
      </c>
      <c r="G36" s="13">
        <f>IFERROR(VLOOKUP($A36,subQ,MATCH(G$1,SUBQH,0),0),"")</f>
        <v/>
      </c>
      <c r="H36" s="13">
        <f>IFERROR(VLOOKUP($A36,subQ,MATCH(H$1,SUBQH,0),0),"")</f>
        <v/>
      </c>
      <c r="I36" s="13">
        <f>IFERROR(VLOOKUP($A36,subQ,MATCH(I$1,SUBQH,0),0),"")</f>
        <v/>
      </c>
      <c r="J36" s="13">
        <f>IFERROR(VLOOKUP($A36,subQ,MATCH(J$1,SUBQH,0),0),"")</f>
        <v/>
      </c>
      <c r="K36" s="13">
        <f>IFERROR(VLOOKUP($A36,subQ,MATCH(K$1,SUBQH,0),0),"")</f>
        <v/>
      </c>
      <c r="L36" s="13">
        <f>IFERROR(VLOOKUP($A36,subQ,MATCH(L$1,SUBQH,0),0),"")</f>
        <v/>
      </c>
      <c r="M36" s="13">
        <f>IFERROR(VLOOKUP($A36,subQ,MATCH(M$1,SUBQH,0),0),"")</f>
        <v/>
      </c>
      <c r="N36" s="13">
        <f>IFERROR(VLOOKUP($A36,subQ,MATCH(N$1,SUBQH,0),0),"")</f>
        <v/>
      </c>
      <c r="O36" s="13">
        <f>IFERROR(VLOOKUP($A36,subQ,MATCH(O$1,SUBQH,0),0),"")</f>
        <v/>
      </c>
      <c r="P36" s="13">
        <f>IFERROR(VLOOKUP($A36,subQ,MATCH(P$1,SUBQH,0),0),"")</f>
        <v/>
      </c>
      <c r="Q36" s="13">
        <f>IFERROR(VLOOKUP($A36,subQ,MATCH(Q$1,SUBQH,0),0),"")</f>
        <v/>
      </c>
      <c r="R36" s="13">
        <f>IFERROR(VLOOKUP($A36,subQ,MATCH(R$1,SUBQH,0),0),"")</f>
        <v/>
      </c>
      <c r="S36" s="13">
        <f>IFERROR(VLOOKUP($A36,subQ,MATCH(S$1,SUBQH,0),0),"")</f>
        <v/>
      </c>
      <c r="T36" s="13">
        <f>IFERROR(VLOOKUP($A36,subQ,MATCH(T$1,SUBQH,0),0),"")</f>
        <v/>
      </c>
      <c r="U36" s="13">
        <f>IFERROR(VLOOKUP($A36,subQ,MATCH(U$1,SUBQH,0),0),"")</f>
        <v/>
      </c>
      <c r="V36" s="13">
        <f>IFERROR(VLOOKUP($A36,subQ,MATCH(V$1,SUBQH,0),0),"")</f>
        <v/>
      </c>
      <c r="W36" s="48">
        <f>IFERROR(VLOOKUP($A36,subQ,MATCH(W$1,SUBQH,0),0),"")</f>
        <v/>
      </c>
      <c r="X36" s="39">
        <f>IFERROR(VLOOKUP($A36,subQ,MATCH(X$1,SUBQH,0),0),"")</f>
        <v/>
      </c>
      <c r="Y36" s="39">
        <f>IFERROR(VLOOKUP($A36,subQ,MATCH(Y$1,SUBQH,0),0),"")</f>
        <v/>
      </c>
      <c r="Z36" s="39">
        <f>IFERROR(VLOOKUP($A36,subQ,MATCH(Z$1,SUBQH,0),0),"")</f>
        <v/>
      </c>
      <c r="AA36" s="39">
        <f>IFERROR(VLOOKUP($A36,subQ,MATCH(AA$1,SUBQH,0),0),"")</f>
        <v/>
      </c>
      <c r="AB36" s="39">
        <f>IFERROR(VLOOKUP($A36,subQ,MATCH(AB$1,SUBQH,0),0),"")</f>
        <v/>
      </c>
      <c r="AC36" s="39">
        <f>IFERROR(VLOOKUP($A36,subQ,MATCH(AC$1,SUBQH,0),0),"")</f>
        <v/>
      </c>
      <c r="AD36" s="39">
        <f>IFERROR(VLOOKUP($A36,subQ,MATCH(AD$1,SUBQH,0),0),"")</f>
        <v/>
      </c>
      <c r="AE36" s="39">
        <f>IFERROR(VLOOKUP($A36,subQ,MATCH(AE$1,SUBQH,0),0),"")</f>
        <v/>
      </c>
      <c r="AF36" s="39">
        <f>IFERROR(VLOOKUP($A36,subQ,MATCH(AF$1,SUBQH,0),0),"")</f>
        <v/>
      </c>
      <c r="AG36" s="39">
        <f>IFERROR(VLOOKUP($A36,subQ,MATCH(AG$1,SUBQH,0),0),"")</f>
        <v/>
      </c>
    </row>
    <row r="37">
      <c r="A37" s="12" t="inlineStr">
        <is>
          <t>매출전사</t>
        </is>
      </c>
      <c r="D37" t="inlineStr">
        <is>
          <t>매출 전사(부문 미분리)</t>
        </is>
      </c>
      <c r="E37" s="18">
        <f>IFERROR(VLOOKUP($A37,subQ,MATCH(E$1,SUBQH,0),0),"")</f>
        <v/>
      </c>
      <c r="F37" s="18">
        <f>IFERROR(VLOOKUP($A37,subQ,MATCH(F$1,SUBQH,0),0),"")</f>
        <v/>
      </c>
      <c r="G37" s="18">
        <f>IFERROR(VLOOKUP($A37,subQ,MATCH(G$1,SUBQH,0),0),"")</f>
        <v/>
      </c>
      <c r="H37" s="18">
        <f>IFERROR(VLOOKUP($A37,subQ,MATCH(H$1,SUBQH,0),0),"")</f>
        <v/>
      </c>
      <c r="I37" s="18">
        <f>IFERROR(VLOOKUP($A37,subQ,MATCH(I$1,SUBQH,0),0),"")</f>
        <v/>
      </c>
      <c r="J37" s="18">
        <f>IFERROR(VLOOKUP($A37,subQ,MATCH(J$1,SUBQH,0),0),"")</f>
        <v/>
      </c>
      <c r="K37" s="18">
        <f>IFERROR(VLOOKUP($A37,subQ,MATCH(K$1,SUBQH,0),0),"")</f>
        <v/>
      </c>
      <c r="L37" s="18">
        <f>IFERROR(VLOOKUP($A37,subQ,MATCH(L$1,SUBQH,0),0),"")</f>
        <v/>
      </c>
      <c r="M37" s="18">
        <f>IFERROR(VLOOKUP($A37,subQ,MATCH(M$1,SUBQH,0),0),"")</f>
        <v/>
      </c>
      <c r="N37" s="18">
        <f>IFERROR(VLOOKUP($A37,subQ,MATCH(N$1,SUBQH,0),0),"")</f>
        <v/>
      </c>
      <c r="O37" s="18">
        <f>IFERROR(VLOOKUP($A37,subQ,MATCH(O$1,SUBQH,0),0),"")</f>
        <v/>
      </c>
      <c r="P37" s="18">
        <f>IFERROR(VLOOKUP($A37,subQ,MATCH(P$1,SUBQH,0),0),"")</f>
        <v/>
      </c>
      <c r="Q37" s="18">
        <f>IFERROR(VLOOKUP($A37,subQ,MATCH(Q$1,SUBQH,0),0),"")</f>
        <v/>
      </c>
      <c r="R37" s="18">
        <f>IFERROR(VLOOKUP($A37,subQ,MATCH(R$1,SUBQH,0),0),"")</f>
        <v/>
      </c>
      <c r="S37" s="18">
        <f>IFERROR(VLOOKUP($A37,subQ,MATCH(S$1,SUBQH,0),0),"")</f>
        <v/>
      </c>
      <c r="T37" s="18">
        <f>IFERROR(VLOOKUP($A37,subQ,MATCH(T$1,SUBQH,0),0),"")</f>
        <v/>
      </c>
      <c r="U37" s="18">
        <f>IFERROR(VLOOKUP($A37,subQ,MATCH(U$1,SUBQH,0),0),"")</f>
        <v/>
      </c>
      <c r="V37" s="18">
        <f>IFERROR(VLOOKUP($A37,subQ,MATCH(V$1,SUBQH,0),0),"")</f>
        <v/>
      </c>
      <c r="W37" s="45">
        <f>IFERROR(VLOOKUP($A37,subQ,MATCH(W$1,SUBQH,0),0),"")</f>
        <v/>
      </c>
      <c r="X37" s="20">
        <f>IFERROR(VLOOKUP($A37,subQ,MATCH(X$1,SUBQH,0),0),"")</f>
        <v/>
      </c>
      <c r="Y37" s="20">
        <f>IFERROR(VLOOKUP($A37,subQ,MATCH(Y$1,SUBQH,0),0),"")</f>
        <v/>
      </c>
      <c r="Z37" s="20">
        <f>IFERROR(VLOOKUP($A37,subQ,MATCH(Z$1,SUBQH,0),0),"")</f>
        <v/>
      </c>
      <c r="AA37" s="20">
        <f>IFERROR(VLOOKUP($A37,subQ,MATCH(AA$1,SUBQH,0),0),"")</f>
        <v/>
      </c>
      <c r="AB37" s="20">
        <f>IFERROR(VLOOKUP($A37,subQ,MATCH(AB$1,SUBQH,0),0),"")</f>
        <v/>
      </c>
      <c r="AC37" s="20">
        <f>IFERROR(VLOOKUP($A37,subQ,MATCH(AC$1,SUBQH,0),0),"")</f>
        <v/>
      </c>
      <c r="AD37" s="20">
        <f>IFERROR(VLOOKUP($A37,subQ,MATCH(AD$1,SUBQH,0),0),"")</f>
        <v/>
      </c>
      <c r="AE37" s="20">
        <f>IFERROR(VLOOKUP($A37,subQ,MATCH(AE$1,SUBQH,0),0),"")</f>
        <v/>
      </c>
      <c r="AF37" s="20">
        <f>IFERROR(VLOOKUP($A37,subQ,MATCH(AF$1,SUBQH,0),0),"")</f>
        <v/>
      </c>
      <c r="AG37" s="20">
        <f>IFERROR(VLOOKUP($A37,subQ,MATCH(AG$1,SUBQH,0),0),"")</f>
        <v/>
      </c>
    </row>
    <row r="38">
      <c r="A38" s="12" t="inlineStr">
        <is>
          <t>OP전사</t>
        </is>
      </c>
      <c r="D38" t="inlineStr">
        <is>
          <t>OP 전사(부문 미분리)</t>
        </is>
      </c>
      <c r="E38" s="18">
        <f>IFERROR(VLOOKUP($A38,subQ,MATCH(E$1,SUBQH,0),0),"")</f>
        <v/>
      </c>
      <c r="F38" s="18">
        <f>IFERROR(VLOOKUP($A38,subQ,MATCH(F$1,SUBQH,0),0),"")</f>
        <v/>
      </c>
      <c r="G38" s="18">
        <f>IFERROR(VLOOKUP($A38,subQ,MATCH(G$1,SUBQH,0),0),"")</f>
        <v/>
      </c>
      <c r="H38" s="18">
        <f>IFERROR(VLOOKUP($A38,subQ,MATCH(H$1,SUBQH,0),0),"")</f>
        <v/>
      </c>
      <c r="I38" s="18">
        <f>IFERROR(VLOOKUP($A38,subQ,MATCH(I$1,SUBQH,0),0),"")</f>
        <v/>
      </c>
      <c r="J38" s="18">
        <f>IFERROR(VLOOKUP($A38,subQ,MATCH(J$1,SUBQH,0),0),"")</f>
        <v/>
      </c>
      <c r="K38" s="18">
        <f>IFERROR(VLOOKUP($A38,subQ,MATCH(K$1,SUBQH,0),0),"")</f>
        <v/>
      </c>
      <c r="L38" s="18">
        <f>IFERROR(VLOOKUP($A38,subQ,MATCH(L$1,SUBQH,0),0),"")</f>
        <v/>
      </c>
      <c r="M38" s="18">
        <f>IFERROR(VLOOKUP($A38,subQ,MATCH(M$1,SUBQH,0),0),"")</f>
        <v/>
      </c>
      <c r="N38" s="18">
        <f>IFERROR(VLOOKUP($A38,subQ,MATCH(N$1,SUBQH,0),0),"")</f>
        <v/>
      </c>
      <c r="O38" s="18">
        <f>IFERROR(VLOOKUP($A38,subQ,MATCH(O$1,SUBQH,0),0),"")</f>
        <v/>
      </c>
      <c r="P38" s="18">
        <f>IFERROR(VLOOKUP($A38,subQ,MATCH(P$1,SUBQH,0),0),"")</f>
        <v/>
      </c>
      <c r="Q38" s="18">
        <f>IFERROR(VLOOKUP($A38,subQ,MATCH(Q$1,SUBQH,0),0),"")</f>
        <v/>
      </c>
      <c r="R38" s="18">
        <f>IFERROR(VLOOKUP($A38,subQ,MATCH(R$1,SUBQH,0),0),"")</f>
        <v/>
      </c>
      <c r="S38" s="18">
        <f>IFERROR(VLOOKUP($A38,subQ,MATCH(S$1,SUBQH,0),0),"")</f>
        <v/>
      </c>
      <c r="T38" s="18">
        <f>IFERROR(VLOOKUP($A38,subQ,MATCH(T$1,SUBQH,0),0),"")</f>
        <v/>
      </c>
      <c r="U38" s="18">
        <f>IFERROR(VLOOKUP($A38,subQ,MATCH(U$1,SUBQH,0),0),"")</f>
        <v/>
      </c>
      <c r="V38" s="18">
        <f>IFERROR(VLOOKUP($A38,subQ,MATCH(V$1,SUBQH,0),0),"")</f>
        <v/>
      </c>
      <c r="W38" s="45">
        <f>IFERROR(VLOOKUP($A38,subQ,MATCH(W$1,SUBQH,0),0),"")</f>
        <v/>
      </c>
      <c r="X38" s="20">
        <f>IFERROR(VLOOKUP($A38,subQ,MATCH(X$1,SUBQH,0),0),"")</f>
        <v/>
      </c>
      <c r="Y38" s="20">
        <f>IFERROR(VLOOKUP($A38,subQ,MATCH(Y$1,SUBQH,0),0),"")</f>
        <v/>
      </c>
      <c r="Z38" s="20">
        <f>IFERROR(VLOOKUP($A38,subQ,MATCH(Z$1,SUBQH,0),0),"")</f>
        <v/>
      </c>
      <c r="AA38" s="20">
        <f>IFERROR(VLOOKUP($A38,subQ,MATCH(AA$1,SUBQH,0),0),"")</f>
        <v/>
      </c>
      <c r="AB38" s="20">
        <f>IFERROR(VLOOKUP($A38,subQ,MATCH(AB$1,SUBQH,0),0),"")</f>
        <v/>
      </c>
      <c r="AC38" s="20">
        <f>IFERROR(VLOOKUP($A38,subQ,MATCH(AC$1,SUBQH,0),0),"")</f>
        <v/>
      </c>
      <c r="AD38" s="20">
        <f>IFERROR(VLOOKUP($A38,subQ,MATCH(AD$1,SUBQH,0),0),"")</f>
        <v/>
      </c>
      <c r="AE38" s="20">
        <f>IFERROR(VLOOKUP($A38,subQ,MATCH(AE$1,SUBQH,0),0),"")</f>
        <v/>
      </c>
      <c r="AF38" s="20">
        <f>IFERROR(VLOOKUP($A38,subQ,MATCH(AF$1,SUBQH,0),0),"")</f>
        <v/>
      </c>
      <c r="AG38" s="20">
        <f>IFERROR(VLOOKUP($A38,subQ,MATCH(AG$1,SUBQH,0),0),"")</f>
        <v/>
      </c>
    </row>
    <row r="39">
      <c r="A39" s="12" t="inlineStr">
        <is>
          <t>NPM</t>
        </is>
      </c>
      <c r="D39" t="inlineStr">
        <is>
          <t>NPM</t>
        </is>
      </c>
      <c r="E39" s="21">
        <f>IFERROR(VLOOKUP($A39,subQ,MATCH(E$1,SUBQH,0),0),"")</f>
        <v/>
      </c>
      <c r="F39" s="21">
        <f>IFERROR(VLOOKUP($A39,subQ,MATCH(F$1,SUBQH,0),0),"")</f>
        <v/>
      </c>
      <c r="G39" s="21">
        <f>IFERROR(VLOOKUP($A39,subQ,MATCH(G$1,SUBQH,0),0),"")</f>
        <v/>
      </c>
      <c r="H39" s="21">
        <f>IFERROR(VLOOKUP($A39,subQ,MATCH(H$1,SUBQH,0),0),"")</f>
        <v/>
      </c>
      <c r="I39" s="21">
        <f>IFERROR(VLOOKUP($A39,subQ,MATCH(I$1,SUBQH,0),0),"")</f>
        <v/>
      </c>
      <c r="J39" s="21">
        <f>IFERROR(VLOOKUP($A39,subQ,MATCH(J$1,SUBQH,0),0),"")</f>
        <v/>
      </c>
      <c r="K39" s="21">
        <f>IFERROR(VLOOKUP($A39,subQ,MATCH(K$1,SUBQH,0),0),"")</f>
        <v/>
      </c>
      <c r="L39" s="21">
        <f>IFERROR(VLOOKUP($A39,subQ,MATCH(L$1,SUBQH,0),0),"")</f>
        <v/>
      </c>
      <c r="M39" s="21">
        <f>IFERROR(VLOOKUP($A39,subQ,MATCH(M$1,SUBQH,0),0),"")</f>
        <v/>
      </c>
      <c r="N39" s="21">
        <f>IFERROR(VLOOKUP($A39,subQ,MATCH(N$1,SUBQH,0),0),"")</f>
        <v/>
      </c>
      <c r="O39" s="21">
        <f>IFERROR(VLOOKUP($A39,subQ,MATCH(O$1,SUBQH,0),0),"")</f>
        <v/>
      </c>
      <c r="P39" s="21">
        <f>IFERROR(VLOOKUP($A39,subQ,MATCH(P$1,SUBQH,0),0),"")</f>
        <v/>
      </c>
      <c r="Q39" s="21">
        <f>IFERROR(VLOOKUP($A39,subQ,MATCH(Q$1,SUBQH,0),0),"")</f>
        <v/>
      </c>
      <c r="R39" s="21">
        <f>IFERROR(VLOOKUP($A39,subQ,MATCH(R$1,SUBQH,0),0),"")</f>
        <v/>
      </c>
      <c r="S39" s="21">
        <f>IFERROR(VLOOKUP($A39,subQ,MATCH(S$1,SUBQH,0),0),"")</f>
        <v/>
      </c>
      <c r="T39" s="21">
        <f>IFERROR(VLOOKUP($A39,subQ,MATCH(T$1,SUBQH,0),0),"")</f>
        <v/>
      </c>
      <c r="U39" s="21">
        <f>IFERROR(VLOOKUP($A39,subQ,MATCH(U$1,SUBQH,0),0),"")</f>
        <v/>
      </c>
      <c r="V39" s="21">
        <f>IFERROR(VLOOKUP($A39,subQ,MATCH(V$1,SUBQH,0),0),"")</f>
        <v/>
      </c>
      <c r="W39" s="46">
        <f>IFERROR(VLOOKUP($A39,subQ,MATCH(W$1,SUBQH,0),0),"")</f>
        <v/>
      </c>
      <c r="X39" s="32">
        <f>IFERROR(VLOOKUP($A39,subQ,MATCH(X$1,SUBQH,0),0),"")</f>
        <v/>
      </c>
      <c r="Y39" s="32">
        <f>IFERROR(VLOOKUP($A39,subQ,MATCH(Y$1,SUBQH,0),0),"")</f>
        <v/>
      </c>
      <c r="Z39" s="32">
        <f>IFERROR(VLOOKUP($A39,subQ,MATCH(Z$1,SUBQH,0),0),"")</f>
        <v/>
      </c>
      <c r="AA39" s="32">
        <f>IFERROR(VLOOKUP($A39,subQ,MATCH(AA$1,SUBQH,0),0),"")</f>
        <v/>
      </c>
      <c r="AB39" s="32">
        <f>IFERROR(VLOOKUP($A39,subQ,MATCH(AB$1,SUBQH,0),0),"")</f>
        <v/>
      </c>
      <c r="AC39" s="32">
        <f>IFERROR(VLOOKUP($A39,subQ,MATCH(AC$1,SUBQH,0),0),"")</f>
        <v/>
      </c>
      <c r="AD39" s="32">
        <f>IFERROR(VLOOKUP($A39,subQ,MATCH(AD$1,SUBQH,0),0),"")</f>
        <v/>
      </c>
      <c r="AE39" s="32">
        <f>IFERROR(VLOOKUP($A39,subQ,MATCH(AE$1,SUBQH,0),0),"")</f>
        <v/>
      </c>
      <c r="AF39" s="32">
        <f>IFERROR(VLOOKUP($A39,subQ,MATCH(AF$1,SUBQH,0),0),"")</f>
        <v/>
      </c>
      <c r="AG39" s="32">
        <f>IFERROR(VLOOKUP($A39,subQ,MATCH(AG$1,SUBQH,0),0),"")</f>
        <v/>
      </c>
    </row>
    <row r="40">
      <c r="A40" s="12" t="inlineStr">
        <is>
          <t>매출액 YoY</t>
        </is>
      </c>
      <c r="D40" t="inlineStr">
        <is>
          <t>매출액 YoY</t>
        </is>
      </c>
      <c r="I40" s="21">
        <f>IFERROR(I5/E5-1,"")</f>
        <v/>
      </c>
      <c r="J40" s="21">
        <f>IFERROR(J5/F5-1,"")</f>
        <v/>
      </c>
      <c r="K40" s="21">
        <f>IFERROR(K5/G5-1,"")</f>
        <v/>
      </c>
      <c r="L40" s="21">
        <f>IFERROR(L5/H5-1,"")</f>
        <v/>
      </c>
      <c r="M40" s="21">
        <f>IFERROR(M5/I5-1,"")</f>
        <v/>
      </c>
      <c r="N40" s="21">
        <f>IFERROR(N5/J5-1,"")</f>
        <v/>
      </c>
      <c r="O40" s="21">
        <f>IFERROR(O5/K5-1,"")</f>
        <v/>
      </c>
      <c r="P40" s="21">
        <f>IFERROR(P5/L5-1,"")</f>
        <v/>
      </c>
      <c r="Q40" s="21">
        <f>IFERROR(Q5/M5-1,"")</f>
        <v/>
      </c>
      <c r="R40" s="21">
        <f>IFERROR(R5/N5-1,"")</f>
        <v/>
      </c>
      <c r="S40" s="21">
        <f>IFERROR(S5/O5-1,"")</f>
        <v/>
      </c>
      <c r="T40" s="21">
        <f>IFERROR(T5/P5-1,"")</f>
        <v/>
      </c>
      <c r="U40" s="21">
        <f>IFERROR(U5/Q5-1,"")</f>
        <v/>
      </c>
      <c r="V40" s="21">
        <f>IFERROR(V5/R5-1,"")</f>
        <v/>
      </c>
      <c r="W40" s="46">
        <f>IFERROR(W5/S5-1,"")</f>
        <v/>
      </c>
      <c r="X40" s="32">
        <f>IFERROR(X5/T5-1,"")</f>
        <v/>
      </c>
      <c r="Y40" s="32">
        <f>IFERROR(Y5/U5-1,"")</f>
        <v/>
      </c>
      <c r="Z40" s="32">
        <f>IFERROR(Z5/V5-1,"")</f>
        <v/>
      </c>
      <c r="AA40" s="32">
        <f>IFERROR(AA5/W5-1,"")</f>
        <v/>
      </c>
      <c r="AB40" s="32">
        <f>IFERROR(AB5/X5-1,"")</f>
        <v/>
      </c>
      <c r="AC40" s="32">
        <f>IFERROR(AC5/Y5-1,"")</f>
        <v/>
      </c>
      <c r="AD40" s="32">
        <f>IFERROR(AD5/Z5-1,"")</f>
        <v/>
      </c>
      <c r="AE40" s="32">
        <f>IFERROR(AE5/AA5-1,"")</f>
        <v/>
      </c>
      <c r="AF40" s="32">
        <f>IFERROR(AF5/AB5-1,"")</f>
        <v/>
      </c>
      <c r="AG40" s="32">
        <f>IFERROR(AG5/AC5-1,"")</f>
        <v/>
      </c>
    </row>
    <row r="41">
      <c r="A41" s="12" t="inlineStr">
        <is>
          <t>영업이익 YoY</t>
        </is>
      </c>
      <c r="D41" t="inlineStr">
        <is>
          <t>영업이익 YoY</t>
        </is>
      </c>
      <c r="I41" s="21">
        <f>IFERROR(I9/E9-1,"")</f>
        <v/>
      </c>
      <c r="J41" s="21">
        <f>IFERROR(J9/F9-1,"")</f>
        <v/>
      </c>
      <c r="K41" s="21">
        <f>IFERROR(K9/G9-1,"")</f>
        <v/>
      </c>
      <c r="L41" s="21">
        <f>IFERROR(L9/H9-1,"")</f>
        <v/>
      </c>
      <c r="M41" s="21">
        <f>IFERROR(M9/I9-1,"")</f>
        <v/>
      </c>
      <c r="N41" s="21">
        <f>IFERROR(N9/J9-1,"")</f>
        <v/>
      </c>
      <c r="O41" s="21">
        <f>IFERROR(O9/K9-1,"")</f>
        <v/>
      </c>
      <c r="P41" s="21">
        <f>IFERROR(P9/L9-1,"")</f>
        <v/>
      </c>
      <c r="Q41" s="21">
        <f>IFERROR(Q9/M9-1,"")</f>
        <v/>
      </c>
      <c r="R41" s="21">
        <f>IFERROR(R9/N9-1,"")</f>
        <v/>
      </c>
      <c r="S41" s="21">
        <f>IFERROR(S9/O9-1,"")</f>
        <v/>
      </c>
      <c r="T41" s="21">
        <f>IFERROR(T9/P9-1,"")</f>
        <v/>
      </c>
      <c r="U41" s="21">
        <f>IFERROR(U9/Q9-1,"")</f>
        <v/>
      </c>
      <c r="V41" s="21">
        <f>IFERROR(V9/R9-1,"")</f>
        <v/>
      </c>
      <c r="W41" s="46">
        <f>IFERROR(W9/S9-1,"")</f>
        <v/>
      </c>
      <c r="X41" s="32">
        <f>IFERROR(X9/T9-1,"")</f>
        <v/>
      </c>
      <c r="Y41" s="32">
        <f>IFERROR(Y9/U9-1,"")</f>
        <v/>
      </c>
      <c r="Z41" s="32">
        <f>IFERROR(Z9/V9-1,"")</f>
        <v/>
      </c>
      <c r="AA41" s="32">
        <f>IFERROR(AA9/W9-1,"")</f>
        <v/>
      </c>
      <c r="AB41" s="32">
        <f>IFERROR(AB9/X9-1,"")</f>
        <v/>
      </c>
      <c r="AC41" s="32">
        <f>IFERROR(AC9/Y9-1,"")</f>
        <v/>
      </c>
      <c r="AD41" s="32">
        <f>IFERROR(AD9/Z9-1,"")</f>
        <v/>
      </c>
      <c r="AE41" s="32">
        <f>IFERROR(AE9/AA9-1,"")</f>
        <v/>
      </c>
      <c r="AF41" s="32">
        <f>IFERROR(AF9/AB9-1,"")</f>
        <v/>
      </c>
      <c r="AG41" s="32">
        <f>IFERROR(AG9/AC9-1,"")</f>
        <v/>
      </c>
    </row>
    <row r="42">
      <c r="A42" s="12" t="inlineStr">
        <is>
          <t>지배주주순이익 YoY</t>
        </is>
      </c>
      <c r="D42" t="inlineStr">
        <is>
          <t>지배주주순이익 YoY</t>
        </is>
      </c>
      <c r="I42" s="21">
        <f>IFERROR(I19/E19-1,"")</f>
        <v/>
      </c>
      <c r="J42" s="21">
        <f>IFERROR(J19/F19-1,"")</f>
        <v/>
      </c>
      <c r="K42" s="21">
        <f>IFERROR(K19/G19-1,"")</f>
        <v/>
      </c>
      <c r="L42" s="21">
        <f>IFERROR(L19/H19-1,"")</f>
        <v/>
      </c>
      <c r="M42" s="21">
        <f>IFERROR(M19/I19-1,"")</f>
        <v/>
      </c>
      <c r="N42" s="21">
        <f>IFERROR(N19/J19-1,"")</f>
        <v/>
      </c>
      <c r="O42" s="21">
        <f>IFERROR(O19/K19-1,"")</f>
        <v/>
      </c>
      <c r="P42" s="21">
        <f>IFERROR(P19/L19-1,"")</f>
        <v/>
      </c>
      <c r="Q42" s="21">
        <f>IFERROR(Q19/M19-1,"")</f>
        <v/>
      </c>
      <c r="R42" s="21">
        <f>IFERROR(R19/N19-1,"")</f>
        <v/>
      </c>
      <c r="S42" s="21">
        <f>IFERROR(S19/O19-1,"")</f>
        <v/>
      </c>
      <c r="T42" s="21">
        <f>IFERROR(T19/P19-1,"")</f>
        <v/>
      </c>
      <c r="U42" s="21">
        <f>IFERROR(U19/Q19-1,"")</f>
        <v/>
      </c>
      <c r="V42" s="21">
        <f>IFERROR(V19/R19-1,"")</f>
        <v/>
      </c>
      <c r="W42" s="46">
        <f>IFERROR(W19/S19-1,"")</f>
        <v/>
      </c>
      <c r="X42" s="32">
        <f>IFERROR(X19/T19-1,"")</f>
        <v/>
      </c>
      <c r="Y42" s="32">
        <f>IFERROR(Y19/U19-1,"")</f>
        <v/>
      </c>
      <c r="Z42" s="32">
        <f>IFERROR(Z19/V19-1,"")</f>
        <v/>
      </c>
      <c r="AA42" s="32">
        <f>IFERROR(AA19/W19-1,"")</f>
        <v/>
      </c>
      <c r="AB42" s="32">
        <f>IFERROR(AB19/X19-1,"")</f>
        <v/>
      </c>
      <c r="AC42" s="32">
        <f>IFERROR(AC19/Y19-1,"")</f>
        <v/>
      </c>
      <c r="AD42" s="32">
        <f>IFERROR(AD19/Z19-1,"")</f>
        <v/>
      </c>
      <c r="AE42" s="32">
        <f>IFERROR(AE19/AA19-1,"")</f>
        <v/>
      </c>
      <c r="AF42" s="32">
        <f>IFERROR(AF19/AB19-1,"")</f>
        <v/>
      </c>
      <c r="AG42" s="32">
        <f>IFERROR(AG19/AC19-1,"")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C1" s="2" t="inlineStr">
        <is>
          <t>이름: 연간예상H — subQ 를 이름으로 VLOOKUP(억원)</t>
        </is>
      </c>
      <c r="E1" s="3" t="n">
        <v>2021</v>
      </c>
      <c r="F1" s="3" t="n">
        <v>2022</v>
      </c>
      <c r="G1" s="3" t="n">
        <v>2023</v>
      </c>
      <c r="H1" s="3" t="n">
        <v>2024</v>
      </c>
      <c r="I1" s="41" t="n">
        <v>2025</v>
      </c>
      <c r="J1" s="3" t="n">
        <v>2026</v>
      </c>
      <c r="K1" s="3" t="n">
        <v>2027</v>
      </c>
      <c r="L1" s="3" t="n">
        <v>2028</v>
      </c>
    </row>
    <row r="2">
      <c r="C2" t="inlineStr">
        <is>
          <t>종가:</t>
        </is>
      </c>
      <c r="D2" s="18">
        <f>변수!D42</f>
        <v/>
      </c>
      <c r="I2" s="42" t="n"/>
    </row>
    <row r="3">
      <c r="C3" t="inlineStr">
        <is>
          <t>기준일:</t>
        </is>
      </c>
      <c r="D3" t="inlineStr">
        <is>
          <t>20261013</t>
        </is>
      </c>
      <c r="E3" s="2" t="n">
        <v>1</v>
      </c>
      <c r="F3" s="2" t="n">
        <v>2</v>
      </c>
      <c r="G3" s="2" t="n">
        <v>3</v>
      </c>
      <c r="H3" s="2" t="n">
        <v>4</v>
      </c>
      <c r="I3" s="43" t="n">
        <v>5</v>
      </c>
      <c r="J3" s="2" t="n">
        <v>6</v>
      </c>
      <c r="K3" s="2" t="n">
        <v>7</v>
      </c>
      <c r="L3" s="2" t="n">
        <v>8</v>
      </c>
    </row>
    <row r="4">
      <c r="E4" s="7" t="inlineStr">
        <is>
          <t>2021.12A</t>
        </is>
      </c>
      <c r="F4" s="7" t="inlineStr">
        <is>
          <t>2022.12A</t>
        </is>
      </c>
      <c r="G4" s="7" t="inlineStr">
        <is>
          <t>2023.12A</t>
        </is>
      </c>
      <c r="H4" s="7" t="inlineStr">
        <is>
          <t>2024.12A</t>
        </is>
      </c>
      <c r="I4" s="44" t="inlineStr">
        <is>
          <t>2025.12A</t>
        </is>
      </c>
      <c r="J4" s="7" t="inlineStr">
        <is>
          <t>2026.12A</t>
        </is>
      </c>
      <c r="K4" s="7" t="inlineStr">
        <is>
          <t>2027.12A</t>
        </is>
      </c>
      <c r="L4" s="7" t="inlineStr">
        <is>
          <t>2028.12A</t>
        </is>
      </c>
    </row>
    <row r="5">
      <c r="A5" s="12" t="inlineStr">
        <is>
          <t>매출액</t>
        </is>
      </c>
      <c r="D5" t="inlineStr">
        <is>
          <t>매출액</t>
        </is>
      </c>
      <c r="E5" s="18">
        <f>IFERROR(VLOOKUP($A5,subQ,MATCH(E$1,SUBQH,0),0),"")</f>
        <v/>
      </c>
      <c r="F5" s="18">
        <f>IFERROR(VLOOKUP($A5,subQ,MATCH(F$1,SUBQH,0),0),"")</f>
        <v/>
      </c>
      <c r="G5" s="18">
        <f>IFERROR(VLOOKUP($A5,subQ,MATCH(G$1,SUBQH,0),0),"")</f>
        <v/>
      </c>
      <c r="H5" s="18">
        <f>IFERROR(VLOOKUP($A5,subQ,MATCH(H$1,SUBQH,0),0),"")</f>
        <v/>
      </c>
      <c r="I5" s="45">
        <f>IFERROR(VLOOKUP($A5,subQ,MATCH(I$1,SUBQH,0),0),"")</f>
        <v/>
      </c>
      <c r="J5" s="20">
        <f>IFERROR(VLOOKUP($A5,subQ,MATCH(J$1,SUBQH,0),0),"")</f>
        <v/>
      </c>
      <c r="K5" s="20">
        <f>IFERROR(VLOOKUP($A5,subQ,MATCH(K$1,SUBQH,0),0),"")</f>
        <v/>
      </c>
      <c r="L5" s="20">
        <f>IFERROR(VLOOKUP($A5,subQ,MATCH(L$1,SUBQH,0),0),"")</f>
        <v/>
      </c>
    </row>
    <row r="6">
      <c r="A6" s="12" t="inlineStr">
        <is>
          <t>매출원가</t>
        </is>
      </c>
      <c r="D6" t="inlineStr">
        <is>
          <t>매출원가</t>
        </is>
      </c>
      <c r="E6" s="18">
        <f>IFERROR(VLOOKUP($A6,subQ,MATCH(E$1,SUBQH,0),0),"")</f>
        <v/>
      </c>
      <c r="F6" s="18">
        <f>IFERROR(VLOOKUP($A6,subQ,MATCH(F$1,SUBQH,0),0),"")</f>
        <v/>
      </c>
      <c r="G6" s="18">
        <f>IFERROR(VLOOKUP($A6,subQ,MATCH(G$1,SUBQH,0),0),"")</f>
        <v/>
      </c>
      <c r="H6" s="18">
        <f>IFERROR(VLOOKUP($A6,subQ,MATCH(H$1,SUBQH,0),0),"")</f>
        <v/>
      </c>
      <c r="I6" s="45">
        <f>IFERROR(VLOOKUP($A6,subQ,MATCH(I$1,SUBQH,0),0),"")</f>
        <v/>
      </c>
      <c r="J6" s="20">
        <f>IFERROR(VLOOKUP($A6,subQ,MATCH(J$1,SUBQH,0),0),"")</f>
        <v/>
      </c>
      <c r="K6" s="20">
        <f>IFERROR(VLOOKUP($A6,subQ,MATCH(K$1,SUBQH,0),0),"")</f>
        <v/>
      </c>
      <c r="L6" s="20">
        <f>IFERROR(VLOOKUP($A6,subQ,MATCH(L$1,SUBQH,0),0),"")</f>
        <v/>
      </c>
    </row>
    <row r="7">
      <c r="A7" s="12" t="inlineStr">
        <is>
          <t>매출총이익</t>
        </is>
      </c>
      <c r="D7" t="inlineStr">
        <is>
          <t>매출총이익</t>
        </is>
      </c>
      <c r="E7" s="18">
        <f>IFERROR(VLOOKUP($A7,subQ,MATCH(E$1,SUBQH,0),0),"")</f>
        <v/>
      </c>
      <c r="F7" s="18">
        <f>IFERROR(VLOOKUP($A7,subQ,MATCH(F$1,SUBQH,0),0),"")</f>
        <v/>
      </c>
      <c r="G7" s="18">
        <f>IFERROR(VLOOKUP($A7,subQ,MATCH(G$1,SUBQH,0),0),"")</f>
        <v/>
      </c>
      <c r="H7" s="18">
        <f>IFERROR(VLOOKUP($A7,subQ,MATCH(H$1,SUBQH,0),0),"")</f>
        <v/>
      </c>
      <c r="I7" s="45">
        <f>IFERROR(VLOOKUP($A7,subQ,MATCH(I$1,SUBQH,0),0),"")</f>
        <v/>
      </c>
      <c r="J7" s="20">
        <f>IFERROR(VLOOKUP($A7,subQ,MATCH(J$1,SUBQH,0),0),"")</f>
        <v/>
      </c>
      <c r="K7" s="20">
        <f>IFERROR(VLOOKUP($A7,subQ,MATCH(K$1,SUBQH,0),0),"")</f>
        <v/>
      </c>
      <c r="L7" s="20">
        <f>IFERROR(VLOOKUP($A7,subQ,MATCH(L$1,SUBQH,0),0),"")</f>
        <v/>
      </c>
    </row>
    <row r="8">
      <c r="A8" s="12" t="inlineStr">
        <is>
          <t>판관비</t>
        </is>
      </c>
      <c r="D8" t="inlineStr">
        <is>
          <t>판매비와관리비</t>
        </is>
      </c>
      <c r="E8" s="18">
        <f>IFERROR(VLOOKUP($A8,subQ,MATCH(E$1,SUBQH,0),0),"")</f>
        <v/>
      </c>
      <c r="F8" s="18">
        <f>IFERROR(VLOOKUP($A8,subQ,MATCH(F$1,SUBQH,0),0),"")</f>
        <v/>
      </c>
      <c r="G8" s="18">
        <f>IFERROR(VLOOKUP($A8,subQ,MATCH(G$1,SUBQH,0),0),"")</f>
        <v/>
      </c>
      <c r="H8" s="18">
        <f>IFERROR(VLOOKUP($A8,subQ,MATCH(H$1,SUBQH,0),0),"")</f>
        <v/>
      </c>
      <c r="I8" s="45">
        <f>IFERROR(VLOOKUP($A8,subQ,MATCH(I$1,SUBQH,0),0),"")</f>
        <v/>
      </c>
      <c r="J8" s="20">
        <f>IFERROR(VLOOKUP($A8,subQ,MATCH(J$1,SUBQH,0),0),"")</f>
        <v/>
      </c>
      <c r="K8" s="20">
        <f>IFERROR(VLOOKUP($A8,subQ,MATCH(K$1,SUBQH,0),0),"")</f>
        <v/>
      </c>
      <c r="L8" s="20">
        <f>IFERROR(VLOOKUP($A8,subQ,MATCH(L$1,SUBQH,0),0),"")</f>
        <v/>
      </c>
    </row>
    <row r="9">
      <c r="A9" s="12" t="inlineStr">
        <is>
          <t>영업이익</t>
        </is>
      </c>
      <c r="D9" t="inlineStr">
        <is>
          <t>영업이익</t>
        </is>
      </c>
      <c r="E9" s="18">
        <f>IFERROR(VLOOKUP($A9,subQ,MATCH(E$1,SUBQH,0),0),"")</f>
        <v/>
      </c>
      <c r="F9" s="18">
        <f>IFERROR(VLOOKUP($A9,subQ,MATCH(F$1,SUBQH,0),0),"")</f>
        <v/>
      </c>
      <c r="G9" s="18">
        <f>IFERROR(VLOOKUP($A9,subQ,MATCH(G$1,SUBQH,0),0),"")</f>
        <v/>
      </c>
      <c r="H9" s="18">
        <f>IFERROR(VLOOKUP($A9,subQ,MATCH(H$1,SUBQH,0),0),"")</f>
        <v/>
      </c>
      <c r="I9" s="45">
        <f>IFERROR(VLOOKUP($A9,subQ,MATCH(I$1,SUBQH,0),0),"")</f>
        <v/>
      </c>
      <c r="J9" s="20">
        <f>IFERROR(VLOOKUP($A9,subQ,MATCH(J$1,SUBQH,0),0),"")</f>
        <v/>
      </c>
      <c r="K9" s="20">
        <f>IFERROR(VLOOKUP($A9,subQ,MATCH(K$1,SUBQH,0),0),"")</f>
        <v/>
      </c>
      <c r="L9" s="20">
        <f>IFERROR(VLOOKUP($A9,subQ,MATCH(L$1,SUBQH,0),0),"")</f>
        <v/>
      </c>
    </row>
    <row r="10">
      <c r="A10" s="12" t="inlineStr">
        <is>
          <t>OPM</t>
        </is>
      </c>
      <c r="D10" t="inlineStr">
        <is>
          <t>영업이익률</t>
        </is>
      </c>
      <c r="E10" s="21">
        <f>IFERROR(VLOOKUP($A10,subQ,MATCH(E$1,SUBQH,0),0),"")</f>
        <v/>
      </c>
      <c r="F10" s="21">
        <f>IFERROR(VLOOKUP($A10,subQ,MATCH(F$1,SUBQH,0),0),"")</f>
        <v/>
      </c>
      <c r="G10" s="21">
        <f>IFERROR(VLOOKUP($A10,subQ,MATCH(G$1,SUBQH,0),0),"")</f>
        <v/>
      </c>
      <c r="H10" s="21">
        <f>IFERROR(VLOOKUP($A10,subQ,MATCH(H$1,SUBQH,0),0),"")</f>
        <v/>
      </c>
      <c r="I10" s="46">
        <f>IFERROR(VLOOKUP($A10,subQ,MATCH(I$1,SUBQH,0),0),"")</f>
        <v/>
      </c>
      <c r="J10" s="32">
        <f>IFERROR(VLOOKUP($A10,subQ,MATCH(J$1,SUBQH,0),0),"")</f>
        <v/>
      </c>
      <c r="K10" s="32">
        <f>IFERROR(VLOOKUP($A10,subQ,MATCH(K$1,SUBQH,0),0),"")</f>
        <v/>
      </c>
      <c r="L10" s="32">
        <f>IFERROR(VLOOKUP($A10,subQ,MATCH(L$1,SUBQH,0),0),"")</f>
        <v/>
      </c>
    </row>
    <row r="11">
      <c r="A11" s="12" t="inlineStr">
        <is>
          <t>금융손익</t>
        </is>
      </c>
      <c r="D11" t="inlineStr">
        <is>
          <t>금융손익(이자·환 포함)</t>
        </is>
      </c>
      <c r="E11" s="18">
        <f>IFERROR(VLOOKUP($A11,subQ,MATCH(E$1,SUBQH,0),0),"")</f>
        <v/>
      </c>
      <c r="F11" s="18">
        <f>IFERROR(VLOOKUP($A11,subQ,MATCH(F$1,SUBQH,0),0),"")</f>
        <v/>
      </c>
      <c r="G11" s="18">
        <f>IFERROR(VLOOKUP($A11,subQ,MATCH(G$1,SUBQH,0),0),"")</f>
        <v/>
      </c>
      <c r="H11" s="18">
        <f>IFERROR(VLOOKUP($A11,subQ,MATCH(H$1,SUBQH,0),0),"")</f>
        <v/>
      </c>
      <c r="I11" s="45">
        <f>IFERROR(VLOOKUP($A11,subQ,MATCH(I$1,SUBQH,0),0),"")</f>
        <v/>
      </c>
      <c r="J11" s="20">
        <f>IFERROR(VLOOKUP($A11,subQ,MATCH(J$1,SUBQH,0),0),"")</f>
        <v/>
      </c>
      <c r="K11" s="20">
        <f>IFERROR(VLOOKUP($A11,subQ,MATCH(K$1,SUBQH,0),0),"")</f>
        <v/>
      </c>
      <c r="L11" s="20">
        <f>IFERROR(VLOOKUP($A11,subQ,MATCH(L$1,SUBQH,0),0),"")</f>
        <v/>
      </c>
    </row>
    <row r="12">
      <c r="A12" s="12" t="inlineStr">
        <is>
          <t>이자손익</t>
        </is>
      </c>
      <c r="D12" t="inlineStr">
        <is>
          <t>이자손익(이자수익 − 이자비용)</t>
        </is>
      </c>
      <c r="E12" s="18">
        <f>IFERROR(VLOOKUP($A12,subQ,MATCH(E$1,SUBQH,0),0),"")</f>
        <v/>
      </c>
      <c r="F12" s="18">
        <f>IFERROR(VLOOKUP($A12,subQ,MATCH(F$1,SUBQH,0),0),"")</f>
        <v/>
      </c>
      <c r="G12" s="18">
        <f>IFERROR(VLOOKUP($A12,subQ,MATCH(G$1,SUBQH,0),0),"")</f>
        <v/>
      </c>
      <c r="H12" s="18">
        <f>IFERROR(VLOOKUP($A12,subQ,MATCH(H$1,SUBQH,0),0),"")</f>
        <v/>
      </c>
      <c r="I12" s="45">
        <f>IFERROR(VLOOKUP($A12,subQ,MATCH(I$1,SUBQH,0),0),"")</f>
        <v/>
      </c>
      <c r="J12" s="20">
        <f>IFERROR(VLOOKUP($A12,subQ,MATCH(J$1,SUBQH,0),0),"")</f>
        <v/>
      </c>
      <c r="K12" s="20">
        <f>IFERROR(VLOOKUP($A12,subQ,MATCH(K$1,SUBQH,0),0),"")</f>
        <v/>
      </c>
      <c r="L12" s="20">
        <f>IFERROR(VLOOKUP($A12,subQ,MATCH(L$1,SUBQH,0),0),"")</f>
        <v/>
      </c>
    </row>
    <row r="13">
      <c r="A13" s="12" t="inlineStr">
        <is>
          <t>외환손익</t>
        </is>
      </c>
      <c r="D13" t="inlineStr">
        <is>
          <t>외환손익(실적만; 추정 환효과는 환관련손익)</t>
        </is>
      </c>
      <c r="E13" s="18">
        <f>IFERROR(VLOOKUP($A13,subQ,MATCH(E$1,SUBQH,0),0),"")</f>
        <v/>
      </c>
      <c r="F13" s="18">
        <f>IFERROR(VLOOKUP($A13,subQ,MATCH(F$1,SUBQH,0),0),"")</f>
        <v/>
      </c>
      <c r="G13" s="18">
        <f>IFERROR(VLOOKUP($A13,subQ,MATCH(G$1,SUBQH,0),0),"")</f>
        <v/>
      </c>
      <c r="H13" s="18">
        <f>IFERROR(VLOOKUP($A13,subQ,MATCH(H$1,SUBQH,0),0),"")</f>
        <v/>
      </c>
      <c r="I13" s="45">
        <f>IFERROR(VLOOKUP($A13,subQ,MATCH(I$1,SUBQH,0),0),"")</f>
        <v/>
      </c>
      <c r="J13" s="20">
        <f>IFERROR(VLOOKUP($A13,subQ,MATCH(J$1,SUBQH,0),0),"")</f>
        <v/>
      </c>
      <c r="K13" s="20">
        <f>IFERROR(VLOOKUP($A13,subQ,MATCH(K$1,SUBQH,0),0),"")</f>
        <v/>
      </c>
      <c r="L13" s="20">
        <f>IFERROR(VLOOKUP($A13,subQ,MATCH(L$1,SUBQH,0),0),"")</f>
        <v/>
      </c>
    </row>
    <row r="14">
      <c r="A14" s="12" t="inlineStr">
        <is>
          <t>기타영업외손익</t>
        </is>
      </c>
      <c r="D14" t="inlineStr">
        <is>
          <t>기타영업외손익</t>
        </is>
      </c>
      <c r="E14" s="18">
        <f>IFERROR(VLOOKUP($A14,subQ,MATCH(E$1,SUBQH,0),0),"")</f>
        <v/>
      </c>
      <c r="F14" s="18">
        <f>IFERROR(VLOOKUP($A14,subQ,MATCH(F$1,SUBQH,0),0),"")</f>
        <v/>
      </c>
      <c r="G14" s="18">
        <f>IFERROR(VLOOKUP($A14,subQ,MATCH(G$1,SUBQH,0),0),"")</f>
        <v/>
      </c>
      <c r="H14" s="18">
        <f>IFERROR(VLOOKUP($A14,subQ,MATCH(H$1,SUBQH,0),0),"")</f>
        <v/>
      </c>
      <c r="I14" s="45">
        <f>IFERROR(VLOOKUP($A14,subQ,MATCH(I$1,SUBQH,0),0),"")</f>
        <v/>
      </c>
      <c r="J14" s="20">
        <f>IFERROR(VLOOKUP($A14,subQ,MATCH(J$1,SUBQH,0),0),"")</f>
        <v/>
      </c>
      <c r="K14" s="20">
        <f>IFERROR(VLOOKUP($A14,subQ,MATCH(K$1,SUBQH,0),0),"")</f>
        <v/>
      </c>
      <c r="L14" s="20">
        <f>IFERROR(VLOOKUP($A14,subQ,MATCH(L$1,SUBQH,0),0),"")</f>
        <v/>
      </c>
    </row>
    <row r="15">
      <c r="A15" s="12" t="inlineStr">
        <is>
          <t>지분법손익</t>
        </is>
      </c>
      <c r="D15" t="inlineStr">
        <is>
          <t>지분법손익</t>
        </is>
      </c>
      <c r="E15" s="18">
        <f>IFERROR(VLOOKUP($A15,subQ,MATCH(E$1,SUBQH,0),0),"")</f>
        <v/>
      </c>
      <c r="F15" s="18">
        <f>IFERROR(VLOOKUP($A15,subQ,MATCH(F$1,SUBQH,0),0),"")</f>
        <v/>
      </c>
      <c r="G15" s="18">
        <f>IFERROR(VLOOKUP($A15,subQ,MATCH(G$1,SUBQH,0),0),"")</f>
        <v/>
      </c>
      <c r="H15" s="18">
        <f>IFERROR(VLOOKUP($A15,subQ,MATCH(H$1,SUBQH,0),0),"")</f>
        <v/>
      </c>
      <c r="I15" s="45">
        <f>IFERROR(VLOOKUP($A15,subQ,MATCH(I$1,SUBQH,0),0),"")</f>
        <v/>
      </c>
      <c r="J15" s="20">
        <f>IFERROR(VLOOKUP($A15,subQ,MATCH(J$1,SUBQH,0),0),"")</f>
        <v/>
      </c>
      <c r="K15" s="20">
        <f>IFERROR(VLOOKUP($A15,subQ,MATCH(K$1,SUBQH,0),0),"")</f>
        <v/>
      </c>
      <c r="L15" s="20">
        <f>IFERROR(VLOOKUP($A15,subQ,MATCH(L$1,SUBQH,0),0),"")</f>
        <v/>
      </c>
    </row>
    <row r="16">
      <c r="A16" s="12" t="inlineStr">
        <is>
          <t>세전이익</t>
        </is>
      </c>
      <c r="D16" t="inlineStr">
        <is>
          <t>법인세비용차감전이익</t>
        </is>
      </c>
      <c r="E16" s="18">
        <f>IFERROR(VLOOKUP($A16,subQ,MATCH(E$1,SUBQH,0),0),"")</f>
        <v/>
      </c>
      <c r="F16" s="18">
        <f>IFERROR(VLOOKUP($A16,subQ,MATCH(F$1,SUBQH,0),0),"")</f>
        <v/>
      </c>
      <c r="G16" s="18">
        <f>IFERROR(VLOOKUP($A16,subQ,MATCH(G$1,SUBQH,0),0),"")</f>
        <v/>
      </c>
      <c r="H16" s="18">
        <f>IFERROR(VLOOKUP($A16,subQ,MATCH(H$1,SUBQH,0),0),"")</f>
        <v/>
      </c>
      <c r="I16" s="45">
        <f>IFERROR(VLOOKUP($A16,subQ,MATCH(I$1,SUBQH,0),0),"")</f>
        <v/>
      </c>
      <c r="J16" s="20">
        <f>IFERROR(VLOOKUP($A16,subQ,MATCH(J$1,SUBQH,0),0),"")</f>
        <v/>
      </c>
      <c r="K16" s="20">
        <f>IFERROR(VLOOKUP($A16,subQ,MATCH(K$1,SUBQH,0),0),"")</f>
        <v/>
      </c>
      <c r="L16" s="20">
        <f>IFERROR(VLOOKUP($A16,subQ,MATCH(L$1,SUBQH,0),0),"")</f>
        <v/>
      </c>
    </row>
    <row r="17">
      <c r="A17" s="12" t="inlineStr">
        <is>
          <t>법인세비용</t>
        </is>
      </c>
      <c r="D17" t="inlineStr">
        <is>
          <t>법인세비용</t>
        </is>
      </c>
      <c r="E17" s="18">
        <f>IFERROR(VLOOKUP($A17,subQ,MATCH(E$1,SUBQH,0),0),"")</f>
        <v/>
      </c>
      <c r="F17" s="18">
        <f>IFERROR(VLOOKUP($A17,subQ,MATCH(F$1,SUBQH,0),0),"")</f>
        <v/>
      </c>
      <c r="G17" s="18">
        <f>IFERROR(VLOOKUP($A17,subQ,MATCH(G$1,SUBQH,0),0),"")</f>
        <v/>
      </c>
      <c r="H17" s="18">
        <f>IFERROR(VLOOKUP($A17,subQ,MATCH(H$1,SUBQH,0),0),"")</f>
        <v/>
      </c>
      <c r="I17" s="45">
        <f>IFERROR(VLOOKUP($A17,subQ,MATCH(I$1,SUBQH,0),0),"")</f>
        <v/>
      </c>
      <c r="J17" s="20">
        <f>IFERROR(VLOOKUP($A17,subQ,MATCH(J$1,SUBQH,0),0),"")</f>
        <v/>
      </c>
      <c r="K17" s="20">
        <f>IFERROR(VLOOKUP($A17,subQ,MATCH(K$1,SUBQH,0),0),"")</f>
        <v/>
      </c>
      <c r="L17" s="20">
        <f>IFERROR(VLOOKUP($A17,subQ,MATCH(L$1,SUBQH,0),0),"")</f>
        <v/>
      </c>
    </row>
    <row r="18">
      <c r="A18" s="12" t="inlineStr">
        <is>
          <t>당기순이익</t>
        </is>
      </c>
      <c r="D18" t="inlineStr">
        <is>
          <t>당기순이익</t>
        </is>
      </c>
      <c r="E18" s="18">
        <f>IFERROR(VLOOKUP($A18,subQ,MATCH(E$1,SUBQH,0),0),"")</f>
        <v/>
      </c>
      <c r="F18" s="18">
        <f>IFERROR(VLOOKUP($A18,subQ,MATCH(F$1,SUBQH,0),0),"")</f>
        <v/>
      </c>
      <c r="G18" s="18">
        <f>IFERROR(VLOOKUP($A18,subQ,MATCH(G$1,SUBQH,0),0),"")</f>
        <v/>
      </c>
      <c r="H18" s="18">
        <f>IFERROR(VLOOKUP($A18,subQ,MATCH(H$1,SUBQH,0),0),"")</f>
        <v/>
      </c>
      <c r="I18" s="45">
        <f>IFERROR(VLOOKUP($A18,subQ,MATCH(I$1,SUBQH,0),0),"")</f>
        <v/>
      </c>
      <c r="J18" s="20">
        <f>IFERROR(VLOOKUP($A18,subQ,MATCH(J$1,SUBQH,0),0),"")</f>
        <v/>
      </c>
      <c r="K18" s="20">
        <f>IFERROR(VLOOKUP($A18,subQ,MATCH(K$1,SUBQH,0),0),"")</f>
        <v/>
      </c>
      <c r="L18" s="20">
        <f>IFERROR(VLOOKUP($A18,subQ,MATCH(L$1,SUBQH,0),0),"")</f>
        <v/>
      </c>
    </row>
    <row r="19">
      <c r="A19" s="12" t="inlineStr">
        <is>
          <t>지배주주순이익</t>
        </is>
      </c>
      <c r="D19" t="inlineStr">
        <is>
          <t>지배주주순이익</t>
        </is>
      </c>
      <c r="E19" s="18">
        <f>IFERROR(VLOOKUP($A19,subQ,MATCH(E$1,SUBQH,0),0),"")</f>
        <v/>
      </c>
      <c r="F19" s="18">
        <f>IFERROR(VLOOKUP($A19,subQ,MATCH(F$1,SUBQH,0),0),"")</f>
        <v/>
      </c>
      <c r="G19" s="18">
        <f>IFERROR(VLOOKUP($A19,subQ,MATCH(G$1,SUBQH,0),0),"")</f>
        <v/>
      </c>
      <c r="H19" s="18">
        <f>IFERROR(VLOOKUP($A19,subQ,MATCH(H$1,SUBQH,0),0),"")</f>
        <v/>
      </c>
      <c r="I19" s="45">
        <f>IFERROR(VLOOKUP($A19,subQ,MATCH(I$1,SUBQH,0),0),"")</f>
        <v/>
      </c>
      <c r="J19" s="20">
        <f>IFERROR(VLOOKUP($A19,subQ,MATCH(J$1,SUBQH,0),0),"")</f>
        <v/>
      </c>
      <c r="K19" s="20">
        <f>IFERROR(VLOOKUP($A19,subQ,MATCH(K$1,SUBQH,0),0),"")</f>
        <v/>
      </c>
      <c r="L19" s="20">
        <f>IFERROR(VLOOKUP($A19,subQ,MATCH(L$1,SUBQH,0),0),"")</f>
        <v/>
      </c>
    </row>
    <row r="20">
      <c r="A20" s="12" t="inlineStr">
        <is>
          <t>자산총계</t>
        </is>
      </c>
      <c r="D20" t="inlineStr">
        <is>
          <t>자산총계</t>
        </is>
      </c>
      <c r="E20" s="18">
        <f>IFERROR(VLOOKUP($A20,subQ,MATCH(E$1,SUBQH,0),0),"")</f>
        <v/>
      </c>
      <c r="F20" s="18">
        <f>IFERROR(VLOOKUP($A20,subQ,MATCH(F$1,SUBQH,0),0),"")</f>
        <v/>
      </c>
      <c r="G20" s="18">
        <f>IFERROR(VLOOKUP($A20,subQ,MATCH(G$1,SUBQH,0),0),"")</f>
        <v/>
      </c>
      <c r="H20" s="18">
        <f>IFERROR(VLOOKUP($A20,subQ,MATCH(H$1,SUBQH,0),0),"")</f>
        <v/>
      </c>
      <c r="I20" s="45">
        <f>IFERROR(VLOOKUP($A20,subQ,MATCH(I$1,SUBQH,0),0),"")</f>
        <v/>
      </c>
      <c r="J20" s="20">
        <f>IFERROR(VLOOKUP($A20,subQ,MATCH(J$1,SUBQH,0),0),"")</f>
        <v/>
      </c>
      <c r="K20" s="20">
        <f>IFERROR(VLOOKUP($A20,subQ,MATCH(K$1,SUBQH,0),0),"")</f>
        <v/>
      </c>
      <c r="L20" s="20">
        <f>IFERROR(VLOOKUP($A20,subQ,MATCH(L$1,SUBQH,0),0),"")</f>
        <v/>
      </c>
    </row>
    <row r="21">
      <c r="A21" s="12" t="inlineStr">
        <is>
          <t>부채총계</t>
        </is>
      </c>
      <c r="D21" t="inlineStr">
        <is>
          <t>부채총계</t>
        </is>
      </c>
      <c r="E21" s="18">
        <f>IFERROR(VLOOKUP($A21,subQ,MATCH(E$1,SUBQH,0),0),"")</f>
        <v/>
      </c>
      <c r="F21" s="18">
        <f>IFERROR(VLOOKUP($A21,subQ,MATCH(F$1,SUBQH,0),0),"")</f>
        <v/>
      </c>
      <c r="G21" s="18">
        <f>IFERROR(VLOOKUP($A21,subQ,MATCH(G$1,SUBQH,0),0),"")</f>
        <v/>
      </c>
      <c r="H21" s="18">
        <f>IFERROR(VLOOKUP($A21,subQ,MATCH(H$1,SUBQH,0),0),"")</f>
        <v/>
      </c>
      <c r="I21" s="45">
        <f>IFERROR(VLOOKUP($A21,subQ,MATCH(I$1,SUBQH,0),0),"")</f>
        <v/>
      </c>
      <c r="J21" s="20">
        <f>IFERROR(VLOOKUP($A21,subQ,MATCH(J$1,SUBQH,0),0),"")</f>
        <v/>
      </c>
      <c r="K21" s="20">
        <f>IFERROR(VLOOKUP($A21,subQ,MATCH(K$1,SUBQH,0),0),"")</f>
        <v/>
      </c>
      <c r="L21" s="20">
        <f>IFERROR(VLOOKUP($A21,subQ,MATCH(L$1,SUBQH,0),0),"")</f>
        <v/>
      </c>
    </row>
    <row r="22">
      <c r="A22" s="12" t="inlineStr">
        <is>
          <t>자본총계</t>
        </is>
      </c>
      <c r="D22" t="inlineStr">
        <is>
          <t>자본총계</t>
        </is>
      </c>
      <c r="E22" s="18">
        <f>IFERROR(VLOOKUP($A22,subQ,MATCH(E$1,SUBQH,0),0),"")</f>
        <v/>
      </c>
      <c r="F22" s="18">
        <f>IFERROR(VLOOKUP($A22,subQ,MATCH(F$1,SUBQH,0),0),"")</f>
        <v/>
      </c>
      <c r="G22" s="18">
        <f>IFERROR(VLOOKUP($A22,subQ,MATCH(G$1,SUBQH,0),0),"")</f>
        <v/>
      </c>
      <c r="H22" s="18">
        <f>IFERROR(VLOOKUP($A22,subQ,MATCH(H$1,SUBQH,0),0),"")</f>
        <v/>
      </c>
      <c r="I22" s="45">
        <f>IFERROR(VLOOKUP($A22,subQ,MATCH(I$1,SUBQH,0),0),"")</f>
        <v/>
      </c>
      <c r="J22" s="20">
        <f>IFERROR(VLOOKUP($A22,subQ,MATCH(J$1,SUBQH,0),0),"")</f>
        <v/>
      </c>
      <c r="K22" s="20">
        <f>IFERROR(VLOOKUP($A22,subQ,MATCH(K$1,SUBQH,0),0),"")</f>
        <v/>
      </c>
      <c r="L22" s="20">
        <f>IFERROR(VLOOKUP($A22,subQ,MATCH(L$1,SUBQH,0),0),"")</f>
        <v/>
      </c>
    </row>
    <row r="23">
      <c r="A23" s="12" t="inlineStr">
        <is>
          <t>지배주주지분</t>
        </is>
      </c>
      <c r="D23" t="inlineStr">
        <is>
          <t>지배주주지분</t>
        </is>
      </c>
      <c r="E23" s="18">
        <f>IFERROR(VLOOKUP($A23,subQ,MATCH(E$1,SUBQH,0),0),"")</f>
        <v/>
      </c>
      <c r="F23" s="18">
        <f>IFERROR(VLOOKUP($A23,subQ,MATCH(F$1,SUBQH,0),0),"")</f>
        <v/>
      </c>
      <c r="G23" s="18">
        <f>IFERROR(VLOOKUP($A23,subQ,MATCH(G$1,SUBQH,0),0),"")</f>
        <v/>
      </c>
      <c r="H23" s="18">
        <f>IFERROR(VLOOKUP($A23,subQ,MATCH(H$1,SUBQH,0),0),"")</f>
        <v/>
      </c>
      <c r="I23" s="45">
        <f>IFERROR(VLOOKUP($A23,subQ,MATCH(I$1,SUBQH,0),0),"")</f>
        <v/>
      </c>
      <c r="J23" s="20">
        <f>IFERROR(VLOOKUP($A23,subQ,MATCH(J$1,SUBQH,0),0),"")</f>
        <v/>
      </c>
      <c r="K23" s="20">
        <f>IFERROR(VLOOKUP($A23,subQ,MATCH(K$1,SUBQH,0),0),"")</f>
        <v/>
      </c>
      <c r="L23" s="20">
        <f>IFERROR(VLOOKUP($A23,subQ,MATCH(L$1,SUBQH,0),0),"")</f>
        <v/>
      </c>
    </row>
    <row r="24">
      <c r="A24" s="12" t="inlineStr">
        <is>
          <t>총차입금</t>
        </is>
      </c>
      <c r="D24" t="inlineStr">
        <is>
          <t>총차입금</t>
        </is>
      </c>
      <c r="E24" s="18">
        <f>IFERROR(VLOOKUP($A24,subQ,MATCH(E$1,SUBQH,0),0),"")</f>
        <v/>
      </c>
      <c r="F24" s="18">
        <f>IFERROR(VLOOKUP($A24,subQ,MATCH(F$1,SUBQH,0),0),"")</f>
        <v/>
      </c>
      <c r="G24" s="18">
        <f>IFERROR(VLOOKUP($A24,subQ,MATCH(G$1,SUBQH,0),0),"")</f>
        <v/>
      </c>
      <c r="H24" s="18">
        <f>IFERROR(VLOOKUP($A24,subQ,MATCH(H$1,SUBQH,0),0),"")</f>
        <v/>
      </c>
      <c r="I24" s="45">
        <f>IFERROR(VLOOKUP($A24,subQ,MATCH(I$1,SUBQH,0),0),"")</f>
        <v/>
      </c>
      <c r="J24" s="20">
        <f>IFERROR(VLOOKUP($A24,subQ,MATCH(J$1,SUBQH,0),0),"")</f>
        <v/>
      </c>
      <c r="K24" s="20">
        <f>IFERROR(VLOOKUP($A24,subQ,MATCH(K$1,SUBQH,0),0),"")</f>
        <v/>
      </c>
      <c r="L24" s="20">
        <f>IFERROR(VLOOKUP($A24,subQ,MATCH(L$1,SUBQH,0),0),"")</f>
        <v/>
      </c>
    </row>
    <row r="25">
      <c r="A25" s="12" t="inlineStr">
        <is>
          <t>순차입금</t>
        </is>
      </c>
      <c r="D25" t="inlineStr">
        <is>
          <t>순차입금</t>
        </is>
      </c>
      <c r="E25" s="18">
        <f>IFERROR(VLOOKUP($A25,subQ,MATCH(E$1,SUBQH,0),0),"")</f>
        <v/>
      </c>
      <c r="F25" s="18">
        <f>IFERROR(VLOOKUP($A25,subQ,MATCH(F$1,SUBQH,0),0),"")</f>
        <v/>
      </c>
      <c r="G25" s="18">
        <f>IFERROR(VLOOKUP($A25,subQ,MATCH(G$1,SUBQH,0),0),"")</f>
        <v/>
      </c>
      <c r="H25" s="18">
        <f>IFERROR(VLOOKUP($A25,subQ,MATCH(H$1,SUBQH,0),0),"")</f>
        <v/>
      </c>
      <c r="I25" s="45">
        <f>IFERROR(VLOOKUP($A25,subQ,MATCH(I$1,SUBQH,0),0),"")</f>
        <v/>
      </c>
      <c r="J25" s="20">
        <f>IFERROR(VLOOKUP($A25,subQ,MATCH(J$1,SUBQH,0),0),"")</f>
        <v/>
      </c>
      <c r="K25" s="20">
        <f>IFERROR(VLOOKUP($A25,subQ,MATCH(K$1,SUBQH,0),0),"")</f>
        <v/>
      </c>
      <c r="L25" s="20">
        <f>IFERROR(VLOOKUP($A25,subQ,MATCH(L$1,SUBQH,0),0),"")</f>
        <v/>
      </c>
    </row>
    <row r="26">
      <c r="A26" s="12" t="inlineStr">
        <is>
          <t>이자발생자산</t>
        </is>
      </c>
      <c r="D26" t="inlineStr">
        <is>
          <t>이자발생자산</t>
        </is>
      </c>
      <c r="E26" s="18">
        <f>IFERROR(VLOOKUP($A26,subQ,MATCH(E$1,SUBQH,0),0),"")</f>
        <v/>
      </c>
      <c r="F26" s="18">
        <f>IFERROR(VLOOKUP($A26,subQ,MATCH(F$1,SUBQH,0),0),"")</f>
        <v/>
      </c>
      <c r="G26" s="18">
        <f>IFERROR(VLOOKUP($A26,subQ,MATCH(G$1,SUBQH,0),0),"")</f>
        <v/>
      </c>
      <c r="H26" s="18">
        <f>IFERROR(VLOOKUP($A26,subQ,MATCH(H$1,SUBQH,0),0),"")</f>
        <v/>
      </c>
      <c r="I26" s="45">
        <f>IFERROR(VLOOKUP($A26,subQ,MATCH(I$1,SUBQH,0),0),"")</f>
        <v/>
      </c>
      <c r="J26" s="20">
        <f>IFERROR(VLOOKUP($A26,subQ,MATCH(J$1,SUBQH,0),0),"")</f>
        <v/>
      </c>
      <c r="K26" s="20">
        <f>IFERROR(VLOOKUP($A26,subQ,MATCH(K$1,SUBQH,0),0),"")</f>
        <v/>
      </c>
      <c r="L26" s="20">
        <f>IFERROR(VLOOKUP($A26,subQ,MATCH(L$1,SUBQH,0),0),"")</f>
        <v/>
      </c>
    </row>
    <row r="27">
      <c r="A27" s="12" t="inlineStr">
        <is>
          <t>현금및현금성자산</t>
        </is>
      </c>
      <c r="D27" t="inlineStr">
        <is>
          <t>현금및현금성자산</t>
        </is>
      </c>
      <c r="E27" s="18">
        <f>IFERROR(VLOOKUP($A27,subQ,MATCH(E$1,SUBQH,0),0),"")</f>
        <v/>
      </c>
      <c r="F27" s="18">
        <f>IFERROR(VLOOKUP($A27,subQ,MATCH(F$1,SUBQH,0),0),"")</f>
        <v/>
      </c>
      <c r="G27" s="18">
        <f>IFERROR(VLOOKUP($A27,subQ,MATCH(G$1,SUBQH,0),0),"")</f>
        <v/>
      </c>
      <c r="H27" s="18">
        <f>IFERROR(VLOOKUP($A27,subQ,MATCH(H$1,SUBQH,0),0),"")</f>
        <v/>
      </c>
      <c r="I27" s="45">
        <f>IFERROR(VLOOKUP($A27,subQ,MATCH(I$1,SUBQH,0),0),"")</f>
        <v/>
      </c>
      <c r="J27" s="20">
        <f>IFERROR(VLOOKUP($A27,subQ,MATCH(J$1,SUBQH,0),0),"")</f>
        <v/>
      </c>
      <c r="K27" s="20">
        <f>IFERROR(VLOOKUP($A27,subQ,MATCH(K$1,SUBQH,0),0),"")</f>
        <v/>
      </c>
      <c r="L27" s="20">
        <f>IFERROR(VLOOKUP($A27,subQ,MATCH(L$1,SUBQH,0),0),"")</f>
        <v/>
      </c>
    </row>
    <row r="28">
      <c r="A28" s="12" t="inlineStr">
        <is>
          <t>CAPEX</t>
        </is>
      </c>
      <c r="D28" t="inlineStr">
        <is>
          <t>CAPEX</t>
        </is>
      </c>
      <c r="E28" s="18">
        <f>IFERROR(VLOOKUP($A28,subQ,MATCH(E$1,SUBQH,0),0),"")</f>
        <v/>
      </c>
      <c r="F28" s="18">
        <f>IFERROR(VLOOKUP($A28,subQ,MATCH(F$1,SUBQH,0),0),"")</f>
        <v/>
      </c>
      <c r="G28" s="18">
        <f>IFERROR(VLOOKUP($A28,subQ,MATCH(G$1,SUBQH,0),0),"")</f>
        <v/>
      </c>
      <c r="H28" s="18">
        <f>IFERROR(VLOOKUP($A28,subQ,MATCH(H$1,SUBQH,0),0),"")</f>
        <v/>
      </c>
      <c r="I28" s="45">
        <f>IFERROR(VLOOKUP($A28,subQ,MATCH(I$1,SUBQH,0),0),"")</f>
        <v/>
      </c>
      <c r="J28" s="20">
        <f>IFERROR(VLOOKUP($A28,subQ,MATCH(J$1,SUBQH,0),0),"")</f>
        <v/>
      </c>
      <c r="K28" s="20">
        <f>IFERROR(VLOOKUP($A28,subQ,MATCH(K$1,SUBQH,0),0),"")</f>
        <v/>
      </c>
      <c r="L28" s="20">
        <f>IFERROR(VLOOKUP($A28,subQ,MATCH(L$1,SUBQH,0),0),"")</f>
        <v/>
      </c>
    </row>
    <row r="29">
      <c r="A29" s="12" t="inlineStr">
        <is>
          <t>영업활동현금흐름</t>
        </is>
      </c>
      <c r="D29" t="inlineStr">
        <is>
          <t>영업활동현금흐름</t>
        </is>
      </c>
      <c r="E29" s="18">
        <f>IFERROR(VLOOKUP($A29,subQ,MATCH(E$1,SUBQH,0),0),"")</f>
        <v/>
      </c>
      <c r="F29" s="18">
        <f>IFERROR(VLOOKUP($A29,subQ,MATCH(F$1,SUBQH,0),0),"")</f>
        <v/>
      </c>
      <c r="G29" s="18">
        <f>IFERROR(VLOOKUP($A29,subQ,MATCH(G$1,SUBQH,0),0),"")</f>
        <v/>
      </c>
      <c r="H29" s="18">
        <f>IFERROR(VLOOKUP($A29,subQ,MATCH(H$1,SUBQH,0),0),"")</f>
        <v/>
      </c>
      <c r="I29" s="45">
        <f>IFERROR(VLOOKUP($A29,subQ,MATCH(I$1,SUBQH,0),0),"")</f>
        <v/>
      </c>
      <c r="J29" s="20">
        <f>IFERROR(VLOOKUP($A29,subQ,MATCH(J$1,SUBQH,0),0),"")</f>
        <v/>
      </c>
      <c r="K29" s="20">
        <f>IFERROR(VLOOKUP($A29,subQ,MATCH(K$1,SUBQH,0),0),"")</f>
        <v/>
      </c>
      <c r="L29" s="20">
        <f>IFERROR(VLOOKUP($A29,subQ,MATCH(L$1,SUBQH,0),0),"")</f>
        <v/>
      </c>
    </row>
    <row r="30">
      <c r="A30" s="12" t="inlineStr">
        <is>
          <t>주식수</t>
        </is>
      </c>
      <c r="D30" t="inlineStr">
        <is>
          <t>유통주식수</t>
        </is>
      </c>
      <c r="E30" s="27">
        <f>IFERROR(VLOOKUP($A30,subQ,MATCH(E$1,SUBQH,0),0),"")</f>
        <v/>
      </c>
      <c r="F30" s="27">
        <f>IFERROR(VLOOKUP($A30,subQ,MATCH(F$1,SUBQH,0),0),"")</f>
        <v/>
      </c>
      <c r="G30" s="27">
        <f>IFERROR(VLOOKUP($A30,subQ,MATCH(G$1,SUBQH,0),0),"")</f>
        <v/>
      </c>
      <c r="H30" s="27">
        <f>IFERROR(VLOOKUP($A30,subQ,MATCH(H$1,SUBQH,0),0),"")</f>
        <v/>
      </c>
      <c r="I30" s="47">
        <f>IFERROR(VLOOKUP($A30,subQ,MATCH(I$1,SUBQH,0),0),"")</f>
        <v/>
      </c>
      <c r="J30" s="33">
        <f>IFERROR(VLOOKUP($A30,subQ,MATCH(J$1,SUBQH,0),0),"")</f>
        <v/>
      </c>
      <c r="K30" s="33">
        <f>IFERROR(VLOOKUP($A30,subQ,MATCH(K$1,SUBQH,0),0),"")</f>
        <v/>
      </c>
      <c r="L30" s="33">
        <f>IFERROR(VLOOKUP($A30,subQ,MATCH(L$1,SUBQH,0),0),"")</f>
        <v/>
      </c>
    </row>
    <row r="31">
      <c r="A31" s="12" t="inlineStr">
        <is>
          <t>EPS</t>
        </is>
      </c>
      <c r="D31" t="inlineStr">
        <is>
          <t>EPS</t>
        </is>
      </c>
      <c r="E31" s="18">
        <f>IFERROR(VLOOKUP($A31,subQ,MATCH(E$1,SUBQH,0),0),"")</f>
        <v/>
      </c>
      <c r="F31" s="18">
        <f>IFERROR(VLOOKUP($A31,subQ,MATCH(F$1,SUBQH,0),0),"")</f>
        <v/>
      </c>
      <c r="G31" s="18">
        <f>IFERROR(VLOOKUP($A31,subQ,MATCH(G$1,SUBQH,0),0),"")</f>
        <v/>
      </c>
      <c r="H31" s="18">
        <f>IFERROR(VLOOKUP($A31,subQ,MATCH(H$1,SUBQH,0),0),"")</f>
        <v/>
      </c>
      <c r="I31" s="45">
        <f>IFERROR(VLOOKUP($A31,subQ,MATCH(I$1,SUBQH,0),0),"")</f>
        <v/>
      </c>
      <c r="J31" s="20">
        <f>IFERROR(VLOOKUP($A31,subQ,MATCH(J$1,SUBQH,0),0),"")</f>
        <v/>
      </c>
      <c r="K31" s="20">
        <f>IFERROR(VLOOKUP($A31,subQ,MATCH(K$1,SUBQH,0),0),"")</f>
        <v/>
      </c>
      <c r="L31" s="20">
        <f>IFERROR(VLOOKUP($A31,subQ,MATCH(L$1,SUBQH,0),0),"")</f>
        <v/>
      </c>
    </row>
    <row r="32">
      <c r="A32" s="12" t="inlineStr">
        <is>
          <t>조정EPS</t>
        </is>
      </c>
      <c r="D32" t="inlineStr">
        <is>
          <t>조정 EPS(일회성 의심 분기의 초과 비영업손익 세후 차감 — 모델 추정)</t>
        </is>
      </c>
      <c r="E32" s="18">
        <f>IFERROR(VLOOKUP($A32,subQ,MATCH(E$1,SUBQH,0),0),"")</f>
        <v/>
      </c>
      <c r="F32" s="18">
        <f>IFERROR(VLOOKUP($A32,subQ,MATCH(F$1,SUBQH,0),0),"")</f>
        <v/>
      </c>
      <c r="G32" s="18">
        <f>IFERROR(VLOOKUP($A32,subQ,MATCH(G$1,SUBQH,0),0),"")</f>
        <v/>
      </c>
      <c r="H32" s="18">
        <f>IFERROR(VLOOKUP($A32,subQ,MATCH(H$1,SUBQH,0),0),"")</f>
        <v/>
      </c>
      <c r="I32" s="45">
        <f>IFERROR(VLOOKUP($A32,subQ,MATCH(I$1,SUBQH,0),0),"")</f>
        <v/>
      </c>
      <c r="J32" s="20">
        <f>IFERROR(VLOOKUP($A32,subQ,MATCH(J$1,SUBQH,0),0),"")</f>
        <v/>
      </c>
      <c r="K32" s="20">
        <f>IFERROR(VLOOKUP($A32,subQ,MATCH(K$1,SUBQH,0),0),"")</f>
        <v/>
      </c>
      <c r="L32" s="20">
        <f>IFERROR(VLOOKUP($A32,subQ,MATCH(L$1,SUBQH,0),0),"")</f>
        <v/>
      </c>
    </row>
    <row r="33">
      <c r="A33" s="12" t="inlineStr">
        <is>
          <t>BPS</t>
        </is>
      </c>
      <c r="D33" t="inlineStr">
        <is>
          <t>BPS</t>
        </is>
      </c>
      <c r="E33" s="18">
        <f>IFERROR(VLOOKUP($A33,subQ,MATCH(E$1,SUBQH,0),0),"")</f>
        <v/>
      </c>
      <c r="F33" s="18">
        <f>IFERROR(VLOOKUP($A33,subQ,MATCH(F$1,SUBQH,0),0),"")</f>
        <v/>
      </c>
      <c r="G33" s="18">
        <f>IFERROR(VLOOKUP($A33,subQ,MATCH(G$1,SUBQH,0),0),"")</f>
        <v/>
      </c>
      <c r="H33" s="18">
        <f>IFERROR(VLOOKUP($A33,subQ,MATCH(H$1,SUBQH,0),0),"")</f>
        <v/>
      </c>
      <c r="I33" s="45">
        <f>IFERROR(VLOOKUP($A33,subQ,MATCH(I$1,SUBQH,0),0),"")</f>
        <v/>
      </c>
      <c r="J33" s="20">
        <f>IFERROR(VLOOKUP($A33,subQ,MATCH(J$1,SUBQH,0),0),"")</f>
        <v/>
      </c>
      <c r="K33" s="20">
        <f>IFERROR(VLOOKUP($A33,subQ,MATCH(K$1,SUBQH,0),0),"")</f>
        <v/>
      </c>
      <c r="L33" s="20">
        <f>IFERROR(VLOOKUP($A33,subQ,MATCH(L$1,SUBQH,0),0),"")</f>
        <v/>
      </c>
    </row>
    <row r="34">
      <c r="A34" s="12" t="inlineStr">
        <is>
          <t>DPS</t>
        </is>
      </c>
      <c r="D34" t="inlineStr">
        <is>
          <t>DPS(보통주)</t>
        </is>
      </c>
      <c r="E34" s="18">
        <f>IFERROR(VLOOKUP($A34,subQ,MATCH(E$1,SUBQH,0),0),"")</f>
        <v/>
      </c>
      <c r="F34" s="18">
        <f>IFERROR(VLOOKUP($A34,subQ,MATCH(F$1,SUBQH,0),0),"")</f>
        <v/>
      </c>
      <c r="G34" s="18">
        <f>IFERROR(VLOOKUP($A34,subQ,MATCH(G$1,SUBQH,0),0),"")</f>
        <v/>
      </c>
      <c r="H34" s="18">
        <f>IFERROR(VLOOKUP($A34,subQ,MATCH(H$1,SUBQH,0),0),"")</f>
        <v/>
      </c>
      <c r="I34" s="45">
        <f>IFERROR(VLOOKUP($A34,subQ,MATCH(I$1,SUBQH,0),0),"")</f>
        <v/>
      </c>
      <c r="J34" s="20">
        <f>IFERROR(VLOOKUP($A34,subQ,MATCH(J$1,SUBQH,0),0),"")</f>
        <v/>
      </c>
      <c r="K34" s="20">
        <f>IFERROR(VLOOKUP($A34,subQ,MATCH(K$1,SUBQH,0),0),"")</f>
        <v/>
      </c>
      <c r="L34" s="20">
        <f>IFERROR(VLOOKUP($A34,subQ,MATCH(L$1,SUBQH,0),0),"")</f>
        <v/>
      </c>
    </row>
    <row r="35">
      <c r="A35" s="12" t="inlineStr">
        <is>
          <t>PER</t>
        </is>
      </c>
      <c r="D35" t="inlineStr">
        <is>
          <t>PER</t>
        </is>
      </c>
      <c r="E35" s="13">
        <f>IFERROR(VLOOKUP($A35,subQ,MATCH(E$1,SUBQH,0),0),"")</f>
        <v/>
      </c>
      <c r="F35" s="13">
        <f>IFERROR(VLOOKUP($A35,subQ,MATCH(F$1,SUBQH,0),0),"")</f>
        <v/>
      </c>
      <c r="G35" s="13">
        <f>IFERROR(VLOOKUP($A35,subQ,MATCH(G$1,SUBQH,0),0),"")</f>
        <v/>
      </c>
      <c r="H35" s="13">
        <f>IFERROR(VLOOKUP($A35,subQ,MATCH(H$1,SUBQH,0),0),"")</f>
        <v/>
      </c>
      <c r="I35" s="48">
        <f>IFERROR(VLOOKUP($A35,subQ,MATCH(I$1,SUBQH,0),0),"")</f>
        <v/>
      </c>
      <c r="J35" s="39">
        <f>IFERROR(VLOOKUP($A35,subQ,MATCH(J$1,SUBQH,0),0),"")</f>
        <v/>
      </c>
      <c r="K35" s="39">
        <f>IFERROR(VLOOKUP($A35,subQ,MATCH(K$1,SUBQH,0),0),"")</f>
        <v/>
      </c>
      <c r="L35" s="39">
        <f>IFERROR(VLOOKUP($A35,subQ,MATCH(L$1,SUBQH,0),0),"")</f>
        <v/>
      </c>
    </row>
    <row r="36">
      <c r="A36" s="12" t="inlineStr">
        <is>
          <t>PBR</t>
        </is>
      </c>
      <c r="D36" t="inlineStr">
        <is>
          <t>PBR</t>
        </is>
      </c>
      <c r="E36" s="13">
        <f>IFERROR(VLOOKUP($A36,subQ,MATCH(E$1,SUBQH,0),0),"")</f>
        <v/>
      </c>
      <c r="F36" s="13">
        <f>IFERROR(VLOOKUP($A36,subQ,MATCH(F$1,SUBQH,0),0),"")</f>
        <v/>
      </c>
      <c r="G36" s="13">
        <f>IFERROR(VLOOKUP($A36,subQ,MATCH(G$1,SUBQH,0),0),"")</f>
        <v/>
      </c>
      <c r="H36" s="13">
        <f>IFERROR(VLOOKUP($A36,subQ,MATCH(H$1,SUBQH,0),0),"")</f>
        <v/>
      </c>
      <c r="I36" s="48">
        <f>IFERROR(VLOOKUP($A36,subQ,MATCH(I$1,SUBQH,0),0),"")</f>
        <v/>
      </c>
      <c r="J36" s="39">
        <f>IFERROR(VLOOKUP($A36,subQ,MATCH(J$1,SUBQH,0),0),"")</f>
        <v/>
      </c>
      <c r="K36" s="39">
        <f>IFERROR(VLOOKUP($A36,subQ,MATCH(K$1,SUBQH,0),0),"")</f>
        <v/>
      </c>
      <c r="L36" s="39">
        <f>IFERROR(VLOOKUP($A36,subQ,MATCH(L$1,SUBQH,0),0),"")</f>
        <v/>
      </c>
    </row>
    <row r="37">
      <c r="A37" s="12" t="inlineStr">
        <is>
          <t>매출전사</t>
        </is>
      </c>
      <c r="D37" t="inlineStr">
        <is>
          <t>매출 전사(부문 미분리)</t>
        </is>
      </c>
      <c r="E37" s="18">
        <f>IFERROR(VLOOKUP($A37,subQ,MATCH(E$1,SUBQH,0),0),"")</f>
        <v/>
      </c>
      <c r="F37" s="18">
        <f>IFERROR(VLOOKUP($A37,subQ,MATCH(F$1,SUBQH,0),0),"")</f>
        <v/>
      </c>
      <c r="G37" s="18">
        <f>IFERROR(VLOOKUP($A37,subQ,MATCH(G$1,SUBQH,0),0),"")</f>
        <v/>
      </c>
      <c r="H37" s="18">
        <f>IFERROR(VLOOKUP($A37,subQ,MATCH(H$1,SUBQH,0),0),"")</f>
        <v/>
      </c>
      <c r="I37" s="45">
        <f>IFERROR(VLOOKUP($A37,subQ,MATCH(I$1,SUBQH,0),0),"")</f>
        <v/>
      </c>
      <c r="J37" s="20">
        <f>IFERROR(VLOOKUP($A37,subQ,MATCH(J$1,SUBQH,0),0),"")</f>
        <v/>
      </c>
      <c r="K37" s="20">
        <f>IFERROR(VLOOKUP($A37,subQ,MATCH(K$1,SUBQH,0),0),"")</f>
        <v/>
      </c>
      <c r="L37" s="20">
        <f>IFERROR(VLOOKUP($A37,subQ,MATCH(L$1,SUBQH,0),0),"")</f>
        <v/>
      </c>
    </row>
    <row r="38">
      <c r="A38" s="12" t="inlineStr">
        <is>
          <t>OP전사</t>
        </is>
      </c>
      <c r="D38" t="inlineStr">
        <is>
          <t>OP 전사(부문 미분리)</t>
        </is>
      </c>
      <c r="E38" s="18">
        <f>IFERROR(VLOOKUP($A38,subQ,MATCH(E$1,SUBQH,0),0),"")</f>
        <v/>
      </c>
      <c r="F38" s="18">
        <f>IFERROR(VLOOKUP($A38,subQ,MATCH(F$1,SUBQH,0),0),"")</f>
        <v/>
      </c>
      <c r="G38" s="18">
        <f>IFERROR(VLOOKUP($A38,subQ,MATCH(G$1,SUBQH,0),0),"")</f>
        <v/>
      </c>
      <c r="H38" s="18">
        <f>IFERROR(VLOOKUP($A38,subQ,MATCH(H$1,SUBQH,0),0),"")</f>
        <v/>
      </c>
      <c r="I38" s="45">
        <f>IFERROR(VLOOKUP($A38,subQ,MATCH(I$1,SUBQH,0),0),"")</f>
        <v/>
      </c>
      <c r="J38" s="20">
        <f>IFERROR(VLOOKUP($A38,subQ,MATCH(J$1,SUBQH,0),0),"")</f>
        <v/>
      </c>
      <c r="K38" s="20">
        <f>IFERROR(VLOOKUP($A38,subQ,MATCH(K$1,SUBQH,0),0),"")</f>
        <v/>
      </c>
      <c r="L38" s="20">
        <f>IFERROR(VLOOKUP($A38,subQ,MATCH(L$1,SUBQH,0),0),"")</f>
        <v/>
      </c>
    </row>
    <row r="39">
      <c r="A39" s="12" t="inlineStr">
        <is>
          <t>NPM</t>
        </is>
      </c>
      <c r="D39" t="inlineStr">
        <is>
          <t>NPM</t>
        </is>
      </c>
      <c r="E39" s="21">
        <f>IFERROR(VLOOKUP($A39,subQ,MATCH(E$1,SUBQH,0),0),"")</f>
        <v/>
      </c>
      <c r="F39" s="21">
        <f>IFERROR(VLOOKUP($A39,subQ,MATCH(F$1,SUBQH,0),0),"")</f>
        <v/>
      </c>
      <c r="G39" s="21">
        <f>IFERROR(VLOOKUP($A39,subQ,MATCH(G$1,SUBQH,0),0),"")</f>
        <v/>
      </c>
      <c r="H39" s="21">
        <f>IFERROR(VLOOKUP($A39,subQ,MATCH(H$1,SUBQH,0),0),"")</f>
        <v/>
      </c>
      <c r="I39" s="46">
        <f>IFERROR(VLOOKUP($A39,subQ,MATCH(I$1,SUBQH,0),0),"")</f>
        <v/>
      </c>
      <c r="J39" s="32">
        <f>IFERROR(VLOOKUP($A39,subQ,MATCH(J$1,SUBQH,0),0),"")</f>
        <v/>
      </c>
      <c r="K39" s="32">
        <f>IFERROR(VLOOKUP($A39,subQ,MATCH(K$1,SUBQH,0),0),"")</f>
        <v/>
      </c>
      <c r="L39" s="32">
        <f>IFERROR(VLOOKUP($A39,subQ,MATCH(L$1,SUBQH,0),0),"")</f>
        <v/>
      </c>
    </row>
    <row r="40">
      <c r="A40" s="12" t="inlineStr">
        <is>
          <t>매출액 YoY</t>
        </is>
      </c>
      <c r="D40" t="inlineStr">
        <is>
          <t>매출액 YoY</t>
        </is>
      </c>
      <c r="F40" s="21">
        <f>IFERROR(F5/E5-1,"")</f>
        <v/>
      </c>
      <c r="G40" s="21">
        <f>IFERROR(G5/F5-1,"")</f>
        <v/>
      </c>
      <c r="H40" s="21">
        <f>IFERROR(H5/G5-1,"")</f>
        <v/>
      </c>
      <c r="I40" s="46">
        <f>IFERROR(I5/H5-1,"")</f>
        <v/>
      </c>
      <c r="J40" s="32">
        <f>IFERROR(J5/I5-1,"")</f>
        <v/>
      </c>
      <c r="K40" s="32">
        <f>IFERROR(K5/J5-1,"")</f>
        <v/>
      </c>
      <c r="L40" s="32">
        <f>IFERROR(L5/K5-1,"")</f>
        <v/>
      </c>
    </row>
    <row r="41">
      <c r="A41" s="12" t="inlineStr">
        <is>
          <t>영업이익 YoY</t>
        </is>
      </c>
      <c r="D41" t="inlineStr">
        <is>
          <t>영업이익 YoY</t>
        </is>
      </c>
      <c r="F41" s="21">
        <f>IFERROR(F9/E9-1,"")</f>
        <v/>
      </c>
      <c r="G41" s="21">
        <f>IFERROR(G9/F9-1,"")</f>
        <v/>
      </c>
      <c r="H41" s="21">
        <f>IFERROR(H9/G9-1,"")</f>
        <v/>
      </c>
      <c r="I41" s="46">
        <f>IFERROR(I9/H9-1,"")</f>
        <v/>
      </c>
      <c r="J41" s="32">
        <f>IFERROR(J9/I9-1,"")</f>
        <v/>
      </c>
      <c r="K41" s="32">
        <f>IFERROR(K9/J9-1,"")</f>
        <v/>
      </c>
      <c r="L41" s="32">
        <f>IFERROR(L9/K9-1,"")</f>
        <v/>
      </c>
    </row>
    <row r="42">
      <c r="A42" s="12" t="inlineStr">
        <is>
          <t>지배주주순이익 YoY</t>
        </is>
      </c>
      <c r="D42" t="inlineStr">
        <is>
          <t>지배주주순이익 YoY</t>
        </is>
      </c>
      <c r="F42" s="21">
        <f>IFERROR(F19/E19-1,"")</f>
        <v/>
      </c>
      <c r="G42" s="21">
        <f>IFERROR(G19/F19-1,"")</f>
        <v/>
      </c>
      <c r="H42" s="21">
        <f>IFERROR(H19/G19-1,"")</f>
        <v/>
      </c>
      <c r="I42" s="46">
        <f>IFERROR(I19/H19-1,"")</f>
        <v/>
      </c>
      <c r="J42" s="32">
        <f>IFERROR(J19/I19-1,"")</f>
        <v/>
      </c>
      <c r="K42" s="32">
        <f>IFERROR(K19/J19-1,"")</f>
        <v/>
      </c>
      <c r="L42" s="32">
        <f>IFERROR(L19/K19-1,"")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G37"/>
  <sheetViews>
    <sheetView workbookViewId="0">
      <selection activeCell="A1" sqref="A1"/>
    </sheetView>
  </sheetViews>
  <sheetFormatPr baseColWidth="8" defaultRowHeight="15"/>
  <cols>
    <col width="34" customWidth="1" min="3" max="3"/>
  </cols>
  <sheetData>
    <row r="1">
      <c r="B1" s="1" t="inlineStr">
        <is>
          <t>종가</t>
        </is>
      </c>
      <c r="C1" s="18">
        <f>변수!D42</f>
        <v/>
      </c>
    </row>
    <row r="2">
      <c r="B2" s="1" t="inlineStr">
        <is>
          <t>기준일</t>
        </is>
      </c>
      <c r="C2">
        <f>변수!D43</f>
        <v/>
      </c>
    </row>
    <row r="3">
      <c r="B3" s="2" t="inlineStr">
        <is>
          <t>모델 산출값 — 목표주가·추천 아님. 밴드·COE 는 변수 시트 3절의 가정</t>
        </is>
      </c>
    </row>
    <row r="5">
      <c r="C5" s="1" t="inlineStr">
        <is>
          <t>FY</t>
        </is>
      </c>
      <c r="D5" s="49" t="n">
        <v>2025</v>
      </c>
      <c r="E5" s="49" t="n">
        <v>2026</v>
      </c>
      <c r="F5" s="49" t="n">
        <v>2027</v>
      </c>
      <c r="G5" s="49" t="n">
        <v>2028</v>
      </c>
    </row>
    <row r="6">
      <c r="D6" s="2" t="inlineStr">
        <is>
          <t>A</t>
        </is>
      </c>
      <c r="E6" s="2" t="inlineStr">
        <is>
          <t>E</t>
        </is>
      </c>
      <c r="F6" s="2" t="inlineStr">
        <is>
          <t>E</t>
        </is>
      </c>
      <c r="G6" s="2" t="inlineStr">
        <is>
          <t>E</t>
        </is>
      </c>
    </row>
    <row r="7">
      <c r="C7" t="inlineStr">
        <is>
          <t>EPS(원)</t>
        </is>
      </c>
      <c r="D7" s="18">
        <f>IFERROR(VLOOKUP("EPS",subQ,MATCH(D$5,SUBQH,0),0),"")</f>
        <v/>
      </c>
      <c r="E7" s="18">
        <f>IFERROR(VLOOKUP("EPS",subQ,MATCH(E$5,SUBQH,0),0),"")</f>
        <v/>
      </c>
      <c r="F7" s="18">
        <f>IFERROR(VLOOKUP("EPS",subQ,MATCH(F$5,SUBQH,0),0),"")</f>
        <v/>
      </c>
      <c r="G7" s="18">
        <f>IFERROR(VLOOKUP("EPS",subQ,MATCH(G$5,SUBQH,0),0),"")</f>
        <v/>
      </c>
    </row>
    <row r="8">
      <c r="C8" t="inlineStr">
        <is>
          <t>BPS(원)</t>
        </is>
      </c>
      <c r="D8" s="18">
        <f>IFERROR(VLOOKUP("BPS",subQ,MATCH(D$5,SUBQH,0),0),"")</f>
        <v/>
      </c>
      <c r="E8" s="18">
        <f>IFERROR(VLOOKUP("BPS",subQ,MATCH(E$5,SUBQH,0),0),"")</f>
        <v/>
      </c>
      <c r="F8" s="18">
        <f>IFERROR(VLOOKUP("BPS",subQ,MATCH(F$5,SUBQH,0),0),"")</f>
        <v/>
      </c>
      <c r="G8" s="18">
        <f>IFERROR(VLOOKUP("BPS",subQ,MATCH(G$5,SUBQH,0),0),"")</f>
        <v/>
      </c>
    </row>
    <row r="9">
      <c r="C9" t="inlineStr">
        <is>
          <t>지배주주순이익(억원)</t>
        </is>
      </c>
      <c r="D9" s="18">
        <f>IFERROR(VLOOKUP("지배주주순이익",subQ,MATCH(D$5,SUBQH,0),0),"")</f>
        <v/>
      </c>
      <c r="E9" s="18">
        <f>IFERROR(VLOOKUP("지배주주순이익",subQ,MATCH(E$5,SUBQH,0),0),"")</f>
        <v/>
      </c>
      <c r="F9" s="18">
        <f>IFERROR(VLOOKUP("지배주주순이익",subQ,MATCH(F$5,SUBQH,0),0),"")</f>
        <v/>
      </c>
      <c r="G9" s="18">
        <f>IFERROR(VLOOKUP("지배주주순이익",subQ,MATCH(G$5,SUBQH,0),0),"")</f>
        <v/>
      </c>
    </row>
    <row r="10">
      <c r="C10" t="inlineStr">
        <is>
          <t>영업이익(억원)</t>
        </is>
      </c>
      <c r="D10" s="18">
        <f>IFERROR(VLOOKUP("영업이익",subQ,MATCH(D$5,SUBQH,0),0),"")</f>
        <v/>
      </c>
      <c r="E10" s="18">
        <f>IFERROR(VLOOKUP("영업이익",subQ,MATCH(E$5,SUBQH,0),0),"")</f>
        <v/>
      </c>
      <c r="F10" s="18">
        <f>IFERROR(VLOOKUP("영업이익",subQ,MATCH(F$5,SUBQH,0),0),"")</f>
        <v/>
      </c>
      <c r="G10" s="18">
        <f>IFERROR(VLOOKUP("영업이익",subQ,MATCH(G$5,SUBQH,0),0),"")</f>
        <v/>
      </c>
    </row>
    <row r="11">
      <c r="C11" t="inlineStr">
        <is>
          <t>ROE(EPS/기초BPS)</t>
        </is>
      </c>
      <c r="E11" s="21">
        <f>IFERROR(E7/D8,"")</f>
        <v/>
      </c>
      <c r="F11" s="21">
        <f>IFERROR(F7/E8,"")</f>
        <v/>
      </c>
      <c r="G11" s="21">
        <f>IFERROR(G7/F8,"")</f>
        <v/>
      </c>
    </row>
    <row r="13">
      <c r="B13" s="1" t="inlineStr">
        <is>
          <t>PER</t>
        </is>
      </c>
    </row>
    <row r="14">
      <c r="C14" t="inlineStr">
        <is>
          <t>12M fwd EPS</t>
        </is>
      </c>
      <c r="D14" s="18">
        <f>IFERROR(E7*변수!D48+F7*(1-변수!D48),"")</f>
        <v/>
      </c>
    </row>
    <row r="15">
      <c r="C15" t="inlineStr">
        <is>
          <t>적정가치 @PER_lo</t>
        </is>
      </c>
      <c r="D15" s="27">
        <f>변수!D45</f>
        <v/>
      </c>
      <c r="E15" s="18">
        <f>IFERROR(ROUND($D$14*D15,-2),"")</f>
        <v/>
      </c>
      <c r="F15" s="21">
        <f>IFERROR(E15/$C$1-1,"")</f>
        <v/>
      </c>
      <c r="G15" s="2" t="inlineStr">
        <is>
          <t>배 · 원 · 종가 대비</t>
        </is>
      </c>
    </row>
    <row r="16">
      <c r="C16" t="inlineStr">
        <is>
          <t>적정가치 @PER_mid</t>
        </is>
      </c>
      <c r="D16" s="27">
        <f>변수!D46</f>
        <v/>
      </c>
      <c r="E16" s="18">
        <f>IFERROR(ROUND($D$14*D16,-2),"")</f>
        <v/>
      </c>
      <c r="F16" s="21">
        <f>IFERROR(E16/$C$1-1,"")</f>
        <v/>
      </c>
      <c r="G16" s="2" t="inlineStr">
        <is>
          <t>배 · 원 · 종가 대비</t>
        </is>
      </c>
    </row>
    <row r="17">
      <c r="C17" t="inlineStr">
        <is>
          <t>적정가치 @PER_hi</t>
        </is>
      </c>
      <c r="D17" s="27">
        <f>변수!D47</f>
        <v/>
      </c>
      <c r="E17" s="18">
        <f>IFERROR(ROUND($D$14*D17,-2),"")</f>
        <v/>
      </c>
      <c r="F17" s="21">
        <f>IFERROR(E17/$C$1-1,"")</f>
        <v/>
      </c>
      <c r="G17" s="2" t="inlineStr">
        <is>
          <t>배 · 원 · 종가 대비</t>
        </is>
      </c>
    </row>
    <row r="18">
      <c r="C18" t="inlineStr">
        <is>
          <t>현재 PER(종가/12M fwd EPS)</t>
        </is>
      </c>
      <c r="D18" s="27">
        <f>IFERROR($C$1/$D$14,"")</f>
        <v/>
      </c>
    </row>
    <row r="20">
      <c r="B20" s="1" t="inlineStr">
        <is>
          <t>PBR</t>
        </is>
      </c>
    </row>
    <row r="21">
      <c r="C21" t="inlineStr">
        <is>
          <t>최근 BPS(마지막 실적 분기)</t>
        </is>
      </c>
      <c r="D21" s="18">
        <f>IFERROR(VLOOKUP("BPS",subQ,MATCH("2Q26",SUBQH,0),0),"")</f>
        <v/>
      </c>
    </row>
    <row r="22">
      <c r="C22" t="inlineStr">
        <is>
          <t>ROE fwd(12M fwd EPS / BPS)</t>
        </is>
      </c>
      <c r="D22" s="21">
        <f>IFERROR($D$14/$D$21,"")</f>
        <v/>
      </c>
    </row>
    <row r="23">
      <c r="C23" t="inlineStr">
        <is>
          <t>COE</t>
        </is>
      </c>
      <c r="D23" s="21">
        <f>변수!D44</f>
        <v/>
      </c>
    </row>
    <row r="24">
      <c r="C24" t="inlineStr">
        <is>
          <t>적정 PBR = ROE/COE</t>
        </is>
      </c>
      <c r="D24" s="13">
        <f>IFERROR(D22/D23,"")</f>
        <v/>
      </c>
    </row>
    <row r="25">
      <c r="C25" t="inlineStr">
        <is>
          <t>적정가치(PBR) = BPS × 적정PBR</t>
        </is>
      </c>
      <c r="D25" s="18">
        <f>IFERROR(ROUND(D21*D24,-2),"")</f>
        <v/>
      </c>
      <c r="E25" s="21">
        <f>IFERROR(D25/$C$1-1,"")</f>
        <v/>
      </c>
    </row>
    <row r="26">
      <c r="C26" t="inlineStr">
        <is>
          <t>현재 PBR(종가/BPS)</t>
        </is>
      </c>
      <c r="D26" s="13">
        <f>IFERROR($C$1/D21,"")</f>
        <v/>
      </c>
    </row>
    <row r="28">
      <c r="B28" s="2" t="inlineStr">
        <is>
          <t>모델 json valuation(참고)</t>
        </is>
      </c>
    </row>
    <row r="29">
      <c r="C29" s="2" t="inlineStr">
        <is>
          <t>eps_fwd12m</t>
        </is>
      </c>
      <c r="D29" t="n">
        <v>173.1</v>
      </c>
    </row>
    <row r="30">
      <c r="C30" s="2" t="inlineStr">
        <is>
          <t>bps_latest</t>
        </is>
      </c>
      <c r="D30" t="n">
        <v>7576.5</v>
      </c>
    </row>
    <row r="31">
      <c r="C31" s="2" t="inlineStr">
        <is>
          <t>per_now</t>
        </is>
      </c>
      <c r="D31" t="n">
        <v>8.710000000000001</v>
      </c>
    </row>
    <row r="32">
      <c r="C32" s="2" t="inlineStr">
        <is>
          <t>pbr_now</t>
        </is>
      </c>
      <c r="D32" t="n">
        <v>0.2</v>
      </c>
    </row>
    <row r="33">
      <c r="C33" s="2" t="inlineStr">
        <is>
          <t>roe_fwd</t>
        </is>
      </c>
      <c r="D33" t="n">
        <v>0.0228</v>
      </c>
    </row>
    <row r="34">
      <c r="C34" s="2" t="inlineStr">
        <is>
          <t>fair_pbr</t>
        </is>
      </c>
      <c r="D34" t="n">
        <v>0.25</v>
      </c>
    </row>
    <row r="35">
      <c r="C35" s="2" t="inlineStr">
        <is>
          <t>fair_value_pbr</t>
        </is>
      </c>
      <c r="D35" t="n">
        <v>1900</v>
      </c>
    </row>
    <row r="36">
      <c r="C36" s="2" t="inlineStr">
        <is>
          <t>ev_ebitda</t>
        </is>
      </c>
    </row>
    <row r="37">
      <c r="C37" s="2" t="inlineStr">
        <is>
          <t>note</t>
        </is>
      </c>
      <c r="D37" t="inlineStr">
        <is>
          <t>모델 산출값 — 목표주가·추천 아님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</cols>
  <sheetData>
    <row r="1">
      <c r="C1" s="2" t="inlineStr">
        <is>
          <t>이름: 외화QH — 환율 QoQ · 외화 순노출 × Δ기말환율</t>
        </is>
      </c>
      <c r="E1" s="3" t="inlineStr">
        <is>
          <t>4Q21</t>
        </is>
      </c>
      <c r="F1" s="3" t="inlineStr">
        <is>
          <t>1Q22</t>
        </is>
      </c>
      <c r="G1" s="3" t="inlineStr">
        <is>
          <t>2Q22</t>
        </is>
      </c>
      <c r="H1" s="3" t="inlineStr">
        <is>
          <t>3Q22</t>
        </is>
      </c>
      <c r="I1" s="3" t="inlineStr">
        <is>
          <t>4Q22</t>
        </is>
      </c>
      <c r="J1" s="3" t="inlineStr">
        <is>
          <t>1Q23</t>
        </is>
      </c>
      <c r="K1" s="3" t="inlineStr">
        <is>
          <t>2Q23</t>
        </is>
      </c>
      <c r="L1" s="3" t="inlineStr">
        <is>
          <t>3Q23</t>
        </is>
      </c>
      <c r="M1" s="3" t="inlineStr">
        <is>
          <t>4Q23</t>
        </is>
      </c>
      <c r="N1" s="3" t="inlineStr">
        <is>
          <t>1Q24</t>
        </is>
      </c>
      <c r="O1" s="3" t="inlineStr">
        <is>
          <t>2Q24</t>
        </is>
      </c>
      <c r="P1" s="3" t="inlineStr">
        <is>
          <t>3Q24</t>
        </is>
      </c>
      <c r="Q1" s="3" t="inlineStr">
        <is>
          <t>4Q24</t>
        </is>
      </c>
      <c r="R1" s="3" t="inlineStr">
        <is>
          <t>1Q25</t>
        </is>
      </c>
      <c r="S1" s="3" t="inlineStr">
        <is>
          <t>2Q25</t>
        </is>
      </c>
      <c r="T1" s="3" t="inlineStr">
        <is>
          <t>3Q25</t>
        </is>
      </c>
      <c r="U1" s="3" t="inlineStr">
        <is>
          <t>4Q25</t>
        </is>
      </c>
      <c r="V1" s="3" t="inlineStr">
        <is>
          <t>1Q26</t>
        </is>
      </c>
      <c r="W1" s="3" t="inlineStr">
        <is>
          <t>2Q26</t>
        </is>
      </c>
      <c r="X1" s="3" t="inlineStr">
        <is>
          <t>3Q26</t>
        </is>
      </c>
      <c r="Y1" s="3" t="inlineStr">
        <is>
          <t>4Q26</t>
        </is>
      </c>
      <c r="Z1" s="3" t="inlineStr">
        <is>
          <t>1Q27</t>
        </is>
      </c>
      <c r="AA1" s="3" t="inlineStr">
        <is>
          <t>2Q27</t>
        </is>
      </c>
      <c r="AB1" s="3" t="inlineStr">
        <is>
          <t>3Q27</t>
        </is>
      </c>
      <c r="AC1" s="3" t="inlineStr">
        <is>
          <t>4Q27</t>
        </is>
      </c>
      <c r="AD1" s="3" t="inlineStr">
        <is>
          <t>1Q28</t>
        </is>
      </c>
      <c r="AE1" s="3" t="inlineStr">
        <is>
          <t>2Q28</t>
        </is>
      </c>
      <c r="AF1" s="3" t="inlineStr">
        <is>
          <t>3Q28</t>
        </is>
      </c>
      <c r="AG1" s="3" t="inlineStr">
        <is>
          <t>4Q28</t>
        </is>
      </c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2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</row>
    <row r="4">
      <c r="E4" s="7" t="inlineStr">
        <is>
          <t>2021.12</t>
        </is>
      </c>
      <c r="F4" s="7" t="inlineStr">
        <is>
          <t>2022.03</t>
        </is>
      </c>
      <c r="G4" s="7" t="inlineStr">
        <is>
          <t>2022.06</t>
        </is>
      </c>
      <c r="H4" s="7" t="inlineStr">
        <is>
          <t>2022.09</t>
        </is>
      </c>
      <c r="I4" s="7" t="inlineStr">
        <is>
          <t>2022.12</t>
        </is>
      </c>
      <c r="J4" s="7" t="inlineStr">
        <is>
          <t>2023.03</t>
        </is>
      </c>
      <c r="K4" s="7" t="inlineStr">
        <is>
          <t>2023.06</t>
        </is>
      </c>
      <c r="L4" s="7" t="inlineStr">
        <is>
          <t>2023.09</t>
        </is>
      </c>
      <c r="M4" s="7" t="inlineStr">
        <is>
          <t>2023.12</t>
        </is>
      </c>
      <c r="N4" s="7" t="inlineStr">
        <is>
          <t>2024.03</t>
        </is>
      </c>
      <c r="O4" s="7" t="inlineStr">
        <is>
          <t>2024.06</t>
        </is>
      </c>
      <c r="P4" s="7" t="inlineStr">
        <is>
          <t>2024.09</t>
        </is>
      </c>
      <c r="Q4" s="7" t="inlineStr">
        <is>
          <t>2024.12</t>
        </is>
      </c>
      <c r="R4" s="7" t="inlineStr">
        <is>
          <t>2025.03</t>
        </is>
      </c>
      <c r="S4" s="7" t="inlineStr">
        <is>
          <t>2025.06</t>
        </is>
      </c>
      <c r="T4" s="7" t="inlineStr">
        <is>
          <t>2025.09</t>
        </is>
      </c>
      <c r="U4" s="7" t="inlineStr">
        <is>
          <t>2025.12</t>
        </is>
      </c>
      <c r="V4" s="7" t="inlineStr">
        <is>
          <t>2026.03</t>
        </is>
      </c>
      <c r="W4" s="7" t="inlineStr">
        <is>
          <t>2026.06</t>
        </is>
      </c>
      <c r="X4" s="7" t="inlineStr">
        <is>
          <t>2026.09</t>
        </is>
      </c>
      <c r="Y4" s="7" t="inlineStr">
        <is>
          <t>2026.12</t>
        </is>
      </c>
      <c r="Z4" s="7" t="inlineStr">
        <is>
          <t>2027.03</t>
        </is>
      </c>
      <c r="AA4" s="7" t="inlineStr">
        <is>
          <t>2027.06</t>
        </is>
      </c>
      <c r="AB4" s="7" t="inlineStr">
        <is>
          <t>2027.09</t>
        </is>
      </c>
      <c r="AC4" s="7" t="inlineStr">
        <is>
          <t>2027.12</t>
        </is>
      </c>
      <c r="AD4" s="7" t="inlineStr">
        <is>
          <t>2028.03</t>
        </is>
      </c>
      <c r="AE4" s="7" t="inlineStr">
        <is>
          <t>2028.06</t>
        </is>
      </c>
      <c r="AF4" s="7" t="inlineStr">
        <is>
          <t>2028.09</t>
        </is>
      </c>
      <c r="AG4" s="7" t="inlineStr">
        <is>
          <t>2028.12</t>
        </is>
      </c>
    </row>
    <row r="5">
      <c r="D5" t="inlineStr">
        <is>
          <t xml:space="preserve"> 원/달러(평균)</t>
        </is>
      </c>
      <c r="E5" s="13">
        <f>IFERROR(VLOOKUP($D5,환율,MATCH(E$1,변수H,0),0),"")</f>
        <v/>
      </c>
      <c r="F5" s="13">
        <f>IFERROR(VLOOKUP($D5,환율,MATCH(F$1,변수H,0),0),"")</f>
        <v/>
      </c>
      <c r="G5" s="13">
        <f>IFERROR(VLOOKUP($D5,환율,MATCH(G$1,변수H,0),0),"")</f>
        <v/>
      </c>
      <c r="H5" s="13">
        <f>IFERROR(VLOOKUP($D5,환율,MATCH(H$1,변수H,0),0),"")</f>
        <v/>
      </c>
      <c r="I5" s="13">
        <f>IFERROR(VLOOKUP($D5,환율,MATCH(I$1,변수H,0),0),"")</f>
        <v/>
      </c>
      <c r="J5" s="13">
        <f>IFERROR(VLOOKUP($D5,환율,MATCH(J$1,변수H,0),0),"")</f>
        <v/>
      </c>
      <c r="K5" s="13">
        <f>IFERROR(VLOOKUP($D5,환율,MATCH(K$1,변수H,0),0),"")</f>
        <v/>
      </c>
      <c r="L5" s="13">
        <f>IFERROR(VLOOKUP($D5,환율,MATCH(L$1,변수H,0),0),"")</f>
        <v/>
      </c>
      <c r="M5" s="13">
        <f>IFERROR(VLOOKUP($D5,환율,MATCH(M$1,변수H,0),0),"")</f>
        <v/>
      </c>
      <c r="N5" s="13">
        <f>IFERROR(VLOOKUP($D5,환율,MATCH(N$1,변수H,0),0),"")</f>
        <v/>
      </c>
      <c r="O5" s="13">
        <f>IFERROR(VLOOKUP($D5,환율,MATCH(O$1,변수H,0),0),"")</f>
        <v/>
      </c>
      <c r="P5" s="13">
        <f>IFERROR(VLOOKUP($D5,환율,MATCH(P$1,변수H,0),0),"")</f>
        <v/>
      </c>
      <c r="Q5" s="13">
        <f>IFERROR(VLOOKUP($D5,환율,MATCH(Q$1,변수H,0),0),"")</f>
        <v/>
      </c>
      <c r="R5" s="13">
        <f>IFERROR(VLOOKUP($D5,환율,MATCH(R$1,변수H,0),0),"")</f>
        <v/>
      </c>
      <c r="S5" s="13">
        <f>IFERROR(VLOOKUP($D5,환율,MATCH(S$1,변수H,0),0),"")</f>
        <v/>
      </c>
      <c r="T5" s="13">
        <f>IFERROR(VLOOKUP($D5,환율,MATCH(T$1,변수H,0),0),"")</f>
        <v/>
      </c>
      <c r="U5" s="13">
        <f>IFERROR(VLOOKUP($D5,환율,MATCH(U$1,변수H,0),0),"")</f>
        <v/>
      </c>
      <c r="V5" s="13">
        <f>IFERROR(VLOOKUP($D5,환율,MATCH(V$1,변수H,0),0),"")</f>
        <v/>
      </c>
      <c r="W5" s="13">
        <f>IFERROR(VLOOKUP($D5,환율,MATCH(W$1,변수H,0),0),"")</f>
        <v/>
      </c>
      <c r="X5" s="39">
        <f>IFERROR(VLOOKUP($D5,환율,MATCH(X$1,변수H,0),0),"")</f>
        <v/>
      </c>
      <c r="Y5" s="39">
        <f>IFERROR(VLOOKUP($D5,환율,MATCH(Y$1,변수H,0),0),"")</f>
        <v/>
      </c>
      <c r="Z5" s="39">
        <f>IFERROR(VLOOKUP($D5,환율,MATCH(Z$1,변수H,0),0),"")</f>
        <v/>
      </c>
      <c r="AA5" s="39">
        <f>IFERROR(VLOOKUP($D5,환율,MATCH(AA$1,변수H,0),0),"")</f>
        <v/>
      </c>
      <c r="AB5" s="39">
        <f>IFERROR(VLOOKUP($D5,환율,MATCH(AB$1,변수H,0),0),"")</f>
        <v/>
      </c>
      <c r="AC5" s="39">
        <f>IFERROR(VLOOKUP($D5,환율,MATCH(AC$1,변수H,0),0),"")</f>
        <v/>
      </c>
      <c r="AD5" s="39">
        <f>IFERROR(VLOOKUP($D5,환율,MATCH(AD$1,변수H,0),0),"")</f>
        <v/>
      </c>
      <c r="AE5" s="39">
        <f>IFERROR(VLOOKUP($D5,환율,MATCH(AE$1,변수H,0),0),"")</f>
        <v/>
      </c>
      <c r="AF5" s="39">
        <f>IFERROR(VLOOKUP($D5,환율,MATCH(AF$1,변수H,0),0),"")</f>
        <v/>
      </c>
      <c r="AG5" s="39">
        <f>IFERROR(VLOOKUP($D5,환율,MATCH(AG$1,변수H,0),0),"")</f>
        <v/>
      </c>
    </row>
    <row r="6">
      <c r="A6" s="12" t="inlineStr">
        <is>
          <t>원/달러(평균) QoQ</t>
        </is>
      </c>
      <c r="F6" s="21">
        <f>IFERROR(F5/E5-1,"")</f>
        <v/>
      </c>
      <c r="G6" s="21">
        <f>IFERROR(G5/F5-1,"")</f>
        <v/>
      </c>
      <c r="H6" s="21">
        <f>IFERROR(H5/G5-1,"")</f>
        <v/>
      </c>
      <c r="I6" s="21">
        <f>IFERROR(I5/H5-1,"")</f>
        <v/>
      </c>
      <c r="J6" s="21">
        <f>IFERROR(J5/I5-1,"")</f>
        <v/>
      </c>
      <c r="K6" s="21">
        <f>IFERROR(K5/J5-1,"")</f>
        <v/>
      </c>
      <c r="L6" s="21">
        <f>IFERROR(L5/K5-1,"")</f>
        <v/>
      </c>
      <c r="M6" s="21">
        <f>IFERROR(M5/L5-1,"")</f>
        <v/>
      </c>
      <c r="N6" s="21">
        <f>IFERROR(N5/M5-1,"")</f>
        <v/>
      </c>
      <c r="O6" s="21">
        <f>IFERROR(O5/N5-1,"")</f>
        <v/>
      </c>
      <c r="P6" s="21">
        <f>IFERROR(P5/O5-1,"")</f>
        <v/>
      </c>
      <c r="Q6" s="21">
        <f>IFERROR(Q5/P5-1,"")</f>
        <v/>
      </c>
      <c r="R6" s="21">
        <f>IFERROR(R5/Q5-1,"")</f>
        <v/>
      </c>
      <c r="S6" s="21">
        <f>IFERROR(S5/R5-1,"")</f>
        <v/>
      </c>
      <c r="T6" s="21">
        <f>IFERROR(T5/S5-1,"")</f>
        <v/>
      </c>
      <c r="U6" s="21">
        <f>IFERROR(U5/T5-1,"")</f>
        <v/>
      </c>
      <c r="V6" s="21">
        <f>IFERROR(V5/U5-1,"")</f>
        <v/>
      </c>
      <c r="W6" s="21">
        <f>IFERROR(W5/V5-1,"")</f>
        <v/>
      </c>
      <c r="X6" s="32">
        <f>IFERROR(X5/W5-1,"")</f>
        <v/>
      </c>
      <c r="Y6" s="32">
        <f>IFERROR(Y5/X5-1,"")</f>
        <v/>
      </c>
      <c r="Z6" s="32">
        <f>IFERROR(Z5/Y5-1,"")</f>
        <v/>
      </c>
      <c r="AA6" s="32">
        <f>IFERROR(AA5/Z5-1,"")</f>
        <v/>
      </c>
      <c r="AB6" s="32">
        <f>IFERROR(AB5/AA5-1,"")</f>
        <v/>
      </c>
      <c r="AC6" s="32">
        <f>IFERROR(AC5/AB5-1,"")</f>
        <v/>
      </c>
      <c r="AD6" s="32">
        <f>IFERROR(AD5/AC5-1,"")</f>
        <v/>
      </c>
      <c r="AE6" s="32">
        <f>IFERROR(AE5/AD5-1,"")</f>
        <v/>
      </c>
      <c r="AF6" s="32">
        <f>IFERROR(AF5/AE5-1,"")</f>
        <v/>
      </c>
      <c r="AG6" s="32">
        <f>IFERROR(AG5/AF5-1,"")</f>
        <v/>
      </c>
    </row>
    <row r="7">
      <c r="D7" t="inlineStr">
        <is>
          <t xml:space="preserve"> 원/달러(기말)</t>
        </is>
      </c>
      <c r="E7" s="13">
        <f>IFERROR(VLOOKUP($D7,환율,MATCH(E$1,변수H,0),0),"")</f>
        <v/>
      </c>
      <c r="F7" s="13">
        <f>IFERROR(VLOOKUP($D7,환율,MATCH(F$1,변수H,0),0),"")</f>
        <v/>
      </c>
      <c r="G7" s="13">
        <f>IFERROR(VLOOKUP($D7,환율,MATCH(G$1,변수H,0),0),"")</f>
        <v/>
      </c>
      <c r="H7" s="13">
        <f>IFERROR(VLOOKUP($D7,환율,MATCH(H$1,변수H,0),0),"")</f>
        <v/>
      </c>
      <c r="I7" s="13">
        <f>IFERROR(VLOOKUP($D7,환율,MATCH(I$1,변수H,0),0),"")</f>
        <v/>
      </c>
      <c r="J7" s="13">
        <f>IFERROR(VLOOKUP($D7,환율,MATCH(J$1,변수H,0),0),"")</f>
        <v/>
      </c>
      <c r="K7" s="13">
        <f>IFERROR(VLOOKUP($D7,환율,MATCH(K$1,변수H,0),0),"")</f>
        <v/>
      </c>
      <c r="L7" s="13">
        <f>IFERROR(VLOOKUP($D7,환율,MATCH(L$1,변수H,0),0),"")</f>
        <v/>
      </c>
      <c r="M7" s="13">
        <f>IFERROR(VLOOKUP($D7,환율,MATCH(M$1,변수H,0),0),"")</f>
        <v/>
      </c>
      <c r="N7" s="13">
        <f>IFERROR(VLOOKUP($D7,환율,MATCH(N$1,변수H,0),0),"")</f>
        <v/>
      </c>
      <c r="O7" s="13">
        <f>IFERROR(VLOOKUP($D7,환율,MATCH(O$1,변수H,0),0),"")</f>
        <v/>
      </c>
      <c r="P7" s="13">
        <f>IFERROR(VLOOKUP($D7,환율,MATCH(P$1,변수H,0),0),"")</f>
        <v/>
      </c>
      <c r="Q7" s="13">
        <f>IFERROR(VLOOKUP($D7,환율,MATCH(Q$1,변수H,0),0),"")</f>
        <v/>
      </c>
      <c r="R7" s="13">
        <f>IFERROR(VLOOKUP($D7,환율,MATCH(R$1,변수H,0),0),"")</f>
        <v/>
      </c>
      <c r="S7" s="13">
        <f>IFERROR(VLOOKUP($D7,환율,MATCH(S$1,변수H,0),0),"")</f>
        <v/>
      </c>
      <c r="T7" s="13">
        <f>IFERROR(VLOOKUP($D7,환율,MATCH(T$1,변수H,0),0),"")</f>
        <v/>
      </c>
      <c r="U7" s="13">
        <f>IFERROR(VLOOKUP($D7,환율,MATCH(U$1,변수H,0),0),"")</f>
        <v/>
      </c>
      <c r="V7" s="13">
        <f>IFERROR(VLOOKUP($D7,환율,MATCH(V$1,변수H,0),0),"")</f>
        <v/>
      </c>
      <c r="W7" s="13">
        <f>IFERROR(VLOOKUP($D7,환율,MATCH(W$1,변수H,0),0),"")</f>
        <v/>
      </c>
      <c r="X7" s="39">
        <f>IFERROR(VLOOKUP($D7,환율,MATCH(X$1,변수H,0),0),"")</f>
        <v/>
      </c>
      <c r="Y7" s="39">
        <f>IFERROR(VLOOKUP($D7,환율,MATCH(Y$1,변수H,0),0),"")</f>
        <v/>
      </c>
      <c r="Z7" s="39">
        <f>IFERROR(VLOOKUP($D7,환율,MATCH(Z$1,변수H,0),0),"")</f>
        <v/>
      </c>
      <c r="AA7" s="39">
        <f>IFERROR(VLOOKUP($D7,환율,MATCH(AA$1,변수H,0),0),"")</f>
        <v/>
      </c>
      <c r="AB7" s="39">
        <f>IFERROR(VLOOKUP($D7,환율,MATCH(AB$1,변수H,0),0),"")</f>
        <v/>
      </c>
      <c r="AC7" s="39">
        <f>IFERROR(VLOOKUP($D7,환율,MATCH(AC$1,변수H,0),0),"")</f>
        <v/>
      </c>
      <c r="AD7" s="39">
        <f>IFERROR(VLOOKUP($D7,환율,MATCH(AD$1,변수H,0),0),"")</f>
        <v/>
      </c>
      <c r="AE7" s="39">
        <f>IFERROR(VLOOKUP($D7,환율,MATCH(AE$1,변수H,0),0),"")</f>
        <v/>
      </c>
      <c r="AF7" s="39">
        <f>IFERROR(VLOOKUP($D7,환율,MATCH(AF$1,변수H,0),0),"")</f>
        <v/>
      </c>
      <c r="AG7" s="39">
        <f>IFERROR(VLOOKUP($D7,환율,MATCH(AG$1,변수H,0),0),"")</f>
        <v/>
      </c>
    </row>
    <row r="8">
      <c r="A8" s="12" t="inlineStr">
        <is>
          <t>원/달러(기말) QoQ</t>
        </is>
      </c>
      <c r="F8" s="21">
        <f>IFERROR(F7/E7-1,"")</f>
        <v/>
      </c>
      <c r="G8" s="21">
        <f>IFERROR(G7/F7-1,"")</f>
        <v/>
      </c>
      <c r="H8" s="21">
        <f>IFERROR(H7/G7-1,"")</f>
        <v/>
      </c>
      <c r="I8" s="21">
        <f>IFERROR(I7/H7-1,"")</f>
        <v/>
      </c>
      <c r="J8" s="21">
        <f>IFERROR(J7/I7-1,"")</f>
        <v/>
      </c>
      <c r="K8" s="21">
        <f>IFERROR(K7/J7-1,"")</f>
        <v/>
      </c>
      <c r="L8" s="21">
        <f>IFERROR(L7/K7-1,"")</f>
        <v/>
      </c>
      <c r="M8" s="21">
        <f>IFERROR(M7/L7-1,"")</f>
        <v/>
      </c>
      <c r="N8" s="21">
        <f>IFERROR(N7/M7-1,"")</f>
        <v/>
      </c>
      <c r="O8" s="21">
        <f>IFERROR(O7/N7-1,"")</f>
        <v/>
      </c>
      <c r="P8" s="21">
        <f>IFERROR(P7/O7-1,"")</f>
        <v/>
      </c>
      <c r="Q8" s="21">
        <f>IFERROR(Q7/P7-1,"")</f>
        <v/>
      </c>
      <c r="R8" s="21">
        <f>IFERROR(R7/Q7-1,"")</f>
        <v/>
      </c>
      <c r="S8" s="21">
        <f>IFERROR(S7/R7-1,"")</f>
        <v/>
      </c>
      <c r="T8" s="21">
        <f>IFERROR(T7/S7-1,"")</f>
        <v/>
      </c>
      <c r="U8" s="21">
        <f>IFERROR(U7/T7-1,"")</f>
        <v/>
      </c>
      <c r="V8" s="21">
        <f>IFERROR(V7/U7-1,"")</f>
        <v/>
      </c>
      <c r="W8" s="21">
        <f>IFERROR(W7/V7-1,"")</f>
        <v/>
      </c>
      <c r="X8" s="32">
        <f>IFERROR(X7/W7-1,"")</f>
        <v/>
      </c>
      <c r="Y8" s="32">
        <f>IFERROR(Y7/X7-1,"")</f>
        <v/>
      </c>
      <c r="Z8" s="32">
        <f>IFERROR(Z7/Y7-1,"")</f>
        <v/>
      </c>
      <c r="AA8" s="32">
        <f>IFERROR(AA7/Z7-1,"")</f>
        <v/>
      </c>
      <c r="AB8" s="32">
        <f>IFERROR(AB7/AA7-1,"")</f>
        <v/>
      </c>
      <c r="AC8" s="32">
        <f>IFERROR(AC7/AB7-1,"")</f>
        <v/>
      </c>
      <c r="AD8" s="32">
        <f>IFERROR(AD7/AC7-1,"")</f>
        <v/>
      </c>
      <c r="AE8" s="32">
        <f>IFERROR(AE7/AD7-1,"")</f>
        <v/>
      </c>
      <c r="AF8" s="32">
        <f>IFERROR(AF7/AE7-1,"")</f>
        <v/>
      </c>
      <c r="AG8" s="32">
        <f>IFERROR(AG7/AF7-1,"")</f>
        <v/>
      </c>
    </row>
    <row r="9">
      <c r="D9" t="inlineStr">
        <is>
          <t xml:space="preserve"> W/Euro(평균)</t>
        </is>
      </c>
      <c r="E9" s="13">
        <f>IFERROR(VLOOKUP($D9,환율,MATCH(E$1,변수H,0),0),"")</f>
        <v/>
      </c>
      <c r="F9" s="13">
        <f>IFERROR(VLOOKUP($D9,환율,MATCH(F$1,변수H,0),0),"")</f>
        <v/>
      </c>
      <c r="G9" s="13">
        <f>IFERROR(VLOOKUP($D9,환율,MATCH(G$1,변수H,0),0),"")</f>
        <v/>
      </c>
      <c r="H9" s="13">
        <f>IFERROR(VLOOKUP($D9,환율,MATCH(H$1,변수H,0),0),"")</f>
        <v/>
      </c>
      <c r="I9" s="13">
        <f>IFERROR(VLOOKUP($D9,환율,MATCH(I$1,변수H,0),0),"")</f>
        <v/>
      </c>
      <c r="J9" s="13">
        <f>IFERROR(VLOOKUP($D9,환율,MATCH(J$1,변수H,0),0),"")</f>
        <v/>
      </c>
      <c r="K9" s="13">
        <f>IFERROR(VLOOKUP($D9,환율,MATCH(K$1,변수H,0),0),"")</f>
        <v/>
      </c>
      <c r="L9" s="13">
        <f>IFERROR(VLOOKUP($D9,환율,MATCH(L$1,변수H,0),0),"")</f>
        <v/>
      </c>
      <c r="M9" s="13">
        <f>IFERROR(VLOOKUP($D9,환율,MATCH(M$1,변수H,0),0),"")</f>
        <v/>
      </c>
      <c r="N9" s="13">
        <f>IFERROR(VLOOKUP($D9,환율,MATCH(N$1,변수H,0),0),"")</f>
        <v/>
      </c>
      <c r="O9" s="13">
        <f>IFERROR(VLOOKUP($D9,환율,MATCH(O$1,변수H,0),0),"")</f>
        <v/>
      </c>
      <c r="P9" s="13">
        <f>IFERROR(VLOOKUP($D9,환율,MATCH(P$1,변수H,0),0),"")</f>
        <v/>
      </c>
      <c r="Q9" s="13">
        <f>IFERROR(VLOOKUP($D9,환율,MATCH(Q$1,변수H,0),0),"")</f>
        <v/>
      </c>
      <c r="R9" s="13">
        <f>IFERROR(VLOOKUP($D9,환율,MATCH(R$1,변수H,0),0),"")</f>
        <v/>
      </c>
      <c r="S9" s="13">
        <f>IFERROR(VLOOKUP($D9,환율,MATCH(S$1,변수H,0),0),"")</f>
        <v/>
      </c>
      <c r="T9" s="13">
        <f>IFERROR(VLOOKUP($D9,환율,MATCH(T$1,변수H,0),0),"")</f>
        <v/>
      </c>
      <c r="U9" s="13">
        <f>IFERROR(VLOOKUP($D9,환율,MATCH(U$1,변수H,0),0),"")</f>
        <v/>
      </c>
      <c r="V9" s="13">
        <f>IFERROR(VLOOKUP($D9,환율,MATCH(V$1,변수H,0),0),"")</f>
        <v/>
      </c>
      <c r="W9" s="13">
        <f>IFERROR(VLOOKUP($D9,환율,MATCH(W$1,변수H,0),0),"")</f>
        <v/>
      </c>
      <c r="X9" s="39">
        <f>IFERROR(VLOOKUP($D9,환율,MATCH(X$1,변수H,0),0),"")</f>
        <v/>
      </c>
      <c r="Y9" s="39">
        <f>IFERROR(VLOOKUP($D9,환율,MATCH(Y$1,변수H,0),0),"")</f>
        <v/>
      </c>
      <c r="Z9" s="39">
        <f>IFERROR(VLOOKUP($D9,환율,MATCH(Z$1,변수H,0),0),"")</f>
        <v/>
      </c>
      <c r="AA9" s="39">
        <f>IFERROR(VLOOKUP($D9,환율,MATCH(AA$1,변수H,0),0),"")</f>
        <v/>
      </c>
      <c r="AB9" s="39">
        <f>IFERROR(VLOOKUP($D9,환율,MATCH(AB$1,변수H,0),0),"")</f>
        <v/>
      </c>
      <c r="AC9" s="39">
        <f>IFERROR(VLOOKUP($D9,환율,MATCH(AC$1,변수H,0),0),"")</f>
        <v/>
      </c>
      <c r="AD9" s="39">
        <f>IFERROR(VLOOKUP($D9,환율,MATCH(AD$1,변수H,0),0),"")</f>
        <v/>
      </c>
      <c r="AE9" s="39">
        <f>IFERROR(VLOOKUP($D9,환율,MATCH(AE$1,변수H,0),0),"")</f>
        <v/>
      </c>
      <c r="AF9" s="39">
        <f>IFERROR(VLOOKUP($D9,환율,MATCH(AF$1,변수H,0),0),"")</f>
        <v/>
      </c>
      <c r="AG9" s="39">
        <f>IFERROR(VLOOKUP($D9,환율,MATCH(AG$1,변수H,0),0),"")</f>
        <v/>
      </c>
    </row>
    <row r="10">
      <c r="A10" s="12" t="inlineStr">
        <is>
          <t>W/Euro(평균) QoQ</t>
        </is>
      </c>
      <c r="F10" s="21">
        <f>IFERROR(F9/E9-1,"")</f>
        <v/>
      </c>
      <c r="G10" s="21">
        <f>IFERROR(G9/F9-1,"")</f>
        <v/>
      </c>
      <c r="H10" s="21">
        <f>IFERROR(H9/G9-1,"")</f>
        <v/>
      </c>
      <c r="I10" s="21">
        <f>IFERROR(I9/H9-1,"")</f>
        <v/>
      </c>
      <c r="J10" s="21">
        <f>IFERROR(J9/I9-1,"")</f>
        <v/>
      </c>
      <c r="K10" s="21">
        <f>IFERROR(K9/J9-1,"")</f>
        <v/>
      </c>
      <c r="L10" s="21">
        <f>IFERROR(L9/K9-1,"")</f>
        <v/>
      </c>
      <c r="M10" s="21">
        <f>IFERROR(M9/L9-1,"")</f>
        <v/>
      </c>
      <c r="N10" s="21">
        <f>IFERROR(N9/M9-1,"")</f>
        <v/>
      </c>
      <c r="O10" s="21">
        <f>IFERROR(O9/N9-1,"")</f>
        <v/>
      </c>
      <c r="P10" s="21">
        <f>IFERROR(P9/O9-1,"")</f>
        <v/>
      </c>
      <c r="Q10" s="21">
        <f>IFERROR(Q9/P9-1,"")</f>
        <v/>
      </c>
      <c r="R10" s="21">
        <f>IFERROR(R9/Q9-1,"")</f>
        <v/>
      </c>
      <c r="S10" s="21">
        <f>IFERROR(S9/R9-1,"")</f>
        <v/>
      </c>
      <c r="T10" s="21">
        <f>IFERROR(T9/S9-1,"")</f>
        <v/>
      </c>
      <c r="U10" s="21">
        <f>IFERROR(U9/T9-1,"")</f>
        <v/>
      </c>
      <c r="V10" s="21">
        <f>IFERROR(V9/U9-1,"")</f>
        <v/>
      </c>
      <c r="W10" s="21">
        <f>IFERROR(W9/V9-1,"")</f>
        <v/>
      </c>
      <c r="X10" s="32">
        <f>IFERROR(X9/W9-1,"")</f>
        <v/>
      </c>
      <c r="Y10" s="32">
        <f>IFERROR(Y9/X9-1,"")</f>
        <v/>
      </c>
      <c r="Z10" s="32">
        <f>IFERROR(Z9/Y9-1,"")</f>
        <v/>
      </c>
      <c r="AA10" s="32">
        <f>IFERROR(AA9/Z9-1,"")</f>
        <v/>
      </c>
      <c r="AB10" s="32">
        <f>IFERROR(AB9/AA9-1,"")</f>
        <v/>
      </c>
      <c r="AC10" s="32">
        <f>IFERROR(AC9/AB9-1,"")</f>
        <v/>
      </c>
      <c r="AD10" s="32">
        <f>IFERROR(AD9/AC9-1,"")</f>
        <v/>
      </c>
      <c r="AE10" s="32">
        <f>IFERROR(AE9/AD9-1,"")</f>
        <v/>
      </c>
      <c r="AF10" s="32">
        <f>IFERROR(AF9/AE9-1,"")</f>
        <v/>
      </c>
      <c r="AG10" s="32">
        <f>IFERROR(AG9/AF9-1,"")</f>
        <v/>
      </c>
    </row>
    <row r="11">
      <c r="D11" t="inlineStr">
        <is>
          <t xml:space="preserve"> W/Euro(기말)</t>
        </is>
      </c>
      <c r="E11" s="13">
        <f>IFERROR(VLOOKUP($D11,환율,MATCH(E$1,변수H,0),0),"")</f>
        <v/>
      </c>
      <c r="F11" s="13">
        <f>IFERROR(VLOOKUP($D11,환율,MATCH(F$1,변수H,0),0),"")</f>
        <v/>
      </c>
      <c r="G11" s="13">
        <f>IFERROR(VLOOKUP($D11,환율,MATCH(G$1,변수H,0),0),"")</f>
        <v/>
      </c>
      <c r="H11" s="13">
        <f>IFERROR(VLOOKUP($D11,환율,MATCH(H$1,변수H,0),0),"")</f>
        <v/>
      </c>
      <c r="I11" s="13">
        <f>IFERROR(VLOOKUP($D11,환율,MATCH(I$1,변수H,0),0),"")</f>
        <v/>
      </c>
      <c r="J11" s="13">
        <f>IFERROR(VLOOKUP($D11,환율,MATCH(J$1,변수H,0),0),"")</f>
        <v/>
      </c>
      <c r="K11" s="13">
        <f>IFERROR(VLOOKUP($D11,환율,MATCH(K$1,변수H,0),0),"")</f>
        <v/>
      </c>
      <c r="L11" s="13">
        <f>IFERROR(VLOOKUP($D11,환율,MATCH(L$1,변수H,0),0),"")</f>
        <v/>
      </c>
      <c r="M11" s="13">
        <f>IFERROR(VLOOKUP($D11,환율,MATCH(M$1,변수H,0),0),"")</f>
        <v/>
      </c>
      <c r="N11" s="13">
        <f>IFERROR(VLOOKUP($D11,환율,MATCH(N$1,변수H,0),0),"")</f>
        <v/>
      </c>
      <c r="O11" s="13">
        <f>IFERROR(VLOOKUP($D11,환율,MATCH(O$1,변수H,0),0),"")</f>
        <v/>
      </c>
      <c r="P11" s="13">
        <f>IFERROR(VLOOKUP($D11,환율,MATCH(P$1,변수H,0),0),"")</f>
        <v/>
      </c>
      <c r="Q11" s="13">
        <f>IFERROR(VLOOKUP($D11,환율,MATCH(Q$1,변수H,0),0),"")</f>
        <v/>
      </c>
      <c r="R11" s="13">
        <f>IFERROR(VLOOKUP($D11,환율,MATCH(R$1,변수H,0),0),"")</f>
        <v/>
      </c>
      <c r="S11" s="13">
        <f>IFERROR(VLOOKUP($D11,환율,MATCH(S$1,변수H,0),0),"")</f>
        <v/>
      </c>
      <c r="T11" s="13">
        <f>IFERROR(VLOOKUP($D11,환율,MATCH(T$1,변수H,0),0),"")</f>
        <v/>
      </c>
      <c r="U11" s="13">
        <f>IFERROR(VLOOKUP($D11,환율,MATCH(U$1,변수H,0),0),"")</f>
        <v/>
      </c>
      <c r="V11" s="13">
        <f>IFERROR(VLOOKUP($D11,환율,MATCH(V$1,변수H,0),0),"")</f>
        <v/>
      </c>
      <c r="W11" s="13">
        <f>IFERROR(VLOOKUP($D11,환율,MATCH(W$1,변수H,0),0),"")</f>
        <v/>
      </c>
      <c r="X11" s="39">
        <f>IFERROR(VLOOKUP($D11,환율,MATCH(X$1,변수H,0),0),"")</f>
        <v/>
      </c>
      <c r="Y11" s="39">
        <f>IFERROR(VLOOKUP($D11,환율,MATCH(Y$1,변수H,0),0),"")</f>
        <v/>
      </c>
      <c r="Z11" s="39">
        <f>IFERROR(VLOOKUP($D11,환율,MATCH(Z$1,변수H,0),0),"")</f>
        <v/>
      </c>
      <c r="AA11" s="39">
        <f>IFERROR(VLOOKUP($D11,환율,MATCH(AA$1,변수H,0),0),"")</f>
        <v/>
      </c>
      <c r="AB11" s="39">
        <f>IFERROR(VLOOKUP($D11,환율,MATCH(AB$1,변수H,0),0),"")</f>
        <v/>
      </c>
      <c r="AC11" s="39">
        <f>IFERROR(VLOOKUP($D11,환율,MATCH(AC$1,변수H,0),0),"")</f>
        <v/>
      </c>
      <c r="AD11" s="39">
        <f>IFERROR(VLOOKUP($D11,환율,MATCH(AD$1,변수H,0),0),"")</f>
        <v/>
      </c>
      <c r="AE11" s="39">
        <f>IFERROR(VLOOKUP($D11,환율,MATCH(AE$1,변수H,0),0),"")</f>
        <v/>
      </c>
      <c r="AF11" s="39">
        <f>IFERROR(VLOOKUP($D11,환율,MATCH(AF$1,변수H,0),0),"")</f>
        <v/>
      </c>
      <c r="AG11" s="39">
        <f>IFERROR(VLOOKUP($D11,환율,MATCH(AG$1,변수H,0),0),"")</f>
        <v/>
      </c>
    </row>
    <row r="12">
      <c r="A12" s="12" t="inlineStr">
        <is>
          <t>W/Euro(기말) QoQ</t>
        </is>
      </c>
      <c r="F12" s="21">
        <f>IFERROR(F11/E11-1,"")</f>
        <v/>
      </c>
      <c r="G12" s="21">
        <f>IFERROR(G11/F11-1,"")</f>
        <v/>
      </c>
      <c r="H12" s="21">
        <f>IFERROR(H11/G11-1,"")</f>
        <v/>
      </c>
      <c r="I12" s="21">
        <f>IFERROR(I11/H11-1,"")</f>
        <v/>
      </c>
      <c r="J12" s="21">
        <f>IFERROR(J11/I11-1,"")</f>
        <v/>
      </c>
      <c r="K12" s="21">
        <f>IFERROR(K11/J11-1,"")</f>
        <v/>
      </c>
      <c r="L12" s="21">
        <f>IFERROR(L11/K11-1,"")</f>
        <v/>
      </c>
      <c r="M12" s="21">
        <f>IFERROR(M11/L11-1,"")</f>
        <v/>
      </c>
      <c r="N12" s="21">
        <f>IFERROR(N11/M11-1,"")</f>
        <v/>
      </c>
      <c r="O12" s="21">
        <f>IFERROR(O11/N11-1,"")</f>
        <v/>
      </c>
      <c r="P12" s="21">
        <f>IFERROR(P11/O11-1,"")</f>
        <v/>
      </c>
      <c r="Q12" s="21">
        <f>IFERROR(Q11/P11-1,"")</f>
        <v/>
      </c>
      <c r="R12" s="21">
        <f>IFERROR(R11/Q11-1,"")</f>
        <v/>
      </c>
      <c r="S12" s="21">
        <f>IFERROR(S11/R11-1,"")</f>
        <v/>
      </c>
      <c r="T12" s="21">
        <f>IFERROR(T11/S11-1,"")</f>
        <v/>
      </c>
      <c r="U12" s="21">
        <f>IFERROR(U11/T11-1,"")</f>
        <v/>
      </c>
      <c r="V12" s="21">
        <f>IFERROR(V11/U11-1,"")</f>
        <v/>
      </c>
      <c r="W12" s="21">
        <f>IFERROR(W11/V11-1,"")</f>
        <v/>
      </c>
      <c r="X12" s="32">
        <f>IFERROR(X11/W11-1,"")</f>
        <v/>
      </c>
      <c r="Y12" s="32">
        <f>IFERROR(Y11/X11-1,"")</f>
        <v/>
      </c>
      <c r="Z12" s="32">
        <f>IFERROR(Z11/Y11-1,"")</f>
        <v/>
      </c>
      <c r="AA12" s="32">
        <f>IFERROR(AA11/Z11-1,"")</f>
        <v/>
      </c>
      <c r="AB12" s="32">
        <f>IFERROR(AB11/AA11-1,"")</f>
        <v/>
      </c>
      <c r="AC12" s="32">
        <f>IFERROR(AC11/AB11-1,"")</f>
        <v/>
      </c>
      <c r="AD12" s="32">
        <f>IFERROR(AD11/AC11-1,"")</f>
        <v/>
      </c>
      <c r="AE12" s="32">
        <f>IFERROR(AE11/AD11-1,"")</f>
        <v/>
      </c>
      <c r="AF12" s="32">
        <f>IFERROR(AF11/AE11-1,"")</f>
        <v/>
      </c>
      <c r="AG12" s="32">
        <f>IFERROR(AG11/AF11-1,"")</f>
        <v/>
      </c>
    </row>
    <row r="13">
      <c r="D13" t="inlineStr">
        <is>
          <t xml:space="preserve"> 원/100Y(기말)</t>
        </is>
      </c>
      <c r="E13" s="13">
        <f>IFERROR(VLOOKUP($D13,환율,MATCH(E$1,변수H,0),0),"")</f>
        <v/>
      </c>
      <c r="F13" s="13">
        <f>IFERROR(VLOOKUP($D13,환율,MATCH(F$1,변수H,0),0),"")</f>
        <v/>
      </c>
      <c r="G13" s="13">
        <f>IFERROR(VLOOKUP($D13,환율,MATCH(G$1,변수H,0),0),"")</f>
        <v/>
      </c>
      <c r="H13" s="13">
        <f>IFERROR(VLOOKUP($D13,환율,MATCH(H$1,변수H,0),0),"")</f>
        <v/>
      </c>
      <c r="I13" s="13">
        <f>IFERROR(VLOOKUP($D13,환율,MATCH(I$1,변수H,0),0),"")</f>
        <v/>
      </c>
      <c r="J13" s="13">
        <f>IFERROR(VLOOKUP($D13,환율,MATCH(J$1,변수H,0),0),"")</f>
        <v/>
      </c>
      <c r="K13" s="13">
        <f>IFERROR(VLOOKUP($D13,환율,MATCH(K$1,변수H,0),0),"")</f>
        <v/>
      </c>
      <c r="L13" s="13">
        <f>IFERROR(VLOOKUP($D13,환율,MATCH(L$1,변수H,0),0),"")</f>
        <v/>
      </c>
      <c r="M13" s="13">
        <f>IFERROR(VLOOKUP($D13,환율,MATCH(M$1,변수H,0),0),"")</f>
        <v/>
      </c>
      <c r="N13" s="13">
        <f>IFERROR(VLOOKUP($D13,환율,MATCH(N$1,변수H,0),0),"")</f>
        <v/>
      </c>
      <c r="O13" s="13">
        <f>IFERROR(VLOOKUP($D13,환율,MATCH(O$1,변수H,0),0),"")</f>
        <v/>
      </c>
      <c r="P13" s="13">
        <f>IFERROR(VLOOKUP($D13,환율,MATCH(P$1,변수H,0),0),"")</f>
        <v/>
      </c>
      <c r="Q13" s="13">
        <f>IFERROR(VLOOKUP($D13,환율,MATCH(Q$1,변수H,0),0),"")</f>
        <v/>
      </c>
      <c r="R13" s="13">
        <f>IFERROR(VLOOKUP($D13,환율,MATCH(R$1,변수H,0),0),"")</f>
        <v/>
      </c>
      <c r="S13" s="13">
        <f>IFERROR(VLOOKUP($D13,환율,MATCH(S$1,변수H,0),0),"")</f>
        <v/>
      </c>
      <c r="T13" s="13">
        <f>IFERROR(VLOOKUP($D13,환율,MATCH(T$1,변수H,0),0),"")</f>
        <v/>
      </c>
      <c r="U13" s="13">
        <f>IFERROR(VLOOKUP($D13,환율,MATCH(U$1,변수H,0),0),"")</f>
        <v/>
      </c>
      <c r="V13" s="13">
        <f>IFERROR(VLOOKUP($D13,환율,MATCH(V$1,변수H,0),0),"")</f>
        <v/>
      </c>
      <c r="W13" s="13">
        <f>IFERROR(VLOOKUP($D13,환율,MATCH(W$1,변수H,0),0),"")</f>
        <v/>
      </c>
      <c r="X13" s="39">
        <f>IFERROR(VLOOKUP($D13,환율,MATCH(X$1,변수H,0),0),"")</f>
        <v/>
      </c>
      <c r="Y13" s="39">
        <f>IFERROR(VLOOKUP($D13,환율,MATCH(Y$1,변수H,0),0),"")</f>
        <v/>
      </c>
      <c r="Z13" s="39">
        <f>IFERROR(VLOOKUP($D13,환율,MATCH(Z$1,변수H,0),0),"")</f>
        <v/>
      </c>
      <c r="AA13" s="39">
        <f>IFERROR(VLOOKUP($D13,환율,MATCH(AA$1,변수H,0),0),"")</f>
        <v/>
      </c>
      <c r="AB13" s="39">
        <f>IFERROR(VLOOKUP($D13,환율,MATCH(AB$1,변수H,0),0),"")</f>
        <v/>
      </c>
      <c r="AC13" s="39">
        <f>IFERROR(VLOOKUP($D13,환율,MATCH(AC$1,변수H,0),0),"")</f>
        <v/>
      </c>
      <c r="AD13" s="39">
        <f>IFERROR(VLOOKUP($D13,환율,MATCH(AD$1,변수H,0),0),"")</f>
        <v/>
      </c>
      <c r="AE13" s="39">
        <f>IFERROR(VLOOKUP($D13,환율,MATCH(AE$1,변수H,0),0),"")</f>
        <v/>
      </c>
      <c r="AF13" s="39">
        <f>IFERROR(VLOOKUP($D13,환율,MATCH(AF$1,변수H,0),0),"")</f>
        <v/>
      </c>
      <c r="AG13" s="39">
        <f>IFERROR(VLOOKUP($D13,환율,MATCH(AG$1,변수H,0),0),"")</f>
        <v/>
      </c>
    </row>
    <row r="14">
      <c r="A14" s="12" t="inlineStr">
        <is>
          <t>원/100Y(기말) QoQ</t>
        </is>
      </c>
      <c r="F14" s="21">
        <f>IFERROR(F13/E13-1,"")</f>
        <v/>
      </c>
      <c r="G14" s="21">
        <f>IFERROR(G13/F13-1,"")</f>
        <v/>
      </c>
      <c r="H14" s="21">
        <f>IFERROR(H13/G13-1,"")</f>
        <v/>
      </c>
      <c r="I14" s="21">
        <f>IFERROR(I13/H13-1,"")</f>
        <v/>
      </c>
      <c r="J14" s="21">
        <f>IFERROR(J13/I13-1,"")</f>
        <v/>
      </c>
      <c r="K14" s="21">
        <f>IFERROR(K13/J13-1,"")</f>
        <v/>
      </c>
      <c r="L14" s="21">
        <f>IFERROR(L13/K13-1,"")</f>
        <v/>
      </c>
      <c r="M14" s="21">
        <f>IFERROR(M13/L13-1,"")</f>
        <v/>
      </c>
      <c r="N14" s="21">
        <f>IFERROR(N13/M13-1,"")</f>
        <v/>
      </c>
      <c r="O14" s="21">
        <f>IFERROR(O13/N13-1,"")</f>
        <v/>
      </c>
      <c r="P14" s="21">
        <f>IFERROR(P13/O13-1,"")</f>
        <v/>
      </c>
      <c r="Q14" s="21">
        <f>IFERROR(Q13/P13-1,"")</f>
        <v/>
      </c>
      <c r="R14" s="21">
        <f>IFERROR(R13/Q13-1,"")</f>
        <v/>
      </c>
      <c r="S14" s="21">
        <f>IFERROR(S13/R13-1,"")</f>
        <v/>
      </c>
      <c r="T14" s="21">
        <f>IFERROR(T13/S13-1,"")</f>
        <v/>
      </c>
      <c r="U14" s="21">
        <f>IFERROR(U13/T13-1,"")</f>
        <v/>
      </c>
      <c r="V14" s="21">
        <f>IFERROR(V13/U13-1,"")</f>
        <v/>
      </c>
      <c r="W14" s="21">
        <f>IFERROR(W13/V13-1,"")</f>
        <v/>
      </c>
      <c r="X14" s="32">
        <f>IFERROR(X13/W13-1,"")</f>
        <v/>
      </c>
      <c r="Y14" s="32">
        <f>IFERROR(Y13/X13-1,"")</f>
        <v/>
      </c>
      <c r="Z14" s="32">
        <f>IFERROR(Z13/Y13-1,"")</f>
        <v/>
      </c>
      <c r="AA14" s="32">
        <f>IFERROR(AA13/Z13-1,"")</f>
        <v/>
      </c>
      <c r="AB14" s="32">
        <f>IFERROR(AB13/AA13-1,"")</f>
        <v/>
      </c>
      <c r="AC14" s="32">
        <f>IFERROR(AC13/AB13-1,"")</f>
        <v/>
      </c>
      <c r="AD14" s="32">
        <f>IFERROR(AD13/AC13-1,"")</f>
        <v/>
      </c>
      <c r="AE14" s="32">
        <f>IFERROR(AE13/AD13-1,"")</f>
        <v/>
      </c>
      <c r="AF14" s="32">
        <f>IFERROR(AF13/AE13-1,"")</f>
        <v/>
      </c>
      <c r="AG14" s="32">
        <f>IFERROR(AG13/AF13-1,"")</f>
        <v/>
      </c>
    </row>
    <row r="15"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</row>
    <row r="16">
      <c r="A16" s="12" t="inlineStr">
        <is>
          <t>외화순노출</t>
        </is>
      </c>
      <c r="C16" t="inlineStr">
        <is>
          <t>외화 순노출(백만$)</t>
        </is>
      </c>
      <c r="D16" s="27">
        <f>변수!D55</f>
        <v/>
      </c>
      <c r="E16" s="2" t="inlineStr">
        <is>
          <t>외화 순노출 × Δ기말환율 (외화 시트 방식)</t>
        </is>
      </c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</row>
    <row r="17">
      <c r="A17" s="12" t="inlineStr">
        <is>
          <t>환관련손익추정</t>
        </is>
      </c>
      <c r="C17" t="inlineStr">
        <is>
          <t>환관련손익 추정(억원) = 순노출 × Δ원/달러(기말) / 100</t>
        </is>
      </c>
      <c r="F17" s="18">
        <f>IFERROR($D$16*(F7-E7)/100,"")</f>
        <v/>
      </c>
      <c r="G17" s="18">
        <f>IFERROR($D$16*(G7-F7)/100,"")</f>
        <v/>
      </c>
      <c r="H17" s="18">
        <f>IFERROR($D$16*(H7-G7)/100,"")</f>
        <v/>
      </c>
      <c r="I17" s="18">
        <f>IFERROR($D$16*(I7-H7)/100,"")</f>
        <v/>
      </c>
      <c r="J17" s="18">
        <f>IFERROR($D$16*(J7-I7)/100,"")</f>
        <v/>
      </c>
      <c r="K17" s="18">
        <f>IFERROR($D$16*(K7-J7)/100,"")</f>
        <v/>
      </c>
      <c r="L17" s="18">
        <f>IFERROR($D$16*(L7-K7)/100,"")</f>
        <v/>
      </c>
      <c r="M17" s="18">
        <f>IFERROR($D$16*(M7-L7)/100,"")</f>
        <v/>
      </c>
      <c r="N17" s="18">
        <f>IFERROR($D$16*(N7-M7)/100,"")</f>
        <v/>
      </c>
      <c r="O17" s="18">
        <f>IFERROR($D$16*(O7-N7)/100,"")</f>
        <v/>
      </c>
      <c r="P17" s="18">
        <f>IFERROR($D$16*(P7-O7)/100,"")</f>
        <v/>
      </c>
      <c r="Q17" s="18">
        <f>IFERROR($D$16*(Q7-P7)/100,"")</f>
        <v/>
      </c>
      <c r="R17" s="18">
        <f>IFERROR($D$16*(R7-Q7)/100,"")</f>
        <v/>
      </c>
      <c r="S17" s="18">
        <f>IFERROR($D$16*(S7-R7)/100,"")</f>
        <v/>
      </c>
      <c r="T17" s="18">
        <f>IFERROR($D$16*(T7-S7)/100,"")</f>
        <v/>
      </c>
      <c r="U17" s="18">
        <f>IFERROR($D$16*(U7-T7)/100,"")</f>
        <v/>
      </c>
      <c r="V17" s="18">
        <f>IFERROR($D$16*(V7-U7)/100,"")</f>
        <v/>
      </c>
      <c r="W17" s="18">
        <f>IFERROR($D$16*(W7-V7)/100,"")</f>
        <v/>
      </c>
      <c r="X17" s="20">
        <f>IFERROR($D$16*(X7-W7)/100,"")</f>
        <v/>
      </c>
      <c r="Y17" s="20">
        <f>IFERROR($D$16*(Y7-X7)/100,"")</f>
        <v/>
      </c>
      <c r="Z17" s="20">
        <f>IFERROR($D$16*(Z7-Y7)/100,"")</f>
        <v/>
      </c>
      <c r="AA17" s="20">
        <f>IFERROR($D$16*(AA7-Z7)/100,"")</f>
        <v/>
      </c>
      <c r="AB17" s="20">
        <f>IFERROR($D$16*(AB7-AA7)/100,"")</f>
        <v/>
      </c>
      <c r="AC17" s="20">
        <f>IFERROR($D$16*(AC7-AB7)/100,"")</f>
        <v/>
      </c>
      <c r="AD17" s="20">
        <f>IFERROR($D$16*(AD7-AC7)/100,"")</f>
        <v/>
      </c>
      <c r="AE17" s="20">
        <f>IFERROR($D$16*(AE7-AD7)/100,"")</f>
        <v/>
      </c>
      <c r="AF17" s="20">
        <f>IFERROR($D$16*(AF7-AE7)/100,"")</f>
        <v/>
      </c>
      <c r="AG17" s="20">
        <f>IFERROR($D$16*(AG7-AF7)/100,"")</f>
        <v/>
      </c>
    </row>
    <row r="18">
      <c r="A18" s="12" t="inlineStr">
        <is>
          <t>fx_pnl.by_q</t>
        </is>
      </c>
      <c r="C18" t="inlineStr">
        <is>
          <t>모델 fx_pnl.by_q(억원, 참고)</t>
        </is>
      </c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</row>
    <row r="19">
      <c r="C19" s="2" t="inlineStr">
        <is>
          <t>외화 순노출 미공시(face) → 0 + 표기</t>
        </is>
      </c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kship_model_xlsx</dc:creator>
  <dcterms:created xsi:type="dcterms:W3CDTF">2026-10-13T00:00:00Z</dcterms:created>
  <dcterms:modified xsi:type="dcterms:W3CDTF">2026-10-13T00:00:00Z</dcterms:modified>
</cp:coreProperties>
</file>