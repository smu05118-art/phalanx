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BS별도!$C$5:$AO$88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(1+-2.0%) — g=최근 4분기 합 YoY -2.0% 클립(−30~+50%), 연차별 절반 감쇠(가정)</t>
      </text>
    </comment>
    <comment ref="AD21" authorId="0" shapeId="0">
      <text>
        <t>모델값 역산(implied): v / 전년동기 − 1
전년동기 × (1+-2.0%) — g=최근 4분기 합 YoY -2.0% 클립(−30~+50%), 연차별 절반 감쇠(가정)</t>
      </text>
    </comment>
    <comment ref="AF21" authorId="0" shapeId="0">
      <text>
        <t>모델값 역산(implied): v / 전년동기 − 1
전년동기 × (1+-2.0%) — g=최근 4분기 합 YoY -2.0% 클립(−30~+50%), 연차별 절반 감쇠(가정)</t>
      </text>
    </comment>
    <comment ref="AG21" authorId="0" shapeId="0">
      <text>
        <t>모델값 역산(implied): v / 전년동기 − 1
전년동기 × (1+-2.0%) — g=최근 4분기 합 YoY -2.0% 클립(−30~+50%), 연차별 절반 감쇠(가정)</t>
      </text>
    </comment>
    <comment ref="AH21" authorId="0" shapeId="0">
      <text>
        <t>모델값 역산(implied): v / 전년동기 − 1
전년동기 × (1+-1.0%) — g=최근 4분기 합 YoY -2.0% 클립(−30~+50%), 연차별 절반 감쇠(가정)</t>
      </text>
    </comment>
    <comment ref="AI21" authorId="0" shapeId="0">
      <text>
        <t>모델값 역산(implied): v / 전년동기 − 1
전년동기 × (1+-1.0%) — g=최근 4분기 합 YoY -2.0% 클립(−30~+50%), 연차별 절반 감쇠(가정)</t>
      </text>
    </comment>
    <comment ref="AK21" authorId="0" shapeId="0">
      <text>
        <t>모델값 역산(implied): v / 전년동기 − 1
전년동기 × (1+-1.0%) — g=최근 4분기 합 YoY -2.0% 클립(−30~+50%), 연차별 절반 감쇠(가정)</t>
      </text>
    </comment>
    <comment ref="AL21" authorId="0" shapeId="0">
      <text>
        <t>모델값 역산(implied): v / 전년동기 − 1
전년동기 × (1+-1.0%) — g=최근 4분기 합 YoY -2.0% 클립(−30~+50%), 연차별 절반 감쇠(가정)</t>
      </text>
    </comment>
    <comment ref="AM21" authorId="0" shapeId="0">
      <text>
        <t>모델값 역산(implied): v / 전년동기 − 1
전년동기 × (1+-0.5%) — g=최근 4분기 합 YoY -2.0% 클립(−30~+50%), 연차별 절반 감쇠(가정)</t>
      </text>
    </comment>
    <comment ref="AN21" authorId="0" shapeId="0">
      <text>
        <t>모델값 역산(implied): v / 전년동기 − 1
전년동기 × (1+-0.5%) — g=최근 4분기 합 YoY -2.0% 클립(−30~+50%), 연차별 절반 감쇠(가정)</t>
      </text>
    </comment>
    <comment ref="AC22" authorId="0" shapeId="0">
      <text>
        <t>3절 스칼라 '판관비율' 참조 — 숫자로 덮어쓰면 이 분기만 바뀐다
매출액 × 판관비율 10.50%(최근 4분기 중위)</t>
      </text>
    </comment>
    <comment ref="AD22" authorId="0" shapeId="0">
      <text>
        <t>3절 스칼라 '판관비율' 참조 — 숫자로 덮어쓰면 이 분기만 바뀐다
매출액 × 판관비율 10.50%(최근 4분기 중위)</t>
      </text>
    </comment>
    <comment ref="AF22" authorId="0" shapeId="0">
      <text>
        <t>3절 스칼라 '판관비율' 참조 — 숫자로 덮어쓰면 이 분기만 바뀐다
매출액 × 판관비율 10.50%(최근 4분기 중위)</t>
      </text>
    </comment>
    <comment ref="AG22" authorId="0" shapeId="0">
      <text>
        <t>3절 스칼라 '판관비율' 참조 — 숫자로 덮어쓰면 이 분기만 바뀐다
매출액 × 판관비율 10.50%(최근 4분기 중위)</t>
      </text>
    </comment>
    <comment ref="AH22" authorId="0" shapeId="0">
      <text>
        <t>3절 스칼라 '판관비율' 참조 — 숫자로 덮어쓰면 이 분기만 바뀐다
매출액 × 판관비율 10.50%(최근 4분기 중위)</t>
      </text>
    </comment>
    <comment ref="AI22" authorId="0" shapeId="0">
      <text>
        <t>3절 스칼라 '판관비율' 참조 — 숫자로 덮어쓰면 이 분기만 바뀐다
매출액 × 판관비율 10.50%(최근 4분기 중위)</t>
      </text>
    </comment>
    <comment ref="AK22" authorId="0" shapeId="0">
      <text>
        <t>3절 스칼라 '판관비율' 참조 — 숫자로 덮어쓰면 이 분기만 바뀐다
매출액 × 판관비율 10.50%(최근 4분기 중위)</t>
      </text>
    </comment>
    <comment ref="AL22" authorId="0" shapeId="0">
      <text>
        <t>3절 스칼라 '판관비율' 참조 — 숫자로 덮어쓰면 이 분기만 바뀐다
매출액 × 판관비율 10.50%(최근 4분기 중위)</t>
      </text>
    </comment>
    <comment ref="AM22" authorId="0" shapeId="0">
      <text>
        <t>3절 스칼라 '판관비율' 참조 — 숫자로 덮어쓰면 이 분기만 바뀐다
매출액 × 판관비율 10.50%(최근 4분기 중위)</t>
      </text>
    </comment>
    <comment ref="AN22" authorId="0" shapeId="0">
      <text>
        <t>3절 스칼라 '판관비율' 참조 — 숫자로 덮어쓰면 이 분기만 바뀐다
매출액 × 판관비율 10.50%(최근 4분기 중위)</t>
      </text>
    </comment>
    <comment ref="AC23" authorId="0" shapeId="0">
      <text>
        <t>모델값 역산(implied): v / 매출액
매출액 × OPM(최근 8분기 OPM 중위 2.9% 유지(클립 −20~40%))</t>
      </text>
    </comment>
    <comment ref="AD23" authorId="0" shapeId="0">
      <text>
        <t>모델값 역산(implied): v / 매출액
매출액 × OPM(최근 8분기 OPM 중위 2.9% 유지(클립 −20~40%))</t>
      </text>
    </comment>
    <comment ref="AF23" authorId="0" shapeId="0">
      <text>
        <t>모델값 역산(implied): v / 매출액
매출액 × OPM(최근 8분기 OPM 중위 2.9% 유지(클립 −20~40%))</t>
      </text>
    </comment>
    <comment ref="AG23" authorId="0" shapeId="0">
      <text>
        <t>모델값 역산(implied): v / 매출액
매출액 × OPM(최근 8분기 OPM 중위 2.9% 유지(클립 −20~40%))</t>
      </text>
    </comment>
    <comment ref="AH23" authorId="0" shapeId="0">
      <text>
        <t>모델값 역산(implied): v / 매출액
매출액 × OPM(최근 8분기 OPM 중위 2.9% 유지(클립 −20~40%))</t>
      </text>
    </comment>
    <comment ref="AI23" authorId="0" shapeId="0">
      <text>
        <t>모델값 역산(implied): v / 매출액
매출액 × OPM(최근 8분기 OPM 중위 2.9% 유지(클립 −20~40%))</t>
      </text>
    </comment>
    <comment ref="AK23" authorId="0" shapeId="0">
      <text>
        <t>모델값 역산(implied): v / 매출액
매출액 × OPM(최근 8분기 OPM 중위 2.9% 유지(클립 −20~40%))</t>
      </text>
    </comment>
    <comment ref="AL23" authorId="0" shapeId="0">
      <text>
        <t>모델값 역산(implied): v / 매출액
매출액 × OPM(최근 8분기 OPM 중위 2.9% 유지(클립 −20~40%))</t>
      </text>
    </comment>
    <comment ref="AM23" authorId="0" shapeId="0">
      <text>
        <t>모델값 역산(implied): v / 매출액
매출액 × OPM(최근 8분기 OPM 중위 2.9% 유지(클립 −20~40%))</t>
      </text>
    </comment>
    <comment ref="AN23" authorId="0" shapeId="0">
      <text>
        <t>모델값 역산(implied): v / 매출액
매출액 × OPM(최근 8분기 OPM 중위 2.9%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D27" authorId="0" shapeId="0">
      <text>
        <t>모델값 역산(implied): v / 세전이익 · 모델 가정 tax_schedule 0.0(r4)
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F27" authorId="0" shapeId="0">
      <text>
        <t>모델값 역산(implied): v / 세전이익 · 모델 가정 tax_schedule 0.0275(r4)
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G27" authorId="0" shapeId="0">
      <text>
        <t>모델값 역산(implied): v / 세전이익 · 모델 가정 tax_schedule 0.055(r4)
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H27" authorId="0" shapeId="0">
      <text>
        <t>모델값 역산(implied): v / 세전이익 · 모델 가정 tax_schedule 0.0825(r4)
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I27" authorId="0" shapeId="0">
      <text>
        <t>모델값 역산(implied): v / 세전이익 · 모델 가정 tax_schedule 0.11(r4)
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K27" authorId="0" shapeId="0">
      <text>
        <t>모델값 역산(implied): v / 세전이익 · 모델 가정 tax_schedule 0.1375(r4)
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L27" authorId="0" shapeId="0">
      <text>
        <t>모델값 역산(implied): v / 세전이익 · 모델 가정 tax_schedule 0.165(r4)
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M27" authorId="0" shapeId="0">
      <text>
        <t>모델값 역산(implied): v / 세전이익 · 모델 가정 tax_schedule 0.1925(r4)
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N27" authorId="0" shapeId="0">
      <text>
        <t>모델값 역산(implied): v / 세전이익 · 모델 가정 tax_schedule 0.22(r4)
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(1+-2.0%) — g=최근 4분기 합 YoY -2.0% 클립(−30~+50%), 연차별 절반 감쇠(가정)
[yoy]</t>
      </text>
    </comment>
    <comment ref="AD5" authorId="0" shapeId="0">
      <text>
        <t>추정: 전년동기 × (1+-2.0%) — g=최근 4분기 합 YoY -2.0% 클립(−30~+50%), 연차별 절반 감쇠(가정)
[yoy]</t>
      </text>
    </comment>
    <comment ref="AF5" authorId="0" shapeId="0">
      <text>
        <t>추정: 전년동기 × (1+-2.0%) — g=최근 4분기 합 YoY -2.0% 클립(−30~+50%), 연차별 절반 감쇠(가정)
[yoy]</t>
      </text>
    </comment>
    <comment ref="AG5" authorId="0" shapeId="0">
      <text>
        <t>추정: 전년동기 × (1+-2.0%) — g=최근 4분기 합 YoY -2.0% 클립(−30~+50%), 연차별 절반 감쇠(가정)
[yoy]</t>
      </text>
    </comment>
    <comment ref="AH5" authorId="0" shapeId="0">
      <text>
        <t>추정: 전년동기 × (1+-1.0%) — g=최근 4분기 합 YoY -2.0% 클립(−30~+50%), 연차별 절반 감쇠(가정)
[yoy]</t>
      </text>
    </comment>
    <comment ref="AI5" authorId="0" shapeId="0">
      <text>
        <t>추정: 전년동기 × (1+-1.0%) — g=최근 4분기 합 YoY -2.0% 클립(−30~+50%), 연차별 절반 감쇠(가정)
[yoy]</t>
      </text>
    </comment>
    <comment ref="AK5" authorId="0" shapeId="0">
      <text>
        <t>추정: 전년동기 × (1+-1.0%) — g=최근 4분기 합 YoY -2.0% 클립(−30~+50%), 연차별 절반 감쇠(가정)
[yoy]</t>
      </text>
    </comment>
    <comment ref="AL5" authorId="0" shapeId="0">
      <text>
        <t>추정: 전년동기 × (1+-1.0%) — g=최근 4분기 합 YoY -2.0% 클립(−30~+50%), 연차별 절반 감쇠(가정)
[yoy]</t>
      </text>
    </comment>
    <comment ref="AM5" authorId="0" shapeId="0">
      <text>
        <t>추정: 전년동기 × (1+-0.5%) — g=최근 4분기 합 YoY -2.0% 클립(−30~+50%), 연차별 절반 감쇠(가정)
[yoy]</t>
      </text>
    </comment>
    <comment ref="AN5" authorId="0" shapeId="0">
      <text>
        <t>추정: 전년동기 × (1+-0.5%) — g=최근 4분기 합 YoY -2.0%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10.50%(최근 4분기 중위)
[ratio]</t>
      </text>
    </comment>
    <comment ref="AD8" authorId="0" shapeId="0">
      <text>
        <t>추정: 매출액 × 판관비율 10.50%(최근 4분기 중위)
[ratio]</t>
      </text>
    </comment>
    <comment ref="AF8" authorId="0" shapeId="0">
      <text>
        <t>추정: 매출액 × 판관비율 10.50%(최근 4분기 중위)
[ratio]</t>
      </text>
    </comment>
    <comment ref="AG8" authorId="0" shapeId="0">
      <text>
        <t>추정: 매출액 × 판관비율 10.50%(최근 4분기 중위)
[ratio]</t>
      </text>
    </comment>
    <comment ref="AH8" authorId="0" shapeId="0">
      <text>
        <t>추정: 매출액 × 판관비율 10.50%(최근 4분기 중위)
[ratio]</t>
      </text>
    </comment>
    <comment ref="AI8" authorId="0" shapeId="0">
      <text>
        <t>추정: 매출액 × 판관비율 10.50%(최근 4분기 중위)
[ratio]</t>
      </text>
    </comment>
    <comment ref="AK8" authorId="0" shapeId="0">
      <text>
        <t>추정: 매출액 × 판관비율 10.50%(최근 4분기 중위)
[ratio]</t>
      </text>
    </comment>
    <comment ref="AL8" authorId="0" shapeId="0">
      <text>
        <t>추정: 매출액 × 판관비율 10.50%(최근 4분기 중위)
[ratio]</t>
      </text>
    </comment>
    <comment ref="AM8" authorId="0" shapeId="0">
      <text>
        <t>추정: 매출액 × 판관비율 10.50%(최근 4분기 중위)
[ratio]</t>
      </text>
    </comment>
    <comment ref="AN8" authorId="0" shapeId="0">
      <text>
        <t>추정: 매출액 × 판관비율 10.50%(최근 4분기 중위)
[ratio]</t>
      </text>
    </comment>
    <comment ref="AC9" authorId="0" shapeId="0">
      <text>
        <t>추정: 매출액 × OPM(최근 8분기 OPM 중위 2.9% 유지(클립 −20~40%))
[ratio]</t>
      </text>
    </comment>
    <comment ref="AD9" authorId="0" shapeId="0">
      <text>
        <t>추정: 매출액 × OPM(최근 8분기 OPM 중위 2.9% 유지(클립 −20~40%))
[ratio]</t>
      </text>
    </comment>
    <comment ref="AF9" authorId="0" shapeId="0">
      <text>
        <t>추정: 매출액 × OPM(최근 8분기 OPM 중위 2.9% 유지(클립 −20~40%))
[ratio]</t>
      </text>
    </comment>
    <comment ref="AG9" authorId="0" shapeId="0">
      <text>
        <t>추정: 매출액 × OPM(최근 8분기 OPM 중위 2.9% 유지(클립 −20~40%))
[ratio]</t>
      </text>
    </comment>
    <comment ref="AH9" authorId="0" shapeId="0">
      <text>
        <t>추정: 매출액 × OPM(최근 8분기 OPM 중위 2.9% 유지(클립 −20~40%))
[ratio]</t>
      </text>
    </comment>
    <comment ref="AI9" authorId="0" shapeId="0">
      <text>
        <t>추정: 매출액 × OPM(최근 8분기 OPM 중위 2.9% 유지(클립 −20~40%))
[ratio]</t>
      </text>
    </comment>
    <comment ref="AK9" authorId="0" shapeId="0">
      <text>
        <t>추정: 매출액 × OPM(최근 8분기 OPM 중위 2.9% 유지(클립 −20~40%))
[ratio]</t>
      </text>
    </comment>
    <comment ref="AL9" authorId="0" shapeId="0">
      <text>
        <t>추정: 매출액 × OPM(최근 8분기 OPM 중위 2.9% 유지(클립 −20~40%))
[ratio]</t>
      </text>
    </comment>
    <comment ref="AM9" authorId="0" shapeId="0">
      <text>
        <t>추정: 매출액 × OPM(최근 8분기 OPM 중위 2.9% 유지(클립 −20~40%))
[ratio]</t>
      </text>
    </comment>
    <comment ref="AN9" authorId="0" shapeId="0">
      <text>
        <t>추정: 매출액 × OPM(최근 8분기 OPM 중위 2.9% 유지(클립 −20~40%))
[ratio]</t>
      </text>
    </comment>
    <comment ref="AC10" authorId="0" shapeId="0">
      <text>
        <t>추정: 최근 8분기 OPM 중위 2.9% 유지(클립 −20~40%)
[divide]</t>
      </text>
    </comment>
    <comment ref="AD10" authorId="0" shapeId="0">
      <text>
        <t>추정: 최근 8분기 OPM 중위 2.9% 유지(클립 −20~40%)
[divide]</t>
      </text>
    </comment>
    <comment ref="AF10" authorId="0" shapeId="0">
      <text>
        <t>추정: 최근 8분기 OPM 중위 2.9% 유지(클립 −20~40%)
[divide]</t>
      </text>
    </comment>
    <comment ref="AG10" authorId="0" shapeId="0">
      <text>
        <t>추정: 최근 8분기 OPM 중위 2.9% 유지(클립 −20~40%)
[divide]</t>
      </text>
    </comment>
    <comment ref="AH10" authorId="0" shapeId="0">
      <text>
        <t>추정: 최근 8분기 OPM 중위 2.9% 유지(클립 −20~40%)
[divide]</t>
      </text>
    </comment>
    <comment ref="AI10" authorId="0" shapeId="0">
      <text>
        <t>추정: 최근 8분기 OPM 중위 2.9% 유지(클립 −20~40%)
[divide]</t>
      </text>
    </comment>
    <comment ref="AK10" authorId="0" shapeId="0">
      <text>
        <t>추정: 최근 8분기 OPM 중위 2.9% 유지(클립 −20~40%)
[divide]</t>
      </text>
    </comment>
    <comment ref="AL10" authorId="0" shapeId="0">
      <text>
        <t>추정: 최근 8분기 OPM 중위 2.9% 유지(클립 −20~40%)
[divide]</t>
      </text>
    </comment>
    <comment ref="AM10" authorId="0" shapeId="0">
      <text>
        <t>추정: 최근 8분기 OPM 중위 2.9% 유지(클립 −20~40%)
[divide]</t>
      </text>
    </comment>
    <comment ref="AN10" authorId="0" shapeId="0">
      <text>
        <t>추정: 최근 8분기 OPM 중위 2.9%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31억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34억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37억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40억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43억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46억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49억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52억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54억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57억 × 1.58%(CF 이자수취 ÷ 평균 이자발생자산(2025Q3~2026Q2; 주석 이자수익 1분기 &lt; 4)) − 총차입금 152억 × 1.16%(CF 이자지급 ÷ 평균 총차입금(2023Q1~2025Q1; 주석 이자비용 1분기 &lt; 4)) (연율) ÷ 4; 환율 효과는 환관련손익 행 별도
[identity]</t>
      </text>
    </comment>
    <comment ref="AC12" authorId="0" shapeId="0">
      <text>
        <t>추정: 이자발생자산 31억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D12" authorId="0" shapeId="0">
      <text>
        <t>추정: 이자발생자산 34억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F12" authorId="0" shapeId="0">
      <text>
        <t>추정: 이자발생자산 37억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G12" authorId="0" shapeId="0">
      <text>
        <t>추정: 이자발생자산 40억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H12" authorId="0" shapeId="0">
      <text>
        <t>추정: 이자발생자산 43억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I12" authorId="0" shapeId="0">
      <text>
        <t>추정: 이자발생자산 46억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K12" authorId="0" shapeId="0">
      <text>
        <t>추정: 이자발생자산 49억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L12" authorId="0" shapeId="0">
      <text>
        <t>추정: 이자발생자산 52억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M12" authorId="0" shapeId="0">
      <text>
        <t>추정: 이자발생자산 54억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N12" authorId="0" shapeId="0">
      <text>
        <t>추정: 이자발생자산 57억 × 1.58%(CF 이자수취 ÷ 평균 이자발생자산(2025Q3~2026Q2; 주석 이자수익 1분기 &lt; 4)) − 총차입금 152억 × 1.16%(CF 이자지급 ÷ 평균 총차입금(2023Q1~2025Q1; 주석 이자비용 1분기 &lt; 4)) (연율) ÷ 4
[interest]</t>
      </text>
    </comment>
    <comment ref="AA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D17" authorId="0" shapeId="0">
      <text>
        <t>추정: max(세전, 0) × 세율 0.0%(이월결손 경로 유지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F17" authorId="0" shapeId="0">
      <text>
        <t>추정: max(세전, 0) × 세율 2.8%(이월결손 경로 램프 1/8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G17" authorId="0" shapeId="0">
      <text>
        <t>추정: max(세전, 0) × 세율 5.5%(이월결손 경로 램프 2/8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H17" authorId="0" shapeId="0">
      <text>
        <t>추정: max(세전, 0) × 세율 8.2%(이월결손 경로 램프 3/8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I17" authorId="0" shapeId="0">
      <text>
        <t>추정: max(세전, 0) × 세율 11.0%(이월결손 경로 램프 4/8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K17" authorId="0" shapeId="0">
      <text>
        <t>추정: max(세전, 0) × 세율 13.8%(이월결손 경로 램프 5/8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L17" authorId="0" shapeId="0">
      <text>
        <t>추정: max(세전, 0) × 세율 16.5%(이월결손 경로 램프 6/8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M17" authorId="0" shapeId="0">
      <text>
        <t>추정: max(세전, 0) × 세율 19.2%(이월결손 경로 램프 7/8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N17" authorId="0" shapeId="0">
      <text>
        <t>추정: max(세전, 0) × 세율 22.0%(이월결손 경로 램프 8/8 — 최근 8분기 중 세전 &gt; 0 인 6분기(2024Q4~2026Q2) 법인세/세전 중위 -35.1%·최근 4분기 중위 -35.1% 가 모두 5% 미만 → 이월결손 공제 중으로 보고 0.0% 를 2026Q4 까지 유지, 2027Q1~2028Q4 선형 램프로 법정세율 근사 22% 수렴)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0.0%, 최근 8분기 실측)
[ratio]</t>
      </text>
    </comment>
    <comment ref="AD19" authorId="0" shapeId="0">
      <text>
        <t>추정: 당기순이익 × (1 − 비지배 비중 0.0%, 최근 8분기 실측)
[ratio]</t>
      </text>
    </comment>
    <comment ref="AF19" authorId="0" shapeId="0">
      <text>
        <t>추정: 당기순이익 × (1 − 비지배 비중 0.0%, 최근 8분기 실측)
[ratio]</t>
      </text>
    </comment>
    <comment ref="AG19" authorId="0" shapeId="0">
      <text>
        <t>추정: 당기순이익 × (1 − 비지배 비중 0.0%, 최근 8분기 실측)
[ratio]</t>
      </text>
    </comment>
    <comment ref="AH19" authorId="0" shapeId="0">
      <text>
        <t>추정: 당기순이익 × (1 − 비지배 비중 0.0%, 최근 8분기 실측)
[ratio]</t>
      </text>
    </comment>
    <comment ref="AI19" authorId="0" shapeId="0">
      <text>
        <t>추정: 당기순이익 × (1 − 비지배 비중 0.0%, 최근 8분기 실측)
[ratio]</t>
      </text>
    </comment>
    <comment ref="AK19" authorId="0" shapeId="0">
      <text>
        <t>추정: 당기순이익 × (1 − 비지배 비중 0.0%, 최근 8분기 실측)
[ratio]</t>
      </text>
    </comment>
    <comment ref="AL19" authorId="0" shapeId="0">
      <text>
        <t>추정: 당기순이익 × (1 − 비지배 비중 0.0%, 최근 8분기 실측)
[ratio]</t>
      </text>
    </comment>
    <comment ref="AM19" authorId="0" shapeId="0">
      <text>
        <t>추정: 당기순이익 × (1 − 비지배 비중 0.0%, 최근 8분기 실측)
[ratio]</t>
      </text>
    </comment>
    <comment ref="AN19" authorId="0" shapeId="0">
      <text>
        <t>추정: 당기순이익 × (1 − 비지배 비중 0.0%, 최근 8분기 실측)
[ratio]</t>
      </text>
    </comment>
    <comment ref="F20" authorId="0" shapeId="0">
      <text>
        <t>연간 실측(BS 시트에 2021.12A 없음 — 모델 a 값 직접)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5억은 행에만)] (운전자본 불변·총차입금 유지 가정 → 변동은 전부 현금)
[qoq]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F27" authorId="0" shapeId="0">
      <text>
        <t>연간 실측(BS 시트에 2021.12A 없음 — 모델 a 값 직접)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실측(계정 매핑 없음(파생·부문·시세 행) — 모델값 직접) — fin.shares.common_outstanding</t>
      </text>
    </comment>
    <comment ref="G30" authorId="0" shapeId="0">
      <text>
        <t>실측(계정 매핑 없음(파생·부문·시세 행) — 모델값 직접) — fin.shares.common_outstanding</t>
      </text>
    </comment>
    <comment ref="H30" authorId="0" shapeId="0">
      <text>
        <t>실측(계정 매핑 없음(파생·부문·시세 행) — 모델값 직접) — fin.shares.common_outstanding</t>
      </text>
    </comment>
    <comment ref="I30" authorId="0" shapeId="0">
      <text>
        <t>실측(계정 매핑 없음(파생·부문·시세 행) — 모델값 직접) — fin.shares.common_outstanding</t>
      </text>
    </comment>
    <comment ref="J30" authorId="0" shapeId="0">
      <text>
        <t>실측(계정 매핑 없음(파생·부문·시세 행) — 모델값 직접) — fin.shares.common_outstanding</t>
      </text>
    </comment>
    <comment ref="L30" authorId="0" shapeId="0">
      <text>
        <t>실측(계정 매핑 없음(파생·부문·시세 행) — 모델값 직접) — fin.shares.common_outstanding</t>
      </text>
    </comment>
    <comment ref="M30" authorId="0" shapeId="0">
      <text>
        <t>실측(계정 매핑 없음(파생·부문·시세 행) — 모델값 직접) — fin.shares.common_outstanding</t>
      </text>
    </comment>
    <comment ref="N30" authorId="0" shapeId="0">
      <text>
        <t>실측(계정 매핑 없음(파생·부문·시세 행) — 모델값 직접) — fin.shares.common_outstanding</t>
      </text>
    </comment>
    <comment ref="O30" authorId="0" shapeId="0">
      <text>
        <t>실측(계정 매핑 없음(파생·부문·시세 행) — 모델값 직접) — fin.shares.common_outstanding</t>
      </text>
    </comment>
    <comment ref="Q30" authorId="0" shapeId="0">
      <text>
        <t>실측(계정 매핑 없음(파생·부문·시세 행) — 모델값 직접) — fin.shares.common_outstanding</t>
      </text>
    </comment>
    <comment ref="R30" authorId="0" shapeId="0">
      <text>
        <t>실측(계정 매핑 없음(파생·부문·시세 행) — 모델값 직접) — fin.shares.common_outstanding</t>
      </text>
    </comment>
    <comment ref="S30" authorId="0" shapeId="0">
      <text>
        <t>실측(계정 매핑 없음(파생·부문·시세 행) — 모델값 직접) — fin.shares.common_outstanding</t>
      </text>
    </comment>
    <comment ref="T30" authorId="0" shapeId="0">
      <text>
        <t>실측(계정 매핑 없음(파생·부문·시세 행) — 모델값 직접) — fin.shares.common_outstanding</t>
      </text>
    </comment>
    <comment ref="V30" authorId="0" shapeId="0">
      <text>
        <t>실측(계정 매핑 없음(파생·부문·시세 행) — 모델값 직접) — fin.shares.common_outstanding</t>
      </text>
    </comment>
    <comment ref="W30" authorId="0" shapeId="0">
      <text>
        <t>실측(계정 매핑 없음(파생·부문·시세 행) — 모델값 직접) — fin.shares.common_outstanding</t>
      </text>
    </comment>
    <comment ref="X30" authorId="0" shapeId="0">
      <text>
        <t>실측(계정 매핑 없음(파생·부문·시세 행) — 모델값 직접) — fin.shares.common_outstanding</t>
      </text>
    </comment>
    <comment ref="Y30" authorId="0" shapeId="0">
      <text>
        <t>실측(계정 매핑 없음(파생·부문·시세 행) — 모델값 직접) — fin.shares.common_outstanding</t>
      </text>
    </comment>
    <comment ref="AA30" authorId="0" shapeId="0">
      <text>
        <t>실측(계정 매핑 없음(파생·부문·시세 행) — 모델값 직접) — fin.shares.common_outstanding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Y32" authorId="0" shapeId="0">
      <text>
        <t>조정EPS 산식(모델 추정, 일회성 여부·세효과 주석 미확인): 지배NI − 초과 비영업손익 -7억 × (1 − 세율 0.0% [모델 세율(분기 유효세율이 0~35% 밖·세전 ≤ 0)]) × 지배 비중 1.0000 [그 분기 지배NI/NI] = 5억 ÷ 유통주식수 · 초과 = 비영업손익 -7억 − 12분기 기준선 1억 · 보고 EPS -30원(EPS 행 불변) · 상수 -7.44·1.0 는 모델 one_offs_detected 값(세전·법인세 셀을 바꿔도 재계산되지 않음)</t>
      </text>
    </comment>
    <comment ref="AC32" authorId="0" shapeId="0">
      <text>
        <t>추정: = EPS(추정 구간은 일회성 미가정)
[identity]</t>
      </text>
    </comment>
    <comment ref="AD32" authorId="0" shapeId="0">
      <text>
        <t>추정: = EPS(추정 구간은 일회성 미가정)
[identity]</t>
      </text>
    </comment>
    <comment ref="AF32" authorId="0" shapeId="0">
      <text>
        <t>추정: = EPS(추정 구간은 일회성 미가정)
[identity]</t>
      </text>
    </comment>
    <comment ref="AG32" authorId="0" shapeId="0">
      <text>
        <t>추정: = EPS(추정 구간은 일회성 미가정)
[identity]</t>
      </text>
    </comment>
    <comment ref="AH32" authorId="0" shapeId="0">
      <text>
        <t>추정: = EPS(추정 구간은 일회성 미가정)
[identity]</t>
      </text>
    </comment>
    <comment ref="AI32" authorId="0" shapeId="0">
      <text>
        <t>추정: = EPS(추정 구간은 일회성 미가정)
[identity]</t>
      </text>
    </comment>
    <comment ref="AK32" authorId="0" shapeId="0">
      <text>
        <t>추정: = EPS(추정 구간은 일회성 미가정)
[identity]</t>
      </text>
    </comment>
    <comment ref="AL32" authorId="0" shapeId="0">
      <text>
        <t>추정: = EPS(추정 구간은 일회성 미가정)
[identity]</t>
      </text>
    </comment>
    <comment ref="AM32" authorId="0" shapeId="0">
      <text>
        <t>추정: = EPS(추정 구간은 일회성 미가정)
[identity]</t>
      </text>
    </comment>
    <comment ref="AN32" authorId="0" shapeId="0">
      <text>
        <t>추정: = EPS(추정 구간은 일회성 미가정)
[identity]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에스앤더블류(103230)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수식, 조정EPS 는 EPS 참조(일회성 의심 분기만 산식 셀)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10.50%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1.55% / 부채 1.15% — 이자손익 = (전분기 이자발생자산 × 자산이자율 − 전분기 총차입금 × 부채이자율)/4, 최소자승 역산(모델 assumptions [0.0158, 0.0116] 는 4자리 반올림이라 그대로 쓰면 ±1억 어긋남) · 출처: {"asset": "CF 이자수취 ÷ 평균 이자발생자산(2025Q3~2026Q2; 주석 이자수익 1분기 &lt; 4)", "debt": "CF 이자지급 ÷ 평균 총차입금(2023Q1~2025Q1; 주석 이자비용 1분기 &lt; 4)"}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조정EPS(일회성 의심 1분기: 2025Q4 보고 -30→조정 73원) — 의심 분기 = 지배NI − (비영업손익 − 12분기 기준선) × (1 − 세율) × 지배 비중 ÷ 유통주식수(subQ 수식+메모, 세후 초과·지배 비중은 모델 상수), 다른 분기 = EPS. 보고 EPS 행·TP 12M fwd EPS(추정 분기만) 는 불변. 일회성 여부·세효과는 주석 미확인(모델 추정)</t>
        </is>
      </c>
    </row>
    <row r="28">
      <c r="A28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9">
      <c r="A29" t="inlineStr">
        <is>
          <t>· 밸류에이션 — PER 밴드 5.0/8.3/10.2배(hist_quarterly(분기 평균가 ÷ TTM EPS, 14분기, 25/50/75 백분위)) · COE 9.0% · 12M fwd EPS 가중 0.5(가정). 모델 산출값 구간이며 추천이 아니다</t>
        </is>
      </c>
    </row>
    <row r="30">
      <c r="A30" t="inlineStr"/>
    </row>
    <row r="31">
      <c r="A31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2">
      <c r="A32" t="inlineStr">
        <is>
          <t>재현: cd argus/kship/tools &amp;&amp; python3 kship_model_xlsx.py --model assets/models/103230.json --verify   (모델 json 부터: kship_model.py --build --all --xlsx · xlsx 58사 일괄: kship_model_xlsx.py --all --verify)</t>
        </is>
      </c>
    </row>
    <row r="33">
      <c r="A33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4">
      <c r="A34" t="inlineStr">
        <is>
          <t>한계: 모델 quality.warnings — 매출 드라이버 폴백(고객 연동 OOS 기각 — 동결 2025Q2 이후 4분기 매출 WAPE 연동 22.6% &gt; 추세 18.8% × 1.10 (suppliers_mentions·시차 2·4분기 이동합·창 19, r=0.89 유의)): 전년동기 × (1+g) 추세 / 법인세율 이월결손 경로: 최근 양(+)세전 6분기 유효세율 중위 -35.1% → 0.0% 를 2026Q4 까지 유지, 2027Q1~2028Q4 선형 램프로 법정세율 근사 22% 수렴 — 결손 잔액·만기는 주석 미파싱(추정) / 감가상각비가 face·CF 에 없음(주석 미파싱) → EBITDA·EV/EBITDA 미산출 / 일회성 의심 2025Q4: 비영업손익 -7억(영업이익 -1억의 7배, 12분기 중위 1억·기준선 1억) → 지배NI -2억·보고 EPS·FY2025 합계·TTM PER 에 그대로 포함 — 처분이익 등 일회성 여부는 주석 확인 전까지 미확정(12M fwd EPS 에는 미포함) · 조정EPS 73.3원(보고 -30.0원; 초과 비영업손익 -7억 × (1 − 세율 0.0%) × 지배 비중 1.00 = -7억 차감 — 추정, 조정EPS 행) / 금융손익 실적→추정 단절: 최근 4분기 실적 -0/+0/+0/+0(중위 +0억) → 추정 2026Q3 -0억(차 -0억, -401%) — 추정은 이자손익 + 기타금융 중위, 외환·파생 평가손익 0 가정(환율 효과는 환관련손익 행). 값은 바꾸지 않음 — 지배NI·EPS 해석 시 참고</t>
        </is>
      </c>
    </row>
    <row r="35">
      <c r="A35" t="inlineStr">
        <is>
          <t>백테스트: {"freeze": "2025Q2", "horizon": 4, "revenue_wape_pct": 18.5, "op_wape_pct": 205.4, "n": 4, "note": "단일 회사 4분기 — 통계 아님", "driver_at_freeze": "customer_yard_revenue_weighted", "selection_oos_at_freeze": {"freeze": "2024Q2", "n": 4, "wape_link": 11.8, "wape_trend": 11.2,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127.59, "rev_act": 116.42, "op_pred": 7.65, "op_act": 3.7}, {"q": "2025Q4", "rev_pred": 163.85, "rev_act": 125.9, "op_pred": 9.82, "op_act": -1.02}, {"q": "2026Q1", "rev_pred": 132.61, "rev_act": 114.94, "op_pred": 7.95, "op_act": 3.09}, {"q": "2026Q2", "rev_pred": 151.15, "rev_act": 127.96, "op_pred": 9.06, "op_act": 4.15}]}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F15" s="9" t="n"/>
      <c r="K15" s="9" t="n"/>
      <c r="L15" s="18" t="n">
        <v>3750</v>
      </c>
      <c r="M15" s="18" t="n">
        <v>4810</v>
      </c>
      <c r="N15" s="18" t="n">
        <v>4410</v>
      </c>
      <c r="O15" s="18" t="n">
        <v>4030</v>
      </c>
      <c r="P15" s="9" t="n"/>
      <c r="Q15" s="18" t="n">
        <v>3945</v>
      </c>
      <c r="R15" s="18" t="n">
        <v>4540</v>
      </c>
      <c r="S15" s="18" t="n">
        <v>3670</v>
      </c>
      <c r="T15" s="18" t="n">
        <v>3250</v>
      </c>
      <c r="U15" s="9" t="n"/>
      <c r="V15" s="18" t="n">
        <v>3150</v>
      </c>
      <c r="W15" s="18" t="n">
        <v>3365</v>
      </c>
      <c r="X15" s="18" t="n">
        <v>4440</v>
      </c>
      <c r="Y15" s="18" t="n">
        <v>4160</v>
      </c>
      <c r="Z15" s="9" t="n"/>
      <c r="AA15" s="18" t="n">
        <v>3685</v>
      </c>
      <c r="AB15" s="19" t="n">
        <v>2360</v>
      </c>
      <c r="AC15" s="20" t="n">
        <v>1746</v>
      </c>
      <c r="AD15" s="20" t="n">
        <v>1520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F16" s="9" t="n"/>
      <c r="K16" s="9" t="n"/>
      <c r="L16" s="18" t="n">
        <v>4690</v>
      </c>
      <c r="M16" s="18" t="n">
        <v>5050</v>
      </c>
      <c r="N16" s="18" t="n">
        <v>8780</v>
      </c>
      <c r="O16" s="18" t="n">
        <v>4850</v>
      </c>
      <c r="P16" s="9" t="n"/>
      <c r="Q16" s="18" t="n">
        <v>4345</v>
      </c>
      <c r="R16" s="18" t="n">
        <v>5120</v>
      </c>
      <c r="S16" s="18" t="n">
        <v>4845</v>
      </c>
      <c r="T16" s="18" t="n">
        <v>3880</v>
      </c>
      <c r="U16" s="9" t="n"/>
      <c r="V16" s="18" t="n">
        <v>3640</v>
      </c>
      <c r="W16" s="18" t="n">
        <v>3940</v>
      </c>
      <c r="X16" s="18" t="n">
        <v>6100</v>
      </c>
      <c r="Y16" s="18" t="n">
        <v>5000</v>
      </c>
      <c r="Z16" s="9" t="n"/>
      <c r="AA16" s="18" t="n">
        <v>4390</v>
      </c>
      <c r="AB16" s="19" t="n">
        <v>4800</v>
      </c>
      <c r="AC16" s="20" t="n">
        <v>2850</v>
      </c>
      <c r="AD16" s="20" t="n">
        <v>1689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F17" s="9" t="n"/>
      <c r="K17" s="9" t="n"/>
      <c r="L17" s="18" t="n">
        <v>3425</v>
      </c>
      <c r="M17" s="18" t="n">
        <v>3600</v>
      </c>
      <c r="N17" s="18" t="n">
        <v>4055</v>
      </c>
      <c r="O17" s="18" t="n">
        <v>3840</v>
      </c>
      <c r="P17" s="9" t="n"/>
      <c r="Q17" s="18" t="n">
        <v>3300</v>
      </c>
      <c r="R17" s="18" t="n">
        <v>3735</v>
      </c>
      <c r="S17" s="18" t="n">
        <v>3250</v>
      </c>
      <c r="T17" s="18" t="n">
        <v>2500</v>
      </c>
      <c r="U17" s="9" t="n"/>
      <c r="V17" s="18" t="n">
        <v>2725</v>
      </c>
      <c r="W17" s="18" t="n">
        <v>3140</v>
      </c>
      <c r="X17" s="18" t="n">
        <v>3155</v>
      </c>
      <c r="Y17" s="18" t="n">
        <v>3980</v>
      </c>
      <c r="Z17" s="9" t="n"/>
      <c r="AA17" s="18" t="n">
        <v>3280</v>
      </c>
      <c r="AB17" s="19" t="n">
        <v>2100</v>
      </c>
      <c r="AC17" s="20" t="n">
        <v>1700</v>
      </c>
      <c r="AD17" s="20" t="n">
        <v>1287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F18" s="9" t="n"/>
      <c r="K18" s="9" t="n"/>
      <c r="L18" s="18" t="n">
        <v>3683.8</v>
      </c>
      <c r="M18" s="18" t="n">
        <v>4265.5</v>
      </c>
      <c r="N18" s="18" t="n">
        <v>5268.7</v>
      </c>
      <c r="O18" s="18" t="n">
        <v>4167.9</v>
      </c>
      <c r="P18" s="9" t="n"/>
      <c r="Q18" s="18" t="n">
        <v>3811.4</v>
      </c>
      <c r="R18" s="18" t="n">
        <v>4340.5</v>
      </c>
      <c r="S18" s="18" t="n">
        <v>4000.3</v>
      </c>
      <c r="T18" s="18" t="n">
        <v>3302.6</v>
      </c>
      <c r="U18" s="9" t="n"/>
      <c r="V18" s="18" t="n">
        <v>3127.7</v>
      </c>
      <c r="W18" s="18" t="n">
        <v>3478.2</v>
      </c>
      <c r="X18" s="18" t="n">
        <v>3941.2</v>
      </c>
      <c r="Y18" s="18" t="n">
        <v>4345.1</v>
      </c>
      <c r="Z18" s="9" t="n"/>
      <c r="AA18" s="18" t="n">
        <v>3910</v>
      </c>
      <c r="AB18" s="19" t="n">
        <v>3432</v>
      </c>
      <c r="AC18" s="20" t="n">
        <v>2401.1</v>
      </c>
      <c r="AD18" s="20" t="n">
        <v>1503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-0.019529529</v>
      </c>
      <c r="AD21" s="24" t="n">
        <v>-0.019580587</v>
      </c>
      <c r="AE21" s="25" t="n"/>
      <c r="AF21" s="24" t="n">
        <v>-0.019533632</v>
      </c>
      <c r="AG21" s="24" t="n">
        <v>-0.019564939</v>
      </c>
      <c r="AH21" s="24" t="n">
        <v>-0.009811650999999999</v>
      </c>
      <c r="AI21" s="24" t="n">
        <v>-0.009803127</v>
      </c>
      <c r="AJ21" s="25" t="n"/>
      <c r="AK21" s="24" t="n">
        <v>-0.009850031</v>
      </c>
      <c r="AL21" s="24" t="n">
        <v>-0.009803922</v>
      </c>
      <c r="AM21" s="24" t="n">
        <v>-0.004865965</v>
      </c>
      <c r="AN21" s="24" t="n">
        <v>-0.00482736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0.02934735</v>
      </c>
      <c r="AD23" s="24" t="n">
        <v>0.029328364</v>
      </c>
      <c r="AE23" s="25">
        <f>IFERROR(subQ!AE9/subQ!AE5,"")</f>
        <v/>
      </c>
      <c r="AF23" s="24" t="n">
        <v>0.029283876</v>
      </c>
      <c r="AG23" s="24" t="n">
        <v>0.029332058</v>
      </c>
      <c r="AH23" s="24" t="n">
        <v>0.029284261</v>
      </c>
      <c r="AI23" s="24" t="n">
        <v>0.029291442</v>
      </c>
      <c r="AJ23" s="25">
        <f>IFERROR(subQ!AJ9/subQ!AJ5,"")</f>
        <v/>
      </c>
      <c r="AK23" s="24" t="n">
        <v>0.029306327</v>
      </c>
      <c r="AL23" s="24" t="n">
        <v>0.029300491</v>
      </c>
      <c r="AM23" s="24" t="n">
        <v>0.029338549</v>
      </c>
      <c r="AN23" s="24" t="n">
        <v>0.029351311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분기별 세율(이월결손 램프, assumptions.tax_schedule)</t>
        </is>
      </c>
      <c r="E27" s="21">
        <f>IFERROR(subQ!E17/subQ!E16,"")</f>
        <v/>
      </c>
      <c r="F27" s="22">
        <f>IFERROR(subQ!F17/subQ!F16,"")</f>
        <v/>
      </c>
      <c r="G27" s="21">
        <f>IFERROR(subQ!G17/subQ!G16,"")</f>
        <v/>
      </c>
      <c r="H27" s="21">
        <f>IFERROR(subQ!H17/subQ!H16,"")</f>
        <v/>
      </c>
      <c r="I27" s="21">
        <f>IFERROR(subQ!I17/subQ!I16,"")</f>
        <v/>
      </c>
      <c r="J27" s="21">
        <f>IFERROR(subQ!J17/subQ!J16,"")</f>
        <v/>
      </c>
      <c r="K27" s="22">
        <f>IFERROR(subQ!K17/subQ!K16,"")</f>
        <v/>
      </c>
      <c r="L27" s="21">
        <f>IFERROR(subQ!L17/subQ!L16,"")</f>
        <v/>
      </c>
      <c r="M27" s="21">
        <f>IFERROR(subQ!M17/subQ!M16,"")</f>
        <v/>
      </c>
      <c r="N27" s="21">
        <f>IFERROR(subQ!N17/subQ!N16,"")</f>
        <v/>
      </c>
      <c r="O27" s="21">
        <f>IFERROR(subQ!O17/subQ!O16,"")</f>
        <v/>
      </c>
      <c r="P27" s="22">
        <f>IFERROR(subQ!P17/subQ!P16,"")</f>
        <v/>
      </c>
      <c r="Q27" s="21">
        <f>IFERROR(subQ!Q17/subQ!Q16,"")</f>
        <v/>
      </c>
      <c r="R27" s="21">
        <f>IFERROR(subQ!R17/subQ!R16,"")</f>
        <v/>
      </c>
      <c r="S27" s="21">
        <f>IFERROR(subQ!S17/subQ!S16,"")</f>
        <v/>
      </c>
      <c r="T27" s="21">
        <f>IFERROR(subQ!T17/subQ!T16,"")</f>
        <v/>
      </c>
      <c r="U27" s="22">
        <f>IFERROR(subQ!U17/subQ!U16,"")</f>
        <v/>
      </c>
      <c r="V27" s="21">
        <f>IFERROR(subQ!V17/subQ!V16,"")</f>
        <v/>
      </c>
      <c r="W27" s="21">
        <f>IFERROR(subQ!W17/subQ!W16,"")</f>
        <v/>
      </c>
      <c r="X27" s="21">
        <f>IFERROR(subQ!X17/subQ!X16,"")</f>
        <v/>
      </c>
      <c r="Y27" s="21">
        <f>IFERROR(subQ!Y17/subQ!Y16,"")</f>
        <v/>
      </c>
      <c r="Z27" s="22">
        <f>IFERROR(subQ!Z17/subQ!Z16,"")</f>
        <v/>
      </c>
      <c r="AA27" s="21">
        <f>IFERROR(subQ!AA17/subQ!AA16,"")</f>
        <v/>
      </c>
      <c r="AB27" s="23">
        <f>IFERROR(subQ!AB17/subQ!AB16,"")</f>
        <v/>
      </c>
      <c r="AC27" s="24" t="n">
        <v>0</v>
      </c>
      <c r="AD27" s="24" t="n">
        <v>0</v>
      </c>
      <c r="AE27" s="25">
        <f>IFERROR(subQ!AE17/subQ!AE16,"")</f>
        <v/>
      </c>
      <c r="AF27" s="24" t="n">
        <v>0.026578073</v>
      </c>
      <c r="AG27" s="24" t="n">
        <v>0.056047198</v>
      </c>
      <c r="AH27" s="24" t="n">
        <v>0.082236842</v>
      </c>
      <c r="AI27" s="24" t="n">
        <v>0.111445783</v>
      </c>
      <c r="AJ27" s="25">
        <f>IFERROR(subQ!AJ17/subQ!AJ16,"")</f>
        <v/>
      </c>
      <c r="AK27" s="24" t="n">
        <v>0.139072848</v>
      </c>
      <c r="AL27" s="24" t="n">
        <v>0.164705882</v>
      </c>
      <c r="AM27" s="24" t="n">
        <v>0.19218241</v>
      </c>
      <c r="AN27" s="24" t="n">
        <v>0.220895522</v>
      </c>
      <c r="AO27" s="25">
        <f>IFERROR(subQ!AO17/subQ!AO16,"")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IFERROR(subQ!E19/subQ!E18,"")</f>
        <v/>
      </c>
      <c r="F28" s="22">
        <f>IFERROR(subQ!F19/subQ!F18,"")</f>
        <v/>
      </c>
      <c r="G28" s="21">
        <f>IFERROR(subQ!G19/subQ!G18,"")</f>
        <v/>
      </c>
      <c r="H28" s="21">
        <f>IFERROR(subQ!H19/subQ!H18,"")</f>
        <v/>
      </c>
      <c r="I28" s="21">
        <f>IFERROR(subQ!I19/subQ!I18,"")</f>
        <v/>
      </c>
      <c r="J28" s="21">
        <f>IFERROR(subQ!J19/subQ!J18,"")</f>
        <v/>
      </c>
      <c r="K28" s="22">
        <f>IFERROR(subQ!K19/subQ!K18,"")</f>
        <v/>
      </c>
      <c r="L28" s="21">
        <f>IFERROR(subQ!L19/subQ!L18,"")</f>
        <v/>
      </c>
      <c r="M28" s="21">
        <f>IFERROR(subQ!M19/subQ!M18,"")</f>
        <v/>
      </c>
      <c r="N28" s="21">
        <f>IFERROR(subQ!N19/subQ!N18,"")</f>
        <v/>
      </c>
      <c r="O28" s="21">
        <f>IFERROR(subQ!O19/subQ!O18,"")</f>
        <v/>
      </c>
      <c r="P28" s="22">
        <f>IFERROR(subQ!P19/subQ!P18,"")</f>
        <v/>
      </c>
      <c r="Q28" s="21">
        <f>IFERROR(subQ!Q19/subQ!Q18,"")</f>
        <v/>
      </c>
      <c r="R28" s="21">
        <f>IFERROR(subQ!R19/subQ!R18,"")</f>
        <v/>
      </c>
      <c r="S28" s="21">
        <f>IFERROR(subQ!S19/subQ!S18,"")</f>
        <v/>
      </c>
      <c r="T28" s="21">
        <f>IFERROR(subQ!T19/subQ!T18,"")</f>
        <v/>
      </c>
      <c r="U28" s="22">
        <f>IFERROR(subQ!U19/subQ!U18,"")</f>
        <v/>
      </c>
      <c r="V28" s="21">
        <f>IFERROR(subQ!V19/subQ!V18,"")</f>
        <v/>
      </c>
      <c r="W28" s="21">
        <f>IFERROR(subQ!W19/subQ!W18,"")</f>
        <v/>
      </c>
      <c r="X28" s="21">
        <f>IFERROR(subQ!X19/subQ!X18,"")</f>
        <v/>
      </c>
      <c r="Y28" s="21">
        <f>IFERROR(subQ!Y19/subQ!Y18,"")</f>
        <v/>
      </c>
      <c r="Z28" s="22">
        <f>IFERROR(subQ!Z19/subQ!Z18,"")</f>
        <v/>
      </c>
      <c r="AA28" s="21">
        <f>IFERROR(subQ!AA19/subQ!AA18,"")</f>
        <v/>
      </c>
      <c r="AB28" s="23">
        <f>IFERROR(subQ!AB19/subQ!AB18,"")</f>
        <v/>
      </c>
      <c r="AC28" s="26">
        <f>$D$51</f>
        <v/>
      </c>
      <c r="AD28" s="26">
        <f>$D$51</f>
        <v/>
      </c>
      <c r="AE28" s="25">
        <f>IFERROR(subQ!AE19/subQ!AE18,"")</f>
        <v/>
      </c>
      <c r="AF28" s="26">
        <f>$D$51</f>
        <v/>
      </c>
      <c r="AG28" s="26">
        <f>$D$51</f>
        <v/>
      </c>
      <c r="AH28" s="26">
        <f>$D$51</f>
        <v/>
      </c>
      <c r="AI28" s="26">
        <f>$D$51</f>
        <v/>
      </c>
      <c r="AJ28" s="25">
        <f>IFERROR(subQ!AJ19/subQ!AJ18,"")</f>
        <v/>
      </c>
      <c r="AK28" s="26">
        <f>$D$51</f>
        <v/>
      </c>
      <c r="AL28" s="26">
        <f>$D$51</f>
        <v/>
      </c>
      <c r="AM28" s="26">
        <f>$D$51</f>
        <v/>
      </c>
      <c r="AN28" s="26">
        <f>$D$51</f>
        <v/>
      </c>
      <c r="AO28" s="25">
        <f>IFERROR(subQ!AO19/subQ!AO18,"")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-4.145e-06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0.005180418</v>
      </c>
      <c r="AD30" s="30" t="n">
        <v>0.001460245</v>
      </c>
      <c r="AE30" s="31" t="n"/>
      <c r="AF30" s="30" t="n">
        <v>-0.005600626</v>
      </c>
      <c r="AG30" s="30" t="n">
        <v>0.005252865</v>
      </c>
      <c r="AH30" s="30" t="n">
        <v>-0.00190339</v>
      </c>
      <c r="AI30" s="30" t="n">
        <v>-0.011151955</v>
      </c>
      <c r="AJ30" s="31" t="n"/>
      <c r="AK30" s="30" t="n">
        <v>-0.009881480999999999</v>
      </c>
      <c r="AL30" s="30" t="n">
        <v>0.000183645</v>
      </c>
      <c r="AM30" s="30" t="n">
        <v>0.000961695</v>
      </c>
      <c r="AN30" s="30" t="n">
        <v>0.000600254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0.005180418</v>
      </c>
      <c r="AD31" s="30" t="n">
        <v>0.001460245</v>
      </c>
      <c r="AE31" s="31" t="n"/>
      <c r="AF31" s="30" t="n">
        <v>-0.005600626</v>
      </c>
      <c r="AG31" s="30" t="n">
        <v>0.005252865</v>
      </c>
      <c r="AH31" s="30" t="n">
        <v>-0.00190339</v>
      </c>
      <c r="AI31" s="30" t="n">
        <v>-0.011151955</v>
      </c>
      <c r="AJ31" s="31" t="n"/>
      <c r="AK31" s="30" t="n">
        <v>-0.009881480999999999</v>
      </c>
      <c r="AL31" s="30" t="n">
        <v>0.000183645</v>
      </c>
      <c r="AM31" s="30" t="n">
        <v>0.000961695</v>
      </c>
      <c r="AN31" s="30" t="n">
        <v>0.000600254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-0.024868486</v>
      </c>
      <c r="AD33" s="24" t="n">
        <v>-0.027918354</v>
      </c>
      <c r="AE33" s="25" t="n"/>
      <c r="AF33" s="24" t="n">
        <v>-0.025422993</v>
      </c>
      <c r="AG33" s="24" t="n">
        <v>-0.028490028</v>
      </c>
      <c r="AH33" s="24" t="n">
        <v>-0.025568182</v>
      </c>
      <c r="AI33" s="24" t="n">
        <v>-0.027837863</v>
      </c>
      <c r="AJ33" s="25" t="n"/>
      <c r="AK33" s="24" t="n">
        <v>-0.025249105</v>
      </c>
      <c r="AL33" s="24" t="n">
        <v>-0.028185788</v>
      </c>
      <c r="AM33" s="24" t="n">
        <v>-0.025326797</v>
      </c>
      <c r="AN33" s="24" t="n">
        <v>-0.027347024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0.09811658700000001</v>
      </c>
      <c r="AD34" s="24" t="n">
        <v>0.097813239</v>
      </c>
      <c r="AE34" s="25" t="n"/>
      <c r="AF34" s="24" t="n">
        <v>0.07886944799999999</v>
      </c>
      <c r="AG34" s="24" t="n">
        <v>0.07984031900000001</v>
      </c>
      <c r="AH34" s="24" t="n">
        <v>0.064463956</v>
      </c>
      <c r="AI34" s="24" t="n">
        <v>0.064250054</v>
      </c>
      <c r="AJ34" s="25" t="n"/>
      <c r="AK34" s="24" t="n">
        <v>0.053232715</v>
      </c>
      <c r="AL34" s="24" t="n">
        <v>0.054996127</v>
      </c>
      <c r="AM34" s="24" t="n">
        <v>0.045521292</v>
      </c>
      <c r="AN34" s="24" t="n">
        <v>0.045821629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-0.032107957</v>
      </c>
      <c r="AD36" s="24" t="n">
        <v>0.034043907</v>
      </c>
      <c r="AE36" s="25" t="n"/>
      <c r="AF36" s="24" t="n">
        <v>6.996309396</v>
      </c>
      <c r="AG36" s="24" t="n">
        <v>-0.553268443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1520</v>
      </c>
      <c r="E42" s="2" t="inlineStr">
        <is>
          <t>원 — 네이버 정규장 종가(aik 확정종가 대조 · aik 1,535원)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20261012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14분기,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8.300000000000001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10.2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</v>
      </c>
      <c r="E49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6분기(2024Q4~2026Q2) 법인세/세전 중위 -35.1%·최근 4분기 중위 -35.1% 가 모두 5% 미만 → 이월결손 공제 중으로 보고 0.0% 를 2026Q4 까지 유지, 2027Q1~2028Q4 선형 램프로 법정세율 근사 22% 수렴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0.1049707849944957</v>
      </c>
      <c r="E50" s="2" t="inlineStr">
        <is>
          <t>연결 — 판관비 = 매출액 × 판관비율(역산, 재현 오차 ≤ 0.05억 · 모델 assumptions 0.105)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0.01545159234920242</v>
      </c>
      <c r="E52" s="2" t="inlineStr">
        <is>
          <t>연결 — 이자손익 = (전분기 이자발생자산 × 자산이자율 − 전분기 총차입금 × 부채이자율)/4(역산, 재현 오차 ≤ 0.05억 · 모델 assumptions 0.0158)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0.01152913900412498</v>
      </c>
      <c r="E53" s="2" t="inlineStr">
        <is>
          <t>연결 — 같은 수식의 부채 쪽(총차입금 행이 없으면 0)(역산, 재현 오차 ≤ 0.05억 · 모델 assumptions 0.0116)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에스앤더블류(연)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8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에스앤더블류(별)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16928.95</v>
      </c>
      <c r="F5" s="37" t="n">
        <v>16928.95</v>
      </c>
      <c r="G5" s="18" t="n">
        <v>18372.65</v>
      </c>
      <c r="H5" s="18" t="n">
        <v>37453.11</v>
      </c>
      <c r="I5" s="18" t="n">
        <v>37007.74</v>
      </c>
      <c r="J5" s="18" t="n">
        <v>38407.88</v>
      </c>
      <c r="K5" s="37" t="n">
        <v>38407.88</v>
      </c>
      <c r="L5" s="18" t="n">
        <v>40090.49</v>
      </c>
      <c r="M5" s="18" t="n">
        <v>39103.81</v>
      </c>
      <c r="N5" s="18" t="n">
        <v>43720.72</v>
      </c>
      <c r="O5" s="18" t="n">
        <v>42551</v>
      </c>
      <c r="P5" s="37" t="n">
        <v>42551</v>
      </c>
      <c r="Q5" s="18" t="n">
        <v>44210.47</v>
      </c>
      <c r="R5" s="18" t="n">
        <v>45311.7</v>
      </c>
      <c r="S5" s="18" t="n">
        <v>41982.95</v>
      </c>
      <c r="T5" s="18" t="n">
        <v>23323.59</v>
      </c>
      <c r="U5" s="37" t="n">
        <v>23323.59</v>
      </c>
      <c r="V5" s="18" t="n">
        <v>21691.17</v>
      </c>
      <c r="W5" s="18" t="n">
        <v>21230.91</v>
      </c>
      <c r="X5" s="18" t="n">
        <v>20855.8</v>
      </c>
      <c r="Y5" s="18" t="n">
        <v>23330.81</v>
      </c>
      <c r="Z5" s="37" t="n">
        <v>23330.81</v>
      </c>
      <c r="AA5" s="18" t="n">
        <v>24350.91</v>
      </c>
      <c r="AB5" s="19" t="n">
        <v>23212.71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774.77</v>
      </c>
      <c r="F6" s="37" t="n">
        <v>774.77</v>
      </c>
      <c r="G6" s="18" t="n">
        <v>3152.38</v>
      </c>
      <c r="H6" s="18" t="n">
        <v>6286.13</v>
      </c>
      <c r="I6" s="18" t="n">
        <v>5475.69</v>
      </c>
      <c r="J6" s="18" t="n">
        <v>5083.15</v>
      </c>
      <c r="K6" s="37" t="n">
        <v>5083.15</v>
      </c>
      <c r="L6" s="18" t="n">
        <v>4268.21</v>
      </c>
      <c r="M6" s="18" t="n">
        <v>2169.39</v>
      </c>
      <c r="N6" s="18" t="n">
        <v>5101.68</v>
      </c>
      <c r="O6" s="18" t="n">
        <v>4000.15</v>
      </c>
      <c r="P6" s="37" t="n">
        <v>4000.15</v>
      </c>
      <c r="Q6" s="18" t="n">
        <v>3339.54</v>
      </c>
      <c r="R6" s="18" t="n">
        <v>3698.95</v>
      </c>
      <c r="S6" s="18" t="n">
        <v>502.96</v>
      </c>
      <c r="T6" s="18" t="n">
        <v>2709.56</v>
      </c>
      <c r="U6" s="37" t="n">
        <v>2709.56</v>
      </c>
      <c r="V6" s="18" t="n">
        <v>1889.31</v>
      </c>
      <c r="W6" s="18" t="n">
        <v>1127.1</v>
      </c>
      <c r="X6" s="18" t="n">
        <v>1173.68</v>
      </c>
      <c r="Y6" s="18" t="n">
        <v>2382</v>
      </c>
      <c r="Z6" s="37" t="n">
        <v>2382</v>
      </c>
      <c r="AA6" s="18" t="n">
        <v>4081.32</v>
      </c>
      <c r="AB6" s="19" t="n">
        <v>3081.64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0.01</v>
      </c>
      <c r="F7" s="37" t="n">
        <v>0.01</v>
      </c>
      <c r="G7" s="18" t="n">
        <v>40.84</v>
      </c>
      <c r="H7" s="18" t="n">
        <v>220.07</v>
      </c>
      <c r="I7" s="18" t="n">
        <v>288.56</v>
      </c>
      <c r="J7" s="18" t="n">
        <v>2058.36</v>
      </c>
      <c r="K7" s="37" t="n">
        <v>2058.36</v>
      </c>
      <c r="L7" s="18" t="n">
        <v>2128.47</v>
      </c>
      <c r="M7" s="18" t="n">
        <v>3919.04</v>
      </c>
      <c r="N7" s="18" t="n">
        <v>4317.3</v>
      </c>
      <c r="O7" s="18" t="n">
        <v>3751.17</v>
      </c>
      <c r="P7" s="37" t="n">
        <v>3751.17</v>
      </c>
      <c r="Q7" s="18" t="n">
        <v>2531.14</v>
      </c>
      <c r="R7" s="18" t="n">
        <v>4032.68</v>
      </c>
      <c r="S7" s="18" t="n">
        <v>3904.06</v>
      </c>
      <c r="T7" s="18" t="n">
        <v>0</v>
      </c>
      <c r="U7" s="37" t="n">
        <v>0</v>
      </c>
      <c r="V7" s="18" t="n">
        <v>220.41</v>
      </c>
      <c r="W7" s="18" t="n">
        <v>0</v>
      </c>
      <c r="X7" s="18" t="n">
        <v>0</v>
      </c>
      <c r="Y7" s="18" t="n">
        <v>0</v>
      </c>
      <c r="Z7" s="37" t="n">
        <v>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112.07</v>
      </c>
      <c r="F8" s="37" t="n">
        <v>112.07</v>
      </c>
      <c r="G8" s="18" t="n">
        <v>112.93</v>
      </c>
      <c r="H8" s="18" t="n">
        <v>88.17</v>
      </c>
      <c r="I8" s="18" t="n">
        <v>72.34999999999999</v>
      </c>
      <c r="J8" s="18" t="n">
        <v>75.95</v>
      </c>
      <c r="K8" s="37" t="n">
        <v>75.95</v>
      </c>
      <c r="L8" s="18" t="n">
        <v>71.95</v>
      </c>
      <c r="M8" s="18" t="n">
        <v>75.48</v>
      </c>
      <c r="N8" s="18" t="n">
        <v>67.7</v>
      </c>
      <c r="O8" s="18" t="n">
        <v>69.2</v>
      </c>
      <c r="P8" s="37" t="n">
        <v>69.2</v>
      </c>
      <c r="Q8" s="18" t="n">
        <v>66.29000000000001</v>
      </c>
      <c r="R8" s="18" t="n">
        <v>61.38</v>
      </c>
      <c r="S8" s="18" t="n">
        <v>53.49</v>
      </c>
      <c r="T8" s="18" t="n">
        <v>51.55</v>
      </c>
      <c r="U8" s="37" t="n">
        <v>51.55</v>
      </c>
      <c r="V8" s="18" t="n">
        <v>49.47</v>
      </c>
      <c r="W8" s="18" t="n">
        <v>57.78</v>
      </c>
      <c r="X8" s="18" t="n">
        <v>53.12</v>
      </c>
      <c r="Y8" s="18" t="n">
        <v>51.57</v>
      </c>
      <c r="Z8" s="37" t="n">
        <v>51.57</v>
      </c>
      <c r="AA8" s="18" t="n">
        <v>28.45</v>
      </c>
      <c r="AB8" s="19" t="n">
        <v>19.97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9930.82</v>
      </c>
      <c r="F9" s="37" t="n">
        <v>9930.82</v>
      </c>
      <c r="G9" s="18" t="n">
        <v>8339.34</v>
      </c>
      <c r="H9" s="18" t="n">
        <v>11169.15</v>
      </c>
      <c r="I9" s="18" t="n">
        <v>5164.94</v>
      </c>
      <c r="J9" s="18" t="n">
        <v>10519.41</v>
      </c>
      <c r="K9" s="37" t="n">
        <v>10519.41</v>
      </c>
      <c r="L9" s="18" t="n">
        <v>12759.46</v>
      </c>
      <c r="M9" s="18" t="n">
        <v>11013.32</v>
      </c>
      <c r="N9" s="18" t="n">
        <v>9836.110000000001</v>
      </c>
      <c r="O9" s="18" t="n">
        <v>11665.64</v>
      </c>
      <c r="P9" s="37" t="n">
        <v>11665.64</v>
      </c>
      <c r="Q9" s="18" t="n">
        <v>14062.97</v>
      </c>
      <c r="R9" s="18" t="n">
        <v>12906.34</v>
      </c>
      <c r="S9" s="18" t="n">
        <v>11362.36</v>
      </c>
      <c r="T9" s="18" t="n">
        <v>11713.06</v>
      </c>
      <c r="U9" s="37" t="n">
        <v>11713.06</v>
      </c>
      <c r="V9" s="18" t="n">
        <v>12721.13</v>
      </c>
      <c r="W9" s="18" t="n">
        <v>11943.74</v>
      </c>
      <c r="X9" s="18" t="n">
        <v>9929.68</v>
      </c>
      <c r="Y9" s="18" t="n">
        <v>13634.38</v>
      </c>
      <c r="Z9" s="37" t="n">
        <v>13634.38</v>
      </c>
      <c r="AA9" s="18" t="n">
        <v>11364.46</v>
      </c>
      <c r="AB9" s="19" t="n">
        <v>8272.76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66.52</v>
      </c>
      <c r="F10" s="37" t="n">
        <v>66.52</v>
      </c>
      <c r="G10" s="18" t="n">
        <v>36.27</v>
      </c>
      <c r="H10" s="18" t="n">
        <v>29.96</v>
      </c>
      <c r="I10" s="18" t="n">
        <v>179.2</v>
      </c>
      <c r="J10" s="18" t="n">
        <v>38.43</v>
      </c>
      <c r="K10" s="37" t="n">
        <v>38.43</v>
      </c>
      <c r="L10" s="18" t="n">
        <v>56.01</v>
      </c>
      <c r="M10" s="18" t="n">
        <v>42.86</v>
      </c>
      <c r="N10" s="18" t="n">
        <v>47.04</v>
      </c>
      <c r="O10" s="18" t="n">
        <v>49.74</v>
      </c>
      <c r="P10" s="37" t="n">
        <v>49.74</v>
      </c>
      <c r="Q10" s="18" t="n">
        <v>74.42</v>
      </c>
      <c r="R10" s="18" t="n">
        <v>60.61</v>
      </c>
      <c r="S10" s="18" t="n">
        <v>286.37</v>
      </c>
      <c r="T10" s="18" t="n">
        <v>506.18</v>
      </c>
      <c r="U10" s="37" t="n">
        <v>506.18</v>
      </c>
      <c r="V10" s="18" t="n">
        <v>459.79</v>
      </c>
      <c r="W10" s="18" t="n">
        <v>82.25</v>
      </c>
      <c r="X10" s="18" t="n">
        <v>128.17</v>
      </c>
      <c r="Y10" s="18" t="n">
        <v>21.03</v>
      </c>
      <c r="Z10" s="37" t="n">
        <v>21.03</v>
      </c>
      <c r="AA10" s="18" t="n">
        <v>34.46</v>
      </c>
      <c r="AB10" s="19" t="n">
        <v>21.89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10999.32</v>
      </c>
      <c r="F11" s="37" t="n">
        <v>10999.32</v>
      </c>
      <c r="G11" s="18" t="n">
        <v>10838.31</v>
      </c>
      <c r="H11" s="18" t="n">
        <v>10001.6</v>
      </c>
      <c r="I11" s="18" t="n">
        <v>10594.01</v>
      </c>
      <c r="J11" s="18" t="n">
        <v>10642.13</v>
      </c>
      <c r="K11" s="37" t="n">
        <v>10642.13</v>
      </c>
      <c r="L11" s="18" t="n">
        <v>11921.84</v>
      </c>
      <c r="M11" s="18" t="n">
        <v>12125.94</v>
      </c>
      <c r="N11" s="18" t="n">
        <v>13989.97</v>
      </c>
      <c r="O11" s="18" t="n">
        <v>13589.6</v>
      </c>
      <c r="P11" s="37" t="n">
        <v>13589.6</v>
      </c>
      <c r="Q11" s="18" t="n">
        <v>15448.07</v>
      </c>
      <c r="R11" s="18" t="n">
        <v>15739.04</v>
      </c>
      <c r="S11" s="18" t="n">
        <v>16278.67</v>
      </c>
      <c r="T11" s="18" t="n">
        <v>14185.98</v>
      </c>
      <c r="U11" s="37" t="n">
        <v>14185.98</v>
      </c>
      <c r="V11" s="18" t="n">
        <v>12682.12</v>
      </c>
      <c r="W11" s="18" t="n">
        <v>13962.43</v>
      </c>
      <c r="X11" s="18" t="n">
        <v>14511.86</v>
      </c>
      <c r="Y11" s="18" t="n">
        <v>13901.08</v>
      </c>
      <c r="Z11" s="37" t="n">
        <v>13901.08</v>
      </c>
      <c r="AA11" s="18" t="n">
        <v>14504.53</v>
      </c>
      <c r="AB11" s="19" t="n">
        <v>15936.01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36322.59</v>
      </c>
      <c r="F12" s="37" t="n">
        <v>36322.59</v>
      </c>
      <c r="G12" s="18" t="n">
        <v>36131.97</v>
      </c>
      <c r="H12" s="18" t="n">
        <v>22988.86</v>
      </c>
      <c r="I12" s="18" t="n">
        <v>23831.45</v>
      </c>
      <c r="J12" s="18" t="n">
        <v>23627.08</v>
      </c>
      <c r="K12" s="37" t="n">
        <v>23627.08</v>
      </c>
      <c r="L12" s="18" t="n">
        <v>23476.88</v>
      </c>
      <c r="M12" s="18" t="n">
        <v>23731.51</v>
      </c>
      <c r="N12" s="18" t="n">
        <v>23684.08</v>
      </c>
      <c r="O12" s="18" t="n">
        <v>24217.56</v>
      </c>
      <c r="P12" s="37" t="n">
        <v>24217.56</v>
      </c>
      <c r="Q12" s="18" t="n">
        <v>28816.39</v>
      </c>
      <c r="R12" s="18" t="n">
        <v>29778.16</v>
      </c>
      <c r="S12" s="18" t="n">
        <v>30589.54</v>
      </c>
      <c r="T12" s="18" t="n">
        <v>47973.46</v>
      </c>
      <c r="U12" s="37" t="n">
        <v>47973.46</v>
      </c>
      <c r="V12" s="18" t="n">
        <v>61114.9</v>
      </c>
      <c r="W12" s="18" t="n">
        <v>61541.91</v>
      </c>
      <c r="X12" s="18" t="n">
        <v>63177.54</v>
      </c>
      <c r="Y12" s="18" t="n">
        <v>61946.79</v>
      </c>
      <c r="Z12" s="37" t="n">
        <v>61946.79</v>
      </c>
      <c r="AA12" s="18" t="n">
        <v>62273.3</v>
      </c>
      <c r="AB12" s="19" t="n">
        <v>62703.97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0.74</v>
      </c>
      <c r="F13" s="37" t="n">
        <v>0.74</v>
      </c>
      <c r="G13" s="18" t="n">
        <v>0.74</v>
      </c>
      <c r="H13" s="18" t="n">
        <v>1.48</v>
      </c>
      <c r="J13" s="18" t="n">
        <v>0.74</v>
      </c>
      <c r="K13" s="37" t="n">
        <v>0.74</v>
      </c>
      <c r="L13" s="18" t="n">
        <v>0.74</v>
      </c>
      <c r="M13" s="18" t="n">
        <v>1.48</v>
      </c>
      <c r="N13" s="18" t="n">
        <v>1.48</v>
      </c>
      <c r="O13" s="18" t="n">
        <v>0.74</v>
      </c>
      <c r="P13" s="37" t="n">
        <v>0.74</v>
      </c>
      <c r="Q13" s="18" t="n">
        <v>0.74</v>
      </c>
      <c r="R13" s="18" t="n">
        <v>1.48</v>
      </c>
      <c r="S13" s="18" t="n">
        <v>1.48</v>
      </c>
      <c r="T13" s="18" t="n">
        <v>0</v>
      </c>
      <c r="U13" s="37" t="n">
        <v>0</v>
      </c>
      <c r="W13" s="18" t="n">
        <v>0</v>
      </c>
      <c r="X13" s="18" t="n">
        <v>0</v>
      </c>
      <c r="Y13" s="18" t="n">
        <v>0</v>
      </c>
      <c r="Z13" s="37" t="n">
        <v>0</v>
      </c>
      <c r="AA13" s="18" t="n">
        <v>0</v>
      </c>
      <c r="AB13" s="19" t="n">
        <v>0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0.74</v>
      </c>
      <c r="F14" s="37" t="n">
        <v>0.74</v>
      </c>
      <c r="G14" s="18" t="n">
        <v>0.74</v>
      </c>
      <c r="H14" s="18" t="n">
        <v>1.48</v>
      </c>
      <c r="I14" s="18" t="n">
        <v>530.2</v>
      </c>
      <c r="J14" s="18" t="n">
        <v>0.74</v>
      </c>
      <c r="K14" s="37" t="n">
        <v>0.74</v>
      </c>
      <c r="L14" s="18" t="n">
        <v>0.74</v>
      </c>
      <c r="M14" s="18" t="n">
        <v>1.48</v>
      </c>
      <c r="N14" s="18" t="n">
        <v>1.48</v>
      </c>
      <c r="O14" s="18" t="n">
        <v>0.74</v>
      </c>
      <c r="P14" s="37" t="n">
        <v>0.74</v>
      </c>
      <c r="Q14" s="18" t="n">
        <v>0.74</v>
      </c>
      <c r="R14" s="18" t="n">
        <v>1.48</v>
      </c>
      <c r="S14" s="18" t="n">
        <v>1.48</v>
      </c>
      <c r="T14" s="18" t="n">
        <v>0</v>
      </c>
      <c r="U14" s="37" t="n">
        <v>0</v>
      </c>
      <c r="W14" s="18" t="n">
        <v>0</v>
      </c>
      <c r="X14" s="18" t="n">
        <v>0</v>
      </c>
      <c r="Y14" s="18" t="n">
        <v>0</v>
      </c>
      <c r="Z14" s="37" t="n">
        <v>0</v>
      </c>
      <c r="AA14" s="18" t="n">
        <v>0</v>
      </c>
      <c r="AB14" s="19" t="n">
        <v>0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33691.92</v>
      </c>
      <c r="F15" s="37" t="n">
        <v>33691.92</v>
      </c>
      <c r="G15" s="18" t="n">
        <v>34623.78</v>
      </c>
      <c r="H15" s="18" t="n">
        <v>21467.48</v>
      </c>
      <c r="I15" s="18" t="n">
        <v>22416.92</v>
      </c>
      <c r="J15" s="18" t="n">
        <v>22735.83</v>
      </c>
      <c r="K15" s="37" t="n">
        <v>22735.83</v>
      </c>
      <c r="L15" s="18" t="n">
        <v>22572.07</v>
      </c>
      <c r="M15" s="18" t="n">
        <v>22801.31</v>
      </c>
      <c r="N15" s="18" t="n">
        <v>22745.46</v>
      </c>
      <c r="O15" s="18" t="n">
        <v>23215.51</v>
      </c>
      <c r="P15" s="37" t="n">
        <v>23215.51</v>
      </c>
      <c r="Q15" s="18" t="n">
        <v>27861.49</v>
      </c>
      <c r="R15" s="18" t="n">
        <v>28842.58</v>
      </c>
      <c r="S15" s="18" t="n">
        <v>29679.33</v>
      </c>
      <c r="T15" s="18" t="n">
        <v>46812.68</v>
      </c>
      <c r="U15" s="37" t="n">
        <v>46812.68</v>
      </c>
      <c r="V15" s="18" t="n">
        <v>59895.62</v>
      </c>
      <c r="W15" s="18" t="n">
        <v>60520.05</v>
      </c>
      <c r="X15" s="18" t="n">
        <v>62073.44</v>
      </c>
      <c r="Y15" s="18" t="n">
        <v>60777.4</v>
      </c>
      <c r="Z15" s="37" t="n">
        <v>60777.4</v>
      </c>
      <c r="AA15" s="18" t="n">
        <v>61101.38</v>
      </c>
      <c r="AB15" s="19" t="n">
        <v>61501.49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55.32</v>
      </c>
      <c r="F16" s="37" t="n">
        <v>55.32</v>
      </c>
      <c r="G16" s="18" t="n">
        <v>55.53</v>
      </c>
      <c r="H16" s="18" t="n">
        <v>55.46</v>
      </c>
      <c r="I16" s="18" t="n">
        <v>55.38</v>
      </c>
      <c r="J16" s="18" t="n">
        <v>55.31</v>
      </c>
      <c r="K16" s="37" t="n">
        <v>55.31</v>
      </c>
      <c r="L16" s="18" t="n">
        <v>55.23</v>
      </c>
      <c r="M16" s="18" t="n">
        <v>55.15</v>
      </c>
      <c r="N16" s="18" t="n">
        <v>55.08</v>
      </c>
      <c r="O16" s="18" t="n">
        <v>55</v>
      </c>
      <c r="P16" s="37" t="n">
        <v>55</v>
      </c>
      <c r="Q16" s="18" t="n">
        <v>54.93</v>
      </c>
      <c r="R16" s="18" t="n">
        <v>72.25</v>
      </c>
      <c r="S16" s="18" t="n">
        <v>72.31999999999999</v>
      </c>
      <c r="T16" s="18" t="n">
        <v>71.29000000000001</v>
      </c>
      <c r="U16" s="37" t="n">
        <v>71.29000000000001</v>
      </c>
      <c r="V16" s="18" t="n">
        <v>75.90000000000001</v>
      </c>
      <c r="W16" s="18" t="n">
        <v>74.58</v>
      </c>
      <c r="X16" s="18" t="n">
        <v>130.89</v>
      </c>
      <c r="Y16" s="18" t="n">
        <v>129.39</v>
      </c>
      <c r="Z16" s="37" t="n">
        <v>129.39</v>
      </c>
      <c r="AA16" s="18" t="n">
        <v>127.93</v>
      </c>
      <c r="AB16" s="19" t="n">
        <v>154.5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자산총계</t>
        </is>
      </c>
      <c r="E17" s="18" t="n">
        <v>53251.54</v>
      </c>
      <c r="F17" s="37" t="n">
        <v>53251.54</v>
      </c>
      <c r="G17" s="18" t="n">
        <v>54504.62</v>
      </c>
      <c r="H17" s="18" t="n">
        <v>60441.97</v>
      </c>
      <c r="I17" s="18" t="n">
        <v>60839.19</v>
      </c>
      <c r="J17" s="18" t="n">
        <v>62034.96</v>
      </c>
      <c r="K17" s="37" t="n">
        <v>62034.96</v>
      </c>
      <c r="L17" s="18" t="n">
        <v>63567.37</v>
      </c>
      <c r="M17" s="18" t="n">
        <v>62835.32</v>
      </c>
      <c r="N17" s="18" t="n">
        <v>67404.8</v>
      </c>
      <c r="O17" s="18" t="n">
        <v>66768.56</v>
      </c>
      <c r="P17" s="37" t="n">
        <v>66768.56</v>
      </c>
      <c r="Q17" s="18" t="n">
        <v>73026.85000000001</v>
      </c>
      <c r="R17" s="18" t="n">
        <v>75089.85000000001</v>
      </c>
      <c r="S17" s="18" t="n">
        <v>72572.48</v>
      </c>
      <c r="T17" s="18" t="n">
        <v>71297.05</v>
      </c>
      <c r="U17" s="37" t="n">
        <v>71297.05</v>
      </c>
      <c r="V17" s="18" t="n">
        <v>82806.08</v>
      </c>
      <c r="W17" s="18" t="n">
        <v>82772.83</v>
      </c>
      <c r="X17" s="18" t="n">
        <v>84033.35000000001</v>
      </c>
      <c r="Y17" s="18" t="n">
        <v>85277.60000000001</v>
      </c>
      <c r="Z17" s="37" t="n">
        <v>85277.60000000001</v>
      </c>
      <c r="AA17" s="18" t="n">
        <v>86624.21000000001</v>
      </c>
      <c r="AB17" s="19" t="n">
        <v>85916.67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유동부채</t>
        </is>
      </c>
      <c r="E18" s="18" t="n">
        <v>5366.02</v>
      </c>
      <c r="F18" s="37" t="n">
        <v>5366.02</v>
      </c>
      <c r="G18" s="18" t="n">
        <v>6467.92</v>
      </c>
      <c r="H18" s="18" t="n">
        <v>10470.27</v>
      </c>
      <c r="I18" s="18" t="n">
        <v>10788.67</v>
      </c>
      <c r="J18" s="18" t="n">
        <v>13414.47</v>
      </c>
      <c r="K18" s="37" t="n">
        <v>13414.47</v>
      </c>
      <c r="L18" s="18" t="n">
        <v>13625.12</v>
      </c>
      <c r="M18" s="18" t="n">
        <v>11445.06</v>
      </c>
      <c r="N18" s="18" t="n">
        <v>15018.61</v>
      </c>
      <c r="O18" s="18" t="n">
        <v>13902.76</v>
      </c>
      <c r="P18" s="37" t="n">
        <v>13902.76</v>
      </c>
      <c r="Q18" s="18" t="n">
        <v>18643.42</v>
      </c>
      <c r="R18" s="18" t="n">
        <v>19702.85</v>
      </c>
      <c r="S18" s="18" t="n">
        <v>17409.02</v>
      </c>
      <c r="T18" s="18" t="n">
        <v>14169.7</v>
      </c>
      <c r="U18" s="37" t="n">
        <v>14169.7</v>
      </c>
      <c r="V18" s="18" t="n">
        <v>10693.51</v>
      </c>
      <c r="W18" s="18" t="n">
        <v>7262.29</v>
      </c>
      <c r="X18" s="18" t="n">
        <v>8109.99</v>
      </c>
      <c r="Y18" s="18" t="n">
        <v>9546.24</v>
      </c>
      <c r="Z18" s="37" t="n">
        <v>9546.24</v>
      </c>
      <c r="AA18" s="18" t="n">
        <v>10788.96</v>
      </c>
      <c r="AB18" s="19" t="n">
        <v>9211.67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매입채무및기타채무</t>
        </is>
      </c>
      <c r="E19" s="18" t="n">
        <v>8247.65</v>
      </c>
      <c r="F19" s="37" t="n">
        <v>8247.65</v>
      </c>
      <c r="G19" s="18" t="n">
        <v>9090.200000000001</v>
      </c>
      <c r="H19" s="18" t="n">
        <v>7941.37</v>
      </c>
      <c r="I19" s="18" t="n">
        <v>4048.77</v>
      </c>
      <c r="J19" s="18" t="n">
        <v>10683.05</v>
      </c>
      <c r="K19" s="37" t="n">
        <v>10683.05</v>
      </c>
      <c r="L19" s="18" t="n">
        <v>12598.01</v>
      </c>
      <c r="M19" s="18" t="n">
        <v>7612.66</v>
      </c>
      <c r="N19" s="18" t="n">
        <v>12186.82</v>
      </c>
      <c r="O19" s="18" t="n">
        <v>5698.67</v>
      </c>
      <c r="P19" s="37" t="n">
        <v>5698.67</v>
      </c>
      <c r="Q19" s="18" t="n">
        <v>5730.02</v>
      </c>
      <c r="R19" s="18" t="n">
        <v>12600.26</v>
      </c>
      <c r="S19" s="18" t="n">
        <v>8508.49</v>
      </c>
      <c r="T19" s="18" t="n">
        <v>9044.780000000001</v>
      </c>
      <c r="U19" s="37" t="n">
        <v>9044.780000000001</v>
      </c>
      <c r="V19" s="18" t="n">
        <v>11622.91</v>
      </c>
      <c r="W19" s="18" t="n">
        <v>10800.42</v>
      </c>
      <c r="X19" s="18" t="n">
        <v>11141.23</v>
      </c>
      <c r="Y19" s="18" t="n">
        <v>13488.81</v>
      </c>
      <c r="Z19" s="37" t="n">
        <v>13488.81</v>
      </c>
      <c r="AA19" s="18" t="n">
        <v>17773.51</v>
      </c>
      <c r="AB19" s="19" t="n">
        <v>13907.61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단기차입금</t>
        </is>
      </c>
      <c r="E20" s="18" t="n">
        <v>320</v>
      </c>
      <c r="F20" s="37" t="n">
        <v>320</v>
      </c>
      <c r="G20" s="18" t="n">
        <v>0</v>
      </c>
      <c r="H20" s="18" t="n">
        <v>0</v>
      </c>
      <c r="J20" s="18" t="n">
        <v>0</v>
      </c>
      <c r="K20" s="37" t="n">
        <v>0</v>
      </c>
      <c r="L20" s="18" t="n">
        <v>0</v>
      </c>
      <c r="M20" s="18" t="n">
        <v>0</v>
      </c>
      <c r="N20" s="18" t="n">
        <v>0</v>
      </c>
      <c r="O20" s="18" t="n">
        <v>0</v>
      </c>
      <c r="P20" s="37" t="n">
        <v>0</v>
      </c>
      <c r="Q20" s="18" t="n">
        <v>4193.09</v>
      </c>
      <c r="U20" s="9" t="n"/>
      <c r="Y20" s="18" t="n">
        <v>860.64</v>
      </c>
      <c r="Z20" s="37" t="n">
        <v>860.64</v>
      </c>
      <c r="AA20" s="18" t="n">
        <v>0</v>
      </c>
      <c r="AB20" s="19" t="n">
        <v>0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기타유동부채</t>
        </is>
      </c>
      <c r="E21" s="18" t="n">
        <v>377.01</v>
      </c>
      <c r="F21" s="37" t="n">
        <v>377.01</v>
      </c>
      <c r="G21" s="18" t="n">
        <v>1241.54</v>
      </c>
      <c r="H21" s="18" t="n">
        <v>5807.58</v>
      </c>
      <c r="I21" s="18" t="n">
        <v>5739.9</v>
      </c>
      <c r="J21" s="18" t="n">
        <v>5835.98</v>
      </c>
      <c r="K21" s="37" t="n">
        <v>5835.98</v>
      </c>
      <c r="L21" s="18" t="n">
        <v>6716.62</v>
      </c>
      <c r="M21" s="18" t="n">
        <v>6882.56</v>
      </c>
      <c r="N21" s="18" t="n">
        <v>8113.56</v>
      </c>
      <c r="O21" s="18" t="n">
        <v>8204.09</v>
      </c>
      <c r="P21" s="37" t="n">
        <v>8204.09</v>
      </c>
      <c r="Q21" s="18" t="n">
        <v>12913.4</v>
      </c>
      <c r="R21" s="18" t="n">
        <v>12531.12</v>
      </c>
      <c r="S21" s="18" t="n">
        <v>12362.81</v>
      </c>
      <c r="T21" s="18" t="n">
        <v>8630.709999999999</v>
      </c>
      <c r="U21" s="37" t="n">
        <v>8630.709999999999</v>
      </c>
      <c r="V21" s="18" t="n">
        <v>3495.53</v>
      </c>
      <c r="W21" s="18" t="n">
        <v>645.17</v>
      </c>
      <c r="X21" s="18" t="n">
        <v>732.4</v>
      </c>
      <c r="Y21" s="18" t="n">
        <v>713.75</v>
      </c>
      <c r="Z21" s="37" t="n">
        <v>713.75</v>
      </c>
      <c r="AA21" s="18" t="n">
        <v>270.75</v>
      </c>
      <c r="AB21" s="19" t="n">
        <v>806.26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비유동부채</t>
        </is>
      </c>
      <c r="E22" s="18" t="n">
        <v>9149.870000000001</v>
      </c>
      <c r="F22" s="37" t="n">
        <v>9149.870000000001</v>
      </c>
      <c r="G22" s="18" t="n">
        <v>9316.309999999999</v>
      </c>
      <c r="H22" s="18" t="n">
        <v>9025.17</v>
      </c>
      <c r="I22" s="18" t="n">
        <v>7943.03</v>
      </c>
      <c r="J22" s="18" t="n">
        <v>6093.22</v>
      </c>
      <c r="K22" s="37" t="n">
        <v>6093.22</v>
      </c>
      <c r="L22" s="18" t="n">
        <v>6404</v>
      </c>
      <c r="M22" s="18" t="n">
        <v>6664.96</v>
      </c>
      <c r="N22" s="18" t="n">
        <v>6802.27</v>
      </c>
      <c r="O22" s="18" t="n">
        <v>7436.18</v>
      </c>
      <c r="P22" s="37" t="n">
        <v>7436.18</v>
      </c>
      <c r="Q22" s="18" t="n">
        <v>7896.67</v>
      </c>
      <c r="R22" s="18" t="n">
        <v>8252.68</v>
      </c>
      <c r="S22" s="18" t="n">
        <v>8350.25</v>
      </c>
      <c r="T22" s="18" t="n">
        <v>7306.07</v>
      </c>
      <c r="U22" s="37" t="n">
        <v>7306.07</v>
      </c>
      <c r="V22" s="18" t="n">
        <v>20682.55</v>
      </c>
      <c r="W22" s="18" t="n">
        <v>22971.64</v>
      </c>
      <c r="X22" s="18" t="n">
        <v>22280.92</v>
      </c>
      <c r="Y22" s="18" t="n">
        <v>22252.9</v>
      </c>
      <c r="Z22" s="37" t="n">
        <v>22252.9</v>
      </c>
      <c r="AA22" s="18" t="n">
        <v>22232.3</v>
      </c>
      <c r="AB22" s="19" t="n">
        <v>22154.46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장기매입채무및기타채무</t>
        </is>
      </c>
      <c r="E23" s="18" t="n">
        <v>3000</v>
      </c>
      <c r="F23" s="37" t="n">
        <v>3000</v>
      </c>
      <c r="G23" s="18" t="n">
        <v>3000</v>
      </c>
      <c r="H23" s="18" t="n">
        <v>3000</v>
      </c>
      <c r="I23" s="18" t="n">
        <v>2000</v>
      </c>
      <c r="J23" s="18" t="n">
        <v>0</v>
      </c>
      <c r="K23" s="37" t="n">
        <v>0</v>
      </c>
      <c r="L23" s="18" t="n">
        <v>0</v>
      </c>
      <c r="P23" s="9" t="n"/>
      <c r="U23" s="9" t="n"/>
      <c r="V23" s="18" t="n">
        <v>12000</v>
      </c>
      <c r="W23" s="18" t="n">
        <v>14500</v>
      </c>
      <c r="X23" s="18" t="n">
        <v>14500</v>
      </c>
      <c r="Y23" s="18" t="n">
        <v>14860</v>
      </c>
      <c r="Z23" s="37" t="n">
        <v>14860</v>
      </c>
      <c r="AA23" s="18" t="n">
        <v>15000</v>
      </c>
      <c r="AB23" s="19" t="n">
        <v>15240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장기차입금</t>
        </is>
      </c>
      <c r="E24" s="18" t="n">
        <v>3000</v>
      </c>
      <c r="F24" s="37" t="n">
        <v>3000</v>
      </c>
      <c r="G24" s="18" t="n">
        <v>3000</v>
      </c>
      <c r="H24" s="18" t="n">
        <v>3000</v>
      </c>
      <c r="I24" s="18" t="n">
        <v>2000</v>
      </c>
      <c r="J24" s="18" t="n">
        <v>0</v>
      </c>
      <c r="K24" s="37" t="n">
        <v>0</v>
      </c>
      <c r="L24" s="18" t="n">
        <v>0</v>
      </c>
      <c r="P24" s="9" t="n"/>
      <c r="U24" s="9" t="n"/>
      <c r="V24" s="18" t="n">
        <v>12000</v>
      </c>
      <c r="W24" s="18" t="n">
        <v>14500</v>
      </c>
      <c r="X24" s="18" t="n">
        <v>14500</v>
      </c>
      <c r="Y24" s="18" t="n">
        <v>14860</v>
      </c>
      <c r="Z24" s="37" t="n">
        <v>14860</v>
      </c>
      <c r="AA24" s="18" t="n">
        <v>15000</v>
      </c>
      <c r="AB24" s="19" t="n">
        <v>15240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3595.35</v>
      </c>
      <c r="F25" s="37" t="n">
        <v>3595.35</v>
      </c>
      <c r="G25" s="18" t="n">
        <v>3767.15</v>
      </c>
      <c r="H25" s="18" t="n">
        <v>3436.41</v>
      </c>
      <c r="I25" s="18" t="n">
        <v>3323.4</v>
      </c>
      <c r="J25" s="18" t="n">
        <v>3562.16</v>
      </c>
      <c r="K25" s="37" t="n">
        <v>3562.16</v>
      </c>
      <c r="L25" s="18" t="n">
        <v>3901.37</v>
      </c>
      <c r="M25" s="18" t="n">
        <v>4086.59</v>
      </c>
      <c r="N25" s="18" t="n">
        <v>4087.58</v>
      </c>
      <c r="O25" s="18" t="n">
        <v>4675.69</v>
      </c>
      <c r="P25" s="37" t="n">
        <v>4675.69</v>
      </c>
      <c r="Q25" s="18" t="n">
        <v>5009.42</v>
      </c>
      <c r="R25" s="18" t="n">
        <v>5336.45</v>
      </c>
      <c r="S25" s="18" t="n">
        <v>5398.64</v>
      </c>
      <c r="T25" s="18" t="n">
        <v>5639.28</v>
      </c>
      <c r="U25" s="37" t="n">
        <v>5639.28</v>
      </c>
      <c r="V25" s="18" t="n">
        <v>6148.22</v>
      </c>
      <c r="W25" s="18" t="n">
        <v>6335.48</v>
      </c>
      <c r="X25" s="18" t="n">
        <v>6232.32</v>
      </c>
      <c r="Y25" s="18" t="n">
        <v>6262.72</v>
      </c>
      <c r="Z25" s="37" t="n">
        <v>6262.72</v>
      </c>
      <c r="AA25" s="18" t="n">
        <v>6588.67</v>
      </c>
      <c r="AB25" s="19" t="n">
        <v>6361.85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이연법인세부채</t>
        </is>
      </c>
      <c r="E26" s="18" t="n">
        <v>2437.34</v>
      </c>
      <c r="F26" s="37" t="n">
        <v>2437.34</v>
      </c>
      <c r="G26" s="18" t="n">
        <v>2437.34</v>
      </c>
      <c r="H26" s="18" t="n">
        <v>2437.34</v>
      </c>
      <c r="I26" s="18" t="n">
        <v>2437.34</v>
      </c>
      <c r="J26" s="18" t="n">
        <v>2326.55</v>
      </c>
      <c r="K26" s="37" t="n">
        <v>2326.55</v>
      </c>
      <c r="L26" s="18" t="n">
        <v>2326.55</v>
      </c>
      <c r="M26" s="18" t="n">
        <v>2326.55</v>
      </c>
      <c r="N26" s="18" t="n">
        <v>2326.55</v>
      </c>
      <c r="O26" s="18" t="n">
        <v>2326.55</v>
      </c>
      <c r="P26" s="37" t="n">
        <v>2326.55</v>
      </c>
      <c r="Q26" s="18" t="n">
        <v>2326.55</v>
      </c>
      <c r="R26" s="18" t="n">
        <v>2326.55</v>
      </c>
      <c r="S26" s="18" t="n">
        <v>2326.55</v>
      </c>
      <c r="T26" s="18" t="n">
        <v>1040.86</v>
      </c>
      <c r="U26" s="37" t="n">
        <v>1040.86</v>
      </c>
      <c r="V26" s="18" t="n">
        <v>1040.86</v>
      </c>
      <c r="W26" s="18" t="n">
        <v>937.16</v>
      </c>
      <c r="X26" s="18" t="n">
        <v>428.76</v>
      </c>
      <c r="Y26" s="18" t="n">
        <v>0</v>
      </c>
      <c r="Z26" s="37" t="n">
        <v>0</v>
      </c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기타비유동부채</t>
        </is>
      </c>
      <c r="E27" s="18" t="n">
        <v>58.12</v>
      </c>
      <c r="F27" s="37" t="n">
        <v>58.12</v>
      </c>
      <c r="G27" s="18" t="n">
        <v>50.18</v>
      </c>
      <c r="H27" s="18" t="n">
        <v>51.62</v>
      </c>
      <c r="I27" s="18" t="n">
        <v>52.26</v>
      </c>
      <c r="J27" s="18" t="n">
        <v>54.12</v>
      </c>
      <c r="K27" s="37" t="n">
        <v>54.12</v>
      </c>
      <c r="L27" s="18" t="n">
        <v>53</v>
      </c>
      <c r="M27" s="18" t="n">
        <v>84.63</v>
      </c>
      <c r="N27" s="18" t="n">
        <v>228.05</v>
      </c>
      <c r="O27" s="18" t="n">
        <v>240.36</v>
      </c>
      <c r="P27" s="37" t="n">
        <v>240.36</v>
      </c>
      <c r="Q27" s="18" t="n">
        <v>370.77</v>
      </c>
      <c r="R27" s="18" t="n">
        <v>387.61</v>
      </c>
      <c r="S27" s="18" t="n">
        <v>429.91</v>
      </c>
      <c r="T27" s="18" t="n">
        <v>432.22</v>
      </c>
      <c r="U27" s="37" t="n">
        <v>432.22</v>
      </c>
      <c r="V27" s="18" t="n">
        <v>556.62</v>
      </c>
      <c r="W27" s="18" t="n">
        <v>369.77</v>
      </c>
      <c r="X27" s="18" t="n">
        <v>281.9</v>
      </c>
      <c r="Y27" s="18" t="n">
        <v>381.99</v>
      </c>
      <c r="Z27" s="37" t="n">
        <v>381.99</v>
      </c>
      <c r="AA27" s="18" t="n">
        <v>0.76</v>
      </c>
      <c r="AB27" s="19" t="n">
        <v>14.35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부채총계</t>
        </is>
      </c>
      <c r="E28" s="18" t="n">
        <v>14515.89</v>
      </c>
      <c r="F28" s="37" t="n">
        <v>14515.89</v>
      </c>
      <c r="G28" s="18" t="n">
        <v>15784.23</v>
      </c>
      <c r="H28" s="18" t="n">
        <v>19495.44</v>
      </c>
      <c r="I28" s="18" t="n">
        <v>18731.7</v>
      </c>
      <c r="J28" s="18" t="n">
        <v>19507.69</v>
      </c>
      <c r="K28" s="37" t="n">
        <v>19507.69</v>
      </c>
      <c r="L28" s="18" t="n">
        <v>20029.13</v>
      </c>
      <c r="M28" s="18" t="n">
        <v>18110.02</v>
      </c>
      <c r="N28" s="18" t="n">
        <v>21820.88</v>
      </c>
      <c r="O28" s="18" t="n">
        <v>21338.94</v>
      </c>
      <c r="P28" s="37" t="n">
        <v>21338.94</v>
      </c>
      <c r="Q28" s="18" t="n">
        <v>26540.09</v>
      </c>
      <c r="R28" s="18" t="n">
        <v>27955.53</v>
      </c>
      <c r="S28" s="18" t="n">
        <v>25759.27</v>
      </c>
      <c r="T28" s="18" t="n">
        <v>21475.77</v>
      </c>
      <c r="U28" s="37" t="n">
        <v>21475.77</v>
      </c>
      <c r="V28" s="18" t="n">
        <v>31376.06</v>
      </c>
      <c r="W28" s="18" t="n">
        <v>30233.93</v>
      </c>
      <c r="X28" s="18" t="n">
        <v>30390.91</v>
      </c>
      <c r="Y28" s="18" t="n">
        <v>31799.14</v>
      </c>
      <c r="Z28" s="37" t="n">
        <v>31799.14</v>
      </c>
      <c r="AA28" s="18" t="n">
        <v>33021.26</v>
      </c>
      <c r="AB28" s="19" t="n">
        <v>31366.13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자본금</t>
        </is>
      </c>
      <c r="E29" s="18" t="n">
        <v>3600</v>
      </c>
      <c r="F29" s="37" t="n">
        <v>3600</v>
      </c>
      <c r="G29" s="18" t="n">
        <v>3600</v>
      </c>
      <c r="H29" s="18" t="n">
        <v>3600</v>
      </c>
      <c r="I29" s="18" t="n">
        <v>3600</v>
      </c>
      <c r="J29" s="18" t="n">
        <v>3600</v>
      </c>
      <c r="K29" s="37" t="n">
        <v>3600</v>
      </c>
      <c r="L29" s="18" t="n">
        <v>3600</v>
      </c>
      <c r="M29" s="18" t="n">
        <v>3600</v>
      </c>
      <c r="N29" s="18" t="n">
        <v>3600</v>
      </c>
      <c r="O29" s="18" t="n">
        <v>3600</v>
      </c>
      <c r="P29" s="37" t="n">
        <v>3600</v>
      </c>
      <c r="Q29" s="18" t="n">
        <v>3600</v>
      </c>
      <c r="R29" s="18" t="n">
        <v>3600</v>
      </c>
      <c r="S29" s="18" t="n">
        <v>3600</v>
      </c>
      <c r="T29" s="18" t="n">
        <v>3600</v>
      </c>
      <c r="U29" s="37" t="n">
        <v>3600</v>
      </c>
      <c r="V29" s="18" t="n">
        <v>3600</v>
      </c>
      <c r="W29" s="18" t="n">
        <v>3600</v>
      </c>
      <c r="X29" s="18" t="n">
        <v>3600</v>
      </c>
      <c r="Y29" s="18" t="n">
        <v>3600</v>
      </c>
      <c r="Z29" s="37" t="n">
        <v>3600</v>
      </c>
      <c r="AA29" s="18" t="n">
        <v>3600</v>
      </c>
      <c r="AB29" s="19" t="n">
        <v>3600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자본잉여금</t>
        </is>
      </c>
      <c r="E30" s="18" t="n">
        <v>24698.88</v>
      </c>
      <c r="F30" s="37" t="n">
        <v>24698.88</v>
      </c>
      <c r="G30" s="18" t="n">
        <v>24698.88</v>
      </c>
      <c r="H30" s="18" t="n">
        <v>26189.24</v>
      </c>
      <c r="I30" s="18" t="n">
        <v>26189.24</v>
      </c>
      <c r="J30" s="18" t="n">
        <v>25861.36</v>
      </c>
      <c r="K30" s="37" t="n">
        <v>25861.36</v>
      </c>
      <c r="L30" s="18" t="n">
        <v>25861.36</v>
      </c>
      <c r="M30" s="18" t="n">
        <v>25861.36</v>
      </c>
      <c r="N30" s="18" t="n">
        <v>25861.36</v>
      </c>
      <c r="O30" s="18" t="n">
        <v>13511.92</v>
      </c>
      <c r="P30" s="37" t="n">
        <v>13511.92</v>
      </c>
      <c r="Q30" s="18" t="n">
        <v>13511.92</v>
      </c>
      <c r="R30" s="18" t="n">
        <v>25861.36</v>
      </c>
      <c r="S30" s="18" t="n">
        <v>25861.36</v>
      </c>
      <c r="T30" s="18" t="n">
        <v>25861.36</v>
      </c>
      <c r="U30" s="37" t="n">
        <v>25861.36</v>
      </c>
      <c r="V30" s="18" t="n">
        <v>25861.36</v>
      </c>
      <c r="W30" s="18" t="n">
        <v>25861.36</v>
      </c>
      <c r="X30" s="18" t="n">
        <v>25861.36</v>
      </c>
      <c r="Y30" s="18" t="n">
        <v>25861.36</v>
      </c>
      <c r="Z30" s="37" t="n">
        <v>25861.36</v>
      </c>
      <c r="AA30" s="18" t="n">
        <v>25861.36</v>
      </c>
      <c r="AB30" s="19" t="n">
        <v>25861.36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22786.21</v>
      </c>
      <c r="F31" s="37" t="n">
        <v>22786.21</v>
      </c>
      <c r="G31" s="18" t="n">
        <v>22770.96</v>
      </c>
      <c r="H31" s="18" t="n">
        <v>23506.74</v>
      </c>
      <c r="I31" s="18" t="n">
        <v>24667.69</v>
      </c>
      <c r="J31" s="18" t="n">
        <v>25415.36</v>
      </c>
      <c r="K31" s="37" t="n">
        <v>25415.36</v>
      </c>
      <c r="L31" s="18" t="n">
        <v>26426.33</v>
      </c>
      <c r="M31" s="18" t="n">
        <v>27613.38</v>
      </c>
      <c r="N31" s="18" t="n">
        <v>28472.01</v>
      </c>
      <c r="O31" s="18" t="n">
        <v>28317.7</v>
      </c>
      <c r="P31" s="37" t="n">
        <v>28317.7</v>
      </c>
      <c r="Q31" s="18" t="n">
        <v>29374.85</v>
      </c>
      <c r="R31" s="18" t="n">
        <v>30022.4</v>
      </c>
      <c r="S31" s="18" t="n">
        <v>29701.3</v>
      </c>
      <c r="T31" s="18" t="n">
        <v>32709.36</v>
      </c>
      <c r="U31" s="37" t="n">
        <v>32709.36</v>
      </c>
      <c r="V31" s="18" t="n">
        <v>34318.1</v>
      </c>
      <c r="W31" s="18" t="n">
        <v>35426.98</v>
      </c>
      <c r="X31" s="18" t="n">
        <v>36530.52</v>
      </c>
      <c r="Y31" s="18" t="n">
        <v>36366.54</v>
      </c>
      <c r="Z31" s="37" t="n">
        <v>36366.54</v>
      </c>
      <c r="AA31" s="18" t="n">
        <v>36491.04</v>
      </c>
      <c r="AB31" s="19" t="n">
        <v>37438.63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38735.65</v>
      </c>
      <c r="F32" s="37" t="n">
        <v>38735.65</v>
      </c>
      <c r="G32" s="18" t="n">
        <v>38720.4</v>
      </c>
      <c r="H32" s="18" t="n">
        <v>40946.53</v>
      </c>
      <c r="I32" s="18" t="n">
        <v>42107.49</v>
      </c>
      <c r="J32" s="18" t="n">
        <v>42527.27</v>
      </c>
      <c r="K32" s="37" t="n">
        <v>42527.27</v>
      </c>
      <c r="L32" s="18" t="n">
        <v>43538.24</v>
      </c>
      <c r="M32" s="18" t="n">
        <v>44725.3</v>
      </c>
      <c r="N32" s="18" t="n">
        <v>45583.92</v>
      </c>
      <c r="O32" s="18" t="n">
        <v>45429.62</v>
      </c>
      <c r="P32" s="37" t="n">
        <v>45429.62</v>
      </c>
      <c r="Q32" s="18" t="n">
        <v>46486.76</v>
      </c>
      <c r="R32" s="18" t="n">
        <v>47134.32</v>
      </c>
      <c r="S32" s="18" t="n">
        <v>46813.21</v>
      </c>
      <c r="T32" s="18" t="n">
        <v>49821.27</v>
      </c>
      <c r="U32" s="37" t="n">
        <v>49821.27</v>
      </c>
      <c r="V32" s="18" t="n">
        <v>51430.01</v>
      </c>
      <c r="W32" s="18" t="n">
        <v>52538.9</v>
      </c>
      <c r="X32" s="18" t="n">
        <v>53642.44</v>
      </c>
      <c r="Y32" s="18" t="n">
        <v>53478.46</v>
      </c>
      <c r="Z32" s="37" t="n">
        <v>53478.46</v>
      </c>
      <c r="AA32" s="18" t="n">
        <v>53602.95</v>
      </c>
      <c r="AB32" s="19" t="n">
        <v>54550.54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53251.54</v>
      </c>
      <c r="F33" s="37" t="n">
        <v>53251.54</v>
      </c>
      <c r="G33" s="18" t="n">
        <v>54504.62</v>
      </c>
      <c r="H33" s="18" t="n">
        <v>60441.97</v>
      </c>
      <c r="I33" s="18" t="n">
        <v>60839.19</v>
      </c>
      <c r="J33" s="18" t="n">
        <v>62034.96</v>
      </c>
      <c r="K33" s="37" t="n">
        <v>62034.96</v>
      </c>
      <c r="L33" s="18" t="n">
        <v>63567.37</v>
      </c>
      <c r="M33" s="18" t="n">
        <v>62835.32</v>
      </c>
      <c r="N33" s="18" t="n">
        <v>67404.8</v>
      </c>
      <c r="O33" s="18" t="n">
        <v>66768.56</v>
      </c>
      <c r="P33" s="37" t="n">
        <v>66768.56</v>
      </c>
      <c r="Q33" s="18" t="n">
        <v>73026.85000000001</v>
      </c>
      <c r="R33" s="18" t="n">
        <v>75089.85000000001</v>
      </c>
      <c r="S33" s="18" t="n">
        <v>72572.48</v>
      </c>
      <c r="T33" s="18" t="n">
        <v>71297.05</v>
      </c>
      <c r="U33" s="37" t="n">
        <v>71297.05</v>
      </c>
      <c r="V33" s="18" t="n">
        <v>82806.08</v>
      </c>
      <c r="W33" s="18" t="n">
        <v>82772.83</v>
      </c>
      <c r="X33" s="18" t="n">
        <v>84033.35000000001</v>
      </c>
      <c r="Y33" s="18" t="n">
        <v>85277.60000000001</v>
      </c>
      <c r="Z33" s="37" t="n">
        <v>85277.60000000001</v>
      </c>
      <c r="AA33" s="18" t="n">
        <v>86624.21000000001</v>
      </c>
      <c r="AB33" s="19" t="n">
        <v>85916.67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38735.65</v>
      </c>
      <c r="F34" s="37" t="n">
        <v>38735.65</v>
      </c>
      <c r="G34" s="18" t="n">
        <v>38720.4</v>
      </c>
      <c r="H34" s="18" t="n">
        <v>40946.53</v>
      </c>
      <c r="I34" s="18" t="n">
        <v>42107.49</v>
      </c>
      <c r="J34" s="18" t="n">
        <v>42527.27</v>
      </c>
      <c r="K34" s="37" t="n">
        <v>42527.27</v>
      </c>
      <c r="L34" s="18" t="n">
        <v>43538.24</v>
      </c>
      <c r="M34" s="18" t="n">
        <v>44725.3</v>
      </c>
      <c r="N34" s="18" t="n">
        <v>45583.92</v>
      </c>
      <c r="O34" s="18" t="n">
        <v>45429.62</v>
      </c>
      <c r="P34" s="37" t="n">
        <v>45429.62</v>
      </c>
      <c r="Q34" s="18" t="n">
        <v>46486.76</v>
      </c>
      <c r="R34" s="18" t="n">
        <v>47134.32</v>
      </c>
      <c r="S34" s="18" t="n">
        <v>46813.21</v>
      </c>
      <c r="T34" s="18" t="n">
        <v>49821.27</v>
      </c>
      <c r="U34" s="37" t="n">
        <v>49821.27</v>
      </c>
      <c r="V34" s="18" t="n">
        <v>51430.01</v>
      </c>
      <c r="W34" s="18" t="n">
        <v>52538.9</v>
      </c>
      <c r="X34" s="18" t="n">
        <v>53642.44</v>
      </c>
      <c r="Y34" s="18" t="n">
        <v>53478.46</v>
      </c>
      <c r="Z34" s="37" t="n">
        <v>53478.46</v>
      </c>
      <c r="AA34" s="18" t="n">
        <v>53602.95</v>
      </c>
      <c r="AB34" s="19" t="n">
        <v>54550.54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총차입금</t>
        </is>
      </c>
      <c r="E35" s="18" t="n">
        <v>3320</v>
      </c>
      <c r="F35" s="37" t="n">
        <v>3320</v>
      </c>
      <c r="G35" s="18" t="n">
        <v>3000</v>
      </c>
      <c r="H35" s="18" t="n">
        <v>3000</v>
      </c>
      <c r="I35" s="18" t="n">
        <v>3000</v>
      </c>
      <c r="J35" s="18" t="n">
        <v>3000</v>
      </c>
      <c r="K35" s="37" t="n">
        <v>3000</v>
      </c>
      <c r="L35" s="18" t="n">
        <v>0</v>
      </c>
      <c r="M35" s="18" t="n">
        <v>0</v>
      </c>
      <c r="N35" s="18" t="n">
        <v>0</v>
      </c>
      <c r="O35" s="18" t="n">
        <v>0</v>
      </c>
      <c r="P35" s="37" t="n">
        <v>0</v>
      </c>
      <c r="Q35" s="18" t="n">
        <v>4193.09</v>
      </c>
      <c r="T35" s="18" t="n">
        <v>0</v>
      </c>
      <c r="U35" s="37" t="n">
        <v>0</v>
      </c>
      <c r="V35" s="18" t="n">
        <v>12000</v>
      </c>
      <c r="W35" s="18" t="n">
        <v>14500</v>
      </c>
      <c r="X35" s="18" t="n">
        <v>14500</v>
      </c>
      <c r="Y35" s="18" t="n">
        <v>15720.64</v>
      </c>
      <c r="Z35" s="37" t="n">
        <v>15720.64</v>
      </c>
      <c r="AA35" s="18" t="n">
        <v>15000</v>
      </c>
      <c r="AB35" s="19" t="n">
        <v>15240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순차입금</t>
        </is>
      </c>
      <c r="E36" s="18" t="n">
        <v>2545.23</v>
      </c>
      <c r="F36" s="37" t="n">
        <v>2545.23</v>
      </c>
      <c r="G36" s="18" t="n">
        <v>-152.38</v>
      </c>
      <c r="H36" s="18" t="n">
        <v>-3286.13</v>
      </c>
      <c r="I36" s="18" t="n">
        <v>-2475.69</v>
      </c>
      <c r="J36" s="18" t="n">
        <v>-2083.15</v>
      </c>
      <c r="K36" s="37" t="n">
        <v>-2083.15</v>
      </c>
      <c r="L36" s="18" t="n">
        <v>-4268.21</v>
      </c>
      <c r="M36" s="18" t="n">
        <v>-2169.39</v>
      </c>
      <c r="N36" s="18" t="n">
        <v>-5101.68</v>
      </c>
      <c r="O36" s="18" t="n">
        <v>-4000.15</v>
      </c>
      <c r="P36" s="37" t="n">
        <v>-4000.15</v>
      </c>
      <c r="Q36" s="18" t="n">
        <v>853.55</v>
      </c>
      <c r="T36" s="18" t="n">
        <v>-2709.56</v>
      </c>
      <c r="U36" s="37" t="n">
        <v>-2709.56</v>
      </c>
      <c r="V36" s="18" t="n">
        <v>10110.69</v>
      </c>
      <c r="W36" s="18" t="n">
        <v>13372.9</v>
      </c>
      <c r="X36" s="18" t="n">
        <v>13326.32</v>
      </c>
      <c r="Y36" s="18" t="n">
        <v>13338.64</v>
      </c>
      <c r="Z36" s="37" t="n">
        <v>13338.64</v>
      </c>
      <c r="AA36" s="18" t="n">
        <v>10918.68</v>
      </c>
      <c r="AB36" s="19" t="n">
        <v>12158.36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이자발생자산</t>
        </is>
      </c>
      <c r="E37" s="18" t="n">
        <v>775.51</v>
      </c>
      <c r="F37" s="37" t="n">
        <v>775.51</v>
      </c>
      <c r="G37" s="18" t="n">
        <v>3153.12</v>
      </c>
      <c r="H37" s="18" t="n">
        <v>6287.61</v>
      </c>
      <c r="I37" s="18" t="n">
        <v>5475.69</v>
      </c>
      <c r="J37" s="18" t="n">
        <v>5083.89</v>
      </c>
      <c r="K37" s="37" t="n">
        <v>5083.89</v>
      </c>
      <c r="L37" s="18" t="n">
        <v>4268.95</v>
      </c>
      <c r="M37" s="18" t="n">
        <v>2170.87</v>
      </c>
      <c r="N37" s="18" t="n">
        <v>5103.16</v>
      </c>
      <c r="O37" s="18" t="n">
        <v>4000.89</v>
      </c>
      <c r="P37" s="37" t="n">
        <v>4000.89</v>
      </c>
      <c r="Q37" s="18" t="n">
        <v>3340.28</v>
      </c>
      <c r="R37" s="18" t="n">
        <v>3700.43</v>
      </c>
      <c r="S37" s="18" t="n">
        <v>504.44</v>
      </c>
      <c r="T37" s="18" t="n">
        <v>2709.56</v>
      </c>
      <c r="U37" s="37" t="n">
        <v>2709.56</v>
      </c>
      <c r="V37" s="18" t="n">
        <v>1889.31</v>
      </c>
      <c r="W37" s="18" t="n">
        <v>1127.1</v>
      </c>
      <c r="X37" s="18" t="n">
        <v>1173.68</v>
      </c>
      <c r="Y37" s="18" t="n">
        <v>2382</v>
      </c>
      <c r="Z37" s="37" t="n">
        <v>2382</v>
      </c>
      <c r="AA37" s="18" t="n">
        <v>4081.32</v>
      </c>
      <c r="AB37" s="19" t="n">
        <v>3081.64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매각예정비유동자산및처분자산</t>
        </is>
      </c>
      <c r="F38" s="9" t="n"/>
      <c r="H38" s="18" t="n">
        <v>15233</v>
      </c>
      <c r="I38" s="18" t="n">
        <v>15233</v>
      </c>
      <c r="J38" s="18" t="n">
        <v>15233</v>
      </c>
      <c r="K38" s="37" t="n">
        <v>15233</v>
      </c>
      <c r="L38" s="18" t="n">
        <v>15233</v>
      </c>
      <c r="M38" s="18" t="n">
        <v>15233</v>
      </c>
      <c r="N38" s="18" t="n">
        <v>15233</v>
      </c>
      <c r="O38" s="18" t="n">
        <v>15233</v>
      </c>
      <c r="P38" s="37" t="n">
        <v>15233</v>
      </c>
      <c r="Q38" s="18" t="n">
        <v>15233</v>
      </c>
      <c r="R38" s="18" t="n">
        <v>15233</v>
      </c>
      <c r="S38" s="18" t="n">
        <v>15233</v>
      </c>
      <c r="T38" s="18" t="n">
        <v>0</v>
      </c>
      <c r="U38" s="37" t="n">
        <v>0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기타자본</t>
        </is>
      </c>
      <c r="F39" s="9" t="n"/>
      <c r="H39" s="18" t="n">
        <v>1490.36</v>
      </c>
      <c r="I39" s="18" t="n">
        <v>1490.36</v>
      </c>
      <c r="J39" s="18" t="n">
        <v>1162.48</v>
      </c>
      <c r="K39" s="37" t="n">
        <v>1162.48</v>
      </c>
      <c r="L39" s="18" t="n">
        <v>1162.48</v>
      </c>
      <c r="M39" s="18" t="n">
        <v>1162.48</v>
      </c>
      <c r="N39" s="18" t="n">
        <v>1162.48</v>
      </c>
      <c r="P39" s="9" t="n"/>
      <c r="R39" s="18" t="n">
        <v>1162.48</v>
      </c>
      <c r="S39" s="18" t="n">
        <v>1162.48</v>
      </c>
      <c r="T39" s="18" t="n">
        <v>1162.48</v>
      </c>
      <c r="U39" s="37" t="n">
        <v>1162.48</v>
      </c>
      <c r="V39" s="18" t="n">
        <v>1162.48</v>
      </c>
      <c r="W39" s="18" t="n">
        <v>1162.48</v>
      </c>
      <c r="X39" s="18" t="n">
        <v>1162.48</v>
      </c>
      <c r="Y39" s="18" t="n">
        <v>1162.48</v>
      </c>
      <c r="Z39" s="37" t="n">
        <v>1162.48</v>
      </c>
      <c r="AA39" s="18" t="n">
        <v>1162.48</v>
      </c>
      <c r="AB39" s="19" t="n">
        <v>1162.48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종속기업및관계기업투자</t>
        </is>
      </c>
      <c r="F40" s="9" t="n"/>
      <c r="I40" s="18" t="n">
        <v>530.2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F41" s="9" t="n"/>
      <c r="I41" s="18" t="n">
        <v>1000</v>
      </c>
      <c r="J41" s="18" t="n">
        <v>3000</v>
      </c>
      <c r="K41" s="37" t="n">
        <v>3000</v>
      </c>
      <c r="L41" s="18" t="n">
        <v>0</v>
      </c>
      <c r="M41" s="18" t="n">
        <v>0</v>
      </c>
      <c r="N41" s="18" t="n">
        <v>0</v>
      </c>
      <c r="P41" s="9" t="n"/>
      <c r="T41" s="18" t="n">
        <v>0</v>
      </c>
      <c r="U41" s="37" t="n">
        <v>0</v>
      </c>
      <c r="V41" s="18" t="n">
        <v>0</v>
      </c>
      <c r="Y41" s="18" t="n">
        <v>0</v>
      </c>
      <c r="Z41" s="37" t="n">
        <v>0</v>
      </c>
      <c r="AA41" s="18" t="n">
        <v>0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단기금융부채(face)</t>
        </is>
      </c>
      <c r="F42" s="9" t="n"/>
      <c r="K42" s="9" t="n"/>
      <c r="N42" s="18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기타비유동자산</t>
        </is>
      </c>
      <c r="F43" s="9" t="n"/>
      <c r="K43" s="9" t="n"/>
      <c r="P43" s="9" t="n"/>
      <c r="T43" s="18" t="n">
        <v>0</v>
      </c>
      <c r="U43" s="37" t="n">
        <v>0</v>
      </c>
      <c r="W43" s="18" t="n">
        <v>0</v>
      </c>
      <c r="X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당기법인세부채(미지급법인세)</t>
        </is>
      </c>
      <c r="F44" s="9" t="n"/>
      <c r="K44" s="9" t="n"/>
      <c r="P44" s="9" t="n"/>
      <c r="U44" s="9" t="n"/>
      <c r="V44" s="18" t="n">
        <v>256.75</v>
      </c>
      <c r="W44" s="18" t="n">
        <v>56.94</v>
      </c>
      <c r="X44" s="18" t="n">
        <v>62.35</v>
      </c>
      <c r="Y44" s="18" t="n">
        <v>31.71</v>
      </c>
      <c r="Z44" s="37" t="n">
        <v>31.71</v>
      </c>
      <c r="AA44" s="18" t="n">
        <v>96.27</v>
      </c>
      <c r="AB44" s="19" t="n">
        <v>1.49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이연법인세자산</t>
        </is>
      </c>
      <c r="F45" s="9" t="n"/>
      <c r="K45" s="9" t="n"/>
      <c r="P45" s="9" t="n"/>
      <c r="U45" s="9" t="n"/>
      <c r="Y45" s="18" t="n">
        <v>84.88</v>
      </c>
      <c r="Z45" s="37" t="n">
        <v>84.88</v>
      </c>
      <c r="AA45" s="18" t="n">
        <v>84.88</v>
      </c>
      <c r="AB45" s="19" t="n">
        <v>84.88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매출액(수익)</t>
        </is>
      </c>
      <c r="E46" s="18" t="n">
        <v>9305.26</v>
      </c>
      <c r="F46" s="9" t="n"/>
      <c r="G46" s="18" t="n">
        <v>7359.45</v>
      </c>
      <c r="H46" s="18" t="n">
        <v>9565.540000000001</v>
      </c>
      <c r="I46" s="18" t="n">
        <v>8897.040000000001</v>
      </c>
      <c r="J46" s="18" t="n">
        <v>10193.84</v>
      </c>
      <c r="K46" s="37" t="n">
        <v>36015.87</v>
      </c>
      <c r="L46" s="18" t="n">
        <v>10968.43</v>
      </c>
      <c r="M46" s="18" t="n">
        <v>11538.2</v>
      </c>
      <c r="N46" s="18" t="n">
        <v>9901.18</v>
      </c>
      <c r="O46" s="18" t="n">
        <v>11225.78</v>
      </c>
      <c r="P46" s="37" t="n">
        <v>43633.59</v>
      </c>
      <c r="Q46" s="18" t="n">
        <v>10688.52</v>
      </c>
      <c r="R46" s="18" t="n">
        <v>11523.92</v>
      </c>
      <c r="S46" s="18" t="n">
        <v>9710.02</v>
      </c>
      <c r="T46" s="18" t="n">
        <v>15207.78</v>
      </c>
      <c r="U46" s="37" t="n">
        <v>47130.24</v>
      </c>
      <c r="V46" s="18" t="n">
        <v>12538.68</v>
      </c>
      <c r="W46" s="18" t="n">
        <v>12033.72</v>
      </c>
      <c r="X46" s="18" t="n">
        <v>11642.37</v>
      </c>
      <c r="Y46" s="18" t="n">
        <v>12589.51</v>
      </c>
      <c r="Z46" s="37" t="n">
        <v>48804.28</v>
      </c>
      <c r="AA46" s="18" t="n">
        <v>11493.51</v>
      </c>
      <c r="AB46" s="19" t="n">
        <v>12796.36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매출원가</t>
        </is>
      </c>
      <c r="E47" s="18" t="n">
        <v>7223.52</v>
      </c>
      <c r="F47" s="9" t="n"/>
      <c r="G47" s="18" t="n">
        <v>6658.74</v>
      </c>
      <c r="H47" s="18" t="n">
        <v>8451.780000000001</v>
      </c>
      <c r="I47" s="18" t="n">
        <v>7010.25</v>
      </c>
      <c r="J47" s="18" t="n">
        <v>8470.379999999999</v>
      </c>
      <c r="K47" s="37" t="n">
        <v>30591.15</v>
      </c>
      <c r="L47" s="18" t="n">
        <v>8997.120000000001</v>
      </c>
      <c r="M47" s="18" t="n">
        <v>9369.709999999999</v>
      </c>
      <c r="N47" s="18" t="n">
        <v>8136.14</v>
      </c>
      <c r="O47" s="18" t="n">
        <v>10124.41</v>
      </c>
      <c r="P47" s="37" t="n">
        <v>36627.38</v>
      </c>
      <c r="Q47" s="18" t="n">
        <v>8468.719999999999</v>
      </c>
      <c r="R47" s="18" t="n">
        <v>9669.030000000001</v>
      </c>
      <c r="S47" s="18" t="n">
        <v>9143.209999999999</v>
      </c>
      <c r="T47" s="18" t="n">
        <v>12092.46</v>
      </c>
      <c r="U47" s="37" t="n">
        <v>39373.42</v>
      </c>
      <c r="V47" s="18" t="n">
        <v>11297.74</v>
      </c>
      <c r="W47" s="18" t="n">
        <v>10117.16</v>
      </c>
      <c r="X47" s="18" t="n">
        <v>9852.09</v>
      </c>
      <c r="Y47" s="18" t="n">
        <v>11378.46</v>
      </c>
      <c r="Z47" s="37" t="n">
        <v>42645.45</v>
      </c>
      <c r="AA47" s="18" t="n">
        <v>10412.41</v>
      </c>
      <c r="AB47" s="19" t="n">
        <v>11030.16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매출총이익</t>
        </is>
      </c>
      <c r="E48" s="18" t="n">
        <v>2081.74</v>
      </c>
      <c r="F48" s="9" t="n"/>
      <c r="G48" s="18" t="n">
        <v>700.71</v>
      </c>
      <c r="H48" s="18" t="n">
        <v>1113.76</v>
      </c>
      <c r="I48" s="18" t="n">
        <v>1886.79</v>
      </c>
      <c r="J48" s="18" t="n">
        <v>1723.46</v>
      </c>
      <c r="K48" s="37" t="n">
        <v>5424.72</v>
      </c>
      <c r="L48" s="18" t="n">
        <v>1971.31</v>
      </c>
      <c r="M48" s="18" t="n">
        <v>2168.49</v>
      </c>
      <c r="N48" s="18" t="n">
        <v>1765.04</v>
      </c>
      <c r="O48" s="18" t="n">
        <v>1101.37</v>
      </c>
      <c r="P48" s="37" t="n">
        <v>7006.21</v>
      </c>
      <c r="Q48" s="18" t="n">
        <v>2219.8</v>
      </c>
      <c r="R48" s="18" t="n">
        <v>1854.89</v>
      </c>
      <c r="S48" s="18" t="n">
        <v>566.8099999999999</v>
      </c>
      <c r="T48" s="18" t="n">
        <v>3115.32</v>
      </c>
      <c r="U48" s="37" t="n">
        <v>7756.82</v>
      </c>
      <c r="V48" s="18" t="n">
        <v>1240.95</v>
      </c>
      <c r="W48" s="18" t="n">
        <v>1916.56</v>
      </c>
      <c r="X48" s="18" t="n">
        <v>1790.28</v>
      </c>
      <c r="Y48" s="18" t="n">
        <v>1211.05</v>
      </c>
      <c r="Z48" s="37" t="n">
        <v>6158.84</v>
      </c>
      <c r="AA48" s="18" t="n">
        <v>1081.1</v>
      </c>
      <c r="AB48" s="19" t="n">
        <v>1766.2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판관비</t>
        </is>
      </c>
      <c r="E49" s="18" t="n">
        <v>621.6799999999999</v>
      </c>
      <c r="F49" s="9" t="n"/>
      <c r="G49" s="18" t="n">
        <v>643.48</v>
      </c>
      <c r="H49" s="18" t="n">
        <v>749.59</v>
      </c>
      <c r="I49" s="18" t="n">
        <v>943.4</v>
      </c>
      <c r="J49" s="18" t="n">
        <v>588.63</v>
      </c>
      <c r="K49" s="37" t="n">
        <v>2925.1</v>
      </c>
      <c r="L49" s="18" t="n">
        <v>859.03</v>
      </c>
      <c r="M49" s="18" t="n">
        <v>1024.24</v>
      </c>
      <c r="N49" s="18" t="n">
        <v>1161.9</v>
      </c>
      <c r="O49" s="18" t="n">
        <v>728.38</v>
      </c>
      <c r="P49" s="37" t="n">
        <v>3773.55</v>
      </c>
      <c r="Q49" s="18" t="n">
        <v>1162.96</v>
      </c>
      <c r="R49" s="18" t="n">
        <v>1098.62</v>
      </c>
      <c r="S49" s="18" t="n">
        <v>1038.47</v>
      </c>
      <c r="T49" s="18" t="n">
        <v>1000.9</v>
      </c>
      <c r="U49" s="37" t="n">
        <v>4300.95</v>
      </c>
      <c r="V49" s="18" t="n">
        <v>1317.12</v>
      </c>
      <c r="W49" s="18" t="n">
        <v>1207.04</v>
      </c>
      <c r="X49" s="18" t="n">
        <v>1420.5</v>
      </c>
      <c r="Y49" s="18" t="n">
        <v>1313.19</v>
      </c>
      <c r="Z49" s="37" t="n">
        <v>5257.85</v>
      </c>
      <c r="AA49" s="18" t="n">
        <v>772.16</v>
      </c>
      <c r="AB49" s="19" t="n">
        <v>1351.5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영업이익</t>
        </is>
      </c>
      <c r="E50" s="18" t="n">
        <v>1460.06</v>
      </c>
      <c r="F50" s="9" t="n"/>
      <c r="G50" s="18" t="n">
        <v>57.23</v>
      </c>
      <c r="H50" s="18" t="n">
        <v>364.18</v>
      </c>
      <c r="I50" s="18" t="n">
        <v>943.39</v>
      </c>
      <c r="J50" s="18" t="n">
        <v>1134.83</v>
      </c>
      <c r="K50" s="37" t="n">
        <v>2499.63</v>
      </c>
      <c r="L50" s="18" t="n">
        <v>1112.29</v>
      </c>
      <c r="M50" s="18" t="n">
        <v>1144.25</v>
      </c>
      <c r="N50" s="18" t="n">
        <v>603.14</v>
      </c>
      <c r="O50" s="18" t="n">
        <v>372.99</v>
      </c>
      <c r="P50" s="37" t="n">
        <v>3232.67</v>
      </c>
      <c r="Q50" s="18" t="n">
        <v>1056.84</v>
      </c>
      <c r="R50" s="18" t="n">
        <v>756.27</v>
      </c>
      <c r="S50" s="18" t="n">
        <v>-471.66</v>
      </c>
      <c r="T50" s="18" t="n">
        <v>2114.43</v>
      </c>
      <c r="U50" s="37" t="n">
        <v>3455.88</v>
      </c>
      <c r="V50" s="18" t="n">
        <v>-76.18000000000001</v>
      </c>
      <c r="W50" s="18" t="n">
        <v>709.52</v>
      </c>
      <c r="X50" s="18" t="n">
        <v>369.78</v>
      </c>
      <c r="Y50" s="18" t="n">
        <v>-102.14</v>
      </c>
      <c r="Z50" s="37" t="n">
        <v>900.98</v>
      </c>
      <c r="AA50" s="18" t="n">
        <v>308.94</v>
      </c>
      <c r="AB50" s="19" t="n">
        <v>414.7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기타영업외수익</t>
        </is>
      </c>
      <c r="E51" s="18" t="n">
        <v>51.97</v>
      </c>
      <c r="F51" s="9" t="n"/>
      <c r="G51" s="18" t="n">
        <v>144.88</v>
      </c>
      <c r="H51" s="18" t="n">
        <v>6.75</v>
      </c>
      <c r="I51" s="18" t="n">
        <v>47.24</v>
      </c>
      <c r="J51" s="18" t="n">
        <v>16.26</v>
      </c>
      <c r="K51" s="37" t="n">
        <v>215.13</v>
      </c>
      <c r="L51" s="18" t="n">
        <v>46.29</v>
      </c>
      <c r="M51" s="18" t="n">
        <v>9.199999999999999</v>
      </c>
      <c r="N51" s="18" t="n">
        <v>22.55</v>
      </c>
      <c r="O51" s="18" t="n">
        <v>71.91</v>
      </c>
      <c r="P51" s="37" t="n">
        <v>149.95</v>
      </c>
      <c r="Q51" s="18" t="n">
        <v>30.88</v>
      </c>
      <c r="R51" s="18" t="n">
        <v>25.89</v>
      </c>
      <c r="S51" s="18" t="n">
        <v>29.31</v>
      </c>
      <c r="T51" s="18" t="n">
        <v>46.74</v>
      </c>
      <c r="U51" s="37" t="n">
        <v>132.82</v>
      </c>
      <c r="V51" s="18" t="n">
        <v>2320.71</v>
      </c>
      <c r="W51" s="18" t="n">
        <v>64.09999999999999</v>
      </c>
      <c r="X51" s="18" t="n">
        <v>17.89</v>
      </c>
      <c r="Y51" s="18" t="n">
        <v>49.38</v>
      </c>
      <c r="Z51" s="37" t="n">
        <v>2452.08</v>
      </c>
      <c r="AA51" s="18" t="n">
        <v>46.53</v>
      </c>
      <c r="AB51" s="19" t="n">
        <v>56.72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기타영업외비용</t>
        </is>
      </c>
      <c r="E52" s="18" t="n">
        <v>90.28</v>
      </c>
      <c r="F52" s="9" t="n"/>
      <c r="G52" s="18" t="n">
        <v>5.61</v>
      </c>
      <c r="H52" s="18" t="n">
        <v>2.5</v>
      </c>
      <c r="I52" s="18" t="n">
        <v>-4.74</v>
      </c>
      <c r="J52" s="18" t="n">
        <v>17.29</v>
      </c>
      <c r="K52" s="37" t="n">
        <v>20.66</v>
      </c>
      <c r="L52" s="18" t="n">
        <v>29.55</v>
      </c>
      <c r="M52" s="18" t="n">
        <v>-5.59</v>
      </c>
      <c r="N52" s="18" t="n">
        <v>30.13</v>
      </c>
      <c r="O52" s="18" t="n">
        <v>3.56</v>
      </c>
      <c r="P52" s="37" t="n">
        <v>57.65</v>
      </c>
      <c r="Q52" s="18" t="n">
        <v>0.88</v>
      </c>
      <c r="R52" s="18" t="n">
        <v>1.28</v>
      </c>
      <c r="S52" s="18" t="n">
        <v>1.77</v>
      </c>
      <c r="T52" s="18" t="n">
        <v>316.19</v>
      </c>
      <c r="U52" s="37" t="n">
        <v>320.12</v>
      </c>
      <c r="V52" s="18" t="n">
        <v>113.82</v>
      </c>
      <c r="W52" s="18" t="n">
        <v>6.47</v>
      </c>
      <c r="X52" s="18" t="n">
        <v>1.72</v>
      </c>
      <c r="Y52" s="18" t="n">
        <v>724.76</v>
      </c>
      <c r="Z52" s="37" t="n">
        <v>846.77</v>
      </c>
      <c r="AA52" s="18" t="n">
        <v>0.6899999999999999</v>
      </c>
      <c r="AB52" s="19" t="n">
        <v>0.39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금융수익</t>
        </is>
      </c>
      <c r="E53" s="18" t="n">
        <v>-0.06</v>
      </c>
      <c r="F53" s="9" t="n"/>
      <c r="G53" s="18" t="n">
        <v>35.41</v>
      </c>
      <c r="H53" s="18" t="n">
        <v>24.47</v>
      </c>
      <c r="I53" s="18" t="n">
        <v>58.73</v>
      </c>
      <c r="J53" s="18" t="n">
        <v>30.42</v>
      </c>
      <c r="K53" s="37" t="n">
        <v>149.03</v>
      </c>
      <c r="L53" s="18" t="n">
        <v>112.94</v>
      </c>
      <c r="M53" s="18" t="n">
        <v>90</v>
      </c>
      <c r="N53" s="18" t="n">
        <v>104.46</v>
      </c>
      <c r="O53" s="18" t="n">
        <v>18.48</v>
      </c>
      <c r="P53" s="37" t="n">
        <v>325.88</v>
      </c>
      <c r="Q53" s="18" t="n">
        <v>98.61</v>
      </c>
      <c r="R53" s="18" t="n">
        <v>115.38</v>
      </c>
      <c r="S53" s="18" t="n">
        <v>11.73</v>
      </c>
      <c r="T53" s="18" t="n">
        <v>125.01</v>
      </c>
      <c r="U53" s="37" t="n">
        <v>350.73</v>
      </c>
      <c r="V53" s="18" t="n">
        <v>94.23</v>
      </c>
      <c r="W53" s="18" t="n">
        <v>24.74</v>
      </c>
      <c r="X53" s="18" t="n">
        <v>49.7</v>
      </c>
      <c r="Y53" s="18" t="n">
        <v>25.94</v>
      </c>
      <c r="Z53" s="37" t="n">
        <v>194.61</v>
      </c>
      <c r="AA53" s="18" t="n">
        <v>90.47</v>
      </c>
      <c r="AB53" s="19" t="n">
        <v>74.90000000000001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금융비용</t>
        </is>
      </c>
      <c r="E54" s="18" t="n">
        <v>27.8</v>
      </c>
      <c r="F54" s="9" t="n"/>
      <c r="G54" s="18" t="n">
        <v>20.16</v>
      </c>
      <c r="H54" s="18" t="n">
        <v>38.82</v>
      </c>
      <c r="I54" s="18" t="n">
        <v>36.15</v>
      </c>
      <c r="J54" s="18" t="n">
        <v>79.86</v>
      </c>
      <c r="K54" s="37" t="n">
        <v>174.99</v>
      </c>
      <c r="L54" s="18" t="n">
        <v>24.37</v>
      </c>
      <c r="M54" s="18" t="n">
        <v>3.88</v>
      </c>
      <c r="N54" s="18" t="n">
        <v>7.8</v>
      </c>
      <c r="O54" s="18" t="n">
        <v>-2.04</v>
      </c>
      <c r="P54" s="37" t="n">
        <v>34.01</v>
      </c>
      <c r="Q54" s="18" t="n">
        <v>6.9</v>
      </c>
      <c r="R54" s="18" t="n">
        <v>7.56</v>
      </c>
      <c r="S54" s="18" t="n">
        <v>37.56</v>
      </c>
      <c r="T54" s="18" t="n">
        <v>-5.29</v>
      </c>
      <c r="U54" s="37" t="n">
        <v>46.73</v>
      </c>
      <c r="V54" s="18" t="n">
        <v>58.12</v>
      </c>
      <c r="W54" s="18" t="n">
        <v>18.44</v>
      </c>
      <c r="X54" s="18" t="n">
        <v>67.68000000000001</v>
      </c>
      <c r="Y54" s="18" t="n">
        <v>21.51</v>
      </c>
      <c r="Z54" s="37" t="n">
        <v>165.75</v>
      </c>
      <c r="AA54" s="18" t="n">
        <v>62.91</v>
      </c>
      <c r="AB54" s="19" t="n">
        <v>58.09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종속기업,공동지배기업및관계기업관련손익</t>
        </is>
      </c>
      <c r="E55" s="18" t="n">
        <v>-370.16</v>
      </c>
      <c r="F55" s="9" t="n"/>
      <c r="G55" s="18" t="n">
        <v>-225.81</v>
      </c>
      <c r="H55" s="18" t="n">
        <v>4.31</v>
      </c>
      <c r="I55" s="18" t="n">
        <v>-110.75</v>
      </c>
      <c r="J55" s="18" t="n">
        <v>-530.2</v>
      </c>
      <c r="K55" s="37" t="n">
        <v>-862.45</v>
      </c>
      <c r="L55" s="18" t="n">
        <v>0</v>
      </c>
      <c r="M55" s="18" t="n">
        <v>0</v>
      </c>
      <c r="N55" s="18" t="n">
        <v>0</v>
      </c>
      <c r="P55" s="9" t="n"/>
      <c r="R55" s="18" t="n">
        <v>0</v>
      </c>
      <c r="S55" s="18" t="n">
        <v>0</v>
      </c>
      <c r="T55" s="18" t="n">
        <v>0</v>
      </c>
      <c r="U55" s="9" t="n"/>
      <c r="V55" s="18" t="n">
        <v>0</v>
      </c>
      <c r="X55" s="18" t="n">
        <v>0</v>
      </c>
      <c r="Y55" s="18" t="n">
        <v>0</v>
      </c>
      <c r="Z55" s="9" t="n"/>
      <c r="AA55" s="18" t="n">
        <v>0</v>
      </c>
      <c r="AB55" s="19" t="n">
        <v>0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지분법관련손익</t>
        </is>
      </c>
      <c r="E56" s="18" t="n">
        <v>-370.16</v>
      </c>
      <c r="F56" s="9" t="n"/>
      <c r="G56" s="18" t="n">
        <v>-225.81</v>
      </c>
      <c r="H56" s="18" t="n">
        <v>4.31</v>
      </c>
      <c r="I56" s="18" t="n">
        <v>-110.75</v>
      </c>
      <c r="J56" s="18" t="n">
        <v>-530.2</v>
      </c>
      <c r="K56" s="37" t="n">
        <v>-862.45</v>
      </c>
      <c r="L56" s="18" t="n">
        <v>0</v>
      </c>
      <c r="M56" s="18" t="n">
        <v>0</v>
      </c>
      <c r="N56" s="18" t="n">
        <v>0</v>
      </c>
      <c r="P56" s="9" t="n"/>
      <c r="R56" s="18" t="n">
        <v>0</v>
      </c>
      <c r="S56" s="18" t="n">
        <v>0</v>
      </c>
      <c r="T56" s="18" t="n">
        <v>0</v>
      </c>
      <c r="U56" s="9" t="n"/>
      <c r="V56" s="18" t="n">
        <v>0</v>
      </c>
      <c r="X56" s="18" t="n">
        <v>0</v>
      </c>
      <c r="Y56" s="18" t="n">
        <v>0</v>
      </c>
      <c r="Z56" s="9" t="n"/>
      <c r="AA56" s="18" t="n">
        <v>0</v>
      </c>
      <c r="AB56" s="19" t="n">
        <v>0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법인세비용차감전계속사업이익</t>
        </is>
      </c>
      <c r="E57" s="18" t="n">
        <v>1023.73</v>
      </c>
      <c r="F57" s="9" t="n"/>
      <c r="G57" s="18" t="n">
        <v>-14.07</v>
      </c>
      <c r="H57" s="18" t="n">
        <v>358.39</v>
      </c>
      <c r="I57" s="18" t="n">
        <v>907.1799999999999</v>
      </c>
      <c r="J57" s="18" t="n">
        <v>554.16</v>
      </c>
      <c r="K57" s="37" t="n">
        <v>1805.66</v>
      </c>
      <c r="L57" s="18" t="n">
        <v>1217.6</v>
      </c>
      <c r="M57" s="18" t="n">
        <v>1245.17</v>
      </c>
      <c r="N57" s="18" t="n">
        <v>692.23</v>
      </c>
      <c r="O57" s="18" t="n">
        <v>461.87</v>
      </c>
      <c r="P57" s="37" t="n">
        <v>3616.87</v>
      </c>
      <c r="Q57" s="18" t="n">
        <v>1178.54</v>
      </c>
      <c r="R57" s="18" t="n">
        <v>891.26</v>
      </c>
      <c r="S57" s="18" t="n">
        <v>-466.4</v>
      </c>
      <c r="T57" s="18" t="n">
        <v>1970.96</v>
      </c>
      <c r="U57" s="37" t="n">
        <v>3574.36</v>
      </c>
      <c r="V57" s="18" t="n">
        <v>2166.82</v>
      </c>
      <c r="W57" s="18" t="n">
        <v>773.45</v>
      </c>
      <c r="X57" s="18" t="n">
        <v>367.98</v>
      </c>
      <c r="Y57" s="18" t="n">
        <v>-773.08</v>
      </c>
      <c r="Z57" s="37" t="n">
        <v>2535.17</v>
      </c>
      <c r="AA57" s="18" t="n">
        <v>382.33</v>
      </c>
      <c r="AB57" s="19" t="n">
        <v>487.84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</t>
        </is>
      </c>
      <c r="E58" s="18" t="n">
        <v>-71.75</v>
      </c>
      <c r="F58" s="9" t="n"/>
      <c r="G58" s="18" t="n">
        <v>0.26</v>
      </c>
      <c r="H58" s="18" t="n">
        <v>-0.26</v>
      </c>
      <c r="I58" s="18" t="n">
        <v>0</v>
      </c>
      <c r="J58" s="18" t="n">
        <v>-519.48</v>
      </c>
      <c r="K58" s="37" t="n">
        <v>-519.48</v>
      </c>
      <c r="L58" s="18" t="n">
        <v>43.39</v>
      </c>
      <c r="M58" s="18" t="n">
        <v>12.2</v>
      </c>
      <c r="N58" s="18" t="n">
        <v>-34.94</v>
      </c>
      <c r="O58" s="18" t="n">
        <v>129.4</v>
      </c>
      <c r="P58" s="37" t="n">
        <v>150.05</v>
      </c>
      <c r="Q58" s="18" t="n">
        <v>25.49</v>
      </c>
      <c r="R58" s="18" t="n">
        <v>51.59</v>
      </c>
      <c r="S58" s="18" t="n">
        <v>-30.51</v>
      </c>
      <c r="T58" s="18" t="n">
        <v>-1233.48</v>
      </c>
      <c r="U58" s="37" t="n">
        <v>-1186.91</v>
      </c>
      <c r="V58" s="18" t="n">
        <v>321.17</v>
      </c>
      <c r="W58" s="18" t="n">
        <v>-308.91</v>
      </c>
      <c r="X58" s="18" t="n">
        <v>-551.2</v>
      </c>
      <c r="Y58" s="18" t="n">
        <v>-557.0599999999999</v>
      </c>
      <c r="Z58" s="37" t="n">
        <v>-1096</v>
      </c>
      <c r="AA58" s="18" t="n">
        <v>116.18</v>
      </c>
      <c r="AB58" s="19" t="n">
        <v>-147.18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당기순이익</t>
        </is>
      </c>
      <c r="E59" s="18" t="n">
        <v>1095.48</v>
      </c>
      <c r="F59" s="9" t="n"/>
      <c r="G59" s="18" t="n">
        <v>-14.33</v>
      </c>
      <c r="H59" s="18" t="n">
        <v>358.65</v>
      </c>
      <c r="I59" s="18" t="n">
        <v>907.1799999999999</v>
      </c>
      <c r="J59" s="18" t="n">
        <v>1073.64</v>
      </c>
      <c r="K59" s="37" t="n">
        <v>2325.14</v>
      </c>
      <c r="L59" s="18" t="n">
        <v>1174.21</v>
      </c>
      <c r="M59" s="18" t="n">
        <v>1232.97</v>
      </c>
      <c r="N59" s="18" t="n">
        <v>727.17</v>
      </c>
      <c r="O59" s="18" t="n">
        <v>332.48</v>
      </c>
      <c r="P59" s="37" t="n">
        <v>3466.83</v>
      </c>
      <c r="Q59" s="18" t="n">
        <v>1153.05</v>
      </c>
      <c r="R59" s="18" t="n">
        <v>839.67</v>
      </c>
      <c r="S59" s="18" t="n">
        <v>-435.89</v>
      </c>
      <c r="T59" s="18" t="n">
        <v>3204.44</v>
      </c>
      <c r="U59" s="37" t="n">
        <v>4761.27</v>
      </c>
      <c r="V59" s="18" t="n">
        <v>1845.65</v>
      </c>
      <c r="W59" s="18" t="n">
        <v>1082.36</v>
      </c>
      <c r="X59" s="18" t="n">
        <v>919.17</v>
      </c>
      <c r="Y59" s="18" t="n">
        <v>-216.02</v>
      </c>
      <c r="Z59" s="37" t="n">
        <v>3631.16</v>
      </c>
      <c r="AA59" s="18" t="n">
        <v>266.15</v>
      </c>
      <c r="AB59" s="19" t="n">
        <v>635.01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금융손익</t>
        </is>
      </c>
      <c r="E60" s="18" t="n">
        <v>-27.86</v>
      </c>
      <c r="F60" s="9" t="n"/>
      <c r="G60" s="18" t="n">
        <v>15.25</v>
      </c>
      <c r="H60" s="18" t="n">
        <v>-14.35</v>
      </c>
      <c r="I60" s="18" t="n">
        <v>22.58</v>
      </c>
      <c r="J60" s="18" t="n">
        <v>-49.44</v>
      </c>
      <c r="K60" s="37" t="n">
        <v>-25.96</v>
      </c>
      <c r="L60" s="18" t="n">
        <v>88.56999999999999</v>
      </c>
      <c r="M60" s="18" t="n">
        <v>86.12</v>
      </c>
      <c r="N60" s="18" t="n">
        <v>96.66</v>
      </c>
      <c r="O60" s="18" t="n">
        <v>20.52</v>
      </c>
      <c r="P60" s="37" t="n">
        <v>291.87</v>
      </c>
      <c r="Q60" s="18" t="n">
        <v>91.70999999999999</v>
      </c>
      <c r="R60" s="18" t="n">
        <v>107.82</v>
      </c>
      <c r="S60" s="18" t="n">
        <v>-25.83</v>
      </c>
      <c r="T60" s="18" t="n">
        <v>130.3</v>
      </c>
      <c r="U60" s="37" t="n">
        <v>304</v>
      </c>
      <c r="V60" s="18" t="n">
        <v>36.11</v>
      </c>
      <c r="W60" s="18" t="n">
        <v>6.3</v>
      </c>
      <c r="X60" s="18" t="n">
        <v>-17.98</v>
      </c>
      <c r="Y60" s="18" t="n">
        <v>4.43</v>
      </c>
      <c r="Z60" s="37" t="n">
        <v>28.86</v>
      </c>
      <c r="AA60" s="18" t="n">
        <v>27.56</v>
      </c>
      <c r="AB60" s="19" t="n">
        <v>16.81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기타영업외손익</t>
        </is>
      </c>
      <c r="E61" s="18" t="n">
        <v>-38.31</v>
      </c>
      <c r="F61" s="9" t="n"/>
      <c r="G61" s="18" t="n">
        <v>139.27</v>
      </c>
      <c r="H61" s="18" t="n">
        <v>4.25</v>
      </c>
      <c r="I61" s="18" t="n">
        <v>51.98</v>
      </c>
      <c r="J61" s="18" t="n">
        <v>-1.03</v>
      </c>
      <c r="K61" s="37" t="n">
        <v>194.47</v>
      </c>
      <c r="L61" s="18" t="n">
        <v>16.74</v>
      </c>
      <c r="M61" s="18" t="n">
        <v>14.79</v>
      </c>
      <c r="N61" s="18" t="n">
        <v>-7.58</v>
      </c>
      <c r="O61" s="18" t="n">
        <v>68.34999999999999</v>
      </c>
      <c r="P61" s="37" t="n">
        <v>92.3</v>
      </c>
      <c r="Q61" s="18" t="n">
        <v>30</v>
      </c>
      <c r="R61" s="18" t="n">
        <v>24.61</v>
      </c>
      <c r="S61" s="18" t="n">
        <v>27.54</v>
      </c>
      <c r="T61" s="18" t="n">
        <v>-269.45</v>
      </c>
      <c r="U61" s="37" t="n">
        <v>-187.3</v>
      </c>
      <c r="V61" s="18" t="n">
        <v>2206.89</v>
      </c>
      <c r="W61" s="18" t="n">
        <v>57.63</v>
      </c>
      <c r="X61" s="18" t="n">
        <v>16.17</v>
      </c>
      <c r="Y61" s="18" t="n">
        <v>-675.38</v>
      </c>
      <c r="Z61" s="37" t="n">
        <v>1605.31</v>
      </c>
      <c r="AA61" s="18" t="n">
        <v>45.84</v>
      </c>
      <c r="AB61" s="19" t="n">
        <v>56.33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(지배주주지분)당기순이익</t>
        </is>
      </c>
      <c r="E62" s="18" t="n">
        <v>1095.48</v>
      </c>
      <c r="F62" s="9" t="n"/>
      <c r="G62" s="18" t="n">
        <v>-14.33</v>
      </c>
      <c r="H62" s="18" t="n">
        <v>358.65</v>
      </c>
      <c r="I62" s="18" t="n">
        <v>907.1799999999999</v>
      </c>
      <c r="J62" s="18" t="n">
        <v>1073.64</v>
      </c>
      <c r="K62" s="37" t="n">
        <v>2325.14</v>
      </c>
      <c r="L62" s="18" t="n">
        <v>1174.21</v>
      </c>
      <c r="M62" s="18" t="n">
        <v>1232.97</v>
      </c>
      <c r="N62" s="18" t="n">
        <v>727.17</v>
      </c>
      <c r="O62" s="18" t="n">
        <v>332.48</v>
      </c>
      <c r="P62" s="37" t="n">
        <v>3466.83</v>
      </c>
      <c r="Q62" s="18" t="n">
        <v>1153.05</v>
      </c>
      <c r="R62" s="18" t="n">
        <v>839.67</v>
      </c>
      <c r="S62" s="18" t="n">
        <v>-435.89</v>
      </c>
      <c r="T62" s="18" t="n">
        <v>3204.44</v>
      </c>
      <c r="U62" s="37" t="n">
        <v>4761.27</v>
      </c>
      <c r="V62" s="18" t="n">
        <v>1845.65</v>
      </c>
      <c r="W62" s="18" t="n">
        <v>1082.36</v>
      </c>
      <c r="X62" s="18" t="n">
        <v>919.17</v>
      </c>
      <c r="Y62" s="18" t="n">
        <v>-216.02</v>
      </c>
      <c r="Z62" s="37" t="n">
        <v>3631.16</v>
      </c>
      <c r="AA62" s="18" t="n">
        <v>266.15</v>
      </c>
      <c r="AB62" s="19" t="n">
        <v>635.01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계속사업이익</t>
        </is>
      </c>
      <c r="E63" s="18" t="n">
        <v>1095.48</v>
      </c>
      <c r="F63" s="9" t="n"/>
      <c r="G63" s="18" t="n">
        <v>-14.33</v>
      </c>
      <c r="H63" s="18" t="n">
        <v>358.65</v>
      </c>
      <c r="I63" s="18" t="n">
        <v>907.1799999999999</v>
      </c>
      <c r="J63" s="18" t="n">
        <v>1073.64</v>
      </c>
      <c r="K63" s="37" t="n">
        <v>2325.14</v>
      </c>
      <c r="L63" s="18" t="n">
        <v>1174.21</v>
      </c>
      <c r="M63" s="18" t="n">
        <v>1232.97</v>
      </c>
      <c r="N63" s="18" t="n">
        <v>727.17</v>
      </c>
      <c r="O63" s="18" t="n">
        <v>332.48</v>
      </c>
      <c r="P63" s="37" t="n">
        <v>3466.83</v>
      </c>
      <c r="Q63" s="18" t="n">
        <v>1153.05</v>
      </c>
      <c r="R63" s="18" t="n">
        <v>839.67</v>
      </c>
      <c r="S63" s="18" t="n">
        <v>-435.89</v>
      </c>
      <c r="T63" s="18" t="n">
        <v>3204.44</v>
      </c>
      <c r="U63" s="37" t="n">
        <v>4761.27</v>
      </c>
      <c r="V63" s="18" t="n">
        <v>1845.65</v>
      </c>
      <c r="W63" s="18" t="n">
        <v>1082.36</v>
      </c>
      <c r="X63" s="18" t="n">
        <v>919.17</v>
      </c>
      <c r="Y63" s="18" t="n">
        <v>-216.02</v>
      </c>
      <c r="Z63" s="37" t="n">
        <v>3631.16</v>
      </c>
      <c r="AA63" s="18" t="n">
        <v>266.15</v>
      </c>
      <c r="AB63" s="19" t="n">
        <v>635.01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F64" s="9" t="n"/>
      <c r="G64" s="18" t="n">
        <v>-15.25</v>
      </c>
      <c r="H64" s="18" t="n">
        <v>735.78</v>
      </c>
      <c r="K64" s="9" t="n"/>
      <c r="L64" s="18" t="n">
        <v>1010.97</v>
      </c>
      <c r="M64" s="18" t="n">
        <v>1187.06</v>
      </c>
      <c r="N64" s="18" t="n">
        <v>858.62</v>
      </c>
      <c r="O64" s="18" t="n">
        <v>-154.3</v>
      </c>
      <c r="P64" s="37" t="n">
        <v>2902.35</v>
      </c>
      <c r="Q64" s="18" t="n">
        <v>1057.14</v>
      </c>
      <c r="R64" s="18" t="n">
        <v>645.6</v>
      </c>
      <c r="S64" s="18" t="n">
        <v>-321.11</v>
      </c>
      <c r="T64" s="18" t="n">
        <v>3008.07</v>
      </c>
      <c r="U64" s="37" t="n">
        <v>4389.7</v>
      </c>
      <c r="V64" s="18" t="n">
        <v>1608.74</v>
      </c>
      <c r="W64" s="18" t="n">
        <v>1108.88</v>
      </c>
      <c r="X64" s="18" t="n">
        <v>1103.54</v>
      </c>
      <c r="Y64" s="18" t="n">
        <v>-163.98</v>
      </c>
      <c r="Z64" s="37" t="n">
        <v>3657.18</v>
      </c>
      <c r="AA64" s="18" t="n">
        <v>124.5</v>
      </c>
      <c r="AB64" s="19" t="n">
        <v>947.59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F65" s="9" t="n"/>
      <c r="K65" s="9" t="n"/>
      <c r="P65" s="9" t="n"/>
      <c r="U65" s="9" t="n"/>
      <c r="Z65" s="9" t="n"/>
      <c r="AA65" s="18" t="n">
        <v>12.38</v>
      </c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이자비용</t>
        </is>
      </c>
      <c r="F66" s="9" t="n"/>
      <c r="K66" s="9" t="n"/>
      <c r="P66" s="9" t="n"/>
      <c r="U66" s="9" t="n"/>
      <c r="Z66" s="9" t="n"/>
      <c r="AA66" s="18" t="n">
        <v>46.49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외환차익</t>
        </is>
      </c>
      <c r="F67" s="9" t="n"/>
      <c r="K67" s="9" t="n"/>
      <c r="P67" s="9" t="n"/>
      <c r="U67" s="9" t="n"/>
      <c r="Z67" s="9" t="n"/>
      <c r="AA67" s="18" t="n">
        <v>4.44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외환차손</t>
        </is>
      </c>
      <c r="F68" s="9" t="n"/>
      <c r="K68" s="9" t="n"/>
      <c r="P68" s="9" t="n"/>
      <c r="U68" s="9" t="n"/>
      <c r="Z68" s="9" t="n"/>
      <c r="AA68" s="18" t="n">
        <v>6.09</v>
      </c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외화환산이익</t>
        </is>
      </c>
      <c r="F69" s="9" t="n"/>
      <c r="K69" s="9" t="n"/>
      <c r="P69" s="9" t="n"/>
      <c r="U69" s="9" t="n"/>
      <c r="Z69" s="9" t="n"/>
      <c r="AA69" s="18" t="n">
        <v>72.7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외화환산손실</t>
        </is>
      </c>
      <c r="F70" s="9" t="n"/>
      <c r="K70" s="9" t="n"/>
      <c r="P70" s="9" t="n"/>
      <c r="U70" s="9" t="n"/>
      <c r="Z70" s="9" t="n"/>
      <c r="AA70" s="18" t="n">
        <v>5.66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이자손익</t>
        </is>
      </c>
      <c r="F71" s="9" t="n"/>
      <c r="K71" s="9" t="n"/>
      <c r="P71" s="9" t="n"/>
      <c r="U71" s="9" t="n"/>
      <c r="Z71" s="9" t="n"/>
      <c r="AA71" s="18" t="n">
        <v>-34.11</v>
      </c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영업활동으로인한현금흐름</t>
        </is>
      </c>
      <c r="E72" s="18" t="n">
        <v>895.74</v>
      </c>
      <c r="F72" s="9" t="n"/>
      <c r="G72" s="18" t="n">
        <v>2927.98</v>
      </c>
      <c r="H72" s="18" t="n">
        <v>-1662.71</v>
      </c>
      <c r="I72" s="18" t="n">
        <v>194.59</v>
      </c>
      <c r="J72" s="18" t="n">
        <v>2230.76</v>
      </c>
      <c r="K72" s="37" t="n">
        <v>3690.62</v>
      </c>
      <c r="L72" s="18" t="n">
        <v>1517.47</v>
      </c>
      <c r="M72" s="18" t="n">
        <v>53.35</v>
      </c>
      <c r="N72" s="18" t="n">
        <v>2096.93</v>
      </c>
      <c r="O72" s="18" t="n">
        <v>544.15</v>
      </c>
      <c r="P72" s="37" t="n">
        <v>4211.9</v>
      </c>
      <c r="Q72" s="18" t="n">
        <v>3799.22</v>
      </c>
      <c r="R72" s="18" t="n">
        <v>2002.58</v>
      </c>
      <c r="S72" s="18" t="n">
        <v>-2283.35</v>
      </c>
      <c r="T72" s="18" t="n">
        <v>938.89</v>
      </c>
      <c r="U72" s="37" t="n">
        <v>4457.34</v>
      </c>
      <c r="V72" s="18" t="n">
        <v>-409.92</v>
      </c>
      <c r="W72" s="18" t="n">
        <v>1939.8</v>
      </c>
      <c r="X72" s="18" t="n">
        <v>861.85</v>
      </c>
      <c r="Y72" s="18" t="n">
        <v>411.74</v>
      </c>
      <c r="Z72" s="37" t="n">
        <v>2803.47</v>
      </c>
      <c r="AA72" s="18" t="n">
        <v>3402.04</v>
      </c>
      <c r="AB72" s="19" t="n">
        <v>-7.16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이자수취(CF)</t>
        </is>
      </c>
      <c r="E73" s="18" t="n">
        <v>2.15</v>
      </c>
      <c r="F73" s="9" t="n"/>
      <c r="G73" s="18" t="n">
        <v>27.73</v>
      </c>
      <c r="H73" s="18" t="n">
        <v>3.99</v>
      </c>
      <c r="I73" s="18" t="n">
        <v>29.2</v>
      </c>
      <c r="J73" s="18" t="n">
        <v>35.4</v>
      </c>
      <c r="K73" s="37" t="n">
        <v>96.31999999999999</v>
      </c>
      <c r="L73" s="18" t="n">
        <v>37.65</v>
      </c>
      <c r="M73" s="18" t="n">
        <v>40.74</v>
      </c>
      <c r="N73" s="18" t="n">
        <v>53.4</v>
      </c>
      <c r="O73" s="18" t="n">
        <v>60.85</v>
      </c>
      <c r="P73" s="37" t="n">
        <v>192.64</v>
      </c>
      <c r="Q73" s="18" t="n">
        <v>53.55</v>
      </c>
      <c r="R73" s="18" t="n">
        <v>42.96</v>
      </c>
      <c r="S73" s="18" t="n">
        <v>61.13</v>
      </c>
      <c r="T73" s="18" t="n">
        <v>26.05</v>
      </c>
      <c r="U73" s="37" t="n">
        <v>183.69</v>
      </c>
      <c r="V73" s="18" t="n">
        <v>42.88</v>
      </c>
      <c r="W73" s="18" t="n">
        <v>10.74</v>
      </c>
      <c r="X73" s="18" t="n">
        <v>-10.31</v>
      </c>
      <c r="Y73" s="18" t="n">
        <v>-11.47</v>
      </c>
      <c r="Z73" s="37" t="n">
        <v>31.84</v>
      </c>
      <c r="AA73" s="18" t="n">
        <v>12.17</v>
      </c>
      <c r="AB73" s="19" t="n">
        <v>8.44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이자지급(CF)</t>
        </is>
      </c>
      <c r="E74" s="18" t="n">
        <v>-12.46</v>
      </c>
      <c r="F74" s="9" t="n"/>
      <c r="G74" s="18" t="n">
        <v>-13.28</v>
      </c>
      <c r="H74" s="18" t="n">
        <v>-17.31</v>
      </c>
      <c r="I74" s="18" t="n">
        <v>-19.85</v>
      </c>
      <c r="J74" s="18" t="n">
        <v>-22.95</v>
      </c>
      <c r="K74" s="37" t="n">
        <v>-73.39</v>
      </c>
      <c r="L74" s="18" t="n">
        <v>-16.48</v>
      </c>
      <c r="M74" s="18" t="n">
        <v>0</v>
      </c>
      <c r="P74" s="9" t="n"/>
      <c r="Q74" s="18" t="n">
        <v>-0.04</v>
      </c>
      <c r="U74" s="9" t="n"/>
      <c r="V74" s="18" t="n">
        <v>-30.57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투자활동으로인한현금흐름</t>
        </is>
      </c>
      <c r="E75" s="18" t="n">
        <v>368.47</v>
      </c>
      <c r="F75" s="9" t="n"/>
      <c r="G75" s="18" t="n">
        <v>-239.42</v>
      </c>
      <c r="H75" s="18" t="n">
        <v>3285.88</v>
      </c>
      <c r="I75" s="18" t="n">
        <v>-998.02</v>
      </c>
      <c r="J75" s="18" t="n">
        <v>-2613.12</v>
      </c>
      <c r="K75" s="37" t="n">
        <v>-564.6799999999999</v>
      </c>
      <c r="L75" s="18" t="n">
        <v>650.79</v>
      </c>
      <c r="M75" s="18" t="n">
        <v>-2156.83</v>
      </c>
      <c r="N75" s="18" t="n">
        <v>842.71</v>
      </c>
      <c r="O75" s="18" t="n">
        <v>-1747.77</v>
      </c>
      <c r="P75" s="37" t="n">
        <v>-2411.1</v>
      </c>
      <c r="Q75" s="18" t="n">
        <v>-4470.03</v>
      </c>
      <c r="R75" s="18" t="n">
        <v>-1629.69</v>
      </c>
      <c r="S75" s="18" t="n">
        <v>-894.5700000000001</v>
      </c>
      <c r="T75" s="18" t="n">
        <v>1132.21</v>
      </c>
      <c r="U75" s="37" t="n">
        <v>-5862.08</v>
      </c>
      <c r="V75" s="18" t="n">
        <v>-12366.56</v>
      </c>
      <c r="W75" s="18" t="n">
        <v>-5067.68</v>
      </c>
      <c r="X75" s="18" t="n">
        <v>-721.79</v>
      </c>
      <c r="Y75" s="18" t="n">
        <v>-444.15</v>
      </c>
      <c r="Z75" s="37" t="n">
        <v>-18600.18</v>
      </c>
      <c r="AA75" s="18" t="n">
        <v>-909.24</v>
      </c>
      <c r="AB75" s="19" t="n">
        <v>-1150.86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유형자산의감소</t>
        </is>
      </c>
      <c r="E76" s="18" t="n">
        <v>185.84</v>
      </c>
      <c r="F76" s="9" t="n"/>
      <c r="G76" s="18" t="n">
        <v>30</v>
      </c>
      <c r="H76" s="18" t="n">
        <v>6.82</v>
      </c>
      <c r="I76" s="18" t="n">
        <v>7.17</v>
      </c>
      <c r="J76" s="18" t="n">
        <v>1</v>
      </c>
      <c r="K76" s="37" t="n">
        <v>44.99</v>
      </c>
      <c r="L76" s="18" t="n">
        <v>39.69</v>
      </c>
      <c r="M76" s="18" t="n">
        <v>0</v>
      </c>
      <c r="N76" s="18" t="n">
        <v>0</v>
      </c>
      <c r="O76" s="18" t="n">
        <v>91.38</v>
      </c>
      <c r="P76" s="37" t="n">
        <v>131.07</v>
      </c>
      <c r="Q76" s="18" t="n">
        <v>6.56</v>
      </c>
      <c r="R76" s="18" t="n">
        <v>0.37</v>
      </c>
      <c r="S76" s="18" t="n">
        <v>0</v>
      </c>
      <c r="T76" s="18" t="n">
        <v>6.85</v>
      </c>
      <c r="U76" s="37" t="n">
        <v>13.78</v>
      </c>
      <c r="V76" s="18" t="n">
        <v>285.77</v>
      </c>
      <c r="W76" s="18" t="n">
        <v>1.18</v>
      </c>
      <c r="X76" s="18" t="n">
        <v>4.83</v>
      </c>
      <c r="Y76" s="18" t="n">
        <v>31.27</v>
      </c>
      <c r="Z76" s="37" t="n">
        <v>323.05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108.74</v>
      </c>
      <c r="F77" s="9" t="n"/>
      <c r="G77" s="18" t="n">
        <v>978</v>
      </c>
      <c r="H77" s="18" t="n">
        <v>2114.58</v>
      </c>
      <c r="I77" s="18" t="n">
        <v>1039.2</v>
      </c>
      <c r="J77" s="18" t="n">
        <v>779.95</v>
      </c>
      <c r="K77" s="37" t="n">
        <v>4911.73</v>
      </c>
      <c r="L77" s="18" t="n">
        <v>102.59</v>
      </c>
      <c r="M77" s="18" t="n">
        <v>324.47</v>
      </c>
      <c r="N77" s="18" t="n">
        <v>65.45</v>
      </c>
      <c r="O77" s="18" t="n">
        <v>1036.97</v>
      </c>
      <c r="P77" s="37" t="n">
        <v>1529.48</v>
      </c>
      <c r="Q77" s="18" t="n">
        <v>4860.91</v>
      </c>
      <c r="R77" s="18" t="n">
        <v>1032.39</v>
      </c>
      <c r="S77" s="18" t="n">
        <v>1049.54</v>
      </c>
      <c r="T77" s="18" t="n">
        <v>2530.72</v>
      </c>
      <c r="U77" s="37" t="n">
        <v>9473.559999999999</v>
      </c>
      <c r="V77" s="18" t="n">
        <v>12134.73</v>
      </c>
      <c r="W77" s="18" t="n">
        <v>1234.71</v>
      </c>
      <c r="X77" s="18" t="n">
        <v>479.46</v>
      </c>
      <c r="Y77" s="18" t="n">
        <v>502.88</v>
      </c>
      <c r="Z77" s="37" t="n">
        <v>14351.78</v>
      </c>
      <c r="AA77" s="18" t="n">
        <v>65.03</v>
      </c>
      <c r="AB77" s="19" t="n">
        <v>1164.01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108.74</v>
      </c>
      <c r="F78" s="9" t="n"/>
      <c r="G78" s="18" t="n">
        <v>978.29</v>
      </c>
      <c r="H78" s="18" t="n">
        <v>2114.58</v>
      </c>
      <c r="I78" s="18" t="n">
        <v>1039.2</v>
      </c>
      <c r="J78" s="18" t="n">
        <v>779.95</v>
      </c>
      <c r="K78" s="37" t="n">
        <v>4912.02</v>
      </c>
      <c r="L78" s="18" t="n">
        <v>102.59</v>
      </c>
      <c r="M78" s="18" t="n">
        <v>324.47</v>
      </c>
      <c r="N78" s="18" t="n">
        <v>65.45</v>
      </c>
      <c r="O78" s="18" t="n">
        <v>1036.97</v>
      </c>
      <c r="P78" s="37" t="n">
        <v>1529.48</v>
      </c>
      <c r="Q78" s="18" t="n">
        <v>4860.91</v>
      </c>
      <c r="R78" s="18" t="n">
        <v>1041.39</v>
      </c>
      <c r="S78" s="18" t="n">
        <v>1050.62</v>
      </c>
      <c r="T78" s="18" t="n">
        <v>2530.72</v>
      </c>
      <c r="U78" s="37" t="n">
        <v>9483.639999999999</v>
      </c>
      <c r="V78" s="18" t="n">
        <v>12140.57</v>
      </c>
      <c r="W78" s="18" t="n">
        <v>1234.71</v>
      </c>
      <c r="X78" s="18" t="n">
        <v>537.25</v>
      </c>
      <c r="Y78" s="18" t="n">
        <v>502.88</v>
      </c>
      <c r="Z78" s="37" t="n">
        <v>14415.41</v>
      </c>
      <c r="AA78" s="18" t="n">
        <v>65.03</v>
      </c>
      <c r="AB78" s="19" t="n">
        <v>1164.01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0</v>
      </c>
      <c r="F79" s="9" t="n"/>
      <c r="G79" s="18" t="n">
        <v>0.29</v>
      </c>
      <c r="H79" s="18" t="n">
        <v>0</v>
      </c>
      <c r="I79" s="18" t="n">
        <v>0</v>
      </c>
      <c r="J79" s="18" t="n">
        <v>0</v>
      </c>
      <c r="K79" s="37" t="n">
        <v>0.29</v>
      </c>
      <c r="L79" s="18" t="n">
        <v>0</v>
      </c>
      <c r="M79" s="18" t="n">
        <v>0</v>
      </c>
      <c r="P79" s="9" t="n"/>
      <c r="S79" s="18" t="n">
        <v>1.08</v>
      </c>
      <c r="T79" s="18" t="n">
        <v>0</v>
      </c>
      <c r="U79" s="9" t="n"/>
      <c r="V79" s="18" t="n">
        <v>5.84</v>
      </c>
      <c r="W79" s="18" t="n">
        <v>0</v>
      </c>
      <c r="X79" s="18" t="n">
        <v>57.79</v>
      </c>
      <c r="Y79" s="18" t="n">
        <v>0</v>
      </c>
      <c r="Z79" s="37" t="n">
        <v>63.63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-902.02</v>
      </c>
      <c r="F80" s="9" t="n"/>
      <c r="G80" s="18" t="n">
        <v>-317.43</v>
      </c>
      <c r="H80" s="18" t="n">
        <v>1491.95</v>
      </c>
      <c r="I80" s="18" t="n">
        <v>4.1</v>
      </c>
      <c r="J80" s="18" t="n">
        <v>60.15</v>
      </c>
      <c r="K80" s="37" t="n">
        <v>1238.77</v>
      </c>
      <c r="L80" s="18" t="n">
        <v>-2982.25</v>
      </c>
      <c r="M80" s="18" t="n">
        <v>-2.83</v>
      </c>
      <c r="N80" s="18" t="n">
        <v>-4.25</v>
      </c>
      <c r="O80" s="18" t="n">
        <v>104.45</v>
      </c>
      <c r="P80" s="37" t="n">
        <v>-2884.88</v>
      </c>
      <c r="Q80" s="18" t="n">
        <v>-6.25</v>
      </c>
      <c r="R80" s="18" t="n">
        <v>-8.25</v>
      </c>
      <c r="S80" s="18" t="n">
        <v>-7.43</v>
      </c>
      <c r="T80" s="18" t="n">
        <v>131.74</v>
      </c>
      <c r="U80" s="37" t="n">
        <v>109.81</v>
      </c>
      <c r="V80" s="18" t="n">
        <v>11932.92</v>
      </c>
      <c r="W80" s="18" t="n">
        <v>2388.94</v>
      </c>
      <c r="X80" s="18" t="n">
        <v>-93.43000000000001</v>
      </c>
      <c r="Y80" s="18" t="n">
        <v>1230.45</v>
      </c>
      <c r="Z80" s="37" t="n">
        <v>15458.88</v>
      </c>
      <c r="AA80" s="18" t="n">
        <v>-828.5700000000001</v>
      </c>
      <c r="AB80" s="19" t="n">
        <v>134.83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5780</v>
      </c>
      <c r="F81" s="9" t="n"/>
      <c r="G81" s="18" t="n">
        <v>1690</v>
      </c>
      <c r="H81" s="18" t="n">
        <v>60</v>
      </c>
      <c r="I81" s="18" t="n">
        <v>0</v>
      </c>
      <c r="J81" s="18" t="n">
        <v>0</v>
      </c>
      <c r="K81" s="37" t="n">
        <v>1750</v>
      </c>
      <c r="L81" s="18" t="n">
        <v>0</v>
      </c>
      <c r="M81" s="18" t="n">
        <v>0</v>
      </c>
      <c r="P81" s="9" t="n"/>
      <c r="Q81" s="18" t="n">
        <v>196</v>
      </c>
      <c r="R81" s="18" t="n">
        <v>0</v>
      </c>
      <c r="S81" s="18" t="n">
        <v>0</v>
      </c>
      <c r="T81" s="18" t="n">
        <v>0</v>
      </c>
      <c r="U81" s="37" t="n">
        <v>196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장기차입금의증가</t>
        </is>
      </c>
      <c r="E82" s="18" t="n">
        <v>0</v>
      </c>
      <c r="F82" s="9" t="n"/>
      <c r="K82" s="9" t="n"/>
      <c r="L82" s="18" t="n">
        <v>0</v>
      </c>
      <c r="M82" s="18" t="n">
        <v>0</v>
      </c>
      <c r="P82" s="9" t="n"/>
      <c r="U82" s="9" t="n"/>
      <c r="V82" s="18" t="n">
        <v>12000</v>
      </c>
      <c r="W82" s="18" t="n">
        <v>2500</v>
      </c>
      <c r="X82" s="18" t="n">
        <v>0</v>
      </c>
      <c r="Y82" s="18" t="n">
        <v>360</v>
      </c>
      <c r="Z82" s="37" t="n">
        <v>14860</v>
      </c>
      <c r="AA82" s="18" t="n">
        <v>140</v>
      </c>
      <c r="AB82" s="19" t="n">
        <v>240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6686</v>
      </c>
      <c r="F83" s="9" t="n"/>
      <c r="G83" s="18" t="n">
        <v>2010</v>
      </c>
      <c r="H83" s="18" t="n">
        <v>60</v>
      </c>
      <c r="I83" s="18" t="n">
        <v>0</v>
      </c>
      <c r="J83" s="18" t="n">
        <v>0</v>
      </c>
      <c r="K83" s="37" t="n">
        <v>2070</v>
      </c>
      <c r="L83" s="18" t="n">
        <v>0</v>
      </c>
      <c r="P83" s="9" t="n"/>
      <c r="Q83" s="18" t="n">
        <v>196</v>
      </c>
      <c r="R83" s="18" t="n">
        <v>0</v>
      </c>
      <c r="S83" s="18" t="n">
        <v>0</v>
      </c>
      <c r="T83" s="18" t="n">
        <v>0</v>
      </c>
      <c r="U83" s="37" t="n">
        <v>196</v>
      </c>
      <c r="Z83" s="9" t="n"/>
      <c r="AA83" s="18" t="n">
        <v>860.64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0</v>
      </c>
      <c r="F84" s="9" t="n"/>
      <c r="I84" s="18" t="n">
        <v>2.48</v>
      </c>
      <c r="J84" s="18" t="n">
        <v>10.93</v>
      </c>
      <c r="K84" s="9" t="n"/>
      <c r="L84" s="18" t="n">
        <v>8.69</v>
      </c>
      <c r="M84" s="18" t="n">
        <v>8.33</v>
      </c>
      <c r="N84" s="18" t="n">
        <v>8.77</v>
      </c>
      <c r="O84" s="18" t="n">
        <v>8.77</v>
      </c>
      <c r="P84" s="37" t="n">
        <v>34.56</v>
      </c>
      <c r="Q84" s="18" t="n">
        <v>8.77</v>
      </c>
      <c r="R84" s="18" t="n">
        <v>10.09</v>
      </c>
      <c r="S84" s="18" t="n">
        <v>9.25</v>
      </c>
      <c r="T84" s="18" t="n">
        <v>8.91</v>
      </c>
      <c r="U84" s="37" t="n">
        <v>37.02</v>
      </c>
      <c r="V84" s="18" t="n">
        <v>78.91</v>
      </c>
      <c r="W84" s="18" t="n">
        <v>99.64</v>
      </c>
      <c r="X84" s="18" t="n">
        <v>106.43</v>
      </c>
      <c r="Y84" s="18" t="n">
        <v>107.17</v>
      </c>
      <c r="Z84" s="37" t="n">
        <v>392.15</v>
      </c>
      <c r="AA84" s="18" t="n">
        <v>107.92</v>
      </c>
      <c r="AB84" s="19" t="n">
        <v>105.18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현금및현금성자산의증감</t>
        </is>
      </c>
      <c r="E85" s="18" t="n">
        <v>357.51</v>
      </c>
      <c r="F85" s="9" t="n"/>
      <c r="G85" s="18" t="n">
        <v>2377.62</v>
      </c>
      <c r="H85" s="18" t="n">
        <v>3133.75</v>
      </c>
      <c r="I85" s="18" t="n">
        <v>-810.45</v>
      </c>
      <c r="J85" s="18" t="n">
        <v>-392.54</v>
      </c>
      <c r="K85" s="37" t="n">
        <v>4308.38</v>
      </c>
      <c r="L85" s="18" t="n">
        <v>-814.9400000000001</v>
      </c>
      <c r="M85" s="18" t="n">
        <v>-2098.81</v>
      </c>
      <c r="N85" s="18" t="n">
        <v>2932.29</v>
      </c>
      <c r="O85" s="18" t="n">
        <v>-1101.54</v>
      </c>
      <c r="P85" s="37" t="n">
        <v>-1083</v>
      </c>
      <c r="Q85" s="18" t="n">
        <v>-660.61</v>
      </c>
      <c r="R85" s="18" t="n">
        <v>359.42</v>
      </c>
      <c r="S85" s="18" t="n">
        <v>-3195.99</v>
      </c>
      <c r="T85" s="18" t="n">
        <v>2206.59</v>
      </c>
      <c r="U85" s="37" t="n">
        <v>-1290.59</v>
      </c>
      <c r="V85" s="18" t="n">
        <v>-820.25</v>
      </c>
      <c r="W85" s="18" t="n">
        <v>-762.21</v>
      </c>
      <c r="X85" s="18" t="n">
        <v>46.58</v>
      </c>
      <c r="Y85" s="18" t="n">
        <v>1208.32</v>
      </c>
      <c r="Z85" s="37" t="n">
        <v>-327.56</v>
      </c>
      <c r="AA85" s="18" t="n">
        <v>1699.32</v>
      </c>
      <c r="AB85" s="19" t="n">
        <v>-999.6799999999999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기말현금및현금성자산</t>
        </is>
      </c>
      <c r="E86" s="18" t="n">
        <v>357.52</v>
      </c>
      <c r="F86" s="9" t="n"/>
      <c r="G86" s="18" t="n">
        <v>3152.38</v>
      </c>
      <c r="H86" s="18" t="n">
        <v>3133.75</v>
      </c>
      <c r="I86" s="18" t="n">
        <v>-810.4400000000001</v>
      </c>
      <c r="J86" s="18" t="n">
        <v>-392.54</v>
      </c>
      <c r="K86" s="37" t="n">
        <v>5083.15</v>
      </c>
      <c r="L86" s="18" t="n">
        <v>4268.21</v>
      </c>
      <c r="M86" s="18" t="n">
        <v>-2098.82</v>
      </c>
      <c r="N86" s="18" t="n">
        <v>2932.29</v>
      </c>
      <c r="O86" s="18" t="n">
        <v>-1101.53</v>
      </c>
      <c r="P86" s="37" t="n">
        <v>4000.15</v>
      </c>
      <c r="Q86" s="18" t="n">
        <v>3339.54</v>
      </c>
      <c r="R86" s="18" t="n">
        <v>359.41</v>
      </c>
      <c r="S86" s="18" t="n">
        <v>-3195.99</v>
      </c>
      <c r="T86" s="18" t="n">
        <v>2206.6</v>
      </c>
      <c r="U86" s="37" t="n">
        <v>2709.56</v>
      </c>
      <c r="V86" s="18" t="n">
        <v>1889.31</v>
      </c>
      <c r="W86" s="18" t="n">
        <v>-762.21</v>
      </c>
      <c r="X86" s="18" t="n">
        <v>46.58</v>
      </c>
      <c r="Y86" s="18" t="n">
        <v>1208.32</v>
      </c>
      <c r="Z86" s="37" t="n">
        <v>2382</v>
      </c>
      <c r="AA86" s="18" t="n">
        <v>4081.32</v>
      </c>
      <c r="AB86" s="19" t="n">
        <v>-999.6799999999999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법인세납부(CF)</t>
        </is>
      </c>
      <c r="F87" s="9" t="n"/>
      <c r="K87" s="9" t="n"/>
      <c r="L87" s="18" t="n">
        <v>-5.75</v>
      </c>
      <c r="M87" s="18" t="n">
        <v>11.59</v>
      </c>
      <c r="N87" s="18" t="n">
        <v>-8.25</v>
      </c>
      <c r="P87" s="9" t="n"/>
      <c r="U87" s="9" t="n"/>
      <c r="V87" s="18" t="n">
        <v>-1.44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7" t="n">
        <v>3000</v>
      </c>
      <c r="U88" s="9" t="n"/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>
        <f>IFERROR(VLOOKUP($D12,BS별도,MATCH(AA$1,BS별도H,0),0)/100,"")</f>
        <v/>
      </c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 t="n"/>
      <c r="W13" s="18" t="n"/>
      <c r="X13" s="18" t="n"/>
      <c r="Y13" s="18" t="n"/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 t="n"/>
      <c r="P15" s="37">
        <f>SUM(L15:O15)</f>
        <v/>
      </c>
      <c r="Q15" s="18" t="n"/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 t="n"/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IFERROR(VLOOKUP($D16,BS별도,MATCH(E$1,BS별도H,0),0)/100,"")</f>
        <v/>
      </c>
      <c r="F16" s="37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IFERROR(MAX(AC16,0)*변수!AC27,"")</f>
        <v/>
      </c>
      <c r="AD17" s="20">
        <f>IFERROR(MAX(AD16,0)*변수!AD27,"")</f>
        <v/>
      </c>
      <c r="AE17" s="38">
        <f>SUM(AA17:AD17)</f>
        <v/>
      </c>
      <c r="AF17" s="20">
        <f>IFERROR(MAX(AF16,0)*변수!AF27,"")</f>
        <v/>
      </c>
      <c r="AG17" s="20">
        <f>IFERROR(MAX(AG16,0)*변수!AG27,"")</f>
        <v/>
      </c>
      <c r="AH17" s="20">
        <f>IFERROR(MAX(AH16,0)*변수!AH27,"")</f>
        <v/>
      </c>
      <c r="AI17" s="20">
        <f>IFERROR(MAX(AI16,0)*변수!AI27,"")</f>
        <v/>
      </c>
      <c r="AJ17" s="38">
        <f>SUM(AF17:AI17)</f>
        <v/>
      </c>
      <c r="AK17" s="20">
        <f>IFERROR(MAX(AK16,0)*변수!AK27,"")</f>
        <v/>
      </c>
      <c r="AL17" s="20">
        <f>IFERROR(MAX(AL16,0)*변수!AL27,"")</f>
        <v/>
      </c>
      <c r="AM17" s="20">
        <f>IFERROR(MAX(AM16,0)*변수!AM27,"")</f>
        <v/>
      </c>
      <c r="AN17" s="20">
        <f>IFERROR(MAX(AN16,0)*변수!AN27,"")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IFERROR(AC18*변수!AC28,"")</f>
        <v/>
      </c>
      <c r="AD19" s="20">
        <f>IFERROR(AD18*변수!AD28,"")</f>
        <v/>
      </c>
      <c r="AE19" s="38">
        <f>SUM(AA19:AD19)</f>
        <v/>
      </c>
      <c r="AF19" s="20">
        <f>IFERROR(AF18*변수!AF28,"")</f>
        <v/>
      </c>
      <c r="AG19" s="20">
        <f>IFERROR(AG18*변수!AG28,"")</f>
        <v/>
      </c>
      <c r="AH19" s="20">
        <f>IFERROR(AH18*변수!AH28,"")</f>
        <v/>
      </c>
      <c r="AI19" s="20">
        <f>IFERROR(AI18*변수!AI28,"")</f>
        <v/>
      </c>
      <c r="AJ19" s="38">
        <f>SUM(AF19:AI19)</f>
        <v/>
      </c>
      <c r="AK19" s="20">
        <f>IFERROR(AK18*변수!AK28,"")</f>
        <v/>
      </c>
      <c r="AL19" s="20">
        <f>IFERROR(AL18*변수!AL28,"")</f>
        <v/>
      </c>
      <c r="AM19" s="20">
        <f>IFERROR(AM18*변수!AM28,"")</f>
        <v/>
      </c>
      <c r="AN19" s="20">
        <f>IFERROR(AN18*변수!AN28,"")</f>
        <v/>
      </c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37" t="n">
        <v>532.52</v>
      </c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7">
        <f>J20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7">
        <f>O20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7">
        <f>T20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7">
        <f>Y20</f>
        <v/>
      </c>
      <c r="AA20" s="18">
        <f>IFERROR(VLOOKUP($D20,BS별도,MATCH(AA$1,BS별도H,0),0)/100,"")</f>
        <v/>
      </c>
      <c r="AB20" s="19">
        <f>IFERROR(VLOOKUP($D20,BS별도,MATCH(AB$1,BS별도H,0),0)/100,"")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37" t="n">
        <v>145.16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37" t="n">
        <v>387.36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37" t="n">
        <v>387.36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37" t="n">
        <v>33.2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 t="n"/>
      <c r="S24" s="18" t="n"/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37" t="n">
        <v>25.45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 t="n"/>
      <c r="S25" s="18" t="n"/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37" t="n">
        <v>7.76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37" t="n">
        <v>7.75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IFERROR(VLOOKUP($D28,BS별도,MATCH(E$1,BS별도H,0),0)/100,"")</f>
        <v/>
      </c>
      <c r="F28" s="37" t="n"/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SUM(G28:J28)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SUM(L28:O28)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SUM(Q28:T28)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SUM(V28:Y28)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IFERROR(VLOOKUP($D29,BS별도,MATCH(E$1,BS별도H,0),0)/100,"")</f>
        <v/>
      </c>
      <c r="F29" s="37" t="n"/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7">
        <f>SUM(G29:J29)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27" t="n">
        <v>7.2</v>
      </c>
      <c r="F30" s="28">
        <f>E30</f>
        <v/>
      </c>
      <c r="G30" s="27" t="n">
        <v>7.2</v>
      </c>
      <c r="H30" s="27" t="n">
        <v>7.2</v>
      </c>
      <c r="I30" s="27" t="n">
        <v>7.2</v>
      </c>
      <c r="J30" s="27" t="n">
        <v>7.2</v>
      </c>
      <c r="K30" s="28">
        <f>J30</f>
        <v/>
      </c>
      <c r="L30" s="27" t="n">
        <v>7.2</v>
      </c>
      <c r="M30" s="27" t="n">
        <v>7.2</v>
      </c>
      <c r="N30" s="27" t="n">
        <v>7.2</v>
      </c>
      <c r="O30" s="27" t="n">
        <v>7.2</v>
      </c>
      <c r="P30" s="28">
        <f>O30</f>
        <v/>
      </c>
      <c r="Q30" s="27" t="n">
        <v>7.2</v>
      </c>
      <c r="R30" s="27" t="n">
        <v>7.2</v>
      </c>
      <c r="S30" s="27" t="n">
        <v>7.2</v>
      </c>
      <c r="T30" s="27" t="n">
        <v>7.2</v>
      </c>
      <c r="U30" s="28">
        <f>T30</f>
        <v/>
      </c>
      <c r="V30" s="27" t="n">
        <v>7.2</v>
      </c>
      <c r="W30" s="27" t="n">
        <v>7.2</v>
      </c>
      <c r="X30" s="27" t="n">
        <v>7.2</v>
      </c>
      <c r="Y30" s="27" t="n">
        <v>7.2</v>
      </c>
      <c r="Z30" s="28">
        <f>Y30</f>
        <v/>
      </c>
      <c r="AA30" s="27" t="n">
        <v>7.2</v>
      </c>
      <c r="AB30" s="29" t="n">
        <v>7.2</v>
      </c>
      <c r="AC30" s="33">
        <f>IFERROR(AB30*(1+변수!AC38),"")</f>
        <v/>
      </c>
      <c r="AD30" s="33">
        <f>IFERROR(AC30*(1+변수!AD38),"")</f>
        <v/>
      </c>
      <c r="AE30" s="31">
        <f>AD30</f>
        <v/>
      </c>
      <c r="AF30" s="33">
        <f>IFERROR(AD30*(1+변수!AF38),"")</f>
        <v/>
      </c>
      <c r="AG30" s="33">
        <f>IFERROR(AF30*(1+변수!AG38),"")</f>
        <v/>
      </c>
      <c r="AH30" s="33">
        <f>IFERROR(AG30*(1+변수!AH38),"")</f>
        <v/>
      </c>
      <c r="AI30" s="33">
        <f>IFERROR(AH30*(1+변수!AI38),"")</f>
        <v/>
      </c>
      <c r="AJ30" s="31">
        <f>AI30</f>
        <v/>
      </c>
      <c r="AK30" s="33">
        <f>IFERROR(AI30*(1+변수!AK38),"")</f>
        <v/>
      </c>
      <c r="AL30" s="33">
        <f>IFERROR(AK30*(1+변수!AL38),"")</f>
        <v/>
      </c>
      <c r="AM30" s="33">
        <f>IFERROR(AL30*(1+변수!AM38),"")</f>
        <v/>
      </c>
      <c r="AN30" s="33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IFERROR(E19*100/E30,"")</f>
        <v/>
      </c>
      <c r="F31" s="37" t="n"/>
      <c r="G31" s="18">
        <f>IFERROR(G19*100/G30,"")</f>
        <v/>
      </c>
      <c r="H31" s="18">
        <f>IFERROR(H19*100/H30,"")</f>
        <v/>
      </c>
      <c r="I31" s="18">
        <f>IFERROR(I19*100/I30,"")</f>
        <v/>
      </c>
      <c r="J31" s="18">
        <f>IFERROR(J19*100/J30,"")</f>
        <v/>
      </c>
      <c r="K31" s="37">
        <f>SUM(G31:J31)</f>
        <v/>
      </c>
      <c r="L31" s="18">
        <f>IFERROR(L19*100/L30,"")</f>
        <v/>
      </c>
      <c r="M31" s="18">
        <f>IFERROR(M19*100/M30,"")</f>
        <v/>
      </c>
      <c r="N31" s="18">
        <f>IFERROR(N19*100/N30,"")</f>
        <v/>
      </c>
      <c r="O31" s="18">
        <f>IFERROR(O19*100/O30,"")</f>
        <v/>
      </c>
      <c r="P31" s="37">
        <f>SUM(L31:O31)</f>
        <v/>
      </c>
      <c r="Q31" s="18">
        <f>IFERROR(Q19*100/Q30,"")</f>
        <v/>
      </c>
      <c r="R31" s="18">
        <f>IFERROR(R19*100/R30,"")</f>
        <v/>
      </c>
      <c r="S31" s="18">
        <f>IFERROR(S19*100/S30,"")</f>
        <v/>
      </c>
      <c r="T31" s="18">
        <f>IFERROR(T19*100/T30,"")</f>
        <v/>
      </c>
      <c r="U31" s="37">
        <f>SUM(Q31:T31)</f>
        <v/>
      </c>
      <c r="V31" s="18">
        <f>IFERROR(V19*100/V30,"")</f>
        <v/>
      </c>
      <c r="W31" s="18">
        <f>IFERROR(W19*100/W30,"")</f>
        <v/>
      </c>
      <c r="X31" s="18">
        <f>IFERROR(X19*100/X30,"")</f>
        <v/>
      </c>
      <c r="Y31" s="18">
        <f>IFERROR(Y19*100/Y30,"")</f>
        <v/>
      </c>
      <c r="Z31" s="37">
        <f>SUM(V31:Y31)</f>
        <v/>
      </c>
      <c r="AA31" s="18">
        <f>IFERROR(AA19*100/AA30,"")</f>
        <v/>
      </c>
      <c r="AB31" s="19">
        <f>IFERROR(AB19*100/AB30,"")</f>
        <v/>
      </c>
      <c r="AC31" s="20">
        <f>IFERROR(AC19*100/AC30,"")</f>
        <v/>
      </c>
      <c r="AD31" s="20">
        <f>IFERROR(AD19*100/AD30,"")</f>
        <v/>
      </c>
      <c r="AE31" s="38">
        <f>SUM(AA31:AD31)</f>
        <v/>
      </c>
      <c r="AF31" s="20">
        <f>IFERROR(AF19*100/AF30,"")</f>
        <v/>
      </c>
      <c r="AG31" s="20">
        <f>IFERROR(AG19*100/AG30,"")</f>
        <v/>
      </c>
      <c r="AH31" s="20">
        <f>IFERROR(AH19*100/AH30,"")</f>
        <v/>
      </c>
      <c r="AI31" s="20">
        <f>IFERROR(AI19*100/AI30,"")</f>
        <v/>
      </c>
      <c r="AJ31" s="38">
        <f>SUM(AF31:AI31)</f>
        <v/>
      </c>
      <c r="AK31" s="20">
        <f>IFERROR(AK19*100/AK30,"")</f>
        <v/>
      </c>
      <c r="AL31" s="20">
        <f>IFERROR(AL19*100/AL30,"")</f>
        <v/>
      </c>
      <c r="AM31" s="20">
        <f>IFERROR(AM19*100/AM30,"")</f>
        <v/>
      </c>
      <c r="AN31" s="20">
        <f>IFERROR(AN19*100/AN30,"")</f>
        <v/>
      </c>
      <c r="AO31" s="38">
        <f>SUM(AK31:AN31)</f>
        <v/>
      </c>
    </row>
    <row r="32">
      <c r="A32" s="12" t="inlineStr">
        <is>
          <t>조정EPS</t>
        </is>
      </c>
      <c r="B32" t="inlineStr">
        <is>
          <t>주당</t>
        </is>
      </c>
      <c r="C32" t="inlineStr">
        <is>
          <t>원</t>
        </is>
      </c>
      <c r="D32" t="inlineStr">
        <is>
          <t>조정 EPS(일회성 의심 분기의 초과 비영업손익 세후 차감 — 모델 추정)</t>
        </is>
      </c>
      <c r="E32" s="18">
        <f>IFERROR(E31,"")</f>
        <v/>
      </c>
      <c r="F32" s="37" t="n"/>
      <c r="G32" s="18">
        <f>IFERROR(G31,"")</f>
        <v/>
      </c>
      <c r="H32" s="18">
        <f>IFERROR(H31,"")</f>
        <v/>
      </c>
      <c r="I32" s="18">
        <f>IFERROR(I31,"")</f>
        <v/>
      </c>
      <c r="J32" s="18">
        <f>IFERROR(J31,"")</f>
        <v/>
      </c>
      <c r="K32" s="37">
        <f>SUM(G32:J32)</f>
        <v/>
      </c>
      <c r="L32" s="18">
        <f>IFERROR(L31,"")</f>
        <v/>
      </c>
      <c r="M32" s="18">
        <f>IFERROR(M31,"")</f>
        <v/>
      </c>
      <c r="N32" s="18">
        <f>IFERROR(N31,"")</f>
        <v/>
      </c>
      <c r="O32" s="18">
        <f>IFERROR(O31,"")</f>
        <v/>
      </c>
      <c r="P32" s="37">
        <f>SUM(L32:O32)</f>
        <v/>
      </c>
      <c r="Q32" s="18">
        <f>IFERROR(Q31,"")</f>
        <v/>
      </c>
      <c r="R32" s="18">
        <f>IFERROR(R31,"")</f>
        <v/>
      </c>
      <c r="S32" s="18">
        <f>IFERROR(S31,"")</f>
        <v/>
      </c>
      <c r="T32" s="18">
        <f>IFERROR(T31,"")</f>
        <v/>
      </c>
      <c r="U32" s="37">
        <f>SUM(Q32:T32)</f>
        <v/>
      </c>
      <c r="V32" s="18">
        <f>IFERROR(V31,"")</f>
        <v/>
      </c>
      <c r="W32" s="18">
        <f>IFERROR(W31,"")</f>
        <v/>
      </c>
      <c r="X32" s="18">
        <f>IFERROR(X31,"")</f>
        <v/>
      </c>
      <c r="Y32" s="20">
        <f>IFERROR((Y19-(-7.44)*(1.0))*100/Y30,"")</f>
        <v/>
      </c>
      <c r="Z32" s="37">
        <f>SUM(V32:Y32)</f>
        <v/>
      </c>
      <c r="AA32" s="18">
        <f>IFERROR(AA31,"")</f>
        <v/>
      </c>
      <c r="AB32" s="19">
        <f>IFERROR(AB31,"")</f>
        <v/>
      </c>
      <c r="AC32" s="20">
        <f>IFERROR(AC31,"")</f>
        <v/>
      </c>
      <c r="AD32" s="20">
        <f>IFERROR(AD31,"")</f>
        <v/>
      </c>
      <c r="AE32" s="38">
        <f>SUM(AA32:AD32)</f>
        <v/>
      </c>
      <c r="AF32" s="20">
        <f>IFERROR(AF31,"")</f>
        <v/>
      </c>
      <c r="AG32" s="20">
        <f>IFERROR(AG31,"")</f>
        <v/>
      </c>
      <c r="AH32" s="20">
        <f>IFERROR(AH31,"")</f>
        <v/>
      </c>
      <c r="AI32" s="20">
        <f>IFERROR(AI31,"")</f>
        <v/>
      </c>
      <c r="AJ32" s="38">
        <f>SUM(AF32:AI32)</f>
        <v/>
      </c>
      <c r="AK32" s="20">
        <f>IFERROR(AK31,"")</f>
        <v/>
      </c>
      <c r="AL32" s="20">
        <f>IFERROR(AL31,"")</f>
        <v/>
      </c>
      <c r="AM32" s="20">
        <f>IFERROR(AM31,"")</f>
        <v/>
      </c>
      <c r="AN32" s="20">
        <f>IFERROR(AN31,"")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IFERROR(E23*100/E30,"")</f>
        <v/>
      </c>
      <c r="F33" s="37">
        <f>E33</f>
        <v/>
      </c>
      <c r="G33" s="18">
        <f>IFERROR(G23*100/G30,"")</f>
        <v/>
      </c>
      <c r="H33" s="18">
        <f>IFERROR(H23*100/H30,"")</f>
        <v/>
      </c>
      <c r="I33" s="18">
        <f>IFERROR(I23*100/I30,"")</f>
        <v/>
      </c>
      <c r="J33" s="18">
        <f>IFERROR(J23*100/J30,"")</f>
        <v/>
      </c>
      <c r="K33" s="37">
        <f>J33</f>
        <v/>
      </c>
      <c r="L33" s="18">
        <f>IFERROR(L23*100/L30,"")</f>
        <v/>
      </c>
      <c r="M33" s="18">
        <f>IFERROR(M23*100/M30,"")</f>
        <v/>
      </c>
      <c r="N33" s="18">
        <f>IFERROR(N23*100/N30,"")</f>
        <v/>
      </c>
      <c r="O33" s="18">
        <f>IFERROR(O23*100/O30,"")</f>
        <v/>
      </c>
      <c r="P33" s="37">
        <f>O33</f>
        <v/>
      </c>
      <c r="Q33" s="18">
        <f>IFERROR(Q23*100/Q30,"")</f>
        <v/>
      </c>
      <c r="R33" s="18">
        <f>IFERROR(R23*100/R30,"")</f>
        <v/>
      </c>
      <c r="S33" s="18">
        <f>IFERROR(S23*100/S30,"")</f>
        <v/>
      </c>
      <c r="T33" s="18">
        <f>IFERROR(T23*100/T30,"")</f>
        <v/>
      </c>
      <c r="U33" s="37">
        <f>T33</f>
        <v/>
      </c>
      <c r="V33" s="18">
        <f>IFERROR(V23*100/V30,"")</f>
        <v/>
      </c>
      <c r="W33" s="18">
        <f>IFERROR(W23*100/W30,"")</f>
        <v/>
      </c>
      <c r="X33" s="18">
        <f>IFERROR(X23*100/X30,"")</f>
        <v/>
      </c>
      <c r="Y33" s="18">
        <f>IFERROR(Y23*100/Y30,"")</f>
        <v/>
      </c>
      <c r="Z33" s="37">
        <f>Y33</f>
        <v/>
      </c>
      <c r="AA33" s="18">
        <f>IFERROR(AA23*100/AA30,"")</f>
        <v/>
      </c>
      <c r="AB33" s="19">
        <f>IFERROR(AB23*100/AB30,"")</f>
        <v/>
      </c>
      <c r="AC33" s="20">
        <f>IFERROR(AC23*100/AC30,"")</f>
        <v/>
      </c>
      <c r="AD33" s="20">
        <f>IFERROR(AD23*100/AD30,"")</f>
        <v/>
      </c>
      <c r="AE33" s="38">
        <f>AD33</f>
        <v/>
      </c>
      <c r="AF33" s="20">
        <f>IFERROR(AF23*100/AF30,"")</f>
        <v/>
      </c>
      <c r="AG33" s="20">
        <f>IFERROR(AG23*100/AG30,"")</f>
        <v/>
      </c>
      <c r="AH33" s="20">
        <f>IFERROR(AH23*100/AH30,"")</f>
        <v/>
      </c>
      <c r="AI33" s="20">
        <f>IFERROR(AI23*100/AI30,"")</f>
        <v/>
      </c>
      <c r="AJ33" s="38">
        <f>AI33</f>
        <v/>
      </c>
      <c r="AK33" s="20">
        <f>IFERROR(AK23*100/AK30,"")</f>
        <v/>
      </c>
      <c r="AL33" s="20">
        <f>IFERROR(AL23*100/AL30,"")</f>
        <v/>
      </c>
      <c r="AM33" s="20">
        <f>IFERROR(AM23*100/AM30,"")</f>
        <v/>
      </c>
      <c r="AN33" s="20">
        <f>IFERROR(AN23*100/AN30,"")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>
        <f>IFERROR(변수!L18/(H31+I31+J31+L31),"")</f>
        <v/>
      </c>
      <c r="M35" s="13">
        <f>IFERROR(변수!M18/(I31+J31+L31+M31),"")</f>
        <v/>
      </c>
      <c r="N35" s="13">
        <f>IFERROR(변수!N18/(J31+L31+M31+N31),"")</f>
        <v/>
      </c>
      <c r="O35" s="13">
        <f>IFERROR(변수!O18/(L31+M31+N31+O31),"")</f>
        <v/>
      </c>
      <c r="P35" s="14">
        <f>O35</f>
        <v/>
      </c>
      <c r="Q35" s="13">
        <f>IFERROR(변수!Q18/(M31+N31+O31+Q31),"")</f>
        <v/>
      </c>
      <c r="R35" s="13">
        <f>IFERROR(변수!R18/(N31+O31+Q31+R31),"")</f>
        <v/>
      </c>
      <c r="S35" s="13">
        <f>IFERROR(변수!S18/(O31+Q31+R31+S31),"")</f>
        <v/>
      </c>
      <c r="T35" s="13">
        <f>IFERROR(변수!T18/(Q31+R31+S31+T31),"")</f>
        <v/>
      </c>
      <c r="U35" s="14">
        <f>T35</f>
        <v/>
      </c>
      <c r="V35" s="13">
        <f>IFERROR(변수!V18/(R31+S31+T31+V31),"")</f>
        <v/>
      </c>
      <c r="W35" s="13">
        <f>IFERROR(변수!W18/(S31+T31+V31+W31),"")</f>
        <v/>
      </c>
      <c r="X35" s="13">
        <f>IFERROR(변수!X18/(T31+V31+W31+X31),"")</f>
        <v/>
      </c>
      <c r="Y35" s="13">
        <f>IFERROR(변수!Y18/(V31+W31+X31+Y31),"")</f>
        <v/>
      </c>
      <c r="Z35" s="14">
        <f>Y35</f>
        <v/>
      </c>
      <c r="AA35" s="13">
        <f>IFERROR(변수!AA18/(W31+X31+Y31+AA31),"")</f>
        <v/>
      </c>
      <c r="AB35" s="15">
        <f>IFERROR(변수!AB18/(X31+Y31+AA31+AB31),"")</f>
        <v/>
      </c>
      <c r="AC35" s="39">
        <f>IFERROR(변수!$D$42/(Y31+AA31+AB31+AC31),"")</f>
        <v/>
      </c>
      <c r="AD35" s="39">
        <f>IFERROR(변수!$D$42/(AA31+AB31+AC31+AD31),"")</f>
        <v/>
      </c>
      <c r="AE35" s="40">
        <f>AD35</f>
        <v/>
      </c>
      <c r="AF35" s="39">
        <f>IFERROR(변수!$D$42/(AB31+AC31+AD31+AF31),"")</f>
        <v/>
      </c>
      <c r="AG35" s="39">
        <f>IFERROR(변수!$D$42/(AC31+AD31+AF31+AG31),"")</f>
        <v/>
      </c>
      <c r="AH35" s="39">
        <f>IFERROR(변수!$D$42/(AD31+AF31+AG31+AH31),"")</f>
        <v/>
      </c>
      <c r="AI35" s="39">
        <f>IFERROR(변수!$D$42/(AF31+AG31+AH31+AI31),"")</f>
        <v/>
      </c>
      <c r="AJ35" s="40">
        <f>AI35</f>
        <v/>
      </c>
      <c r="AK35" s="39">
        <f>IFERROR(변수!$D$42/(AG31+AH31+AI31+AK31),"")</f>
        <v/>
      </c>
      <c r="AL35" s="39">
        <f>IFERROR(변수!$D$42/(AH31+AI31+AK31+AL31),"")</f>
        <v/>
      </c>
      <c r="AM35" s="39">
        <f>IFERROR(변수!$D$42/(AI31+AK31+AL31+AM31),"")</f>
        <v/>
      </c>
      <c r="AN35" s="39">
        <f>IFERROR(변수!$D$42/(AK31+AL31+AM31+AN31),"")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93.05</v>
      </c>
      <c r="F37" s="37" t="n"/>
      <c r="G37" s="18" t="n">
        <v>73.59</v>
      </c>
      <c r="H37" s="18" t="n">
        <v>95.66</v>
      </c>
      <c r="I37" s="18" t="n">
        <v>88.97</v>
      </c>
      <c r="J37" s="18" t="n">
        <v>101.94</v>
      </c>
      <c r="K37" s="37">
        <f>SUM(G37:J37)</f>
        <v/>
      </c>
      <c r="L37" s="18" t="n">
        <v>109.68</v>
      </c>
      <c r="M37" s="18" t="n">
        <v>115.38</v>
      </c>
      <c r="N37" s="18" t="n">
        <v>99.01000000000001</v>
      </c>
      <c r="O37" s="18" t="n">
        <v>112.26</v>
      </c>
      <c r="P37" s="37">
        <f>SUM(L37:O37)</f>
        <v/>
      </c>
      <c r="Q37" s="18" t="n">
        <v>106.89</v>
      </c>
      <c r="R37" s="18" t="n">
        <v>115.24</v>
      </c>
      <c r="S37" s="18" t="n">
        <v>97.09999999999999</v>
      </c>
      <c r="T37" s="18" t="n">
        <v>152.08</v>
      </c>
      <c r="U37" s="37">
        <f>SUM(Q37:T37)</f>
        <v/>
      </c>
      <c r="V37" s="18" t="n">
        <v>125.39</v>
      </c>
      <c r="W37" s="18" t="n">
        <v>120.34</v>
      </c>
      <c r="X37" s="18" t="n">
        <v>116.42</v>
      </c>
      <c r="Y37" s="18" t="n">
        <v>125.9</v>
      </c>
      <c r="Z37" s="37">
        <f>SUM(V37:Y37)</f>
        <v/>
      </c>
      <c r="AA37" s="18" t="n">
        <v>114.94</v>
      </c>
      <c r="AB37" s="19" t="n">
        <v>127.96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14.6</v>
      </c>
      <c r="F38" s="37" t="n"/>
      <c r="G38" s="18" t="n">
        <v>0.57</v>
      </c>
      <c r="H38" s="18" t="n">
        <v>3.64</v>
      </c>
      <c r="I38" s="18" t="n">
        <v>9.43</v>
      </c>
      <c r="J38" s="18" t="n">
        <v>11.35</v>
      </c>
      <c r="K38" s="37">
        <f>SUM(G38:J38)</f>
        <v/>
      </c>
      <c r="L38" s="18" t="n">
        <v>11.12</v>
      </c>
      <c r="M38" s="18" t="n">
        <v>11.44</v>
      </c>
      <c r="N38" s="18" t="n">
        <v>6.03</v>
      </c>
      <c r="O38" s="18" t="n">
        <v>3.73</v>
      </c>
      <c r="P38" s="37">
        <f>SUM(L38:O38)</f>
        <v/>
      </c>
      <c r="Q38" s="18" t="n">
        <v>10.57</v>
      </c>
      <c r="R38" s="18" t="n">
        <v>7.56</v>
      </c>
      <c r="S38" s="18" t="n">
        <v>-4.72</v>
      </c>
      <c r="T38" s="18" t="n">
        <v>21.14</v>
      </c>
      <c r="U38" s="37">
        <f>SUM(Q38:T38)</f>
        <v/>
      </c>
      <c r="V38" s="18" t="n">
        <v>-0.76</v>
      </c>
      <c r="W38" s="18" t="n">
        <v>7.1</v>
      </c>
      <c r="X38" s="18" t="n">
        <v>3.7</v>
      </c>
      <c r="Y38" s="18" t="n">
        <v>-1.02</v>
      </c>
      <c r="Z38" s="37">
        <f>SUM(V38:Y38)</f>
        <v/>
      </c>
      <c r="AA38" s="18" t="n">
        <v>3.09</v>
      </c>
      <c r="AB38" s="19" t="n">
        <v>4.15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IFERROR(E19/E5,"")</f>
        <v/>
      </c>
      <c r="F40" s="22">
        <f>IFERROR(F19/F5,"")</f>
        <v/>
      </c>
      <c r="G40" s="21">
        <f>IFERROR(G19/G5,"")</f>
        <v/>
      </c>
      <c r="H40" s="21">
        <f>IFERROR(H19/H5,"")</f>
        <v/>
      </c>
      <c r="I40" s="21">
        <f>IFERROR(I19/I5,"")</f>
        <v/>
      </c>
      <c r="J40" s="21">
        <f>IFERROR(J19/J5,"")</f>
        <v/>
      </c>
      <c r="K40" s="22">
        <f>IFERROR(K19/K5,"")</f>
        <v/>
      </c>
      <c r="L40" s="21">
        <f>IFERROR(L19/L5,"")</f>
        <v/>
      </c>
      <c r="M40" s="21">
        <f>IFERROR(M19/M5,"")</f>
        <v/>
      </c>
      <c r="N40" s="21">
        <f>IFERROR(N19/N5,"")</f>
        <v/>
      </c>
      <c r="O40" s="21">
        <f>IFERROR(O19/O5,"")</f>
        <v/>
      </c>
      <c r="P40" s="22">
        <f>IFERROR(P19/P5,"")</f>
        <v/>
      </c>
      <c r="Q40" s="21">
        <f>IFERROR(Q19/Q5,"")</f>
        <v/>
      </c>
      <c r="R40" s="21">
        <f>IFERROR(R19/R5,"")</f>
        <v/>
      </c>
      <c r="S40" s="21">
        <f>IFERROR(S19/S5,"")</f>
        <v/>
      </c>
      <c r="T40" s="21">
        <f>IFERROR(T19/T5,"")</f>
        <v/>
      </c>
      <c r="U40" s="22">
        <f>IFERROR(U19/U5,"")</f>
        <v/>
      </c>
      <c r="V40" s="21">
        <f>IFERROR(V19/V5,"")</f>
        <v/>
      </c>
      <c r="W40" s="21">
        <f>IFERROR(W19/W5,"")</f>
        <v/>
      </c>
      <c r="X40" s="21">
        <f>IFERROR(X19/X5,"")</f>
        <v/>
      </c>
      <c r="Y40" s="21">
        <f>IFERROR(Y19/Y5,"")</f>
        <v/>
      </c>
      <c r="Z40" s="22">
        <f>IFERROR(Z19/Z5,"")</f>
        <v/>
      </c>
      <c r="AA40" s="21">
        <f>IFERROR(AA19/AA5,"")</f>
        <v/>
      </c>
      <c r="AB40" s="23">
        <f>IFERROR(AB19/AB5,"")</f>
        <v/>
      </c>
      <c r="AC40" s="32">
        <f>IFERROR(AC19/AC5,"")</f>
        <v/>
      </c>
      <c r="AD40" s="32">
        <f>IFERROR(AD19/AD5,"")</f>
        <v/>
      </c>
      <c r="AE40" s="25">
        <f>IFERROR(AE19/AE5,"")</f>
        <v/>
      </c>
      <c r="AF40" s="32">
        <f>IFERROR(AF19/AF5,"")</f>
        <v/>
      </c>
      <c r="AG40" s="32">
        <f>IFERROR(AG19/AG5,"")</f>
        <v/>
      </c>
      <c r="AH40" s="32">
        <f>IFERROR(AH19/AH5,"")</f>
        <v/>
      </c>
      <c r="AI40" s="32">
        <f>IFERROR(AI19/AI5,"")</f>
        <v/>
      </c>
      <c r="AJ40" s="25">
        <f>IFERROR(AJ19/AJ5,"")</f>
        <v/>
      </c>
      <c r="AK40" s="32">
        <f>IFERROR(AK19/AK5,"")</f>
        <v/>
      </c>
      <c r="AL40" s="32">
        <f>IFERROR(AL19/AL5,"")</f>
        <v/>
      </c>
      <c r="AM40" s="32">
        <f>IFERROR(AM19/AM5,"")</f>
        <v/>
      </c>
      <c r="AN40" s="32">
        <f>IFERROR(AN19/AN5,"")</f>
        <v/>
      </c>
      <c r="AO40" s="25">
        <f>IFERROR(AO19/AO5,"")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3">
        <f>IFERROR(VLOOKUP($A30,subQ,MATCH(X$1,SUBQH,0),0),"")</f>
        <v/>
      </c>
      <c r="Y30" s="33">
        <f>IFERROR(VLOOKUP($A30,subQ,MATCH(Y$1,SUBQH,0),0),"")</f>
        <v/>
      </c>
      <c r="Z30" s="33">
        <f>IFERROR(VLOOKUP($A30,subQ,MATCH(Z$1,SUBQH,0),0),"")</f>
        <v/>
      </c>
      <c r="AA30" s="33">
        <f>IFERROR(VLOOKUP($A30,subQ,MATCH(AA$1,SUBQH,0),0),"")</f>
        <v/>
      </c>
      <c r="AB30" s="33">
        <f>IFERROR(VLOOKUP($A30,subQ,MATCH(AB$1,SUBQH,0),0),"")</f>
        <v/>
      </c>
      <c r="AC30" s="33">
        <f>IFERROR(VLOOKUP($A30,subQ,MATCH(AC$1,SUBQH,0),0),"")</f>
        <v/>
      </c>
      <c r="AD30" s="33">
        <f>IFERROR(VLOOKUP($A30,subQ,MATCH(AD$1,SUBQH,0),0),"")</f>
        <v/>
      </c>
      <c r="AE30" s="33">
        <f>IFERROR(VLOOKUP($A30,subQ,MATCH(AE$1,SUBQH,0),0),"")</f>
        <v/>
      </c>
      <c r="AF30" s="33">
        <f>IFERROR(VLOOKUP($A30,subQ,MATCH(AF$1,SUBQH,0),0),"")</f>
        <v/>
      </c>
      <c r="AG30" s="33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IFERROR(I19/E19-1,"")</f>
        <v/>
      </c>
      <c r="J42" s="21">
        <f>IFERROR(J19/F19-1,"")</f>
        <v/>
      </c>
      <c r="K42" s="21">
        <f>IFERROR(K19/G19-1,"")</f>
        <v/>
      </c>
      <c r="L42" s="21">
        <f>IFERROR(L19/H19-1,"")</f>
        <v/>
      </c>
      <c r="M42" s="21">
        <f>IFERROR(M19/I19-1,"")</f>
        <v/>
      </c>
      <c r="N42" s="21">
        <f>IFERROR(N19/J19-1,"")</f>
        <v/>
      </c>
      <c r="O42" s="21">
        <f>IFERROR(O19/K19-1,"")</f>
        <v/>
      </c>
      <c r="P42" s="21">
        <f>IFERROR(P19/L19-1,"")</f>
        <v/>
      </c>
      <c r="Q42" s="21">
        <f>IFERROR(Q19/M19-1,"")</f>
        <v/>
      </c>
      <c r="R42" s="21">
        <f>IFERROR(R19/N19-1,"")</f>
        <v/>
      </c>
      <c r="S42" s="21">
        <f>IFERROR(S19/O19-1,"")</f>
        <v/>
      </c>
      <c r="T42" s="21">
        <f>IFERROR(T19/P19-1,"")</f>
        <v/>
      </c>
      <c r="U42" s="21">
        <f>IFERROR(U19/Q19-1,"")</f>
        <v/>
      </c>
      <c r="V42" s="21">
        <f>IFERROR(V19/R19-1,"")</f>
        <v/>
      </c>
      <c r="W42" s="46">
        <f>IFERROR(W19/S19-1,"")</f>
        <v/>
      </c>
      <c r="X42" s="32">
        <f>IFERROR(X19/T19-1,"")</f>
        <v/>
      </c>
      <c r="Y42" s="32">
        <f>IFERROR(Y19/U19-1,"")</f>
        <v/>
      </c>
      <c r="Z42" s="32">
        <f>IFERROR(Z19/V19-1,"")</f>
        <v/>
      </c>
      <c r="AA42" s="32">
        <f>IFERROR(AA19/W19-1,"")</f>
        <v/>
      </c>
      <c r="AB42" s="32">
        <f>IFERROR(AB19/X19-1,"")</f>
        <v/>
      </c>
      <c r="AC42" s="32">
        <f>IFERROR(AC19/Y19-1,"")</f>
        <v/>
      </c>
      <c r="AD42" s="32">
        <f>IFERROR(AD19/Z19-1,"")</f>
        <v/>
      </c>
      <c r="AE42" s="32">
        <f>IFERROR(AE19/AA19-1,"")</f>
        <v/>
      </c>
      <c r="AF42" s="32">
        <f>IFERROR(AF19/AB19-1,"")</f>
        <v/>
      </c>
      <c r="AG42" s="32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3">
        <f>IFERROR(VLOOKUP($A30,subQ,MATCH(J$1,SUBQH,0),0),"")</f>
        <v/>
      </c>
      <c r="K30" s="33">
        <f>IFERROR(VLOOKUP($A30,subQ,MATCH(K$1,SUBQH,0),0),"")</f>
        <v/>
      </c>
      <c r="L30" s="33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조정EPS</t>
        </is>
      </c>
      <c r="D32" t="inlineStr">
        <is>
          <t>조정 EPS(일회성 의심 분기의 초과 비영업손익 세후 차감 — 모델 추정)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IFERROR(F19/E19-1,"")</f>
        <v/>
      </c>
      <c r="G42" s="21">
        <f>IFERROR(G19/F19-1,"")</f>
        <v/>
      </c>
      <c r="H42" s="21">
        <f>IFERROR(H19/G19-1,"")</f>
        <v/>
      </c>
      <c r="I42" s="46">
        <f>IFERROR(I19/H19-1,"")</f>
        <v/>
      </c>
      <c r="J42" s="32">
        <f>IFERROR(J19/I19-1,"")</f>
        <v/>
      </c>
      <c r="K42" s="32">
        <f>IFERROR(K19/J19-1,"")</f>
        <v/>
      </c>
      <c r="L42" s="32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173.1</v>
      </c>
    </row>
    <row r="30">
      <c r="C30" s="2" t="inlineStr">
        <is>
          <t>bps_latest</t>
        </is>
      </c>
      <c r="D30" t="n">
        <v>7576.5</v>
      </c>
    </row>
    <row r="31">
      <c r="C31" s="2" t="inlineStr">
        <is>
          <t>per_now</t>
        </is>
      </c>
      <c r="D31" t="n">
        <v>8.779999999999999</v>
      </c>
    </row>
    <row r="32">
      <c r="C32" s="2" t="inlineStr">
        <is>
          <t>pbr_now</t>
        </is>
      </c>
      <c r="D32" t="n">
        <v>0.2</v>
      </c>
    </row>
    <row r="33">
      <c r="C33" s="2" t="inlineStr">
        <is>
          <t>roe_fwd</t>
        </is>
      </c>
      <c r="D33" t="n">
        <v>0.0228</v>
      </c>
    </row>
    <row r="34">
      <c r="C34" s="2" t="inlineStr">
        <is>
          <t>fair_pbr</t>
        </is>
      </c>
      <c r="D34" t="n">
        <v>0.25</v>
      </c>
    </row>
    <row r="35">
      <c r="C35" s="2" t="inlineStr">
        <is>
          <t>fair_value_pbr</t>
        </is>
      </c>
      <c r="D35" t="n">
        <v>1900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