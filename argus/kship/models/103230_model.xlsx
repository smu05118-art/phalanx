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0.0275(r4)
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0.055(r4)
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0.0825(r4)
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0.11(r4)
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K27" authorId="0" shapeId="0">
      <text>
        <t>모델값 역산(implied): v / 세전이익 · 모델 가정 tax_schedule 0.1375(r4)
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L27" authorId="0" shapeId="0">
      <text>
        <t>모델값 역산(implied): v / 세전이익 · 모델 가정 tax_schedule 0.165(r4)
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M27" authorId="0" shapeId="0">
      <text>
        <t>모델값 역산(implied): v / 세전이익 · 모델 가정 tax_schedule 0.1925(r4)
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49억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52억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40억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49억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52억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K17" authorId="0" shapeId="0">
      <text>
        <t>추정: 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L17" authorId="0" shapeId="0">
      <text>
        <t>추정: 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M17" authorId="0" shapeId="0">
      <text>
        <t>추정: 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N17" authorId="0" shapeId="0">
      <text>
        <t>추정: 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Y32" authorId="0" shapeId="0">
      <text>
        <t>조정EPS 산식(모델 추정, 일회성 여부·세효과 주석 미확인): 지배NI − 초과 비영업손익 -7억 × (1 − 세율 0.0% [모델 세율(분기 유효세율이 0~35% 밖·세전 ≤ 0)]) × 지배 비중 1.0000 [그 분기 지배NI/NI] = 5억 ÷ 유통주식수 · 초과 = 비영업손익 -7억 − 12분기 기준선 1억 · 보고 EPS -30원(EPS 행 불변) · 상수 -7.44·1.0 는 모델 one_offs_detected 값(세전·법인세 셀을 바꿔도 재계산되지 않음)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AK32" authorId="0" shapeId="0">
      <text>
        <t>추정: = EPS(추정 구간은 일회성 미가정)
[identity]</t>
      </text>
    </comment>
    <comment ref="AL32" authorId="0" shapeId="0">
      <text>
        <t>추정: = EPS(추정 구간은 일회성 미가정)
[identity]</t>
      </text>
    </comment>
    <comment ref="AM32" authorId="0" shapeId="0">
      <text>
        <t>추정: = EPS(추정 구간은 일회성 미가정)
[identity]</t>
      </text>
    </comment>
    <comment ref="AN32" authorId="0" shapeId="0">
      <text>
        <t>추정: = EPS(추정 구간은 일회성 미가정)
[identity]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1.55% / 부채 1.15%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-30→조정 73원)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법인세율 이월결손 경로: 최근 양(+)세전 6분기 유효세율 중위 -35.1%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73.3원(보고 -30.0원; 초과 비영업손익 -7억 × (1 − 세율 0.0%) × 지배 비중 1.00 = -7억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1645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1499.6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0</v>
      </c>
      <c r="AD27" s="24" t="n">
        <v>0</v>
      </c>
      <c r="AE27" s="25">
        <f>IFERROR(subQ!AE17/subQ!AE16,"")</f>
        <v/>
      </c>
      <c r="AF27" s="24" t="n">
        <v>0.026578073</v>
      </c>
      <c r="AG27" s="24" t="n">
        <v>0.056047198</v>
      </c>
      <c r="AH27" s="24" t="n">
        <v>0.082236842</v>
      </c>
      <c r="AI27" s="24" t="n">
        <v>0.111445783</v>
      </c>
      <c r="AJ27" s="25">
        <f>IFERROR(subQ!AJ17/subQ!AJ16,"")</f>
        <v/>
      </c>
      <c r="AK27" s="24" t="n">
        <v>0.139072848</v>
      </c>
      <c r="AL27" s="24" t="n">
        <v>0.164705882</v>
      </c>
      <c r="AM27" s="24" t="n">
        <v>0.19218241</v>
      </c>
      <c r="AN27" s="24" t="n">
        <v>0.220895522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0.005180418</v>
      </c>
      <c r="AD30" s="30" t="n">
        <v>0.001460245</v>
      </c>
      <c r="AE30" s="31" t="n"/>
      <c r="AF30" s="30" t="n">
        <v>-0.005600626</v>
      </c>
      <c r="AG30" s="30" t="n">
        <v>0.005252865</v>
      </c>
      <c r="AH30" s="30" t="n">
        <v>-0.00190339</v>
      </c>
      <c r="AI30" s="30" t="n">
        <v>-0.011151955</v>
      </c>
      <c r="AJ30" s="31" t="n"/>
      <c r="AK30" s="30" t="n">
        <v>-0.009881480999999999</v>
      </c>
      <c r="AL30" s="30" t="n">
        <v>0.000183645</v>
      </c>
      <c r="AM30" s="30" t="n">
        <v>0.000961695</v>
      </c>
      <c r="AN30" s="30" t="n">
        <v>0.000600254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0.005180418</v>
      </c>
      <c r="AD31" s="30" t="n">
        <v>0.001460245</v>
      </c>
      <c r="AE31" s="31" t="n"/>
      <c r="AF31" s="30" t="n">
        <v>-0.005600626</v>
      </c>
      <c r="AG31" s="30" t="n">
        <v>0.005252865</v>
      </c>
      <c r="AH31" s="30" t="n">
        <v>-0.00190339</v>
      </c>
      <c r="AI31" s="30" t="n">
        <v>-0.011151955</v>
      </c>
      <c r="AJ31" s="31" t="n"/>
      <c r="AK31" s="30" t="n">
        <v>-0.009881480999999999</v>
      </c>
      <c r="AL31" s="30" t="n">
        <v>0.000183645</v>
      </c>
      <c r="AM31" s="30" t="n">
        <v>0.000961695</v>
      </c>
      <c r="AN31" s="30" t="n">
        <v>0.000600254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-0.024868486</v>
      </c>
      <c r="AD33" s="24" t="n">
        <v>-0.027918354</v>
      </c>
      <c r="AE33" s="25" t="n"/>
      <c r="AF33" s="24" t="n">
        <v>-0.025422993</v>
      </c>
      <c r="AG33" s="24" t="n">
        <v>-0.028490028</v>
      </c>
      <c r="AH33" s="24" t="n">
        <v>-0.025568182</v>
      </c>
      <c r="AI33" s="24" t="n">
        <v>-0.027837863</v>
      </c>
      <c r="AJ33" s="25" t="n"/>
      <c r="AK33" s="24" t="n">
        <v>-0.025249105</v>
      </c>
      <c r="AL33" s="24" t="n">
        <v>-0.028185788</v>
      </c>
      <c r="AM33" s="24" t="n">
        <v>-0.025326797</v>
      </c>
      <c r="AN33" s="24" t="n">
        <v>-0.027347024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0.09811658700000001</v>
      </c>
      <c r="AD34" s="24" t="n">
        <v>0.097813239</v>
      </c>
      <c r="AE34" s="25" t="n"/>
      <c r="AF34" s="24" t="n">
        <v>0.07886944799999999</v>
      </c>
      <c r="AG34" s="24" t="n">
        <v>0.07984031900000001</v>
      </c>
      <c r="AH34" s="24" t="n">
        <v>0.064463956</v>
      </c>
      <c r="AI34" s="24" t="n">
        <v>0.064250054</v>
      </c>
      <c r="AJ34" s="25" t="n"/>
      <c r="AK34" s="24" t="n">
        <v>0.053232715</v>
      </c>
      <c r="AL34" s="24" t="n">
        <v>0.054996127</v>
      </c>
      <c r="AM34" s="24" t="n">
        <v>0.045521292</v>
      </c>
      <c r="AN34" s="24" t="n">
        <v>0.045821629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1645</v>
      </c>
      <c r="E42" s="2" t="inlineStr">
        <is>
          <t>원 — 네이버 정규장 종가(aik 확정종가 대조 · aik 1,473원)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14분기,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10.2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0.1049707849944957</v>
      </c>
      <c r="E50" s="2" t="inlineStr">
        <is>
          <t>연결 — 판관비 = 매출액 × 판관비율(역산, 재현 오차 ≤ 0.05억 · 모델 assumptions 0.105)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0.01545159234920223</v>
      </c>
      <c r="E52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0.01152913900412491</v>
      </c>
      <c r="E53" s="2" t="inlineStr">
        <is>
          <t>연결 — 같은 수식의 부채 쪽(총차입금 행이 없으면 0)(역산, 재현 오차 ≤ 0.05억 · 모델 assumptions 0.0116)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>
        <f>IFERROR(E31,"")</f>
        <v/>
      </c>
      <c r="F32" s="37" t="n"/>
      <c r="G32" s="18">
        <f>IFERROR(G31,"")</f>
        <v/>
      </c>
      <c r="H32" s="18">
        <f>IFERROR(H31,"")</f>
        <v/>
      </c>
      <c r="I32" s="18">
        <f>IFERROR(I31,"")</f>
        <v/>
      </c>
      <c r="J32" s="18">
        <f>IFERROR(J31,"")</f>
        <v/>
      </c>
      <c r="K32" s="37">
        <f>SUM(G32:J32)</f>
        <v/>
      </c>
      <c r="L32" s="18">
        <f>IFERROR(L31,"")</f>
        <v/>
      </c>
      <c r="M32" s="18">
        <f>IFERROR(M31,"")</f>
        <v/>
      </c>
      <c r="N32" s="18">
        <f>IFERROR(N31,"")</f>
        <v/>
      </c>
      <c r="O32" s="18">
        <f>IFERROR(O31,"")</f>
        <v/>
      </c>
      <c r="P32" s="37">
        <f>SUM(L32:O32)</f>
        <v/>
      </c>
      <c r="Q32" s="18">
        <f>IFERROR(Q31,"")</f>
        <v/>
      </c>
      <c r="R32" s="18">
        <f>IFERROR(R31,"")</f>
        <v/>
      </c>
      <c r="S32" s="18">
        <f>IFERROR(S31,"")</f>
        <v/>
      </c>
      <c r="T32" s="18">
        <f>IFERROR(T31,"")</f>
        <v/>
      </c>
      <c r="U32" s="37">
        <f>SUM(Q32:T32)</f>
        <v/>
      </c>
      <c r="V32" s="18">
        <f>IFERROR(V31,"")</f>
        <v/>
      </c>
      <c r="W32" s="18">
        <f>IFERROR(W31,"")</f>
        <v/>
      </c>
      <c r="X32" s="18">
        <f>IFERROR(X31,"")</f>
        <v/>
      </c>
      <c r="Y32" s="20">
        <f>IFERROR((Y19-(-7.44)*(1.0))*100/Y30,"")</f>
        <v/>
      </c>
      <c r="Z32" s="37">
        <f>SUM(V32:Y32)</f>
        <v/>
      </c>
      <c r="AA32" s="18">
        <f>IFERROR(AA31,"")</f>
        <v/>
      </c>
      <c r="AB32" s="19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  <c r="AK32" s="20">
        <f>IFERROR(AK31,"")</f>
        <v/>
      </c>
      <c r="AL32" s="20">
        <f>IFERROR(AL31,"")</f>
        <v/>
      </c>
      <c r="AM32" s="20">
        <f>IFERROR(AM31,"")</f>
        <v/>
      </c>
      <c r="AN32" s="20">
        <f>IFERROR(AN31,"")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  <c r="AK35" s="39">
        <f>IFERROR(변수!$D$42/(AG31+AH31+AI31+AK31),"")</f>
        <v/>
      </c>
      <c r="AL35" s="39">
        <f>IFERROR(변수!$D$42/(AH31+AI31+AK31+AL31),"")</f>
        <v/>
      </c>
      <c r="AM35" s="39">
        <f>IFERROR(변수!$D$42/(AI31+AK31+AL31+AM31),"")</f>
        <v/>
      </c>
      <c r="AN35" s="39">
        <f>IFERROR(변수!$D$42/(AK31+AL31+AM31+AN31),"")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173.1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9.5</v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0.0228</v>
      </c>
    </row>
    <row r="34">
      <c r="C34" s="2" t="inlineStr">
        <is>
          <t>fair_pbr</t>
        </is>
      </c>
      <c r="D34" t="n">
        <v>0.25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