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모델값 역산(implied): v / 매출액
매출액 × 판관비율 10.50%(최근 4분기 중위)</t>
      </text>
    </comment>
    <comment ref="AD22" authorId="0" shapeId="0">
      <text>
        <t>모델값 역산(implied): v / 매출액
매출액 × 판관비율 10.50%(최근 4분기 중위)</t>
      </text>
    </comment>
    <comment ref="AF22" authorId="0" shapeId="0">
      <text>
        <t>모델값 역산(implied): v / 매출액
매출액 × 판관비율 10.50%(최근 4분기 중위)</t>
      </text>
    </comment>
    <comment ref="AG22" authorId="0" shapeId="0">
      <text>
        <t>모델값 역산(implied): v / 매출액
매출액 × 판관비율 10.50%(최근 4분기 중위)</t>
      </text>
    </comment>
    <comment ref="AH22" authorId="0" shapeId="0">
      <text>
        <t>모델값 역산(implied): v / 매출액
매출액 × 판관비율 10.50%(최근 4분기 중위)</t>
      </text>
    </comment>
    <comment ref="AI22" authorId="0" shapeId="0">
      <text>
        <t>모델값 역산(implied): v / 매출액
매출액 × 판관비율 10.50%(최근 4분기 중위)</t>
      </text>
    </comment>
    <comment ref="AK22" authorId="0" shapeId="0">
      <text>
        <t>모델값 역산(implied): v / 매출액
매출액 × 판관비율 10.50%(최근 4분기 중위)</t>
      </text>
    </comment>
    <comment ref="AL22" authorId="0" shapeId="0">
      <text>
        <t>모델값 역산(implied): v / 매출액
매출액 × 판관비율 10.50%(최근 4분기 중위)</t>
      </text>
    </comment>
    <comment ref="AM22" authorId="0" shapeId="0">
      <text>
        <t>모델값 역산(implied): v / 매출액
매출액 × 판관비율 10.50%(최근 4분기 중위)</t>
      </text>
    </comment>
    <comment ref="AN22" authorId="0" shapeId="0">
      <text>
        <t>모델값 역산(implied): v / 매출액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v / 전년동기 − 1
최근 8분기 OPM 중위 2.9% 유지(클립 −20~40%)</t>
      </text>
    </comment>
    <comment ref="AD24" authorId="0" shapeId="0">
      <text>
        <t>모델값 역산(implied): v / 전년동기 − 1
최근 8분기 OPM 중위 2.9% 유지(클립 −20~40%)</t>
      </text>
    </comment>
    <comment ref="AF24" authorId="0" shapeId="0">
      <text>
        <t>모델값 역산(implied): v / 전년동기 − 1
최근 8분기 OPM 중위 2.9% 유지(클립 −20~40%)</t>
      </text>
    </comment>
    <comment ref="AG24" authorId="0" shapeId="0">
      <text>
        <t>모델값 역산(implied): v / 전년동기 − 1
최근 8분기 OPM 중위 2.9% 유지(클립 −20~40%)</t>
      </text>
    </comment>
    <comment ref="AH24" authorId="0" shapeId="0">
      <text>
        <t>모델값 역산(implied): v / 전년동기 − 1
최근 8분기 OPM 중위 2.9% 유지(클립 −20~40%)</t>
      </text>
    </comment>
    <comment ref="AI24" authorId="0" shapeId="0">
      <text>
        <t>모델값 역산(implied): v / 전년동기 − 1
최근 8분기 OPM 중위 2.9% 유지(클립 −20~40%)</t>
      </text>
    </comment>
    <comment ref="AK24" authorId="0" shapeId="0">
      <text>
        <t>모델값 역산(implied): v / 전년동기 − 1
최근 8분기 OPM 중위 2.9% 유지(클립 −20~40%)</t>
      </text>
    </comment>
    <comment ref="AL24" authorId="0" shapeId="0">
      <text>
        <t>모델값 역산(implied): v / 전년동기 − 1
최근 8분기 OPM 중위 2.9% 유지(클립 −20~40%)</t>
      </text>
    </comment>
    <comment ref="AM24" authorId="0" shapeId="0">
      <text>
        <t>모델값 역산(implied): v / 전년동기 − 1
최근 8분기 OPM 중위 2.9% 유지(클립 −20~40%)</t>
      </text>
    </comment>
    <comment ref="AN24" authorId="0" shapeId="0">
      <text>
        <t>모델값 역산(implied): v / 전년동기 − 1
최근 8분기 OPM 중위 2.9%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</t>
      </text>
    </comment>
    <comment ref="AC26" authorId="0" shapeId="0">
      <text>
        <t>모델값 역산(implied): 모델 v 그대로
이자발생자산 31억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D26" authorId="0" shapeId="0">
      <text>
        <t>모델값 역산(implied): 모델 v 그대로
이자발생자산 33억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F26" authorId="0" shapeId="0">
      <text>
        <t>모델값 역산(implied): 모델 v 그대로
이자발생자산 36억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G26" authorId="0" shapeId="0">
      <text>
        <t>모델값 역산(implied): 모델 v 그대로
이자발생자산 38억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H26" authorId="0" shapeId="0">
      <text>
        <t>모델값 역산(implied): 모델 v 그대로
이자발생자산 41억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I26" authorId="0" shapeId="0">
      <text>
        <t>모델값 역산(implied): 모델 v 그대로
이자발생자산 43억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K26" authorId="0" shapeId="0">
      <text>
        <t>모델값 역산(implied): 모델 v 그대로
이자발생자산 46억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L26" authorId="0" shapeId="0">
      <text>
        <t>모델값 역산(implied): 모델 v 그대로
이자발생자산 48억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M26" authorId="0" shapeId="0">
      <text>
        <t>모델값 역산(implied): 모델 v 그대로
이자발생자산 51억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N26" authorId="0" shapeId="0">
      <text>
        <t>모델값 역산(implied): 모델 v 그대로
이자발생자산 53억 × 1.58%(CF 이자수취 ÷ 평균 이자발생자산(2025Q3~2026Q2; 주석 이자수익 1분기 &lt; 4)) − 총차입금 152억 × 1.16%(CF 이자지급 ÷ 평균 총차입금(2023Q1~2025Q1; 주석 이자비용 1분기 &lt; 4)) (연율) ÷ 4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D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F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G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H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I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K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L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M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N30" authorId="0" shapeId="0">
      <text>
        <t>모델값 역산(implied): v / 세전이익
max(세전, 0) × 세율 22.0%(최근 12분기 유효세율 -27.3% 가 5~27% 밖; 세전 &gt; 0 분기 중위 -35.1% 도 5~27% 밖 → 법정세율 근사 22% 가정)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현재 종가 ÷ TTM EPS(추정 포함)</t>
      </text>
    </comment>
    <comment ref="AD43" authorId="0" shapeId="0">
      <text>
        <t>모델값 역산(implied): v / 전년동기 − 1
현재 종가 ÷ TTM EPS(추정 포함)</t>
      </text>
    </comment>
    <comment ref="AF43" authorId="0" shapeId="0">
      <text>
        <t>모델값 역산(implied): v / 전년동기 − 1
현재 종가 ÷ TTM EPS(추정 포함)</t>
      </text>
    </comment>
    <comment ref="AG43" authorId="0" shapeId="0">
      <text>
        <t>모델값 역산(implied): v / 전년동기 − 1
현재 종가 ÷ TTM EPS(추정 포함)</t>
      </text>
    </comment>
    <comment ref="AH43" authorId="0" shapeId="0">
      <text>
        <t>모델값 역산(implied): v / 전년동기 − 1
현재 종가 ÷ TTM EPS(추정 포함)</t>
      </text>
    </comment>
    <comment ref="AI43" authorId="0" shapeId="0">
      <text>
        <t>모델값 역산(implied): v / 전년동기 − 1
현재 종가 ÷ TTM EPS(추정 포함)</t>
      </text>
    </comment>
    <comment ref="AK43" authorId="0" shapeId="0">
      <text>
        <t>모델값 역산(implied): v / 전년동기 − 1
현재 종가 ÷ TTM EPS(추정 포함)</t>
      </text>
    </comment>
    <comment ref="AL43" authorId="0" shapeId="0">
      <text>
        <t>모델값 역산(implied): v / 전년동기 − 1
현재 종가 ÷ TTM EPS(추정 포함)</t>
      </text>
    </comment>
    <comment ref="AM43" authorId="0" shapeId="0">
      <text>
        <t>모델값 역산(implied): v / 전년동기 − 1
현재 종가 ÷ TTM EPS(추정 포함)</t>
      </text>
    </comment>
    <comment ref="AN43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2.9% 유지(클립 −20~40%)
[yoy]</t>
      </text>
    </comment>
    <comment ref="AD10" authorId="0" shapeId="0">
      <text>
        <t>추정: 최근 8분기 OPM 중위 2.9% 유지(클립 −20~40%)
[yoy]</t>
      </text>
    </comment>
    <comment ref="AF10" authorId="0" shapeId="0">
      <text>
        <t>추정: 최근 8분기 OPM 중위 2.9% 유지(클립 −20~40%)
[yoy]</t>
      </text>
    </comment>
    <comment ref="AG10" authorId="0" shapeId="0">
      <text>
        <t>추정: 최근 8분기 OPM 중위 2.9% 유지(클립 −20~40%)
[yoy]</t>
      </text>
    </comment>
    <comment ref="AH10" authorId="0" shapeId="0">
      <text>
        <t>추정: 최근 8분기 OPM 중위 2.9% 유지(클립 −20~40%)
[yoy]</t>
      </text>
    </comment>
    <comment ref="AI10" authorId="0" shapeId="0">
      <text>
        <t>추정: 최근 8분기 OPM 중위 2.9% 유지(클립 −20~40%)
[yoy]</t>
      </text>
    </comment>
    <comment ref="AK10" authorId="0" shapeId="0">
      <text>
        <t>추정: 최근 8분기 OPM 중위 2.9% 유지(클립 −20~40%)
[yoy]</t>
      </text>
    </comment>
    <comment ref="AL10" authorId="0" shapeId="0">
      <text>
        <t>추정: 최근 8분기 OPM 중위 2.9% 유지(클립 −20~40%)
[yoy]</t>
      </text>
    </comment>
    <comment ref="AM10" authorId="0" shapeId="0">
      <text>
        <t>추정: 최근 8분기 OPM 중위 2.9% 유지(클립 −20~40%)
[yoy]</t>
      </text>
    </comment>
    <comment ref="AN10" authorId="0" shapeId="0">
      <text>
        <t>추정: 최근 8분기 OPM 중위 2.9%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48억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[abs]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D12" authorId="0" shapeId="0">
      <text>
        <t>추정: 이자발생자산 33억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F12" authorId="0" shapeId="0">
      <text>
        <t>추정: 이자발생자산 36억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G12" authorId="0" shapeId="0">
      <text>
        <t>추정: 이자발생자산 38억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H12" authorId="0" shapeId="0">
      <text>
        <t>추정: 이자발생자산 41억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I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K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L12" authorId="0" shapeId="0">
      <text>
        <t>추정: 이자발생자산 48억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M12" authorId="0" shapeId="0">
      <text>
        <t>추정: 이자발생자산 51억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N12" authorId="0" shapeId="0">
      <text>
        <t>추정: 이자발생자산 53억 × 1.58%(CF 이자수취 ÷ 평균 이자발생자산(2025Q3~2026Q2; 주석 이자수익 1분기 &lt; 4)) − 총차입금 152억 × 1.16%(CF 이자지급 ÷ 평균 총차입금(2023Q1~2025Q1; 주석 이자비용 1분기 &lt; 4)) (연율) ÷ 4
[abs]</t>
      </text>
    </comment>
    <comment ref="AA13" authorId="0" shapeId="0">
      <text>
        <t>실측(계정 매핑 없음 — 모델값 직접) — fin.sep.is.외환차익 − fin.sep.is.외환차손 + fin.sep.is.외화환산이익 − fin.sep.is.외화환산손실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D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F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G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H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I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K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L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M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N17" authorId="0" shapeId="0">
      <text>
        <t>추정: max(세전, 0) × 세율 22.0%(최근 12분기 유효세율 -27.3% 가 5~27% 밖; 세전 &gt; 0 분기 중위 -35.1% 도 5~27% 밖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F27" authorId="0" shapeId="0">
      <text>
        <t>연간 실측(BS 시트에 2021.12A 없음 — 모델 a 값 직접)</t>
      </text>
    </comment>
    <comment ref="E29" authorId="0" shapeId="0">
      <text>
        <t>실측(계정 매핑 없음 — 모델값 직접) — fin.sep.cf.영업활동으로인한현금흐름</t>
      </text>
    </comment>
    <comment ref="G29" authorId="0" shapeId="0">
      <text>
        <t>실측(계정 매핑 없음 — 모델값 직접) — fin.sep.cf.영업활동으로인한현금흐름</t>
      </text>
    </comment>
    <comment ref="H29" authorId="0" shapeId="0">
      <text>
        <t>실측(계정 매핑 없음 — 모델값 직접) — fin.sep.cf.영업활동으로인한현금흐름</t>
      </text>
    </comment>
    <comment ref="I29" authorId="0" shapeId="0">
      <text>
        <t>실측(계정 매핑 없음 — 모델값 직접) — fin.sep.cf.영업활동으로인한현금흐름</t>
      </text>
    </comment>
    <comment ref="J29" authorId="0" shapeId="0">
      <text>
        <t>실측(계정 매핑 없음 — 모델값 직접) — fin.sep.cf.영업활동으로인한현금흐름</t>
      </text>
    </comment>
    <comment ref="L29" authorId="0" shapeId="0">
      <text>
        <t>실측(계정 매핑 없음 — 모델값 직접) — fin.sep.cf.영업활동으로인한현금흐름</t>
      </text>
    </comment>
    <comment ref="M29" authorId="0" shapeId="0">
      <text>
        <t>실측(계정 매핑 없음 — 모델값 직접) — fin.sep.cf.영업활동으로인한현금흐름</t>
      </text>
    </comment>
    <comment ref="N29" authorId="0" shapeId="0">
      <text>
        <t>실측(계정 매핑 없음 — 모델값 직접) — fin.sep.cf.영업활동으로인한현금흐름</t>
      </text>
    </comment>
    <comment ref="O29" authorId="0" shapeId="0">
      <text>
        <t>실측(계정 매핑 없음 — 모델값 직접) — fin.sep.cf.영업활동으로인한현금흐름</t>
      </text>
    </comment>
    <comment ref="Q29" authorId="0" shapeId="0">
      <text>
        <t>실측(계정 매핑 없음 — 모델값 직접) — fin.sep.cf.영업활동으로인한현금흐름</t>
      </text>
    </comment>
    <comment ref="R29" authorId="0" shapeId="0">
      <text>
        <t>실측(계정 매핑 없음 — 모델값 직접) — fin.sep.cf.영업활동으로인한현금흐름</t>
      </text>
    </comment>
    <comment ref="S29" authorId="0" shapeId="0">
      <text>
        <t>실측(계정 매핑 없음 — 모델값 직접) — fin.sep.cf.영업활동으로인한현금흐름</t>
      </text>
    </comment>
    <comment ref="T29" authorId="0" shapeId="0">
      <text>
        <t>실측(계정 매핑 없음 — 모델값 직접) — fin.sep.cf.영업활동으로인한현금흐름</t>
      </text>
    </comment>
    <comment ref="V29" authorId="0" shapeId="0">
      <text>
        <t>실측(계정 매핑 없음 — 모델값 직접) — fin.sep.cf.영업활동으로인한현금흐름</t>
      </text>
    </comment>
    <comment ref="W29" authorId="0" shapeId="0">
      <text>
        <t>실측(계정 매핑 없음 — 모델값 직접) — fin.sep.cf.영업활동으로인한현금흐름</t>
      </text>
    </comment>
    <comment ref="X29" authorId="0" shapeId="0">
      <text>
        <t>실측(계정 매핑 없음 — 모델값 직접) — fin.sep.cf.영업활동으로인한현금흐름</t>
      </text>
    </comment>
    <comment ref="Y29" authorId="0" shapeId="0">
      <text>
        <t>실측(계정 매핑 없음 — 모델값 직접) — fin.sep.cf.영업활동으로인한현금흐름</t>
      </text>
    </comment>
    <comment ref="AA29" authorId="0" shapeId="0">
      <text>
        <t>실측(계정 매핑 없음 — 모델값 직접) — fin.sep.cf.영업활동으로인한현금흐름</t>
      </text>
    </comment>
    <comment ref="AB29" authorId="0" shapeId="0">
      <text>
        <t>실측(계정 매핑 없음 — 모델값 직접) — fin.sep.cf.영업활동으로인한현금흐름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추정(가정 셀 참조 불가 — 기준값 없음, 모델값 직접): 직전 결산 DPS 0원 유지</t>
      </text>
    </comment>
    <comment ref="AI33" authorId="0" shapeId="0">
      <text>
        <t>추정(가정 셀 참조 불가 — 기준값 없음, 모델값 직접): 직전 결산 DPS 0원 유지</t>
      </text>
    </comment>
    <comment ref="AN33" authorId="0" shapeId="0">
      <text>
        <t>추정(가정 셀 참조 불가 — 기준값 없음, 모델값 직접): 직전 결산 DPS 0원 유지</t>
      </text>
    </comment>
    <comment ref="I34" authorId="0" shapeId="0">
      <text>
        <t>실측(계정 매핑 없음 — 모델값 직접) — 토스 일봉 분기 평균 ÷ TTM EPS</t>
      </text>
    </comment>
    <comment ref="J34" authorId="0" shapeId="0">
      <text>
        <t>실측(계정 매핑 없음 — 모델값 직접) — 토스 일봉 분기 평균 ÷ TTM EPS</t>
      </text>
    </comment>
    <comment ref="L34" authorId="0" shapeId="0">
      <text>
        <t>실측(계정 매핑 없음 — 모델값 직접) — 토스 일봉 분기 평균 ÷ TTM EPS</t>
      </text>
    </comment>
    <comment ref="M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O34" authorId="0" shapeId="0">
      <text>
        <t>실측(계정 매핑 없음 — 모델값 직접) — 토스 일봉 분기 평균 ÷ TTM EPS</t>
      </text>
    </comment>
    <comment ref="Q34" authorId="0" shapeId="0">
      <text>
        <t>실측(계정 매핑 없음 — 모델값 직접) — 토스 일봉 분기 평균 ÷ TTM EPS</t>
      </text>
    </comment>
    <comment ref="R34" authorId="0" shapeId="0">
      <text>
        <t>실측(계정 매핑 없음 — 모델값 직접) — 토스 일봉 분기 평균 ÷ TTM EPS</t>
      </text>
    </comment>
    <comment ref="S34" authorId="0" shapeId="0">
      <text>
        <t>실측(계정 매핑 없음 — 모델값 직접) — 토스 일봉 분기 평균 ÷ TTM EPS</t>
      </text>
    </comment>
    <comment ref="T34" authorId="0" shapeId="0">
      <text>
        <t>실측(계정 매핑 없음 — 모델값 직접) — 토스 일봉 분기 평균 ÷ TTM EPS</t>
      </text>
    </comment>
    <comment ref="V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X34" authorId="0" shapeId="0">
      <text>
        <t>실측(계정 매핑 없음 — 모델값 직접) — 토스 일봉 분기 평균 ÷ TTM EPS</t>
      </text>
    </comment>
    <comment ref="Y34" authorId="0" shapeId="0">
      <text>
        <t>실측(계정 매핑 없음 — 모델값 직접) — 토스 일봉 분기 평균 ÷ TTM EPS</t>
      </text>
    </comment>
    <comment ref="AA34" authorId="0" shapeId="0">
      <text>
        <t>실측(계정 매핑 없음 — 모델값 직접) — 토스 일봉 분기 평균 ÷ TTM EPS</t>
      </text>
    </comment>
    <comment ref="AB34" authorId="0" shapeId="0">
      <text>
        <t>실측(계정 매핑 없음 — 모델값 직접) — 토스 일봉 분기 평균 ÷ TTM EPS</t>
      </text>
    </comment>
    <comment ref="AC34" authorId="0" shapeId="0">
      <text>
        <t>추정: 현재 종가 ÷ TTM EPS(추정 포함)
[yoy]</t>
      </text>
    </comment>
    <comment ref="AD34" authorId="0" shapeId="0">
      <text>
        <t>추정: 현재 종가 ÷ TTM EPS(추정 포함)
[yoy]</t>
      </text>
    </comment>
    <comment ref="AF34" authorId="0" shapeId="0">
      <text>
        <t>추정: 현재 종가 ÷ TTM EPS(추정 포함)
[yoy]</t>
      </text>
    </comment>
    <comment ref="AG34" authorId="0" shapeId="0">
      <text>
        <t>추정: 현재 종가 ÷ TTM EPS(추정 포함)
[yoy]</t>
      </text>
    </comment>
    <comment ref="AH34" authorId="0" shapeId="0">
      <text>
        <t>추정: 현재 종가 ÷ TTM EPS(추정 포함)
[yoy]</t>
      </text>
    </comment>
    <comment ref="AI34" authorId="0" shapeId="0">
      <text>
        <t>추정: 현재 종가 ÷ TTM EPS(추정 포함)
[yoy]</t>
      </text>
    </comment>
    <comment ref="AK34" authorId="0" shapeId="0">
      <text>
        <t>추정: 현재 종가 ÷ TTM EPS(추정 포함)
[yoy]</t>
      </text>
    </comment>
    <comment ref="AL34" authorId="0" shapeId="0">
      <text>
        <t>추정: 현재 종가 ÷ TTM EPS(추정 포함)
[yoy]</t>
      </text>
    </comment>
    <comment ref="AM34" authorId="0" shapeId="0">
      <text>
        <t>추정: 현재 종가 ÷ TTM EPS(추정 포함)
[yoy]</t>
      </text>
    </comment>
    <comment ref="AN34" authorId="0" shapeId="0">
      <text>
        <t>추정: 현재 종가 ÷ TTM EPS(추정 포함)
[yoy]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assets/models/103230.json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감가상각비가 face·CF 에 없음(주석 미파싱) → EBITDA·EV/EBITDA 미산출 / 일회성 의심 2025Q4: 비영업손익 -7억(영업이익 -1억의 7배, 12분기 중위 1억) → 지배NI -2억·EPS·FY2025 합계·TTM PER 에 그대로 포함 — 처분이익 등 일회성 여부는 주석 확인 전까지 미확정(12M fwd EPS 에는 미포함)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4300</v>
      </c>
      <c r="F15" s="9" t="n"/>
      <c r="G15" s="18" t="n">
        <v>4300</v>
      </c>
      <c r="H15" s="18" t="n">
        <v>4300</v>
      </c>
      <c r="I15" s="18" t="n">
        <v>4300</v>
      </c>
      <c r="J15" s="18" t="n">
        <v>4300</v>
      </c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4300</v>
      </c>
      <c r="F16" s="9" t="n"/>
      <c r="G16" s="18" t="n">
        <v>4300</v>
      </c>
      <c r="H16" s="18" t="n">
        <v>4300</v>
      </c>
      <c r="I16" s="18" t="n">
        <v>4300</v>
      </c>
      <c r="J16" s="18" t="n">
        <v>4300</v>
      </c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4300</v>
      </c>
      <c r="F17" s="9" t="n"/>
      <c r="G17" s="18" t="n">
        <v>4300</v>
      </c>
      <c r="H17" s="18" t="n">
        <v>4300</v>
      </c>
      <c r="I17" s="18" t="n">
        <v>4300</v>
      </c>
      <c r="J17" s="18" t="n">
        <v>4300</v>
      </c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4300</v>
      </c>
      <c r="F18" s="9" t="n"/>
      <c r="G18" s="18" t="n">
        <v>4300</v>
      </c>
      <c r="H18" s="18" t="n">
        <v>4300</v>
      </c>
      <c r="I18" s="18" t="n">
        <v>4300</v>
      </c>
      <c r="J18" s="18" t="n">
        <v>4300</v>
      </c>
      <c r="K18" s="9" t="n"/>
      <c r="L18" s="18" t="n">
        <v>4260.2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-0.01953</v>
      </c>
      <c r="AD21" s="24" t="n">
        <v>-0.019581</v>
      </c>
      <c r="AE21" s="25" t="n"/>
      <c r="AF21" s="24" t="n">
        <v>-0.019534</v>
      </c>
      <c r="AG21" s="24" t="n">
        <v>-0.019565</v>
      </c>
      <c r="AH21" s="24" t="n">
        <v>-0.009812</v>
      </c>
      <c r="AI21" s="24" t="n">
        <v>-0.009802999999999999</v>
      </c>
      <c r="AJ21" s="25" t="n"/>
      <c r="AK21" s="24" t="n">
        <v>-0.009849999999999999</v>
      </c>
      <c r="AL21" s="24" t="n">
        <v>-0.009804</v>
      </c>
      <c r="AM21" s="24" t="n">
        <v>-0.004866</v>
      </c>
      <c r="AN21" s="24" t="n">
        <v>-0.004827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0.10495</v>
      </c>
      <c r="AD22" s="24" t="n">
        <v>0.104999</v>
      </c>
      <c r="AE22" s="25">
        <f>IFERROR(subQ!AE8/subQ!AE5,"")</f>
        <v/>
      </c>
      <c r="AF22" s="24" t="n">
        <v>0.104978</v>
      </c>
      <c r="AG22" s="24" t="n">
        <v>0.104974</v>
      </c>
      <c r="AH22" s="24" t="n">
        <v>0.104928</v>
      </c>
      <c r="AI22" s="24" t="n">
        <v>0.104975</v>
      </c>
      <c r="AJ22" s="25">
        <f>IFERROR(subQ!AJ8/subQ!AJ5,"")</f>
        <v/>
      </c>
      <c r="AK22" s="24" t="n">
        <v>0.104947</v>
      </c>
      <c r="AL22" s="24" t="n">
        <v>0.104967</v>
      </c>
      <c r="AM22" s="24" t="n">
        <v>0.104996</v>
      </c>
      <c r="AN22" s="24" t="n">
        <v>0.104991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</v>
      </c>
      <c r="AD23" s="24" t="n">
        <v>0.029328</v>
      </c>
      <c r="AE23" s="25">
        <f>IFERROR(subQ!AE9/subQ!AE5,"")</f>
        <v/>
      </c>
      <c r="AF23" s="24" t="n">
        <v>0.029284</v>
      </c>
      <c r="AG23" s="24" t="n">
        <v>0.029332</v>
      </c>
      <c r="AH23" s="24" t="n">
        <v>0.029284</v>
      </c>
      <c r="AI23" s="24" t="n">
        <v>0.029291</v>
      </c>
      <c r="AJ23" s="25">
        <f>IFERROR(subQ!AJ9/subQ!AJ5,"")</f>
        <v/>
      </c>
      <c r="AK23" s="24" t="n">
        <v>0.029306</v>
      </c>
      <c r="AL23" s="24" t="n">
        <v>0.0293</v>
      </c>
      <c r="AM23" s="24" t="n">
        <v>0.029339</v>
      </c>
      <c r="AN23" s="24" t="n">
        <v>0.029351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-0.07861600000000001</v>
      </c>
      <c r="AD24" s="24" t="n">
        <v>-4.617284</v>
      </c>
      <c r="AE24" s="25" t="n"/>
      <c r="AF24" s="24" t="n">
        <v>0.08921900000000001</v>
      </c>
      <c r="AG24" s="24" t="n">
        <v>-0.095679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-0.32</v>
      </c>
      <c r="AD25" s="29" t="n">
        <v>-0.31</v>
      </c>
      <c r="AE25" s="30">
        <f>subQ!AE11</f>
        <v/>
      </c>
      <c r="AF25" s="29" t="n">
        <v>-0.3</v>
      </c>
      <c r="AG25" s="29" t="n">
        <v>-0.29</v>
      </c>
      <c r="AH25" s="29" t="n">
        <v>-0.28</v>
      </c>
      <c r="AI25" s="29" t="n">
        <v>-0.27</v>
      </c>
      <c r="AJ25" s="30">
        <f>subQ!AJ11</f>
        <v/>
      </c>
      <c r="AK25" s="29" t="n">
        <v>-0.26</v>
      </c>
      <c r="AL25" s="29" t="n">
        <v>-0.25</v>
      </c>
      <c r="AM25" s="29" t="n">
        <v>-0.24</v>
      </c>
      <c r="AN25" s="29" t="n">
        <v>-0.23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-0.32</v>
      </c>
      <c r="AD26" s="29" t="n">
        <v>-0.31</v>
      </c>
      <c r="AE26" s="30">
        <f>subQ!AE12</f>
        <v/>
      </c>
      <c r="AF26" s="29" t="n">
        <v>-0.3</v>
      </c>
      <c r="AG26" s="29" t="n">
        <v>-0.29</v>
      </c>
      <c r="AH26" s="29" t="n">
        <v>-0.28</v>
      </c>
      <c r="AI26" s="29" t="n">
        <v>-0.27</v>
      </c>
      <c r="AJ26" s="30">
        <f>subQ!AJ12</f>
        <v/>
      </c>
      <c r="AK26" s="29" t="n">
        <v>-0.26</v>
      </c>
      <c r="AL26" s="29" t="n">
        <v>-0.25</v>
      </c>
      <c r="AM26" s="29" t="n">
        <v>-0.24</v>
      </c>
      <c r="AN26" s="29" t="n">
        <v>-0.23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31" t="n"/>
      <c r="AE27" s="25" t="n"/>
      <c r="AF27" s="24" t="n">
        <v>-1</v>
      </c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0</v>
      </c>
      <c r="AD29" s="29" t="n">
        <v>0</v>
      </c>
      <c r="AE29" s="30">
        <f>subQ!AE15</f>
        <v/>
      </c>
      <c r="AF29" s="29" t="n">
        <v>0</v>
      </c>
      <c r="AG29" s="29" t="n">
        <v>0</v>
      </c>
      <c r="AH29" s="29" t="n">
        <v>0</v>
      </c>
      <c r="AI29" s="29" t="n">
        <v>0</v>
      </c>
      <c r="AJ29" s="30">
        <f>subQ!AJ15</f>
        <v/>
      </c>
      <c r="AK29" s="29" t="n">
        <v>0</v>
      </c>
      <c r="AL29" s="29" t="n">
        <v>0</v>
      </c>
      <c r="AM29" s="29" t="n">
        <v>0</v>
      </c>
      <c r="AN29" s="29" t="n">
        <v>0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0.221122</v>
      </c>
      <c r="AD30" s="24" t="n">
        <v>0.220544</v>
      </c>
      <c r="AE30" s="25">
        <f>IFERROR(subQ!AE17/subQ!AE16,"")</f>
        <v/>
      </c>
      <c r="AF30" s="24" t="n">
        <v>0.22</v>
      </c>
      <c r="AG30" s="24" t="n">
        <v>0.218289</v>
      </c>
      <c r="AH30" s="24" t="n">
        <v>0.221122</v>
      </c>
      <c r="AI30" s="24" t="n">
        <v>0.220544</v>
      </c>
      <c r="AJ30" s="25">
        <f>IFERROR(subQ!AJ17/subQ!AJ16,"")</f>
        <v/>
      </c>
      <c r="AK30" s="24" t="n">
        <v>0.219269</v>
      </c>
      <c r="AL30" s="24" t="n">
        <v>0.221239</v>
      </c>
      <c r="AM30" s="24" t="n">
        <v>0.218954</v>
      </c>
      <c r="AN30" s="24" t="n">
        <v>0.219219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-0.0046</v>
      </c>
      <c r="AD33" s="29" t="n">
        <v>0.01</v>
      </c>
      <c r="AE33" s="30" t="n"/>
      <c r="AF33" s="29" t="n">
        <v>-0.01</v>
      </c>
      <c r="AG33" s="29" t="n">
        <v>0</v>
      </c>
      <c r="AH33" s="29" t="n">
        <v>0</v>
      </c>
      <c r="AI33" s="29" t="n">
        <v>-0.01</v>
      </c>
      <c r="AJ33" s="30" t="n"/>
      <c r="AK33" s="29" t="n">
        <v>0.01</v>
      </c>
      <c r="AL33" s="29" t="n">
        <v>-0.01</v>
      </c>
      <c r="AM33" s="29" t="n">
        <v>0</v>
      </c>
      <c r="AN33" s="29" t="n">
        <v>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-0.0046</v>
      </c>
      <c r="AD34" s="29" t="n">
        <v>0.01</v>
      </c>
      <c r="AE34" s="30" t="n"/>
      <c r="AF34" s="29" t="n">
        <v>-0.01</v>
      </c>
      <c r="AG34" s="29" t="n">
        <v>0</v>
      </c>
      <c r="AH34" s="29" t="n">
        <v>0</v>
      </c>
      <c r="AI34" s="29" t="n">
        <v>-0.01</v>
      </c>
      <c r="AJ34" s="30" t="n"/>
      <c r="AK34" s="29" t="n">
        <v>0.01</v>
      </c>
      <c r="AL34" s="29" t="n">
        <v>-0.01</v>
      </c>
      <c r="AM34" s="29" t="n">
        <v>0</v>
      </c>
      <c r="AN34" s="29" t="n">
        <v>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-0.01944</v>
      </c>
      <c r="AD36" s="24" t="n">
        <v>-0.021641</v>
      </c>
      <c r="AE36" s="25" t="n"/>
      <c r="AF36" s="24" t="n">
        <v>-0.020062</v>
      </c>
      <c r="AG36" s="24" t="n">
        <v>-0.023097</v>
      </c>
      <c r="AH36" s="24" t="n">
        <v>-0.021136</v>
      </c>
      <c r="AI36" s="24" t="n">
        <v>-0.023696</v>
      </c>
      <c r="AJ36" s="25" t="n"/>
      <c r="AK36" s="24" t="n">
        <v>-0.021929</v>
      </c>
      <c r="AL36" s="24" t="n">
        <v>-0.02539</v>
      </c>
      <c r="AM36" s="24" t="n">
        <v>-0.023398</v>
      </c>
      <c r="AN36" s="24" t="n">
        <v>-0.026173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0.076699</v>
      </c>
      <c r="AD37" s="24" t="n">
        <v>0.07775799999999999</v>
      </c>
      <c r="AE37" s="25" t="n"/>
      <c r="AF37" s="24" t="n">
        <v>0.06543599999999999</v>
      </c>
      <c r="AG37" s="24" t="n">
        <v>0.06929100000000001</v>
      </c>
      <c r="AH37" s="24" t="n">
        <v>0.057928</v>
      </c>
      <c r="AI37" s="24" t="n">
        <v>0.060093</v>
      </c>
      <c r="AJ37" s="25" t="n"/>
      <c r="AK37" s="24" t="n">
        <v>0.051215</v>
      </c>
      <c r="AL37" s="24" t="n">
        <v>0.055174</v>
      </c>
      <c r="AM37" s="24" t="n">
        <v>0.046961</v>
      </c>
      <c r="AN37" s="24" t="n">
        <v>0.049001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2.81592</v>
      </c>
      <c r="AD43" s="24" t="n">
        <v>0.175174</v>
      </c>
      <c r="AE43" s="25" t="n"/>
      <c r="AF43" s="24" t="n">
        <v>-0.24344</v>
      </c>
      <c r="AG43" s="24" t="n">
        <v>-0.07467500000000001</v>
      </c>
      <c r="AH43" s="24" t="n">
        <v>-0.07105599999999999</v>
      </c>
      <c r="AI43" s="24" t="n">
        <v>0.405726</v>
      </c>
      <c r="AJ43" s="25" t="n"/>
      <c r="AK43" s="24" t="n">
        <v>0.370906</v>
      </c>
      <c r="AL43" s="24" t="n">
        <v>-0.001404</v>
      </c>
      <c r="AM43" s="24" t="n">
        <v>-0.003509</v>
      </c>
      <c r="AN43" s="24" t="n">
        <v>-0.004213</v>
      </c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-0.5094340000000001</v>
      </c>
      <c r="AD44" s="24" t="n">
        <v>-0.551724</v>
      </c>
      <c r="AE44" s="25" t="n"/>
      <c r="AF44" s="24" t="n">
        <v>-0.5094340000000001</v>
      </c>
      <c r="AG44" s="24" t="n">
        <v>-0.444444</v>
      </c>
      <c r="AH44" s="24" t="n">
        <v>-0.038462</v>
      </c>
      <c r="AI44" s="24" t="n">
        <v>-0.038462</v>
      </c>
      <c r="AJ44" s="25" t="n"/>
      <c r="AK44" s="24" t="n">
        <v>-0.038462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0.029347</v>
      </c>
      <c r="AD46" s="24" t="n">
        <v>0.029328</v>
      </c>
      <c r="AE46" s="25">
        <f>IFERROR(subQ!AE37/subQ!AE36,"")</f>
        <v/>
      </c>
      <c r="AF46" s="24" t="n">
        <v>0.029284</v>
      </c>
      <c r="AG46" s="24" t="n">
        <v>0.029332</v>
      </c>
      <c r="AH46" s="24" t="n">
        <v>0.029284</v>
      </c>
      <c r="AI46" s="24" t="n">
        <v>0.029291</v>
      </c>
      <c r="AJ46" s="25">
        <f>IFERROR(subQ!AJ37/subQ!AJ36,"")</f>
        <v/>
      </c>
      <c r="AK46" s="24" t="n">
        <v>0.029306</v>
      </c>
      <c r="AL46" s="24" t="n">
        <v>0.0293</v>
      </c>
      <c r="AM46" s="24" t="n">
        <v>0.029339</v>
      </c>
      <c r="AN46" s="24" t="n">
        <v>0.029351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1964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7</v>
      </c>
      <c r="E52" s="2" t="inlineStr">
        <is>
          <t>PER 밴드 하단(배) — hist_quarterly(분기 평균가 ÷ TTM EPS, 16분기,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8.699999999999999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13.3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0.22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0.105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4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4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4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4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4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4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4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4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4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4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4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4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4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4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4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4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4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4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4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4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4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4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4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4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4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4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4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4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4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4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4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4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4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4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4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4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4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4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4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4" t="n">
        <v>0.74</v>
      </c>
      <c r="G13" s="18" t="n">
        <v>0.74</v>
      </c>
      <c r="H13" s="18" t="n">
        <v>1.48</v>
      </c>
      <c r="J13" s="18" t="n">
        <v>0.74</v>
      </c>
      <c r="K13" s="34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4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4" t="n">
        <v>0</v>
      </c>
      <c r="W13" s="18" t="n">
        <v>0</v>
      </c>
      <c r="X13" s="18" t="n">
        <v>0</v>
      </c>
      <c r="Y13" s="18" t="n">
        <v>0</v>
      </c>
      <c r="Z13" s="34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4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4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4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4" t="n">
        <v>0</v>
      </c>
      <c r="W14" s="18" t="n">
        <v>0</v>
      </c>
      <c r="X14" s="18" t="n">
        <v>0</v>
      </c>
      <c r="Y14" s="18" t="n">
        <v>0</v>
      </c>
      <c r="Z14" s="34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4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4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4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4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4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4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4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4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4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4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4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4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4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4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4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4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4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4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4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4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4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4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4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4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4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4" t="n">
        <v>320</v>
      </c>
      <c r="G20" s="18" t="n">
        <v>0</v>
      </c>
      <c r="H20" s="18" t="n">
        <v>0</v>
      </c>
      <c r="J20" s="18" t="n">
        <v>0</v>
      </c>
      <c r="K20" s="34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4" t="n">
        <v>0</v>
      </c>
      <c r="Q20" s="18" t="n">
        <v>4193.09</v>
      </c>
      <c r="U20" s="9" t="n"/>
      <c r="Y20" s="18" t="n">
        <v>860.64</v>
      </c>
      <c r="Z20" s="34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4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4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4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4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4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4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4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4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4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4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4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4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4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4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4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4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4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4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4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4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4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4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4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4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4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4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4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4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4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4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4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4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4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4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4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4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4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4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4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4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4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4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4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4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4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4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4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4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4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4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4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4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4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4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4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4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4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4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4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4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4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4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4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4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4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4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4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4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4193.09</v>
      </c>
      <c r="T35" s="18" t="n">
        <v>0</v>
      </c>
      <c r="U35" s="34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4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4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4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4" t="n">
        <v>-4000.15</v>
      </c>
      <c r="Q36" s="18" t="n">
        <v>853.55</v>
      </c>
      <c r="T36" s="18" t="n">
        <v>-2709.56</v>
      </c>
      <c r="U36" s="34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4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4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4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4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4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4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4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4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4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4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4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4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4" t="n">
        <v>0</v>
      </c>
      <c r="V41" s="18" t="n">
        <v>0</v>
      </c>
      <c r="Y41" s="18" t="n">
        <v>0</v>
      </c>
      <c r="Z41" s="34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4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4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4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4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4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4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4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4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4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4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4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4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4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4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4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4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4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4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4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4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4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4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4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4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4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4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4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4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4" t="n">
        <v>57.65</v>
      </c>
      <c r="Q52" s="18" t="n">
        <v>0.88</v>
      </c>
      <c r="R52" s="18" t="n">
        <v>-1.28</v>
      </c>
      <c r="S52" s="18" t="n">
        <v>-1.77</v>
      </c>
      <c r="T52" s="18" t="n">
        <v>320.51</v>
      </c>
      <c r="U52" s="34" t="n">
        <v>318.34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4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4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4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4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4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4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4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4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4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4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4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4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4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4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4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4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4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4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4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4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4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4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4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4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4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4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4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4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4" t="n">
        <v>92.3</v>
      </c>
      <c r="Q61" s="18" t="n">
        <v>30</v>
      </c>
      <c r="R61" s="18" t="n">
        <v>27.17</v>
      </c>
      <c r="S61" s="18" t="n">
        <v>31.08</v>
      </c>
      <c r="T61" s="18" t="n">
        <v>-273.77</v>
      </c>
      <c r="U61" s="34" t="n">
        <v>-185.52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4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4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4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4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4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4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4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4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4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4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4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4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4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4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4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4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4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4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4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4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4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4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4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4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4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4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4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4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4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4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4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4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4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4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4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4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4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4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4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4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4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4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4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4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4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4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4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4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4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4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4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4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4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4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4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4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4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4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4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4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0.1569</v>
      </c>
      <c r="F10" s="34" t="n"/>
      <c r="G10" s="18" t="n">
        <v>0.0078</v>
      </c>
      <c r="H10" s="18" t="n">
        <v>0.0381</v>
      </c>
      <c r="I10" s="18" t="n">
        <v>0.106</v>
      </c>
      <c r="J10" s="18" t="n">
        <v>0.1113</v>
      </c>
      <c r="K10" s="34">
        <f>SUM(G10:J10)</f>
        <v/>
      </c>
      <c r="L10" s="18" t="n">
        <v>0.1014</v>
      </c>
      <c r="M10" s="18" t="n">
        <v>0.0992</v>
      </c>
      <c r="N10" s="18" t="n">
        <v>0.0609</v>
      </c>
      <c r="O10" s="18" t="n">
        <v>0.0332</v>
      </c>
      <c r="P10" s="34">
        <f>SUM(L10:O10)</f>
        <v/>
      </c>
      <c r="Q10" s="18" t="n">
        <v>0.0989</v>
      </c>
      <c r="R10" s="18" t="n">
        <v>0.06560000000000001</v>
      </c>
      <c r="S10" s="18" t="n">
        <v>-0.0486</v>
      </c>
      <c r="T10" s="18" t="n">
        <v>0.139</v>
      </c>
      <c r="U10" s="34">
        <f>SUM(Q10:T10)</f>
        <v/>
      </c>
      <c r="V10" s="18" t="n">
        <v>-0.0061</v>
      </c>
      <c r="W10" s="18" t="n">
        <v>0.059</v>
      </c>
      <c r="X10" s="18" t="n">
        <v>0.0318</v>
      </c>
      <c r="Y10" s="18" t="n">
        <v>-0.0081</v>
      </c>
      <c r="Z10" s="34">
        <f>SUM(V10:Y10)</f>
        <v/>
      </c>
      <c r="AA10" s="18" t="n">
        <v>0.0269</v>
      </c>
      <c r="AB10" s="19" t="n">
        <v>0.0324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>
        <f>IFERROR(VLOOKUP($D12,BS별도,MATCH(AA$1,BS별도H,0),0)/100,"")</f>
        <v/>
      </c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>
        <v>0.65</v>
      </c>
      <c r="AB13" s="19" t="n"/>
      <c r="AC13" s="20" t="n">
        <v>0</v>
      </c>
      <c r="AD13" s="20" t="n">
        <v>0</v>
      </c>
      <c r="AE13" s="35">
        <f>SUM(AA13:AD13)</f>
        <v/>
      </c>
      <c r="AF13" s="20">
        <f>IFERROR(AA13*(1+변수!AF27),"")</f>
        <v/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4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4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4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4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4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4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4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4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4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4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4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4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8.960000000000001</v>
      </c>
      <c r="F29" s="34" t="n"/>
      <c r="G29" s="18" t="n">
        <v>29.28</v>
      </c>
      <c r="H29" s="18" t="n">
        <v>-16.63</v>
      </c>
      <c r="I29" s="18" t="n">
        <v>1.95</v>
      </c>
      <c r="J29" s="18" t="n">
        <v>22.31</v>
      </c>
      <c r="K29" s="34">
        <f>SUM(G29:J29)</f>
        <v/>
      </c>
      <c r="L29" s="18" t="n">
        <v>15.17</v>
      </c>
      <c r="M29" s="18" t="n">
        <v>0.53</v>
      </c>
      <c r="N29" s="18" t="n">
        <v>20.97</v>
      </c>
      <c r="O29" s="18" t="n">
        <v>5.44</v>
      </c>
      <c r="P29" s="34">
        <f>SUM(L29:O29)</f>
        <v/>
      </c>
      <c r="Q29" s="18" t="n">
        <v>37.99</v>
      </c>
      <c r="R29" s="18" t="n">
        <v>20.03</v>
      </c>
      <c r="S29" s="18" t="n">
        <v>-22.83</v>
      </c>
      <c r="T29" s="18" t="n">
        <v>9.390000000000001</v>
      </c>
      <c r="U29" s="34">
        <f>SUM(Q29:T29)</f>
        <v/>
      </c>
      <c r="V29" s="18" t="n">
        <v>-4.1</v>
      </c>
      <c r="W29" s="18" t="n">
        <v>19.4</v>
      </c>
      <c r="X29" s="18" t="n">
        <v>8.619999999999999</v>
      </c>
      <c r="Y29" s="18" t="n">
        <v>4.12</v>
      </c>
      <c r="Z29" s="34">
        <f>SUM(V29:Y29)</f>
        <v/>
      </c>
      <c r="AA29" s="18" t="n">
        <v>34.02</v>
      </c>
      <c r="AB29" s="19" t="n">
        <v>-0.07000000000000001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7.2</v>
      </c>
      <c r="F30" s="27">
        <f>E30</f>
        <v/>
      </c>
      <c r="G30" s="26" t="n">
        <v>7.2</v>
      </c>
      <c r="H30" s="26" t="n">
        <v>7.2</v>
      </c>
      <c r="I30" s="26" t="n">
        <v>7.2</v>
      </c>
      <c r="J30" s="26" t="n">
        <v>7.2</v>
      </c>
      <c r="K30" s="27">
        <f>J30</f>
        <v/>
      </c>
      <c r="L30" s="26" t="n">
        <v>7.2</v>
      </c>
      <c r="M30" s="26" t="n">
        <v>7.2</v>
      </c>
      <c r="N30" s="26" t="n">
        <v>7.2</v>
      </c>
      <c r="O30" s="26" t="n">
        <v>7.2</v>
      </c>
      <c r="P30" s="27">
        <f>O30</f>
        <v/>
      </c>
      <c r="Q30" s="26" t="n">
        <v>7.2</v>
      </c>
      <c r="R30" s="26" t="n">
        <v>7.2</v>
      </c>
      <c r="S30" s="26" t="n">
        <v>7.2</v>
      </c>
      <c r="T30" s="26" t="n">
        <v>7.2</v>
      </c>
      <c r="U30" s="27">
        <f>T30</f>
        <v/>
      </c>
      <c r="V30" s="26" t="n">
        <v>7.2</v>
      </c>
      <c r="W30" s="26" t="n">
        <v>7.2</v>
      </c>
      <c r="X30" s="26" t="n">
        <v>7.2</v>
      </c>
      <c r="Y30" s="26" t="n">
        <v>7.2</v>
      </c>
      <c r="Z30" s="27">
        <f>Y30</f>
        <v/>
      </c>
      <c r="AA30" s="26" t="n">
        <v>7.2</v>
      </c>
      <c r="AB30" s="28" t="n">
        <v>7.2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4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4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4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4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4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5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5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4" t="n">
        <v>0</v>
      </c>
      <c r="G33" s="18" t="n"/>
      <c r="H33" s="18" t="n"/>
      <c r="I33" s="18" t="n"/>
      <c r="J33" s="18" t="n">
        <v>0</v>
      </c>
      <c r="K33" s="34">
        <f>SUM(G33:J33)</f>
        <v/>
      </c>
      <c r="L33" s="18" t="n"/>
      <c r="M33" s="18" t="n"/>
      <c r="N33" s="18" t="n"/>
      <c r="O33" s="18" t="n">
        <v>0</v>
      </c>
      <c r="P33" s="34">
        <f>SUM(L33:O33)</f>
        <v/>
      </c>
      <c r="Q33" s="18" t="n"/>
      <c r="R33" s="18" t="n"/>
      <c r="S33" s="18" t="n"/>
      <c r="T33" s="18" t="n">
        <v>0</v>
      </c>
      <c r="U33" s="34">
        <f>SUM(Q33:T33)</f>
        <v/>
      </c>
      <c r="V33" s="18" t="n"/>
      <c r="W33" s="18" t="n"/>
      <c r="X33" s="18" t="n"/>
      <c r="Y33" s="18" t="n">
        <v>0</v>
      </c>
      <c r="Z33" s="34">
        <f>SUM(V33:Y33)</f>
        <v/>
      </c>
      <c r="AA33" s="18" t="n"/>
      <c r="AB33" s="19" t="n"/>
      <c r="AC33" s="20" t="n"/>
      <c r="AD33" s="20" t="n">
        <v>0</v>
      </c>
      <c r="AE33" s="35">
        <f>SUM(AA33:AD33)</f>
        <v/>
      </c>
      <c r="AF33" s="20" t="n"/>
      <c r="AG33" s="20" t="n"/>
      <c r="AH33" s="20" t="n"/>
      <c r="AI33" s="20" t="n">
        <v>0</v>
      </c>
      <c r="AJ33" s="35">
        <f>SUM(AF33:AI33)</f>
        <v/>
      </c>
      <c r="AK33" s="20" t="n"/>
      <c r="AL33" s="20" t="n"/>
      <c r="AM33" s="20" t="n"/>
      <c r="AN33" s="20" t="n">
        <v>0</v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13.19</v>
      </c>
      <c r="J34" s="18" t="n">
        <v>13.32</v>
      </c>
      <c r="K34" s="34">
        <f>SUM(G34:J34)</f>
        <v/>
      </c>
      <c r="L34" s="18" t="n">
        <v>8.73</v>
      </c>
      <c r="M34" s="18" t="n">
        <v>7</v>
      </c>
      <c r="N34" s="18" t="n">
        <v>9.02</v>
      </c>
      <c r="O34" s="18" t="n">
        <v>8.66</v>
      </c>
      <c r="P34" s="34">
        <f>SUM(L34:O34)</f>
        <v/>
      </c>
      <c r="Q34" s="18" t="n">
        <v>7.97</v>
      </c>
      <c r="R34" s="18" t="n">
        <v>10.24</v>
      </c>
      <c r="S34" s="18" t="n">
        <v>15.25</v>
      </c>
      <c r="T34" s="18" t="n">
        <v>4.99</v>
      </c>
      <c r="U34" s="34">
        <f>SUM(Q34:T34)</f>
        <v/>
      </c>
      <c r="V34" s="18" t="n">
        <v>4.13</v>
      </c>
      <c r="W34" s="18" t="n">
        <v>4.4</v>
      </c>
      <c r="X34" s="18" t="n">
        <v>4.02</v>
      </c>
      <c r="Y34" s="18" t="n">
        <v>8.619999999999999</v>
      </c>
      <c r="Z34" s="34">
        <f>SUM(V34:Y34)</f>
        <v/>
      </c>
      <c r="AA34" s="18" t="n">
        <v>13.72</v>
      </c>
      <c r="AB34" s="19" t="n">
        <v>15.4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0.8</v>
      </c>
      <c r="F35" s="34" t="n">
        <v>0.8</v>
      </c>
      <c r="G35" s="18" t="n">
        <v>0.8</v>
      </c>
      <c r="H35" s="18" t="n">
        <v>0.76</v>
      </c>
      <c r="I35" s="18" t="n">
        <v>0.74</v>
      </c>
      <c r="J35" s="18" t="n">
        <v>0.73</v>
      </c>
      <c r="K35" s="34">
        <f>SUM(G35:J35)</f>
        <v/>
      </c>
      <c r="L35" s="18" t="n">
        <v>0.7</v>
      </c>
      <c r="M35" s="18" t="n">
        <v>0.6899999999999999</v>
      </c>
      <c r="N35" s="18" t="n">
        <v>0.83</v>
      </c>
      <c r="O35" s="18" t="n">
        <v>0.66</v>
      </c>
      <c r="P35" s="34">
        <f>SUM(L35:O35)</f>
        <v/>
      </c>
      <c r="Q35" s="18" t="n">
        <v>0.59</v>
      </c>
      <c r="R35" s="18" t="n">
        <v>0.66</v>
      </c>
      <c r="S35" s="18" t="n">
        <v>0.62</v>
      </c>
      <c r="T35" s="18" t="n">
        <v>0.48</v>
      </c>
      <c r="U35" s="34">
        <f>SUM(Q35:T35)</f>
        <v/>
      </c>
      <c r="V35" s="18" t="n">
        <v>0.44</v>
      </c>
      <c r="W35" s="18" t="n">
        <v>0.48</v>
      </c>
      <c r="X35" s="18" t="n">
        <v>0.53</v>
      </c>
      <c r="Y35" s="18" t="n">
        <v>0.58</v>
      </c>
      <c r="Z35" s="34">
        <f>SUM(V35:Y35)</f>
        <v/>
      </c>
      <c r="AA35" s="18" t="n">
        <v>0.53</v>
      </c>
      <c r="AB35" s="19" t="n">
        <v>0.45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93.05</v>
      </c>
      <c r="F36" s="34" t="n"/>
      <c r="G36" s="18" t="n">
        <v>73.59</v>
      </c>
      <c r="H36" s="18" t="n">
        <v>95.66</v>
      </c>
      <c r="I36" s="18" t="n">
        <v>88.97</v>
      </c>
      <c r="J36" s="18" t="n">
        <v>101.94</v>
      </c>
      <c r="K36" s="34">
        <f>SUM(G36:J36)</f>
        <v/>
      </c>
      <c r="L36" s="18" t="n">
        <v>109.68</v>
      </c>
      <c r="M36" s="18" t="n">
        <v>115.38</v>
      </c>
      <c r="N36" s="18" t="n">
        <v>99.01000000000001</v>
      </c>
      <c r="O36" s="18" t="n">
        <v>112.26</v>
      </c>
      <c r="P36" s="34">
        <f>SUM(L36:O36)</f>
        <v/>
      </c>
      <c r="Q36" s="18" t="n">
        <v>106.89</v>
      </c>
      <c r="R36" s="18" t="n">
        <v>115.24</v>
      </c>
      <c r="S36" s="18" t="n">
        <v>97.09999999999999</v>
      </c>
      <c r="T36" s="18" t="n">
        <v>152.08</v>
      </c>
      <c r="U36" s="34">
        <f>SUM(Q36:T36)</f>
        <v/>
      </c>
      <c r="V36" s="18" t="n">
        <v>125.39</v>
      </c>
      <c r="W36" s="18" t="n">
        <v>120.34</v>
      </c>
      <c r="X36" s="18" t="n">
        <v>116.42</v>
      </c>
      <c r="Y36" s="18" t="n">
        <v>125.9</v>
      </c>
      <c r="Z36" s="34">
        <f>SUM(V36:Y36)</f>
        <v/>
      </c>
      <c r="AA36" s="18" t="n">
        <v>114.94</v>
      </c>
      <c r="AB36" s="19" t="n">
        <v>127.96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14.6</v>
      </c>
      <c r="F37" s="34" t="n"/>
      <c r="G37" s="18" t="n">
        <v>0.57</v>
      </c>
      <c r="H37" s="18" t="n">
        <v>3.64</v>
      </c>
      <c r="I37" s="18" t="n">
        <v>9.43</v>
      </c>
      <c r="J37" s="18" t="n">
        <v>11.35</v>
      </c>
      <c r="K37" s="34">
        <f>SUM(G37:J37)</f>
        <v/>
      </c>
      <c r="L37" s="18" t="n">
        <v>11.12</v>
      </c>
      <c r="M37" s="18" t="n">
        <v>11.44</v>
      </c>
      <c r="N37" s="18" t="n">
        <v>6.03</v>
      </c>
      <c r="O37" s="18" t="n">
        <v>3.73</v>
      </c>
      <c r="P37" s="34">
        <f>SUM(L37:O37)</f>
        <v/>
      </c>
      <c r="Q37" s="18" t="n">
        <v>10.57</v>
      </c>
      <c r="R37" s="18" t="n">
        <v>7.56</v>
      </c>
      <c r="S37" s="18" t="n">
        <v>-4.72</v>
      </c>
      <c r="T37" s="18" t="n">
        <v>21.14</v>
      </c>
      <c r="U37" s="34">
        <f>SUM(Q37:T37)</f>
        <v/>
      </c>
      <c r="V37" s="18" t="n">
        <v>-0.76</v>
      </c>
      <c r="W37" s="18" t="n">
        <v>7.1</v>
      </c>
      <c r="X37" s="18" t="n">
        <v>3.7</v>
      </c>
      <c r="Y37" s="18" t="n">
        <v>-1.02</v>
      </c>
      <c r="Z37" s="34">
        <f>SUM(V37:Y37)</f>
        <v/>
      </c>
      <c r="AA37" s="18" t="n">
        <v>3.09</v>
      </c>
      <c r="AB37" s="19" t="n">
        <v>4.15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1">
        <f>IFERROR(AC19/AC5,"")</f>
        <v/>
      </c>
      <c r="AD40" s="31">
        <f>IFERROR(AD19/AD5,"")</f>
        <v/>
      </c>
      <c r="AE40" s="25">
        <f>IFERROR(AE19/AE5,"")</f>
        <v/>
      </c>
      <c r="AF40" s="31">
        <f>IFERROR(AF19/AF5,"")</f>
        <v/>
      </c>
      <c r="AG40" s="31">
        <f>IFERROR(AG19/AG5,"")</f>
        <v/>
      </c>
      <c r="AH40" s="31">
        <f>IFERROR(AH19/AH5,"")</f>
        <v/>
      </c>
      <c r="AI40" s="31">
        <f>IFERROR(AI19/AI5,"")</f>
        <v/>
      </c>
      <c r="AJ40" s="25">
        <f>IFERROR(AJ19/AJ5,"")</f>
        <v/>
      </c>
      <c r="AK40" s="31">
        <f>IFERROR(AK19/AK5,"")</f>
        <v/>
      </c>
      <c r="AL40" s="31">
        <f>IFERROR(AL19/AL5,"")</f>
        <v/>
      </c>
      <c r="AM40" s="31">
        <f>IFERROR(AM19/AM5,"")</f>
        <v/>
      </c>
      <c r="AN40" s="31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2">
        <f>IFERROR(W19/S19-1,"")</f>
        <v/>
      </c>
      <c r="X42" s="31">
        <f>IFERROR(X19/T19-1,"")</f>
        <v/>
      </c>
      <c r="Y42" s="31">
        <f>IFERROR(Y19/U19-1,"")</f>
        <v/>
      </c>
      <c r="Z42" s="31">
        <f>IFERROR(Z19/V19-1,"")</f>
        <v/>
      </c>
      <c r="AA42" s="31">
        <f>IFERROR(AA19/W19-1,"")</f>
        <v/>
      </c>
      <c r="AB42" s="31">
        <f>IFERROR(AB19/X19-1,"")</f>
        <v/>
      </c>
      <c r="AC42" s="31">
        <f>IFERROR(AC19/Y19-1,"")</f>
        <v/>
      </c>
      <c r="AD42" s="31">
        <f>IFERROR(AD19/Z19-1,"")</f>
        <v/>
      </c>
      <c r="AE42" s="31">
        <f>IFERROR(AE19/AA19-1,"")</f>
        <v/>
      </c>
      <c r="AF42" s="31">
        <f>IFERROR(AF19/AB19-1,"")</f>
        <v/>
      </c>
      <c r="AG42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2">
        <f>IFERROR(I19/H19-1,"")</f>
        <v/>
      </c>
      <c r="J42" s="31">
        <f>IFERROR(J19/I19-1,"")</f>
        <v/>
      </c>
      <c r="K42" s="31">
        <f>IFERROR(K19/J19-1,"")</f>
        <v/>
      </c>
      <c r="L42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137.8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14.25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0.0182</v>
      </c>
    </row>
    <row r="34">
      <c r="C34" s="2" t="inlineStr">
        <is>
          <t>fair_pbr</t>
        </is>
      </c>
      <c r="D34" t="n">
        <v>0.2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