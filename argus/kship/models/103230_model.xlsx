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175203억 × 비례계수 0.0038 × 계절비중 Q3 0.224(계절비중 — 최근 3개 연도(2026, 2025, 2024) 분기/연간 비중 평균; 격자 lag0~4×창8/12/19×수준·YoY·4Q합 중 최대 r=0.89, n=14, 창 19)</t>
      </text>
    </comment>
    <comment ref="AD21" authorId="0" shapeId="0">
      <text>
        <t>모델값 역산(implied): v / 전년동기 − 1
고객지수 4분기 이동합(t−2) 192960억 × 비례계수 0.0038 × 계절비중 Q4 0.279(계절비중 — 최근 3개 연도(2026, 2025, 2024) 분기/연간 비중 평균; 격자 lag0~4×창8/12/19×수준·YoY·4Q합 중 최대 r=0.89, n=14, 창 19)</t>
      </text>
    </comment>
    <comment ref="AF21" authorId="0" shapeId="0">
      <text>
        <t>모델값 역산(implied): v / 전년동기 − 1
고객지수 4분기 이동합(t−2) 211155억 × 비례계수 0.0038 × 계절비중 Q1 0.245(계절비중 — 최근 3개 연도(2026, 2025, 2024) 분기/연간 비중 평균; 격자 lag0~4×창8/12/19×수준·YoY·4Q합 중 최대 r=0.89, n=14, 창 19)</t>
      </text>
    </comment>
    <comment ref="AG21" authorId="0" shapeId="0">
      <text>
        <t>모델값 역산(implied): v / 전년동기 − 1
고객지수 4분기 이동합(t−2) 224358억 × 비례계수 0.0038 × 계절비중 Q2 0.252(계절비중 — 최근 3개 연도(2026, 2025, 2024) 분기/연간 비중 평균; 격자 lag0~4×창8/12/19×수준·YoY·4Q합 중 최대 r=0.89, n=14, 창 19)</t>
      </text>
    </comment>
    <comment ref="AH21" authorId="0" shapeId="0">
      <text>
        <t>모델값 역산(implied): v / 전년동기 − 1
고객지수 4분기 이동합(t−2) 233999억 × 비례계수 0.0038 × 계절비중 Q3 0.224(계절비중 — 최근 3개 연도(2026, 2025, 2024) 분기/연간 비중 평균; 격자 lag0~4×창8/12/19×수준·YoY·4Q합 중 최대 r=0.89, n=14, 창 19)</t>
      </text>
    </comment>
    <comment ref="AI21" authorId="0" shapeId="0">
      <text>
        <t>모델값 역산(implied): v / 전년동기 − 1
고객지수 4분기 이동합(t−2) 243296억 × 비례계수 0.0038 × 계절비중 Q4 0.279(계절비중 — 최근 3개 연도(2026, 2025, 2024) 분기/연간 비중 평균; 격자 lag0~4×창8/12/19×수준·YoY·4Q합 중 최대 r=0.89, n=14, 창 19)</t>
      </text>
    </comment>
    <comment ref="AK21" authorId="0" shapeId="0">
      <text>
        <t>모델값 역산(implied): v / 전년동기 − 1
고객지수 4분기 이동합(t−2) 254117억 × 비례계수 0.0038 × 계절비중 Q1 0.245(계절비중 — 최근 3개 연도(2026, 2025, 2024) 분기/연간 비중 평균; 격자 lag0~4×창8/12/19×수준·YoY·4Q합 중 최대 r=0.89, n=14, 창 19)</t>
      </text>
    </comment>
    <comment ref="AL21" authorId="0" shapeId="0">
      <text>
        <t>모델값 역산(implied): v / 전년동기 − 1
고객지수 4분기 이동합(t−2) 268264억 × 비례계수 0.0038 × 계절비중 Q2 0.252(계절비중 — 최근 3개 연도(2026, 2025, 2024) 분기/연간 비중 평균; 격자 lag0~4×창8/12/19×수준·YoY·4Q합 중 최대 r=0.89, n=14, 창 19)</t>
      </text>
    </comment>
    <comment ref="AM21" authorId="0" shapeId="0">
      <text>
        <t>모델값 역산(implied): v / 전년동기 − 1
고객지수 4분기 이동합(t−2) 284403억 × 비례계수 0.0038 × 계절비중 Q3 0.224(계절비중 — 최근 3개 연도(2026, 2025, 2024) 분기/연간 비중 평균; 격자 lag0~4×창8/12/19×수준·YoY·4Q합 중 최대 r=0.89, n=14, 창 19)</t>
      </text>
    </comment>
    <comment ref="AN21" authorId="0" shapeId="0">
      <text>
        <t>모델값 역산(implied): v / 전년동기 − 1
고객지수 4분기 이동합(t−2) 301487억 × 비례계수 0.0038 × 계절비중 Q4 0.279(계절비중 — 최근 3개 연도(2026, 2025, 2024) 분기/연간 비중 평균; 격자 lag0~4×창8/12/19×수준·YoY·4Q합 중 최대 r=0.89, n=14, 창 19)</t>
      </text>
    </comment>
    <comment ref="AC22" authorId="0" shapeId="0">
      <text>
        <t>모델값 역산(implied): v / 매출액
매출액 × 판관비율 10.50%(최근 4분기 중위)</t>
      </text>
    </comment>
    <comment ref="AD22" authorId="0" shapeId="0">
      <text>
        <t>모델값 역산(implied): v / 매출액
매출액 × 판관비율 10.50%(최근 4분기 중위)</t>
      </text>
    </comment>
    <comment ref="AF22" authorId="0" shapeId="0">
      <text>
        <t>모델값 역산(implied): v / 매출액
매출액 × 판관비율 10.50%(최근 4분기 중위)</t>
      </text>
    </comment>
    <comment ref="AG22" authorId="0" shapeId="0">
      <text>
        <t>모델값 역산(implied): v / 매출액
매출액 × 판관비율 10.50%(최근 4분기 중위)</t>
      </text>
    </comment>
    <comment ref="AH22" authorId="0" shapeId="0">
      <text>
        <t>모델값 역산(implied): v / 매출액
매출액 × 판관비율 10.50%(최근 4분기 중위)</t>
      </text>
    </comment>
    <comment ref="AI22" authorId="0" shapeId="0">
      <text>
        <t>모델값 역산(implied): v / 매출액
매출액 × 판관비율 10.50%(최근 4분기 중위)</t>
      </text>
    </comment>
    <comment ref="AK22" authorId="0" shapeId="0">
      <text>
        <t>모델값 역산(implied): v / 매출액
매출액 × 판관비율 10.50%(최근 4분기 중위)</t>
      </text>
    </comment>
    <comment ref="AL22" authorId="0" shapeId="0">
      <text>
        <t>모델값 역산(implied): v / 매출액
매출액 × 판관비율 10.50%(최근 4분기 중위)</t>
      </text>
    </comment>
    <comment ref="AM22" authorId="0" shapeId="0">
      <text>
        <t>모델값 역산(implied): v / 매출액
매출액 × 판관비율 10.50%(최근 4분기 중위)</t>
      </text>
    </comment>
    <comment ref="AN22" authorId="0" shapeId="0">
      <text>
        <t>모델값 역산(implied): v / 매출액
매출액 × 판관비율 10.50%(최근 4분기 중위)</t>
      </text>
    </comment>
    <comment ref="AC23" authorId="0" shapeId="0">
      <text>
        <t>모델값 역산(implied): v / 매출액
매출액 × OPM(최근 8분기 OPM 중위 2.9% 유지)</t>
      </text>
    </comment>
    <comment ref="AD23" authorId="0" shapeId="0">
      <text>
        <t>모델값 역산(implied): v / 매출액
매출액 × OPM(최근 8분기 OPM 중위 2.9% 유지)</t>
      </text>
    </comment>
    <comment ref="AF23" authorId="0" shapeId="0">
      <text>
        <t>모델값 역산(implied): v / 매출액
매출액 × OPM(최근 8분기 OPM 중위 2.9% 유지)</t>
      </text>
    </comment>
    <comment ref="AG23" authorId="0" shapeId="0">
      <text>
        <t>모델값 역산(implied): v / 매출액
매출액 × OPM(최근 8분기 OPM 중위 2.9% 유지)</t>
      </text>
    </comment>
    <comment ref="AH23" authorId="0" shapeId="0">
      <text>
        <t>모델값 역산(implied): v / 매출액
매출액 × OPM(최근 8분기 OPM 중위 2.9% 유지)</t>
      </text>
    </comment>
    <comment ref="AI23" authorId="0" shapeId="0">
      <text>
        <t>모델값 역산(implied): v / 매출액
매출액 × OPM(최근 8분기 OPM 중위 2.9% 유지)</t>
      </text>
    </comment>
    <comment ref="AK23" authorId="0" shapeId="0">
      <text>
        <t>모델값 역산(implied): v / 매출액
매출액 × OPM(최근 8분기 OPM 중위 2.9% 유지)</t>
      </text>
    </comment>
    <comment ref="AL23" authorId="0" shapeId="0">
      <text>
        <t>모델값 역산(implied): v / 매출액
매출액 × OPM(최근 8분기 OPM 중위 2.9% 유지)</t>
      </text>
    </comment>
    <comment ref="AM23" authorId="0" shapeId="0">
      <text>
        <t>모델값 역산(implied): v / 매출액
매출액 × OPM(최근 8분기 OPM 중위 2.9% 유지)</t>
      </text>
    </comment>
    <comment ref="AN23" authorId="0" shapeId="0">
      <text>
        <t>모델값 역산(implied): v / 매출액
매출액 × OPM(최근 8분기 OPM 중위 2.9% 유지)</t>
      </text>
    </comment>
    <comment ref="AC24" authorId="0" shapeId="0">
      <text>
        <t>모델값 역산(implied): v / 전년동기 − 1
최근 8분기 OPM 중위 2.9% 유지</t>
      </text>
    </comment>
    <comment ref="AD24" authorId="0" shapeId="0">
      <text>
        <t>모델값 역산(implied): v / 전년동기 − 1
최근 8분기 OPM 중위 2.9% 유지</t>
      </text>
    </comment>
    <comment ref="AF24" authorId="0" shapeId="0">
      <text>
        <t>모델값 역산(implied): v / 전년동기 − 1
최근 8분기 OPM 중위 2.9% 유지</t>
      </text>
    </comment>
    <comment ref="AG24" authorId="0" shapeId="0">
      <text>
        <t>모델값 역산(implied): v / 전년동기 − 1
최근 8분기 OPM 중위 2.9% 유지</t>
      </text>
    </comment>
    <comment ref="AH24" authorId="0" shapeId="0">
      <text>
        <t>모델값 역산(implied): v / 전년동기 − 1
최근 8분기 OPM 중위 2.9% 유지</t>
      </text>
    </comment>
    <comment ref="AI24" authorId="0" shapeId="0">
      <text>
        <t>모델값 역산(implied): v / 전년동기 − 1
최근 8분기 OPM 중위 2.9% 유지</t>
      </text>
    </comment>
    <comment ref="AK24" authorId="0" shapeId="0">
      <text>
        <t>모델값 역산(implied): v / 전년동기 − 1
최근 8분기 OPM 중위 2.9% 유지</t>
      </text>
    </comment>
    <comment ref="AL24" authorId="0" shapeId="0">
      <text>
        <t>모델값 역산(implied): v / 전년동기 − 1
최근 8분기 OPM 중위 2.9% 유지</t>
      </text>
    </comment>
    <comment ref="AM24" authorId="0" shapeId="0">
      <text>
        <t>모델값 역산(implied): v / 전년동기 − 1
최근 8분기 OPM 중위 2.9% 유지</t>
      </text>
    </comment>
    <comment ref="AN24" authorId="0" shapeId="0">
      <text>
        <t>모델값 역산(implied): v / 전년동기 − 1
최근 8분기 OPM 중위 2.9% 유지</t>
      </text>
    </comment>
    <comment ref="AC25" authorId="0" shapeId="0">
      <text>
        <t>모델값 역산(implied): 모델 v 그대로
이자손익 = 이자발생자산 31억 × 1.58% − 총차입금 0억 × 4.49% (연율, CF 실측) ÷ 4; 환·평가손익 0 가정</t>
      </text>
    </comment>
    <comment ref="AD25" authorId="0" shapeId="0">
      <text>
        <t>모델값 역산(implied): 모델 v 그대로
이자손익 = 이자발생자산 35억 × 1.58% − 총차입금 0억 × 4.49% (연율, CF 실측) ÷ 4; 환·평가손익 0 가정</t>
      </text>
    </comment>
    <comment ref="AF25" authorId="0" shapeId="0">
      <text>
        <t>모델값 역산(implied): 모델 v 그대로
이자손익 = 이자발생자산 41억 × 1.58% − 총차입금 0억 × 4.49% (연율, CF 실측) ÷ 4; 환·평가손익 0 가정</t>
      </text>
    </comment>
    <comment ref="AG25" authorId="0" shapeId="0">
      <text>
        <t>모델값 역산(implied): 모델 v 그대로
이자손익 = 이자발생자산 47억 × 1.58% − 총차입금 0억 × 4.49% (연율, CF 실측) ÷ 4; 환·평가손익 0 가정</t>
      </text>
    </comment>
    <comment ref="AH25" authorId="0" shapeId="0">
      <text>
        <t>모델값 역산(implied): 모델 v 그대로
이자손익 = 이자발생자산 53억 × 1.58% − 총차입금 0억 × 4.49% (연율, CF 실측) ÷ 4; 환·평가손익 0 가정</t>
      </text>
    </comment>
    <comment ref="AI25" authorId="0" shapeId="0">
      <text>
        <t>모델값 역산(implied): 모델 v 그대로
이자손익 = 이자발생자산 58억 × 1.58% − 총차입금 0억 × 4.49% (연율, CF 실측) ÷ 4; 환·평가손익 0 가정</t>
      </text>
    </comment>
    <comment ref="AK25" authorId="0" shapeId="0">
      <text>
        <t>모델값 역산(implied): 모델 v 그대로
이자손익 = 이자발생자산 66억 × 1.58% − 총차입금 0억 × 4.49% (연율, CF 실측) ÷ 4; 환·평가손익 0 가정</t>
      </text>
    </comment>
    <comment ref="AL25" authorId="0" shapeId="0">
      <text>
        <t>모델값 역산(implied): 모델 v 그대로
이자손익 = 이자발생자산 73억 × 1.58% − 총차입금 0억 × 4.49% (연율, CF 실측) ÷ 4; 환·평가손익 0 가정</t>
      </text>
    </comment>
    <comment ref="AM25" authorId="0" shapeId="0">
      <text>
        <t>모델값 역산(implied): 모델 v 그대로
이자손익 = 이자발생자산 80억 × 1.58% − 총차입금 0억 × 4.49% (연율, CF 실측) ÷ 4; 환·평가손익 0 가정</t>
      </text>
    </comment>
    <comment ref="AN25" authorId="0" shapeId="0">
      <text>
        <t>모델값 역산(implied): 모델 v 그대로
이자손익 = 이자발생자산 87억 × 1.58% − 총차입금 0억 × 4.49%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-27.3% → 5~27% 클립)</t>
      </text>
    </comment>
    <comment ref="AD28" authorId="0" shapeId="0">
      <text>
        <t>모델값 역산(implied): v / 세전이익
max(세전, 0) × 세율 5.0%(최근 12분기 유효세율 -27.3% → 5~27% 클립)</t>
      </text>
    </comment>
    <comment ref="AF28" authorId="0" shapeId="0">
      <text>
        <t>모델값 역산(implied): v / 세전이익
max(세전, 0) × 세율 5.0%(최근 12분기 유효세율 -27.3% → 5~27% 클립)</t>
      </text>
    </comment>
    <comment ref="AG28" authorId="0" shapeId="0">
      <text>
        <t>모델값 역산(implied): v / 세전이익
max(세전, 0) × 세율 5.0%(최근 12분기 유효세율 -27.3% → 5~27% 클립)</t>
      </text>
    </comment>
    <comment ref="AH28" authorId="0" shapeId="0">
      <text>
        <t>모델값 역산(implied): v / 세전이익
max(세전, 0) × 세율 5.0%(최근 12분기 유효세율 -27.3% → 5~27% 클립)</t>
      </text>
    </comment>
    <comment ref="AI28" authorId="0" shapeId="0">
      <text>
        <t>모델값 역산(implied): v / 세전이익
max(세전, 0) × 세율 5.0%(최근 12분기 유효세율 -27.3% → 5~27% 클립)</t>
      </text>
    </comment>
    <comment ref="AK28" authorId="0" shapeId="0">
      <text>
        <t>모델값 역산(implied): v / 세전이익
max(세전, 0) × 세율 5.0%(최근 12분기 유효세율 -27.3% → 5~27% 클립)</t>
      </text>
    </comment>
    <comment ref="AL28" authorId="0" shapeId="0">
      <text>
        <t>모델값 역산(implied): v / 세전이익
max(세전, 0) × 세율 5.0%(최근 12분기 유효세율 -27.3% → 5~27% 클립)</t>
      </text>
    </comment>
    <comment ref="AM28" authorId="0" shapeId="0">
      <text>
        <t>모델값 역산(implied): v / 세전이익
max(세전, 0) × 세율 5.0%(최근 12분기 유효세율 -27.3% → 5~27% 클립)</t>
      </text>
    </comment>
    <comment ref="AN28" authorId="0" shapeId="0">
      <text>
        <t>모델값 역산(implied): v / 세전이익
max(세전, 0) × 세율 5.0%(최근 12분기 유효세율 -27.3%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175203억 × 비례계수 0.0038 × 계절비중 Q3 0.224(계절비중 — 최근 3개 연도(2026, 2025, 2024) 분기/연간 비중 평균; 격자 lag0~4×창8/12/19×수준·YoY·4Q합 중 최대 r=0.89, n=14, 창 19)
[yoy]</t>
      </text>
    </comment>
    <comment ref="AD5" authorId="0" shapeId="0">
      <text>
        <t>추정: 고객지수 4분기 이동합(t−2) 192960억 × 비례계수 0.0038 × 계절비중 Q4 0.279(계절비중 — 최근 3개 연도(2026, 2025, 2024) 분기/연간 비중 평균; 격자 lag0~4×창8/12/19×수준·YoY·4Q합 중 최대 r=0.89, n=14, 창 19)
[yoy]</t>
      </text>
    </comment>
    <comment ref="AF5" authorId="0" shapeId="0">
      <text>
        <t>추정: 고객지수 4분기 이동합(t−2) 211155억 × 비례계수 0.0038 × 계절비중 Q1 0.245(계절비중 — 최근 3개 연도(2026, 2025, 2024) 분기/연간 비중 평균; 격자 lag0~4×창8/12/19×수준·YoY·4Q합 중 최대 r=0.89, n=14, 창 19)
[yoy]</t>
      </text>
    </comment>
    <comment ref="AG5" authorId="0" shapeId="0">
      <text>
        <t>추정: 고객지수 4분기 이동합(t−2) 224358억 × 비례계수 0.0038 × 계절비중 Q2 0.252(계절비중 — 최근 3개 연도(2026, 2025, 2024) 분기/연간 비중 평균; 격자 lag0~4×창8/12/19×수준·YoY·4Q합 중 최대 r=0.89, n=14, 창 19)
[yoy]</t>
      </text>
    </comment>
    <comment ref="AH5" authorId="0" shapeId="0">
      <text>
        <t>추정: 고객지수 4분기 이동합(t−2) 233999억 × 비례계수 0.0038 × 계절비중 Q3 0.224(계절비중 — 최근 3개 연도(2026, 2025, 2024) 분기/연간 비중 평균; 격자 lag0~4×창8/12/19×수준·YoY·4Q합 중 최대 r=0.89, n=14, 창 19)
[yoy]</t>
      </text>
    </comment>
    <comment ref="AI5" authorId="0" shapeId="0">
      <text>
        <t>추정: 고객지수 4분기 이동합(t−2) 243296억 × 비례계수 0.0038 × 계절비중 Q4 0.279(계절비중 — 최근 3개 연도(2026, 2025, 2024) 분기/연간 비중 평균; 격자 lag0~4×창8/12/19×수준·YoY·4Q합 중 최대 r=0.89, n=14, 창 19)
[yoy]</t>
      </text>
    </comment>
    <comment ref="AK5" authorId="0" shapeId="0">
      <text>
        <t>추정: 고객지수 4분기 이동합(t−2) 254117억 × 비례계수 0.0038 × 계절비중 Q1 0.245(계절비중 — 최근 3개 연도(2026, 2025, 2024) 분기/연간 비중 평균; 격자 lag0~4×창8/12/19×수준·YoY·4Q합 중 최대 r=0.89, n=14, 창 19)
[yoy]</t>
      </text>
    </comment>
    <comment ref="AL5" authorId="0" shapeId="0">
      <text>
        <t>추정: 고객지수 4분기 이동합(t−2) 268264억 × 비례계수 0.0038 × 계절비중 Q2 0.252(계절비중 — 최근 3개 연도(2026, 2025, 2024) 분기/연간 비중 평균; 격자 lag0~4×창8/12/19×수준·YoY·4Q합 중 최대 r=0.89, n=14, 창 19)
[yoy]</t>
      </text>
    </comment>
    <comment ref="AM5" authorId="0" shapeId="0">
      <text>
        <t>추정: 고객지수 4분기 이동합(t−2) 284403억 × 비례계수 0.0038 × 계절비중 Q3 0.224(계절비중 — 최근 3개 연도(2026, 2025, 2024) 분기/연간 비중 평균; 격자 lag0~4×창8/12/19×수준·YoY·4Q합 중 최대 r=0.89, n=14, 창 19)
[yoy]</t>
      </text>
    </comment>
    <comment ref="AN5" authorId="0" shapeId="0">
      <text>
        <t>추정: 고객지수 4분기 이동합(t−2) 301487억 × 비례계수 0.0038 × 계절비중 Q4 0.279(계절비중 — 최근 3개 연도(2026, 2025, 2024) 분기/연간 비중 평균; 격자 lag0~4×창8/12/19×수준·YoY·4Q합 중 최대 r=0.89,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유지)
[ratio]</t>
      </text>
    </comment>
    <comment ref="AD9" authorId="0" shapeId="0">
      <text>
        <t>추정: 매출액 × OPM(최근 8분기 OPM 중위 2.9% 유지)
[ratio]</t>
      </text>
    </comment>
    <comment ref="AF9" authorId="0" shapeId="0">
      <text>
        <t>추정: 매출액 × OPM(최근 8분기 OPM 중위 2.9% 유지)
[ratio]</t>
      </text>
    </comment>
    <comment ref="AG9" authorId="0" shapeId="0">
      <text>
        <t>추정: 매출액 × OPM(최근 8분기 OPM 중위 2.9% 유지)
[ratio]</t>
      </text>
    </comment>
    <comment ref="AH9" authorId="0" shapeId="0">
      <text>
        <t>추정: 매출액 × OPM(최근 8분기 OPM 중위 2.9% 유지)
[ratio]</t>
      </text>
    </comment>
    <comment ref="AI9" authorId="0" shapeId="0">
      <text>
        <t>추정: 매출액 × OPM(최근 8분기 OPM 중위 2.9% 유지)
[ratio]</t>
      </text>
    </comment>
    <comment ref="AK9" authorId="0" shapeId="0">
      <text>
        <t>추정: 매출액 × OPM(최근 8분기 OPM 중위 2.9% 유지)
[ratio]</t>
      </text>
    </comment>
    <comment ref="AL9" authorId="0" shapeId="0">
      <text>
        <t>추정: 매출액 × OPM(최근 8분기 OPM 중위 2.9% 유지)
[ratio]</t>
      </text>
    </comment>
    <comment ref="AM9" authorId="0" shapeId="0">
      <text>
        <t>추정: 매출액 × OPM(최근 8분기 OPM 중위 2.9% 유지)
[ratio]</t>
      </text>
    </comment>
    <comment ref="AN9" authorId="0" shapeId="0">
      <text>
        <t>추정: 매출액 × OPM(최근 8분기 OPM 중위 2.9%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2.9% 유지
[yoy]</t>
      </text>
    </comment>
    <comment ref="AD10" authorId="0" shapeId="0">
      <text>
        <t>추정: 최근 8분기 OPM 중위 2.9% 유지
[yoy]</t>
      </text>
    </comment>
    <comment ref="AF10" authorId="0" shapeId="0">
      <text>
        <t>추정: 최근 8분기 OPM 중위 2.9% 유지
[yoy]</t>
      </text>
    </comment>
    <comment ref="AG10" authorId="0" shapeId="0">
      <text>
        <t>추정: 최근 8분기 OPM 중위 2.9% 유지
[yoy]</t>
      </text>
    </comment>
    <comment ref="AH10" authorId="0" shapeId="0">
      <text>
        <t>추정: 최근 8분기 OPM 중위 2.9% 유지
[yoy]</t>
      </text>
    </comment>
    <comment ref="AI10" authorId="0" shapeId="0">
      <text>
        <t>추정: 최근 8분기 OPM 중위 2.9% 유지
[yoy]</t>
      </text>
    </comment>
    <comment ref="AK10" authorId="0" shapeId="0">
      <text>
        <t>추정: 최근 8분기 OPM 중위 2.9% 유지
[yoy]</t>
      </text>
    </comment>
    <comment ref="AL10" authorId="0" shapeId="0">
      <text>
        <t>추정: 최근 8분기 OPM 중위 2.9% 유지
[yoy]</t>
      </text>
    </comment>
    <comment ref="AM10" authorId="0" shapeId="0">
      <text>
        <t>추정: 최근 8분기 OPM 중위 2.9% 유지
[yoy]</t>
      </text>
    </comment>
    <comment ref="AN10" authorId="0" shapeId="0">
      <text>
        <t>추정: 최근 8분기 OPM 중위 2.9% 유지
[yoy]</t>
      </text>
    </comment>
    <comment ref="AC11" authorId="0" shapeId="0">
      <text>
        <t>추정: 이자손익 = 이자발생자산 31억 × 1.58% − 총차입금 0억 × 4.49% (연율, CF 실측) ÷ 4; 환·평가손익 0 가정
[abs]</t>
      </text>
    </comment>
    <comment ref="AD11" authorId="0" shapeId="0">
      <text>
        <t>추정: 이자손익 = 이자발생자산 35억 × 1.58% − 총차입금 0억 × 4.49% (연율, CF 실측) ÷ 4; 환·평가손익 0 가정
[abs]</t>
      </text>
    </comment>
    <comment ref="AF11" authorId="0" shapeId="0">
      <text>
        <t>추정: 이자손익 = 이자발생자산 41억 × 1.58% − 총차입금 0억 × 4.49% (연율, CF 실측) ÷ 4; 환·평가손익 0 가정
[abs]</t>
      </text>
    </comment>
    <comment ref="AG11" authorId="0" shapeId="0">
      <text>
        <t>추정: 이자손익 = 이자발생자산 47억 × 1.58% − 총차입금 0억 × 4.49% (연율, CF 실측) ÷ 4; 환·평가손익 0 가정
[abs]</t>
      </text>
    </comment>
    <comment ref="AH11" authorId="0" shapeId="0">
      <text>
        <t>추정: 이자손익 = 이자발생자산 53억 × 1.58% − 총차입금 0억 × 4.49% (연율, CF 실측) ÷ 4; 환·평가손익 0 가정
[abs]</t>
      </text>
    </comment>
    <comment ref="AI11" authorId="0" shapeId="0">
      <text>
        <t>추정: 이자손익 = 이자발생자산 58억 × 1.58% − 총차입금 0억 × 4.49% (연율, CF 실측) ÷ 4; 환·평가손익 0 가정
[abs]</t>
      </text>
    </comment>
    <comment ref="AK11" authorId="0" shapeId="0">
      <text>
        <t>추정: 이자손익 = 이자발생자산 66억 × 1.58% − 총차입금 0억 × 4.49% (연율, CF 실측) ÷ 4; 환·평가손익 0 가정
[abs]</t>
      </text>
    </comment>
    <comment ref="AL11" authorId="0" shapeId="0">
      <text>
        <t>추정: 이자손익 = 이자발생자산 73억 × 1.58% − 총차입금 0억 × 4.49% (연율, CF 실측) ÷ 4; 환·평가손익 0 가정
[abs]</t>
      </text>
    </comment>
    <comment ref="AM11" authorId="0" shapeId="0">
      <text>
        <t>추정: 이자손익 = 이자발생자산 80억 × 1.58% − 총차입금 0억 × 4.49% (연율, CF 실측) ÷ 4; 환·평가손익 0 가정
[abs]</t>
      </text>
    </comment>
    <comment ref="AN11" authorId="0" shapeId="0">
      <text>
        <t>추정: 이자손익 = 이자발생자산 87억 × 1.58% − 총차입금 0억 × 4.49%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-27.3% → 5~27% 클립)
[ratio]</t>
      </text>
    </comment>
    <comment ref="AD15" authorId="0" shapeId="0">
      <text>
        <t>추정: max(세전, 0) × 세율 5.0%(최근 12분기 유효세율 -27.3% → 5~27% 클립)
[ratio]</t>
      </text>
    </comment>
    <comment ref="AF15" authorId="0" shapeId="0">
      <text>
        <t>추정: max(세전, 0) × 세율 5.0%(최근 12분기 유효세율 -27.3% → 5~27% 클립)
[ratio]</t>
      </text>
    </comment>
    <comment ref="AG15" authorId="0" shapeId="0">
      <text>
        <t>추정: max(세전, 0) × 세율 5.0%(최근 12분기 유효세율 -27.3% → 5~27% 클립)
[ratio]</t>
      </text>
    </comment>
    <comment ref="AH15" authorId="0" shapeId="0">
      <text>
        <t>추정: max(세전, 0) × 세율 5.0%(최근 12분기 유효세율 -27.3% → 5~27% 클립)
[ratio]</t>
      </text>
    </comment>
    <comment ref="AI15" authorId="0" shapeId="0">
      <text>
        <t>추정: max(세전, 0) × 세율 5.0%(최근 12분기 유효세율 -27.3% → 5~27% 클립)
[ratio]</t>
      </text>
    </comment>
    <comment ref="AK15" authorId="0" shapeId="0">
      <text>
        <t>추정: max(세전, 0) × 세율 5.0%(최근 12분기 유효세율 -27.3% → 5~27% 클립)
[ratio]</t>
      </text>
    </comment>
    <comment ref="AL15" authorId="0" shapeId="0">
      <text>
        <t>추정: max(세전, 0) × 세율 5.0%(최근 12분기 유효세율 -27.3% → 5~27% 클립)
[ratio]</t>
      </text>
    </comment>
    <comment ref="AM15" authorId="0" shapeId="0">
      <text>
        <t>추정: max(세전, 0) × 세율 5.0%(최근 12분기 유효세율 -27.3% → 5~27% 클립)
[ratio]</t>
      </text>
    </comment>
    <comment ref="AN15" authorId="0" shapeId="0">
      <text>
        <t>추정: max(세전, 0) × 세율 5.0%(최근 12분기 유효세율 -27.3%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추정(가정 셀 참조 불가 — 기준값 없음, 모델값 직접): 마지막 실적 유지(가정)</t>
      </text>
    </comment>
    <comment ref="AD22" authorId="0" shapeId="0">
      <text>
        <t>추정(가정 셀 참조 불가 — 기준값 없음, 모델값 직접): 마지막 실적 유지(가정)</t>
      </text>
    </comment>
    <comment ref="AF22" authorId="0" shapeId="0">
      <text>
        <t>추정(가정 셀 참조 불가 — 기준값 없음, 모델값 직접): 마지막 실적 유지(가정)</t>
      </text>
    </comment>
    <comment ref="AG22" authorId="0" shapeId="0">
      <text>
        <t>추정(가정 셀 참조 불가 — 기준값 없음, 모델값 직접): 마지막 실적 유지(가정)</t>
      </text>
    </comment>
    <comment ref="AH22" authorId="0" shapeId="0">
      <text>
        <t>추정(가정 셀 참조 불가 — 기준값 없음, 모델값 직접): 마지막 실적 유지(가정)</t>
      </text>
    </comment>
    <comment ref="AI22" authorId="0" shapeId="0">
      <text>
        <t>추정(가정 셀 참조 불가 — 기준값 없음, 모델값 직접): 마지막 실적 유지(가정)</t>
      </text>
    </comment>
    <comment ref="AK22" authorId="0" shapeId="0">
      <text>
        <t>추정(가정 셀 참조 불가 — 기준값 없음, 모델값 직접): 마지막 실적 유지(가정)</t>
      </text>
    </comment>
    <comment ref="AL22" authorId="0" shapeId="0">
      <text>
        <t>추정(가정 셀 참조 불가 — 기준값 없음, 모델값 직접): 마지막 실적 유지(가정)</t>
      </text>
    </comment>
    <comment ref="AM22" authorId="0" shapeId="0">
      <text>
        <t>추정(가정 셀 참조 불가 — 기준값 없음, 모델값 직접): 마지막 실적 유지(가정)</t>
      </text>
    </comment>
    <comment ref="AN22" authorId="0" shapeId="0">
      <text>
        <t>추정(가정 셀 참조 불가 — 기준값 없음, 모델값 직접): 마지막 실적 유지(가정)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assets/models/103230.json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2025Q4: 비영업손익 -7억(영업이익 -1억의 7배, 12분기 중위 1억) → 지배NI -2억·EPS·FY2025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4300</v>
      </c>
      <c r="F15" s="9" t="n"/>
      <c r="G15" s="18" t="n">
        <v>4300</v>
      </c>
      <c r="H15" s="18" t="n">
        <v>4300</v>
      </c>
      <c r="I15" s="18" t="n">
        <v>4300</v>
      </c>
      <c r="J15" s="18" t="n">
        <v>4300</v>
      </c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4300</v>
      </c>
      <c r="F16" s="9" t="n"/>
      <c r="G16" s="18" t="n">
        <v>4300</v>
      </c>
      <c r="H16" s="18" t="n">
        <v>4300</v>
      </c>
      <c r="I16" s="18" t="n">
        <v>4300</v>
      </c>
      <c r="J16" s="18" t="n">
        <v>4300</v>
      </c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4300</v>
      </c>
      <c r="F17" s="9" t="n"/>
      <c r="G17" s="18" t="n">
        <v>4300</v>
      </c>
      <c r="H17" s="18" t="n">
        <v>4300</v>
      </c>
      <c r="I17" s="18" t="n">
        <v>4300</v>
      </c>
      <c r="J17" s="18" t="n">
        <v>4300</v>
      </c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4300</v>
      </c>
      <c r="F18" s="9" t="n"/>
      <c r="G18" s="18" t="n">
        <v>4300</v>
      </c>
      <c r="H18" s="18" t="n">
        <v>4300</v>
      </c>
      <c r="I18" s="18" t="n">
        <v>4300</v>
      </c>
      <c r="J18" s="18" t="n">
        <v>4300</v>
      </c>
      <c r="K18" s="9" t="n"/>
      <c r="L18" s="18" t="n">
        <v>4260.2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0.27998</v>
      </c>
      <c r="AD21" s="24" t="n">
        <v>0.6267509999999999</v>
      </c>
      <c r="AE21" s="25" t="n"/>
      <c r="AF21" s="24" t="n">
        <v>0.710618</v>
      </c>
      <c r="AG21" s="24" t="n">
        <v>0.677899</v>
      </c>
      <c r="AH21" s="24" t="n">
        <v>0.335593</v>
      </c>
      <c r="AI21" s="24" t="n">
        <v>0.26084</v>
      </c>
      <c r="AJ21" s="25" t="n"/>
      <c r="AK21" s="24" t="n">
        <v>0.203448</v>
      </c>
      <c r="AL21" s="24" t="n">
        <v>0.195706</v>
      </c>
      <c r="AM21" s="24" t="n">
        <v>0.215395</v>
      </c>
      <c r="AN21" s="24" t="n">
        <v>0.239176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0.104952</v>
      </c>
      <c r="AD22" s="24" t="n">
        <v>0.10498</v>
      </c>
      <c r="AE22" s="25">
        <f>IFERROR(subQ!AE8/subQ!AE5,"")</f>
        <v/>
      </c>
      <c r="AF22" s="24" t="n">
        <v>0.104979</v>
      </c>
      <c r="AG22" s="24" t="n">
        <v>0.104979</v>
      </c>
      <c r="AH22" s="24" t="n">
        <v>0.104959</v>
      </c>
      <c r="AI22" s="24" t="n">
        <v>0.104949</v>
      </c>
      <c r="AJ22" s="25">
        <f>IFERROR(subQ!AJ8/subQ!AJ5,"")</f>
        <v/>
      </c>
      <c r="AK22" s="24" t="n">
        <v>0.104941</v>
      </c>
      <c r="AL22" s="24" t="n">
        <v>0.104974</v>
      </c>
      <c r="AM22" s="24" t="n">
        <v>0.104961</v>
      </c>
      <c r="AN22" s="24" t="n">
        <v>0.104975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0.029325</v>
      </c>
      <c r="AD23" s="24" t="n">
        <v>0.029297</v>
      </c>
      <c r="AE23" s="25">
        <f>IFERROR(subQ!AE9/subQ!AE5,"")</f>
        <v/>
      </c>
      <c r="AF23" s="24" t="n">
        <v>0.029297</v>
      </c>
      <c r="AG23" s="24" t="n">
        <v>0.029342</v>
      </c>
      <c r="AH23" s="24" t="n">
        <v>0.029342</v>
      </c>
      <c r="AI23" s="24" t="n">
        <v>0.029316</v>
      </c>
      <c r="AJ23" s="25">
        <f>IFERROR(subQ!AJ9/subQ!AJ5,"")</f>
        <v/>
      </c>
      <c r="AK23" s="24" t="n">
        <v>0.029331</v>
      </c>
      <c r="AL23" s="24" t="n">
        <v>0.02933</v>
      </c>
      <c r="AM23" s="24" t="n">
        <v>0.02931</v>
      </c>
      <c r="AN23" s="24" t="n">
        <v>0.029314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-0.07861600000000001</v>
      </c>
      <c r="AD24" s="24" t="n">
        <v>-4.617284</v>
      </c>
      <c r="AE24" s="25" t="n"/>
      <c r="AF24" s="24" t="n">
        <v>0.08921900000000001</v>
      </c>
      <c r="AG24" s="24" t="n">
        <v>-0.095679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0.12</v>
      </c>
      <c r="AD25" s="29" t="n">
        <v>0.14</v>
      </c>
      <c r="AE25" s="30">
        <f>subQ!AE11</f>
        <v/>
      </c>
      <c r="AF25" s="29" t="n">
        <v>0.16</v>
      </c>
      <c r="AG25" s="29" t="n">
        <v>0.18</v>
      </c>
      <c r="AH25" s="29" t="n">
        <v>0.21</v>
      </c>
      <c r="AI25" s="29" t="n">
        <v>0.23</v>
      </c>
      <c r="AJ25" s="30">
        <f>subQ!AJ11</f>
        <v/>
      </c>
      <c r="AK25" s="29" t="n">
        <v>0.26</v>
      </c>
      <c r="AL25" s="29" t="n">
        <v>0.29</v>
      </c>
      <c r="AM25" s="29" t="n">
        <v>0.32</v>
      </c>
      <c r="AN25" s="29" t="n">
        <v>0.34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0.048998</v>
      </c>
      <c r="AD28" s="24" t="n">
        <v>0.050489</v>
      </c>
      <c r="AE28" s="25">
        <f>IFERROR(subQ!AE15/subQ!AE14,"")</f>
        <v/>
      </c>
      <c r="AF28" s="24" t="n">
        <v>0.05059</v>
      </c>
      <c r="AG28" s="24" t="n">
        <v>0.049383</v>
      </c>
      <c r="AH28" s="24" t="n">
        <v>0.049669</v>
      </c>
      <c r="AI28" s="24" t="n">
        <v>0.05</v>
      </c>
      <c r="AJ28" s="25">
        <f>IFERROR(subQ!AJ15/subQ!AJ14,"")</f>
        <v/>
      </c>
      <c r="AK28" s="24" t="n">
        <v>0.05</v>
      </c>
      <c r="AL28" s="24" t="n">
        <v>0.049936</v>
      </c>
      <c r="AM28" s="24" t="n">
        <v>0.049933</v>
      </c>
      <c r="AN28" s="24" t="n">
        <v>0.05036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-4e-06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0.0054</v>
      </c>
      <c r="AD31" s="29" t="n">
        <v>0</v>
      </c>
      <c r="AE31" s="30" t="n"/>
      <c r="AF31" s="29" t="n">
        <v>0</v>
      </c>
      <c r="AG31" s="29" t="n">
        <v>0.01</v>
      </c>
      <c r="AH31" s="29" t="n">
        <v>-0.01</v>
      </c>
      <c r="AI31" s="29" t="n">
        <v>0</v>
      </c>
      <c r="AJ31" s="30" t="n"/>
      <c r="AK31" s="29" t="n">
        <v>0</v>
      </c>
      <c r="AL31" s="29" t="n">
        <v>0</v>
      </c>
      <c r="AM31" s="29" t="n">
        <v>-0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0.0054</v>
      </c>
      <c r="AD32" s="29" t="n">
        <v>0</v>
      </c>
      <c r="AE32" s="30" t="n"/>
      <c r="AF32" s="29" t="n">
        <v>0</v>
      </c>
      <c r="AG32" s="29" t="n">
        <v>0.01</v>
      </c>
      <c r="AH32" s="29" t="n">
        <v>-0.01</v>
      </c>
      <c r="AI32" s="29" t="n">
        <v>0</v>
      </c>
      <c r="AJ32" s="30" t="n"/>
      <c r="AK32" s="29" t="n">
        <v>0</v>
      </c>
      <c r="AL32" s="29" t="n">
        <v>0</v>
      </c>
      <c r="AM32" s="29" t="n">
        <v>-0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0.138355</v>
      </c>
      <c r="AD34" s="24" t="n">
        <v>0.166477</v>
      </c>
      <c r="AE34" s="25" t="n"/>
      <c r="AF34" s="24" t="n">
        <v>0.137586</v>
      </c>
      <c r="AG34" s="24" t="n">
        <v>0.132331</v>
      </c>
      <c r="AH34" s="24" t="n">
        <v>0.108898</v>
      </c>
      <c r="AI34" s="24" t="n">
        <v>0.126775</v>
      </c>
      <c r="AJ34" s="25" t="n"/>
      <c r="AK34" s="24" t="n">
        <v>0.103857</v>
      </c>
      <c r="AL34" s="24" t="n">
        <v>0.102063</v>
      </c>
      <c r="AM34" s="24" t="n">
        <v>0.087868</v>
      </c>
      <c r="AN34" s="24" t="n">
        <v>0.106012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0.138355</v>
      </c>
      <c r="AD35" s="24" t="n">
        <v>0.166477</v>
      </c>
      <c r="AE35" s="25" t="n"/>
      <c r="AF35" s="24" t="n">
        <v>0.137586</v>
      </c>
      <c r="AG35" s="24" t="n">
        <v>0.132331</v>
      </c>
      <c r="AH35" s="24" t="n">
        <v>0.108898</v>
      </c>
      <c r="AI35" s="24" t="n">
        <v>0.126775</v>
      </c>
      <c r="AJ35" s="25" t="n"/>
      <c r="AK35" s="24" t="n">
        <v>0.103857</v>
      </c>
      <c r="AL35" s="24" t="n">
        <v>0.102063</v>
      </c>
      <c r="AM35" s="24" t="n">
        <v>0.087868</v>
      </c>
      <c r="AN35" s="24" t="n">
        <v>0.106012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2.161692</v>
      </c>
      <c r="AD41" s="24" t="n">
        <v>-0.142691</v>
      </c>
      <c r="AE41" s="25" t="n"/>
      <c r="AF41" s="24" t="n">
        <v>-0.533528</v>
      </c>
      <c r="AG41" s="24" t="n">
        <v>-0.580519</v>
      </c>
      <c r="AH41" s="24" t="n">
        <v>-0.523997</v>
      </c>
      <c r="AI41" s="24" t="n">
        <v>-0.232747</v>
      </c>
      <c r="AJ41" s="25" t="n"/>
      <c r="AK41" s="24" t="n">
        <v>-0.154687</v>
      </c>
      <c r="AL41" s="24" t="n">
        <v>-0.201238</v>
      </c>
      <c r="AM41" s="24" t="n">
        <v>-0.186777</v>
      </c>
      <c r="AN41" s="24" t="n">
        <v>-0.183422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-0.5094340000000001</v>
      </c>
      <c r="AD42" s="24" t="n">
        <v>-0.568966</v>
      </c>
      <c r="AE42" s="25" t="n"/>
      <c r="AF42" s="24" t="n">
        <v>-0.528302</v>
      </c>
      <c r="AG42" s="24" t="n">
        <v>-0.444444</v>
      </c>
      <c r="AH42" s="24" t="n">
        <v>-0.038462</v>
      </c>
      <c r="AI42" s="24" t="n">
        <v>-0.04</v>
      </c>
      <c r="AJ42" s="25" t="n"/>
      <c r="AK42" s="24" t="n">
        <v>-0.04</v>
      </c>
      <c r="AL42" s="24" t="n">
        <v>-0.04</v>
      </c>
      <c r="AM42" s="24" t="n">
        <v>-0.08</v>
      </c>
      <c r="AN42" s="24" t="n">
        <v>-0.041667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0.029325</v>
      </c>
      <c r="AD44" s="24" t="n">
        <v>0.029297</v>
      </c>
      <c r="AE44" s="25">
        <f>IFERROR(subQ!AE35/subQ!AE34,"")</f>
        <v/>
      </c>
      <c r="AF44" s="24" t="n">
        <v>0.029297</v>
      </c>
      <c r="AG44" s="24" t="n">
        <v>0.029342</v>
      </c>
      <c r="AH44" s="24" t="n">
        <v>0.029342</v>
      </c>
      <c r="AI44" s="24" t="n">
        <v>0.029316</v>
      </c>
      <c r="AJ44" s="25">
        <f>IFERROR(subQ!AJ35/subQ!AJ34,"")</f>
        <v/>
      </c>
      <c r="AK44" s="24" t="n">
        <v>0.029331</v>
      </c>
      <c r="AL44" s="24" t="n">
        <v>0.02933</v>
      </c>
      <c r="AM44" s="24" t="n">
        <v>0.02931</v>
      </c>
      <c r="AN44" s="24" t="n">
        <v>0.029314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1964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7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8.699999999999999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13.3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0.105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4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4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4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4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4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4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4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4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4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4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4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4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4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4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4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4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4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4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4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4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4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4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4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4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4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4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4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4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4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4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4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4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4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4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4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4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4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4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4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4" t="n">
        <v>0.74</v>
      </c>
      <c r="G13" s="18" t="n">
        <v>0.74</v>
      </c>
      <c r="H13" s="18" t="n">
        <v>1.48</v>
      </c>
      <c r="J13" s="18" t="n">
        <v>0.74</v>
      </c>
      <c r="K13" s="34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4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4" t="n">
        <v>0</v>
      </c>
      <c r="W13" s="18" t="n">
        <v>0</v>
      </c>
      <c r="X13" s="18" t="n">
        <v>0</v>
      </c>
      <c r="Y13" s="18" t="n">
        <v>0</v>
      </c>
      <c r="Z13" s="34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4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4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4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4" t="n">
        <v>0</v>
      </c>
      <c r="W14" s="18" t="n">
        <v>0</v>
      </c>
      <c r="X14" s="18" t="n">
        <v>0</v>
      </c>
      <c r="Y14" s="18" t="n">
        <v>0</v>
      </c>
      <c r="Z14" s="34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4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4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4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4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4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4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4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4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4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4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4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4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4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4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4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4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4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4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4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4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4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4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4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4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4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4" t="n">
        <v>320</v>
      </c>
      <c r="G20" s="18" t="n">
        <v>0</v>
      </c>
      <c r="H20" s="18" t="n">
        <v>0</v>
      </c>
      <c r="J20" s="18" t="n">
        <v>0</v>
      </c>
      <c r="K20" s="34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4" t="n">
        <v>0</v>
      </c>
      <c r="Q20" s="18" t="n">
        <v>4193.09</v>
      </c>
      <c r="U20" s="9" t="n"/>
      <c r="Y20" s="18" t="n">
        <v>860.64</v>
      </c>
      <c r="Z20" s="34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4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4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4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4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4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4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4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4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4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4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4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4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4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4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4" t="n">
        <v>0</v>
      </c>
      <c r="L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4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4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4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4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4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4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4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4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4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4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4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4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4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4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4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4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4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4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4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4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4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4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4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4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4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4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4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4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4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4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4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4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4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4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4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4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4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4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4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4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4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4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4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4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4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4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4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4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4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4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4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4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4193.09</v>
      </c>
      <c r="T35" s="18" t="n">
        <v>0</v>
      </c>
      <c r="U35" s="34" t="n">
        <v>0</v>
      </c>
      <c r="V35" s="18" t="n">
        <v>0</v>
      </c>
      <c r="Y35" s="18" t="n">
        <v>860.64</v>
      </c>
      <c r="Z35" s="34" t="n">
        <v>860.64</v>
      </c>
      <c r="AA35" s="18" t="n">
        <v>0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4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4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4" t="n">
        <v>-4000.15</v>
      </c>
      <c r="Q36" s="18" t="n">
        <v>853.55</v>
      </c>
      <c r="T36" s="18" t="n">
        <v>-2709.56</v>
      </c>
      <c r="U36" s="34" t="n">
        <v>-2709.56</v>
      </c>
      <c r="V36" s="18" t="n">
        <v>-1889.31</v>
      </c>
      <c r="Y36" s="18" t="n">
        <v>-1521.36</v>
      </c>
      <c r="Z36" s="34" t="n">
        <v>-1521.36</v>
      </c>
      <c r="AA36" s="18" t="n">
        <v>-4081.32</v>
      </c>
      <c r="AB36" s="19" t="n">
        <v>-3081.64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4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4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4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4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4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4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4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4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4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4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4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4" t="n">
        <v>0</v>
      </c>
      <c r="V41" s="18" t="n">
        <v>0</v>
      </c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4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4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4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4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4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4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4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4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4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4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4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4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4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4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4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4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4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4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4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4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4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4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4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4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4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4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4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4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4" t="n">
        <v>57.65</v>
      </c>
      <c r="Q52" s="18" t="n">
        <v>0.88</v>
      </c>
      <c r="R52" s="18" t="n">
        <v>-1.28</v>
      </c>
      <c r="S52" s="18" t="n">
        <v>-1.77</v>
      </c>
      <c r="T52" s="18" t="n">
        <v>320.51</v>
      </c>
      <c r="U52" s="34" t="n">
        <v>318.34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4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4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4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4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4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4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4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4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4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4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4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4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4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4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4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4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4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4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4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4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4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4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4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4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4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4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4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4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4" t="n">
        <v>92.3</v>
      </c>
      <c r="Q61" s="18" t="n">
        <v>30</v>
      </c>
      <c r="R61" s="18" t="n">
        <v>27.17</v>
      </c>
      <c r="S61" s="18" t="n">
        <v>31.08</v>
      </c>
      <c r="T61" s="18" t="n">
        <v>-273.77</v>
      </c>
      <c r="U61" s="34" t="n">
        <v>-185.52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4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4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4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4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4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4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4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4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4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4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4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4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895.74</v>
      </c>
      <c r="F65" s="9" t="n"/>
      <c r="G65" s="18" t="n">
        <v>2927.98</v>
      </c>
      <c r="H65" s="18" t="n">
        <v>-1662.71</v>
      </c>
      <c r="I65" s="18" t="n">
        <v>194.59</v>
      </c>
      <c r="J65" s="18" t="n">
        <v>2230.76</v>
      </c>
      <c r="K65" s="34" t="n">
        <v>3690.62</v>
      </c>
      <c r="L65" s="18" t="n">
        <v>1517.47</v>
      </c>
      <c r="M65" s="18" t="n">
        <v>53.35</v>
      </c>
      <c r="N65" s="18" t="n">
        <v>2096.93</v>
      </c>
      <c r="O65" s="18" t="n">
        <v>544.15</v>
      </c>
      <c r="P65" s="34" t="n">
        <v>4211.9</v>
      </c>
      <c r="Q65" s="18" t="n">
        <v>3799.22</v>
      </c>
      <c r="R65" s="18" t="n">
        <v>2002.58</v>
      </c>
      <c r="S65" s="18" t="n">
        <v>-2283.35</v>
      </c>
      <c r="T65" s="18" t="n">
        <v>938.89</v>
      </c>
      <c r="U65" s="34" t="n">
        <v>4457.34</v>
      </c>
      <c r="V65" s="18" t="n">
        <v>-409.92</v>
      </c>
      <c r="W65" s="18" t="n">
        <v>1939.8</v>
      </c>
      <c r="X65" s="18" t="n">
        <v>861.85</v>
      </c>
      <c r="Y65" s="18" t="n">
        <v>411.74</v>
      </c>
      <c r="Z65" s="34" t="n">
        <v>2803.47</v>
      </c>
      <c r="AA65" s="18" t="n">
        <v>3402.04</v>
      </c>
      <c r="AB65" s="19" t="n">
        <v>-7.16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2.15</v>
      </c>
      <c r="F66" s="9" t="n"/>
      <c r="G66" s="18" t="n">
        <v>27.73</v>
      </c>
      <c r="H66" s="18" t="n">
        <v>3.99</v>
      </c>
      <c r="I66" s="18" t="n">
        <v>29.2</v>
      </c>
      <c r="J66" s="18" t="n">
        <v>35.4</v>
      </c>
      <c r="K66" s="34" t="n">
        <v>96.31999999999999</v>
      </c>
      <c r="L66" s="18" t="n">
        <v>37.65</v>
      </c>
      <c r="M66" s="18" t="n">
        <v>40.74</v>
      </c>
      <c r="N66" s="18" t="n">
        <v>53.4</v>
      </c>
      <c r="O66" s="18" t="n">
        <v>60.85</v>
      </c>
      <c r="P66" s="34" t="n">
        <v>192.64</v>
      </c>
      <c r="Q66" s="18" t="n">
        <v>53.55</v>
      </c>
      <c r="R66" s="18" t="n">
        <v>42.96</v>
      </c>
      <c r="S66" s="18" t="n">
        <v>61.13</v>
      </c>
      <c r="T66" s="18" t="n">
        <v>26.05</v>
      </c>
      <c r="U66" s="34" t="n">
        <v>183.69</v>
      </c>
      <c r="V66" s="18" t="n">
        <v>42.88</v>
      </c>
      <c r="W66" s="18" t="n">
        <v>10.74</v>
      </c>
      <c r="X66" s="18" t="n">
        <v>-10.31</v>
      </c>
      <c r="Y66" s="18" t="n">
        <v>-11.47</v>
      </c>
      <c r="Z66" s="34" t="n">
        <v>31.84</v>
      </c>
      <c r="AA66" s="18" t="n">
        <v>12.17</v>
      </c>
      <c r="AB66" s="19" t="n">
        <v>8.44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-12.46</v>
      </c>
      <c r="F67" s="9" t="n"/>
      <c r="G67" s="18" t="n">
        <v>-13.28</v>
      </c>
      <c r="H67" s="18" t="n">
        <v>-17.31</v>
      </c>
      <c r="I67" s="18" t="n">
        <v>-19.85</v>
      </c>
      <c r="J67" s="18" t="n">
        <v>-22.95</v>
      </c>
      <c r="K67" s="34" t="n">
        <v>-73.39</v>
      </c>
      <c r="L67" s="18" t="n">
        <v>-16.48</v>
      </c>
      <c r="M67" s="18" t="n">
        <v>0</v>
      </c>
      <c r="P67" s="9" t="n"/>
      <c r="Q67" s="18" t="n">
        <v>-0.04</v>
      </c>
      <c r="U67" s="9" t="n"/>
      <c r="V67" s="18" t="n">
        <v>-30.57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368.47</v>
      </c>
      <c r="F68" s="9" t="n"/>
      <c r="G68" s="18" t="n">
        <v>-239.42</v>
      </c>
      <c r="H68" s="18" t="n">
        <v>3285.88</v>
      </c>
      <c r="I68" s="18" t="n">
        <v>-998.02</v>
      </c>
      <c r="J68" s="18" t="n">
        <v>-2613.12</v>
      </c>
      <c r="K68" s="34" t="n">
        <v>-564.6799999999999</v>
      </c>
      <c r="L68" s="18" t="n">
        <v>650.79</v>
      </c>
      <c r="M68" s="18" t="n">
        <v>-2156.83</v>
      </c>
      <c r="N68" s="18" t="n">
        <v>842.71</v>
      </c>
      <c r="O68" s="18" t="n">
        <v>-1747.77</v>
      </c>
      <c r="P68" s="34" t="n">
        <v>-2411.1</v>
      </c>
      <c r="Q68" s="18" t="n">
        <v>-4470.03</v>
      </c>
      <c r="R68" s="18" t="n">
        <v>-1629.69</v>
      </c>
      <c r="S68" s="18" t="n">
        <v>-894.5700000000001</v>
      </c>
      <c r="T68" s="18" t="n">
        <v>1132.21</v>
      </c>
      <c r="U68" s="34" t="n">
        <v>-5862.08</v>
      </c>
      <c r="V68" s="18" t="n">
        <v>-12366.56</v>
      </c>
      <c r="W68" s="18" t="n">
        <v>-5067.68</v>
      </c>
      <c r="X68" s="18" t="n">
        <v>-721.79</v>
      </c>
      <c r="Y68" s="18" t="n">
        <v>-444.15</v>
      </c>
      <c r="Z68" s="34" t="n">
        <v>-18600.18</v>
      </c>
      <c r="AA68" s="18" t="n">
        <v>-909.24</v>
      </c>
      <c r="AB68" s="19" t="n">
        <v>-1150.86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185.84</v>
      </c>
      <c r="F69" s="9" t="n"/>
      <c r="G69" s="18" t="n">
        <v>30</v>
      </c>
      <c r="H69" s="18" t="n">
        <v>6.82</v>
      </c>
      <c r="I69" s="18" t="n">
        <v>7.17</v>
      </c>
      <c r="J69" s="18" t="n">
        <v>1</v>
      </c>
      <c r="K69" s="34" t="n">
        <v>44.99</v>
      </c>
      <c r="L69" s="18" t="n">
        <v>39.69</v>
      </c>
      <c r="M69" s="18" t="n">
        <v>0</v>
      </c>
      <c r="N69" s="18" t="n">
        <v>0</v>
      </c>
      <c r="O69" s="18" t="n">
        <v>91.38</v>
      </c>
      <c r="P69" s="34" t="n">
        <v>131.07</v>
      </c>
      <c r="Q69" s="18" t="n">
        <v>6.56</v>
      </c>
      <c r="R69" s="18" t="n">
        <v>0.37</v>
      </c>
      <c r="S69" s="18" t="n">
        <v>0</v>
      </c>
      <c r="T69" s="18" t="n">
        <v>6.85</v>
      </c>
      <c r="U69" s="34" t="n">
        <v>13.78</v>
      </c>
      <c r="V69" s="18" t="n">
        <v>285.77</v>
      </c>
      <c r="W69" s="18" t="n">
        <v>1.18</v>
      </c>
      <c r="X69" s="18" t="n">
        <v>4.83</v>
      </c>
      <c r="Y69" s="18" t="n">
        <v>31.27</v>
      </c>
      <c r="Z69" s="34" t="n">
        <v>323.05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108.74</v>
      </c>
      <c r="F70" s="9" t="n"/>
      <c r="G70" s="18" t="n">
        <v>978</v>
      </c>
      <c r="H70" s="18" t="n">
        <v>2114.58</v>
      </c>
      <c r="I70" s="18" t="n">
        <v>1039.2</v>
      </c>
      <c r="J70" s="18" t="n">
        <v>779.95</v>
      </c>
      <c r="K70" s="34" t="n">
        <v>4911.73</v>
      </c>
      <c r="L70" s="18" t="n">
        <v>102.59</v>
      </c>
      <c r="M70" s="18" t="n">
        <v>324.47</v>
      </c>
      <c r="N70" s="18" t="n">
        <v>65.45</v>
      </c>
      <c r="O70" s="18" t="n">
        <v>1036.97</v>
      </c>
      <c r="P70" s="34" t="n">
        <v>1529.48</v>
      </c>
      <c r="Q70" s="18" t="n">
        <v>4860.91</v>
      </c>
      <c r="R70" s="18" t="n">
        <v>1032.39</v>
      </c>
      <c r="S70" s="18" t="n">
        <v>1049.54</v>
      </c>
      <c r="T70" s="18" t="n">
        <v>2530.72</v>
      </c>
      <c r="U70" s="34" t="n">
        <v>9473.559999999999</v>
      </c>
      <c r="V70" s="18" t="n">
        <v>12134.73</v>
      </c>
      <c r="W70" s="18" t="n">
        <v>1234.71</v>
      </c>
      <c r="X70" s="18" t="n">
        <v>479.46</v>
      </c>
      <c r="Y70" s="18" t="n">
        <v>502.88</v>
      </c>
      <c r="Z70" s="34" t="n">
        <v>14351.78</v>
      </c>
      <c r="AA70" s="18" t="n">
        <v>65.03</v>
      </c>
      <c r="AB70" s="19" t="n">
        <v>1164.01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108.74</v>
      </c>
      <c r="F71" s="9" t="n"/>
      <c r="G71" s="18" t="n">
        <v>978.29</v>
      </c>
      <c r="H71" s="18" t="n">
        <v>2114.58</v>
      </c>
      <c r="I71" s="18" t="n">
        <v>1039.2</v>
      </c>
      <c r="J71" s="18" t="n">
        <v>779.95</v>
      </c>
      <c r="K71" s="34" t="n">
        <v>4912.02</v>
      </c>
      <c r="L71" s="18" t="n">
        <v>102.59</v>
      </c>
      <c r="M71" s="18" t="n">
        <v>324.47</v>
      </c>
      <c r="N71" s="18" t="n">
        <v>65.45</v>
      </c>
      <c r="O71" s="18" t="n">
        <v>1036.97</v>
      </c>
      <c r="P71" s="34" t="n">
        <v>1529.48</v>
      </c>
      <c r="Q71" s="18" t="n">
        <v>4860.91</v>
      </c>
      <c r="R71" s="18" t="n">
        <v>1041.39</v>
      </c>
      <c r="S71" s="18" t="n">
        <v>1050.62</v>
      </c>
      <c r="T71" s="18" t="n">
        <v>2530.72</v>
      </c>
      <c r="U71" s="34" t="n">
        <v>9483.639999999999</v>
      </c>
      <c r="V71" s="18" t="n">
        <v>12140.57</v>
      </c>
      <c r="W71" s="18" t="n">
        <v>1234.71</v>
      </c>
      <c r="X71" s="18" t="n">
        <v>537.25</v>
      </c>
      <c r="Y71" s="18" t="n">
        <v>502.88</v>
      </c>
      <c r="Z71" s="34" t="n">
        <v>14415.41</v>
      </c>
      <c r="AA71" s="18" t="n">
        <v>65.03</v>
      </c>
      <c r="AB71" s="19" t="n">
        <v>1164.01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E72" s="18" t="n">
        <v>0</v>
      </c>
      <c r="F72" s="9" t="n"/>
      <c r="G72" s="18" t="n">
        <v>0.29</v>
      </c>
      <c r="H72" s="18" t="n">
        <v>0</v>
      </c>
      <c r="I72" s="18" t="n">
        <v>0</v>
      </c>
      <c r="J72" s="18" t="n">
        <v>0</v>
      </c>
      <c r="K72" s="34" t="n">
        <v>0.29</v>
      </c>
      <c r="L72" s="18" t="n">
        <v>0</v>
      </c>
      <c r="M72" s="18" t="n">
        <v>0</v>
      </c>
      <c r="P72" s="9" t="n"/>
      <c r="S72" s="18" t="n">
        <v>1.08</v>
      </c>
      <c r="T72" s="18" t="n">
        <v>0</v>
      </c>
      <c r="U72" s="9" t="n"/>
      <c r="V72" s="18" t="n">
        <v>5.84</v>
      </c>
      <c r="W72" s="18" t="n">
        <v>0</v>
      </c>
      <c r="X72" s="18" t="n">
        <v>57.79</v>
      </c>
      <c r="Y72" s="18" t="n">
        <v>0</v>
      </c>
      <c r="Z72" s="34" t="n">
        <v>63.63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-902.02</v>
      </c>
      <c r="F73" s="9" t="n"/>
      <c r="G73" s="18" t="n">
        <v>-317.43</v>
      </c>
      <c r="H73" s="18" t="n">
        <v>1491.95</v>
      </c>
      <c r="I73" s="18" t="n">
        <v>4.1</v>
      </c>
      <c r="J73" s="18" t="n">
        <v>60.15</v>
      </c>
      <c r="K73" s="34" t="n">
        <v>1238.77</v>
      </c>
      <c r="L73" s="18" t="n">
        <v>-2982.25</v>
      </c>
      <c r="M73" s="18" t="n">
        <v>-2.83</v>
      </c>
      <c r="N73" s="18" t="n">
        <v>-4.25</v>
      </c>
      <c r="O73" s="18" t="n">
        <v>104.45</v>
      </c>
      <c r="P73" s="34" t="n">
        <v>-2884.88</v>
      </c>
      <c r="Q73" s="18" t="n">
        <v>-6.25</v>
      </c>
      <c r="R73" s="18" t="n">
        <v>-8.25</v>
      </c>
      <c r="S73" s="18" t="n">
        <v>-7.43</v>
      </c>
      <c r="T73" s="18" t="n">
        <v>131.74</v>
      </c>
      <c r="U73" s="34" t="n">
        <v>109.81</v>
      </c>
      <c r="V73" s="18" t="n">
        <v>11932.92</v>
      </c>
      <c r="W73" s="18" t="n">
        <v>2388.94</v>
      </c>
      <c r="X73" s="18" t="n">
        <v>-93.43000000000001</v>
      </c>
      <c r="Y73" s="18" t="n">
        <v>1230.45</v>
      </c>
      <c r="Z73" s="34" t="n">
        <v>15458.88</v>
      </c>
      <c r="AA73" s="18" t="n">
        <v>-828.5700000000001</v>
      </c>
      <c r="AB73" s="19" t="n">
        <v>134.83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5780</v>
      </c>
      <c r="F74" s="9" t="n"/>
      <c r="G74" s="18" t="n">
        <v>1690</v>
      </c>
      <c r="H74" s="18" t="n">
        <v>60</v>
      </c>
      <c r="I74" s="18" t="n">
        <v>0</v>
      </c>
      <c r="J74" s="18" t="n">
        <v>0</v>
      </c>
      <c r="K74" s="34" t="n">
        <v>1750</v>
      </c>
      <c r="L74" s="18" t="n">
        <v>0</v>
      </c>
      <c r="M74" s="18" t="n">
        <v>0</v>
      </c>
      <c r="P74" s="9" t="n"/>
      <c r="Q74" s="18" t="n">
        <v>196</v>
      </c>
      <c r="R74" s="18" t="n">
        <v>0</v>
      </c>
      <c r="S74" s="18" t="n">
        <v>0</v>
      </c>
      <c r="T74" s="18" t="n">
        <v>0</v>
      </c>
      <c r="U74" s="34" t="n">
        <v>196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L75" s="18" t="n">
        <v>0</v>
      </c>
      <c r="M75" s="18" t="n">
        <v>0</v>
      </c>
      <c r="P75" s="9" t="n"/>
      <c r="U75" s="9" t="n"/>
      <c r="V75" s="18" t="n">
        <v>12000</v>
      </c>
      <c r="W75" s="18" t="n">
        <v>2500</v>
      </c>
      <c r="X75" s="18" t="n">
        <v>0</v>
      </c>
      <c r="Y75" s="18" t="n">
        <v>360</v>
      </c>
      <c r="Z75" s="34" t="n">
        <v>14860</v>
      </c>
      <c r="AA75" s="18" t="n">
        <v>140</v>
      </c>
      <c r="AB75" s="19" t="n">
        <v>240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6686</v>
      </c>
      <c r="F76" s="9" t="n"/>
      <c r="G76" s="18" t="n">
        <v>2010</v>
      </c>
      <c r="H76" s="18" t="n">
        <v>60</v>
      </c>
      <c r="I76" s="18" t="n">
        <v>0</v>
      </c>
      <c r="J76" s="18" t="n">
        <v>0</v>
      </c>
      <c r="K76" s="34" t="n">
        <v>2070</v>
      </c>
      <c r="L76" s="18" t="n">
        <v>0</v>
      </c>
      <c r="P76" s="9" t="n"/>
      <c r="Q76" s="18" t="n">
        <v>196</v>
      </c>
      <c r="R76" s="18" t="n">
        <v>0</v>
      </c>
      <c r="S76" s="18" t="n">
        <v>0</v>
      </c>
      <c r="T76" s="18" t="n">
        <v>0</v>
      </c>
      <c r="U76" s="34" t="n">
        <v>196</v>
      </c>
      <c r="Z76" s="9" t="n"/>
      <c r="AA76" s="18" t="n">
        <v>860.64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리스부채의상환</t>
        </is>
      </c>
      <c r="E77" s="18" t="n">
        <v>0</v>
      </c>
      <c r="F77" s="9" t="n"/>
      <c r="I77" s="18" t="n">
        <v>2.48</v>
      </c>
      <c r="J77" s="18" t="n">
        <v>10.93</v>
      </c>
      <c r="K77" s="9" t="n"/>
      <c r="L77" s="18" t="n">
        <v>8.69</v>
      </c>
      <c r="M77" s="18" t="n">
        <v>8.33</v>
      </c>
      <c r="N77" s="18" t="n">
        <v>8.77</v>
      </c>
      <c r="O77" s="18" t="n">
        <v>8.77</v>
      </c>
      <c r="P77" s="34" t="n">
        <v>34.56</v>
      </c>
      <c r="Q77" s="18" t="n">
        <v>8.77</v>
      </c>
      <c r="R77" s="18" t="n">
        <v>10.09</v>
      </c>
      <c r="S77" s="18" t="n">
        <v>9.25</v>
      </c>
      <c r="T77" s="18" t="n">
        <v>8.91</v>
      </c>
      <c r="U77" s="34" t="n">
        <v>37.02</v>
      </c>
      <c r="V77" s="18" t="n">
        <v>78.91</v>
      </c>
      <c r="W77" s="18" t="n">
        <v>99.64</v>
      </c>
      <c r="X77" s="18" t="n">
        <v>106.43</v>
      </c>
      <c r="Y77" s="18" t="n">
        <v>107.17</v>
      </c>
      <c r="Z77" s="34" t="n">
        <v>392.15</v>
      </c>
      <c r="AA77" s="18" t="n">
        <v>107.92</v>
      </c>
      <c r="AB77" s="19" t="n">
        <v>105.18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357.51</v>
      </c>
      <c r="F78" s="9" t="n"/>
      <c r="G78" s="18" t="n">
        <v>2377.62</v>
      </c>
      <c r="H78" s="18" t="n">
        <v>3133.75</v>
      </c>
      <c r="I78" s="18" t="n">
        <v>-810.45</v>
      </c>
      <c r="J78" s="18" t="n">
        <v>-392.54</v>
      </c>
      <c r="K78" s="34" t="n">
        <v>4308.38</v>
      </c>
      <c r="L78" s="18" t="n">
        <v>-814.9400000000001</v>
      </c>
      <c r="M78" s="18" t="n">
        <v>-2098.81</v>
      </c>
      <c r="N78" s="18" t="n">
        <v>2932.29</v>
      </c>
      <c r="O78" s="18" t="n">
        <v>-1101.54</v>
      </c>
      <c r="P78" s="34" t="n">
        <v>-1083</v>
      </c>
      <c r="Q78" s="18" t="n">
        <v>-660.61</v>
      </c>
      <c r="R78" s="18" t="n">
        <v>359.42</v>
      </c>
      <c r="S78" s="18" t="n">
        <v>-3195.99</v>
      </c>
      <c r="T78" s="18" t="n">
        <v>2206.59</v>
      </c>
      <c r="U78" s="34" t="n">
        <v>-1290.59</v>
      </c>
      <c r="V78" s="18" t="n">
        <v>-820.25</v>
      </c>
      <c r="W78" s="18" t="n">
        <v>-762.21</v>
      </c>
      <c r="X78" s="18" t="n">
        <v>46.58</v>
      </c>
      <c r="Y78" s="18" t="n">
        <v>1208.32</v>
      </c>
      <c r="Z78" s="34" t="n">
        <v>-327.56</v>
      </c>
      <c r="AA78" s="18" t="n">
        <v>1699.32</v>
      </c>
      <c r="AB78" s="19" t="n">
        <v>-999.6799999999999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357.52</v>
      </c>
      <c r="F79" s="9" t="n"/>
      <c r="G79" s="18" t="n">
        <v>3152.38</v>
      </c>
      <c r="H79" s="18" t="n">
        <v>3133.75</v>
      </c>
      <c r="I79" s="18" t="n">
        <v>-810.4400000000001</v>
      </c>
      <c r="J79" s="18" t="n">
        <v>-392.54</v>
      </c>
      <c r="K79" s="34" t="n">
        <v>5083.15</v>
      </c>
      <c r="L79" s="18" t="n">
        <v>4268.21</v>
      </c>
      <c r="M79" s="18" t="n">
        <v>-2098.82</v>
      </c>
      <c r="N79" s="18" t="n">
        <v>2932.29</v>
      </c>
      <c r="O79" s="18" t="n">
        <v>-1101.53</v>
      </c>
      <c r="P79" s="34" t="n">
        <v>4000.15</v>
      </c>
      <c r="Q79" s="18" t="n">
        <v>3339.54</v>
      </c>
      <c r="R79" s="18" t="n">
        <v>359.41</v>
      </c>
      <c r="S79" s="18" t="n">
        <v>-3195.99</v>
      </c>
      <c r="T79" s="18" t="n">
        <v>2206.6</v>
      </c>
      <c r="U79" s="34" t="n">
        <v>2709.56</v>
      </c>
      <c r="V79" s="18" t="n">
        <v>1889.31</v>
      </c>
      <c r="W79" s="18" t="n">
        <v>-762.21</v>
      </c>
      <c r="X79" s="18" t="n">
        <v>46.58</v>
      </c>
      <c r="Y79" s="18" t="n">
        <v>1208.32</v>
      </c>
      <c r="Z79" s="34" t="n">
        <v>2382</v>
      </c>
      <c r="AA79" s="18" t="n">
        <v>4081.32</v>
      </c>
      <c r="AB79" s="19" t="n">
        <v>-999.6799999999999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F80" s="9" t="n"/>
      <c r="K80" s="9" t="n"/>
      <c r="L80" s="18" t="n">
        <v>-5.75</v>
      </c>
      <c r="M80" s="18" t="n">
        <v>11.59</v>
      </c>
      <c r="N80" s="18" t="n">
        <v>-8.25</v>
      </c>
      <c r="P80" s="9" t="n"/>
      <c r="U80" s="9" t="n"/>
      <c r="V80" s="18" t="n">
        <v>-1.44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F81" s="9" t="n"/>
      <c r="K81" s="9" t="n"/>
      <c r="L81" s="18" t="n">
        <v>3000</v>
      </c>
      <c r="M81" s="18" t="n">
        <v>0</v>
      </c>
      <c r="N81" s="18" t="n">
        <v>0</v>
      </c>
      <c r="O81" s="18" t="n">
        <v>0</v>
      </c>
      <c r="P81" s="34" t="n">
        <v>3000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0.1569</v>
      </c>
      <c r="F10" s="34" t="n"/>
      <c r="G10" s="18" t="n">
        <v>0.0078</v>
      </c>
      <c r="H10" s="18" t="n">
        <v>0.0381</v>
      </c>
      <c r="I10" s="18" t="n">
        <v>0.106</v>
      </c>
      <c r="J10" s="18" t="n">
        <v>0.1113</v>
      </c>
      <c r="K10" s="34">
        <f>SUM(G10:J10)</f>
        <v/>
      </c>
      <c r="L10" s="18" t="n">
        <v>0.1014</v>
      </c>
      <c r="M10" s="18" t="n">
        <v>0.0992</v>
      </c>
      <c r="N10" s="18" t="n">
        <v>0.0609</v>
      </c>
      <c r="O10" s="18" t="n">
        <v>0.0332</v>
      </c>
      <c r="P10" s="34">
        <f>SUM(L10:O10)</f>
        <v/>
      </c>
      <c r="Q10" s="18" t="n">
        <v>0.0989</v>
      </c>
      <c r="R10" s="18" t="n">
        <v>0.06560000000000001</v>
      </c>
      <c r="S10" s="18" t="n">
        <v>-0.0486</v>
      </c>
      <c r="T10" s="18" t="n">
        <v>0.139</v>
      </c>
      <c r="U10" s="34">
        <f>SUM(Q10:T10)</f>
        <v/>
      </c>
      <c r="V10" s="18" t="n">
        <v>-0.0061</v>
      </c>
      <c r="W10" s="18" t="n">
        <v>0.059</v>
      </c>
      <c r="X10" s="18" t="n">
        <v>0.0318</v>
      </c>
      <c r="Y10" s="18" t="n">
        <v>-0.0081</v>
      </c>
      <c r="Z10" s="34">
        <f>SUM(V10:Y10)</f>
        <v/>
      </c>
      <c r="AA10" s="18" t="n">
        <v>0.0269</v>
      </c>
      <c r="AB10" s="19" t="n">
        <v>0.0324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 t="n"/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 t="n"/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532.52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145.16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387.36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387.36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33.2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 t="n"/>
      <c r="S22" s="18" t="n"/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 t="n"/>
      <c r="X22" s="18" t="n"/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 t="n">
        <v>0</v>
      </c>
      <c r="AD22" s="20" t="n">
        <v>0</v>
      </c>
      <c r="AE22" s="35">
        <f>AD22</f>
        <v/>
      </c>
      <c r="AF22" s="20" t="n">
        <v>0</v>
      </c>
      <c r="AG22" s="20" t="n">
        <v>0</v>
      </c>
      <c r="AH22" s="20" t="n">
        <v>0</v>
      </c>
      <c r="AI22" s="20" t="n">
        <v>0</v>
      </c>
      <c r="AJ22" s="35">
        <f>AI22</f>
        <v/>
      </c>
      <c r="AK22" s="20" t="n">
        <v>0</v>
      </c>
      <c r="AL22" s="20" t="n">
        <v>0</v>
      </c>
      <c r="AM22" s="20" t="n">
        <v>0</v>
      </c>
      <c r="AN22" s="20" t="n">
        <v>0</v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25.45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 t="n"/>
      <c r="S23" s="18" t="n"/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 t="n"/>
      <c r="X23" s="18" t="n"/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7.76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7.75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8.960000000000001</v>
      </c>
      <c r="F27" s="34" t="n"/>
      <c r="G27" s="18" t="n">
        <v>29.28</v>
      </c>
      <c r="H27" s="18" t="n">
        <v>-16.63</v>
      </c>
      <c r="I27" s="18" t="n">
        <v>1.95</v>
      </c>
      <c r="J27" s="18" t="n">
        <v>22.31</v>
      </c>
      <c r="K27" s="34">
        <f>SUM(G27:J27)</f>
        <v/>
      </c>
      <c r="L27" s="18" t="n">
        <v>15.17</v>
      </c>
      <c r="M27" s="18" t="n">
        <v>0.53</v>
      </c>
      <c r="N27" s="18" t="n">
        <v>20.97</v>
      </c>
      <c r="O27" s="18" t="n">
        <v>5.44</v>
      </c>
      <c r="P27" s="34">
        <f>SUM(L27:O27)</f>
        <v/>
      </c>
      <c r="Q27" s="18" t="n">
        <v>37.99</v>
      </c>
      <c r="R27" s="18" t="n">
        <v>20.03</v>
      </c>
      <c r="S27" s="18" t="n">
        <v>-22.83</v>
      </c>
      <c r="T27" s="18" t="n">
        <v>9.390000000000001</v>
      </c>
      <c r="U27" s="34">
        <f>SUM(Q27:T27)</f>
        <v/>
      </c>
      <c r="V27" s="18" t="n">
        <v>-4.1</v>
      </c>
      <c r="W27" s="18" t="n">
        <v>19.4</v>
      </c>
      <c r="X27" s="18" t="n">
        <v>8.619999999999999</v>
      </c>
      <c r="Y27" s="18" t="n">
        <v>4.12</v>
      </c>
      <c r="Z27" s="34">
        <f>SUM(V27:Y27)</f>
        <v/>
      </c>
      <c r="AA27" s="18" t="n">
        <v>34.02</v>
      </c>
      <c r="AB27" s="19" t="n">
        <v>-0.07000000000000001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7.2</v>
      </c>
      <c r="F28" s="27">
        <f>E28</f>
        <v/>
      </c>
      <c r="G28" s="26" t="n">
        <v>7.2</v>
      </c>
      <c r="H28" s="26" t="n">
        <v>7.2</v>
      </c>
      <c r="I28" s="26" t="n">
        <v>7.2</v>
      </c>
      <c r="J28" s="26" t="n">
        <v>7.2</v>
      </c>
      <c r="K28" s="27">
        <f>J28</f>
        <v/>
      </c>
      <c r="L28" s="26" t="n">
        <v>7.2</v>
      </c>
      <c r="M28" s="26" t="n">
        <v>7.2</v>
      </c>
      <c r="N28" s="26" t="n">
        <v>7.2</v>
      </c>
      <c r="O28" s="26" t="n">
        <v>7.2</v>
      </c>
      <c r="P28" s="27">
        <f>O28</f>
        <v/>
      </c>
      <c r="Q28" s="26" t="n">
        <v>7.2</v>
      </c>
      <c r="R28" s="26" t="n">
        <v>7.2</v>
      </c>
      <c r="S28" s="26" t="n">
        <v>7.2</v>
      </c>
      <c r="T28" s="26" t="n">
        <v>7.2</v>
      </c>
      <c r="U28" s="27">
        <f>T28</f>
        <v/>
      </c>
      <c r="V28" s="26" t="n">
        <v>7.2</v>
      </c>
      <c r="W28" s="26" t="n">
        <v>7.2</v>
      </c>
      <c r="X28" s="26" t="n">
        <v>7.2</v>
      </c>
      <c r="Y28" s="26" t="n">
        <v>7.2</v>
      </c>
      <c r="Z28" s="27">
        <f>Y28</f>
        <v/>
      </c>
      <c r="AA28" s="26" t="n">
        <v>7.2</v>
      </c>
      <c r="AB28" s="28" t="n">
        <v>7.2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13.19</v>
      </c>
      <c r="J32" s="18" t="n">
        <v>13.32</v>
      </c>
      <c r="K32" s="34">
        <f>SUM(G32:J32)</f>
        <v/>
      </c>
      <c r="L32" s="18" t="n">
        <v>8.73</v>
      </c>
      <c r="M32" s="18" t="n">
        <v>7</v>
      </c>
      <c r="N32" s="18" t="n">
        <v>9.02</v>
      </c>
      <c r="O32" s="18" t="n">
        <v>8.66</v>
      </c>
      <c r="P32" s="34">
        <f>SUM(L32:O32)</f>
        <v/>
      </c>
      <c r="Q32" s="18" t="n">
        <v>7.97</v>
      </c>
      <c r="R32" s="18" t="n">
        <v>10.24</v>
      </c>
      <c r="S32" s="18" t="n">
        <v>15.25</v>
      </c>
      <c r="T32" s="18" t="n">
        <v>4.99</v>
      </c>
      <c r="U32" s="34">
        <f>SUM(Q32:T32)</f>
        <v/>
      </c>
      <c r="V32" s="18" t="n">
        <v>4.13</v>
      </c>
      <c r="W32" s="18" t="n">
        <v>4.4</v>
      </c>
      <c r="X32" s="18" t="n">
        <v>4.02</v>
      </c>
      <c r="Y32" s="18" t="n">
        <v>8.619999999999999</v>
      </c>
      <c r="Z32" s="34">
        <f>SUM(V32:Y32)</f>
        <v/>
      </c>
      <c r="AA32" s="18" t="n">
        <v>13.72</v>
      </c>
      <c r="AB32" s="19" t="n">
        <v>15.4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0.8</v>
      </c>
      <c r="F33" s="34" t="n">
        <v>0.8</v>
      </c>
      <c r="G33" s="18" t="n">
        <v>0.8</v>
      </c>
      <c r="H33" s="18" t="n">
        <v>0.76</v>
      </c>
      <c r="I33" s="18" t="n">
        <v>0.74</v>
      </c>
      <c r="J33" s="18" t="n">
        <v>0.73</v>
      </c>
      <c r="K33" s="34">
        <f>SUM(G33:J33)</f>
        <v/>
      </c>
      <c r="L33" s="18" t="n">
        <v>0.7</v>
      </c>
      <c r="M33" s="18" t="n">
        <v>0.6899999999999999</v>
      </c>
      <c r="N33" s="18" t="n">
        <v>0.83</v>
      </c>
      <c r="O33" s="18" t="n">
        <v>0.66</v>
      </c>
      <c r="P33" s="34">
        <f>SUM(L33:O33)</f>
        <v/>
      </c>
      <c r="Q33" s="18" t="n">
        <v>0.59</v>
      </c>
      <c r="R33" s="18" t="n">
        <v>0.66</v>
      </c>
      <c r="S33" s="18" t="n">
        <v>0.62</v>
      </c>
      <c r="T33" s="18" t="n">
        <v>0.48</v>
      </c>
      <c r="U33" s="34">
        <f>SUM(Q33:T33)</f>
        <v/>
      </c>
      <c r="V33" s="18" t="n">
        <v>0.44</v>
      </c>
      <c r="W33" s="18" t="n">
        <v>0.48</v>
      </c>
      <c r="X33" s="18" t="n">
        <v>0.53</v>
      </c>
      <c r="Y33" s="18" t="n">
        <v>0.58</v>
      </c>
      <c r="Z33" s="34">
        <f>SUM(V33:Y33)</f>
        <v/>
      </c>
      <c r="AA33" s="18" t="n">
        <v>0.53</v>
      </c>
      <c r="AB33" s="19" t="n">
        <v>0.45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93.05</v>
      </c>
      <c r="F34" s="34" t="n"/>
      <c r="G34" s="18" t="n">
        <v>73.59</v>
      </c>
      <c r="H34" s="18" t="n">
        <v>95.66</v>
      </c>
      <c r="I34" s="18" t="n">
        <v>88.97</v>
      </c>
      <c r="J34" s="18" t="n">
        <v>101.94</v>
      </c>
      <c r="K34" s="34">
        <f>SUM(G34:J34)</f>
        <v/>
      </c>
      <c r="L34" s="18" t="n">
        <v>109.68</v>
      </c>
      <c r="M34" s="18" t="n">
        <v>115.38</v>
      </c>
      <c r="N34" s="18" t="n">
        <v>99.01000000000001</v>
      </c>
      <c r="O34" s="18" t="n">
        <v>112.26</v>
      </c>
      <c r="P34" s="34">
        <f>SUM(L34:O34)</f>
        <v/>
      </c>
      <c r="Q34" s="18" t="n">
        <v>106.89</v>
      </c>
      <c r="R34" s="18" t="n">
        <v>115.24</v>
      </c>
      <c r="S34" s="18" t="n">
        <v>97.09999999999999</v>
      </c>
      <c r="T34" s="18" t="n">
        <v>152.08</v>
      </c>
      <c r="U34" s="34">
        <f>SUM(Q34:T34)</f>
        <v/>
      </c>
      <c r="V34" s="18" t="n">
        <v>125.39</v>
      </c>
      <c r="W34" s="18" t="n">
        <v>120.34</v>
      </c>
      <c r="X34" s="18" t="n">
        <v>116.42</v>
      </c>
      <c r="Y34" s="18" t="n">
        <v>125.9</v>
      </c>
      <c r="Z34" s="34">
        <f>SUM(V34:Y34)</f>
        <v/>
      </c>
      <c r="AA34" s="18" t="n">
        <v>114.94</v>
      </c>
      <c r="AB34" s="19" t="n">
        <v>127.96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14.6</v>
      </c>
      <c r="F35" s="34" t="n"/>
      <c r="G35" s="18" t="n">
        <v>0.57</v>
      </c>
      <c r="H35" s="18" t="n">
        <v>3.64</v>
      </c>
      <c r="I35" s="18" t="n">
        <v>9.43</v>
      </c>
      <c r="J35" s="18" t="n">
        <v>11.35</v>
      </c>
      <c r="K35" s="34">
        <f>SUM(G35:J35)</f>
        <v/>
      </c>
      <c r="L35" s="18" t="n">
        <v>11.12</v>
      </c>
      <c r="M35" s="18" t="n">
        <v>11.44</v>
      </c>
      <c r="N35" s="18" t="n">
        <v>6.03</v>
      </c>
      <c r="O35" s="18" t="n">
        <v>3.73</v>
      </c>
      <c r="P35" s="34">
        <f>SUM(L35:O35)</f>
        <v/>
      </c>
      <c r="Q35" s="18" t="n">
        <v>10.57</v>
      </c>
      <c r="R35" s="18" t="n">
        <v>7.56</v>
      </c>
      <c r="S35" s="18" t="n">
        <v>-4.72</v>
      </c>
      <c r="T35" s="18" t="n">
        <v>21.14</v>
      </c>
      <c r="U35" s="34">
        <f>SUM(Q35:T35)</f>
        <v/>
      </c>
      <c r="V35" s="18" t="n">
        <v>-0.76</v>
      </c>
      <c r="W35" s="18" t="n">
        <v>7.1</v>
      </c>
      <c r="X35" s="18" t="n">
        <v>3.7</v>
      </c>
      <c r="Y35" s="18" t="n">
        <v>-1.02</v>
      </c>
      <c r="Z35" s="34">
        <f>SUM(V35:Y35)</f>
        <v/>
      </c>
      <c r="AA35" s="18" t="n">
        <v>3.09</v>
      </c>
      <c r="AB35" s="19" t="n">
        <v>4.15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304.1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6.46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0.0401</v>
      </c>
    </row>
    <row r="34">
      <c r="C34" s="2" t="inlineStr">
        <is>
          <t>fair_pbr</t>
        </is>
      </c>
      <c r="D34" t="n">
        <v>0.45</v>
      </c>
    </row>
    <row r="35">
      <c r="C35" s="2" t="inlineStr">
        <is>
          <t>fair_value_pbr</t>
        </is>
      </c>
      <c r="D35" t="n">
        <v>3400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