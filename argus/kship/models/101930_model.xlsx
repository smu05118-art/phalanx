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253950억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263087억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271982억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283054억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298412억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316627억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336153억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750원 유지</t>
      </text>
    </comment>
    <comment ref="AI41" authorId="0" shapeId="0">
      <text>
        <t>모델값 역산(implied): 모델 v 그대로
직전 결산 DPS 750원 유지</t>
      </text>
    </comment>
    <comment ref="AN41" authorId="0" shapeId="0">
      <text>
        <t>모델값 역산(implied): 모델 v 그대로
직전 결산 DPS 750원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253950억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263087억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271982억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283054억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298412억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316627억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336153억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253억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420억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281억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176억 × 3.67%(주석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253억 × 3.67%(주석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321억 × 3.67%(주석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408억 × 3.67%(주석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157억 × 3.67%(주석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248억 × 3.67%(주석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323억 × 3.67%(주석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420억 × 3.67%(주석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178억 × 3.67%(주석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281억 × 3.67%(주석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[tax]</t>
      </text>
    </comment>
    <comment ref="AD17" authorId="0" shapeId="0">
      <text>
        <t>추정: max(세전, 0) × 세율 21.9%(최근 12분기 유효세율 21.9%(5~27% 안 — 그대로))
[tax]</t>
      </text>
    </comment>
    <comment ref="AF17" authorId="0" shapeId="0">
      <text>
        <t>추정: max(세전, 0) × 세율 21.9%(최근 12분기 유효세율 21.9%(5~27% 안 — 그대로))
[tax]</t>
      </text>
    </comment>
    <comment ref="AG17" authorId="0" shapeId="0">
      <text>
        <t>추정: max(세전, 0) × 세율 21.9%(최근 12분기 유효세율 21.9%(5~27% 안 — 그대로))
[tax]</t>
      </text>
    </comment>
    <comment ref="AH17" authorId="0" shapeId="0">
      <text>
        <t>추정: max(세전, 0) × 세율 21.9%(최근 12분기 유효세율 21.9%(5~27% 안 — 그대로))
[tax]</t>
      </text>
    </comment>
    <comment ref="AI17" authorId="0" shapeId="0">
      <text>
        <t>추정: max(세전, 0) × 세율 21.9%(최근 12분기 유효세율 21.9%(5~27% 안 — 그대로))
[tax]</t>
      </text>
    </comment>
    <comment ref="AK17" authorId="0" shapeId="0">
      <text>
        <t>추정: max(세전, 0) × 세율 21.9%(최근 12분기 유효세율 21.9%(5~27% 안 — 그대로))
[tax]</t>
      </text>
    </comment>
    <comment ref="AL17" authorId="0" shapeId="0">
      <text>
        <t>추정: max(세전, 0) × 세율 21.9%(최근 12분기 유효세율 21.9%(5~27% 안 — 그대로))
[tax]</t>
      </text>
    </comment>
    <comment ref="AM17" authorId="0" shapeId="0">
      <text>
        <t>추정: max(세전, 0) × 세율 21.9%(최근 12분기 유효세율 21.9%(5~27% 안 — 그대로))
[tax]</t>
      </text>
    </comment>
    <comment ref="AN17" authorId="0" shapeId="0">
      <text>
        <t>추정: max(세전, 0) × 세율 21.9%(최근 12분기 유효세율 21.9%(5~27%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750원 유지
[abs]</t>
      </text>
    </comment>
    <comment ref="AI36" authorId="0" shapeId="0">
      <text>
        <t>추정: 직전 결산 DPS 750원 유지
[abs]</t>
      </text>
    </comment>
    <comment ref="AN36" authorId="0" shapeId="0">
      <text>
        <t>추정: 직전 결산 DPS 750원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3.68% / 부채 3.52% — 이자손익 = (전분기 이자발생자산 × 자산이자율 − 전분기 총차입금 × 부채이자율)/4, 최소자승 역산(모델 assumptions [0.0367,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+4/+8/+8/+6(중위 +7억) → 추정 2026Q3 -2억(차 -10억, -135%)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6170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6020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6325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0.676215852</v>
      </c>
      <c r="AG21" s="24" t="n">
        <v>0.458786524</v>
      </c>
      <c r="AH21" s="24" t="n">
        <v>0.337202131</v>
      </c>
      <c r="AI21" s="24" t="n">
        <v>0.244208743</v>
      </c>
      <c r="AJ21" s="25" t="n"/>
      <c r="AK21" s="24" t="n">
        <v>0.180330127</v>
      </c>
      <c r="AL21" s="24" t="n">
        <v>0.175090991</v>
      </c>
      <c r="AM21" s="24" t="n">
        <v>0.203509581</v>
      </c>
      <c r="AN21" s="24" t="n">
        <v>0.23594009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0.150738079</v>
      </c>
      <c r="AG23" s="24" t="n">
        <v>0.150754851</v>
      </c>
      <c r="AH23" s="24" t="n">
        <v>0.150740073</v>
      </c>
      <c r="AI23" s="24" t="n">
        <v>0.150751835</v>
      </c>
      <c r="AJ23" s="25">
        <f>IFERROR(subQ!AJ9/subQ!AJ5,"")</f>
        <v/>
      </c>
      <c r="AK23" s="24" t="n">
        <v>0.150737153</v>
      </c>
      <c r="AL23" s="24" t="n">
        <v>0.150743178</v>
      </c>
      <c r="AM23" s="24" t="n">
        <v>0.150753419</v>
      </c>
      <c r="AN23" s="24" t="n">
        <v>0.150736439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36.67</v>
      </c>
      <c r="AD26" s="30" t="n">
        <v>36.67</v>
      </c>
      <c r="AE26" s="31">
        <f>subQ!AE15</f>
        <v/>
      </c>
      <c r="AF26" s="30" t="n">
        <v>36.67</v>
      </c>
      <c r="AG26" s="30" t="n">
        <v>36.67</v>
      </c>
      <c r="AH26" s="30" t="n">
        <v>36.67</v>
      </c>
      <c r="AI26" s="30" t="n">
        <v>36.67</v>
      </c>
      <c r="AJ26" s="31">
        <f>subQ!AJ15</f>
        <v/>
      </c>
      <c r="AK26" s="30" t="n">
        <v>36.67</v>
      </c>
      <c r="AL26" s="30" t="n">
        <v>36.67</v>
      </c>
      <c r="AM26" s="30" t="n">
        <v>36.67</v>
      </c>
      <c r="AN26" s="30" t="n">
        <v>36.67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$D$51</f>
        <v/>
      </c>
      <c r="AD27" s="26">
        <f>$D$51</f>
        <v/>
      </c>
      <c r="AE27" s="25">
        <f>IFERROR(subQ!AE17/subQ!AE16,"")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IFERROR(subQ!AJ17/subQ!AJ16,"")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$D$53</f>
        <v/>
      </c>
      <c r="AD28" s="26">
        <f>$D$53</f>
        <v/>
      </c>
      <c r="AE28" s="25">
        <f>IFERROR(subQ!AE19/subQ!AE18,"")</f>
        <v/>
      </c>
      <c r="AF28" s="26">
        <f>$D$53</f>
        <v/>
      </c>
      <c r="AG28" s="26">
        <f>$D$53</f>
        <v/>
      </c>
      <c r="AH28" s="26">
        <f>$D$53</f>
        <v/>
      </c>
      <c r="AI28" s="26">
        <f>$D$53</f>
        <v/>
      </c>
      <c r="AJ28" s="25">
        <f>IFERROR(subQ!AJ19/subQ!AJ18,"")</f>
        <v/>
      </c>
      <c r="AK28" s="26">
        <f>$D$53</f>
        <v/>
      </c>
      <c r="AL28" s="26">
        <f>$D$53</f>
        <v/>
      </c>
      <c r="AM28" s="26">
        <f>$D$53</f>
        <v/>
      </c>
      <c r="AN28" s="26">
        <f>$D$53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16.36</v>
      </c>
      <c r="AD30" s="30" t="n">
        <v>16.36</v>
      </c>
      <c r="AE30" s="31">
        <f>subQ!AE21</f>
        <v/>
      </c>
      <c r="AF30" s="30" t="n">
        <v>16.36</v>
      </c>
      <c r="AG30" s="30" t="n">
        <v>16.36</v>
      </c>
      <c r="AH30" s="30" t="n">
        <v>16.36</v>
      </c>
      <c r="AI30" s="30" t="n">
        <v>16.36</v>
      </c>
      <c r="AJ30" s="31">
        <f>subQ!AJ21</f>
        <v/>
      </c>
      <c r="AK30" s="30" t="n">
        <v>16.36</v>
      </c>
      <c r="AL30" s="30" t="n">
        <v>16.36</v>
      </c>
      <c r="AM30" s="30" t="n">
        <v>16.36</v>
      </c>
      <c r="AN30" s="30" t="n">
        <v>16.36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-2.46e-06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-0.000612976</v>
      </c>
      <c r="AD32" s="30" t="n">
        <v>-0.004205879</v>
      </c>
      <c r="AE32" s="31" t="n"/>
      <c r="AF32" s="30" t="n">
        <v>-0.006429876</v>
      </c>
      <c r="AG32" s="30" t="n">
        <v>342.707633887</v>
      </c>
      <c r="AH32" s="30" t="n">
        <v>-0.002364863</v>
      </c>
      <c r="AI32" s="30" t="n">
        <v>0.002290437</v>
      </c>
      <c r="AJ32" s="31" t="n"/>
      <c r="AK32" s="30" t="n">
        <v>-0.007968998999999999</v>
      </c>
      <c r="AL32" s="30" t="n">
        <v>342.712548167</v>
      </c>
      <c r="AM32" s="30" t="n">
        <v>-0.002692962</v>
      </c>
      <c r="AN32" s="30" t="n">
        <v>-0.007913737000000001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-0.000612976</v>
      </c>
      <c r="AD33" s="30" t="n">
        <v>-0.004205879</v>
      </c>
      <c r="AE33" s="31" t="n"/>
      <c r="AF33" s="30" t="n">
        <v>-0.006429876</v>
      </c>
      <c r="AG33" s="30" t="n">
        <v>342.707633887</v>
      </c>
      <c r="AH33" s="30" t="n">
        <v>-0.002364863</v>
      </c>
      <c r="AI33" s="30" t="n">
        <v>0.002290437</v>
      </c>
      <c r="AJ33" s="31" t="n"/>
      <c r="AK33" s="30" t="n">
        <v>-0.007968998999999999</v>
      </c>
      <c r="AL33" s="30" t="n">
        <v>342.712548167</v>
      </c>
      <c r="AM33" s="30" t="n">
        <v>-0.002692962</v>
      </c>
      <c r="AN33" s="30" t="n">
        <v>-0.007913737000000001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-0.265624111</v>
      </c>
      <c r="AD35" s="24" t="n">
        <v>-0.31722551</v>
      </c>
      <c r="AE35" s="25" t="n"/>
      <c r="AF35" s="24" t="n">
        <v>-0.600660293</v>
      </c>
      <c r="AG35" s="24" t="n">
        <v>4.329314502</v>
      </c>
      <c r="AH35" s="24" t="n">
        <v>-0.294195592</v>
      </c>
      <c r="AI35" s="24" t="n">
        <v>-0.344887586</v>
      </c>
      <c r="AJ35" s="25" t="n"/>
      <c r="AK35" s="24" t="n">
        <v>-0.675124065</v>
      </c>
      <c r="AL35" s="24" t="n">
        <v>5.200301205</v>
      </c>
      <c r="AM35" s="24" t="n">
        <v>-0.356015129</v>
      </c>
      <c r="AN35" s="24" t="n">
        <v>-0.457621639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0.436526401</v>
      </c>
      <c r="AD36" s="24" t="n">
        <v>0.266511481</v>
      </c>
      <c r="AE36" s="25" t="n"/>
      <c r="AF36" s="24" t="n">
        <v>0.2720476</v>
      </c>
      <c r="AG36" s="24" t="n">
        <v>-0.61556546</v>
      </c>
      <c r="AH36" s="24" t="n">
        <v>0.579882788</v>
      </c>
      <c r="AI36" s="24" t="n">
        <v>0.303697432</v>
      </c>
      <c r="AJ36" s="25" t="n"/>
      <c r="AK36" s="24" t="n">
        <v>0.298735039</v>
      </c>
      <c r="AL36" s="24" t="n">
        <v>-0.57560964</v>
      </c>
      <c r="AM36" s="24" t="n">
        <v>0.575725268</v>
      </c>
      <c r="AN36" s="24" t="n">
        <v>0.302446494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-0.115455209</v>
      </c>
      <c r="AD38" s="24" t="n">
        <v>-0.695551243</v>
      </c>
      <c r="AE38" s="25" t="n"/>
      <c r="AF38" s="24" t="n">
        <v>1.427700058</v>
      </c>
      <c r="AG38" s="24" t="n">
        <v>0.151410478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750</v>
      </c>
      <c r="AE41" s="31">
        <f>subQ!AE36</f>
        <v/>
      </c>
      <c r="AF41" s="32" t="n"/>
      <c r="AG41" s="32" t="n"/>
      <c r="AH41" s="32" t="n"/>
      <c r="AI41" s="30" t="n">
        <v>750</v>
      </c>
      <c r="AJ41" s="31">
        <f>subQ!AJ36</f>
        <v/>
      </c>
      <c r="AK41" s="32" t="n"/>
      <c r="AL41" s="32" t="n"/>
      <c r="AM41" s="32" t="n"/>
      <c r="AN41" s="30" t="n">
        <v>750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6170</v>
      </c>
      <c r="E44" s="2" t="inlineStr">
        <is>
          <t>원 — 네이버 정규장 종가(aik 확정종가 대조 · aik 6,460원)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0.2194409637603228</v>
      </c>
      <c r="E51" s="2" t="inlineStr">
        <is>
          <t>연결 — 법인세 = MAX(세전,0) × 세율(역산, 재현 오차 ≤ 0.05억 · 모델 assumptions 0.2194) · 최근 12분기 유효세율 21.9%(5~27%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0.08583541555728504</v>
      </c>
      <c r="E52" s="2" t="inlineStr">
        <is>
          <t>연결 — 판관비 = 매출액 × 판관비율(역산, 재현 오차 ≤ 0.05억 · 모델 assumptions 0.0858)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0.03675940546920786</v>
      </c>
      <c r="E54" s="2" t="inlineStr">
        <is>
          <t>연결 — 이자손익 = (전분기 이자발생자산 × 자산이자율 − 전분기 총차입금 × 부채이자율)/4(역산, 재현 오차 ≤ 0.05억 · 모델 assumptions 0.0367)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0.03520052410911566</v>
      </c>
      <c r="E55" s="2" t="inlineStr">
        <is>
          <t>연결 — 같은 수식의 부채 쪽(총차입금 행이 없으면 0)(역산, 재현 오차 ≤ 0.05억 · 모델 assumptions 0.0352)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1.3404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81858.88</v>
      </c>
      <c r="Z17" s="37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18187.38</v>
      </c>
      <c r="Z55" s="37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7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7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7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7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7">
        <f>SUM(G22:J22)</f>
        <v/>
      </c>
      <c r="L22" s="18" t="n">
        <v>29.73</v>
      </c>
      <c r="M22" s="18" t="n">
        <v>34.54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9.180999999999999</v>
      </c>
      <c r="F33" s="28">
        <f>E33</f>
        <v/>
      </c>
      <c r="G33" s="27" t="n">
        <v>9.332000000000001</v>
      </c>
      <c r="H33" s="27" t="n">
        <v>9.332000000000001</v>
      </c>
      <c r="I33" s="27" t="n">
        <v>9.332000000000001</v>
      </c>
      <c r="J33" s="27" t="n">
        <v>9.332000000000001</v>
      </c>
      <c r="K33" s="28">
        <f>J33</f>
        <v/>
      </c>
      <c r="L33" s="27" t="n">
        <v>9.332000000000001</v>
      </c>
      <c r="M33" s="27" t="n">
        <v>9.332000000000001</v>
      </c>
      <c r="N33" s="27" t="n">
        <v>9.151999999999999</v>
      </c>
      <c r="O33" s="27" t="n">
        <v>9.067</v>
      </c>
      <c r="P33" s="28">
        <f>O33</f>
        <v/>
      </c>
      <c r="Q33" s="27" t="n">
        <v>9.067</v>
      </c>
      <c r="R33" s="27" t="n">
        <v>9.616</v>
      </c>
      <c r="S33" s="27" t="n">
        <v>9.616</v>
      </c>
      <c r="T33" s="27" t="n">
        <v>9.323</v>
      </c>
      <c r="U33" s="28">
        <f>T33</f>
        <v/>
      </c>
      <c r="V33" s="27" t="n">
        <v>9.273999999999999</v>
      </c>
      <c r="W33" s="27" t="n">
        <v>9.238</v>
      </c>
      <c r="X33" s="27" t="n">
        <v>9.233000000000001</v>
      </c>
      <c r="Y33" s="27" t="n">
        <v>9.233000000000001</v>
      </c>
      <c r="Z33" s="28">
        <f>Y33</f>
        <v/>
      </c>
      <c r="AA33" s="27" t="n">
        <v>9.176</v>
      </c>
      <c r="AB33" s="29" t="n">
        <v>45.695</v>
      </c>
      <c r="AC33" s="32">
        <f>IFERROR(AB33*(1+변수!AC40),"")</f>
        <v/>
      </c>
      <c r="AD33" s="32">
        <f>IFERROR(AC33*(1+변수!AD40),"")</f>
        <v/>
      </c>
      <c r="AE33" s="31">
        <f>AD33</f>
        <v/>
      </c>
      <c r="AF33" s="32">
        <f>IFERROR(AD33*(1+변수!AF40),"")</f>
        <v/>
      </c>
      <c r="AG33" s="32">
        <f>IFERROR(AF33*(1+변수!AG40),"")</f>
        <v/>
      </c>
      <c r="AH33" s="32">
        <f>IFERROR(AG33*(1+변수!AH40),"")</f>
        <v/>
      </c>
      <c r="AI33" s="32">
        <f>IFERROR(AH33*(1+변수!AI40),"")</f>
        <v/>
      </c>
      <c r="AJ33" s="31">
        <f>AI33</f>
        <v/>
      </c>
      <c r="AK33" s="32">
        <f>IFERROR(AI33*(1+변수!AK40),"")</f>
        <v/>
      </c>
      <c r="AL33" s="32">
        <f>IFERROR(AK33*(1+변수!AL40),"")</f>
        <v/>
      </c>
      <c r="AM33" s="32">
        <f>IFERROR(AL33*(1+변수!AM40),"")</f>
        <v/>
      </c>
      <c r="AN33" s="32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7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7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7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7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7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8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8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2250</v>
      </c>
      <c r="P36" s="37">
        <f>SUM(L36:O36)</f>
        <v/>
      </c>
      <c r="Q36" s="18" t="n"/>
      <c r="R36" s="18" t="n"/>
      <c r="S36" s="18" t="n"/>
      <c r="T36" s="18" t="n">
        <v>700</v>
      </c>
      <c r="U36" s="37">
        <f>SUM(Q36:T36)</f>
        <v/>
      </c>
      <c r="V36" s="18" t="n"/>
      <c r="W36" s="18" t="n"/>
      <c r="X36" s="18" t="n"/>
      <c r="Y36" s="18" t="n">
        <v>750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7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7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7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7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7">
        <f>SUM(V39:Y39)</f>
        <v/>
      </c>
      <c r="AA39" s="18" t="n">
        <v>259.87</v>
      </c>
      <c r="AB39" s="19" t="n">
        <v>318.3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7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7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7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7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7">
        <f>SUM(V40:Y40)</f>
        <v/>
      </c>
      <c r="AA40" s="18" t="n">
        <v>41.62</v>
      </c>
      <c r="AB40" s="19" t="n">
        <v>51.34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IFERROR(E19/E5,"")</f>
        <v/>
      </c>
      <c r="F42" s="22">
        <f>IFERROR(F19/F5,"")</f>
        <v/>
      </c>
      <c r="G42" s="21">
        <f>IFERROR(G19/G5,"")</f>
        <v/>
      </c>
      <c r="H42" s="21">
        <f>IFERROR(H19/H5,"")</f>
        <v/>
      </c>
      <c r="I42" s="21">
        <f>IFERROR(I19/I5,"")</f>
        <v/>
      </c>
      <c r="J42" s="21">
        <f>IFERROR(J19/J5,"")</f>
        <v/>
      </c>
      <c r="K42" s="22">
        <f>IFERROR(K19/K5,"")</f>
        <v/>
      </c>
      <c r="L42" s="21">
        <f>IFERROR(L19/L5,"")</f>
        <v/>
      </c>
      <c r="M42" s="21">
        <f>IFERROR(M19/M5,"")</f>
        <v/>
      </c>
      <c r="N42" s="21">
        <f>IFERROR(N19/N5,"")</f>
        <v/>
      </c>
      <c r="O42" s="21">
        <f>IFERROR(O19/O5,"")</f>
        <v/>
      </c>
      <c r="P42" s="22">
        <f>IFERROR(P19/P5,"")</f>
        <v/>
      </c>
      <c r="Q42" s="21">
        <f>IFERROR(Q19/Q5,"")</f>
        <v/>
      </c>
      <c r="R42" s="21">
        <f>IFERROR(R19/R5,"")</f>
        <v/>
      </c>
      <c r="S42" s="21">
        <f>IFERROR(S19/S5,"")</f>
        <v/>
      </c>
      <c r="T42" s="21">
        <f>IFERROR(T19/T5,"")</f>
        <v/>
      </c>
      <c r="U42" s="22">
        <f>IFERROR(U19/U5,"")</f>
        <v/>
      </c>
      <c r="V42" s="21">
        <f>IFERROR(V19/V5,"")</f>
        <v/>
      </c>
      <c r="W42" s="21">
        <f>IFERROR(W19/W5,"")</f>
        <v/>
      </c>
      <c r="X42" s="21">
        <f>IFERROR(X19/X5,"")</f>
        <v/>
      </c>
      <c r="Y42" s="21">
        <f>IFERROR(Y19/Y5,"")</f>
        <v/>
      </c>
      <c r="Z42" s="22">
        <f>IFERROR(Z19/Z5,"")</f>
        <v/>
      </c>
      <c r="AA42" s="21">
        <f>IFERROR(AA19/AA5,"")</f>
        <v/>
      </c>
      <c r="AB42" s="23">
        <f>IFERROR(AB19/AB5,"")</f>
        <v/>
      </c>
      <c r="AC42" s="33">
        <f>IFERROR(AC19/AC5,"")</f>
        <v/>
      </c>
      <c r="AD42" s="33">
        <f>IFERROR(AD19/AD5,"")</f>
        <v/>
      </c>
      <c r="AE42" s="25">
        <f>IFERROR(AE19/AE5,"")</f>
        <v/>
      </c>
      <c r="AF42" s="33">
        <f>IFERROR(AF19/AF5,"")</f>
        <v/>
      </c>
      <c r="AG42" s="33">
        <f>IFERROR(AG19/AG5,"")</f>
        <v/>
      </c>
      <c r="AH42" s="33">
        <f>IFERROR(AH19/AH5,"")</f>
        <v/>
      </c>
      <c r="AI42" s="33">
        <f>IFERROR(AI19/AI5,"")</f>
        <v/>
      </c>
      <c r="AJ42" s="25">
        <f>IFERROR(AJ19/AJ5,"")</f>
        <v/>
      </c>
      <c r="AK42" s="33">
        <f>IFERROR(AK19/AK5,"")</f>
        <v/>
      </c>
      <c r="AL42" s="33">
        <f>IFERROR(AL19/AL5,"")</f>
        <v/>
      </c>
      <c r="AM42" s="33">
        <f>IFERROR(AM19/AM5,"")</f>
        <v/>
      </c>
      <c r="AN42" s="33">
        <f>IFERROR(AN19/AN5,"")</f>
        <v/>
      </c>
      <c r="AO42" s="25">
        <f>IFERROR(AO19/AO5,"")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IFERROR(I19/E19-1,"")</f>
        <v/>
      </c>
      <c r="J44" s="21">
        <f>IFERROR(J19/F19-1,"")</f>
        <v/>
      </c>
      <c r="K44" s="21">
        <f>IFERROR(K19/G19-1,"")</f>
        <v/>
      </c>
      <c r="L44" s="21">
        <f>IFERROR(L19/H19-1,"")</f>
        <v/>
      </c>
      <c r="M44" s="21">
        <f>IFERROR(M19/I19-1,"")</f>
        <v/>
      </c>
      <c r="N44" s="21">
        <f>IFERROR(N19/J19-1,"")</f>
        <v/>
      </c>
      <c r="O44" s="21">
        <f>IFERROR(O19/K19-1,"")</f>
        <v/>
      </c>
      <c r="P44" s="21">
        <f>IFERROR(P19/L19-1,"")</f>
        <v/>
      </c>
      <c r="Q44" s="21">
        <f>IFERROR(Q19/M19-1,"")</f>
        <v/>
      </c>
      <c r="R44" s="21">
        <f>IFERROR(R19/N19-1,"")</f>
        <v/>
      </c>
      <c r="S44" s="21">
        <f>IFERROR(S19/O19-1,"")</f>
        <v/>
      </c>
      <c r="T44" s="21">
        <f>IFERROR(T19/P19-1,"")</f>
        <v/>
      </c>
      <c r="U44" s="21">
        <f>IFERROR(U19/Q19-1,"")</f>
        <v/>
      </c>
      <c r="V44" s="21">
        <f>IFERROR(V19/R19-1,"")</f>
        <v/>
      </c>
      <c r="W44" s="46">
        <f>IFERROR(W19/S19-1,"")</f>
        <v/>
      </c>
      <c r="X44" s="33">
        <f>IFERROR(X19/T19-1,"")</f>
        <v/>
      </c>
      <c r="Y44" s="33">
        <f>IFERROR(Y19/U19-1,"")</f>
        <v/>
      </c>
      <c r="Z44" s="33">
        <f>IFERROR(Z19/V19-1,"")</f>
        <v/>
      </c>
      <c r="AA44" s="33">
        <f>IFERROR(AA19/W19-1,"")</f>
        <v/>
      </c>
      <c r="AB44" s="33">
        <f>IFERROR(AB19/X19-1,"")</f>
        <v/>
      </c>
      <c r="AC44" s="33">
        <f>IFERROR(AC19/Y19-1,"")</f>
        <v/>
      </c>
      <c r="AD44" s="33">
        <f>IFERROR(AD19/Z19-1,"")</f>
        <v/>
      </c>
      <c r="AE44" s="33">
        <f>IFERROR(AE19/AA19-1,"")</f>
        <v/>
      </c>
      <c r="AF44" s="33">
        <f>IFERROR(AF19/AB19-1,"")</f>
        <v/>
      </c>
      <c r="AG44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IFERROR(F19/E19-1,"")</f>
        <v/>
      </c>
      <c r="G44" s="21">
        <f>IFERROR(G19/F19-1,"")</f>
        <v/>
      </c>
      <c r="H44" s="21">
        <f>IFERROR(H19/G19-1,"")</f>
        <v/>
      </c>
      <c r="I44" s="46">
        <f>IFERROR(I19/H19-1,"")</f>
        <v/>
      </c>
      <c r="J44" s="33">
        <f>IFERROR(J19/I19-1,"")</f>
        <v/>
      </c>
      <c r="K44" s="33">
        <f>IFERROR(K19/J19-1,"")</f>
        <v/>
      </c>
      <c r="L44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634.2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9.73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0.08160000000000001</v>
      </c>
    </row>
    <row r="34">
      <c r="C34" s="2" t="inlineStr">
        <is>
          <t>fair_pbr</t>
        </is>
      </c>
      <c r="D34" t="n">
        <v>0.91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  <c r="D36" t="n">
        <v>10.51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