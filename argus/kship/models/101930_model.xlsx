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BS별도!$C$5:$AO$94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240366억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255224억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264597억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273359억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283476억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297542억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314861억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333890억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3절 스칼라 '판관비율' 참조 — 숫자로 덮어쓰면 이 분기만 바뀐다
매출액 × 판관비율 8.58%(최근 4분기 중위)</t>
      </text>
    </comment>
    <comment ref="AD22" authorId="0" shapeId="0">
      <text>
        <t>3절 스칼라 '판관비율' 참조 — 숫자로 덮어쓰면 이 분기만 바뀐다
매출액 × 판관비율 8.58%(최근 4분기 중위)</t>
      </text>
    </comment>
    <comment ref="AF22" authorId="0" shapeId="0">
      <text>
        <t>3절 스칼라 '판관비율' 참조 — 숫자로 덮어쓰면 이 분기만 바뀐다
매출액 × 판관비율 8.58%(최근 4분기 중위)</t>
      </text>
    </comment>
    <comment ref="AG22" authorId="0" shapeId="0">
      <text>
        <t>3절 스칼라 '판관비율' 참조 — 숫자로 덮어쓰면 이 분기만 바뀐다
매출액 × 판관비율 8.58%(최근 4분기 중위)</t>
      </text>
    </comment>
    <comment ref="AH22" authorId="0" shapeId="0">
      <text>
        <t>3절 스칼라 '판관비율' 참조 — 숫자로 덮어쓰면 이 분기만 바뀐다
매출액 × 판관비율 8.58%(최근 4분기 중위)</t>
      </text>
    </comment>
    <comment ref="AI22" authorId="0" shapeId="0">
      <text>
        <t>3절 스칼라 '판관비율' 참조 — 숫자로 덮어쓰면 이 분기만 바뀐다
매출액 × 판관비율 8.58%(최근 4분기 중위)</t>
      </text>
    </comment>
    <comment ref="AK22" authorId="0" shapeId="0">
      <text>
        <t>3절 스칼라 '판관비율' 참조 — 숫자로 덮어쓰면 이 분기만 바뀐다
매출액 × 판관비율 8.58%(최근 4분기 중위)</t>
      </text>
    </comment>
    <comment ref="AL22" authorId="0" shapeId="0">
      <text>
        <t>3절 스칼라 '판관비율' 참조 — 숫자로 덮어쓰면 이 분기만 바뀐다
매출액 × 판관비율 8.58%(최근 4분기 중위)</t>
      </text>
    </comment>
    <comment ref="AM22" authorId="0" shapeId="0">
      <text>
        <t>3절 스칼라 '판관비율' 참조 — 숫자로 덮어쓰면 이 분기만 바뀐다
매출액 × 판관비율 8.58%(최근 4분기 중위)</t>
      </text>
    </comment>
    <comment ref="AN22" authorId="0" shapeId="0">
      <text>
        <t>3절 스칼라 '판관비율' 참조 — 숫자로 덮어쓰면 이 분기만 바뀐다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최근 4분기(2025Q2~2026Q2) 잔차 중위</t>
      </text>
    </comment>
    <comment ref="AD25" authorId="0" shapeId="0">
      <text>
        <t>모델값 역산(implied): 모델 v 그대로
최근 4분기(2025Q2~2026Q2) 잔차 중위</t>
      </text>
    </comment>
    <comment ref="AF25" authorId="0" shapeId="0">
      <text>
        <t>모델값 역산(implied): 모델 v 그대로
최근 4분기(2025Q2~2026Q2) 잔차 중위</t>
      </text>
    </comment>
    <comment ref="AG25" authorId="0" shapeId="0">
      <text>
        <t>모델값 역산(implied): 모델 v 그대로
최근 4분기(2025Q2~2026Q2) 잔차 중위</t>
      </text>
    </comment>
    <comment ref="AH25" authorId="0" shapeId="0">
      <text>
        <t>모델값 역산(implied): 모델 v 그대로
최근 4분기(2025Q2~2026Q2) 잔차 중위</t>
      </text>
    </comment>
    <comment ref="AI25" authorId="0" shapeId="0">
      <text>
        <t>모델값 역산(implied): 모델 v 그대로
최근 4분기(2025Q2~2026Q2) 잔차 중위</t>
      </text>
    </comment>
    <comment ref="AK25" authorId="0" shapeId="0">
      <text>
        <t>모델값 역산(implied): 모델 v 그대로
최근 4분기(2025Q2~2026Q2) 잔차 중위</t>
      </text>
    </comment>
    <comment ref="AL25" authorId="0" shapeId="0">
      <text>
        <t>모델값 역산(implied): 모델 v 그대로
최근 4분기(2025Q2~2026Q2) 잔차 중위</t>
      </text>
    </comment>
    <comment ref="AM25" authorId="0" shapeId="0">
      <text>
        <t>모델값 역산(implied): 모델 v 그대로
최근 4분기(2025Q2~2026Q2) 잔차 중위</t>
      </text>
    </comment>
    <comment ref="AN25" authorId="0" shapeId="0">
      <text>
        <t>모델값 역산(implied): 모델 v 그대로
최근 4분기(2025Q2~2026Q2) 잔차 중위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D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F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G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H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I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K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L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M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N28" authorId="0" shapeId="0">
      <text>
        <t>3절 스칼라 '세율' 참조 — 숫자로 덮어쓰면 이 분기만 바뀐다
max(세전, 0) × 세율 21.9%(최근 12분기 유효세율 21.9%(5~27%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모델 v 그대로
최근 4분기 감가상각비 중위 유지</t>
      </text>
    </comment>
    <comment ref="AD31" authorId="0" shapeId="0">
      <text>
        <t>모델값 역산(implied): 모델 v 그대로
최근 4분기 감가상각비 중위 유지</t>
      </text>
    </comment>
    <comment ref="AF31" authorId="0" shapeId="0">
      <text>
        <t>모델값 역산(implied): 모델 v 그대로
최근 4분기 감가상각비 중위 유지</t>
      </text>
    </comment>
    <comment ref="AG31" authorId="0" shapeId="0">
      <text>
        <t>모델값 역산(implied): 모델 v 그대로
최근 4분기 감가상각비 중위 유지</t>
      </text>
    </comment>
    <comment ref="AH31" authorId="0" shapeId="0">
      <text>
        <t>모델값 역산(implied): 모델 v 그대로
최근 4분기 감가상각비 중위 유지</t>
      </text>
    </comment>
    <comment ref="AI31" authorId="0" shapeId="0">
      <text>
        <t>모델값 역산(implied): 모델 v 그대로
최근 4분기 감가상각비 중위 유지</t>
      </text>
    </comment>
    <comment ref="AK31" authorId="0" shapeId="0">
      <text>
        <t>모델값 역산(implied): 모델 v 그대로
최근 4분기 감가상각비 중위 유지</t>
      </text>
    </comment>
    <comment ref="AL31" authorId="0" shapeId="0">
      <text>
        <t>모델값 역산(implied): 모델 v 그대로
최근 4분기 감가상각비 중위 유지</t>
      </text>
    </comment>
    <comment ref="AM31" authorId="0" shapeId="0">
      <text>
        <t>모델값 역산(implied): 모델 v 그대로
최근 4분기 감가상각비 중위 유지</t>
      </text>
    </comment>
    <comment ref="AN31" authorId="0" shapeId="0">
      <text>
        <t>모델값 역산(implied): 모델 v 그대로
최근 4분기 감가상각비 중위 유지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D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F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G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H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I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K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L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M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N36" authorId="0" shapeId="0">
      <text>
        <t>모델값 역산(implied): v / 전분기 − 1
전분기 − FCF 근사[순이익 + 감가상각비 16억 − CAPEX 8억(각 최근 4분기 중위) − 배당]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반영(FCF 근사)</t>
      </text>
    </comment>
    <comment ref="AD39" authorId="0" shapeId="0">
      <text>
        <t>모델값 역산(implied): v / 전년동기 − 1
최근 4분기(2025Q3~2026Q2) CAPEX 중위 유지 — 순차입금 롤에 반영(FCF 근사)</t>
      </text>
    </comment>
    <comment ref="AF39" authorId="0" shapeId="0">
      <text>
        <t>모델값 역산(implied): v / 전년동기 − 1
최근 4분기(2025Q3~2026Q2) CAPEX 중위 유지 — 순차입금 롤에 반영(FCF 근사)</t>
      </text>
    </comment>
    <comment ref="AG39" authorId="0" shapeId="0">
      <text>
        <t>모델값 역산(implied): v / 전년동기 − 1
최근 4분기(2025Q3~2026Q2) CAPEX 중위 유지 — 순차입금 롤에 반영(FCF 근사)</t>
      </text>
    </comment>
    <comment ref="AH39" authorId="0" shapeId="0">
      <text>
        <t>모델값 역산(implied): v / 전년동기 − 1
최근 4분기(2025Q3~2026Q2) CAPEX 중위 유지 — 순차입금 롤에 반영(FCF 근사)</t>
      </text>
    </comment>
    <comment ref="AI39" authorId="0" shapeId="0">
      <text>
        <t>모델값 역산(implied): v / 전년동기 − 1
최근 4분기(2025Q3~2026Q2) CAPEX 중위 유지 — 순차입금 롤에 반영(FCF 근사)</t>
      </text>
    </comment>
    <comment ref="AK39" authorId="0" shapeId="0">
      <text>
        <t>모델값 역산(implied): v / 전년동기 − 1
최근 4분기(2025Q3~2026Q2) CAPEX 중위 유지 — 순차입금 롤에 반영(FCF 근사)</t>
      </text>
    </comment>
    <comment ref="AL39" authorId="0" shapeId="0">
      <text>
        <t>모델값 역산(implied): v / 전년동기 − 1
최근 4분기(2025Q3~2026Q2) CAPEX 중위 유지 — 순차입금 롤에 반영(FCF 근사)</t>
      </text>
    </comment>
    <comment ref="AM39" authorId="0" shapeId="0">
      <text>
        <t>모델값 역산(implied): v / 전년동기 − 1
최근 4분기(2025Q3~2026Q2) CAPEX 중위 유지 — 순차입금 롤에 반영(FCF 근사)</t>
      </text>
    </comment>
    <comment ref="AN39" authorId="0" shapeId="0">
      <text>
        <t>모델값 역산(implied): v / 전년동기 − 1
최근 4분기(2025Q3~2026Q2) CAPEX 중위 유지 — 순차입금 롤에 반영(FCF 근사)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150원(fin 750원 ÷ ×5 병합/분할 환산) 유지</t>
      </text>
    </comment>
    <comment ref="AI42" authorId="0" shapeId="0">
      <text>
        <t>모델값 역산(implied): 모델 v 그대로
직전 결산 DPS 150원(fin 750원 ÷ ×5 병합/분할 환산) 유지</t>
      </text>
    </comment>
    <comment ref="AN42" authorId="0" shapeId="0">
      <text>
        <t>모델값 역산(implied): 모델 v 그대로
직전 결산 DPS 150원(fin 750원 ÷ ×5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240366억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255224억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264597억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273359억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283476억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297542억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314861억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333890억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AC10" authorId="0" shapeId="0">
      <text>
        <t>추정: 최근 8분기 OPM 중위 15.1% 유지
[divide]</t>
      </text>
    </comment>
    <comment ref="AD10" authorId="0" shapeId="0">
      <text>
        <t>추정: 최근 8분기 OPM 중위 15.1% 유지
[divide]</t>
      </text>
    </comment>
    <comment ref="AF10" authorId="0" shapeId="0">
      <text>
        <t>추정: 최근 8분기 OPM 중위 15.1% 유지
[divide]</t>
      </text>
    </comment>
    <comment ref="AG10" authorId="0" shapeId="0">
      <text>
        <t>추정: 최근 8분기 OPM 중위 15.1% 유지
[divide]</t>
      </text>
    </comment>
    <comment ref="AH10" authorId="0" shapeId="0">
      <text>
        <t>추정: 최근 8분기 OPM 중위 15.1% 유지
[divide]</t>
      </text>
    </comment>
    <comment ref="AI10" authorId="0" shapeId="0">
      <text>
        <t>추정: 최근 8분기 OPM 중위 15.1% 유지
[divide]</t>
      </text>
    </comment>
    <comment ref="AK10" authorId="0" shapeId="0">
      <text>
        <t>추정: 최근 8분기 OPM 중위 15.1% 유지
[divide]</t>
      </text>
    </comment>
    <comment ref="AL10" authorId="0" shapeId="0">
      <text>
        <t>추정: 최근 8분기 OPM 중위 15.1% 유지
[divide]</t>
      </text>
    </comment>
    <comment ref="AM10" authorId="0" shapeId="0">
      <text>
        <t>추정: 최근 8분기 OPM 중위 15.1% 유지
[divide]</t>
      </text>
    </comment>
    <comment ref="AN10" authorId="0" shapeId="0">
      <text>
        <t>추정: 최근 8분기 OPM 중위 15.1% 유지
[divide]</t>
      </text>
    </comment>
    <comment ref="AC11" authorId="0" shapeId="0">
      <text>
        <t>추정: 이자손익 + 파생상품손익 0 + 기타금융손익 +0.00억(최근 4분기(2025Q2~2026Q2) 잔차 중위) (항등식); 이자손익 = 이자발생자산 824억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D11" authorId="0" shapeId="0">
      <text>
        <t>추정: 이자손익 + 파생상품손익 0 + 기타금융손익 +0.00억(최근 4분기(2025Q2~2026Q2) 잔차 중위) (항등식); 이자손익 = 이자발생자산 905억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F11" authorId="0" shapeId="0">
      <text>
        <t>추정: 이자손익 + 파생상품손익 0 + 기타금융손익 +0.00억(최근 4분기(2025Q2~2026Q2) 잔차 중위) (항등식); 이자손익 = 이자발생자산 976억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G11" authorId="0" shapeId="0">
      <text>
        <t>추정: 이자손익 + 파생상품손익 0 + 기타금융손익 +0.00억(최근 4분기(2025Q2~2026Q2) 잔차 중위) (항등식); 이자손익 = 이자발생자산 1067억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H11" authorId="0" shapeId="0">
      <text>
        <t>추정: 이자손익 + 파생상품손익 0 + 기타금융손익 +0.00억(최근 4분기(2025Q2~2026Q2) 잔차 중위) (항등식); 이자손익 = 이자발생자산 1093억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I11" authorId="0" shapeId="0">
      <text>
        <t>추정: 이자손익 + 파생상품손익 0 + 기타금융손익 +0.00억(최근 4분기(2025Q2~2026Q2) 잔차 중위) (항등식); 이자손익 = 이자발생자산 1190억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K11" authorId="0" shapeId="0">
      <text>
        <t>추정: 이자손익 + 파생상품손익 0 + 기타금융손익 +0.00억(최근 4분기(2025Q2~2026Q2) 잔차 중위) (항등식); 이자손익 = 이자발생자산 1270억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L11" authorId="0" shapeId="0">
      <text>
        <t>추정: 이자손익 + 파생상품손익 0 + 기타금융손익 +0.00억(최근 4분기(2025Q2~2026Q2) 잔차 중위) (항등식); 이자손익 = 이자발생자산 1372억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M11" authorId="0" shapeId="0">
      <text>
        <t>추정: 이자손익 + 파생상품손익 0 + 기타금융손익 +0.00억(최근 4분기(2025Q2~2026Q2) 잔차 중위) (항등식); 이자손익 = 이자발생자산 1409억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N11" authorId="0" shapeId="0">
      <text>
        <t>추정: 이자손익 + 파생상품손익 0 + 기타금융손익 +0.00억(최근 4분기(2025Q2~2026Q2) 잔차 중위) (항등식); 이자손익 = 이자발생자산 1518억 × 2.98%(주석 이자수익 ÷ 평균 이자발생자산(2025Q2~2026Q2)) − 총차입금 466억 × 3.52%(주석 이자비용 ÷ 평균 총차입금(2025Q2~2026Q2)) (연율) ÷ 4; 환율 효과는 환관련손익 행 별도
[identity]</t>
      </text>
    </comment>
    <comment ref="AC12" authorId="0" shapeId="0">
      <text>
        <t>추정: 이자발생자산 824억 × 2.98%(주석 이자수익 ÷ 평균 이자발생자산(2025Q2~2026Q2)) − 총차입금 466억 × 3.52%(주석 이자비용 ÷ 평균 총차입금(2025Q2~2026Q2)) (연율) ÷ 4
[interest]</t>
      </text>
    </comment>
    <comment ref="AD12" authorId="0" shapeId="0">
      <text>
        <t>추정: 이자발생자산 905억 × 2.98%(주석 이자수익 ÷ 평균 이자발생자산(2025Q2~2026Q2)) − 총차입금 466억 × 3.52%(주석 이자비용 ÷ 평균 총차입금(2025Q2~2026Q2)) (연율) ÷ 4
[interest]</t>
      </text>
    </comment>
    <comment ref="AF12" authorId="0" shapeId="0">
      <text>
        <t>추정: 이자발생자산 976억 × 2.98%(주석 이자수익 ÷ 평균 이자발생자산(2025Q2~2026Q2)) − 총차입금 466억 × 3.52%(주석 이자비용 ÷ 평균 총차입금(2025Q2~2026Q2)) (연율) ÷ 4
[interest]</t>
      </text>
    </comment>
    <comment ref="AG12" authorId="0" shapeId="0">
      <text>
        <t>추정: 이자발생자산 1067억 × 2.98%(주석 이자수익 ÷ 평균 이자발생자산(2025Q2~2026Q2)) − 총차입금 466억 × 3.52%(주석 이자비용 ÷ 평균 총차입금(2025Q2~2026Q2)) (연율) ÷ 4
[interest]</t>
      </text>
    </comment>
    <comment ref="AH12" authorId="0" shapeId="0">
      <text>
        <t>추정: 이자발생자산 1093억 × 2.98%(주석 이자수익 ÷ 평균 이자발생자산(2025Q2~2026Q2)) − 총차입금 466억 × 3.52%(주석 이자비용 ÷ 평균 총차입금(2025Q2~2026Q2)) (연율) ÷ 4
[interest]</t>
      </text>
    </comment>
    <comment ref="AI12" authorId="0" shapeId="0">
      <text>
        <t>추정: 이자발생자산 1190억 × 2.98%(주석 이자수익 ÷ 평균 이자발생자산(2025Q2~2026Q2)) − 총차입금 466억 × 3.52%(주석 이자비용 ÷ 평균 총차입금(2025Q2~2026Q2)) (연율) ÷ 4
[interest]</t>
      </text>
    </comment>
    <comment ref="AK12" authorId="0" shapeId="0">
      <text>
        <t>추정: 이자발생자산 1270억 × 2.98%(주석 이자수익 ÷ 평균 이자발생자산(2025Q2~2026Q2)) − 총차입금 466억 × 3.52%(주석 이자비용 ÷ 평균 총차입금(2025Q2~2026Q2)) (연율) ÷ 4
[interest]</t>
      </text>
    </comment>
    <comment ref="AL12" authorId="0" shapeId="0">
      <text>
        <t>추정: 이자발생자산 1372억 × 2.98%(주석 이자수익 ÷ 평균 이자발생자산(2025Q2~2026Q2)) − 총차입금 466억 × 3.52%(주석 이자비용 ÷ 평균 총차입금(2025Q2~2026Q2)) (연율) ÷ 4
[interest]</t>
      </text>
    </comment>
    <comment ref="AM12" authorId="0" shapeId="0">
      <text>
        <t>추정: 이자발생자산 1409억 × 2.98%(주석 이자수익 ÷ 평균 이자발생자산(2025Q2~2026Q2)) − 총차입금 466억 × 3.52%(주석 이자비용 ÷ 평균 총차입금(2025Q2~2026Q2)) (연율) ÷ 4
[interest]</t>
      </text>
    </comment>
    <comment ref="AN12" authorId="0" shapeId="0">
      <text>
        <t>추정: 이자발생자산 1518억 × 2.98%(주석 이자수익 ÷ 평균 이자발생자산(2025Q2~2026Q2)) − 총차입금 466억 × 3.52%(주석 이자비용 ÷ 평균 총차입금(2025Q2~2026Q2)) (연율) ÷ 4
[interest]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R13" authorId="0" shapeId="0">
      <text>
        <t>BS 계정 합·차: +파생상품이익 -파생상품손실</t>
      </text>
    </comment>
    <comment ref="S13" authorId="0" shapeId="0">
      <text>
        <t>BS 계정 합·차: +파생상품이익 -파생상품손실</t>
      </text>
    </comment>
    <comment ref="T13" authorId="0" shapeId="0">
      <text>
        <t>BS 계정 합·차: +파생상품이익 -파생상품손실</t>
      </text>
    </comment>
    <comment ref="V13" authorId="0" shapeId="0">
      <text>
        <t>BS 계정 합·차: +파생상품이익 -파생상품손실</t>
      </text>
    </comment>
    <comment ref="W13" authorId="0" shapeId="0">
      <text>
        <t>BS 계정 합·차: +파생상품이익 -파생상품손실</t>
      </text>
    </comment>
    <comment ref="X13" authorId="0" shapeId="0">
      <text>
        <t>BS 계정 합·차: +파생상품이익 -파생상품손실</t>
      </text>
    </comment>
    <comment ref="Y13" authorId="0" shapeId="0">
      <text>
        <t>BS 계정 합·차: +파생상품이익 -파생상품손실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I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J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M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N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O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R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S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T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V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W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X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Y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B14" authorId="0" shapeId="0">
      <text>
        <t>실측(계정 매핑 없음(파생·부문·시세 행) — 모델값 직접) — fin.cons.is.금융손익 − 이자손익 − 파생상품손익(잔차) — 외환손익은 기타영업외 주석 → 금융 잔차에서 제외</t>
      </text>
    </comment>
    <comment ref="AC14" authorId="0" shapeId="0">
      <text>
        <t>추정: 최근 4분기(2025Q2~2026Q2) 잔차 중위
[abs]</t>
      </text>
    </comment>
    <comment ref="AD14" authorId="0" shapeId="0">
      <text>
        <t>추정: 최근 4분기(2025Q2~2026Q2) 잔차 중위
[abs]</t>
      </text>
    </comment>
    <comment ref="AF14" authorId="0" shapeId="0">
      <text>
        <t>추정: 최근 4분기(2025Q2~2026Q2) 잔차 중위
[abs]</t>
      </text>
    </comment>
    <comment ref="AG14" authorId="0" shapeId="0">
      <text>
        <t>추정: 최근 4분기(2025Q2~2026Q2) 잔차 중위
[abs]</t>
      </text>
    </comment>
    <comment ref="AH14" authorId="0" shapeId="0">
      <text>
        <t>추정: 최근 4분기(2025Q2~2026Q2) 잔차 중위
[abs]</t>
      </text>
    </comment>
    <comment ref="AI14" authorId="0" shapeId="0">
      <text>
        <t>추정: 최근 4분기(2025Q2~2026Q2) 잔차 중위
[abs]</t>
      </text>
    </comment>
    <comment ref="AK14" authorId="0" shapeId="0">
      <text>
        <t>추정: 최근 4분기(2025Q2~2026Q2) 잔차 중위
[abs]</t>
      </text>
    </comment>
    <comment ref="AL14" authorId="0" shapeId="0">
      <text>
        <t>추정: 최근 4분기(2025Q2~2026Q2) 잔차 중위
[abs]</t>
      </text>
    </comment>
    <comment ref="AM14" authorId="0" shapeId="0">
      <text>
        <t>추정: 최근 4분기(2025Q2~2026Q2) 잔차 중위
[abs]</t>
      </text>
    </comment>
    <comment ref="AN14" authorId="0" shapeId="0">
      <text>
        <t>추정: 최근 4분기(2025Q2~2026Q2) 잔차 중위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AK15" authorId="0" shapeId="0">
      <text>
        <t>추정: 일회성 미가정 → 0
[abs]</t>
      </text>
    </comment>
    <comment ref="AL15" authorId="0" shapeId="0">
      <text>
        <t>추정: 일회성 미가정 → 0
[abs]</t>
      </text>
    </comment>
    <comment ref="AM15" authorId="0" shapeId="0">
      <text>
        <t>추정: 일회성 미가정 → 0
[abs]</t>
      </text>
    </comment>
    <comment ref="AN15" authorId="0" shapeId="0">
      <text>
        <t>추정: 일회성 미가정 → 0
[abs]</t>
      </text>
    </comment>
    <comment ref="AC16" authorId="0" shapeId="0">
      <text>
        <t>추정: 최근 4분기 중위
[abs]</t>
      </text>
    </comment>
    <comment ref="AD16" authorId="0" shapeId="0">
      <text>
        <t>추정: 최근 4분기 중위
[abs]</t>
      </text>
    </comment>
    <comment ref="AF16" authorId="0" shapeId="0">
      <text>
        <t>추정: 최근 4분기 중위
[abs]</t>
      </text>
    </comment>
    <comment ref="AG16" authorId="0" shapeId="0">
      <text>
        <t>추정: 최근 4분기 중위
[abs]</t>
      </text>
    </comment>
    <comment ref="AH16" authorId="0" shapeId="0">
      <text>
        <t>추정: 최근 4분기 중위
[abs]</t>
      </text>
    </comment>
    <comment ref="AI16" authorId="0" shapeId="0">
      <text>
        <t>추정: 최근 4분기 중위
[abs]</t>
      </text>
    </comment>
    <comment ref="AK16" authorId="0" shapeId="0">
      <text>
        <t>추정: 최근 4분기 중위
[abs]</t>
      </text>
    </comment>
    <comment ref="AL16" authorId="0" shapeId="0">
      <text>
        <t>추정: 최근 4분기 중위
[abs]</t>
      </text>
    </comment>
    <comment ref="AM16" authorId="0" shapeId="0">
      <text>
        <t>추정: 최근 4분기 중위
[abs]</t>
      </text>
    </comment>
    <comment ref="AN16" authorId="0" shapeId="0">
      <text>
        <t>추정: 최근 4분기 중위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21.9%(최근 12분기 유효세율 21.9%(5~27% 안 — 그대로))
[tax]</t>
      </text>
    </comment>
    <comment ref="AD18" authorId="0" shapeId="0">
      <text>
        <t>추정: max(세전, 0) × 세율 21.9%(최근 12분기 유효세율 21.9%(5~27% 안 — 그대로))
[tax]</t>
      </text>
    </comment>
    <comment ref="AF18" authorId="0" shapeId="0">
      <text>
        <t>추정: max(세전, 0) × 세율 21.9%(최근 12분기 유효세율 21.9%(5~27% 안 — 그대로))
[tax]</t>
      </text>
    </comment>
    <comment ref="AG18" authorId="0" shapeId="0">
      <text>
        <t>추정: max(세전, 0) × 세율 21.9%(최근 12분기 유효세율 21.9%(5~27% 안 — 그대로))
[tax]</t>
      </text>
    </comment>
    <comment ref="AH18" authorId="0" shapeId="0">
      <text>
        <t>추정: max(세전, 0) × 세율 21.9%(최근 12분기 유효세율 21.9%(5~27% 안 — 그대로))
[tax]</t>
      </text>
    </comment>
    <comment ref="AI18" authorId="0" shapeId="0">
      <text>
        <t>추정: max(세전, 0) × 세율 21.9%(최근 12분기 유효세율 21.9%(5~27% 안 — 그대로))
[tax]</t>
      </text>
    </comment>
    <comment ref="AK18" authorId="0" shapeId="0">
      <text>
        <t>추정: max(세전, 0) × 세율 21.9%(최근 12분기 유효세율 21.9%(5~27% 안 — 그대로))
[tax]</t>
      </text>
    </comment>
    <comment ref="AL18" authorId="0" shapeId="0">
      <text>
        <t>추정: max(세전, 0) × 세율 21.9%(최근 12분기 유효세율 21.9%(5~27% 안 — 그대로))
[tax]</t>
      </text>
    </comment>
    <comment ref="AM18" authorId="0" shapeId="0">
      <text>
        <t>추정: max(세전, 0) × 세율 21.9%(최근 12분기 유효세율 21.9%(5~27% 안 — 그대로))
[tax]</t>
      </text>
    </comment>
    <comment ref="AN18" authorId="0" shapeId="0">
      <text>
        <t>추정: max(세전, 0) × 세율 21.9%(최근 12분기 유효세율 21.9%(5~27%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최근 4분기 감가상각비 중위 유지
[abs]</t>
      </text>
    </comment>
    <comment ref="AD22" authorId="0" shapeId="0">
      <text>
        <t>추정: 최근 4분기 감가상각비 중위 유지
[abs]</t>
      </text>
    </comment>
    <comment ref="AF22" authorId="0" shapeId="0">
      <text>
        <t>추정: 최근 4분기 감가상각비 중위 유지
[abs]</t>
      </text>
    </comment>
    <comment ref="AG22" authorId="0" shapeId="0">
      <text>
        <t>추정: 최근 4분기 감가상각비 중위 유지
[abs]</t>
      </text>
    </comment>
    <comment ref="AH22" authorId="0" shapeId="0">
      <text>
        <t>추정: 최근 4분기 감가상각비 중위 유지
[abs]</t>
      </text>
    </comment>
    <comment ref="AI22" authorId="0" shapeId="0">
      <text>
        <t>추정: 최근 4분기 감가상각비 중위 유지
[abs]</t>
      </text>
    </comment>
    <comment ref="AK22" authorId="0" shapeId="0">
      <text>
        <t>추정: 최근 4분기 감가상각비 중위 유지
[abs]</t>
      </text>
    </comment>
    <comment ref="AL22" authorId="0" shapeId="0">
      <text>
        <t>추정: 최근 4분기 감가상각비 중위 유지
[abs]</t>
      </text>
    </comment>
    <comment ref="AM22" authorId="0" shapeId="0">
      <text>
        <t>추정: 최근 4분기 감가상각비 중위 유지
[abs]</t>
      </text>
    </comment>
    <comment ref="AN22" authorId="0" shapeId="0">
      <text>
        <t>추정: 최근 4분기 감가상각비 중위 유지
[abs]</t>
      </text>
    </comment>
    <comment ref="E23" authorId="0" shapeId="0">
      <text>
        <t>실측(계정 매핑 없음(파생·부문·시세 행) — 모델값 직접) — 영업이익 + 감가상각비(CF)</t>
      </text>
    </comment>
    <comment ref="G23" authorId="0" shapeId="0">
      <text>
        <t>실측(계정 매핑 없음(파생·부문·시세 행) — 모델값 직접) — 영업이익 + 감가상각비(CF)</t>
      </text>
    </comment>
    <comment ref="H23" authorId="0" shapeId="0">
      <text>
        <t>실측(계정 매핑 없음(파생·부문·시세 행) — 모델값 직접) — 영업이익 + 감가상각비(CF)</t>
      </text>
    </comment>
    <comment ref="I23" authorId="0" shapeId="0">
      <text>
        <t>실측(계정 매핑 없음(파생·부문·시세 행) — 모델값 직접) — 영업이익 + 감가상각비(CF)</t>
      </text>
    </comment>
    <comment ref="J23" authorId="0" shapeId="0">
      <text>
        <t>실측(계정 매핑 없음(파생·부문·시세 행) — 모델값 직접) — 영업이익 + 감가상각비(CF)</t>
      </text>
    </comment>
    <comment ref="L23" authorId="0" shapeId="0">
      <text>
        <t>실측(계정 매핑 없음(파생·부문·시세 행) — 모델값 직접) — 영업이익 + 감가상각비(CF)</t>
      </text>
    </comment>
    <comment ref="M23" authorId="0" shapeId="0">
      <text>
        <t>실측(계정 매핑 없음(파생·부문·시세 행) — 모델값 직접) — 영업이익 + 감가상각비(CF)</t>
      </text>
    </comment>
    <comment ref="AC23" authorId="0" shapeId="0">
      <text>
        <t>추정: 영업이익 + 감가상각비
[identity]</t>
      </text>
    </comment>
    <comment ref="AD23" authorId="0" shapeId="0">
      <text>
        <t>추정: 영업이익 + 감가상각비
[identity]</t>
      </text>
    </comment>
    <comment ref="AF23" authorId="0" shapeId="0">
      <text>
        <t>추정: 영업이익 + 감가상각비
[identity]</t>
      </text>
    </comment>
    <comment ref="AG23" authorId="0" shapeId="0">
      <text>
        <t>추정: 영업이익 + 감가상각비
[identity]</t>
      </text>
    </comment>
    <comment ref="AH23" authorId="0" shapeId="0">
      <text>
        <t>추정: 영업이익 + 감가상각비
[identity]</t>
      </text>
    </comment>
    <comment ref="AI23" authorId="0" shapeId="0">
      <text>
        <t>추정: 영업이익 + 감가상각비
[identity]</t>
      </text>
    </comment>
    <comment ref="AK23" authorId="0" shapeId="0">
      <text>
        <t>추정: 영업이익 + 감가상각비
[identity]</t>
      </text>
    </comment>
    <comment ref="AL23" authorId="0" shapeId="0">
      <text>
        <t>추정: 영업이익 + 감가상각비
[identity]</t>
      </text>
    </comment>
    <comment ref="AM23" authorId="0" shapeId="0">
      <text>
        <t>추정: 영업이익 + 감가상각비
[identity]</t>
      </text>
    </comment>
    <comment ref="AN23" authorId="0" shapeId="0">
      <text>
        <t>추정: 영업이익 + 감가상각비
[identity]</t>
      </text>
    </comment>
    <comment ref="AC24" authorId="0" shapeId="0">
      <text>
        <t>추정: 부채총계 + 자본총계(항등식)
[identity]</t>
      </text>
    </comment>
    <comment ref="AD24" authorId="0" shapeId="0">
      <text>
        <t>추정: 부채총계 + 자본총계(항등식)
[identity]</t>
      </text>
    </comment>
    <comment ref="AF24" authorId="0" shapeId="0">
      <text>
        <t>추정: 부채총계 + 자본총계(항등식)
[identity]</t>
      </text>
    </comment>
    <comment ref="AG24" authorId="0" shapeId="0">
      <text>
        <t>추정: 부채총계 + 자본총계(항등식)
[identity]</t>
      </text>
    </comment>
    <comment ref="AH24" authorId="0" shapeId="0">
      <text>
        <t>추정: 부채총계 + 자본총계(항등식)
[identity]</t>
      </text>
    </comment>
    <comment ref="AI24" authorId="0" shapeId="0">
      <text>
        <t>추정: 부채총계 + 자본총계(항등식)
[identity]</t>
      </text>
    </comment>
    <comment ref="AK24" authorId="0" shapeId="0">
      <text>
        <t>추정: 부채총계 + 자본총계(항등식)
[identity]</t>
      </text>
    </comment>
    <comment ref="AL24" authorId="0" shapeId="0">
      <text>
        <t>추정: 부채총계 + 자본총계(항등식)
[identity]</t>
      </text>
    </comment>
    <comment ref="AM24" authorId="0" shapeId="0">
      <text>
        <t>추정: 부채총계 + 자본총계(항등식)
[identity]</t>
      </text>
    </comment>
    <comment ref="AN24" authorId="0" shapeId="0">
      <text>
        <t>추정: 부채총계 + 자본총계(항등식)
[identity]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+ 당기순이익 − 배당(Q2 지급 가정)
[roll]</t>
      </text>
    </comment>
    <comment ref="AD26" authorId="0" shapeId="0">
      <text>
        <t>추정: 전분기 + 당기순이익 − 배당(Q2 지급 가정)
[roll]</t>
      </text>
    </comment>
    <comment ref="AF26" authorId="0" shapeId="0">
      <text>
        <t>추정: 전분기 + 당기순이익 − 배당(Q2 지급 가정)
[roll]</t>
      </text>
    </comment>
    <comment ref="AG26" authorId="0" shapeId="0">
      <text>
        <t>추정: 전분기 + 당기순이익 − 배당(Q2 지급 가정)
[roll]</t>
      </text>
    </comment>
    <comment ref="AH26" authorId="0" shapeId="0">
      <text>
        <t>추정: 전분기 + 당기순이익 − 배당(Q2 지급 가정)
[roll]</t>
      </text>
    </comment>
    <comment ref="AI26" authorId="0" shapeId="0">
      <text>
        <t>추정: 전분기 + 당기순이익 − 배당(Q2 지급 가정)
[roll]</t>
      </text>
    </comment>
    <comment ref="AK26" authorId="0" shapeId="0">
      <text>
        <t>추정: 전분기 + 당기순이익 − 배당(Q2 지급 가정)
[roll]</t>
      </text>
    </comment>
    <comment ref="AL26" authorId="0" shapeId="0">
      <text>
        <t>추정: 전분기 + 당기순이익 − 배당(Q2 지급 가정)
[roll]</t>
      </text>
    </comment>
    <comment ref="AM26" authorId="0" shapeId="0">
      <text>
        <t>추정: 전분기 + 당기순이익 − 배당(Q2 지급 가정)
[roll]</t>
      </text>
    </comment>
    <comment ref="AN26" authorId="0" shapeId="0">
      <text>
        <t>추정: 전분기 + 당기순이익 − 배당(Q2 지급 가정)
[roll]</t>
      </text>
    </comment>
    <comment ref="AC27" authorId="0" shapeId="0">
      <text>
        <t>추정: 전분기 + 지배주주순이익 − 배당
[roll]</t>
      </text>
    </comment>
    <comment ref="AD27" authorId="0" shapeId="0">
      <text>
        <t>추정: 전분기 + 지배주주순이익 − 배당
[roll]</t>
      </text>
    </comment>
    <comment ref="AF27" authorId="0" shapeId="0">
      <text>
        <t>추정: 전분기 + 지배주주순이익 − 배당
[roll]</t>
      </text>
    </comment>
    <comment ref="AG27" authorId="0" shapeId="0">
      <text>
        <t>추정: 전분기 + 지배주주순이익 − 배당
[roll]</t>
      </text>
    </comment>
    <comment ref="AH27" authorId="0" shapeId="0">
      <text>
        <t>추정: 전분기 + 지배주주순이익 − 배당
[roll]</t>
      </text>
    </comment>
    <comment ref="AI27" authorId="0" shapeId="0">
      <text>
        <t>추정: 전분기 + 지배주주순이익 − 배당
[roll]</t>
      </text>
    </comment>
    <comment ref="AK27" authorId="0" shapeId="0">
      <text>
        <t>추정: 전분기 + 지배주주순이익 − 배당
[roll]</t>
      </text>
    </comment>
    <comment ref="AL27" authorId="0" shapeId="0">
      <text>
        <t>추정: 전분기 + 지배주주순이익 − 배당
[roll]</t>
      </text>
    </comment>
    <comment ref="AM27" authorId="0" shapeId="0">
      <text>
        <t>추정: 전분기 + 지배주주순이익 − 배당
[roll]</t>
      </text>
    </comment>
    <comment ref="AN27" authorId="0" shapeId="0">
      <text>
        <t>추정: 전분기 + 지배주주순이익 − 배당
[roll]</t>
      </text>
    </comment>
    <comment ref="AC28" authorId="0" shapeId="0">
      <text>
        <t>추정: 마지막 실적 유지(가정)
[qoq]</t>
      </text>
    </comment>
    <comment ref="AD28" authorId="0" shapeId="0">
      <text>
        <t>추정: 마지막 실적 유지(가정)
[qoq]</t>
      </text>
    </comment>
    <comment ref="AF28" authorId="0" shapeId="0">
      <text>
        <t>추정: 마지막 실적 유지(가정)
[qoq]</t>
      </text>
    </comment>
    <comment ref="AG28" authorId="0" shapeId="0">
      <text>
        <t>추정: 마지막 실적 유지(가정)
[qoq]</t>
      </text>
    </comment>
    <comment ref="AH28" authorId="0" shapeId="0">
      <text>
        <t>추정: 마지막 실적 유지(가정)
[qoq]</t>
      </text>
    </comment>
    <comment ref="AI28" authorId="0" shapeId="0">
      <text>
        <t>추정: 마지막 실적 유지(가정)
[qoq]</t>
      </text>
    </comment>
    <comment ref="AK28" authorId="0" shapeId="0">
      <text>
        <t>추정: 마지막 실적 유지(가정)
[qoq]</t>
      </text>
    </comment>
    <comment ref="AL28" authorId="0" shapeId="0">
      <text>
        <t>추정: 마지막 실적 유지(가정)
[qoq]</t>
      </text>
    </comment>
    <comment ref="AM28" authorId="0" shapeId="0">
      <text>
        <t>추정: 마지막 실적 유지(가정)
[qoq]</t>
      </text>
    </comment>
    <comment ref="AN28" authorId="0" shapeId="0">
      <text>
        <t>추정: 마지막 실적 유지(가정)
[qoq]</t>
      </text>
    </comment>
    <comment ref="AC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D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F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G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H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I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K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L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M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N29" authorId="0" shapeId="0">
      <text>
        <t>추정: 전분기 − FCF 근사[순이익 + 감가상각비 16억 − CAPEX 8억(각 최근 4분기 중위) − 배당] (운전자본 불변·총차입금 유지 가정 → 변동은 전부 현금)
[qoq]</t>
      </text>
    </comment>
    <comment ref="AC30" authorId="0" shapeId="0">
      <text>
        <t>추정: 전분기 + FCF 근사 — 순차입금 롤과 같은 가정
[qoq]</t>
      </text>
    </comment>
    <comment ref="AD30" authorId="0" shapeId="0">
      <text>
        <t>추정: 전분기 + FCF 근사 — 순차입금 롤과 같은 가정
[qoq]</t>
      </text>
    </comment>
    <comment ref="AF30" authorId="0" shapeId="0">
      <text>
        <t>추정: 전분기 + FCF 근사 — 순차입금 롤과 같은 가정
[qoq]</t>
      </text>
    </comment>
    <comment ref="AG30" authorId="0" shapeId="0">
      <text>
        <t>추정: 전분기 + FCF 근사 — 순차입금 롤과 같은 가정
[qoq]</t>
      </text>
    </comment>
    <comment ref="AH30" authorId="0" shapeId="0">
      <text>
        <t>추정: 전분기 + FCF 근사 — 순차입금 롤과 같은 가정
[qoq]</t>
      </text>
    </comment>
    <comment ref="AI30" authorId="0" shapeId="0">
      <text>
        <t>추정: 전분기 + FCF 근사 — 순차입금 롤과 같은 가정
[qoq]</t>
      </text>
    </comment>
    <comment ref="AK30" authorId="0" shapeId="0">
      <text>
        <t>추정: 전분기 + FCF 근사 — 순차입금 롤과 같은 가정
[qoq]</t>
      </text>
    </comment>
    <comment ref="AL30" authorId="0" shapeId="0">
      <text>
        <t>추정: 전분기 + FCF 근사 — 순차입금 롤과 같은 가정
[qoq]</t>
      </text>
    </comment>
    <comment ref="AM30" authorId="0" shapeId="0">
      <text>
        <t>추정: 전분기 + FCF 근사 — 순차입금 롤과 같은 가정
[qoq]</t>
      </text>
    </comment>
    <comment ref="AN30" authorId="0" shapeId="0">
      <text>
        <t>추정: 전분기 + FCF 근사 — 순차입금 롤과 같은 가정
[qoq]</t>
      </text>
    </comment>
    <comment ref="AC32" authorId="0" shapeId="0">
      <text>
        <t>추정: 최근 4분기(2025Q3~2026Q2) CAPEX 중위 유지 — 순차입금 롤에 반영(FCF 근사)
[yoy]</t>
      </text>
    </comment>
    <comment ref="AD32" authorId="0" shapeId="0">
      <text>
        <t>추정: 최근 4분기(2025Q3~2026Q2) CAPEX 중위 유지 — 순차입금 롤에 반영(FCF 근사)
[yoy]</t>
      </text>
    </comment>
    <comment ref="AF32" authorId="0" shapeId="0">
      <text>
        <t>추정: 최근 4분기(2025Q3~2026Q2) CAPEX 중위 유지 — 순차입금 롤에 반영(FCF 근사)
[yoy]</t>
      </text>
    </comment>
    <comment ref="AG32" authorId="0" shapeId="0">
      <text>
        <t>추정: 최근 4분기(2025Q3~2026Q2) CAPEX 중위 유지 — 순차입금 롤에 반영(FCF 근사)
[yoy]</t>
      </text>
    </comment>
    <comment ref="AH32" authorId="0" shapeId="0">
      <text>
        <t>추정: 최근 4분기(2025Q3~2026Q2) CAPEX 중위 유지 — 순차입금 롤에 반영(FCF 근사)
[yoy]</t>
      </text>
    </comment>
    <comment ref="AI32" authorId="0" shapeId="0">
      <text>
        <t>추정: 최근 4분기(2025Q3~2026Q2) CAPEX 중위 유지 — 순차입금 롤에 반영(FCF 근사)
[yoy]</t>
      </text>
    </comment>
    <comment ref="AK32" authorId="0" shapeId="0">
      <text>
        <t>추정: 최근 4분기(2025Q3~2026Q2) CAPEX 중위 유지 — 순차입금 롤에 반영(FCF 근사)
[yoy]</t>
      </text>
    </comment>
    <comment ref="AL32" authorId="0" shapeId="0">
      <text>
        <t>추정: 최근 4분기(2025Q3~2026Q2) CAPEX 중위 유지 — 순차입금 롤에 반영(FCF 근사)
[yoy]</t>
      </text>
    </comment>
    <comment ref="AM32" authorId="0" shapeId="0">
      <text>
        <t>추정: 최근 4분기(2025Q3~2026Q2) CAPEX 중위 유지 — 순차입금 롤에 반영(FCF 근사)
[yoy]</t>
      </text>
    </comment>
    <comment ref="AN32" authorId="0" shapeId="0">
      <text>
        <t>추정: 최근 4분기(2025Q3~2026Q2) CAPEX 중위 유지 — 순차입금 롤에 반영(FCF 근사)
[yoy]</t>
      </text>
    </comment>
    <comment ref="E34" authorId="0" shapeId="0">
      <text>
        <t>추정(실적 구간 갭필): fin.shares.common_outstanding 9,180,848주 × ×5(환산 — 2026Q2 ×5 무상증자; IAS 33.64 비교표시·수정주가 이력과 정합)</t>
      </text>
    </comment>
    <comment ref="G34" authorId="0" shapeId="0">
      <text>
        <t>추정(실적 구간 갭필): fin.shares.common_outstanding 9,331,705주 × ×5(환산 — 2026Q2 ×5 무상증자; IAS 33.64 비교표시·수정주가 이력과 정합)</t>
      </text>
    </comment>
    <comment ref="H34" authorId="0" shapeId="0">
      <text>
        <t>추정(실적 구간 갭필): fin.shares.common_outstanding 9,331,705주 × ×5(환산 — 2026Q2 ×5 무상증자; IAS 33.64 비교표시·수정주가 이력과 정합)</t>
      </text>
    </comment>
    <comment ref="I34" authorId="0" shapeId="0">
      <text>
        <t>추정(실적 구간 갭필): fin.shares.common_outstanding 9,331,705주 × ×5(환산 — 2026Q2 ×5 무상증자; IAS 33.64 비교표시·수정주가 이력과 정합)</t>
      </text>
    </comment>
    <comment ref="J34" authorId="0" shapeId="0">
      <text>
        <t>추정(실적 구간 갭필): fin.shares.common_outstanding 9,331,705주 × ×5(환산 — 2026Q2 ×5 무상증자; IAS 33.64 비교표시·수정주가 이력과 정합)</t>
      </text>
    </comment>
    <comment ref="L34" authorId="0" shapeId="0">
      <text>
        <t>추정(실적 구간 갭필): fin.shares.common_outstanding 9,331,705주 × ×5(환산 — 2026Q2 ×5 무상증자; IAS 33.64 비교표시·수정주가 이력과 정합)</t>
      </text>
    </comment>
    <comment ref="M34" authorId="0" shapeId="0">
      <text>
        <t>추정(실적 구간 갭필): fin.shares.common_outstanding 9,331,705주 × ×5(환산 — 2026Q2 ×5 무상증자; IAS 33.64 비교표시·수정주가 이력과 정합)</t>
      </text>
    </comment>
    <comment ref="N34" authorId="0" shapeId="0">
      <text>
        <t>추정(실적 구간 갭필): fin.shares.common_outstanding 9,151,705주 × ×5(환산 — 2026Q2 ×5 무상증자; IAS 33.64 비교표시·수정주가 이력과 정합)</t>
      </text>
    </comment>
    <comment ref="O34" authorId="0" shapeId="0">
      <text>
        <t>추정(실적 구간 갭필): fin.shares.common_outstanding 9,067,273주 × ×5(환산 — 2026Q2 ×5 무상증자; IAS 33.64 비교표시·수정주가 이력과 정합)</t>
      </text>
    </comment>
    <comment ref="Q34" authorId="0" shapeId="0">
      <text>
        <t>추정(실적 구간 갭필): fin.shares.common_outstanding 9,067,273주 × ×5(환산 — 2026Q2 ×5 무상증자; IAS 33.64 비교표시·수정주가 이력과 정합)</t>
      </text>
    </comment>
    <comment ref="R34" authorId="0" shapeId="0">
      <text>
        <t>추정(실적 구간 갭필): fin.shares.common_outstanding 9,615,733주 × ×5(환산 — 2026Q2 ×5 무상증자; IAS 33.64 비교표시·수정주가 이력과 정합)</t>
      </text>
    </comment>
    <comment ref="S34" authorId="0" shapeId="0">
      <text>
        <t>추정(실적 구간 갭필): fin.shares.common_outstanding 9,615,733주 × ×5(환산 — 2026Q2 ×5 무상증자; IAS 33.64 비교표시·수정주가 이력과 정합)</t>
      </text>
    </comment>
    <comment ref="T34" authorId="0" shapeId="0">
      <text>
        <t>추정(실적 구간 갭필): fin.shares.common_outstanding 9,323,083주 × ×5(환산 — 2026Q2 ×5 무상증자; IAS 33.64 비교표시·수정주가 이력과 정합)</t>
      </text>
    </comment>
    <comment ref="V34" authorId="0" shapeId="0">
      <text>
        <t>추정(실적 구간 갭필): fin.shares.common_outstanding 9,274,083주 × ×5(환산 — 2026Q2 ×5 무상증자; IAS 33.64 비교표시·수정주가 이력과 정합)</t>
      </text>
    </comment>
    <comment ref="W34" authorId="0" shapeId="0">
      <text>
        <t>추정(실적 구간 갭필): fin.shares.common_outstanding 9,238,047주 × ×5(환산 — 2026Q2 ×5 무상증자; IAS 33.64 비교표시·수정주가 이력과 정합)</t>
      </text>
    </comment>
    <comment ref="X34" authorId="0" shapeId="0">
      <text>
        <t>추정(실적 구간 갭필): fin.shares.common_outstanding 9,232,882주 × ×5(환산 — 2026Q2 ×5 무상증자; IAS 33.64 비교표시·수정주가 이력과 정합)</t>
      </text>
    </comment>
    <comment ref="Y34" authorId="0" shapeId="0">
      <text>
        <t>추정(실적 구간 갭필): fin.shares.common_outstanding 9,232,882주 × ×5(환산 — 2026Q2 ×5 무상증자; IAS 33.64 비교표시·수정주가 이력과 정합)</t>
      </text>
    </comment>
    <comment ref="AA34" authorId="0" shapeId="0">
      <text>
        <t>추정(실적 구간 갭필): fin.shares.common_outstanding 9,175,882주 × ×5(환산 — 2026Q2 ×5 무상증자; IAS 33.64 비교표시·수정주가 이력과 정합)</t>
      </text>
    </comment>
    <comment ref="AB34" authorId="0" shapeId="0">
      <text>
        <t>실측(계정 매핑 없음(파생·부문·시세 행) — 모델값 직접) — fin.shares.common_outstanding</t>
      </text>
    </comment>
    <comment ref="AC34" authorId="0" shapeId="0">
      <text>
        <t>추정: 유통주식수 유지 — fin.shares.common_outstanding(2026Q2)
[qoq]</t>
      </text>
    </comment>
    <comment ref="AD34" authorId="0" shapeId="0">
      <text>
        <t>추정: 유통주식수 유지 — fin.shares.common_outstanding(2026Q2)
[qoq]</t>
      </text>
    </comment>
    <comment ref="AF34" authorId="0" shapeId="0">
      <text>
        <t>추정: 유통주식수 유지 — fin.shares.common_outstanding(2026Q2)
[qoq]</t>
      </text>
    </comment>
    <comment ref="AG34" authorId="0" shapeId="0">
      <text>
        <t>추정: 유통주식수 유지 — fin.shares.common_outstanding(2026Q2)
[qoq]</t>
      </text>
    </comment>
    <comment ref="AH34" authorId="0" shapeId="0">
      <text>
        <t>추정: 유통주식수 유지 — fin.shares.common_outstanding(2026Q2)
[qoq]</t>
      </text>
    </comment>
    <comment ref="AI34" authorId="0" shapeId="0">
      <text>
        <t>추정: 유통주식수 유지 — fin.shares.common_outstanding(2026Q2)
[qoq]</t>
      </text>
    </comment>
    <comment ref="AK34" authorId="0" shapeId="0">
      <text>
        <t>추정: 유통주식수 유지 — fin.shares.common_outstanding(2026Q2)
[qoq]</t>
      </text>
    </comment>
    <comment ref="AL34" authorId="0" shapeId="0">
      <text>
        <t>추정: 유통주식수 유지 — fin.shares.common_outstanding(2026Q2)
[qoq]</t>
      </text>
    </comment>
    <comment ref="AM34" authorId="0" shapeId="0">
      <text>
        <t>추정: 유통주식수 유지 — fin.shares.common_outstanding(2026Q2)
[qoq]</t>
      </text>
    </comment>
    <comment ref="AN34" authorId="0" shapeId="0">
      <text>
        <t>추정: 유통주식수 유지 — fin.shares.common_outstanding(2026Q2)
[qoq]</t>
      </text>
    </comment>
    <comment ref="AC35" authorId="0" shapeId="0">
      <text>
        <t>추정: 지배주주순이익 ÷ 유통주식수
[per_share]</t>
      </text>
    </comment>
    <comment ref="AD35" authorId="0" shapeId="0">
      <text>
        <t>추정: 지배주주순이익 ÷ 유통주식수
[per_share]</t>
      </text>
    </comment>
    <comment ref="AF35" authorId="0" shapeId="0">
      <text>
        <t>추정: 지배주주순이익 ÷ 유통주식수
[per_share]</t>
      </text>
    </comment>
    <comment ref="AG35" authorId="0" shapeId="0">
      <text>
        <t>추정: 지배주주순이익 ÷ 유통주식수
[per_share]</t>
      </text>
    </comment>
    <comment ref="AH35" authorId="0" shapeId="0">
      <text>
        <t>추정: 지배주주순이익 ÷ 유통주식수
[per_share]</t>
      </text>
    </comment>
    <comment ref="AI35" authorId="0" shapeId="0">
      <text>
        <t>추정: 지배주주순이익 ÷ 유통주식수
[per_share]</t>
      </text>
    </comment>
    <comment ref="AK35" authorId="0" shapeId="0">
      <text>
        <t>추정: 지배주주순이익 ÷ 유통주식수
[per_share]</t>
      </text>
    </comment>
    <comment ref="AL35" authorId="0" shapeId="0">
      <text>
        <t>추정: 지배주주순이익 ÷ 유통주식수
[per_share]</t>
      </text>
    </comment>
    <comment ref="AM35" authorId="0" shapeId="0">
      <text>
        <t>추정: 지배주주순이익 ÷ 유통주식수
[per_share]</t>
      </text>
    </comment>
    <comment ref="AN35" authorId="0" shapeId="0">
      <text>
        <t>추정: 지배주주순이익 ÷ 유통주식수
[per_share]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추정(실적 구간 갭필): fin.dividend.dps_common 2,250원 ÷ ×5(병합/분할 환산 — 2026Q2 ×5 무상증자)</t>
      </text>
    </comment>
    <comment ref="T37" authorId="0" shapeId="0">
      <text>
        <t>추정(실적 구간 갭필): fin.dividend.dps_common 700원 ÷ ×5(병합/분할 환산 — 2026Q2 ×5 무상증자)</t>
      </text>
    </comment>
    <comment ref="Y37" authorId="0" shapeId="0">
      <text>
        <t>추정(실적 구간 갭필): fin.dividend.dps_common 750원 ÷ ×5(병합/분할 환산 — 2026Q2 ×5 무상증자)</t>
      </text>
    </comment>
    <comment ref="AD37" authorId="0" shapeId="0">
      <text>
        <t>추정: 직전 결산 DPS 150원(fin 750원 ÷ ×5 병합/분할 환산) 유지
[abs]</t>
      </text>
    </comment>
    <comment ref="AI37" authorId="0" shapeId="0">
      <text>
        <t>추정: 직전 결산 DPS 150원(fin 750원 ÷ ×5 병합/분할 환산) 유지
[abs]</t>
      </text>
    </comment>
    <comment ref="AN37" authorId="0" shapeId="0">
      <text>
        <t>추정: 직전 결산 DPS 150원(fin 750원 ÷ ×5 병합/분할 환산) 유지
[abs]</t>
      </text>
    </comment>
    <comment ref="AC38" authorId="0" shapeId="0">
      <text>
        <t>추정: 현재 종가 ÷ TTM EPS(추정 포함)
[valuation]</t>
      </text>
    </comment>
    <comment ref="AD38" authorId="0" shapeId="0">
      <text>
        <t>추정: 현재 종가 ÷ TTM EPS(추정 포함)
[valuation]</t>
      </text>
    </comment>
    <comment ref="AF38" authorId="0" shapeId="0">
      <text>
        <t>추정: 현재 종가 ÷ TTM EPS(추정 포함)
[valuation]</t>
      </text>
    </comment>
    <comment ref="AG38" authorId="0" shapeId="0">
      <text>
        <t>추정: 현재 종가 ÷ TTM EPS(추정 포함)
[valuation]</t>
      </text>
    </comment>
    <comment ref="AH38" authorId="0" shapeId="0">
      <text>
        <t>추정: 현재 종가 ÷ TTM EPS(추정 포함)
[valuation]</t>
      </text>
    </comment>
    <comment ref="AI38" authorId="0" shapeId="0">
      <text>
        <t>추정: 현재 종가 ÷ TTM EPS(추정 포함)
[valuation]</t>
      </text>
    </comment>
    <comment ref="AK38" authorId="0" shapeId="0">
      <text>
        <t>추정: 현재 종가 ÷ TTM EPS(추정 포함)
[valuation]</t>
      </text>
    </comment>
    <comment ref="AL38" authorId="0" shapeId="0">
      <text>
        <t>추정: 현재 종가 ÷ TTM EPS(추정 포함)
[valuation]</t>
      </text>
    </comment>
    <comment ref="AM38" authorId="0" shapeId="0">
      <text>
        <t>추정: 현재 종가 ÷ TTM EPS(추정 포함)
[valuation]</t>
      </text>
    </comment>
    <comment ref="AN38" authorId="0" shapeId="0">
      <text>
        <t>추정: 현재 종가 ÷ TTM EPS(추정 포함)
[valuation]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21.94% — 법인세 = MAX(세전,0) × 세율, 추정 전 분기 연결(Σ법인세/Σmax(세전,0) 역산, 재현 오차 ≤ 0.05억). 모델 가정 21.94% · 근거: 최근 12분기 유효세율 21.9%(5~27% 안 — 그대로)</t>
        </is>
      </c>
    </row>
    <row r="23">
      <c r="A23" t="inlineStr">
        <is>
          <t>· 판관비율 8.58%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2.98% / 부채 3.52% — 이자손익 = (전분기 이자발생자산 × 자산이자율 − 전분기 총차입금 × 부채이자율)/4, 최소자승 역산(모델 assumptions [0.0298, 0.0352]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5.0/15.5/22.2배(hist_quarterly(분기 평균가 ÷ TTM EPS, 10분기, 25/50/75 백분위) · 캡 5~30배 적용(원값 3.8/15.5/22.2))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2022Q3~2026Q2) → 외환손익 행 없음, 기타금융손익 = 금융손익 − 이자 − 파생(fx_in_other_nonop) / 주식수 사건 환산: 2026Q2 ×5 무상증자(eps_reported 교차검증 confirmed) → 사건 전 실적 18분기의 주식수·EPS·BPS·DPS 를 비율 환산(IAS 33.64; 셀 kind estimate, basis 에 원주식수·비율) / 금융손익 실적→추정 단절: 최근 4분기 실적 +4/+8/+8/+6(중위 +7억) → 추정 2026Q3 +2억(차 -5억, -71%)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9240</v>
      </c>
      <c r="AB15" s="19" t="n">
        <v>7440</v>
      </c>
      <c r="AC15" s="20" t="n">
        <v>6210</v>
      </c>
      <c r="AD15" s="20" t="n">
        <v>5940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17000</v>
      </c>
      <c r="AC16" s="20" t="n">
        <v>8740</v>
      </c>
      <c r="AD16" s="20" t="n">
        <v>7000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6790</v>
      </c>
      <c r="AC17" s="20" t="n">
        <v>5480</v>
      </c>
      <c r="AD17" s="20" t="n">
        <v>5850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9207.1</v>
      </c>
      <c r="AB18" s="19" t="n">
        <v>10322.6</v>
      </c>
      <c r="AC18" s="20" t="n">
        <v>6807.6</v>
      </c>
      <c r="AD18" s="20" t="n">
        <v>6232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0.238762321</v>
      </c>
      <c r="AD21" s="24" t="n">
        <v>0.065639266</v>
      </c>
      <c r="AE21" s="25" t="n"/>
      <c r="AF21" s="24" t="n">
        <v>0.680102484</v>
      </c>
      <c r="AG21" s="24" t="n">
        <v>0.46610669</v>
      </c>
      <c r="AH21" s="24" t="n">
        <v>0.344883656</v>
      </c>
      <c r="AI21" s="24" t="n">
        <v>0.25050639</v>
      </c>
      <c r="AJ21" s="25" t="n"/>
      <c r="AK21" s="24" t="n">
        <v>0.179340357</v>
      </c>
      <c r="AL21" s="24" t="n">
        <v>0.165816655</v>
      </c>
      <c r="AM21" s="24" t="n">
        <v>0.18996498</v>
      </c>
      <c r="AN21" s="24" t="n">
        <v>0.221440141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0.150742921</v>
      </c>
      <c r="AD23" s="24" t="n">
        <v>0.150738408</v>
      </c>
      <c r="AE23" s="25">
        <f>IFERROR(subQ!AE9/subQ!AE5,"")</f>
        <v/>
      </c>
      <c r="AF23" s="24" t="n">
        <v>0.150732936</v>
      </c>
      <c r="AG23" s="24" t="n">
        <v>0.150752154</v>
      </c>
      <c r="AH23" s="24" t="n">
        <v>0.150754607</v>
      </c>
      <c r="AI23" s="24" t="n">
        <v>0.150758357</v>
      </c>
      <c r="AJ23" s="25">
        <f>IFERROR(subQ!AJ9/subQ!AJ5,"")</f>
        <v/>
      </c>
      <c r="AK23" s="24" t="n">
        <v>0.150747718</v>
      </c>
      <c r="AL23" s="24" t="n">
        <v>0.150742592</v>
      </c>
      <c r="AM23" s="24" t="n">
        <v>0.150740124</v>
      </c>
      <c r="AN23" s="24" t="n">
        <v>0.150745045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36.67</v>
      </c>
      <c r="AD27" s="30" t="n">
        <v>36.67</v>
      </c>
      <c r="AE27" s="31">
        <f>subQ!AE16</f>
        <v/>
      </c>
      <c r="AF27" s="30" t="n">
        <v>36.67</v>
      </c>
      <c r="AG27" s="30" t="n">
        <v>36.67</v>
      </c>
      <c r="AH27" s="30" t="n">
        <v>36.67</v>
      </c>
      <c r="AI27" s="30" t="n">
        <v>36.67</v>
      </c>
      <c r="AJ27" s="31">
        <f>subQ!AJ16</f>
        <v/>
      </c>
      <c r="AK27" s="30" t="n">
        <v>36.67</v>
      </c>
      <c r="AL27" s="30" t="n">
        <v>36.67</v>
      </c>
      <c r="AM27" s="30" t="n">
        <v>36.67</v>
      </c>
      <c r="AN27" s="30" t="n">
        <v>36.67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drv:감가상각비</t>
        </is>
      </c>
      <c r="B31" s="2" t="inlineStr">
        <is>
          <t>abs</t>
        </is>
      </c>
      <c r="C31" t="inlineStr">
        <is>
          <t>감가상각비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0" t="n">
        <v>16.36</v>
      </c>
      <c r="AD31" s="30" t="n">
        <v>16.36</v>
      </c>
      <c r="AE31" s="31">
        <f>subQ!AE22</f>
        <v/>
      </c>
      <c r="AF31" s="30" t="n">
        <v>16.36</v>
      </c>
      <c r="AG31" s="30" t="n">
        <v>16.36</v>
      </c>
      <c r="AH31" s="30" t="n">
        <v>16.36</v>
      </c>
      <c r="AI31" s="30" t="n">
        <v>16.36</v>
      </c>
      <c r="AJ31" s="31">
        <f>subQ!AJ22</f>
        <v/>
      </c>
      <c r="AK31" s="30" t="n">
        <v>16.36</v>
      </c>
      <c r="AL31" s="30" t="n">
        <v>16.36</v>
      </c>
      <c r="AM31" s="30" t="n">
        <v>16.36</v>
      </c>
      <c r="AN31" s="30" t="n">
        <v>16.36</v>
      </c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-2.46e-06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IFERROR(subQ!E26+subQ!G19-subQ!G26,"")</f>
        <v/>
      </c>
      <c r="H33" s="27">
        <f>IFERROR(subQ!G26+subQ!H19-subQ!H26,"")</f>
        <v/>
      </c>
      <c r="I33" s="27">
        <f>IFERROR(subQ!H26+subQ!I19-subQ!I26,"")</f>
        <v/>
      </c>
      <c r="J33" s="27">
        <f>IFERROR(subQ!I26+subQ!J19-subQ!J26,"")</f>
        <v/>
      </c>
      <c r="K33" s="28" t="n"/>
      <c r="L33" s="27">
        <f>IFERROR(subQ!J26+subQ!L19-subQ!L26,"")</f>
        <v/>
      </c>
      <c r="M33" s="27">
        <f>IFERROR(subQ!L26+subQ!M19-subQ!M26,"")</f>
        <v/>
      </c>
      <c r="N33" s="27">
        <f>IFERROR(subQ!M26+subQ!N19-subQ!N26,"")</f>
        <v/>
      </c>
      <c r="O33" s="27">
        <f>IFERROR(subQ!N26+subQ!O19-subQ!O26,"")</f>
        <v/>
      </c>
      <c r="P33" s="28" t="n"/>
      <c r="Q33" s="27">
        <f>IFERROR(subQ!O26+subQ!Q19-subQ!Q26,"")</f>
        <v/>
      </c>
      <c r="R33" s="27">
        <f>IFERROR(subQ!Q26+subQ!R19-subQ!R26,"")</f>
        <v/>
      </c>
      <c r="S33" s="27">
        <f>IFERROR(subQ!R26+subQ!S19-subQ!S26,"")</f>
        <v/>
      </c>
      <c r="T33" s="27">
        <f>IFERROR(subQ!S26+subQ!T19-subQ!T26,"")</f>
        <v/>
      </c>
      <c r="U33" s="28" t="n"/>
      <c r="V33" s="27">
        <f>IFERROR(subQ!T26+subQ!V19-subQ!V26,"")</f>
        <v/>
      </c>
      <c r="W33" s="27">
        <f>IFERROR(subQ!V26+subQ!W19-subQ!W26,"")</f>
        <v/>
      </c>
      <c r="X33" s="27">
        <f>IFERROR(subQ!W26+subQ!X19-subQ!X26,"")</f>
        <v/>
      </c>
      <c r="Y33" s="27">
        <f>IFERROR(subQ!X26+subQ!Y19-subQ!Y26,"")</f>
        <v/>
      </c>
      <c r="Z33" s="28" t="n"/>
      <c r="AA33" s="27">
        <f>IFERROR(subQ!Y26+subQ!AA19-subQ!AA26,"")</f>
        <v/>
      </c>
      <c r="AB33" s="29">
        <f>IFERROR(subQ!AA26+subQ!AB19-subQ!AB26,"")</f>
        <v/>
      </c>
      <c r="AC33" s="30" t="n">
        <v>0.000131053</v>
      </c>
      <c r="AD33" s="30" t="n">
        <v>-0.007629578</v>
      </c>
      <c r="AE33" s="31" t="n"/>
      <c r="AF33" s="30" t="n">
        <v>-0.004620021</v>
      </c>
      <c r="AG33" s="30" t="n">
        <v>68.537235274</v>
      </c>
      <c r="AH33" s="30" t="n">
        <v>-0.00187282</v>
      </c>
      <c r="AI33" s="30" t="n">
        <v>0.006477844</v>
      </c>
      <c r="AJ33" s="31" t="n"/>
      <c r="AK33" s="30" t="n">
        <v>-0.00442834</v>
      </c>
      <c r="AL33" s="30" t="n">
        <v>68.53382882299999</v>
      </c>
      <c r="AM33" s="30" t="n">
        <v>-0.006269846</v>
      </c>
      <c r="AN33" s="30" t="n">
        <v>-0.008180522000000001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0.000131053</v>
      </c>
      <c r="AD34" s="30" t="n">
        <v>-0.007629578</v>
      </c>
      <c r="AE34" s="31" t="n"/>
      <c r="AF34" s="30" t="n">
        <v>-0.004620021</v>
      </c>
      <c r="AG34" s="30" t="n">
        <v>68.537235274</v>
      </c>
      <c r="AH34" s="30" t="n">
        <v>-0.00187282</v>
      </c>
      <c r="AI34" s="30" t="n">
        <v>0.006477844</v>
      </c>
      <c r="AJ34" s="31" t="n"/>
      <c r="AK34" s="30" t="n">
        <v>-0.00442834</v>
      </c>
      <c r="AL34" s="30" t="n">
        <v>68.53382882299999</v>
      </c>
      <c r="AM34" s="30" t="n">
        <v>-0.006269846</v>
      </c>
      <c r="AN34" s="30" t="n">
        <v>-0.008180522000000001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-0.277798183</v>
      </c>
      <c r="AD36" s="24" t="n">
        <v>-0.339047801</v>
      </c>
      <c r="AE36" s="25" t="n"/>
      <c r="AF36" s="24" t="n">
        <v>-0.656238711</v>
      </c>
      <c r="AG36" s="24" t="n">
        <v>-0.553804119</v>
      </c>
      <c r="AH36" s="24" t="n">
        <v>-4.549693829</v>
      </c>
      <c r="AI36" s="24" t="n">
        <v>1.070329087</v>
      </c>
      <c r="AJ36" s="25" t="n"/>
      <c r="AK36" s="24" t="n">
        <v>0.652224074</v>
      </c>
      <c r="AL36" s="24" t="n">
        <v>0.144464272</v>
      </c>
      <c r="AM36" s="24" t="n">
        <v>0.369974917</v>
      </c>
      <c r="AN36" s="24" t="n">
        <v>0.226167207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0.09772562999999999</v>
      </c>
      <c r="AD37" s="24" t="n">
        <v>0.07845759400000001</v>
      </c>
      <c r="AE37" s="25" t="n"/>
      <c r="AF37" s="24" t="n">
        <v>0.093091893</v>
      </c>
      <c r="AG37" s="24" t="n">
        <v>0.024703511</v>
      </c>
      <c r="AH37" s="24" t="n">
        <v>0.088371455</v>
      </c>
      <c r="AI37" s="24" t="n">
        <v>0.067804874</v>
      </c>
      <c r="AJ37" s="25" t="n"/>
      <c r="AK37" s="24" t="n">
        <v>0.080110215</v>
      </c>
      <c r="AL37" s="24" t="n">
        <v>0.027135371</v>
      </c>
      <c r="AM37" s="24" t="n">
        <v>0.077460191</v>
      </c>
      <c r="AN37" s="24" t="n">
        <v>0.060201528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24" t="n">
        <v>-0.115455209</v>
      </c>
      <c r="AD39" s="24" t="n">
        <v>-0.695551243</v>
      </c>
      <c r="AE39" s="25" t="n"/>
      <c r="AF39" s="24" t="n">
        <v>1.427700058</v>
      </c>
      <c r="AG39" s="24" t="n">
        <v>0.151410478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IFERROR(subQ!G34/subQ!E34-1,"")</f>
        <v/>
      </c>
      <c r="H41" s="21">
        <f>IFERROR(subQ!H34/subQ!G34-1,"")</f>
        <v/>
      </c>
      <c r="I41" s="21">
        <f>IFERROR(subQ!I34/subQ!H34-1,"")</f>
        <v/>
      </c>
      <c r="J41" s="21">
        <f>IFERROR(subQ!J34/subQ!I34-1,"")</f>
        <v/>
      </c>
      <c r="K41" s="22" t="n"/>
      <c r="L41" s="21">
        <f>IFERROR(subQ!L34/subQ!J34-1,"")</f>
        <v/>
      </c>
      <c r="M41" s="21">
        <f>IFERROR(subQ!M34/subQ!L34-1,"")</f>
        <v/>
      </c>
      <c r="N41" s="21">
        <f>IFERROR(subQ!N34/subQ!M34-1,"")</f>
        <v/>
      </c>
      <c r="O41" s="21">
        <f>IFERROR(subQ!O34/subQ!N34-1,"")</f>
        <v/>
      </c>
      <c r="P41" s="22" t="n"/>
      <c r="Q41" s="21">
        <f>IFERROR(subQ!Q34/subQ!O34-1,"")</f>
        <v/>
      </c>
      <c r="R41" s="21">
        <f>IFERROR(subQ!R34/subQ!Q34-1,"")</f>
        <v/>
      </c>
      <c r="S41" s="21">
        <f>IFERROR(subQ!S34/subQ!R34-1,"")</f>
        <v/>
      </c>
      <c r="T41" s="21">
        <f>IFERROR(subQ!T34/subQ!S34-1,"")</f>
        <v/>
      </c>
      <c r="U41" s="22" t="n"/>
      <c r="V41" s="21">
        <f>IFERROR(subQ!V34/subQ!T34-1,"")</f>
        <v/>
      </c>
      <c r="W41" s="21">
        <f>IFERROR(subQ!W34/subQ!V34-1,"")</f>
        <v/>
      </c>
      <c r="X41" s="21">
        <f>IFERROR(subQ!X34/subQ!W34-1,"")</f>
        <v/>
      </c>
      <c r="Y41" s="21">
        <f>IFERROR(subQ!Y34/subQ!X34-1,"")</f>
        <v/>
      </c>
      <c r="Z41" s="22" t="n"/>
      <c r="AA41" s="21">
        <f>IFERROR(subQ!AA34/subQ!Y34-1,"")</f>
        <v/>
      </c>
      <c r="AB41" s="23">
        <f>IFERROR(subQ!AB34/subQ!AA34-1,"")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150</v>
      </c>
      <c r="AE42" s="31">
        <f>subQ!AE37</f>
        <v/>
      </c>
      <c r="AF42" s="32" t="n"/>
      <c r="AG42" s="32" t="n"/>
      <c r="AH42" s="32" t="n"/>
      <c r="AI42" s="30" t="n">
        <v>150</v>
      </c>
      <c r="AJ42" s="31">
        <f>subQ!AJ37</f>
        <v/>
      </c>
      <c r="AK42" s="32" t="n"/>
      <c r="AL42" s="32" t="n"/>
      <c r="AM42" s="32" t="n"/>
      <c r="AN42" s="30" t="n">
        <v>150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5940</v>
      </c>
      <c r="E45" s="2" t="inlineStr">
        <is>
          <t>원 — 네이버 정규장 종가(aik 확정종가 대조 · aik 6,150원)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10분기, 25/50/75 백분위) · 캡 5~30배 적용(원값 3.8/15.5/22.2)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22.2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0.2194416276711539</v>
      </c>
      <c r="E52" s="2" t="inlineStr">
        <is>
          <t>연결 — 법인세 = MAX(세전,0) × 세율(역산, 재현 오차 ≤ 0.05억 · 모델 assumptions 0.2194) · 최근 12분기 유효세율 21.9%(5~27%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0.08584188984117089</v>
      </c>
      <c r="E53" s="2" t="inlineStr">
        <is>
          <t>연결 — 판관비 = 매출액 × 판관비율(역산, 재현 오차 ≤ 0.05억 · 모델 assumptions 0.0858)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0.02979271686685315</v>
      </c>
      <c r="E55" s="2" t="inlineStr">
        <is>
          <t>연결 — 이자손익 = (전분기 이자발생자산 × 자산이자율 − 전분기 총차입금 × 부채이자율)/4(역산, 재현 오차 ≤ 0.05억 · 모델 assumptions 0.0298)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0.03515258790829119</v>
      </c>
      <c r="E56" s="2" t="inlineStr">
        <is>
          <t>연결 — 같은 수식의 부채 쪽(총차입금 행이 없으면 0)(역산, 재현 오차 ≤ 0.05억 · 모델 assumptions 0.0352)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0.2681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7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7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7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7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7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7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7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7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7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7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7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7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7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7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7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7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7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7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7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7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7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7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7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7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7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7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7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7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7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7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7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7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7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7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7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7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7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7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7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34.23</v>
      </c>
      <c r="Y13" s="18" t="n">
        <v>172107.12</v>
      </c>
      <c r="Z13" s="37" t="n">
        <v>172107.12</v>
      </c>
      <c r="AA13" s="18" t="n">
        <v>158557.95</v>
      </c>
      <c r="AB13" s="19" t="n">
        <v>125341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7" t="n">
        <v>0</v>
      </c>
      <c r="H14" s="18" t="n">
        <v>1735.05</v>
      </c>
      <c r="I14" s="18" t="n">
        <v>1735.05</v>
      </c>
      <c r="J14" s="18" t="n">
        <v>1338.09</v>
      </c>
      <c r="K14" s="37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7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7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7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7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7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7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7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7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7" t="n">
        <v>2650.3</v>
      </c>
      <c r="L16" s="18" t="n">
        <v>2717.31</v>
      </c>
      <c r="M16" s="18" t="n">
        <v>2792.06</v>
      </c>
      <c r="N16" s="18" t="n">
        <v>2971.8</v>
      </c>
      <c r="O16" s="18" t="n">
        <v>1237.16</v>
      </c>
      <c r="P16" s="37" t="n">
        <v>1237.16</v>
      </c>
      <c r="Q16" s="18" t="n">
        <v>82706.25999999999</v>
      </c>
      <c r="R16" s="18" t="n">
        <v>130886.66</v>
      </c>
      <c r="S16" s="18" t="n">
        <v>112929.07</v>
      </c>
      <c r="T16" s="18" t="n">
        <v>154214</v>
      </c>
      <c r="U16" s="37" t="n">
        <v>154214</v>
      </c>
      <c r="V16" s="18" t="n">
        <v>64914.86</v>
      </c>
      <c r="W16" s="18" t="n">
        <v>86030.52</v>
      </c>
      <c r="X16" s="18" t="n">
        <v>69675.14</v>
      </c>
      <c r="Y16" s="18" t="n">
        <v>54668.44</v>
      </c>
      <c r="Z16" s="37" t="n">
        <v>54668.44</v>
      </c>
      <c r="AA16" s="18" t="n">
        <v>55636.22</v>
      </c>
      <c r="AB16" s="19" t="n">
        <v>64782.84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7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7" t="n">
        <v>2950.3</v>
      </c>
      <c r="L17" s="18" t="n">
        <v>2817.31</v>
      </c>
      <c r="M17" s="18" t="n">
        <v>2892.06</v>
      </c>
      <c r="N17" s="18" t="n">
        <v>3571.8</v>
      </c>
      <c r="O17" s="18" t="n">
        <v>1822.16</v>
      </c>
      <c r="P17" s="37" t="n">
        <v>1822.16</v>
      </c>
      <c r="Q17" s="18" t="n">
        <v>83291.25999999999</v>
      </c>
      <c r="R17" s="18" t="n">
        <v>130971.66</v>
      </c>
      <c r="S17" s="18" t="n">
        <v>112929.07</v>
      </c>
      <c r="T17" s="18" t="n">
        <v>154214</v>
      </c>
      <c r="U17" s="37" t="n">
        <v>154214</v>
      </c>
      <c r="V17" s="18" t="n">
        <v>64914.86</v>
      </c>
      <c r="W17" s="18" t="n">
        <v>86030.52</v>
      </c>
      <c r="X17" s="18" t="n">
        <v>69675.14</v>
      </c>
      <c r="Y17" s="18" t="n">
        <v>136527.32</v>
      </c>
      <c r="Z17" s="37" t="n">
        <v>136527.32</v>
      </c>
      <c r="AA17" s="18" t="n">
        <v>140054.9</v>
      </c>
      <c r="AB17" s="19" t="n">
        <v>153976.26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7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7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7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7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7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7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7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7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7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7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7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7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7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7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7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7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7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7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7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7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7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7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7" t="n">
        <v>96.53</v>
      </c>
      <c r="G23" s="18" t="n">
        <v>96.53</v>
      </c>
      <c r="J23" s="18" t="n">
        <v>0</v>
      </c>
      <c r="K23" s="37" t="n">
        <v>0</v>
      </c>
      <c r="O23" s="18" t="n">
        <v>2665.45</v>
      </c>
      <c r="P23" s="37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7" t="n">
        <v>0</v>
      </c>
      <c r="V23" s="18" t="n">
        <v>0</v>
      </c>
      <c r="W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7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7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7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7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7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7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7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7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7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7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7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7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7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7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7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7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7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7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7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7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7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7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7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7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7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7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7" t="n">
        <v>7924.78</v>
      </c>
      <c r="L29" s="18" t="n">
        <v>7082.23</v>
      </c>
      <c r="M29" s="18" t="n">
        <v>7248.98</v>
      </c>
      <c r="N29" s="18" t="n">
        <v>7410.69</v>
      </c>
      <c r="O29" s="18" t="n">
        <v>7574.85</v>
      </c>
      <c r="P29" s="37" t="n">
        <v>7574.85</v>
      </c>
      <c r="Q29" s="18" t="n">
        <v>7750.72</v>
      </c>
      <c r="R29" s="18" t="n">
        <v>1000</v>
      </c>
      <c r="S29" s="18" t="n">
        <v>1000</v>
      </c>
      <c r="T29" s="18" t="n">
        <v>1000</v>
      </c>
      <c r="U29" s="37" t="n">
        <v>1000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7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7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7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7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7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7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7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7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7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7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7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7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7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7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7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7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7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7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7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7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7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7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7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7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7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7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7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7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7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7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7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7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7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7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7" t="n">
        <v>0</v>
      </c>
      <c r="Q37" s="18" t="n">
        <v>0</v>
      </c>
      <c r="R37" s="18" t="n">
        <v>14000</v>
      </c>
      <c r="S37" s="18" t="n">
        <v>14000</v>
      </c>
      <c r="T37" s="18" t="n">
        <v>14000</v>
      </c>
      <c r="U37" s="37" t="n">
        <v>14000</v>
      </c>
      <c r="V37" s="18" t="n">
        <v>15000</v>
      </c>
      <c r="W37" s="18" t="n">
        <v>1000</v>
      </c>
      <c r="X37" s="18" t="n">
        <v>1300</v>
      </c>
      <c r="Y37" s="18" t="n">
        <v>1300</v>
      </c>
      <c r="Z37" s="37" t="n">
        <v>1300</v>
      </c>
      <c r="AA37" s="18" t="n">
        <v>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7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7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7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7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7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7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7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7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7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7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7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7" t="n">
        <v>0</v>
      </c>
      <c r="L41" s="18" t="n">
        <v>0</v>
      </c>
      <c r="O41" s="18" t="n">
        <v>45.92</v>
      </c>
      <c r="P41" s="37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188.87</v>
      </c>
      <c r="X41" s="18" t="n">
        <v>203.68</v>
      </c>
      <c r="Y41" s="18" t="n">
        <v>6.26</v>
      </c>
      <c r="Z41" s="37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7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7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7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7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7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7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7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7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7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7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7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7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7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7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7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7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7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7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7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7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7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7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7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7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7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7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7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7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7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7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7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7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7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7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7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7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7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7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7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7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7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7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7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7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7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7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7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7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7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7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7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7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7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7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7" t="n">
        <v>142882.96</v>
      </c>
      <c r="L53" s="18" t="n">
        <v>142328.01</v>
      </c>
      <c r="M53" s="18" t="n">
        <v>142497.46</v>
      </c>
      <c r="N53" s="18" t="n">
        <v>147100.73</v>
      </c>
      <c r="O53" s="18" t="n">
        <v>122795.8</v>
      </c>
      <c r="P53" s="37" t="n">
        <v>122795.8</v>
      </c>
      <c r="Q53" s="18" t="n">
        <v>118164.49</v>
      </c>
      <c r="R53" s="18" t="n">
        <v>124180</v>
      </c>
      <c r="S53" s="18" t="n">
        <v>124530</v>
      </c>
      <c r="T53" s="18" t="n">
        <v>124530</v>
      </c>
      <c r="U53" s="37" t="n">
        <v>124530</v>
      </c>
      <c r="V53" s="18" t="n">
        <v>115530</v>
      </c>
      <c r="W53" s="18" t="n">
        <v>90030</v>
      </c>
      <c r="X53" s="18" t="n">
        <v>74680</v>
      </c>
      <c r="Y53" s="18" t="n">
        <v>62680</v>
      </c>
      <c r="Z53" s="37" t="n">
        <v>62680</v>
      </c>
      <c r="AA53" s="18" t="n">
        <v>62180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7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7" t="n">
        <v>112806.19</v>
      </c>
      <c r="L54" s="18" t="n">
        <v>116539.49</v>
      </c>
      <c r="M54" s="18" t="n">
        <v>119576.56</v>
      </c>
      <c r="N54" s="18" t="n">
        <v>105753.39</v>
      </c>
      <c r="O54" s="18" t="n">
        <v>88021.53</v>
      </c>
      <c r="P54" s="37" t="n">
        <v>88021.53</v>
      </c>
      <c r="Q54" s="18" t="n">
        <v>56639.92</v>
      </c>
      <c r="R54" s="18" t="n">
        <v>49101.33</v>
      </c>
      <c r="S54" s="18" t="n">
        <v>59108.77</v>
      </c>
      <c r="T54" s="18" t="n">
        <v>65119.62</v>
      </c>
      <c r="U54" s="37" t="n">
        <v>65119.62</v>
      </c>
      <c r="V54" s="18" t="n">
        <v>-50910.63</v>
      </c>
      <c r="W54" s="18" t="n">
        <v>-43242.23</v>
      </c>
      <c r="X54" s="18" t="n">
        <v>-114542.38</v>
      </c>
      <c r="Y54" s="18" t="n">
        <v>44492.62</v>
      </c>
      <c r="Z54" s="37" t="n">
        <v>44492.62</v>
      </c>
      <c r="AA54" s="18" t="n">
        <v>44357.04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7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7" t="n">
        <v>32727.07</v>
      </c>
      <c r="L55" s="18" t="n">
        <v>28505.83</v>
      </c>
      <c r="M55" s="18" t="n">
        <v>25712.96</v>
      </c>
      <c r="N55" s="18" t="n">
        <v>44319.14</v>
      </c>
      <c r="O55" s="18" t="n">
        <v>36011.43</v>
      </c>
      <c r="P55" s="37" t="n">
        <v>36011.43</v>
      </c>
      <c r="Q55" s="18" t="n">
        <v>144230.83</v>
      </c>
      <c r="R55" s="18" t="n">
        <v>205965.33</v>
      </c>
      <c r="S55" s="18" t="n">
        <v>178350.3</v>
      </c>
      <c r="T55" s="18" t="n">
        <v>213624.38</v>
      </c>
      <c r="U55" s="37" t="n">
        <v>213624.38</v>
      </c>
      <c r="V55" s="18" t="n">
        <v>231355.49</v>
      </c>
      <c r="W55" s="18" t="n">
        <v>219302.75</v>
      </c>
      <c r="X55" s="18" t="n">
        <v>258897.52</v>
      </c>
      <c r="Y55" s="18" t="n">
        <v>72855.82000000001</v>
      </c>
      <c r="Z55" s="37" t="n">
        <v>72855.82000000001</v>
      </c>
      <c r="AA55" s="18" t="n">
        <v>73459.17999999999</v>
      </c>
      <c r="AB55" s="19" t="n">
        <v>82426.78999999999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7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7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7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7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7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7" t="n">
        <v>25.7</v>
      </c>
      <c r="V57" s="18" t="n">
        <v>0.72</v>
      </c>
      <c r="W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7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7" t="n">
        <v>6540.95</v>
      </c>
      <c r="Q58" s="18" t="n">
        <v>6733.77</v>
      </c>
      <c r="R58" s="18" t="n">
        <v>0</v>
      </c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7" t="n">
        <v>108680</v>
      </c>
      <c r="Q59" s="18" t="n">
        <v>103680</v>
      </c>
      <c r="R59" s="18" t="n">
        <v>109180</v>
      </c>
      <c r="S59" s="18" t="n">
        <v>109530</v>
      </c>
      <c r="T59" s="18" t="n">
        <v>109530</v>
      </c>
      <c r="U59" s="37" t="n">
        <v>109530</v>
      </c>
      <c r="V59" s="18" t="n">
        <v>99530</v>
      </c>
      <c r="W59" s="18" t="n">
        <v>74530</v>
      </c>
      <c r="X59" s="18" t="n">
        <v>58880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14000</v>
      </c>
      <c r="T60" s="18" t="n">
        <v>14000</v>
      </c>
      <c r="U60" s="37" t="n">
        <v>14000</v>
      </c>
      <c r="V60" s="18" t="n">
        <v>15000</v>
      </c>
      <c r="W60" s="18" t="n">
        <v>1000</v>
      </c>
      <c r="X60" s="18" t="n">
        <v>1300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기타유동자산</t>
        </is>
      </c>
      <c r="F61" s="9" t="n"/>
      <c r="K61" s="9" t="n"/>
      <c r="P61" s="9" t="n"/>
      <c r="U61" s="9" t="n"/>
      <c r="Y61" s="18" t="n">
        <v>287.25</v>
      </c>
      <c r="Z61" s="37" t="n">
        <v>287.25</v>
      </c>
      <c r="AA61" s="18" t="n">
        <v>354.34</v>
      </c>
      <c r="AB61" s="19" t="n">
        <v>620.16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매각예정비유동자산및처분자산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U63" s="9" t="n"/>
      <c r="Y63" s="18" t="n">
        <v>81858.88</v>
      </c>
      <c r="Z63" s="37" t="n">
        <v>81858.88</v>
      </c>
      <c r="AA63" s="18" t="n">
        <v>84418.67999999999</v>
      </c>
      <c r="AB63" s="19" t="n">
        <v>89193.42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사용권자산</t>
        </is>
      </c>
      <c r="F64" s="9" t="n"/>
      <c r="K64" s="9" t="n"/>
      <c r="P64" s="9" t="n"/>
      <c r="U64" s="9" t="n"/>
      <c r="Y64" s="18" t="n">
        <v>29.85</v>
      </c>
      <c r="Z64" s="37" t="n">
        <v>29.85</v>
      </c>
      <c r="AA64" s="18" t="n">
        <v>22.27</v>
      </c>
      <c r="AB64" s="19" t="n">
        <v>65.09999999999999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기타유동부채</t>
        </is>
      </c>
      <c r="F65" s="9" t="n"/>
      <c r="K65" s="9" t="n"/>
      <c r="P65" s="9" t="n"/>
      <c r="U65" s="9" t="n"/>
      <c r="Y65" s="18" t="n">
        <v>1494.23</v>
      </c>
      <c r="Z65" s="37" t="n">
        <v>1494.23</v>
      </c>
      <c r="AA65" s="18" t="n">
        <v>3148.77</v>
      </c>
      <c r="AB65" s="19" t="n">
        <v>4452.18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36139.56</v>
      </c>
      <c r="F66" s="9" t="n"/>
      <c r="G66" s="18" t="n">
        <v>39651.68</v>
      </c>
      <c r="H66" s="18" t="n">
        <v>31734.58</v>
      </c>
      <c r="I66" s="18" t="n">
        <v>35560.56</v>
      </c>
      <c r="J66" s="18" t="n">
        <v>41442.86</v>
      </c>
      <c r="K66" s="37" t="n">
        <v>148389.68</v>
      </c>
      <c r="L66" s="18" t="n">
        <v>32693.89</v>
      </c>
      <c r="M66" s="18" t="n">
        <v>32309.27</v>
      </c>
      <c r="N66" s="18" t="n">
        <v>33618.1</v>
      </c>
      <c r="O66" s="18" t="n">
        <v>5329.81</v>
      </c>
      <c r="P66" s="37" t="n">
        <v>103951.07</v>
      </c>
      <c r="Q66" s="18" t="n">
        <v>21768.5</v>
      </c>
      <c r="R66" s="18" t="n">
        <v>25498.5</v>
      </c>
      <c r="S66" s="18" t="n">
        <v>20568.31</v>
      </c>
      <c r="T66" s="18" t="n">
        <v>24948.7</v>
      </c>
      <c r="U66" s="37" t="n">
        <v>92784.00999999999</v>
      </c>
      <c r="V66" s="18" t="n">
        <v>28520.55</v>
      </c>
      <c r="W66" s="18" t="n">
        <v>25162.4</v>
      </c>
      <c r="X66" s="18" t="n">
        <v>28794.87</v>
      </c>
      <c r="Y66" s="18" t="n">
        <v>25480.48</v>
      </c>
      <c r="Z66" s="37" t="n">
        <v>107958.3</v>
      </c>
      <c r="AA66" s="18" t="n">
        <v>25986.51</v>
      </c>
      <c r="AB66" s="19" t="n">
        <v>31829.88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30667.84</v>
      </c>
      <c r="F67" s="9" t="n"/>
      <c r="G67" s="18" t="n">
        <v>34679.95</v>
      </c>
      <c r="H67" s="18" t="n">
        <v>27074.08</v>
      </c>
      <c r="I67" s="18" t="n">
        <v>30848.66</v>
      </c>
      <c r="J67" s="18" t="n">
        <v>36065.32</v>
      </c>
      <c r="K67" s="37" t="n">
        <v>128668.01</v>
      </c>
      <c r="L67" s="18" t="n">
        <v>28785.12</v>
      </c>
      <c r="M67" s="18" t="n">
        <v>28007.72</v>
      </c>
      <c r="N67" s="18" t="n">
        <v>28557.18</v>
      </c>
      <c r="O67" s="18" t="n">
        <v>5660.19</v>
      </c>
      <c r="P67" s="37" t="n">
        <v>91010.21000000001</v>
      </c>
      <c r="Q67" s="18" t="n">
        <v>18606.7</v>
      </c>
      <c r="R67" s="18" t="n">
        <v>18885.29</v>
      </c>
      <c r="S67" s="18" t="n">
        <v>16726.86</v>
      </c>
      <c r="T67" s="18" t="n">
        <v>19708.72</v>
      </c>
      <c r="U67" s="37" t="n">
        <v>73927.57000000001</v>
      </c>
      <c r="V67" s="18" t="n">
        <v>22987.82</v>
      </c>
      <c r="W67" s="18" t="n">
        <v>18780.55</v>
      </c>
      <c r="X67" s="18" t="n">
        <v>21228.63</v>
      </c>
      <c r="Y67" s="18" t="n">
        <v>19775.09</v>
      </c>
      <c r="Z67" s="37" t="n">
        <v>82772.09</v>
      </c>
      <c r="AA67" s="18" t="n">
        <v>19800.64</v>
      </c>
      <c r="AB67" s="19" t="n">
        <v>23860.94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5471.71</v>
      </c>
      <c r="F68" s="9" t="n"/>
      <c r="G68" s="18" t="n">
        <v>4971.73</v>
      </c>
      <c r="H68" s="18" t="n">
        <v>4660.5</v>
      </c>
      <c r="I68" s="18" t="n">
        <v>4711.9</v>
      </c>
      <c r="J68" s="18" t="n">
        <v>5377.54</v>
      </c>
      <c r="K68" s="37" t="n">
        <v>19721.67</v>
      </c>
      <c r="L68" s="18" t="n">
        <v>3908.77</v>
      </c>
      <c r="M68" s="18" t="n">
        <v>4301.55</v>
      </c>
      <c r="N68" s="18" t="n">
        <v>5060.92</v>
      </c>
      <c r="O68" s="18" t="n">
        <v>-330.37</v>
      </c>
      <c r="P68" s="37" t="n">
        <v>12940.87</v>
      </c>
      <c r="Q68" s="18" t="n">
        <v>3161.8</v>
      </c>
      <c r="R68" s="18" t="n">
        <v>6613.21</v>
      </c>
      <c r="S68" s="18" t="n">
        <v>3841.45</v>
      </c>
      <c r="T68" s="18" t="n">
        <v>5239.98</v>
      </c>
      <c r="U68" s="37" t="n">
        <v>18856.44</v>
      </c>
      <c r="V68" s="18" t="n">
        <v>5532.73</v>
      </c>
      <c r="W68" s="18" t="n">
        <v>6381.85</v>
      </c>
      <c r="X68" s="18" t="n">
        <v>7566.23</v>
      </c>
      <c r="Y68" s="18" t="n">
        <v>5705.39</v>
      </c>
      <c r="Z68" s="37" t="n">
        <v>25186.2</v>
      </c>
      <c r="AA68" s="18" t="n">
        <v>6185.87</v>
      </c>
      <c r="AB68" s="19" t="n">
        <v>7968.94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2177.63</v>
      </c>
      <c r="F69" s="9" t="n"/>
      <c r="G69" s="18" t="n">
        <v>2329.55</v>
      </c>
      <c r="H69" s="18" t="n">
        <v>2244.58</v>
      </c>
      <c r="I69" s="18" t="n">
        <v>2806.07</v>
      </c>
      <c r="J69" s="18" t="n">
        <v>2456.36</v>
      </c>
      <c r="K69" s="37" t="n">
        <v>9836.559999999999</v>
      </c>
      <c r="L69" s="18" t="n">
        <v>2458.72</v>
      </c>
      <c r="M69" s="18" t="n">
        <v>2534.67</v>
      </c>
      <c r="N69" s="18" t="n">
        <v>3276.13</v>
      </c>
      <c r="O69" s="18" t="n">
        <v>-214.57</v>
      </c>
      <c r="P69" s="37" t="n">
        <v>8054.95</v>
      </c>
      <c r="Q69" s="18" t="n">
        <v>2010.67</v>
      </c>
      <c r="R69" s="18" t="n">
        <v>2051.11</v>
      </c>
      <c r="S69" s="18" t="n">
        <v>2652.51</v>
      </c>
      <c r="T69" s="18" t="n">
        <v>1881.05</v>
      </c>
      <c r="U69" s="37" t="n">
        <v>8595.34</v>
      </c>
      <c r="V69" s="18" t="n">
        <v>2873.45</v>
      </c>
      <c r="W69" s="18" t="n">
        <v>1973.04</v>
      </c>
      <c r="X69" s="18" t="n">
        <v>2700.91</v>
      </c>
      <c r="Y69" s="18" t="n">
        <v>2104.51</v>
      </c>
      <c r="Z69" s="37" t="n">
        <v>9651.91</v>
      </c>
      <c r="AA69" s="18" t="n">
        <v>2023.58</v>
      </c>
      <c r="AB69" s="19" t="n">
        <v>2835.27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3294.09</v>
      </c>
      <c r="F70" s="9" t="n"/>
      <c r="G70" s="18" t="n">
        <v>2642.18</v>
      </c>
      <c r="H70" s="18" t="n">
        <v>2415.92</v>
      </c>
      <c r="I70" s="18" t="n">
        <v>1905.83</v>
      </c>
      <c r="J70" s="18" t="n">
        <v>2921.18</v>
      </c>
      <c r="K70" s="37" t="n">
        <v>9885.110000000001</v>
      </c>
      <c r="L70" s="18" t="n">
        <v>1450.06</v>
      </c>
      <c r="M70" s="18" t="n">
        <v>1766.87</v>
      </c>
      <c r="N70" s="18" t="n">
        <v>1784.8</v>
      </c>
      <c r="O70" s="18" t="n">
        <v>-115.8</v>
      </c>
      <c r="P70" s="37" t="n">
        <v>4885.93</v>
      </c>
      <c r="Q70" s="18" t="n">
        <v>1151.13</v>
      </c>
      <c r="R70" s="18" t="n">
        <v>4562.1</v>
      </c>
      <c r="S70" s="18" t="n">
        <v>1188.94</v>
      </c>
      <c r="T70" s="18" t="n">
        <v>3358.93</v>
      </c>
      <c r="U70" s="37" t="n">
        <v>10261.1</v>
      </c>
      <c r="V70" s="18" t="n">
        <v>2659.27</v>
      </c>
      <c r="W70" s="18" t="n">
        <v>4408.81</v>
      </c>
      <c r="X70" s="18" t="n">
        <v>4865.33</v>
      </c>
      <c r="Y70" s="18" t="n">
        <v>3600.88</v>
      </c>
      <c r="Z70" s="37" t="n">
        <v>15534.29</v>
      </c>
      <c r="AA70" s="18" t="n">
        <v>4162.29</v>
      </c>
      <c r="AB70" s="19" t="n">
        <v>5133.68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3361.37</v>
      </c>
      <c r="F71" s="9" t="n"/>
      <c r="G71" s="18" t="n">
        <v>324.46</v>
      </c>
      <c r="H71" s="18" t="n">
        <v>657.87</v>
      </c>
      <c r="I71" s="18" t="n">
        <v>871.13</v>
      </c>
      <c r="J71" s="18" t="n">
        <v>-47.51</v>
      </c>
      <c r="K71" s="37" t="n">
        <v>1805.95</v>
      </c>
      <c r="L71" s="18" t="n">
        <v>2394.01</v>
      </c>
      <c r="M71" s="18" t="n">
        <v>154.42</v>
      </c>
      <c r="N71" s="18" t="n">
        <v>937.9299999999999</v>
      </c>
      <c r="O71" s="18" t="n">
        <v>-345.52</v>
      </c>
      <c r="P71" s="37" t="n">
        <v>3140.84</v>
      </c>
      <c r="Q71" s="18" t="n">
        <v>75431.19</v>
      </c>
      <c r="R71" s="18" t="n">
        <v>-154.92</v>
      </c>
      <c r="S71" s="18" t="n">
        <v>8280.52</v>
      </c>
      <c r="T71" s="18" t="n">
        <v>3320.34</v>
      </c>
      <c r="U71" s="37" t="n">
        <v>86877.13</v>
      </c>
      <c r="V71" s="18" t="n">
        <v>309.24</v>
      </c>
      <c r="W71" s="18" t="n">
        <v>19873.58</v>
      </c>
      <c r="X71" s="18" t="n">
        <v>289</v>
      </c>
      <c r="Y71" s="18" t="n">
        <v>207.82</v>
      </c>
      <c r="Z71" s="37" t="n">
        <v>20679.64</v>
      </c>
      <c r="AA71" s="18" t="n">
        <v>322.19</v>
      </c>
      <c r="AB71" s="19" t="n">
        <v>404.18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292.94</v>
      </c>
      <c r="F72" s="9" t="n"/>
      <c r="G72" s="18" t="n">
        <v>1932.65</v>
      </c>
      <c r="H72" s="18" t="n">
        <v>10925.32</v>
      </c>
      <c r="I72" s="18" t="n">
        <v>70.95</v>
      </c>
      <c r="J72" s="18" t="n">
        <v>5006.54</v>
      </c>
      <c r="K72" s="37" t="n">
        <v>17935.46</v>
      </c>
      <c r="L72" s="18" t="n">
        <v>32.44</v>
      </c>
      <c r="M72" s="18" t="n">
        <v>8604.309999999999</v>
      </c>
      <c r="N72" s="18" t="n">
        <v>143.46</v>
      </c>
      <c r="O72" s="18" t="n">
        <v>-70.97</v>
      </c>
      <c r="P72" s="37" t="n">
        <v>8709.24</v>
      </c>
      <c r="Q72" s="18" t="n">
        <v>8881.42</v>
      </c>
      <c r="R72" s="18" t="n">
        <v>10273.34</v>
      </c>
      <c r="S72" s="18" t="n">
        <v>4632.2</v>
      </c>
      <c r="T72" s="18" t="n">
        <v>8196.360000000001</v>
      </c>
      <c r="U72" s="37" t="n">
        <v>31983.32</v>
      </c>
      <c r="V72" s="18" t="n">
        <v>4847.89</v>
      </c>
      <c r="W72" s="18" t="n">
        <v>4291.47</v>
      </c>
      <c r="X72" s="18" t="n">
        <v>7482.16</v>
      </c>
      <c r="Y72" s="18" t="n">
        <v>-16016.69</v>
      </c>
      <c r="Z72" s="37" t="n">
        <v>604.83</v>
      </c>
      <c r="AA72" s="18" t="n">
        <v>5.66</v>
      </c>
      <c r="AB72" s="19" t="n">
        <v>204.86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71.90000000000001</v>
      </c>
      <c r="F73" s="9" t="n"/>
      <c r="G73" s="18" t="n">
        <v>140.7</v>
      </c>
      <c r="H73" s="18" t="n">
        <v>1290.19</v>
      </c>
      <c r="I73" s="18" t="n">
        <v>166.13</v>
      </c>
      <c r="J73" s="18" t="n">
        <v>781.87</v>
      </c>
      <c r="K73" s="37" t="n">
        <v>2378.89</v>
      </c>
      <c r="L73" s="18" t="n">
        <v>241.2</v>
      </c>
      <c r="M73" s="18" t="n">
        <v>2331.66</v>
      </c>
      <c r="N73" s="18" t="n">
        <v>300.62</v>
      </c>
      <c r="O73" s="18" t="n">
        <v>427.78</v>
      </c>
      <c r="P73" s="37" t="n">
        <v>3301.26</v>
      </c>
      <c r="Q73" s="18" t="n">
        <v>497.95</v>
      </c>
      <c r="R73" s="18" t="n">
        <v>533.5700000000001</v>
      </c>
      <c r="S73" s="18" t="n">
        <v>717.55</v>
      </c>
      <c r="T73" s="18" t="n">
        <v>668.45</v>
      </c>
      <c r="U73" s="37" t="n">
        <v>2417.52</v>
      </c>
      <c r="V73" s="18" t="n">
        <v>1286.7</v>
      </c>
      <c r="W73" s="18" t="n">
        <v>1201.32</v>
      </c>
      <c r="X73" s="18" t="n">
        <v>1127.18</v>
      </c>
      <c r="Y73" s="18" t="n">
        <v>1406.57</v>
      </c>
      <c r="Z73" s="37" t="n">
        <v>5021.77</v>
      </c>
      <c r="AA73" s="18" t="n">
        <v>1247.97</v>
      </c>
      <c r="AB73" s="19" t="n">
        <v>1036.39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856.51</v>
      </c>
      <c r="F74" s="9" t="n"/>
      <c r="G74" s="18" t="n">
        <v>951.34</v>
      </c>
      <c r="H74" s="18" t="n">
        <v>1781.96</v>
      </c>
      <c r="I74" s="18" t="n">
        <v>1562.76</v>
      </c>
      <c r="J74" s="18" t="n">
        <v>2196.3</v>
      </c>
      <c r="K74" s="37" t="n">
        <v>6492.36</v>
      </c>
      <c r="L74" s="18" t="n">
        <v>1982.95</v>
      </c>
      <c r="M74" s="18" t="n">
        <v>2863.32</v>
      </c>
      <c r="N74" s="18" t="n">
        <v>1938.56</v>
      </c>
      <c r="O74" s="18" t="n">
        <v>1410.49</v>
      </c>
      <c r="P74" s="37" t="n">
        <v>8195.32</v>
      </c>
      <c r="Q74" s="18" t="n">
        <v>1746.13</v>
      </c>
      <c r="R74" s="18" t="n">
        <v>7388.14</v>
      </c>
      <c r="S74" s="18" t="n">
        <v>1244.52</v>
      </c>
      <c r="T74" s="18" t="n">
        <v>1195.47</v>
      </c>
      <c r="U74" s="37" t="n">
        <v>11574.26</v>
      </c>
      <c r="V74" s="18" t="n">
        <v>1038.7</v>
      </c>
      <c r="W74" s="18" t="n">
        <v>753.47</v>
      </c>
      <c r="X74" s="18" t="n">
        <v>686.5599999999999</v>
      </c>
      <c r="Y74" s="18" t="n">
        <v>579.5700000000001</v>
      </c>
      <c r="Z74" s="37" t="n">
        <v>3058.3</v>
      </c>
      <c r="AA74" s="18" t="n">
        <v>485.72</v>
      </c>
      <c r="AB74" s="19" t="n">
        <v>390.82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5577.92</v>
      </c>
      <c r="F75" s="9" t="n"/>
      <c r="G75" s="18" t="n">
        <v>223.34</v>
      </c>
      <c r="H75" s="18" t="n">
        <v>-8343.309999999999</v>
      </c>
      <c r="I75" s="18" t="n">
        <v>1309.38</v>
      </c>
      <c r="J75" s="18" t="n">
        <v>-3547.29</v>
      </c>
      <c r="K75" s="37" t="n">
        <v>-10357.88</v>
      </c>
      <c r="L75" s="18" t="n">
        <v>2069.88</v>
      </c>
      <c r="M75" s="18" t="n">
        <v>-7214.67</v>
      </c>
      <c r="N75" s="18" t="n">
        <v>941.3200000000001</v>
      </c>
      <c r="O75" s="18" t="n">
        <v>-1373.06</v>
      </c>
      <c r="P75" s="37" t="n">
        <v>-5576.53</v>
      </c>
      <c r="Q75" s="18" t="n">
        <v>66452.73</v>
      </c>
      <c r="R75" s="18" t="n">
        <v>-12720.73</v>
      </c>
      <c r="S75" s="18" t="n">
        <v>4310.29</v>
      </c>
      <c r="T75" s="18" t="n">
        <v>-2044.11</v>
      </c>
      <c r="U75" s="37" t="n">
        <v>55998.18</v>
      </c>
      <c r="V75" s="18" t="n">
        <v>-1631.39</v>
      </c>
      <c r="W75" s="18" t="n">
        <v>20438.76</v>
      </c>
      <c r="X75" s="18" t="n">
        <v>-1887.22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6202.19</v>
      </c>
      <c r="F76" s="9" t="n"/>
      <c r="G76" s="18" t="n">
        <v>424.04</v>
      </c>
      <c r="H76" s="18" t="n">
        <v>332.86</v>
      </c>
      <c r="I76" s="18" t="n">
        <v>88.04000000000001</v>
      </c>
      <c r="J76" s="18" t="n">
        <v>-431.78</v>
      </c>
      <c r="K76" s="37" t="n">
        <v>413.16</v>
      </c>
      <c r="L76" s="18" t="n">
        <v>50.92</v>
      </c>
      <c r="M76" s="18" t="n">
        <v>233.45</v>
      </c>
      <c r="N76" s="18" t="n">
        <v>-19.48</v>
      </c>
      <c r="O76" s="18" t="n">
        <v>-4939.91</v>
      </c>
      <c r="P76" s="37" t="n">
        <v>-4675.02</v>
      </c>
      <c r="Q76" s="18" t="n">
        <v>13409.7</v>
      </c>
      <c r="R76" s="18" t="n">
        <v>-479.16</v>
      </c>
      <c r="S76" s="18" t="n">
        <v>1251.39</v>
      </c>
      <c r="T76" s="18" t="n">
        <v>1793.07</v>
      </c>
      <c r="U76" s="37" t="n">
        <v>15975</v>
      </c>
      <c r="V76" s="18" t="n">
        <v>698.88</v>
      </c>
      <c r="W76" s="18" t="n">
        <v>1209.75</v>
      </c>
      <c r="X76" s="18" t="n">
        <v>1222.15</v>
      </c>
      <c r="Y76" s="18" t="n">
        <v>2511.15</v>
      </c>
      <c r="Z76" s="37" t="n">
        <v>5641.93</v>
      </c>
      <c r="AA76" s="18" t="n">
        <v>1018.7</v>
      </c>
      <c r="AB76" s="19" t="n">
        <v>1367.08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-624.26</v>
      </c>
      <c r="F77" s="9" t="n"/>
      <c r="G77" s="18" t="n">
        <v>-200.69</v>
      </c>
      <c r="H77" s="18" t="n">
        <v>-8676.16</v>
      </c>
      <c r="I77" s="18" t="n">
        <v>1221.34</v>
      </c>
      <c r="J77" s="18" t="n">
        <v>-3115.52</v>
      </c>
      <c r="K77" s="37" t="n">
        <v>-10771.03</v>
      </c>
      <c r="L77" s="18" t="n">
        <v>2018.96</v>
      </c>
      <c r="M77" s="18" t="n">
        <v>-7448.12</v>
      </c>
      <c r="N77" s="18" t="n">
        <v>960.8</v>
      </c>
      <c r="O77" s="18" t="n">
        <v>6963.49</v>
      </c>
      <c r="P77" s="37" t="n">
        <v>2495.13</v>
      </c>
      <c r="Q77" s="18" t="n">
        <v>53043.02</v>
      </c>
      <c r="R77" s="18" t="n">
        <v>-12241.57</v>
      </c>
      <c r="S77" s="18" t="n">
        <v>3058.9</v>
      </c>
      <c r="T77" s="18" t="n">
        <v>-3837.18</v>
      </c>
      <c r="U77" s="37" t="n">
        <v>40023.17</v>
      </c>
      <c r="V77" s="18" t="n">
        <v>-2330.27</v>
      </c>
      <c r="W77" s="18" t="n">
        <v>19229.01</v>
      </c>
      <c r="X77" s="18" t="n">
        <v>-3109.36</v>
      </c>
      <c r="Y77" s="18" t="n">
        <v>11777.42</v>
      </c>
      <c r="Z77" s="37" t="n">
        <v>25566.8</v>
      </c>
      <c r="AB77" s="19" t="n">
        <v>9386.219999999999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4863.36</v>
      </c>
      <c r="F78" s="9" t="n"/>
      <c r="G78" s="18" t="n">
        <v>-411.61</v>
      </c>
      <c r="H78" s="18" t="n">
        <v>-7883.39</v>
      </c>
      <c r="I78" s="18" t="n">
        <v>1466.63</v>
      </c>
      <c r="J78" s="18" t="n">
        <v>-1182.34</v>
      </c>
      <c r="K78" s="37" t="n">
        <v>-8010.71</v>
      </c>
      <c r="L78" s="18" t="n">
        <v>2103.42</v>
      </c>
      <c r="M78" s="18" t="n">
        <v>-7684.77</v>
      </c>
      <c r="N78" s="18" t="n">
        <v>1014.62</v>
      </c>
      <c r="O78" s="18" t="n">
        <v>5853.65</v>
      </c>
      <c r="P78" s="37" t="n">
        <v>1286.92</v>
      </c>
      <c r="Q78" s="18" t="n">
        <v>63694.08</v>
      </c>
      <c r="R78" s="18" t="n">
        <v>24476.59</v>
      </c>
      <c r="S78" s="18" t="n">
        <v>-10765.51</v>
      </c>
      <c r="T78" s="18" t="n">
        <v>27773.06</v>
      </c>
      <c r="U78" s="37" t="n">
        <v>105178.22</v>
      </c>
      <c r="V78" s="18" t="n">
        <v>22181.8</v>
      </c>
      <c r="W78" s="18" t="n">
        <v>35758.8</v>
      </c>
      <c r="X78" s="18" t="n">
        <v>35229.71</v>
      </c>
      <c r="Y78" s="18" t="n">
        <v>7235.96</v>
      </c>
      <c r="Z78" s="37" t="n">
        <v>100406.27</v>
      </c>
      <c r="AA78" s="18" t="n">
        <v>7327.49</v>
      </c>
      <c r="AB78" s="19" t="n">
        <v>16276.54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-624.26</v>
      </c>
      <c r="F79" s="9" t="n"/>
      <c r="G79" s="18" t="n">
        <v>-200.69</v>
      </c>
      <c r="H79" s="18" t="n">
        <v>-8676.16</v>
      </c>
      <c r="I79" s="18" t="n">
        <v>1221.34</v>
      </c>
      <c r="J79" s="18" t="n">
        <v>-3115.52</v>
      </c>
      <c r="K79" s="37" t="n">
        <v>-10771.03</v>
      </c>
      <c r="L79" s="18" t="n">
        <v>2018.96</v>
      </c>
      <c r="M79" s="18" t="n">
        <v>-7448.12</v>
      </c>
      <c r="N79" s="18" t="n">
        <v>960.8</v>
      </c>
      <c r="O79" s="18" t="n">
        <v>6963.49</v>
      </c>
      <c r="P79" s="37" t="n">
        <v>2495.13</v>
      </c>
      <c r="Q79" s="18" t="n">
        <v>53043.02</v>
      </c>
      <c r="R79" s="18" t="n">
        <v>-12241.57</v>
      </c>
      <c r="S79" s="18" t="n">
        <v>3058.9</v>
      </c>
      <c r="T79" s="18" t="n">
        <v>-3837.18</v>
      </c>
      <c r="U79" s="37" t="n">
        <v>40023.17</v>
      </c>
      <c r="V79" s="18" t="n">
        <v>-2330.27</v>
      </c>
      <c r="W79" s="18" t="n">
        <v>19229.01</v>
      </c>
      <c r="X79" s="18" t="n">
        <v>-3109.36</v>
      </c>
      <c r="Y79" s="18" t="n">
        <v>11777.42</v>
      </c>
      <c r="Z79" s="37" t="n">
        <v>25566.8</v>
      </c>
      <c r="AA79" s="18" t="n">
        <v>6782.16</v>
      </c>
      <c r="AB79" s="19" t="n">
        <v>9386.219999999999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-784.61</v>
      </c>
      <c r="F80" s="9" t="n"/>
      <c r="G80" s="18" t="n">
        <v>-810.64</v>
      </c>
      <c r="H80" s="18" t="n">
        <v>-491.77</v>
      </c>
      <c r="I80" s="18" t="n">
        <v>-1396.63</v>
      </c>
      <c r="J80" s="18" t="n">
        <v>-1414.43</v>
      </c>
      <c r="K80" s="37" t="n">
        <v>-4113.47</v>
      </c>
      <c r="L80" s="18" t="n">
        <v>-1741.75</v>
      </c>
      <c r="M80" s="18" t="n">
        <v>-531.66</v>
      </c>
      <c r="N80" s="18" t="n">
        <v>-1637.94</v>
      </c>
      <c r="O80" s="18" t="n">
        <v>-982.71</v>
      </c>
      <c r="P80" s="37" t="n">
        <v>-4894.06</v>
      </c>
      <c r="Q80" s="18" t="n">
        <v>-1248.18</v>
      </c>
      <c r="R80" s="18" t="n">
        <v>-6854.57</v>
      </c>
      <c r="S80" s="18" t="n">
        <v>-526.97</v>
      </c>
      <c r="T80" s="18" t="n">
        <v>-527.02</v>
      </c>
      <c r="U80" s="37" t="n">
        <v>-9156.74</v>
      </c>
      <c r="V80" s="18" t="n">
        <v>248</v>
      </c>
      <c r="W80" s="18" t="n">
        <v>447.85</v>
      </c>
      <c r="X80" s="18" t="n">
        <v>440.62</v>
      </c>
      <c r="Y80" s="18" t="n">
        <v>827</v>
      </c>
      <c r="Z80" s="37" t="n">
        <v>1963.47</v>
      </c>
      <c r="AA80" s="18" t="n">
        <v>762.25</v>
      </c>
      <c r="AB80" s="19" t="n">
        <v>645.5700000000001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3068.43</v>
      </c>
      <c r="F81" s="9" t="n"/>
      <c r="G81" s="18" t="n">
        <v>-1608.19</v>
      </c>
      <c r="H81" s="18" t="n">
        <v>-10267.45</v>
      </c>
      <c r="I81" s="18" t="n">
        <v>800.1799999999999</v>
      </c>
      <c r="J81" s="18" t="n">
        <v>-5054.05</v>
      </c>
      <c r="K81" s="37" t="n">
        <v>-16129.51</v>
      </c>
      <c r="L81" s="18" t="n">
        <v>2361.57</v>
      </c>
      <c r="M81" s="18" t="n">
        <v>-8449.889999999999</v>
      </c>
      <c r="N81" s="18" t="n">
        <v>794.47</v>
      </c>
      <c r="O81" s="18" t="n">
        <v>-274.55</v>
      </c>
      <c r="P81" s="37" t="n">
        <v>-5568.4</v>
      </c>
      <c r="Q81" s="18" t="n">
        <v>66549.77</v>
      </c>
      <c r="R81" s="18" t="n">
        <v>-10428.26</v>
      </c>
      <c r="S81" s="18" t="n">
        <v>3648.32</v>
      </c>
      <c r="T81" s="18" t="n">
        <v>-4876.02</v>
      </c>
      <c r="U81" s="37" t="n">
        <v>54893.81</v>
      </c>
      <c r="V81" s="18" t="n">
        <v>-4538.65</v>
      </c>
      <c r="W81" s="18" t="n">
        <v>15582.11</v>
      </c>
      <c r="X81" s="18" t="n">
        <v>-7193.16</v>
      </c>
      <c r="Y81" s="18" t="n">
        <v>16224.51</v>
      </c>
      <c r="Z81" s="37" t="n">
        <v>20074.81</v>
      </c>
      <c r="AA81" s="18" t="n">
        <v>316.53</v>
      </c>
      <c r="AB81" s="19" t="n">
        <v>199.32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-624.26</v>
      </c>
      <c r="F82" s="9" t="n"/>
      <c r="G82" s="18" t="n">
        <v>-200.69</v>
      </c>
      <c r="H82" s="18" t="n">
        <v>-8676.16</v>
      </c>
      <c r="I82" s="18" t="n">
        <v>1221.34</v>
      </c>
      <c r="J82" s="18" t="n">
        <v>-3115.52</v>
      </c>
      <c r="K82" s="37" t="n">
        <v>-10771.03</v>
      </c>
      <c r="L82" s="18" t="n">
        <v>2018.96</v>
      </c>
      <c r="M82" s="18" t="n">
        <v>-7448.12</v>
      </c>
      <c r="N82" s="18" t="n">
        <v>960.8</v>
      </c>
      <c r="O82" s="18" t="n">
        <v>3566.85</v>
      </c>
      <c r="P82" s="37" t="n">
        <v>-901.51</v>
      </c>
      <c r="Q82" s="18" t="n">
        <v>53043.02</v>
      </c>
      <c r="R82" s="18" t="n">
        <v>-12241.57</v>
      </c>
      <c r="S82" s="18" t="n">
        <v>3058.9</v>
      </c>
      <c r="T82" s="18" t="n">
        <v>-3837.18</v>
      </c>
      <c r="U82" s="37" t="n">
        <v>40023.17</v>
      </c>
      <c r="V82" s="18" t="n">
        <v>-2330.27</v>
      </c>
      <c r="W82" s="18" t="n">
        <v>19229.01</v>
      </c>
      <c r="X82" s="18" t="n">
        <v>-3109.36</v>
      </c>
      <c r="Y82" s="18" t="n">
        <v>11777.42</v>
      </c>
      <c r="Z82" s="37" t="n">
        <v>25566.8</v>
      </c>
      <c r="AA82" s="18" t="n">
        <v>6782.16</v>
      </c>
      <c r="AB82" s="19" t="n">
        <v>9386.219999999999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134.6</v>
      </c>
      <c r="H83" s="18" t="n">
        <v>201.39</v>
      </c>
      <c r="I83" s="18" t="n">
        <v>165.96</v>
      </c>
      <c r="J83" s="18" t="n">
        <v>192.62</v>
      </c>
      <c r="K83" s="37" t="n">
        <v>694.5700000000001</v>
      </c>
      <c r="L83" s="18" t="n">
        <v>241.2</v>
      </c>
      <c r="M83" s="18" t="n">
        <v>322.8</v>
      </c>
      <c r="N83" s="18" t="n">
        <v>300.62</v>
      </c>
      <c r="O83" s="18" t="n">
        <v>-289.28</v>
      </c>
      <c r="P83" s="37" t="n">
        <v>575.34</v>
      </c>
      <c r="Q83" s="18" t="n">
        <v>497.95</v>
      </c>
      <c r="R83" s="18" t="n">
        <v>527.24</v>
      </c>
      <c r="S83" s="18" t="n">
        <v>717.46</v>
      </c>
      <c r="T83" s="18" t="n">
        <v>668.36</v>
      </c>
      <c r="U83" s="37" t="n">
        <v>2411.01</v>
      </c>
      <c r="V83" s="18" t="n">
        <v>1282.54</v>
      </c>
      <c r="W83" s="18" t="n">
        <v>1153.81</v>
      </c>
      <c r="X83" s="18" t="n">
        <v>1128.54</v>
      </c>
      <c r="Y83" s="18" t="n">
        <v>1403.58</v>
      </c>
      <c r="Z83" s="37" t="n">
        <v>4968.47</v>
      </c>
      <c r="AB83" s="19" t="n">
        <v>1036.17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950.15</v>
      </c>
      <c r="H84" s="18" t="n">
        <v>1247.14</v>
      </c>
      <c r="I84" s="18" t="n">
        <v>1542.01</v>
      </c>
      <c r="J84" s="18" t="n">
        <v>1796.85</v>
      </c>
      <c r="K84" s="37" t="n">
        <v>5536.15</v>
      </c>
      <c r="L84" s="18" t="n">
        <v>1973.49</v>
      </c>
      <c r="M84" s="18" t="n">
        <v>1665.99</v>
      </c>
      <c r="N84" s="18" t="n">
        <v>2244.71</v>
      </c>
      <c r="O84" s="18" t="n">
        <v>1176.51</v>
      </c>
      <c r="P84" s="37" t="n">
        <v>7060.7</v>
      </c>
      <c r="Q84" s="18" t="n">
        <v>1733.2</v>
      </c>
      <c r="R84" s="18" t="n">
        <v>1302.5</v>
      </c>
      <c r="S84" s="18" t="n">
        <v>1244.52</v>
      </c>
      <c r="T84" s="18" t="n">
        <v>1169.77</v>
      </c>
      <c r="U84" s="37" t="n">
        <v>5449.99</v>
      </c>
      <c r="V84" s="18" t="n">
        <v>1033.37</v>
      </c>
      <c r="W84" s="18" t="n">
        <v>754.1900000000001</v>
      </c>
      <c r="X84" s="18" t="n">
        <v>686.5599999999999</v>
      </c>
      <c r="Y84" s="18" t="n">
        <v>579.55</v>
      </c>
      <c r="Z84" s="37" t="n">
        <v>3053.67</v>
      </c>
      <c r="AB84" s="19" t="n">
        <v>390.82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G85" s="18" t="n">
        <v>1.19</v>
      </c>
      <c r="H85" s="18" t="n">
        <v>534.8200000000001</v>
      </c>
      <c r="I85" s="18" t="n">
        <v>20.75</v>
      </c>
      <c r="J85" s="18" t="n">
        <v>399.44</v>
      </c>
      <c r="K85" s="37" t="n">
        <v>956.2</v>
      </c>
      <c r="L85" s="18" t="n">
        <v>9.470000000000001</v>
      </c>
      <c r="M85" s="18" t="n">
        <v>882.42</v>
      </c>
      <c r="N85" s="18" t="n">
        <v>8.76</v>
      </c>
      <c r="O85" s="18" t="n">
        <v>233.97</v>
      </c>
      <c r="P85" s="37" t="n">
        <v>1134.62</v>
      </c>
      <c r="Q85" s="18" t="n">
        <v>12.93</v>
      </c>
      <c r="R85" s="18" t="n">
        <v>6085.64</v>
      </c>
      <c r="S85" s="18" t="n">
        <v>0</v>
      </c>
      <c r="T85" s="18" t="n">
        <v>25.7</v>
      </c>
      <c r="U85" s="37" t="n">
        <v>6124.27</v>
      </c>
      <c r="V85" s="18" t="n">
        <v>5.33</v>
      </c>
      <c r="W85" s="18" t="n">
        <v>-0.72</v>
      </c>
      <c r="X85" s="18" t="n">
        <v>0</v>
      </c>
      <c r="Y85" s="18" t="n">
        <v>0.02</v>
      </c>
      <c r="Z85" s="37" t="n">
        <v>4.63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G86" s="18" t="n">
        <v>-815.55</v>
      </c>
      <c r="H86" s="18" t="n">
        <v>-1045.75</v>
      </c>
      <c r="I86" s="18" t="n">
        <v>-1376.05</v>
      </c>
      <c r="J86" s="18" t="n">
        <v>-1604.23</v>
      </c>
      <c r="K86" s="37" t="n">
        <v>-4841.58</v>
      </c>
      <c r="L86" s="18" t="n">
        <v>-1732.29</v>
      </c>
      <c r="M86" s="18" t="n">
        <v>-1343.19</v>
      </c>
      <c r="N86" s="18" t="n">
        <v>-1944.09</v>
      </c>
      <c r="O86" s="18" t="n">
        <v>-1465.79</v>
      </c>
      <c r="P86" s="37" t="n">
        <v>-6485.36</v>
      </c>
      <c r="Q86" s="18" t="n">
        <v>-1235.25</v>
      </c>
      <c r="R86" s="18" t="n">
        <v>-775.26</v>
      </c>
      <c r="S86" s="18" t="n">
        <v>-527.0599999999999</v>
      </c>
      <c r="T86" s="18" t="n">
        <v>-501.41</v>
      </c>
      <c r="U86" s="37" t="n">
        <v>-3038.98</v>
      </c>
      <c r="V86" s="18" t="n">
        <v>249.17</v>
      </c>
      <c r="W86" s="18" t="n">
        <v>399.62</v>
      </c>
      <c r="X86" s="18" t="n">
        <v>441.98</v>
      </c>
      <c r="Y86" s="18" t="n">
        <v>824.03</v>
      </c>
      <c r="Z86" s="37" t="n">
        <v>1914.8</v>
      </c>
      <c r="AB86" s="19" t="n">
        <v>645.35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I87" s="18" t="n">
        <v>0.18</v>
      </c>
      <c r="J87" s="18" t="n">
        <v>527.75</v>
      </c>
      <c r="K87" s="9" t="n"/>
      <c r="M87" s="18" t="n">
        <v>2005.95</v>
      </c>
      <c r="N87" s="18" t="n">
        <v>0</v>
      </c>
      <c r="O87" s="18" t="n">
        <v>717.0599999999999</v>
      </c>
      <c r="P87" s="9" t="n"/>
      <c r="R87" s="18" t="n">
        <v>5.88</v>
      </c>
      <c r="S87" s="18" t="n">
        <v>0</v>
      </c>
      <c r="T87" s="18" t="n">
        <v>0</v>
      </c>
      <c r="U87" s="9" t="n"/>
      <c r="V87" s="18" t="n">
        <v>4.16</v>
      </c>
      <c r="W87" s="18" t="n">
        <v>47.31</v>
      </c>
      <c r="X87" s="18" t="n">
        <v>-1.47</v>
      </c>
      <c r="Y87" s="18" t="n">
        <v>2.87</v>
      </c>
      <c r="Z87" s="37" t="n">
        <v>52.87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중단사업이익</t>
        </is>
      </c>
      <c r="F88" s="9" t="n"/>
      <c r="K88" s="9" t="n"/>
      <c r="O88" s="18" t="n">
        <v>3396.63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R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종속기업,공동지배기업및관계기업관련손익</t>
        </is>
      </c>
      <c r="F90" s="9" t="n"/>
      <c r="K90" s="9" t="n"/>
      <c r="P90" s="9" t="n"/>
      <c r="U90" s="9" t="n"/>
      <c r="Z90" s="9" t="n"/>
      <c r="AA90" s="18" t="n">
        <v>2559.8</v>
      </c>
      <c r="AB90" s="19" t="n">
        <v>4774.74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배당금수익</t>
        </is>
      </c>
      <c r="F91" s="9" t="n"/>
      <c r="K91" s="9" t="n"/>
      <c r="P91" s="9" t="n"/>
      <c r="U91" s="9" t="n"/>
      <c r="Z91" s="9" t="n"/>
      <c r="AB91" s="19" t="n">
        <v>0.22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2255.31</v>
      </c>
      <c r="F92" s="9" t="n"/>
      <c r="G92" s="18" t="n">
        <v>-52133.14</v>
      </c>
      <c r="H92" s="18" t="n">
        <v>47219.46</v>
      </c>
      <c r="I92" s="18" t="n">
        <v>2431.45</v>
      </c>
      <c r="J92" s="18" t="n">
        <v>-1803.73</v>
      </c>
      <c r="K92" s="37" t="n">
        <v>-4285.96</v>
      </c>
      <c r="L92" s="18" t="n">
        <v>-3117.39</v>
      </c>
      <c r="M92" s="18" t="n">
        <v>-1068.55</v>
      </c>
      <c r="N92" s="18" t="n">
        <v>10808.69</v>
      </c>
      <c r="O92" s="18" t="n">
        <v>2068.87</v>
      </c>
      <c r="P92" s="37" t="n">
        <v>8691.620000000001</v>
      </c>
      <c r="Q92" s="18" t="n">
        <v>10746.55</v>
      </c>
      <c r="R92" s="18" t="n">
        <v>2700.93</v>
      </c>
      <c r="S92" s="18" t="n">
        <v>5901.77</v>
      </c>
      <c r="T92" s="18" t="n">
        <v>-690.66</v>
      </c>
      <c r="U92" s="37" t="n">
        <v>18658.59</v>
      </c>
      <c r="V92" s="18" t="n">
        <v>-1921.71</v>
      </c>
      <c r="W92" s="18" t="n">
        <v>591.96</v>
      </c>
      <c r="X92" s="18" t="n">
        <v>3954.42</v>
      </c>
      <c r="Y92" s="18" t="n">
        <v>2518.15</v>
      </c>
      <c r="Z92" s="37" t="n">
        <v>5142.82</v>
      </c>
      <c r="AA92" s="18" t="n">
        <v>-9716.469999999999</v>
      </c>
      <c r="AB92" s="19" t="n">
        <v>-10867.47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감가상각비</t>
        </is>
      </c>
      <c r="E93" s="18" t="n">
        <v>1731.51</v>
      </c>
      <c r="F93" s="9" t="n"/>
      <c r="G93" s="18" t="n">
        <v>1673.07</v>
      </c>
      <c r="H93" s="18" t="n">
        <v>1663.08</v>
      </c>
      <c r="I93" s="18" t="n">
        <v>1617.21</v>
      </c>
      <c r="J93" s="18" t="n">
        <v>1653.98</v>
      </c>
      <c r="K93" s="37" t="n">
        <v>6607.34</v>
      </c>
      <c r="L93" s="18" t="n">
        <v>1522.9</v>
      </c>
      <c r="M93" s="18" t="n">
        <v>1686.86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E94" s="18" t="n">
        <v>9.68</v>
      </c>
      <c r="F94" s="9" t="n"/>
      <c r="G94" s="18" t="n">
        <v>10.03</v>
      </c>
      <c r="H94" s="18" t="n">
        <v>10.03</v>
      </c>
      <c r="I94" s="18" t="n">
        <v>4.93</v>
      </c>
      <c r="J94" s="18" t="n">
        <v>2.18</v>
      </c>
      <c r="K94" s="37" t="n">
        <v>27.17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E95" s="18" t="n">
        <v>0</v>
      </c>
      <c r="F95" s="9" t="n"/>
      <c r="G95" s="18" t="n">
        <v>-50701.94</v>
      </c>
      <c r="H95" s="18" t="n">
        <v>50708.39</v>
      </c>
      <c r="I95" s="18" t="n">
        <v>0</v>
      </c>
      <c r="J95" s="18" t="n">
        <v>0</v>
      </c>
      <c r="K95" s="37" t="n">
        <v>6.45</v>
      </c>
      <c r="N95" s="18" t="n">
        <v>0</v>
      </c>
      <c r="O95" s="18" t="n">
        <v>0</v>
      </c>
      <c r="P95" s="9" t="n"/>
      <c r="S95" s="18" t="n">
        <v>0.09</v>
      </c>
      <c r="T95" s="18" t="n">
        <v>0.09</v>
      </c>
      <c r="U95" s="9" t="n"/>
      <c r="X95" s="18" t="n">
        <v>0.11</v>
      </c>
      <c r="Y95" s="18" t="n">
        <v>0.11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법인세납부(CF)</t>
        </is>
      </c>
      <c r="E96" s="18" t="n">
        <v>26.51</v>
      </c>
      <c r="F96" s="9" t="n"/>
      <c r="G96" s="18" t="n">
        <v>-5765.74</v>
      </c>
      <c r="H96" s="18" t="n">
        <v>-6935.63</v>
      </c>
      <c r="I96" s="18" t="n">
        <v>-465.49</v>
      </c>
      <c r="J96" s="18" t="n">
        <v>-28.76</v>
      </c>
      <c r="K96" s="37" t="n">
        <v>-13195.62</v>
      </c>
      <c r="L96" s="18" t="n">
        <v>-503.93</v>
      </c>
      <c r="M96" s="18" t="n">
        <v>-532.01</v>
      </c>
      <c r="N96" s="18" t="n">
        <v>-238.34</v>
      </c>
      <c r="O96" s="18" t="n">
        <v>-507.45</v>
      </c>
      <c r="P96" s="37" t="n">
        <v>-1781.73</v>
      </c>
      <c r="Q96" s="18" t="n">
        <v>194.09</v>
      </c>
      <c r="R96" s="18" t="n">
        <v>227.11</v>
      </c>
      <c r="S96" s="18" t="n">
        <v>-130.28</v>
      </c>
      <c r="T96" s="18" t="n">
        <v>-87.73</v>
      </c>
      <c r="U96" s="37" t="n">
        <v>203.19</v>
      </c>
      <c r="V96" s="18" t="n">
        <v>-4969.31</v>
      </c>
      <c r="W96" s="18" t="n">
        <v>-5781.45</v>
      </c>
      <c r="X96" s="18" t="n">
        <v>-2670.21</v>
      </c>
      <c r="Y96" s="18" t="n">
        <v>-2451.87</v>
      </c>
      <c r="Z96" s="37" t="n">
        <v>-15872.84</v>
      </c>
      <c r="AA96" s="18" t="n">
        <v>-15750.1</v>
      </c>
      <c r="AB96" s="19" t="n">
        <v>-18964.15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투자활동으로인한현금흐름</t>
        </is>
      </c>
      <c r="E97" s="18" t="n">
        <v>8275.57</v>
      </c>
      <c r="F97" s="9" t="n"/>
      <c r="G97" s="18" t="n">
        <v>51253.13</v>
      </c>
      <c r="H97" s="18" t="n">
        <v>-45400.28</v>
      </c>
      <c r="I97" s="18" t="n">
        <v>-25627.81</v>
      </c>
      <c r="J97" s="18" t="n">
        <v>-5568.53</v>
      </c>
      <c r="K97" s="37" t="n">
        <v>-25343.49</v>
      </c>
      <c r="L97" s="18" t="n">
        <v>1953.38</v>
      </c>
      <c r="M97" s="18" t="n">
        <v>-970.95</v>
      </c>
      <c r="N97" s="18" t="n">
        <v>3076.65</v>
      </c>
      <c r="O97" s="18" t="n">
        <v>16493.94</v>
      </c>
      <c r="P97" s="37" t="n">
        <v>20553.02</v>
      </c>
      <c r="Q97" s="18" t="n">
        <v>10494.36</v>
      </c>
      <c r="R97" s="18" t="n">
        <v>-28735.1</v>
      </c>
      <c r="S97" s="18" t="n">
        <v>-1253.2</v>
      </c>
      <c r="T97" s="18" t="n">
        <v>4722.66</v>
      </c>
      <c r="U97" s="37" t="n">
        <v>-14771.28</v>
      </c>
      <c r="V97" s="18" t="n">
        <v>28602.1</v>
      </c>
      <c r="W97" s="18" t="n">
        <v>24914.97</v>
      </c>
      <c r="X97" s="18" t="n">
        <v>20132.92</v>
      </c>
      <c r="Y97" s="18" t="n">
        <v>6679.73</v>
      </c>
      <c r="Z97" s="37" t="n">
        <v>80329.72</v>
      </c>
      <c r="AA97" s="18" t="n">
        <v>12579.28</v>
      </c>
      <c r="AB97" s="19" t="n">
        <v>33171.11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E98" s="18" t="n">
        <v>0.82</v>
      </c>
      <c r="F98" s="9" t="n"/>
      <c r="G98" s="18" t="n">
        <v>26.55</v>
      </c>
      <c r="H98" s="18" t="n">
        <v>0</v>
      </c>
      <c r="I98" s="18" t="n">
        <v>0</v>
      </c>
      <c r="J98" s="18" t="n">
        <v>3.63</v>
      </c>
      <c r="K98" s="37" t="n">
        <v>30.18</v>
      </c>
      <c r="L98" s="18" t="n">
        <v>4.55</v>
      </c>
      <c r="M98" s="18" t="n">
        <v>0.8100000000000001</v>
      </c>
      <c r="N98" s="18" t="n">
        <v>215.26</v>
      </c>
      <c r="O98" s="18" t="n">
        <v>0</v>
      </c>
      <c r="P98" s="37" t="n">
        <v>220.62</v>
      </c>
      <c r="Q98" s="18" t="n">
        <v>89</v>
      </c>
      <c r="R98" s="18" t="n">
        <v>0</v>
      </c>
      <c r="S98" s="18" t="n">
        <v>1</v>
      </c>
      <c r="T98" s="18" t="n">
        <v>0</v>
      </c>
      <c r="U98" s="37" t="n">
        <v>90</v>
      </c>
      <c r="X98" s="18" t="n">
        <v>25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1053.5</v>
      </c>
      <c r="F99" s="9" t="n"/>
      <c r="G99" s="18" t="n">
        <v>391.32</v>
      </c>
      <c r="H99" s="18" t="n">
        <v>349.23</v>
      </c>
      <c r="I99" s="18" t="n">
        <v>241.36</v>
      </c>
      <c r="J99" s="18" t="n">
        <v>973.54</v>
      </c>
      <c r="K99" s="37" t="n">
        <v>1955.45</v>
      </c>
      <c r="L99" s="18" t="n">
        <v>604.6</v>
      </c>
      <c r="M99" s="18" t="n">
        <v>493.25</v>
      </c>
      <c r="N99" s="18" t="n">
        <v>770.87</v>
      </c>
      <c r="O99" s="18" t="n">
        <v>664.28</v>
      </c>
      <c r="P99" s="37" t="n">
        <v>2533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7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7" t="n">
        <v>6530.82</v>
      </c>
      <c r="AA99" s="18" t="n">
        <v>329.53</v>
      </c>
      <c r="AB99" s="19" t="n">
        <v>286.8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1053.5</v>
      </c>
      <c r="F100" s="9" t="n"/>
      <c r="G100" s="18" t="n">
        <v>398.32</v>
      </c>
      <c r="H100" s="18" t="n">
        <v>349.23</v>
      </c>
      <c r="I100" s="18" t="n">
        <v>242.81</v>
      </c>
      <c r="J100" s="18" t="n">
        <v>974.1</v>
      </c>
      <c r="K100" s="37" t="n">
        <v>1964.46</v>
      </c>
      <c r="L100" s="18" t="n">
        <v>634.6</v>
      </c>
      <c r="M100" s="18" t="n">
        <v>493.25</v>
      </c>
      <c r="N100" s="18" t="n">
        <v>770.87</v>
      </c>
      <c r="O100" s="18" t="n">
        <v>664.28</v>
      </c>
      <c r="P100" s="37" t="n">
        <v>2563</v>
      </c>
      <c r="Q100" s="18" t="n">
        <v>434.15</v>
      </c>
      <c r="R100" s="18" t="n">
        <v>906.65</v>
      </c>
      <c r="S100" s="18" t="n">
        <v>961.54</v>
      </c>
      <c r="T100" s="18" t="n">
        <v>548.45</v>
      </c>
      <c r="U100" s="37" t="n">
        <v>2850.79</v>
      </c>
      <c r="V100" s="18" t="n">
        <v>1900.29</v>
      </c>
      <c r="W100" s="18" t="n">
        <v>1098.41</v>
      </c>
      <c r="X100" s="18" t="n">
        <v>904.42</v>
      </c>
      <c r="Y100" s="18" t="n">
        <v>2627.7</v>
      </c>
      <c r="Z100" s="37" t="n">
        <v>6530.82</v>
      </c>
      <c r="AA100" s="18" t="n">
        <v>329.53</v>
      </c>
      <c r="AB100" s="19" t="n">
        <v>694.8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재무활동으로인한현금흐름</t>
        </is>
      </c>
      <c r="E101" s="18" t="n">
        <v>866.83</v>
      </c>
      <c r="F101" s="9" t="n"/>
      <c r="G101" s="18" t="n">
        <v>-473.63</v>
      </c>
      <c r="H101" s="18" t="n">
        <v>16636.59</v>
      </c>
      <c r="I101" s="18" t="n">
        <v>-3154.16</v>
      </c>
      <c r="J101" s="18" t="n">
        <v>-8.039999999999999</v>
      </c>
      <c r="K101" s="37" t="n">
        <v>13000.76</v>
      </c>
      <c r="L101" s="18" t="n">
        <v>-865.17</v>
      </c>
      <c r="M101" s="18" t="n">
        <v>-184.24</v>
      </c>
      <c r="N101" s="18" t="n">
        <v>2136.46</v>
      </c>
      <c r="O101" s="18" t="n">
        <v>-12785.74</v>
      </c>
      <c r="P101" s="37" t="n">
        <v>-11698.69</v>
      </c>
      <c r="Q101" s="18" t="n">
        <v>-25435.26</v>
      </c>
      <c r="R101" s="18" t="n">
        <v>11873.43</v>
      </c>
      <c r="S101" s="18" t="n">
        <v>-1923.63</v>
      </c>
      <c r="T101" s="18" t="n">
        <v>-4828.82</v>
      </c>
      <c r="U101" s="37" t="n">
        <v>-20314.28</v>
      </c>
      <c r="V101" s="18" t="n">
        <v>-10442.3</v>
      </c>
      <c r="W101" s="18" t="n">
        <v>-33307.48</v>
      </c>
      <c r="X101" s="18" t="n">
        <v>-24774.31</v>
      </c>
      <c r="Y101" s="18" t="n">
        <v>-12007.03</v>
      </c>
      <c r="Z101" s="37" t="n">
        <v>-80531.12</v>
      </c>
      <c r="AA101" s="18" t="n">
        <v>-3296.81</v>
      </c>
      <c r="AB101" s="19" t="n">
        <v>-22445.04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19.85</v>
      </c>
      <c r="F102" s="9" t="n"/>
      <c r="G102" s="18" t="n">
        <v>2459.85</v>
      </c>
      <c r="H102" s="18" t="n">
        <v>2319.85</v>
      </c>
      <c r="I102" s="18" t="n">
        <v>5599.85</v>
      </c>
      <c r="J102" s="18" t="n">
        <v>719.85</v>
      </c>
      <c r="K102" s="37" t="n">
        <v>11099.4</v>
      </c>
      <c r="L102" s="18" t="n">
        <v>1019.85</v>
      </c>
      <c r="M102" s="18" t="n">
        <v>10019.85</v>
      </c>
      <c r="N102" s="18" t="n">
        <v>1139.85</v>
      </c>
      <c r="O102" s="18" t="n">
        <v>26319.85</v>
      </c>
      <c r="P102" s="37" t="n">
        <v>38499.4</v>
      </c>
      <c r="Q102" s="18" t="n">
        <v>15016.95</v>
      </c>
      <c r="R102" s="18" t="n">
        <v>39016.95</v>
      </c>
      <c r="S102" s="18" t="n">
        <v>25300</v>
      </c>
      <c r="T102" s="18" t="n">
        <v>24000</v>
      </c>
      <c r="U102" s="37" t="n">
        <v>103333.9</v>
      </c>
      <c r="V102" s="18" t="n">
        <v>10000</v>
      </c>
      <c r="W102" s="18" t="n">
        <v>25500</v>
      </c>
      <c r="X102" s="18" t="n">
        <v>15650</v>
      </c>
      <c r="Y102" s="18" t="n">
        <v>12000</v>
      </c>
      <c r="Z102" s="37" t="n">
        <v>63150</v>
      </c>
      <c r="AA102" s="18" t="n">
        <v>500</v>
      </c>
      <c r="AB102" s="19" t="n">
        <v>15540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22778.58</v>
      </c>
      <c r="F103" s="9" t="n"/>
      <c r="G103" s="18" t="n">
        <v>-2690.27</v>
      </c>
      <c r="H103" s="18" t="n">
        <v>36903.52</v>
      </c>
      <c r="I103" s="18" t="n">
        <v>-52634.9</v>
      </c>
      <c r="J103" s="18" t="n">
        <v>-14858.29</v>
      </c>
      <c r="K103" s="37" t="n">
        <v>-33279.94</v>
      </c>
      <c r="L103" s="18" t="n">
        <v>-3996.64</v>
      </c>
      <c r="M103" s="18" t="n">
        <v>-4602.95</v>
      </c>
      <c r="N103" s="18" t="n">
        <v>32049.1</v>
      </c>
      <c r="O103" s="18" t="n">
        <v>11597.34</v>
      </c>
      <c r="P103" s="37" t="n">
        <v>35046.85</v>
      </c>
      <c r="Q103" s="18" t="n">
        <v>-8456.110000000001</v>
      </c>
      <c r="R103" s="18" t="n">
        <v>-28394.71</v>
      </c>
      <c r="S103" s="18" t="n">
        <v>5625.36</v>
      </c>
      <c r="T103" s="18" t="n">
        <v>-1533.83</v>
      </c>
      <c r="U103" s="37" t="n">
        <v>-32759.29</v>
      </c>
      <c r="V103" s="18" t="n">
        <v>32531.85</v>
      </c>
      <c r="W103" s="18" t="n">
        <v>-15683.99</v>
      </c>
      <c r="X103" s="18" t="n">
        <v>-1342.55</v>
      </c>
      <c r="Y103" s="18" t="n">
        <v>-10623.48</v>
      </c>
      <c r="Z103" s="37" t="n">
        <v>4881.83</v>
      </c>
      <c r="AA103" s="18" t="n">
        <v>-364.42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11380.85</v>
      </c>
      <c r="F104" s="9" t="n"/>
      <c r="G104" s="18" t="n">
        <v>27451.56</v>
      </c>
      <c r="H104" s="18" t="n">
        <v>18447.77</v>
      </c>
      <c r="I104" s="18" t="n">
        <v>-26284.37</v>
      </c>
      <c r="J104" s="18" t="n">
        <v>-7478</v>
      </c>
      <c r="K104" s="37" t="n">
        <v>12136.96</v>
      </c>
      <c r="L104" s="18" t="n">
        <v>10169.51</v>
      </c>
      <c r="M104" s="18" t="n">
        <v>-2379.23</v>
      </c>
      <c r="N104" s="18" t="n">
        <v>16027.31</v>
      </c>
      <c r="O104" s="18" t="n">
        <v>5820.27</v>
      </c>
      <c r="P104" s="37" t="n">
        <v>29637.86</v>
      </c>
      <c r="Q104" s="18" t="n">
        <v>25376.1</v>
      </c>
      <c r="R104" s="18" t="n">
        <v>-14233.97</v>
      </c>
      <c r="S104" s="18" t="n">
        <v>2900.42</v>
      </c>
      <c r="T104" s="18" t="n">
        <v>-737</v>
      </c>
      <c r="U104" s="37" t="n">
        <v>13305.55</v>
      </c>
      <c r="V104" s="18" t="n">
        <v>29599.31</v>
      </c>
      <c r="W104" s="18" t="n">
        <v>-7883.43</v>
      </c>
      <c r="X104" s="18" t="n">
        <v>-655.6</v>
      </c>
      <c r="Y104" s="18" t="n">
        <v>-2872.9</v>
      </c>
      <c r="Z104" s="37" t="n">
        <v>18187.38</v>
      </c>
      <c r="AA104" s="18" t="n">
        <v>17822.96</v>
      </c>
      <c r="AB104" s="19" t="n">
        <v>-179.01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무형자산의증가</t>
        </is>
      </c>
      <c r="F105" s="9" t="n"/>
      <c r="G105" s="18" t="n">
        <v>7</v>
      </c>
      <c r="H105" s="18" t="n">
        <v>0</v>
      </c>
      <c r="I105" s="18" t="n">
        <v>1.45</v>
      </c>
      <c r="J105" s="18" t="n">
        <v>0.5600000000000001</v>
      </c>
      <c r="K105" s="37" t="n">
        <v>9.01</v>
      </c>
      <c r="L105" s="18" t="n">
        <v>30</v>
      </c>
      <c r="M105" s="18" t="n">
        <v>0</v>
      </c>
      <c r="N105" s="18" t="n">
        <v>0</v>
      </c>
      <c r="O105" s="18" t="n">
        <v>0</v>
      </c>
      <c r="P105" s="37" t="n">
        <v>30</v>
      </c>
      <c r="S105" s="18" t="n">
        <v>0</v>
      </c>
      <c r="T105" s="18" t="n">
        <v>0</v>
      </c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651.12</v>
      </c>
      <c r="P106" s="9" t="n"/>
      <c r="Q106" s="18" t="n">
        <v>314.74</v>
      </c>
      <c r="R106" s="18" t="n">
        <v>398.92</v>
      </c>
      <c r="S106" s="18" t="n">
        <v>356.34</v>
      </c>
      <c r="T106" s="18" t="n">
        <v>247.38</v>
      </c>
      <c r="U106" s="37" t="n">
        <v>1317.38</v>
      </c>
      <c r="V106" s="18" t="n">
        <v>1091.29</v>
      </c>
      <c r="W106" s="18" t="n">
        <v>379.54</v>
      </c>
      <c r="X106" s="18" t="n">
        <v>1326.55</v>
      </c>
      <c r="Y106" s="18" t="n">
        <v>298.75</v>
      </c>
      <c r="Z106" s="37" t="n">
        <v>3096.13</v>
      </c>
      <c r="AA106" s="18" t="n">
        <v>2877.74</v>
      </c>
      <c r="AB106" s="19" t="n">
        <v>573.55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F107" s="9" t="n"/>
      <c r="K107" s="9" t="n"/>
      <c r="P107" s="9" t="n"/>
      <c r="Q107" s="18" t="n">
        <v>20457.46</v>
      </c>
      <c r="R107" s="18" t="n">
        <v>0.8</v>
      </c>
      <c r="S107" s="18" t="n">
        <v>0</v>
      </c>
      <c r="T107" s="18" t="n">
        <v>0</v>
      </c>
      <c r="U107" s="37" t="n">
        <v>20458.26</v>
      </c>
      <c r="X107" s="18" t="n">
        <v>9232.879999999999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F108" s="9" t="n"/>
      <c r="K108" s="9" t="n"/>
      <c r="P108" s="9" t="n"/>
      <c r="U108" s="9" t="n"/>
      <c r="Z108" s="9" t="n"/>
      <c r="AA108" s="18" t="n">
        <v>7.78</v>
      </c>
      <c r="AB108" s="19" t="n">
        <v>7.92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7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7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7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7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7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7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7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7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7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7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7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7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7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7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7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7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7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7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7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7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7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7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7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7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7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7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I11" s="18" t="n">
        <v>170.05</v>
      </c>
      <c r="K11" s="9" t="n"/>
      <c r="L11" s="18" t="n">
        <v>7.37</v>
      </c>
      <c r="O11" s="18" t="n">
        <v>283.05</v>
      </c>
      <c r="P11" s="37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7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7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7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7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7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7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7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7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7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7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7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7" t="n">
        <v>793.28</v>
      </c>
      <c r="L14" s="18" t="n">
        <v>780.4299999999999</v>
      </c>
      <c r="M14" s="18" t="n">
        <v>802.5</v>
      </c>
      <c r="N14" s="18" t="n">
        <v>1124.56</v>
      </c>
      <c r="O14" s="18" t="n">
        <v>546.63</v>
      </c>
      <c r="P14" s="37" t="n">
        <v>546.63</v>
      </c>
      <c r="Q14" s="18" t="n">
        <v>163301.11</v>
      </c>
      <c r="R14" s="18" t="n">
        <v>259602.28</v>
      </c>
      <c r="S14" s="18" t="n">
        <v>223664.12</v>
      </c>
      <c r="T14" s="18" t="n">
        <v>153422.9</v>
      </c>
      <c r="U14" s="37" t="n">
        <v>153422.9</v>
      </c>
      <c r="V14" s="18" t="n">
        <v>64102.96</v>
      </c>
      <c r="W14" s="18" t="n">
        <v>85622.53</v>
      </c>
      <c r="X14" s="18" t="n">
        <v>68949.58</v>
      </c>
      <c r="Y14" s="18" t="n">
        <v>54150.44</v>
      </c>
      <c r="Z14" s="37" t="n">
        <v>54150.44</v>
      </c>
      <c r="AA14" s="18" t="n">
        <v>55107.54</v>
      </c>
      <c r="AB14" s="19" t="n">
        <v>64246.27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7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7" t="n">
        <v>32554.12</v>
      </c>
      <c r="L15" s="18" t="n">
        <v>32541.27</v>
      </c>
      <c r="M15" s="18" t="n">
        <v>32563.34</v>
      </c>
      <c r="N15" s="18" t="n">
        <v>32885.4</v>
      </c>
      <c r="O15" s="18" t="n">
        <v>17591.48</v>
      </c>
      <c r="P15" s="37" t="n">
        <v>17591.48</v>
      </c>
      <c r="Q15" s="18" t="n">
        <v>180290.32</v>
      </c>
      <c r="R15" s="18" t="n">
        <v>276591.49</v>
      </c>
      <c r="S15" s="18" t="n">
        <v>240653.33</v>
      </c>
      <c r="T15" s="18" t="n">
        <v>170412.11</v>
      </c>
      <c r="U15" s="37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165062.82</v>
      </c>
      <c r="Z15" s="37" t="n">
        <v>165062.82</v>
      </c>
      <c r="AA15" s="18" t="n">
        <v>166019.92</v>
      </c>
      <c r="AB15" s="19" t="n">
        <v>175158.65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7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7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7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7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7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7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7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7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7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7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7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7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7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7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7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7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7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7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7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7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7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7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7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7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7" t="n">
        <v>0</v>
      </c>
      <c r="J21" s="18" t="n">
        <v>0</v>
      </c>
      <c r="K21" s="37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7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7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7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7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7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7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7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7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7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7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7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7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7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7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7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7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7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7" t="n">
        <v>91800</v>
      </c>
      <c r="Q25" s="18" t="n">
        <v>86800</v>
      </c>
      <c r="R25" s="18" t="n">
        <v>92300</v>
      </c>
      <c r="S25" s="18" t="n">
        <v>92650</v>
      </c>
      <c r="T25" s="18" t="n">
        <v>92650</v>
      </c>
      <c r="U25" s="37" t="n">
        <v>92650</v>
      </c>
      <c r="V25" s="18" t="n">
        <v>82650</v>
      </c>
      <c r="W25" s="18" t="n">
        <v>57650</v>
      </c>
      <c r="X25" s="18" t="n">
        <v>42000</v>
      </c>
      <c r="Y25" s="18" t="n">
        <v>30000</v>
      </c>
      <c r="Z25" s="37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7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7" t="n">
        <v>5913.18</v>
      </c>
      <c r="L26" s="18" t="n">
        <v>6070.63</v>
      </c>
      <c r="M26" s="18" t="n">
        <v>6240.28</v>
      </c>
      <c r="N26" s="18" t="n">
        <v>6404.89</v>
      </c>
      <c r="O26" s="18" t="n">
        <v>6574.85</v>
      </c>
      <c r="P26" s="37" t="n">
        <v>6574.85</v>
      </c>
      <c r="Q26" s="18" t="n">
        <v>6750.72</v>
      </c>
      <c r="R26" s="18" t="n">
        <v>0</v>
      </c>
      <c r="S26" s="18" t="n">
        <v>0</v>
      </c>
      <c r="T26" s="18" t="n">
        <v>0</v>
      </c>
      <c r="U26" s="37" t="n">
        <v>0</v>
      </c>
      <c r="W26" s="18" t="n">
        <v>14000</v>
      </c>
      <c r="X26" s="18" t="n">
        <v>14000</v>
      </c>
      <c r="Y26" s="18" t="n">
        <v>14000</v>
      </c>
      <c r="Z26" s="37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7" t="n">
        <v>12640.56</v>
      </c>
      <c r="G27" s="18" t="n">
        <v>7078.18</v>
      </c>
      <c r="H27" s="18" t="n">
        <v>414.15</v>
      </c>
      <c r="J27" s="18" t="n">
        <v>894.13</v>
      </c>
      <c r="K27" s="37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7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7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7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7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7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7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7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7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7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7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7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7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7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7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7" t="n">
        <v>33.9</v>
      </c>
      <c r="L30" s="18" t="n">
        <v>16.95</v>
      </c>
      <c r="O30" s="18" t="n">
        <v>0</v>
      </c>
      <c r="P30" s="37" t="n">
        <v>0</v>
      </c>
      <c r="Q30" s="18" t="n">
        <v>0</v>
      </c>
      <c r="R30" s="18" t="n">
        <v>14000</v>
      </c>
      <c r="S30" s="18" t="n">
        <v>14000</v>
      </c>
      <c r="T30" s="18" t="n">
        <v>14000</v>
      </c>
      <c r="U30" s="37" t="n">
        <v>14000</v>
      </c>
      <c r="V30" s="18" t="n">
        <v>14000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7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7" t="n">
        <v>0</v>
      </c>
      <c r="O31" s="18" t="n">
        <v>50.04</v>
      </c>
      <c r="P31" s="37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7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7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7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7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7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7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7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7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7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7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7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7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7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7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7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7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7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7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7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7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7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7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7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7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7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7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7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7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7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7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7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7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7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7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7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7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7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7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7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7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7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7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7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7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7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7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7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7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7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7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7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7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7" t="n">
        <v>97792.46000000001</v>
      </c>
      <c r="L42" s="18" t="n">
        <v>98090.41</v>
      </c>
      <c r="M42" s="18" t="n">
        <v>98412.75999999999</v>
      </c>
      <c r="N42" s="18" t="n">
        <v>104558.93</v>
      </c>
      <c r="O42" s="18" t="n">
        <v>104915.8</v>
      </c>
      <c r="P42" s="37" t="n">
        <v>104915.8</v>
      </c>
      <c r="Q42" s="18" t="n">
        <v>100284.49</v>
      </c>
      <c r="R42" s="18" t="n">
        <v>106300</v>
      </c>
      <c r="S42" s="18" t="n">
        <v>106650</v>
      </c>
      <c r="T42" s="18" t="n">
        <v>106650</v>
      </c>
      <c r="U42" s="37" t="n">
        <v>106650</v>
      </c>
      <c r="V42" s="18" t="n">
        <v>96650</v>
      </c>
      <c r="W42" s="18" t="n">
        <v>71650</v>
      </c>
      <c r="X42" s="18" t="n">
        <v>56000</v>
      </c>
      <c r="Y42" s="18" t="n">
        <v>44000</v>
      </c>
      <c r="Z42" s="37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7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7" t="n">
        <v>90467.98</v>
      </c>
      <c r="L43" s="18" t="n">
        <v>89893.17</v>
      </c>
      <c r="M43" s="18" t="n">
        <v>87855.44</v>
      </c>
      <c r="N43" s="18" t="n">
        <v>75923.94</v>
      </c>
      <c r="O43" s="18" t="n">
        <v>69462.66</v>
      </c>
      <c r="P43" s="37" t="n">
        <v>69462.66</v>
      </c>
      <c r="Q43" s="18" t="n">
        <v>46812.21</v>
      </c>
      <c r="R43" s="18" t="n">
        <v>39846.22</v>
      </c>
      <c r="S43" s="18" t="n">
        <v>49022.92</v>
      </c>
      <c r="T43" s="18" t="n">
        <v>54506.6</v>
      </c>
      <c r="U43" s="37" t="n">
        <v>54506.6</v>
      </c>
      <c r="V43" s="18" t="n">
        <v>-61195.74</v>
      </c>
      <c r="W43" s="18" t="n">
        <v>-54522.97</v>
      </c>
      <c r="X43" s="18" t="n">
        <v>-127154.9</v>
      </c>
      <c r="Y43" s="18" t="n">
        <v>30311.51</v>
      </c>
      <c r="Z43" s="37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7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7" t="n">
        <v>8117.76</v>
      </c>
      <c r="L44" s="18" t="n">
        <v>8977.67</v>
      </c>
      <c r="M44" s="18" t="n">
        <v>11359.82</v>
      </c>
      <c r="N44" s="18" t="n">
        <v>29759.55</v>
      </c>
      <c r="O44" s="18" t="n">
        <v>35999.77</v>
      </c>
      <c r="P44" s="37" t="n">
        <v>35999.77</v>
      </c>
      <c r="Q44" s="18" t="n">
        <v>216773.39</v>
      </c>
      <c r="R44" s="18" t="n">
        <v>326056.06</v>
      </c>
      <c r="S44" s="18" t="n">
        <v>281291.2</v>
      </c>
      <c r="T44" s="18" t="n">
        <v>205566.3</v>
      </c>
      <c r="U44" s="37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67838.92999999999</v>
      </c>
      <c r="Z44" s="37" t="n">
        <v>67838.92999999999</v>
      </c>
      <c r="AA44" s="18" t="n">
        <v>67226.03999999999</v>
      </c>
      <c r="AB44" s="19" t="n">
        <v>76241.66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7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7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7" t="n">
        <v>0</v>
      </c>
      <c r="Y45" s="18" t="n">
        <v>169566.12</v>
      </c>
      <c r="Z45" s="37" t="n">
        <v>169566.12</v>
      </c>
      <c r="AA45" s="18" t="n">
        <v>156216.95</v>
      </c>
      <c r="AB45" s="19" t="n">
        <v>123000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7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7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7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7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7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7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7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7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7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7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7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7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7" t="n">
        <v>6540.95</v>
      </c>
      <c r="Q50" s="18" t="n">
        <v>6733.77</v>
      </c>
      <c r="R50" s="18" t="n">
        <v>0</v>
      </c>
      <c r="S50" s="18" t="n">
        <v>0</v>
      </c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7" t="n">
        <v>62.92</v>
      </c>
      <c r="M51" s="18" t="n">
        <v>101373.27</v>
      </c>
      <c r="N51" s="18" t="n">
        <v>101369.33</v>
      </c>
      <c r="O51" s="18" t="n">
        <v>109.46</v>
      </c>
      <c r="P51" s="37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7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7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7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7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7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7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7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7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7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7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7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7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7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7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7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7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7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7" t="n">
        <v>91800</v>
      </c>
      <c r="Q56" s="18" t="n">
        <v>86800</v>
      </c>
      <c r="R56" s="18" t="n">
        <v>92300</v>
      </c>
      <c r="S56" s="18" t="n">
        <v>92650</v>
      </c>
      <c r="T56" s="18" t="n">
        <v>92650</v>
      </c>
      <c r="U56" s="37" t="n">
        <v>92650</v>
      </c>
      <c r="V56" s="18" t="n">
        <v>82650</v>
      </c>
      <c r="W56" s="18" t="n">
        <v>57650</v>
      </c>
      <c r="X56" s="18" t="n">
        <v>42000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14000</v>
      </c>
      <c r="T57" s="18" t="n">
        <v>14000</v>
      </c>
      <c r="U57" s="37" t="n">
        <v>14000</v>
      </c>
      <c r="V57" s="18" t="n">
        <v>14000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K58" s="9" t="n"/>
      <c r="P58" s="9" t="n"/>
      <c r="U58" s="9" t="n"/>
      <c r="Y58" s="18" t="n">
        <v>119.86</v>
      </c>
      <c r="Z58" s="37" t="n">
        <v>119.86</v>
      </c>
      <c r="AA58" s="18" t="n">
        <v>35.17</v>
      </c>
      <c r="AB58" s="19" t="n">
        <v>41.37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사용권자산</t>
        </is>
      </c>
      <c r="F59" s="9" t="n"/>
      <c r="K59" s="9" t="n"/>
      <c r="P59" s="9" t="n"/>
      <c r="U59" s="9" t="n"/>
      <c r="Y59" s="18" t="n">
        <v>25.82</v>
      </c>
      <c r="Z59" s="37" t="n">
        <v>25.82</v>
      </c>
      <c r="AA59" s="18" t="n">
        <v>21.26</v>
      </c>
      <c r="AB59" s="19" t="n">
        <v>16.71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K60" s="9" t="n"/>
      <c r="P60" s="9" t="n"/>
      <c r="U60" s="9" t="n"/>
      <c r="Y60" s="18" t="n">
        <v>177.49</v>
      </c>
      <c r="Z60" s="37" t="n">
        <v>177.49</v>
      </c>
      <c r="AA60" s="18" t="n">
        <v>519.55</v>
      </c>
      <c r="AB60" s="19" t="n">
        <v>655.9299999999999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18287.73</v>
      </c>
      <c r="F61" s="9" t="n"/>
      <c r="G61" s="18" t="n">
        <v>18483.47</v>
      </c>
      <c r="H61" s="18" t="n">
        <v>18475.2</v>
      </c>
      <c r="I61" s="18" t="n">
        <v>17595.95</v>
      </c>
      <c r="J61" s="18" t="n">
        <v>19585.46</v>
      </c>
      <c r="K61" s="37" t="n">
        <v>74140.08</v>
      </c>
      <c r="L61" s="18" t="n">
        <v>19035.77</v>
      </c>
      <c r="M61" s="18" t="n">
        <v>18045.1</v>
      </c>
      <c r="N61" s="18" t="n">
        <v>17122.97</v>
      </c>
      <c r="O61" s="18" t="n">
        <v>17679.72</v>
      </c>
      <c r="P61" s="37" t="n">
        <v>71883.56</v>
      </c>
      <c r="Q61" s="18" t="n">
        <v>17685.27</v>
      </c>
      <c r="R61" s="18" t="n">
        <v>22152.44</v>
      </c>
      <c r="S61" s="18" t="n">
        <v>18091.47</v>
      </c>
      <c r="T61" s="18" t="n">
        <v>22244.79</v>
      </c>
      <c r="U61" s="37" t="n">
        <v>80173.97</v>
      </c>
      <c r="V61" s="18" t="n">
        <v>24460.07</v>
      </c>
      <c r="W61" s="18" t="n">
        <v>22126.77</v>
      </c>
      <c r="X61" s="18" t="n">
        <v>24232.69</v>
      </c>
      <c r="Y61" s="18" t="n">
        <v>21533.84</v>
      </c>
      <c r="Z61" s="37" t="n">
        <v>92353.37</v>
      </c>
      <c r="AA61" s="18" t="n">
        <v>24490.37</v>
      </c>
      <c r="AB61" s="19" t="n">
        <v>27365.98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15684.25</v>
      </c>
      <c r="F62" s="9" t="n"/>
      <c r="G62" s="18" t="n">
        <v>16209.19</v>
      </c>
      <c r="H62" s="18" t="n">
        <v>16156.16</v>
      </c>
      <c r="I62" s="18" t="n">
        <v>15562.39</v>
      </c>
      <c r="J62" s="18" t="n">
        <v>16958.39</v>
      </c>
      <c r="K62" s="37" t="n">
        <v>64886.13</v>
      </c>
      <c r="L62" s="18" t="n">
        <v>16903.97</v>
      </c>
      <c r="M62" s="18" t="n">
        <v>15215.1</v>
      </c>
      <c r="N62" s="18" t="n">
        <v>14434.58</v>
      </c>
      <c r="O62" s="18" t="n">
        <v>15557.7</v>
      </c>
      <c r="P62" s="37" t="n">
        <v>62111.35</v>
      </c>
      <c r="Q62" s="18" t="n">
        <v>15070.06</v>
      </c>
      <c r="R62" s="18" t="n">
        <v>16266.15</v>
      </c>
      <c r="S62" s="18" t="n">
        <v>14412.47</v>
      </c>
      <c r="T62" s="18" t="n">
        <v>17649.57</v>
      </c>
      <c r="U62" s="37" t="n">
        <v>63398.25</v>
      </c>
      <c r="V62" s="18" t="n">
        <v>19584.11</v>
      </c>
      <c r="W62" s="18" t="n">
        <v>16427.51</v>
      </c>
      <c r="X62" s="18" t="n">
        <v>17559.5</v>
      </c>
      <c r="Y62" s="18" t="n">
        <v>16891.26</v>
      </c>
      <c r="Z62" s="37" t="n">
        <v>70462.38</v>
      </c>
      <c r="AA62" s="18" t="n">
        <v>18664.25</v>
      </c>
      <c r="AB62" s="19" t="n">
        <v>20450.79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2603.48</v>
      </c>
      <c r="F63" s="9" t="n"/>
      <c r="G63" s="18" t="n">
        <v>2274.28</v>
      </c>
      <c r="H63" s="18" t="n">
        <v>2319.03</v>
      </c>
      <c r="I63" s="18" t="n">
        <v>2033.56</v>
      </c>
      <c r="J63" s="18" t="n">
        <v>2627.06</v>
      </c>
      <c r="K63" s="37" t="n">
        <v>9253.93</v>
      </c>
      <c r="L63" s="18" t="n">
        <v>2131.8</v>
      </c>
      <c r="M63" s="18" t="n">
        <v>2830</v>
      </c>
      <c r="N63" s="18" t="n">
        <v>2688.39</v>
      </c>
      <c r="O63" s="18" t="n">
        <v>2122.02</v>
      </c>
      <c r="P63" s="37" t="n">
        <v>9772.209999999999</v>
      </c>
      <c r="Q63" s="18" t="n">
        <v>2615.21</v>
      </c>
      <c r="R63" s="18" t="n">
        <v>5886.29</v>
      </c>
      <c r="S63" s="18" t="n">
        <v>3679</v>
      </c>
      <c r="T63" s="18" t="n">
        <v>4595.24</v>
      </c>
      <c r="U63" s="37" t="n">
        <v>16775.74</v>
      </c>
      <c r="V63" s="18" t="n">
        <v>4875.96</v>
      </c>
      <c r="W63" s="18" t="n">
        <v>5699.27</v>
      </c>
      <c r="X63" s="18" t="n">
        <v>6673.19</v>
      </c>
      <c r="Y63" s="18" t="n">
        <v>4642.57</v>
      </c>
      <c r="Z63" s="37" t="n">
        <v>21890.99</v>
      </c>
      <c r="AA63" s="18" t="n">
        <v>5826.12</v>
      </c>
      <c r="AB63" s="19" t="n">
        <v>6915.19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799.4299999999999</v>
      </c>
      <c r="F64" s="9" t="n"/>
      <c r="G64" s="18" t="n">
        <v>862.5700000000001</v>
      </c>
      <c r="H64" s="18" t="n">
        <v>737.72</v>
      </c>
      <c r="I64" s="18" t="n">
        <v>1183.91</v>
      </c>
      <c r="J64" s="18" t="n">
        <v>914.11</v>
      </c>
      <c r="K64" s="37" t="n">
        <v>3698.31</v>
      </c>
      <c r="L64" s="18" t="n">
        <v>940.62</v>
      </c>
      <c r="M64" s="18" t="n">
        <v>980.2</v>
      </c>
      <c r="N64" s="18" t="n">
        <v>1619.83</v>
      </c>
      <c r="O64" s="18" t="n">
        <v>1039.56</v>
      </c>
      <c r="P64" s="37" t="n">
        <v>4580.21</v>
      </c>
      <c r="Q64" s="18" t="n">
        <v>1220.84</v>
      </c>
      <c r="R64" s="18" t="n">
        <v>1265.89</v>
      </c>
      <c r="S64" s="18" t="n">
        <v>1796.74</v>
      </c>
      <c r="T64" s="18" t="n">
        <v>1161.94</v>
      </c>
      <c r="U64" s="37" t="n">
        <v>5445.41</v>
      </c>
      <c r="V64" s="18" t="n">
        <v>2101.44</v>
      </c>
      <c r="W64" s="18" t="n">
        <v>1191.76</v>
      </c>
      <c r="X64" s="18" t="n">
        <v>1943.97</v>
      </c>
      <c r="Y64" s="18" t="n">
        <v>1270.03</v>
      </c>
      <c r="Z64" s="37" t="n">
        <v>6507.2</v>
      </c>
      <c r="AA64" s="18" t="n">
        <v>1287.14</v>
      </c>
      <c r="AB64" s="19" t="n">
        <v>2054.91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1804.04</v>
      </c>
      <c r="F65" s="9" t="n"/>
      <c r="G65" s="18" t="n">
        <v>1411.71</v>
      </c>
      <c r="H65" s="18" t="n">
        <v>1581.31</v>
      </c>
      <c r="I65" s="18" t="n">
        <v>849.65</v>
      </c>
      <c r="J65" s="18" t="n">
        <v>1712.95</v>
      </c>
      <c r="K65" s="37" t="n">
        <v>5555.62</v>
      </c>
      <c r="L65" s="18" t="n">
        <v>1191.18</v>
      </c>
      <c r="M65" s="18" t="n">
        <v>1849.8</v>
      </c>
      <c r="N65" s="18" t="n">
        <v>1068.56</v>
      </c>
      <c r="O65" s="18" t="n">
        <v>1082.46</v>
      </c>
      <c r="P65" s="37" t="n">
        <v>5192</v>
      </c>
      <c r="Q65" s="18" t="n">
        <v>1394.38</v>
      </c>
      <c r="R65" s="18" t="n">
        <v>4620.4</v>
      </c>
      <c r="S65" s="18" t="n">
        <v>1882.26</v>
      </c>
      <c r="T65" s="18" t="n">
        <v>3433.29</v>
      </c>
      <c r="U65" s="37" t="n">
        <v>11330.33</v>
      </c>
      <c r="V65" s="18" t="n">
        <v>2774.52</v>
      </c>
      <c r="W65" s="18" t="n">
        <v>4507.51</v>
      </c>
      <c r="X65" s="18" t="n">
        <v>4729.22</v>
      </c>
      <c r="Y65" s="18" t="n">
        <v>3372.55</v>
      </c>
      <c r="Z65" s="37" t="n">
        <v>15383.8</v>
      </c>
      <c r="AA65" s="18" t="n">
        <v>4538.98</v>
      </c>
      <c r="AB65" s="19" t="n">
        <v>4860.28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31.99</v>
      </c>
      <c r="F66" s="9" t="n"/>
      <c r="G66" s="18" t="n">
        <v>33.26</v>
      </c>
      <c r="H66" s="18" t="n">
        <v>60.34</v>
      </c>
      <c r="I66" s="18" t="n">
        <v>127.56</v>
      </c>
      <c r="J66" s="18" t="n">
        <v>-15.86</v>
      </c>
      <c r="K66" s="37" t="n">
        <v>205.3</v>
      </c>
      <c r="L66" s="18" t="n">
        <v>151.13</v>
      </c>
      <c r="M66" s="18" t="n">
        <v>3.58</v>
      </c>
      <c r="N66" s="18" t="n">
        <v>601.45</v>
      </c>
      <c r="O66" s="18" t="n">
        <v>70.34</v>
      </c>
      <c r="P66" s="37" t="n">
        <v>826.5</v>
      </c>
      <c r="Q66" s="18" t="n">
        <v>47826.29</v>
      </c>
      <c r="R66" s="18" t="n">
        <v>-272.96</v>
      </c>
      <c r="S66" s="18" t="n">
        <v>28.96</v>
      </c>
      <c r="T66" s="18" t="n">
        <v>36.72</v>
      </c>
      <c r="U66" s="37" t="n">
        <v>47619.01</v>
      </c>
      <c r="V66" s="18" t="n">
        <v>98.26000000000001</v>
      </c>
      <c r="W66" s="18" t="n">
        <v>403.89</v>
      </c>
      <c r="X66" s="18" t="n">
        <v>50.17</v>
      </c>
      <c r="Y66" s="18" t="n">
        <v>1489.92</v>
      </c>
      <c r="Z66" s="37" t="n">
        <v>2042.24</v>
      </c>
      <c r="AA66" s="18" t="n">
        <v>151.51</v>
      </c>
      <c r="AB66" s="19" t="n">
        <v>268.24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159.43</v>
      </c>
      <c r="F67" s="9" t="n"/>
      <c r="G67" s="18" t="n">
        <v>5.42</v>
      </c>
      <c r="H67" s="18" t="n">
        <v>131.6</v>
      </c>
      <c r="I67" s="18" t="n">
        <v>3.97</v>
      </c>
      <c r="J67" s="18" t="n">
        <v>179.14</v>
      </c>
      <c r="K67" s="37" t="n">
        <v>320.13</v>
      </c>
      <c r="L67" s="18" t="n">
        <v>6.34</v>
      </c>
      <c r="M67" s="18" t="n">
        <v>42.45</v>
      </c>
      <c r="N67" s="18" t="n">
        <v>46.66</v>
      </c>
      <c r="O67" s="18" t="n">
        <v>5639.18</v>
      </c>
      <c r="P67" s="37" t="n">
        <v>5734.63</v>
      </c>
      <c r="Q67" s="18" t="n">
        <v>21.69</v>
      </c>
      <c r="R67" s="18" t="n">
        <v>521.1900000000001</v>
      </c>
      <c r="S67" s="18" t="n">
        <v>-27.27</v>
      </c>
      <c r="T67" s="18" t="n">
        <v>102.43</v>
      </c>
      <c r="U67" s="37" t="n">
        <v>618.04</v>
      </c>
      <c r="V67" s="18" t="n">
        <v>223.41</v>
      </c>
      <c r="W67" s="18" t="n">
        <v>183.22</v>
      </c>
      <c r="X67" s="18" t="n">
        <v>-7.55</v>
      </c>
      <c r="Y67" s="18" t="n">
        <v>134.7</v>
      </c>
      <c r="Z67" s="37" t="n">
        <v>533.78</v>
      </c>
      <c r="AA67" s="18" t="n">
        <v>4</v>
      </c>
      <c r="AB67" s="19" t="n">
        <v>204.81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50704.28</v>
      </c>
      <c r="F68" s="9" t="n"/>
      <c r="G68" s="18" t="n">
        <v>46.23</v>
      </c>
      <c r="H68" s="18" t="n">
        <v>6111.66</v>
      </c>
      <c r="I68" s="18" t="n">
        <v>6082.49</v>
      </c>
      <c r="J68" s="18" t="n">
        <v>563.6</v>
      </c>
      <c r="K68" s="37" t="n">
        <v>12803.98</v>
      </c>
      <c r="L68" s="18" t="n">
        <v>56.26</v>
      </c>
      <c r="M68" s="18" t="n">
        <v>2082.96</v>
      </c>
      <c r="N68" s="18" t="n">
        <v>191.08</v>
      </c>
      <c r="O68" s="18" t="n">
        <v>12807.04</v>
      </c>
      <c r="P68" s="37" t="n">
        <v>15137.34</v>
      </c>
      <c r="Q68" s="18" t="n">
        <v>460.39</v>
      </c>
      <c r="R68" s="18" t="n">
        <v>440.8</v>
      </c>
      <c r="S68" s="18" t="n">
        <v>697.47</v>
      </c>
      <c r="T68" s="18" t="n">
        <v>613.25</v>
      </c>
      <c r="U68" s="37" t="n">
        <v>2211.91</v>
      </c>
      <c r="V68" s="18" t="n">
        <v>1242.83</v>
      </c>
      <c r="W68" s="18" t="n">
        <v>1097.91</v>
      </c>
      <c r="X68" s="18" t="n">
        <v>1079.45</v>
      </c>
      <c r="Y68" s="18" t="n">
        <v>1351.78</v>
      </c>
      <c r="Z68" s="37" t="n">
        <v>4771.97</v>
      </c>
      <c r="AA68" s="18" t="n">
        <v>1206.16</v>
      </c>
      <c r="AB68" s="19" t="n">
        <v>986.6799999999999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570.12</v>
      </c>
      <c r="F69" s="9" t="n"/>
      <c r="G69" s="18" t="n">
        <v>612.84</v>
      </c>
      <c r="H69" s="18" t="n">
        <v>1365.31</v>
      </c>
      <c r="I69" s="18" t="n">
        <v>1119.59</v>
      </c>
      <c r="J69" s="18" t="n">
        <v>1759.89</v>
      </c>
      <c r="K69" s="37" t="n">
        <v>4857.63</v>
      </c>
      <c r="L69" s="18" t="n">
        <v>1465.25</v>
      </c>
      <c r="M69" s="18" t="n">
        <v>2316.88</v>
      </c>
      <c r="N69" s="18" t="n">
        <v>1452.98</v>
      </c>
      <c r="O69" s="18" t="n">
        <v>1830.43</v>
      </c>
      <c r="P69" s="37" t="n">
        <v>7065.54</v>
      </c>
      <c r="Q69" s="18" t="n">
        <v>1523.88</v>
      </c>
      <c r="R69" s="18" t="n">
        <v>7184.73</v>
      </c>
      <c r="S69" s="18" t="n">
        <v>1060.2</v>
      </c>
      <c r="T69" s="18" t="n">
        <v>988.66</v>
      </c>
      <c r="U69" s="37" t="n">
        <v>10757.47</v>
      </c>
      <c r="V69" s="18" t="n">
        <v>866.72</v>
      </c>
      <c r="W69" s="18" t="n">
        <v>589.0599999999999</v>
      </c>
      <c r="X69" s="18" t="n">
        <v>520</v>
      </c>
      <c r="Y69" s="18" t="n">
        <v>412.55</v>
      </c>
      <c r="Z69" s="37" t="n">
        <v>2388.33</v>
      </c>
      <c r="AA69" s="18" t="n">
        <v>323.56</v>
      </c>
      <c r="AB69" s="19" t="n">
        <v>246.93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51810.76</v>
      </c>
      <c r="F70" s="9" t="n"/>
      <c r="G70" s="18" t="n">
        <v>872.9400000000001</v>
      </c>
      <c r="H70" s="18" t="n">
        <v>6256.41</v>
      </c>
      <c r="I70" s="18" t="n">
        <v>5936.14</v>
      </c>
      <c r="J70" s="18" t="n">
        <v>321.66</v>
      </c>
      <c r="K70" s="37" t="n">
        <v>13387.15</v>
      </c>
      <c r="L70" s="18" t="n">
        <v>-73.02</v>
      </c>
      <c r="M70" s="18" t="n">
        <v>1577.01</v>
      </c>
      <c r="N70" s="18" t="n">
        <v>361.45</v>
      </c>
      <c r="O70" s="18" t="n">
        <v>6490.23</v>
      </c>
      <c r="P70" s="37" t="n">
        <v>8355.67</v>
      </c>
      <c r="Q70" s="18" t="n">
        <v>48135.49</v>
      </c>
      <c r="R70" s="18" t="n">
        <v>-2917.68</v>
      </c>
      <c r="S70" s="18" t="n">
        <v>1575.74</v>
      </c>
      <c r="T70" s="18" t="n">
        <v>2992.19</v>
      </c>
      <c r="U70" s="37" t="n">
        <v>49785.74</v>
      </c>
      <c r="V70" s="18" t="n">
        <v>3025.46</v>
      </c>
      <c r="W70" s="18" t="n">
        <v>5237.03</v>
      </c>
      <c r="X70" s="18" t="n">
        <v>5346.4</v>
      </c>
      <c r="Y70" s="18" t="n">
        <v>5667</v>
      </c>
      <c r="Z70" s="37" t="n">
        <v>19275.89</v>
      </c>
      <c r="AA70" s="18" t="n">
        <v>5569.09</v>
      </c>
      <c r="AB70" s="19" t="n">
        <v>5663.47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12079.23</v>
      </c>
      <c r="F71" s="9" t="n"/>
      <c r="G71" s="18" t="n">
        <v>186.55</v>
      </c>
      <c r="H71" s="18" t="n">
        <v>281.91</v>
      </c>
      <c r="I71" s="18" t="n">
        <v>-144.25</v>
      </c>
      <c r="J71" s="18" t="n">
        <v>668.9299999999999</v>
      </c>
      <c r="K71" s="37" t="n">
        <v>993.14</v>
      </c>
      <c r="M71" s="18" t="n">
        <v>250.08</v>
      </c>
      <c r="N71" s="18" t="n">
        <v>-22.31</v>
      </c>
      <c r="O71" s="18" t="n">
        <v>339.8</v>
      </c>
      <c r="P71" s="9" t="n"/>
      <c r="Q71" s="18" t="n">
        <v>9801.549999999999</v>
      </c>
      <c r="R71" s="18" t="n">
        <v>-479.16</v>
      </c>
      <c r="S71" s="18" t="n">
        <v>1251.39</v>
      </c>
      <c r="T71" s="18" t="n">
        <v>1874.12</v>
      </c>
      <c r="U71" s="37" t="n">
        <v>12447.9</v>
      </c>
      <c r="V71" s="18" t="n">
        <v>698.88</v>
      </c>
      <c r="W71" s="18" t="n">
        <v>1209.75</v>
      </c>
      <c r="X71" s="18" t="n">
        <v>1222.15</v>
      </c>
      <c r="Y71" s="18" t="n">
        <v>101.74</v>
      </c>
      <c r="Z71" s="37" t="n">
        <v>3232.52</v>
      </c>
      <c r="AA71" s="18" t="n">
        <v>1018.7</v>
      </c>
      <c r="AB71" s="19" t="n">
        <v>1367.08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39731.53</v>
      </c>
      <c r="F72" s="9" t="n"/>
      <c r="G72" s="18" t="n">
        <v>686.4</v>
      </c>
      <c r="H72" s="18" t="n">
        <v>5974.5</v>
      </c>
      <c r="I72" s="18" t="n">
        <v>6080.39</v>
      </c>
      <c r="J72" s="18" t="n">
        <v>-347.27</v>
      </c>
      <c r="K72" s="37" t="n">
        <v>12394.02</v>
      </c>
      <c r="L72" s="18" t="n">
        <v>-73.02</v>
      </c>
      <c r="M72" s="18" t="n">
        <v>1326.93</v>
      </c>
      <c r="N72" s="18" t="n">
        <v>383.76</v>
      </c>
      <c r="O72" s="18" t="n">
        <v>6150.43</v>
      </c>
      <c r="P72" s="37" t="n">
        <v>7788.1</v>
      </c>
      <c r="Q72" s="18" t="n">
        <v>38333.94</v>
      </c>
      <c r="R72" s="18" t="n">
        <v>-2438.52</v>
      </c>
      <c r="S72" s="18" t="n">
        <v>324.35</v>
      </c>
      <c r="T72" s="18" t="n">
        <v>1118.07</v>
      </c>
      <c r="U72" s="37" t="n">
        <v>37337.84</v>
      </c>
      <c r="V72" s="18" t="n">
        <v>2326.58</v>
      </c>
      <c r="W72" s="18" t="n">
        <v>4027.27</v>
      </c>
      <c r="X72" s="18" t="n">
        <v>4124.25</v>
      </c>
      <c r="Y72" s="18" t="n">
        <v>5565.26</v>
      </c>
      <c r="Z72" s="37" t="n">
        <v>16043.36</v>
      </c>
      <c r="AA72" s="18" t="n">
        <v>4550.38</v>
      </c>
      <c r="AB72" s="19" t="n">
        <v>4296.39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45063.61</v>
      </c>
      <c r="F73" s="9" t="n"/>
      <c r="G73" s="18" t="n">
        <v>680.75</v>
      </c>
      <c r="H73" s="18" t="n">
        <v>5967.52</v>
      </c>
      <c r="I73" s="18" t="n">
        <v>6080.09</v>
      </c>
      <c r="J73" s="18" t="n">
        <v>404.9</v>
      </c>
      <c r="K73" s="37" t="n">
        <v>13133.26</v>
      </c>
      <c r="L73" s="18" t="n">
        <v>-103</v>
      </c>
      <c r="M73" s="18" t="n">
        <v>1299.43</v>
      </c>
      <c r="N73" s="18" t="n">
        <v>369.98</v>
      </c>
      <c r="O73" s="18" t="n">
        <v>5803.62</v>
      </c>
      <c r="P73" s="37" t="n">
        <v>7370.03</v>
      </c>
      <c r="Q73" s="18" t="n">
        <v>49141.6</v>
      </c>
      <c r="R73" s="18" t="n">
        <v>34279.7</v>
      </c>
      <c r="S73" s="18" t="n">
        <v>-13500.57</v>
      </c>
      <c r="T73" s="18" t="n">
        <v>32679.92</v>
      </c>
      <c r="U73" s="37" t="n">
        <v>102600.65</v>
      </c>
      <c r="V73" s="18" t="n">
        <v>26837.61</v>
      </c>
      <c r="W73" s="18" t="n">
        <v>20555.95</v>
      </c>
      <c r="X73" s="18" t="n">
        <v>42464.27</v>
      </c>
      <c r="Y73" s="18" t="n">
        <v>4130.33</v>
      </c>
      <c r="Z73" s="37" t="n">
        <v>93988.16</v>
      </c>
      <c r="AA73" s="18" t="n">
        <v>5094.29</v>
      </c>
      <c r="AB73" s="19" t="n">
        <v>11188.07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50134.16</v>
      </c>
      <c r="F74" s="9" t="n"/>
      <c r="G74" s="18" t="n">
        <v>-566.61</v>
      </c>
      <c r="H74" s="18" t="n">
        <v>4746.35</v>
      </c>
      <c r="I74" s="18" t="n">
        <v>4962.9</v>
      </c>
      <c r="J74" s="18" t="n">
        <v>-1196.29</v>
      </c>
      <c r="K74" s="37" t="n">
        <v>7946.35</v>
      </c>
      <c r="L74" s="18" t="n">
        <v>-1408.99</v>
      </c>
      <c r="M74" s="18" t="n">
        <v>-233.92</v>
      </c>
      <c r="N74" s="18" t="n">
        <v>-1261.9</v>
      </c>
      <c r="O74" s="18" t="n">
        <v>10976.61</v>
      </c>
      <c r="P74" s="37" t="n">
        <v>8071.8</v>
      </c>
      <c r="Q74" s="18" t="n">
        <v>-1063.49</v>
      </c>
      <c r="R74" s="18" t="n">
        <v>-6743.93</v>
      </c>
      <c r="S74" s="18" t="n">
        <v>-362.73</v>
      </c>
      <c r="T74" s="18" t="n">
        <v>-375.41</v>
      </c>
      <c r="U74" s="37" t="n">
        <v>-8545.559999999999</v>
      </c>
      <c r="V74" s="18" t="n">
        <v>376.11</v>
      </c>
      <c r="W74" s="18" t="n">
        <v>508.85</v>
      </c>
      <c r="X74" s="18" t="n">
        <v>559.45</v>
      </c>
      <c r="Y74" s="18" t="n">
        <v>939.23</v>
      </c>
      <c r="Z74" s="37" t="n">
        <v>2383.64</v>
      </c>
      <c r="AA74" s="18" t="n">
        <v>882.6</v>
      </c>
      <c r="AB74" s="19" t="n">
        <v>739.75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-127.44</v>
      </c>
      <c r="F75" s="9" t="n"/>
      <c r="G75" s="18" t="n">
        <v>27.84</v>
      </c>
      <c r="H75" s="18" t="n">
        <v>-71.26000000000001</v>
      </c>
      <c r="I75" s="18" t="n">
        <v>123.59</v>
      </c>
      <c r="J75" s="18" t="n">
        <v>-195</v>
      </c>
      <c r="K75" s="37" t="n">
        <v>-114.83</v>
      </c>
      <c r="L75" s="18" t="n">
        <v>144.79</v>
      </c>
      <c r="M75" s="18" t="n">
        <v>-38.87</v>
      </c>
      <c r="N75" s="18" t="n">
        <v>554.79</v>
      </c>
      <c r="O75" s="18" t="n">
        <v>-5568.84</v>
      </c>
      <c r="P75" s="37" t="n">
        <v>-4908.13</v>
      </c>
      <c r="Q75" s="18" t="n">
        <v>47804.6</v>
      </c>
      <c r="R75" s="18" t="n">
        <v>-794.15</v>
      </c>
      <c r="S75" s="18" t="n">
        <v>56.23</v>
      </c>
      <c r="T75" s="18" t="n">
        <v>-65.70999999999999</v>
      </c>
      <c r="U75" s="37" t="n">
        <v>47000.97</v>
      </c>
      <c r="V75" s="18" t="n">
        <v>-125.15</v>
      </c>
      <c r="W75" s="18" t="n">
        <v>220.67</v>
      </c>
      <c r="X75" s="18" t="n">
        <v>57.72</v>
      </c>
      <c r="Y75" s="18" t="n">
        <v>1355.22</v>
      </c>
      <c r="Z75" s="37" t="n">
        <v>1508.46</v>
      </c>
      <c r="AA75" s="18" t="n">
        <v>147.51</v>
      </c>
      <c r="AB75" s="19" t="n">
        <v>63.43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7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7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7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7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39731.53</v>
      </c>
      <c r="F77" s="9" t="n"/>
      <c r="G77" s="18" t="n">
        <v>686.4</v>
      </c>
      <c r="H77" s="18" t="n">
        <v>5974.5</v>
      </c>
      <c r="I77" s="18" t="n">
        <v>6080.39</v>
      </c>
      <c r="J77" s="18" t="n">
        <v>-347.27</v>
      </c>
      <c r="K77" s="37" t="n">
        <v>12394.02</v>
      </c>
      <c r="L77" s="18" t="n">
        <v>-73.02</v>
      </c>
      <c r="M77" s="18" t="n">
        <v>1326.93</v>
      </c>
      <c r="N77" s="18" t="n">
        <v>383.76</v>
      </c>
      <c r="O77" s="18" t="n">
        <v>6150.43</v>
      </c>
      <c r="P77" s="37" t="n">
        <v>7788.1</v>
      </c>
      <c r="Q77" s="18" t="n">
        <v>38333.94</v>
      </c>
      <c r="R77" s="18" t="n">
        <v>-2438.52</v>
      </c>
      <c r="S77" s="18" t="n">
        <v>324.35</v>
      </c>
      <c r="T77" s="18" t="n">
        <v>1118.07</v>
      </c>
      <c r="U77" s="37" t="n">
        <v>37337.84</v>
      </c>
      <c r="V77" s="18" t="n">
        <v>2326.58</v>
      </c>
      <c r="W77" s="18" t="n">
        <v>4027.27</v>
      </c>
      <c r="X77" s="18" t="n">
        <v>4124.25</v>
      </c>
      <c r="Y77" s="18" t="n">
        <v>5565.26</v>
      </c>
      <c r="Z77" s="37" t="n">
        <v>16043.36</v>
      </c>
      <c r="AA77" s="18" t="n">
        <v>4550.38</v>
      </c>
      <c r="AB77" s="19" t="n">
        <v>4296.39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49071.91</v>
      </c>
      <c r="F78" s="9" t="n"/>
      <c r="G78" s="18" t="n">
        <v>-4235.89</v>
      </c>
      <c r="H78" s="18" t="n">
        <v>301.02</v>
      </c>
      <c r="I78" s="18" t="n">
        <v>5007.33</v>
      </c>
      <c r="J78" s="18" t="n">
        <v>508.59</v>
      </c>
      <c r="K78" s="37" t="n">
        <v>1581.05</v>
      </c>
      <c r="L78" s="18" t="n">
        <v>1008.91</v>
      </c>
      <c r="M78" s="18" t="n">
        <v>3564.33</v>
      </c>
      <c r="N78" s="18" t="n">
        <v>1129.91</v>
      </c>
      <c r="O78" s="18" t="n">
        <v>11260.49</v>
      </c>
      <c r="P78" s="37" t="n">
        <v>16963.64</v>
      </c>
      <c r="Q78" s="18" t="n">
        <v>2243.93</v>
      </c>
      <c r="R78" s="18" t="n">
        <v>2498.81</v>
      </c>
      <c r="S78" s="18" t="n">
        <v>5904.67</v>
      </c>
      <c r="T78" s="18" t="n">
        <v>-124.48</v>
      </c>
      <c r="U78" s="37" t="n">
        <v>10522.93</v>
      </c>
      <c r="V78" s="18" t="n">
        <v>-2239.13</v>
      </c>
      <c r="W78" s="18" t="n">
        <v>1894.71</v>
      </c>
      <c r="X78" s="18" t="n">
        <v>5145.55</v>
      </c>
      <c r="Y78" s="18" t="n">
        <v>1358.22</v>
      </c>
      <c r="Z78" s="37" t="n">
        <v>6159.35</v>
      </c>
      <c r="AA78" s="18" t="n">
        <v>-11212.07</v>
      </c>
      <c r="AB78" s="19" t="n">
        <v>-12358.9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1127.51</v>
      </c>
      <c r="F79" s="9" t="n"/>
      <c r="G79" s="18" t="n">
        <v>985.5700000000001</v>
      </c>
      <c r="H79" s="18" t="n">
        <v>1009.53</v>
      </c>
      <c r="I79" s="18" t="n">
        <v>1015.88</v>
      </c>
      <c r="J79" s="18" t="n">
        <v>1018.69</v>
      </c>
      <c r="K79" s="37" t="n">
        <v>4029.67</v>
      </c>
      <c r="L79" s="18" t="n">
        <v>874.52</v>
      </c>
      <c r="M79" s="18" t="n">
        <v>1051.45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-14.41</v>
      </c>
      <c r="F80" s="9" t="n"/>
      <c r="G80" s="18" t="n">
        <v>-5748.93</v>
      </c>
      <c r="H80" s="18" t="n">
        <v>-6904.12</v>
      </c>
      <c r="I80" s="18" t="n">
        <v>-439.96</v>
      </c>
      <c r="J80" s="18" t="n">
        <v>-10.88</v>
      </c>
      <c r="K80" s="37" t="n">
        <v>-13103.89</v>
      </c>
      <c r="L80" s="18" t="n">
        <v>-394.54</v>
      </c>
      <c r="M80" s="18" t="n">
        <v>-382.27</v>
      </c>
      <c r="N80" s="18" t="n">
        <v>-224.86</v>
      </c>
      <c r="O80" s="18" t="n">
        <v>-317.88</v>
      </c>
      <c r="P80" s="37" t="n">
        <v>-1319.55</v>
      </c>
      <c r="Q80" s="18" t="n">
        <v>205.93</v>
      </c>
      <c r="R80" s="18" t="n">
        <v>212.38</v>
      </c>
      <c r="S80" s="18" t="n">
        <v>-124.61</v>
      </c>
      <c r="T80" s="18" t="n">
        <v>-78.19</v>
      </c>
      <c r="U80" s="37" t="n">
        <v>215.51</v>
      </c>
      <c r="V80" s="18" t="n">
        <v>-4972.05</v>
      </c>
      <c r="W80" s="18" t="n">
        <v>-5792.41</v>
      </c>
      <c r="X80" s="18" t="n">
        <v>-2665.65</v>
      </c>
      <c r="Y80" s="18" t="n">
        <v>-2447.38</v>
      </c>
      <c r="Z80" s="37" t="n">
        <v>-15877.49</v>
      </c>
      <c r="AA80" s="18" t="n">
        <v>-15747.57</v>
      </c>
      <c r="AB80" s="19" t="n">
        <v>-18973.39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-45894.73</v>
      </c>
      <c r="F81" s="9" t="n"/>
      <c r="G81" s="18" t="n">
        <v>-234.64</v>
      </c>
      <c r="H81" s="18" t="n">
        <v>26.87</v>
      </c>
      <c r="I81" s="18" t="n">
        <v>-29022.63</v>
      </c>
      <c r="J81" s="18" t="n">
        <v>-2285.1</v>
      </c>
      <c r="K81" s="37" t="n">
        <v>-31515.5</v>
      </c>
      <c r="L81" s="18" t="n">
        <v>-2728.27</v>
      </c>
      <c r="M81" s="18" t="n">
        <v>-3758.1</v>
      </c>
      <c r="N81" s="18" t="n">
        <v>9364.73</v>
      </c>
      <c r="O81" s="18" t="n">
        <v>-1745.67</v>
      </c>
      <c r="P81" s="37" t="n">
        <v>1132.69</v>
      </c>
      <c r="Q81" s="18" t="n">
        <v>17695.68</v>
      </c>
      <c r="R81" s="18" t="n">
        <v>-30030.6</v>
      </c>
      <c r="S81" s="18" t="n">
        <v>-907.73</v>
      </c>
      <c r="T81" s="18" t="n">
        <v>4219.84</v>
      </c>
      <c r="U81" s="37" t="n">
        <v>-9022.809999999999</v>
      </c>
      <c r="V81" s="18" t="n">
        <v>30126.19</v>
      </c>
      <c r="W81" s="18" t="n">
        <v>24599.93</v>
      </c>
      <c r="X81" s="18" t="n">
        <v>20240.34</v>
      </c>
      <c r="Y81" s="18" t="n">
        <v>6838.64</v>
      </c>
      <c r="Z81" s="37" t="n">
        <v>81805.10000000001</v>
      </c>
      <c r="AA81" s="18" t="n">
        <v>12403.82</v>
      </c>
      <c r="AB81" s="19" t="n">
        <v>33095.98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Q82" s="18" t="n">
        <v>89</v>
      </c>
      <c r="R82" s="18" t="n">
        <v>0</v>
      </c>
      <c r="S82" s="18" t="n">
        <v>1</v>
      </c>
      <c r="T82" s="18" t="n">
        <v>0</v>
      </c>
      <c r="U82" s="37" t="n">
        <v>90</v>
      </c>
      <c r="V82" s="18" t="n">
        <v>0</v>
      </c>
      <c r="W82" s="18" t="n">
        <v>400</v>
      </c>
      <c r="X82" s="18" t="n">
        <v>25</v>
      </c>
      <c r="Y82" s="18" t="n">
        <v>0</v>
      </c>
      <c r="Z82" s="37" t="n">
        <v>425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7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7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7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7" t="n">
        <v>6366.26</v>
      </c>
      <c r="AA83" s="18" t="n">
        <v>315.28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292.39</v>
      </c>
      <c r="F84" s="9" t="n"/>
      <c r="G84" s="18" t="n">
        <v>222.63</v>
      </c>
      <c r="H84" s="18" t="n">
        <v>226.98</v>
      </c>
      <c r="I84" s="18" t="n">
        <v>96.45999999999999</v>
      </c>
      <c r="J84" s="18" t="n">
        <v>230.9</v>
      </c>
      <c r="K84" s="37" t="n">
        <v>776.97</v>
      </c>
      <c r="L84" s="18" t="n">
        <v>253.14</v>
      </c>
      <c r="M84" s="18" t="n">
        <v>242.95</v>
      </c>
      <c r="N84" s="18" t="n">
        <v>480.26</v>
      </c>
      <c r="O84" s="18" t="n">
        <v>597.1900000000001</v>
      </c>
      <c r="P84" s="37" t="n">
        <v>1573.54</v>
      </c>
      <c r="Q84" s="18" t="n">
        <v>434.15</v>
      </c>
      <c r="R84" s="18" t="n">
        <v>906.65</v>
      </c>
      <c r="S84" s="18" t="n">
        <v>961.54</v>
      </c>
      <c r="T84" s="18" t="n">
        <v>531.95</v>
      </c>
      <c r="U84" s="37" t="n">
        <v>2834.29</v>
      </c>
      <c r="V84" s="18" t="n">
        <v>1900.29</v>
      </c>
      <c r="W84" s="18" t="n">
        <v>1097.21</v>
      </c>
      <c r="X84" s="18" t="n">
        <v>895.42</v>
      </c>
      <c r="Y84" s="18" t="n">
        <v>2473.34</v>
      </c>
      <c r="Z84" s="37" t="n">
        <v>6366.26</v>
      </c>
      <c r="AA84" s="18" t="n">
        <v>723.28</v>
      </c>
      <c r="AB84" s="19" t="n">
        <v>286.8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177.98</v>
      </c>
      <c r="F85" s="9" t="n"/>
      <c r="G85" s="18" t="n">
        <v>1582.36</v>
      </c>
      <c r="H85" s="18" t="n">
        <v>18983.05</v>
      </c>
      <c r="I85" s="18" t="n">
        <v>-16.95</v>
      </c>
      <c r="J85" s="18" t="n">
        <v>-16.95</v>
      </c>
      <c r="K85" s="37" t="n">
        <v>20531.51</v>
      </c>
      <c r="L85" s="18" t="n">
        <v>-20.28</v>
      </c>
      <c r="M85" s="18" t="n">
        <v>-22.11</v>
      </c>
      <c r="N85" s="18" t="n">
        <v>3702.15</v>
      </c>
      <c r="O85" s="18" t="n">
        <v>-917.84</v>
      </c>
      <c r="P85" s="37" t="n">
        <v>2741.92</v>
      </c>
      <c r="Q85" s="18" t="n">
        <v>-25426.22</v>
      </c>
      <c r="R85" s="18" t="n">
        <v>12244.8</v>
      </c>
      <c r="S85" s="18" t="n">
        <v>-2267.79</v>
      </c>
      <c r="T85" s="18" t="n">
        <v>-4826.31</v>
      </c>
      <c r="U85" s="37" t="n">
        <v>-20275.52</v>
      </c>
      <c r="V85" s="18" t="n">
        <v>-11439.37</v>
      </c>
      <c r="W85" s="18" t="n">
        <v>-32804.28</v>
      </c>
      <c r="X85" s="18" t="n">
        <v>-25072.1</v>
      </c>
      <c r="Y85" s="18" t="n">
        <v>-12004.54</v>
      </c>
      <c r="Z85" s="37" t="n">
        <v>-81320.28999999999</v>
      </c>
      <c r="AA85" s="18" t="n">
        <v>-2793.9</v>
      </c>
      <c r="AB85" s="19" t="n">
        <v>-20831.71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16.95</v>
      </c>
      <c r="F86" s="9" t="n"/>
      <c r="G86" s="18" t="n">
        <v>416.95</v>
      </c>
      <c r="H86" s="18" t="n">
        <v>16.95</v>
      </c>
      <c r="I86" s="18" t="n">
        <v>16.95</v>
      </c>
      <c r="J86" s="18" t="n">
        <v>16.95</v>
      </c>
      <c r="K86" s="37" t="n">
        <v>467.8</v>
      </c>
      <c r="L86" s="18" t="n">
        <v>16.95</v>
      </c>
      <c r="M86" s="18" t="n">
        <v>10016.95</v>
      </c>
      <c r="N86" s="18" t="n">
        <v>16.95</v>
      </c>
      <c r="O86" s="18" t="n">
        <v>6016.95</v>
      </c>
      <c r="P86" s="37" t="n">
        <v>16067.8</v>
      </c>
      <c r="Q86" s="18" t="n">
        <v>15016.95</v>
      </c>
      <c r="R86" s="18" t="n">
        <v>39016.95</v>
      </c>
      <c r="S86" s="18" t="n">
        <v>25300</v>
      </c>
      <c r="T86" s="18" t="n">
        <v>24000</v>
      </c>
      <c r="U86" s="37" t="n">
        <v>103333.9</v>
      </c>
      <c r="V86" s="18" t="n">
        <v>10000</v>
      </c>
      <c r="W86" s="18" t="n">
        <v>25000</v>
      </c>
      <c r="X86" s="18" t="n">
        <v>15650</v>
      </c>
      <c r="Y86" s="18" t="n">
        <v>12000</v>
      </c>
      <c r="Z86" s="37" t="n">
        <v>62650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6709.37</v>
      </c>
      <c r="F87" s="9" t="n"/>
      <c r="G87" s="18" t="n">
        <v>-5750.49</v>
      </c>
      <c r="H87" s="18" t="n">
        <v>38623.48</v>
      </c>
      <c r="I87" s="18" t="n">
        <v>-48026.69</v>
      </c>
      <c r="J87" s="18" t="n">
        <v>-3633.33</v>
      </c>
      <c r="K87" s="37" t="n">
        <v>-18787.03</v>
      </c>
      <c r="L87" s="18" t="n">
        <v>-3455.56</v>
      </c>
      <c r="M87" s="18" t="n">
        <v>-471.68</v>
      </c>
      <c r="N87" s="18" t="n">
        <v>28397.71</v>
      </c>
      <c r="O87" s="18" t="n">
        <v>17192.84</v>
      </c>
      <c r="P87" s="37" t="n">
        <v>41663.31</v>
      </c>
      <c r="Q87" s="18" t="n">
        <v>-10993.92</v>
      </c>
      <c r="R87" s="18" t="n">
        <v>-30594.82</v>
      </c>
      <c r="S87" s="18" t="n">
        <v>5509.69</v>
      </c>
      <c r="T87" s="18" t="n">
        <v>-1440.77</v>
      </c>
      <c r="U87" s="37" t="n">
        <v>-37519.82</v>
      </c>
      <c r="V87" s="18" t="n">
        <v>32913.55</v>
      </c>
      <c r="W87" s="18" t="n">
        <v>-12663.22</v>
      </c>
      <c r="X87" s="18" t="n">
        <v>656.75</v>
      </c>
      <c r="Y87" s="18" t="n">
        <v>-14297.16</v>
      </c>
      <c r="Z87" s="37" t="n">
        <v>6609.92</v>
      </c>
      <c r="AA87" s="18" t="n">
        <v>-1569.99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3354.21</v>
      </c>
      <c r="F88" s="9" t="n"/>
      <c r="G88" s="18" t="n">
        <v>11519.71</v>
      </c>
      <c r="H88" s="18" t="n">
        <v>19312.54</v>
      </c>
      <c r="I88" s="18" t="n">
        <v>-23994.44</v>
      </c>
      <c r="J88" s="18" t="n">
        <v>-1839.87</v>
      </c>
      <c r="K88" s="37" t="n">
        <v>4997.94</v>
      </c>
      <c r="L88" s="18" t="n">
        <v>3282.03</v>
      </c>
      <c r="M88" s="18" t="n">
        <v>-255.81</v>
      </c>
      <c r="N88" s="18" t="n">
        <v>14200.92</v>
      </c>
      <c r="O88" s="18" t="n">
        <v>8595.860000000001</v>
      </c>
      <c r="P88" s="37" t="n">
        <v>25823</v>
      </c>
      <c r="Q88" s="18" t="n">
        <v>20315.68</v>
      </c>
      <c r="R88" s="18" t="n">
        <v>-15307.82</v>
      </c>
      <c r="S88" s="18" t="n">
        <v>2780.54</v>
      </c>
      <c r="T88" s="18" t="n">
        <v>-709.83</v>
      </c>
      <c r="U88" s="37" t="n">
        <v>7078.57</v>
      </c>
      <c r="V88" s="18" t="n">
        <v>23544.42</v>
      </c>
      <c r="W88" s="18" t="n">
        <v>-6353.57</v>
      </c>
      <c r="X88" s="18" t="n">
        <v>342.95</v>
      </c>
      <c r="Y88" s="18" t="n">
        <v>-3845.31</v>
      </c>
      <c r="Z88" s="37" t="n">
        <v>13688.49</v>
      </c>
      <c r="AA88" s="18" t="n">
        <v>12118.5</v>
      </c>
      <c r="AB88" s="19" t="n">
        <v>-123.11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F89" s="9" t="n"/>
      <c r="I89" s="18" t="n">
        <v>6000</v>
      </c>
      <c r="J89" s="18" t="n">
        <v>0</v>
      </c>
      <c r="K89" s="9" t="n"/>
      <c r="P89" s="9" t="n"/>
      <c r="U89" s="9" t="n"/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329.02</v>
      </c>
      <c r="P90" s="9" t="n"/>
      <c r="Q90" s="18" t="n">
        <v>303.82</v>
      </c>
      <c r="R90" s="18" t="n">
        <v>308.03</v>
      </c>
      <c r="S90" s="18" t="n">
        <v>321.97</v>
      </c>
      <c r="T90" s="18" t="n">
        <v>187.7</v>
      </c>
      <c r="U90" s="37" t="n">
        <v>1121.52</v>
      </c>
      <c r="V90" s="18" t="n">
        <v>1068.65</v>
      </c>
      <c r="W90" s="18" t="n">
        <v>289.12</v>
      </c>
      <c r="X90" s="18" t="n">
        <v>1299.07</v>
      </c>
      <c r="Y90" s="18" t="n">
        <v>271.55</v>
      </c>
      <c r="Z90" s="37" t="n">
        <v>2928.39</v>
      </c>
      <c r="AA90" s="18" t="n">
        <v>2816.29</v>
      </c>
      <c r="AB90" s="19" t="n">
        <v>502.83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F91" s="9" t="n"/>
      <c r="K91" s="9" t="n"/>
      <c r="P91" s="9" t="n"/>
      <c r="Q91" s="18" t="n">
        <v>20401.36</v>
      </c>
      <c r="R91" s="18" t="n">
        <v>0</v>
      </c>
      <c r="S91" s="18" t="n">
        <v>0</v>
      </c>
      <c r="T91" s="18" t="n">
        <v>0</v>
      </c>
      <c r="U91" s="37" t="n">
        <v>20401.36</v>
      </c>
      <c r="V91" s="18" t="n">
        <v>0</v>
      </c>
      <c r="W91" s="18" t="n">
        <v>6526.16</v>
      </c>
      <c r="X91" s="18" t="n">
        <v>9232.879999999999</v>
      </c>
      <c r="Y91" s="18" t="n">
        <v>0</v>
      </c>
      <c r="Z91" s="37" t="n">
        <v>15759.04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F92" s="9" t="n"/>
      <c r="K92" s="9" t="n"/>
      <c r="P92" s="9" t="n"/>
      <c r="U92" s="9" t="n"/>
      <c r="Z92" s="9" t="n"/>
      <c r="AA92" s="18" t="n">
        <v>408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F93" s="9" t="n"/>
      <c r="K93" s="9" t="n"/>
      <c r="P93" s="9" t="n"/>
      <c r="U93" s="9" t="n"/>
      <c r="Z93" s="9" t="n"/>
      <c r="AA93" s="18" t="n">
        <v>4.57</v>
      </c>
      <c r="AB93" s="19" t="n">
        <v>4.6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Z94" s="9" t="n"/>
      <c r="AA94" s="18" t="n">
        <v>2789.32</v>
      </c>
      <c r="AB94" s="19" t="n">
        <v>2210.68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SUM(G5:J5)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  <c r="AK11" s="20">
        <f>IFERROR(AK12+AK13+AK14,"")</f>
        <v/>
      </c>
      <c r="AL11" s="20">
        <f>IFERROR(AL12+AL13+AL14,"")</f>
        <v/>
      </c>
      <c r="AM11" s="20">
        <f>IFERROR(AM12+AM13+AM14,"")</f>
        <v/>
      </c>
      <c r="AN11" s="20">
        <f>IFERROR(AN12+AN13+AN14,"")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IFERROR((AB30*변수!$D$55-AB28*변수!$D$56)/4,"")</f>
        <v/>
      </c>
      <c r="AD12" s="20">
        <f>IFERROR((AC30*변수!$D$55-AC28*변수!$D$56)/4,"")</f>
        <v/>
      </c>
      <c r="AE12" s="38">
        <f>SUM(AA12:AD12)</f>
        <v/>
      </c>
      <c r="AF12" s="20">
        <f>IFERROR((AD30*변수!$D$55-AD28*변수!$D$56)/4,"")</f>
        <v/>
      </c>
      <c r="AG12" s="20">
        <f>IFERROR((AF30*변수!$D$55-AF28*변수!$D$56)/4,"")</f>
        <v/>
      </c>
      <c r="AH12" s="20">
        <f>IFERROR((AG30*변수!$D$55-AG28*변수!$D$56)/4,"")</f>
        <v/>
      </c>
      <c r="AI12" s="20">
        <f>IFERROR((AH30*변수!$D$55-AH28*변수!$D$56)/4,"")</f>
        <v/>
      </c>
      <c r="AJ12" s="38">
        <f>SUM(AF12:AI12)</f>
        <v/>
      </c>
      <c r="AK12" s="20">
        <f>IFERROR((AI30*변수!$D$55-AI28*변수!$D$56)/4,"")</f>
        <v/>
      </c>
      <c r="AL12" s="20">
        <f>IFERROR((AK30*변수!$D$55-AK28*변수!$D$56)/4,"")</f>
        <v/>
      </c>
      <c r="AM12" s="20">
        <f>IFERROR((AL30*변수!$D$55-AL28*변수!$D$56)/4,"")</f>
        <v/>
      </c>
      <c r="AN12" s="20">
        <f>IFERROR((AM30*변수!$D$55-AM28*변수!$D$56)/4,"")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7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7">
        <f>SUM(L13:O13)</f>
        <v/>
      </c>
      <c r="Q13" s="18" t="n"/>
      <c r="R13" s="18">
        <f>IFERROR((VLOOKUP("파생상품이익",BS연결,MATCH(R$1,BS연결H,0),0)-VLOOKUP("파생상품손실",BS연결,MATCH(R$1,BS연결H,0),0))/100,"")</f>
        <v/>
      </c>
      <c r="S13" s="18">
        <f>IFERROR((VLOOKUP("파생상품이익",BS연결,MATCH(S$1,BS연결H,0),0)-VLOOKUP("파생상품손실",BS연결,MATCH(S$1,BS연결H,0),0))/100,"")</f>
        <v/>
      </c>
      <c r="T13" s="18">
        <f>IFERROR((VLOOKUP("파생상품이익",BS연결,MATCH(T$1,BS연결H,0),0)-VLOOKUP("파생상품손실",BS연결,MATCH(T$1,BS연결H,0),0))/100,"")</f>
        <v/>
      </c>
      <c r="U13" s="37">
        <f>SUM(Q13:T13)</f>
        <v/>
      </c>
      <c r="V13" s="18">
        <f>IFERROR((VLOOKUP("파생상품이익",BS연결,MATCH(V$1,BS연결H,0),0)-VLOOKUP("파생상품손실",BS연결,MATCH(V$1,BS연결H,0),0))/100,"")</f>
        <v/>
      </c>
      <c r="W13" s="18">
        <f>IFERROR((VLOOKUP("파생상품이익",BS연결,MATCH(W$1,BS연결H,0),0)-VLOOKUP("파생상품손실",BS연결,MATCH(W$1,BS연결H,0),0))/100,"")</f>
        <v/>
      </c>
      <c r="X13" s="18">
        <f>IFERROR((VLOOKUP("파생상품이익",BS연결,MATCH(X$1,BS연결H,0),0)-VLOOKUP("파생상품손실",BS연결,MATCH(X$1,BS연결H,0),0))/100,"")</f>
        <v/>
      </c>
      <c r="Y13" s="18">
        <f>IFERROR((VLOOKUP("파생상품이익",BS연결,MATCH(Y$1,BS연결H,0),0)-VLOOKUP("파생상품손실",BS연결,MATCH(Y$1,BS연결H,0),0))/100,"")</f>
        <v/>
      </c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>
        <v>0</v>
      </c>
      <c r="J14" s="18" t="n">
        <v>0.62</v>
      </c>
      <c r="K14" s="37">
        <f>SUM(G14:J14)</f>
        <v/>
      </c>
      <c r="L14" s="18" t="n"/>
      <c r="M14" s="18" t="n">
        <v>-3.13</v>
      </c>
      <c r="N14" s="18" t="n">
        <v>3.15</v>
      </c>
      <c r="O14" s="18" t="n">
        <v>0</v>
      </c>
      <c r="P14" s="37">
        <f>SUM(L14:O14)</f>
        <v/>
      </c>
      <c r="Q14" s="18" t="n"/>
      <c r="R14" s="18" t="n">
        <v>0</v>
      </c>
      <c r="S14" s="18" t="n">
        <v>0</v>
      </c>
      <c r="T14" s="18" t="n">
        <v>0</v>
      </c>
      <c r="U14" s="37">
        <f>SUM(Q14:T14)</f>
        <v/>
      </c>
      <c r="V14" s="18" t="n">
        <v>-0</v>
      </c>
      <c r="W14" s="18" t="n">
        <v>0</v>
      </c>
      <c r="X14" s="18" t="n">
        <v>0</v>
      </c>
      <c r="Y14" s="18" t="n">
        <v>0</v>
      </c>
      <c r="Z14" s="37">
        <f>SUM(V14:Y14)</f>
        <v/>
      </c>
      <c r="AA14" s="18" t="n"/>
      <c r="AB14" s="19" t="n">
        <v>0.01</v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지분법손익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종속기업,공동지배기업및관계기업관련손익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 t="n"/>
      <c r="AB17" s="19" t="n"/>
      <c r="AC17" s="20">
        <f>IFERROR(AC9+AC11+AC15+AC16,"")</f>
        <v/>
      </c>
      <c r="AD17" s="20">
        <f>IFERROR(AD9+AD11+AD15+AD16,"")</f>
        <v/>
      </c>
      <c r="AE17" s="38">
        <f>SUM(AA17:AD17)</f>
        <v/>
      </c>
      <c r="AF17" s="20">
        <f>IFERROR(AF9+AF11+AF15+AF16,"")</f>
        <v/>
      </c>
      <c r="AG17" s="20">
        <f>IFERROR(AG9+AG11+AG15+AG16,"")</f>
        <v/>
      </c>
      <c r="AH17" s="20">
        <f>IFERROR(AH9+AH11+AH15+AH16,"")</f>
        <v/>
      </c>
      <c r="AI17" s="20">
        <f>IFERROR(AI9+AI11+AI15+AI16,"")</f>
        <v/>
      </c>
      <c r="AJ17" s="38">
        <f>SUM(AF17:AI17)</f>
        <v/>
      </c>
      <c r="AK17" s="20">
        <f>IFERROR(AK9+AK11+AK15+AK16,"")</f>
        <v/>
      </c>
      <c r="AL17" s="20">
        <f>IFERROR(AL9+AL11+AL15+AL16,"")</f>
        <v/>
      </c>
      <c r="AM17" s="20">
        <f>IFERROR(AM9+AM11+AM15+AM16,"")</f>
        <v/>
      </c>
      <c r="AN17" s="20">
        <f>IFERROR(AN9+AN11+AN15+AN16,"")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 t="n"/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 t="n"/>
      <c r="K21" s="37">
        <f>SUM(G21:J21)</f>
        <v/>
      </c>
      <c r="L21" s="18" t="n"/>
      <c r="M21" s="18" t="n"/>
      <c r="N21" s="18" t="n"/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감가상각비</t>
        </is>
      </c>
      <c r="B22" t="inlineStr">
        <is>
          <t>손익</t>
        </is>
      </c>
      <c r="C22" t="inlineStr">
        <is>
          <t>억원</t>
        </is>
      </c>
      <c r="D22" t="inlineStr">
        <is>
          <t>감가상각비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변수!AC31</f>
        <v/>
      </c>
      <c r="AD22" s="20">
        <f>변수!AD31</f>
        <v/>
      </c>
      <c r="AE22" s="38">
        <f>SUM(AA22:AD22)</f>
        <v/>
      </c>
      <c r="AF22" s="20">
        <f>변수!AF31</f>
        <v/>
      </c>
      <c r="AG22" s="20">
        <f>변수!AG31</f>
        <v/>
      </c>
      <c r="AH22" s="20">
        <f>변수!AH31</f>
        <v/>
      </c>
      <c r="AI22" s="20">
        <f>변수!AI31</f>
        <v/>
      </c>
      <c r="AJ22" s="38">
        <f>SUM(AF22:AI22)</f>
        <v/>
      </c>
      <c r="AK22" s="20">
        <f>변수!AK31</f>
        <v/>
      </c>
      <c r="AL22" s="20">
        <f>변수!AL31</f>
        <v/>
      </c>
      <c r="AM22" s="20">
        <f>변수!AM31</f>
        <v/>
      </c>
      <c r="AN22" s="20">
        <f>변수!AN31</f>
        <v/>
      </c>
      <c r="AO22" s="38">
        <f>SUM(AK22:AN22)</f>
        <v/>
      </c>
    </row>
    <row r="23">
      <c r="A23" s="12" t="inlineStr">
        <is>
          <t>EBITDA</t>
        </is>
      </c>
      <c r="B23" t="inlineStr">
        <is>
          <t>손익</t>
        </is>
      </c>
      <c r="C23" t="inlineStr">
        <is>
          <t>억원</t>
        </is>
      </c>
      <c r="D23" t="inlineStr">
        <is>
          <t>EBITDA</t>
        </is>
      </c>
      <c r="E23" s="18" t="n">
        <v>50.26</v>
      </c>
      <c r="F23" s="37" t="n"/>
      <c r="G23" s="18" t="n">
        <v>43.15</v>
      </c>
      <c r="H23" s="18" t="n">
        <v>40.79</v>
      </c>
      <c r="I23" s="18" t="n">
        <v>35.23</v>
      </c>
      <c r="J23" s="18" t="n">
        <v>45.75</v>
      </c>
      <c r="K23" s="37">
        <f>SUM(G23:J23)</f>
        <v/>
      </c>
      <c r="L23" s="18" t="n">
        <v>29.73</v>
      </c>
      <c r="M23" s="18" t="n">
        <v>34.54</v>
      </c>
      <c r="N23" s="18" t="n"/>
      <c r="O23" s="18" t="n"/>
      <c r="P23" s="37">
        <f>SUM(L23:O23)</f>
        <v/>
      </c>
      <c r="Q23" s="18" t="n"/>
      <c r="R23" s="18" t="n"/>
      <c r="S23" s="18" t="n"/>
      <c r="T23" s="18" t="n"/>
      <c r="U23" s="37">
        <f>SUM(Q23:T23)</f>
        <v/>
      </c>
      <c r="V23" s="18" t="n"/>
      <c r="W23" s="18" t="n"/>
      <c r="X23" s="18" t="n"/>
      <c r="Y23" s="18" t="n"/>
      <c r="Z23" s="37">
        <f>SUM(V23:Y23)</f>
        <v/>
      </c>
      <c r="AA23" s="18" t="n"/>
      <c r="AB23" s="19" t="n"/>
      <c r="AC23" s="20">
        <f>IFERROR(AC9+AC22,"")</f>
        <v/>
      </c>
      <c r="AD23" s="20">
        <f>IFERROR(AD9+AD22,"")</f>
        <v/>
      </c>
      <c r="AE23" s="38">
        <f>SUM(AA23:AD23)</f>
        <v/>
      </c>
      <c r="AF23" s="20">
        <f>IFERROR(AF9+AF22,"")</f>
        <v/>
      </c>
      <c r="AG23" s="20">
        <f>IFERROR(AG9+AG22,"")</f>
        <v/>
      </c>
      <c r="AH23" s="20">
        <f>IFERROR(AH9+AH22,"")</f>
        <v/>
      </c>
      <c r="AI23" s="20">
        <f>IFERROR(AI9+AI22,"")</f>
        <v/>
      </c>
      <c r="AJ23" s="38">
        <f>SUM(AF23:AI23)</f>
        <v/>
      </c>
      <c r="AK23" s="20">
        <f>IFERROR(AK9+AK22,"")</f>
        <v/>
      </c>
      <c r="AL23" s="20">
        <f>IFERROR(AL9+AL22,"")</f>
        <v/>
      </c>
      <c r="AM23" s="20">
        <f>IFERROR(AM9+AM22,"")</f>
        <v/>
      </c>
      <c r="AN23" s="20">
        <f>IFERROR(AN9+AN22,"")</f>
        <v/>
      </c>
      <c r="AO23" s="38">
        <f>SUM(AK23:AN23)</f>
        <v/>
      </c>
    </row>
    <row r="24">
      <c r="A24" s="12" t="inlineStr">
        <is>
          <t>자산총계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자산총계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IFERROR(AC25+AC26,"")</f>
        <v/>
      </c>
      <c r="AD24" s="20">
        <f>IFERROR(AD25+AD26,"")</f>
        <v/>
      </c>
      <c r="AE24" s="38">
        <f>AD24</f>
        <v/>
      </c>
      <c r="AF24" s="20">
        <f>IFERROR(AF25+AF26,"")</f>
        <v/>
      </c>
      <c r="AG24" s="20">
        <f>IFERROR(AG25+AG26,"")</f>
        <v/>
      </c>
      <c r="AH24" s="20">
        <f>IFERROR(AH25+AH26,"")</f>
        <v/>
      </c>
      <c r="AI24" s="20">
        <f>IFERROR(AI25+AI26,"")</f>
        <v/>
      </c>
      <c r="AJ24" s="38">
        <f>AI24</f>
        <v/>
      </c>
      <c r="AK24" s="20">
        <f>IFERROR(AK25+AK26,"")</f>
        <v/>
      </c>
      <c r="AL24" s="20">
        <f>IFERROR(AL25+AL26,"")</f>
        <v/>
      </c>
      <c r="AM24" s="20">
        <f>IFERROR(AM25+AM26,"")</f>
        <v/>
      </c>
      <c r="AN24" s="20">
        <f>IFERROR(AN25+AN26,"")</f>
        <v/>
      </c>
      <c r="AO24" s="38">
        <f>AN24</f>
        <v/>
      </c>
    </row>
    <row r="25">
      <c r="A25" s="12" t="inlineStr">
        <is>
          <t>부채총계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부채총계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자본총계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자본총계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IFERROR(AB26+AC19-변수!AC33,"")</f>
        <v/>
      </c>
      <c r="AD26" s="20">
        <f>IFERROR(AC26+AD19-변수!AD33,"")</f>
        <v/>
      </c>
      <c r="AE26" s="38">
        <f>AD26</f>
        <v/>
      </c>
      <c r="AF26" s="20">
        <f>IFERROR(AD26+AF19-변수!AF33,"")</f>
        <v/>
      </c>
      <c r="AG26" s="20">
        <f>IFERROR(AF26+AG19-변수!AG33,"")</f>
        <v/>
      </c>
      <c r="AH26" s="20">
        <f>IFERROR(AG26+AH19-변수!AH33,"")</f>
        <v/>
      </c>
      <c r="AI26" s="20">
        <f>IFERROR(AH26+AI19-변수!AI33,"")</f>
        <v/>
      </c>
      <c r="AJ26" s="38">
        <f>AI26</f>
        <v/>
      </c>
      <c r="AK26" s="20">
        <f>IFERROR(AI26+AK19-변수!AK33,"")</f>
        <v/>
      </c>
      <c r="AL26" s="20">
        <f>IFERROR(AK26+AL19-변수!AL33,"")</f>
        <v/>
      </c>
      <c r="AM26" s="20">
        <f>IFERROR(AL26+AM19-변수!AM33,"")</f>
        <v/>
      </c>
      <c r="AN26" s="20">
        <f>IFERROR(AM26+AN19-변수!AN33,"")</f>
        <v/>
      </c>
      <c r="AO26" s="38">
        <f>AN26</f>
        <v/>
      </c>
    </row>
    <row r="27">
      <c r="A27" s="12" t="inlineStr">
        <is>
          <t>지배주주지분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지배주주지분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총차입금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총차입금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순차입금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순차입금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이자발생자산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이자발생자산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현금및현금성자산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현금및현금성자산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AD31</f>
        <v/>
      </c>
      <c r="AF31" s="20" t="n"/>
      <c r="AG31" s="20" t="n"/>
      <c r="AH31" s="20" t="n"/>
      <c r="AI31" s="20" t="n"/>
      <c r="AJ31" s="38">
        <f>AI31</f>
        <v/>
      </c>
      <c r="AK31" s="20" t="n"/>
      <c r="AL31" s="20" t="n"/>
      <c r="AM31" s="20" t="n"/>
      <c r="AN31" s="20" t="n"/>
      <c r="AO31" s="38">
        <f>AN31</f>
        <v/>
      </c>
    </row>
    <row r="32">
      <c r="A32" s="12" t="inlineStr">
        <is>
          <t>CAPEX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CAPEX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>
        <f>IFERROR(X32*(1+변수!AC39),"")</f>
        <v/>
      </c>
      <c r="AD32" s="20">
        <f>IFERROR(Y32*(1+변수!AD39),"")</f>
        <v/>
      </c>
      <c r="AE32" s="38">
        <f>SUM(AA32:AD32)</f>
        <v/>
      </c>
      <c r="AF32" s="20">
        <f>IFERROR(AA32*(1+변수!AF39),"")</f>
        <v/>
      </c>
      <c r="AG32" s="20">
        <f>IFERROR(AB32*(1+변수!AG39),"")</f>
        <v/>
      </c>
      <c r="AH32" s="20">
        <f>IFERROR(AC32*(1+변수!AH39),"")</f>
        <v/>
      </c>
      <c r="AI32" s="20">
        <f>IFERROR(AD32*(1+변수!AI39),"")</f>
        <v/>
      </c>
      <c r="AJ32" s="38">
        <f>SUM(AF32:AI32)</f>
        <v/>
      </c>
      <c r="AK32" s="20">
        <f>IFERROR(AF32*(1+변수!AK39),"")</f>
        <v/>
      </c>
      <c r="AL32" s="20">
        <f>IFERROR(AG32*(1+변수!AL39),"")</f>
        <v/>
      </c>
      <c r="AM32" s="20">
        <f>IFERROR(AH32*(1+변수!AM39),"")</f>
        <v/>
      </c>
      <c r="AN32" s="20">
        <f>IFERROR(AI32*(1+변수!AN39),"")</f>
        <v/>
      </c>
      <c r="AO32" s="38">
        <f>SUM(AK32:AN32)</f>
        <v/>
      </c>
    </row>
    <row r="33">
      <c r="A33" s="12" t="inlineStr">
        <is>
          <t>영업활동현금흐름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영업활동으로인한현금흐름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 t="n"/>
      <c r="AD33" s="20" t="n"/>
      <c r="AE33" s="38">
        <f>SUM(AA33:AD33)</f>
        <v/>
      </c>
      <c r="AF33" s="20" t="n"/>
      <c r="AG33" s="20" t="n"/>
      <c r="AH33" s="20" t="n"/>
      <c r="AI33" s="20" t="n"/>
      <c r="AJ33" s="38">
        <f>SUM(AF33:AI33)</f>
        <v/>
      </c>
      <c r="AK33" s="20" t="n"/>
      <c r="AL33" s="20" t="n"/>
      <c r="AM33" s="20" t="n"/>
      <c r="AN33" s="20" t="n"/>
      <c r="AO33" s="38">
        <f>SUM(AK33:AN33)</f>
        <v/>
      </c>
    </row>
    <row r="34">
      <c r="A34" s="12" t="inlineStr">
        <is>
          <t>주식수</t>
        </is>
      </c>
      <c r="B34" t="inlineStr">
        <is>
          <t>주당</t>
        </is>
      </c>
      <c r="C34" t="inlineStr">
        <is>
          <t>백만주</t>
        </is>
      </c>
      <c r="D34" t="inlineStr">
        <is>
          <t>유통주식수</t>
        </is>
      </c>
      <c r="E34" s="32" t="n">
        <v>45.90424</v>
      </c>
      <c r="F34" s="28">
        <f>E34</f>
        <v/>
      </c>
      <c r="G34" s="32" t="n">
        <v>46.658525</v>
      </c>
      <c r="H34" s="32" t="n">
        <v>46.658525</v>
      </c>
      <c r="I34" s="32" t="n">
        <v>46.658525</v>
      </c>
      <c r="J34" s="32" t="n">
        <v>46.658525</v>
      </c>
      <c r="K34" s="28">
        <f>J34</f>
        <v/>
      </c>
      <c r="L34" s="32" t="n">
        <v>46.658525</v>
      </c>
      <c r="M34" s="32" t="n">
        <v>46.658525</v>
      </c>
      <c r="N34" s="32" t="n">
        <v>45.758525</v>
      </c>
      <c r="O34" s="32" t="n">
        <v>45.336365</v>
      </c>
      <c r="P34" s="28">
        <f>O34</f>
        <v/>
      </c>
      <c r="Q34" s="32" t="n">
        <v>45.336365</v>
      </c>
      <c r="R34" s="32" t="n">
        <v>48.078665</v>
      </c>
      <c r="S34" s="32" t="n">
        <v>48.078665</v>
      </c>
      <c r="T34" s="32" t="n">
        <v>46.615415</v>
      </c>
      <c r="U34" s="28">
        <f>T34</f>
        <v/>
      </c>
      <c r="V34" s="32" t="n">
        <v>46.370415</v>
      </c>
      <c r="W34" s="32" t="n">
        <v>46.190235</v>
      </c>
      <c r="X34" s="32" t="n">
        <v>46.16441</v>
      </c>
      <c r="Y34" s="32" t="n">
        <v>46.16441</v>
      </c>
      <c r="Z34" s="28">
        <f>Y34</f>
        <v/>
      </c>
      <c r="AA34" s="32" t="n">
        <v>45.87941</v>
      </c>
      <c r="AB34" s="29" t="n">
        <v>45.695</v>
      </c>
      <c r="AC34" s="32">
        <f>IFERROR(AB34*(1+변수!AC41),"")</f>
        <v/>
      </c>
      <c r="AD34" s="32">
        <f>IFERROR(AC34*(1+변수!AD41),"")</f>
        <v/>
      </c>
      <c r="AE34" s="31">
        <f>AD34</f>
        <v/>
      </c>
      <c r="AF34" s="32">
        <f>IFERROR(AD34*(1+변수!AF41),"")</f>
        <v/>
      </c>
      <c r="AG34" s="32">
        <f>IFERROR(AF34*(1+변수!AG41),"")</f>
        <v/>
      </c>
      <c r="AH34" s="32">
        <f>IFERROR(AG34*(1+변수!AH41),"")</f>
        <v/>
      </c>
      <c r="AI34" s="32">
        <f>IFERROR(AH34*(1+변수!AI41),"")</f>
        <v/>
      </c>
      <c r="AJ34" s="31">
        <f>AI34</f>
        <v/>
      </c>
      <c r="AK34" s="32">
        <f>IFERROR(AI34*(1+변수!AK41),"")</f>
        <v/>
      </c>
      <c r="AL34" s="32">
        <f>IFERROR(AK34*(1+변수!AL41),"")</f>
        <v/>
      </c>
      <c r="AM34" s="32">
        <f>IFERROR(AL34*(1+변수!AM41),"")</f>
        <v/>
      </c>
      <c r="AN34" s="32">
        <f>IFERROR(AM34*(1+변수!AN41),"")</f>
        <v/>
      </c>
      <c r="AO34" s="31">
        <f>AN34</f>
        <v/>
      </c>
    </row>
    <row r="35">
      <c r="A35" s="12" t="inlineStr">
        <is>
          <t>EPS</t>
        </is>
      </c>
      <c r="B35" t="inlineStr">
        <is>
          <t>주당</t>
        </is>
      </c>
      <c r="C35" t="inlineStr">
        <is>
          <t>원</t>
        </is>
      </c>
      <c r="D35" t="inlineStr">
        <is>
          <t>EPS</t>
        </is>
      </c>
      <c r="E35" s="18">
        <f>IFERROR(E20*100/E34,"")</f>
        <v/>
      </c>
      <c r="F35" s="37" t="n"/>
      <c r="G35" s="18">
        <f>IFERROR(G20*100/G34,"")</f>
        <v/>
      </c>
      <c r="H35" s="18">
        <f>IFERROR(H20*100/H34,"")</f>
        <v/>
      </c>
      <c r="I35" s="18">
        <f>IFERROR(I20*100/I34,"")</f>
        <v/>
      </c>
      <c r="J35" s="18">
        <f>IFERROR(J20*100/J34,"")</f>
        <v/>
      </c>
      <c r="K35" s="37">
        <f>SUM(G35:J35)</f>
        <v/>
      </c>
      <c r="L35" s="18">
        <f>IFERROR(L20*100/L34,"")</f>
        <v/>
      </c>
      <c r="M35" s="18">
        <f>IFERROR(M20*100/M34,"")</f>
        <v/>
      </c>
      <c r="N35" s="18">
        <f>IFERROR(N20*100/N34,"")</f>
        <v/>
      </c>
      <c r="O35" s="18">
        <f>IFERROR(O20*100/O34,"")</f>
        <v/>
      </c>
      <c r="P35" s="37">
        <f>SUM(L35:O35)</f>
        <v/>
      </c>
      <c r="Q35" s="18">
        <f>IFERROR(Q20*100/Q34,"")</f>
        <v/>
      </c>
      <c r="R35" s="18">
        <f>IFERROR(R20*100/R34,"")</f>
        <v/>
      </c>
      <c r="S35" s="18">
        <f>IFERROR(S20*100/S34,"")</f>
        <v/>
      </c>
      <c r="T35" s="18">
        <f>IFERROR(T20*100/T34,"")</f>
        <v/>
      </c>
      <c r="U35" s="37">
        <f>SUM(Q35:T35)</f>
        <v/>
      </c>
      <c r="V35" s="18">
        <f>IFERROR(V20*100/V34,"")</f>
        <v/>
      </c>
      <c r="W35" s="18">
        <f>IFERROR(W20*100/W34,"")</f>
        <v/>
      </c>
      <c r="X35" s="18">
        <f>IFERROR(X20*100/X34,"")</f>
        <v/>
      </c>
      <c r="Y35" s="18">
        <f>IFERROR(Y20*100/Y34,"")</f>
        <v/>
      </c>
      <c r="Z35" s="37">
        <f>SUM(V35:Y35)</f>
        <v/>
      </c>
      <c r="AA35" s="18">
        <f>IFERROR(AA20*100/AA34,"")</f>
        <v/>
      </c>
      <c r="AB35" s="19">
        <f>IFERROR(AB20*100/AB34,"")</f>
        <v/>
      </c>
      <c r="AC35" s="20">
        <f>IFERROR(AC20*100/AC34,"")</f>
        <v/>
      </c>
      <c r="AD35" s="20">
        <f>IFERROR(AD20*100/AD34,"")</f>
        <v/>
      </c>
      <c r="AE35" s="38">
        <f>SUM(AA35:AD35)</f>
        <v/>
      </c>
      <c r="AF35" s="20">
        <f>IFERROR(AF20*100/AF34,"")</f>
        <v/>
      </c>
      <c r="AG35" s="20">
        <f>IFERROR(AG20*100/AG34,"")</f>
        <v/>
      </c>
      <c r="AH35" s="20">
        <f>IFERROR(AH20*100/AH34,"")</f>
        <v/>
      </c>
      <c r="AI35" s="20">
        <f>IFERROR(AI20*100/AI34,"")</f>
        <v/>
      </c>
      <c r="AJ35" s="38">
        <f>SUM(AF35:AI35)</f>
        <v/>
      </c>
      <c r="AK35" s="20">
        <f>IFERROR(AK20*100/AK34,"")</f>
        <v/>
      </c>
      <c r="AL35" s="20">
        <f>IFERROR(AL20*100/AL34,"")</f>
        <v/>
      </c>
      <c r="AM35" s="20">
        <f>IFERROR(AM20*100/AM34,"")</f>
        <v/>
      </c>
      <c r="AN35" s="20">
        <f>IFERROR(AN20*100/AN34,"")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IFERROR(E27*100/E34,"")</f>
        <v/>
      </c>
      <c r="F36" s="37">
        <f>E36</f>
        <v/>
      </c>
      <c r="G36" s="18">
        <f>IFERROR(G27*100/G34,"")</f>
        <v/>
      </c>
      <c r="H36" s="18">
        <f>IFERROR(H27*100/H34,"")</f>
        <v/>
      </c>
      <c r="I36" s="18">
        <f>IFERROR(I27*100/I34,"")</f>
        <v/>
      </c>
      <c r="J36" s="18">
        <f>IFERROR(J27*100/J34,"")</f>
        <v/>
      </c>
      <c r="K36" s="37">
        <f>J36</f>
        <v/>
      </c>
      <c r="L36" s="18">
        <f>IFERROR(L27*100/L34,"")</f>
        <v/>
      </c>
      <c r="M36" s="18">
        <f>IFERROR(M27*100/M34,"")</f>
        <v/>
      </c>
      <c r="N36" s="18">
        <f>IFERROR(N27*100/N34,"")</f>
        <v/>
      </c>
      <c r="O36" s="18">
        <f>IFERROR(O27*100/O34,"")</f>
        <v/>
      </c>
      <c r="P36" s="37">
        <f>O36</f>
        <v/>
      </c>
      <c r="Q36" s="18">
        <f>IFERROR(Q27*100/Q34,"")</f>
        <v/>
      </c>
      <c r="R36" s="18">
        <f>IFERROR(R27*100/R34,"")</f>
        <v/>
      </c>
      <c r="S36" s="18">
        <f>IFERROR(S27*100/S34,"")</f>
        <v/>
      </c>
      <c r="T36" s="18">
        <f>IFERROR(T27*100/T34,"")</f>
        <v/>
      </c>
      <c r="U36" s="37">
        <f>T36</f>
        <v/>
      </c>
      <c r="V36" s="18">
        <f>IFERROR(V27*100/V34,"")</f>
        <v/>
      </c>
      <c r="W36" s="18">
        <f>IFERROR(W27*100/W34,"")</f>
        <v/>
      </c>
      <c r="X36" s="18">
        <f>IFERROR(X27*100/X34,"")</f>
        <v/>
      </c>
      <c r="Y36" s="18">
        <f>IFERROR(Y27*100/Y34,"")</f>
        <v/>
      </c>
      <c r="Z36" s="37">
        <f>Y36</f>
        <v/>
      </c>
      <c r="AA36" s="18">
        <f>IFERROR(AA27*100/AA34,"")</f>
        <v/>
      </c>
      <c r="AB36" s="19">
        <f>IFERROR(AB27*100/AB34,"")</f>
        <v/>
      </c>
      <c r="AC36" s="20">
        <f>IFERROR(AC27*100/AC34,"")</f>
        <v/>
      </c>
      <c r="AD36" s="20">
        <f>IFERROR(AD27*100/AD34,"")</f>
        <v/>
      </c>
      <c r="AE36" s="38">
        <f>AD36</f>
        <v/>
      </c>
      <c r="AF36" s="20">
        <f>IFERROR(AF27*100/AF34,"")</f>
        <v/>
      </c>
      <c r="AG36" s="20">
        <f>IFERROR(AG27*100/AG34,"")</f>
        <v/>
      </c>
      <c r="AH36" s="20">
        <f>IFERROR(AH27*100/AH34,"")</f>
        <v/>
      </c>
      <c r="AI36" s="20">
        <f>IFERROR(AI27*100/AI34,"")</f>
        <v/>
      </c>
      <c r="AJ36" s="38">
        <f>AI36</f>
        <v/>
      </c>
      <c r="AK36" s="20">
        <f>IFERROR(AK27*100/AK34,"")</f>
        <v/>
      </c>
      <c r="AL36" s="20">
        <f>IFERROR(AL27*100/AL34,"")</f>
        <v/>
      </c>
      <c r="AM36" s="20">
        <f>IFERROR(AM27*100/AM34,"")</f>
        <v/>
      </c>
      <c r="AN36" s="20">
        <f>IFERROR(AN27*100/AN34,"")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20" t="n">
        <v>450</v>
      </c>
      <c r="P37" s="37">
        <f>SUM(L37:O37)</f>
        <v/>
      </c>
      <c r="Q37" s="18" t="n"/>
      <c r="R37" s="18" t="n"/>
      <c r="S37" s="18" t="n"/>
      <c r="T37" s="20" t="n">
        <v>140</v>
      </c>
      <c r="U37" s="37">
        <f>SUM(Q37:T37)</f>
        <v/>
      </c>
      <c r="V37" s="18" t="n"/>
      <c r="W37" s="18" t="n"/>
      <c r="X37" s="18" t="n"/>
      <c r="Y37" s="20" t="n">
        <v>150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IFERROR(변수!O18/(L35+M35+N35+O35),"")</f>
        <v/>
      </c>
      <c r="P38" s="14">
        <f>O38</f>
        <v/>
      </c>
      <c r="Q38" s="13">
        <f>IFERROR(변수!Q18/(M35+N35+O35+Q35),"")</f>
        <v/>
      </c>
      <c r="R38" s="13">
        <f>IFERROR(변수!R18/(N35+O35+Q35+R35),"")</f>
        <v/>
      </c>
      <c r="S38" s="13">
        <f>IFERROR(변수!S18/(O35+Q35+R35+S35),"")</f>
        <v/>
      </c>
      <c r="T38" s="13">
        <f>IFERROR(변수!T18/(Q35+R35+S35+T35),"")</f>
        <v/>
      </c>
      <c r="U38" s="14">
        <f>T38</f>
        <v/>
      </c>
      <c r="V38" s="13" t="n"/>
      <c r="W38" s="13">
        <f>IFERROR(변수!W18/(S35+T35+V35+W35),"")</f>
        <v/>
      </c>
      <c r="X38" s="13">
        <f>IFERROR(변수!X18/(T35+V35+W35+X35),"")</f>
        <v/>
      </c>
      <c r="Y38" s="13">
        <f>IFERROR(변수!Y18/(V35+W35+X35+Y35),"")</f>
        <v/>
      </c>
      <c r="Z38" s="14">
        <f>Y38</f>
        <v/>
      </c>
      <c r="AA38" s="13">
        <f>IFERROR(변수!AA18/(W35+X35+Y35+AA35),"")</f>
        <v/>
      </c>
      <c r="AB38" s="15">
        <f>IFERROR(변수!AB18/(X35+Y35+AA35+AB35),"")</f>
        <v/>
      </c>
      <c r="AC38" s="39">
        <f>IFERROR(변수!$D$45/(Y35+AA35+AB35+AC35),"")</f>
        <v/>
      </c>
      <c r="AD38" s="39">
        <f>IFERROR(변수!$D$45/(AA35+AB35+AC35+AD35),"")</f>
        <v/>
      </c>
      <c r="AE38" s="40">
        <f>AD38</f>
        <v/>
      </c>
      <c r="AF38" s="39">
        <f>IFERROR(변수!$D$45/(AB35+AC35+AD35+AF35),"")</f>
        <v/>
      </c>
      <c r="AG38" s="39">
        <f>IFERROR(변수!$D$45/(AC35+AD35+AF35+AG35),"")</f>
        <v/>
      </c>
      <c r="AH38" s="39">
        <f>IFERROR(변수!$D$45/(AD35+AF35+AG35+AH35),"")</f>
        <v/>
      </c>
      <c r="AI38" s="39">
        <f>IFERROR(변수!$D$45/(AF35+AG35+AH35+AI35),"")</f>
        <v/>
      </c>
      <c r="AJ38" s="40">
        <f>AI38</f>
        <v/>
      </c>
      <c r="AK38" s="39">
        <f>IFERROR(변수!$D$45/(AG35+AH35+AI35+AK35),"")</f>
        <v/>
      </c>
      <c r="AL38" s="39">
        <f>IFERROR(변수!$D$45/(AH35+AI35+AK35+AL35),"")</f>
        <v/>
      </c>
      <c r="AM38" s="39">
        <f>IFERROR(변수!$D$45/(AI35+AK35+AL35+AM35),"")</f>
        <v/>
      </c>
      <c r="AN38" s="39">
        <f>IFERROR(변수!$D$45/(AK35+AL35+AM35+AN35),"")</f>
        <v/>
      </c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361.4</v>
      </c>
      <c r="F40" s="37" t="n"/>
      <c r="G40" s="18" t="n">
        <v>396.52</v>
      </c>
      <c r="H40" s="18" t="n">
        <v>317.35</v>
      </c>
      <c r="I40" s="18" t="n">
        <v>355.61</v>
      </c>
      <c r="J40" s="18" t="n">
        <v>414.43</v>
      </c>
      <c r="K40" s="37">
        <f>SUM(G40:J40)</f>
        <v/>
      </c>
      <c r="L40" s="18" t="n">
        <v>326.94</v>
      </c>
      <c r="M40" s="18" t="n">
        <v>323.09</v>
      </c>
      <c r="N40" s="18" t="n">
        <v>336.18</v>
      </c>
      <c r="O40" s="18" t="n">
        <v>53.3</v>
      </c>
      <c r="P40" s="37">
        <f>SUM(L40:O40)</f>
        <v/>
      </c>
      <c r="Q40" s="18" t="n">
        <v>217.69</v>
      </c>
      <c r="R40" s="18" t="n">
        <v>254.99</v>
      </c>
      <c r="S40" s="18" t="n">
        <v>205.68</v>
      </c>
      <c r="T40" s="18" t="n">
        <v>249.49</v>
      </c>
      <c r="U40" s="37">
        <f>SUM(Q40:T40)</f>
        <v/>
      </c>
      <c r="V40" s="18" t="n">
        <v>285.21</v>
      </c>
      <c r="W40" s="18" t="n">
        <v>251.62</v>
      </c>
      <c r="X40" s="18" t="n">
        <v>287.95</v>
      </c>
      <c r="Y40" s="18" t="n">
        <v>254.8</v>
      </c>
      <c r="Z40" s="37">
        <f>SUM(V40:Y40)</f>
        <v/>
      </c>
      <c r="AA40" s="18" t="n">
        <v>259.87</v>
      </c>
      <c r="AB40" s="19" t="n">
        <v>318.3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32.94</v>
      </c>
      <c r="F41" s="37" t="n"/>
      <c r="G41" s="18" t="n">
        <v>26.42</v>
      </c>
      <c r="H41" s="18" t="n">
        <v>24.16</v>
      </c>
      <c r="I41" s="18" t="n">
        <v>19.06</v>
      </c>
      <c r="J41" s="18" t="n">
        <v>29.21</v>
      </c>
      <c r="K41" s="37">
        <f>SUM(G41:J41)</f>
        <v/>
      </c>
      <c r="L41" s="18" t="n">
        <v>14.5</v>
      </c>
      <c r="M41" s="18" t="n">
        <v>17.67</v>
      </c>
      <c r="N41" s="18" t="n">
        <v>17.85</v>
      </c>
      <c r="O41" s="18" t="n">
        <v>-1.16</v>
      </c>
      <c r="P41" s="37">
        <f>SUM(L41:O41)</f>
        <v/>
      </c>
      <c r="Q41" s="18" t="n">
        <v>11.51</v>
      </c>
      <c r="R41" s="18" t="n">
        <v>45.62</v>
      </c>
      <c r="S41" s="18" t="n">
        <v>11.89</v>
      </c>
      <c r="T41" s="18" t="n">
        <v>33.59</v>
      </c>
      <c r="U41" s="37">
        <f>SUM(Q41:T41)</f>
        <v/>
      </c>
      <c r="V41" s="18" t="n">
        <v>26.59</v>
      </c>
      <c r="W41" s="18" t="n">
        <v>44.09</v>
      </c>
      <c r="X41" s="18" t="n">
        <v>48.65</v>
      </c>
      <c r="Y41" s="18" t="n">
        <v>36.01</v>
      </c>
      <c r="Z41" s="37">
        <f>SUM(V41:Y41)</f>
        <v/>
      </c>
      <c r="AA41" s="18" t="n">
        <v>41.62</v>
      </c>
      <c r="AB41" s="19" t="n">
        <v>51.34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IFERROR(E20/E5,"")</f>
        <v/>
      </c>
      <c r="F43" s="22">
        <f>IFERROR(F20/F5,"")</f>
        <v/>
      </c>
      <c r="G43" s="21">
        <f>IFERROR(G20/G5,"")</f>
        <v/>
      </c>
      <c r="H43" s="21">
        <f>IFERROR(H20/H5,"")</f>
        <v/>
      </c>
      <c r="I43" s="21">
        <f>IFERROR(I20/I5,"")</f>
        <v/>
      </c>
      <c r="J43" s="21">
        <f>IFERROR(J20/J5,"")</f>
        <v/>
      </c>
      <c r="K43" s="22">
        <f>IFERROR(K20/K5,"")</f>
        <v/>
      </c>
      <c r="L43" s="21">
        <f>IFERROR(L20/L5,"")</f>
        <v/>
      </c>
      <c r="M43" s="21">
        <f>IFERROR(M20/M5,"")</f>
        <v/>
      </c>
      <c r="N43" s="21">
        <f>IFERROR(N20/N5,"")</f>
        <v/>
      </c>
      <c r="O43" s="21">
        <f>IFERROR(O20/O5,"")</f>
        <v/>
      </c>
      <c r="P43" s="22">
        <f>IFERROR(P20/P5,"")</f>
        <v/>
      </c>
      <c r="Q43" s="21">
        <f>IFERROR(Q20/Q5,"")</f>
        <v/>
      </c>
      <c r="R43" s="21">
        <f>IFERROR(R20/R5,"")</f>
        <v/>
      </c>
      <c r="S43" s="21">
        <f>IFERROR(S20/S5,"")</f>
        <v/>
      </c>
      <c r="T43" s="21">
        <f>IFERROR(T20/T5,"")</f>
        <v/>
      </c>
      <c r="U43" s="22">
        <f>IFERROR(U20/U5,"")</f>
        <v/>
      </c>
      <c r="V43" s="21">
        <f>IFERROR(V20/V5,"")</f>
        <v/>
      </c>
      <c r="W43" s="21">
        <f>IFERROR(W20/W5,"")</f>
        <v/>
      </c>
      <c r="X43" s="21">
        <f>IFERROR(X20/X5,"")</f>
        <v/>
      </c>
      <c r="Y43" s="21">
        <f>IFERROR(Y20/Y5,"")</f>
        <v/>
      </c>
      <c r="Z43" s="22">
        <f>IFERROR(Z20/Z5,"")</f>
        <v/>
      </c>
      <c r="AA43" s="21">
        <f>IFERROR(AA20/AA5,"")</f>
        <v/>
      </c>
      <c r="AB43" s="23">
        <f>IFERROR(AB20/AB5,"")</f>
        <v/>
      </c>
      <c r="AC43" s="33">
        <f>IFERROR(AC20/AC5,"")</f>
        <v/>
      </c>
      <c r="AD43" s="33">
        <f>IFERROR(AD20/AD5,"")</f>
        <v/>
      </c>
      <c r="AE43" s="25">
        <f>IFERROR(AE20/AE5,"")</f>
        <v/>
      </c>
      <c r="AF43" s="33">
        <f>IFERROR(AF20/AF5,"")</f>
        <v/>
      </c>
      <c r="AG43" s="33">
        <f>IFERROR(AG20/AG5,"")</f>
        <v/>
      </c>
      <c r="AH43" s="33">
        <f>IFERROR(AH20/AH5,"")</f>
        <v/>
      </c>
      <c r="AI43" s="33">
        <f>IFERROR(AI20/AI5,"")</f>
        <v/>
      </c>
      <c r="AJ43" s="25">
        <f>IFERROR(AJ20/AJ5,"")</f>
        <v/>
      </c>
      <c r="AK43" s="33">
        <f>IFERROR(AK20/AK5,"")</f>
        <v/>
      </c>
      <c r="AL43" s="33">
        <f>IFERROR(AL20/AL5,"")</f>
        <v/>
      </c>
      <c r="AM43" s="33">
        <f>IFERROR(AM20/AM5,"")</f>
        <v/>
      </c>
      <c r="AN43" s="33">
        <f>IFERROR(AN20/AN5,"")</f>
        <v/>
      </c>
      <c r="AO43" s="25">
        <f>IFERROR(AO20/AO5,"")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27">
        <f>IFERROR(VLOOKUP($A34,subQ,MATCH(I$1,SUBQH,0),0),"")</f>
        <v/>
      </c>
      <c r="J34" s="27">
        <f>IFERROR(VLOOKUP($A34,subQ,MATCH(J$1,SUBQH,0),0),"")</f>
        <v/>
      </c>
      <c r="K34" s="27">
        <f>IFERROR(VLOOKUP($A34,subQ,MATCH(K$1,SUBQH,0),0),"")</f>
        <v/>
      </c>
      <c r="L34" s="27">
        <f>IFERROR(VLOOKUP($A34,subQ,MATCH(L$1,SUBQH,0),0),"")</f>
        <v/>
      </c>
      <c r="M34" s="27">
        <f>IFERROR(VLOOKUP($A34,subQ,MATCH(M$1,SUBQH,0),0),"")</f>
        <v/>
      </c>
      <c r="N34" s="27">
        <f>IFERROR(VLOOKUP($A34,subQ,MATCH(N$1,SUBQH,0),0),"")</f>
        <v/>
      </c>
      <c r="O34" s="27">
        <f>IFERROR(VLOOKUP($A34,subQ,MATCH(O$1,SUBQH,0),0),"")</f>
        <v/>
      </c>
      <c r="P34" s="27">
        <f>IFERROR(VLOOKUP($A34,subQ,MATCH(P$1,SUBQH,0),0),"")</f>
        <v/>
      </c>
      <c r="Q34" s="27">
        <f>IFERROR(VLOOKUP($A34,subQ,MATCH(Q$1,SUBQH,0),0),"")</f>
        <v/>
      </c>
      <c r="R34" s="27">
        <f>IFERROR(VLOOKUP($A34,subQ,MATCH(R$1,SUBQH,0),0),"")</f>
        <v/>
      </c>
      <c r="S34" s="27">
        <f>IFERROR(VLOOKUP($A34,subQ,MATCH(S$1,SUBQH,0),0),"")</f>
        <v/>
      </c>
      <c r="T34" s="27">
        <f>IFERROR(VLOOKUP($A34,subQ,MATCH(T$1,SUBQH,0),0),"")</f>
        <v/>
      </c>
      <c r="U34" s="27">
        <f>IFERROR(VLOOKUP($A34,subQ,MATCH(U$1,SUBQH,0),0),"")</f>
        <v/>
      </c>
      <c r="V34" s="27">
        <f>IFERROR(VLOOKUP($A34,subQ,MATCH(V$1,SUBQH,0),0),"")</f>
        <v/>
      </c>
      <c r="W34" s="47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IFERROR(I20/E20-1,"")</f>
        <v/>
      </c>
      <c r="J45" s="21">
        <f>IFERROR(J20/F20-1,"")</f>
        <v/>
      </c>
      <c r="K45" s="21">
        <f>IFERROR(K20/G20-1,"")</f>
        <v/>
      </c>
      <c r="L45" s="21">
        <f>IFERROR(L20/H20-1,"")</f>
        <v/>
      </c>
      <c r="M45" s="21">
        <f>IFERROR(M20/I20-1,"")</f>
        <v/>
      </c>
      <c r="N45" s="21">
        <f>IFERROR(N20/J20-1,"")</f>
        <v/>
      </c>
      <c r="O45" s="21">
        <f>IFERROR(O20/K20-1,"")</f>
        <v/>
      </c>
      <c r="P45" s="21">
        <f>IFERROR(P20/L20-1,"")</f>
        <v/>
      </c>
      <c r="Q45" s="21">
        <f>IFERROR(Q20/M20-1,"")</f>
        <v/>
      </c>
      <c r="R45" s="21">
        <f>IFERROR(R20/N20-1,"")</f>
        <v/>
      </c>
      <c r="S45" s="21">
        <f>IFERROR(S20/O20-1,"")</f>
        <v/>
      </c>
      <c r="T45" s="21">
        <f>IFERROR(T20/P20-1,"")</f>
        <v/>
      </c>
      <c r="U45" s="21">
        <f>IFERROR(U20/Q20-1,"")</f>
        <v/>
      </c>
      <c r="V45" s="21">
        <f>IFERROR(V20/R20-1,"")</f>
        <v/>
      </c>
      <c r="W45" s="46">
        <f>IFERROR(W20/S20-1,"")</f>
        <v/>
      </c>
      <c r="X45" s="33">
        <f>IFERROR(X20/T20-1,"")</f>
        <v/>
      </c>
      <c r="Y45" s="33">
        <f>IFERROR(Y20/U20-1,"")</f>
        <v/>
      </c>
      <c r="Z45" s="33">
        <f>IFERROR(Z20/V20-1,"")</f>
        <v/>
      </c>
      <c r="AA45" s="33">
        <f>IFERROR(AA20/W20-1,"")</f>
        <v/>
      </c>
      <c r="AB45" s="33">
        <f>IFERROR(AB20/X20-1,"")</f>
        <v/>
      </c>
      <c r="AC45" s="33">
        <f>IFERROR(AC20/Y20-1,"")</f>
        <v/>
      </c>
      <c r="AD45" s="33">
        <f>IFERROR(AD20/Z20-1,"")</f>
        <v/>
      </c>
      <c r="AE45" s="33">
        <f>IFERROR(AE20/AA20-1,"")</f>
        <v/>
      </c>
      <c r="AF45" s="33">
        <f>IFERROR(AF20/AB20-1,"")</f>
        <v/>
      </c>
      <c r="AG45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지분법손익</t>
        </is>
      </c>
      <c r="D16" t="inlineStr">
        <is>
          <t>지분법손익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감가상각비</t>
        </is>
      </c>
      <c r="D22" t="inlineStr">
        <is>
          <t>감가상각비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EBITDA</t>
        </is>
      </c>
      <c r="D23" t="inlineStr">
        <is>
          <t>EBITDA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자산총계</t>
        </is>
      </c>
      <c r="D24" t="inlineStr">
        <is>
          <t>자산총계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부채총계</t>
        </is>
      </c>
      <c r="D25" t="inlineStr">
        <is>
          <t>부채총계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자본총계</t>
        </is>
      </c>
      <c r="D26" t="inlineStr">
        <is>
          <t>자본총계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지배주주지분</t>
        </is>
      </c>
      <c r="D27" t="inlineStr">
        <is>
          <t>지배주주지분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총차입금</t>
        </is>
      </c>
      <c r="D28" t="inlineStr">
        <is>
          <t>총차입금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순차입금</t>
        </is>
      </c>
      <c r="D29" t="inlineStr">
        <is>
          <t>순차입금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이자발생자산</t>
        </is>
      </c>
      <c r="D30" t="inlineStr">
        <is>
          <t>이자발생자산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현금및현금성자산</t>
        </is>
      </c>
      <c r="D31" t="inlineStr">
        <is>
          <t>현금및현금성자산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CAPEX</t>
        </is>
      </c>
      <c r="D32" t="inlineStr">
        <is>
          <t>CAPEX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영업활동현금흐름</t>
        </is>
      </c>
      <c r="D33" t="inlineStr">
        <is>
          <t>영업활동현금흐름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주식수</t>
        </is>
      </c>
      <c r="D34" t="inlineStr">
        <is>
          <t>유통주식수</t>
        </is>
      </c>
      <c r="E34" s="27">
        <f>IFERROR(VLOOKUP($A34,subQ,MATCH(E$1,SUBQH,0),0),"")</f>
        <v/>
      </c>
      <c r="F34" s="27">
        <f>IFERROR(VLOOKUP($A34,subQ,MATCH(F$1,SUBQH,0),0),"")</f>
        <v/>
      </c>
      <c r="G34" s="27">
        <f>IFERROR(VLOOKUP($A34,subQ,MATCH(G$1,SUBQH,0),0),"")</f>
        <v/>
      </c>
      <c r="H34" s="27">
        <f>IFERROR(VLOOKUP($A34,subQ,MATCH(H$1,SUBQH,0),0),"")</f>
        <v/>
      </c>
      <c r="I34" s="47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EPS</t>
        </is>
      </c>
      <c r="D35" t="inlineStr">
        <is>
          <t>EPS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IFERROR(F20/E20-1,"")</f>
        <v/>
      </c>
      <c r="G45" s="21">
        <f>IFERROR(G20/F20-1,"")</f>
        <v/>
      </c>
      <c r="H45" s="21">
        <f>IFERROR(H20/G20-1,"")</f>
        <v/>
      </c>
      <c r="I45" s="46">
        <f>IFERROR(I20/H20-1,"")</f>
        <v/>
      </c>
      <c r="J45" s="33">
        <f>IFERROR(J20/I20-1,"")</f>
        <v/>
      </c>
      <c r="K45" s="33">
        <f>IFERROR(K20/J20-1,"")</f>
        <v/>
      </c>
      <c r="L45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665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8.93</v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0.08550000000000001</v>
      </c>
    </row>
    <row r="34">
      <c r="C34" s="2" t="inlineStr">
        <is>
          <t>fair_pbr</t>
        </is>
      </c>
      <c r="D34" t="n">
        <v>0.95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  <c r="D36" t="n">
        <v>10.14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