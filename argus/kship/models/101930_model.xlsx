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240366억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255224억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264597억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273359억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283476억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297542억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314861억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333890억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최근 4분기(2025Q2~2026Q2) 잔차 중위</t>
      </text>
    </comment>
    <comment ref="AD25" authorId="0" shapeId="0">
      <text>
        <t>모델값 역산(implied): 모델 v 그대로
최근 4분기(2025Q2~2026Q2) 잔차 중위</t>
      </text>
    </comment>
    <comment ref="AF25" authorId="0" shapeId="0">
      <text>
        <t>모델값 역산(implied): 모델 v 그대로
최근 4분기(2025Q2~2026Q2) 잔차 중위</t>
      </text>
    </comment>
    <comment ref="AG25" authorId="0" shapeId="0">
      <text>
        <t>모델값 역산(implied): 모델 v 그대로
최근 4분기(2025Q2~2026Q2) 잔차 중위</t>
      </text>
    </comment>
    <comment ref="AH25" authorId="0" shapeId="0">
      <text>
        <t>모델값 역산(implied): 모델 v 그대로
최근 4분기(2025Q2~2026Q2) 잔차 중위</t>
      </text>
    </comment>
    <comment ref="AI25" authorId="0" shapeId="0">
      <text>
        <t>모델값 역산(implied): 모델 v 그대로
최근 4분기(2025Q2~2026Q2) 잔차 중위</t>
      </text>
    </comment>
    <comment ref="AK25" authorId="0" shapeId="0">
      <text>
        <t>모델값 역산(implied): 모델 v 그대로
최근 4분기(2025Q2~2026Q2) 잔차 중위</t>
      </text>
    </comment>
    <comment ref="AL25" authorId="0" shapeId="0">
      <text>
        <t>모델값 역산(implied): 모델 v 그대로
최근 4분기(2025Q2~2026Q2) 잔차 중위</t>
      </text>
    </comment>
    <comment ref="AM25" authorId="0" shapeId="0">
      <text>
        <t>모델값 역산(implied): 모델 v 그대로
최근 4분기(2025Q2~2026Q2) 잔차 중위</t>
      </text>
    </comment>
    <comment ref="AN25" authorId="0" shapeId="0">
      <text>
        <t>모델값 역산(implied): 모델 v 그대로
최근 4분기(2025Q2~2026Q2)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모델 v 그대로
최근 4분기 감가상각비 중위 유지</t>
      </text>
    </comment>
    <comment ref="AD31" authorId="0" shapeId="0">
      <text>
        <t>모델값 역산(implied): 모델 v 그대로
최근 4분기 감가상각비 중위 유지</t>
      </text>
    </comment>
    <comment ref="AF31" authorId="0" shapeId="0">
      <text>
        <t>모델값 역산(implied): 모델 v 그대로
최근 4분기 감가상각비 중위 유지</t>
      </text>
    </comment>
    <comment ref="AG31" authorId="0" shapeId="0">
      <text>
        <t>모델값 역산(implied): 모델 v 그대로
최근 4분기 감가상각비 중위 유지</t>
      </text>
    </comment>
    <comment ref="AH31" authorId="0" shapeId="0">
      <text>
        <t>모델값 역산(implied): 모델 v 그대로
최근 4분기 감가상각비 중위 유지</t>
      </text>
    </comment>
    <comment ref="AI31" authorId="0" shapeId="0">
      <text>
        <t>모델값 역산(implied): 모델 v 그대로
최근 4분기 감가상각비 중위 유지</t>
      </text>
    </comment>
    <comment ref="AK31" authorId="0" shapeId="0">
      <text>
        <t>모델값 역산(implied): 모델 v 그대로
최근 4분기 감가상각비 중위 유지</t>
      </text>
    </comment>
    <comment ref="AL31" authorId="0" shapeId="0">
      <text>
        <t>모델값 역산(implied): 모델 v 그대로
최근 4분기 감가상각비 중위 유지</t>
      </text>
    </comment>
    <comment ref="AM31" authorId="0" shapeId="0">
      <text>
        <t>모델값 역산(implied): 모델 v 그대로
최근 4분기 감가상각비 중위 유지</t>
      </text>
    </comment>
    <comment ref="AN31" authorId="0" shapeId="0">
      <text>
        <t>모델값 역산(implied): 모델 v 그대로
최근 4분기 감가상각비 중위 유지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반영(FCF 근사)</t>
      </text>
    </comment>
    <comment ref="AD39" authorId="0" shapeId="0">
      <text>
        <t>모델값 역산(implied): v / 전년동기 − 1
최근 4분기(2025Q3~2026Q2) CAPEX 중위 유지 — 순차입금 롤에 반영(FCF 근사)</t>
      </text>
    </comment>
    <comment ref="AF39" authorId="0" shapeId="0">
      <text>
        <t>모델값 역산(implied): v / 전년동기 − 1
최근 4분기(2025Q3~2026Q2) CAPEX 중위 유지 — 순차입금 롤에 반영(FCF 근사)</t>
      </text>
    </comment>
    <comment ref="AG39" authorId="0" shapeId="0">
      <text>
        <t>모델값 역산(implied): v / 전년동기 − 1
최근 4분기(2025Q3~2026Q2) CAPEX 중위 유지 — 순차입금 롤에 반영(FCF 근사)</t>
      </text>
    </comment>
    <comment ref="AH39" authorId="0" shapeId="0">
      <text>
        <t>모델값 역산(implied): v / 전년동기 − 1
최근 4분기(2025Q3~2026Q2) CAPEX 중위 유지 — 순차입금 롤에 반영(FCF 근사)</t>
      </text>
    </comment>
    <comment ref="AI39" authorId="0" shapeId="0">
      <text>
        <t>모델값 역산(implied): v / 전년동기 − 1
최근 4분기(2025Q3~2026Q2) CAPEX 중위 유지 — 순차입금 롤에 반영(FCF 근사)</t>
      </text>
    </comment>
    <comment ref="AK39" authorId="0" shapeId="0">
      <text>
        <t>모델값 역산(implied): v / 전년동기 − 1
최근 4분기(2025Q3~2026Q2) CAPEX 중위 유지 — 순차입금 롤에 반영(FCF 근사)</t>
      </text>
    </comment>
    <comment ref="AL39" authorId="0" shapeId="0">
      <text>
        <t>모델값 역산(implied): v / 전년동기 − 1
최근 4분기(2025Q3~2026Q2) CAPEX 중위 유지 — 순차입금 롤에 반영(FCF 근사)</t>
      </text>
    </comment>
    <comment ref="AM39" authorId="0" shapeId="0">
      <text>
        <t>모델값 역산(implied): v / 전년동기 − 1
최근 4분기(2025Q3~2026Q2) CAPEX 중위 유지 — 순차입금 롤에 반영(FCF 근사)</t>
      </text>
    </comment>
    <comment ref="AN39" authorId="0" shapeId="0">
      <text>
        <t>모델값 역산(implied): v / 전년동기 − 1
최근 4분기(2025Q3~2026Q2) CAPEX 중위 유지 — 순차입금 롤에 반영(FCF 근사)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150원(fin 750원 ÷ ×5 병합/분할 환산) 유지</t>
      </text>
    </comment>
    <comment ref="AI42" authorId="0" shapeId="0">
      <text>
        <t>모델값 역산(implied): 모델 v 그대로
직전 결산 DPS 150원(fin 750원 ÷ ×5 병합/분할 환산) 유지</t>
      </text>
    </comment>
    <comment ref="AN42" authorId="0" shapeId="0">
      <text>
        <t>모델값 역산(implied): 모델 v 그대로
직전 결산 DPS 150원(fin 750원 ÷ ×5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240366억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255224억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264597억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273359억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283476억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297542억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314861억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333890억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파생상품손익 0 + 기타금융손익 +0.00억(최근 4분기(2025Q2~2026Q2) 잔차 중위) (항등식); 이자손익 = 이자발생자산 824억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파생상품손익 0 + 기타금융손익 +0.00억(최근 4분기(2025Q2~2026Q2) 잔차 중위) (항등식); 이자손익 = 이자발생자산 905억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파생상품손익 0 + 기타금융손익 +0.00억(최근 4분기(2025Q2~2026Q2) 잔차 중위) (항등식); 이자손익 = 이자발생자산 976억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파생상품손익 0 + 기타금융손익 +0.00억(최근 4분기(2025Q2~2026Q2) 잔차 중위) (항등식); 이자손익 = 이자발생자산 1067억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파생상품손익 0 + 기타금융손익 +0.00억(최근 4분기(2025Q2~2026Q2) 잔차 중위) (항등식); 이자손익 = 이자발생자산 1093억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파생상품손익 0 + 기타금융손익 +0.00억(최근 4분기(2025Q2~2026Q2) 잔차 중위) (항등식); 이자손익 = 이자발생자산 1190억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파생상품손익 0 + 기타금융손익 +0.00억(최근 4분기(2025Q2~2026Q2) 잔차 중위) (항등식); 이자손익 = 이자발생자산 1270억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파생상품손익 0 + 기타금융손익 +0.00억(최근 4분기(2025Q2~2026Q2) 잔차 중위) (항등식); 이자손익 = 이자발생자산 1372억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파생상품손익 0 + 기타금융손익 +0.00억(최근 4분기(2025Q2~2026Q2) 잔차 중위) (항등식); 이자손익 = 이자발생자산 1409억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파생상품손익 0 + 기타금융손익 +0.00억(최근 4분기(2025Q2~2026Q2) 잔차 중위) (항등식); 이자손익 = 이자발생자산 1518억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824억 × 2.98%(주석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905억 × 2.98%(주석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976억 × 2.98%(주석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1067억 × 2.98%(주석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1093억 × 2.98%(주석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1190억 × 2.98%(주석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1270억 × 2.98%(주석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1372억 × 2.98%(주석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1409억 × 2.98%(주석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1518억 × 2.98%(주석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I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C14" authorId="0" shapeId="0">
      <text>
        <t>추정: 최근 4분기(2025Q2~2026Q2) 잔차 중위
[abs]</t>
      </text>
    </comment>
    <comment ref="AD14" authorId="0" shapeId="0">
      <text>
        <t>추정: 최근 4분기(2025Q2~2026Q2) 잔차 중위
[abs]</t>
      </text>
    </comment>
    <comment ref="AF14" authorId="0" shapeId="0">
      <text>
        <t>추정: 최근 4분기(2025Q2~2026Q2) 잔차 중위
[abs]</t>
      </text>
    </comment>
    <comment ref="AG14" authorId="0" shapeId="0">
      <text>
        <t>추정: 최근 4분기(2025Q2~2026Q2) 잔차 중위
[abs]</t>
      </text>
    </comment>
    <comment ref="AH14" authorId="0" shapeId="0">
      <text>
        <t>추정: 최근 4분기(2025Q2~2026Q2) 잔차 중위
[abs]</t>
      </text>
    </comment>
    <comment ref="AI14" authorId="0" shapeId="0">
      <text>
        <t>추정: 최근 4분기(2025Q2~2026Q2) 잔차 중위
[abs]</t>
      </text>
    </comment>
    <comment ref="AK14" authorId="0" shapeId="0">
      <text>
        <t>추정: 최근 4분기(2025Q2~2026Q2) 잔차 중위
[abs]</t>
      </text>
    </comment>
    <comment ref="AL14" authorId="0" shapeId="0">
      <text>
        <t>추정: 최근 4분기(2025Q2~2026Q2) 잔차 중위
[abs]</t>
      </text>
    </comment>
    <comment ref="AM14" authorId="0" shapeId="0">
      <text>
        <t>추정: 최근 4분기(2025Q2~2026Q2) 잔차 중위
[abs]</t>
      </text>
    </comment>
    <comment ref="AN14" authorId="0" shapeId="0">
      <text>
        <t>추정: 최근 4분기(2025Q2~2026Q2)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21.9%(최근 12분기 유효세율 21.9%(5~27% 안 — 그대로))
[tax]</t>
      </text>
    </comment>
    <comment ref="AD18" authorId="0" shapeId="0">
      <text>
        <t>추정: max(세전, 0) × 세율 21.9%(최근 12분기 유효세율 21.9%(5~27% 안 — 그대로))
[tax]</t>
      </text>
    </comment>
    <comment ref="AF18" authorId="0" shapeId="0">
      <text>
        <t>추정: max(세전, 0) × 세율 21.9%(최근 12분기 유효세율 21.9%(5~27% 안 — 그대로))
[tax]</t>
      </text>
    </comment>
    <comment ref="AG18" authorId="0" shapeId="0">
      <text>
        <t>추정: max(세전, 0) × 세율 21.9%(최근 12분기 유효세율 21.9%(5~27% 안 — 그대로))
[tax]</t>
      </text>
    </comment>
    <comment ref="AH18" authorId="0" shapeId="0">
      <text>
        <t>추정: max(세전, 0) × 세율 21.9%(최근 12분기 유효세율 21.9%(5~27% 안 — 그대로))
[tax]</t>
      </text>
    </comment>
    <comment ref="AI18" authorId="0" shapeId="0">
      <text>
        <t>추정: max(세전, 0) × 세율 21.9%(최근 12분기 유효세율 21.9%(5~27% 안 — 그대로))
[tax]</t>
      </text>
    </comment>
    <comment ref="AK18" authorId="0" shapeId="0">
      <text>
        <t>추정: max(세전, 0) × 세율 21.9%(최근 12분기 유효세율 21.9%(5~27% 안 — 그대로))
[tax]</t>
      </text>
    </comment>
    <comment ref="AL18" authorId="0" shapeId="0">
      <text>
        <t>추정: max(세전, 0) × 세율 21.9%(최근 12분기 유효세율 21.9%(5~27% 안 — 그대로))
[tax]</t>
      </text>
    </comment>
    <comment ref="AM18" authorId="0" shapeId="0">
      <text>
        <t>추정: max(세전, 0) × 세율 21.9%(최근 12분기 유효세율 21.9%(5~27% 안 — 그대로))
[tax]</t>
      </text>
    </comment>
    <comment ref="AN18" authorId="0" shapeId="0">
      <text>
        <t>추정: max(세전, 0) × 세율 21.9%(최근 12분기 유효세율 21.9%(5~27%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최근 4분기 감가상각비 중위 유지
[abs]</t>
      </text>
    </comment>
    <comment ref="AD22" authorId="0" shapeId="0">
      <text>
        <t>추정: 최근 4분기 감가상각비 중위 유지
[abs]</t>
      </text>
    </comment>
    <comment ref="AF22" authorId="0" shapeId="0">
      <text>
        <t>추정: 최근 4분기 감가상각비 중위 유지
[abs]</t>
      </text>
    </comment>
    <comment ref="AG22" authorId="0" shapeId="0">
      <text>
        <t>추정: 최근 4분기 감가상각비 중위 유지
[abs]</t>
      </text>
    </comment>
    <comment ref="AH22" authorId="0" shapeId="0">
      <text>
        <t>추정: 최근 4분기 감가상각비 중위 유지
[abs]</t>
      </text>
    </comment>
    <comment ref="AI22" authorId="0" shapeId="0">
      <text>
        <t>추정: 최근 4분기 감가상각비 중위 유지
[abs]</t>
      </text>
    </comment>
    <comment ref="AK22" authorId="0" shapeId="0">
      <text>
        <t>추정: 최근 4분기 감가상각비 중위 유지
[abs]</t>
      </text>
    </comment>
    <comment ref="AL22" authorId="0" shapeId="0">
      <text>
        <t>추정: 최근 4분기 감가상각비 중위 유지
[abs]</t>
      </text>
    </comment>
    <comment ref="AM22" authorId="0" shapeId="0">
      <text>
        <t>추정: 최근 4분기 감가상각비 중위 유지
[abs]</t>
      </text>
    </comment>
    <comment ref="AN22" authorId="0" shapeId="0">
      <text>
        <t>추정: 최근 4분기 감가상각비 중위 유지
[abs]</t>
      </text>
    </comment>
    <comment ref="E23" authorId="0" shapeId="0">
      <text>
        <t>실측(계정 매핑 없음(파생·부문·시세 행) — 모델값 직접) — 영업이익 + 감가상각비(CF)</t>
      </text>
    </comment>
    <comment ref="G23" authorId="0" shapeId="0">
      <text>
        <t>실측(계정 매핑 없음(파생·부문·시세 행) — 모델값 직접) — 영업이익 + 감가상각비(CF)</t>
      </text>
    </comment>
    <comment ref="H23" authorId="0" shapeId="0">
      <text>
        <t>실측(계정 매핑 없음(파생·부문·시세 행) — 모델값 직접) — 영업이익 + 감가상각비(CF)</t>
      </text>
    </comment>
    <comment ref="I23" authorId="0" shapeId="0">
      <text>
        <t>실측(계정 매핑 없음(파생·부문·시세 행) — 모델값 직접) — 영업이익 + 감가상각비(CF)</t>
      </text>
    </comment>
    <comment ref="J23" authorId="0" shapeId="0">
      <text>
        <t>실측(계정 매핑 없음(파생·부문·시세 행) — 모델값 직접) — 영업이익 + 감가상각비(CF)</t>
      </text>
    </comment>
    <comment ref="L23" authorId="0" shapeId="0">
      <text>
        <t>실측(계정 매핑 없음(파생·부문·시세 행) — 모델값 직접) — 영업이익 + 감가상각비(CF)</t>
      </text>
    </comment>
    <comment ref="M23" authorId="0" shapeId="0">
      <text>
        <t>실측(계정 매핑 없음(파생·부문·시세 행) — 모델값 직접) — 영업이익 + 감가상각비(CF)</t>
      </text>
    </comment>
    <comment ref="AC23" authorId="0" shapeId="0">
      <text>
        <t>추정: 영업이익 + 감가상각비
[identity]</t>
      </text>
    </comment>
    <comment ref="AD23" authorId="0" shapeId="0">
      <text>
        <t>추정: 영업이익 + 감가상각비
[identity]</t>
      </text>
    </comment>
    <comment ref="AF23" authorId="0" shapeId="0">
      <text>
        <t>추정: 영업이익 + 감가상각비
[identity]</t>
      </text>
    </comment>
    <comment ref="AG23" authorId="0" shapeId="0">
      <text>
        <t>추정: 영업이익 + 감가상각비
[identity]</t>
      </text>
    </comment>
    <comment ref="AH23" authorId="0" shapeId="0">
      <text>
        <t>추정: 영업이익 + 감가상각비
[identity]</t>
      </text>
    </comment>
    <comment ref="AI23" authorId="0" shapeId="0">
      <text>
        <t>추정: 영업이익 + 감가상각비
[identity]</t>
      </text>
    </comment>
    <comment ref="AK23" authorId="0" shapeId="0">
      <text>
        <t>추정: 영업이익 + 감가상각비
[identity]</t>
      </text>
    </comment>
    <comment ref="AL23" authorId="0" shapeId="0">
      <text>
        <t>추정: 영업이익 + 감가상각비
[identity]</t>
      </text>
    </comment>
    <comment ref="AM23" authorId="0" shapeId="0">
      <text>
        <t>추정: 영업이익 + 감가상각비
[identity]</t>
      </text>
    </comment>
    <comment ref="AN23" authorId="0" shapeId="0">
      <text>
        <t>추정: 영업이익 + 감가상각비
[identity]</t>
      </text>
    </comment>
    <comment ref="AC24" authorId="0" shapeId="0">
      <text>
        <t>추정: 부채총계 + 자본총계(항등식)
[identity]</t>
      </text>
    </comment>
    <comment ref="AD24" authorId="0" shapeId="0">
      <text>
        <t>추정: 부채총계 + 자본총계(항등식)
[identity]</t>
      </text>
    </comment>
    <comment ref="AF24" authorId="0" shapeId="0">
      <text>
        <t>추정: 부채총계 + 자본총계(항등식)
[identity]</t>
      </text>
    </comment>
    <comment ref="AG24" authorId="0" shapeId="0">
      <text>
        <t>추정: 부채총계 + 자본총계(항등식)
[identity]</t>
      </text>
    </comment>
    <comment ref="AH24" authorId="0" shapeId="0">
      <text>
        <t>추정: 부채총계 + 자본총계(항등식)
[identity]</t>
      </text>
    </comment>
    <comment ref="AI24" authorId="0" shapeId="0">
      <text>
        <t>추정: 부채총계 + 자본총계(항등식)
[identity]</t>
      </text>
    </comment>
    <comment ref="AK24" authorId="0" shapeId="0">
      <text>
        <t>추정: 부채총계 + 자본총계(항등식)
[identity]</t>
      </text>
    </comment>
    <comment ref="AL24" authorId="0" shapeId="0">
      <text>
        <t>추정: 부채총계 + 자본총계(항등식)
[identity]</t>
      </text>
    </comment>
    <comment ref="AM24" authorId="0" shapeId="0">
      <text>
        <t>추정: 부채총계 + 자본총계(항등식)
[identity]</t>
      </text>
    </comment>
    <comment ref="AN24" authorId="0" shapeId="0">
      <text>
        <t>추정: 부채총계 + 자본총계(항등식)
[identity]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+ 당기순이익 − 배당(Q2 지급 가정)
[roll]</t>
      </text>
    </comment>
    <comment ref="AD26" authorId="0" shapeId="0">
      <text>
        <t>추정: 전분기 + 당기순이익 − 배당(Q2 지급 가정)
[roll]</t>
      </text>
    </comment>
    <comment ref="AF26" authorId="0" shapeId="0">
      <text>
        <t>추정: 전분기 + 당기순이익 − 배당(Q2 지급 가정)
[roll]</t>
      </text>
    </comment>
    <comment ref="AG26" authorId="0" shapeId="0">
      <text>
        <t>추정: 전분기 + 당기순이익 − 배당(Q2 지급 가정)
[roll]</t>
      </text>
    </comment>
    <comment ref="AH26" authorId="0" shapeId="0">
      <text>
        <t>추정: 전분기 + 당기순이익 − 배당(Q2 지급 가정)
[roll]</t>
      </text>
    </comment>
    <comment ref="AI26" authorId="0" shapeId="0">
      <text>
        <t>추정: 전분기 + 당기순이익 − 배당(Q2 지급 가정)
[roll]</t>
      </text>
    </comment>
    <comment ref="AK26" authorId="0" shapeId="0">
      <text>
        <t>추정: 전분기 + 당기순이익 − 배당(Q2 지급 가정)
[roll]</t>
      </text>
    </comment>
    <comment ref="AL26" authorId="0" shapeId="0">
      <text>
        <t>추정: 전분기 + 당기순이익 − 배당(Q2 지급 가정)
[roll]</t>
      </text>
    </comment>
    <comment ref="AM26" authorId="0" shapeId="0">
      <text>
        <t>추정: 전분기 + 당기순이익 − 배당(Q2 지급 가정)
[roll]</t>
      </text>
    </comment>
    <comment ref="AN26" authorId="0" shapeId="0">
      <text>
        <t>추정: 전분기 + 당기순이익 − 배당(Q2 지급 가정)
[roll]</t>
      </text>
    </comment>
    <comment ref="AC27" authorId="0" shapeId="0">
      <text>
        <t>추정: 전분기 + 지배주주순이익 − 배당
[roll]</t>
      </text>
    </comment>
    <comment ref="AD27" authorId="0" shapeId="0">
      <text>
        <t>추정: 전분기 + 지배주주순이익 − 배당
[roll]</t>
      </text>
    </comment>
    <comment ref="AF27" authorId="0" shapeId="0">
      <text>
        <t>추정: 전분기 + 지배주주순이익 − 배당
[roll]</t>
      </text>
    </comment>
    <comment ref="AG27" authorId="0" shapeId="0">
      <text>
        <t>추정: 전분기 + 지배주주순이익 − 배당
[roll]</t>
      </text>
    </comment>
    <comment ref="AH27" authorId="0" shapeId="0">
      <text>
        <t>추정: 전분기 + 지배주주순이익 − 배당
[roll]</t>
      </text>
    </comment>
    <comment ref="AI27" authorId="0" shapeId="0">
      <text>
        <t>추정: 전분기 + 지배주주순이익 − 배당
[roll]</t>
      </text>
    </comment>
    <comment ref="AK27" authorId="0" shapeId="0">
      <text>
        <t>추정: 전분기 + 지배주주순이익 − 배당
[roll]</t>
      </text>
    </comment>
    <comment ref="AL27" authorId="0" shapeId="0">
      <text>
        <t>추정: 전분기 + 지배주주순이익 − 배당
[roll]</t>
      </text>
    </comment>
    <comment ref="AM27" authorId="0" shapeId="0">
      <text>
        <t>추정: 전분기 + 지배주주순이익 − 배당
[roll]</t>
      </text>
    </comment>
    <comment ref="AN27" authorId="0" shapeId="0">
      <text>
        <t>추정: 전분기 + 지배주주순이익 − 배당
[roll]</t>
      </text>
    </comment>
    <comment ref="AC28" authorId="0" shapeId="0">
      <text>
        <t>추정: 마지막 실적 유지(가정)
[qoq]</t>
      </text>
    </comment>
    <comment ref="AD28" authorId="0" shapeId="0">
      <text>
        <t>추정: 마지막 실적 유지(가정)
[qoq]</t>
      </text>
    </comment>
    <comment ref="AF28" authorId="0" shapeId="0">
      <text>
        <t>추정: 마지막 실적 유지(가정)
[qoq]</t>
      </text>
    </comment>
    <comment ref="AG28" authorId="0" shapeId="0">
      <text>
        <t>추정: 마지막 실적 유지(가정)
[qoq]</t>
      </text>
    </comment>
    <comment ref="AH28" authorId="0" shapeId="0">
      <text>
        <t>추정: 마지막 실적 유지(가정)
[qoq]</t>
      </text>
    </comment>
    <comment ref="AI28" authorId="0" shapeId="0">
      <text>
        <t>추정: 마지막 실적 유지(가정)
[qoq]</t>
      </text>
    </comment>
    <comment ref="AK28" authorId="0" shapeId="0">
      <text>
        <t>추정: 마지막 실적 유지(가정)
[qoq]</t>
      </text>
    </comment>
    <comment ref="AL28" authorId="0" shapeId="0">
      <text>
        <t>추정: 마지막 실적 유지(가정)
[qoq]</t>
      </text>
    </comment>
    <comment ref="AM28" authorId="0" shapeId="0">
      <text>
        <t>추정: 마지막 실적 유지(가정)
[qoq]</t>
      </text>
    </comment>
    <comment ref="AN28" authorId="0" shapeId="0">
      <text>
        <t>추정: 마지막 실적 유지(가정)
[qoq]</t>
      </text>
    </comment>
    <comment ref="AC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30" authorId="0" shapeId="0">
      <text>
        <t>추정: 전분기 + FCF 근사 — 순차입금 롤과 같은 가정
[qoq]</t>
      </text>
    </comment>
    <comment ref="AD30" authorId="0" shapeId="0">
      <text>
        <t>추정: 전분기 + FCF 근사 — 순차입금 롤과 같은 가정
[qoq]</t>
      </text>
    </comment>
    <comment ref="AF30" authorId="0" shapeId="0">
      <text>
        <t>추정: 전분기 + FCF 근사 — 순차입금 롤과 같은 가정
[qoq]</t>
      </text>
    </comment>
    <comment ref="AG30" authorId="0" shapeId="0">
      <text>
        <t>추정: 전분기 + FCF 근사 — 순차입금 롤과 같은 가정
[qoq]</t>
      </text>
    </comment>
    <comment ref="AH30" authorId="0" shapeId="0">
      <text>
        <t>추정: 전분기 + FCF 근사 — 순차입금 롤과 같은 가정
[qoq]</t>
      </text>
    </comment>
    <comment ref="AI30" authorId="0" shapeId="0">
      <text>
        <t>추정: 전분기 + FCF 근사 — 순차입금 롤과 같은 가정
[qoq]</t>
      </text>
    </comment>
    <comment ref="AK30" authorId="0" shapeId="0">
      <text>
        <t>추정: 전분기 + FCF 근사 — 순차입금 롤과 같은 가정
[qoq]</t>
      </text>
    </comment>
    <comment ref="AL30" authorId="0" shapeId="0">
      <text>
        <t>추정: 전분기 + FCF 근사 — 순차입금 롤과 같은 가정
[qoq]</t>
      </text>
    </comment>
    <comment ref="AM30" authorId="0" shapeId="0">
      <text>
        <t>추정: 전분기 + FCF 근사 — 순차입금 롤과 같은 가정
[qoq]</t>
      </text>
    </comment>
    <comment ref="AN30" authorId="0" shapeId="0">
      <text>
        <t>추정: 전분기 + FCF 근사 — 순차입금 롤과 같은 가정
[qoq]</t>
      </text>
    </comment>
    <comment ref="AC32" authorId="0" shapeId="0">
      <text>
        <t>추정: 최근 4분기(2025Q3~2026Q2) CAPEX 중위 유지 — 순차입금 롤에 반영(FCF 근사)
[yoy]</t>
      </text>
    </comment>
    <comment ref="AD32" authorId="0" shapeId="0">
      <text>
        <t>추정: 최근 4분기(2025Q3~2026Q2) CAPEX 중위 유지 — 순차입금 롤에 반영(FCF 근사)
[yoy]</t>
      </text>
    </comment>
    <comment ref="AF32" authorId="0" shapeId="0">
      <text>
        <t>추정: 최근 4분기(2025Q3~2026Q2) CAPEX 중위 유지 — 순차입금 롤에 반영(FCF 근사)
[yoy]</t>
      </text>
    </comment>
    <comment ref="AG32" authorId="0" shapeId="0">
      <text>
        <t>추정: 최근 4분기(2025Q3~2026Q2) CAPEX 중위 유지 — 순차입금 롤에 반영(FCF 근사)
[yoy]</t>
      </text>
    </comment>
    <comment ref="AH32" authorId="0" shapeId="0">
      <text>
        <t>추정: 최근 4분기(2025Q3~2026Q2) CAPEX 중위 유지 — 순차입금 롤에 반영(FCF 근사)
[yoy]</t>
      </text>
    </comment>
    <comment ref="AI32" authorId="0" shapeId="0">
      <text>
        <t>추정: 최근 4분기(2025Q3~2026Q2) CAPEX 중위 유지 — 순차입금 롤에 반영(FCF 근사)
[yoy]</t>
      </text>
    </comment>
    <comment ref="AK32" authorId="0" shapeId="0">
      <text>
        <t>추정: 최근 4분기(2025Q3~2026Q2) CAPEX 중위 유지 — 순차입금 롤에 반영(FCF 근사)
[yoy]</t>
      </text>
    </comment>
    <comment ref="AL32" authorId="0" shapeId="0">
      <text>
        <t>추정: 최근 4분기(2025Q3~2026Q2) CAPEX 중위 유지 — 순차입금 롤에 반영(FCF 근사)
[yoy]</t>
      </text>
    </comment>
    <comment ref="AM32" authorId="0" shapeId="0">
      <text>
        <t>추정: 최근 4분기(2025Q3~2026Q2) CAPEX 중위 유지 — 순차입금 롤에 반영(FCF 근사)
[yoy]</t>
      </text>
    </comment>
    <comment ref="AN32" authorId="0" shapeId="0">
      <text>
        <t>추정: 최근 4분기(2025Q3~2026Q2) CAPEX 중위 유지 — 순차입금 롤에 반영(FCF 근사)
[yoy]</t>
      </text>
    </comment>
    <comment ref="E34" authorId="0" shapeId="0">
      <text>
        <t>추정(실적 구간 갭필): fin.shares.common_outstanding 9,180,848주 × ×5(환산 — 2026Q2 ×5 무상증자; IAS 33.64 비교표시·수정주가 이력과 정합)</t>
      </text>
    </comment>
    <comment ref="G34" authorId="0" shapeId="0">
      <text>
        <t>추정(실적 구간 갭필): fin.shares.common_outstanding 9,331,705주 × ×5(환산 — 2026Q2 ×5 무상증자; IAS 33.64 비교표시·수정주가 이력과 정합)</t>
      </text>
    </comment>
    <comment ref="H34" authorId="0" shapeId="0">
      <text>
        <t>추정(실적 구간 갭필): fin.shares.common_outstanding 9,331,705주 × ×5(환산 — 2026Q2 ×5 무상증자; IAS 33.64 비교표시·수정주가 이력과 정합)</t>
      </text>
    </comment>
    <comment ref="I34" authorId="0" shapeId="0">
      <text>
        <t>추정(실적 구간 갭필): fin.shares.common_outstanding 9,331,705주 × ×5(환산 — 2026Q2 ×5 무상증자; IAS 33.64 비교표시·수정주가 이력과 정합)</t>
      </text>
    </comment>
    <comment ref="J34" authorId="0" shapeId="0">
      <text>
        <t>추정(실적 구간 갭필): fin.shares.common_outstanding 9,331,705주 × ×5(환산 — 2026Q2 ×5 무상증자; IAS 33.64 비교표시·수정주가 이력과 정합)</t>
      </text>
    </comment>
    <comment ref="L34" authorId="0" shapeId="0">
      <text>
        <t>추정(실적 구간 갭필): fin.shares.common_outstanding 9,331,705주 × ×5(환산 — 2026Q2 ×5 무상증자; IAS 33.64 비교표시·수정주가 이력과 정합)</t>
      </text>
    </comment>
    <comment ref="M34" authorId="0" shapeId="0">
      <text>
        <t>추정(실적 구간 갭필): fin.shares.common_outstanding 9,331,705주 × ×5(환산 — 2026Q2 ×5 무상증자; IAS 33.64 비교표시·수정주가 이력과 정합)</t>
      </text>
    </comment>
    <comment ref="N34" authorId="0" shapeId="0">
      <text>
        <t>추정(실적 구간 갭필): fin.shares.common_outstanding 9,151,705주 × ×5(환산 — 2026Q2 ×5 무상증자; IAS 33.64 비교표시·수정주가 이력과 정합)</t>
      </text>
    </comment>
    <comment ref="O34" authorId="0" shapeId="0">
      <text>
        <t>추정(실적 구간 갭필): fin.shares.common_outstanding 9,067,273주 × ×5(환산 — 2026Q2 ×5 무상증자; IAS 33.64 비교표시·수정주가 이력과 정합)</t>
      </text>
    </comment>
    <comment ref="Q34" authorId="0" shapeId="0">
      <text>
        <t>추정(실적 구간 갭필): fin.shares.common_outstanding 9,067,273주 × ×5(환산 — 2026Q2 ×5 무상증자; IAS 33.64 비교표시·수정주가 이력과 정합)</t>
      </text>
    </comment>
    <comment ref="R34" authorId="0" shapeId="0">
      <text>
        <t>추정(실적 구간 갭필): fin.shares.common_outstanding 9,615,733주 × ×5(환산 — 2026Q2 ×5 무상증자; IAS 33.64 비교표시·수정주가 이력과 정합)</t>
      </text>
    </comment>
    <comment ref="S34" authorId="0" shapeId="0">
      <text>
        <t>추정(실적 구간 갭필): fin.shares.common_outstanding 9,615,733주 × ×5(환산 — 2026Q2 ×5 무상증자; IAS 33.64 비교표시·수정주가 이력과 정합)</t>
      </text>
    </comment>
    <comment ref="T34" authorId="0" shapeId="0">
      <text>
        <t>추정(실적 구간 갭필): fin.shares.common_outstanding 9,323,083주 × ×5(환산 — 2026Q2 ×5 무상증자; IAS 33.64 비교표시·수정주가 이력과 정합)</t>
      </text>
    </comment>
    <comment ref="V34" authorId="0" shapeId="0">
      <text>
        <t>추정(실적 구간 갭필): fin.shares.common_outstanding 9,274,083주 × ×5(환산 — 2026Q2 ×5 무상증자; IAS 33.64 비교표시·수정주가 이력과 정합)</t>
      </text>
    </comment>
    <comment ref="W34" authorId="0" shapeId="0">
      <text>
        <t>추정(실적 구간 갭필): fin.shares.common_outstanding 9,238,047주 × ×5(환산 — 2026Q2 ×5 무상증자; IAS 33.64 비교표시·수정주가 이력과 정합)</t>
      </text>
    </comment>
    <comment ref="X34" authorId="0" shapeId="0">
      <text>
        <t>추정(실적 구간 갭필): fin.shares.common_outstanding 9,232,882주 × ×5(환산 — 2026Q2 ×5 무상증자; IAS 33.64 비교표시·수정주가 이력과 정합)</t>
      </text>
    </comment>
    <comment ref="Y34" authorId="0" shapeId="0">
      <text>
        <t>추정(실적 구간 갭필): fin.shares.common_outstanding 9,232,882주 × ×5(환산 — 2026Q2 ×5 무상증자; IAS 33.64 비교표시·수정주가 이력과 정합)</t>
      </text>
    </comment>
    <comment ref="AA34" authorId="0" shapeId="0">
      <text>
        <t>추정(실적 구간 갭필): fin.shares.common_outstanding 9,175,882주 × ×5(환산 — 2026Q2 ×5 무상증자; IAS 33.64 비교표시·수정주가 이력과 정합)</t>
      </text>
    </comment>
    <comment ref="AB34" authorId="0" shapeId="0">
      <text>
        <t>실측(계정 매핑 없음(파생·부문·시세 행) — 모델값 직접) — fin.shares.common_outstanding</t>
      </text>
    </comment>
    <comment ref="AC34" authorId="0" shapeId="0">
      <text>
        <t>추정: 유통주식수 유지 — fin.shares.common_outstanding(2026Q2)
[qoq]</t>
      </text>
    </comment>
    <comment ref="AD34" authorId="0" shapeId="0">
      <text>
        <t>추정: 유통주식수 유지 — fin.shares.common_outstanding(2026Q2)
[qoq]</t>
      </text>
    </comment>
    <comment ref="AF34" authorId="0" shapeId="0">
      <text>
        <t>추정: 유통주식수 유지 — fin.shares.common_outstanding(2026Q2)
[qoq]</t>
      </text>
    </comment>
    <comment ref="AG34" authorId="0" shapeId="0">
      <text>
        <t>추정: 유통주식수 유지 — fin.shares.common_outstanding(2026Q2)
[qoq]</t>
      </text>
    </comment>
    <comment ref="AH34" authorId="0" shapeId="0">
      <text>
        <t>추정: 유통주식수 유지 — fin.shares.common_outstanding(2026Q2)
[qoq]</t>
      </text>
    </comment>
    <comment ref="AI34" authorId="0" shapeId="0">
      <text>
        <t>추정: 유통주식수 유지 — fin.shares.common_outstanding(2026Q2)
[qoq]</t>
      </text>
    </comment>
    <comment ref="AK34" authorId="0" shapeId="0">
      <text>
        <t>추정: 유통주식수 유지 — fin.shares.common_outstanding(2026Q2)
[qoq]</t>
      </text>
    </comment>
    <comment ref="AL34" authorId="0" shapeId="0">
      <text>
        <t>추정: 유통주식수 유지 — fin.shares.common_outstanding(2026Q2)
[qoq]</t>
      </text>
    </comment>
    <comment ref="AM34" authorId="0" shapeId="0">
      <text>
        <t>추정: 유통주식수 유지 — fin.shares.common_outstanding(2026Q2)
[qoq]</t>
      </text>
    </comment>
    <comment ref="AN34" authorId="0" shapeId="0">
      <text>
        <t>추정: 유통주식수 유지 — fin.shares.common_outstanding(2026Q2)
[qoq]</t>
      </text>
    </comment>
    <comment ref="AC35" authorId="0" shapeId="0">
      <text>
        <t>추정: 지배주주순이익 ÷ 유통주식수
[per_share]</t>
      </text>
    </comment>
    <comment ref="AD35" authorId="0" shapeId="0">
      <text>
        <t>추정: 지배주주순이익 ÷ 유통주식수
[per_share]</t>
      </text>
    </comment>
    <comment ref="AF35" authorId="0" shapeId="0">
      <text>
        <t>추정: 지배주주순이익 ÷ 유통주식수
[per_share]</t>
      </text>
    </comment>
    <comment ref="AG35" authorId="0" shapeId="0">
      <text>
        <t>추정: 지배주주순이익 ÷ 유통주식수
[per_share]</t>
      </text>
    </comment>
    <comment ref="AH35" authorId="0" shapeId="0">
      <text>
        <t>추정: 지배주주순이익 ÷ 유통주식수
[per_share]</t>
      </text>
    </comment>
    <comment ref="AI35" authorId="0" shapeId="0">
      <text>
        <t>추정: 지배주주순이익 ÷ 유통주식수
[per_share]</t>
      </text>
    </comment>
    <comment ref="AK35" authorId="0" shapeId="0">
      <text>
        <t>추정: 지배주주순이익 ÷ 유통주식수
[per_share]</t>
      </text>
    </comment>
    <comment ref="AL35" authorId="0" shapeId="0">
      <text>
        <t>추정: 지배주주순이익 ÷ 유통주식수
[per_share]</t>
      </text>
    </comment>
    <comment ref="AM35" authorId="0" shapeId="0">
      <text>
        <t>추정: 지배주주순이익 ÷ 유통주식수
[per_share]</t>
      </text>
    </comment>
    <comment ref="AN35" authorId="0" shapeId="0">
      <text>
        <t>추정: 지배주주순이익 ÷ 유통주식수
[per_share]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추정(실적 구간 갭필): fin.dividend.dps_common 2,250원 ÷ ×5(병합/분할 환산 — 2026Q2 ×5 무상증자)</t>
      </text>
    </comment>
    <comment ref="T37" authorId="0" shapeId="0">
      <text>
        <t>추정(실적 구간 갭필): fin.dividend.dps_common 700원 ÷ ×5(병합/분할 환산 — 2026Q2 ×5 무상증자)</t>
      </text>
    </comment>
    <comment ref="Y37" authorId="0" shapeId="0">
      <text>
        <t>추정(실적 구간 갭필): fin.dividend.dps_common 750원 ÷ ×5(병합/분할 환산 — 2026Q2 ×5 무상증자)</t>
      </text>
    </comment>
    <comment ref="AD37" authorId="0" shapeId="0">
      <text>
        <t>추정: 직전 결산 DPS 150원(fin 750원 ÷ ×5 병합/분할 환산) 유지
[abs]</t>
      </text>
    </comment>
    <comment ref="AI37" authorId="0" shapeId="0">
      <text>
        <t>추정: 직전 결산 DPS 150원(fin 750원 ÷ ×5 병합/분할 환산) 유지
[abs]</t>
      </text>
    </comment>
    <comment ref="AN37" authorId="0" shapeId="0">
      <text>
        <t>추정: 직전 결산 DPS 150원(fin 750원 ÷ ×5 병합/분할 환산) 유지
[abs]</t>
      </text>
    </comment>
    <comment ref="AC38" authorId="0" shapeId="0">
      <text>
        <t>추정: 현재 종가 ÷ TTM EPS(추정 포함)
[valuation]</t>
      </text>
    </comment>
    <comment ref="AD38" authorId="0" shapeId="0">
      <text>
        <t>추정: 현재 종가 ÷ TTM EPS(추정 포함)
[valuation]</t>
      </text>
    </comment>
    <comment ref="AF38" authorId="0" shapeId="0">
      <text>
        <t>추정: 현재 종가 ÷ TTM EPS(추정 포함)
[valuation]</t>
      </text>
    </comment>
    <comment ref="AG38" authorId="0" shapeId="0">
      <text>
        <t>추정: 현재 종가 ÷ TTM EPS(추정 포함)
[valuation]</t>
      </text>
    </comment>
    <comment ref="AH38" authorId="0" shapeId="0">
      <text>
        <t>추정: 현재 종가 ÷ TTM EPS(추정 포함)
[valuation]</t>
      </text>
    </comment>
    <comment ref="AI38" authorId="0" shapeId="0">
      <text>
        <t>추정: 현재 종가 ÷ TTM EPS(추정 포함)
[valuation]</t>
      </text>
    </comment>
    <comment ref="AK38" authorId="0" shapeId="0">
      <text>
        <t>추정: 현재 종가 ÷ TTM EPS(추정 포함)
[valuation]</t>
      </text>
    </comment>
    <comment ref="AL38" authorId="0" shapeId="0">
      <text>
        <t>추정: 현재 종가 ÷ TTM EPS(추정 포함)
[valuation]</t>
      </text>
    </comment>
    <comment ref="AM38" authorId="0" shapeId="0">
      <text>
        <t>추정: 현재 종가 ÷ TTM EPS(추정 포함)
[valuation]</t>
      </text>
    </comment>
    <comment ref="AN38" authorId="0" shapeId="0">
      <text>
        <t>추정: 현재 종가 ÷ TTM EPS(추정 포함)
[valuation]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2.98% / 부채 3.52% — 이자손익 = (전분기 이자발생자산 × 자산이자율 − 전분기 총차입금 × 부채이자율)/4, 최소자승 역산(모델 assumptions [0.0298,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5.0/15.5/22.2배(hist_quarterly(분기 평균가 ÷ TTM EPS, 10분기, 25/50/75 백분위) · 캡 5~30배 적용(원값 3.8/15.5/22.2))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2022Q3~2026Q2) → 외환손익 행 없음, 기타금융손익 = 금융손익 − 이자 − 파생(fx_in_other_nonop) / 주식수 사건 환산: 2026Q2 ×5 무상증자(eps_reported 교차검증 confirmed) → 사건 전 실적 18분기의 주식수·EPS·BPS·DPS 를 비율 환산(IAS 33.64; 셀 kind estimate, basis 에 원주식수·비율) / 금융손익 실적→추정 단절: 최근 4분기 실적 +4/+8/+8/+6(중위 +7억) → 추정 2026Q3 +2억(차 -5억, -71%)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5940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5850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6232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0.680102484</v>
      </c>
      <c r="AG21" s="24" t="n">
        <v>0.46610669</v>
      </c>
      <c r="AH21" s="24" t="n">
        <v>0.344883656</v>
      </c>
      <c r="AI21" s="24" t="n">
        <v>0.25050639</v>
      </c>
      <c r="AJ21" s="25" t="n"/>
      <c r="AK21" s="24" t="n">
        <v>0.179340357</v>
      </c>
      <c r="AL21" s="24" t="n">
        <v>0.165816655</v>
      </c>
      <c r="AM21" s="24" t="n">
        <v>0.18996498</v>
      </c>
      <c r="AN21" s="24" t="n">
        <v>0.221440141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0.150732936</v>
      </c>
      <c r="AG23" s="24" t="n">
        <v>0.150752154</v>
      </c>
      <c r="AH23" s="24" t="n">
        <v>0.150754607</v>
      </c>
      <c r="AI23" s="24" t="n">
        <v>0.150758357</v>
      </c>
      <c r="AJ23" s="25">
        <f>IFERROR(subQ!AJ9/subQ!AJ5,"")</f>
        <v/>
      </c>
      <c r="AK23" s="24" t="n">
        <v>0.150747718</v>
      </c>
      <c r="AL23" s="24" t="n">
        <v>0.150742592</v>
      </c>
      <c r="AM23" s="24" t="n">
        <v>0.150740124</v>
      </c>
      <c r="AN23" s="24" t="n">
        <v>0.150745045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36.67</v>
      </c>
      <c r="AD27" s="30" t="n">
        <v>36.67</v>
      </c>
      <c r="AE27" s="31">
        <f>subQ!AE16</f>
        <v/>
      </c>
      <c r="AF27" s="30" t="n">
        <v>36.67</v>
      </c>
      <c r="AG27" s="30" t="n">
        <v>36.67</v>
      </c>
      <c r="AH27" s="30" t="n">
        <v>36.67</v>
      </c>
      <c r="AI27" s="30" t="n">
        <v>36.67</v>
      </c>
      <c r="AJ27" s="31">
        <f>subQ!AJ16</f>
        <v/>
      </c>
      <c r="AK27" s="30" t="n">
        <v>36.67</v>
      </c>
      <c r="AL27" s="30" t="n">
        <v>36.67</v>
      </c>
      <c r="AM27" s="30" t="n">
        <v>36.67</v>
      </c>
      <c r="AN27" s="30" t="n">
        <v>36.67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drv:감가상각비</t>
        </is>
      </c>
      <c r="B31" s="2" t="inlineStr">
        <is>
          <t>abs</t>
        </is>
      </c>
      <c r="C31" t="inlineStr">
        <is>
          <t>감가상각비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0" t="n">
        <v>16.36</v>
      </c>
      <c r="AD31" s="30" t="n">
        <v>16.36</v>
      </c>
      <c r="AE31" s="31">
        <f>subQ!AE22</f>
        <v/>
      </c>
      <c r="AF31" s="30" t="n">
        <v>16.36</v>
      </c>
      <c r="AG31" s="30" t="n">
        <v>16.36</v>
      </c>
      <c r="AH31" s="30" t="n">
        <v>16.36</v>
      </c>
      <c r="AI31" s="30" t="n">
        <v>16.36</v>
      </c>
      <c r="AJ31" s="31">
        <f>subQ!AJ22</f>
        <v/>
      </c>
      <c r="AK31" s="30" t="n">
        <v>16.36</v>
      </c>
      <c r="AL31" s="30" t="n">
        <v>16.36</v>
      </c>
      <c r="AM31" s="30" t="n">
        <v>16.36</v>
      </c>
      <c r="AN31" s="30" t="n">
        <v>16.36</v>
      </c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-2.46e-06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0.000131053</v>
      </c>
      <c r="AD33" s="30" t="n">
        <v>-0.007629578</v>
      </c>
      <c r="AE33" s="31" t="n"/>
      <c r="AF33" s="30" t="n">
        <v>-0.004620021</v>
      </c>
      <c r="AG33" s="30" t="n">
        <v>68.537235274</v>
      </c>
      <c r="AH33" s="30" t="n">
        <v>-0.00187282</v>
      </c>
      <c r="AI33" s="30" t="n">
        <v>0.006477844</v>
      </c>
      <c r="AJ33" s="31" t="n"/>
      <c r="AK33" s="30" t="n">
        <v>-0.00442834</v>
      </c>
      <c r="AL33" s="30" t="n">
        <v>68.53382882299999</v>
      </c>
      <c r="AM33" s="30" t="n">
        <v>-0.006269846</v>
      </c>
      <c r="AN33" s="30" t="n">
        <v>-0.008180522000000001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0.000131053</v>
      </c>
      <c r="AD34" s="30" t="n">
        <v>-0.007629578</v>
      </c>
      <c r="AE34" s="31" t="n"/>
      <c r="AF34" s="30" t="n">
        <v>-0.004620021</v>
      </c>
      <c r="AG34" s="30" t="n">
        <v>68.537235274</v>
      </c>
      <c r="AH34" s="30" t="n">
        <v>-0.00187282</v>
      </c>
      <c r="AI34" s="30" t="n">
        <v>0.006477844</v>
      </c>
      <c r="AJ34" s="31" t="n"/>
      <c r="AK34" s="30" t="n">
        <v>-0.00442834</v>
      </c>
      <c r="AL34" s="30" t="n">
        <v>68.53382882299999</v>
      </c>
      <c r="AM34" s="30" t="n">
        <v>-0.006269846</v>
      </c>
      <c r="AN34" s="30" t="n">
        <v>-0.008180522000000001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-0.277798183</v>
      </c>
      <c r="AD36" s="24" t="n">
        <v>-0.339047801</v>
      </c>
      <c r="AE36" s="25" t="n"/>
      <c r="AF36" s="24" t="n">
        <v>-0.656238711</v>
      </c>
      <c r="AG36" s="24" t="n">
        <v>-0.553804119</v>
      </c>
      <c r="AH36" s="24" t="n">
        <v>-4.549693829</v>
      </c>
      <c r="AI36" s="24" t="n">
        <v>1.070329087</v>
      </c>
      <c r="AJ36" s="25" t="n"/>
      <c r="AK36" s="24" t="n">
        <v>0.652224074</v>
      </c>
      <c r="AL36" s="24" t="n">
        <v>0.144464272</v>
      </c>
      <c r="AM36" s="24" t="n">
        <v>0.369974917</v>
      </c>
      <c r="AN36" s="24" t="n">
        <v>0.226167207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0.09772562999999999</v>
      </c>
      <c r="AD37" s="24" t="n">
        <v>0.07845759400000001</v>
      </c>
      <c r="AE37" s="25" t="n"/>
      <c r="AF37" s="24" t="n">
        <v>0.093091893</v>
      </c>
      <c r="AG37" s="24" t="n">
        <v>0.024703511</v>
      </c>
      <c r="AH37" s="24" t="n">
        <v>0.088371455</v>
      </c>
      <c r="AI37" s="24" t="n">
        <v>0.067804874</v>
      </c>
      <c r="AJ37" s="25" t="n"/>
      <c r="AK37" s="24" t="n">
        <v>0.080110215</v>
      </c>
      <c r="AL37" s="24" t="n">
        <v>0.027135371</v>
      </c>
      <c r="AM37" s="24" t="n">
        <v>0.077460191</v>
      </c>
      <c r="AN37" s="24" t="n">
        <v>0.060201528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-0.115455209</v>
      </c>
      <c r="AD39" s="24" t="n">
        <v>-0.695551243</v>
      </c>
      <c r="AE39" s="25" t="n"/>
      <c r="AF39" s="24" t="n">
        <v>1.427700058</v>
      </c>
      <c r="AG39" s="24" t="n">
        <v>0.151410478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IFERROR(subQ!G34/subQ!E34-1,"")</f>
        <v/>
      </c>
      <c r="H41" s="21">
        <f>IFERROR(subQ!H34/subQ!G34-1,"")</f>
        <v/>
      </c>
      <c r="I41" s="21">
        <f>IFERROR(subQ!I34/subQ!H34-1,"")</f>
        <v/>
      </c>
      <c r="J41" s="21">
        <f>IFERROR(subQ!J34/subQ!I34-1,"")</f>
        <v/>
      </c>
      <c r="K41" s="22" t="n"/>
      <c r="L41" s="21">
        <f>IFERROR(subQ!L34/subQ!J34-1,"")</f>
        <v/>
      </c>
      <c r="M41" s="21">
        <f>IFERROR(subQ!M34/subQ!L34-1,"")</f>
        <v/>
      </c>
      <c r="N41" s="21">
        <f>IFERROR(subQ!N34/subQ!M34-1,"")</f>
        <v/>
      </c>
      <c r="O41" s="21">
        <f>IFERROR(subQ!O34/subQ!N34-1,"")</f>
        <v/>
      </c>
      <c r="P41" s="22" t="n"/>
      <c r="Q41" s="21">
        <f>IFERROR(subQ!Q34/subQ!O34-1,"")</f>
        <v/>
      </c>
      <c r="R41" s="21">
        <f>IFERROR(subQ!R34/subQ!Q34-1,"")</f>
        <v/>
      </c>
      <c r="S41" s="21">
        <f>IFERROR(subQ!S34/subQ!R34-1,"")</f>
        <v/>
      </c>
      <c r="T41" s="21">
        <f>IFERROR(subQ!T34/subQ!S34-1,"")</f>
        <v/>
      </c>
      <c r="U41" s="22" t="n"/>
      <c r="V41" s="21">
        <f>IFERROR(subQ!V34/subQ!T34-1,"")</f>
        <v/>
      </c>
      <c r="W41" s="21">
        <f>IFERROR(subQ!W34/subQ!V34-1,"")</f>
        <v/>
      </c>
      <c r="X41" s="21">
        <f>IFERROR(subQ!X34/subQ!W34-1,"")</f>
        <v/>
      </c>
      <c r="Y41" s="21">
        <f>IFERROR(subQ!Y34/subQ!X34-1,"")</f>
        <v/>
      </c>
      <c r="Z41" s="22" t="n"/>
      <c r="AA41" s="21">
        <f>IFERROR(subQ!AA34/subQ!Y34-1,"")</f>
        <v/>
      </c>
      <c r="AB41" s="23">
        <f>IFERROR(subQ!AB34/subQ!AA34-1,"")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150</v>
      </c>
      <c r="AE42" s="31">
        <f>subQ!AE37</f>
        <v/>
      </c>
      <c r="AF42" s="32" t="n"/>
      <c r="AG42" s="32" t="n"/>
      <c r="AH42" s="32" t="n"/>
      <c r="AI42" s="30" t="n">
        <v>150</v>
      </c>
      <c r="AJ42" s="31">
        <f>subQ!AJ37</f>
        <v/>
      </c>
      <c r="AK42" s="32" t="n"/>
      <c r="AL42" s="32" t="n"/>
      <c r="AM42" s="32" t="n"/>
      <c r="AN42" s="30" t="n">
        <v>150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5940</v>
      </c>
      <c r="E45" s="2" t="inlineStr">
        <is>
          <t>원 — 네이버 정규장 종가(aik 확정종가 대조 · aik 6,150원)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10분기, 25/50/75 백분위) · 캡 5~30배 적용(원값 3.8/15.5/22.2)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22.2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0.2194416276711539</v>
      </c>
      <c r="E52" s="2" t="inlineStr">
        <is>
          <t>연결 — 법인세 = MAX(세전,0) × 세율(역산, 재현 오차 ≤ 0.05억 · 모델 assumptions 0.2194) · 최근 12분기 유효세율 21.9%(5~27%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0.08584188984117089</v>
      </c>
      <c r="E53" s="2" t="inlineStr">
        <is>
          <t>연결 — 판관비 = 매출액 × 판관비율(역산, 재현 오차 ≤ 0.05억 · 모델 assumptions 0.0858)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0.02979271686685315</v>
      </c>
      <c r="E55" s="2" t="inlineStr">
        <is>
          <t>연결 — 이자손익 = (전분기 이자발생자산 × 자산이자율 − 전분기 총차입금 × 부채이자율)/4(역산, 재현 오차 ≤ 0.05억 · 모델 assumptions 0.0298)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0.03515258790829119</v>
      </c>
      <c r="E56" s="2" t="inlineStr">
        <is>
          <t>연결 — 같은 수식의 부채 쪽(총차입금 행이 없으면 0)(역산, 재현 오차 ≤ 0.05억 · 모델 assumptions 0.0352)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0.2681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Y13" s="18" t="n">
        <v>172107.12</v>
      </c>
      <c r="Z13" s="37" t="n">
        <v>172107.12</v>
      </c>
      <c r="AA13" s="18" t="n">
        <v>158557.95</v>
      </c>
      <c r="AB13" s="19" t="n">
        <v>125341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Y16" s="18" t="n">
        <v>54668.44</v>
      </c>
      <c r="Z16" s="37" t="n">
        <v>54668.44</v>
      </c>
      <c r="AA16" s="18" t="n">
        <v>55636.22</v>
      </c>
      <c r="AB16" s="19" t="n">
        <v>64782.84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136527.32</v>
      </c>
      <c r="Z17" s="37" t="n">
        <v>136527.32</v>
      </c>
      <c r="AA17" s="18" t="n">
        <v>140054.9</v>
      </c>
      <c r="AB17" s="19" t="n">
        <v>153976.26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72855.82000000001</v>
      </c>
      <c r="Z55" s="37" t="n">
        <v>72855.82000000001</v>
      </c>
      <c r="AA55" s="18" t="n">
        <v>73459.17999999999</v>
      </c>
      <c r="AB55" s="19" t="n">
        <v>82426.78999999999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Y14" s="18" t="n">
        <v>54150.44</v>
      </c>
      <c r="Z14" s="37" t="n">
        <v>54150.44</v>
      </c>
      <c r="AA14" s="18" t="n">
        <v>55107.54</v>
      </c>
      <c r="AB14" s="19" t="n">
        <v>64246.27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165062.82</v>
      </c>
      <c r="Z15" s="37" t="n">
        <v>165062.82</v>
      </c>
      <c r="AA15" s="18" t="n">
        <v>166019.92</v>
      </c>
      <c r="AB15" s="19" t="n">
        <v>175158.65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67838.92999999999</v>
      </c>
      <c r="Z44" s="37" t="n">
        <v>67838.92999999999</v>
      </c>
      <c r="AA44" s="18" t="n">
        <v>67226.03999999999</v>
      </c>
      <c r="AB44" s="19" t="n">
        <v>76241.66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Y45" s="18" t="n">
        <v>169566.12</v>
      </c>
      <c r="Z45" s="37" t="n">
        <v>169566.12</v>
      </c>
      <c r="AA45" s="18" t="n">
        <v>156216.95</v>
      </c>
      <c r="AB45" s="19" t="n">
        <v>123000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IFERROR((AB30*변수!$D$55-AB28*변수!$D$56)/4,"")</f>
        <v/>
      </c>
      <c r="AD12" s="20">
        <f>IFERROR((AC30*변수!$D$55-AC28*변수!$D$56)/4,"")</f>
        <v/>
      </c>
      <c r="AE12" s="38">
        <f>SUM(AA12:AD12)</f>
        <v/>
      </c>
      <c r="AF12" s="20">
        <f>IFERROR((AD30*변수!$D$55-AD28*변수!$D$56)/4,"")</f>
        <v/>
      </c>
      <c r="AG12" s="20">
        <f>IFERROR((AF30*변수!$D$55-AF28*변수!$D$56)/4,"")</f>
        <v/>
      </c>
      <c r="AH12" s="20">
        <f>IFERROR((AG30*변수!$D$55-AG28*변수!$D$56)/4,"")</f>
        <v/>
      </c>
      <c r="AI12" s="20">
        <f>IFERROR((AH30*변수!$D$55-AH28*변수!$D$56)/4,"")</f>
        <v/>
      </c>
      <c r="AJ12" s="38">
        <f>SUM(AF12:AI12)</f>
        <v/>
      </c>
      <c r="AK12" s="20">
        <f>IFERROR((AI30*변수!$D$55-AI28*변수!$D$56)/4,"")</f>
        <v/>
      </c>
      <c r="AL12" s="20">
        <f>IFERROR((AK30*변수!$D$55-AK28*변수!$D$56)/4,"")</f>
        <v/>
      </c>
      <c r="AM12" s="20">
        <f>IFERROR((AL30*변수!$D$55-AL28*변수!$D$56)/4,"")</f>
        <v/>
      </c>
      <c r="AN12" s="20">
        <f>IFERROR((AM30*변수!$D$55-AM28*변수!$D$56)/4,"")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>
        <v>0</v>
      </c>
      <c r="J14" s="18" t="n">
        <v>0.62</v>
      </c>
      <c r="K14" s="37">
        <f>SUM(G14:J14)</f>
        <v/>
      </c>
      <c r="L14" s="18" t="n"/>
      <c r="M14" s="18" t="n">
        <v>-3.13</v>
      </c>
      <c r="N14" s="18" t="n">
        <v>3.15</v>
      </c>
      <c r="O14" s="18" t="n">
        <v>0</v>
      </c>
      <c r="P14" s="37">
        <f>SUM(L14:O14)</f>
        <v/>
      </c>
      <c r="Q14" s="18" t="n"/>
      <c r="R14" s="18" t="n">
        <v>0</v>
      </c>
      <c r="S14" s="18" t="n">
        <v>0</v>
      </c>
      <c r="T14" s="18" t="n">
        <v>0</v>
      </c>
      <c r="U14" s="37">
        <f>SUM(Q14:T14)</f>
        <v/>
      </c>
      <c r="V14" s="18" t="n">
        <v>-0</v>
      </c>
      <c r="W14" s="18" t="n">
        <v>0</v>
      </c>
      <c r="X14" s="18" t="n">
        <v>0</v>
      </c>
      <c r="Y14" s="18" t="n">
        <v>0</v>
      </c>
      <c r="Z14" s="37">
        <f>SUM(V14:Y14)</f>
        <v/>
      </c>
      <c r="AA14" s="18" t="n"/>
      <c r="AB14" s="19" t="n">
        <v>0.01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 t="n"/>
      <c r="AB17" s="19" t="n"/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 t="n"/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감가상각비</t>
        </is>
      </c>
      <c r="B22" t="inlineStr">
        <is>
          <t>손익</t>
        </is>
      </c>
      <c r="C22" t="inlineStr">
        <is>
          <t>억원</t>
        </is>
      </c>
      <c r="D22" t="inlineStr">
        <is>
          <t>감가상각비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변수!AC31</f>
        <v/>
      </c>
      <c r="AD22" s="20">
        <f>변수!AD31</f>
        <v/>
      </c>
      <c r="AE22" s="38">
        <f>SUM(AA22:AD22)</f>
        <v/>
      </c>
      <c r="AF22" s="20">
        <f>변수!AF31</f>
        <v/>
      </c>
      <c r="AG22" s="20">
        <f>변수!AG31</f>
        <v/>
      </c>
      <c r="AH22" s="20">
        <f>변수!AH31</f>
        <v/>
      </c>
      <c r="AI22" s="20">
        <f>변수!AI31</f>
        <v/>
      </c>
      <c r="AJ22" s="38">
        <f>SUM(AF22:AI22)</f>
        <v/>
      </c>
      <c r="AK22" s="20">
        <f>변수!AK31</f>
        <v/>
      </c>
      <c r="AL22" s="20">
        <f>변수!AL31</f>
        <v/>
      </c>
      <c r="AM22" s="20">
        <f>변수!AM31</f>
        <v/>
      </c>
      <c r="AN22" s="20">
        <f>변수!AN31</f>
        <v/>
      </c>
      <c r="AO22" s="38">
        <f>SUM(AK22:AN22)</f>
        <v/>
      </c>
    </row>
    <row r="23">
      <c r="A23" s="12" t="inlineStr">
        <is>
          <t>EBITDA</t>
        </is>
      </c>
      <c r="B23" t="inlineStr">
        <is>
          <t>손익</t>
        </is>
      </c>
      <c r="C23" t="inlineStr">
        <is>
          <t>억원</t>
        </is>
      </c>
      <c r="D23" t="inlineStr">
        <is>
          <t>EBITDA</t>
        </is>
      </c>
      <c r="E23" s="18" t="n">
        <v>50.26</v>
      </c>
      <c r="F23" s="37" t="n"/>
      <c r="G23" s="18" t="n">
        <v>43.15</v>
      </c>
      <c r="H23" s="18" t="n">
        <v>40.79</v>
      </c>
      <c r="I23" s="18" t="n">
        <v>35.23</v>
      </c>
      <c r="J23" s="18" t="n">
        <v>45.75</v>
      </c>
      <c r="K23" s="37">
        <f>SUM(G23:J23)</f>
        <v/>
      </c>
      <c r="L23" s="18" t="n">
        <v>29.73</v>
      </c>
      <c r="M23" s="18" t="n">
        <v>34.54</v>
      </c>
      <c r="N23" s="18" t="n"/>
      <c r="O23" s="18" t="n"/>
      <c r="P23" s="37">
        <f>SUM(L23:O23)</f>
        <v/>
      </c>
      <c r="Q23" s="18" t="n"/>
      <c r="R23" s="18" t="n"/>
      <c r="S23" s="18" t="n"/>
      <c r="T23" s="18" t="n"/>
      <c r="U23" s="37">
        <f>SUM(Q23:T23)</f>
        <v/>
      </c>
      <c r="V23" s="18" t="n"/>
      <c r="W23" s="18" t="n"/>
      <c r="X23" s="18" t="n"/>
      <c r="Y23" s="18" t="n"/>
      <c r="Z23" s="37">
        <f>SUM(V23:Y23)</f>
        <v/>
      </c>
      <c r="AA23" s="18" t="n"/>
      <c r="AB23" s="19" t="n"/>
      <c r="AC23" s="20">
        <f>IFERROR(AC9+AC22,"")</f>
        <v/>
      </c>
      <c r="AD23" s="20">
        <f>IFERROR(AD9+AD22,"")</f>
        <v/>
      </c>
      <c r="AE23" s="38">
        <f>SUM(AA23:AD23)</f>
        <v/>
      </c>
      <c r="AF23" s="20">
        <f>IFERROR(AF9+AF22,"")</f>
        <v/>
      </c>
      <c r="AG23" s="20">
        <f>IFERROR(AG9+AG22,"")</f>
        <v/>
      </c>
      <c r="AH23" s="20">
        <f>IFERROR(AH9+AH22,"")</f>
        <v/>
      </c>
      <c r="AI23" s="20">
        <f>IFERROR(AI9+AI22,"")</f>
        <v/>
      </c>
      <c r="AJ23" s="38">
        <f>SUM(AF23:AI23)</f>
        <v/>
      </c>
      <c r="AK23" s="20">
        <f>IFERROR(AK9+AK22,"")</f>
        <v/>
      </c>
      <c r="AL23" s="20">
        <f>IFERROR(AL9+AL22,"")</f>
        <v/>
      </c>
      <c r="AM23" s="20">
        <f>IFERROR(AM9+AM22,"")</f>
        <v/>
      </c>
      <c r="AN23" s="20">
        <f>IFERROR(AN9+AN22,"")</f>
        <v/>
      </c>
      <c r="AO23" s="38">
        <f>SUM(AK23:AN23)</f>
        <v/>
      </c>
    </row>
    <row r="24">
      <c r="A24" s="12" t="inlineStr">
        <is>
          <t>자산총계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자산총계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IFERROR(AC25+AC26,"")</f>
        <v/>
      </c>
      <c r="AD24" s="20">
        <f>IFERROR(AD25+AD26,"")</f>
        <v/>
      </c>
      <c r="AE24" s="38">
        <f>AD24</f>
        <v/>
      </c>
      <c r="AF24" s="20">
        <f>IFERROR(AF25+AF26,"")</f>
        <v/>
      </c>
      <c r="AG24" s="20">
        <f>IFERROR(AG25+AG26,"")</f>
        <v/>
      </c>
      <c r="AH24" s="20">
        <f>IFERROR(AH25+AH26,"")</f>
        <v/>
      </c>
      <c r="AI24" s="20">
        <f>IFERROR(AI25+AI26,"")</f>
        <v/>
      </c>
      <c r="AJ24" s="38">
        <f>AI24</f>
        <v/>
      </c>
      <c r="AK24" s="20">
        <f>IFERROR(AK25+AK26,"")</f>
        <v/>
      </c>
      <c r="AL24" s="20">
        <f>IFERROR(AL25+AL26,"")</f>
        <v/>
      </c>
      <c r="AM24" s="20">
        <f>IFERROR(AM25+AM26,"")</f>
        <v/>
      </c>
      <c r="AN24" s="20">
        <f>IFERROR(AN25+AN26,"")</f>
        <v/>
      </c>
      <c r="AO24" s="38">
        <f>AN24</f>
        <v/>
      </c>
    </row>
    <row r="25">
      <c r="A25" s="12" t="inlineStr">
        <is>
          <t>부채총계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부채총계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자본총계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자본총계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지배주주지분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지배주주지분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총차입금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총차입금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순차입금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순차입금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이자발생자산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이자발생자산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현금및현금성자산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현금및현금성자산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AD31</f>
        <v/>
      </c>
      <c r="AF31" s="20" t="n"/>
      <c r="AG31" s="20" t="n"/>
      <c r="AH31" s="20" t="n"/>
      <c r="AI31" s="20" t="n"/>
      <c r="AJ31" s="38">
        <f>AI31</f>
        <v/>
      </c>
      <c r="AK31" s="20" t="n"/>
      <c r="AL31" s="20" t="n"/>
      <c r="AM31" s="20" t="n"/>
      <c r="AN31" s="20" t="n"/>
      <c r="AO31" s="38">
        <f>AN31</f>
        <v/>
      </c>
    </row>
    <row r="32">
      <c r="A32" s="12" t="inlineStr">
        <is>
          <t>CAPEX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CAPEX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영업활동현금흐름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영업활동으로인한현금흐름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 t="n"/>
      <c r="AD33" s="20" t="n"/>
      <c r="AE33" s="38">
        <f>SUM(AA33:AD33)</f>
        <v/>
      </c>
      <c r="AF33" s="20" t="n"/>
      <c r="AG33" s="20" t="n"/>
      <c r="AH33" s="20" t="n"/>
      <c r="AI33" s="20" t="n"/>
      <c r="AJ33" s="38">
        <f>SUM(AF33:AI33)</f>
        <v/>
      </c>
      <c r="AK33" s="20" t="n"/>
      <c r="AL33" s="20" t="n"/>
      <c r="AM33" s="20" t="n"/>
      <c r="AN33" s="20" t="n"/>
      <c r="AO33" s="38">
        <f>SUM(AK33:AN33)</f>
        <v/>
      </c>
    </row>
    <row r="34">
      <c r="A34" s="12" t="inlineStr">
        <is>
          <t>주식수</t>
        </is>
      </c>
      <c r="B34" t="inlineStr">
        <is>
          <t>주당</t>
        </is>
      </c>
      <c r="C34" t="inlineStr">
        <is>
          <t>백만주</t>
        </is>
      </c>
      <c r="D34" t="inlineStr">
        <is>
          <t>유통주식수</t>
        </is>
      </c>
      <c r="E34" s="32" t="n">
        <v>45.90424</v>
      </c>
      <c r="F34" s="28">
        <f>E34</f>
        <v/>
      </c>
      <c r="G34" s="32" t="n">
        <v>46.658525</v>
      </c>
      <c r="H34" s="32" t="n">
        <v>46.658525</v>
      </c>
      <c r="I34" s="32" t="n">
        <v>46.658525</v>
      </c>
      <c r="J34" s="32" t="n">
        <v>46.658525</v>
      </c>
      <c r="K34" s="28">
        <f>J34</f>
        <v/>
      </c>
      <c r="L34" s="32" t="n">
        <v>46.658525</v>
      </c>
      <c r="M34" s="32" t="n">
        <v>46.658525</v>
      </c>
      <c r="N34" s="32" t="n">
        <v>45.758525</v>
      </c>
      <c r="O34" s="32" t="n">
        <v>45.336365</v>
      </c>
      <c r="P34" s="28">
        <f>O34</f>
        <v/>
      </c>
      <c r="Q34" s="32" t="n">
        <v>45.336365</v>
      </c>
      <c r="R34" s="32" t="n">
        <v>48.078665</v>
      </c>
      <c r="S34" s="32" t="n">
        <v>48.078665</v>
      </c>
      <c r="T34" s="32" t="n">
        <v>46.615415</v>
      </c>
      <c r="U34" s="28">
        <f>T34</f>
        <v/>
      </c>
      <c r="V34" s="32" t="n">
        <v>46.370415</v>
      </c>
      <c r="W34" s="32" t="n">
        <v>46.190235</v>
      </c>
      <c r="X34" s="32" t="n">
        <v>46.16441</v>
      </c>
      <c r="Y34" s="32" t="n">
        <v>46.16441</v>
      </c>
      <c r="Z34" s="28">
        <f>Y34</f>
        <v/>
      </c>
      <c r="AA34" s="32" t="n">
        <v>45.87941</v>
      </c>
      <c r="AB34" s="29" t="n">
        <v>45.695</v>
      </c>
      <c r="AC34" s="32">
        <f>IFERROR(AB34*(1+변수!AC41),"")</f>
        <v/>
      </c>
      <c r="AD34" s="32">
        <f>IFERROR(AC34*(1+변수!AD41),"")</f>
        <v/>
      </c>
      <c r="AE34" s="31">
        <f>AD34</f>
        <v/>
      </c>
      <c r="AF34" s="32">
        <f>IFERROR(AD34*(1+변수!AF41),"")</f>
        <v/>
      </c>
      <c r="AG34" s="32">
        <f>IFERROR(AF34*(1+변수!AG41),"")</f>
        <v/>
      </c>
      <c r="AH34" s="32">
        <f>IFERROR(AG34*(1+변수!AH41),"")</f>
        <v/>
      </c>
      <c r="AI34" s="32">
        <f>IFERROR(AH34*(1+변수!AI41),"")</f>
        <v/>
      </c>
      <c r="AJ34" s="31">
        <f>AI34</f>
        <v/>
      </c>
      <c r="AK34" s="32">
        <f>IFERROR(AI34*(1+변수!AK41),"")</f>
        <v/>
      </c>
      <c r="AL34" s="32">
        <f>IFERROR(AK34*(1+변수!AL41),"")</f>
        <v/>
      </c>
      <c r="AM34" s="32">
        <f>IFERROR(AL34*(1+변수!AM41),"")</f>
        <v/>
      </c>
      <c r="AN34" s="32">
        <f>IFERROR(AM34*(1+변수!AN41),"")</f>
        <v/>
      </c>
      <c r="AO34" s="31">
        <f>AN34</f>
        <v/>
      </c>
    </row>
    <row r="35">
      <c r="A35" s="12" t="inlineStr">
        <is>
          <t>EPS</t>
        </is>
      </c>
      <c r="B35" t="inlineStr">
        <is>
          <t>주당</t>
        </is>
      </c>
      <c r="C35" t="inlineStr">
        <is>
          <t>원</t>
        </is>
      </c>
      <c r="D35" t="inlineStr">
        <is>
          <t>EPS</t>
        </is>
      </c>
      <c r="E35" s="18">
        <f>IFERROR(E20*100/E34,"")</f>
        <v/>
      </c>
      <c r="F35" s="37" t="n"/>
      <c r="G35" s="18">
        <f>IFERROR(G20*100/G34,"")</f>
        <v/>
      </c>
      <c r="H35" s="18">
        <f>IFERROR(H20*100/H34,"")</f>
        <v/>
      </c>
      <c r="I35" s="18">
        <f>IFERROR(I20*100/I34,"")</f>
        <v/>
      </c>
      <c r="J35" s="18">
        <f>IFERROR(J20*100/J34,"")</f>
        <v/>
      </c>
      <c r="K35" s="37">
        <f>SUM(G35:J35)</f>
        <v/>
      </c>
      <c r="L35" s="18">
        <f>IFERROR(L20*100/L34,"")</f>
        <v/>
      </c>
      <c r="M35" s="18">
        <f>IFERROR(M20*100/M34,"")</f>
        <v/>
      </c>
      <c r="N35" s="18">
        <f>IFERROR(N20*100/N34,"")</f>
        <v/>
      </c>
      <c r="O35" s="18">
        <f>IFERROR(O20*100/O34,"")</f>
        <v/>
      </c>
      <c r="P35" s="37">
        <f>SUM(L35:O35)</f>
        <v/>
      </c>
      <c r="Q35" s="18">
        <f>IFERROR(Q20*100/Q34,"")</f>
        <v/>
      </c>
      <c r="R35" s="18">
        <f>IFERROR(R20*100/R34,"")</f>
        <v/>
      </c>
      <c r="S35" s="18">
        <f>IFERROR(S20*100/S34,"")</f>
        <v/>
      </c>
      <c r="T35" s="18">
        <f>IFERROR(T20*100/T34,"")</f>
        <v/>
      </c>
      <c r="U35" s="37">
        <f>SUM(Q35:T35)</f>
        <v/>
      </c>
      <c r="V35" s="18">
        <f>IFERROR(V20*100/V34,"")</f>
        <v/>
      </c>
      <c r="W35" s="18">
        <f>IFERROR(W20*100/W34,"")</f>
        <v/>
      </c>
      <c r="X35" s="18">
        <f>IFERROR(X20*100/X34,"")</f>
        <v/>
      </c>
      <c r="Y35" s="18">
        <f>IFERROR(Y20*100/Y34,"")</f>
        <v/>
      </c>
      <c r="Z35" s="37">
        <f>SUM(V35:Y35)</f>
        <v/>
      </c>
      <c r="AA35" s="18">
        <f>IFERROR(AA20*100/AA34,"")</f>
        <v/>
      </c>
      <c r="AB35" s="19">
        <f>IFERROR(AB20*100/AB34,"")</f>
        <v/>
      </c>
      <c r="AC35" s="20">
        <f>IFERROR(AC20*100/AC34,"")</f>
        <v/>
      </c>
      <c r="AD35" s="20">
        <f>IFERROR(AD20*100/AD34,"")</f>
        <v/>
      </c>
      <c r="AE35" s="38">
        <f>SUM(AA35:AD35)</f>
        <v/>
      </c>
      <c r="AF35" s="20">
        <f>IFERROR(AF20*100/AF34,"")</f>
        <v/>
      </c>
      <c r="AG35" s="20">
        <f>IFERROR(AG20*100/AG34,"")</f>
        <v/>
      </c>
      <c r="AH35" s="20">
        <f>IFERROR(AH20*100/AH34,"")</f>
        <v/>
      </c>
      <c r="AI35" s="20">
        <f>IFERROR(AI20*100/AI34,"")</f>
        <v/>
      </c>
      <c r="AJ35" s="38">
        <f>SUM(AF35:AI35)</f>
        <v/>
      </c>
      <c r="AK35" s="20">
        <f>IFERROR(AK20*100/AK34,"")</f>
        <v/>
      </c>
      <c r="AL35" s="20">
        <f>IFERROR(AL20*100/AL34,"")</f>
        <v/>
      </c>
      <c r="AM35" s="20">
        <f>IFERROR(AM20*100/AM34,"")</f>
        <v/>
      </c>
      <c r="AN35" s="20">
        <f>IFERROR(AN20*100/AN34,"")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IFERROR(E27*100/E34,"")</f>
        <v/>
      </c>
      <c r="F36" s="37">
        <f>E36</f>
        <v/>
      </c>
      <c r="G36" s="18">
        <f>IFERROR(G27*100/G34,"")</f>
        <v/>
      </c>
      <c r="H36" s="18">
        <f>IFERROR(H27*100/H34,"")</f>
        <v/>
      </c>
      <c r="I36" s="18">
        <f>IFERROR(I27*100/I34,"")</f>
        <v/>
      </c>
      <c r="J36" s="18">
        <f>IFERROR(J27*100/J34,"")</f>
        <v/>
      </c>
      <c r="K36" s="37">
        <f>J36</f>
        <v/>
      </c>
      <c r="L36" s="18">
        <f>IFERROR(L27*100/L34,"")</f>
        <v/>
      </c>
      <c r="M36" s="18">
        <f>IFERROR(M27*100/M34,"")</f>
        <v/>
      </c>
      <c r="N36" s="18">
        <f>IFERROR(N27*100/N34,"")</f>
        <v/>
      </c>
      <c r="O36" s="18">
        <f>IFERROR(O27*100/O34,"")</f>
        <v/>
      </c>
      <c r="P36" s="37">
        <f>O36</f>
        <v/>
      </c>
      <c r="Q36" s="18">
        <f>IFERROR(Q27*100/Q34,"")</f>
        <v/>
      </c>
      <c r="R36" s="18">
        <f>IFERROR(R27*100/R34,"")</f>
        <v/>
      </c>
      <c r="S36" s="18">
        <f>IFERROR(S27*100/S34,"")</f>
        <v/>
      </c>
      <c r="T36" s="18">
        <f>IFERROR(T27*100/T34,"")</f>
        <v/>
      </c>
      <c r="U36" s="37">
        <f>T36</f>
        <v/>
      </c>
      <c r="V36" s="18">
        <f>IFERROR(V27*100/V34,"")</f>
        <v/>
      </c>
      <c r="W36" s="18">
        <f>IFERROR(W27*100/W34,"")</f>
        <v/>
      </c>
      <c r="X36" s="18">
        <f>IFERROR(X27*100/X34,"")</f>
        <v/>
      </c>
      <c r="Y36" s="18">
        <f>IFERROR(Y27*100/Y34,"")</f>
        <v/>
      </c>
      <c r="Z36" s="37">
        <f>Y36</f>
        <v/>
      </c>
      <c r="AA36" s="18">
        <f>IFERROR(AA27*100/AA34,"")</f>
        <v/>
      </c>
      <c r="AB36" s="19">
        <f>IFERROR(AB27*100/AB34,"")</f>
        <v/>
      </c>
      <c r="AC36" s="20">
        <f>IFERROR(AC27*100/AC34,"")</f>
        <v/>
      </c>
      <c r="AD36" s="20">
        <f>IFERROR(AD27*100/AD34,"")</f>
        <v/>
      </c>
      <c r="AE36" s="38">
        <f>AD36</f>
        <v/>
      </c>
      <c r="AF36" s="20">
        <f>IFERROR(AF27*100/AF34,"")</f>
        <v/>
      </c>
      <c r="AG36" s="20">
        <f>IFERROR(AG27*100/AG34,"")</f>
        <v/>
      </c>
      <c r="AH36" s="20">
        <f>IFERROR(AH27*100/AH34,"")</f>
        <v/>
      </c>
      <c r="AI36" s="20">
        <f>IFERROR(AI27*100/AI34,"")</f>
        <v/>
      </c>
      <c r="AJ36" s="38">
        <f>AI36</f>
        <v/>
      </c>
      <c r="AK36" s="20">
        <f>IFERROR(AK27*100/AK34,"")</f>
        <v/>
      </c>
      <c r="AL36" s="20">
        <f>IFERROR(AL27*100/AL34,"")</f>
        <v/>
      </c>
      <c r="AM36" s="20">
        <f>IFERROR(AM27*100/AM34,"")</f>
        <v/>
      </c>
      <c r="AN36" s="20">
        <f>IFERROR(AN27*100/AN34,"")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20" t="n">
        <v>450</v>
      </c>
      <c r="P37" s="37">
        <f>SUM(L37:O37)</f>
        <v/>
      </c>
      <c r="Q37" s="18" t="n"/>
      <c r="R37" s="18" t="n"/>
      <c r="S37" s="18" t="n"/>
      <c r="T37" s="20" t="n">
        <v>140</v>
      </c>
      <c r="U37" s="37">
        <f>SUM(Q37:T37)</f>
        <v/>
      </c>
      <c r="V37" s="18" t="n"/>
      <c r="W37" s="18" t="n"/>
      <c r="X37" s="18" t="n"/>
      <c r="Y37" s="20" t="n">
        <v>150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IFERROR(변수!O18/(L35+M35+N35+O35),"")</f>
        <v/>
      </c>
      <c r="P38" s="14">
        <f>O38</f>
        <v/>
      </c>
      <c r="Q38" s="13">
        <f>IFERROR(변수!Q18/(M35+N35+O35+Q35),"")</f>
        <v/>
      </c>
      <c r="R38" s="13">
        <f>IFERROR(변수!R18/(N35+O35+Q35+R35),"")</f>
        <v/>
      </c>
      <c r="S38" s="13">
        <f>IFERROR(변수!S18/(O35+Q35+R35+S35),"")</f>
        <v/>
      </c>
      <c r="T38" s="13">
        <f>IFERROR(변수!T18/(Q35+R35+S35+T35),"")</f>
        <v/>
      </c>
      <c r="U38" s="14">
        <f>T38</f>
        <v/>
      </c>
      <c r="V38" s="13" t="n"/>
      <c r="W38" s="13">
        <f>IFERROR(변수!W18/(S35+T35+V35+W35),"")</f>
        <v/>
      </c>
      <c r="X38" s="13">
        <f>IFERROR(변수!X18/(T35+V35+W35+X35),"")</f>
        <v/>
      </c>
      <c r="Y38" s="13">
        <f>IFERROR(변수!Y18/(V35+W35+X35+Y35),"")</f>
        <v/>
      </c>
      <c r="Z38" s="14">
        <f>Y38</f>
        <v/>
      </c>
      <c r="AA38" s="13">
        <f>IFERROR(변수!AA18/(W35+X35+Y35+AA35),"")</f>
        <v/>
      </c>
      <c r="AB38" s="15">
        <f>IFERROR(변수!AB18/(X35+Y35+AA35+AB35),"")</f>
        <v/>
      </c>
      <c r="AC38" s="39">
        <f>IFERROR(변수!$D$45/(Y35+AA35+AB35+AC35),"")</f>
        <v/>
      </c>
      <c r="AD38" s="39">
        <f>IFERROR(변수!$D$45/(AA35+AB35+AC35+AD35),"")</f>
        <v/>
      </c>
      <c r="AE38" s="40">
        <f>AD38</f>
        <v/>
      </c>
      <c r="AF38" s="39">
        <f>IFERROR(변수!$D$45/(AB35+AC35+AD35+AF35),"")</f>
        <v/>
      </c>
      <c r="AG38" s="39">
        <f>IFERROR(변수!$D$45/(AC35+AD35+AF35+AG35),"")</f>
        <v/>
      </c>
      <c r="AH38" s="39">
        <f>IFERROR(변수!$D$45/(AD35+AF35+AG35+AH35),"")</f>
        <v/>
      </c>
      <c r="AI38" s="39">
        <f>IFERROR(변수!$D$45/(AF35+AG35+AH35+AI35),"")</f>
        <v/>
      </c>
      <c r="AJ38" s="40">
        <f>AI38</f>
        <v/>
      </c>
      <c r="AK38" s="39">
        <f>IFERROR(변수!$D$45/(AG35+AH35+AI35+AK35),"")</f>
        <v/>
      </c>
      <c r="AL38" s="39">
        <f>IFERROR(변수!$D$45/(AH35+AI35+AK35+AL35),"")</f>
        <v/>
      </c>
      <c r="AM38" s="39">
        <f>IFERROR(변수!$D$45/(AI35+AK35+AL35+AM35),"")</f>
        <v/>
      </c>
      <c r="AN38" s="39">
        <f>IFERROR(변수!$D$45/(AK35+AL35+AM35+AN35),"")</f>
        <v/>
      </c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361.4</v>
      </c>
      <c r="F40" s="37" t="n"/>
      <c r="G40" s="18" t="n">
        <v>396.52</v>
      </c>
      <c r="H40" s="18" t="n">
        <v>317.35</v>
      </c>
      <c r="I40" s="18" t="n">
        <v>355.61</v>
      </c>
      <c r="J40" s="18" t="n">
        <v>414.43</v>
      </c>
      <c r="K40" s="37">
        <f>SUM(G40:J40)</f>
        <v/>
      </c>
      <c r="L40" s="18" t="n">
        <v>326.94</v>
      </c>
      <c r="M40" s="18" t="n">
        <v>323.09</v>
      </c>
      <c r="N40" s="18" t="n">
        <v>336.18</v>
      </c>
      <c r="O40" s="18" t="n">
        <v>53.3</v>
      </c>
      <c r="P40" s="37">
        <f>SUM(L40:O40)</f>
        <v/>
      </c>
      <c r="Q40" s="18" t="n">
        <v>217.69</v>
      </c>
      <c r="R40" s="18" t="n">
        <v>254.99</v>
      </c>
      <c r="S40" s="18" t="n">
        <v>205.68</v>
      </c>
      <c r="T40" s="18" t="n">
        <v>249.49</v>
      </c>
      <c r="U40" s="37">
        <f>SUM(Q40:T40)</f>
        <v/>
      </c>
      <c r="V40" s="18" t="n">
        <v>285.21</v>
      </c>
      <c r="W40" s="18" t="n">
        <v>251.62</v>
      </c>
      <c r="X40" s="18" t="n">
        <v>287.95</v>
      </c>
      <c r="Y40" s="18" t="n">
        <v>254.8</v>
      </c>
      <c r="Z40" s="37">
        <f>SUM(V40:Y40)</f>
        <v/>
      </c>
      <c r="AA40" s="18" t="n">
        <v>259.87</v>
      </c>
      <c r="AB40" s="19" t="n">
        <v>318.3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32.94</v>
      </c>
      <c r="F41" s="37" t="n"/>
      <c r="G41" s="18" t="n">
        <v>26.42</v>
      </c>
      <c r="H41" s="18" t="n">
        <v>24.16</v>
      </c>
      <c r="I41" s="18" t="n">
        <v>19.06</v>
      </c>
      <c r="J41" s="18" t="n">
        <v>29.21</v>
      </c>
      <c r="K41" s="37">
        <f>SUM(G41:J41)</f>
        <v/>
      </c>
      <c r="L41" s="18" t="n">
        <v>14.5</v>
      </c>
      <c r="M41" s="18" t="n">
        <v>17.67</v>
      </c>
      <c r="N41" s="18" t="n">
        <v>17.85</v>
      </c>
      <c r="O41" s="18" t="n">
        <v>-1.16</v>
      </c>
      <c r="P41" s="37">
        <f>SUM(L41:O41)</f>
        <v/>
      </c>
      <c r="Q41" s="18" t="n">
        <v>11.51</v>
      </c>
      <c r="R41" s="18" t="n">
        <v>45.62</v>
      </c>
      <c r="S41" s="18" t="n">
        <v>11.89</v>
      </c>
      <c r="T41" s="18" t="n">
        <v>33.59</v>
      </c>
      <c r="U41" s="37">
        <f>SUM(Q41:T41)</f>
        <v/>
      </c>
      <c r="V41" s="18" t="n">
        <v>26.59</v>
      </c>
      <c r="W41" s="18" t="n">
        <v>44.09</v>
      </c>
      <c r="X41" s="18" t="n">
        <v>48.65</v>
      </c>
      <c r="Y41" s="18" t="n">
        <v>36.01</v>
      </c>
      <c r="Z41" s="37">
        <f>SUM(V41:Y41)</f>
        <v/>
      </c>
      <c r="AA41" s="18" t="n">
        <v>41.62</v>
      </c>
      <c r="AB41" s="19" t="n">
        <v>51.34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IFERROR(E20/E5,"")</f>
        <v/>
      </c>
      <c r="F43" s="22">
        <f>IFERROR(F20/F5,"")</f>
        <v/>
      </c>
      <c r="G43" s="21">
        <f>IFERROR(G20/G5,"")</f>
        <v/>
      </c>
      <c r="H43" s="21">
        <f>IFERROR(H20/H5,"")</f>
        <v/>
      </c>
      <c r="I43" s="21">
        <f>IFERROR(I20/I5,"")</f>
        <v/>
      </c>
      <c r="J43" s="21">
        <f>IFERROR(J20/J5,"")</f>
        <v/>
      </c>
      <c r="K43" s="22">
        <f>IFERROR(K20/K5,"")</f>
        <v/>
      </c>
      <c r="L43" s="21">
        <f>IFERROR(L20/L5,"")</f>
        <v/>
      </c>
      <c r="M43" s="21">
        <f>IFERROR(M20/M5,"")</f>
        <v/>
      </c>
      <c r="N43" s="21">
        <f>IFERROR(N20/N5,"")</f>
        <v/>
      </c>
      <c r="O43" s="21">
        <f>IFERROR(O20/O5,"")</f>
        <v/>
      </c>
      <c r="P43" s="22">
        <f>IFERROR(P20/P5,"")</f>
        <v/>
      </c>
      <c r="Q43" s="21">
        <f>IFERROR(Q20/Q5,"")</f>
        <v/>
      </c>
      <c r="R43" s="21">
        <f>IFERROR(R20/R5,"")</f>
        <v/>
      </c>
      <c r="S43" s="21">
        <f>IFERROR(S20/S5,"")</f>
        <v/>
      </c>
      <c r="T43" s="21">
        <f>IFERROR(T20/T5,"")</f>
        <v/>
      </c>
      <c r="U43" s="22">
        <f>IFERROR(U20/U5,"")</f>
        <v/>
      </c>
      <c r="V43" s="21">
        <f>IFERROR(V20/V5,"")</f>
        <v/>
      </c>
      <c r="W43" s="21">
        <f>IFERROR(W20/W5,"")</f>
        <v/>
      </c>
      <c r="X43" s="21">
        <f>IFERROR(X20/X5,"")</f>
        <v/>
      </c>
      <c r="Y43" s="21">
        <f>IFERROR(Y20/Y5,"")</f>
        <v/>
      </c>
      <c r="Z43" s="22">
        <f>IFERROR(Z20/Z5,"")</f>
        <v/>
      </c>
      <c r="AA43" s="21">
        <f>IFERROR(AA20/AA5,"")</f>
        <v/>
      </c>
      <c r="AB43" s="23">
        <f>IFERROR(AB20/AB5,"")</f>
        <v/>
      </c>
      <c r="AC43" s="33">
        <f>IFERROR(AC20/AC5,"")</f>
        <v/>
      </c>
      <c r="AD43" s="33">
        <f>IFERROR(AD20/AD5,"")</f>
        <v/>
      </c>
      <c r="AE43" s="25">
        <f>IFERROR(AE20/AE5,"")</f>
        <v/>
      </c>
      <c r="AF43" s="33">
        <f>IFERROR(AF20/AF5,"")</f>
        <v/>
      </c>
      <c r="AG43" s="33">
        <f>IFERROR(AG20/AG5,"")</f>
        <v/>
      </c>
      <c r="AH43" s="33">
        <f>IFERROR(AH20/AH5,"")</f>
        <v/>
      </c>
      <c r="AI43" s="33">
        <f>IFERROR(AI20/AI5,"")</f>
        <v/>
      </c>
      <c r="AJ43" s="25">
        <f>IFERROR(AJ20/AJ5,"")</f>
        <v/>
      </c>
      <c r="AK43" s="33">
        <f>IFERROR(AK20/AK5,"")</f>
        <v/>
      </c>
      <c r="AL43" s="33">
        <f>IFERROR(AL20/AL5,"")</f>
        <v/>
      </c>
      <c r="AM43" s="33">
        <f>IFERROR(AM20/AM5,"")</f>
        <v/>
      </c>
      <c r="AN43" s="33">
        <f>IFERROR(AN20/AN5,"")</f>
        <v/>
      </c>
      <c r="AO43" s="25">
        <f>IFERROR(AO20/AO5,"")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27">
        <f>IFERROR(VLOOKUP($A34,subQ,MATCH(I$1,SUBQH,0),0),"")</f>
        <v/>
      </c>
      <c r="J34" s="27">
        <f>IFERROR(VLOOKUP($A34,subQ,MATCH(J$1,SUBQH,0),0),"")</f>
        <v/>
      </c>
      <c r="K34" s="27">
        <f>IFERROR(VLOOKUP($A34,subQ,MATCH(K$1,SUBQH,0),0),"")</f>
        <v/>
      </c>
      <c r="L34" s="27">
        <f>IFERROR(VLOOKUP($A34,subQ,MATCH(L$1,SUBQH,0),0),"")</f>
        <v/>
      </c>
      <c r="M34" s="27">
        <f>IFERROR(VLOOKUP($A34,subQ,MATCH(M$1,SUBQH,0),0),"")</f>
        <v/>
      </c>
      <c r="N34" s="27">
        <f>IFERROR(VLOOKUP($A34,subQ,MATCH(N$1,SUBQH,0),0),"")</f>
        <v/>
      </c>
      <c r="O34" s="27">
        <f>IFERROR(VLOOKUP($A34,subQ,MATCH(O$1,SUBQH,0),0),"")</f>
        <v/>
      </c>
      <c r="P34" s="27">
        <f>IFERROR(VLOOKUP($A34,subQ,MATCH(P$1,SUBQH,0),0),"")</f>
        <v/>
      </c>
      <c r="Q34" s="27">
        <f>IFERROR(VLOOKUP($A34,subQ,MATCH(Q$1,SUBQH,0),0),"")</f>
        <v/>
      </c>
      <c r="R34" s="27">
        <f>IFERROR(VLOOKUP($A34,subQ,MATCH(R$1,SUBQH,0),0),"")</f>
        <v/>
      </c>
      <c r="S34" s="27">
        <f>IFERROR(VLOOKUP($A34,subQ,MATCH(S$1,SUBQH,0),0),"")</f>
        <v/>
      </c>
      <c r="T34" s="27">
        <f>IFERROR(VLOOKUP($A34,subQ,MATCH(T$1,SUBQH,0),0),"")</f>
        <v/>
      </c>
      <c r="U34" s="27">
        <f>IFERROR(VLOOKUP($A34,subQ,MATCH(U$1,SUBQH,0),0),"")</f>
        <v/>
      </c>
      <c r="V34" s="27">
        <f>IFERROR(VLOOKUP($A34,subQ,MATCH(V$1,SUBQH,0),0),"")</f>
        <v/>
      </c>
      <c r="W34" s="47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IFERROR(I20/E20-1,"")</f>
        <v/>
      </c>
      <c r="J45" s="21">
        <f>IFERROR(J20/F20-1,"")</f>
        <v/>
      </c>
      <c r="K45" s="21">
        <f>IFERROR(K20/G20-1,"")</f>
        <v/>
      </c>
      <c r="L45" s="21">
        <f>IFERROR(L20/H20-1,"")</f>
        <v/>
      </c>
      <c r="M45" s="21">
        <f>IFERROR(M20/I20-1,"")</f>
        <v/>
      </c>
      <c r="N45" s="21">
        <f>IFERROR(N20/J20-1,"")</f>
        <v/>
      </c>
      <c r="O45" s="21">
        <f>IFERROR(O20/K20-1,"")</f>
        <v/>
      </c>
      <c r="P45" s="21">
        <f>IFERROR(P20/L20-1,"")</f>
        <v/>
      </c>
      <c r="Q45" s="21">
        <f>IFERROR(Q20/M20-1,"")</f>
        <v/>
      </c>
      <c r="R45" s="21">
        <f>IFERROR(R20/N20-1,"")</f>
        <v/>
      </c>
      <c r="S45" s="21">
        <f>IFERROR(S20/O20-1,"")</f>
        <v/>
      </c>
      <c r="T45" s="21">
        <f>IFERROR(T20/P20-1,"")</f>
        <v/>
      </c>
      <c r="U45" s="21">
        <f>IFERROR(U20/Q20-1,"")</f>
        <v/>
      </c>
      <c r="V45" s="21">
        <f>IFERROR(V20/R20-1,"")</f>
        <v/>
      </c>
      <c r="W45" s="46">
        <f>IFERROR(W20/S20-1,"")</f>
        <v/>
      </c>
      <c r="X45" s="33">
        <f>IFERROR(X20/T20-1,"")</f>
        <v/>
      </c>
      <c r="Y45" s="33">
        <f>IFERROR(Y20/U20-1,"")</f>
        <v/>
      </c>
      <c r="Z45" s="33">
        <f>IFERROR(Z20/V20-1,"")</f>
        <v/>
      </c>
      <c r="AA45" s="33">
        <f>IFERROR(AA20/W20-1,"")</f>
        <v/>
      </c>
      <c r="AB45" s="33">
        <f>IFERROR(AB20/X20-1,"")</f>
        <v/>
      </c>
      <c r="AC45" s="33">
        <f>IFERROR(AC20/Y20-1,"")</f>
        <v/>
      </c>
      <c r="AD45" s="33">
        <f>IFERROR(AD20/Z20-1,"")</f>
        <v/>
      </c>
      <c r="AE45" s="33">
        <f>IFERROR(AE20/AA20-1,"")</f>
        <v/>
      </c>
      <c r="AF45" s="33">
        <f>IFERROR(AF20/AB20-1,"")</f>
        <v/>
      </c>
      <c r="AG45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47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IFERROR(F20/E20-1,"")</f>
        <v/>
      </c>
      <c r="G45" s="21">
        <f>IFERROR(G20/F20-1,"")</f>
        <v/>
      </c>
      <c r="H45" s="21">
        <f>IFERROR(H20/G20-1,"")</f>
        <v/>
      </c>
      <c r="I45" s="46">
        <f>IFERROR(I20/H20-1,"")</f>
        <v/>
      </c>
      <c r="J45" s="33">
        <f>IFERROR(J20/I20-1,"")</f>
        <v/>
      </c>
      <c r="K45" s="33">
        <f>IFERROR(K20/J20-1,"")</f>
        <v/>
      </c>
      <c r="L45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665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8.93</v>
      </c>
    </row>
    <row r="32">
      <c r="C32" s="2" t="inlineStr">
        <is>
          <t>pbr_now</t>
        </is>
      </c>
      <c r="D32" t="n">
        <v>0.76</v>
      </c>
    </row>
    <row r="33">
      <c r="C33" s="2" t="inlineStr">
        <is>
          <t>roe_fwd</t>
        </is>
      </c>
      <c r="D33" t="n">
        <v>0.08550000000000001</v>
      </c>
    </row>
    <row r="34">
      <c r="C34" s="2" t="inlineStr">
        <is>
          <t>fair_pbr</t>
        </is>
      </c>
      <c r="D34" t="n">
        <v>0.95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  <c r="D36" t="n">
        <v>10.14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