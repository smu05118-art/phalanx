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BS연결!$C$5:$AO$101</definedName>
    <definedName name="BS별도H">BS별도!$C$1:$AO$1</definedName>
    <definedName name="BS별도">BS별도!$C$5:$AO$93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196744억 × 비례계수 0.0067 × 계절비중 Q3 0.271(계절비중 — 최근 3개 연도(2026, 2025, 2024) 분기/연간 비중 평균; 격자 lag0~4×창8/12/19×수준·YoY·4Q합 중 최대 r=0.88, n=8, 창 8)</t>
      </text>
    </comment>
    <comment ref="AD21" authorId="0" shapeId="0">
      <text>
        <t>모델값 역산(implied): v / 전년동기 − 1
고객지수 4분기 이동합(t−2) 218595억 × 비례계수 0.0067 × 계절비중 Q4 0.185(계절비중 — 최근 3개 연도(2026, 2025, 2024) 분기/연간 비중 평균; 격자 lag0~4×창8/12/19×수준·YoY·4Q합 중 최대 r=0.88, n=8, 창 8)</t>
      </text>
    </comment>
    <comment ref="AF21" authorId="0" shapeId="0">
      <text>
        <t>모델값 역산(implied): v / 전년동기 − 1
고객지수 4분기 이동합(t−2) 240370억 × 비례계수 0.0067 × 계절비중 Q1 0.271(계절비중 — 최근 3개 연도(2026, 2025, 2024) 분기/연간 비중 평균; 격자 lag0~4×창8/12/19×수준·YoY·4Q합 중 최대 r=0.88, n=8, 창 8)</t>
      </text>
    </comment>
    <comment ref="AG21" authorId="0" shapeId="0">
      <text>
        <t>모델값 역산(implied): v / 전년동기 − 1
고객지수 4분기 이동합(t−2) 254552억 × 비례계수 0.0067 × 계절비중 Q2 0.273(계절비중 — 최근 3개 연도(2026, 2025, 2024) 분기/연간 비중 평균; 격자 lag0~4×창8/12/19×수준·YoY·4Q합 중 최대 r=0.88, n=8, 창 8)</t>
      </text>
    </comment>
    <comment ref="AH21" authorId="0" shapeId="0">
      <text>
        <t>모델값 역산(implied): v / 전년동기 − 1
고객지수 4분기 이동합(t−2) 261026억 × 비례계수 0.0067 × 계절비중 Q3 0.271(계절비중 — 최근 3개 연도(2026, 2025, 2024) 분기/연간 비중 평균; 격자 lag0~4×창8/12/19×수준·YoY·4Q합 중 최대 r=0.88, n=8, 창 8)</t>
      </text>
    </comment>
    <comment ref="AI21" authorId="0" shapeId="0">
      <text>
        <t>모델값 역산(implied): v / 전년동기 − 1
고객지수 4분기 이동합(t−2) 262360억 × 비례계수 0.0067 × 계절비중 Q4 0.185(계절비중 — 최근 3개 연도(2026, 2025, 2024) 분기/연간 비중 평균; 격자 lag0~4×창8/12/19×수준·YoY·4Q합 중 최대 r=0.88, n=8, 창 8)</t>
      </text>
    </comment>
    <comment ref="AK21" authorId="0" shapeId="0">
      <text>
        <t>모델값 역산(implied): v / 전년동기 − 1
고객지수 4분기 이동합(t−2) 261074억 × 비례계수 0.0067 × 계절비중 Q1 0.271(계절비중 — 최근 3개 연도(2026, 2025, 2024) 분기/연간 비중 평균; 격자 lag0~4×창8/12/19×수준·YoY·4Q합 중 최대 r=0.88, n=8, 창 8)</t>
      </text>
    </comment>
    <comment ref="AL21" authorId="0" shapeId="0">
      <text>
        <t>모델값 역산(implied): v / 전년동기 − 1
고객지수 4분기 이동합(t−2) 258876억 × 비례계수 0.0067 × 계절비중 Q2 0.273(계절비중 — 최근 3개 연도(2026, 2025, 2024) 분기/연간 비중 평균; 격자 lag0~4×창8/12/19×수준·YoY·4Q합 중 최대 r=0.88, n=8, 창 8)</t>
      </text>
    </comment>
    <comment ref="AM21" authorId="0" shapeId="0">
      <text>
        <t>모델값 역산(implied): v / 전년동기 − 1
고객지수 4분기 이동합(t−2) 256251억 × 비례계수 0.0067 × 계절비중 Q3 0.271(계절비중 — 최근 3개 연도(2026, 2025, 2024) 분기/연간 비중 평균; 격자 lag0~4×창8/12/19×수준·YoY·4Q합 중 최대 r=0.88, n=8, 창 8)</t>
      </text>
    </comment>
    <comment ref="AN21" authorId="0" shapeId="0">
      <text>
        <t>모델값 역산(implied): v / 전년동기 − 1
고객지수 4분기 이동합(t−2) 253966억 × 비례계수 0.0067 × 계절비중 Q4 0.185(계절비중 — 최근 3개 연도(2026, 2025, 2024) 분기/연간 비중 평균; 격자 lag0~4×창8/12/19×수준·YoY·4Q합 중 최대 r=0.88, n=8, 창 8)</t>
      </text>
    </comment>
    <comment ref="AC22" authorId="0" shapeId="0">
      <text>
        <t>모델값 역산(implied): v / 매출액
매출액 × 판관비율 8.58%(최근 4분기 중위)</t>
      </text>
    </comment>
    <comment ref="AD22" authorId="0" shapeId="0">
      <text>
        <t>모델값 역산(implied): v / 매출액
매출액 × 판관비율 8.58%(최근 4분기 중위)</t>
      </text>
    </comment>
    <comment ref="AF22" authorId="0" shapeId="0">
      <text>
        <t>모델값 역산(implied): v / 매출액
매출액 × 판관비율 8.58%(최근 4분기 중위)</t>
      </text>
    </comment>
    <comment ref="AG22" authorId="0" shapeId="0">
      <text>
        <t>모델값 역산(implied): v / 매출액
매출액 × 판관비율 8.58%(최근 4분기 중위)</t>
      </text>
    </comment>
    <comment ref="AH22" authorId="0" shapeId="0">
      <text>
        <t>모델값 역산(implied): v / 매출액
매출액 × 판관비율 8.58%(최근 4분기 중위)</t>
      </text>
    </comment>
    <comment ref="AI22" authorId="0" shapeId="0">
      <text>
        <t>모델값 역산(implied): v / 매출액
매출액 × 판관비율 8.58%(최근 4분기 중위)</t>
      </text>
    </comment>
    <comment ref="AK22" authorId="0" shapeId="0">
      <text>
        <t>모델값 역산(implied): v / 매출액
매출액 × 판관비율 8.58%(최근 4분기 중위)</t>
      </text>
    </comment>
    <comment ref="AL22" authorId="0" shapeId="0">
      <text>
        <t>모델값 역산(implied): v / 매출액
매출액 × 판관비율 8.58%(최근 4분기 중위)</t>
      </text>
    </comment>
    <comment ref="AM22" authorId="0" shapeId="0">
      <text>
        <t>모델값 역산(implied): v / 매출액
매출액 × 판관비율 8.58%(최근 4분기 중위)</t>
      </text>
    </comment>
    <comment ref="AN22" authorId="0" shapeId="0">
      <text>
        <t>모델값 역산(implied): v / 매출액
매출액 × 판관비율 8.58%(최근 4분기 중위)</t>
      </text>
    </comment>
    <comment ref="AC23" authorId="0" shapeId="0">
      <text>
        <t>모델값 역산(implied): v / 매출액
매출액 × OPM(최근 8분기 OPM 중위 15.1% 유지)</t>
      </text>
    </comment>
    <comment ref="AD23" authorId="0" shapeId="0">
      <text>
        <t>모델값 역산(implied): v / 매출액
매출액 × OPM(최근 8분기 OPM 중위 15.1% 유지)</t>
      </text>
    </comment>
    <comment ref="AF23" authorId="0" shapeId="0">
      <text>
        <t>모델값 역산(implied): v / 매출액
매출액 × OPM(최근 8분기 OPM 중위 15.1% 유지)</t>
      </text>
    </comment>
    <comment ref="AG23" authorId="0" shapeId="0">
      <text>
        <t>모델값 역산(implied): v / 매출액
매출액 × OPM(최근 8분기 OPM 중위 15.1% 유지)</t>
      </text>
    </comment>
    <comment ref="AH23" authorId="0" shapeId="0">
      <text>
        <t>모델값 역산(implied): v / 매출액
매출액 × OPM(최근 8분기 OPM 중위 15.1% 유지)</t>
      </text>
    </comment>
    <comment ref="AI23" authorId="0" shapeId="0">
      <text>
        <t>모델값 역산(implied): v / 매출액
매출액 × OPM(최근 8분기 OPM 중위 15.1% 유지)</t>
      </text>
    </comment>
    <comment ref="AK23" authorId="0" shapeId="0">
      <text>
        <t>모델값 역산(implied): v / 매출액
매출액 × OPM(최근 8분기 OPM 중위 15.1% 유지)</t>
      </text>
    </comment>
    <comment ref="AL23" authorId="0" shapeId="0">
      <text>
        <t>모델값 역산(implied): v / 매출액
매출액 × OPM(최근 8분기 OPM 중위 15.1% 유지)</t>
      </text>
    </comment>
    <comment ref="AM23" authorId="0" shapeId="0">
      <text>
        <t>모델값 역산(implied): v / 매출액
매출액 × OPM(최근 8분기 OPM 중위 15.1% 유지)</t>
      </text>
    </comment>
    <comment ref="AN23" authorId="0" shapeId="0">
      <text>
        <t>모델값 역산(implied): v / 매출액
매출액 × OPM(최근 8분기 OPM 중위 15.1% 유지)</t>
      </text>
    </comment>
    <comment ref="AC24" authorId="0" shapeId="0">
      <text>
        <t>모델값 역산(implied): v / 전년동기 − 1
최근 8분기 OPM 중위 15.1% 유지</t>
      </text>
    </comment>
    <comment ref="AD24" authorId="0" shapeId="0">
      <text>
        <t>모델값 역산(implied): v / 전년동기 − 1
최근 8분기 OPM 중위 15.1% 유지</t>
      </text>
    </comment>
    <comment ref="AF24" authorId="0" shapeId="0">
      <text>
        <t>모델값 역산(implied): v / 전년동기 − 1
최근 8분기 OPM 중위 15.1% 유지</t>
      </text>
    </comment>
    <comment ref="AG24" authorId="0" shapeId="0">
      <text>
        <t>모델값 역산(implied): v / 전년동기 − 1
최근 8분기 OPM 중위 15.1% 유지</t>
      </text>
    </comment>
    <comment ref="AH24" authorId="0" shapeId="0">
      <text>
        <t>모델값 역산(implied): v / 전년동기 − 1
최근 8분기 OPM 중위 15.1% 유지</t>
      </text>
    </comment>
    <comment ref="AI24" authorId="0" shapeId="0">
      <text>
        <t>모델값 역산(implied): v / 전년동기 − 1
최근 8분기 OPM 중위 15.1% 유지</t>
      </text>
    </comment>
    <comment ref="AK24" authorId="0" shapeId="0">
      <text>
        <t>모델값 역산(implied): v / 전년동기 − 1
최근 8분기 OPM 중위 15.1% 유지</t>
      </text>
    </comment>
    <comment ref="AL24" authorId="0" shapeId="0">
      <text>
        <t>모델값 역산(implied): v / 전년동기 − 1
최근 8분기 OPM 중위 15.1% 유지</t>
      </text>
    </comment>
    <comment ref="AM24" authorId="0" shapeId="0">
      <text>
        <t>모델값 역산(implied): v / 전년동기 − 1
최근 8분기 OPM 중위 15.1% 유지</t>
      </text>
    </comment>
    <comment ref="AN24" authorId="0" shapeId="0">
      <text>
        <t>모델값 역산(implied): v / 전년동기 − 1
최근 8분기 OPM 중위 15.1% 유지</t>
      </text>
    </comment>
    <comment ref="AC25" authorId="0" shapeId="0">
      <text>
        <t>모델값 역산(implied): 모델 v 그대로
이자손익 = 이자발생자산 176억 × 6.51% − 총차입금 463억 × 0.00% (연율, CF 실측) ÷ 4; 환·평가손익 0 가정</t>
      </text>
    </comment>
    <comment ref="AD25" authorId="0" shapeId="0">
      <text>
        <t>모델값 역산(implied): 모델 v 그대로
이자손익 = 이자발생자산 249억 × 6.51% − 총차입금 463억 × 0.00% (연율, CF 실측) ÷ 4; 환·평가손익 0 가정</t>
      </text>
    </comment>
    <comment ref="AF25" authorId="0" shapeId="0">
      <text>
        <t>모델값 역산(implied): 모델 v 그대로
이자손익 = 이자발생자산 313억 × 6.51% − 총차입금 463억 × 0.00% (연율, CF 실측) ÷ 4; 환·평가손익 0 가정</t>
      </text>
    </comment>
    <comment ref="AG25" authorId="0" shapeId="0">
      <text>
        <t>모델값 역산(implied): 모델 v 그대로
이자손익 = 이자발생자산 397억 × 6.51% − 총차입금 463억 × 0.00% (연율, CF 실측) ÷ 4; 환·평가손익 0 가정</t>
      </text>
    </comment>
    <comment ref="AH25" authorId="0" shapeId="0">
      <text>
        <t>모델값 역산(implied): 모델 v 그대로
이자손익 = 이자발생자산 143억 × 6.51% − 총차입금 463억 × 0.00% (연율, CF 실측) ÷ 4; 환·평가손익 0 가정</t>
      </text>
    </comment>
    <comment ref="AI25" authorId="0" shapeId="0">
      <text>
        <t>모델값 역산(implied): 모델 v 그대로
이자손익 = 이자발생자산 229억 × 6.51% − 총차입금 463억 × 0.00% (연율, CF 실측) ÷ 4; 환·평가손익 0 가정</t>
      </text>
    </comment>
    <comment ref="AK25" authorId="0" shapeId="0">
      <text>
        <t>모델값 역산(implied): 모델 v 그대로
이자손익 = 이자발생자산 299억 × 6.51% − 총차입금 463억 × 0.00% (연율, CF 실측) ÷ 4; 환·평가손익 0 가정</t>
      </text>
    </comment>
    <comment ref="AL25" authorId="0" shapeId="0">
      <text>
        <t>모델값 역산(implied): 모델 v 그대로
이자손익 = 이자발생자산 387억 × 6.51% − 총차입금 463억 × 0.00% (연율, CF 실측) ÷ 4; 환·평가손익 0 가정</t>
      </text>
    </comment>
    <comment ref="AM25" authorId="0" shapeId="0">
      <text>
        <t>모델값 역산(implied): 모델 v 그대로
이자손익 = 이자발생자산 133억 × 6.51% − 총차입금 463억 × 0.00% (연율, CF 실측) ÷ 4; 환·평가손익 0 가정</t>
      </text>
    </comment>
    <comment ref="AN25" authorId="0" shapeId="0">
      <text>
        <t>모델값 역산(implied): 모델 v 그대로
이자손익 = 이자발생자산 218억 × 6.51% − 총차입금 463억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21.9%(최근 12분기 유효세율 21.9% → 5~27% 클립)</t>
      </text>
    </comment>
    <comment ref="AD28" authorId="0" shapeId="0">
      <text>
        <t>모델값 역산(implied): v / 세전이익
max(세전, 0) × 세율 21.9%(최근 12분기 유효세율 21.9% → 5~27% 클립)</t>
      </text>
    </comment>
    <comment ref="AF28" authorId="0" shapeId="0">
      <text>
        <t>모델값 역산(implied): v / 세전이익
max(세전, 0) × 세율 21.9%(최근 12분기 유효세율 21.9% → 5~27% 클립)</t>
      </text>
    </comment>
    <comment ref="AG28" authorId="0" shapeId="0">
      <text>
        <t>모델값 역산(implied): v / 세전이익
max(세전, 0) × 세율 21.9%(최근 12분기 유효세율 21.9% → 5~27% 클립)</t>
      </text>
    </comment>
    <comment ref="AH28" authorId="0" shapeId="0">
      <text>
        <t>모델값 역산(implied): v / 세전이익
max(세전, 0) × 세율 21.9%(최근 12분기 유효세율 21.9% → 5~27% 클립)</t>
      </text>
    </comment>
    <comment ref="AI28" authorId="0" shapeId="0">
      <text>
        <t>모델값 역산(implied): v / 세전이익
max(세전, 0) × 세율 21.9%(최근 12분기 유효세율 21.9% → 5~27% 클립)</t>
      </text>
    </comment>
    <comment ref="AK28" authorId="0" shapeId="0">
      <text>
        <t>모델값 역산(implied): v / 세전이익
max(세전, 0) × 세율 21.9%(최근 12분기 유효세율 21.9% → 5~27% 클립)</t>
      </text>
    </comment>
    <comment ref="AL28" authorId="0" shapeId="0">
      <text>
        <t>모델값 역산(implied): v / 세전이익
max(세전, 0) × 세율 21.9%(최근 12분기 유효세율 21.9% → 5~27% 클립)</t>
      </text>
    </comment>
    <comment ref="AM28" authorId="0" shapeId="0">
      <text>
        <t>모델값 역산(implied): v / 세전이익
max(세전, 0) × 세율 21.9%(최근 12분기 유효세율 21.9% → 5~27% 클립)</t>
      </text>
    </comment>
    <comment ref="AN28" authorId="0" shapeId="0">
      <text>
        <t>모델값 역산(implied): v / 세전이익
max(세전, 0) × 세율 21.9%(최근 12분기 유효세율 21.9%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H31" authorId="0" shapeId="0">
      <text>
        <t>모델값 역산(implied): v / 전년동기 − 1
최근 4분기 감가상각비 중위 유지</t>
      </text>
    </comment>
    <comment ref="AI31" authorId="0" shapeId="0">
      <text>
        <t>모델값 역산(implied): v / 전년동기 − 1
최근 4분기 감가상각비 중위 유지</t>
      </text>
    </comment>
    <comment ref="AK31" authorId="0" shapeId="0">
      <text>
        <t>모델값 역산(implied): v / 전년동기 − 1
최근 4분기 감가상각비 중위 유지</t>
      </text>
    </comment>
    <comment ref="AL31" authorId="0" shapeId="0">
      <text>
        <t>모델값 역산(implied): v / 전년동기 − 1
최근 4분기 감가상각비 중위 유지</t>
      </text>
    </comment>
    <comment ref="AM31" authorId="0" shapeId="0">
      <text>
        <t>모델값 역산(implied): v / 전년동기 − 1
최근 4분기 감가상각비 중위 유지</t>
      </text>
    </comment>
    <comment ref="AN31" authorId="0" shapeId="0">
      <text>
        <t>모델값 역산(implied): v / 전년동기 − 1
최근 4분기 감가상각비 중위 유지</t>
      </text>
    </comment>
    <comment ref="AH32" authorId="0" shapeId="0">
      <text>
        <t>모델값 역산(implied): v / 전년동기 − 1
영업이익 + 감가상각비</t>
      </text>
    </comment>
    <comment ref="AI32" authorId="0" shapeId="0">
      <text>
        <t>모델값 역산(implied): v / 전년동기 − 1
영업이익 + 감가상각비</t>
      </text>
    </comment>
    <comment ref="AK32" authorId="0" shapeId="0">
      <text>
        <t>모델값 역산(implied): v / 전년동기 − 1
영업이익 + 감가상각비</t>
      </text>
    </comment>
    <comment ref="AL32" authorId="0" shapeId="0">
      <text>
        <t>모델값 역산(implied): v / 전년동기 − 1
영업이익 + 감가상각비</t>
      </text>
    </comment>
    <comment ref="AM32" authorId="0" shapeId="0">
      <text>
        <t>모델값 역산(implied): v / 전년동기 − 1
영업이익 + 감가상각비</t>
      </text>
    </comment>
    <comment ref="AN32" authorId="0" shapeId="0">
      <text>
        <t>모델값 역산(implied): v / 전년동기 − 1
영업이익 + 감가상각비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 + 당기순이익 − v
전분기 + 당기순이익 − 배당(Q2 지급 가정)</t>
      </text>
    </comment>
    <comment ref="AD34" authorId="0" shapeId="0">
      <text>
        <t>모델값 역산(implied): 전분기 + 당기순이익 − v
전분기 + 당기순이익 − 배당(Q2 지급 가정)</t>
      </text>
    </comment>
    <comment ref="AF34" authorId="0" shapeId="0">
      <text>
        <t>모델값 역산(implied): 전분기 + 당기순이익 − v
전분기 + 당기순이익 − 배당(Q2 지급 가정)</t>
      </text>
    </comment>
    <comment ref="AG34" authorId="0" shapeId="0">
      <text>
        <t>모델값 역산(implied): 전분기 + 당기순이익 − v
전분기 + 당기순이익 − 배당(Q2 지급 가정)</t>
      </text>
    </comment>
    <comment ref="AH34" authorId="0" shapeId="0">
      <text>
        <t>모델값 역산(implied): 전분기 + 당기순이익 − v
전분기 + 당기순이익 − 배당(Q2 지급 가정)</t>
      </text>
    </comment>
    <comment ref="AI34" authorId="0" shapeId="0">
      <text>
        <t>모델값 역산(implied): 전분기 + 당기순이익 − v
전분기 + 당기순이익 − 배당(Q2 지급 가정)</t>
      </text>
    </comment>
    <comment ref="AK34" authorId="0" shapeId="0">
      <text>
        <t>모델값 역산(implied): 전분기 + 당기순이익 − v
전분기 + 당기순이익 − 배당(Q2 지급 가정)</t>
      </text>
    </comment>
    <comment ref="AL34" authorId="0" shapeId="0">
      <text>
        <t>모델값 역산(implied): 전분기 + 당기순이익 − v
전분기 + 당기순이익 − 배당(Q2 지급 가정)</t>
      </text>
    </comment>
    <comment ref="AM34" authorId="0" shapeId="0">
      <text>
        <t>모델값 역산(implied): 전분기 + 당기순이익 − v
전분기 + 당기순이익 − 배당(Q2 지급 가정)</t>
      </text>
    </comment>
    <comment ref="AN34" authorId="0" shapeId="0">
      <text>
        <t>모델값 역산(implied): 전분기 + 당기순이익 − v
전분기 + 당기순이익 − 배당(Q2 지급 가정)</t>
      </text>
    </comment>
    <comment ref="AC35" authorId="0" shapeId="0">
      <text>
        <t>모델값 역산(implied): 전분기 + 지배주주순이익 − v
전분기 + 지배주주순이익 − 배당</t>
      </text>
    </comment>
    <comment ref="AD35" authorId="0" shapeId="0">
      <text>
        <t>모델값 역산(implied): 전분기 + 지배주주순이익 − v
전분기 + 지배주주순이익 − 배당</t>
      </text>
    </comment>
    <comment ref="AF35" authorId="0" shapeId="0">
      <text>
        <t>모델값 역산(implied): 전분기 + 지배주주순이익 − v
전분기 + 지배주주순이익 − 배당</t>
      </text>
    </comment>
    <comment ref="AG35" authorId="0" shapeId="0">
      <text>
        <t>모델값 역산(implied): 전분기 + 지배주주순이익 − v
전분기 + 지배주주순이익 − 배당</t>
      </text>
    </comment>
    <comment ref="AH35" authorId="0" shapeId="0">
      <text>
        <t>모델값 역산(implied): 전분기 + 지배주주순이익 − v
전분기 + 지배주주순이익 − 배당</t>
      </text>
    </comment>
    <comment ref="AI35" authorId="0" shapeId="0">
      <text>
        <t>모델값 역산(implied): 전분기 + 지배주주순이익 − v
전분기 + 지배주주순이익 − 배당</t>
      </text>
    </comment>
    <comment ref="AK35" authorId="0" shapeId="0">
      <text>
        <t>모델값 역산(implied): 전분기 + 지배주주순이익 − v
전분기 + 지배주주순이익 − 배당</t>
      </text>
    </comment>
    <comment ref="AL35" authorId="0" shapeId="0">
      <text>
        <t>모델값 역산(implied): 전분기 + 지배주주순이익 − v
전분기 + 지배주주순이익 − 배당</t>
      </text>
    </comment>
    <comment ref="AM35" authorId="0" shapeId="0">
      <text>
        <t>모델값 역산(implied): 전분기 + 지배주주순이익 − v
전분기 + 지배주주순이익 − 배당</t>
      </text>
    </comment>
    <comment ref="AN35" authorId="0" shapeId="0">
      <text>
        <t>모델값 역산(implied): 전분기 + 지배주주순이익 − v
전분기 + 지배주주순이익 − 배당</t>
      </text>
    </comment>
    <comment ref="AC36" authorId="0" shapeId="0">
      <text>
        <t>모델값 역산(implied): v / 전분기 − 1
마지막 실적 유지(가정)</t>
      </text>
    </comment>
    <comment ref="AD36" authorId="0" shapeId="0">
      <text>
        <t>모델값 역산(implied): v / 전분기 − 1
마지막 실적 유지(가정)</t>
      </text>
    </comment>
    <comment ref="AF36" authorId="0" shapeId="0">
      <text>
        <t>모델값 역산(implied): v / 전분기 − 1
마지막 실적 유지(가정)</t>
      </text>
    </comment>
    <comment ref="AG36" authorId="0" shapeId="0">
      <text>
        <t>모델값 역산(implied): v / 전분기 − 1
마지막 실적 유지(가정)</t>
      </text>
    </comment>
    <comment ref="AH36" authorId="0" shapeId="0">
      <text>
        <t>모델값 역산(implied): v / 전분기 − 1
마지막 실적 유지(가정)</t>
      </text>
    </comment>
    <comment ref="AI36" authorId="0" shapeId="0">
      <text>
        <t>모델값 역산(implied): v / 전분기 − 1
마지막 실적 유지(가정)</t>
      </text>
    </comment>
    <comment ref="AK36" authorId="0" shapeId="0">
      <text>
        <t>모델값 역산(implied): v / 전분기 − 1
마지막 실적 유지(가정)</t>
      </text>
    </comment>
    <comment ref="AL36" authorId="0" shapeId="0">
      <text>
        <t>모델값 역산(implied): v / 전분기 − 1
마지막 실적 유지(가정)</t>
      </text>
    </comment>
    <comment ref="AM36" authorId="0" shapeId="0">
      <text>
        <t>모델값 역산(implied): v / 전분기 − 1
마지막 실적 유지(가정)</t>
      </text>
    </comment>
    <comment ref="AN36" authorId="0" shapeId="0">
      <text>
        <t>모델값 역산(implied): v / 전분기 − 1
마지막 실적 유지(가정)</t>
      </text>
    </comment>
    <comment ref="AC37" authorId="0" shapeId="0">
      <text>
        <t>모델값 역산(implied): v / 전분기 − 1
전분기 − (순이익 − 배당): 순이익 = 순현금 증가 가정(CAPEX≈감가, 운전자본 불변)</t>
      </text>
    </comment>
    <comment ref="AD37" authorId="0" shapeId="0">
      <text>
        <t>모델값 역산(implied): v / 전분기 − 1
전분기 − (순이익 − 배당): 순이익 = 순현금 증가 가정(CAPEX≈감가, 운전자본 불변)</t>
      </text>
    </comment>
    <comment ref="AF37" authorId="0" shapeId="0">
      <text>
        <t>모델값 역산(implied): v / 전분기 − 1
전분기 − (순이익 − 배당): 순이익 = 순현금 증가 가정(CAPEX≈감가, 운전자본 불변)</t>
      </text>
    </comment>
    <comment ref="AG37" authorId="0" shapeId="0">
      <text>
        <t>모델값 역산(implied): v / 전분기 − 1
전분기 − (순이익 − 배당): 순이익 = 순현금 증가 가정(CAPEX≈감가, 운전자본 불변)</t>
      </text>
    </comment>
    <comment ref="AH37" authorId="0" shapeId="0">
      <text>
        <t>모델값 역산(implied): v / 전분기 − 1
전분기 − (순이익 − 배당): 순이익 = 순현금 증가 가정(CAPEX≈감가, 운전자본 불변)</t>
      </text>
    </comment>
    <comment ref="AI37" authorId="0" shapeId="0">
      <text>
        <t>모델값 역산(implied): v / 전분기 − 1
전분기 − (순이익 − 배당): 순이익 = 순현금 증가 가정(CAPEX≈감가, 운전자본 불변)</t>
      </text>
    </comment>
    <comment ref="AK37" authorId="0" shapeId="0">
      <text>
        <t>모델값 역산(implied): v / 전분기 − 1
전분기 − (순이익 − 배당): 순이익 = 순현금 증가 가정(CAPEX≈감가, 운전자본 불변)</t>
      </text>
    </comment>
    <comment ref="AL37" authorId="0" shapeId="0">
      <text>
        <t>모델값 역산(implied): v / 전분기 − 1
전분기 − (순이익 − 배당): 순이익 = 순현금 증가 가정(CAPEX≈감가, 운전자본 불변)</t>
      </text>
    </comment>
    <comment ref="AM37" authorId="0" shapeId="0">
      <text>
        <t>모델값 역산(implied): v / 전분기 − 1
전분기 − (순이익 − 배당): 순이익 = 순현금 증가 가정(CAPEX≈감가, 운전자본 불변)</t>
      </text>
    </comment>
    <comment ref="AN37" authorId="0" shapeId="0">
      <text>
        <t>모델값 역산(implied): v / 전분기 − 1
전분기 − (순이익 − 배당): 순이익 = 순현금 증가 가정(CAPEX≈감가, 운전자본 불변)</t>
      </text>
    </comment>
    <comment ref="AC38" authorId="0" shapeId="0">
      <text>
        <t>모델값 역산(implied): v / 전분기 − 1
전분기 + (순이익 − 배당) — 순차입금 롤과 같은 가정</t>
      </text>
    </comment>
    <comment ref="AD38" authorId="0" shapeId="0">
      <text>
        <t>모델값 역산(implied): v / 전분기 − 1
전분기 + (순이익 − 배당) — 순차입금 롤과 같은 가정</t>
      </text>
    </comment>
    <comment ref="AF38" authorId="0" shapeId="0">
      <text>
        <t>모델값 역산(implied): v / 전분기 − 1
전분기 + (순이익 − 배당) — 순차입금 롤과 같은 가정</t>
      </text>
    </comment>
    <comment ref="AG38" authorId="0" shapeId="0">
      <text>
        <t>모델값 역산(implied): v / 전분기 − 1
전분기 + (순이익 − 배당) — 순차입금 롤과 같은 가정</t>
      </text>
    </comment>
    <comment ref="AH38" authorId="0" shapeId="0">
      <text>
        <t>모델값 역산(implied): v / 전분기 − 1
전분기 + (순이익 − 배당) — 순차입금 롤과 같은 가정</t>
      </text>
    </comment>
    <comment ref="AI38" authorId="0" shapeId="0">
      <text>
        <t>모델값 역산(implied): v / 전분기 − 1
전분기 + (순이익 − 배당) — 순차입금 롤과 같은 가정</t>
      </text>
    </comment>
    <comment ref="AK38" authorId="0" shapeId="0">
      <text>
        <t>모델값 역산(implied): v / 전분기 − 1
전분기 + (순이익 − 배당) — 순차입금 롤과 같은 가정</t>
      </text>
    </comment>
    <comment ref="AL38" authorId="0" shapeId="0">
      <text>
        <t>모델값 역산(implied): v / 전분기 − 1
전분기 + (순이익 − 배당) — 순차입금 롤과 같은 가정</t>
      </text>
    </comment>
    <comment ref="AM38" authorId="0" shapeId="0">
      <text>
        <t>모델값 역산(implied): v / 전분기 − 1
전분기 + (순이익 − 배당) — 순차입금 롤과 같은 가정</t>
      </text>
    </comment>
    <comment ref="AN38" authorId="0" shapeId="0">
      <text>
        <t>모델값 역산(implied): v / 전분기 − 1
전분기 + (순이익 − 배당) — 순차입금 롤과 같은 가정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v / 전년동기 − 1
직전 결산 DPS 750원 유지</t>
      </text>
    </comment>
    <comment ref="AI43" authorId="0" shapeId="0">
      <text>
        <t>모델값 역산(implied): v / 전년동기 − 1
직전 결산 DPS 750원 유지</t>
      </text>
    </comment>
    <comment ref="AN43" authorId="0" shapeId="0">
      <text>
        <t>모델값 역산(implied): v / 전년동기 − 1
직전 결산 DPS 750원 유지</t>
      </text>
    </comment>
    <comment ref="AC44" authorId="0" shapeId="0">
      <text>
        <t>모델값 역산(implied): v / 전년동기 − 1
현재 종가 ÷ TTM EPS(추정 포함)</t>
      </text>
    </comment>
    <comment ref="AD44" authorId="0" shapeId="0">
      <text>
        <t>모델값 역산(implied): v / 전년동기 − 1
현재 종가 ÷ TTM EPS(추정 포함)</t>
      </text>
    </comment>
    <comment ref="AF44" authorId="0" shapeId="0">
      <text>
        <t>모델값 역산(implied): v / 전년동기 − 1
현재 종가 ÷ TTM EPS(추정 포함)</t>
      </text>
    </comment>
    <comment ref="AG44" authorId="0" shapeId="0">
      <text>
        <t>모델값 역산(implied): v / 전년동기 − 1
현재 종가 ÷ TTM EPS(추정 포함)</t>
      </text>
    </comment>
    <comment ref="AH44" authorId="0" shapeId="0">
      <text>
        <t>모델값 역산(implied): v / 전년동기 − 1
현재 종가 ÷ TTM EPS(추정 포함)</t>
      </text>
    </comment>
    <comment ref="AI44" authorId="0" shapeId="0">
      <text>
        <t>모델값 역산(implied): v / 전년동기 − 1
현재 종가 ÷ TTM EPS(추정 포함)</t>
      </text>
    </comment>
    <comment ref="AK44" authorId="0" shapeId="0">
      <text>
        <t>모델값 역산(implied): v / 전년동기 − 1
현재 종가 ÷ TTM EPS(추정 포함)</t>
      </text>
    </comment>
    <comment ref="AL44" authorId="0" shapeId="0">
      <text>
        <t>모델값 역산(implied): v / 전년동기 − 1
현재 종가 ÷ TTM EPS(추정 포함)</t>
      </text>
    </comment>
    <comment ref="AM44" authorId="0" shapeId="0">
      <text>
        <t>모델값 역산(implied): v / 전년동기 − 1
현재 종가 ÷ TTM EPS(추정 포함)</t>
      </text>
    </comment>
    <comment ref="AN44" authorId="0" shapeId="0">
      <text>
        <t>모델값 역산(implied): v / 전년동기 − 1
현재 종가 ÷ TTM EPS(추정 포함)</t>
      </text>
    </comment>
    <comment ref="AC45" authorId="0" shapeId="0">
      <text>
        <t>모델값 역산(implied): v / 전년동기 − 1
현재 종가 ÷ BPS(추정 포함)</t>
      </text>
    </comment>
    <comment ref="AD45" authorId="0" shapeId="0">
      <text>
        <t>모델값 역산(implied): v / 전년동기 − 1
현재 종가 ÷ BPS(추정 포함)</t>
      </text>
    </comment>
    <comment ref="AF45" authorId="0" shapeId="0">
      <text>
        <t>모델값 역산(implied): v / 전년동기 − 1
현재 종가 ÷ BPS(추정 포함)</t>
      </text>
    </comment>
    <comment ref="AG45" authorId="0" shapeId="0">
      <text>
        <t>모델값 역산(implied): v / 전년동기 − 1
현재 종가 ÷ BPS(추정 포함)</t>
      </text>
    </comment>
    <comment ref="AH45" authorId="0" shapeId="0">
      <text>
        <t>모델값 역산(implied): v / 전년동기 − 1
현재 종가 ÷ BPS(추정 포함)</t>
      </text>
    </comment>
    <comment ref="AI45" authorId="0" shapeId="0">
      <text>
        <t>모델값 역산(implied): v / 전년동기 − 1
현재 종가 ÷ BPS(추정 포함)</t>
      </text>
    </comment>
    <comment ref="AK45" authorId="0" shapeId="0">
      <text>
        <t>모델값 역산(implied): v / 전년동기 − 1
현재 종가 ÷ BPS(추정 포함)</t>
      </text>
    </comment>
    <comment ref="AL45" authorId="0" shapeId="0">
      <text>
        <t>모델값 역산(implied): v / 전년동기 − 1
현재 종가 ÷ BPS(추정 포함)</t>
      </text>
    </comment>
    <comment ref="AM45" authorId="0" shapeId="0">
      <text>
        <t>모델값 역산(implied): v / 전년동기 − 1
현재 종가 ÷ BPS(추정 포함)</t>
      </text>
    </comment>
    <comment ref="AN45" authorId="0" shapeId="0">
      <text>
        <t>모델값 역산(implied): v / 전년동기 − 1
현재 종가 ÷ BPS(추정 포함)</t>
      </text>
    </comment>
    <comment ref="AC46" authorId="0" shapeId="0">
      <text>
        <t>모델값 역산(implied): v / 매출액
= 매출액 추정(부문 미분리)</t>
      </text>
    </comment>
    <comment ref="AD46" authorId="0" shapeId="0">
      <text>
        <t>모델값 역산(implied): v / 매출액
= 매출액 추정(부문 미분리)</t>
      </text>
    </comment>
    <comment ref="AF46" authorId="0" shapeId="0">
      <text>
        <t>모델값 역산(implied): v / 매출액
= 매출액 추정(부문 미분리)</t>
      </text>
    </comment>
    <comment ref="AG46" authorId="0" shapeId="0">
      <text>
        <t>모델값 역산(implied): v / 매출액
= 매출액 추정(부문 미분리)</t>
      </text>
    </comment>
    <comment ref="AH46" authorId="0" shapeId="0">
      <text>
        <t>모델값 역산(implied): v / 매출액
= 매출액 추정(부문 미분리)</t>
      </text>
    </comment>
    <comment ref="AI46" authorId="0" shapeId="0">
      <text>
        <t>모델값 역산(implied): v / 매출액
= 매출액 추정(부문 미분리)</t>
      </text>
    </comment>
    <comment ref="AK46" authorId="0" shapeId="0">
      <text>
        <t>모델값 역산(implied): v / 매출액
= 매출액 추정(부문 미분리)</t>
      </text>
    </comment>
    <comment ref="AL46" authorId="0" shapeId="0">
      <text>
        <t>모델값 역산(implied): v / 매출액
= 매출액 추정(부문 미분리)</t>
      </text>
    </comment>
    <comment ref="AM46" authorId="0" shapeId="0">
      <text>
        <t>모델값 역산(implied): v / 매출액
= 매출액 추정(부문 미분리)</t>
      </text>
    </comment>
    <comment ref="AN46" authorId="0" shapeId="0">
      <text>
        <t>모델값 역산(implied): v / 매출액
= 매출액 추정(부문 미분리)</t>
      </text>
    </comment>
    <comment ref="AC47" authorId="0" shapeId="0">
      <text>
        <t>모델값 역산(implied): v / 매출전사
= 매출액 × OPM(부문 미분리)</t>
      </text>
    </comment>
    <comment ref="AD47" authorId="0" shapeId="0">
      <text>
        <t>모델값 역산(implied): v / 매출전사
= 매출액 × OPM(부문 미분리)</t>
      </text>
    </comment>
    <comment ref="AF47" authorId="0" shapeId="0">
      <text>
        <t>모델값 역산(implied): v / 매출전사
= 매출액 × OPM(부문 미분리)</t>
      </text>
    </comment>
    <comment ref="AG47" authorId="0" shapeId="0">
      <text>
        <t>모델값 역산(implied): v / 매출전사
= 매출액 × OPM(부문 미분리)</t>
      </text>
    </comment>
    <comment ref="AH47" authorId="0" shapeId="0">
      <text>
        <t>모델값 역산(implied): v / 매출전사
= 매출액 × OPM(부문 미분리)</t>
      </text>
    </comment>
    <comment ref="AI47" authorId="0" shapeId="0">
      <text>
        <t>모델값 역산(implied): v / 매출전사
= 매출액 × OPM(부문 미분리)</t>
      </text>
    </comment>
    <comment ref="AK47" authorId="0" shapeId="0">
      <text>
        <t>모델값 역산(implied): v / 매출전사
= 매출액 × OPM(부문 미분리)</t>
      </text>
    </comment>
    <comment ref="AL47" authorId="0" shapeId="0">
      <text>
        <t>모델값 역산(implied): v / 매출전사
= 매출액 × OPM(부문 미분리)</t>
      </text>
    </comment>
    <comment ref="AM47" authorId="0" shapeId="0">
      <text>
        <t>모델값 역산(implied): v / 매출전사
= 매출액 × OPM(부문 미분리)</t>
      </text>
    </comment>
    <comment ref="AN47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196744억 × 비례계수 0.0067 × 계절비중 Q3 0.271(계절비중 — 최근 3개 연도(2026, 2025, 2024) 분기/연간 비중 평균; 격자 lag0~4×창8/12/19×수준·YoY·4Q합 중 최대 r=0.88, n=8, 창 8)
[yoy]</t>
      </text>
    </comment>
    <comment ref="AD5" authorId="0" shapeId="0">
      <text>
        <t>추정: 고객지수 4분기 이동합(t−2) 218595억 × 비례계수 0.0067 × 계절비중 Q4 0.185(계절비중 — 최근 3개 연도(2026, 2025, 2024) 분기/연간 비중 평균; 격자 lag0~4×창8/12/19×수준·YoY·4Q합 중 최대 r=0.88, n=8, 창 8)
[yoy]</t>
      </text>
    </comment>
    <comment ref="AF5" authorId="0" shapeId="0">
      <text>
        <t>추정: 고객지수 4분기 이동합(t−2) 240370억 × 비례계수 0.0067 × 계절비중 Q1 0.271(계절비중 — 최근 3개 연도(2026, 2025, 2024) 분기/연간 비중 평균; 격자 lag0~4×창8/12/19×수준·YoY·4Q합 중 최대 r=0.88, n=8, 창 8)
[yoy]</t>
      </text>
    </comment>
    <comment ref="AG5" authorId="0" shapeId="0">
      <text>
        <t>추정: 고객지수 4분기 이동합(t−2) 254552억 × 비례계수 0.0067 × 계절비중 Q2 0.273(계절비중 — 최근 3개 연도(2026, 2025, 2024) 분기/연간 비중 평균; 격자 lag0~4×창8/12/19×수준·YoY·4Q합 중 최대 r=0.88, n=8, 창 8)
[yoy]</t>
      </text>
    </comment>
    <comment ref="AH5" authorId="0" shapeId="0">
      <text>
        <t>추정: 고객지수 4분기 이동합(t−2) 261026억 × 비례계수 0.0067 × 계절비중 Q3 0.271(계절비중 — 최근 3개 연도(2026, 2025, 2024) 분기/연간 비중 평균; 격자 lag0~4×창8/12/19×수준·YoY·4Q합 중 최대 r=0.88, n=8, 창 8)
[yoy]</t>
      </text>
    </comment>
    <comment ref="AI5" authorId="0" shapeId="0">
      <text>
        <t>추정: 고객지수 4분기 이동합(t−2) 262360억 × 비례계수 0.0067 × 계절비중 Q4 0.185(계절비중 — 최근 3개 연도(2026, 2025, 2024) 분기/연간 비중 평균; 격자 lag0~4×창8/12/19×수준·YoY·4Q합 중 최대 r=0.88, n=8, 창 8)
[yoy]</t>
      </text>
    </comment>
    <comment ref="AK5" authorId="0" shapeId="0">
      <text>
        <t>추정: 고객지수 4분기 이동합(t−2) 261074억 × 비례계수 0.0067 × 계절비중 Q1 0.271(계절비중 — 최근 3개 연도(2026, 2025, 2024) 분기/연간 비중 평균; 격자 lag0~4×창8/12/19×수준·YoY·4Q합 중 최대 r=0.88, n=8, 창 8)
[yoy]</t>
      </text>
    </comment>
    <comment ref="AL5" authorId="0" shapeId="0">
      <text>
        <t>추정: 고객지수 4분기 이동합(t−2) 258876억 × 비례계수 0.0067 × 계절비중 Q2 0.273(계절비중 — 최근 3개 연도(2026, 2025, 2024) 분기/연간 비중 평균; 격자 lag0~4×창8/12/19×수준·YoY·4Q합 중 최대 r=0.88, n=8, 창 8)
[yoy]</t>
      </text>
    </comment>
    <comment ref="AM5" authorId="0" shapeId="0">
      <text>
        <t>추정: 고객지수 4분기 이동합(t−2) 256251억 × 비례계수 0.0067 × 계절비중 Q3 0.271(계절비중 — 최근 3개 연도(2026, 2025, 2024) 분기/연간 비중 평균; 격자 lag0~4×창8/12/19×수준·YoY·4Q합 중 최대 r=0.88, n=8, 창 8)
[yoy]</t>
      </text>
    </comment>
    <comment ref="AN5" authorId="0" shapeId="0">
      <text>
        <t>추정: 고객지수 4분기 이동합(t−2) 253966억 × 비례계수 0.0067 × 계절비중 Q4 0.185(계절비중 — 최근 3개 연도(2026, 2025, 2024) 분기/연간 비중 평균; 격자 lag0~4×창8/12/19×수준·YoY·4Q합 중 최대 r=0.88,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8.58%(최근 4분기 중위)
[ratio]</t>
      </text>
    </comment>
    <comment ref="AD8" authorId="0" shapeId="0">
      <text>
        <t>추정: 매출액 × 판관비율 8.58%(최근 4분기 중위)
[ratio]</t>
      </text>
    </comment>
    <comment ref="AF8" authorId="0" shapeId="0">
      <text>
        <t>추정: 매출액 × 판관비율 8.58%(최근 4분기 중위)
[ratio]</t>
      </text>
    </comment>
    <comment ref="AG8" authorId="0" shapeId="0">
      <text>
        <t>추정: 매출액 × 판관비율 8.58%(최근 4분기 중위)
[ratio]</t>
      </text>
    </comment>
    <comment ref="AH8" authorId="0" shapeId="0">
      <text>
        <t>추정: 매출액 × 판관비율 8.58%(최근 4분기 중위)
[ratio]</t>
      </text>
    </comment>
    <comment ref="AI8" authorId="0" shapeId="0">
      <text>
        <t>추정: 매출액 × 판관비율 8.58%(최근 4분기 중위)
[ratio]</t>
      </text>
    </comment>
    <comment ref="AK8" authorId="0" shapeId="0">
      <text>
        <t>추정: 매출액 × 판관비율 8.58%(최근 4분기 중위)
[ratio]</t>
      </text>
    </comment>
    <comment ref="AL8" authorId="0" shapeId="0">
      <text>
        <t>추정: 매출액 × 판관비율 8.58%(최근 4분기 중위)
[ratio]</t>
      </text>
    </comment>
    <comment ref="AM8" authorId="0" shapeId="0">
      <text>
        <t>추정: 매출액 × 판관비율 8.58%(최근 4분기 중위)
[ratio]</t>
      </text>
    </comment>
    <comment ref="AN8" authorId="0" shapeId="0">
      <text>
        <t>추정: 매출액 × 판관비율 8.58%(최근 4분기 중위)
[ratio]</t>
      </text>
    </comment>
    <comment ref="AC9" authorId="0" shapeId="0">
      <text>
        <t>추정: 매출액 × OPM(최근 8분기 OPM 중위 15.1% 유지)
[ratio]</t>
      </text>
    </comment>
    <comment ref="AD9" authorId="0" shapeId="0">
      <text>
        <t>추정: 매출액 × OPM(최근 8분기 OPM 중위 15.1% 유지)
[ratio]</t>
      </text>
    </comment>
    <comment ref="AF9" authorId="0" shapeId="0">
      <text>
        <t>추정: 매출액 × OPM(최근 8분기 OPM 중위 15.1% 유지)
[ratio]</t>
      </text>
    </comment>
    <comment ref="AG9" authorId="0" shapeId="0">
      <text>
        <t>추정: 매출액 × OPM(최근 8분기 OPM 중위 15.1% 유지)
[ratio]</t>
      </text>
    </comment>
    <comment ref="AH9" authorId="0" shapeId="0">
      <text>
        <t>추정: 매출액 × OPM(최근 8분기 OPM 중위 15.1% 유지)
[ratio]</t>
      </text>
    </comment>
    <comment ref="AI9" authorId="0" shapeId="0">
      <text>
        <t>추정: 매출액 × OPM(최근 8분기 OPM 중위 15.1% 유지)
[ratio]</t>
      </text>
    </comment>
    <comment ref="AK9" authorId="0" shapeId="0">
      <text>
        <t>추정: 매출액 × OPM(최근 8분기 OPM 중위 15.1% 유지)
[ratio]</t>
      </text>
    </comment>
    <comment ref="AL9" authorId="0" shapeId="0">
      <text>
        <t>추정: 매출액 × OPM(최근 8분기 OPM 중위 15.1% 유지)
[ratio]</t>
      </text>
    </comment>
    <comment ref="AM9" authorId="0" shapeId="0">
      <text>
        <t>추정: 매출액 × OPM(최근 8분기 OPM 중위 15.1% 유지)
[ratio]</t>
      </text>
    </comment>
    <comment ref="AN9" authorId="0" shapeId="0">
      <text>
        <t>추정: 매출액 × OPM(최근 8분기 OPM 중위 15.1%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15.1% 유지
[yoy]</t>
      </text>
    </comment>
    <comment ref="AD10" authorId="0" shapeId="0">
      <text>
        <t>추정: 최근 8분기 OPM 중위 15.1% 유지
[yoy]</t>
      </text>
    </comment>
    <comment ref="AF10" authorId="0" shapeId="0">
      <text>
        <t>추정: 최근 8분기 OPM 중위 15.1% 유지
[yoy]</t>
      </text>
    </comment>
    <comment ref="AG10" authorId="0" shapeId="0">
      <text>
        <t>추정: 최근 8분기 OPM 중위 15.1% 유지
[yoy]</t>
      </text>
    </comment>
    <comment ref="AH10" authorId="0" shapeId="0">
      <text>
        <t>추정: 최근 8분기 OPM 중위 15.1% 유지
[yoy]</t>
      </text>
    </comment>
    <comment ref="AI10" authorId="0" shapeId="0">
      <text>
        <t>추정: 최근 8분기 OPM 중위 15.1% 유지
[yoy]</t>
      </text>
    </comment>
    <comment ref="AK10" authorId="0" shapeId="0">
      <text>
        <t>추정: 최근 8분기 OPM 중위 15.1% 유지
[yoy]</t>
      </text>
    </comment>
    <comment ref="AL10" authorId="0" shapeId="0">
      <text>
        <t>추정: 최근 8분기 OPM 중위 15.1% 유지
[yoy]</t>
      </text>
    </comment>
    <comment ref="AM10" authorId="0" shapeId="0">
      <text>
        <t>추정: 최근 8분기 OPM 중위 15.1% 유지
[yoy]</t>
      </text>
    </comment>
    <comment ref="AN10" authorId="0" shapeId="0">
      <text>
        <t>추정: 최근 8분기 OPM 중위 15.1% 유지
[yoy]</t>
      </text>
    </comment>
    <comment ref="AC11" authorId="0" shapeId="0">
      <text>
        <t>추정: 이자손익 = 이자발생자산 176억 × 6.51% − 총차입금 463억 × 0.00% (연율, CF 실측) ÷ 4; 환·평가손익 0 가정
[abs]</t>
      </text>
    </comment>
    <comment ref="AD11" authorId="0" shapeId="0">
      <text>
        <t>추정: 이자손익 = 이자발생자산 249억 × 6.51% − 총차입금 463억 × 0.00% (연율, CF 실측) ÷ 4; 환·평가손익 0 가정
[abs]</t>
      </text>
    </comment>
    <comment ref="AF11" authorId="0" shapeId="0">
      <text>
        <t>추정: 이자손익 = 이자발생자산 313억 × 6.51% − 총차입금 463억 × 0.00% (연율, CF 실측) ÷ 4; 환·평가손익 0 가정
[abs]</t>
      </text>
    </comment>
    <comment ref="AG11" authorId="0" shapeId="0">
      <text>
        <t>추정: 이자손익 = 이자발생자산 397억 × 6.51% − 총차입금 463억 × 0.00% (연율, CF 실측) ÷ 4; 환·평가손익 0 가정
[abs]</t>
      </text>
    </comment>
    <comment ref="AH11" authorId="0" shapeId="0">
      <text>
        <t>추정: 이자손익 = 이자발생자산 143억 × 6.51% − 총차입금 463억 × 0.00% (연율, CF 실측) ÷ 4; 환·평가손익 0 가정
[abs]</t>
      </text>
    </comment>
    <comment ref="AI11" authorId="0" shapeId="0">
      <text>
        <t>추정: 이자손익 = 이자발생자산 229억 × 6.51% − 총차입금 463억 × 0.00% (연율, CF 실측) ÷ 4; 환·평가손익 0 가정
[abs]</t>
      </text>
    </comment>
    <comment ref="AK11" authorId="0" shapeId="0">
      <text>
        <t>추정: 이자손익 = 이자발생자산 299억 × 6.51% − 총차입금 463억 × 0.00% (연율, CF 실측) ÷ 4; 환·평가손익 0 가정
[abs]</t>
      </text>
    </comment>
    <comment ref="AL11" authorId="0" shapeId="0">
      <text>
        <t>추정: 이자손익 = 이자발생자산 387억 × 6.51% − 총차입금 463억 × 0.00% (연율, CF 실측) ÷ 4; 환·평가손익 0 가정
[abs]</t>
      </text>
    </comment>
    <comment ref="AM11" authorId="0" shapeId="0">
      <text>
        <t>추정: 이자손익 = 이자발생자산 133억 × 6.51% − 총차입금 463억 × 0.00% (연율, CF 실측) ÷ 4; 환·평가손익 0 가정
[abs]</t>
      </text>
    </comment>
    <comment ref="AN11" authorId="0" shapeId="0">
      <text>
        <t>추정: 이자손익 = 이자발생자산 218억 × 6.51% − 총차입금 463억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21.9%(최근 12분기 유효세율 21.9% → 5~27% 클립)
[ratio]</t>
      </text>
    </comment>
    <comment ref="AD15" authorId="0" shapeId="0">
      <text>
        <t>추정: max(세전, 0) × 세율 21.9%(최근 12분기 유효세율 21.9% → 5~27% 클립)
[ratio]</t>
      </text>
    </comment>
    <comment ref="AF15" authorId="0" shapeId="0">
      <text>
        <t>추정: max(세전, 0) × 세율 21.9%(최근 12분기 유효세율 21.9% → 5~27% 클립)
[ratio]</t>
      </text>
    </comment>
    <comment ref="AG15" authorId="0" shapeId="0">
      <text>
        <t>추정: max(세전, 0) × 세율 21.9%(최근 12분기 유효세율 21.9% → 5~27% 클립)
[ratio]</t>
      </text>
    </comment>
    <comment ref="AH15" authorId="0" shapeId="0">
      <text>
        <t>추정: max(세전, 0) × 세율 21.9%(최근 12분기 유효세율 21.9% → 5~27% 클립)
[ratio]</t>
      </text>
    </comment>
    <comment ref="AI15" authorId="0" shapeId="0">
      <text>
        <t>추정: max(세전, 0) × 세율 21.9%(최근 12분기 유효세율 21.9% → 5~27% 클립)
[ratio]</t>
      </text>
    </comment>
    <comment ref="AK15" authorId="0" shapeId="0">
      <text>
        <t>추정: max(세전, 0) × 세율 21.9%(최근 12분기 유효세율 21.9% → 5~27% 클립)
[ratio]</t>
      </text>
    </comment>
    <comment ref="AL15" authorId="0" shapeId="0">
      <text>
        <t>추정: max(세전, 0) × 세율 21.9%(최근 12분기 유효세율 21.9% → 5~27% 클립)
[ratio]</t>
      </text>
    </comment>
    <comment ref="AM15" authorId="0" shapeId="0">
      <text>
        <t>추정: max(세전, 0) × 세율 21.9%(최근 12분기 유효세율 21.9% → 5~27% 클립)
[ratio]</t>
      </text>
    </comment>
    <comment ref="AN15" authorId="0" shapeId="0">
      <text>
        <t>추정: max(세전, 0) × 세율 21.9%(최근 12분기 유효세율 21.9%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O18" authorId="0" shapeId="0">
      <text>
        <t>실측(계정 매핑 없음 — 모델값 직접) — fin.cons.is.중단사업이익</t>
      </text>
    </comment>
    <comment ref="Q18" authorId="0" shapeId="0">
      <text>
        <t>실측(계정 매핑 없음 — 모델값 직접) — fin.cons.is.중단사업이익</t>
      </text>
    </comment>
    <comment ref="R18" authorId="0" shapeId="0">
      <text>
        <t>실측(계정 매핑 없음 — 모델값 직접) — fin.cons.is.중단사업이익</t>
      </text>
    </comment>
    <comment ref="S18" authorId="0" shapeId="0">
      <text>
        <t>실측(계정 매핑 없음 — 모델값 직접) — fin.cons.is.중단사업이익</t>
      </text>
    </comment>
    <comment ref="T18" authorId="0" shapeId="0">
      <text>
        <t>실측(계정 매핑 없음 — 모델값 직접) — fin.cons.is.중단사업이익</t>
      </text>
    </comment>
    <comment ref="AC19" authorId="0" shapeId="0">
      <text>
        <t>추정(가정 셀 참조 불가 — 기준값 없음, 모델값 직접): 최근 4분기 감가상각비 중위 유지</t>
      </text>
    </comment>
    <comment ref="AD19" authorId="0" shapeId="0">
      <text>
        <t>추정(가정 셀 참조 불가 — 기준값 없음, 모델값 직접): 최근 4분기 감가상각비 중위 유지</t>
      </text>
    </comment>
    <comment ref="AF19" authorId="0" shapeId="0">
      <text>
        <t>추정(가정 셀 참조 불가 — 기준값 없음, 모델값 직접): 최근 4분기 감가상각비 중위 유지</t>
      </text>
    </comment>
    <comment ref="AG19" authorId="0" shapeId="0">
      <text>
        <t>추정(가정 셀 참조 불가 — 기준값 없음, 모델값 직접): 최근 4분기 감가상각비 중위 유지</t>
      </text>
    </comment>
    <comment ref="AH19" authorId="0" shapeId="0">
      <text>
        <t>추정: 최근 4분기 감가상각비 중위 유지
[yoy]</t>
      </text>
    </comment>
    <comment ref="AI19" authorId="0" shapeId="0">
      <text>
        <t>추정: 최근 4분기 감가상각비 중위 유지
[yoy]</t>
      </text>
    </comment>
    <comment ref="AK19" authorId="0" shapeId="0">
      <text>
        <t>추정: 최근 4분기 감가상각비 중위 유지
[yoy]</t>
      </text>
    </comment>
    <comment ref="AL19" authorId="0" shapeId="0">
      <text>
        <t>추정: 최근 4분기 감가상각비 중위 유지
[yoy]</t>
      </text>
    </comment>
    <comment ref="AM19" authorId="0" shapeId="0">
      <text>
        <t>추정: 최근 4분기 감가상각비 중위 유지
[yoy]</t>
      </text>
    </comment>
    <comment ref="AN19" authorId="0" shapeId="0">
      <text>
        <t>추정: 최근 4분기 감가상각비 중위 유지
[yoy]</t>
      </text>
    </comment>
    <comment ref="E20" authorId="0" shapeId="0">
      <text>
        <t>실측(계정 매핑 없음 — 모델값 직접) — 영업이익 + 감가상각비(CF)</t>
      </text>
    </comment>
    <comment ref="G20" authorId="0" shapeId="0">
      <text>
        <t>실측(계정 매핑 없음 — 모델값 직접) — 영업이익 + 감가상각비(CF)</t>
      </text>
    </comment>
    <comment ref="H20" authorId="0" shapeId="0">
      <text>
        <t>실측(계정 매핑 없음 — 모델값 직접) — 영업이익 + 감가상각비(CF)</t>
      </text>
    </comment>
    <comment ref="I20" authorId="0" shapeId="0">
      <text>
        <t>실측(계정 매핑 없음 — 모델값 직접) — 영업이익 + 감가상각비(CF)</t>
      </text>
    </comment>
    <comment ref="J20" authorId="0" shapeId="0">
      <text>
        <t>실측(계정 매핑 없음 — 모델값 직접) — 영업이익 + 감가상각비(CF)</t>
      </text>
    </comment>
    <comment ref="L20" authorId="0" shapeId="0">
      <text>
        <t>실측(계정 매핑 없음 — 모델값 직접) — 영업이익 + 감가상각비(CF)</t>
      </text>
    </comment>
    <comment ref="M20" authorId="0" shapeId="0">
      <text>
        <t>실측(계정 매핑 없음 — 모델값 직접) — 영업이익 + 감가상각비(CF)</t>
      </text>
    </comment>
    <comment ref="AC20" authorId="0" shapeId="0">
      <text>
        <t>추정(가정 셀 참조 불가 — 기준값 없음, 모델값 직접): 영업이익 + 감가상각비</t>
      </text>
    </comment>
    <comment ref="AD20" authorId="0" shapeId="0">
      <text>
        <t>추정(가정 셀 참조 불가 — 기준값 없음, 모델값 직접): 영업이익 + 감가상각비</t>
      </text>
    </comment>
    <comment ref="AF20" authorId="0" shapeId="0">
      <text>
        <t>추정(가정 셀 참조 불가 — 기준값 없음, 모델값 직접): 영업이익 + 감가상각비</t>
      </text>
    </comment>
    <comment ref="AG20" authorId="0" shapeId="0">
      <text>
        <t>추정(가정 셀 참조 불가 — 기준값 없음, 모델값 직접): 영업이익 + 감가상각비</t>
      </text>
    </comment>
    <comment ref="AH20" authorId="0" shapeId="0">
      <text>
        <t>추정: 영업이익 + 감가상각비
[yoy]</t>
      </text>
    </comment>
    <comment ref="AI20" authorId="0" shapeId="0">
      <text>
        <t>추정: 영업이익 + 감가상각비
[yoy]</t>
      </text>
    </comment>
    <comment ref="AK20" authorId="0" shapeId="0">
      <text>
        <t>추정: 영업이익 + 감가상각비
[yoy]</t>
      </text>
    </comment>
    <comment ref="AL20" authorId="0" shapeId="0">
      <text>
        <t>추정: 영업이익 + 감가상각비
[yoy]</t>
      </text>
    </comment>
    <comment ref="AM20" authorId="0" shapeId="0">
      <text>
        <t>추정: 영업이익 + 감가상각비
[yoy]</t>
      </text>
    </comment>
    <comment ref="AN20" authorId="0" shapeId="0">
      <text>
        <t>추정: 영업이익 + 감가상각비
[yoy]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(순이익 − 배당): 순이익 = 순현금 증가 가정(CAPEX≈감가, 운전자본 불변)
[qoq]</t>
      </text>
    </comment>
    <comment ref="AD26" authorId="0" shapeId="0">
      <text>
        <t>추정: 전분기 − (순이익 − 배당): 순이익 = 순현금 증가 가정(CAPEX≈감가, 운전자본 불변)
[qoq]</t>
      </text>
    </comment>
    <comment ref="AF26" authorId="0" shapeId="0">
      <text>
        <t>추정: 전분기 − (순이익 − 배당): 순이익 = 순현금 증가 가정(CAPEX≈감가, 운전자본 불변)
[qoq]</t>
      </text>
    </comment>
    <comment ref="AG26" authorId="0" shapeId="0">
      <text>
        <t>추정: 전분기 − (순이익 − 배당): 순이익 = 순현금 증가 가정(CAPEX≈감가, 운전자본 불변)
[qoq]</t>
      </text>
    </comment>
    <comment ref="AH26" authorId="0" shapeId="0">
      <text>
        <t>추정: 전분기 − (순이익 − 배당): 순이익 = 순현금 증가 가정(CAPEX≈감가, 운전자본 불변)
[qoq]</t>
      </text>
    </comment>
    <comment ref="AI26" authorId="0" shapeId="0">
      <text>
        <t>추정: 전분기 − (순이익 − 배당): 순이익 = 순현금 증가 가정(CAPEX≈감가, 운전자본 불변)
[qoq]</t>
      </text>
    </comment>
    <comment ref="AK26" authorId="0" shapeId="0">
      <text>
        <t>추정: 전분기 − (순이익 − 배당): 순이익 = 순현금 증가 가정(CAPEX≈감가, 운전자본 불변)
[qoq]</t>
      </text>
    </comment>
    <comment ref="AL26" authorId="0" shapeId="0">
      <text>
        <t>추정: 전분기 − (순이익 − 배당): 순이익 = 순현금 증가 가정(CAPEX≈감가, 운전자본 불변)
[qoq]</t>
      </text>
    </comment>
    <comment ref="AM26" authorId="0" shapeId="0">
      <text>
        <t>추정: 전분기 − (순이익 − 배당): 순이익 = 순현금 증가 가정(CAPEX≈감가, 운전자본 불변)
[qoq]</t>
      </text>
    </comment>
    <comment ref="AN26" authorId="0" shapeId="0">
      <text>
        <t>추정: 전분기 − (순이익 − 배당): 순이익 = 순현금 증가 가정(CAPEX≈감가, 운전자본 불변)
[qoq]</t>
      </text>
    </comment>
    <comment ref="AC27" authorId="0" shapeId="0">
      <text>
        <t>추정: 전분기 + (순이익 − 배당) — 순차입금 롤과 같은 가정
[qoq]</t>
      </text>
    </comment>
    <comment ref="AD27" authorId="0" shapeId="0">
      <text>
        <t>추정: 전분기 + (순이익 − 배당) — 순차입금 롤과 같은 가정
[qoq]</t>
      </text>
    </comment>
    <comment ref="AF27" authorId="0" shapeId="0">
      <text>
        <t>추정: 전분기 + (순이익 − 배당) — 순차입금 롤과 같은 가정
[qoq]</t>
      </text>
    </comment>
    <comment ref="AG27" authorId="0" shapeId="0">
      <text>
        <t>추정: 전분기 + (순이익 − 배당) — 순차입금 롤과 같은 가정
[qoq]</t>
      </text>
    </comment>
    <comment ref="AH27" authorId="0" shapeId="0">
      <text>
        <t>추정: 전분기 + (순이익 − 배당) — 순차입금 롤과 같은 가정
[qoq]</t>
      </text>
    </comment>
    <comment ref="AI27" authorId="0" shapeId="0">
      <text>
        <t>추정: 전분기 + (순이익 − 배당) — 순차입금 롤과 같은 가정
[qoq]</t>
      </text>
    </comment>
    <comment ref="AK27" authorId="0" shapeId="0">
      <text>
        <t>추정: 전분기 + (순이익 − 배당) — 순차입금 롤과 같은 가정
[qoq]</t>
      </text>
    </comment>
    <comment ref="AL27" authorId="0" shapeId="0">
      <text>
        <t>추정: 전분기 + (순이익 − 배당) — 순차입금 롤과 같은 가정
[qoq]</t>
      </text>
    </comment>
    <comment ref="AM27" authorId="0" shapeId="0">
      <text>
        <t>추정: 전분기 + (순이익 − 배당) — 순차입금 롤과 같은 가정
[qoq]</t>
      </text>
    </comment>
    <comment ref="AN27" authorId="0" shapeId="0">
      <text>
        <t>추정: 전분기 + (순이익 − 배당) — 순차입금 롤과 같은 가정
[qoq]</t>
      </text>
    </comment>
    <comment ref="E30" authorId="0" shapeId="0">
      <text>
        <t>실측(계정 매핑 없음 — 모델값 직접) — fin.cons.cf.영업활동으로인한현금흐름</t>
      </text>
    </comment>
    <comment ref="G30" authorId="0" shapeId="0">
      <text>
        <t>실측(계정 매핑 없음 — 모델값 직접) — fin.cons.cf.영업활동으로인한현금흐름</t>
      </text>
    </comment>
    <comment ref="H30" authorId="0" shapeId="0">
      <text>
        <t>실측(계정 매핑 없음 — 모델값 직접) — fin.cons.cf.영업활동으로인한현금흐름</t>
      </text>
    </comment>
    <comment ref="I30" authorId="0" shapeId="0">
      <text>
        <t>실측(계정 매핑 없음 — 모델값 직접) — fin.cons.cf.영업활동으로인한현금흐름</t>
      </text>
    </comment>
    <comment ref="J30" authorId="0" shapeId="0">
      <text>
        <t>실측(계정 매핑 없음 — 모델값 직접) — fin.cons.cf.영업활동으로인한현금흐름</t>
      </text>
    </comment>
    <comment ref="L30" authorId="0" shapeId="0">
      <text>
        <t>실측(계정 매핑 없음 — 모델값 직접) — fin.cons.cf.영업활동으로인한현금흐름</t>
      </text>
    </comment>
    <comment ref="M30" authorId="0" shapeId="0">
      <text>
        <t>실측(계정 매핑 없음 — 모델값 직접) — fin.cons.cf.영업활동으로인한현금흐름</t>
      </text>
    </comment>
    <comment ref="N30" authorId="0" shapeId="0">
      <text>
        <t>실측(계정 매핑 없음 — 모델값 직접) — fin.cons.cf.영업활동으로인한현금흐름</t>
      </text>
    </comment>
    <comment ref="O30" authorId="0" shapeId="0">
      <text>
        <t>실측(계정 매핑 없음 — 모델값 직접) — fin.cons.cf.영업활동으로인한현금흐름</t>
      </text>
    </comment>
    <comment ref="Q30" authorId="0" shapeId="0">
      <text>
        <t>실측(계정 매핑 없음 — 모델값 직접) — fin.cons.cf.영업활동으로인한현금흐름</t>
      </text>
    </comment>
    <comment ref="R30" authorId="0" shapeId="0">
      <text>
        <t>실측(계정 매핑 없음 — 모델값 직접) — fin.cons.cf.영업활동으로인한현금흐름</t>
      </text>
    </comment>
    <comment ref="S30" authorId="0" shapeId="0">
      <text>
        <t>실측(계정 매핑 없음 — 모델값 직접) — fin.cons.cf.영업활동으로인한현금흐름</t>
      </text>
    </comment>
    <comment ref="T30" authorId="0" shapeId="0">
      <text>
        <t>실측(계정 매핑 없음 — 모델값 직접) — fin.cons.cf.영업활동으로인한현금흐름</t>
      </text>
    </comment>
    <comment ref="V30" authorId="0" shapeId="0">
      <text>
        <t>실측(계정 매핑 없음 — 모델값 직접) — fin.cons.cf.영업활동으로인한현금흐름</t>
      </text>
    </comment>
    <comment ref="W30" authorId="0" shapeId="0">
      <text>
        <t>실측(계정 매핑 없음 — 모델값 직접) — fin.cons.cf.영업활동으로인한현금흐름</t>
      </text>
    </comment>
    <comment ref="X30" authorId="0" shapeId="0">
      <text>
        <t>실측(계정 매핑 없음 — 모델값 직접) — fin.cons.cf.영업활동으로인한현금흐름</t>
      </text>
    </comment>
    <comment ref="Y30" authorId="0" shapeId="0">
      <text>
        <t>실측(계정 매핑 없음 — 모델값 직접) — fin.cons.cf.영업활동으로인한현금흐름</t>
      </text>
    </comment>
    <comment ref="AA30" authorId="0" shapeId="0">
      <text>
        <t>실측(계정 매핑 없음 — 모델값 직접) — fin.cons.cf.영업활동으로인한현금흐름</t>
      </text>
    </comment>
    <comment ref="AB30" authorId="0" shapeId="0">
      <text>
        <t>실측(계정 매핑 없음 — 모델값 직접) — fin.cons.cf.영업활동으로인한현금흐름</t>
      </text>
    </comment>
    <comment ref="E31" authorId="0" shapeId="0">
      <text>
        <t>실측(계정 매핑 없음 — 모델값 직접) — fin.shares.common_outstanding</t>
      </text>
    </comment>
    <comment ref="G31" authorId="0" shapeId="0">
      <text>
        <t>실측(계정 매핑 없음 — 모델값 직접) — fin.shares.common_outstanding</t>
      </text>
    </comment>
    <comment ref="H31" authorId="0" shapeId="0">
      <text>
        <t>실측(계정 매핑 없음 — 모델값 직접) — fin.shares.common_outstanding</t>
      </text>
    </comment>
    <comment ref="I31" authorId="0" shapeId="0">
      <text>
        <t>실측(계정 매핑 없음 — 모델값 직접) — fin.shares.common_outstanding</t>
      </text>
    </comment>
    <comment ref="J31" authorId="0" shapeId="0">
      <text>
        <t>실측(계정 매핑 없음 — 모델값 직접) — fin.shares.common_outstanding</t>
      </text>
    </comment>
    <comment ref="L31" authorId="0" shapeId="0">
      <text>
        <t>실측(계정 매핑 없음 — 모델값 직접) — fin.shares.common_outstanding</t>
      </text>
    </comment>
    <comment ref="M31" authorId="0" shapeId="0">
      <text>
        <t>실측(계정 매핑 없음 — 모델값 직접) — fin.shares.common_outstanding</t>
      </text>
    </comment>
    <comment ref="N31" authorId="0" shapeId="0">
      <text>
        <t>실측(계정 매핑 없음 — 모델값 직접) — fin.shares.common_outstanding</t>
      </text>
    </comment>
    <comment ref="O31" authorId="0" shapeId="0">
      <text>
        <t>실측(계정 매핑 없음 — 모델값 직접) — fin.shares.common_outstanding</t>
      </text>
    </comment>
    <comment ref="Q31" authorId="0" shapeId="0">
      <text>
        <t>실측(계정 매핑 없음 — 모델값 직접) — fin.shares.common_outstanding</t>
      </text>
    </comment>
    <comment ref="R31" authorId="0" shapeId="0">
      <text>
        <t>실측(계정 매핑 없음 — 모델값 직접) — fin.shares.common_outstanding</t>
      </text>
    </comment>
    <comment ref="S31" authorId="0" shapeId="0">
      <text>
        <t>실측(계정 매핑 없음 — 모델값 직접) — fin.shares.common_outstanding</t>
      </text>
    </comment>
    <comment ref="T31" authorId="0" shapeId="0">
      <text>
        <t>실측(계정 매핑 없음 — 모델값 직접) — fin.shares.common_outstanding</t>
      </text>
    </comment>
    <comment ref="V31" authorId="0" shapeId="0">
      <text>
        <t>실측(계정 매핑 없음 — 모델값 직접) — fin.shares.common_outstanding</t>
      </text>
    </comment>
    <comment ref="W31" authorId="0" shapeId="0">
      <text>
        <t>실측(계정 매핑 없음 — 모델값 직접) — fin.shares.common_outstanding</t>
      </text>
    </comment>
    <comment ref="X31" authorId="0" shapeId="0">
      <text>
        <t>실측(계정 매핑 없음 — 모델값 직접) — fin.shares.common_outstanding</t>
      </text>
    </comment>
    <comment ref="Y31" authorId="0" shapeId="0">
      <text>
        <t>실측(계정 매핑 없음 — 모델값 직접) — fin.shares.common_outstanding</t>
      </text>
    </comment>
    <comment ref="AA31" authorId="0" shapeId="0">
      <text>
        <t>실측(계정 매핑 없음 — 모델값 직접) — fin.shares.common_outstanding</t>
      </text>
    </comment>
    <comment ref="AB31" authorId="0" shapeId="0">
      <text>
        <t>실측(계정 매핑 없음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 — 모델값 직접) — fin.dividend.dps_common(연간, Q4 에 표기)</t>
      </text>
    </comment>
    <comment ref="O34" authorId="0" shapeId="0">
      <text>
        <t>실측(계정 매핑 없음 — 모델값 직접) — fin.dividend.dps_common(연간, Q4 에 표기)</t>
      </text>
    </comment>
    <comment ref="T34" authorId="0" shapeId="0">
      <text>
        <t>실측(계정 매핑 없음 — 모델값 직접) — fin.dividend.dps_common(연간, Q4 에 표기)</t>
      </text>
    </comment>
    <comment ref="Y34" authorId="0" shapeId="0">
      <text>
        <t>실측(계정 매핑 없음 — 모델값 직접) — fin.dividend.dps_common(연간, Q4 에 표기)</t>
      </text>
    </comment>
    <comment ref="AD34" authorId="0" shapeId="0">
      <text>
        <t>추정: 직전 결산 DPS 750원 유지
[yoy]</t>
      </text>
    </comment>
    <comment ref="AI34" authorId="0" shapeId="0">
      <text>
        <t>추정: 직전 결산 DPS 750원 유지
[yoy]</t>
      </text>
    </comment>
    <comment ref="AN34" authorId="0" shapeId="0">
      <text>
        <t>추정: 직전 결산 DPS 750원 유지
[yoy]</t>
      </text>
    </comment>
    <comment ref="O35" authorId="0" shapeId="0">
      <text>
        <t>실측(계정 매핑 없음 — 모델값 직접) — 토스 일봉 분기 평균 ÷ TTM EPS</t>
      </text>
    </comment>
    <comment ref="Q35" authorId="0" shapeId="0">
      <text>
        <t>실측(계정 매핑 없음 — 모델값 직접) — 토스 일봉 분기 평균 ÷ TTM EPS</t>
      </text>
    </comment>
    <comment ref="R35" authorId="0" shapeId="0">
      <text>
        <t>실측(계정 매핑 없음 — 모델값 직접) — 토스 일봉 분기 평균 ÷ TTM EPS</t>
      </text>
    </comment>
    <comment ref="S35" authorId="0" shapeId="0">
      <text>
        <t>실측(계정 매핑 없음 — 모델값 직접) — 토스 일봉 분기 평균 ÷ TTM EPS</t>
      </text>
    </comment>
    <comment ref="T35" authorId="0" shapeId="0">
      <text>
        <t>실측(계정 매핑 없음 — 모델값 직접) — 토스 일봉 분기 평균 ÷ TTM EPS</t>
      </text>
    </comment>
    <comment ref="W35" authorId="0" shapeId="0">
      <text>
        <t>실측(계정 매핑 없음 — 모델값 직접) — 토스 일봉 분기 평균 ÷ TTM EPS</t>
      </text>
    </comment>
    <comment ref="X35" authorId="0" shapeId="0">
      <text>
        <t>실측(계정 매핑 없음 — 모델값 직접) — 토스 일봉 분기 평균 ÷ TTM EPS</t>
      </text>
    </comment>
    <comment ref="Y35" authorId="0" shapeId="0">
      <text>
        <t>실측(계정 매핑 없음 — 모델값 직접) — 토스 일봉 분기 평균 ÷ TTM EPS</t>
      </text>
    </comment>
    <comment ref="AA35" authorId="0" shapeId="0">
      <text>
        <t>실측(계정 매핑 없음 — 모델값 직접) — 토스 일봉 분기 평균 ÷ TTM EPS</t>
      </text>
    </comment>
    <comment ref="AB35" authorId="0" shapeId="0">
      <text>
        <t>실측(계정 매핑 없음 — 모델값 직접) — 토스 일봉 분기 평균 ÷ TTM EPS</t>
      </text>
    </comment>
    <comment ref="AC35" authorId="0" shapeId="0">
      <text>
        <t>추정: 현재 종가 ÷ TTM EPS(추정 포함)
[yoy]</t>
      </text>
    </comment>
    <comment ref="AD35" authorId="0" shapeId="0">
      <text>
        <t>추정: 현재 종가 ÷ TTM EPS(추정 포함)
[yoy]</t>
      </text>
    </comment>
    <comment ref="AF35" authorId="0" shapeId="0">
      <text>
        <t>추정: 현재 종가 ÷ TTM EPS(추정 포함)
[yoy]</t>
      </text>
    </comment>
    <comment ref="AG35" authorId="0" shapeId="0">
      <text>
        <t>추정: 현재 종가 ÷ TTM EPS(추정 포함)
[yoy]</t>
      </text>
    </comment>
    <comment ref="AH35" authorId="0" shapeId="0">
      <text>
        <t>추정: 현재 종가 ÷ TTM EPS(추정 포함)
[yoy]</t>
      </text>
    </comment>
    <comment ref="AI35" authorId="0" shapeId="0">
      <text>
        <t>추정: 현재 종가 ÷ TTM EPS(추정 포함)
[yoy]</t>
      </text>
    </comment>
    <comment ref="AK35" authorId="0" shapeId="0">
      <text>
        <t>추정: 현재 종가 ÷ TTM EPS(추정 포함)
[yoy]</t>
      </text>
    </comment>
    <comment ref="AL35" authorId="0" shapeId="0">
      <text>
        <t>추정: 현재 종가 ÷ TTM EPS(추정 포함)
[yoy]</t>
      </text>
    </comment>
    <comment ref="AM35" authorId="0" shapeId="0">
      <text>
        <t>추정: 현재 종가 ÷ TTM EPS(추정 포함)
[yoy]</t>
      </text>
    </comment>
    <comment ref="AN35" authorId="0" shapeId="0">
      <text>
        <t>추정: 현재 종가 ÷ TTM EPS(추정 포함)
[yoy]</t>
      </text>
    </comment>
    <comment ref="E36" authorId="0" shapeId="0">
      <text>
        <t>실측(계정 매핑 없음 — 모델값 직접) — 토스 일봉 분기 평균 ÷ BPS</t>
      </text>
    </comment>
    <comment ref="F36" authorId="0" shapeId="0">
      <text>
        <t>연간(actual) — 분기 미완 연도, 모델 a 값 직접</t>
      </text>
    </comment>
    <comment ref="G36" authorId="0" shapeId="0">
      <text>
        <t>실측(계정 매핑 없음 — 모델값 직접) — 토스 일봉 분기 평균 ÷ BPS</t>
      </text>
    </comment>
    <comment ref="H36" authorId="0" shapeId="0">
      <text>
        <t>실측(계정 매핑 없음 — 모델값 직접) — 토스 일봉 분기 평균 ÷ BPS</t>
      </text>
    </comment>
    <comment ref="I36" authorId="0" shapeId="0">
      <text>
        <t>실측(계정 매핑 없음 — 모델값 직접) — 토스 일봉 분기 평균 ÷ BPS</t>
      </text>
    </comment>
    <comment ref="J36" authorId="0" shapeId="0">
      <text>
        <t>실측(계정 매핑 없음 — 모델값 직접) — 토스 일봉 분기 평균 ÷ BPS</t>
      </text>
    </comment>
    <comment ref="L36" authorId="0" shapeId="0">
      <text>
        <t>실측(계정 매핑 없음 — 모델값 직접) — 토스 일봉 분기 평균 ÷ BPS</t>
      </text>
    </comment>
    <comment ref="M36" authorId="0" shapeId="0">
      <text>
        <t>실측(계정 매핑 없음 — 모델값 직접) — 토스 일봉 분기 평균 ÷ BPS</t>
      </text>
    </comment>
    <comment ref="N36" authorId="0" shapeId="0">
      <text>
        <t>실측(계정 매핑 없음 — 모델값 직접) — 토스 일봉 분기 평균 ÷ BPS</t>
      </text>
    </comment>
    <comment ref="O36" authorId="0" shapeId="0">
      <text>
        <t>실측(계정 매핑 없음 — 모델값 직접) — 토스 일봉 분기 평균 ÷ BPS</t>
      </text>
    </comment>
    <comment ref="Q36" authorId="0" shapeId="0">
      <text>
        <t>실측(계정 매핑 없음 — 모델값 직접) — 토스 일봉 분기 평균 ÷ BPS</t>
      </text>
    </comment>
    <comment ref="R36" authorId="0" shapeId="0">
      <text>
        <t>실측(계정 매핑 없음 — 모델값 직접) — 토스 일봉 분기 평균 ÷ BPS</t>
      </text>
    </comment>
    <comment ref="S36" authorId="0" shapeId="0">
      <text>
        <t>실측(계정 매핑 없음 — 모델값 직접) — 토스 일봉 분기 평균 ÷ BPS</t>
      </text>
    </comment>
    <comment ref="T36" authorId="0" shapeId="0">
      <text>
        <t>실측(계정 매핑 없음 — 모델값 직접) — 토스 일봉 분기 평균 ÷ BPS</t>
      </text>
    </comment>
    <comment ref="V36" authorId="0" shapeId="0">
      <text>
        <t>실측(계정 매핑 없음 — 모델값 직접) — 토스 일봉 분기 평균 ÷ BPS</t>
      </text>
    </comment>
    <comment ref="W36" authorId="0" shapeId="0">
      <text>
        <t>실측(계정 매핑 없음 — 모델값 직접) — 토스 일봉 분기 평균 ÷ BPS</t>
      </text>
    </comment>
    <comment ref="X36" authorId="0" shapeId="0">
      <text>
        <t>실측(계정 매핑 없음 — 모델값 직접) — 토스 일봉 분기 평균 ÷ BPS</t>
      </text>
    </comment>
    <comment ref="Y36" authorId="0" shapeId="0">
      <text>
        <t>실측(계정 매핑 없음 — 모델값 직접) — 토스 일봉 분기 평균 ÷ BPS</t>
      </text>
    </comment>
    <comment ref="AA36" authorId="0" shapeId="0">
      <text>
        <t>실측(계정 매핑 없음 — 모델값 직접) — 토스 일봉 분기 평균 ÷ BPS</t>
      </text>
    </comment>
    <comment ref="AB36" authorId="0" shapeId="0">
      <text>
        <t>실측(계정 매핑 없음 — 모델값 직접) — 토스 일봉 분기 평균 ÷ BPS</t>
      </text>
    </comment>
    <comment ref="AC36" authorId="0" shapeId="0">
      <text>
        <t>추정: 현재 종가 ÷ BPS(추정 포함)
[yoy]</t>
      </text>
    </comment>
    <comment ref="AD36" authorId="0" shapeId="0">
      <text>
        <t>추정: 현재 종가 ÷ BPS(추정 포함)
[yoy]</t>
      </text>
    </comment>
    <comment ref="AF36" authorId="0" shapeId="0">
      <text>
        <t>추정: 현재 종가 ÷ BPS(추정 포함)
[yoy]</t>
      </text>
    </comment>
    <comment ref="AG36" authorId="0" shapeId="0">
      <text>
        <t>추정: 현재 종가 ÷ BPS(추정 포함)
[yoy]</t>
      </text>
    </comment>
    <comment ref="AH36" authorId="0" shapeId="0">
      <text>
        <t>추정: 현재 종가 ÷ BPS(추정 포함)
[yoy]</t>
      </text>
    </comment>
    <comment ref="AI36" authorId="0" shapeId="0">
      <text>
        <t>추정: 현재 종가 ÷ BPS(추정 포함)
[yoy]</t>
      </text>
    </comment>
    <comment ref="AK36" authorId="0" shapeId="0">
      <text>
        <t>추정: 현재 종가 ÷ BPS(추정 포함)
[yoy]</t>
      </text>
    </comment>
    <comment ref="AL36" authorId="0" shapeId="0">
      <text>
        <t>추정: 현재 종가 ÷ BPS(추정 포함)
[yoy]</t>
      </text>
    </comment>
    <comment ref="AM36" authorId="0" shapeId="0">
      <text>
        <t>추정: 현재 종가 ÷ BPS(추정 포함)
[yoy]</t>
      </text>
    </comment>
    <comment ref="AN36" authorId="0" shapeId="0">
      <text>
        <t>추정: 현재 종가 ÷ BPS(추정 포함)
[yoy]</t>
      </text>
    </comment>
    <comment ref="E37" authorId="0" shapeId="0">
      <text>
        <t>실측(계정 매핑 없음 — 모델값 직접) — = 매출액(부문 미분리)</t>
      </text>
    </comment>
    <comment ref="G37" authorId="0" shapeId="0">
      <text>
        <t>실측(계정 매핑 없음 — 모델값 직접) — = 매출액(부문 미분리)</t>
      </text>
    </comment>
    <comment ref="H37" authorId="0" shapeId="0">
      <text>
        <t>실측(계정 매핑 없음 — 모델값 직접) — = 매출액(부문 미분리)</t>
      </text>
    </comment>
    <comment ref="I37" authorId="0" shapeId="0">
      <text>
        <t>실측(계정 매핑 없음 — 모델값 직접) — = 매출액(부문 미분리)</t>
      </text>
    </comment>
    <comment ref="J37" authorId="0" shapeId="0">
      <text>
        <t>실측(계정 매핑 없음 — 모델값 직접) — = 매출액(부문 미분리)</t>
      </text>
    </comment>
    <comment ref="L37" authorId="0" shapeId="0">
      <text>
        <t>실측(계정 매핑 없음 — 모델값 직접) — = 매출액(부문 미분리)</t>
      </text>
    </comment>
    <comment ref="M37" authorId="0" shapeId="0">
      <text>
        <t>실측(계정 매핑 없음 — 모델값 직접) — = 매출액(부문 미분리)</t>
      </text>
    </comment>
    <comment ref="N37" authorId="0" shapeId="0">
      <text>
        <t>실측(계정 매핑 없음 — 모델값 직접) — = 매출액(부문 미분리)</t>
      </text>
    </comment>
    <comment ref="O37" authorId="0" shapeId="0">
      <text>
        <t>실측(계정 매핑 없음 — 모델값 직접) — = 매출액(부문 미분리)</t>
      </text>
    </comment>
    <comment ref="Q37" authorId="0" shapeId="0">
      <text>
        <t>실측(계정 매핑 없음 — 모델값 직접) — = 매출액(부문 미분리)</t>
      </text>
    </comment>
    <comment ref="R37" authorId="0" shapeId="0">
      <text>
        <t>실측(계정 매핑 없음 — 모델값 직접) — = 매출액(부문 미분리)</t>
      </text>
    </comment>
    <comment ref="S37" authorId="0" shapeId="0">
      <text>
        <t>실측(계정 매핑 없음 — 모델값 직접) — = 매출액(부문 미분리)</t>
      </text>
    </comment>
    <comment ref="T37" authorId="0" shapeId="0">
      <text>
        <t>실측(계정 매핑 없음 — 모델값 직접) — = 매출액(부문 미분리)</t>
      </text>
    </comment>
    <comment ref="V37" authorId="0" shapeId="0">
      <text>
        <t>실측(계정 매핑 없음 — 모델값 직접) — = 매출액(부문 미분리)</t>
      </text>
    </comment>
    <comment ref="W37" authorId="0" shapeId="0">
      <text>
        <t>실측(계정 매핑 없음 — 모델값 직접) — = 매출액(부문 미분리)</t>
      </text>
    </comment>
    <comment ref="X37" authorId="0" shapeId="0">
      <text>
        <t>실측(계정 매핑 없음 — 모델값 직접) — = 매출액(부문 미분리)</t>
      </text>
    </comment>
    <comment ref="Y37" authorId="0" shapeId="0">
      <text>
        <t>실측(계정 매핑 없음 — 모델값 직접) — = 매출액(부문 미분리)</t>
      </text>
    </comment>
    <comment ref="AA37" authorId="0" shapeId="0">
      <text>
        <t>실측(계정 매핑 없음 — 모델값 직접) — = 매출액(부문 미분리)</t>
      </text>
    </comment>
    <comment ref="AB37" authorId="0" shapeId="0">
      <text>
        <t>실측(계정 매핑 없음 — 모델값 직접) — = 매출액(부문 미분리)</t>
      </text>
    </comment>
    <comment ref="AC37" authorId="0" shapeId="0">
      <text>
        <t>추정: = 매출액 추정(부문 미분리)
[ratio]</t>
      </text>
    </comment>
    <comment ref="AD37" authorId="0" shapeId="0">
      <text>
        <t>추정: = 매출액 추정(부문 미분리)
[ratio]</t>
      </text>
    </comment>
    <comment ref="AF37" authorId="0" shapeId="0">
      <text>
        <t>추정: = 매출액 추정(부문 미분리)
[ratio]</t>
      </text>
    </comment>
    <comment ref="AG37" authorId="0" shapeId="0">
      <text>
        <t>추정: = 매출액 추정(부문 미분리)
[ratio]</t>
      </text>
    </comment>
    <comment ref="AH37" authorId="0" shapeId="0">
      <text>
        <t>추정: = 매출액 추정(부문 미분리)
[ratio]</t>
      </text>
    </comment>
    <comment ref="AI37" authorId="0" shapeId="0">
      <text>
        <t>추정: = 매출액 추정(부문 미분리)
[ratio]</t>
      </text>
    </comment>
    <comment ref="AK37" authorId="0" shapeId="0">
      <text>
        <t>추정: = 매출액 추정(부문 미분리)
[ratio]</t>
      </text>
    </comment>
    <comment ref="AL37" authorId="0" shapeId="0">
      <text>
        <t>추정: = 매출액 추정(부문 미분리)
[ratio]</t>
      </text>
    </comment>
    <comment ref="AM37" authorId="0" shapeId="0">
      <text>
        <t>추정: = 매출액 추정(부문 미분리)
[ratio]</t>
      </text>
    </comment>
    <comment ref="AN37" authorId="0" shapeId="0">
      <text>
        <t>추정: = 매출액 추정(부문 미분리)
[ratio]</t>
      </text>
    </comment>
    <comment ref="E38" authorId="0" shapeId="0">
      <text>
        <t>실측(계정 매핑 없음 — 모델값 직접) — = 영업이익(부문 미분리)</t>
      </text>
    </comment>
    <comment ref="G38" authorId="0" shapeId="0">
      <text>
        <t>실측(계정 매핑 없음 — 모델값 직접) — = 영업이익(부문 미분리)</t>
      </text>
    </comment>
    <comment ref="H38" authorId="0" shapeId="0">
      <text>
        <t>실측(계정 매핑 없음 — 모델값 직접) — = 영업이익(부문 미분리)</t>
      </text>
    </comment>
    <comment ref="I38" authorId="0" shapeId="0">
      <text>
        <t>실측(계정 매핑 없음 — 모델값 직접) — = 영업이익(부문 미분리)</t>
      </text>
    </comment>
    <comment ref="J38" authorId="0" shapeId="0">
      <text>
        <t>실측(계정 매핑 없음 — 모델값 직접) — = 영업이익(부문 미분리)</t>
      </text>
    </comment>
    <comment ref="L38" authorId="0" shapeId="0">
      <text>
        <t>실측(계정 매핑 없음 — 모델값 직접) — = 영업이익(부문 미분리)</t>
      </text>
    </comment>
    <comment ref="M38" authorId="0" shapeId="0">
      <text>
        <t>실측(계정 매핑 없음 — 모델값 직접) — = 영업이익(부문 미분리)</t>
      </text>
    </comment>
    <comment ref="N38" authorId="0" shapeId="0">
      <text>
        <t>실측(계정 매핑 없음 — 모델값 직접) — = 영업이익(부문 미분리)</t>
      </text>
    </comment>
    <comment ref="O38" authorId="0" shapeId="0">
      <text>
        <t>실측(계정 매핑 없음 — 모델값 직접) — = 영업이익(부문 미분리)</t>
      </text>
    </comment>
    <comment ref="Q38" authorId="0" shapeId="0">
      <text>
        <t>실측(계정 매핑 없음 — 모델값 직접) — = 영업이익(부문 미분리)</t>
      </text>
    </comment>
    <comment ref="R38" authorId="0" shapeId="0">
      <text>
        <t>실측(계정 매핑 없음 — 모델값 직접) — = 영업이익(부문 미분리)</t>
      </text>
    </comment>
    <comment ref="S38" authorId="0" shapeId="0">
      <text>
        <t>실측(계정 매핑 없음 — 모델값 직접) — = 영업이익(부문 미분리)</t>
      </text>
    </comment>
    <comment ref="T38" authorId="0" shapeId="0">
      <text>
        <t>실측(계정 매핑 없음 — 모델값 직접) — = 영업이익(부문 미분리)</t>
      </text>
    </comment>
    <comment ref="V38" authorId="0" shapeId="0">
      <text>
        <t>실측(계정 매핑 없음 — 모델값 직접) — = 영업이익(부문 미분리)</t>
      </text>
    </comment>
    <comment ref="W38" authorId="0" shapeId="0">
      <text>
        <t>실측(계정 매핑 없음 — 모델값 직접) — = 영업이익(부문 미분리)</t>
      </text>
    </comment>
    <comment ref="X38" authorId="0" shapeId="0">
      <text>
        <t>실측(계정 매핑 없음 — 모델값 직접) — = 영업이익(부문 미분리)</t>
      </text>
    </comment>
    <comment ref="Y38" authorId="0" shapeId="0">
      <text>
        <t>실측(계정 매핑 없음 — 모델값 직접) — = 영업이익(부문 미분리)</t>
      </text>
    </comment>
    <comment ref="AA38" authorId="0" shapeId="0">
      <text>
        <t>실측(계정 매핑 없음 — 모델값 직접) — = 영업이익(부문 미분리)</t>
      </text>
    </comment>
    <comment ref="AB38" authorId="0" shapeId="0">
      <text>
        <t>실측(계정 매핑 없음 — 모델값 직접) — = 영업이익(부문 미분리)</t>
      </text>
    </comment>
    <comment ref="AC38" authorId="0" shapeId="0">
      <text>
        <t>추정: = 매출액 × OPM(부문 미분리)
[ratio]</t>
      </text>
    </comment>
    <comment ref="AD38" authorId="0" shapeId="0">
      <text>
        <t>추정: = 매출액 × OPM(부문 미분리)
[ratio]</t>
      </text>
    </comment>
    <comment ref="AF38" authorId="0" shapeId="0">
      <text>
        <t>추정: = 매출액 × OPM(부문 미분리)
[ratio]</t>
      </text>
    </comment>
    <comment ref="AG38" authorId="0" shapeId="0">
      <text>
        <t>추정: = 매출액 × OPM(부문 미분리)
[ratio]</t>
      </text>
    </comment>
    <comment ref="AH38" authorId="0" shapeId="0">
      <text>
        <t>추정: = 매출액 × OPM(부문 미분리)
[ratio]</t>
      </text>
    </comment>
    <comment ref="AI38" authorId="0" shapeId="0">
      <text>
        <t>추정: = 매출액 × OPM(부문 미분리)
[ratio]</t>
      </text>
    </comment>
    <comment ref="AK38" authorId="0" shapeId="0">
      <text>
        <t>추정: = 매출액 × OPM(부문 미분리)
[ratio]</t>
      </text>
    </comment>
    <comment ref="AL38" authorId="0" shapeId="0">
      <text>
        <t>추정: = 매출액 × OPM(부문 미분리)
[ratio]</t>
      </text>
    </comment>
    <comment ref="AM38" authorId="0" shapeId="0">
      <text>
        <t>추정: = 매출액 × OPM(부문 미분리)
[ratio]</t>
      </text>
    </comment>
    <comment ref="AN38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인화정공(101930)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assets/models/101930.json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(없음)</t>
        </is>
      </c>
    </row>
    <row r="22">
      <c r="A22" t="inlineStr">
        <is>
          <t>백테스트: {"freeze": "2025Q2", "horizon": 4, "revenue_wape_pct": 16.1, "op_wape_pct": 51.5,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236.66, "rev_act": 287.95, "op_pred": 17.87, "op_act": 48.65}, {"q": "2025Q4", "rev_pred": 287.06, "rev_act": 254.8, "op_pred": 21.68, "op_act": 36.01}, {"q": "2026Q1", "rev_pred": 328.16, "rev_act": 259.87, "op_pred": 24.78, "op_act": 41.62}, {"q": "2026Q2", "rev_pred": 289.52, "rev_act": 318.3, "op_pred": 21.87, "op_act": 51.34}]}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2760</v>
      </c>
      <c r="F15" s="9" t="n"/>
      <c r="G15" s="18" t="n">
        <v>3190</v>
      </c>
      <c r="H15" s="18" t="n">
        <v>3010</v>
      </c>
      <c r="I15" s="18" t="n">
        <v>2660</v>
      </c>
      <c r="J15" s="18" t="n">
        <v>2520</v>
      </c>
      <c r="K15" s="9" t="n"/>
      <c r="L15" s="18" t="n">
        <v>1996</v>
      </c>
      <c r="M15" s="18" t="n">
        <v>2328</v>
      </c>
      <c r="N15" s="18" t="n">
        <v>2140</v>
      </c>
      <c r="O15" s="18" t="n">
        <v>2328</v>
      </c>
      <c r="P15" s="9" t="n"/>
      <c r="Q15" s="18" t="n">
        <v>2444</v>
      </c>
      <c r="R15" s="18" t="n">
        <v>4660</v>
      </c>
      <c r="S15" s="18" t="n">
        <v>4130</v>
      </c>
      <c r="T15" s="18" t="n">
        <v>6010</v>
      </c>
      <c r="U15" s="9" t="n"/>
      <c r="V15" s="18" t="n">
        <v>6450</v>
      </c>
      <c r="W15" s="18" t="n">
        <v>7230</v>
      </c>
      <c r="X15" s="18" t="n">
        <v>11060</v>
      </c>
      <c r="Y15" s="18" t="n">
        <v>9240</v>
      </c>
      <c r="Z15" s="9" t="n"/>
      <c r="AA15" s="18" t="n">
        <v>9280</v>
      </c>
      <c r="AB15" s="19" t="n">
        <v>7440</v>
      </c>
      <c r="AC15" s="20" t="n">
        <v>6210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2810</v>
      </c>
      <c r="F16" s="9" t="n"/>
      <c r="G16" s="18" t="n">
        <v>3590</v>
      </c>
      <c r="H16" s="18" t="n">
        <v>3490</v>
      </c>
      <c r="I16" s="18" t="n">
        <v>3410</v>
      </c>
      <c r="J16" s="18" t="n">
        <v>2800</v>
      </c>
      <c r="K16" s="9" t="n"/>
      <c r="L16" s="18" t="n">
        <v>3024</v>
      </c>
      <c r="M16" s="18" t="n">
        <v>2414</v>
      </c>
      <c r="N16" s="18" t="n">
        <v>2626</v>
      </c>
      <c r="O16" s="18" t="n">
        <v>2440</v>
      </c>
      <c r="P16" s="9" t="n"/>
      <c r="Q16" s="18" t="n">
        <v>2548</v>
      </c>
      <c r="R16" s="18" t="n">
        <v>5600</v>
      </c>
      <c r="S16" s="18" t="n">
        <v>4990</v>
      </c>
      <c r="T16" s="18" t="n">
        <v>6730</v>
      </c>
      <c r="U16" s="9" t="n"/>
      <c r="V16" s="18" t="n">
        <v>7780</v>
      </c>
      <c r="W16" s="18" t="n">
        <v>8700</v>
      </c>
      <c r="X16" s="18" t="n">
        <v>12360</v>
      </c>
      <c r="Y16" s="18" t="n">
        <v>12900</v>
      </c>
      <c r="Z16" s="9" t="n"/>
      <c r="AA16" s="18" t="n">
        <v>10980</v>
      </c>
      <c r="AB16" s="19" t="n">
        <v>19600</v>
      </c>
      <c r="AC16" s="20" t="n">
        <v>10100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2000</v>
      </c>
      <c r="F17" s="9" t="n"/>
      <c r="G17" s="18" t="n">
        <v>2370</v>
      </c>
      <c r="H17" s="18" t="n">
        <v>2730</v>
      </c>
      <c r="I17" s="18" t="n">
        <v>2470</v>
      </c>
      <c r="J17" s="18" t="n">
        <v>2400</v>
      </c>
      <c r="K17" s="9" t="n"/>
      <c r="L17" s="18" t="n">
        <v>1846</v>
      </c>
      <c r="M17" s="18" t="n">
        <v>1918</v>
      </c>
      <c r="N17" s="18" t="n">
        <v>1520</v>
      </c>
      <c r="O17" s="18" t="n">
        <v>1956</v>
      </c>
      <c r="P17" s="9" t="n"/>
      <c r="Q17" s="18" t="n">
        <v>2060</v>
      </c>
      <c r="R17" s="18" t="n">
        <v>2346</v>
      </c>
      <c r="S17" s="18" t="n">
        <v>3616</v>
      </c>
      <c r="T17" s="18" t="n">
        <v>4120</v>
      </c>
      <c r="U17" s="9" t="n"/>
      <c r="V17" s="18" t="n">
        <v>5740</v>
      </c>
      <c r="W17" s="18" t="n">
        <v>6320</v>
      </c>
      <c r="X17" s="18" t="n">
        <v>6190</v>
      </c>
      <c r="Y17" s="18" t="n">
        <v>8680</v>
      </c>
      <c r="Z17" s="9" t="n"/>
      <c r="AA17" s="18" t="n">
        <v>7020</v>
      </c>
      <c r="AB17" s="19" t="n">
        <v>6590</v>
      </c>
      <c r="AC17" s="20" t="n">
        <v>5480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2359.8</v>
      </c>
      <c r="F18" s="9" t="n"/>
      <c r="G18" s="18" t="n">
        <v>2870.3</v>
      </c>
      <c r="H18" s="18" t="n">
        <v>3096.9</v>
      </c>
      <c r="I18" s="18" t="n">
        <v>2927.9</v>
      </c>
      <c r="J18" s="18" t="n">
        <v>2574.5</v>
      </c>
      <c r="K18" s="9" t="n"/>
      <c r="L18" s="18" t="n">
        <v>2361.4</v>
      </c>
      <c r="M18" s="18" t="n">
        <v>2156.4</v>
      </c>
      <c r="N18" s="18" t="n">
        <v>2291.6</v>
      </c>
      <c r="O18" s="18" t="n">
        <v>2158.7</v>
      </c>
      <c r="P18" s="9" t="n"/>
      <c r="Q18" s="18" t="n">
        <v>2261.4</v>
      </c>
      <c r="R18" s="18" t="n">
        <v>2852.3</v>
      </c>
      <c r="S18" s="18" t="n">
        <v>4252.5</v>
      </c>
      <c r="T18" s="18" t="n">
        <v>5182.8</v>
      </c>
      <c r="U18" s="9" t="n"/>
      <c r="V18" s="18" t="n">
        <v>6779</v>
      </c>
      <c r="W18" s="18" t="n">
        <v>7703.5</v>
      </c>
      <c r="X18" s="18" t="n">
        <v>8976.200000000001</v>
      </c>
      <c r="Y18" s="18" t="n">
        <v>10363.2</v>
      </c>
      <c r="Z18" s="9" t="n"/>
      <c r="AA18" s="18" t="n">
        <v>9213.200000000001</v>
      </c>
      <c r="AB18" s="19" t="n">
        <v>10361.1</v>
      </c>
      <c r="AC18" s="20" t="n">
        <v>6785.6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0.238762</v>
      </c>
      <c r="AD21" s="24" t="n">
        <v>0.065639</v>
      </c>
      <c r="AE21" s="25" t="n"/>
      <c r="AF21" s="24" t="n">
        <v>0.680141</v>
      </c>
      <c r="AG21" s="24" t="n">
        <v>0.462242</v>
      </c>
      <c r="AH21" s="24" t="n">
        <v>0.326745</v>
      </c>
      <c r="AI21" s="24" t="n">
        <v>0.200199</v>
      </c>
      <c r="AJ21" s="25" t="n"/>
      <c r="AK21" s="24" t="n">
        <v>0.086118</v>
      </c>
      <c r="AL21" s="24" t="n">
        <v>0.016995</v>
      </c>
      <c r="AM21" s="24" t="n">
        <v>-0.018299</v>
      </c>
      <c r="AN21" s="24" t="n">
        <v>-0.032005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0.085842</v>
      </c>
      <c r="AD22" s="24" t="n">
        <v>0.08584700000000001</v>
      </c>
      <c r="AE22" s="25">
        <f>IFERROR(subQ!AE8/subQ!AE5,"")</f>
        <v/>
      </c>
      <c r="AF22" s="24" t="n">
        <v>0.085843</v>
      </c>
      <c r="AG22" s="24" t="n">
        <v>0.08583499999999999</v>
      </c>
      <c r="AH22" s="24" t="n">
        <v>0.08583200000000001</v>
      </c>
      <c r="AI22" s="24" t="n">
        <v>0.085827</v>
      </c>
      <c r="AJ22" s="25">
        <f>IFERROR(subQ!AJ8/subQ!AJ5,"")</f>
        <v/>
      </c>
      <c r="AK22" s="24" t="n">
        <v>0.085827</v>
      </c>
      <c r="AL22" s="24" t="n">
        <v>0.085837</v>
      </c>
      <c r="AM22" s="24" t="n">
        <v>0.085839</v>
      </c>
      <c r="AN22" s="24" t="n">
        <v>0.085843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0.150743</v>
      </c>
      <c r="AD23" s="24" t="n">
        <v>0.150738</v>
      </c>
      <c r="AE23" s="25">
        <f>IFERROR(subQ!AE9/subQ!AE5,"")</f>
        <v/>
      </c>
      <c r="AF23" s="24" t="n">
        <v>0.150752</v>
      </c>
      <c r="AG23" s="24" t="n">
        <v>0.150742</v>
      </c>
      <c r="AH23" s="24" t="n">
        <v>0.150745</v>
      </c>
      <c r="AI23" s="24" t="n">
        <v>0.150756</v>
      </c>
      <c r="AJ23" s="25">
        <f>IFERROR(subQ!AJ9/subQ!AJ5,"")</f>
        <v/>
      </c>
      <c r="AK23" s="24" t="n">
        <v>0.150756</v>
      </c>
      <c r="AL23" s="24" t="n">
        <v>0.150737</v>
      </c>
      <c r="AM23" s="24" t="n">
        <v>0.150735</v>
      </c>
      <c r="AN23" s="24" t="n">
        <v>0.150732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IFERROR(subQ!J40/subQ!E40-1,"")</f>
        <v/>
      </c>
      <c r="K24" s="22" t="n"/>
      <c r="L24" s="21">
        <f>IFERROR(subQ!L40/subQ!G40-1,"")</f>
        <v/>
      </c>
      <c r="M24" s="21">
        <f>IFERROR(subQ!M40/subQ!H40-1,"")</f>
        <v/>
      </c>
      <c r="N24" s="21">
        <f>IFERROR(subQ!N40/subQ!I40-1,"")</f>
        <v/>
      </c>
      <c r="O24" s="21">
        <f>IFERROR(subQ!O40/subQ!J40-1,"")</f>
        <v/>
      </c>
      <c r="P24" s="22" t="n"/>
      <c r="Q24" s="21">
        <f>IFERROR(subQ!Q40/subQ!L40-1,"")</f>
        <v/>
      </c>
      <c r="R24" s="21">
        <f>IFERROR(subQ!R40/subQ!M40-1,"")</f>
        <v/>
      </c>
      <c r="S24" s="21">
        <f>IFERROR(subQ!S40/subQ!N40-1,"")</f>
        <v/>
      </c>
      <c r="T24" s="21">
        <f>IFERROR(subQ!T40/subQ!O40-1,"")</f>
        <v/>
      </c>
      <c r="U24" s="22" t="n"/>
      <c r="V24" s="21">
        <f>IFERROR(subQ!V40/subQ!Q40-1,"")</f>
        <v/>
      </c>
      <c r="W24" s="21">
        <f>IFERROR(subQ!W40/subQ!R40-1,"")</f>
        <v/>
      </c>
      <c r="X24" s="21">
        <f>IFERROR(subQ!X40/subQ!S40-1,"")</f>
        <v/>
      </c>
      <c r="Y24" s="21">
        <f>IFERROR(subQ!Y40/subQ!T40-1,"")</f>
        <v/>
      </c>
      <c r="Z24" s="22" t="n"/>
      <c r="AA24" s="21">
        <f>IFERROR(subQ!AA40/subQ!V40-1,"")</f>
        <v/>
      </c>
      <c r="AB24" s="23">
        <f>IFERROR(subQ!AB40/subQ!W40-1,"")</f>
        <v/>
      </c>
      <c r="AC24" s="24" t="n">
        <v>-0.108284</v>
      </c>
      <c r="AD24" s="24" t="n">
        <v>0.066525</v>
      </c>
      <c r="AE24" s="25" t="n"/>
      <c r="AF24" s="24" t="n">
        <v>-0.059301</v>
      </c>
      <c r="AG24" s="24" t="n">
        <v>-0.065716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2.87</v>
      </c>
      <c r="AD25" s="29" t="n">
        <v>4.05</v>
      </c>
      <c r="AE25" s="30">
        <f>subQ!AE11</f>
        <v/>
      </c>
      <c r="AF25" s="29" t="n">
        <v>5.09</v>
      </c>
      <c r="AG25" s="29" t="n">
        <v>6.46</v>
      </c>
      <c r="AH25" s="29" t="n">
        <v>2.32</v>
      </c>
      <c r="AI25" s="29" t="n">
        <v>3.72</v>
      </c>
      <c r="AJ25" s="30">
        <f>subQ!AJ11</f>
        <v/>
      </c>
      <c r="AK25" s="29" t="n">
        <v>4.86</v>
      </c>
      <c r="AL25" s="29" t="n">
        <v>6.29</v>
      </c>
      <c r="AM25" s="29" t="n">
        <v>2.17</v>
      </c>
      <c r="AN25" s="29" t="n">
        <v>3.55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36.67</v>
      </c>
      <c r="AD27" s="29" t="n">
        <v>36.67</v>
      </c>
      <c r="AE27" s="30">
        <f>subQ!AE13</f>
        <v/>
      </c>
      <c r="AF27" s="29" t="n">
        <v>36.67</v>
      </c>
      <c r="AG27" s="29" t="n">
        <v>36.67</v>
      </c>
      <c r="AH27" s="29" t="n">
        <v>36.67</v>
      </c>
      <c r="AI27" s="29" t="n">
        <v>36.67</v>
      </c>
      <c r="AJ27" s="30">
        <f>subQ!AJ13</f>
        <v/>
      </c>
      <c r="AK27" s="29" t="n">
        <v>36.67</v>
      </c>
      <c r="AL27" s="29" t="n">
        <v>36.67</v>
      </c>
      <c r="AM27" s="29" t="n">
        <v>36.67</v>
      </c>
      <c r="AN27" s="29" t="n">
        <v>36.67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0.219483</v>
      </c>
      <c r="AD28" s="24" t="n">
        <v>0.219446</v>
      </c>
      <c r="AE28" s="25">
        <f>IFERROR(subQ!AE15/subQ!AE14,"")</f>
        <v/>
      </c>
      <c r="AF28" s="24" t="n">
        <v>0.219465</v>
      </c>
      <c r="AG28" s="24" t="n">
        <v>0.219437</v>
      </c>
      <c r="AH28" s="24" t="n">
        <v>0.219433</v>
      </c>
      <c r="AI28" s="24" t="n">
        <v>0.219392</v>
      </c>
      <c r="AJ28" s="25">
        <f>IFERROR(subQ!AJ15/subQ!AJ14,"")</f>
        <v/>
      </c>
      <c r="AK28" s="24" t="n">
        <v>0.21943</v>
      </c>
      <c r="AL28" s="24" t="n">
        <v>0.219472</v>
      </c>
      <c r="AM28" s="24" t="n">
        <v>0.219416</v>
      </c>
      <c r="AN28" s="24" t="n">
        <v>0.219412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drv:중단사업이익</t>
        </is>
      </c>
      <c r="B30" s="2" t="inlineStr">
        <is>
          <t>yoy</t>
        </is>
      </c>
      <c r="C30" t="inlineStr">
        <is>
          <t>중단사업이익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31" t="n"/>
      <c r="AI30" s="31" t="n"/>
      <c r="AJ30" s="25" t="n"/>
      <c r="AK30" s="31" t="n"/>
      <c r="AL30" s="31" t="n"/>
      <c r="AM30" s="31" t="n"/>
      <c r="AN30" s="31" t="n"/>
      <c r="AO30" s="25" t="n"/>
    </row>
    <row r="31">
      <c r="A31" s="12" t="inlineStr">
        <is>
          <t>drv:감가상각비</t>
        </is>
      </c>
      <c r="B31" s="2" t="inlineStr">
        <is>
          <t>yoy</t>
        </is>
      </c>
      <c r="C31" t="inlineStr">
        <is>
          <t>감가상각비 YoY</t>
        </is>
      </c>
      <c r="E31" s="21" t="n"/>
      <c r="F31" s="22" t="n"/>
      <c r="G31" s="21" t="n"/>
      <c r="H31" s="21" t="n"/>
      <c r="I31" s="21" t="n"/>
      <c r="J31" s="21">
        <f>IFERROR(subQ!J19/subQ!E19-1,"")</f>
        <v/>
      </c>
      <c r="K31" s="22" t="n"/>
      <c r="L31" s="21">
        <f>IFERROR(subQ!L19/subQ!G19-1,"")</f>
        <v/>
      </c>
      <c r="M31" s="21">
        <f>IFERROR(subQ!M19/subQ!H19-1,"")</f>
        <v/>
      </c>
      <c r="N31" s="21">
        <f>IFERROR(subQ!N19/subQ!I19-1,"")</f>
        <v/>
      </c>
      <c r="O31" s="21">
        <f>IFERROR(subQ!O19/subQ!J19-1,"")</f>
        <v/>
      </c>
      <c r="P31" s="22" t="n"/>
      <c r="Q31" s="21">
        <f>IFERROR(subQ!Q19/subQ!L19-1,"")</f>
        <v/>
      </c>
      <c r="R31" s="21">
        <f>IFERROR(subQ!R19/subQ!M19-1,"")</f>
        <v/>
      </c>
      <c r="S31" s="21">
        <f>IFERROR(subQ!S19/subQ!N19-1,"")</f>
        <v/>
      </c>
      <c r="T31" s="21">
        <f>IFERROR(subQ!T19/subQ!O19-1,"")</f>
        <v/>
      </c>
      <c r="U31" s="22" t="n"/>
      <c r="V31" s="21">
        <f>IFERROR(subQ!V19/subQ!Q19-1,"")</f>
        <v/>
      </c>
      <c r="W31" s="21">
        <f>IFERROR(subQ!W19/subQ!R19-1,"")</f>
        <v/>
      </c>
      <c r="X31" s="21">
        <f>IFERROR(subQ!X19/subQ!S19-1,"")</f>
        <v/>
      </c>
      <c r="Y31" s="21">
        <f>IFERROR(subQ!Y19/subQ!T19-1,"")</f>
        <v/>
      </c>
      <c r="Z31" s="22" t="n"/>
      <c r="AA31" s="21">
        <f>IFERROR(subQ!AA19/subQ!V19-1,"")</f>
        <v/>
      </c>
      <c r="AB31" s="23">
        <f>IFERROR(subQ!AB19/subQ!W19-1,"")</f>
        <v/>
      </c>
      <c r="AC31" s="31" t="n"/>
      <c r="AD31" s="31" t="n"/>
      <c r="AE31" s="25" t="n"/>
      <c r="AF31" s="31" t="n"/>
      <c r="AG31" s="31" t="n"/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drv:EBITDA</t>
        </is>
      </c>
      <c r="B32" s="2" t="inlineStr">
        <is>
          <t>yoy</t>
        </is>
      </c>
      <c r="C32" t="inlineStr">
        <is>
          <t>EBITDA YoY</t>
        </is>
      </c>
      <c r="E32" s="21" t="n"/>
      <c r="F32" s="22" t="n"/>
      <c r="G32" s="21" t="n"/>
      <c r="H32" s="21" t="n"/>
      <c r="I32" s="21" t="n"/>
      <c r="J32" s="21">
        <f>IFERROR(subQ!J20/subQ!E20-1,"")</f>
        <v/>
      </c>
      <c r="K32" s="22" t="n"/>
      <c r="L32" s="21">
        <f>IFERROR(subQ!L20/subQ!G20-1,"")</f>
        <v/>
      </c>
      <c r="M32" s="21">
        <f>IFERROR(subQ!M20/subQ!H20-1,"")</f>
        <v/>
      </c>
      <c r="N32" s="21">
        <f>IFERROR(subQ!N20/subQ!I20-1,"")</f>
        <v/>
      </c>
      <c r="O32" s="21">
        <f>IFERROR(subQ!O20/subQ!J20-1,"")</f>
        <v/>
      </c>
      <c r="P32" s="22" t="n"/>
      <c r="Q32" s="21">
        <f>IFERROR(subQ!Q20/subQ!L20-1,"")</f>
        <v/>
      </c>
      <c r="R32" s="21">
        <f>IFERROR(subQ!R20/subQ!M20-1,"")</f>
        <v/>
      </c>
      <c r="S32" s="21">
        <f>IFERROR(subQ!S20/subQ!N20-1,"")</f>
        <v/>
      </c>
      <c r="T32" s="21">
        <f>IFERROR(subQ!T20/subQ!O20-1,"")</f>
        <v/>
      </c>
      <c r="U32" s="22" t="n"/>
      <c r="V32" s="21">
        <f>IFERROR(subQ!V20/subQ!Q20-1,"")</f>
        <v/>
      </c>
      <c r="W32" s="21">
        <f>IFERROR(subQ!W20/subQ!R20-1,"")</f>
        <v/>
      </c>
      <c r="X32" s="21">
        <f>IFERROR(subQ!X20/subQ!S20-1,"")</f>
        <v/>
      </c>
      <c r="Y32" s="21">
        <f>IFERROR(subQ!Y20/subQ!T20-1,"")</f>
        <v/>
      </c>
      <c r="Z32" s="22" t="n"/>
      <c r="AA32" s="21">
        <f>IFERROR(subQ!AA20/subQ!V20-1,"")</f>
        <v/>
      </c>
      <c r="AB32" s="23">
        <f>IFERROR(subQ!AB20/subQ!W20-1,"")</f>
        <v/>
      </c>
      <c r="AC32" s="31" t="n"/>
      <c r="AD32" s="31" t="n"/>
      <c r="AE32" s="25" t="n"/>
      <c r="AF32" s="31" t="n"/>
      <c r="AG32" s="31" t="n"/>
      <c r="AH32" s="24" t="n">
        <v>0.250535</v>
      </c>
      <c r="AI32" s="24" t="n">
        <v>0.142957</v>
      </c>
      <c r="AJ32" s="25" t="n"/>
      <c r="AK32" s="24" t="n">
        <v>0.06900299999999999</v>
      </c>
      <c r="AL32" s="24" t="n">
        <v>0.013754</v>
      </c>
      <c r="AM32" s="24" t="n">
        <v>-0.014937</v>
      </c>
      <c r="AN32" s="24" t="n">
        <v>-0.023977</v>
      </c>
      <c r="AO32" s="25" t="n"/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-2e-06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6" t="n"/>
      <c r="F34" s="27" t="n"/>
      <c r="G34" s="26">
        <f>IFERROR(subQ!E23+subQ!G16-subQ!G23,"")</f>
        <v/>
      </c>
      <c r="H34" s="26">
        <f>IFERROR(subQ!G23+subQ!H16-subQ!H23,"")</f>
        <v/>
      </c>
      <c r="I34" s="26">
        <f>IFERROR(subQ!H23+subQ!I16-subQ!I23,"")</f>
        <v/>
      </c>
      <c r="J34" s="26">
        <f>IFERROR(subQ!I23+subQ!J16-subQ!J23,"")</f>
        <v/>
      </c>
      <c r="K34" s="27" t="n"/>
      <c r="L34" s="26">
        <f>IFERROR(subQ!J23+subQ!L16-subQ!L23,"")</f>
        <v/>
      </c>
      <c r="M34" s="26">
        <f>IFERROR(subQ!L23+subQ!M16-subQ!M23,"")</f>
        <v/>
      </c>
      <c r="N34" s="26">
        <f>IFERROR(subQ!M23+subQ!N16-subQ!N23,"")</f>
        <v/>
      </c>
      <c r="O34" s="26">
        <f>IFERROR(subQ!N23+subQ!O16-subQ!O23,"")</f>
        <v/>
      </c>
      <c r="P34" s="27" t="n"/>
      <c r="Q34" s="26">
        <f>IFERROR(subQ!O23+subQ!Q16-subQ!Q23,"")</f>
        <v/>
      </c>
      <c r="R34" s="26">
        <f>IFERROR(subQ!Q23+subQ!R16-subQ!R23,"")</f>
        <v/>
      </c>
      <c r="S34" s="26">
        <f>IFERROR(subQ!R23+subQ!S16-subQ!S23,"")</f>
        <v/>
      </c>
      <c r="T34" s="26">
        <f>IFERROR(subQ!S23+subQ!T16-subQ!T23,"")</f>
        <v/>
      </c>
      <c r="U34" s="27" t="n"/>
      <c r="V34" s="26">
        <f>IFERROR(subQ!T23+subQ!V16-subQ!V23,"")</f>
        <v/>
      </c>
      <c r="W34" s="26">
        <f>IFERROR(subQ!V23+subQ!W16-subQ!W23,"")</f>
        <v/>
      </c>
      <c r="X34" s="26">
        <f>IFERROR(subQ!W23+subQ!X16-subQ!X23,"")</f>
        <v/>
      </c>
      <c r="Y34" s="26">
        <f>IFERROR(subQ!X23+subQ!Y16-subQ!Y23,"")</f>
        <v/>
      </c>
      <c r="Z34" s="27" t="n"/>
      <c r="AA34" s="26">
        <f>IFERROR(subQ!Y23+subQ!AA16-subQ!AA23,"")</f>
        <v/>
      </c>
      <c r="AB34" s="28">
        <f>IFERROR(subQ!AA23+subQ!AB16-subQ!AB23,"")</f>
        <v/>
      </c>
      <c r="AC34" s="29" t="n">
        <v>0.0037</v>
      </c>
      <c r="AD34" s="29" t="n">
        <v>0</v>
      </c>
      <c r="AE34" s="30" t="n"/>
      <c r="AF34" s="29" t="n">
        <v>-0</v>
      </c>
      <c r="AG34" s="29" t="n">
        <v>342.71</v>
      </c>
      <c r="AH34" s="29" t="n">
        <v>-0.01</v>
      </c>
      <c r="AI34" s="29" t="n">
        <v>0.01</v>
      </c>
      <c r="AJ34" s="30" t="n"/>
      <c r="AK34" s="29" t="n">
        <v>-0</v>
      </c>
      <c r="AL34" s="29" t="n">
        <v>342.71</v>
      </c>
      <c r="AM34" s="29" t="n">
        <v>0</v>
      </c>
      <c r="AN34" s="29" t="n">
        <v>0.01</v>
      </c>
      <c r="AO34" s="30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6" t="n"/>
      <c r="F35" s="27" t="n"/>
      <c r="G35" s="26">
        <f>IFERROR(subQ!E24+subQ!G17-subQ!G24,"")</f>
        <v/>
      </c>
      <c r="H35" s="26">
        <f>IFERROR(subQ!G24+subQ!H17-subQ!H24,"")</f>
        <v/>
      </c>
      <c r="I35" s="26">
        <f>IFERROR(subQ!H24+subQ!I17-subQ!I24,"")</f>
        <v/>
      </c>
      <c r="J35" s="26">
        <f>IFERROR(subQ!I24+subQ!J17-subQ!J24,"")</f>
        <v/>
      </c>
      <c r="K35" s="27" t="n"/>
      <c r="L35" s="26">
        <f>IFERROR(subQ!J24+subQ!L17-subQ!L24,"")</f>
        <v/>
      </c>
      <c r="M35" s="26">
        <f>IFERROR(subQ!L24+subQ!M17-subQ!M24,"")</f>
        <v/>
      </c>
      <c r="N35" s="26">
        <f>IFERROR(subQ!M24+subQ!N17-subQ!N24,"")</f>
        <v/>
      </c>
      <c r="O35" s="26">
        <f>IFERROR(subQ!N24+subQ!O17-subQ!O24,"")</f>
        <v/>
      </c>
      <c r="P35" s="27" t="n"/>
      <c r="Q35" s="26">
        <f>IFERROR(subQ!O24+subQ!Q17-subQ!Q24,"")</f>
        <v/>
      </c>
      <c r="R35" s="26">
        <f>IFERROR(subQ!Q24+subQ!R17-subQ!R24,"")</f>
        <v/>
      </c>
      <c r="S35" s="26">
        <f>IFERROR(subQ!R24+subQ!S17-subQ!S24,"")</f>
        <v/>
      </c>
      <c r="T35" s="26">
        <f>IFERROR(subQ!S24+subQ!T17-subQ!T24,"")</f>
        <v/>
      </c>
      <c r="U35" s="27" t="n"/>
      <c r="V35" s="26">
        <f>IFERROR(subQ!T24+subQ!V17-subQ!V24,"")</f>
        <v/>
      </c>
      <c r="W35" s="26">
        <f>IFERROR(subQ!V24+subQ!W17-subQ!W24,"")</f>
        <v/>
      </c>
      <c r="X35" s="26">
        <f>IFERROR(subQ!W24+subQ!X17-subQ!X24,"")</f>
        <v/>
      </c>
      <c r="Y35" s="26">
        <f>IFERROR(subQ!X24+subQ!Y17-subQ!Y24,"")</f>
        <v/>
      </c>
      <c r="Z35" s="27" t="n"/>
      <c r="AA35" s="26">
        <f>IFERROR(subQ!Y24+subQ!AA17-subQ!AA24,"")</f>
        <v/>
      </c>
      <c r="AB35" s="28">
        <f>IFERROR(subQ!AA24+subQ!AB17-subQ!AB24,"")</f>
        <v/>
      </c>
      <c r="AC35" s="29" t="n">
        <v>0.0037</v>
      </c>
      <c r="AD35" s="29" t="n">
        <v>0</v>
      </c>
      <c r="AE35" s="30" t="n"/>
      <c r="AF35" s="29" t="n">
        <v>-0</v>
      </c>
      <c r="AG35" s="29" t="n">
        <v>342.71</v>
      </c>
      <c r="AH35" s="29" t="n">
        <v>-0.01</v>
      </c>
      <c r="AI35" s="29" t="n">
        <v>0.01</v>
      </c>
      <c r="AJ35" s="30" t="n"/>
      <c r="AK35" s="29" t="n">
        <v>-0</v>
      </c>
      <c r="AL35" s="29" t="n">
        <v>342.71</v>
      </c>
      <c r="AM35" s="29" t="n">
        <v>0</v>
      </c>
      <c r="AN35" s="29" t="n">
        <v>0.01</v>
      </c>
      <c r="AO35" s="30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-0.253835</v>
      </c>
      <c r="AD37" s="24" t="n">
        <v>-0.297684</v>
      </c>
      <c r="AE37" s="25" t="n"/>
      <c r="AF37" s="24" t="n">
        <v>-0.558385</v>
      </c>
      <c r="AG37" s="24" t="n">
        <v>3.828941</v>
      </c>
      <c r="AH37" s="24" t="n">
        <v>-0.268546</v>
      </c>
      <c r="AI37" s="24" t="n">
        <v>-0.297907</v>
      </c>
      <c r="AJ37" s="25" t="n"/>
      <c r="AK37" s="24" t="n">
        <v>-0.535612</v>
      </c>
      <c r="AL37" s="24" t="n">
        <v>3.3142</v>
      </c>
      <c r="AM37" s="24" t="n">
        <v>-0.257554</v>
      </c>
      <c r="AN37" s="24" t="n">
        <v>-0.279708</v>
      </c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0.412836</v>
      </c>
      <c r="AD38" s="24" t="n">
        <v>0.255696</v>
      </c>
      <c r="AE38" s="25" t="n"/>
      <c r="AF38" s="24" t="n">
        <v>0.268258</v>
      </c>
      <c r="AG38" s="24" t="n">
        <v>-0.64052</v>
      </c>
      <c r="AH38" s="24" t="n">
        <v>0.6034620000000001</v>
      </c>
      <c r="AI38" s="24" t="n">
        <v>0.30538</v>
      </c>
      <c r="AJ38" s="25" t="n"/>
      <c r="AK38" s="24" t="n">
        <v>0.295303</v>
      </c>
      <c r="AL38" s="24" t="n">
        <v>-0.655097</v>
      </c>
      <c r="AM38" s="24" t="n">
        <v>0.6367930000000001</v>
      </c>
      <c r="AN38" s="24" t="n">
        <v>0.313693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IFERROR(subQ!J29/subQ!E29-1,"")</f>
        <v/>
      </c>
      <c r="K40" s="22" t="n"/>
      <c r="L40" s="21">
        <f>IFERROR(subQ!L29/subQ!G29-1,"")</f>
        <v/>
      </c>
      <c r="M40" s="21">
        <f>IFERROR(subQ!M29/subQ!H29-1,"")</f>
        <v/>
      </c>
      <c r="N40" s="21">
        <f>IFERROR(subQ!N29/subQ!I29-1,"")</f>
        <v/>
      </c>
      <c r="O40" s="21">
        <f>IFERROR(subQ!O29/subQ!J29-1,"")</f>
        <v/>
      </c>
      <c r="P40" s="22" t="n"/>
      <c r="Q40" s="21">
        <f>IFERROR(subQ!Q29/subQ!L29-1,"")</f>
        <v/>
      </c>
      <c r="R40" s="21">
        <f>IFERROR(subQ!R29/subQ!M29-1,"")</f>
        <v/>
      </c>
      <c r="S40" s="21">
        <f>IFERROR(subQ!S29/subQ!N29-1,"")</f>
        <v/>
      </c>
      <c r="T40" s="21">
        <f>IFERROR(subQ!T29/subQ!O29-1,"")</f>
        <v/>
      </c>
      <c r="U40" s="22" t="n"/>
      <c r="V40" s="21">
        <f>IFERROR(subQ!V29/subQ!Q29-1,"")</f>
        <v/>
      </c>
      <c r="W40" s="21">
        <f>IFERROR(subQ!W29/subQ!R29-1,"")</f>
        <v/>
      </c>
      <c r="X40" s="21">
        <f>IFERROR(subQ!X29/subQ!S29-1,"")</f>
        <v/>
      </c>
      <c r="Y40" s="21">
        <f>IFERROR(subQ!Y29/subQ!T29-1,"")</f>
        <v/>
      </c>
      <c r="Z40" s="22" t="n"/>
      <c r="AA40" s="21">
        <f>IFERROR(subQ!AA29/subQ!V29-1,"")</f>
        <v/>
      </c>
      <c r="AB40" s="23">
        <f>IFERROR(subQ!AB29/subQ!W29-1,"")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IFERROR(subQ!J30/subQ!E30-1,"")</f>
        <v/>
      </c>
      <c r="K41" s="22" t="n"/>
      <c r="L41" s="21">
        <f>IFERROR(subQ!L30/subQ!G30-1,"")</f>
        <v/>
      </c>
      <c r="M41" s="21">
        <f>IFERROR(subQ!M30/subQ!H30-1,"")</f>
        <v/>
      </c>
      <c r="N41" s="21">
        <f>IFERROR(subQ!N30/subQ!I30-1,"")</f>
        <v/>
      </c>
      <c r="O41" s="21">
        <f>IFERROR(subQ!O30/subQ!J30-1,"")</f>
        <v/>
      </c>
      <c r="P41" s="22" t="n"/>
      <c r="Q41" s="21">
        <f>IFERROR(subQ!Q30/subQ!L30-1,"")</f>
        <v/>
      </c>
      <c r="R41" s="21">
        <f>IFERROR(subQ!R30/subQ!M30-1,"")</f>
        <v/>
      </c>
      <c r="S41" s="21">
        <f>IFERROR(subQ!S30/subQ!N30-1,"")</f>
        <v/>
      </c>
      <c r="T41" s="21">
        <f>IFERROR(subQ!T30/subQ!O30-1,"")</f>
        <v/>
      </c>
      <c r="U41" s="22" t="n"/>
      <c r="V41" s="21">
        <f>IFERROR(subQ!V30/subQ!Q30-1,"")</f>
        <v/>
      </c>
      <c r="W41" s="21">
        <f>IFERROR(subQ!W30/subQ!R30-1,"")</f>
        <v/>
      </c>
      <c r="X41" s="21">
        <f>IFERROR(subQ!X30/subQ!S30-1,"")</f>
        <v/>
      </c>
      <c r="Y41" s="21">
        <f>IFERROR(subQ!Y30/subQ!T30-1,"")</f>
        <v/>
      </c>
      <c r="Z41" s="22" t="n"/>
      <c r="AA41" s="21">
        <f>IFERROR(subQ!AA30/subQ!V30-1,"")</f>
        <v/>
      </c>
      <c r="AB41" s="23">
        <f>IFERROR(subQ!AB30/subQ!W30-1,"")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IFERROR(subQ!G31/subQ!E31-1,"")</f>
        <v/>
      </c>
      <c r="H42" s="21">
        <f>IFERROR(subQ!H31/subQ!G31-1,"")</f>
        <v/>
      </c>
      <c r="I42" s="21">
        <f>IFERROR(subQ!I31/subQ!H31-1,"")</f>
        <v/>
      </c>
      <c r="J42" s="21">
        <f>IFERROR(subQ!J31/subQ!I31-1,"")</f>
        <v/>
      </c>
      <c r="K42" s="22" t="n"/>
      <c r="L42" s="21">
        <f>IFERROR(subQ!L31/subQ!J31-1,"")</f>
        <v/>
      </c>
      <c r="M42" s="21">
        <f>IFERROR(subQ!M31/subQ!L31-1,"")</f>
        <v/>
      </c>
      <c r="N42" s="21">
        <f>IFERROR(subQ!N31/subQ!M31-1,"")</f>
        <v/>
      </c>
      <c r="O42" s="21">
        <f>IFERROR(subQ!O31/subQ!N31-1,"")</f>
        <v/>
      </c>
      <c r="P42" s="22" t="n"/>
      <c r="Q42" s="21">
        <f>IFERROR(subQ!Q31/subQ!O31-1,"")</f>
        <v/>
      </c>
      <c r="R42" s="21">
        <f>IFERROR(subQ!R31/subQ!Q31-1,"")</f>
        <v/>
      </c>
      <c r="S42" s="21">
        <f>IFERROR(subQ!S31/subQ!R31-1,"")</f>
        <v/>
      </c>
      <c r="T42" s="21">
        <f>IFERROR(subQ!T31/subQ!S31-1,"")</f>
        <v/>
      </c>
      <c r="U42" s="22" t="n"/>
      <c r="V42" s="21">
        <f>IFERROR(subQ!V31/subQ!T31-1,"")</f>
        <v/>
      </c>
      <c r="W42" s="21">
        <f>IFERROR(subQ!W31/subQ!V31-1,"")</f>
        <v/>
      </c>
      <c r="X42" s="21">
        <f>IFERROR(subQ!X31/subQ!W31-1,"")</f>
        <v/>
      </c>
      <c r="Y42" s="21">
        <f>IFERROR(subQ!Y31/subQ!X31-1,"")</f>
        <v/>
      </c>
      <c r="Z42" s="22" t="n"/>
      <c r="AA42" s="21">
        <f>IFERROR(subQ!AA31/subQ!Y31-1,"")</f>
        <v/>
      </c>
      <c r="AB42" s="23">
        <f>IFERROR(subQ!AB31/subQ!AA31-1,"")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drv:DPS</t>
        </is>
      </c>
      <c r="B43" s="2" t="inlineStr">
        <is>
          <t>yoy</t>
        </is>
      </c>
      <c r="C43" t="inlineStr">
        <is>
          <t>DPS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31" t="n"/>
      <c r="AD43" s="24" t="n">
        <v>0</v>
      </c>
      <c r="AE43" s="25" t="n"/>
      <c r="AF43" s="31" t="n"/>
      <c r="AG43" s="31" t="n"/>
      <c r="AH43" s="31" t="n"/>
      <c r="AI43" s="24" t="n">
        <v>0</v>
      </c>
      <c r="AJ43" s="25" t="n"/>
      <c r="AK43" s="31" t="n"/>
      <c r="AL43" s="31" t="n"/>
      <c r="AM43" s="31" t="n"/>
      <c r="AN43" s="24" t="n">
        <v>0</v>
      </c>
      <c r="AO43" s="25" t="n"/>
    </row>
    <row r="44">
      <c r="A44" s="12" t="inlineStr">
        <is>
          <t>drv:PER</t>
        </is>
      </c>
      <c r="B44" s="2" t="inlineStr">
        <is>
          <t>yoy</t>
        </is>
      </c>
      <c r="C44" t="inlineStr">
        <is>
          <t>PER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24" t="n">
        <v>-0.687952</v>
      </c>
      <c r="AD44" s="24" t="n">
        <v>0.323529</v>
      </c>
      <c r="AE44" s="25" t="n"/>
      <c r="AF44" s="24" t="n">
        <v>2.653061</v>
      </c>
      <c r="AG44" s="24" t="n">
        <v>0.6563639999999999</v>
      </c>
      <c r="AH44" s="24" t="n">
        <v>2.370656</v>
      </c>
      <c r="AI44" s="24" t="n">
        <v>0.731313</v>
      </c>
      <c r="AJ44" s="25" t="n"/>
      <c r="AK44" s="24" t="n">
        <v>-0.054749</v>
      </c>
      <c r="AL44" s="24" t="n">
        <v>-0.073546</v>
      </c>
      <c r="AM44" s="24" t="n">
        <v>-0.029782</v>
      </c>
      <c r="AN44" s="24" t="n">
        <v>-0.008168</v>
      </c>
      <c r="AO44" s="25" t="n"/>
    </row>
    <row r="45">
      <c r="A45" s="12" t="inlineStr">
        <is>
          <t>drv:PBR</t>
        </is>
      </c>
      <c r="B45" s="2" t="inlineStr">
        <is>
          <t>yoy</t>
        </is>
      </c>
      <c r="C45" t="inlineStr">
        <is>
          <t>PBR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24" t="n">
        <v>2.12</v>
      </c>
      <c r="AD45" s="24" t="n">
        <v>1.714286</v>
      </c>
      <c r="AE45" s="25" t="n"/>
      <c r="AF45" s="24" t="n">
        <v>2</v>
      </c>
      <c r="AG45" s="24" t="n">
        <v>-0.398496</v>
      </c>
      <c r="AH45" s="24" t="n">
        <v>0</v>
      </c>
      <c r="AI45" s="24" t="n">
        <v>0.013158</v>
      </c>
      <c r="AJ45" s="25" t="n"/>
      <c r="AK45" s="24" t="n">
        <v>0</v>
      </c>
      <c r="AL45" s="24" t="n">
        <v>0</v>
      </c>
      <c r="AM45" s="24" t="n">
        <v>0</v>
      </c>
      <c r="AN45" s="24" t="n">
        <v>0</v>
      </c>
      <c r="AO45" s="25" t="n"/>
    </row>
    <row r="46">
      <c r="A46" s="12" t="inlineStr">
        <is>
          <t>drv:매출전사</t>
        </is>
      </c>
      <c r="B46" s="2" t="inlineStr">
        <is>
          <t>ratio</t>
        </is>
      </c>
      <c r="C46" t="inlineStr">
        <is>
          <t>매출전사 비중(/매출액)</t>
        </is>
      </c>
      <c r="E46" s="21">
        <f>IFERROR(subQ!E37/subQ!E5,"")</f>
        <v/>
      </c>
      <c r="F46" s="22">
        <f>IFERROR(subQ!F37/subQ!F5,"")</f>
        <v/>
      </c>
      <c r="G46" s="21">
        <f>IFERROR(subQ!G37/subQ!G5,"")</f>
        <v/>
      </c>
      <c r="H46" s="21">
        <f>IFERROR(subQ!H37/subQ!H5,"")</f>
        <v/>
      </c>
      <c r="I46" s="21">
        <f>IFERROR(subQ!I37/subQ!I5,"")</f>
        <v/>
      </c>
      <c r="J46" s="21">
        <f>IFERROR(subQ!J37/subQ!J5,"")</f>
        <v/>
      </c>
      <c r="K46" s="22">
        <f>IFERROR(subQ!K37/subQ!K5,"")</f>
        <v/>
      </c>
      <c r="L46" s="21">
        <f>IFERROR(subQ!L37/subQ!L5,"")</f>
        <v/>
      </c>
      <c r="M46" s="21">
        <f>IFERROR(subQ!M37/subQ!M5,"")</f>
        <v/>
      </c>
      <c r="N46" s="21">
        <f>IFERROR(subQ!N37/subQ!N5,"")</f>
        <v/>
      </c>
      <c r="O46" s="21">
        <f>IFERROR(subQ!O37/subQ!O5,"")</f>
        <v/>
      </c>
      <c r="P46" s="22">
        <f>IFERROR(subQ!P37/subQ!P5,"")</f>
        <v/>
      </c>
      <c r="Q46" s="21">
        <f>IFERROR(subQ!Q37/subQ!Q5,"")</f>
        <v/>
      </c>
      <c r="R46" s="21">
        <f>IFERROR(subQ!R37/subQ!R5,"")</f>
        <v/>
      </c>
      <c r="S46" s="21">
        <f>IFERROR(subQ!S37/subQ!S5,"")</f>
        <v/>
      </c>
      <c r="T46" s="21">
        <f>IFERROR(subQ!T37/subQ!T5,"")</f>
        <v/>
      </c>
      <c r="U46" s="22">
        <f>IFERROR(subQ!U37/subQ!U5,"")</f>
        <v/>
      </c>
      <c r="V46" s="21">
        <f>IFERROR(subQ!V37/subQ!V5,"")</f>
        <v/>
      </c>
      <c r="W46" s="21">
        <f>IFERROR(subQ!W37/subQ!W5,"")</f>
        <v/>
      </c>
      <c r="X46" s="21">
        <f>IFERROR(subQ!X37/subQ!X5,"")</f>
        <v/>
      </c>
      <c r="Y46" s="21">
        <f>IFERROR(subQ!Y37/subQ!Y5,"")</f>
        <v/>
      </c>
      <c r="Z46" s="22">
        <f>IFERROR(subQ!Z37/subQ!Z5,"")</f>
        <v/>
      </c>
      <c r="AA46" s="21">
        <f>IFERROR(subQ!AA37/subQ!AA5,"")</f>
        <v/>
      </c>
      <c r="AB46" s="23">
        <f>IFERROR(subQ!AB37/subQ!AB5,"")</f>
        <v/>
      </c>
      <c r="AC46" s="24" t="n">
        <v>1</v>
      </c>
      <c r="AD46" s="24" t="n">
        <v>1</v>
      </c>
      <c r="AE46" s="25">
        <f>IFERROR(subQ!AE37/subQ!AE5,"")</f>
        <v/>
      </c>
      <c r="AF46" s="24" t="n">
        <v>1</v>
      </c>
      <c r="AG46" s="24" t="n">
        <v>1</v>
      </c>
      <c r="AH46" s="24" t="n">
        <v>1</v>
      </c>
      <c r="AI46" s="24" t="n">
        <v>1</v>
      </c>
      <c r="AJ46" s="25">
        <f>IFERROR(subQ!AJ37/subQ!AJ5,"")</f>
        <v/>
      </c>
      <c r="AK46" s="24" t="n">
        <v>1</v>
      </c>
      <c r="AL46" s="24" t="n">
        <v>1</v>
      </c>
      <c r="AM46" s="24" t="n">
        <v>1</v>
      </c>
      <c r="AN46" s="24" t="n">
        <v>1</v>
      </c>
      <c r="AO46" s="25">
        <f>IFERROR(subQ!AO37/subQ!AO5,"")</f>
        <v/>
      </c>
    </row>
    <row r="47">
      <c r="A47" s="12" t="inlineStr">
        <is>
          <t>drv:OP전사</t>
        </is>
      </c>
      <c r="B47" s="2" t="inlineStr">
        <is>
          <t>ratio</t>
        </is>
      </c>
      <c r="C47" t="inlineStr">
        <is>
          <t>OP전사 마진(/매출전사)</t>
        </is>
      </c>
      <c r="E47" s="21">
        <f>IFERROR(subQ!E38/subQ!E37,"")</f>
        <v/>
      </c>
      <c r="F47" s="22">
        <f>IFERROR(subQ!F38/subQ!F37,"")</f>
        <v/>
      </c>
      <c r="G47" s="21">
        <f>IFERROR(subQ!G38/subQ!G37,"")</f>
        <v/>
      </c>
      <c r="H47" s="21">
        <f>IFERROR(subQ!H38/subQ!H37,"")</f>
        <v/>
      </c>
      <c r="I47" s="21">
        <f>IFERROR(subQ!I38/subQ!I37,"")</f>
        <v/>
      </c>
      <c r="J47" s="21">
        <f>IFERROR(subQ!J38/subQ!J37,"")</f>
        <v/>
      </c>
      <c r="K47" s="22">
        <f>IFERROR(subQ!K38/subQ!K37,"")</f>
        <v/>
      </c>
      <c r="L47" s="21">
        <f>IFERROR(subQ!L38/subQ!L37,"")</f>
        <v/>
      </c>
      <c r="M47" s="21">
        <f>IFERROR(subQ!M38/subQ!M37,"")</f>
        <v/>
      </c>
      <c r="N47" s="21">
        <f>IFERROR(subQ!N38/subQ!N37,"")</f>
        <v/>
      </c>
      <c r="O47" s="21">
        <f>IFERROR(subQ!O38/subQ!O37,"")</f>
        <v/>
      </c>
      <c r="P47" s="22">
        <f>IFERROR(subQ!P38/subQ!P37,"")</f>
        <v/>
      </c>
      <c r="Q47" s="21">
        <f>IFERROR(subQ!Q38/subQ!Q37,"")</f>
        <v/>
      </c>
      <c r="R47" s="21">
        <f>IFERROR(subQ!R38/subQ!R37,"")</f>
        <v/>
      </c>
      <c r="S47" s="21">
        <f>IFERROR(subQ!S38/subQ!S37,"")</f>
        <v/>
      </c>
      <c r="T47" s="21">
        <f>IFERROR(subQ!T38/subQ!T37,"")</f>
        <v/>
      </c>
      <c r="U47" s="22">
        <f>IFERROR(subQ!U38/subQ!U37,"")</f>
        <v/>
      </c>
      <c r="V47" s="21">
        <f>IFERROR(subQ!V38/subQ!V37,"")</f>
        <v/>
      </c>
      <c r="W47" s="21">
        <f>IFERROR(subQ!W38/subQ!W37,"")</f>
        <v/>
      </c>
      <c r="X47" s="21">
        <f>IFERROR(subQ!X38/subQ!X37,"")</f>
        <v/>
      </c>
      <c r="Y47" s="21">
        <f>IFERROR(subQ!Y38/subQ!Y37,"")</f>
        <v/>
      </c>
      <c r="Z47" s="22">
        <f>IFERROR(subQ!Z38/subQ!Z37,"")</f>
        <v/>
      </c>
      <c r="AA47" s="21">
        <f>IFERROR(subQ!AA38/subQ!AA37,"")</f>
        <v/>
      </c>
      <c r="AB47" s="23">
        <f>IFERROR(subQ!AB38/subQ!AB37,"")</f>
        <v/>
      </c>
      <c r="AC47" s="24" t="n">
        <v>0.150743</v>
      </c>
      <c r="AD47" s="24" t="n">
        <v>0.150738</v>
      </c>
      <c r="AE47" s="25">
        <f>IFERROR(subQ!AE38/subQ!AE37,"")</f>
        <v/>
      </c>
      <c r="AF47" s="24" t="n">
        <v>0.150752</v>
      </c>
      <c r="AG47" s="24" t="n">
        <v>0.150742</v>
      </c>
      <c r="AH47" s="24" t="n">
        <v>0.150745</v>
      </c>
      <c r="AI47" s="24" t="n">
        <v>0.150756</v>
      </c>
      <c r="AJ47" s="25">
        <f>IFERROR(subQ!AJ38/subQ!AJ37,"")</f>
        <v/>
      </c>
      <c r="AK47" s="24" t="n">
        <v>0.150756</v>
      </c>
      <c r="AL47" s="24" t="n">
        <v>0.150737</v>
      </c>
      <c r="AM47" s="24" t="n">
        <v>0.150735</v>
      </c>
      <c r="AN47" s="24" t="n">
        <v>0.150732</v>
      </c>
      <c r="AO47" s="25">
        <f>IFERROR(subQ!AO38/subQ!AO37,"")</f>
        <v/>
      </c>
    </row>
    <row r="48"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B49" s="1" t="inlineStr">
        <is>
          <t>3. 밸류에이션·스칼라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sc:종가</t>
        </is>
      </c>
      <c r="C50" t="inlineStr">
        <is>
          <t>종가</t>
        </is>
      </c>
      <c r="D50" s="32" t="n">
        <v>6160</v>
      </c>
      <c r="E50" s="2" t="inlineStr">
        <is>
          <t>원 — aikstockdata(금융위 T+1)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sc:기준일</t>
        </is>
      </c>
      <c r="C51" t="inlineStr">
        <is>
          <t>기준일</t>
        </is>
      </c>
      <c r="D51" s="33" t="inlineStr">
        <is>
          <t>20260929</t>
        </is>
      </c>
      <c r="E51" s="2" t="inlineStr">
        <is>
          <t>종가 기준일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sc:COE</t>
        </is>
      </c>
      <c r="C52" t="inlineStr">
        <is>
          <t>COE</t>
        </is>
      </c>
      <c r="D52" s="24" t="n">
        <v>0.09</v>
      </c>
      <c r="E52" s="2" t="inlineStr">
        <is>
          <t>자기자본비용(가정)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sc:PER_lo</t>
        </is>
      </c>
      <c r="C53" t="inlineStr">
        <is>
          <t>PER_lo</t>
        </is>
      </c>
      <c r="D53" s="29" t="n">
        <v>10</v>
      </c>
      <c r="E53" s="2" t="inlineStr">
        <is>
          <t>PER 밴드 하단(배) — sector_default(레퍼런스 TP_PE PB 예시 10/15/20배; 과거 PER 중위 3.1배가 캡 5~30 밖 — 턴어라운드 초기 TTM EPS 왜곡)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sc:PER_mid</t>
        </is>
      </c>
      <c r="C54" t="inlineStr">
        <is>
          <t>PER_mid</t>
        </is>
      </c>
      <c r="D54" s="29" t="n">
        <v>15</v>
      </c>
      <c r="E54" s="2" t="inlineStr">
        <is>
          <t>PER 밴드 중단(배)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sc:PER_hi</t>
        </is>
      </c>
      <c r="C55" t="inlineStr">
        <is>
          <t>PER_hi</t>
        </is>
      </c>
      <c r="D55" s="29" t="n">
        <v>20</v>
      </c>
      <c r="E55" s="2" t="inlineStr">
        <is>
          <t>PER 밴드 상단(배)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sc:EPS_Y1가중</t>
        </is>
      </c>
      <c r="C56" t="inlineStr">
        <is>
          <t>EPS_Y1가중</t>
        </is>
      </c>
      <c r="D56" s="24" t="n">
        <v>0.5</v>
      </c>
      <c r="E56" s="2" t="inlineStr">
        <is>
          <t>12M fwd EPS = FY(last_actual연도)E × w + FY+1E × (1−w) — 기준 분기 2Q 이면 0.5(가정)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sc:세율</t>
        </is>
      </c>
      <c r="C57" t="inlineStr">
        <is>
          <t>세율</t>
        </is>
      </c>
      <c r="D57" s="24" t="n">
        <v>0.2194</v>
      </c>
      <c r="E57" s="2" t="inlineStr">
        <is>
          <t>법인세율 가정(참고 — 추정 수식은 드라이버 행 참조)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sc:판관비율</t>
        </is>
      </c>
      <c r="C58" t="inlineStr">
        <is>
          <t>판관비율</t>
        </is>
      </c>
      <c r="D58" s="24" t="n">
        <v>0.0858</v>
      </c>
      <c r="E58" s="2" t="inlineStr">
        <is>
          <t>판관비율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24" t="n">
        <v>1.3404</v>
      </c>
      <c r="E59" s="2" t="inlineStr">
        <is>
          <t>배당성향 가정(참고)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인화정공(연)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101723.74</v>
      </c>
      <c r="F5" s="34" t="n">
        <v>101723.74</v>
      </c>
      <c r="G5" s="18" t="n">
        <v>99806.10000000001</v>
      </c>
      <c r="H5" s="18" t="n">
        <v>116046.67</v>
      </c>
      <c r="I5" s="18" t="n">
        <v>89406.78999999999</v>
      </c>
      <c r="J5" s="18" t="n">
        <v>85858.05</v>
      </c>
      <c r="K5" s="34" t="n">
        <v>85858.05</v>
      </c>
      <c r="L5" s="18" t="n">
        <v>91617.72</v>
      </c>
      <c r="M5" s="18" t="n">
        <v>78320.56</v>
      </c>
      <c r="N5" s="18" t="n">
        <v>99152.72</v>
      </c>
      <c r="O5" s="18" t="n">
        <v>74798.44</v>
      </c>
      <c r="P5" s="34" t="n">
        <v>74798.44</v>
      </c>
      <c r="Q5" s="18" t="n">
        <v>90892.17</v>
      </c>
      <c r="R5" s="18" t="n">
        <v>105632.19</v>
      </c>
      <c r="S5" s="18" t="n">
        <v>104122.38</v>
      </c>
      <c r="T5" s="18" t="n">
        <v>104918.13</v>
      </c>
      <c r="U5" s="34" t="n">
        <v>104918.13</v>
      </c>
      <c r="V5" s="18" t="n">
        <v>211162.88</v>
      </c>
      <c r="W5" s="18" t="n">
        <v>177354.45</v>
      </c>
      <c r="X5" s="18" t="n">
        <v>221238.06</v>
      </c>
      <c r="Y5" s="18" t="n">
        <v>224602.52</v>
      </c>
      <c r="Z5" s="34" t="n">
        <v>224602.52</v>
      </c>
      <c r="AA5" s="18" t="n">
        <v>211813.39</v>
      </c>
      <c r="AB5" s="19" t="n">
        <v>179456.63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28788.2</v>
      </c>
      <c r="F6" s="34" t="n">
        <v>28788.2</v>
      </c>
      <c r="G6" s="18" t="n">
        <v>27451.56</v>
      </c>
      <c r="H6" s="18" t="n">
        <v>45899.33</v>
      </c>
      <c r="I6" s="18" t="n">
        <v>19614.96</v>
      </c>
      <c r="J6" s="18" t="n">
        <v>12136.96</v>
      </c>
      <c r="K6" s="34" t="n">
        <v>12136.96</v>
      </c>
      <c r="L6" s="18" t="n">
        <v>10169.51</v>
      </c>
      <c r="M6" s="18" t="n">
        <v>7790.28</v>
      </c>
      <c r="N6" s="18" t="n">
        <v>23817.59</v>
      </c>
      <c r="O6" s="18" t="n">
        <v>29637.86</v>
      </c>
      <c r="P6" s="34" t="n">
        <v>29637.86</v>
      </c>
      <c r="Q6" s="18" t="n">
        <v>25376.1</v>
      </c>
      <c r="R6" s="18" t="n">
        <v>11142.13</v>
      </c>
      <c r="S6" s="18" t="n">
        <v>14042.55</v>
      </c>
      <c r="T6" s="18" t="n">
        <v>13305.55</v>
      </c>
      <c r="U6" s="34" t="n">
        <v>13305.55</v>
      </c>
      <c r="V6" s="18" t="n">
        <v>29599.31</v>
      </c>
      <c r="W6" s="18" t="n">
        <v>21715.88</v>
      </c>
      <c r="X6" s="18" t="n">
        <v>21060.28</v>
      </c>
      <c r="Y6" s="18" t="n">
        <v>18187.38</v>
      </c>
      <c r="Z6" s="34" t="n">
        <v>18187.38</v>
      </c>
      <c r="AA6" s="18" t="n">
        <v>17822.96</v>
      </c>
      <c r="AB6" s="19" t="n">
        <v>17643.95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13649.67</v>
      </c>
      <c r="F7" s="34" t="n">
        <v>13649.67</v>
      </c>
      <c r="G7" s="18" t="n">
        <v>14262.76</v>
      </c>
      <c r="H7" s="18" t="n">
        <v>11898</v>
      </c>
      <c r="I7" s="18" t="n">
        <v>12198</v>
      </c>
      <c r="J7" s="18" t="n">
        <v>14298</v>
      </c>
      <c r="K7" s="34" t="n">
        <v>14298</v>
      </c>
      <c r="L7" s="18" t="n">
        <v>12306.67</v>
      </c>
      <c r="M7" s="18" t="n">
        <v>12150.67</v>
      </c>
      <c r="N7" s="18" t="n">
        <v>12477.42</v>
      </c>
      <c r="O7" s="18" t="n">
        <v>3594.41</v>
      </c>
      <c r="P7" s="34" t="n">
        <v>3594.41</v>
      </c>
      <c r="Q7" s="18" t="n">
        <v>33620.87</v>
      </c>
      <c r="R7" s="18" t="n">
        <v>24112.2</v>
      </c>
      <c r="S7" s="18" t="n">
        <v>51378.68</v>
      </c>
      <c r="T7" s="18" t="n">
        <v>46104.83</v>
      </c>
      <c r="U7" s="34" t="n">
        <v>46104.83</v>
      </c>
      <c r="V7" s="18" t="n">
        <v>136841.32</v>
      </c>
      <c r="W7" s="18" t="n">
        <v>111522.12</v>
      </c>
      <c r="X7" s="18" t="n">
        <v>168162.1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19437.04</v>
      </c>
      <c r="F8" s="34" t="n">
        <v>19437.04</v>
      </c>
      <c r="G8" s="18" t="n">
        <v>18974.05</v>
      </c>
      <c r="H8" s="18" t="n">
        <v>18817.42</v>
      </c>
      <c r="I8" s="18" t="n">
        <v>16094.42</v>
      </c>
      <c r="J8" s="18" t="n">
        <v>17939.81</v>
      </c>
      <c r="K8" s="34" t="n">
        <v>17939.81</v>
      </c>
      <c r="L8" s="18" t="n">
        <v>15619.01</v>
      </c>
      <c r="M8" s="18" t="n">
        <v>15130.62</v>
      </c>
      <c r="N8" s="18" t="n">
        <v>17529.75</v>
      </c>
      <c r="O8" s="18" t="n">
        <v>5136.41</v>
      </c>
      <c r="P8" s="34" t="n">
        <v>5136.41</v>
      </c>
      <c r="Q8" s="18" t="n">
        <v>36148.47</v>
      </c>
      <c r="R8" s="18" t="n">
        <v>63936.54</v>
      </c>
      <c r="S8" s="18" t="n">
        <v>51378.68</v>
      </c>
      <c r="T8" s="18" t="n">
        <v>46104.83</v>
      </c>
      <c r="U8" s="34" t="n">
        <v>46104.83</v>
      </c>
      <c r="V8" s="18" t="n">
        <v>136841.32</v>
      </c>
      <c r="W8" s="18" t="n">
        <v>111556.35</v>
      </c>
      <c r="X8" s="18" t="n">
        <v>168162.1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43852.09</v>
      </c>
      <c r="F9" s="34" t="n">
        <v>43852.09</v>
      </c>
      <c r="G9" s="18" t="n">
        <v>49750.99</v>
      </c>
      <c r="H9" s="18" t="n">
        <v>35821.4</v>
      </c>
      <c r="I9" s="18" t="n">
        <v>41350.35</v>
      </c>
      <c r="J9" s="18" t="n">
        <v>55075.16</v>
      </c>
      <c r="K9" s="34" t="n">
        <v>55075.16</v>
      </c>
      <c r="L9" s="18" t="n">
        <v>64340.64</v>
      </c>
      <c r="M9" s="18" t="n">
        <v>42859.01</v>
      </c>
      <c r="N9" s="18" t="n">
        <v>44257.07</v>
      </c>
      <c r="O9" s="18" t="n">
        <v>54322.55</v>
      </c>
      <c r="P9" s="34" t="n">
        <v>54322.55</v>
      </c>
      <c r="Q9" s="18" t="n">
        <v>34498.02</v>
      </c>
      <c r="R9" s="18" t="n">
        <v>75628.44</v>
      </c>
      <c r="S9" s="18" t="n">
        <v>35520.47</v>
      </c>
      <c r="T9" s="18" t="n">
        <v>43956.1</v>
      </c>
      <c r="U9" s="34" t="n">
        <v>43956.1</v>
      </c>
      <c r="V9" s="18" t="n">
        <v>49471.95</v>
      </c>
      <c r="W9" s="18" t="n">
        <v>44276.78</v>
      </c>
      <c r="X9" s="18" t="n">
        <v>34225.3</v>
      </c>
      <c r="Y9" s="18" t="n">
        <v>15284.69</v>
      </c>
      <c r="Z9" s="34" t="n">
        <v>15284.69</v>
      </c>
      <c r="AA9" s="18" t="n">
        <v>17066.07</v>
      </c>
      <c r="AB9" s="19" t="n">
        <v>16777.91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1787.37</v>
      </c>
      <c r="F10" s="34" t="n">
        <v>1787.37</v>
      </c>
      <c r="G10" s="18" t="n">
        <v>1211.29</v>
      </c>
      <c r="H10" s="18" t="n">
        <v>1684.37</v>
      </c>
      <c r="I10" s="18" t="n">
        <v>1661.37</v>
      </c>
      <c r="J10" s="18" t="n">
        <v>1803.72</v>
      </c>
      <c r="K10" s="34" t="n">
        <v>1803.72</v>
      </c>
      <c r="L10" s="18" t="n">
        <v>1983.72</v>
      </c>
      <c r="M10" s="18" t="n">
        <v>2533.74</v>
      </c>
      <c r="N10" s="18" t="n">
        <v>4613.62</v>
      </c>
      <c r="O10" s="18" t="n">
        <v>1326.84</v>
      </c>
      <c r="P10" s="34" t="n">
        <v>1326.84</v>
      </c>
      <c r="Q10" s="18" t="n">
        <v>2325.59</v>
      </c>
      <c r="R10" s="18" t="n">
        <v>39824.34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25.28</v>
      </c>
      <c r="F11" s="34" t="n">
        <v>25.28</v>
      </c>
      <c r="G11" s="18" t="n">
        <v>13.07</v>
      </c>
      <c r="H11" s="18" t="n">
        <v>14.33</v>
      </c>
      <c r="I11" s="18" t="n">
        <v>170.16</v>
      </c>
      <c r="J11" s="18" t="n">
        <v>39.53</v>
      </c>
      <c r="K11" s="34" t="n">
        <v>39.53</v>
      </c>
      <c r="L11" s="18" t="n">
        <v>36.18</v>
      </c>
      <c r="M11" s="18" t="n">
        <v>33.48</v>
      </c>
      <c r="N11" s="18" t="n">
        <v>132.39</v>
      </c>
      <c r="O11" s="18" t="n">
        <v>326.29</v>
      </c>
      <c r="P11" s="34" t="n">
        <v>326.29</v>
      </c>
      <c r="Q11" s="18" t="n">
        <v>34.07</v>
      </c>
      <c r="R11" s="18" t="n">
        <v>19.34</v>
      </c>
      <c r="S11" s="18" t="n">
        <v>25.01</v>
      </c>
      <c r="T11" s="18" t="n">
        <v>34.55</v>
      </c>
      <c r="U11" s="34" t="n">
        <v>34.55</v>
      </c>
      <c r="V11" s="18" t="n">
        <v>31.81</v>
      </c>
      <c r="W11" s="18" t="n">
        <v>20.85</v>
      </c>
      <c r="X11" s="18" t="n">
        <v>25.41</v>
      </c>
      <c r="Y11" s="18" t="n">
        <v>29.9</v>
      </c>
      <c r="Z11" s="34" t="n">
        <v>29.9</v>
      </c>
      <c r="AA11" s="18" t="n">
        <v>32.42</v>
      </c>
      <c r="AB11" s="19" t="n">
        <v>23.19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32539.81</v>
      </c>
      <c r="F12" s="34" t="n">
        <v>32539.81</v>
      </c>
      <c r="G12" s="18" t="n">
        <v>29153.76</v>
      </c>
      <c r="H12" s="18" t="n">
        <v>34145.5</v>
      </c>
      <c r="I12" s="18" t="n">
        <v>33589.33</v>
      </c>
      <c r="J12" s="18" t="n">
        <v>27926.1</v>
      </c>
      <c r="K12" s="34" t="n">
        <v>27926.1</v>
      </c>
      <c r="L12" s="18" t="n">
        <v>29933.31</v>
      </c>
      <c r="M12" s="18" t="n">
        <v>33779.36</v>
      </c>
      <c r="N12" s="18" t="n">
        <v>37646.26</v>
      </c>
      <c r="O12" s="18" t="n">
        <v>13443.51</v>
      </c>
      <c r="P12" s="34" t="n">
        <v>13443.51</v>
      </c>
      <c r="Q12" s="18" t="n">
        <v>13392.77</v>
      </c>
      <c r="R12" s="18" t="n">
        <v>12761.5</v>
      </c>
      <c r="S12" s="18" t="n">
        <v>14457.59</v>
      </c>
      <c r="T12" s="18" t="n">
        <v>16839.1</v>
      </c>
      <c r="U12" s="34" t="n">
        <v>16839.1</v>
      </c>
      <c r="V12" s="18" t="n">
        <v>13147.61</v>
      </c>
      <c r="W12" s="18" t="n">
        <v>14798.07</v>
      </c>
      <c r="X12" s="18" t="n">
        <v>13410.53</v>
      </c>
      <c r="Y12" s="18" t="n">
        <v>14789.23</v>
      </c>
      <c r="Z12" s="34" t="n">
        <v>14789.23</v>
      </c>
      <c r="AA12" s="18" t="n">
        <v>15617.58</v>
      </c>
      <c r="AB12" s="19" t="n">
        <v>16381.45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4000</v>
      </c>
      <c r="F13" s="34" t="n">
        <v>4000</v>
      </c>
      <c r="G13" s="18" t="n">
        <v>3500</v>
      </c>
      <c r="H13" s="18" t="n">
        <v>5235.05</v>
      </c>
      <c r="I13" s="18" t="n">
        <v>2235.05</v>
      </c>
      <c r="J13" s="18" t="n">
        <v>1838.09</v>
      </c>
      <c r="K13" s="34" t="n">
        <v>1838.09</v>
      </c>
      <c r="L13" s="18" t="n">
        <v>1328.62</v>
      </c>
      <c r="M13" s="18" t="n">
        <v>446.21</v>
      </c>
      <c r="N13" s="18" t="n">
        <v>438.71</v>
      </c>
      <c r="O13" s="18" t="n">
        <v>215.16</v>
      </c>
      <c r="P13" s="34" t="n">
        <v>215.16</v>
      </c>
      <c r="Q13" s="18" t="n">
        <v>202.01</v>
      </c>
      <c r="R13" s="18" t="n">
        <v>0</v>
      </c>
      <c r="S13" s="18" t="n">
        <v>0</v>
      </c>
      <c r="T13" s="18" t="n">
        <v>0</v>
      </c>
      <c r="U13" s="34" t="n">
        <v>0</v>
      </c>
      <c r="W13" s="18" t="n">
        <v>34.23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0</v>
      </c>
      <c r="F14" s="34" t="n">
        <v>0</v>
      </c>
      <c r="H14" s="18" t="n">
        <v>1735.05</v>
      </c>
      <c r="I14" s="18" t="n">
        <v>1735.05</v>
      </c>
      <c r="J14" s="18" t="n">
        <v>1338.09</v>
      </c>
      <c r="K14" s="34" t="n">
        <v>1338.09</v>
      </c>
      <c r="L14" s="18" t="n">
        <v>1328.62</v>
      </c>
      <c r="M14" s="18" t="n">
        <v>446.21</v>
      </c>
      <c r="N14" s="18" t="n">
        <v>438.71</v>
      </c>
      <c r="O14" s="18" t="n">
        <v>215.16</v>
      </c>
      <c r="P14" s="34" t="n">
        <v>215.16</v>
      </c>
      <c r="Q14" s="18" t="n">
        <v>202.01</v>
      </c>
      <c r="R14" s="18" t="n">
        <v>0</v>
      </c>
      <c r="S14" s="18" t="n">
        <v>0</v>
      </c>
      <c r="T14" s="18" t="n">
        <v>0</v>
      </c>
      <c r="U14" s="34" t="n">
        <v>0</v>
      </c>
      <c r="W14" s="18" t="n">
        <v>34.23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262975.94</v>
      </c>
      <c r="F15" s="34" t="n">
        <v>262975.94</v>
      </c>
      <c r="G15" s="18" t="n">
        <v>245866.22</v>
      </c>
      <c r="H15" s="18" t="n">
        <v>230958.45</v>
      </c>
      <c r="I15" s="18" t="n">
        <v>256459.19</v>
      </c>
      <c r="J15" s="18" t="n">
        <v>254863.66</v>
      </c>
      <c r="K15" s="34" t="n">
        <v>254863.66</v>
      </c>
      <c r="L15" s="18" t="n">
        <v>255594.17</v>
      </c>
      <c r="M15" s="18" t="n">
        <v>254568.07</v>
      </c>
      <c r="N15" s="18" t="n">
        <v>254180.01</v>
      </c>
      <c r="O15" s="18" t="n">
        <v>244392.17</v>
      </c>
      <c r="P15" s="34" t="n">
        <v>244392.17</v>
      </c>
      <c r="Q15" s="18" t="n">
        <v>265414.99</v>
      </c>
      <c r="R15" s="18" t="n">
        <v>304449.72</v>
      </c>
      <c r="S15" s="18" t="n">
        <v>289588.77</v>
      </c>
      <c r="T15" s="18" t="n">
        <v>325338.58</v>
      </c>
      <c r="U15" s="34" t="n">
        <v>325338.58</v>
      </c>
      <c r="V15" s="18" t="n">
        <v>232258.64</v>
      </c>
      <c r="W15" s="18" t="n">
        <v>268788.88</v>
      </c>
      <c r="X15" s="18" t="n">
        <v>241928.84</v>
      </c>
      <c r="Y15" s="18" t="n">
        <v>237467.73</v>
      </c>
      <c r="Z15" s="34" t="n">
        <v>237467.73</v>
      </c>
      <c r="AA15" s="18" t="n">
        <v>240715.96</v>
      </c>
      <c r="AB15" s="19" t="n">
        <v>253109.93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3113.38</v>
      </c>
      <c r="F16" s="34" t="n">
        <v>3113.38</v>
      </c>
      <c r="G16" s="18" t="n">
        <v>2759.46</v>
      </c>
      <c r="H16" s="18" t="n">
        <v>2680.64</v>
      </c>
      <c r="I16" s="18" t="n">
        <v>2259.7</v>
      </c>
      <c r="J16" s="18" t="n">
        <v>2650.3</v>
      </c>
      <c r="K16" s="34" t="n">
        <v>2650.3</v>
      </c>
      <c r="L16" s="18" t="n">
        <v>2717.31</v>
      </c>
      <c r="M16" s="18" t="n">
        <v>2792.06</v>
      </c>
      <c r="N16" s="18" t="n">
        <v>2305.75</v>
      </c>
      <c r="O16" s="18" t="n">
        <v>1237.16</v>
      </c>
      <c r="P16" s="34" t="n">
        <v>1237.16</v>
      </c>
      <c r="Q16" s="18" t="n">
        <v>82334.00999999999</v>
      </c>
      <c r="R16" s="18" t="n">
        <v>130504.62</v>
      </c>
      <c r="S16" s="18" t="n">
        <v>112537.05</v>
      </c>
      <c r="T16" s="18" t="n">
        <v>153822.44</v>
      </c>
      <c r="U16" s="34" t="n">
        <v>153822.44</v>
      </c>
      <c r="V16" s="18" t="n">
        <v>64513.42</v>
      </c>
      <c r="W16" s="18" t="n">
        <v>85831.60000000001</v>
      </c>
      <c r="X16" s="18" t="n">
        <v>69266.96000000001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3613.38</v>
      </c>
      <c r="F17" s="34" t="n">
        <v>3613.38</v>
      </c>
      <c r="G17" s="18" t="n">
        <v>3159.46</v>
      </c>
      <c r="H17" s="18" t="n">
        <v>3080.64</v>
      </c>
      <c r="I17" s="18" t="n">
        <v>2659.7</v>
      </c>
      <c r="J17" s="18" t="n">
        <v>2950.3</v>
      </c>
      <c r="K17" s="34" t="n">
        <v>2950.3</v>
      </c>
      <c r="L17" s="18" t="n">
        <v>2817.31</v>
      </c>
      <c r="M17" s="18" t="n">
        <v>2892.06</v>
      </c>
      <c r="N17" s="18" t="n">
        <v>2905.75</v>
      </c>
      <c r="O17" s="18" t="n">
        <v>1822.16</v>
      </c>
      <c r="P17" s="34" t="n">
        <v>1822.16</v>
      </c>
      <c r="Q17" s="18" t="n">
        <v>82919.00999999999</v>
      </c>
      <c r="R17" s="18" t="n">
        <v>130589.62</v>
      </c>
      <c r="S17" s="18" t="n">
        <v>112537.05</v>
      </c>
      <c r="T17" s="18" t="n">
        <v>153822.44</v>
      </c>
      <c r="U17" s="34" t="n">
        <v>153822.44</v>
      </c>
      <c r="V17" s="18" t="n">
        <v>64513.42</v>
      </c>
      <c r="W17" s="18" t="n">
        <v>85831.60000000001</v>
      </c>
      <c r="X17" s="18" t="n">
        <v>69266.96000000001</v>
      </c>
      <c r="Y17" s="18" t="n">
        <v>81858.88</v>
      </c>
      <c r="Z17" s="34" t="n">
        <v>81858.88</v>
      </c>
      <c r="AA17" s="18" t="n">
        <v>84418.67999999999</v>
      </c>
      <c r="AB17" s="19" t="n">
        <v>89193.42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607.8200000000001</v>
      </c>
      <c r="F18" s="34" t="n">
        <v>607.8200000000001</v>
      </c>
      <c r="G18" s="18" t="n">
        <v>515.22</v>
      </c>
      <c r="H18" s="18" t="n">
        <v>463.73</v>
      </c>
      <c r="I18" s="18" t="n">
        <v>467.22</v>
      </c>
      <c r="J18" s="18" t="n">
        <v>377.74</v>
      </c>
      <c r="K18" s="34" t="n">
        <v>377.74</v>
      </c>
      <c r="L18" s="18" t="n">
        <v>163.12</v>
      </c>
      <c r="M18" s="18" t="n">
        <v>168.31</v>
      </c>
      <c r="N18" s="18" t="n">
        <v>667.6900000000001</v>
      </c>
      <c r="O18" s="18" t="n">
        <v>614.14</v>
      </c>
      <c r="P18" s="34" t="n">
        <v>614.14</v>
      </c>
      <c r="Q18" s="18" t="n">
        <v>614.37</v>
      </c>
      <c r="R18" s="18" t="n">
        <v>114.6</v>
      </c>
      <c r="U18" s="9" t="n"/>
      <c r="Y18" s="18" t="n">
        <v>88.65000000000001</v>
      </c>
      <c r="Z18" s="34" t="n">
        <v>88.65000000000001</v>
      </c>
      <c r="AA18" s="18" t="n">
        <v>88.70999999999999</v>
      </c>
      <c r="AB18" s="19" t="n">
        <v>87.73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500</v>
      </c>
      <c r="F19" s="34" t="n">
        <v>500</v>
      </c>
      <c r="G19" s="18" t="n">
        <v>400</v>
      </c>
      <c r="H19" s="18" t="n">
        <v>400</v>
      </c>
      <c r="I19" s="18" t="n">
        <v>400</v>
      </c>
      <c r="J19" s="18" t="n">
        <v>300</v>
      </c>
      <c r="K19" s="34" t="n">
        <v>300</v>
      </c>
      <c r="L19" s="18" t="n">
        <v>100</v>
      </c>
      <c r="M19" s="18" t="n">
        <v>100</v>
      </c>
      <c r="N19" s="18" t="n">
        <v>600</v>
      </c>
      <c r="O19" s="18" t="n">
        <v>585</v>
      </c>
      <c r="P19" s="34" t="n">
        <v>585</v>
      </c>
      <c r="Q19" s="18" t="n">
        <v>585</v>
      </c>
      <c r="R19" s="18" t="n">
        <v>85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95904.10000000001</v>
      </c>
      <c r="F20" s="34" t="n">
        <v>95904.10000000001</v>
      </c>
      <c r="G20" s="18" t="n">
        <v>94740.88</v>
      </c>
      <c r="H20" s="18" t="n">
        <v>93535.42</v>
      </c>
      <c r="I20" s="18" t="n">
        <v>92217.09</v>
      </c>
      <c r="J20" s="18" t="n">
        <v>91617.92</v>
      </c>
      <c r="K20" s="34" t="n">
        <v>91617.92</v>
      </c>
      <c r="L20" s="18" t="n">
        <v>90785.73</v>
      </c>
      <c r="M20" s="18" t="n">
        <v>89839.33</v>
      </c>
      <c r="N20" s="18" t="n">
        <v>88821.98</v>
      </c>
      <c r="O20" s="18" t="n">
        <v>71627.21000000001</v>
      </c>
      <c r="P20" s="34" t="n">
        <v>71627.21000000001</v>
      </c>
      <c r="Q20" s="18" t="n">
        <v>71242.99000000001</v>
      </c>
      <c r="R20" s="18" t="n">
        <v>71288.50999999999</v>
      </c>
      <c r="S20" s="18" t="n">
        <v>71347.00999999999</v>
      </c>
      <c r="T20" s="18" t="n">
        <v>71009.16</v>
      </c>
      <c r="U20" s="34" t="n">
        <v>71009.16</v>
      </c>
      <c r="V20" s="18" t="n">
        <v>72084.03</v>
      </c>
      <c r="W20" s="18" t="n">
        <v>72164.57000000001</v>
      </c>
      <c r="X20" s="18" t="n">
        <v>72111.12</v>
      </c>
      <c r="Y20" s="18" t="n">
        <v>73564.73</v>
      </c>
      <c r="Z20" s="34" t="n">
        <v>73564.73</v>
      </c>
      <c r="AA20" s="18" t="n">
        <v>73024.99000000001</v>
      </c>
      <c r="AB20" s="19" t="n">
        <v>72387.89999999999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38214.31</v>
      </c>
      <c r="F21" s="34" t="n">
        <v>38214.31</v>
      </c>
      <c r="G21" s="18" t="n">
        <v>38286.21</v>
      </c>
      <c r="H21" s="18" t="n">
        <v>35011.07</v>
      </c>
      <c r="I21" s="18" t="n">
        <v>32632.19</v>
      </c>
      <c r="J21" s="18" t="n">
        <v>32695.11</v>
      </c>
      <c r="K21" s="34" t="n">
        <v>32695.11</v>
      </c>
      <c r="L21" s="18" t="n">
        <v>32695.11</v>
      </c>
      <c r="M21" s="18" t="n">
        <v>32757.02</v>
      </c>
      <c r="N21" s="18" t="n">
        <v>33627.39</v>
      </c>
      <c r="O21" s="18" t="n">
        <v>28445.6</v>
      </c>
      <c r="P21" s="34" t="n">
        <v>28445.6</v>
      </c>
      <c r="Q21" s="18" t="n">
        <v>28445.6</v>
      </c>
      <c r="R21" s="18" t="n">
        <v>29252.81</v>
      </c>
      <c r="S21" s="18" t="n">
        <v>29268.81</v>
      </c>
      <c r="T21" s="18" t="n">
        <v>29268.81</v>
      </c>
      <c r="U21" s="34" t="n">
        <v>29268.81</v>
      </c>
      <c r="V21" s="18" t="n">
        <v>29205.88</v>
      </c>
      <c r="W21" s="18" t="n">
        <v>29205.88</v>
      </c>
      <c r="X21" s="18" t="n">
        <v>29205.88</v>
      </c>
      <c r="Y21" s="18" t="n">
        <v>27133.65</v>
      </c>
      <c r="Z21" s="34" t="n">
        <v>27133.65</v>
      </c>
      <c r="AA21" s="18" t="n">
        <v>26995.95</v>
      </c>
      <c r="AB21" s="19" t="n">
        <v>25607.38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142</v>
      </c>
      <c r="F22" s="34" t="n">
        <v>142</v>
      </c>
      <c r="G22" s="18" t="n">
        <v>138.97</v>
      </c>
      <c r="H22" s="18" t="n">
        <v>128.94</v>
      </c>
      <c r="I22" s="18" t="n">
        <v>125.46</v>
      </c>
      <c r="J22" s="18" t="n">
        <v>123.85</v>
      </c>
      <c r="K22" s="34" t="n">
        <v>123.85</v>
      </c>
      <c r="L22" s="18" t="n">
        <v>122.94</v>
      </c>
      <c r="M22" s="18" t="n">
        <v>122.09</v>
      </c>
      <c r="N22" s="18" t="n">
        <v>121.5</v>
      </c>
      <c r="O22" s="18" t="n">
        <v>116.81</v>
      </c>
      <c r="P22" s="34" t="n">
        <v>116.81</v>
      </c>
      <c r="Q22" s="18" t="n">
        <v>116.67</v>
      </c>
      <c r="R22" s="18" t="n">
        <v>116.53</v>
      </c>
      <c r="S22" s="18" t="n">
        <v>116.39</v>
      </c>
      <c r="T22" s="18" t="n">
        <v>116.26</v>
      </c>
      <c r="U22" s="34" t="n">
        <v>116.26</v>
      </c>
      <c r="V22" s="18" t="n">
        <v>116.16</v>
      </c>
      <c r="W22" s="18" t="n">
        <v>116.06</v>
      </c>
      <c r="X22" s="18" t="n">
        <v>115.96</v>
      </c>
      <c r="Y22" s="18" t="n">
        <v>115.86</v>
      </c>
      <c r="Z22" s="34" t="n">
        <v>115.86</v>
      </c>
      <c r="AA22" s="18" t="n">
        <v>523.76</v>
      </c>
      <c r="AB22" s="19" t="n">
        <v>523.66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96.53</v>
      </c>
      <c r="F23" s="34" t="n">
        <v>96.53</v>
      </c>
      <c r="G23" s="18" t="n">
        <v>96.53</v>
      </c>
      <c r="J23" s="18" t="n">
        <v>0</v>
      </c>
      <c r="K23" s="34" t="n">
        <v>0</v>
      </c>
      <c r="O23" s="18" t="n">
        <v>2665.45</v>
      </c>
      <c r="P23" s="34" t="n">
        <v>2665.45</v>
      </c>
      <c r="Q23" s="18" t="n">
        <v>0</v>
      </c>
      <c r="R23" s="18" t="n">
        <v>0</v>
      </c>
      <c r="S23" s="18" t="n">
        <v>0</v>
      </c>
      <c r="T23" s="18" t="n">
        <v>0</v>
      </c>
      <c r="U23" s="34" t="n">
        <v>0</v>
      </c>
      <c r="V23" s="18" t="n">
        <v>0</v>
      </c>
      <c r="W23" s="18" t="n">
        <v>0</v>
      </c>
      <c r="Y23" s="18" t="n">
        <v>0</v>
      </c>
      <c r="Z23" s="34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3.14</v>
      </c>
      <c r="F24" s="34" t="n">
        <v>3.14</v>
      </c>
      <c r="G24" s="18" t="n">
        <v>4.04</v>
      </c>
      <c r="H24" s="18" t="n">
        <v>11.43</v>
      </c>
      <c r="I24" s="18" t="n">
        <v>8.52</v>
      </c>
      <c r="J24" s="18" t="n">
        <v>7.39</v>
      </c>
      <c r="K24" s="34" t="n">
        <v>7.39</v>
      </c>
      <c r="L24" s="18" t="n">
        <v>11.81</v>
      </c>
      <c r="M24" s="18" t="n">
        <v>84463.45</v>
      </c>
      <c r="N24" s="18" t="n">
        <v>84462.50999999999</v>
      </c>
      <c r="O24" s="18" t="n">
        <v>12.55</v>
      </c>
      <c r="P24" s="34" t="n">
        <v>12.55</v>
      </c>
      <c r="Q24" s="18" t="n">
        <v>11.56</v>
      </c>
      <c r="R24" s="18" t="n">
        <v>276.69</v>
      </c>
      <c r="S24" s="18" t="n">
        <v>103.07</v>
      </c>
      <c r="T24" s="18" t="n">
        <v>8.279999999999999</v>
      </c>
      <c r="U24" s="34" t="n">
        <v>8.279999999999999</v>
      </c>
      <c r="V24" s="18" t="n">
        <v>8.630000000000001</v>
      </c>
      <c r="W24" s="18" t="n">
        <v>6.98</v>
      </c>
      <c r="X24" s="18" t="n">
        <v>6.51</v>
      </c>
      <c r="Y24" s="18" t="n">
        <v>37.52</v>
      </c>
      <c r="Z24" s="34" t="n">
        <v>37.52</v>
      </c>
      <c r="AA24" s="18" t="n">
        <v>27.65</v>
      </c>
      <c r="AB24" s="19" t="n">
        <v>527.01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364699.68</v>
      </c>
      <c r="F25" s="34" t="n">
        <v>364699.68</v>
      </c>
      <c r="G25" s="18" t="n">
        <v>345672.32</v>
      </c>
      <c r="H25" s="18" t="n">
        <v>347005.12</v>
      </c>
      <c r="I25" s="18" t="n">
        <v>345865.98</v>
      </c>
      <c r="J25" s="18" t="n">
        <v>340721.71</v>
      </c>
      <c r="K25" s="34" t="n">
        <v>340721.71</v>
      </c>
      <c r="L25" s="18" t="n">
        <v>347211.89</v>
      </c>
      <c r="M25" s="18" t="n">
        <v>332888.63</v>
      </c>
      <c r="N25" s="18" t="n">
        <v>353332.72</v>
      </c>
      <c r="O25" s="18" t="n">
        <v>319190.61</v>
      </c>
      <c r="P25" s="34" t="n">
        <v>319190.61</v>
      </c>
      <c r="Q25" s="18" t="n">
        <v>356307.15</v>
      </c>
      <c r="R25" s="18" t="n">
        <v>410081.9</v>
      </c>
      <c r="S25" s="18" t="n">
        <v>393711.15</v>
      </c>
      <c r="T25" s="18" t="n">
        <v>430256.71</v>
      </c>
      <c r="U25" s="34" t="n">
        <v>430256.71</v>
      </c>
      <c r="V25" s="18" t="n">
        <v>443421.53</v>
      </c>
      <c r="W25" s="18" t="n">
        <v>446143.32</v>
      </c>
      <c r="X25" s="18" t="n">
        <v>463166.9</v>
      </c>
      <c r="Y25" s="18" t="n">
        <v>462070.25</v>
      </c>
      <c r="Z25" s="34" t="n">
        <v>462070.25</v>
      </c>
      <c r="AA25" s="18" t="n">
        <v>452529.34</v>
      </c>
      <c r="AB25" s="19" t="n">
        <v>432566.56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169586.87</v>
      </c>
      <c r="F26" s="34" t="n">
        <v>169586.87</v>
      </c>
      <c r="G26" s="18" t="n">
        <v>162047.67</v>
      </c>
      <c r="H26" s="18" t="n">
        <v>165948.12</v>
      </c>
      <c r="I26" s="18" t="n">
        <v>160920.17</v>
      </c>
      <c r="J26" s="18" t="n">
        <v>158686.2</v>
      </c>
      <c r="K26" s="34" t="n">
        <v>158686.2</v>
      </c>
      <c r="L26" s="18" t="n">
        <v>162871.2</v>
      </c>
      <c r="M26" s="18" t="n">
        <v>156116.89</v>
      </c>
      <c r="N26" s="18" t="n">
        <v>177484.85</v>
      </c>
      <c r="O26" s="18" t="n">
        <v>143470.04</v>
      </c>
      <c r="P26" s="34" t="n">
        <v>143470.04</v>
      </c>
      <c r="Q26" s="18" t="n">
        <v>133236.74</v>
      </c>
      <c r="R26" s="18" t="n">
        <v>130000.04</v>
      </c>
      <c r="S26" s="18" t="n">
        <v>131416.55</v>
      </c>
      <c r="T26" s="18" t="n">
        <v>133955.18</v>
      </c>
      <c r="U26" s="34" t="n">
        <v>133955.18</v>
      </c>
      <c r="V26" s="18" t="n">
        <v>144952.79</v>
      </c>
      <c r="W26" s="18" t="n">
        <v>122439.31</v>
      </c>
      <c r="X26" s="18" t="n">
        <v>117628</v>
      </c>
      <c r="Y26" s="18" t="n">
        <v>107007.16</v>
      </c>
      <c r="Z26" s="34" t="n">
        <v>107007.16</v>
      </c>
      <c r="AA26" s="18" t="n">
        <v>98168.73</v>
      </c>
      <c r="AB26" s="19" t="n">
        <v>62469.72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156919.62</v>
      </c>
      <c r="F27" s="34" t="n">
        <v>156919.62</v>
      </c>
      <c r="G27" s="18" t="n">
        <v>154814.86</v>
      </c>
      <c r="H27" s="18" t="n">
        <v>160944.21</v>
      </c>
      <c r="I27" s="18" t="n">
        <v>156115</v>
      </c>
      <c r="J27" s="18" t="n">
        <v>153694.1</v>
      </c>
      <c r="K27" s="34" t="n">
        <v>153694.1</v>
      </c>
      <c r="L27" s="18" t="n">
        <v>158386.33</v>
      </c>
      <c r="M27" s="18" t="n">
        <v>153948.19</v>
      </c>
      <c r="N27" s="18" t="n">
        <v>175558.47</v>
      </c>
      <c r="O27" s="18" t="n">
        <v>142343.96</v>
      </c>
      <c r="P27" s="34" t="n">
        <v>142343.96</v>
      </c>
      <c r="Q27" s="18" t="n">
        <v>122403.27</v>
      </c>
      <c r="R27" s="18" t="n">
        <v>121070.41</v>
      </c>
      <c r="S27" s="18" t="n">
        <v>120824.44</v>
      </c>
      <c r="T27" s="18" t="n">
        <v>123353.53</v>
      </c>
      <c r="U27" s="34" t="n">
        <v>123353.53</v>
      </c>
      <c r="V27" s="18" t="n">
        <v>118084.63</v>
      </c>
      <c r="W27" s="18" t="n">
        <v>100154.51</v>
      </c>
      <c r="X27" s="18" t="n">
        <v>83285.02</v>
      </c>
      <c r="Y27" s="18" t="n">
        <v>8383.42</v>
      </c>
      <c r="Z27" s="34" t="n">
        <v>8383.42</v>
      </c>
      <c r="AA27" s="18" t="n">
        <v>7526.44</v>
      </c>
      <c r="AB27" s="19" t="n">
        <v>8124.91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131396</v>
      </c>
      <c r="F28" s="34" t="n">
        <v>131396</v>
      </c>
      <c r="G28" s="18" t="n">
        <v>129456</v>
      </c>
      <c r="H28" s="18" t="n">
        <v>132156</v>
      </c>
      <c r="I28" s="18" t="n">
        <v>126576</v>
      </c>
      <c r="J28" s="18" t="n">
        <v>126576</v>
      </c>
      <c r="K28" s="34" t="n">
        <v>126576</v>
      </c>
      <c r="L28" s="18" t="n">
        <v>126726</v>
      </c>
      <c r="M28" s="18" t="n">
        <v>126576</v>
      </c>
      <c r="N28" s="18" t="n">
        <v>130836</v>
      </c>
      <c r="O28" s="18" t="n">
        <v>108680</v>
      </c>
      <c r="P28" s="34" t="n">
        <v>108680</v>
      </c>
      <c r="Q28" s="18" t="n">
        <v>103680</v>
      </c>
      <c r="R28" s="18" t="n">
        <v>109180</v>
      </c>
      <c r="U28" s="9" t="n"/>
      <c r="Y28" s="18" t="n">
        <v>46880</v>
      </c>
      <c r="Z28" s="34" t="n">
        <v>46880</v>
      </c>
      <c r="AA28" s="18" t="n">
        <v>46880</v>
      </c>
      <c r="AB28" s="19" t="n">
        <v>45340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2579.4</v>
      </c>
      <c r="F29" s="34" t="n">
        <v>2579.4</v>
      </c>
      <c r="G29" s="18" t="n">
        <v>2079.4</v>
      </c>
      <c r="H29" s="18" t="n">
        <v>7602.9</v>
      </c>
      <c r="I29" s="18" t="n">
        <v>7763.82</v>
      </c>
      <c r="J29" s="18" t="n">
        <v>7924.78</v>
      </c>
      <c r="K29" s="34" t="n">
        <v>7924.78</v>
      </c>
      <c r="L29" s="18" t="n">
        <v>7082.23</v>
      </c>
      <c r="M29" s="18" t="n">
        <v>7248.98</v>
      </c>
      <c r="N29" s="18" t="n">
        <v>6354.04</v>
      </c>
      <c r="O29" s="18" t="n">
        <v>6540.95</v>
      </c>
      <c r="P29" s="34" t="n">
        <v>6540.95</v>
      </c>
      <c r="Q29" s="18" t="n">
        <v>6733.77</v>
      </c>
      <c r="R29" s="18" t="n">
        <v>0</v>
      </c>
      <c r="S29" s="18" t="n">
        <v>0</v>
      </c>
      <c r="T29" s="18" t="n">
        <v>0</v>
      </c>
      <c r="U29" s="34" t="n">
        <v>0</v>
      </c>
      <c r="Y29" s="18" t="n">
        <v>14500</v>
      </c>
      <c r="Z29" s="34" t="n">
        <v>14500</v>
      </c>
      <c r="AA29" s="18" t="n">
        <v>15000</v>
      </c>
      <c r="AB29" s="19" t="n">
        <v>1000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46.2</v>
      </c>
      <c r="F30" s="34" t="n">
        <v>46.2</v>
      </c>
      <c r="G30" s="18" t="n">
        <v>44.07</v>
      </c>
      <c r="H30" s="18" t="n">
        <v>55.32</v>
      </c>
      <c r="I30" s="18" t="n">
        <v>56.87</v>
      </c>
      <c r="J30" s="18" t="n">
        <v>64.09</v>
      </c>
      <c r="K30" s="34" t="n">
        <v>64.09</v>
      </c>
      <c r="L30" s="18" t="n">
        <v>55.48</v>
      </c>
      <c r="M30" s="18" t="n">
        <v>73.89</v>
      </c>
      <c r="N30" s="18" t="n">
        <v>67.36</v>
      </c>
      <c r="O30" s="18" t="n">
        <v>41.71</v>
      </c>
      <c r="P30" s="34" t="n">
        <v>41.71</v>
      </c>
      <c r="Q30" s="18" t="n">
        <v>42.13</v>
      </c>
      <c r="R30" s="18" t="n">
        <v>45.09</v>
      </c>
      <c r="S30" s="18" t="n">
        <v>45.52</v>
      </c>
      <c r="T30" s="18" t="n">
        <v>45.96</v>
      </c>
      <c r="U30" s="34" t="n">
        <v>45.96</v>
      </c>
      <c r="V30" s="18" t="n">
        <v>30.6</v>
      </c>
      <c r="W30" s="18" t="n">
        <v>28.78</v>
      </c>
      <c r="X30" s="18" t="n">
        <v>25.75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83.40000000000001</v>
      </c>
      <c r="F31" s="34" t="n">
        <v>83.40000000000001</v>
      </c>
      <c r="G31" s="18" t="n">
        <v>70.31999999999999</v>
      </c>
      <c r="H31" s="18" t="n">
        <v>105.38</v>
      </c>
      <c r="I31" s="18" t="n">
        <v>113.03</v>
      </c>
      <c r="J31" s="18" t="n">
        <v>157.98</v>
      </c>
      <c r="K31" s="34" t="n">
        <v>157.98</v>
      </c>
      <c r="L31" s="18" t="n">
        <v>139.47</v>
      </c>
      <c r="M31" s="18" t="n">
        <v>225.12</v>
      </c>
      <c r="N31" s="18" t="n">
        <v>203.91</v>
      </c>
      <c r="O31" s="18" t="n">
        <v>137.17</v>
      </c>
      <c r="P31" s="34" t="n">
        <v>137.17</v>
      </c>
      <c r="Q31" s="18" t="n">
        <v>126.26</v>
      </c>
      <c r="R31" s="18" t="n">
        <v>115.25</v>
      </c>
      <c r="S31" s="18" t="n">
        <v>104.13</v>
      </c>
      <c r="T31" s="18" t="n">
        <v>92.92</v>
      </c>
      <c r="U31" s="34" t="n">
        <v>92.92</v>
      </c>
      <c r="V31" s="18" t="n">
        <v>53.49</v>
      </c>
      <c r="W31" s="18" t="n">
        <v>45.89</v>
      </c>
      <c r="X31" s="18" t="n">
        <v>38.24</v>
      </c>
      <c r="Y31" s="18" t="n">
        <v>7.83</v>
      </c>
      <c r="Z31" s="34" t="n">
        <v>7.83</v>
      </c>
      <c r="AA31" s="18" t="n">
        <v>3.14</v>
      </c>
      <c r="AB31" s="19" t="n">
        <v>36.47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46.2</v>
      </c>
      <c r="F32" s="34" t="n">
        <v>46.2</v>
      </c>
      <c r="G32" s="18" t="n">
        <v>46.45</v>
      </c>
      <c r="H32" s="18" t="n">
        <v>8711.559999999999</v>
      </c>
      <c r="I32" s="18" t="n">
        <v>8721.93</v>
      </c>
      <c r="J32" s="18" t="n">
        <v>7678.61</v>
      </c>
      <c r="K32" s="34" t="n">
        <v>7678.61</v>
      </c>
      <c r="L32" s="18" t="n">
        <v>7670</v>
      </c>
      <c r="M32" s="18" t="n">
        <v>3676.51</v>
      </c>
      <c r="N32" s="18" t="n">
        <v>3679.68</v>
      </c>
      <c r="O32" s="18" t="n">
        <v>2236.51</v>
      </c>
      <c r="P32" s="34" t="n">
        <v>2236.51</v>
      </c>
      <c r="Q32" s="18" t="n">
        <v>2244.85</v>
      </c>
      <c r="R32" s="18" t="n">
        <v>45.09</v>
      </c>
      <c r="S32" s="18" t="n">
        <v>45.52</v>
      </c>
      <c r="T32" s="18" t="n">
        <v>97.36</v>
      </c>
      <c r="U32" s="34" t="n">
        <v>97.36</v>
      </c>
      <c r="V32" s="18" t="n">
        <v>32.04</v>
      </c>
      <c r="W32" s="18" t="n">
        <v>28.78</v>
      </c>
      <c r="X32" s="18" t="n">
        <v>25.75</v>
      </c>
      <c r="Y32" s="18" t="n">
        <v>0</v>
      </c>
      <c r="Z32" s="34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12667.25</v>
      </c>
      <c r="F33" s="34" t="n">
        <v>12667.25</v>
      </c>
      <c r="G33" s="18" t="n">
        <v>7231.62</v>
      </c>
      <c r="H33" s="18" t="n">
        <v>675.79</v>
      </c>
      <c r="I33" s="18" t="n">
        <v>472.63</v>
      </c>
      <c r="J33" s="18" t="n">
        <v>1184.84</v>
      </c>
      <c r="K33" s="34" t="n">
        <v>1184.84</v>
      </c>
      <c r="L33" s="18" t="n">
        <v>677.61</v>
      </c>
      <c r="M33" s="18" t="n">
        <v>367.4</v>
      </c>
      <c r="N33" s="18" t="n">
        <v>120.23</v>
      </c>
      <c r="O33" s="18" t="n">
        <v>28.68</v>
      </c>
      <c r="P33" s="34" t="n">
        <v>28.68</v>
      </c>
      <c r="Q33" s="18" t="n">
        <v>9732.1</v>
      </c>
      <c r="R33" s="18" t="n">
        <v>8929.639999999999</v>
      </c>
      <c r="S33" s="18" t="n">
        <v>10592.11</v>
      </c>
      <c r="T33" s="18" t="n">
        <v>10575.94</v>
      </c>
      <c r="U33" s="34" t="n">
        <v>10575.94</v>
      </c>
      <c r="V33" s="18" t="n">
        <v>26867.44</v>
      </c>
      <c r="W33" s="18" t="n">
        <v>22284.79</v>
      </c>
      <c r="X33" s="18" t="n">
        <v>34342.98</v>
      </c>
      <c r="Y33" s="18" t="n">
        <v>34331.23</v>
      </c>
      <c r="Z33" s="34" t="n">
        <v>34331.23</v>
      </c>
      <c r="AA33" s="18" t="n">
        <v>19602.36</v>
      </c>
      <c r="AB33" s="19" t="n">
        <v>2268.65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5488.26</v>
      </c>
      <c r="F34" s="34" t="n">
        <v>5488.26</v>
      </c>
      <c r="G34" s="18" t="n">
        <v>5649.85</v>
      </c>
      <c r="H34" s="18" t="n">
        <v>10965.58</v>
      </c>
      <c r="I34" s="18" t="n">
        <v>13412.87</v>
      </c>
      <c r="J34" s="18" t="n">
        <v>11684.9</v>
      </c>
      <c r="K34" s="34" t="n">
        <v>11684.9</v>
      </c>
      <c r="L34" s="18" t="n">
        <v>11886.66</v>
      </c>
      <c r="M34" s="18" t="n">
        <v>12002.48</v>
      </c>
      <c r="N34" s="18" t="n">
        <v>12140.65</v>
      </c>
      <c r="O34" s="18" t="n">
        <v>7035.45</v>
      </c>
      <c r="P34" s="34" t="n">
        <v>7035.45</v>
      </c>
      <c r="Q34" s="18" t="n">
        <v>11092.59</v>
      </c>
      <c r="R34" s="18" t="n">
        <v>30054.15</v>
      </c>
      <c r="S34" s="18" t="n">
        <v>25324.75</v>
      </c>
      <c r="T34" s="18" t="n">
        <v>36376.77</v>
      </c>
      <c r="U34" s="34" t="n">
        <v>36376.77</v>
      </c>
      <c r="V34" s="18" t="n">
        <v>24319.48</v>
      </c>
      <c r="W34" s="18" t="n">
        <v>15069.58</v>
      </c>
      <c r="X34" s="18" t="n">
        <v>13613.61</v>
      </c>
      <c r="Y34" s="18" t="n">
        <v>13709.31</v>
      </c>
      <c r="Z34" s="34" t="n">
        <v>13709.31</v>
      </c>
      <c r="AA34" s="18" t="n">
        <v>13085.1</v>
      </c>
      <c r="AB34" s="19" t="n">
        <v>14755.47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1795.9</v>
      </c>
      <c r="F35" s="34" t="n">
        <v>1795.9</v>
      </c>
      <c r="G35" s="18" t="n">
        <v>1679.02</v>
      </c>
      <c r="H35" s="18" t="n">
        <v>7244.9</v>
      </c>
      <c r="I35" s="18" t="n">
        <v>9498.1</v>
      </c>
      <c r="J35" s="18" t="n">
        <v>9623.82</v>
      </c>
      <c r="K35" s="34" t="n">
        <v>9623.82</v>
      </c>
      <c r="L35" s="18" t="n">
        <v>9914.309999999999</v>
      </c>
      <c r="M35" s="18" t="n">
        <v>9809.35</v>
      </c>
      <c r="N35" s="18" t="n">
        <v>9920.459999999999</v>
      </c>
      <c r="O35" s="18" t="n">
        <v>7152.65</v>
      </c>
      <c r="P35" s="34" t="n">
        <v>7152.65</v>
      </c>
      <c r="Q35" s="18" t="n">
        <v>7293.56</v>
      </c>
      <c r="R35" s="18" t="n">
        <v>14505.22</v>
      </c>
      <c r="S35" s="18" t="n">
        <v>14341.85</v>
      </c>
      <c r="T35" s="18" t="n">
        <v>14168.91</v>
      </c>
      <c r="U35" s="34" t="n">
        <v>14168.91</v>
      </c>
      <c r="V35" s="18" t="n">
        <v>15124.54</v>
      </c>
      <c r="W35" s="18" t="n">
        <v>1098.47</v>
      </c>
      <c r="X35" s="18" t="n">
        <v>1423.55</v>
      </c>
      <c r="Y35" s="18" t="n">
        <v>127.53</v>
      </c>
      <c r="Z35" s="34" t="n">
        <v>127.53</v>
      </c>
      <c r="AA35" s="18" t="n">
        <v>120</v>
      </c>
      <c r="AB35" s="19" t="n">
        <v>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711</v>
      </c>
      <c r="F36" s="34" t="n">
        <v>711</v>
      </c>
      <c r="G36" s="18" t="n">
        <v>661</v>
      </c>
      <c r="H36" s="18" t="n">
        <v>781</v>
      </c>
      <c r="I36" s="18" t="n">
        <v>441.15</v>
      </c>
      <c r="J36" s="18" t="n">
        <v>442.15</v>
      </c>
      <c r="K36" s="34" t="n">
        <v>442.15</v>
      </c>
      <c r="L36" s="18" t="n">
        <v>325.74</v>
      </c>
      <c r="M36" s="18" t="n">
        <v>442.4</v>
      </c>
      <c r="N36" s="18" t="n">
        <v>440.75</v>
      </c>
      <c r="O36" s="18" t="n">
        <v>190</v>
      </c>
      <c r="P36" s="34" t="n">
        <v>190</v>
      </c>
      <c r="Q36" s="18" t="n">
        <v>190</v>
      </c>
      <c r="R36" s="18" t="n">
        <v>190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116.2</v>
      </c>
      <c r="F37" s="34" t="n">
        <v>116.2</v>
      </c>
      <c r="G37" s="18" t="n">
        <v>96.34999999999999</v>
      </c>
      <c r="H37" s="18" t="n">
        <v>76.5</v>
      </c>
      <c r="I37" s="18" t="n">
        <v>2556.65</v>
      </c>
      <c r="J37" s="18" t="n">
        <v>2536.8</v>
      </c>
      <c r="K37" s="34" t="n">
        <v>2536.8</v>
      </c>
      <c r="L37" s="18" t="n">
        <v>2516.95</v>
      </c>
      <c r="M37" s="18" t="n">
        <v>2500</v>
      </c>
      <c r="N37" s="18" t="n">
        <v>2500</v>
      </c>
      <c r="O37" s="18" t="n">
        <v>0</v>
      </c>
      <c r="P37" s="34" t="n">
        <v>0</v>
      </c>
      <c r="Q37" s="18" t="n">
        <v>0</v>
      </c>
      <c r="R37" s="18" t="n">
        <v>14000</v>
      </c>
      <c r="U37" s="9" t="n"/>
      <c r="Y37" s="18" t="n">
        <v>1300</v>
      </c>
      <c r="Z37" s="34" t="n">
        <v>1300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37.2</v>
      </c>
      <c r="F38" s="34" t="n">
        <v>37.2</v>
      </c>
      <c r="G38" s="18" t="n">
        <v>26.25</v>
      </c>
      <c r="H38" s="18" t="n">
        <v>50.06</v>
      </c>
      <c r="I38" s="18" t="n">
        <v>56.16</v>
      </c>
      <c r="J38" s="18" t="n">
        <v>93.89</v>
      </c>
      <c r="K38" s="34" t="n">
        <v>93.89</v>
      </c>
      <c r="L38" s="18" t="n">
        <v>83.98999999999999</v>
      </c>
      <c r="M38" s="18" t="n">
        <v>151.23</v>
      </c>
      <c r="N38" s="18" t="n">
        <v>136.55</v>
      </c>
      <c r="O38" s="18" t="n">
        <v>95.45999999999999</v>
      </c>
      <c r="P38" s="34" t="n">
        <v>95.45999999999999</v>
      </c>
      <c r="Q38" s="18" t="n">
        <v>84.13</v>
      </c>
      <c r="R38" s="18" t="n">
        <v>70.16</v>
      </c>
      <c r="S38" s="18" t="n">
        <v>58.61</v>
      </c>
      <c r="T38" s="18" t="n">
        <v>46.96</v>
      </c>
      <c r="U38" s="34" t="n">
        <v>46.96</v>
      </c>
      <c r="V38" s="18" t="n">
        <v>22.89</v>
      </c>
      <c r="W38" s="18" t="n">
        <v>17.11</v>
      </c>
      <c r="X38" s="18" t="n">
        <v>12.49</v>
      </c>
      <c r="Y38" s="18" t="n">
        <v>7.83</v>
      </c>
      <c r="Z38" s="34" t="n">
        <v>7.83</v>
      </c>
      <c r="AA38" s="18" t="n">
        <v>3.14</v>
      </c>
      <c r="AB38" s="19" t="n">
        <v>36.47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37.2</v>
      </c>
      <c r="F39" s="34" t="n">
        <v>37.2</v>
      </c>
      <c r="G39" s="18" t="n">
        <v>26.25</v>
      </c>
      <c r="H39" s="18" t="n">
        <v>50.06</v>
      </c>
      <c r="I39" s="18" t="n">
        <v>56.16</v>
      </c>
      <c r="J39" s="18" t="n">
        <v>93.89</v>
      </c>
      <c r="K39" s="34" t="n">
        <v>93.89</v>
      </c>
      <c r="L39" s="18" t="n">
        <v>83.98999999999999</v>
      </c>
      <c r="M39" s="18" t="n">
        <v>151.23</v>
      </c>
      <c r="N39" s="18" t="n">
        <v>136.55</v>
      </c>
      <c r="O39" s="18" t="n">
        <v>95.45999999999999</v>
      </c>
      <c r="P39" s="34" t="n">
        <v>95.45999999999999</v>
      </c>
      <c r="Q39" s="18" t="n">
        <v>84.13</v>
      </c>
      <c r="R39" s="18" t="n">
        <v>70.16</v>
      </c>
      <c r="S39" s="18" t="n">
        <v>58.61</v>
      </c>
      <c r="T39" s="18" t="n">
        <v>46.96</v>
      </c>
      <c r="U39" s="34" t="n">
        <v>46.96</v>
      </c>
      <c r="V39" s="18" t="n">
        <v>22.89</v>
      </c>
      <c r="W39" s="18" t="n">
        <v>17.11</v>
      </c>
      <c r="X39" s="18" t="n">
        <v>12.49</v>
      </c>
      <c r="Y39" s="18" t="n">
        <v>7.83</v>
      </c>
      <c r="Z39" s="34" t="n">
        <v>7.83</v>
      </c>
      <c r="AA39" s="18" t="n">
        <v>3.14</v>
      </c>
      <c r="AB39" s="19" t="n">
        <v>36.47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0</v>
      </c>
      <c r="F40" s="34" t="n">
        <v>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678.48</v>
      </c>
      <c r="F41" s="34" t="n">
        <v>678.48</v>
      </c>
      <c r="G41" s="18" t="n">
        <v>899.01</v>
      </c>
      <c r="H41" s="18" t="n">
        <v>550.85</v>
      </c>
      <c r="I41" s="18" t="n">
        <v>736.34</v>
      </c>
      <c r="J41" s="18" t="n">
        <v>0</v>
      </c>
      <c r="K41" s="34" t="n">
        <v>0</v>
      </c>
      <c r="L41" s="18" t="n">
        <v>0</v>
      </c>
      <c r="O41" s="18" t="n">
        <v>45.92</v>
      </c>
      <c r="P41" s="34" t="n">
        <v>45.92</v>
      </c>
      <c r="Q41" s="18" t="n">
        <v>226.77</v>
      </c>
      <c r="R41" s="18" t="n">
        <v>0</v>
      </c>
      <c r="S41" s="18" t="n">
        <v>0</v>
      </c>
      <c r="T41" s="18" t="n">
        <v>0</v>
      </c>
      <c r="U41" s="34" t="n">
        <v>0</v>
      </c>
      <c r="V41" s="18" t="n">
        <v>188.87</v>
      </c>
      <c r="X41" s="18" t="n">
        <v>203.68</v>
      </c>
      <c r="Y41" s="18" t="n">
        <v>6.26</v>
      </c>
      <c r="Z41" s="34" t="n">
        <v>6.26</v>
      </c>
      <c r="AA41" s="18" t="n">
        <v>220.62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3479.63</v>
      </c>
      <c r="F42" s="34" t="n">
        <v>3479.63</v>
      </c>
      <c r="G42" s="18" t="n">
        <v>3519.53</v>
      </c>
      <c r="H42" s="18" t="n">
        <v>3576.75</v>
      </c>
      <c r="I42" s="18" t="n">
        <v>3558.29</v>
      </c>
      <c r="J42" s="18" t="n">
        <v>2413.89</v>
      </c>
      <c r="K42" s="34" t="n">
        <v>2413.89</v>
      </c>
      <c r="L42" s="18" t="n">
        <v>2464.75</v>
      </c>
      <c r="M42" s="18" t="n">
        <v>2464.75</v>
      </c>
      <c r="N42" s="18" t="n">
        <v>2464.75</v>
      </c>
      <c r="O42" s="18" t="n">
        <v>0</v>
      </c>
      <c r="P42" s="34" t="n">
        <v>0</v>
      </c>
      <c r="Q42" s="18" t="n">
        <v>3715.09</v>
      </c>
      <c r="R42" s="18" t="n">
        <v>15671.46</v>
      </c>
      <c r="S42" s="18" t="n">
        <v>10982.9</v>
      </c>
      <c r="T42" s="18" t="n">
        <v>22207.87</v>
      </c>
      <c r="U42" s="34" t="n">
        <v>22207.87</v>
      </c>
      <c r="V42" s="18" t="n">
        <v>9006.059999999999</v>
      </c>
      <c r="W42" s="18" t="n">
        <v>13971.11</v>
      </c>
      <c r="X42" s="18" t="n">
        <v>11986.39</v>
      </c>
      <c r="Y42" s="18" t="n">
        <v>12267.69</v>
      </c>
      <c r="Z42" s="34" t="n">
        <v>12267.69</v>
      </c>
      <c r="AA42" s="18" t="n">
        <v>12441.34</v>
      </c>
      <c r="AB42" s="19" t="n">
        <v>14369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175075.13</v>
      </c>
      <c r="F43" s="34" t="n">
        <v>175075.13</v>
      </c>
      <c r="G43" s="18" t="n">
        <v>167697.52</v>
      </c>
      <c r="H43" s="18" t="n">
        <v>176913.7</v>
      </c>
      <c r="I43" s="18" t="n">
        <v>174333.04</v>
      </c>
      <c r="J43" s="18" t="n">
        <v>170371.1</v>
      </c>
      <c r="K43" s="34" t="n">
        <v>170371.1</v>
      </c>
      <c r="L43" s="18" t="n">
        <v>174757.86</v>
      </c>
      <c r="M43" s="18" t="n">
        <v>168119.38</v>
      </c>
      <c r="N43" s="18" t="n">
        <v>189625.5</v>
      </c>
      <c r="O43" s="18" t="n">
        <v>150505.49</v>
      </c>
      <c r="P43" s="34" t="n">
        <v>150505.49</v>
      </c>
      <c r="Q43" s="18" t="n">
        <v>144329.32</v>
      </c>
      <c r="R43" s="18" t="n">
        <v>160054.19</v>
      </c>
      <c r="S43" s="18" t="n">
        <v>156741.3</v>
      </c>
      <c r="T43" s="18" t="n">
        <v>170331.95</v>
      </c>
      <c r="U43" s="34" t="n">
        <v>170331.95</v>
      </c>
      <c r="V43" s="18" t="n">
        <v>169272.26</v>
      </c>
      <c r="W43" s="18" t="n">
        <v>137508.89</v>
      </c>
      <c r="X43" s="18" t="n">
        <v>131241.61</v>
      </c>
      <c r="Y43" s="18" t="n">
        <v>120716.47</v>
      </c>
      <c r="Z43" s="34" t="n">
        <v>120716.47</v>
      </c>
      <c r="AA43" s="18" t="n">
        <v>111253.84</v>
      </c>
      <c r="AB43" s="19" t="n">
        <v>77225.19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189624.55</v>
      </c>
      <c r="F44" s="34" t="n">
        <v>189624.55</v>
      </c>
      <c r="G44" s="18" t="n">
        <v>177974.8</v>
      </c>
      <c r="H44" s="18" t="n">
        <v>170091.41</v>
      </c>
      <c r="I44" s="18" t="n">
        <v>171532.94</v>
      </c>
      <c r="J44" s="18" t="n">
        <v>170350.61</v>
      </c>
      <c r="K44" s="34" t="n">
        <v>170350.61</v>
      </c>
      <c r="L44" s="18" t="n">
        <v>172454.03</v>
      </c>
      <c r="M44" s="18" t="n">
        <v>164769.26</v>
      </c>
      <c r="N44" s="18" t="n">
        <v>163707.22</v>
      </c>
      <c r="O44" s="18" t="n">
        <v>168685.12</v>
      </c>
      <c r="P44" s="34" t="n">
        <v>168685.12</v>
      </c>
      <c r="Q44" s="18" t="n">
        <v>211977.83</v>
      </c>
      <c r="R44" s="18" t="n">
        <v>250027.71</v>
      </c>
      <c r="S44" s="18" t="n">
        <v>236969.85</v>
      </c>
      <c r="T44" s="18" t="n">
        <v>259924.76</v>
      </c>
      <c r="U44" s="34" t="n">
        <v>259924.76</v>
      </c>
      <c r="V44" s="18" t="n">
        <v>274149.27</v>
      </c>
      <c r="W44" s="18" t="n">
        <v>308634.44</v>
      </c>
      <c r="X44" s="18" t="n">
        <v>331925.29</v>
      </c>
      <c r="Y44" s="18" t="n">
        <v>341353.79</v>
      </c>
      <c r="Z44" s="34" t="n">
        <v>341353.79</v>
      </c>
      <c r="AA44" s="18" t="n">
        <v>341275.51</v>
      </c>
      <c r="AB44" s="19" t="n">
        <v>355341.37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4665.85</v>
      </c>
      <c r="F45" s="34" t="n">
        <v>4665.85</v>
      </c>
      <c r="G45" s="18" t="n">
        <v>4665.85</v>
      </c>
      <c r="H45" s="18" t="n">
        <v>4665.85</v>
      </c>
      <c r="I45" s="18" t="n">
        <v>4665.85</v>
      </c>
      <c r="J45" s="18" t="n">
        <v>4665.85</v>
      </c>
      <c r="K45" s="34" t="n">
        <v>4665.85</v>
      </c>
      <c r="L45" s="18" t="n">
        <v>4665.85</v>
      </c>
      <c r="M45" s="18" t="n">
        <v>4665.85</v>
      </c>
      <c r="N45" s="18" t="n">
        <v>4665.85</v>
      </c>
      <c r="O45" s="18" t="n">
        <v>4665.85</v>
      </c>
      <c r="P45" s="34" t="n">
        <v>4665.85</v>
      </c>
      <c r="Q45" s="18" t="n">
        <v>4665.85</v>
      </c>
      <c r="R45" s="18" t="n">
        <v>4940.08</v>
      </c>
      <c r="S45" s="18" t="n">
        <v>4940.08</v>
      </c>
      <c r="T45" s="18" t="n">
        <v>4940.08</v>
      </c>
      <c r="U45" s="34" t="n">
        <v>4940.08</v>
      </c>
      <c r="V45" s="18" t="n">
        <v>4940.08</v>
      </c>
      <c r="W45" s="18" t="n">
        <v>4940.08</v>
      </c>
      <c r="X45" s="18" t="n">
        <v>4940.08</v>
      </c>
      <c r="Y45" s="18" t="n">
        <v>4940.08</v>
      </c>
      <c r="Z45" s="34" t="n">
        <v>4940.08</v>
      </c>
      <c r="AA45" s="18" t="n">
        <v>4940.08</v>
      </c>
      <c r="AB45" s="19" t="n">
        <v>4940.08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4665.85</v>
      </c>
      <c r="F46" s="34" t="n">
        <v>4665.85</v>
      </c>
      <c r="G46" s="18" t="n">
        <v>4665.85</v>
      </c>
      <c r="H46" s="18" t="n">
        <v>4665.85</v>
      </c>
      <c r="I46" s="18" t="n">
        <v>4665.85</v>
      </c>
      <c r="J46" s="18" t="n">
        <v>4665.85</v>
      </c>
      <c r="K46" s="34" t="n">
        <v>4665.85</v>
      </c>
      <c r="L46" s="18" t="n">
        <v>4665.85</v>
      </c>
      <c r="M46" s="18" t="n">
        <v>4665.85</v>
      </c>
      <c r="N46" s="18" t="n">
        <v>4665.85</v>
      </c>
      <c r="O46" s="18" t="n">
        <v>4665.85</v>
      </c>
      <c r="P46" s="34" t="n">
        <v>4665.85</v>
      </c>
      <c r="Q46" s="18" t="n">
        <v>4665.85</v>
      </c>
      <c r="R46" s="18" t="n">
        <v>4940.08</v>
      </c>
      <c r="S46" s="18" t="n">
        <v>4940.08</v>
      </c>
      <c r="T46" s="18" t="n">
        <v>4940.08</v>
      </c>
      <c r="U46" s="34" t="n">
        <v>4940.08</v>
      </c>
      <c r="V46" s="18" t="n">
        <v>4940.08</v>
      </c>
      <c r="W46" s="18" t="n">
        <v>4940.08</v>
      </c>
      <c r="X46" s="18" t="n">
        <v>4940.08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94541.75999999999</v>
      </c>
      <c r="F47" s="34" t="n">
        <v>94541.75999999999</v>
      </c>
      <c r="G47" s="18" t="n">
        <v>94541.75999999999</v>
      </c>
      <c r="H47" s="18" t="n">
        <v>94541.75999999999</v>
      </c>
      <c r="I47" s="18" t="n">
        <v>94541.75999999999</v>
      </c>
      <c r="J47" s="18" t="n">
        <v>94541.75999999999</v>
      </c>
      <c r="K47" s="34" t="n">
        <v>94541.75999999999</v>
      </c>
      <c r="L47" s="18" t="n">
        <v>94541.75999999999</v>
      </c>
      <c r="M47" s="18" t="n">
        <v>94541.75999999999</v>
      </c>
      <c r="N47" s="18" t="n">
        <v>94541.75999999999</v>
      </c>
      <c r="O47" s="18" t="n">
        <v>13983.76</v>
      </c>
      <c r="P47" s="34" t="n">
        <v>13983.76</v>
      </c>
      <c r="Q47" s="18" t="n">
        <v>13983.76</v>
      </c>
      <c r="R47" s="18" t="n">
        <v>40581.88</v>
      </c>
      <c r="S47" s="18" t="n">
        <v>40581.88</v>
      </c>
      <c r="T47" s="18" t="n">
        <v>40581.88</v>
      </c>
      <c r="U47" s="34" t="n">
        <v>40581.88</v>
      </c>
      <c r="V47" s="18" t="n">
        <v>27961.88</v>
      </c>
      <c r="W47" s="18" t="n">
        <v>27961.88</v>
      </c>
      <c r="X47" s="18" t="n">
        <v>27961.88</v>
      </c>
      <c r="Y47" s="18" t="n">
        <v>13825.38</v>
      </c>
      <c r="Z47" s="34" t="n">
        <v>13825.38</v>
      </c>
      <c r="AA47" s="18" t="n">
        <v>11036.06</v>
      </c>
      <c r="AB47" s="19" t="n">
        <v>13825.38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-4391.6</v>
      </c>
      <c r="F48" s="34" t="n">
        <v>-4391.6</v>
      </c>
      <c r="G48" s="18" t="n">
        <v>-309.35</v>
      </c>
      <c r="H48" s="18" t="n">
        <v>-309.35</v>
      </c>
      <c r="I48" s="18" t="n">
        <v>-359.56</v>
      </c>
      <c r="J48" s="18" t="n">
        <v>-359.56</v>
      </c>
      <c r="K48" s="34" t="n">
        <v>-359.56</v>
      </c>
      <c r="L48" s="18" t="n">
        <v>-359.56</v>
      </c>
      <c r="M48" s="18" t="n">
        <v>-359.56</v>
      </c>
      <c r="N48" s="18" t="n">
        <v>-4512.86</v>
      </c>
      <c r="O48" s="18" t="n">
        <v>-6264.38</v>
      </c>
      <c r="P48" s="34" t="n">
        <v>-6264.38</v>
      </c>
      <c r="Q48" s="18" t="n">
        <v>-311.12</v>
      </c>
      <c r="R48" s="18" t="n">
        <v>-311.12</v>
      </c>
      <c r="S48" s="18" t="n">
        <v>-4895.83</v>
      </c>
      <c r="T48" s="18" t="n">
        <v>-14532.13</v>
      </c>
      <c r="U48" s="34" t="n">
        <v>-14532.13</v>
      </c>
      <c r="V48" s="18" t="n">
        <v>-17394.4</v>
      </c>
      <c r="W48" s="18" t="n">
        <v>-19941.66</v>
      </c>
      <c r="X48" s="18" t="n">
        <v>-311.12</v>
      </c>
      <c r="Y48" s="18" t="n">
        <v>29098.89</v>
      </c>
      <c r="Z48" s="34" t="n">
        <v>29098.89</v>
      </c>
      <c r="AA48" s="18" t="n">
        <v>29657.46</v>
      </c>
      <c r="AB48" s="19" t="n">
        <v>36574.1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-696.55</v>
      </c>
      <c r="F49" s="34" t="n">
        <v>-696.55</v>
      </c>
      <c r="G49" s="18" t="n">
        <v>-897.92</v>
      </c>
      <c r="H49" s="18" t="n">
        <v>-202</v>
      </c>
      <c r="I49" s="18" t="n">
        <v>43.58</v>
      </c>
      <c r="J49" s="18" t="n">
        <v>732.3099999999999</v>
      </c>
      <c r="K49" s="34" t="n">
        <v>732.3099999999999</v>
      </c>
      <c r="L49" s="18" t="n">
        <v>846.74</v>
      </c>
      <c r="M49" s="18" t="n">
        <v>637.59</v>
      </c>
      <c r="N49" s="18" t="n">
        <v>679.86</v>
      </c>
      <c r="O49" s="18" t="n">
        <v>158.27</v>
      </c>
      <c r="P49" s="34" t="n">
        <v>158.27</v>
      </c>
      <c r="Q49" s="18" t="n">
        <v>10815.82</v>
      </c>
      <c r="R49" s="18" t="n">
        <v>47534.88</v>
      </c>
      <c r="S49" s="18" t="n">
        <v>33708.68</v>
      </c>
      <c r="T49" s="18" t="n">
        <v>65440.32</v>
      </c>
      <c r="U49" s="34" t="n">
        <v>65440.32</v>
      </c>
      <c r="V49" s="18" t="n">
        <v>30035.84</v>
      </c>
      <c r="W49" s="18" t="n">
        <v>46568.53</v>
      </c>
      <c r="X49" s="18" t="n">
        <v>39850.4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140580.17</v>
      </c>
      <c r="F50" s="34" t="n">
        <v>140580.17</v>
      </c>
      <c r="G50" s="18" t="n">
        <v>127090.66</v>
      </c>
      <c r="H50" s="18" t="n">
        <v>118511.36</v>
      </c>
      <c r="I50" s="18" t="n">
        <v>119732.4</v>
      </c>
      <c r="J50" s="18" t="n">
        <v>117861.35</v>
      </c>
      <c r="K50" s="34" t="n">
        <v>117861.35</v>
      </c>
      <c r="L50" s="18" t="n">
        <v>119850.33</v>
      </c>
      <c r="M50" s="18" t="n">
        <v>112374.71</v>
      </c>
      <c r="N50" s="18" t="n">
        <v>113347.06</v>
      </c>
      <c r="O50" s="18" t="n">
        <v>160001.31</v>
      </c>
      <c r="P50" s="34" t="n">
        <v>160001.31</v>
      </c>
      <c r="Q50" s="18" t="n">
        <v>189659.84</v>
      </c>
      <c r="R50" s="18" t="n">
        <v>177417.37</v>
      </c>
      <c r="S50" s="18" t="n">
        <v>180478.06</v>
      </c>
      <c r="T50" s="18" t="n">
        <v>176519.48</v>
      </c>
      <c r="U50" s="34" t="n">
        <v>176519.48</v>
      </c>
      <c r="V50" s="18" t="n">
        <v>233889.61</v>
      </c>
      <c r="W50" s="18" t="n">
        <v>253115.71</v>
      </c>
      <c r="X50" s="18" t="n">
        <v>273309.42</v>
      </c>
      <c r="Y50" s="18" t="n">
        <v>293489.44</v>
      </c>
      <c r="Z50" s="34" t="n">
        <v>293489.44</v>
      </c>
      <c r="AA50" s="18" t="n">
        <v>295641.91</v>
      </c>
      <c r="AB50" s="19" t="n">
        <v>300001.81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189624.55</v>
      </c>
      <c r="F51" s="34" t="n">
        <v>189624.55</v>
      </c>
      <c r="G51" s="18" t="n">
        <v>177974.8</v>
      </c>
      <c r="H51" s="18" t="n">
        <v>170091.41</v>
      </c>
      <c r="I51" s="18" t="n">
        <v>171532.94</v>
      </c>
      <c r="J51" s="18" t="n">
        <v>170350.61</v>
      </c>
      <c r="K51" s="34" t="n">
        <v>170350.61</v>
      </c>
      <c r="L51" s="18" t="n">
        <v>172454.03</v>
      </c>
      <c r="M51" s="18" t="n">
        <v>164769.26</v>
      </c>
      <c r="N51" s="18" t="n">
        <v>163707.22</v>
      </c>
      <c r="O51" s="18" t="n">
        <v>168685.12</v>
      </c>
      <c r="P51" s="34" t="n">
        <v>168685.12</v>
      </c>
      <c r="Q51" s="18" t="n">
        <v>211977.83</v>
      </c>
      <c r="R51" s="18" t="n">
        <v>250027.71</v>
      </c>
      <c r="S51" s="18" t="n">
        <v>236969.85</v>
      </c>
      <c r="T51" s="18" t="n">
        <v>259924.76</v>
      </c>
      <c r="U51" s="34" t="n">
        <v>259924.76</v>
      </c>
      <c r="V51" s="18" t="n">
        <v>274149.27</v>
      </c>
      <c r="W51" s="18" t="n">
        <v>308634.44</v>
      </c>
      <c r="X51" s="18" t="n">
        <v>331925.29</v>
      </c>
      <c r="Y51" s="18" t="n">
        <v>341353.79</v>
      </c>
      <c r="Z51" s="34" t="n">
        <v>341353.79</v>
      </c>
      <c r="AA51" s="18" t="n">
        <v>341275.51</v>
      </c>
      <c r="AB51" s="19" t="n">
        <v>355341.37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364699.68</v>
      </c>
      <c r="F52" s="34" t="n">
        <v>364699.68</v>
      </c>
      <c r="G52" s="18" t="n">
        <v>345672.32</v>
      </c>
      <c r="H52" s="18" t="n">
        <v>347005.12</v>
      </c>
      <c r="I52" s="18" t="n">
        <v>345865.98</v>
      </c>
      <c r="J52" s="18" t="n">
        <v>340721.71</v>
      </c>
      <c r="K52" s="34" t="n">
        <v>340721.71</v>
      </c>
      <c r="L52" s="18" t="n">
        <v>347211.89</v>
      </c>
      <c r="M52" s="18" t="n">
        <v>332888.63</v>
      </c>
      <c r="N52" s="18" t="n">
        <v>353332.72</v>
      </c>
      <c r="O52" s="18" t="n">
        <v>319190.61</v>
      </c>
      <c r="P52" s="34" t="n">
        <v>319190.61</v>
      </c>
      <c r="Q52" s="18" t="n">
        <v>356307.15</v>
      </c>
      <c r="R52" s="18" t="n">
        <v>410081.9</v>
      </c>
      <c r="S52" s="18" t="n">
        <v>393711.15</v>
      </c>
      <c r="T52" s="18" t="n">
        <v>430256.71</v>
      </c>
      <c r="U52" s="34" t="n">
        <v>430256.71</v>
      </c>
      <c r="V52" s="18" t="n">
        <v>443421.53</v>
      </c>
      <c r="W52" s="18" t="n">
        <v>446143.32</v>
      </c>
      <c r="X52" s="18" t="n">
        <v>463166.9</v>
      </c>
      <c r="Y52" s="18" t="n">
        <v>462070.25</v>
      </c>
      <c r="Z52" s="34" t="n">
        <v>462070.25</v>
      </c>
      <c r="AA52" s="18" t="n">
        <v>452529.34</v>
      </c>
      <c r="AB52" s="19" t="n">
        <v>432566.56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134091.6</v>
      </c>
      <c r="F53" s="34" t="n">
        <v>134091.6</v>
      </c>
      <c r="G53" s="18" t="n">
        <v>131631.75</v>
      </c>
      <c r="H53" s="18" t="n">
        <v>145358.9</v>
      </c>
      <c r="I53" s="18" t="n">
        <v>142580.89</v>
      </c>
      <c r="J53" s="18" t="n">
        <v>142882.96</v>
      </c>
      <c r="K53" s="34" t="n">
        <v>142882.96</v>
      </c>
      <c r="L53" s="18" t="n">
        <v>142328.01</v>
      </c>
      <c r="M53" s="18" t="n">
        <v>142497.46</v>
      </c>
      <c r="N53" s="18" t="n">
        <v>146044.08</v>
      </c>
      <c r="O53" s="18" t="n">
        <v>121761.9</v>
      </c>
      <c r="P53" s="34" t="n">
        <v>121761.9</v>
      </c>
      <c r="Q53" s="18" t="n">
        <v>117147.54</v>
      </c>
      <c r="R53" s="18" t="n">
        <v>123180</v>
      </c>
      <c r="S53" s="18" t="n">
        <v>0</v>
      </c>
      <c r="T53" s="18" t="n">
        <v>0</v>
      </c>
      <c r="U53" s="34" t="n">
        <v>0</v>
      </c>
      <c r="Y53" s="18" t="n">
        <v>62680</v>
      </c>
      <c r="Z53" s="34" t="n">
        <v>62680</v>
      </c>
      <c r="AA53" s="18" t="n">
        <v>61880</v>
      </c>
      <c r="AB53" s="19" t="n">
        <v>46340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85866.36</v>
      </c>
      <c r="F54" s="34" t="n">
        <v>85866.36</v>
      </c>
      <c r="G54" s="18" t="n">
        <v>85206.14</v>
      </c>
      <c r="H54" s="18" t="n">
        <v>80642.14999999999</v>
      </c>
      <c r="I54" s="18" t="n">
        <v>106871.51</v>
      </c>
      <c r="J54" s="18" t="n">
        <v>112806.19</v>
      </c>
      <c r="K54" s="34" t="n">
        <v>112806.19</v>
      </c>
      <c r="L54" s="18" t="n">
        <v>116539.49</v>
      </c>
      <c r="M54" s="18" t="n">
        <v>119576.56</v>
      </c>
      <c r="N54" s="18" t="n">
        <v>104696.74</v>
      </c>
      <c r="O54" s="18" t="n">
        <v>86987.63</v>
      </c>
      <c r="P54" s="34" t="n">
        <v>86987.63</v>
      </c>
      <c r="Q54" s="18" t="n">
        <v>55622.97</v>
      </c>
      <c r="R54" s="18" t="n">
        <v>48101.33</v>
      </c>
      <c r="S54" s="18" t="n">
        <v>-65421.23</v>
      </c>
      <c r="T54" s="18" t="n">
        <v>-59410.38</v>
      </c>
      <c r="U54" s="34" t="n">
        <v>-59410.38</v>
      </c>
      <c r="Y54" s="18" t="n">
        <v>44492.62</v>
      </c>
      <c r="Z54" s="34" t="n">
        <v>44492.62</v>
      </c>
      <c r="AA54" s="18" t="n">
        <v>44057.04</v>
      </c>
      <c r="AB54" s="19" t="n">
        <v>28696.05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51338.62</v>
      </c>
      <c r="F55" s="34" t="n">
        <v>51338.62</v>
      </c>
      <c r="G55" s="18" t="n">
        <v>49185.07</v>
      </c>
      <c r="H55" s="18" t="n">
        <v>67397.39</v>
      </c>
      <c r="I55" s="18" t="n">
        <v>37969.08</v>
      </c>
      <c r="J55" s="18" t="n">
        <v>32727.07</v>
      </c>
      <c r="K55" s="34" t="n">
        <v>32727.07</v>
      </c>
      <c r="L55" s="18" t="n">
        <v>28505.83</v>
      </c>
      <c r="M55" s="18" t="n">
        <v>25712.96</v>
      </c>
      <c r="N55" s="18" t="n">
        <v>43653.09</v>
      </c>
      <c r="O55" s="18" t="n">
        <v>36011.43</v>
      </c>
      <c r="P55" s="34" t="n">
        <v>36011.43</v>
      </c>
      <c r="Q55" s="18" t="n">
        <v>143858.58</v>
      </c>
      <c r="R55" s="18" t="n">
        <v>205583.29</v>
      </c>
      <c r="S55" s="18" t="n">
        <v>177958.28</v>
      </c>
      <c r="T55" s="18" t="n">
        <v>213232.82</v>
      </c>
      <c r="U55" s="34" t="n">
        <v>213232.82</v>
      </c>
      <c r="V55" s="18" t="n">
        <v>230954.05</v>
      </c>
      <c r="W55" s="18" t="n">
        <v>219103.83</v>
      </c>
      <c r="X55" s="18" t="n">
        <v>258489.34</v>
      </c>
      <c r="Y55" s="18" t="n">
        <v>18187.38</v>
      </c>
      <c r="Z55" s="34" t="n">
        <v>18187.38</v>
      </c>
      <c r="AA55" s="18" t="n">
        <v>17822.96</v>
      </c>
      <c r="AB55" s="19" t="n">
        <v>17643.95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G56" s="18" t="n">
        <v>1.19</v>
      </c>
      <c r="H56" s="18" t="n">
        <v>4328.12</v>
      </c>
      <c r="I56" s="18" t="n">
        <v>4332.53</v>
      </c>
      <c r="J56" s="18" t="n">
        <v>3807.26</v>
      </c>
      <c r="K56" s="34" t="n">
        <v>3807.26</v>
      </c>
      <c r="L56" s="18" t="n">
        <v>3807.26</v>
      </c>
      <c r="M56" s="18" t="n">
        <v>1801.31</v>
      </c>
      <c r="N56" s="18" t="n">
        <v>1806.16</v>
      </c>
      <c r="O56" s="18" t="n">
        <v>1097.4</v>
      </c>
      <c r="P56" s="34" t="n">
        <v>1097.4</v>
      </c>
      <c r="Q56" s="18" t="n">
        <v>1101.36</v>
      </c>
      <c r="R56" s="18" t="n">
        <v>0</v>
      </c>
      <c r="S56" s="18" t="n">
        <v>0</v>
      </c>
      <c r="T56" s="18" t="n">
        <v>25.7</v>
      </c>
      <c r="U56" s="34" t="n">
        <v>25.7</v>
      </c>
      <c r="V56" s="18" t="n">
        <v>0.72</v>
      </c>
      <c r="W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G57" s="18" t="n">
        <v>1.19</v>
      </c>
      <c r="H57" s="18" t="n">
        <v>4328.12</v>
      </c>
      <c r="I57" s="18" t="n">
        <v>4332.53</v>
      </c>
      <c r="J57" s="18" t="n">
        <v>3807.26</v>
      </c>
      <c r="K57" s="34" t="n">
        <v>3807.26</v>
      </c>
      <c r="L57" s="18" t="n">
        <v>3807.26</v>
      </c>
      <c r="M57" s="18" t="n">
        <v>1801.31</v>
      </c>
      <c r="N57" s="18" t="n">
        <v>1806.16</v>
      </c>
      <c r="O57" s="18" t="n">
        <v>1097.4</v>
      </c>
      <c r="P57" s="34" t="n">
        <v>1097.4</v>
      </c>
      <c r="Q57" s="18" t="n">
        <v>1101.36</v>
      </c>
      <c r="R57" s="18" t="n">
        <v>0</v>
      </c>
      <c r="S57" s="18" t="n">
        <v>0</v>
      </c>
      <c r="T57" s="18" t="n">
        <v>25.7</v>
      </c>
      <c r="U57" s="34" t="n">
        <v>25.7</v>
      </c>
      <c r="V57" s="18" t="n">
        <v>0.72</v>
      </c>
      <c r="W57" s="18" t="n">
        <v>0</v>
      </c>
      <c r="Y57" s="18" t="n">
        <v>0</v>
      </c>
      <c r="Z57" s="34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사채</t>
        </is>
      </c>
      <c r="F58" s="9" t="n"/>
      <c r="H58" s="18" t="n">
        <v>5523.5</v>
      </c>
      <c r="I58" s="18" t="n">
        <v>5684.42</v>
      </c>
      <c r="J58" s="18" t="n">
        <v>5845.38</v>
      </c>
      <c r="K58" s="34" t="n">
        <v>5845.38</v>
      </c>
      <c r="L58" s="18" t="n">
        <v>6002.83</v>
      </c>
      <c r="M58" s="18" t="n">
        <v>6172.48</v>
      </c>
      <c r="N58" s="18" t="n">
        <v>6354.04</v>
      </c>
      <c r="O58" s="18" t="n">
        <v>6540.95</v>
      </c>
      <c r="P58" s="34" t="n">
        <v>6540.95</v>
      </c>
      <c r="Q58" s="18" t="n">
        <v>6733.77</v>
      </c>
      <c r="R58" s="18" t="n">
        <v>0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N59" s="18" t="n">
        <v>130836</v>
      </c>
      <c r="O59" s="18" t="n">
        <v>108680</v>
      </c>
      <c r="P59" s="34" t="n">
        <v>108680</v>
      </c>
      <c r="Q59" s="18" t="n">
        <v>103680</v>
      </c>
      <c r="R59" s="18" t="n">
        <v>109180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기타유동자산</t>
        </is>
      </c>
      <c r="F60" s="9" t="n"/>
      <c r="K60" s="9" t="n"/>
      <c r="P60" s="9" t="n"/>
      <c r="U60" s="9" t="n"/>
      <c r="Y60" s="18" t="n">
        <v>287.25</v>
      </c>
      <c r="Z60" s="34" t="n">
        <v>287.25</v>
      </c>
      <c r="AA60" s="18" t="n">
        <v>354.34</v>
      </c>
      <c r="AB60" s="19" t="n">
        <v>620.16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매각예정비유동자산및처분자산</t>
        </is>
      </c>
      <c r="F61" s="9" t="n"/>
      <c r="K61" s="9" t="n"/>
      <c r="P61" s="9" t="n"/>
      <c r="U61" s="9" t="n"/>
      <c r="Y61" s="18" t="n">
        <v>0</v>
      </c>
      <c r="Z61" s="34" t="n">
        <v>0</v>
      </c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종속기업및관계기업투자</t>
        </is>
      </c>
      <c r="F62" s="9" t="n"/>
      <c r="K62" s="9" t="n"/>
      <c r="P62" s="9" t="n"/>
      <c r="U62" s="9" t="n"/>
      <c r="Y62" s="18" t="n">
        <v>81858.88</v>
      </c>
      <c r="Z62" s="34" t="n">
        <v>81858.88</v>
      </c>
      <c r="AA62" s="18" t="n">
        <v>84418.67999999999</v>
      </c>
      <c r="AB62" s="19" t="n">
        <v>89193.42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사용권자산</t>
        </is>
      </c>
      <c r="F63" s="9" t="n"/>
      <c r="K63" s="9" t="n"/>
      <c r="P63" s="9" t="n"/>
      <c r="U63" s="9" t="n"/>
      <c r="Y63" s="18" t="n">
        <v>29.85</v>
      </c>
      <c r="Z63" s="34" t="n">
        <v>29.85</v>
      </c>
      <c r="AA63" s="18" t="n">
        <v>22.27</v>
      </c>
      <c r="AB63" s="19" t="n">
        <v>65.09999999999999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기타유동부채</t>
        </is>
      </c>
      <c r="F64" s="9" t="n"/>
      <c r="K64" s="9" t="n"/>
      <c r="P64" s="9" t="n"/>
      <c r="U64" s="9" t="n"/>
      <c r="Y64" s="18" t="n">
        <v>1494.23</v>
      </c>
      <c r="Z64" s="34" t="n">
        <v>1494.23</v>
      </c>
      <c r="AA64" s="18" t="n">
        <v>3148.77</v>
      </c>
      <c r="AB64" s="19" t="n">
        <v>4452.18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매출액(수익)</t>
        </is>
      </c>
      <c r="E65" s="18" t="n">
        <v>36139.56</v>
      </c>
      <c r="F65" s="9" t="n"/>
      <c r="G65" s="18" t="n">
        <v>39651.68</v>
      </c>
      <c r="H65" s="18" t="n">
        <v>31734.58</v>
      </c>
      <c r="I65" s="18" t="n">
        <v>35560.56</v>
      </c>
      <c r="J65" s="18" t="n">
        <v>41442.86</v>
      </c>
      <c r="K65" s="34" t="n">
        <v>148389.68</v>
      </c>
      <c r="L65" s="18" t="n">
        <v>32693.89</v>
      </c>
      <c r="M65" s="18" t="n">
        <v>32309.27</v>
      </c>
      <c r="N65" s="18" t="n">
        <v>33618.1</v>
      </c>
      <c r="O65" s="18" t="n">
        <v>5329.81</v>
      </c>
      <c r="P65" s="34" t="n">
        <v>103951.07</v>
      </c>
      <c r="Q65" s="18" t="n">
        <v>21768.5</v>
      </c>
      <c r="R65" s="18" t="n">
        <v>25498.5</v>
      </c>
      <c r="S65" s="18" t="n">
        <v>20568.31</v>
      </c>
      <c r="T65" s="18" t="n">
        <v>24948.7</v>
      </c>
      <c r="U65" s="34" t="n">
        <v>92784.00999999999</v>
      </c>
      <c r="V65" s="18" t="n">
        <v>28520.55</v>
      </c>
      <c r="W65" s="18" t="n">
        <v>25162.4</v>
      </c>
      <c r="X65" s="18" t="n">
        <v>28794.87</v>
      </c>
      <c r="Y65" s="18" t="n">
        <v>25480.48</v>
      </c>
      <c r="Z65" s="34" t="n">
        <v>107958.3</v>
      </c>
      <c r="AA65" s="18" t="n">
        <v>25986.51</v>
      </c>
      <c r="AB65" s="19" t="n">
        <v>31829.88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매출원가</t>
        </is>
      </c>
      <c r="E66" s="18" t="n">
        <v>30667.84</v>
      </c>
      <c r="F66" s="9" t="n"/>
      <c r="G66" s="18" t="n">
        <v>34679.95</v>
      </c>
      <c r="H66" s="18" t="n">
        <v>27074.08</v>
      </c>
      <c r="I66" s="18" t="n">
        <v>30848.66</v>
      </c>
      <c r="J66" s="18" t="n">
        <v>36065.32</v>
      </c>
      <c r="K66" s="34" t="n">
        <v>128668.01</v>
      </c>
      <c r="L66" s="18" t="n">
        <v>28785.12</v>
      </c>
      <c r="M66" s="18" t="n">
        <v>28007.72</v>
      </c>
      <c r="N66" s="18" t="n">
        <v>28557.18</v>
      </c>
      <c r="O66" s="18" t="n">
        <v>5660.19</v>
      </c>
      <c r="P66" s="34" t="n">
        <v>91010.21000000001</v>
      </c>
      <c r="Q66" s="18" t="n">
        <v>18606.7</v>
      </c>
      <c r="R66" s="18" t="n">
        <v>18885.29</v>
      </c>
      <c r="S66" s="18" t="n">
        <v>16726.86</v>
      </c>
      <c r="T66" s="18" t="n">
        <v>19708.72</v>
      </c>
      <c r="U66" s="34" t="n">
        <v>73927.57000000001</v>
      </c>
      <c r="V66" s="18" t="n">
        <v>22987.82</v>
      </c>
      <c r="W66" s="18" t="n">
        <v>18780.55</v>
      </c>
      <c r="X66" s="18" t="n">
        <v>21228.63</v>
      </c>
      <c r="Y66" s="18" t="n">
        <v>19775.09</v>
      </c>
      <c r="Z66" s="34" t="n">
        <v>82772.09</v>
      </c>
      <c r="AA66" s="18" t="n">
        <v>19800.64</v>
      </c>
      <c r="AB66" s="19" t="n">
        <v>23860.94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매출총이익</t>
        </is>
      </c>
      <c r="E67" s="18" t="n">
        <v>5471.71</v>
      </c>
      <c r="F67" s="9" t="n"/>
      <c r="G67" s="18" t="n">
        <v>4971.73</v>
      </c>
      <c r="H67" s="18" t="n">
        <v>4660.5</v>
      </c>
      <c r="I67" s="18" t="n">
        <v>4711.9</v>
      </c>
      <c r="J67" s="18" t="n">
        <v>5377.54</v>
      </c>
      <c r="K67" s="34" t="n">
        <v>19721.67</v>
      </c>
      <c r="L67" s="18" t="n">
        <v>3908.77</v>
      </c>
      <c r="M67" s="18" t="n">
        <v>4301.55</v>
      </c>
      <c r="N67" s="18" t="n">
        <v>5060.92</v>
      </c>
      <c r="O67" s="18" t="n">
        <v>-330.37</v>
      </c>
      <c r="P67" s="34" t="n">
        <v>12940.87</v>
      </c>
      <c r="Q67" s="18" t="n">
        <v>3161.8</v>
      </c>
      <c r="R67" s="18" t="n">
        <v>6613.21</v>
      </c>
      <c r="S67" s="18" t="n">
        <v>3841.45</v>
      </c>
      <c r="T67" s="18" t="n">
        <v>5239.98</v>
      </c>
      <c r="U67" s="34" t="n">
        <v>18856.44</v>
      </c>
      <c r="V67" s="18" t="n">
        <v>5532.73</v>
      </c>
      <c r="W67" s="18" t="n">
        <v>6381.85</v>
      </c>
      <c r="X67" s="18" t="n">
        <v>7566.23</v>
      </c>
      <c r="Y67" s="18" t="n">
        <v>5705.39</v>
      </c>
      <c r="Z67" s="34" t="n">
        <v>25186.2</v>
      </c>
      <c r="AA67" s="18" t="n">
        <v>6185.87</v>
      </c>
      <c r="AB67" s="19" t="n">
        <v>7968.94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판관비</t>
        </is>
      </c>
      <c r="E68" s="18" t="n">
        <v>2177.63</v>
      </c>
      <c r="F68" s="9" t="n"/>
      <c r="G68" s="18" t="n">
        <v>2329.55</v>
      </c>
      <c r="H68" s="18" t="n">
        <v>2244.58</v>
      </c>
      <c r="I68" s="18" t="n">
        <v>2806.07</v>
      </c>
      <c r="J68" s="18" t="n">
        <v>2456.36</v>
      </c>
      <c r="K68" s="34" t="n">
        <v>9836.559999999999</v>
      </c>
      <c r="L68" s="18" t="n">
        <v>2458.72</v>
      </c>
      <c r="M68" s="18" t="n">
        <v>2534.67</v>
      </c>
      <c r="N68" s="18" t="n">
        <v>3276.13</v>
      </c>
      <c r="O68" s="18" t="n">
        <v>-214.57</v>
      </c>
      <c r="P68" s="34" t="n">
        <v>8054.95</v>
      </c>
      <c r="Q68" s="18" t="n">
        <v>2010.67</v>
      </c>
      <c r="R68" s="18" t="n">
        <v>2051.11</v>
      </c>
      <c r="S68" s="18" t="n">
        <v>2652.51</v>
      </c>
      <c r="T68" s="18" t="n">
        <v>1881.05</v>
      </c>
      <c r="U68" s="34" t="n">
        <v>8595.34</v>
      </c>
      <c r="V68" s="18" t="n">
        <v>2873.45</v>
      </c>
      <c r="W68" s="18" t="n">
        <v>1973.04</v>
      </c>
      <c r="X68" s="18" t="n">
        <v>2700.91</v>
      </c>
      <c r="Y68" s="18" t="n">
        <v>2104.51</v>
      </c>
      <c r="Z68" s="34" t="n">
        <v>9651.91</v>
      </c>
      <c r="AA68" s="18" t="n">
        <v>2023.58</v>
      </c>
      <c r="AB68" s="19" t="n">
        <v>2835.27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영업이익</t>
        </is>
      </c>
      <c r="E69" s="18" t="n">
        <v>3294.09</v>
      </c>
      <c r="F69" s="9" t="n"/>
      <c r="G69" s="18" t="n">
        <v>2642.18</v>
      </c>
      <c r="H69" s="18" t="n">
        <v>2415.92</v>
      </c>
      <c r="I69" s="18" t="n">
        <v>1905.83</v>
      </c>
      <c r="J69" s="18" t="n">
        <v>2921.18</v>
      </c>
      <c r="K69" s="34" t="n">
        <v>9885.110000000001</v>
      </c>
      <c r="L69" s="18" t="n">
        <v>1450.06</v>
      </c>
      <c r="M69" s="18" t="n">
        <v>1766.87</v>
      </c>
      <c r="N69" s="18" t="n">
        <v>1784.8</v>
      </c>
      <c r="O69" s="18" t="n">
        <v>-115.8</v>
      </c>
      <c r="P69" s="34" t="n">
        <v>4885.93</v>
      </c>
      <c r="Q69" s="18" t="n">
        <v>1151.13</v>
      </c>
      <c r="R69" s="18" t="n">
        <v>4562.1</v>
      </c>
      <c r="S69" s="18" t="n">
        <v>1188.94</v>
      </c>
      <c r="T69" s="18" t="n">
        <v>3358.93</v>
      </c>
      <c r="U69" s="34" t="n">
        <v>10261.1</v>
      </c>
      <c r="V69" s="18" t="n">
        <v>2659.27</v>
      </c>
      <c r="W69" s="18" t="n">
        <v>4408.81</v>
      </c>
      <c r="X69" s="18" t="n">
        <v>4865.33</v>
      </c>
      <c r="Y69" s="18" t="n">
        <v>3600.88</v>
      </c>
      <c r="Z69" s="34" t="n">
        <v>15534.29</v>
      </c>
      <c r="AA69" s="18" t="n">
        <v>4162.29</v>
      </c>
      <c r="AB69" s="19" t="n">
        <v>5133.68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3361.37</v>
      </c>
      <c r="F70" s="9" t="n"/>
      <c r="G70" s="18" t="n">
        <v>324.46</v>
      </c>
      <c r="H70" s="18" t="n">
        <v>657.87</v>
      </c>
      <c r="I70" s="18" t="n">
        <v>871.13</v>
      </c>
      <c r="J70" s="18" t="n">
        <v>-47.51</v>
      </c>
      <c r="K70" s="34" t="n">
        <v>1805.95</v>
      </c>
      <c r="L70" s="18" t="n">
        <v>2394.01</v>
      </c>
      <c r="M70" s="18" t="n">
        <v>154.42</v>
      </c>
      <c r="N70" s="18" t="n">
        <v>937.9299999999999</v>
      </c>
      <c r="O70" s="18" t="n">
        <v>-345.52</v>
      </c>
      <c r="P70" s="34" t="n">
        <v>3140.84</v>
      </c>
      <c r="Q70" s="18" t="n">
        <v>75431.19</v>
      </c>
      <c r="R70" s="18" t="n">
        <v>-154.92</v>
      </c>
      <c r="S70" s="18" t="n">
        <v>8280.52</v>
      </c>
      <c r="T70" s="18" t="n">
        <v>3320.34</v>
      </c>
      <c r="U70" s="34" t="n">
        <v>86877.13</v>
      </c>
      <c r="V70" s="18" t="n">
        <v>309.24</v>
      </c>
      <c r="W70" s="18" t="n">
        <v>19873.58</v>
      </c>
      <c r="X70" s="18" t="n">
        <v>289</v>
      </c>
      <c r="Y70" s="18" t="n">
        <v>207.82</v>
      </c>
      <c r="Z70" s="34" t="n">
        <v>20679.64</v>
      </c>
      <c r="AA70" s="18" t="n">
        <v>322.19</v>
      </c>
      <c r="AB70" s="19" t="n">
        <v>404.18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292.94</v>
      </c>
      <c r="F71" s="9" t="n"/>
      <c r="G71" s="18" t="n">
        <v>1932.65</v>
      </c>
      <c r="H71" s="18" t="n">
        <v>10925.32</v>
      </c>
      <c r="I71" s="18" t="n">
        <v>70.95</v>
      </c>
      <c r="J71" s="18" t="n">
        <v>5006.54</v>
      </c>
      <c r="K71" s="34" t="n">
        <v>17935.46</v>
      </c>
      <c r="L71" s="18" t="n">
        <v>32.44</v>
      </c>
      <c r="M71" s="18" t="n">
        <v>8604.309999999999</v>
      </c>
      <c r="N71" s="18" t="n">
        <v>143.46</v>
      </c>
      <c r="O71" s="18" t="n">
        <v>-70.97</v>
      </c>
      <c r="P71" s="34" t="n">
        <v>8709.24</v>
      </c>
      <c r="Q71" s="18" t="n">
        <v>8881.42</v>
      </c>
      <c r="R71" s="18" t="n">
        <v>10273.34</v>
      </c>
      <c r="S71" s="18" t="n">
        <v>4632.2</v>
      </c>
      <c r="T71" s="18" t="n">
        <v>8196.360000000001</v>
      </c>
      <c r="U71" s="34" t="n">
        <v>31983.32</v>
      </c>
      <c r="V71" s="18" t="n">
        <v>4847.89</v>
      </c>
      <c r="W71" s="18" t="n">
        <v>4291.47</v>
      </c>
      <c r="X71" s="18" t="n">
        <v>7482.16</v>
      </c>
      <c r="Y71" s="18" t="n">
        <v>-16016.69</v>
      </c>
      <c r="Z71" s="34" t="n">
        <v>604.83</v>
      </c>
      <c r="AA71" s="18" t="n">
        <v>5.66</v>
      </c>
      <c r="AB71" s="19" t="n">
        <v>204.86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71.90000000000001</v>
      </c>
      <c r="F72" s="9" t="n"/>
      <c r="G72" s="18" t="n">
        <v>140.7</v>
      </c>
      <c r="H72" s="18" t="n">
        <v>1290.19</v>
      </c>
      <c r="I72" s="18" t="n">
        <v>166.13</v>
      </c>
      <c r="J72" s="18" t="n">
        <v>781.87</v>
      </c>
      <c r="K72" s="34" t="n">
        <v>2378.89</v>
      </c>
      <c r="L72" s="18" t="n">
        <v>241.2</v>
      </c>
      <c r="M72" s="18" t="n">
        <v>2331.66</v>
      </c>
      <c r="N72" s="18" t="n">
        <v>300.62</v>
      </c>
      <c r="O72" s="18" t="n">
        <v>427.78</v>
      </c>
      <c r="P72" s="34" t="n">
        <v>3301.26</v>
      </c>
      <c r="Q72" s="18" t="n">
        <v>497.95</v>
      </c>
      <c r="R72" s="18" t="n">
        <v>533.5700000000001</v>
      </c>
      <c r="S72" s="18" t="n">
        <v>717.55</v>
      </c>
      <c r="T72" s="18" t="n">
        <v>668.45</v>
      </c>
      <c r="U72" s="34" t="n">
        <v>2417.52</v>
      </c>
      <c r="V72" s="18" t="n">
        <v>1286.7</v>
      </c>
      <c r="W72" s="18" t="n">
        <v>1201.32</v>
      </c>
      <c r="X72" s="18" t="n">
        <v>1127.18</v>
      </c>
      <c r="Y72" s="18" t="n">
        <v>1406.57</v>
      </c>
      <c r="Z72" s="34" t="n">
        <v>5021.77</v>
      </c>
      <c r="AA72" s="18" t="n">
        <v>1247.97</v>
      </c>
      <c r="AB72" s="19" t="n">
        <v>1036.39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856.51</v>
      </c>
      <c r="F73" s="9" t="n"/>
      <c r="G73" s="18" t="n">
        <v>951.34</v>
      </c>
      <c r="H73" s="18" t="n">
        <v>1781.96</v>
      </c>
      <c r="I73" s="18" t="n">
        <v>1562.76</v>
      </c>
      <c r="J73" s="18" t="n">
        <v>2196.3</v>
      </c>
      <c r="K73" s="34" t="n">
        <v>6492.36</v>
      </c>
      <c r="L73" s="18" t="n">
        <v>1982.95</v>
      </c>
      <c r="M73" s="18" t="n">
        <v>2863.32</v>
      </c>
      <c r="N73" s="18" t="n">
        <v>1938.56</v>
      </c>
      <c r="O73" s="18" t="n">
        <v>1410.49</v>
      </c>
      <c r="P73" s="34" t="n">
        <v>8195.32</v>
      </c>
      <c r="Q73" s="18" t="n">
        <v>1746.13</v>
      </c>
      <c r="R73" s="18" t="n">
        <v>7388.14</v>
      </c>
      <c r="S73" s="18" t="n">
        <v>1244.52</v>
      </c>
      <c r="T73" s="18" t="n">
        <v>1195.47</v>
      </c>
      <c r="U73" s="34" t="n">
        <v>11574.26</v>
      </c>
      <c r="V73" s="18" t="n">
        <v>1038.7</v>
      </c>
      <c r="W73" s="18" t="n">
        <v>753.47</v>
      </c>
      <c r="X73" s="18" t="n">
        <v>686.5599999999999</v>
      </c>
      <c r="Y73" s="18" t="n">
        <v>579.5700000000001</v>
      </c>
      <c r="Z73" s="34" t="n">
        <v>3058.3</v>
      </c>
      <c r="AA73" s="18" t="n">
        <v>485.72</v>
      </c>
      <c r="AB73" s="19" t="n">
        <v>390.82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5577.92</v>
      </c>
      <c r="F74" s="9" t="n"/>
      <c r="G74" s="18" t="n">
        <v>223.34</v>
      </c>
      <c r="H74" s="18" t="n">
        <v>-8343.309999999999</v>
      </c>
      <c r="I74" s="18" t="n">
        <v>1309.38</v>
      </c>
      <c r="J74" s="18" t="n">
        <v>-3547.29</v>
      </c>
      <c r="K74" s="34" t="n">
        <v>-10357.88</v>
      </c>
      <c r="L74" s="18" t="n">
        <v>2069.88</v>
      </c>
      <c r="M74" s="18" t="n">
        <v>-7214.67</v>
      </c>
      <c r="N74" s="18" t="n">
        <v>941.3200000000001</v>
      </c>
      <c r="O74" s="18" t="n">
        <v>-1373.06</v>
      </c>
      <c r="P74" s="34" t="n">
        <v>-5576.53</v>
      </c>
      <c r="Q74" s="18" t="n">
        <v>66452.73</v>
      </c>
      <c r="R74" s="18" t="n">
        <v>-12720.73</v>
      </c>
      <c r="S74" s="18" t="n">
        <v>4310.29</v>
      </c>
      <c r="T74" s="18" t="n">
        <v>-2044.11</v>
      </c>
      <c r="U74" s="34" t="n">
        <v>55998.18</v>
      </c>
      <c r="V74" s="18" t="n">
        <v>-1631.39</v>
      </c>
      <c r="W74" s="18" t="n">
        <v>20438.76</v>
      </c>
      <c r="X74" s="18" t="n">
        <v>-1887.22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6202.19</v>
      </c>
      <c r="F75" s="9" t="n"/>
      <c r="G75" s="18" t="n">
        <v>424.04</v>
      </c>
      <c r="H75" s="18" t="n">
        <v>332.86</v>
      </c>
      <c r="I75" s="18" t="n">
        <v>88.04000000000001</v>
      </c>
      <c r="J75" s="18" t="n">
        <v>-431.78</v>
      </c>
      <c r="K75" s="34" t="n">
        <v>413.16</v>
      </c>
      <c r="L75" s="18" t="n">
        <v>50.92</v>
      </c>
      <c r="M75" s="18" t="n">
        <v>233.45</v>
      </c>
      <c r="N75" s="18" t="n">
        <v>-19.48</v>
      </c>
      <c r="O75" s="18" t="n">
        <v>-4939.91</v>
      </c>
      <c r="P75" s="34" t="n">
        <v>-4675.02</v>
      </c>
      <c r="Q75" s="18" t="n">
        <v>13409.7</v>
      </c>
      <c r="R75" s="18" t="n">
        <v>-479.16</v>
      </c>
      <c r="S75" s="18" t="n">
        <v>1251.39</v>
      </c>
      <c r="T75" s="18" t="n">
        <v>1793.07</v>
      </c>
      <c r="U75" s="34" t="n">
        <v>15975</v>
      </c>
      <c r="V75" s="18" t="n">
        <v>698.88</v>
      </c>
      <c r="W75" s="18" t="n">
        <v>1209.75</v>
      </c>
      <c r="X75" s="18" t="n">
        <v>1222.15</v>
      </c>
      <c r="Y75" s="18" t="n">
        <v>2511.15</v>
      </c>
      <c r="Z75" s="34" t="n">
        <v>5641.93</v>
      </c>
      <c r="AA75" s="18" t="n">
        <v>1018.7</v>
      </c>
      <c r="AB75" s="19" t="n">
        <v>1367.08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E76" s="18" t="n">
        <v>-624.26</v>
      </c>
      <c r="F76" s="9" t="n"/>
      <c r="G76" s="18" t="n">
        <v>-200.69</v>
      </c>
      <c r="H76" s="18" t="n">
        <v>-8676.16</v>
      </c>
      <c r="I76" s="18" t="n">
        <v>1221.34</v>
      </c>
      <c r="J76" s="18" t="n">
        <v>-3115.52</v>
      </c>
      <c r="K76" s="34" t="n">
        <v>-10771.03</v>
      </c>
      <c r="L76" s="18" t="n">
        <v>2018.96</v>
      </c>
      <c r="M76" s="18" t="n">
        <v>-7448.12</v>
      </c>
      <c r="N76" s="18" t="n">
        <v>960.8</v>
      </c>
      <c r="O76" s="18" t="n">
        <v>6963.49</v>
      </c>
      <c r="P76" s="34" t="n">
        <v>2495.13</v>
      </c>
      <c r="Q76" s="18" t="n">
        <v>53043.02</v>
      </c>
      <c r="R76" s="18" t="n">
        <v>-12241.57</v>
      </c>
      <c r="S76" s="18" t="n">
        <v>3058.9</v>
      </c>
      <c r="T76" s="18" t="n">
        <v>-3837.18</v>
      </c>
      <c r="U76" s="34" t="n">
        <v>40023.17</v>
      </c>
      <c r="V76" s="18" t="n">
        <v>-2330.27</v>
      </c>
      <c r="W76" s="18" t="n">
        <v>19229.01</v>
      </c>
      <c r="X76" s="18" t="n">
        <v>-3109.36</v>
      </c>
      <c r="Y76" s="18" t="n">
        <v>11777.42</v>
      </c>
      <c r="Z76" s="34" t="n">
        <v>25566.8</v>
      </c>
      <c r="AB76" s="19" t="n">
        <v>9386.219999999999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E77" s="18" t="n">
        <v>4863.36</v>
      </c>
      <c r="F77" s="9" t="n"/>
      <c r="G77" s="18" t="n">
        <v>-411.61</v>
      </c>
      <c r="H77" s="18" t="n">
        <v>-7883.39</v>
      </c>
      <c r="I77" s="18" t="n">
        <v>1466.63</v>
      </c>
      <c r="J77" s="18" t="n">
        <v>-1182.34</v>
      </c>
      <c r="K77" s="34" t="n">
        <v>-8010.71</v>
      </c>
      <c r="L77" s="18" t="n">
        <v>2103.42</v>
      </c>
      <c r="M77" s="18" t="n">
        <v>-7684.77</v>
      </c>
      <c r="N77" s="18" t="n">
        <v>1014.62</v>
      </c>
      <c r="O77" s="18" t="n">
        <v>5853.65</v>
      </c>
      <c r="P77" s="34" t="n">
        <v>1286.92</v>
      </c>
      <c r="Q77" s="18" t="n">
        <v>63694.08</v>
      </c>
      <c r="R77" s="18" t="n">
        <v>24476.59</v>
      </c>
      <c r="S77" s="18" t="n">
        <v>-10765.51</v>
      </c>
      <c r="T77" s="18" t="n">
        <v>27773.06</v>
      </c>
      <c r="U77" s="34" t="n">
        <v>105178.22</v>
      </c>
      <c r="V77" s="18" t="n">
        <v>22181.8</v>
      </c>
      <c r="W77" s="18" t="n">
        <v>35758.8</v>
      </c>
      <c r="X77" s="18" t="n">
        <v>35229.71</v>
      </c>
      <c r="Y77" s="18" t="n">
        <v>7235.96</v>
      </c>
      <c r="Z77" s="34" t="n">
        <v>100406.27</v>
      </c>
      <c r="AA77" s="18" t="n">
        <v>7327.49</v>
      </c>
      <c r="AB77" s="19" t="n">
        <v>16276.54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-624.26</v>
      </c>
      <c r="F78" s="9" t="n"/>
      <c r="G78" s="18" t="n">
        <v>-200.69</v>
      </c>
      <c r="H78" s="18" t="n">
        <v>-8676.16</v>
      </c>
      <c r="I78" s="18" t="n">
        <v>1221.34</v>
      </c>
      <c r="J78" s="18" t="n">
        <v>-3115.52</v>
      </c>
      <c r="K78" s="34" t="n">
        <v>-10771.03</v>
      </c>
      <c r="L78" s="18" t="n">
        <v>2018.96</v>
      </c>
      <c r="M78" s="18" t="n">
        <v>-7448.12</v>
      </c>
      <c r="N78" s="18" t="n">
        <v>960.8</v>
      </c>
      <c r="O78" s="18" t="n">
        <v>6963.49</v>
      </c>
      <c r="P78" s="34" t="n">
        <v>2495.13</v>
      </c>
      <c r="Q78" s="18" t="n">
        <v>53043.02</v>
      </c>
      <c r="R78" s="18" t="n">
        <v>-12241.57</v>
      </c>
      <c r="S78" s="18" t="n">
        <v>3058.9</v>
      </c>
      <c r="T78" s="18" t="n">
        <v>-3837.18</v>
      </c>
      <c r="U78" s="34" t="n">
        <v>40023.17</v>
      </c>
      <c r="V78" s="18" t="n">
        <v>-2330.27</v>
      </c>
      <c r="W78" s="18" t="n">
        <v>19229.01</v>
      </c>
      <c r="X78" s="18" t="n">
        <v>-3109.36</v>
      </c>
      <c r="Y78" s="18" t="n">
        <v>11777.42</v>
      </c>
      <c r="Z78" s="34" t="n">
        <v>25566.8</v>
      </c>
      <c r="AA78" s="18" t="n">
        <v>6782.16</v>
      </c>
      <c r="AB78" s="19" t="n">
        <v>9386.219999999999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금융손익</t>
        </is>
      </c>
      <c r="E79" s="18" t="n">
        <v>-784.61</v>
      </c>
      <c r="F79" s="9" t="n"/>
      <c r="G79" s="18" t="n">
        <v>-810.64</v>
      </c>
      <c r="H79" s="18" t="n">
        <v>-491.77</v>
      </c>
      <c r="I79" s="18" t="n">
        <v>-1396.63</v>
      </c>
      <c r="J79" s="18" t="n">
        <v>-1414.43</v>
      </c>
      <c r="K79" s="34" t="n">
        <v>-4113.47</v>
      </c>
      <c r="L79" s="18" t="n">
        <v>-1741.75</v>
      </c>
      <c r="M79" s="18" t="n">
        <v>-531.66</v>
      </c>
      <c r="N79" s="18" t="n">
        <v>-1637.94</v>
      </c>
      <c r="O79" s="18" t="n">
        <v>-982.71</v>
      </c>
      <c r="P79" s="34" t="n">
        <v>-4894.06</v>
      </c>
      <c r="Q79" s="18" t="n">
        <v>-1248.18</v>
      </c>
      <c r="R79" s="18" t="n">
        <v>-6854.57</v>
      </c>
      <c r="S79" s="18" t="n">
        <v>-526.97</v>
      </c>
      <c r="T79" s="18" t="n">
        <v>-527.02</v>
      </c>
      <c r="U79" s="34" t="n">
        <v>-9156.74</v>
      </c>
      <c r="V79" s="18" t="n">
        <v>248</v>
      </c>
      <c r="W79" s="18" t="n">
        <v>447.85</v>
      </c>
      <c r="X79" s="18" t="n">
        <v>440.62</v>
      </c>
      <c r="Y79" s="18" t="n">
        <v>827</v>
      </c>
      <c r="Z79" s="34" t="n">
        <v>1963.47</v>
      </c>
      <c r="AA79" s="18" t="n">
        <v>762.25</v>
      </c>
      <c r="AB79" s="19" t="n">
        <v>645.5700000000001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기타영업외손익</t>
        </is>
      </c>
      <c r="E80" s="18" t="n">
        <v>3068.43</v>
      </c>
      <c r="F80" s="9" t="n"/>
      <c r="G80" s="18" t="n">
        <v>-1608.19</v>
      </c>
      <c r="H80" s="18" t="n">
        <v>-10267.45</v>
      </c>
      <c r="I80" s="18" t="n">
        <v>800.1799999999999</v>
      </c>
      <c r="J80" s="18" t="n">
        <v>-5054.05</v>
      </c>
      <c r="K80" s="34" t="n">
        <v>-16129.51</v>
      </c>
      <c r="L80" s="18" t="n">
        <v>2361.57</v>
      </c>
      <c r="M80" s="18" t="n">
        <v>-8449.889999999999</v>
      </c>
      <c r="N80" s="18" t="n">
        <v>794.47</v>
      </c>
      <c r="O80" s="18" t="n">
        <v>-274.55</v>
      </c>
      <c r="P80" s="34" t="n">
        <v>-5568.4</v>
      </c>
      <c r="Q80" s="18" t="n">
        <v>66549.77</v>
      </c>
      <c r="R80" s="18" t="n">
        <v>-10428.26</v>
      </c>
      <c r="S80" s="18" t="n">
        <v>3648.32</v>
      </c>
      <c r="T80" s="18" t="n">
        <v>-4876.02</v>
      </c>
      <c r="U80" s="34" t="n">
        <v>54893.81</v>
      </c>
      <c r="V80" s="18" t="n">
        <v>-4538.65</v>
      </c>
      <c r="W80" s="18" t="n">
        <v>15582.11</v>
      </c>
      <c r="X80" s="18" t="n">
        <v>-7193.16</v>
      </c>
      <c r="Y80" s="18" t="n">
        <v>16224.51</v>
      </c>
      <c r="Z80" s="34" t="n">
        <v>20074.81</v>
      </c>
      <c r="AA80" s="18" t="n">
        <v>316.53</v>
      </c>
      <c r="AB80" s="19" t="n">
        <v>199.32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계속사업이익</t>
        </is>
      </c>
      <c r="E81" s="18" t="n">
        <v>-624.26</v>
      </c>
      <c r="F81" s="9" t="n"/>
      <c r="G81" s="18" t="n">
        <v>-200.69</v>
      </c>
      <c r="H81" s="18" t="n">
        <v>-8676.16</v>
      </c>
      <c r="I81" s="18" t="n">
        <v>1221.34</v>
      </c>
      <c r="J81" s="18" t="n">
        <v>-3115.52</v>
      </c>
      <c r="K81" s="34" t="n">
        <v>-10771.03</v>
      </c>
      <c r="L81" s="18" t="n">
        <v>2018.96</v>
      </c>
      <c r="M81" s="18" t="n">
        <v>-7448.12</v>
      </c>
      <c r="N81" s="18" t="n">
        <v>960.8</v>
      </c>
      <c r="O81" s="18" t="n">
        <v>3566.85</v>
      </c>
      <c r="P81" s="34" t="n">
        <v>-901.51</v>
      </c>
      <c r="Q81" s="18" t="n">
        <v>53043.02</v>
      </c>
      <c r="R81" s="18" t="n">
        <v>-12241.57</v>
      </c>
      <c r="S81" s="18" t="n">
        <v>3058.9</v>
      </c>
      <c r="T81" s="18" t="n">
        <v>-3837.18</v>
      </c>
      <c r="U81" s="34" t="n">
        <v>40023.17</v>
      </c>
      <c r="V81" s="18" t="n">
        <v>-2330.27</v>
      </c>
      <c r="W81" s="18" t="n">
        <v>19229.01</v>
      </c>
      <c r="X81" s="18" t="n">
        <v>-3109.36</v>
      </c>
      <c r="Y81" s="18" t="n">
        <v>11777.42</v>
      </c>
      <c r="Z81" s="34" t="n">
        <v>25566.8</v>
      </c>
      <c r="AA81" s="18" t="n">
        <v>6782.16</v>
      </c>
      <c r="AB81" s="19" t="n">
        <v>9386.219999999999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중단사업이익</t>
        </is>
      </c>
      <c r="F82" s="9" t="n"/>
      <c r="K82" s="9" t="n"/>
      <c r="O82" s="18" t="n">
        <v>3396.63</v>
      </c>
      <c r="P82" s="9" t="n"/>
      <c r="Q82" s="18" t="n">
        <v>0</v>
      </c>
      <c r="R82" s="18" t="n">
        <v>0</v>
      </c>
      <c r="S82" s="18" t="n">
        <v>0</v>
      </c>
      <c r="T82" s="18" t="n">
        <v>0</v>
      </c>
      <c r="U82" s="34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(비지배주주지분)당기순이익</t>
        </is>
      </c>
      <c r="F83" s="9" t="n"/>
      <c r="K83" s="9" t="n"/>
      <c r="P83" s="9" t="n"/>
      <c r="R83" s="18" t="n">
        <v>0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K84" s="9" t="n"/>
      <c r="P84" s="9" t="n"/>
      <c r="U84" s="9" t="n"/>
      <c r="Z84" s="9" t="n"/>
      <c r="AA84" s="18" t="n">
        <v>2559.8</v>
      </c>
      <c r="AB84" s="19" t="n">
        <v>4774.74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영업활동으로인한현금흐름</t>
        </is>
      </c>
      <c r="E85" s="18" t="n">
        <v>2255.31</v>
      </c>
      <c r="F85" s="9" t="n"/>
      <c r="G85" s="18" t="n">
        <v>-52133.14</v>
      </c>
      <c r="H85" s="18" t="n">
        <v>47219.46</v>
      </c>
      <c r="I85" s="18" t="n">
        <v>2431.45</v>
      </c>
      <c r="J85" s="18" t="n">
        <v>-1803.73</v>
      </c>
      <c r="K85" s="34" t="n">
        <v>-4285.96</v>
      </c>
      <c r="L85" s="18" t="n">
        <v>-3117.39</v>
      </c>
      <c r="M85" s="18" t="n">
        <v>-1068.55</v>
      </c>
      <c r="N85" s="18" t="n">
        <v>10808.69</v>
      </c>
      <c r="O85" s="18" t="n">
        <v>2068.87</v>
      </c>
      <c r="P85" s="34" t="n">
        <v>8691.620000000001</v>
      </c>
      <c r="Q85" s="18" t="n">
        <v>10746.55</v>
      </c>
      <c r="R85" s="18" t="n">
        <v>2700.93</v>
      </c>
      <c r="S85" s="18" t="n">
        <v>5901.77</v>
      </c>
      <c r="T85" s="18" t="n">
        <v>-690.66</v>
      </c>
      <c r="U85" s="34" t="n">
        <v>18658.59</v>
      </c>
      <c r="V85" s="18" t="n">
        <v>-1921.71</v>
      </c>
      <c r="W85" s="18" t="n">
        <v>591.96</v>
      </c>
      <c r="X85" s="18" t="n">
        <v>3954.42</v>
      </c>
      <c r="Y85" s="18" t="n">
        <v>2518.15</v>
      </c>
      <c r="Z85" s="34" t="n">
        <v>5142.82</v>
      </c>
      <c r="AA85" s="18" t="n">
        <v>-9716.469999999999</v>
      </c>
      <c r="AB85" s="19" t="n">
        <v>-10867.47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감가상각비</t>
        </is>
      </c>
      <c r="E86" s="18" t="n">
        <v>1731.51</v>
      </c>
      <c r="F86" s="9" t="n"/>
      <c r="G86" s="18" t="n">
        <v>1673.07</v>
      </c>
      <c r="H86" s="18" t="n">
        <v>1663.08</v>
      </c>
      <c r="I86" s="18" t="n">
        <v>1617.21</v>
      </c>
      <c r="J86" s="18" t="n">
        <v>1653.98</v>
      </c>
      <c r="K86" s="34" t="n">
        <v>6607.34</v>
      </c>
      <c r="L86" s="18" t="n">
        <v>1522.9</v>
      </c>
      <c r="M86" s="18" t="n">
        <v>1686.86</v>
      </c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무형자산상각비</t>
        </is>
      </c>
      <c r="E87" s="18" t="n">
        <v>9.68</v>
      </c>
      <c r="F87" s="9" t="n"/>
      <c r="G87" s="18" t="n">
        <v>10.03</v>
      </c>
      <c r="H87" s="18" t="n">
        <v>10.03</v>
      </c>
      <c r="I87" s="18" t="n">
        <v>4.93</v>
      </c>
      <c r="J87" s="18" t="n">
        <v>2.18</v>
      </c>
      <c r="K87" s="34" t="n">
        <v>27.17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0</v>
      </c>
      <c r="F88" s="9" t="n"/>
      <c r="G88" s="18" t="n">
        <v>-50701.94</v>
      </c>
      <c r="H88" s="18" t="n">
        <v>50708.39</v>
      </c>
      <c r="I88" s="18" t="n">
        <v>0</v>
      </c>
      <c r="J88" s="18" t="n">
        <v>0</v>
      </c>
      <c r="K88" s="34" t="n">
        <v>6.45</v>
      </c>
      <c r="N88" s="18" t="n">
        <v>0</v>
      </c>
      <c r="O88" s="18" t="n">
        <v>0</v>
      </c>
      <c r="P88" s="9" t="n"/>
      <c r="S88" s="18" t="n">
        <v>0.09</v>
      </c>
      <c r="T88" s="18" t="n">
        <v>0.09</v>
      </c>
      <c r="U88" s="9" t="n"/>
      <c r="X88" s="18" t="n">
        <v>0.11</v>
      </c>
      <c r="Y88" s="18" t="n">
        <v>0.11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26.51</v>
      </c>
      <c r="F89" s="9" t="n"/>
      <c r="G89" s="18" t="n">
        <v>-5765.74</v>
      </c>
      <c r="H89" s="18" t="n">
        <v>-6935.63</v>
      </c>
      <c r="I89" s="18" t="n">
        <v>-465.49</v>
      </c>
      <c r="J89" s="18" t="n">
        <v>-28.76</v>
      </c>
      <c r="K89" s="34" t="n">
        <v>-13195.62</v>
      </c>
      <c r="L89" s="18" t="n">
        <v>-503.93</v>
      </c>
      <c r="M89" s="18" t="n">
        <v>-532.01</v>
      </c>
      <c r="N89" s="18" t="n">
        <v>-238.34</v>
      </c>
      <c r="O89" s="18" t="n">
        <v>-507.45</v>
      </c>
      <c r="P89" s="34" t="n">
        <v>-1781.73</v>
      </c>
      <c r="Q89" s="18" t="n">
        <v>194.09</v>
      </c>
      <c r="R89" s="18" t="n">
        <v>227.11</v>
      </c>
      <c r="S89" s="18" t="n">
        <v>-130.28</v>
      </c>
      <c r="T89" s="18" t="n">
        <v>-87.73</v>
      </c>
      <c r="U89" s="34" t="n">
        <v>203.19</v>
      </c>
      <c r="V89" s="18" t="n">
        <v>-4969.31</v>
      </c>
      <c r="W89" s="18" t="n">
        <v>-5781.45</v>
      </c>
      <c r="X89" s="18" t="n">
        <v>-2670.21</v>
      </c>
      <c r="Y89" s="18" t="n">
        <v>-2451.87</v>
      </c>
      <c r="Z89" s="34" t="n">
        <v>-15872.84</v>
      </c>
      <c r="AA89" s="18" t="n">
        <v>-15750.1</v>
      </c>
      <c r="AB89" s="19" t="n">
        <v>-18964.15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8275.57</v>
      </c>
      <c r="F90" s="9" t="n"/>
      <c r="G90" s="18" t="n">
        <v>51253.13</v>
      </c>
      <c r="H90" s="18" t="n">
        <v>-45400.28</v>
      </c>
      <c r="I90" s="18" t="n">
        <v>-25627.81</v>
      </c>
      <c r="J90" s="18" t="n">
        <v>-5568.53</v>
      </c>
      <c r="K90" s="34" t="n">
        <v>-25343.49</v>
      </c>
      <c r="L90" s="18" t="n">
        <v>1953.38</v>
      </c>
      <c r="M90" s="18" t="n">
        <v>-970.95</v>
      </c>
      <c r="N90" s="18" t="n">
        <v>3076.65</v>
      </c>
      <c r="O90" s="18" t="n">
        <v>16493.94</v>
      </c>
      <c r="P90" s="34" t="n">
        <v>20553.02</v>
      </c>
      <c r="Q90" s="18" t="n">
        <v>10494.36</v>
      </c>
      <c r="R90" s="18" t="n">
        <v>-28735.1</v>
      </c>
      <c r="S90" s="18" t="n">
        <v>-1253.2</v>
      </c>
      <c r="T90" s="18" t="n">
        <v>4722.66</v>
      </c>
      <c r="U90" s="34" t="n">
        <v>-14771.28</v>
      </c>
      <c r="V90" s="18" t="n">
        <v>28602.1</v>
      </c>
      <c r="W90" s="18" t="n">
        <v>24914.97</v>
      </c>
      <c r="X90" s="18" t="n">
        <v>20132.92</v>
      </c>
      <c r="Y90" s="18" t="n">
        <v>6679.73</v>
      </c>
      <c r="Z90" s="34" t="n">
        <v>80329.72</v>
      </c>
      <c r="AA90" s="18" t="n">
        <v>12579.28</v>
      </c>
      <c r="AB90" s="19" t="n">
        <v>33171.11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E91" s="18" t="n">
        <v>0.82</v>
      </c>
      <c r="F91" s="9" t="n"/>
      <c r="G91" s="18" t="n">
        <v>26.55</v>
      </c>
      <c r="H91" s="18" t="n">
        <v>0</v>
      </c>
      <c r="I91" s="18" t="n">
        <v>0</v>
      </c>
      <c r="J91" s="18" t="n">
        <v>3.63</v>
      </c>
      <c r="K91" s="34" t="n">
        <v>30.18</v>
      </c>
      <c r="L91" s="18" t="n">
        <v>4.55</v>
      </c>
      <c r="M91" s="18" t="n">
        <v>0.8100000000000001</v>
      </c>
      <c r="N91" s="18" t="n">
        <v>215.26</v>
      </c>
      <c r="O91" s="18" t="n">
        <v>0</v>
      </c>
      <c r="P91" s="34" t="n">
        <v>220.62</v>
      </c>
      <c r="Q91" s="18" t="n">
        <v>89</v>
      </c>
      <c r="R91" s="18" t="n">
        <v>0</v>
      </c>
      <c r="S91" s="18" t="n">
        <v>1</v>
      </c>
      <c r="T91" s="18" t="n">
        <v>0</v>
      </c>
      <c r="U91" s="34" t="n">
        <v>90</v>
      </c>
      <c r="X91" s="18" t="n">
        <v>25</v>
      </c>
      <c r="Y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E92" s="18" t="n">
        <v>1053.5</v>
      </c>
      <c r="F92" s="9" t="n"/>
      <c r="G92" s="18" t="n">
        <v>391.32</v>
      </c>
      <c r="H92" s="18" t="n">
        <v>349.23</v>
      </c>
      <c r="I92" s="18" t="n">
        <v>241.36</v>
      </c>
      <c r="J92" s="18" t="n">
        <v>973.54</v>
      </c>
      <c r="K92" s="34" t="n">
        <v>1955.45</v>
      </c>
      <c r="L92" s="18" t="n">
        <v>604.6</v>
      </c>
      <c r="M92" s="18" t="n">
        <v>493.25</v>
      </c>
      <c r="N92" s="18" t="n">
        <v>770.87</v>
      </c>
      <c r="O92" s="18" t="n">
        <v>664.28</v>
      </c>
      <c r="P92" s="34" t="n">
        <v>2533</v>
      </c>
      <c r="Q92" s="18" t="n">
        <v>434.15</v>
      </c>
      <c r="R92" s="18" t="n">
        <v>906.65</v>
      </c>
      <c r="S92" s="18" t="n">
        <v>961.54</v>
      </c>
      <c r="T92" s="18" t="n">
        <v>548.45</v>
      </c>
      <c r="U92" s="34" t="n">
        <v>2850.79</v>
      </c>
      <c r="V92" s="18" t="n">
        <v>1900.29</v>
      </c>
      <c r="W92" s="18" t="n">
        <v>1098.41</v>
      </c>
      <c r="X92" s="18" t="n">
        <v>904.42</v>
      </c>
      <c r="Y92" s="18" t="n">
        <v>2627.7</v>
      </c>
      <c r="Z92" s="34" t="n">
        <v>6530.82</v>
      </c>
      <c r="AA92" s="18" t="n">
        <v>329.53</v>
      </c>
      <c r="AB92" s="19" t="n">
        <v>286.8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1053.5</v>
      </c>
      <c r="F93" s="9" t="n"/>
      <c r="G93" s="18" t="n">
        <v>398.32</v>
      </c>
      <c r="H93" s="18" t="n">
        <v>349.23</v>
      </c>
      <c r="I93" s="18" t="n">
        <v>242.81</v>
      </c>
      <c r="J93" s="18" t="n">
        <v>974.1</v>
      </c>
      <c r="K93" s="34" t="n">
        <v>1964.46</v>
      </c>
      <c r="L93" s="18" t="n">
        <v>634.6</v>
      </c>
      <c r="M93" s="18" t="n">
        <v>493.25</v>
      </c>
      <c r="N93" s="18" t="n">
        <v>770.87</v>
      </c>
      <c r="O93" s="18" t="n">
        <v>664.28</v>
      </c>
      <c r="P93" s="34" t="n">
        <v>2563</v>
      </c>
      <c r="Q93" s="18" t="n">
        <v>434.15</v>
      </c>
      <c r="R93" s="18" t="n">
        <v>906.65</v>
      </c>
      <c r="S93" s="18" t="n">
        <v>961.54</v>
      </c>
      <c r="T93" s="18" t="n">
        <v>548.45</v>
      </c>
      <c r="U93" s="34" t="n">
        <v>2850.79</v>
      </c>
      <c r="V93" s="18" t="n">
        <v>1900.29</v>
      </c>
      <c r="W93" s="18" t="n">
        <v>1098.41</v>
      </c>
      <c r="X93" s="18" t="n">
        <v>904.42</v>
      </c>
      <c r="Y93" s="18" t="n">
        <v>2627.7</v>
      </c>
      <c r="Z93" s="34" t="n">
        <v>6530.82</v>
      </c>
      <c r="AA93" s="18" t="n">
        <v>329.53</v>
      </c>
      <c r="AB93" s="19" t="n">
        <v>694.8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재무활동으로인한현금흐름</t>
        </is>
      </c>
      <c r="E94" s="18" t="n">
        <v>866.83</v>
      </c>
      <c r="F94" s="9" t="n"/>
      <c r="G94" s="18" t="n">
        <v>-473.63</v>
      </c>
      <c r="H94" s="18" t="n">
        <v>16636.59</v>
      </c>
      <c r="I94" s="18" t="n">
        <v>-3154.16</v>
      </c>
      <c r="J94" s="18" t="n">
        <v>-8.039999999999999</v>
      </c>
      <c r="K94" s="34" t="n">
        <v>13000.76</v>
      </c>
      <c r="L94" s="18" t="n">
        <v>-865.17</v>
      </c>
      <c r="M94" s="18" t="n">
        <v>-184.24</v>
      </c>
      <c r="N94" s="18" t="n">
        <v>2136.46</v>
      </c>
      <c r="O94" s="18" t="n">
        <v>-12785.74</v>
      </c>
      <c r="P94" s="34" t="n">
        <v>-11698.69</v>
      </c>
      <c r="Q94" s="18" t="n">
        <v>-25435.26</v>
      </c>
      <c r="R94" s="18" t="n">
        <v>11873.43</v>
      </c>
      <c r="S94" s="18" t="n">
        <v>-1923.63</v>
      </c>
      <c r="T94" s="18" t="n">
        <v>-4828.82</v>
      </c>
      <c r="U94" s="34" t="n">
        <v>-20314.28</v>
      </c>
      <c r="V94" s="18" t="n">
        <v>-10442.3</v>
      </c>
      <c r="W94" s="18" t="n">
        <v>-33307.48</v>
      </c>
      <c r="X94" s="18" t="n">
        <v>-24774.31</v>
      </c>
      <c r="Y94" s="18" t="n">
        <v>-12007.03</v>
      </c>
      <c r="Z94" s="34" t="n">
        <v>-80531.12</v>
      </c>
      <c r="AA94" s="18" t="n">
        <v>-3296.81</v>
      </c>
      <c r="AB94" s="19" t="n">
        <v>-22445.04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차입금의감소</t>
        </is>
      </c>
      <c r="E95" s="18" t="n">
        <v>19.85</v>
      </c>
      <c r="F95" s="9" t="n"/>
      <c r="G95" s="18" t="n">
        <v>2459.85</v>
      </c>
      <c r="H95" s="18" t="n">
        <v>2319.85</v>
      </c>
      <c r="I95" s="18" t="n">
        <v>5599.85</v>
      </c>
      <c r="J95" s="18" t="n">
        <v>719.85</v>
      </c>
      <c r="K95" s="34" t="n">
        <v>11099.4</v>
      </c>
      <c r="L95" s="18" t="n">
        <v>1019.85</v>
      </c>
      <c r="M95" s="18" t="n">
        <v>10019.85</v>
      </c>
      <c r="N95" s="18" t="n">
        <v>1139.85</v>
      </c>
      <c r="O95" s="18" t="n">
        <v>26319.85</v>
      </c>
      <c r="P95" s="34" t="n">
        <v>38499.4</v>
      </c>
      <c r="Q95" s="18" t="n">
        <v>15016.95</v>
      </c>
      <c r="R95" s="18" t="n">
        <v>39016.95</v>
      </c>
      <c r="S95" s="18" t="n">
        <v>25300</v>
      </c>
      <c r="T95" s="18" t="n">
        <v>24000</v>
      </c>
      <c r="U95" s="34" t="n">
        <v>103333.9</v>
      </c>
      <c r="V95" s="18" t="n">
        <v>10000</v>
      </c>
      <c r="W95" s="18" t="n">
        <v>25500</v>
      </c>
      <c r="X95" s="18" t="n">
        <v>15650</v>
      </c>
      <c r="Y95" s="18" t="n">
        <v>12000</v>
      </c>
      <c r="Z95" s="34" t="n">
        <v>63150</v>
      </c>
      <c r="AA95" s="18" t="n">
        <v>500</v>
      </c>
      <c r="AB95" s="19" t="n">
        <v>15540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22778.58</v>
      </c>
      <c r="F96" s="9" t="n"/>
      <c r="G96" s="18" t="n">
        <v>-2690.27</v>
      </c>
      <c r="H96" s="18" t="n">
        <v>36903.52</v>
      </c>
      <c r="I96" s="18" t="n">
        <v>-52634.9</v>
      </c>
      <c r="J96" s="18" t="n">
        <v>-14858.29</v>
      </c>
      <c r="K96" s="34" t="n">
        <v>-33279.94</v>
      </c>
      <c r="L96" s="18" t="n">
        <v>-3996.64</v>
      </c>
      <c r="M96" s="18" t="n">
        <v>-4602.95</v>
      </c>
      <c r="N96" s="18" t="n">
        <v>32049.1</v>
      </c>
      <c r="O96" s="18" t="n">
        <v>11597.34</v>
      </c>
      <c r="P96" s="34" t="n">
        <v>35046.85</v>
      </c>
      <c r="Q96" s="18" t="n">
        <v>-8456.110000000001</v>
      </c>
      <c r="R96" s="18" t="n">
        <v>-28394.71</v>
      </c>
      <c r="S96" s="18" t="n">
        <v>5625.36</v>
      </c>
      <c r="T96" s="18" t="n">
        <v>-1533.83</v>
      </c>
      <c r="U96" s="34" t="n">
        <v>-32759.29</v>
      </c>
      <c r="V96" s="18" t="n">
        <v>32531.85</v>
      </c>
      <c r="W96" s="18" t="n">
        <v>-15683.99</v>
      </c>
      <c r="X96" s="18" t="n">
        <v>-1342.55</v>
      </c>
      <c r="Y96" s="18" t="n">
        <v>-10623.48</v>
      </c>
      <c r="Z96" s="34" t="n">
        <v>4881.83</v>
      </c>
      <c r="AA96" s="18" t="n">
        <v>-364.42</v>
      </c>
      <c r="AB96" s="19" t="n">
        <v>-179.01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11380.85</v>
      </c>
      <c r="F97" s="9" t="n"/>
      <c r="G97" s="18" t="n">
        <v>27451.56</v>
      </c>
      <c r="H97" s="18" t="n">
        <v>18447.77</v>
      </c>
      <c r="I97" s="18" t="n">
        <v>-26284.37</v>
      </c>
      <c r="J97" s="18" t="n">
        <v>-7478</v>
      </c>
      <c r="K97" s="34" t="n">
        <v>12136.96</v>
      </c>
      <c r="L97" s="18" t="n">
        <v>10169.51</v>
      </c>
      <c r="M97" s="18" t="n">
        <v>-2379.23</v>
      </c>
      <c r="N97" s="18" t="n">
        <v>16027.31</v>
      </c>
      <c r="O97" s="18" t="n">
        <v>5820.27</v>
      </c>
      <c r="P97" s="34" t="n">
        <v>29637.86</v>
      </c>
      <c r="Q97" s="18" t="n">
        <v>25376.1</v>
      </c>
      <c r="R97" s="18" t="n">
        <v>-14233.97</v>
      </c>
      <c r="S97" s="18" t="n">
        <v>2900.42</v>
      </c>
      <c r="T97" s="18" t="n">
        <v>-737</v>
      </c>
      <c r="U97" s="34" t="n">
        <v>13305.55</v>
      </c>
      <c r="V97" s="18" t="n">
        <v>29599.31</v>
      </c>
      <c r="W97" s="18" t="n">
        <v>-7883.43</v>
      </c>
      <c r="X97" s="18" t="n">
        <v>-655.6</v>
      </c>
      <c r="Y97" s="18" t="n">
        <v>-2872.9</v>
      </c>
      <c r="Z97" s="34" t="n">
        <v>18187.38</v>
      </c>
      <c r="AA97" s="18" t="n">
        <v>17822.96</v>
      </c>
      <c r="AB97" s="19" t="n">
        <v>-179.01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무형자산의증가</t>
        </is>
      </c>
      <c r="F98" s="9" t="n"/>
      <c r="G98" s="18" t="n">
        <v>7</v>
      </c>
      <c r="H98" s="18" t="n">
        <v>0</v>
      </c>
      <c r="I98" s="18" t="n">
        <v>1.45</v>
      </c>
      <c r="J98" s="18" t="n">
        <v>0.5600000000000001</v>
      </c>
      <c r="K98" s="34" t="n">
        <v>9.01</v>
      </c>
      <c r="L98" s="18" t="n">
        <v>30</v>
      </c>
      <c r="M98" s="18" t="n">
        <v>0</v>
      </c>
      <c r="N98" s="18" t="n">
        <v>0</v>
      </c>
      <c r="O98" s="18" t="n">
        <v>0</v>
      </c>
      <c r="P98" s="34" t="n">
        <v>30</v>
      </c>
      <c r="S98" s="18" t="n">
        <v>0</v>
      </c>
      <c r="T98" s="18" t="n">
        <v>0</v>
      </c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이자수취(CF)</t>
        </is>
      </c>
      <c r="F99" s="9" t="n"/>
      <c r="K99" s="9" t="n"/>
      <c r="O99" s="18" t="n">
        <v>651.12</v>
      </c>
      <c r="P99" s="9" t="n"/>
      <c r="Q99" s="18" t="n">
        <v>314.74</v>
      </c>
      <c r="R99" s="18" t="n">
        <v>398.92</v>
      </c>
      <c r="S99" s="18" t="n">
        <v>356.34</v>
      </c>
      <c r="T99" s="18" t="n">
        <v>247.38</v>
      </c>
      <c r="U99" s="34" t="n">
        <v>1317.38</v>
      </c>
      <c r="V99" s="18" t="n">
        <v>1091.29</v>
      </c>
      <c r="W99" s="18" t="n">
        <v>379.54</v>
      </c>
      <c r="X99" s="18" t="n">
        <v>1326.55</v>
      </c>
      <c r="Y99" s="18" t="n">
        <v>298.75</v>
      </c>
      <c r="Z99" s="34" t="n">
        <v>3096.13</v>
      </c>
      <c r="AA99" s="18" t="n">
        <v>2877.74</v>
      </c>
      <c r="AB99" s="19" t="n">
        <v>573.55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배당금지급</t>
        </is>
      </c>
      <c r="F100" s="9" t="n"/>
      <c r="K100" s="9" t="n"/>
      <c r="P100" s="9" t="n"/>
      <c r="Q100" s="18" t="n">
        <v>20457.46</v>
      </c>
      <c r="R100" s="18" t="n">
        <v>0.8</v>
      </c>
      <c r="S100" s="18" t="n">
        <v>0</v>
      </c>
      <c r="T100" s="18" t="n">
        <v>0</v>
      </c>
      <c r="U100" s="34" t="n">
        <v>20458.26</v>
      </c>
      <c r="X100" s="18" t="n">
        <v>9232.879999999999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F101" s="9" t="n"/>
      <c r="K101" s="9" t="n"/>
      <c r="P101" s="9" t="n"/>
      <c r="U101" s="9" t="n"/>
      <c r="Z101" s="9" t="n"/>
      <c r="AA101" s="18" t="n">
        <v>7.78</v>
      </c>
      <c r="AB101" s="19" t="n">
        <v>7.92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인화정공(별)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36188.84</v>
      </c>
      <c r="F5" s="34" t="n">
        <v>36188.84</v>
      </c>
      <c r="G5" s="18" t="n">
        <v>34043.97</v>
      </c>
      <c r="H5" s="18" t="n">
        <v>54813.13</v>
      </c>
      <c r="I5" s="18" t="n">
        <v>32299.22</v>
      </c>
      <c r="J5" s="18" t="n">
        <v>33484.86</v>
      </c>
      <c r="K5" s="34" t="n">
        <v>33484.86</v>
      </c>
      <c r="L5" s="18" t="n">
        <v>33451.61</v>
      </c>
      <c r="M5" s="18" t="n">
        <v>33572.3</v>
      </c>
      <c r="N5" s="18" t="n">
        <v>49575.79</v>
      </c>
      <c r="O5" s="18" t="n">
        <v>59137.79</v>
      </c>
      <c r="P5" s="34" t="n">
        <v>59137.79</v>
      </c>
      <c r="Q5" s="18" t="n">
        <v>76010.07000000001</v>
      </c>
      <c r="R5" s="18" t="n">
        <v>91316.16</v>
      </c>
      <c r="S5" s="18" t="n">
        <v>91418.67999999999</v>
      </c>
      <c r="T5" s="18" t="n">
        <v>90467.32000000001</v>
      </c>
      <c r="U5" s="34" t="n">
        <v>90467.32000000001</v>
      </c>
      <c r="V5" s="18" t="n">
        <v>196365.58</v>
      </c>
      <c r="W5" s="18" t="n">
        <v>163047.92</v>
      </c>
      <c r="X5" s="18" t="n">
        <v>207100.81</v>
      </c>
      <c r="Y5" s="18" t="n">
        <v>210447.27</v>
      </c>
      <c r="Z5" s="34" t="n">
        <v>210447.27</v>
      </c>
      <c r="AA5" s="18" t="n">
        <v>196904.1</v>
      </c>
      <c r="AB5" s="19" t="n">
        <v>163070.67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14382.03</v>
      </c>
      <c r="F6" s="34" t="n">
        <v>14382.03</v>
      </c>
      <c r="G6" s="18" t="n">
        <v>11519.71</v>
      </c>
      <c r="H6" s="18" t="n">
        <v>30832.25</v>
      </c>
      <c r="I6" s="18" t="n">
        <v>6837.81</v>
      </c>
      <c r="J6" s="18" t="n">
        <v>4997.94</v>
      </c>
      <c r="K6" s="34" t="n">
        <v>4997.94</v>
      </c>
      <c r="L6" s="18" t="n">
        <v>3282.03</v>
      </c>
      <c r="M6" s="18" t="n">
        <v>3026.22</v>
      </c>
      <c r="N6" s="18" t="n">
        <v>17227.14</v>
      </c>
      <c r="O6" s="18" t="n">
        <v>25823</v>
      </c>
      <c r="P6" s="34" t="n">
        <v>25823</v>
      </c>
      <c r="Q6" s="18" t="n">
        <v>20315.68</v>
      </c>
      <c r="R6" s="18" t="n">
        <v>5007.86</v>
      </c>
      <c r="S6" s="18" t="n">
        <v>7788.4</v>
      </c>
      <c r="T6" s="18" t="n">
        <v>7078.57</v>
      </c>
      <c r="U6" s="34" t="n">
        <v>7078.57</v>
      </c>
      <c r="V6" s="18" t="n">
        <v>23544.42</v>
      </c>
      <c r="W6" s="18" t="n">
        <v>17190.85</v>
      </c>
      <c r="X6" s="18" t="n">
        <v>17533.8</v>
      </c>
      <c r="Y6" s="18" t="n">
        <v>13688.49</v>
      </c>
      <c r="Z6" s="34" t="n">
        <v>13688.49</v>
      </c>
      <c r="AA6" s="18" t="n">
        <v>12118.5</v>
      </c>
      <c r="AB6" s="19" t="n">
        <v>11995.39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307.67</v>
      </c>
      <c r="F7" s="34" t="n">
        <v>307.67</v>
      </c>
      <c r="G7" s="18" t="n">
        <v>463.67</v>
      </c>
      <c r="H7" s="18" t="n">
        <v>256</v>
      </c>
      <c r="I7" s="18" t="n">
        <v>256</v>
      </c>
      <c r="J7" s="18" t="n">
        <v>156</v>
      </c>
      <c r="K7" s="34" t="n">
        <v>156</v>
      </c>
      <c r="L7" s="18" t="n">
        <v>164.67</v>
      </c>
      <c r="M7" s="18" t="n">
        <v>8.67</v>
      </c>
      <c r="N7" s="18" t="n">
        <v>935.42</v>
      </c>
      <c r="O7" s="18" t="n">
        <v>2094.41</v>
      </c>
      <c r="P7" s="34" t="n">
        <v>2094.41</v>
      </c>
      <c r="Q7" s="18" t="n">
        <v>32120.87</v>
      </c>
      <c r="R7" s="18" t="n">
        <v>22612.2</v>
      </c>
      <c r="S7" s="18" t="n">
        <v>49838.68</v>
      </c>
      <c r="T7" s="18" t="n">
        <v>45064.83</v>
      </c>
      <c r="U7" s="34" t="n">
        <v>45064.83</v>
      </c>
      <c r="V7" s="18" t="n">
        <v>134301.32</v>
      </c>
      <c r="W7" s="18" t="n">
        <v>108982.12</v>
      </c>
      <c r="X7" s="18" t="n">
        <v>165621.1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1421.01</v>
      </c>
      <c r="F8" s="34" t="n">
        <v>1421.01</v>
      </c>
      <c r="G8" s="18" t="n">
        <v>1417.71</v>
      </c>
      <c r="H8" s="18" t="n">
        <v>2942.09</v>
      </c>
      <c r="I8" s="18" t="n">
        <v>2939.09</v>
      </c>
      <c r="J8" s="18" t="n">
        <v>2326.54</v>
      </c>
      <c r="K8" s="34" t="n">
        <v>2326.54</v>
      </c>
      <c r="L8" s="18" t="n">
        <v>4915.21</v>
      </c>
      <c r="M8" s="18" t="n">
        <v>7531.1</v>
      </c>
      <c r="N8" s="18" t="n">
        <v>11407.85</v>
      </c>
      <c r="O8" s="18" t="n">
        <v>9630.139999999999</v>
      </c>
      <c r="P8" s="34" t="n">
        <v>9630.139999999999</v>
      </c>
      <c r="Q8" s="18" t="n">
        <v>33156.6</v>
      </c>
      <c r="R8" s="18" t="n">
        <v>61445.92</v>
      </c>
      <c r="S8" s="18" t="n">
        <v>49838.68</v>
      </c>
      <c r="T8" s="18" t="n">
        <v>45064.83</v>
      </c>
      <c r="U8" s="34" t="n">
        <v>45064.83</v>
      </c>
      <c r="V8" s="18" t="n">
        <v>134301.32</v>
      </c>
      <c r="W8" s="18" t="n">
        <v>108982.12</v>
      </c>
      <c r="X8" s="18" t="n">
        <v>165621.1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23548.75</v>
      </c>
      <c r="F9" s="34" t="n">
        <v>23548.75</v>
      </c>
      <c r="G9" s="18" t="n">
        <v>25475.94</v>
      </c>
      <c r="H9" s="18" t="n">
        <v>22250.58</v>
      </c>
      <c r="I9" s="18" t="n">
        <v>24411.69</v>
      </c>
      <c r="J9" s="18" t="n">
        <v>29797.38</v>
      </c>
      <c r="K9" s="34" t="n">
        <v>29797.38</v>
      </c>
      <c r="L9" s="18" t="n">
        <v>33393.12</v>
      </c>
      <c r="M9" s="18" t="n">
        <v>31310.15</v>
      </c>
      <c r="N9" s="18" t="n">
        <v>32002.4</v>
      </c>
      <c r="O9" s="18" t="n">
        <v>35753.16</v>
      </c>
      <c r="P9" s="34" t="n">
        <v>35753.16</v>
      </c>
      <c r="Q9" s="18" t="n">
        <v>26943.04</v>
      </c>
      <c r="R9" s="18" t="n">
        <v>69621.13</v>
      </c>
      <c r="S9" s="18" t="n">
        <v>32759.25</v>
      </c>
      <c r="T9" s="18" t="n">
        <v>39334.28</v>
      </c>
      <c r="U9" s="34" t="n">
        <v>39334.28</v>
      </c>
      <c r="V9" s="18" t="n">
        <v>45027.59</v>
      </c>
      <c r="W9" s="18" t="n">
        <v>39417.83</v>
      </c>
      <c r="X9" s="18" t="n">
        <v>26733.08</v>
      </c>
      <c r="Y9" s="18" t="n">
        <v>12450.74</v>
      </c>
      <c r="Z9" s="34" t="n">
        <v>12450.74</v>
      </c>
      <c r="AA9" s="18" t="n">
        <v>15435.74</v>
      </c>
      <c r="AB9" s="19" t="n">
        <v>14287.92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1113.34</v>
      </c>
      <c r="F10" s="34" t="n">
        <v>1113.34</v>
      </c>
      <c r="G10" s="18" t="n">
        <v>954.04</v>
      </c>
      <c r="H10" s="18" t="n">
        <v>951.04</v>
      </c>
      <c r="I10" s="18" t="n">
        <v>948.04</v>
      </c>
      <c r="J10" s="18" t="n">
        <v>853.72</v>
      </c>
      <c r="K10" s="34" t="n">
        <v>853.72</v>
      </c>
      <c r="L10" s="18" t="n">
        <v>3433.72</v>
      </c>
      <c r="M10" s="18" t="n">
        <v>7083.72</v>
      </c>
      <c r="N10" s="18" t="n">
        <v>10033.72</v>
      </c>
      <c r="O10" s="18" t="n">
        <v>7333.72</v>
      </c>
      <c r="P10" s="34" t="n">
        <v>7333.72</v>
      </c>
      <c r="Q10" s="18" t="n">
        <v>833.72</v>
      </c>
      <c r="R10" s="18" t="n">
        <v>38833.72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4" t="n">
        <v>0</v>
      </c>
      <c r="I11" s="18" t="n">
        <v>170.05</v>
      </c>
      <c r="K11" s="9" t="n"/>
      <c r="L11" s="18" t="n">
        <v>7.37</v>
      </c>
      <c r="O11" s="18" t="n">
        <v>283.05</v>
      </c>
      <c r="P11" s="34" t="n">
        <v>283.05</v>
      </c>
      <c r="Q11" s="18" t="n">
        <v>0</v>
      </c>
      <c r="R11" s="18" t="n">
        <v>0</v>
      </c>
      <c r="S11" s="18" t="n">
        <v>0</v>
      </c>
      <c r="T11" s="18" t="n">
        <v>0</v>
      </c>
      <c r="U11" s="34" t="n">
        <v>0</v>
      </c>
      <c r="V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9452.32</v>
      </c>
      <c r="F12" s="34" t="n">
        <v>9452.32</v>
      </c>
      <c r="G12" s="18" t="n">
        <v>9139.66</v>
      </c>
      <c r="H12" s="18" t="n">
        <v>10657.67</v>
      </c>
      <c r="I12" s="18" t="n">
        <v>10913.64</v>
      </c>
      <c r="J12" s="18" t="n">
        <v>10962.94</v>
      </c>
      <c r="K12" s="34" t="n">
        <v>10962.94</v>
      </c>
      <c r="L12" s="18" t="n">
        <v>9491.65</v>
      </c>
      <c r="M12" s="18" t="n">
        <v>10152.45</v>
      </c>
      <c r="N12" s="18" t="n">
        <v>10180.94</v>
      </c>
      <c r="O12" s="18" t="n">
        <v>9428.34</v>
      </c>
      <c r="P12" s="34" t="n">
        <v>9428.34</v>
      </c>
      <c r="Q12" s="18" t="n">
        <v>9614.559999999999</v>
      </c>
      <c r="R12" s="18" t="n">
        <v>9563.23</v>
      </c>
      <c r="S12" s="18" t="n">
        <v>11402.88</v>
      </c>
      <c r="T12" s="18" t="n">
        <v>12432.04</v>
      </c>
      <c r="U12" s="34" t="n">
        <v>12432.04</v>
      </c>
      <c r="V12" s="18" t="n">
        <v>9717.24</v>
      </c>
      <c r="W12" s="18" t="n">
        <v>10477.24</v>
      </c>
      <c r="X12" s="18" t="n">
        <v>9493.98</v>
      </c>
      <c r="Y12" s="18" t="n">
        <v>11355.36</v>
      </c>
      <c r="Z12" s="34" t="n">
        <v>11355.36</v>
      </c>
      <c r="AA12" s="18" t="n">
        <v>11428.02</v>
      </c>
      <c r="AB12" s="19" t="n">
        <v>11589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242563.59</v>
      </c>
      <c r="F13" s="34" t="n">
        <v>242563.59</v>
      </c>
      <c r="G13" s="18" t="n">
        <v>241815.96</v>
      </c>
      <c r="H13" s="18" t="n">
        <v>240990.23</v>
      </c>
      <c r="I13" s="18" t="n">
        <v>268999.97</v>
      </c>
      <c r="J13" s="18" t="n">
        <v>269022.1</v>
      </c>
      <c r="K13" s="34" t="n">
        <v>269022.1</v>
      </c>
      <c r="L13" s="18" t="n">
        <v>268297.36</v>
      </c>
      <c r="M13" s="18" t="n">
        <v>267732.27</v>
      </c>
      <c r="N13" s="18" t="n">
        <v>269175.26</v>
      </c>
      <c r="O13" s="18" t="n">
        <v>265478.3</v>
      </c>
      <c r="P13" s="34" t="n">
        <v>265478.3</v>
      </c>
      <c r="Q13" s="18" t="n">
        <v>271141.38</v>
      </c>
      <c r="R13" s="18" t="n">
        <v>319600.89</v>
      </c>
      <c r="S13" s="18" t="n">
        <v>301607.11</v>
      </c>
      <c r="T13" s="18" t="n">
        <v>342400.16</v>
      </c>
      <c r="U13" s="34" t="n">
        <v>342400.16</v>
      </c>
      <c r="V13" s="18" t="n">
        <v>254075.32</v>
      </c>
      <c r="W13" s="18" t="n">
        <v>275664.84</v>
      </c>
      <c r="X13" s="18" t="n">
        <v>258717.7</v>
      </c>
      <c r="Y13" s="18" t="n">
        <v>246832.24</v>
      </c>
      <c r="Z13" s="34" t="n">
        <v>246832.24</v>
      </c>
      <c r="AA13" s="18" t="n">
        <v>247641.11</v>
      </c>
      <c r="AB13" s="19" t="n">
        <v>256314.63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450.02</v>
      </c>
      <c r="F14" s="34" t="n">
        <v>450.02</v>
      </c>
      <c r="G14" s="18" t="n">
        <v>457.08</v>
      </c>
      <c r="H14" s="18" t="n">
        <v>464.15</v>
      </c>
      <c r="I14" s="18" t="n">
        <v>471.21</v>
      </c>
      <c r="J14" s="18" t="n">
        <v>793.28</v>
      </c>
      <c r="K14" s="34" t="n">
        <v>793.28</v>
      </c>
      <c r="L14" s="18" t="n">
        <v>780.4299999999999</v>
      </c>
      <c r="M14" s="18" t="n">
        <v>802.5</v>
      </c>
      <c r="N14" s="18" t="n">
        <v>824.5599999999999</v>
      </c>
      <c r="O14" s="18" t="n">
        <v>546.63</v>
      </c>
      <c r="P14" s="34" t="n">
        <v>546.63</v>
      </c>
      <c r="Q14" s="18" t="n">
        <v>81934.89999999999</v>
      </c>
      <c r="R14" s="18" t="n">
        <v>130095.77</v>
      </c>
      <c r="S14" s="18" t="n">
        <v>112137.72</v>
      </c>
      <c r="T14" s="18" t="n">
        <v>153422.9</v>
      </c>
      <c r="U14" s="34" t="n">
        <v>153422.9</v>
      </c>
      <c r="V14" s="18" t="n">
        <v>64102.96</v>
      </c>
      <c r="W14" s="18" t="n">
        <v>85622.53</v>
      </c>
      <c r="X14" s="18" t="n">
        <v>68949.58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158969.93</v>
      </c>
      <c r="F15" s="34" t="n">
        <v>158969.93</v>
      </c>
      <c r="G15" s="18" t="n">
        <v>158976.99</v>
      </c>
      <c r="H15" s="18" t="n">
        <v>158984.06</v>
      </c>
      <c r="I15" s="18" t="n">
        <v>32232.05</v>
      </c>
      <c r="J15" s="18" t="n">
        <v>32554.12</v>
      </c>
      <c r="K15" s="34" t="n">
        <v>32554.12</v>
      </c>
      <c r="L15" s="18" t="n">
        <v>32541.27</v>
      </c>
      <c r="M15" s="18" t="n">
        <v>32563.34</v>
      </c>
      <c r="N15" s="18" t="n">
        <v>32585.4</v>
      </c>
      <c r="O15" s="18" t="n">
        <v>17591.48</v>
      </c>
      <c r="P15" s="34" t="n">
        <v>17591.48</v>
      </c>
      <c r="Q15" s="18" t="n">
        <v>98924.11</v>
      </c>
      <c r="R15" s="18" t="n">
        <v>147084.98</v>
      </c>
      <c r="S15" s="18" t="n">
        <v>129126.93</v>
      </c>
      <c r="T15" s="18" t="n">
        <v>170412.11</v>
      </c>
      <c r="U15" s="34" t="n">
        <v>170412.11</v>
      </c>
      <c r="V15" s="18" t="n">
        <v>81092.17</v>
      </c>
      <c r="W15" s="18" t="n">
        <v>102611.74</v>
      </c>
      <c r="X15" s="18" t="n">
        <v>85938.78999999999</v>
      </c>
      <c r="Y15" s="18" t="n">
        <v>110912.38</v>
      </c>
      <c r="Z15" s="34" t="n">
        <v>110912.38</v>
      </c>
      <c r="AA15" s="18" t="n">
        <v>110912.38</v>
      </c>
      <c r="AB15" s="19" t="n">
        <v>110912.38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42.79</v>
      </c>
      <c r="F16" s="34" t="n">
        <v>42.79</v>
      </c>
      <c r="G16" s="18" t="n">
        <v>51.04</v>
      </c>
      <c r="H16" s="18" t="n">
        <v>0.8</v>
      </c>
      <c r="I16" s="18" t="n">
        <v>0.8</v>
      </c>
      <c r="J16" s="18" t="n">
        <v>11.11</v>
      </c>
      <c r="K16" s="34" t="n">
        <v>11.11</v>
      </c>
      <c r="L16" s="18" t="n">
        <v>11.27</v>
      </c>
      <c r="M16" s="18" t="n">
        <v>11.33</v>
      </c>
      <c r="N16" s="18" t="n">
        <v>11.49</v>
      </c>
      <c r="O16" s="18" t="n">
        <v>21.09</v>
      </c>
      <c r="P16" s="34" t="n">
        <v>21.09</v>
      </c>
      <c r="Q16" s="18" t="n">
        <v>21.32</v>
      </c>
      <c r="R16" s="18" t="n">
        <v>21.55</v>
      </c>
      <c r="U16" s="9" t="n"/>
      <c r="Y16" s="18" t="n">
        <v>10.59</v>
      </c>
      <c r="Z16" s="34" t="n">
        <v>10.59</v>
      </c>
      <c r="AA16" s="18" t="n">
        <v>10.65</v>
      </c>
      <c r="AB16" s="19" t="n">
        <v>10.71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65888.7</v>
      </c>
      <c r="F17" s="34" t="n">
        <v>65888.7</v>
      </c>
      <c r="G17" s="18" t="n">
        <v>65126.78</v>
      </c>
      <c r="H17" s="18" t="n">
        <v>64345.23</v>
      </c>
      <c r="I17" s="18" t="n">
        <v>63426.83</v>
      </c>
      <c r="J17" s="18" t="n">
        <v>62640.07</v>
      </c>
      <c r="K17" s="34" t="n">
        <v>62640.07</v>
      </c>
      <c r="L17" s="18" t="n">
        <v>62023.64</v>
      </c>
      <c r="M17" s="18" t="n">
        <v>61380.51</v>
      </c>
      <c r="N17" s="18" t="n">
        <v>60948.53</v>
      </c>
      <c r="O17" s="18" t="n">
        <v>60612.98</v>
      </c>
      <c r="P17" s="34" t="n">
        <v>60612.98</v>
      </c>
      <c r="Q17" s="18" t="n">
        <v>60327.09</v>
      </c>
      <c r="R17" s="18" t="n">
        <v>60467.22</v>
      </c>
      <c r="S17" s="18" t="n">
        <v>60619.86</v>
      </c>
      <c r="T17" s="18" t="n">
        <v>60359.02</v>
      </c>
      <c r="U17" s="34" t="n">
        <v>60359.02</v>
      </c>
      <c r="V17" s="18" t="n">
        <v>61527.22</v>
      </c>
      <c r="W17" s="18" t="n">
        <v>61696</v>
      </c>
      <c r="X17" s="18" t="n">
        <v>61720.64</v>
      </c>
      <c r="Y17" s="18" t="n">
        <v>63109.97</v>
      </c>
      <c r="Z17" s="34" t="n">
        <v>63109.97</v>
      </c>
      <c r="AA17" s="18" t="n">
        <v>62652.57</v>
      </c>
      <c r="AB17" s="19" t="n">
        <v>62113.07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17549.03</v>
      </c>
      <c r="F18" s="34" t="n">
        <v>17549.03</v>
      </c>
      <c r="G18" s="18" t="n">
        <v>17549.03</v>
      </c>
      <c r="H18" s="18" t="n">
        <v>17549.03</v>
      </c>
      <c r="I18" s="18" t="n">
        <v>17549.03</v>
      </c>
      <c r="J18" s="18" t="n">
        <v>17549.03</v>
      </c>
      <c r="K18" s="34" t="n">
        <v>17549.03</v>
      </c>
      <c r="L18" s="18" t="n">
        <v>17611.95</v>
      </c>
      <c r="M18" s="18" t="n">
        <v>17549.03</v>
      </c>
      <c r="N18" s="18" t="n">
        <v>19629.99</v>
      </c>
      <c r="O18" s="18" t="n">
        <v>19629.99</v>
      </c>
      <c r="P18" s="34" t="n">
        <v>19629.99</v>
      </c>
      <c r="Q18" s="18" t="n">
        <v>19629.99</v>
      </c>
      <c r="R18" s="18" t="n">
        <v>19629.99</v>
      </c>
      <c r="S18" s="18" t="n">
        <v>19645.99</v>
      </c>
      <c r="T18" s="18" t="n">
        <v>19645.99</v>
      </c>
      <c r="U18" s="34" t="n">
        <v>19645.99</v>
      </c>
      <c r="V18" s="18" t="n">
        <v>19645.99</v>
      </c>
      <c r="W18" s="18" t="n">
        <v>19645.99</v>
      </c>
      <c r="X18" s="18" t="n">
        <v>19645.99</v>
      </c>
      <c r="Y18" s="18" t="n">
        <v>18507.85</v>
      </c>
      <c r="Z18" s="34" t="n">
        <v>18507.85</v>
      </c>
      <c r="AA18" s="18" t="n">
        <v>18413.52</v>
      </c>
      <c r="AB18" s="19" t="n">
        <v>18134.29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115.18</v>
      </c>
      <c r="F19" s="34" t="n">
        <v>115.18</v>
      </c>
      <c r="G19" s="18" t="n">
        <v>115.18</v>
      </c>
      <c r="H19" s="18" t="n">
        <v>115.18</v>
      </c>
      <c r="I19" s="18" t="n">
        <v>115.18</v>
      </c>
      <c r="J19" s="18" t="n">
        <v>115.18</v>
      </c>
      <c r="K19" s="34" t="n">
        <v>115.18</v>
      </c>
      <c r="L19" s="18" t="n">
        <v>115.18</v>
      </c>
      <c r="M19" s="18" t="n">
        <v>115.18</v>
      </c>
      <c r="N19" s="18" t="n">
        <v>115.18</v>
      </c>
      <c r="O19" s="18" t="n">
        <v>115.18</v>
      </c>
      <c r="P19" s="34" t="n">
        <v>115.18</v>
      </c>
      <c r="Q19" s="18" t="n">
        <v>115.18</v>
      </c>
      <c r="R19" s="18" t="n">
        <v>115.18</v>
      </c>
      <c r="S19" s="18" t="n">
        <v>115.18</v>
      </c>
      <c r="T19" s="18" t="n">
        <v>115.18</v>
      </c>
      <c r="U19" s="34" t="n">
        <v>115.18</v>
      </c>
      <c r="V19" s="18" t="n">
        <v>115.18</v>
      </c>
      <c r="W19" s="18" t="n">
        <v>115.18</v>
      </c>
      <c r="X19" s="18" t="n">
        <v>115.18</v>
      </c>
      <c r="Y19" s="18" t="n">
        <v>115.18</v>
      </c>
      <c r="Z19" s="34" t="n">
        <v>115.18</v>
      </c>
      <c r="AA19" s="18" t="n">
        <v>523.1799999999999</v>
      </c>
      <c r="AB19" s="19" t="n">
        <v>523.1799999999999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158519.91</v>
      </c>
      <c r="F20" s="34" t="n">
        <v>158519.91</v>
      </c>
      <c r="G20" s="18" t="n">
        <v>158519.91</v>
      </c>
      <c r="H20" s="18" t="n">
        <v>158519.91</v>
      </c>
      <c r="I20" s="18" t="n">
        <v>31760.84</v>
      </c>
      <c r="J20" s="18" t="n">
        <v>31760.84</v>
      </c>
      <c r="K20" s="34" t="n">
        <v>31760.84</v>
      </c>
      <c r="L20" s="18" t="n">
        <v>31760.84</v>
      </c>
      <c r="M20" s="18" t="n">
        <v>31760.84</v>
      </c>
      <c r="N20" s="18" t="n">
        <v>31760.84</v>
      </c>
      <c r="O20" s="18" t="n">
        <v>17044.85</v>
      </c>
      <c r="P20" s="34" t="n">
        <v>17044.85</v>
      </c>
      <c r="Q20" s="18" t="n">
        <v>16989.21</v>
      </c>
      <c r="R20" s="18" t="n">
        <v>16989.21</v>
      </c>
      <c r="S20" s="18" t="n">
        <v>16989.21</v>
      </c>
      <c r="T20" s="18" t="n">
        <v>16989.21</v>
      </c>
      <c r="U20" s="34" t="n">
        <v>16989.21</v>
      </c>
      <c r="V20" s="18" t="n">
        <v>16989.21</v>
      </c>
      <c r="W20" s="18" t="n">
        <v>16989.21</v>
      </c>
      <c r="X20" s="18" t="n">
        <v>16989.21</v>
      </c>
      <c r="Y20" s="18" t="n">
        <v>110912.38</v>
      </c>
      <c r="Z20" s="34" t="n">
        <v>110912.38</v>
      </c>
      <c r="AA20" s="18" t="n">
        <v>110912.38</v>
      </c>
      <c r="AB20" s="19" t="n">
        <v>110912.38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0</v>
      </c>
      <c r="F21" s="34" t="n">
        <v>0</v>
      </c>
      <c r="J21" s="18" t="n">
        <v>0</v>
      </c>
      <c r="K21" s="34" t="n">
        <v>0</v>
      </c>
      <c r="P21" s="9" t="n"/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278752.43</v>
      </c>
      <c r="F22" s="34" t="n">
        <v>278752.43</v>
      </c>
      <c r="G22" s="18" t="n">
        <v>275859.93</v>
      </c>
      <c r="H22" s="18" t="n">
        <v>295803.36</v>
      </c>
      <c r="I22" s="18" t="n">
        <v>301299.2</v>
      </c>
      <c r="J22" s="18" t="n">
        <v>302506.96</v>
      </c>
      <c r="K22" s="34" t="n">
        <v>302506.96</v>
      </c>
      <c r="L22" s="18" t="n">
        <v>301748.97</v>
      </c>
      <c r="M22" s="18" t="n">
        <v>301304.57</v>
      </c>
      <c r="N22" s="18" t="n">
        <v>318751.05</v>
      </c>
      <c r="O22" s="18" t="n">
        <v>324616.08</v>
      </c>
      <c r="P22" s="34" t="n">
        <v>324616.08</v>
      </c>
      <c r="Q22" s="18" t="n">
        <v>347151.45</v>
      </c>
      <c r="R22" s="18" t="n">
        <v>410917.05</v>
      </c>
      <c r="S22" s="18" t="n">
        <v>393025.8</v>
      </c>
      <c r="T22" s="18" t="n">
        <v>432867.47</v>
      </c>
      <c r="U22" s="34" t="n">
        <v>432867.47</v>
      </c>
      <c r="V22" s="18" t="n">
        <v>450440.91</v>
      </c>
      <c r="W22" s="18" t="n">
        <v>438712.76</v>
      </c>
      <c r="X22" s="18" t="n">
        <v>465818.51</v>
      </c>
      <c r="Y22" s="18" t="n">
        <v>457279.51</v>
      </c>
      <c r="Z22" s="34" t="n">
        <v>457279.51</v>
      </c>
      <c r="AA22" s="18" t="n">
        <v>444545.21</v>
      </c>
      <c r="AB22" s="19" t="n">
        <v>419385.31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99937.8</v>
      </c>
      <c r="F23" s="34" t="n">
        <v>99937.8</v>
      </c>
      <c r="G23" s="18" t="n">
        <v>94272.52</v>
      </c>
      <c r="H23" s="18" t="n">
        <v>102922.79</v>
      </c>
      <c r="I23" s="18" t="n">
        <v>102103.62</v>
      </c>
      <c r="J23" s="18" t="n">
        <v>103446.12</v>
      </c>
      <c r="K23" s="34" t="n">
        <v>103446.12</v>
      </c>
      <c r="L23" s="18" t="n">
        <v>102659.76</v>
      </c>
      <c r="M23" s="18" t="n">
        <v>100774.77</v>
      </c>
      <c r="N23" s="18" t="n">
        <v>119756.78</v>
      </c>
      <c r="O23" s="18" t="n">
        <v>120145.99</v>
      </c>
      <c r="P23" s="34" t="n">
        <v>120145.99</v>
      </c>
      <c r="Q23" s="18" t="n">
        <v>110795.22</v>
      </c>
      <c r="R23" s="18" t="n">
        <v>107665.34</v>
      </c>
      <c r="S23" s="18" t="n">
        <v>110270.74</v>
      </c>
      <c r="T23" s="18" t="n">
        <v>110910.57</v>
      </c>
      <c r="U23" s="34" t="n">
        <v>110910.57</v>
      </c>
      <c r="V23" s="18" t="n">
        <v>122707.2</v>
      </c>
      <c r="W23" s="18" t="n">
        <v>100919.11</v>
      </c>
      <c r="X23" s="18" t="n">
        <v>96826.82000000001</v>
      </c>
      <c r="Y23" s="18" t="n">
        <v>86337.67999999999</v>
      </c>
      <c r="Z23" s="34" t="n">
        <v>86337.67999999999</v>
      </c>
      <c r="AA23" s="18" t="n">
        <v>75604.14</v>
      </c>
      <c r="AB23" s="19" t="n">
        <v>39830.59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87297.24000000001</v>
      </c>
      <c r="F24" s="34" t="n">
        <v>87297.24000000001</v>
      </c>
      <c r="G24" s="18" t="n">
        <v>87194.34</v>
      </c>
      <c r="H24" s="18" t="n">
        <v>98194.89999999999</v>
      </c>
      <c r="I24" s="18" t="n">
        <v>97789.88</v>
      </c>
      <c r="J24" s="18" t="n">
        <v>98744.72</v>
      </c>
      <c r="K24" s="34" t="n">
        <v>98744.72</v>
      </c>
      <c r="L24" s="18" t="n">
        <v>98345.53999999999</v>
      </c>
      <c r="M24" s="18" t="n">
        <v>98606.07000000001</v>
      </c>
      <c r="N24" s="18" t="n">
        <v>117835.25</v>
      </c>
      <c r="O24" s="18" t="n">
        <v>119048.59</v>
      </c>
      <c r="P24" s="34" t="n">
        <v>119048.59</v>
      </c>
      <c r="Q24" s="18" t="n">
        <v>99973.39</v>
      </c>
      <c r="R24" s="18" t="n">
        <v>98743.38</v>
      </c>
      <c r="S24" s="18" t="n">
        <v>99686.3</v>
      </c>
      <c r="T24" s="18" t="n">
        <v>100342.3</v>
      </c>
      <c r="U24" s="34" t="n">
        <v>100342.3</v>
      </c>
      <c r="V24" s="18" t="n">
        <v>95847.42999999999</v>
      </c>
      <c r="W24" s="18" t="n">
        <v>78641.99000000001</v>
      </c>
      <c r="X24" s="18" t="n">
        <v>62491.52</v>
      </c>
      <c r="Y24" s="18" t="n">
        <v>7041.08</v>
      </c>
      <c r="Z24" s="34" t="n">
        <v>7041.08</v>
      </c>
      <c r="AA24" s="18" t="n">
        <v>20004.76</v>
      </c>
      <c r="AB24" s="19" t="n">
        <v>6167.87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81400</v>
      </c>
      <c r="F25" s="34" t="n">
        <v>81400</v>
      </c>
      <c r="G25" s="18" t="n">
        <v>81000</v>
      </c>
      <c r="H25" s="18" t="n">
        <v>86000</v>
      </c>
      <c r="I25" s="18" t="n">
        <v>86000</v>
      </c>
      <c r="J25" s="18" t="n">
        <v>86000</v>
      </c>
      <c r="K25" s="34" t="n">
        <v>86000</v>
      </c>
      <c r="L25" s="18" t="n">
        <v>86000</v>
      </c>
      <c r="M25" s="18" t="n">
        <v>86000</v>
      </c>
      <c r="N25" s="18" t="n">
        <v>91800</v>
      </c>
      <c r="O25" s="18" t="n">
        <v>91800</v>
      </c>
      <c r="P25" s="34" t="n">
        <v>91800</v>
      </c>
      <c r="Q25" s="18" t="n">
        <v>86800</v>
      </c>
      <c r="R25" s="18" t="n">
        <v>92300</v>
      </c>
      <c r="U25" s="9" t="n"/>
      <c r="Y25" s="18" t="n">
        <v>30000</v>
      </c>
      <c r="Z25" s="34" t="n">
        <v>30000</v>
      </c>
      <c r="AA25" s="18" t="n">
        <v>30000</v>
      </c>
      <c r="AB25" s="19" t="n">
        <v>30000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67.8</v>
      </c>
      <c r="F26" s="34" t="n">
        <v>67.8</v>
      </c>
      <c r="G26" s="18" t="n">
        <v>67.8</v>
      </c>
      <c r="H26" s="18" t="n">
        <v>5591.3</v>
      </c>
      <c r="I26" s="18" t="n">
        <v>5752.22</v>
      </c>
      <c r="J26" s="18" t="n">
        <v>5913.18</v>
      </c>
      <c r="K26" s="34" t="n">
        <v>5913.18</v>
      </c>
      <c r="L26" s="18" t="n">
        <v>6070.63</v>
      </c>
      <c r="M26" s="18" t="n">
        <v>6240.28</v>
      </c>
      <c r="N26" s="18" t="n">
        <v>6354.04</v>
      </c>
      <c r="O26" s="18" t="n">
        <v>6540.95</v>
      </c>
      <c r="P26" s="34" t="n">
        <v>6540.95</v>
      </c>
      <c r="Q26" s="18" t="n">
        <v>6733.77</v>
      </c>
      <c r="R26" s="18" t="n">
        <v>0</v>
      </c>
      <c r="S26" s="18" t="n">
        <v>0</v>
      </c>
      <c r="T26" s="18" t="n">
        <v>0</v>
      </c>
      <c r="U26" s="34" t="n">
        <v>0</v>
      </c>
      <c r="Y26" s="18" t="n">
        <v>14000</v>
      </c>
      <c r="Z26" s="34" t="n">
        <v>14000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12640.56</v>
      </c>
      <c r="F27" s="34" t="n">
        <v>12640.56</v>
      </c>
      <c r="G27" s="18" t="n">
        <v>7078.18</v>
      </c>
      <c r="H27" s="18" t="n">
        <v>414.15</v>
      </c>
      <c r="J27" s="18" t="n">
        <v>894.13</v>
      </c>
      <c r="K27" s="34" t="n">
        <v>894.13</v>
      </c>
      <c r="L27" s="18" t="n">
        <v>506.96</v>
      </c>
      <c r="M27" s="18" t="n">
        <v>367.4</v>
      </c>
      <c r="N27" s="18" t="n">
        <v>120.23</v>
      </c>
      <c r="O27" s="18" t="n">
        <v>0</v>
      </c>
      <c r="P27" s="34" t="n">
        <v>0</v>
      </c>
      <c r="Q27" s="18" t="n">
        <v>9724.43</v>
      </c>
      <c r="R27" s="18" t="n">
        <v>8921.959999999999</v>
      </c>
      <c r="S27" s="18" t="n">
        <v>10584.43</v>
      </c>
      <c r="T27" s="18" t="n">
        <v>10568.27</v>
      </c>
      <c r="U27" s="34" t="n">
        <v>10568.27</v>
      </c>
      <c r="V27" s="18" t="n">
        <v>26859.77</v>
      </c>
      <c r="W27" s="18" t="n">
        <v>22277.12</v>
      </c>
      <c r="X27" s="18" t="n">
        <v>34335.3</v>
      </c>
      <c r="Y27" s="18" t="n">
        <v>34323.56</v>
      </c>
      <c r="Z27" s="34" t="n">
        <v>34323.56</v>
      </c>
      <c r="AA27" s="18" t="n">
        <v>19594.69</v>
      </c>
      <c r="AB27" s="19" t="n">
        <v>2260.97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2443.4</v>
      </c>
      <c r="F28" s="34" t="n">
        <v>2443.4</v>
      </c>
      <c r="G28" s="18" t="n">
        <v>2494.31</v>
      </c>
      <c r="H28" s="18" t="n">
        <v>7819.94</v>
      </c>
      <c r="I28" s="18" t="n">
        <v>8054.85</v>
      </c>
      <c r="J28" s="18" t="n">
        <v>7515.21</v>
      </c>
      <c r="K28" s="34" t="n">
        <v>7515.21</v>
      </c>
      <c r="L28" s="18" t="n">
        <v>7646.58</v>
      </c>
      <c r="M28" s="18" t="n">
        <v>7787.73</v>
      </c>
      <c r="N28" s="18" t="n">
        <v>7958.88</v>
      </c>
      <c r="O28" s="18" t="n">
        <v>8531.07</v>
      </c>
      <c r="P28" s="34" t="n">
        <v>8531.07</v>
      </c>
      <c r="Q28" s="18" t="n">
        <v>11676.95</v>
      </c>
      <c r="R28" s="18" t="n">
        <v>30719.45</v>
      </c>
      <c r="S28" s="18" t="n">
        <v>26015.72</v>
      </c>
      <c r="T28" s="18" t="n">
        <v>37355.79</v>
      </c>
      <c r="U28" s="34" t="n">
        <v>37355.79</v>
      </c>
      <c r="V28" s="18" t="n">
        <v>24252.28</v>
      </c>
      <c r="W28" s="18" t="n">
        <v>15029.9</v>
      </c>
      <c r="X28" s="18" t="n">
        <v>13181.25</v>
      </c>
      <c r="Y28" s="18" t="n">
        <v>11001.07</v>
      </c>
      <c r="Z28" s="34" t="n">
        <v>11001.07</v>
      </c>
      <c r="AA28" s="18" t="n">
        <v>11311.78</v>
      </c>
      <c r="AB28" s="19" t="n">
        <v>12948.03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341.64</v>
      </c>
      <c r="F29" s="34" t="n">
        <v>341.64</v>
      </c>
      <c r="G29" s="18" t="n">
        <v>315.67</v>
      </c>
      <c r="H29" s="18" t="n">
        <v>5781.22</v>
      </c>
      <c r="I29" s="18" t="n">
        <v>5911.67</v>
      </c>
      <c r="J29" s="18" t="n">
        <v>6087.36</v>
      </c>
      <c r="K29" s="34" t="n">
        <v>6087.36</v>
      </c>
      <c r="L29" s="18" t="n">
        <v>6211.96</v>
      </c>
      <c r="M29" s="18" t="n">
        <v>6346.36</v>
      </c>
      <c r="N29" s="18" t="n">
        <v>6510.73</v>
      </c>
      <c r="O29" s="18" t="n">
        <v>6728.42</v>
      </c>
      <c r="P29" s="34" t="n">
        <v>6728.42</v>
      </c>
      <c r="Q29" s="18" t="n">
        <v>6899.47</v>
      </c>
      <c r="R29" s="18" t="n">
        <v>14141.3</v>
      </c>
      <c r="S29" s="18" t="n">
        <v>14085.29</v>
      </c>
      <c r="T29" s="18" t="n">
        <v>14070.03</v>
      </c>
      <c r="U29" s="34" t="n">
        <v>14070.03</v>
      </c>
      <c r="V29" s="18" t="n">
        <v>14042.38</v>
      </c>
      <c r="W29" s="18" t="n">
        <v>30.9</v>
      </c>
      <c r="X29" s="18" t="n">
        <v>19.51</v>
      </c>
      <c r="Y29" s="18" t="n">
        <v>7.02</v>
      </c>
      <c r="Z29" s="34" t="n">
        <v>7.02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101.7</v>
      </c>
      <c r="F30" s="34" t="n">
        <v>101.7</v>
      </c>
      <c r="G30" s="18" t="n">
        <v>84.75</v>
      </c>
      <c r="H30" s="18" t="n">
        <v>67.8</v>
      </c>
      <c r="I30" s="18" t="n">
        <v>50.85</v>
      </c>
      <c r="J30" s="18" t="n">
        <v>33.9</v>
      </c>
      <c r="K30" s="34" t="n">
        <v>33.9</v>
      </c>
      <c r="L30" s="18" t="n">
        <v>16.95</v>
      </c>
      <c r="O30" s="18" t="n">
        <v>0</v>
      </c>
      <c r="P30" s="34" t="n">
        <v>0</v>
      </c>
      <c r="Q30" s="18" t="n">
        <v>0</v>
      </c>
      <c r="R30" s="18" t="n">
        <v>14000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342.19</v>
      </c>
      <c r="F31" s="34" t="n">
        <v>342.19</v>
      </c>
      <c r="G31" s="18" t="n">
        <v>456.38</v>
      </c>
      <c r="H31" s="18" t="n">
        <v>254.14</v>
      </c>
      <c r="I31" s="18" t="n">
        <v>351.84</v>
      </c>
      <c r="J31" s="18" t="n">
        <v>0</v>
      </c>
      <c r="K31" s="34" t="n">
        <v>0</v>
      </c>
      <c r="O31" s="18" t="n">
        <v>50.04</v>
      </c>
      <c r="P31" s="34" t="n">
        <v>50.04</v>
      </c>
      <c r="Q31" s="18" t="n">
        <v>162.47</v>
      </c>
      <c r="R31" s="18" t="n">
        <v>0</v>
      </c>
      <c r="S31" s="18" t="n">
        <v>0</v>
      </c>
      <c r="T31" s="18" t="n">
        <v>62.38</v>
      </c>
      <c r="U31" s="34" t="n">
        <v>62.38</v>
      </c>
      <c r="V31" s="18" t="n">
        <v>188.32</v>
      </c>
      <c r="W31" s="18" t="n">
        <v>12.36</v>
      </c>
      <c r="X31" s="18" t="n">
        <v>159.84</v>
      </c>
      <c r="Y31" s="18" t="n">
        <v>139.5</v>
      </c>
      <c r="Z31" s="34" t="n">
        <v>139.5</v>
      </c>
      <c r="AA31" s="18" t="n">
        <v>288.27</v>
      </c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1879.54</v>
      </c>
      <c r="F32" s="34" t="n">
        <v>1879.54</v>
      </c>
      <c r="G32" s="18" t="n">
        <v>1837.73</v>
      </c>
      <c r="H32" s="18" t="n">
        <v>1879.54</v>
      </c>
      <c r="I32" s="18" t="n">
        <v>1879.54</v>
      </c>
      <c r="J32" s="18" t="n">
        <v>1509.28</v>
      </c>
      <c r="K32" s="34" t="n">
        <v>1509.28</v>
      </c>
      <c r="L32" s="18" t="n">
        <v>1509.28</v>
      </c>
      <c r="M32" s="18" t="n">
        <v>1509.28</v>
      </c>
      <c r="N32" s="18" t="n">
        <v>1509.28</v>
      </c>
      <c r="O32" s="18" t="n">
        <v>1806.99</v>
      </c>
      <c r="P32" s="34" t="n">
        <v>1806.99</v>
      </c>
      <c r="Q32" s="18" t="n">
        <v>4662.62</v>
      </c>
      <c r="R32" s="18" t="n">
        <v>16618.99</v>
      </c>
      <c r="S32" s="18" t="n">
        <v>11930.43</v>
      </c>
      <c r="T32" s="18" t="n">
        <v>23223.39</v>
      </c>
      <c r="U32" s="34" t="n">
        <v>23223.39</v>
      </c>
      <c r="V32" s="18" t="n">
        <v>10021.59</v>
      </c>
      <c r="W32" s="18" t="n">
        <v>14986.64</v>
      </c>
      <c r="X32" s="18" t="n">
        <v>13001.91</v>
      </c>
      <c r="Y32" s="18" t="n">
        <v>10846.72</v>
      </c>
      <c r="Z32" s="34" t="n">
        <v>10846.72</v>
      </c>
      <c r="AA32" s="18" t="n">
        <v>11020.37</v>
      </c>
      <c r="AB32" s="19" t="n">
        <v>12948.03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102381.19</v>
      </c>
      <c r="F33" s="34" t="n">
        <v>102381.19</v>
      </c>
      <c r="G33" s="18" t="n">
        <v>96766.83</v>
      </c>
      <c r="H33" s="18" t="n">
        <v>110742.73</v>
      </c>
      <c r="I33" s="18" t="n">
        <v>110158.47</v>
      </c>
      <c r="J33" s="18" t="n">
        <v>110961.33</v>
      </c>
      <c r="K33" s="34" t="n">
        <v>110961.33</v>
      </c>
      <c r="L33" s="18" t="n">
        <v>110306.34</v>
      </c>
      <c r="M33" s="18" t="n">
        <v>108562.5</v>
      </c>
      <c r="N33" s="18" t="n">
        <v>127715.66</v>
      </c>
      <c r="O33" s="18" t="n">
        <v>128677.05</v>
      </c>
      <c r="P33" s="34" t="n">
        <v>128677.05</v>
      </c>
      <c r="Q33" s="18" t="n">
        <v>122472.18</v>
      </c>
      <c r="R33" s="18" t="n">
        <v>138384.79</v>
      </c>
      <c r="S33" s="18" t="n">
        <v>136286.45</v>
      </c>
      <c r="T33" s="18" t="n">
        <v>148266.36</v>
      </c>
      <c r="U33" s="34" t="n">
        <v>148266.36</v>
      </c>
      <c r="V33" s="18" t="n">
        <v>146959.48</v>
      </c>
      <c r="W33" s="18" t="n">
        <v>115949.01</v>
      </c>
      <c r="X33" s="18" t="n">
        <v>110008.07</v>
      </c>
      <c r="Y33" s="18" t="n">
        <v>97338.75</v>
      </c>
      <c r="Z33" s="34" t="n">
        <v>97338.75</v>
      </c>
      <c r="AA33" s="18" t="n">
        <v>86915.92</v>
      </c>
      <c r="AB33" s="19" t="n">
        <v>52778.62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4665.85</v>
      </c>
      <c r="F34" s="34" t="n">
        <v>4665.85</v>
      </c>
      <c r="G34" s="18" t="n">
        <v>4665.85</v>
      </c>
      <c r="H34" s="18" t="n">
        <v>4665.85</v>
      </c>
      <c r="I34" s="18" t="n">
        <v>4665.85</v>
      </c>
      <c r="J34" s="18" t="n">
        <v>4665.85</v>
      </c>
      <c r="K34" s="34" t="n">
        <v>4665.85</v>
      </c>
      <c r="L34" s="18" t="n">
        <v>4665.85</v>
      </c>
      <c r="M34" s="18" t="n">
        <v>4665.85</v>
      </c>
      <c r="N34" s="18" t="n">
        <v>4665.85</v>
      </c>
      <c r="O34" s="18" t="n">
        <v>4665.85</v>
      </c>
      <c r="P34" s="34" t="n">
        <v>4665.85</v>
      </c>
      <c r="Q34" s="18" t="n">
        <v>4665.85</v>
      </c>
      <c r="R34" s="18" t="n">
        <v>4940.08</v>
      </c>
      <c r="S34" s="18" t="n">
        <v>4940.08</v>
      </c>
      <c r="T34" s="18" t="n">
        <v>4940.08</v>
      </c>
      <c r="U34" s="34" t="n">
        <v>4940.08</v>
      </c>
      <c r="V34" s="18" t="n">
        <v>4940.08</v>
      </c>
      <c r="W34" s="18" t="n">
        <v>4940.08</v>
      </c>
      <c r="X34" s="18" t="n">
        <v>4940.08</v>
      </c>
      <c r="Y34" s="18" t="n">
        <v>4940.08</v>
      </c>
      <c r="Z34" s="34" t="n">
        <v>4940.08</v>
      </c>
      <c r="AA34" s="18" t="n">
        <v>4940.08</v>
      </c>
      <c r="AB34" s="19" t="n">
        <v>4940.08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보통주자본금</t>
        </is>
      </c>
      <c r="E35" s="18" t="n">
        <v>4665.85</v>
      </c>
      <c r="F35" s="34" t="n">
        <v>4665.85</v>
      </c>
      <c r="G35" s="18" t="n">
        <v>4665.85</v>
      </c>
      <c r="H35" s="18" t="n">
        <v>4665.85</v>
      </c>
      <c r="I35" s="18" t="n">
        <v>4665.85</v>
      </c>
      <c r="J35" s="18" t="n">
        <v>4665.85</v>
      </c>
      <c r="K35" s="34" t="n">
        <v>4665.85</v>
      </c>
      <c r="L35" s="18" t="n">
        <v>4665.85</v>
      </c>
      <c r="M35" s="18" t="n">
        <v>4665.85</v>
      </c>
      <c r="N35" s="18" t="n">
        <v>4665.85</v>
      </c>
      <c r="O35" s="18" t="n">
        <v>4665.85</v>
      </c>
      <c r="P35" s="34" t="n">
        <v>4665.85</v>
      </c>
      <c r="Q35" s="18" t="n">
        <v>4665.85</v>
      </c>
      <c r="R35" s="18" t="n">
        <v>4940.08</v>
      </c>
      <c r="S35" s="18" t="n">
        <v>4940.08</v>
      </c>
      <c r="T35" s="18" t="n">
        <v>4940.08</v>
      </c>
      <c r="U35" s="34" t="n">
        <v>4940.08</v>
      </c>
      <c r="V35" s="18" t="n">
        <v>4940.08</v>
      </c>
      <c r="W35" s="18" t="n">
        <v>4940.08</v>
      </c>
      <c r="X35" s="18" t="n">
        <v>4940.08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94556.36</v>
      </c>
      <c r="F36" s="34" t="n">
        <v>94556.36</v>
      </c>
      <c r="G36" s="18" t="n">
        <v>94556.36</v>
      </c>
      <c r="H36" s="18" t="n">
        <v>94556.36</v>
      </c>
      <c r="I36" s="18" t="n">
        <v>94556.36</v>
      </c>
      <c r="J36" s="18" t="n">
        <v>94556.36</v>
      </c>
      <c r="K36" s="34" t="n">
        <v>94556.36</v>
      </c>
      <c r="L36" s="18" t="n">
        <v>94556.36</v>
      </c>
      <c r="M36" s="18" t="n">
        <v>94556.36</v>
      </c>
      <c r="N36" s="18" t="n">
        <v>94556.36</v>
      </c>
      <c r="O36" s="18" t="n">
        <v>13998.36</v>
      </c>
      <c r="P36" s="34" t="n">
        <v>13998.36</v>
      </c>
      <c r="Q36" s="18" t="n">
        <v>13998.36</v>
      </c>
      <c r="R36" s="18" t="n">
        <v>40596.48</v>
      </c>
      <c r="S36" s="18" t="n">
        <v>40596.48</v>
      </c>
      <c r="T36" s="18" t="n">
        <v>40596.48</v>
      </c>
      <c r="U36" s="34" t="n">
        <v>40596.48</v>
      </c>
      <c r="V36" s="18" t="n">
        <v>27976.48</v>
      </c>
      <c r="W36" s="18" t="n">
        <v>27976.48</v>
      </c>
      <c r="X36" s="18" t="n">
        <v>27976.48</v>
      </c>
      <c r="Y36" s="18" t="n">
        <v>13839.98</v>
      </c>
      <c r="Z36" s="34" t="n">
        <v>13839.98</v>
      </c>
      <c r="AA36" s="18" t="n">
        <v>11050.66</v>
      </c>
      <c r="AB36" s="19" t="n">
        <v>13839.98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-4378.76</v>
      </c>
      <c r="F37" s="34" t="n">
        <v>-4378.76</v>
      </c>
      <c r="G37" s="18" t="n">
        <v>-296.52</v>
      </c>
      <c r="H37" s="18" t="n">
        <v>-296.52</v>
      </c>
      <c r="I37" s="18" t="n">
        <v>-296.52</v>
      </c>
      <c r="J37" s="18" t="n">
        <v>-296.52</v>
      </c>
      <c r="K37" s="34" t="n">
        <v>-296.52</v>
      </c>
      <c r="L37" s="18" t="n">
        <v>-296.52</v>
      </c>
      <c r="M37" s="18" t="n">
        <v>-296.52</v>
      </c>
      <c r="N37" s="18" t="n">
        <v>-4449.82</v>
      </c>
      <c r="O37" s="18" t="n">
        <v>-6249.78</v>
      </c>
      <c r="P37" s="34" t="n">
        <v>-6249.78</v>
      </c>
      <c r="Q37" s="18" t="n">
        <v>21331.82</v>
      </c>
      <c r="R37" s="18" t="n">
        <v>94770.03999999999</v>
      </c>
      <c r="S37" s="18" t="n">
        <v>62531.91</v>
      </c>
      <c r="T37" s="18" t="n">
        <v>116358.28</v>
      </c>
      <c r="U37" s="34" t="n">
        <v>116358.28</v>
      </c>
      <c r="V37" s="18" t="n">
        <v>42684.96</v>
      </c>
      <c r="W37" s="18" t="n">
        <v>73200.86</v>
      </c>
      <c r="X37" s="18" t="n">
        <v>84439.60000000001</v>
      </c>
      <c r="Y37" s="18" t="n">
        <v>32296.42</v>
      </c>
      <c r="Z37" s="34" t="n">
        <v>32296.42</v>
      </c>
      <c r="AA37" s="18" t="n">
        <v>32853.57</v>
      </c>
      <c r="AB37" s="19" t="n">
        <v>39771.58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126616.58</v>
      </c>
      <c r="F38" s="34" t="n">
        <v>126616.58</v>
      </c>
      <c r="G38" s="18" t="n">
        <v>127297.33</v>
      </c>
      <c r="H38" s="18" t="n">
        <v>133264.86</v>
      </c>
      <c r="I38" s="18" t="n">
        <v>139344.95</v>
      </c>
      <c r="J38" s="18" t="n">
        <v>139749.86</v>
      </c>
      <c r="K38" s="34" t="n">
        <v>139749.86</v>
      </c>
      <c r="L38" s="18" t="n">
        <v>139646.85</v>
      </c>
      <c r="M38" s="18" t="n">
        <v>140946.29</v>
      </c>
      <c r="N38" s="18" t="n">
        <v>141316.27</v>
      </c>
      <c r="O38" s="18" t="n">
        <v>187398.89</v>
      </c>
      <c r="P38" s="34" t="n">
        <v>187398.89</v>
      </c>
      <c r="Q38" s="18" t="n">
        <v>202348.33</v>
      </c>
      <c r="R38" s="18" t="n">
        <v>199908.92</v>
      </c>
      <c r="S38" s="18" t="n">
        <v>200235.06</v>
      </c>
      <c r="T38" s="18" t="n">
        <v>201183.65</v>
      </c>
      <c r="U38" s="34" t="n">
        <v>201183.65</v>
      </c>
      <c r="V38" s="18" t="n">
        <v>263210.62</v>
      </c>
      <c r="W38" s="18" t="n">
        <v>267234.99</v>
      </c>
      <c r="X38" s="18" t="n">
        <v>294662.32</v>
      </c>
      <c r="Y38" s="18" t="n">
        <v>308864.28</v>
      </c>
      <c r="Z38" s="34" t="n">
        <v>308864.28</v>
      </c>
      <c r="AA38" s="18" t="n">
        <v>308784.97</v>
      </c>
      <c r="AB38" s="19" t="n">
        <v>308055.04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176371.23</v>
      </c>
      <c r="F39" s="34" t="n">
        <v>176371.23</v>
      </c>
      <c r="G39" s="18" t="n">
        <v>179093.11</v>
      </c>
      <c r="H39" s="18" t="n">
        <v>185060.63</v>
      </c>
      <c r="I39" s="18" t="n">
        <v>191140.72</v>
      </c>
      <c r="J39" s="18" t="n">
        <v>191545.63</v>
      </c>
      <c r="K39" s="34" t="n">
        <v>191545.63</v>
      </c>
      <c r="L39" s="18" t="n">
        <v>191442.63</v>
      </c>
      <c r="M39" s="18" t="n">
        <v>192742.06</v>
      </c>
      <c r="N39" s="18" t="n">
        <v>191035.39</v>
      </c>
      <c r="O39" s="18" t="n">
        <v>195939.03</v>
      </c>
      <c r="P39" s="34" t="n">
        <v>195939.03</v>
      </c>
      <c r="Q39" s="18" t="n">
        <v>224679.27</v>
      </c>
      <c r="R39" s="18" t="n">
        <v>272532.26</v>
      </c>
      <c r="S39" s="18" t="n">
        <v>256739.34</v>
      </c>
      <c r="T39" s="18" t="n">
        <v>284601.11</v>
      </c>
      <c r="U39" s="34" t="n">
        <v>284601.11</v>
      </c>
      <c r="V39" s="18" t="n">
        <v>303481.43</v>
      </c>
      <c r="W39" s="18" t="n">
        <v>322763.75</v>
      </c>
      <c r="X39" s="18" t="n">
        <v>355810.44</v>
      </c>
      <c r="Y39" s="18" t="n">
        <v>359940.77</v>
      </c>
      <c r="Z39" s="34" t="n">
        <v>359940.77</v>
      </c>
      <c r="AA39" s="18" t="n">
        <v>357629.29</v>
      </c>
      <c r="AB39" s="19" t="n">
        <v>366606.69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278752.43</v>
      </c>
      <c r="F40" s="34" t="n">
        <v>278752.43</v>
      </c>
      <c r="G40" s="18" t="n">
        <v>275859.93</v>
      </c>
      <c r="H40" s="18" t="n">
        <v>295803.36</v>
      </c>
      <c r="I40" s="18" t="n">
        <v>301299.2</v>
      </c>
      <c r="J40" s="18" t="n">
        <v>302506.96</v>
      </c>
      <c r="K40" s="34" t="n">
        <v>302506.96</v>
      </c>
      <c r="L40" s="18" t="n">
        <v>301748.97</v>
      </c>
      <c r="M40" s="18" t="n">
        <v>301304.57</v>
      </c>
      <c r="N40" s="18" t="n">
        <v>318751.05</v>
      </c>
      <c r="O40" s="18" t="n">
        <v>324616.08</v>
      </c>
      <c r="P40" s="34" t="n">
        <v>324616.08</v>
      </c>
      <c r="Q40" s="18" t="n">
        <v>347151.45</v>
      </c>
      <c r="R40" s="18" t="n">
        <v>410917.05</v>
      </c>
      <c r="S40" s="18" t="n">
        <v>393025.8</v>
      </c>
      <c r="T40" s="18" t="n">
        <v>432867.47</v>
      </c>
      <c r="U40" s="34" t="n">
        <v>432867.47</v>
      </c>
      <c r="V40" s="18" t="n">
        <v>450440.91</v>
      </c>
      <c r="W40" s="18" t="n">
        <v>438712.76</v>
      </c>
      <c r="X40" s="18" t="n">
        <v>465818.51</v>
      </c>
      <c r="Y40" s="18" t="n">
        <v>457279.51</v>
      </c>
      <c r="Z40" s="34" t="n">
        <v>457279.51</v>
      </c>
      <c r="AA40" s="18" t="n">
        <v>444545.21</v>
      </c>
      <c r="AB40" s="19" t="n">
        <v>419385.31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176371.23</v>
      </c>
      <c r="F41" s="34" t="n">
        <v>176371.23</v>
      </c>
      <c r="G41" s="18" t="n">
        <v>179093.11</v>
      </c>
      <c r="H41" s="18" t="n">
        <v>185060.63</v>
      </c>
      <c r="I41" s="18" t="n">
        <v>191140.72</v>
      </c>
      <c r="J41" s="18" t="n">
        <v>191545.63</v>
      </c>
      <c r="K41" s="34" t="n">
        <v>191545.63</v>
      </c>
      <c r="L41" s="18" t="n">
        <v>191442.63</v>
      </c>
      <c r="M41" s="18" t="n">
        <v>192742.06</v>
      </c>
      <c r="N41" s="18" t="n">
        <v>191035.39</v>
      </c>
      <c r="O41" s="18" t="n">
        <v>195939.03</v>
      </c>
      <c r="P41" s="34" t="n">
        <v>195939.03</v>
      </c>
      <c r="Q41" s="18" t="n">
        <v>224679.27</v>
      </c>
      <c r="R41" s="18" t="n">
        <v>272532.26</v>
      </c>
      <c r="S41" s="18" t="n">
        <v>256739.34</v>
      </c>
      <c r="T41" s="18" t="n">
        <v>284601.11</v>
      </c>
      <c r="U41" s="34" t="n">
        <v>284601.11</v>
      </c>
      <c r="V41" s="18" t="n">
        <v>303481.43</v>
      </c>
      <c r="W41" s="18" t="n">
        <v>322763.75</v>
      </c>
      <c r="X41" s="18" t="n">
        <v>355810.44</v>
      </c>
      <c r="Y41" s="18" t="n">
        <v>359940.77</v>
      </c>
      <c r="Z41" s="34" t="n">
        <v>359940.77</v>
      </c>
      <c r="AA41" s="18" t="n">
        <v>357629.29</v>
      </c>
      <c r="AB41" s="19" t="n">
        <v>366606.69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81569.5</v>
      </c>
      <c r="F42" s="34" t="n">
        <v>81569.5</v>
      </c>
      <c r="G42" s="18" t="n">
        <v>81152.55</v>
      </c>
      <c r="H42" s="18" t="n">
        <v>97182.60000000001</v>
      </c>
      <c r="I42" s="18" t="n">
        <v>97487.49000000001</v>
      </c>
      <c r="J42" s="18" t="n">
        <v>97792.46000000001</v>
      </c>
      <c r="K42" s="34" t="n">
        <v>97792.46000000001</v>
      </c>
      <c r="L42" s="18" t="n">
        <v>98090.41</v>
      </c>
      <c r="M42" s="18" t="n">
        <v>98412.75999999999</v>
      </c>
      <c r="N42" s="18" t="n">
        <v>104508.08</v>
      </c>
      <c r="O42" s="18" t="n">
        <v>104881.9</v>
      </c>
      <c r="P42" s="34" t="n">
        <v>104881.9</v>
      </c>
      <c r="Q42" s="18" t="n">
        <v>100267.54</v>
      </c>
      <c r="R42" s="18" t="n">
        <v>106300</v>
      </c>
      <c r="S42" s="18" t="n">
        <v>0</v>
      </c>
      <c r="T42" s="18" t="n">
        <v>0</v>
      </c>
      <c r="U42" s="34" t="n">
        <v>0</v>
      </c>
      <c r="Y42" s="18" t="n">
        <v>44000</v>
      </c>
      <c r="Z42" s="34" t="n">
        <v>44000</v>
      </c>
      <c r="AA42" s="18" t="n">
        <v>30000</v>
      </c>
      <c r="AB42" s="19" t="n">
        <v>30000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65766.46000000001</v>
      </c>
      <c r="F43" s="34" t="n">
        <v>65766.46000000001</v>
      </c>
      <c r="G43" s="18" t="n">
        <v>68215.13</v>
      </c>
      <c r="H43" s="18" t="n">
        <v>63408.26</v>
      </c>
      <c r="I43" s="18" t="n">
        <v>87710.59</v>
      </c>
      <c r="J43" s="18" t="n">
        <v>90467.98</v>
      </c>
      <c r="K43" s="34" t="n">
        <v>90467.98</v>
      </c>
      <c r="L43" s="18" t="n">
        <v>89893.17</v>
      </c>
      <c r="M43" s="18" t="n">
        <v>87855.44</v>
      </c>
      <c r="N43" s="18" t="n">
        <v>75873.09</v>
      </c>
      <c r="O43" s="18" t="n">
        <v>69428.75999999999</v>
      </c>
      <c r="P43" s="34" t="n">
        <v>69428.75999999999</v>
      </c>
      <c r="Q43" s="18" t="n">
        <v>46795.26</v>
      </c>
      <c r="R43" s="18" t="n">
        <v>39846.22</v>
      </c>
      <c r="S43" s="18" t="n">
        <v>-57627.08</v>
      </c>
      <c r="T43" s="18" t="n">
        <v>-52143.4</v>
      </c>
      <c r="U43" s="34" t="n">
        <v>-52143.4</v>
      </c>
      <c r="Y43" s="18" t="n">
        <v>30311.51</v>
      </c>
      <c r="Z43" s="34" t="n">
        <v>30311.51</v>
      </c>
      <c r="AA43" s="18" t="n">
        <v>17881.5</v>
      </c>
      <c r="AB43" s="19" t="n">
        <v>18004.61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16253.06</v>
      </c>
      <c r="F44" s="34" t="n">
        <v>16253.06</v>
      </c>
      <c r="G44" s="18" t="n">
        <v>13394.5</v>
      </c>
      <c r="H44" s="18" t="n">
        <v>34238.49</v>
      </c>
      <c r="I44" s="18" t="n">
        <v>10248.11</v>
      </c>
      <c r="J44" s="18" t="n">
        <v>8117.76</v>
      </c>
      <c r="K44" s="34" t="n">
        <v>8117.76</v>
      </c>
      <c r="L44" s="18" t="n">
        <v>8977.67</v>
      </c>
      <c r="M44" s="18" t="n">
        <v>11359.82</v>
      </c>
      <c r="N44" s="18" t="n">
        <v>29459.55</v>
      </c>
      <c r="O44" s="18" t="n">
        <v>35999.77</v>
      </c>
      <c r="P44" s="34" t="n">
        <v>35999.77</v>
      </c>
      <c r="Q44" s="18" t="n">
        <v>135407.18</v>
      </c>
      <c r="R44" s="18" t="n">
        <v>196549.55</v>
      </c>
      <c r="S44" s="18" t="n">
        <v>169764.8</v>
      </c>
      <c r="T44" s="18" t="n">
        <v>205566.3</v>
      </c>
      <c r="U44" s="34" t="n">
        <v>205566.3</v>
      </c>
      <c r="V44" s="18" t="n">
        <v>221948.7</v>
      </c>
      <c r="W44" s="18" t="n">
        <v>211795.5</v>
      </c>
      <c r="X44" s="18" t="n">
        <v>252104.48</v>
      </c>
      <c r="Y44" s="18" t="n">
        <v>13688.49</v>
      </c>
      <c r="Z44" s="34" t="n">
        <v>13688.49</v>
      </c>
      <c r="AA44" s="18" t="n">
        <v>12118.5</v>
      </c>
      <c r="AB44" s="19" t="n">
        <v>11995.39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H45" s="18" t="n">
        <v>1735.05</v>
      </c>
      <c r="I45" s="18" t="n">
        <v>1735.05</v>
      </c>
      <c r="J45" s="18" t="n">
        <v>1316.82</v>
      </c>
      <c r="K45" s="34" t="n">
        <v>1316.82</v>
      </c>
      <c r="L45" s="18" t="n">
        <v>1316.82</v>
      </c>
      <c r="M45" s="18" t="n">
        <v>438.71</v>
      </c>
      <c r="N45" s="18" t="n">
        <v>438.71</v>
      </c>
      <c r="O45" s="18" t="n">
        <v>202.01</v>
      </c>
      <c r="P45" s="34" t="n">
        <v>202.01</v>
      </c>
      <c r="Q45" s="18" t="n">
        <v>202.01</v>
      </c>
      <c r="R45" s="18" t="n">
        <v>0</v>
      </c>
      <c r="S45" s="18" t="n">
        <v>0</v>
      </c>
      <c r="T45" s="18" t="n">
        <v>0</v>
      </c>
      <c r="U45" s="34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유동파생상품자산</t>
        </is>
      </c>
      <c r="F46" s="9" t="n"/>
      <c r="H46" s="18" t="n">
        <v>1735.05</v>
      </c>
      <c r="I46" s="18" t="n">
        <v>1735.05</v>
      </c>
      <c r="J46" s="18" t="n">
        <v>1316.82</v>
      </c>
      <c r="K46" s="34" t="n">
        <v>1316.82</v>
      </c>
      <c r="L46" s="18" t="n">
        <v>1316.82</v>
      </c>
      <c r="M46" s="18" t="n">
        <v>438.71</v>
      </c>
      <c r="N46" s="18" t="n">
        <v>438.71</v>
      </c>
      <c r="O46" s="18" t="n">
        <v>202.01</v>
      </c>
      <c r="P46" s="34" t="n">
        <v>202.01</v>
      </c>
      <c r="Q46" s="18" t="n">
        <v>202.01</v>
      </c>
      <c r="R46" s="18" t="n">
        <v>0</v>
      </c>
      <c r="S46" s="18" t="n">
        <v>0</v>
      </c>
      <c r="T46" s="18" t="n">
        <v>0</v>
      </c>
      <c r="U46" s="34" t="n">
        <v>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기타유동금융부채</t>
        </is>
      </c>
      <c r="F47" s="9" t="n"/>
      <c r="H47" s="18" t="n">
        <v>4313.74</v>
      </c>
      <c r="I47" s="18" t="n">
        <v>4313.74</v>
      </c>
      <c r="J47" s="18" t="n">
        <v>3807.26</v>
      </c>
      <c r="K47" s="34" t="n">
        <v>3807.26</v>
      </c>
      <c r="L47" s="18" t="n">
        <v>3807.26</v>
      </c>
      <c r="M47" s="18" t="n">
        <v>1801.31</v>
      </c>
      <c r="N47" s="18" t="n">
        <v>1801.31</v>
      </c>
      <c r="O47" s="18" t="n">
        <v>1097.4</v>
      </c>
      <c r="P47" s="34" t="n">
        <v>1097.4</v>
      </c>
      <c r="Q47" s="18" t="n">
        <v>1097.4</v>
      </c>
      <c r="R47" s="18" t="n">
        <v>0</v>
      </c>
      <c r="S47" s="18" t="n">
        <v>0</v>
      </c>
      <c r="T47" s="18" t="n">
        <v>0</v>
      </c>
      <c r="U47" s="34" t="n">
        <v>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단기금융부채</t>
        </is>
      </c>
      <c r="F48" s="9" t="n"/>
      <c r="H48" s="18" t="n">
        <v>8627.48</v>
      </c>
      <c r="I48" s="18" t="n">
        <v>8627.48</v>
      </c>
      <c r="J48" s="18" t="n">
        <v>7629.35</v>
      </c>
      <c r="K48" s="34" t="n">
        <v>7629.35</v>
      </c>
      <c r="L48" s="18" t="n">
        <v>7628.38</v>
      </c>
      <c r="M48" s="18" t="n">
        <v>3617.88</v>
      </c>
      <c r="N48" s="18" t="n">
        <v>3618.09</v>
      </c>
      <c r="O48" s="18" t="n">
        <v>2224.36</v>
      </c>
      <c r="P48" s="34" t="n">
        <v>2224.36</v>
      </c>
      <c r="Q48" s="18" t="n">
        <v>2224.7</v>
      </c>
      <c r="R48" s="18" t="n">
        <v>32.77</v>
      </c>
      <c r="S48" s="18" t="n">
        <v>33.11</v>
      </c>
      <c r="T48" s="18" t="n">
        <v>33.46</v>
      </c>
      <c r="U48" s="34" t="n">
        <v>33.46</v>
      </c>
      <c r="V48" s="18" t="n">
        <v>18.02</v>
      </c>
      <c r="W48" s="18" t="n">
        <v>18.24</v>
      </c>
      <c r="X48" s="18" t="n">
        <v>18.35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단기파생상품부채</t>
        </is>
      </c>
      <c r="F49" s="9" t="n"/>
      <c r="H49" s="18" t="n">
        <v>4313.74</v>
      </c>
      <c r="I49" s="18" t="n">
        <v>4313.74</v>
      </c>
      <c r="J49" s="18" t="n">
        <v>3807.26</v>
      </c>
      <c r="K49" s="34" t="n">
        <v>3807.26</v>
      </c>
      <c r="L49" s="18" t="n">
        <v>3807.26</v>
      </c>
      <c r="M49" s="18" t="n">
        <v>1801.31</v>
      </c>
      <c r="N49" s="18" t="n">
        <v>1801.31</v>
      </c>
      <c r="O49" s="18" t="n">
        <v>1097.4</v>
      </c>
      <c r="P49" s="34" t="n">
        <v>1097.4</v>
      </c>
      <c r="Q49" s="18" t="n">
        <v>1097.4</v>
      </c>
      <c r="R49" s="18" t="n">
        <v>0</v>
      </c>
      <c r="S49" s="18" t="n">
        <v>0</v>
      </c>
      <c r="T49" s="18" t="n">
        <v>0</v>
      </c>
      <c r="U49" s="34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F50" s="9" t="n"/>
      <c r="H50" s="18" t="n">
        <v>5523.5</v>
      </c>
      <c r="I50" s="18" t="n">
        <v>5684.42</v>
      </c>
      <c r="J50" s="18" t="n">
        <v>5845.38</v>
      </c>
      <c r="K50" s="34" t="n">
        <v>5845.38</v>
      </c>
      <c r="L50" s="18" t="n">
        <v>6002.83</v>
      </c>
      <c r="M50" s="18" t="n">
        <v>6172.48</v>
      </c>
      <c r="N50" s="18" t="n">
        <v>6354.04</v>
      </c>
      <c r="O50" s="18" t="n">
        <v>6540.95</v>
      </c>
      <c r="P50" s="34" t="n">
        <v>6540.95</v>
      </c>
      <c r="Q50" s="18" t="n">
        <v>6733.77</v>
      </c>
      <c r="R50" s="18" t="n">
        <v>0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기타비유동자산</t>
        </is>
      </c>
      <c r="F51" s="9" t="n"/>
      <c r="J51" s="18" t="n">
        <v>62.92</v>
      </c>
      <c r="K51" s="34" t="n">
        <v>62.92</v>
      </c>
      <c r="M51" s="18" t="n">
        <v>101373.27</v>
      </c>
      <c r="N51" s="18" t="n">
        <v>101369.33</v>
      </c>
      <c r="O51" s="18" t="n">
        <v>109.46</v>
      </c>
      <c r="P51" s="34" t="n">
        <v>109.46</v>
      </c>
      <c r="Q51" s="18" t="n">
        <v>100.97</v>
      </c>
      <c r="R51" s="18" t="n">
        <v>353.5</v>
      </c>
      <c r="S51" s="18" t="n">
        <v>243.12</v>
      </c>
      <c r="T51" s="18" t="n">
        <v>106.63</v>
      </c>
      <c r="U51" s="34" t="n">
        <v>106.63</v>
      </c>
      <c r="V51" s="18" t="n">
        <v>39.49</v>
      </c>
      <c r="W51" s="18" t="n">
        <v>34.93</v>
      </c>
      <c r="X51" s="18" t="n">
        <v>30.37</v>
      </c>
      <c r="Y51" s="18" t="n">
        <v>25.82</v>
      </c>
      <c r="Z51" s="34" t="n">
        <v>25.82</v>
      </c>
      <c r="AA51" s="18" t="n">
        <v>21.26</v>
      </c>
      <c r="AB51" s="19" t="n">
        <v>374.73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유동리스부채</t>
        </is>
      </c>
      <c r="F52" s="9" t="n"/>
      <c r="J52" s="18" t="n">
        <v>14.83</v>
      </c>
      <c r="K52" s="34" t="n">
        <v>14.83</v>
      </c>
      <c r="L52" s="18" t="n">
        <v>13.86</v>
      </c>
      <c r="M52" s="18" t="n">
        <v>15.26</v>
      </c>
      <c r="N52" s="18" t="n">
        <v>15.47</v>
      </c>
      <c r="O52" s="18" t="n">
        <v>29.56</v>
      </c>
      <c r="P52" s="34" t="n">
        <v>29.56</v>
      </c>
      <c r="Q52" s="18" t="n">
        <v>29.9</v>
      </c>
      <c r="R52" s="18" t="n">
        <v>32.77</v>
      </c>
      <c r="S52" s="18" t="n">
        <v>33.11</v>
      </c>
      <c r="T52" s="18" t="n">
        <v>33.46</v>
      </c>
      <c r="U52" s="34" t="n">
        <v>33.46</v>
      </c>
      <c r="V52" s="18" t="n">
        <v>18.02</v>
      </c>
      <c r="W52" s="18" t="n">
        <v>18.24</v>
      </c>
      <c r="X52" s="18" t="n">
        <v>18.35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리스부채</t>
        </is>
      </c>
      <c r="F53" s="9" t="n"/>
      <c r="J53" s="18" t="n">
        <v>60.04</v>
      </c>
      <c r="K53" s="34" t="n">
        <v>60.04</v>
      </c>
      <c r="L53" s="18" t="n">
        <v>56.7</v>
      </c>
      <c r="M53" s="18" t="n">
        <v>53.32</v>
      </c>
      <c r="N53" s="18" t="n">
        <v>49.88</v>
      </c>
      <c r="O53" s="18" t="n">
        <v>108.27</v>
      </c>
      <c r="P53" s="34" t="n">
        <v>108.27</v>
      </c>
      <c r="Q53" s="18" t="n">
        <v>100.38</v>
      </c>
      <c r="R53" s="18" t="n">
        <v>92.39</v>
      </c>
      <c r="S53" s="18" t="n">
        <v>84.31999999999999</v>
      </c>
      <c r="T53" s="18" t="n">
        <v>76.17</v>
      </c>
      <c r="U53" s="34" t="n">
        <v>76.17</v>
      </c>
      <c r="V53" s="18" t="n">
        <v>39.85</v>
      </c>
      <c r="W53" s="18" t="n">
        <v>35.35</v>
      </c>
      <c r="X53" s="18" t="n">
        <v>30.84</v>
      </c>
      <c r="Y53" s="18" t="n">
        <v>7.83</v>
      </c>
      <c r="Z53" s="34" t="n">
        <v>7.83</v>
      </c>
      <c r="AA53" s="18" t="n">
        <v>3.14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J54" s="18" t="n">
        <v>45.21</v>
      </c>
      <c r="K54" s="34" t="n">
        <v>45.21</v>
      </c>
      <c r="L54" s="18" t="n">
        <v>42.84</v>
      </c>
      <c r="M54" s="18" t="n">
        <v>38.06</v>
      </c>
      <c r="N54" s="18" t="n">
        <v>34.41</v>
      </c>
      <c r="O54" s="18" t="n">
        <v>78.70999999999999</v>
      </c>
      <c r="P54" s="34" t="n">
        <v>78.70999999999999</v>
      </c>
      <c r="Q54" s="18" t="n">
        <v>70.48</v>
      </c>
      <c r="R54" s="18" t="n">
        <v>59.62</v>
      </c>
      <c r="S54" s="18" t="n">
        <v>51.21</v>
      </c>
      <c r="T54" s="18" t="n">
        <v>42.71</v>
      </c>
      <c r="U54" s="34" t="n">
        <v>42.71</v>
      </c>
      <c r="V54" s="18" t="n">
        <v>21.83</v>
      </c>
      <c r="W54" s="18" t="n">
        <v>17.11</v>
      </c>
      <c r="X54" s="18" t="n">
        <v>12.49</v>
      </c>
      <c r="Y54" s="18" t="n">
        <v>7.83</v>
      </c>
      <c r="Z54" s="34" t="n">
        <v>7.83</v>
      </c>
      <c r="AA54" s="18" t="n">
        <v>3.14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J55" s="18" t="n">
        <v>45.21</v>
      </c>
      <c r="K55" s="34" t="n">
        <v>45.21</v>
      </c>
      <c r="L55" s="18" t="n">
        <v>42.84</v>
      </c>
      <c r="M55" s="18" t="n">
        <v>38.06</v>
      </c>
      <c r="N55" s="18" t="n">
        <v>34.41</v>
      </c>
      <c r="O55" s="18" t="n">
        <v>78.70999999999999</v>
      </c>
      <c r="P55" s="34" t="n">
        <v>78.70999999999999</v>
      </c>
      <c r="Q55" s="18" t="n">
        <v>70.48</v>
      </c>
      <c r="R55" s="18" t="n">
        <v>59.62</v>
      </c>
      <c r="S55" s="18" t="n">
        <v>51.21</v>
      </c>
      <c r="T55" s="18" t="n">
        <v>42.71</v>
      </c>
      <c r="U55" s="34" t="n">
        <v>42.71</v>
      </c>
      <c r="V55" s="18" t="n">
        <v>21.83</v>
      </c>
      <c r="W55" s="18" t="n">
        <v>17.11</v>
      </c>
      <c r="X55" s="18" t="n">
        <v>12.49</v>
      </c>
      <c r="Y55" s="18" t="n">
        <v>7.83</v>
      </c>
      <c r="Z55" s="34" t="n">
        <v>7.83</v>
      </c>
      <c r="AA55" s="18" t="n">
        <v>3.14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N56" s="18" t="n">
        <v>91800</v>
      </c>
      <c r="O56" s="18" t="n">
        <v>91800</v>
      </c>
      <c r="P56" s="34" t="n">
        <v>91800</v>
      </c>
      <c r="Q56" s="18" t="n">
        <v>86800</v>
      </c>
      <c r="R56" s="18" t="n">
        <v>92300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기타유동자산</t>
        </is>
      </c>
      <c r="F57" s="9" t="n"/>
      <c r="K57" s="9" t="n"/>
      <c r="P57" s="9" t="n"/>
      <c r="U57" s="9" t="n"/>
      <c r="Y57" s="18" t="n">
        <v>119.86</v>
      </c>
      <c r="Z57" s="34" t="n">
        <v>119.86</v>
      </c>
      <c r="AA57" s="18" t="n">
        <v>35.17</v>
      </c>
      <c r="AB57" s="19" t="n">
        <v>41.37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사용권자산</t>
        </is>
      </c>
      <c r="F58" s="9" t="n"/>
      <c r="K58" s="9" t="n"/>
      <c r="P58" s="9" t="n"/>
      <c r="U58" s="9" t="n"/>
      <c r="Y58" s="18" t="n">
        <v>25.82</v>
      </c>
      <c r="Z58" s="34" t="n">
        <v>25.82</v>
      </c>
      <c r="AA58" s="18" t="n">
        <v>21.26</v>
      </c>
      <c r="AB58" s="19" t="n">
        <v>16.71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기타유동부채</t>
        </is>
      </c>
      <c r="F59" s="9" t="n"/>
      <c r="K59" s="9" t="n"/>
      <c r="P59" s="9" t="n"/>
      <c r="U59" s="9" t="n"/>
      <c r="Y59" s="18" t="n">
        <v>177.49</v>
      </c>
      <c r="Z59" s="34" t="n">
        <v>177.49</v>
      </c>
      <c r="AA59" s="18" t="n">
        <v>519.55</v>
      </c>
      <c r="AB59" s="19" t="n">
        <v>655.9299999999999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18287.73</v>
      </c>
      <c r="F60" s="9" t="n"/>
      <c r="G60" s="18" t="n">
        <v>18483.47</v>
      </c>
      <c r="H60" s="18" t="n">
        <v>18475.2</v>
      </c>
      <c r="I60" s="18" t="n">
        <v>17595.95</v>
      </c>
      <c r="J60" s="18" t="n">
        <v>19585.46</v>
      </c>
      <c r="K60" s="34" t="n">
        <v>74140.08</v>
      </c>
      <c r="L60" s="18" t="n">
        <v>19035.77</v>
      </c>
      <c r="M60" s="18" t="n">
        <v>18045.1</v>
      </c>
      <c r="N60" s="18" t="n">
        <v>17122.97</v>
      </c>
      <c r="O60" s="18" t="n">
        <v>17679.72</v>
      </c>
      <c r="P60" s="34" t="n">
        <v>71883.56</v>
      </c>
      <c r="Q60" s="18" t="n">
        <v>17685.27</v>
      </c>
      <c r="R60" s="18" t="n">
        <v>22152.44</v>
      </c>
      <c r="S60" s="18" t="n">
        <v>18091.47</v>
      </c>
      <c r="T60" s="18" t="n">
        <v>22244.79</v>
      </c>
      <c r="U60" s="34" t="n">
        <v>80173.97</v>
      </c>
      <c r="V60" s="18" t="n">
        <v>24460.07</v>
      </c>
      <c r="W60" s="18" t="n">
        <v>22126.77</v>
      </c>
      <c r="X60" s="18" t="n">
        <v>24232.69</v>
      </c>
      <c r="Y60" s="18" t="n">
        <v>21533.84</v>
      </c>
      <c r="Z60" s="34" t="n">
        <v>92353.37</v>
      </c>
      <c r="AA60" s="18" t="n">
        <v>24490.37</v>
      </c>
      <c r="AB60" s="19" t="n">
        <v>27365.98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15684.25</v>
      </c>
      <c r="F61" s="9" t="n"/>
      <c r="G61" s="18" t="n">
        <v>16209.19</v>
      </c>
      <c r="H61" s="18" t="n">
        <v>16156.16</v>
      </c>
      <c r="I61" s="18" t="n">
        <v>15562.39</v>
      </c>
      <c r="J61" s="18" t="n">
        <v>16958.39</v>
      </c>
      <c r="K61" s="34" t="n">
        <v>64886.13</v>
      </c>
      <c r="L61" s="18" t="n">
        <v>16903.97</v>
      </c>
      <c r="M61" s="18" t="n">
        <v>15215.1</v>
      </c>
      <c r="N61" s="18" t="n">
        <v>14434.58</v>
      </c>
      <c r="O61" s="18" t="n">
        <v>15557.7</v>
      </c>
      <c r="P61" s="34" t="n">
        <v>62111.35</v>
      </c>
      <c r="Q61" s="18" t="n">
        <v>15070.06</v>
      </c>
      <c r="R61" s="18" t="n">
        <v>16266.15</v>
      </c>
      <c r="S61" s="18" t="n">
        <v>14412.47</v>
      </c>
      <c r="T61" s="18" t="n">
        <v>17649.57</v>
      </c>
      <c r="U61" s="34" t="n">
        <v>63398.25</v>
      </c>
      <c r="V61" s="18" t="n">
        <v>19584.11</v>
      </c>
      <c r="W61" s="18" t="n">
        <v>16427.51</v>
      </c>
      <c r="X61" s="18" t="n">
        <v>17559.5</v>
      </c>
      <c r="Y61" s="18" t="n">
        <v>16891.26</v>
      </c>
      <c r="Z61" s="34" t="n">
        <v>70462.38</v>
      </c>
      <c r="AA61" s="18" t="n">
        <v>18664.25</v>
      </c>
      <c r="AB61" s="19" t="n">
        <v>20450.79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2603.48</v>
      </c>
      <c r="F62" s="9" t="n"/>
      <c r="G62" s="18" t="n">
        <v>2274.28</v>
      </c>
      <c r="H62" s="18" t="n">
        <v>2319.03</v>
      </c>
      <c r="I62" s="18" t="n">
        <v>2033.56</v>
      </c>
      <c r="J62" s="18" t="n">
        <v>2627.06</v>
      </c>
      <c r="K62" s="34" t="n">
        <v>9253.93</v>
      </c>
      <c r="L62" s="18" t="n">
        <v>2131.8</v>
      </c>
      <c r="M62" s="18" t="n">
        <v>2830</v>
      </c>
      <c r="N62" s="18" t="n">
        <v>2688.39</v>
      </c>
      <c r="O62" s="18" t="n">
        <v>2122.02</v>
      </c>
      <c r="P62" s="34" t="n">
        <v>9772.209999999999</v>
      </c>
      <c r="Q62" s="18" t="n">
        <v>2615.21</v>
      </c>
      <c r="R62" s="18" t="n">
        <v>5886.29</v>
      </c>
      <c r="S62" s="18" t="n">
        <v>3679</v>
      </c>
      <c r="T62" s="18" t="n">
        <v>4595.24</v>
      </c>
      <c r="U62" s="34" t="n">
        <v>16775.74</v>
      </c>
      <c r="V62" s="18" t="n">
        <v>4875.96</v>
      </c>
      <c r="W62" s="18" t="n">
        <v>5699.27</v>
      </c>
      <c r="X62" s="18" t="n">
        <v>6673.19</v>
      </c>
      <c r="Y62" s="18" t="n">
        <v>4642.57</v>
      </c>
      <c r="Z62" s="34" t="n">
        <v>21890.99</v>
      </c>
      <c r="AA62" s="18" t="n">
        <v>5826.12</v>
      </c>
      <c r="AB62" s="19" t="n">
        <v>6915.19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799.4299999999999</v>
      </c>
      <c r="F63" s="9" t="n"/>
      <c r="G63" s="18" t="n">
        <v>862.5700000000001</v>
      </c>
      <c r="H63" s="18" t="n">
        <v>737.72</v>
      </c>
      <c r="I63" s="18" t="n">
        <v>1183.91</v>
      </c>
      <c r="J63" s="18" t="n">
        <v>914.11</v>
      </c>
      <c r="K63" s="34" t="n">
        <v>3698.31</v>
      </c>
      <c r="L63" s="18" t="n">
        <v>940.62</v>
      </c>
      <c r="M63" s="18" t="n">
        <v>980.2</v>
      </c>
      <c r="N63" s="18" t="n">
        <v>1619.83</v>
      </c>
      <c r="O63" s="18" t="n">
        <v>1039.56</v>
      </c>
      <c r="P63" s="34" t="n">
        <v>4580.21</v>
      </c>
      <c r="Q63" s="18" t="n">
        <v>1220.84</v>
      </c>
      <c r="R63" s="18" t="n">
        <v>1265.89</v>
      </c>
      <c r="S63" s="18" t="n">
        <v>1796.74</v>
      </c>
      <c r="T63" s="18" t="n">
        <v>1161.94</v>
      </c>
      <c r="U63" s="34" t="n">
        <v>5445.41</v>
      </c>
      <c r="V63" s="18" t="n">
        <v>2101.44</v>
      </c>
      <c r="W63" s="18" t="n">
        <v>1191.76</v>
      </c>
      <c r="X63" s="18" t="n">
        <v>1943.97</v>
      </c>
      <c r="Y63" s="18" t="n">
        <v>1270.03</v>
      </c>
      <c r="Z63" s="34" t="n">
        <v>6507.2</v>
      </c>
      <c r="AA63" s="18" t="n">
        <v>1287.14</v>
      </c>
      <c r="AB63" s="19" t="n">
        <v>2054.91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1804.04</v>
      </c>
      <c r="F64" s="9" t="n"/>
      <c r="G64" s="18" t="n">
        <v>1411.71</v>
      </c>
      <c r="H64" s="18" t="n">
        <v>1581.31</v>
      </c>
      <c r="I64" s="18" t="n">
        <v>849.65</v>
      </c>
      <c r="J64" s="18" t="n">
        <v>1712.95</v>
      </c>
      <c r="K64" s="34" t="n">
        <v>5555.62</v>
      </c>
      <c r="L64" s="18" t="n">
        <v>1191.18</v>
      </c>
      <c r="M64" s="18" t="n">
        <v>1849.8</v>
      </c>
      <c r="N64" s="18" t="n">
        <v>1068.56</v>
      </c>
      <c r="O64" s="18" t="n">
        <v>1082.46</v>
      </c>
      <c r="P64" s="34" t="n">
        <v>5192</v>
      </c>
      <c r="Q64" s="18" t="n">
        <v>1394.38</v>
      </c>
      <c r="R64" s="18" t="n">
        <v>4620.4</v>
      </c>
      <c r="S64" s="18" t="n">
        <v>1882.26</v>
      </c>
      <c r="T64" s="18" t="n">
        <v>3433.29</v>
      </c>
      <c r="U64" s="34" t="n">
        <v>11330.33</v>
      </c>
      <c r="V64" s="18" t="n">
        <v>2774.52</v>
      </c>
      <c r="W64" s="18" t="n">
        <v>4507.51</v>
      </c>
      <c r="X64" s="18" t="n">
        <v>4729.22</v>
      </c>
      <c r="Y64" s="18" t="n">
        <v>3372.55</v>
      </c>
      <c r="Z64" s="34" t="n">
        <v>15383.8</v>
      </c>
      <c r="AA64" s="18" t="n">
        <v>4538.98</v>
      </c>
      <c r="AB64" s="19" t="n">
        <v>4860.28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31.99</v>
      </c>
      <c r="F65" s="9" t="n"/>
      <c r="G65" s="18" t="n">
        <v>33.26</v>
      </c>
      <c r="H65" s="18" t="n">
        <v>60.34</v>
      </c>
      <c r="I65" s="18" t="n">
        <v>127.56</v>
      </c>
      <c r="J65" s="18" t="n">
        <v>-15.86</v>
      </c>
      <c r="K65" s="34" t="n">
        <v>205.3</v>
      </c>
      <c r="L65" s="18" t="n">
        <v>151.13</v>
      </c>
      <c r="M65" s="18" t="n">
        <v>3.58</v>
      </c>
      <c r="N65" s="18" t="n">
        <v>601.45</v>
      </c>
      <c r="O65" s="18" t="n">
        <v>70.34</v>
      </c>
      <c r="P65" s="34" t="n">
        <v>826.5</v>
      </c>
      <c r="Q65" s="18" t="n">
        <v>47826.29</v>
      </c>
      <c r="R65" s="18" t="n">
        <v>-272.96</v>
      </c>
      <c r="S65" s="18" t="n">
        <v>28.96</v>
      </c>
      <c r="T65" s="18" t="n">
        <v>36.72</v>
      </c>
      <c r="U65" s="34" t="n">
        <v>47619.01</v>
      </c>
      <c r="V65" s="18" t="n">
        <v>98.26000000000001</v>
      </c>
      <c r="W65" s="18" t="n">
        <v>403.89</v>
      </c>
      <c r="X65" s="18" t="n">
        <v>50.17</v>
      </c>
      <c r="Y65" s="18" t="n">
        <v>1489.92</v>
      </c>
      <c r="Z65" s="34" t="n">
        <v>2042.24</v>
      </c>
      <c r="AA65" s="18" t="n">
        <v>151.51</v>
      </c>
      <c r="AB65" s="19" t="n">
        <v>268.24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159.43</v>
      </c>
      <c r="F66" s="9" t="n"/>
      <c r="G66" s="18" t="n">
        <v>5.42</v>
      </c>
      <c r="H66" s="18" t="n">
        <v>131.6</v>
      </c>
      <c r="I66" s="18" t="n">
        <v>3.97</v>
      </c>
      <c r="J66" s="18" t="n">
        <v>179.14</v>
      </c>
      <c r="K66" s="34" t="n">
        <v>320.13</v>
      </c>
      <c r="L66" s="18" t="n">
        <v>6.34</v>
      </c>
      <c r="M66" s="18" t="n">
        <v>42.45</v>
      </c>
      <c r="N66" s="18" t="n">
        <v>46.66</v>
      </c>
      <c r="O66" s="18" t="n">
        <v>5639.18</v>
      </c>
      <c r="P66" s="34" t="n">
        <v>5734.63</v>
      </c>
      <c r="Q66" s="18" t="n">
        <v>21.69</v>
      </c>
      <c r="R66" s="18" t="n">
        <v>521.1900000000001</v>
      </c>
      <c r="S66" s="18" t="n">
        <v>-27.27</v>
      </c>
      <c r="T66" s="18" t="n">
        <v>102.43</v>
      </c>
      <c r="U66" s="34" t="n">
        <v>618.04</v>
      </c>
      <c r="V66" s="18" t="n">
        <v>223.41</v>
      </c>
      <c r="W66" s="18" t="n">
        <v>183.22</v>
      </c>
      <c r="X66" s="18" t="n">
        <v>-7.55</v>
      </c>
      <c r="Y66" s="18" t="n">
        <v>134.7</v>
      </c>
      <c r="Z66" s="34" t="n">
        <v>533.78</v>
      </c>
      <c r="AA66" s="18" t="n">
        <v>4</v>
      </c>
      <c r="AB66" s="19" t="n">
        <v>204.81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50704.28</v>
      </c>
      <c r="F67" s="9" t="n"/>
      <c r="G67" s="18" t="n">
        <v>46.23</v>
      </c>
      <c r="H67" s="18" t="n">
        <v>6111.66</v>
      </c>
      <c r="I67" s="18" t="n">
        <v>6082.49</v>
      </c>
      <c r="J67" s="18" t="n">
        <v>563.6</v>
      </c>
      <c r="K67" s="34" t="n">
        <v>12803.98</v>
      </c>
      <c r="L67" s="18" t="n">
        <v>56.26</v>
      </c>
      <c r="M67" s="18" t="n">
        <v>2082.96</v>
      </c>
      <c r="N67" s="18" t="n">
        <v>191.08</v>
      </c>
      <c r="O67" s="18" t="n">
        <v>12807.04</v>
      </c>
      <c r="P67" s="34" t="n">
        <v>15137.34</v>
      </c>
      <c r="Q67" s="18" t="n">
        <v>460.39</v>
      </c>
      <c r="R67" s="18" t="n">
        <v>440.8</v>
      </c>
      <c r="S67" s="18" t="n">
        <v>697.47</v>
      </c>
      <c r="T67" s="18" t="n">
        <v>613.25</v>
      </c>
      <c r="U67" s="34" t="n">
        <v>2211.91</v>
      </c>
      <c r="V67" s="18" t="n">
        <v>1242.83</v>
      </c>
      <c r="W67" s="18" t="n">
        <v>1097.91</v>
      </c>
      <c r="X67" s="18" t="n">
        <v>1079.45</v>
      </c>
      <c r="Y67" s="18" t="n">
        <v>1351.78</v>
      </c>
      <c r="Z67" s="34" t="n">
        <v>4771.97</v>
      </c>
      <c r="AA67" s="18" t="n">
        <v>1206.16</v>
      </c>
      <c r="AB67" s="19" t="n">
        <v>986.6799999999999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570.12</v>
      </c>
      <c r="F68" s="9" t="n"/>
      <c r="G68" s="18" t="n">
        <v>612.84</v>
      </c>
      <c r="H68" s="18" t="n">
        <v>1365.31</v>
      </c>
      <c r="I68" s="18" t="n">
        <v>1119.59</v>
      </c>
      <c r="J68" s="18" t="n">
        <v>1759.89</v>
      </c>
      <c r="K68" s="34" t="n">
        <v>4857.63</v>
      </c>
      <c r="L68" s="18" t="n">
        <v>1465.25</v>
      </c>
      <c r="M68" s="18" t="n">
        <v>2316.88</v>
      </c>
      <c r="N68" s="18" t="n">
        <v>1452.98</v>
      </c>
      <c r="O68" s="18" t="n">
        <v>1830.43</v>
      </c>
      <c r="P68" s="34" t="n">
        <v>7065.54</v>
      </c>
      <c r="Q68" s="18" t="n">
        <v>1523.88</v>
      </c>
      <c r="R68" s="18" t="n">
        <v>7184.73</v>
      </c>
      <c r="S68" s="18" t="n">
        <v>1060.2</v>
      </c>
      <c r="T68" s="18" t="n">
        <v>988.66</v>
      </c>
      <c r="U68" s="34" t="n">
        <v>10757.47</v>
      </c>
      <c r="V68" s="18" t="n">
        <v>866.72</v>
      </c>
      <c r="W68" s="18" t="n">
        <v>589.0599999999999</v>
      </c>
      <c r="X68" s="18" t="n">
        <v>520</v>
      </c>
      <c r="Y68" s="18" t="n">
        <v>412.55</v>
      </c>
      <c r="Z68" s="34" t="n">
        <v>2388.33</v>
      </c>
      <c r="AA68" s="18" t="n">
        <v>323.56</v>
      </c>
      <c r="AB68" s="19" t="n">
        <v>246.93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51810.76</v>
      </c>
      <c r="F69" s="9" t="n"/>
      <c r="G69" s="18" t="n">
        <v>872.9400000000001</v>
      </c>
      <c r="H69" s="18" t="n">
        <v>6256.41</v>
      </c>
      <c r="I69" s="18" t="n">
        <v>5936.14</v>
      </c>
      <c r="J69" s="18" t="n">
        <v>321.66</v>
      </c>
      <c r="K69" s="34" t="n">
        <v>13387.15</v>
      </c>
      <c r="L69" s="18" t="n">
        <v>-73.02</v>
      </c>
      <c r="M69" s="18" t="n">
        <v>1577.01</v>
      </c>
      <c r="N69" s="18" t="n">
        <v>361.45</v>
      </c>
      <c r="O69" s="18" t="n">
        <v>6490.23</v>
      </c>
      <c r="P69" s="34" t="n">
        <v>8355.67</v>
      </c>
      <c r="Q69" s="18" t="n">
        <v>48135.49</v>
      </c>
      <c r="R69" s="18" t="n">
        <v>-2917.68</v>
      </c>
      <c r="S69" s="18" t="n">
        <v>1575.74</v>
      </c>
      <c r="T69" s="18" t="n">
        <v>2992.19</v>
      </c>
      <c r="U69" s="34" t="n">
        <v>49785.74</v>
      </c>
      <c r="V69" s="18" t="n">
        <v>3025.46</v>
      </c>
      <c r="W69" s="18" t="n">
        <v>5237.03</v>
      </c>
      <c r="X69" s="18" t="n">
        <v>5346.4</v>
      </c>
      <c r="Y69" s="18" t="n">
        <v>5667</v>
      </c>
      <c r="Z69" s="34" t="n">
        <v>19275.89</v>
      </c>
      <c r="AA69" s="18" t="n">
        <v>5569.09</v>
      </c>
      <c r="AB69" s="19" t="n">
        <v>5663.47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12079.23</v>
      </c>
      <c r="F70" s="9" t="n"/>
      <c r="G70" s="18" t="n">
        <v>186.55</v>
      </c>
      <c r="H70" s="18" t="n">
        <v>281.91</v>
      </c>
      <c r="I70" s="18" t="n">
        <v>-144.25</v>
      </c>
      <c r="J70" s="18" t="n">
        <v>668.9299999999999</v>
      </c>
      <c r="K70" s="34" t="n">
        <v>993.14</v>
      </c>
      <c r="M70" s="18" t="n">
        <v>250.08</v>
      </c>
      <c r="N70" s="18" t="n">
        <v>-22.31</v>
      </c>
      <c r="O70" s="18" t="n">
        <v>339.8</v>
      </c>
      <c r="P70" s="9" t="n"/>
      <c r="Q70" s="18" t="n">
        <v>9801.549999999999</v>
      </c>
      <c r="R70" s="18" t="n">
        <v>-479.16</v>
      </c>
      <c r="S70" s="18" t="n">
        <v>1251.39</v>
      </c>
      <c r="T70" s="18" t="n">
        <v>1874.12</v>
      </c>
      <c r="U70" s="34" t="n">
        <v>12447.9</v>
      </c>
      <c r="V70" s="18" t="n">
        <v>698.88</v>
      </c>
      <c r="W70" s="18" t="n">
        <v>1209.75</v>
      </c>
      <c r="X70" s="18" t="n">
        <v>1222.15</v>
      </c>
      <c r="Y70" s="18" t="n">
        <v>101.74</v>
      </c>
      <c r="Z70" s="34" t="n">
        <v>3232.52</v>
      </c>
      <c r="AA70" s="18" t="n">
        <v>1018.7</v>
      </c>
      <c r="AB70" s="19" t="n">
        <v>1367.08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39731.53</v>
      </c>
      <c r="F71" s="9" t="n"/>
      <c r="G71" s="18" t="n">
        <v>686.4</v>
      </c>
      <c r="H71" s="18" t="n">
        <v>5974.5</v>
      </c>
      <c r="I71" s="18" t="n">
        <v>6080.39</v>
      </c>
      <c r="J71" s="18" t="n">
        <v>-347.27</v>
      </c>
      <c r="K71" s="34" t="n">
        <v>12394.02</v>
      </c>
      <c r="L71" s="18" t="n">
        <v>-73.02</v>
      </c>
      <c r="M71" s="18" t="n">
        <v>1326.93</v>
      </c>
      <c r="N71" s="18" t="n">
        <v>383.76</v>
      </c>
      <c r="O71" s="18" t="n">
        <v>6150.43</v>
      </c>
      <c r="P71" s="34" t="n">
        <v>7788.1</v>
      </c>
      <c r="Q71" s="18" t="n">
        <v>38333.94</v>
      </c>
      <c r="R71" s="18" t="n">
        <v>-2438.52</v>
      </c>
      <c r="S71" s="18" t="n">
        <v>324.35</v>
      </c>
      <c r="T71" s="18" t="n">
        <v>1118.07</v>
      </c>
      <c r="U71" s="34" t="n">
        <v>37337.84</v>
      </c>
      <c r="V71" s="18" t="n">
        <v>2326.58</v>
      </c>
      <c r="W71" s="18" t="n">
        <v>4027.27</v>
      </c>
      <c r="X71" s="18" t="n">
        <v>4124.25</v>
      </c>
      <c r="Y71" s="18" t="n">
        <v>5565.26</v>
      </c>
      <c r="Z71" s="34" t="n">
        <v>16043.36</v>
      </c>
      <c r="AA71" s="18" t="n">
        <v>4550.38</v>
      </c>
      <c r="AB71" s="19" t="n">
        <v>4296.39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45063.61</v>
      </c>
      <c r="F72" s="9" t="n"/>
      <c r="G72" s="18" t="n">
        <v>680.75</v>
      </c>
      <c r="H72" s="18" t="n">
        <v>5967.52</v>
      </c>
      <c r="I72" s="18" t="n">
        <v>6080.09</v>
      </c>
      <c r="J72" s="18" t="n">
        <v>404.9</v>
      </c>
      <c r="K72" s="34" t="n">
        <v>13133.26</v>
      </c>
      <c r="L72" s="18" t="n">
        <v>-103</v>
      </c>
      <c r="M72" s="18" t="n">
        <v>1299.43</v>
      </c>
      <c r="N72" s="18" t="n">
        <v>369.98</v>
      </c>
      <c r="O72" s="18" t="n">
        <v>5803.62</v>
      </c>
      <c r="P72" s="34" t="n">
        <v>7370.03</v>
      </c>
      <c r="Q72" s="18" t="n">
        <v>49141.6</v>
      </c>
      <c r="R72" s="18" t="n">
        <v>34279.7</v>
      </c>
      <c r="S72" s="18" t="n">
        <v>-13500.57</v>
      </c>
      <c r="T72" s="18" t="n">
        <v>32679.92</v>
      </c>
      <c r="U72" s="34" t="n">
        <v>102600.65</v>
      </c>
      <c r="V72" s="18" t="n">
        <v>26837.61</v>
      </c>
      <c r="W72" s="18" t="n">
        <v>20555.95</v>
      </c>
      <c r="X72" s="18" t="n">
        <v>42464.27</v>
      </c>
      <c r="Y72" s="18" t="n">
        <v>4130.33</v>
      </c>
      <c r="Z72" s="34" t="n">
        <v>93988.16</v>
      </c>
      <c r="AA72" s="18" t="n">
        <v>5094.29</v>
      </c>
      <c r="AB72" s="19" t="n">
        <v>11188.07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50134.16</v>
      </c>
      <c r="F73" s="9" t="n"/>
      <c r="G73" s="18" t="n">
        <v>-566.61</v>
      </c>
      <c r="H73" s="18" t="n">
        <v>4746.35</v>
      </c>
      <c r="I73" s="18" t="n">
        <v>4962.9</v>
      </c>
      <c r="J73" s="18" t="n">
        <v>-1196.29</v>
      </c>
      <c r="K73" s="34" t="n">
        <v>7946.35</v>
      </c>
      <c r="L73" s="18" t="n">
        <v>-1408.99</v>
      </c>
      <c r="M73" s="18" t="n">
        <v>-233.92</v>
      </c>
      <c r="N73" s="18" t="n">
        <v>-1261.9</v>
      </c>
      <c r="O73" s="18" t="n">
        <v>10976.61</v>
      </c>
      <c r="P73" s="34" t="n">
        <v>8071.8</v>
      </c>
      <c r="Q73" s="18" t="n">
        <v>-1063.49</v>
      </c>
      <c r="R73" s="18" t="n">
        <v>-6743.93</v>
      </c>
      <c r="S73" s="18" t="n">
        <v>-362.73</v>
      </c>
      <c r="T73" s="18" t="n">
        <v>-375.41</v>
      </c>
      <c r="U73" s="34" t="n">
        <v>-8545.559999999999</v>
      </c>
      <c r="V73" s="18" t="n">
        <v>376.11</v>
      </c>
      <c r="W73" s="18" t="n">
        <v>508.85</v>
      </c>
      <c r="X73" s="18" t="n">
        <v>559.45</v>
      </c>
      <c r="Y73" s="18" t="n">
        <v>939.23</v>
      </c>
      <c r="Z73" s="34" t="n">
        <v>2383.64</v>
      </c>
      <c r="AA73" s="18" t="n">
        <v>882.6</v>
      </c>
      <c r="AB73" s="19" t="n">
        <v>739.75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-127.44</v>
      </c>
      <c r="F74" s="9" t="n"/>
      <c r="G74" s="18" t="n">
        <v>27.84</v>
      </c>
      <c r="H74" s="18" t="n">
        <v>-71.26000000000001</v>
      </c>
      <c r="I74" s="18" t="n">
        <v>123.59</v>
      </c>
      <c r="J74" s="18" t="n">
        <v>-195</v>
      </c>
      <c r="K74" s="34" t="n">
        <v>-114.83</v>
      </c>
      <c r="L74" s="18" t="n">
        <v>144.79</v>
      </c>
      <c r="M74" s="18" t="n">
        <v>-38.87</v>
      </c>
      <c r="N74" s="18" t="n">
        <v>554.79</v>
      </c>
      <c r="O74" s="18" t="n">
        <v>-5568.84</v>
      </c>
      <c r="P74" s="34" t="n">
        <v>-4908.13</v>
      </c>
      <c r="Q74" s="18" t="n">
        <v>47804.6</v>
      </c>
      <c r="R74" s="18" t="n">
        <v>-794.15</v>
      </c>
      <c r="S74" s="18" t="n">
        <v>56.23</v>
      </c>
      <c r="T74" s="18" t="n">
        <v>-65.70999999999999</v>
      </c>
      <c r="U74" s="34" t="n">
        <v>47000.97</v>
      </c>
      <c r="V74" s="18" t="n">
        <v>-125.15</v>
      </c>
      <c r="W74" s="18" t="n">
        <v>220.67</v>
      </c>
      <c r="X74" s="18" t="n">
        <v>57.72</v>
      </c>
      <c r="Y74" s="18" t="n">
        <v>1355.22</v>
      </c>
      <c r="Z74" s="34" t="n">
        <v>1508.46</v>
      </c>
      <c r="AA74" s="18" t="n">
        <v>147.51</v>
      </c>
      <c r="AB74" s="19" t="n">
        <v>63.43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39731.53</v>
      </c>
      <c r="F75" s="9" t="n"/>
      <c r="G75" s="18" t="n">
        <v>686.4</v>
      </c>
      <c r="H75" s="18" t="n">
        <v>5974.5</v>
      </c>
      <c r="I75" s="18" t="n">
        <v>6080.39</v>
      </c>
      <c r="J75" s="18" t="n">
        <v>-347.27</v>
      </c>
      <c r="K75" s="34" t="n">
        <v>12394.02</v>
      </c>
      <c r="L75" s="18" t="n">
        <v>-73.02</v>
      </c>
      <c r="M75" s="18" t="n">
        <v>1326.93</v>
      </c>
      <c r="N75" s="18" t="n">
        <v>383.76</v>
      </c>
      <c r="O75" s="18" t="n">
        <v>6150.43</v>
      </c>
      <c r="P75" s="34" t="n">
        <v>7788.1</v>
      </c>
      <c r="Q75" s="18" t="n">
        <v>38333.94</v>
      </c>
      <c r="R75" s="18" t="n">
        <v>-2438.52</v>
      </c>
      <c r="S75" s="18" t="n">
        <v>324.35</v>
      </c>
      <c r="T75" s="18" t="n">
        <v>1118.07</v>
      </c>
      <c r="U75" s="34" t="n">
        <v>37337.84</v>
      </c>
      <c r="V75" s="18" t="n">
        <v>2326.58</v>
      </c>
      <c r="W75" s="18" t="n">
        <v>4027.27</v>
      </c>
      <c r="X75" s="18" t="n">
        <v>4124.25</v>
      </c>
      <c r="Y75" s="18" t="n">
        <v>5565.26</v>
      </c>
      <c r="Z75" s="34" t="n">
        <v>16043.36</v>
      </c>
      <c r="AA75" s="18" t="n">
        <v>4550.38</v>
      </c>
      <c r="AB75" s="19" t="n">
        <v>4296.39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39731.53</v>
      </c>
      <c r="F76" s="9" t="n"/>
      <c r="G76" s="18" t="n">
        <v>686.4</v>
      </c>
      <c r="H76" s="18" t="n">
        <v>5974.5</v>
      </c>
      <c r="I76" s="18" t="n">
        <v>6080.39</v>
      </c>
      <c r="J76" s="18" t="n">
        <v>-347.27</v>
      </c>
      <c r="K76" s="34" t="n">
        <v>12394.02</v>
      </c>
      <c r="L76" s="18" t="n">
        <v>-73.02</v>
      </c>
      <c r="M76" s="18" t="n">
        <v>1326.93</v>
      </c>
      <c r="N76" s="18" t="n">
        <v>383.76</v>
      </c>
      <c r="O76" s="18" t="n">
        <v>6150.43</v>
      </c>
      <c r="P76" s="34" t="n">
        <v>7788.1</v>
      </c>
      <c r="Q76" s="18" t="n">
        <v>38333.94</v>
      </c>
      <c r="R76" s="18" t="n">
        <v>-2438.52</v>
      </c>
      <c r="S76" s="18" t="n">
        <v>324.35</v>
      </c>
      <c r="T76" s="18" t="n">
        <v>1118.07</v>
      </c>
      <c r="U76" s="34" t="n">
        <v>37337.84</v>
      </c>
      <c r="V76" s="18" t="n">
        <v>2326.58</v>
      </c>
      <c r="W76" s="18" t="n">
        <v>4027.27</v>
      </c>
      <c r="X76" s="18" t="n">
        <v>4124.25</v>
      </c>
      <c r="Y76" s="18" t="n">
        <v>5565.26</v>
      </c>
      <c r="Z76" s="34" t="n">
        <v>16043.36</v>
      </c>
      <c r="AA76" s="18" t="n">
        <v>4550.38</v>
      </c>
      <c r="AB76" s="19" t="n">
        <v>4296.39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49071.91</v>
      </c>
      <c r="F77" s="9" t="n"/>
      <c r="G77" s="18" t="n">
        <v>-4235.89</v>
      </c>
      <c r="H77" s="18" t="n">
        <v>301.02</v>
      </c>
      <c r="I77" s="18" t="n">
        <v>5007.33</v>
      </c>
      <c r="J77" s="18" t="n">
        <v>508.59</v>
      </c>
      <c r="K77" s="34" t="n">
        <v>1581.05</v>
      </c>
      <c r="L77" s="18" t="n">
        <v>1008.91</v>
      </c>
      <c r="M77" s="18" t="n">
        <v>3564.33</v>
      </c>
      <c r="N77" s="18" t="n">
        <v>1129.91</v>
      </c>
      <c r="O77" s="18" t="n">
        <v>11260.49</v>
      </c>
      <c r="P77" s="34" t="n">
        <v>16963.64</v>
      </c>
      <c r="Q77" s="18" t="n">
        <v>2243.93</v>
      </c>
      <c r="R77" s="18" t="n">
        <v>2498.81</v>
      </c>
      <c r="S77" s="18" t="n">
        <v>5904.67</v>
      </c>
      <c r="T77" s="18" t="n">
        <v>-124.48</v>
      </c>
      <c r="U77" s="34" t="n">
        <v>10522.93</v>
      </c>
      <c r="V77" s="18" t="n">
        <v>-2239.13</v>
      </c>
      <c r="W77" s="18" t="n">
        <v>1894.71</v>
      </c>
      <c r="X77" s="18" t="n">
        <v>5145.55</v>
      </c>
      <c r="Y77" s="18" t="n">
        <v>1358.22</v>
      </c>
      <c r="Z77" s="34" t="n">
        <v>6159.35</v>
      </c>
      <c r="AA77" s="18" t="n">
        <v>-11212.07</v>
      </c>
      <c r="AB77" s="19" t="n">
        <v>-12358.9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감가상각비</t>
        </is>
      </c>
      <c r="E78" s="18" t="n">
        <v>1127.51</v>
      </c>
      <c r="F78" s="9" t="n"/>
      <c r="G78" s="18" t="n">
        <v>985.5700000000001</v>
      </c>
      <c r="H78" s="18" t="n">
        <v>1009.53</v>
      </c>
      <c r="I78" s="18" t="n">
        <v>1015.88</v>
      </c>
      <c r="J78" s="18" t="n">
        <v>1018.69</v>
      </c>
      <c r="K78" s="34" t="n">
        <v>4029.67</v>
      </c>
      <c r="L78" s="18" t="n">
        <v>874.52</v>
      </c>
      <c r="M78" s="18" t="n">
        <v>1051.45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-14.41</v>
      </c>
      <c r="F79" s="9" t="n"/>
      <c r="G79" s="18" t="n">
        <v>-5748.93</v>
      </c>
      <c r="H79" s="18" t="n">
        <v>-6904.12</v>
      </c>
      <c r="I79" s="18" t="n">
        <v>-439.96</v>
      </c>
      <c r="J79" s="18" t="n">
        <v>-10.88</v>
      </c>
      <c r="K79" s="34" t="n">
        <v>-13103.89</v>
      </c>
      <c r="L79" s="18" t="n">
        <v>-394.54</v>
      </c>
      <c r="M79" s="18" t="n">
        <v>-382.27</v>
      </c>
      <c r="N79" s="18" t="n">
        <v>-224.86</v>
      </c>
      <c r="O79" s="18" t="n">
        <v>-317.88</v>
      </c>
      <c r="P79" s="34" t="n">
        <v>-1319.55</v>
      </c>
      <c r="Q79" s="18" t="n">
        <v>205.93</v>
      </c>
      <c r="R79" s="18" t="n">
        <v>212.38</v>
      </c>
      <c r="S79" s="18" t="n">
        <v>-124.61</v>
      </c>
      <c r="T79" s="18" t="n">
        <v>-78.19</v>
      </c>
      <c r="U79" s="34" t="n">
        <v>215.51</v>
      </c>
      <c r="V79" s="18" t="n">
        <v>-4972.05</v>
      </c>
      <c r="W79" s="18" t="n">
        <v>-5792.41</v>
      </c>
      <c r="X79" s="18" t="n">
        <v>-2665.65</v>
      </c>
      <c r="Y79" s="18" t="n">
        <v>-2447.38</v>
      </c>
      <c r="Z79" s="34" t="n">
        <v>-15877.49</v>
      </c>
      <c r="AA79" s="18" t="n">
        <v>-15747.57</v>
      </c>
      <c r="AB79" s="19" t="n">
        <v>-18973.39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-45894.73</v>
      </c>
      <c r="F80" s="9" t="n"/>
      <c r="G80" s="18" t="n">
        <v>-234.64</v>
      </c>
      <c r="H80" s="18" t="n">
        <v>26.87</v>
      </c>
      <c r="I80" s="18" t="n">
        <v>-29022.63</v>
      </c>
      <c r="J80" s="18" t="n">
        <v>-2285.1</v>
      </c>
      <c r="K80" s="34" t="n">
        <v>-31515.5</v>
      </c>
      <c r="L80" s="18" t="n">
        <v>-2728.27</v>
      </c>
      <c r="M80" s="18" t="n">
        <v>-3758.1</v>
      </c>
      <c r="N80" s="18" t="n">
        <v>9364.73</v>
      </c>
      <c r="O80" s="18" t="n">
        <v>-1745.67</v>
      </c>
      <c r="P80" s="34" t="n">
        <v>1132.69</v>
      </c>
      <c r="Q80" s="18" t="n">
        <v>17695.68</v>
      </c>
      <c r="R80" s="18" t="n">
        <v>-30030.6</v>
      </c>
      <c r="S80" s="18" t="n">
        <v>-907.73</v>
      </c>
      <c r="T80" s="18" t="n">
        <v>4219.84</v>
      </c>
      <c r="U80" s="34" t="n">
        <v>-9022.809999999999</v>
      </c>
      <c r="V80" s="18" t="n">
        <v>30126.19</v>
      </c>
      <c r="W80" s="18" t="n">
        <v>24599.93</v>
      </c>
      <c r="X80" s="18" t="n">
        <v>20240.34</v>
      </c>
      <c r="Y80" s="18" t="n">
        <v>6838.64</v>
      </c>
      <c r="Z80" s="34" t="n">
        <v>81805.10000000001</v>
      </c>
      <c r="AA80" s="18" t="n">
        <v>12403.82</v>
      </c>
      <c r="AB80" s="19" t="n">
        <v>33095.98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0</v>
      </c>
      <c r="F81" s="9" t="n"/>
      <c r="K81" s="9" t="n"/>
      <c r="N81" s="18" t="n">
        <v>0</v>
      </c>
      <c r="O81" s="18" t="n">
        <v>0</v>
      </c>
      <c r="P81" s="9" t="n"/>
      <c r="Q81" s="18" t="n">
        <v>89</v>
      </c>
      <c r="R81" s="18" t="n">
        <v>0</v>
      </c>
      <c r="S81" s="18" t="n">
        <v>1</v>
      </c>
      <c r="T81" s="18" t="n">
        <v>0</v>
      </c>
      <c r="U81" s="34" t="n">
        <v>90</v>
      </c>
      <c r="V81" s="18" t="n">
        <v>0</v>
      </c>
      <c r="W81" s="18" t="n">
        <v>400</v>
      </c>
      <c r="X81" s="18" t="n">
        <v>25</v>
      </c>
      <c r="Y81" s="18" t="n">
        <v>0</v>
      </c>
      <c r="Z81" s="34" t="n">
        <v>425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유형자산의증가</t>
        </is>
      </c>
      <c r="E82" s="18" t="n">
        <v>292.39</v>
      </c>
      <c r="F82" s="9" t="n"/>
      <c r="G82" s="18" t="n">
        <v>222.63</v>
      </c>
      <c r="H82" s="18" t="n">
        <v>226.98</v>
      </c>
      <c r="I82" s="18" t="n">
        <v>96.45999999999999</v>
      </c>
      <c r="J82" s="18" t="n">
        <v>230.9</v>
      </c>
      <c r="K82" s="34" t="n">
        <v>776.97</v>
      </c>
      <c r="L82" s="18" t="n">
        <v>253.14</v>
      </c>
      <c r="M82" s="18" t="n">
        <v>242.95</v>
      </c>
      <c r="N82" s="18" t="n">
        <v>480.26</v>
      </c>
      <c r="O82" s="18" t="n">
        <v>597.1900000000001</v>
      </c>
      <c r="P82" s="34" t="n">
        <v>1573.54</v>
      </c>
      <c r="Q82" s="18" t="n">
        <v>434.15</v>
      </c>
      <c r="R82" s="18" t="n">
        <v>906.65</v>
      </c>
      <c r="S82" s="18" t="n">
        <v>961.54</v>
      </c>
      <c r="T82" s="18" t="n">
        <v>531.95</v>
      </c>
      <c r="U82" s="34" t="n">
        <v>2834.29</v>
      </c>
      <c r="V82" s="18" t="n">
        <v>1900.29</v>
      </c>
      <c r="W82" s="18" t="n">
        <v>1097.21</v>
      </c>
      <c r="X82" s="18" t="n">
        <v>895.42</v>
      </c>
      <c r="Y82" s="18" t="n">
        <v>2473.34</v>
      </c>
      <c r="Z82" s="34" t="n">
        <v>6366.26</v>
      </c>
      <c r="AA82" s="18" t="n">
        <v>315.28</v>
      </c>
      <c r="AB82" s="19" t="n">
        <v>286.8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292.39</v>
      </c>
      <c r="F83" s="9" t="n"/>
      <c r="G83" s="18" t="n">
        <v>222.63</v>
      </c>
      <c r="H83" s="18" t="n">
        <v>226.98</v>
      </c>
      <c r="I83" s="18" t="n">
        <v>96.45999999999999</v>
      </c>
      <c r="J83" s="18" t="n">
        <v>230.9</v>
      </c>
      <c r="K83" s="34" t="n">
        <v>776.97</v>
      </c>
      <c r="L83" s="18" t="n">
        <v>253.14</v>
      </c>
      <c r="M83" s="18" t="n">
        <v>242.95</v>
      </c>
      <c r="N83" s="18" t="n">
        <v>480.26</v>
      </c>
      <c r="O83" s="18" t="n">
        <v>597.1900000000001</v>
      </c>
      <c r="P83" s="34" t="n">
        <v>1573.54</v>
      </c>
      <c r="Q83" s="18" t="n">
        <v>434.15</v>
      </c>
      <c r="R83" s="18" t="n">
        <v>906.65</v>
      </c>
      <c r="S83" s="18" t="n">
        <v>961.54</v>
      </c>
      <c r="T83" s="18" t="n">
        <v>531.95</v>
      </c>
      <c r="U83" s="34" t="n">
        <v>2834.29</v>
      </c>
      <c r="V83" s="18" t="n">
        <v>1900.29</v>
      </c>
      <c r="W83" s="18" t="n">
        <v>1097.21</v>
      </c>
      <c r="X83" s="18" t="n">
        <v>895.42</v>
      </c>
      <c r="Y83" s="18" t="n">
        <v>2473.34</v>
      </c>
      <c r="Z83" s="34" t="n">
        <v>6366.26</v>
      </c>
      <c r="AA83" s="18" t="n">
        <v>723.28</v>
      </c>
      <c r="AB83" s="19" t="n">
        <v>286.8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177.98</v>
      </c>
      <c r="F84" s="9" t="n"/>
      <c r="G84" s="18" t="n">
        <v>1582.36</v>
      </c>
      <c r="H84" s="18" t="n">
        <v>18983.05</v>
      </c>
      <c r="I84" s="18" t="n">
        <v>-16.95</v>
      </c>
      <c r="J84" s="18" t="n">
        <v>-16.95</v>
      </c>
      <c r="K84" s="34" t="n">
        <v>20531.51</v>
      </c>
      <c r="L84" s="18" t="n">
        <v>-20.28</v>
      </c>
      <c r="M84" s="18" t="n">
        <v>-22.11</v>
      </c>
      <c r="N84" s="18" t="n">
        <v>3702.15</v>
      </c>
      <c r="O84" s="18" t="n">
        <v>-917.84</v>
      </c>
      <c r="P84" s="34" t="n">
        <v>2741.92</v>
      </c>
      <c r="Q84" s="18" t="n">
        <v>-25426.22</v>
      </c>
      <c r="R84" s="18" t="n">
        <v>12244.8</v>
      </c>
      <c r="S84" s="18" t="n">
        <v>-2267.79</v>
      </c>
      <c r="T84" s="18" t="n">
        <v>-4826.31</v>
      </c>
      <c r="U84" s="34" t="n">
        <v>-20275.52</v>
      </c>
      <c r="V84" s="18" t="n">
        <v>-11439.37</v>
      </c>
      <c r="W84" s="18" t="n">
        <v>-32804.28</v>
      </c>
      <c r="X84" s="18" t="n">
        <v>-25072.1</v>
      </c>
      <c r="Y84" s="18" t="n">
        <v>-12004.54</v>
      </c>
      <c r="Z84" s="34" t="n">
        <v>-81320.28999999999</v>
      </c>
      <c r="AA84" s="18" t="n">
        <v>-2793.9</v>
      </c>
      <c r="AB84" s="19" t="n">
        <v>-20831.71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차입금의감소</t>
        </is>
      </c>
      <c r="E85" s="18" t="n">
        <v>16.95</v>
      </c>
      <c r="F85" s="9" t="n"/>
      <c r="G85" s="18" t="n">
        <v>416.95</v>
      </c>
      <c r="H85" s="18" t="n">
        <v>16.95</v>
      </c>
      <c r="I85" s="18" t="n">
        <v>16.95</v>
      </c>
      <c r="J85" s="18" t="n">
        <v>16.95</v>
      </c>
      <c r="K85" s="34" t="n">
        <v>467.8</v>
      </c>
      <c r="L85" s="18" t="n">
        <v>16.95</v>
      </c>
      <c r="M85" s="18" t="n">
        <v>10016.95</v>
      </c>
      <c r="N85" s="18" t="n">
        <v>16.95</v>
      </c>
      <c r="O85" s="18" t="n">
        <v>6016.95</v>
      </c>
      <c r="P85" s="34" t="n">
        <v>16067.8</v>
      </c>
      <c r="Q85" s="18" t="n">
        <v>15016.95</v>
      </c>
      <c r="R85" s="18" t="n">
        <v>39016.95</v>
      </c>
      <c r="S85" s="18" t="n">
        <v>25300</v>
      </c>
      <c r="T85" s="18" t="n">
        <v>24000</v>
      </c>
      <c r="U85" s="34" t="n">
        <v>103333.9</v>
      </c>
      <c r="V85" s="18" t="n">
        <v>10000</v>
      </c>
      <c r="W85" s="18" t="n">
        <v>25000</v>
      </c>
      <c r="X85" s="18" t="n">
        <v>15650</v>
      </c>
      <c r="Y85" s="18" t="n">
        <v>12000</v>
      </c>
      <c r="Z85" s="34" t="n">
        <v>62650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6709.37</v>
      </c>
      <c r="F86" s="9" t="n"/>
      <c r="G86" s="18" t="n">
        <v>-5750.49</v>
      </c>
      <c r="H86" s="18" t="n">
        <v>38623.48</v>
      </c>
      <c r="I86" s="18" t="n">
        <v>-48026.69</v>
      </c>
      <c r="J86" s="18" t="n">
        <v>-3633.33</v>
      </c>
      <c r="K86" s="34" t="n">
        <v>-18787.03</v>
      </c>
      <c r="L86" s="18" t="n">
        <v>-3455.56</v>
      </c>
      <c r="M86" s="18" t="n">
        <v>-471.68</v>
      </c>
      <c r="N86" s="18" t="n">
        <v>28397.71</v>
      </c>
      <c r="O86" s="18" t="n">
        <v>17192.84</v>
      </c>
      <c r="P86" s="34" t="n">
        <v>41663.31</v>
      </c>
      <c r="Q86" s="18" t="n">
        <v>-10993.92</v>
      </c>
      <c r="R86" s="18" t="n">
        <v>-30594.82</v>
      </c>
      <c r="S86" s="18" t="n">
        <v>5509.69</v>
      </c>
      <c r="T86" s="18" t="n">
        <v>-1440.77</v>
      </c>
      <c r="U86" s="34" t="n">
        <v>-37519.82</v>
      </c>
      <c r="V86" s="18" t="n">
        <v>32913.55</v>
      </c>
      <c r="W86" s="18" t="n">
        <v>-12663.22</v>
      </c>
      <c r="X86" s="18" t="n">
        <v>656.75</v>
      </c>
      <c r="Y86" s="18" t="n">
        <v>-14297.16</v>
      </c>
      <c r="Z86" s="34" t="n">
        <v>6609.92</v>
      </c>
      <c r="AA86" s="18" t="n">
        <v>-1569.99</v>
      </c>
      <c r="AB86" s="19" t="n">
        <v>-123.11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3354.21</v>
      </c>
      <c r="F87" s="9" t="n"/>
      <c r="G87" s="18" t="n">
        <v>11519.71</v>
      </c>
      <c r="H87" s="18" t="n">
        <v>19312.54</v>
      </c>
      <c r="I87" s="18" t="n">
        <v>-23994.44</v>
      </c>
      <c r="J87" s="18" t="n">
        <v>-1839.87</v>
      </c>
      <c r="K87" s="34" t="n">
        <v>4997.94</v>
      </c>
      <c r="L87" s="18" t="n">
        <v>3282.03</v>
      </c>
      <c r="M87" s="18" t="n">
        <v>-255.81</v>
      </c>
      <c r="N87" s="18" t="n">
        <v>14200.92</v>
      </c>
      <c r="O87" s="18" t="n">
        <v>8595.860000000001</v>
      </c>
      <c r="P87" s="34" t="n">
        <v>25823</v>
      </c>
      <c r="Q87" s="18" t="n">
        <v>20315.68</v>
      </c>
      <c r="R87" s="18" t="n">
        <v>-15307.82</v>
      </c>
      <c r="S87" s="18" t="n">
        <v>2780.54</v>
      </c>
      <c r="T87" s="18" t="n">
        <v>-709.83</v>
      </c>
      <c r="U87" s="34" t="n">
        <v>7078.57</v>
      </c>
      <c r="V87" s="18" t="n">
        <v>23544.42</v>
      </c>
      <c r="W87" s="18" t="n">
        <v>-6353.57</v>
      </c>
      <c r="X87" s="18" t="n">
        <v>342.95</v>
      </c>
      <c r="Y87" s="18" t="n">
        <v>-3845.31</v>
      </c>
      <c r="Z87" s="34" t="n">
        <v>13688.49</v>
      </c>
      <c r="AA87" s="18" t="n">
        <v>12118.5</v>
      </c>
      <c r="AB87" s="19" t="n">
        <v>-123.11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F88" s="9" t="n"/>
      <c r="I88" s="18" t="n">
        <v>6000</v>
      </c>
      <c r="J88" s="18" t="n">
        <v>0</v>
      </c>
      <c r="K88" s="9" t="n"/>
      <c r="P88" s="9" t="n"/>
      <c r="U88" s="9" t="n"/>
      <c r="V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329.02</v>
      </c>
      <c r="P89" s="9" t="n"/>
      <c r="Q89" s="18" t="n">
        <v>303.82</v>
      </c>
      <c r="R89" s="18" t="n">
        <v>308.03</v>
      </c>
      <c r="S89" s="18" t="n">
        <v>321.97</v>
      </c>
      <c r="T89" s="18" t="n">
        <v>187.7</v>
      </c>
      <c r="U89" s="34" t="n">
        <v>1121.52</v>
      </c>
      <c r="V89" s="18" t="n">
        <v>1068.65</v>
      </c>
      <c r="W89" s="18" t="n">
        <v>289.12</v>
      </c>
      <c r="X89" s="18" t="n">
        <v>1299.07</v>
      </c>
      <c r="Y89" s="18" t="n">
        <v>271.55</v>
      </c>
      <c r="Z89" s="34" t="n">
        <v>2928.39</v>
      </c>
      <c r="AA89" s="18" t="n">
        <v>2816.29</v>
      </c>
      <c r="AB89" s="19" t="n">
        <v>502.83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F90" s="9" t="n"/>
      <c r="K90" s="9" t="n"/>
      <c r="P90" s="9" t="n"/>
      <c r="Q90" s="18" t="n">
        <v>20401.36</v>
      </c>
      <c r="R90" s="18" t="n">
        <v>0</v>
      </c>
      <c r="S90" s="18" t="n">
        <v>0</v>
      </c>
      <c r="T90" s="18" t="n">
        <v>0</v>
      </c>
      <c r="U90" s="34" t="n">
        <v>20401.36</v>
      </c>
      <c r="V90" s="18" t="n">
        <v>0</v>
      </c>
      <c r="W90" s="18" t="n">
        <v>6526.16</v>
      </c>
      <c r="X90" s="18" t="n">
        <v>9232.879999999999</v>
      </c>
      <c r="Y90" s="18" t="n">
        <v>0</v>
      </c>
      <c r="Z90" s="34" t="n">
        <v>15759.04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K91" s="9" t="n"/>
      <c r="P91" s="9" t="n"/>
      <c r="U91" s="9" t="n"/>
      <c r="Z91" s="9" t="n"/>
      <c r="AA91" s="18" t="n">
        <v>408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F92" s="9" t="n"/>
      <c r="K92" s="9" t="n"/>
      <c r="P92" s="9" t="n"/>
      <c r="U92" s="9" t="n"/>
      <c r="Z92" s="9" t="n"/>
      <c r="AA92" s="18" t="n">
        <v>4.57</v>
      </c>
      <c r="AB92" s="19" t="n">
        <v>4.6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자기주식의취득</t>
        </is>
      </c>
      <c r="F93" s="9" t="n"/>
      <c r="K93" s="9" t="n"/>
      <c r="P93" s="9" t="n"/>
      <c r="U93" s="9" t="n"/>
      <c r="Z93" s="9" t="n"/>
      <c r="AA93" s="18" t="n">
        <v>2789.32</v>
      </c>
      <c r="AB93" s="19" t="n">
        <v>2210.68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0.0911</v>
      </c>
      <c r="F10" s="34" t="n"/>
      <c r="G10" s="18" t="n">
        <v>0.06660000000000001</v>
      </c>
      <c r="H10" s="18" t="n">
        <v>0.0761</v>
      </c>
      <c r="I10" s="18" t="n">
        <v>0.0536</v>
      </c>
      <c r="J10" s="18" t="n">
        <v>0.07049999999999999</v>
      </c>
      <c r="K10" s="34">
        <f>SUM(G10:J10)</f>
        <v/>
      </c>
      <c r="L10" s="18" t="n">
        <v>0.0444</v>
      </c>
      <c r="M10" s="18" t="n">
        <v>0.0547</v>
      </c>
      <c r="N10" s="18" t="n">
        <v>0.0531</v>
      </c>
      <c r="O10" s="18" t="n">
        <v>-0.0217</v>
      </c>
      <c r="P10" s="34">
        <f>SUM(L10:O10)</f>
        <v/>
      </c>
      <c r="Q10" s="18" t="n">
        <v>0.0529</v>
      </c>
      <c r="R10" s="18" t="n">
        <v>0.1789</v>
      </c>
      <c r="S10" s="18" t="n">
        <v>0.0578</v>
      </c>
      <c r="T10" s="18" t="n">
        <v>0.1346</v>
      </c>
      <c r="U10" s="34">
        <f>SUM(Q10:T10)</f>
        <v/>
      </c>
      <c r="V10" s="18" t="n">
        <v>0.09320000000000001</v>
      </c>
      <c r="W10" s="18" t="n">
        <v>0.1752</v>
      </c>
      <c r="X10" s="18" t="n">
        <v>0.169</v>
      </c>
      <c r="Y10" s="18" t="n">
        <v>0.1413</v>
      </c>
      <c r="Z10" s="34">
        <f>SUM(V10:Y10)</f>
        <v/>
      </c>
      <c r="AA10" s="18" t="n">
        <v>0.1602</v>
      </c>
      <c r="AB10" s="19" t="n">
        <v>0.1613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 t="n"/>
      <c r="F13" s="34" t="n"/>
      <c r="G13" s="18" t="n"/>
      <c r="H13" s="18" t="n"/>
      <c r="I13" s="18" t="n"/>
      <c r="J13" s="18" t="n"/>
      <c r="K13" s="34">
        <f>SUM(G13:J13)</f>
        <v/>
      </c>
      <c r="L13" s="18" t="n"/>
      <c r="M13" s="18" t="n"/>
      <c r="N13" s="18" t="n"/>
      <c r="O13" s="18" t="n"/>
      <c r="P13" s="34">
        <f>SUM(L13:O13)</f>
        <v/>
      </c>
      <c r="Q13" s="18" t="n"/>
      <c r="R13" s="18" t="n"/>
      <c r="S13" s="18" t="n"/>
      <c r="T13" s="18" t="n"/>
      <c r="U13" s="34">
        <f>SUM(Q13:T13)</f>
        <v/>
      </c>
      <c r="V13" s="18" t="n"/>
      <c r="W13" s="18" t="n"/>
      <c r="X13" s="18" t="n"/>
      <c r="Y13" s="18" t="n"/>
      <c r="Z13" s="34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 t="n"/>
      <c r="Z14" s="34">
        <f>SUM(V14:Y14)</f>
        <v/>
      </c>
      <c r="AA14" s="18" t="n"/>
      <c r="AB14" s="19" t="n"/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 t="n"/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중단사업이익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중단사업이익(실적만)</t>
        </is>
      </c>
      <c r="E18" s="18" t="n"/>
      <c r="F18" s="34" t="n"/>
      <c r="G18" s="18" t="n"/>
      <c r="H18" s="18" t="n"/>
      <c r="I18" s="18" t="n"/>
      <c r="J18" s="18" t="n"/>
      <c r="K18" s="34">
        <f>SUM(G18:J18)</f>
        <v/>
      </c>
      <c r="L18" s="18" t="n"/>
      <c r="M18" s="18" t="n"/>
      <c r="N18" s="18" t="n"/>
      <c r="O18" s="18" t="n">
        <v>33.97</v>
      </c>
      <c r="P18" s="34">
        <f>SUM(L18:O18)</f>
        <v/>
      </c>
      <c r="Q18" s="18" t="n">
        <v>0</v>
      </c>
      <c r="R18" s="18" t="n">
        <v>0</v>
      </c>
      <c r="S18" s="18" t="n">
        <v>0</v>
      </c>
      <c r="T18" s="18" t="n">
        <v>0</v>
      </c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/>
      <c r="AC18" s="20" t="n"/>
      <c r="AD18" s="20" t="n"/>
      <c r="AE18" s="35">
        <f>SUM(AA18:AD18)</f>
        <v/>
      </c>
      <c r="AF18" s="20" t="n"/>
      <c r="AG18" s="20" t="n"/>
      <c r="AH18" s="20" t="n"/>
      <c r="AI18" s="20" t="n"/>
      <c r="AJ18" s="35">
        <f>SUM(AF18:AI18)</f>
        <v/>
      </c>
      <c r="AK18" s="20" t="n"/>
      <c r="AL18" s="20" t="n"/>
      <c r="AM18" s="20" t="n"/>
      <c r="AN18" s="20" t="n"/>
      <c r="AO18" s="35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4">
        <f>SUM(L19:O19)</f>
        <v/>
      </c>
      <c r="Q19" s="18" t="n"/>
      <c r="R19" s="18" t="n"/>
      <c r="S19" s="18" t="n"/>
      <c r="T19" s="18" t="n"/>
      <c r="U19" s="34">
        <f>SUM(Q19:T19)</f>
        <v/>
      </c>
      <c r="V19" s="18" t="n"/>
      <c r="W19" s="18" t="n"/>
      <c r="X19" s="18" t="n"/>
      <c r="Y19" s="18" t="n"/>
      <c r="Z19" s="34">
        <f>SUM(V19:Y19)</f>
        <v/>
      </c>
      <c r="AA19" s="18" t="n"/>
      <c r="AB19" s="19" t="n"/>
      <c r="AC19" s="20" t="n">
        <v>16.36</v>
      </c>
      <c r="AD19" s="20" t="n">
        <v>16.36</v>
      </c>
      <c r="AE19" s="35">
        <f>SUM(AA19:AD19)</f>
        <v/>
      </c>
      <c r="AF19" s="20" t="n">
        <v>16.36</v>
      </c>
      <c r="AG19" s="20" t="n">
        <v>16.36</v>
      </c>
      <c r="AH19" s="20">
        <f>IFERROR(AC19*(1+변수!AH31),"")</f>
        <v/>
      </c>
      <c r="AI19" s="20">
        <f>IFERROR(AD19*(1+변수!AI31),"")</f>
        <v/>
      </c>
      <c r="AJ19" s="35">
        <f>SUM(AF19:AI19)</f>
        <v/>
      </c>
      <c r="AK19" s="20">
        <f>IFERROR(AF19*(1+변수!AK31),"")</f>
        <v/>
      </c>
      <c r="AL19" s="20">
        <f>IFERROR(AG19*(1+변수!AL31),"")</f>
        <v/>
      </c>
      <c r="AM19" s="20">
        <f>IFERROR(AH19*(1+변수!AM31),"")</f>
        <v/>
      </c>
      <c r="AN19" s="20">
        <f>IFERROR(AI19*(1+변수!AN31),"")</f>
        <v/>
      </c>
      <c r="AO19" s="35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50.26</v>
      </c>
      <c r="F20" s="34" t="n"/>
      <c r="G20" s="18" t="n">
        <v>43.15</v>
      </c>
      <c r="H20" s="18" t="n">
        <v>40.79</v>
      </c>
      <c r="I20" s="18" t="n">
        <v>35.23</v>
      </c>
      <c r="J20" s="18" t="n">
        <v>45.75</v>
      </c>
      <c r="K20" s="34">
        <f>SUM(G20:J20)</f>
        <v/>
      </c>
      <c r="L20" s="18" t="n">
        <v>29.73</v>
      </c>
      <c r="M20" s="18" t="n">
        <v>34.54</v>
      </c>
      <c r="N20" s="18" t="n"/>
      <c r="O20" s="18" t="n"/>
      <c r="P20" s="34">
        <f>SUM(L20:O20)</f>
        <v/>
      </c>
      <c r="Q20" s="18" t="n"/>
      <c r="R20" s="18" t="n"/>
      <c r="S20" s="18" t="n"/>
      <c r="T20" s="18" t="n"/>
      <c r="U20" s="34">
        <f>SUM(Q20:T20)</f>
        <v/>
      </c>
      <c r="V20" s="18" t="n"/>
      <c r="W20" s="18" t="n"/>
      <c r="X20" s="18" t="n"/>
      <c r="Y20" s="18" t="n"/>
      <c r="Z20" s="34">
        <f>SUM(V20:Y20)</f>
        <v/>
      </c>
      <c r="AA20" s="18" t="n"/>
      <c r="AB20" s="19" t="n"/>
      <c r="AC20" s="20" t="n">
        <v>70.13</v>
      </c>
      <c r="AD20" s="20" t="n">
        <v>57.29</v>
      </c>
      <c r="AE20" s="35">
        <f>SUM(AA20:AD20)</f>
        <v/>
      </c>
      <c r="AF20" s="20" t="n">
        <v>82.17</v>
      </c>
      <c r="AG20" s="20" t="n">
        <v>86.52</v>
      </c>
      <c r="AH20" s="20">
        <f>IFERROR(AC20*(1+변수!AH32),"")</f>
        <v/>
      </c>
      <c r="AI20" s="20">
        <f>IFERROR(AD20*(1+변수!AI32),"")</f>
        <v/>
      </c>
      <c r="AJ20" s="35">
        <f>SUM(AF20:AI20)</f>
        <v/>
      </c>
      <c r="AK20" s="20">
        <f>IFERROR(AF20*(1+변수!AK32),"")</f>
        <v/>
      </c>
      <c r="AL20" s="20">
        <f>IFERROR(AG20*(1+변수!AL32),"")</f>
        <v/>
      </c>
      <c r="AM20" s="20">
        <f>IFERROR(AH20*(1+변수!AM32),"")</f>
        <v/>
      </c>
      <c r="AN20" s="20">
        <f>IFERROR(AI20*(1+변수!AN32),"")</f>
        <v/>
      </c>
      <c r="AO20" s="35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5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5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5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IFERROR(AB23+AC16-변수!AC34,"")</f>
        <v/>
      </c>
      <c r="AD23" s="20">
        <f>IFERROR(AC23+AD16-변수!AD34,"")</f>
        <v/>
      </c>
      <c r="AE23" s="35">
        <f>AD23</f>
        <v/>
      </c>
      <c r="AF23" s="20">
        <f>IFERROR(AD23+AF16-변수!AF34,"")</f>
        <v/>
      </c>
      <c r="AG23" s="20">
        <f>IFERROR(AF23+AG16-변수!AG34,"")</f>
        <v/>
      </c>
      <c r="AH23" s="20">
        <f>IFERROR(AG23+AH16-변수!AH34,"")</f>
        <v/>
      </c>
      <c r="AI23" s="20">
        <f>IFERROR(AH23+AI16-변수!AI34,"")</f>
        <v/>
      </c>
      <c r="AJ23" s="35">
        <f>AI23</f>
        <v/>
      </c>
      <c r="AK23" s="20">
        <f>IFERROR(AI23+AK16-변수!AK34,"")</f>
        <v/>
      </c>
      <c r="AL23" s="20">
        <f>IFERROR(AK23+AL16-변수!AL34,"")</f>
        <v/>
      </c>
      <c r="AM23" s="20">
        <f>IFERROR(AL23+AM16-변수!AM34,"")</f>
        <v/>
      </c>
      <c r="AN23" s="20">
        <f>IFERROR(AM23+AN16-변수!AN34,"")</f>
        <v/>
      </c>
      <c r="AO23" s="35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IFERROR(AB24+AC17-변수!AC35,"")</f>
        <v/>
      </c>
      <c r="AD24" s="20">
        <f>IFERROR(AC24+AD17-변수!AD35,"")</f>
        <v/>
      </c>
      <c r="AE24" s="35">
        <f>AD24</f>
        <v/>
      </c>
      <c r="AF24" s="20">
        <f>IFERROR(AD24+AF17-변수!AF35,"")</f>
        <v/>
      </c>
      <c r="AG24" s="20">
        <f>IFERROR(AF24+AG17-변수!AG35,"")</f>
        <v/>
      </c>
      <c r="AH24" s="20">
        <f>IFERROR(AG24+AH17-변수!AH35,"")</f>
        <v/>
      </c>
      <c r="AI24" s="20">
        <f>IFERROR(AH24+AI17-변수!AI35,"")</f>
        <v/>
      </c>
      <c r="AJ24" s="35">
        <f>AI24</f>
        <v/>
      </c>
      <c r="AK24" s="20">
        <f>IFERROR(AI24+AK17-변수!AK35,"")</f>
        <v/>
      </c>
      <c r="AL24" s="20">
        <f>IFERROR(AK24+AL17-변수!AL35,"")</f>
        <v/>
      </c>
      <c r="AM24" s="20">
        <f>IFERROR(AL24+AM17-변수!AM35,"")</f>
        <v/>
      </c>
      <c r="AN24" s="20">
        <f>IFERROR(AM24+AN17-변수!AN35,"")</f>
        <v/>
      </c>
      <c r="AO24" s="35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 t="n"/>
      <c r="W25" s="18" t="n"/>
      <c r="X25" s="18" t="n"/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 t="n"/>
      <c r="W26" s="18" t="n"/>
      <c r="X26" s="18" t="n"/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5">
        <f>AD28</f>
        <v/>
      </c>
      <c r="AF28" s="20" t="n"/>
      <c r="AG28" s="20" t="n"/>
      <c r="AH28" s="20" t="n"/>
      <c r="AI28" s="20" t="n"/>
      <c r="AJ28" s="35">
        <f>AI28</f>
        <v/>
      </c>
      <c r="AK28" s="20" t="n"/>
      <c r="AL28" s="20" t="n"/>
      <c r="AM28" s="20" t="n"/>
      <c r="AN28" s="20" t="n"/>
      <c r="AO28" s="35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4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5">
        <f>SUM(AA29:AD29)</f>
        <v/>
      </c>
      <c r="AF29" s="20" t="n"/>
      <c r="AG29" s="20" t="n"/>
      <c r="AH29" s="20" t="n"/>
      <c r="AI29" s="20" t="n"/>
      <c r="AJ29" s="35">
        <f>SUM(AF29:AI29)</f>
        <v/>
      </c>
      <c r="AK29" s="20" t="n"/>
      <c r="AL29" s="20" t="n"/>
      <c r="AM29" s="20" t="n"/>
      <c r="AN29" s="20" t="n"/>
      <c r="AO29" s="35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영업활동현금흐름</t>
        </is>
      </c>
      <c r="E30" s="18" t="n">
        <v>22.55</v>
      </c>
      <c r="F30" s="34" t="n"/>
      <c r="G30" s="18" t="n">
        <v>-521.33</v>
      </c>
      <c r="H30" s="18" t="n">
        <v>472.19</v>
      </c>
      <c r="I30" s="18" t="n">
        <v>24.31</v>
      </c>
      <c r="J30" s="18" t="n">
        <v>-18.04</v>
      </c>
      <c r="K30" s="34">
        <f>SUM(G30:J30)</f>
        <v/>
      </c>
      <c r="L30" s="18" t="n">
        <v>-31.17</v>
      </c>
      <c r="M30" s="18" t="n">
        <v>-10.69</v>
      </c>
      <c r="N30" s="18" t="n">
        <v>108.09</v>
      </c>
      <c r="O30" s="18" t="n">
        <v>20.69</v>
      </c>
      <c r="P30" s="34">
        <f>SUM(L30:O30)</f>
        <v/>
      </c>
      <c r="Q30" s="18" t="n">
        <v>107.47</v>
      </c>
      <c r="R30" s="18" t="n">
        <v>27.01</v>
      </c>
      <c r="S30" s="18" t="n">
        <v>59.02</v>
      </c>
      <c r="T30" s="18" t="n">
        <v>-6.91</v>
      </c>
      <c r="U30" s="34">
        <f>SUM(Q30:T30)</f>
        <v/>
      </c>
      <c r="V30" s="18" t="n">
        <v>-19.22</v>
      </c>
      <c r="W30" s="18" t="n">
        <v>5.92</v>
      </c>
      <c r="X30" s="18" t="n">
        <v>39.54</v>
      </c>
      <c r="Y30" s="18" t="n">
        <v>25.18</v>
      </c>
      <c r="Z30" s="34">
        <f>SUM(V30:Y30)</f>
        <v/>
      </c>
      <c r="AA30" s="18" t="n">
        <v>-97.16</v>
      </c>
      <c r="AB30" s="19" t="n">
        <v>-108.67</v>
      </c>
      <c r="AC30" s="20" t="n"/>
      <c r="AD30" s="20" t="n"/>
      <c r="AE30" s="35">
        <f>SUM(AA30:AD30)</f>
        <v/>
      </c>
      <c r="AF30" s="20" t="n"/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9.180999999999999</v>
      </c>
      <c r="F31" s="27">
        <f>E31</f>
        <v/>
      </c>
      <c r="G31" s="26" t="n">
        <v>9.332000000000001</v>
      </c>
      <c r="H31" s="26" t="n">
        <v>9.332000000000001</v>
      </c>
      <c r="I31" s="26" t="n">
        <v>9.332000000000001</v>
      </c>
      <c r="J31" s="26" t="n">
        <v>9.332000000000001</v>
      </c>
      <c r="K31" s="27">
        <f>J31</f>
        <v/>
      </c>
      <c r="L31" s="26" t="n">
        <v>9.332000000000001</v>
      </c>
      <c r="M31" s="26" t="n">
        <v>9.332000000000001</v>
      </c>
      <c r="N31" s="26" t="n">
        <v>9.151999999999999</v>
      </c>
      <c r="O31" s="26" t="n">
        <v>9.067</v>
      </c>
      <c r="P31" s="27">
        <f>O31</f>
        <v/>
      </c>
      <c r="Q31" s="26" t="n">
        <v>9.067</v>
      </c>
      <c r="R31" s="26" t="n">
        <v>9.616</v>
      </c>
      <c r="S31" s="26" t="n">
        <v>9.616</v>
      </c>
      <c r="T31" s="26" t="n">
        <v>9.323</v>
      </c>
      <c r="U31" s="27">
        <f>T31</f>
        <v/>
      </c>
      <c r="V31" s="26" t="n">
        <v>9.273999999999999</v>
      </c>
      <c r="W31" s="26" t="n">
        <v>9.238</v>
      </c>
      <c r="X31" s="26" t="n">
        <v>9.233000000000001</v>
      </c>
      <c r="Y31" s="26" t="n">
        <v>9.233000000000001</v>
      </c>
      <c r="Z31" s="27">
        <f>Y31</f>
        <v/>
      </c>
      <c r="AA31" s="26" t="n">
        <v>9.176</v>
      </c>
      <c r="AB31" s="28" t="n">
        <v>45.695</v>
      </c>
      <c r="AC31" s="36">
        <f>IFERROR(AB31*(1+변수!AC42),"")</f>
        <v/>
      </c>
      <c r="AD31" s="36">
        <f>IFERROR(AC31*(1+변수!AD42),"")</f>
        <v/>
      </c>
      <c r="AE31" s="30">
        <f>AD31</f>
        <v/>
      </c>
      <c r="AF31" s="36">
        <f>IFERROR(AD31*(1+변수!AF42),"")</f>
        <v/>
      </c>
      <c r="AG31" s="36">
        <f>IFERROR(AF31*(1+변수!AG42),"")</f>
        <v/>
      </c>
      <c r="AH31" s="36">
        <f>IFERROR(AG31*(1+변수!AH42),"")</f>
        <v/>
      </c>
      <c r="AI31" s="36">
        <f>IFERROR(AH31*(1+변수!AI42),"")</f>
        <v/>
      </c>
      <c r="AJ31" s="30">
        <f>AI31</f>
        <v/>
      </c>
      <c r="AK31" s="36">
        <f>IFERROR(AI31*(1+변수!AK42),"")</f>
        <v/>
      </c>
      <c r="AL31" s="36">
        <f>IFERROR(AK31*(1+변수!AL42),"")</f>
        <v/>
      </c>
      <c r="AM31" s="36">
        <f>IFERROR(AL31*(1+변수!AM42),"")</f>
        <v/>
      </c>
      <c r="AN31" s="36">
        <f>IFERROR(AM31*(1+변수!AN42),"")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IFERROR(E17*100/E31,"")</f>
        <v/>
      </c>
      <c r="F32" s="34" t="n"/>
      <c r="G32" s="18">
        <f>IFERROR(G17*100/G31,"")</f>
        <v/>
      </c>
      <c r="H32" s="18">
        <f>IFERROR(H17*100/H31,"")</f>
        <v/>
      </c>
      <c r="I32" s="18">
        <f>IFERROR(I17*100/I31,"")</f>
        <v/>
      </c>
      <c r="J32" s="18">
        <f>IFERROR(J17*100/J31,"")</f>
        <v/>
      </c>
      <c r="K32" s="34">
        <f>SUM(G32:J32)</f>
        <v/>
      </c>
      <c r="L32" s="18">
        <f>IFERROR(L17*100/L31,"")</f>
        <v/>
      </c>
      <c r="M32" s="18">
        <f>IFERROR(M17*100/M31,"")</f>
        <v/>
      </c>
      <c r="N32" s="18">
        <f>IFERROR(N17*100/N31,"")</f>
        <v/>
      </c>
      <c r="O32" s="18">
        <f>IFERROR(O17*100/O31,"")</f>
        <v/>
      </c>
      <c r="P32" s="34">
        <f>SUM(L32:O32)</f>
        <v/>
      </c>
      <c r="Q32" s="18">
        <f>IFERROR(Q17*100/Q31,"")</f>
        <v/>
      </c>
      <c r="R32" s="18">
        <f>IFERROR(R17*100/R31,"")</f>
        <v/>
      </c>
      <c r="S32" s="18">
        <f>IFERROR(S17*100/S31,"")</f>
        <v/>
      </c>
      <c r="T32" s="18">
        <f>IFERROR(T17*100/T31,"")</f>
        <v/>
      </c>
      <c r="U32" s="34">
        <f>SUM(Q32:T32)</f>
        <v/>
      </c>
      <c r="V32" s="18">
        <f>IFERROR(V17*100/V31,"")</f>
        <v/>
      </c>
      <c r="W32" s="18">
        <f>IFERROR(W17*100/W31,"")</f>
        <v/>
      </c>
      <c r="X32" s="18">
        <f>IFERROR(X17*100/X31,"")</f>
        <v/>
      </c>
      <c r="Y32" s="18">
        <f>IFERROR(Y17*100/Y31,"")</f>
        <v/>
      </c>
      <c r="Z32" s="34">
        <f>SUM(V32:Y32)</f>
        <v/>
      </c>
      <c r="AA32" s="18">
        <f>IFERROR(AA17*100/AA31,"")</f>
        <v/>
      </c>
      <c r="AB32" s="19">
        <f>IFERROR(AB17*100/AB31,"")</f>
        <v/>
      </c>
      <c r="AC32" s="20">
        <f>IFERROR(AC17*100/AC31,"")</f>
        <v/>
      </c>
      <c r="AD32" s="20">
        <f>IFERROR(AD17*100/AD31,"")</f>
        <v/>
      </c>
      <c r="AE32" s="35">
        <f>SUM(AA32:AD32)</f>
        <v/>
      </c>
      <c r="AF32" s="20">
        <f>IFERROR(AF17*100/AF31,"")</f>
        <v/>
      </c>
      <c r="AG32" s="20">
        <f>IFERROR(AG17*100/AG31,"")</f>
        <v/>
      </c>
      <c r="AH32" s="20">
        <f>IFERROR(AH17*100/AH31,"")</f>
        <v/>
      </c>
      <c r="AI32" s="20">
        <f>IFERROR(AI17*100/AI31,"")</f>
        <v/>
      </c>
      <c r="AJ32" s="35">
        <f>SUM(AF32:AI32)</f>
        <v/>
      </c>
      <c r="AK32" s="20">
        <f>IFERROR(AK17*100/AK31,"")</f>
        <v/>
      </c>
      <c r="AL32" s="20">
        <f>IFERROR(AL17*100/AL31,"")</f>
        <v/>
      </c>
      <c r="AM32" s="20">
        <f>IFERROR(AM17*100/AM31,"")</f>
        <v/>
      </c>
      <c r="AN32" s="20">
        <f>IFERROR(AN17*100/AN31,"")</f>
        <v/>
      </c>
      <c r="AO32" s="35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4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4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4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4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4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5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5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5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4" t="n">
        <v>0</v>
      </c>
      <c r="G34" s="18" t="n"/>
      <c r="H34" s="18" t="n"/>
      <c r="I34" s="18" t="n"/>
      <c r="J34" s="18" t="n">
        <v>0</v>
      </c>
      <c r="K34" s="34">
        <f>SUM(G34:J34)</f>
        <v/>
      </c>
      <c r="L34" s="18" t="n"/>
      <c r="M34" s="18" t="n"/>
      <c r="N34" s="18" t="n"/>
      <c r="O34" s="18" t="n">
        <v>2250</v>
      </c>
      <c r="P34" s="34">
        <f>SUM(L34:O34)</f>
        <v/>
      </c>
      <c r="Q34" s="18" t="n"/>
      <c r="R34" s="18" t="n"/>
      <c r="S34" s="18" t="n"/>
      <c r="T34" s="18" t="n">
        <v>700</v>
      </c>
      <c r="U34" s="34">
        <f>SUM(Q34:T34)</f>
        <v/>
      </c>
      <c r="V34" s="18" t="n"/>
      <c r="W34" s="18" t="n"/>
      <c r="X34" s="18" t="n"/>
      <c r="Y34" s="18" t="n">
        <v>750</v>
      </c>
      <c r="Z34" s="34">
        <f>SUM(V34:Y34)</f>
        <v/>
      </c>
      <c r="AA34" s="18" t="n"/>
      <c r="AB34" s="19" t="n"/>
      <c r="AC34" s="20" t="n"/>
      <c r="AD34" s="20">
        <f>IFERROR(Y34*(1+변수!AD43),"")</f>
        <v/>
      </c>
      <c r="AE34" s="35">
        <f>SUM(AA34:AD34)</f>
        <v/>
      </c>
      <c r="AF34" s="20" t="n"/>
      <c r="AG34" s="20" t="n"/>
      <c r="AH34" s="20" t="n"/>
      <c r="AI34" s="20">
        <f>IFERROR(AD34*(1+변수!AI43),"")</f>
        <v/>
      </c>
      <c r="AJ34" s="35">
        <f>SUM(AF34:AI34)</f>
        <v/>
      </c>
      <c r="AK34" s="20" t="n"/>
      <c r="AL34" s="20" t="n"/>
      <c r="AM34" s="20" t="n"/>
      <c r="AN34" s="20">
        <f>IFERROR(AI34*(1+변수!AN43),"")</f>
        <v/>
      </c>
      <c r="AO34" s="35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8" t="n"/>
      <c r="F35" s="34" t="n"/>
      <c r="G35" s="18" t="n"/>
      <c r="H35" s="18" t="n"/>
      <c r="I35" s="18" t="n"/>
      <c r="J35" s="18" t="n"/>
      <c r="K35" s="34">
        <f>SUM(G35:J35)</f>
        <v/>
      </c>
      <c r="L35" s="18" t="n"/>
      <c r="M35" s="18" t="n"/>
      <c r="N35" s="18" t="n"/>
      <c r="O35" s="18" t="n">
        <v>7.41</v>
      </c>
      <c r="P35" s="34">
        <f>SUM(L35:O35)</f>
        <v/>
      </c>
      <c r="Q35" s="18" t="n">
        <v>0.38</v>
      </c>
      <c r="R35" s="18" t="n">
        <v>0.52</v>
      </c>
      <c r="S35" s="18" t="n">
        <v>0.75</v>
      </c>
      <c r="T35" s="18" t="n">
        <v>1.16</v>
      </c>
      <c r="U35" s="34">
        <f>SUM(Q35:T35)</f>
        <v/>
      </c>
      <c r="V35" s="18" t="n"/>
      <c r="W35" s="18" t="n">
        <v>4.44</v>
      </c>
      <c r="X35" s="18" t="n">
        <v>8.300000000000001</v>
      </c>
      <c r="Y35" s="18" t="n">
        <v>3.74</v>
      </c>
      <c r="Z35" s="34">
        <f>SUM(V35:Y35)</f>
        <v/>
      </c>
      <c r="AA35" s="18" t="n">
        <v>2.45</v>
      </c>
      <c r="AB35" s="19" t="n">
        <v>5.5</v>
      </c>
      <c r="AC35" s="20">
        <f>IFERROR(X35*(1+변수!AC44),"")</f>
        <v/>
      </c>
      <c r="AD35" s="20">
        <f>IFERROR(Y35*(1+변수!AD44),"")</f>
        <v/>
      </c>
      <c r="AE35" s="35">
        <f>SUM(AA35:AD35)</f>
        <v/>
      </c>
      <c r="AF35" s="20">
        <f>IFERROR(AA35*(1+변수!AF44),"")</f>
        <v/>
      </c>
      <c r="AG35" s="20">
        <f>IFERROR(AB35*(1+변수!AG44),"")</f>
        <v/>
      </c>
      <c r="AH35" s="20">
        <f>IFERROR(AC35*(1+변수!AH44),"")</f>
        <v/>
      </c>
      <c r="AI35" s="20">
        <f>IFERROR(AD35*(1+변수!AI44),"")</f>
        <v/>
      </c>
      <c r="AJ35" s="35">
        <f>SUM(AF35:AI35)</f>
        <v/>
      </c>
      <c r="AK35" s="20">
        <f>IFERROR(AF35*(1+변수!AK44),"")</f>
        <v/>
      </c>
      <c r="AL35" s="20">
        <f>IFERROR(AG35*(1+변수!AL44),"")</f>
        <v/>
      </c>
      <c r="AM35" s="20">
        <f>IFERROR(AH35*(1+변수!AM44),"")</f>
        <v/>
      </c>
      <c r="AN35" s="20">
        <f>IFERROR(AI35*(1+변수!AN44),"")</f>
        <v/>
      </c>
      <c r="AO35" s="35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8" t="n">
        <v>0.11</v>
      </c>
      <c r="F36" s="34" t="n">
        <v>0.13</v>
      </c>
      <c r="G36" s="18" t="n">
        <v>0.15</v>
      </c>
      <c r="H36" s="18" t="n">
        <v>0.17</v>
      </c>
      <c r="I36" s="18" t="n">
        <v>0.16</v>
      </c>
      <c r="J36" s="18" t="n">
        <v>0.14</v>
      </c>
      <c r="K36" s="34">
        <f>SUM(G36:J36)</f>
        <v/>
      </c>
      <c r="L36" s="18" t="n">
        <v>0.13</v>
      </c>
      <c r="M36" s="18" t="n">
        <v>0.12</v>
      </c>
      <c r="N36" s="18" t="n">
        <v>0.13</v>
      </c>
      <c r="O36" s="18" t="n">
        <v>0.12</v>
      </c>
      <c r="P36" s="34">
        <f>SUM(L36:O36)</f>
        <v/>
      </c>
      <c r="Q36" s="18" t="n">
        <v>0.1</v>
      </c>
      <c r="R36" s="18" t="n">
        <v>0.11</v>
      </c>
      <c r="S36" s="18" t="n">
        <v>0.17</v>
      </c>
      <c r="T36" s="18" t="n">
        <v>0.19</v>
      </c>
      <c r="U36" s="34">
        <f>SUM(Q36:T36)</f>
        <v/>
      </c>
      <c r="V36" s="18" t="n">
        <v>0.23</v>
      </c>
      <c r="W36" s="18" t="n">
        <v>0.23</v>
      </c>
      <c r="X36" s="18" t="n">
        <v>0.25</v>
      </c>
      <c r="Y36" s="18" t="n">
        <v>0.28</v>
      </c>
      <c r="Z36" s="34">
        <f>SUM(V36:Y36)</f>
        <v/>
      </c>
      <c r="AA36" s="18" t="n">
        <v>0.25</v>
      </c>
      <c r="AB36" s="19" t="n">
        <v>1.33</v>
      </c>
      <c r="AC36" s="20">
        <f>IFERROR(X36*(1+변수!AC45),"")</f>
        <v/>
      </c>
      <c r="AD36" s="20">
        <f>IFERROR(Y36*(1+변수!AD45),"")</f>
        <v/>
      </c>
      <c r="AE36" s="35">
        <f>SUM(AA36:AD36)</f>
        <v/>
      </c>
      <c r="AF36" s="20">
        <f>IFERROR(AA36*(1+변수!AF45),"")</f>
        <v/>
      </c>
      <c r="AG36" s="20">
        <f>IFERROR(AB36*(1+변수!AG45),"")</f>
        <v/>
      </c>
      <c r="AH36" s="20">
        <f>IFERROR(AC36*(1+변수!AH45),"")</f>
        <v/>
      </c>
      <c r="AI36" s="20">
        <f>IFERROR(AD36*(1+변수!AI45),"")</f>
        <v/>
      </c>
      <c r="AJ36" s="35">
        <f>SUM(AF36:AI36)</f>
        <v/>
      </c>
      <c r="AK36" s="20">
        <f>IFERROR(AF36*(1+변수!AK45),"")</f>
        <v/>
      </c>
      <c r="AL36" s="20">
        <f>IFERROR(AG36*(1+변수!AL45),"")</f>
        <v/>
      </c>
      <c r="AM36" s="20">
        <f>IFERROR(AH36*(1+변수!AM45),"")</f>
        <v/>
      </c>
      <c r="AN36" s="20">
        <f>IFERROR(AI36*(1+변수!AN45),"")</f>
        <v/>
      </c>
      <c r="AO36" s="35">
        <f>SUM(AK36:AN36)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361.4</v>
      </c>
      <c r="F37" s="34" t="n"/>
      <c r="G37" s="18" t="n">
        <v>396.52</v>
      </c>
      <c r="H37" s="18" t="n">
        <v>317.35</v>
      </c>
      <c r="I37" s="18" t="n">
        <v>355.61</v>
      </c>
      <c r="J37" s="18" t="n">
        <v>414.43</v>
      </c>
      <c r="K37" s="34">
        <f>SUM(G37:J37)</f>
        <v/>
      </c>
      <c r="L37" s="18" t="n">
        <v>326.94</v>
      </c>
      <c r="M37" s="18" t="n">
        <v>323.09</v>
      </c>
      <c r="N37" s="18" t="n">
        <v>336.18</v>
      </c>
      <c r="O37" s="18" t="n">
        <v>53.3</v>
      </c>
      <c r="P37" s="34">
        <f>SUM(L37:O37)</f>
        <v/>
      </c>
      <c r="Q37" s="18" t="n">
        <v>217.69</v>
      </c>
      <c r="R37" s="18" t="n">
        <v>254.99</v>
      </c>
      <c r="S37" s="18" t="n">
        <v>205.68</v>
      </c>
      <c r="T37" s="18" t="n">
        <v>249.49</v>
      </c>
      <c r="U37" s="34">
        <f>SUM(Q37:T37)</f>
        <v/>
      </c>
      <c r="V37" s="18" t="n">
        <v>285.21</v>
      </c>
      <c r="W37" s="18" t="n">
        <v>251.62</v>
      </c>
      <c r="X37" s="18" t="n">
        <v>287.95</v>
      </c>
      <c r="Y37" s="18" t="n">
        <v>254.8</v>
      </c>
      <c r="Z37" s="34">
        <f>SUM(V37:Y37)</f>
        <v/>
      </c>
      <c r="AA37" s="18" t="n">
        <v>259.87</v>
      </c>
      <c r="AB37" s="19" t="n">
        <v>318.3</v>
      </c>
      <c r="AC37" s="20">
        <f>IFERROR(AC5*변수!AC46,"")</f>
        <v/>
      </c>
      <c r="AD37" s="20">
        <f>IFERROR(AD5*변수!AD46,"")</f>
        <v/>
      </c>
      <c r="AE37" s="35">
        <f>SUM(AA37:AD37)</f>
        <v/>
      </c>
      <c r="AF37" s="20">
        <f>IFERROR(AF5*변수!AF46,"")</f>
        <v/>
      </c>
      <c r="AG37" s="20">
        <f>IFERROR(AG5*변수!AG46,"")</f>
        <v/>
      </c>
      <c r="AH37" s="20">
        <f>IFERROR(AH5*변수!AH46,"")</f>
        <v/>
      </c>
      <c r="AI37" s="20">
        <f>IFERROR(AI5*변수!AI46,"")</f>
        <v/>
      </c>
      <c r="AJ37" s="35">
        <f>SUM(AF37:AI37)</f>
        <v/>
      </c>
      <c r="AK37" s="20">
        <f>IFERROR(AK5*변수!AK46,"")</f>
        <v/>
      </c>
      <c r="AL37" s="20">
        <f>IFERROR(AL5*변수!AL46,"")</f>
        <v/>
      </c>
      <c r="AM37" s="20">
        <f>IFERROR(AM5*변수!AM46,"")</f>
        <v/>
      </c>
      <c r="AN37" s="20">
        <f>IFERROR(AN5*변수!AN46,"")</f>
        <v/>
      </c>
      <c r="AO37" s="35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32.94</v>
      </c>
      <c r="F38" s="34" t="n"/>
      <c r="G38" s="18" t="n">
        <v>26.42</v>
      </c>
      <c r="H38" s="18" t="n">
        <v>24.16</v>
      </c>
      <c r="I38" s="18" t="n">
        <v>19.06</v>
      </c>
      <c r="J38" s="18" t="n">
        <v>29.21</v>
      </c>
      <c r="K38" s="34">
        <f>SUM(G38:J38)</f>
        <v/>
      </c>
      <c r="L38" s="18" t="n">
        <v>14.5</v>
      </c>
      <c r="M38" s="18" t="n">
        <v>17.67</v>
      </c>
      <c r="N38" s="18" t="n">
        <v>17.85</v>
      </c>
      <c r="O38" s="18" t="n">
        <v>-1.16</v>
      </c>
      <c r="P38" s="34">
        <f>SUM(L38:O38)</f>
        <v/>
      </c>
      <c r="Q38" s="18" t="n">
        <v>11.51</v>
      </c>
      <c r="R38" s="18" t="n">
        <v>45.62</v>
      </c>
      <c r="S38" s="18" t="n">
        <v>11.89</v>
      </c>
      <c r="T38" s="18" t="n">
        <v>33.59</v>
      </c>
      <c r="U38" s="34">
        <f>SUM(Q38:T38)</f>
        <v/>
      </c>
      <c r="V38" s="18" t="n">
        <v>26.59</v>
      </c>
      <c r="W38" s="18" t="n">
        <v>44.09</v>
      </c>
      <c r="X38" s="18" t="n">
        <v>48.65</v>
      </c>
      <c r="Y38" s="18" t="n">
        <v>36.01</v>
      </c>
      <c r="Z38" s="34">
        <f>SUM(V38:Y38)</f>
        <v/>
      </c>
      <c r="AA38" s="18" t="n">
        <v>41.62</v>
      </c>
      <c r="AB38" s="19" t="n">
        <v>51.34</v>
      </c>
      <c r="AC38" s="20">
        <f>IFERROR(AC37*변수!AC47,"")</f>
        <v/>
      </c>
      <c r="AD38" s="20">
        <f>IFERROR(AD37*변수!AD47,"")</f>
        <v/>
      </c>
      <c r="AE38" s="35">
        <f>SUM(AA38:AD38)</f>
        <v/>
      </c>
      <c r="AF38" s="20">
        <f>IFERROR(AF37*변수!AF47,"")</f>
        <v/>
      </c>
      <c r="AG38" s="20">
        <f>IFERROR(AG37*변수!AG47,"")</f>
        <v/>
      </c>
      <c r="AH38" s="20">
        <f>IFERROR(AH37*변수!AH47,"")</f>
        <v/>
      </c>
      <c r="AI38" s="20">
        <f>IFERROR(AI37*변수!AI47,"")</f>
        <v/>
      </c>
      <c r="AJ38" s="35">
        <f>SUM(AF38:AI38)</f>
        <v/>
      </c>
      <c r="AK38" s="20">
        <f>IFERROR(AK37*변수!AK47,"")</f>
        <v/>
      </c>
      <c r="AL38" s="20">
        <f>IFERROR(AL37*변수!AL47,"")</f>
        <v/>
      </c>
      <c r="AM38" s="20">
        <f>IFERROR(AM37*변수!AM47,"")</f>
        <v/>
      </c>
      <c r="AN38" s="20">
        <f>IFERROR(AN37*변수!AN47,"")</f>
        <v/>
      </c>
      <c r="AO38" s="35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OPM</t>
        </is>
      </c>
      <c r="C40" t="inlineStr">
        <is>
          <t>%</t>
        </is>
      </c>
      <c r="D40" t="inlineStr">
        <is>
          <t>영업이익 / 매출액</t>
        </is>
      </c>
      <c r="E40" s="21">
        <f>IFERROR(E9/E5,"")</f>
        <v/>
      </c>
      <c r="F40" s="22">
        <f>IFERROR(F9/F5,"")</f>
        <v/>
      </c>
      <c r="G40" s="21">
        <f>IFERROR(G9/G5,"")</f>
        <v/>
      </c>
      <c r="H40" s="21">
        <f>IFERROR(H9/H5,"")</f>
        <v/>
      </c>
      <c r="I40" s="21">
        <f>IFERROR(I9/I5,"")</f>
        <v/>
      </c>
      <c r="J40" s="21">
        <f>IFERROR(J9/J5,"")</f>
        <v/>
      </c>
      <c r="K40" s="22">
        <f>IFERROR(K9/K5,"")</f>
        <v/>
      </c>
      <c r="L40" s="21">
        <f>IFERROR(L9/L5,"")</f>
        <v/>
      </c>
      <c r="M40" s="21">
        <f>IFERROR(M9/M5,"")</f>
        <v/>
      </c>
      <c r="N40" s="21">
        <f>IFERROR(N9/N5,"")</f>
        <v/>
      </c>
      <c r="O40" s="21">
        <f>IFERROR(O9/O5,"")</f>
        <v/>
      </c>
      <c r="P40" s="22">
        <f>IFERROR(P9/P5,"")</f>
        <v/>
      </c>
      <c r="Q40" s="21">
        <f>IFERROR(Q9/Q5,"")</f>
        <v/>
      </c>
      <c r="R40" s="21">
        <f>IFERROR(R9/R5,"")</f>
        <v/>
      </c>
      <c r="S40" s="21">
        <f>IFERROR(S9/S5,"")</f>
        <v/>
      </c>
      <c r="T40" s="21">
        <f>IFERROR(T9/T5,"")</f>
        <v/>
      </c>
      <c r="U40" s="22">
        <f>IFERROR(U9/U5,"")</f>
        <v/>
      </c>
      <c r="V40" s="21">
        <f>IFERROR(V9/V5,"")</f>
        <v/>
      </c>
      <c r="W40" s="21">
        <f>IFERROR(W9/W5,"")</f>
        <v/>
      </c>
      <c r="X40" s="21">
        <f>IFERROR(X9/X5,"")</f>
        <v/>
      </c>
      <c r="Y40" s="21">
        <f>IFERROR(Y9/Y5,"")</f>
        <v/>
      </c>
      <c r="Z40" s="22">
        <f>IFERROR(Z9/Z5,"")</f>
        <v/>
      </c>
      <c r="AA40" s="21">
        <f>IFERROR(AA9/AA5,"")</f>
        <v/>
      </c>
      <c r="AB40" s="23">
        <f>IFERROR(AB9/AB5,"")</f>
        <v/>
      </c>
      <c r="AC40" s="31">
        <f>IFERROR(AC9/AC5,"")</f>
        <v/>
      </c>
      <c r="AD40" s="31">
        <f>IFERROR(AD9/AD5,"")</f>
        <v/>
      </c>
      <c r="AE40" s="25">
        <f>IFERROR(AE9/AE5,"")</f>
        <v/>
      </c>
      <c r="AF40" s="31">
        <f>IFERROR(AF9/AF5,"")</f>
        <v/>
      </c>
      <c r="AG40" s="31">
        <f>IFERROR(AG9/AG5,"")</f>
        <v/>
      </c>
      <c r="AH40" s="31">
        <f>IFERROR(AH9/AH5,"")</f>
        <v/>
      </c>
      <c r="AI40" s="31">
        <f>IFERROR(AI9/AI5,"")</f>
        <v/>
      </c>
      <c r="AJ40" s="25">
        <f>IFERROR(AJ9/AJ5,"")</f>
        <v/>
      </c>
      <c r="AK40" s="31">
        <f>IFERROR(AK9/AK5,"")</f>
        <v/>
      </c>
      <c r="AL40" s="31">
        <f>IFERROR(AL9/AL5,"")</f>
        <v/>
      </c>
      <c r="AM40" s="31">
        <f>IFERROR(AM9/AM5,"")</f>
        <v/>
      </c>
      <c r="AN40" s="31">
        <f>IFERROR(AN9/AN5,"")</f>
        <v/>
      </c>
      <c r="AO40" s="25">
        <f>IFERROR(AO9/AO5,"")</f>
        <v/>
      </c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IFERROR(E17/E5,"")</f>
        <v/>
      </c>
      <c r="F41" s="22">
        <f>IFERROR(F17/F5,"")</f>
        <v/>
      </c>
      <c r="G41" s="21">
        <f>IFERROR(G17/G5,"")</f>
        <v/>
      </c>
      <c r="H41" s="21">
        <f>IFERROR(H17/H5,"")</f>
        <v/>
      </c>
      <c r="I41" s="21">
        <f>IFERROR(I17/I5,"")</f>
        <v/>
      </c>
      <c r="J41" s="21">
        <f>IFERROR(J17/J5,"")</f>
        <v/>
      </c>
      <c r="K41" s="22">
        <f>IFERROR(K17/K5,"")</f>
        <v/>
      </c>
      <c r="L41" s="21">
        <f>IFERROR(L17/L5,"")</f>
        <v/>
      </c>
      <c r="M41" s="21">
        <f>IFERROR(M17/M5,"")</f>
        <v/>
      </c>
      <c r="N41" s="21">
        <f>IFERROR(N17/N5,"")</f>
        <v/>
      </c>
      <c r="O41" s="21">
        <f>IFERROR(O17/O5,"")</f>
        <v/>
      </c>
      <c r="P41" s="22">
        <f>IFERROR(P17/P5,"")</f>
        <v/>
      </c>
      <c r="Q41" s="21">
        <f>IFERROR(Q17/Q5,"")</f>
        <v/>
      </c>
      <c r="R41" s="21">
        <f>IFERROR(R17/R5,"")</f>
        <v/>
      </c>
      <c r="S41" s="21">
        <f>IFERROR(S17/S5,"")</f>
        <v/>
      </c>
      <c r="T41" s="21">
        <f>IFERROR(T17/T5,"")</f>
        <v/>
      </c>
      <c r="U41" s="22">
        <f>IFERROR(U17/U5,"")</f>
        <v/>
      </c>
      <c r="V41" s="21">
        <f>IFERROR(V17/V5,"")</f>
        <v/>
      </c>
      <c r="W41" s="21">
        <f>IFERROR(W17/W5,"")</f>
        <v/>
      </c>
      <c r="X41" s="21">
        <f>IFERROR(X17/X5,"")</f>
        <v/>
      </c>
      <c r="Y41" s="21">
        <f>IFERROR(Y17/Y5,"")</f>
        <v/>
      </c>
      <c r="Z41" s="22">
        <f>IFERROR(Z17/Z5,"")</f>
        <v/>
      </c>
      <c r="AA41" s="21">
        <f>IFERROR(AA17/AA5,"")</f>
        <v/>
      </c>
      <c r="AB41" s="23">
        <f>IFERROR(AB17/AB5,"")</f>
        <v/>
      </c>
      <c r="AC41" s="31">
        <f>IFERROR(AC17/AC5,"")</f>
        <v/>
      </c>
      <c r="AD41" s="31">
        <f>IFERROR(AD17/AD5,"")</f>
        <v/>
      </c>
      <c r="AE41" s="25">
        <f>IFERROR(AE17/AE5,"")</f>
        <v/>
      </c>
      <c r="AF41" s="31">
        <f>IFERROR(AF17/AF5,"")</f>
        <v/>
      </c>
      <c r="AG41" s="31">
        <f>IFERROR(AG17/AG5,"")</f>
        <v/>
      </c>
      <c r="AH41" s="31">
        <f>IFERROR(AH17/AH5,"")</f>
        <v/>
      </c>
      <c r="AI41" s="31">
        <f>IFERROR(AI17/AI5,"")</f>
        <v/>
      </c>
      <c r="AJ41" s="25">
        <f>IFERROR(AJ17/AJ5,"")</f>
        <v/>
      </c>
      <c r="AK41" s="31">
        <f>IFERROR(AK17/AK5,"")</f>
        <v/>
      </c>
      <c r="AL41" s="31">
        <f>IFERROR(AL17/AL5,"")</f>
        <v/>
      </c>
      <c r="AM41" s="31">
        <f>IFERROR(AM17/AM5,"")</f>
        <v/>
      </c>
      <c r="AN41" s="31">
        <f>IFERROR(AN17/AN5,"")</f>
        <v/>
      </c>
      <c r="AO41" s="25">
        <f>IFERROR(AO17/AO5,"")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1">
        <f>IFERROR(AC6/AC5,"")</f>
        <v/>
      </c>
      <c r="AD42" s="31">
        <f>IFERROR(AD6/AD5,"")</f>
        <v/>
      </c>
      <c r="AE42" s="25">
        <f>IFERROR(AE6/AE5,"")</f>
        <v/>
      </c>
      <c r="AF42" s="31">
        <f>IFERROR(AF6/AF5,"")</f>
        <v/>
      </c>
      <c r="AG42" s="31">
        <f>IFERROR(AG6/AG5,"")</f>
        <v/>
      </c>
      <c r="AH42" s="31">
        <f>IFERROR(AH6/AH5,"")</f>
        <v/>
      </c>
      <c r="AI42" s="31">
        <f>IFERROR(AI6/AI5,"")</f>
        <v/>
      </c>
      <c r="AJ42" s="25">
        <f>IFERROR(AJ6/AJ5,"")</f>
        <v/>
      </c>
      <c r="AK42" s="31">
        <f>IFERROR(AK6/AK5,"")</f>
        <v/>
      </c>
      <c r="AL42" s="31">
        <f>IFERROR(AL6/AL5,"")</f>
        <v/>
      </c>
      <c r="AM42" s="31">
        <f>IFERROR(AM6/AM5,"")</f>
        <v/>
      </c>
      <c r="AN42" s="31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1">
        <f>IFERROR(AC8/AC5,"")</f>
        <v/>
      </c>
      <c r="AD43" s="31">
        <f>IFERROR(AD8/AD5,"")</f>
        <v/>
      </c>
      <c r="AE43" s="25">
        <f>IFERROR(AE8/AE5,"")</f>
        <v/>
      </c>
      <c r="AF43" s="31">
        <f>IFERROR(AF8/AF5,"")</f>
        <v/>
      </c>
      <c r="AG43" s="31">
        <f>IFERROR(AG8/AG5,"")</f>
        <v/>
      </c>
      <c r="AH43" s="31">
        <f>IFERROR(AH8/AH5,"")</f>
        <v/>
      </c>
      <c r="AI43" s="31">
        <f>IFERROR(AI8/AI5,"")</f>
        <v/>
      </c>
      <c r="AJ43" s="25">
        <f>IFERROR(AJ8/AJ5,"")</f>
        <v/>
      </c>
      <c r="AK43" s="31">
        <f>IFERROR(AK8/AK5,"")</f>
        <v/>
      </c>
      <c r="AL43" s="31">
        <f>IFERROR(AL8/AL5,"")</f>
        <v/>
      </c>
      <c r="AM43" s="31">
        <f>IFERROR(AM8/AM5,"")</f>
        <v/>
      </c>
      <c r="AN43" s="31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변수!D50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3">
        <f>IFERROR(VLOOKUP($A31,subQ,MATCH(W$1,SUBQH,0),0),"")</f>
        <v/>
      </c>
      <c r="X31" s="36">
        <f>IFERROR(VLOOKUP($A31,subQ,MATCH(X$1,SUBQH,0),0),"")</f>
        <v/>
      </c>
      <c r="Y31" s="36">
        <f>IFERROR(VLOOKUP($A31,subQ,MATCH(Y$1,SUBQH,0),0),"")</f>
        <v/>
      </c>
      <c r="Z31" s="36">
        <f>IFERROR(VLOOKUP($A31,subQ,MATCH(Z$1,SUBQH,0),0),"")</f>
        <v/>
      </c>
      <c r="AA31" s="36">
        <f>IFERROR(VLOOKUP($A31,subQ,MATCH(AA$1,SUBQH,0),0),"")</f>
        <v/>
      </c>
      <c r="AB31" s="36">
        <f>IFERROR(VLOOKUP($A31,subQ,MATCH(AB$1,SUBQH,0),0),"")</f>
        <v/>
      </c>
      <c r="AC31" s="36">
        <f>IFERROR(VLOOKUP($A31,subQ,MATCH(AC$1,SUBQH,0),0),"")</f>
        <v/>
      </c>
      <c r="AD31" s="36">
        <f>IFERROR(VLOOKUP($A31,subQ,MATCH(AD$1,SUBQH,0),0),"")</f>
        <v/>
      </c>
      <c r="AE31" s="36">
        <f>IFERROR(VLOOKUP($A31,subQ,MATCH(AE$1,SUBQH,0),0),"")</f>
        <v/>
      </c>
      <c r="AF31" s="36">
        <f>IFERROR(VLOOKUP($A31,subQ,MATCH(AF$1,SUBQH,0),0),"")</f>
        <v/>
      </c>
      <c r="AG31" s="36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2">
        <f>IFERROR(VLOOKUP($A40,subQ,MATCH(W$1,SUBQH,0),0),"")</f>
        <v/>
      </c>
      <c r="X40" s="31">
        <f>IFERROR(VLOOKUP($A40,subQ,MATCH(X$1,SUBQH,0),0),"")</f>
        <v/>
      </c>
      <c r="Y40" s="31">
        <f>IFERROR(VLOOKUP($A40,subQ,MATCH(Y$1,SUBQH,0),0),"")</f>
        <v/>
      </c>
      <c r="Z40" s="31">
        <f>IFERROR(VLOOKUP($A40,subQ,MATCH(Z$1,SUBQH,0),0),"")</f>
        <v/>
      </c>
      <c r="AA40" s="31">
        <f>IFERROR(VLOOKUP($A40,subQ,MATCH(AA$1,SUBQH,0),0),"")</f>
        <v/>
      </c>
      <c r="AB40" s="31">
        <f>IFERROR(VLOOKUP($A40,subQ,MATCH(AB$1,SUBQH,0),0),"")</f>
        <v/>
      </c>
      <c r="AC40" s="31">
        <f>IFERROR(VLOOKUP($A40,subQ,MATCH(AC$1,SUBQH,0),0),"")</f>
        <v/>
      </c>
      <c r="AD40" s="31">
        <f>IFERROR(VLOOKUP($A40,subQ,MATCH(AD$1,SUBQH,0),0),"")</f>
        <v/>
      </c>
      <c r="AE40" s="31">
        <f>IFERROR(VLOOKUP($A40,subQ,MATCH(AE$1,SUBQH,0),0),"")</f>
        <v/>
      </c>
      <c r="AF40" s="31">
        <f>IFERROR(VLOOKUP($A40,subQ,MATCH(AF$1,SUBQH,0),0),"")</f>
        <v/>
      </c>
      <c r="AG40" s="31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2">
        <f>IFERROR(W5/S5-1,"")</f>
        <v/>
      </c>
      <c r="X41" s="31">
        <f>IFERROR(X5/T5-1,"")</f>
        <v/>
      </c>
      <c r="Y41" s="31">
        <f>IFERROR(Y5/U5-1,"")</f>
        <v/>
      </c>
      <c r="Z41" s="31">
        <f>IFERROR(Z5/V5-1,"")</f>
        <v/>
      </c>
      <c r="AA41" s="31">
        <f>IFERROR(AA5/W5-1,"")</f>
        <v/>
      </c>
      <c r="AB41" s="31">
        <f>IFERROR(AB5/X5-1,"")</f>
        <v/>
      </c>
      <c r="AC41" s="31">
        <f>IFERROR(AC5/Y5-1,"")</f>
        <v/>
      </c>
      <c r="AD41" s="31">
        <f>IFERROR(AD5/Z5-1,"")</f>
        <v/>
      </c>
      <c r="AE41" s="31">
        <f>IFERROR(AE5/AA5-1,"")</f>
        <v/>
      </c>
      <c r="AF41" s="31">
        <f>IFERROR(AF5/AB5-1,"")</f>
        <v/>
      </c>
      <c r="AG41" s="31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2">
        <f>IFERROR(W9/S9-1,"")</f>
        <v/>
      </c>
      <c r="X42" s="31">
        <f>IFERROR(X9/T9-1,"")</f>
        <v/>
      </c>
      <c r="Y42" s="31">
        <f>IFERROR(Y9/U9-1,"")</f>
        <v/>
      </c>
      <c r="Z42" s="31">
        <f>IFERROR(Z9/V9-1,"")</f>
        <v/>
      </c>
      <c r="AA42" s="31">
        <f>IFERROR(AA9/W9-1,"")</f>
        <v/>
      </c>
      <c r="AB42" s="31">
        <f>IFERROR(AB9/X9-1,"")</f>
        <v/>
      </c>
      <c r="AC42" s="31">
        <f>IFERROR(AC9/Y9-1,"")</f>
        <v/>
      </c>
      <c r="AD42" s="31">
        <f>IFERROR(AD9/Z9-1,"")</f>
        <v/>
      </c>
      <c r="AE42" s="31">
        <f>IFERROR(AE9/AA9-1,"")</f>
        <v/>
      </c>
      <c r="AF42" s="31">
        <f>IFERROR(AF9/AB9-1,"")</f>
        <v/>
      </c>
      <c r="AG42" s="31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IFERROR(I17/E17-1,"")</f>
        <v/>
      </c>
      <c r="J43" s="21">
        <f>IFERROR(J17/F17-1,"")</f>
        <v/>
      </c>
      <c r="K43" s="21">
        <f>IFERROR(K17/G17-1,"")</f>
        <v/>
      </c>
      <c r="L43" s="21">
        <f>IFERROR(L17/H17-1,"")</f>
        <v/>
      </c>
      <c r="M43" s="21">
        <f>IFERROR(M17/I17-1,"")</f>
        <v/>
      </c>
      <c r="N43" s="21">
        <f>IFERROR(N17/J17-1,"")</f>
        <v/>
      </c>
      <c r="O43" s="21">
        <f>IFERROR(O17/K17-1,"")</f>
        <v/>
      </c>
      <c r="P43" s="21">
        <f>IFERROR(P17/L17-1,"")</f>
        <v/>
      </c>
      <c r="Q43" s="21">
        <f>IFERROR(Q17/M17-1,"")</f>
        <v/>
      </c>
      <c r="R43" s="21">
        <f>IFERROR(R17/N17-1,"")</f>
        <v/>
      </c>
      <c r="S43" s="21">
        <f>IFERROR(S17/O17-1,"")</f>
        <v/>
      </c>
      <c r="T43" s="21">
        <f>IFERROR(T17/P17-1,"")</f>
        <v/>
      </c>
      <c r="U43" s="21">
        <f>IFERROR(U17/Q17-1,"")</f>
        <v/>
      </c>
      <c r="V43" s="21">
        <f>IFERROR(V17/R17-1,"")</f>
        <v/>
      </c>
      <c r="W43" s="42">
        <f>IFERROR(W17/S17-1,"")</f>
        <v/>
      </c>
      <c r="X43" s="31">
        <f>IFERROR(X17/T17-1,"")</f>
        <v/>
      </c>
      <c r="Y43" s="31">
        <f>IFERROR(Y17/U17-1,"")</f>
        <v/>
      </c>
      <c r="Z43" s="31">
        <f>IFERROR(Z17/V17-1,"")</f>
        <v/>
      </c>
      <c r="AA43" s="31">
        <f>IFERROR(AA17/W17-1,"")</f>
        <v/>
      </c>
      <c r="AB43" s="31">
        <f>IFERROR(AB17/X17-1,"")</f>
        <v/>
      </c>
      <c r="AC43" s="31">
        <f>IFERROR(AC17/Y17-1,"")</f>
        <v/>
      </c>
      <c r="AD43" s="31">
        <f>IFERROR(AD17/Z17-1,"")</f>
        <v/>
      </c>
      <c r="AE43" s="31">
        <f>IFERROR(AE17/AA17-1,"")</f>
        <v/>
      </c>
      <c r="AF43" s="31">
        <f>IFERROR(AF17/AB17-1,"")</f>
        <v/>
      </c>
      <c r="AG43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변수!D50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3">
        <f>IFERROR(VLOOKUP($A31,subQ,MATCH(I$1,SUBQH,0),0),"")</f>
        <v/>
      </c>
      <c r="J31" s="36">
        <f>IFERROR(VLOOKUP($A31,subQ,MATCH(J$1,SUBQH,0),0),"")</f>
        <v/>
      </c>
      <c r="K31" s="36">
        <f>IFERROR(VLOOKUP($A31,subQ,MATCH(K$1,SUBQH,0),0),"")</f>
        <v/>
      </c>
      <c r="L31" s="36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2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2">
        <f>IFERROR(I5/H5-1,"")</f>
        <v/>
      </c>
      <c r="J41" s="31">
        <f>IFERROR(J5/I5-1,"")</f>
        <v/>
      </c>
      <c r="K41" s="31">
        <f>IFERROR(K5/J5-1,"")</f>
        <v/>
      </c>
      <c r="L41" s="31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2">
        <f>IFERROR(I9/H9-1,"")</f>
        <v/>
      </c>
      <c r="J42" s="31">
        <f>IFERROR(J9/I9-1,"")</f>
        <v/>
      </c>
      <c r="K42" s="31">
        <f>IFERROR(K9/J9-1,"")</f>
        <v/>
      </c>
      <c r="L42" s="31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IFERROR(F17/E17-1,"")</f>
        <v/>
      </c>
      <c r="G43" s="21">
        <f>IFERROR(G17/F17-1,"")</f>
        <v/>
      </c>
      <c r="H43" s="21">
        <f>IFERROR(H17/G17-1,"")</f>
        <v/>
      </c>
      <c r="I43" s="42">
        <f>IFERROR(I17/H17-1,"")</f>
        <v/>
      </c>
      <c r="J43" s="31">
        <f>IFERROR(J17/I17-1,"")</f>
        <v/>
      </c>
      <c r="K43" s="31">
        <f>IFERROR(K17/J17-1,"")</f>
        <v/>
      </c>
      <c r="L43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변수!D50</f>
        <v/>
      </c>
    </row>
    <row r="2">
      <c r="B2" s="1" t="inlineStr">
        <is>
          <t>기준일</t>
        </is>
      </c>
      <c r="C2">
        <f>변수!D51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IFERROR(E7*변수!D56+F7*(1-변수!D56),"")</f>
        <v/>
      </c>
    </row>
    <row r="15">
      <c r="C15" t="inlineStr">
        <is>
          <t>적정가치 @PER_lo</t>
        </is>
      </c>
      <c r="D15" s="26">
        <f>변수!D53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676.2</v>
      </c>
    </row>
    <row r="30">
      <c r="C30" s="2" t="inlineStr">
        <is>
          <t>bps_latest</t>
        </is>
      </c>
      <c r="D30" t="n">
        <v>7776.4</v>
      </c>
    </row>
    <row r="31">
      <c r="C31" s="2" t="inlineStr">
        <is>
          <t>per_now</t>
        </is>
      </c>
      <c r="D31" t="n">
        <v>9.109999999999999</v>
      </c>
    </row>
    <row r="32">
      <c r="C32" s="2" t="inlineStr">
        <is>
          <t>pbr_now</t>
        </is>
      </c>
      <c r="D32" t="n">
        <v>0.79</v>
      </c>
    </row>
    <row r="33">
      <c r="C33" s="2" t="inlineStr">
        <is>
          <t>roe_fwd</t>
        </is>
      </c>
      <c r="D33" t="n">
        <v>0.08699999999999999</v>
      </c>
    </row>
    <row r="34">
      <c r="C34" s="2" t="inlineStr">
        <is>
          <t>fair_pbr</t>
        </is>
      </c>
      <c r="D34" t="n">
        <v>0.97</v>
      </c>
    </row>
    <row r="35">
      <c r="C35" s="2" t="inlineStr">
        <is>
          <t>fair_value_pbr</t>
        </is>
      </c>
      <c r="D35" t="n">
        <v>7500</v>
      </c>
    </row>
    <row r="36">
      <c r="C36" s="2" t="inlineStr">
        <is>
          <t>ev_ebitda</t>
        </is>
      </c>
      <c r="D36" t="n">
        <v>10.47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