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240370억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255541억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265726억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275679억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287258억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302650억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320867억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340383억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모델값 역산(implied): v / 매출액
매출액 × 판관비율 8.58%(최근 4분기 중위)</t>
      </text>
    </comment>
    <comment ref="AD22" authorId="0" shapeId="0">
      <text>
        <t>모델값 역산(implied): v / 매출액
매출액 × 판관비율 8.58%(최근 4분기 중위)</t>
      </text>
    </comment>
    <comment ref="AF22" authorId="0" shapeId="0">
      <text>
        <t>모델값 역산(implied): v / 매출액
매출액 × 판관비율 8.58%(최근 4분기 중위)</t>
      </text>
    </comment>
    <comment ref="AG22" authorId="0" shapeId="0">
      <text>
        <t>모델값 역산(implied): v / 매출액
매출액 × 판관비율 8.58%(최근 4분기 중위)</t>
      </text>
    </comment>
    <comment ref="AH22" authorId="0" shapeId="0">
      <text>
        <t>모델값 역산(implied): v / 매출액
매출액 × 판관비율 8.58%(최근 4분기 중위)</t>
      </text>
    </comment>
    <comment ref="AI22" authorId="0" shapeId="0">
      <text>
        <t>모델값 역산(implied): v / 매출액
매출액 × 판관비율 8.58%(최근 4분기 중위)</t>
      </text>
    </comment>
    <comment ref="AK22" authorId="0" shapeId="0">
      <text>
        <t>모델값 역산(implied): v / 매출액
매출액 × 판관비율 8.58%(최근 4분기 중위)</t>
      </text>
    </comment>
    <comment ref="AL22" authorId="0" shapeId="0">
      <text>
        <t>모델값 역산(implied): v / 매출액
매출액 × 판관비율 8.58%(최근 4분기 중위)</t>
      </text>
    </comment>
    <comment ref="AM22" authorId="0" shapeId="0">
      <text>
        <t>모델값 역산(implied): v / 매출액
매출액 × 판관비율 8.58%(최근 4분기 중위)</t>
      </text>
    </comment>
    <comment ref="AN22" authorId="0" shapeId="0">
      <text>
        <t>모델값 역산(implied): v / 매출액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v / 전년동기 − 1
최근 8분기 OPM 중위 15.1% 유지</t>
      </text>
    </comment>
    <comment ref="AD24" authorId="0" shapeId="0">
      <text>
        <t>모델값 역산(implied): v / 전년동기 − 1
최근 8분기 OPM 중위 15.1% 유지</t>
      </text>
    </comment>
    <comment ref="AF24" authorId="0" shapeId="0">
      <text>
        <t>모델값 역산(implied): v / 전년동기 − 1
최근 8분기 OPM 중위 15.1% 유지</t>
      </text>
    </comment>
    <comment ref="AG24" authorId="0" shapeId="0">
      <text>
        <t>모델값 역산(implied): v / 전년동기 − 1
최근 8분기 OPM 중위 15.1% 유지</t>
      </text>
    </comment>
    <comment ref="AH24" authorId="0" shapeId="0">
      <text>
        <t>모델값 역산(implied): v / 전년동기 − 1
최근 8분기 OPM 중위 15.1% 유지</t>
      </text>
    </comment>
    <comment ref="AI24" authorId="0" shapeId="0">
      <text>
        <t>모델값 역산(implied): v / 전년동기 − 1
최근 8분기 OPM 중위 15.1% 유지</t>
      </text>
    </comment>
    <comment ref="AK24" authorId="0" shapeId="0">
      <text>
        <t>모델값 역산(implied): v / 전년동기 − 1
최근 8분기 OPM 중위 15.1% 유지</t>
      </text>
    </comment>
    <comment ref="AL24" authorId="0" shapeId="0">
      <text>
        <t>모델값 역산(implied): v / 전년동기 − 1
최근 8분기 OPM 중위 15.1% 유지</t>
      </text>
    </comment>
    <comment ref="AM24" authorId="0" shapeId="0">
      <text>
        <t>모델값 역산(implied): v / 전년동기 − 1
최근 8분기 OPM 중위 15.1% 유지</t>
      </text>
    </comment>
    <comment ref="AN24" authorId="0" shapeId="0">
      <text>
        <t>모델값 역산(implied): v / 전년동기 − 1
최근 8분기 OPM 중위 15.1% 유지</t>
      </text>
    </comment>
    <comment ref="AC25" authorId="0" shapeId="0">
      <text>
        <t>모델값 역산(implied): 모델 v 그대로
이자손익 = 이자발생자산 176억 × 6.51% − 총차입금 466억 × 0.00% (연율, CF 실측) ÷ 4; 환·평가손익 0 가정</t>
      </text>
    </comment>
    <comment ref="AD25" authorId="0" shapeId="0">
      <text>
        <t>모델값 역산(implied): 모델 v 그대로
이자손익 = 이자발생자산 249억 × 6.51% − 총차입금 466억 × 0.00% (연율, CF 실측) ÷ 4; 환·평가손익 0 가정</t>
      </text>
    </comment>
    <comment ref="AF25" authorId="0" shapeId="0">
      <text>
        <t>모델값 역산(implied): 모델 v 그대로
이자손익 = 이자발생자산 313억 × 6.51% − 총차입금 466억 × 0.00% (연율, CF 실측) ÷ 4; 환·평가손익 0 가정</t>
      </text>
    </comment>
    <comment ref="AG25" authorId="0" shapeId="0">
      <text>
        <t>모델값 역산(implied): 모델 v 그대로
이자손익 = 이자발생자산 397억 × 6.51% − 총차입금 466억 × 0.00% (연율, CF 실측) ÷ 4; 환·평가손익 0 가정</t>
      </text>
    </comment>
    <comment ref="AH25" authorId="0" shapeId="0">
      <text>
        <t>모델값 역산(implied): 모델 v 그대로
이자손익 = 이자발생자산 143억 × 6.51% − 총차입금 466억 × 0.00% (연율, CF 실측) ÷ 4; 환·평가손익 0 가정</t>
      </text>
    </comment>
    <comment ref="AI25" authorId="0" shapeId="0">
      <text>
        <t>모델값 역산(implied): 모델 v 그대로
이자손익 = 이자발생자산 230억 × 6.51% − 총차입금 466억 × 0.00% (연율, CF 실측) ÷ 4; 환·평가손익 0 가정</t>
      </text>
    </comment>
    <comment ref="AK25" authorId="0" shapeId="0">
      <text>
        <t>모델값 역산(implied): 모델 v 그대로
이자손익 = 이자발생자산 302억 × 6.51% − 총차입금 466억 × 0.00% (연율, CF 실측) ÷ 4; 환·평가손익 0 가정</t>
      </text>
    </comment>
    <comment ref="AL25" authorId="0" shapeId="0">
      <text>
        <t>모델값 역산(implied): 모델 v 그대로
이자손익 = 이자발생자산 396억 × 6.51% − 총차입금 466억 × 0.00% (연율, CF 실측) ÷ 4; 환·평가손익 0 가정</t>
      </text>
    </comment>
    <comment ref="AM25" authorId="0" shapeId="0">
      <text>
        <t>모델값 역산(implied): 모델 v 그대로
이자손익 = 이자발생자산 152억 × 6.51% − 총차입금 466억 × 0.00% (연율, CF 실측) ÷ 4; 환·평가손익 0 가정</t>
      </text>
    </comment>
    <comment ref="AN25" authorId="0" shapeId="0">
      <text>
        <t>모델값 역산(implied): 모델 v 그대로
이자손익 = 이자발생자산 251억 × 6.51% − 총차입금 466억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21.9%(최근 12분기 유효세율 21.9% → 5~27% 클립)</t>
      </text>
    </comment>
    <comment ref="AD28" authorId="0" shapeId="0">
      <text>
        <t>모델값 역산(implied): v / 세전이익
max(세전, 0) × 세율 21.9%(최근 12분기 유효세율 21.9% → 5~27% 클립)</t>
      </text>
    </comment>
    <comment ref="AF28" authorId="0" shapeId="0">
      <text>
        <t>모델값 역산(implied): v / 세전이익
max(세전, 0) × 세율 21.9%(최근 12분기 유효세율 21.9% → 5~27% 클립)</t>
      </text>
    </comment>
    <comment ref="AG28" authorId="0" shapeId="0">
      <text>
        <t>모델값 역산(implied): v / 세전이익
max(세전, 0) × 세율 21.9%(최근 12분기 유효세율 21.9% → 5~27% 클립)</t>
      </text>
    </comment>
    <comment ref="AH28" authorId="0" shapeId="0">
      <text>
        <t>모델값 역산(implied): v / 세전이익
max(세전, 0) × 세율 21.9%(최근 12분기 유효세율 21.9% → 5~27% 클립)</t>
      </text>
    </comment>
    <comment ref="AI28" authorId="0" shapeId="0">
      <text>
        <t>모델값 역산(implied): v / 세전이익
max(세전, 0) × 세율 21.9%(최근 12분기 유효세율 21.9% → 5~27% 클립)</t>
      </text>
    </comment>
    <comment ref="AK28" authorId="0" shapeId="0">
      <text>
        <t>모델값 역산(implied): v / 세전이익
max(세전, 0) × 세율 21.9%(최근 12분기 유효세율 21.9% → 5~27% 클립)</t>
      </text>
    </comment>
    <comment ref="AL28" authorId="0" shapeId="0">
      <text>
        <t>모델값 역산(implied): v / 세전이익
max(세전, 0) × 세율 21.9%(최근 12분기 유효세율 21.9% → 5~27% 클립)</t>
      </text>
    </comment>
    <comment ref="AM28" authorId="0" shapeId="0">
      <text>
        <t>모델값 역산(implied): v / 세전이익
max(세전, 0) × 세율 21.9%(최근 12분기 유효세율 21.9% → 5~27% 클립)</t>
      </text>
    </comment>
    <comment ref="AN28" authorId="0" shapeId="0">
      <text>
        <t>모델값 역산(implied): v / 세전이익
max(세전, 0) × 세율 21.9%(최근 12분기 유효세율 21.9%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750원 유지</t>
      </text>
    </comment>
    <comment ref="AI43" authorId="0" shapeId="0">
      <text>
        <t>모델값 역산(implied): v / 전년동기 − 1
직전 결산 DPS 750원 유지</t>
      </text>
    </comment>
    <comment ref="AN43" authorId="0" shapeId="0">
      <text>
        <t>모델값 역산(implied): v / 전년동기 − 1
직전 결산 DPS 750원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240370억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255541억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265726억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275679억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287258억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302650억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320867억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340383억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15.1% 유지
[yoy]</t>
      </text>
    </comment>
    <comment ref="AD10" authorId="0" shapeId="0">
      <text>
        <t>추정: 최근 8분기 OPM 중위 15.1% 유지
[yoy]</t>
      </text>
    </comment>
    <comment ref="AF10" authorId="0" shapeId="0">
      <text>
        <t>추정: 최근 8분기 OPM 중위 15.1% 유지
[yoy]</t>
      </text>
    </comment>
    <comment ref="AG10" authorId="0" shapeId="0">
      <text>
        <t>추정: 최근 8분기 OPM 중위 15.1% 유지
[yoy]</t>
      </text>
    </comment>
    <comment ref="AH10" authorId="0" shapeId="0">
      <text>
        <t>추정: 최근 8분기 OPM 중위 15.1% 유지
[yoy]</t>
      </text>
    </comment>
    <comment ref="AI10" authorId="0" shapeId="0">
      <text>
        <t>추정: 최근 8분기 OPM 중위 15.1% 유지
[yoy]</t>
      </text>
    </comment>
    <comment ref="AK10" authorId="0" shapeId="0">
      <text>
        <t>추정: 최근 8분기 OPM 중위 15.1% 유지
[yoy]</t>
      </text>
    </comment>
    <comment ref="AL10" authorId="0" shapeId="0">
      <text>
        <t>추정: 최근 8분기 OPM 중위 15.1% 유지
[yoy]</t>
      </text>
    </comment>
    <comment ref="AM10" authorId="0" shapeId="0">
      <text>
        <t>추정: 최근 8분기 OPM 중위 15.1% 유지
[yoy]</t>
      </text>
    </comment>
    <comment ref="AN10" authorId="0" shapeId="0">
      <text>
        <t>추정: 최근 8분기 OPM 중위 15.1% 유지
[yoy]</t>
      </text>
    </comment>
    <comment ref="AC11" authorId="0" shapeId="0">
      <text>
        <t>추정: 이자손익 = 이자발생자산 176억 × 6.51% − 총차입금 466억 × 0.00% (연율, CF 실측) ÷ 4; 환·평가손익 0 가정
[abs]</t>
      </text>
    </comment>
    <comment ref="AD11" authorId="0" shapeId="0">
      <text>
        <t>추정: 이자손익 = 이자발생자산 249억 × 6.51% − 총차입금 466억 × 0.00% (연율, CF 실측) ÷ 4; 환·평가손익 0 가정
[abs]</t>
      </text>
    </comment>
    <comment ref="AF11" authorId="0" shapeId="0">
      <text>
        <t>추정: 이자손익 = 이자발생자산 313억 × 6.51% − 총차입금 466억 × 0.00% (연율, CF 실측) ÷ 4; 환·평가손익 0 가정
[abs]</t>
      </text>
    </comment>
    <comment ref="AG11" authorId="0" shapeId="0">
      <text>
        <t>추정: 이자손익 = 이자발생자산 397억 × 6.51% − 총차입금 466억 × 0.00% (연율, CF 실측) ÷ 4; 환·평가손익 0 가정
[abs]</t>
      </text>
    </comment>
    <comment ref="AH11" authorId="0" shapeId="0">
      <text>
        <t>추정: 이자손익 = 이자발생자산 143억 × 6.51% − 총차입금 466억 × 0.00% (연율, CF 실측) ÷ 4; 환·평가손익 0 가정
[abs]</t>
      </text>
    </comment>
    <comment ref="AI11" authorId="0" shapeId="0">
      <text>
        <t>추정: 이자손익 = 이자발생자산 230억 × 6.51% − 총차입금 466억 × 0.00% (연율, CF 실측) ÷ 4; 환·평가손익 0 가정
[abs]</t>
      </text>
    </comment>
    <comment ref="AK11" authorId="0" shapeId="0">
      <text>
        <t>추정: 이자손익 = 이자발생자산 302억 × 6.51% − 총차입금 466억 × 0.00% (연율, CF 실측) ÷ 4; 환·평가손익 0 가정
[abs]</t>
      </text>
    </comment>
    <comment ref="AL11" authorId="0" shapeId="0">
      <text>
        <t>추정: 이자손익 = 이자발생자산 396억 × 6.51% − 총차입금 466억 × 0.00% (연율, CF 실측) ÷ 4; 환·평가손익 0 가정
[abs]</t>
      </text>
    </comment>
    <comment ref="AM11" authorId="0" shapeId="0">
      <text>
        <t>추정: 이자손익 = 이자발생자산 152억 × 6.51% − 총차입금 466억 × 0.00% (연율, CF 실측) ÷ 4; 환·평가손익 0 가정
[abs]</t>
      </text>
    </comment>
    <comment ref="AN11" authorId="0" shapeId="0">
      <text>
        <t>추정: 이자손익 = 이자발생자산 251억 × 6.51% − 총차입금 466억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21.9%(최근 12분기 유효세율 21.9% → 5~27% 클립)
[ratio]</t>
      </text>
    </comment>
    <comment ref="AD15" authorId="0" shapeId="0">
      <text>
        <t>추정: max(세전, 0) × 세율 21.9%(최근 12분기 유효세율 21.9% → 5~27% 클립)
[ratio]</t>
      </text>
    </comment>
    <comment ref="AF15" authorId="0" shapeId="0">
      <text>
        <t>추정: max(세전, 0) × 세율 21.9%(최근 12분기 유효세율 21.9% → 5~27% 클립)
[ratio]</t>
      </text>
    </comment>
    <comment ref="AG15" authorId="0" shapeId="0">
      <text>
        <t>추정: max(세전, 0) × 세율 21.9%(최근 12분기 유효세율 21.9% → 5~27% 클립)
[ratio]</t>
      </text>
    </comment>
    <comment ref="AH15" authorId="0" shapeId="0">
      <text>
        <t>추정: max(세전, 0) × 세율 21.9%(최근 12분기 유효세율 21.9% → 5~27% 클립)
[ratio]</t>
      </text>
    </comment>
    <comment ref="AI15" authorId="0" shapeId="0">
      <text>
        <t>추정: max(세전, 0) × 세율 21.9%(최근 12분기 유효세율 21.9% → 5~27% 클립)
[ratio]</t>
      </text>
    </comment>
    <comment ref="AK15" authorId="0" shapeId="0">
      <text>
        <t>추정: max(세전, 0) × 세율 21.9%(최근 12분기 유효세율 21.9% → 5~27% 클립)
[ratio]</t>
      </text>
    </comment>
    <comment ref="AL15" authorId="0" shapeId="0">
      <text>
        <t>추정: max(세전, 0) × 세율 21.9%(최근 12분기 유효세율 21.9% → 5~27% 클립)
[ratio]</t>
      </text>
    </comment>
    <comment ref="AM15" authorId="0" shapeId="0">
      <text>
        <t>추정: max(세전, 0) × 세율 21.9%(최근 12분기 유효세율 21.9% → 5~27% 클립)
[ratio]</t>
      </text>
    </comment>
    <comment ref="AN15" authorId="0" shapeId="0">
      <text>
        <t>추정: max(세전, 0) × 세율 21.9%(최근 12분기 유효세율 21.9%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750원 유지
[yoy]</t>
      </text>
    </comment>
    <comment ref="AI34" authorId="0" shapeId="0">
      <text>
        <t>추정: 직전 결산 DPS 750원 유지
[yoy]</t>
      </text>
    </comment>
    <comment ref="AN34" authorId="0" shapeId="0">
      <text>
        <t>추정: 직전 결산 DPS 750원 유지
[yoy]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9280</v>
      </c>
      <c r="AB15" s="19" t="n">
        <v>7440</v>
      </c>
      <c r="AC15" s="20" t="n">
        <v>6210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19600</v>
      </c>
      <c r="AC16" s="20" t="n">
        <v>10100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6590</v>
      </c>
      <c r="AC17" s="20" t="n">
        <v>5480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9213.200000000001</v>
      </c>
      <c r="AB18" s="19" t="n">
        <v>10361.1</v>
      </c>
      <c r="AC18" s="20" t="n">
        <v>6785.6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</v>
      </c>
      <c r="AD21" s="24" t="n">
        <v>0.065639</v>
      </c>
      <c r="AE21" s="25" t="n"/>
      <c r="AF21" s="24" t="n">
        <v>0.680141</v>
      </c>
      <c r="AG21" s="24" t="n">
        <v>0.467929</v>
      </c>
      <c r="AH21" s="24" t="n">
        <v>0.350631</v>
      </c>
      <c r="AI21" s="24" t="n">
        <v>0.261113</v>
      </c>
      <c r="AJ21" s="25" t="n"/>
      <c r="AK21" s="24" t="n">
        <v>0.195048</v>
      </c>
      <c r="AL21" s="24" t="n">
        <v>0.184359</v>
      </c>
      <c r="AM21" s="24" t="n">
        <v>0.207506</v>
      </c>
      <c r="AN21" s="24" t="n">
        <v>0.234734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0.085842</v>
      </c>
      <c r="AD22" s="24" t="n">
        <v>0.08584700000000001</v>
      </c>
      <c r="AE22" s="25">
        <f>IFERROR(subQ!AE8/subQ!AE5,"")</f>
        <v/>
      </c>
      <c r="AF22" s="24" t="n">
        <v>0.085843</v>
      </c>
      <c r="AG22" s="24" t="n">
        <v>0.085845</v>
      </c>
      <c r="AH22" s="24" t="n">
        <v>0.085829</v>
      </c>
      <c r="AI22" s="24" t="n">
        <v>0.085828</v>
      </c>
      <c r="AJ22" s="25">
        <f>IFERROR(subQ!AJ8/subQ!AJ5,"")</f>
        <v/>
      </c>
      <c r="AK22" s="24" t="n">
        <v>0.085842</v>
      </c>
      <c r="AL22" s="24" t="n">
        <v>0.085836</v>
      </c>
      <c r="AM22" s="24" t="n">
        <v>0.085829</v>
      </c>
      <c r="AN22" s="24" t="n">
        <v>0.085831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0.150743</v>
      </c>
      <c r="AD23" s="24" t="n">
        <v>0.150738</v>
      </c>
      <c r="AE23" s="25">
        <f>IFERROR(subQ!AE9/subQ!AE5,"")</f>
        <v/>
      </c>
      <c r="AF23" s="24" t="n">
        <v>0.150752</v>
      </c>
      <c r="AG23" s="24" t="n">
        <v>0.150736</v>
      </c>
      <c r="AH23" s="24" t="n">
        <v>0.150736</v>
      </c>
      <c r="AI23" s="24" t="n">
        <v>0.150746</v>
      </c>
      <c r="AJ23" s="25">
        <f>IFERROR(subQ!AJ9/subQ!AJ5,"")</f>
        <v/>
      </c>
      <c r="AK23" s="24" t="n">
        <v>0.150737</v>
      </c>
      <c r="AL23" s="24" t="n">
        <v>0.150746</v>
      </c>
      <c r="AM23" s="24" t="n">
        <v>0.150737</v>
      </c>
      <c r="AN23" s="24" t="n">
        <v>0.150753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-0.108284</v>
      </c>
      <c r="AD24" s="24" t="n">
        <v>0.066525</v>
      </c>
      <c r="AE24" s="25" t="n"/>
      <c r="AF24" s="24" t="n">
        <v>-0.059301</v>
      </c>
      <c r="AG24" s="24" t="n">
        <v>-0.065716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2.87</v>
      </c>
      <c r="AD25" s="29" t="n">
        <v>4.05</v>
      </c>
      <c r="AE25" s="30">
        <f>subQ!AE11</f>
        <v/>
      </c>
      <c r="AF25" s="29" t="n">
        <v>5.09</v>
      </c>
      <c r="AG25" s="29" t="n">
        <v>6.46</v>
      </c>
      <c r="AH25" s="29" t="n">
        <v>2.32</v>
      </c>
      <c r="AI25" s="29" t="n">
        <v>3.74</v>
      </c>
      <c r="AJ25" s="30">
        <f>subQ!AJ11</f>
        <v/>
      </c>
      <c r="AK25" s="29" t="n">
        <v>4.91</v>
      </c>
      <c r="AL25" s="29" t="n">
        <v>6.44</v>
      </c>
      <c r="AM25" s="29" t="n">
        <v>2.47</v>
      </c>
      <c r="AN25" s="29" t="n">
        <v>4.08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36.67</v>
      </c>
      <c r="AD27" s="29" t="n">
        <v>36.67</v>
      </c>
      <c r="AE27" s="30">
        <f>subQ!AE13</f>
        <v/>
      </c>
      <c r="AF27" s="29" t="n">
        <v>36.67</v>
      </c>
      <c r="AG27" s="29" t="n">
        <v>36.67</v>
      </c>
      <c r="AH27" s="29" t="n">
        <v>36.67</v>
      </c>
      <c r="AI27" s="29" t="n">
        <v>36.67</v>
      </c>
      <c r="AJ27" s="30">
        <f>subQ!AJ13</f>
        <v/>
      </c>
      <c r="AK27" s="29" t="n">
        <v>36.67</v>
      </c>
      <c r="AL27" s="29" t="n">
        <v>36.67</v>
      </c>
      <c r="AM27" s="29" t="n">
        <v>36.67</v>
      </c>
      <c r="AN27" s="29" t="n">
        <v>36.67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0.219483</v>
      </c>
      <c r="AD28" s="24" t="n">
        <v>0.219446</v>
      </c>
      <c r="AE28" s="25">
        <f>IFERROR(subQ!AE15/subQ!AE14,"")</f>
        <v/>
      </c>
      <c r="AF28" s="24" t="n">
        <v>0.219465</v>
      </c>
      <c r="AG28" s="24" t="n">
        <v>0.219443</v>
      </c>
      <c r="AH28" s="24" t="n">
        <v>0.219405</v>
      </c>
      <c r="AI28" s="24" t="n">
        <v>0.219494</v>
      </c>
      <c r="AJ28" s="25">
        <f>IFERROR(subQ!AJ15/subQ!AJ14,"")</f>
        <v/>
      </c>
      <c r="AK28" s="24" t="n">
        <v>0.219395</v>
      </c>
      <c r="AL28" s="24" t="n">
        <v>0.219474</v>
      </c>
      <c r="AM28" s="24" t="n">
        <v>0.21941</v>
      </c>
      <c r="AN28" s="24" t="n">
        <v>0.219447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0.268787</v>
      </c>
      <c r="AI32" s="24" t="n">
        <v>0.186595</v>
      </c>
      <c r="AJ32" s="25" t="n"/>
      <c r="AK32" s="24" t="n">
        <v>0.156261</v>
      </c>
      <c r="AL32" s="24" t="n">
        <v>0.149556</v>
      </c>
      <c r="AM32" s="24" t="n">
        <v>0.169364</v>
      </c>
      <c r="AN32" s="24" t="n">
        <v>0.178141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0.0037</v>
      </c>
      <c r="AD34" s="29" t="n">
        <v>0</v>
      </c>
      <c r="AE34" s="30" t="n"/>
      <c r="AF34" s="29" t="n">
        <v>-0</v>
      </c>
      <c r="AG34" s="29" t="n">
        <v>342.7</v>
      </c>
      <c r="AH34" s="29" t="n">
        <v>0.01</v>
      </c>
      <c r="AI34" s="29" t="n">
        <v>0</v>
      </c>
      <c r="AJ34" s="30" t="n"/>
      <c r="AK34" s="29" t="n">
        <v>0</v>
      </c>
      <c r="AL34" s="29" t="n">
        <v>342.7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0.0037</v>
      </c>
      <c r="AD35" s="29" t="n">
        <v>0</v>
      </c>
      <c r="AE35" s="30" t="n"/>
      <c r="AF35" s="29" t="n">
        <v>-0</v>
      </c>
      <c r="AG35" s="29" t="n">
        <v>342.7</v>
      </c>
      <c r="AH35" s="29" t="n">
        <v>0.01</v>
      </c>
      <c r="AI35" s="29" t="n">
        <v>0</v>
      </c>
      <c r="AJ35" s="30" t="n"/>
      <c r="AK35" s="29" t="n">
        <v>0</v>
      </c>
      <c r="AL35" s="29" t="n">
        <v>342.7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-0.251208</v>
      </c>
      <c r="AD37" s="24" t="n">
        <v>-0.29357</v>
      </c>
      <c r="AE37" s="25" t="n"/>
      <c r="AF37" s="24" t="n">
        <v>-0.547464</v>
      </c>
      <c r="AG37" s="24" t="n">
        <v>3.660424</v>
      </c>
      <c r="AH37" s="24" t="n">
        <v>-0.269352</v>
      </c>
      <c r="AI37" s="24" t="n">
        <v>-0.303956</v>
      </c>
      <c r="AJ37" s="25" t="n"/>
      <c r="AK37" s="24" t="n">
        <v>-0.570482</v>
      </c>
      <c r="AL37" s="24" t="n">
        <v>3.452448</v>
      </c>
      <c r="AM37" s="24" t="n">
        <v>-0.314707</v>
      </c>
      <c r="AN37" s="24" t="n">
        <v>-0.378247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0.412836</v>
      </c>
      <c r="AD38" s="24" t="n">
        <v>0.255696</v>
      </c>
      <c r="AE38" s="25" t="n"/>
      <c r="AF38" s="24" t="n">
        <v>0.268258</v>
      </c>
      <c r="AG38" s="24" t="n">
        <v>-0.639991</v>
      </c>
      <c r="AH38" s="24" t="n">
        <v>0.609642</v>
      </c>
      <c r="AI38" s="24" t="n">
        <v>0.31228</v>
      </c>
      <c r="AJ38" s="25" t="n"/>
      <c r="AK38" s="24" t="n">
        <v>0.310875</v>
      </c>
      <c r="AL38" s="24" t="n">
        <v>-0.61644</v>
      </c>
      <c r="AM38" s="24" t="n">
        <v>0.6522829999999999</v>
      </c>
      <c r="AN38" s="24" t="n">
        <v>0.325159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-0.687952</v>
      </c>
      <c r="AD44" s="24" t="n">
        <v>0.323529</v>
      </c>
      <c r="AE44" s="25" t="n"/>
      <c r="AF44" s="24" t="n">
        <v>2.653061</v>
      </c>
      <c r="AG44" s="24" t="n">
        <v>0.654545</v>
      </c>
      <c r="AH44" s="24" t="n">
        <v>2.359073</v>
      </c>
      <c r="AI44" s="24" t="n">
        <v>0.715152</v>
      </c>
      <c r="AJ44" s="25" t="n"/>
      <c r="AK44" s="24" t="n">
        <v>-0.07933</v>
      </c>
      <c r="AL44" s="24" t="n">
        <v>-0.11978</v>
      </c>
      <c r="AM44" s="24" t="n">
        <v>-0.110345</v>
      </c>
      <c r="AN44" s="24" t="n">
        <v>-0.111896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2.12</v>
      </c>
      <c r="AD45" s="24" t="n">
        <v>1.714286</v>
      </c>
      <c r="AE45" s="25" t="n"/>
      <c r="AF45" s="24" t="n">
        <v>2</v>
      </c>
      <c r="AG45" s="24" t="n">
        <v>-0.398496</v>
      </c>
      <c r="AH45" s="24" t="n">
        <v>0</v>
      </c>
      <c r="AI45" s="24" t="n">
        <v>0.013158</v>
      </c>
      <c r="AJ45" s="25" t="n"/>
      <c r="AK45" s="24" t="n">
        <v>0</v>
      </c>
      <c r="AL45" s="24" t="n">
        <v>0</v>
      </c>
      <c r="AM45" s="24" t="n">
        <v>0</v>
      </c>
      <c r="AN45" s="24" t="n">
        <v>-0.012987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0.150743</v>
      </c>
      <c r="AD47" s="24" t="n">
        <v>0.150738</v>
      </c>
      <c r="AE47" s="25">
        <f>IFERROR(subQ!AE38/subQ!AE37,"")</f>
        <v/>
      </c>
      <c r="AF47" s="24" t="n">
        <v>0.150752</v>
      </c>
      <c r="AG47" s="24" t="n">
        <v>0.150736</v>
      </c>
      <c r="AH47" s="24" t="n">
        <v>0.150736</v>
      </c>
      <c r="AI47" s="24" t="n">
        <v>0.150746</v>
      </c>
      <c r="AJ47" s="25">
        <f>IFERROR(subQ!AJ38/subQ!AJ37,"")</f>
        <v/>
      </c>
      <c r="AK47" s="24" t="n">
        <v>0.150737</v>
      </c>
      <c r="AL47" s="24" t="n">
        <v>0.150746</v>
      </c>
      <c r="AM47" s="24" t="n">
        <v>0.150737</v>
      </c>
      <c r="AN47" s="24" t="n">
        <v>0.150753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6160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3.1배가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0.2194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0.0858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1.3404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4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4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4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4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4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4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4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4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4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4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4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4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4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4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4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4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4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4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4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4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4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4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4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4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4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4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4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4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4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4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4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4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4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4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4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4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4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4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4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4" t="n">
        <v>0</v>
      </c>
      <c r="H14" s="18" t="n">
        <v>1735.05</v>
      </c>
      <c r="I14" s="18" t="n">
        <v>1735.05</v>
      </c>
      <c r="J14" s="18" t="n">
        <v>1338.09</v>
      </c>
      <c r="K14" s="34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4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4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4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4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4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4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4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4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4" t="n">
        <v>2650.3</v>
      </c>
      <c r="L16" s="18" t="n">
        <v>2717.31</v>
      </c>
      <c r="M16" s="18" t="n">
        <v>2792.06</v>
      </c>
      <c r="N16" s="18" t="n">
        <v>2305.75</v>
      </c>
      <c r="O16" s="18" t="n">
        <v>1237.16</v>
      </c>
      <c r="P16" s="34" t="n">
        <v>1237.16</v>
      </c>
      <c r="Q16" s="18" t="n">
        <v>82334.00999999999</v>
      </c>
      <c r="R16" s="18" t="n">
        <v>130504.62</v>
      </c>
      <c r="S16" s="18" t="n">
        <v>112537.05</v>
      </c>
      <c r="T16" s="18" t="n">
        <v>153822.44</v>
      </c>
      <c r="U16" s="34" t="n">
        <v>153822.44</v>
      </c>
      <c r="V16" s="18" t="n">
        <v>64513.42</v>
      </c>
      <c r="W16" s="18" t="n">
        <v>85831.60000000001</v>
      </c>
      <c r="X16" s="18" t="n">
        <v>69266.96000000001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4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4" t="n">
        <v>2950.3</v>
      </c>
      <c r="L17" s="18" t="n">
        <v>2817.31</v>
      </c>
      <c r="M17" s="18" t="n">
        <v>2892.06</v>
      </c>
      <c r="N17" s="18" t="n">
        <v>2905.75</v>
      </c>
      <c r="O17" s="18" t="n">
        <v>1822.16</v>
      </c>
      <c r="P17" s="34" t="n">
        <v>1822.16</v>
      </c>
      <c r="Q17" s="18" t="n">
        <v>82919.00999999999</v>
      </c>
      <c r="R17" s="18" t="n">
        <v>130589.62</v>
      </c>
      <c r="S17" s="18" t="n">
        <v>112537.05</v>
      </c>
      <c r="T17" s="18" t="n">
        <v>153822.44</v>
      </c>
      <c r="U17" s="34" t="n">
        <v>153822.44</v>
      </c>
      <c r="V17" s="18" t="n">
        <v>64513.42</v>
      </c>
      <c r="W17" s="18" t="n">
        <v>85831.60000000001</v>
      </c>
      <c r="X17" s="18" t="n">
        <v>69266.96000000001</v>
      </c>
      <c r="Y17" s="18" t="n">
        <v>81858.88</v>
      </c>
      <c r="Z17" s="34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4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4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4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4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4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4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4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4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4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4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4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4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4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4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4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4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4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4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4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4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4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4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4" t="n">
        <v>96.53</v>
      </c>
      <c r="G23" s="18" t="n">
        <v>96.53</v>
      </c>
      <c r="J23" s="18" t="n">
        <v>0</v>
      </c>
      <c r="K23" s="34" t="n">
        <v>0</v>
      </c>
      <c r="O23" s="18" t="n">
        <v>2665.45</v>
      </c>
      <c r="P23" s="34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4" t="n">
        <v>0</v>
      </c>
      <c r="V23" s="18" t="n">
        <v>0</v>
      </c>
      <c r="W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4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4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4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4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4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4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4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4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4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4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4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4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4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4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4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4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4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4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4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4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4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4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4" t="n">
        <v>108680</v>
      </c>
      <c r="Q28" s="18" t="n">
        <v>103680</v>
      </c>
      <c r="R28" s="18" t="n">
        <v>109180</v>
      </c>
      <c r="U28" s="9" t="n"/>
      <c r="Y28" s="18" t="n">
        <v>46880</v>
      </c>
      <c r="Z28" s="34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4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4" t="n">
        <v>7924.78</v>
      </c>
      <c r="L29" s="18" t="n">
        <v>7082.23</v>
      </c>
      <c r="M29" s="18" t="n">
        <v>7248.98</v>
      </c>
      <c r="N29" s="18" t="n">
        <v>6354.04</v>
      </c>
      <c r="O29" s="18" t="n">
        <v>6540.95</v>
      </c>
      <c r="P29" s="34" t="n">
        <v>6540.95</v>
      </c>
      <c r="Q29" s="18" t="n">
        <v>6733.77</v>
      </c>
      <c r="R29" s="18" t="n">
        <v>0</v>
      </c>
      <c r="S29" s="18" t="n">
        <v>0</v>
      </c>
      <c r="T29" s="18" t="n">
        <v>0</v>
      </c>
      <c r="U29" s="34" t="n">
        <v>0</v>
      </c>
      <c r="Y29" s="18" t="n">
        <v>14500</v>
      </c>
      <c r="Z29" s="34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4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4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4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4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4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4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4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4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4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4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4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4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4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4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4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4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4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4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4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4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4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4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4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4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4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4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4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4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4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4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4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4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4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4" t="n">
        <v>0</v>
      </c>
      <c r="Q37" s="18" t="n">
        <v>0</v>
      </c>
      <c r="R37" s="18" t="n">
        <v>14000</v>
      </c>
      <c r="U37" s="9" t="n"/>
      <c r="Y37" s="18" t="n">
        <v>1300</v>
      </c>
      <c r="Z37" s="34" t="n">
        <v>1300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4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4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4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4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4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4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4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4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4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4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4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4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4" t="n">
        <v>0</v>
      </c>
      <c r="L41" s="18" t="n">
        <v>0</v>
      </c>
      <c r="O41" s="18" t="n">
        <v>45.92</v>
      </c>
      <c r="P41" s="34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188.87</v>
      </c>
      <c r="X41" s="18" t="n">
        <v>203.68</v>
      </c>
      <c r="Y41" s="18" t="n">
        <v>6.26</v>
      </c>
      <c r="Z41" s="34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4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4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4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4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4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4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4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4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4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4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4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4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4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4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4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4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4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4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4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4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4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4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4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4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4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4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4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4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4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4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4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4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4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4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4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4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4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4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4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4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4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4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4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4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4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4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4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4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4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4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4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4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4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4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4" t="n">
        <v>142882.96</v>
      </c>
      <c r="L53" s="18" t="n">
        <v>142328.01</v>
      </c>
      <c r="M53" s="18" t="n">
        <v>142497.46</v>
      </c>
      <c r="N53" s="18" t="n">
        <v>146044.08</v>
      </c>
      <c r="O53" s="18" t="n">
        <v>121761.9</v>
      </c>
      <c r="P53" s="34" t="n">
        <v>121761.9</v>
      </c>
      <c r="Q53" s="18" t="n">
        <v>117147.54</v>
      </c>
      <c r="R53" s="18" t="n">
        <v>123180</v>
      </c>
      <c r="S53" s="18" t="n">
        <v>0</v>
      </c>
      <c r="T53" s="18" t="n">
        <v>0</v>
      </c>
      <c r="U53" s="34" t="n">
        <v>0</v>
      </c>
      <c r="Y53" s="18" t="n">
        <v>62680</v>
      </c>
      <c r="Z53" s="34" t="n">
        <v>62680</v>
      </c>
      <c r="AA53" s="18" t="n">
        <v>61880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4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4" t="n">
        <v>112806.19</v>
      </c>
      <c r="L54" s="18" t="n">
        <v>116539.49</v>
      </c>
      <c r="M54" s="18" t="n">
        <v>119576.56</v>
      </c>
      <c r="N54" s="18" t="n">
        <v>104696.74</v>
      </c>
      <c r="O54" s="18" t="n">
        <v>86987.63</v>
      </c>
      <c r="P54" s="34" t="n">
        <v>86987.63</v>
      </c>
      <c r="Q54" s="18" t="n">
        <v>55622.97</v>
      </c>
      <c r="R54" s="18" t="n">
        <v>48101.33</v>
      </c>
      <c r="S54" s="18" t="n">
        <v>-65421.23</v>
      </c>
      <c r="T54" s="18" t="n">
        <v>-59410.38</v>
      </c>
      <c r="U54" s="34" t="n">
        <v>-59410.38</v>
      </c>
      <c r="Y54" s="18" t="n">
        <v>44492.62</v>
      </c>
      <c r="Z54" s="34" t="n">
        <v>44492.62</v>
      </c>
      <c r="AA54" s="18" t="n">
        <v>44057.04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4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4" t="n">
        <v>32727.07</v>
      </c>
      <c r="L55" s="18" t="n">
        <v>28505.83</v>
      </c>
      <c r="M55" s="18" t="n">
        <v>25712.96</v>
      </c>
      <c r="N55" s="18" t="n">
        <v>43653.09</v>
      </c>
      <c r="O55" s="18" t="n">
        <v>36011.43</v>
      </c>
      <c r="P55" s="34" t="n">
        <v>36011.43</v>
      </c>
      <c r="Q55" s="18" t="n">
        <v>143858.58</v>
      </c>
      <c r="R55" s="18" t="n">
        <v>205583.29</v>
      </c>
      <c r="S55" s="18" t="n">
        <v>177958.28</v>
      </c>
      <c r="T55" s="18" t="n">
        <v>213232.82</v>
      </c>
      <c r="U55" s="34" t="n">
        <v>213232.82</v>
      </c>
      <c r="V55" s="18" t="n">
        <v>230954.05</v>
      </c>
      <c r="W55" s="18" t="n">
        <v>219103.83</v>
      </c>
      <c r="X55" s="18" t="n">
        <v>258489.34</v>
      </c>
      <c r="Y55" s="18" t="n">
        <v>18187.38</v>
      </c>
      <c r="Z55" s="34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4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4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4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4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4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4" t="n">
        <v>25.7</v>
      </c>
      <c r="V57" s="18" t="n">
        <v>0.72</v>
      </c>
      <c r="W57" s="18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4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4" t="n">
        <v>6540.95</v>
      </c>
      <c r="Q58" s="18" t="n">
        <v>6733.77</v>
      </c>
      <c r="R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4" t="n">
        <v>108680</v>
      </c>
      <c r="Q59" s="18" t="n">
        <v>103680</v>
      </c>
      <c r="R59" s="18" t="n">
        <v>109180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기타유동자산</t>
        </is>
      </c>
      <c r="F60" s="9" t="n"/>
      <c r="K60" s="9" t="n"/>
      <c r="P60" s="9" t="n"/>
      <c r="U60" s="9" t="n"/>
      <c r="Y60" s="18" t="n">
        <v>287.25</v>
      </c>
      <c r="Z60" s="34" t="n">
        <v>287.25</v>
      </c>
      <c r="AA60" s="18" t="n">
        <v>354.34</v>
      </c>
      <c r="AB60" s="19" t="n">
        <v>620.16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매각예정비유동자산및처분자산</t>
        </is>
      </c>
      <c r="F61" s="9" t="n"/>
      <c r="K61" s="9" t="n"/>
      <c r="P61" s="9" t="n"/>
      <c r="U61" s="9" t="n"/>
      <c r="Y61" s="18" t="n">
        <v>0</v>
      </c>
      <c r="Z61" s="34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U62" s="9" t="n"/>
      <c r="Y62" s="18" t="n">
        <v>81858.88</v>
      </c>
      <c r="Z62" s="34" t="n">
        <v>81858.88</v>
      </c>
      <c r="AA62" s="18" t="n">
        <v>84418.67999999999</v>
      </c>
      <c r="AB62" s="19" t="n">
        <v>89193.42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사용권자산</t>
        </is>
      </c>
      <c r="F63" s="9" t="n"/>
      <c r="K63" s="9" t="n"/>
      <c r="P63" s="9" t="n"/>
      <c r="U63" s="9" t="n"/>
      <c r="Y63" s="18" t="n">
        <v>29.85</v>
      </c>
      <c r="Z63" s="34" t="n">
        <v>29.85</v>
      </c>
      <c r="AA63" s="18" t="n">
        <v>22.27</v>
      </c>
      <c r="AB63" s="19" t="n">
        <v>65.09999999999999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기타유동부채</t>
        </is>
      </c>
      <c r="F64" s="9" t="n"/>
      <c r="K64" s="9" t="n"/>
      <c r="P64" s="9" t="n"/>
      <c r="U64" s="9" t="n"/>
      <c r="Y64" s="18" t="n">
        <v>1494.23</v>
      </c>
      <c r="Z64" s="34" t="n">
        <v>1494.23</v>
      </c>
      <c r="AA64" s="18" t="n">
        <v>3148.77</v>
      </c>
      <c r="AB64" s="19" t="n">
        <v>4452.18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36139.56</v>
      </c>
      <c r="F65" s="9" t="n"/>
      <c r="G65" s="18" t="n">
        <v>39651.68</v>
      </c>
      <c r="H65" s="18" t="n">
        <v>31734.58</v>
      </c>
      <c r="I65" s="18" t="n">
        <v>35560.56</v>
      </c>
      <c r="J65" s="18" t="n">
        <v>41442.86</v>
      </c>
      <c r="K65" s="34" t="n">
        <v>148389.68</v>
      </c>
      <c r="L65" s="18" t="n">
        <v>32693.89</v>
      </c>
      <c r="M65" s="18" t="n">
        <v>32309.27</v>
      </c>
      <c r="N65" s="18" t="n">
        <v>33618.1</v>
      </c>
      <c r="O65" s="18" t="n">
        <v>5329.81</v>
      </c>
      <c r="P65" s="34" t="n">
        <v>103951.07</v>
      </c>
      <c r="Q65" s="18" t="n">
        <v>21768.5</v>
      </c>
      <c r="R65" s="18" t="n">
        <v>25498.5</v>
      </c>
      <c r="S65" s="18" t="n">
        <v>20568.31</v>
      </c>
      <c r="T65" s="18" t="n">
        <v>24948.7</v>
      </c>
      <c r="U65" s="34" t="n">
        <v>92784.00999999999</v>
      </c>
      <c r="V65" s="18" t="n">
        <v>28520.55</v>
      </c>
      <c r="W65" s="18" t="n">
        <v>25162.4</v>
      </c>
      <c r="X65" s="18" t="n">
        <v>28794.87</v>
      </c>
      <c r="Y65" s="18" t="n">
        <v>25480.48</v>
      </c>
      <c r="Z65" s="34" t="n">
        <v>107958.3</v>
      </c>
      <c r="AA65" s="18" t="n">
        <v>25986.51</v>
      </c>
      <c r="AB65" s="19" t="n">
        <v>31829.88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30667.84</v>
      </c>
      <c r="F66" s="9" t="n"/>
      <c r="G66" s="18" t="n">
        <v>34679.95</v>
      </c>
      <c r="H66" s="18" t="n">
        <v>27074.08</v>
      </c>
      <c r="I66" s="18" t="n">
        <v>30848.66</v>
      </c>
      <c r="J66" s="18" t="n">
        <v>36065.32</v>
      </c>
      <c r="K66" s="34" t="n">
        <v>128668.01</v>
      </c>
      <c r="L66" s="18" t="n">
        <v>28785.12</v>
      </c>
      <c r="M66" s="18" t="n">
        <v>28007.72</v>
      </c>
      <c r="N66" s="18" t="n">
        <v>28557.18</v>
      </c>
      <c r="O66" s="18" t="n">
        <v>5660.19</v>
      </c>
      <c r="P66" s="34" t="n">
        <v>91010.21000000001</v>
      </c>
      <c r="Q66" s="18" t="n">
        <v>18606.7</v>
      </c>
      <c r="R66" s="18" t="n">
        <v>18885.29</v>
      </c>
      <c r="S66" s="18" t="n">
        <v>16726.86</v>
      </c>
      <c r="T66" s="18" t="n">
        <v>19708.72</v>
      </c>
      <c r="U66" s="34" t="n">
        <v>73927.57000000001</v>
      </c>
      <c r="V66" s="18" t="n">
        <v>22987.82</v>
      </c>
      <c r="W66" s="18" t="n">
        <v>18780.55</v>
      </c>
      <c r="X66" s="18" t="n">
        <v>21228.63</v>
      </c>
      <c r="Y66" s="18" t="n">
        <v>19775.09</v>
      </c>
      <c r="Z66" s="34" t="n">
        <v>82772.09</v>
      </c>
      <c r="AA66" s="18" t="n">
        <v>19800.64</v>
      </c>
      <c r="AB66" s="19" t="n">
        <v>23860.94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5471.71</v>
      </c>
      <c r="F67" s="9" t="n"/>
      <c r="G67" s="18" t="n">
        <v>4971.73</v>
      </c>
      <c r="H67" s="18" t="n">
        <v>4660.5</v>
      </c>
      <c r="I67" s="18" t="n">
        <v>4711.9</v>
      </c>
      <c r="J67" s="18" t="n">
        <v>5377.54</v>
      </c>
      <c r="K67" s="34" t="n">
        <v>19721.67</v>
      </c>
      <c r="L67" s="18" t="n">
        <v>3908.77</v>
      </c>
      <c r="M67" s="18" t="n">
        <v>4301.55</v>
      </c>
      <c r="N67" s="18" t="n">
        <v>5060.92</v>
      </c>
      <c r="O67" s="18" t="n">
        <v>-330.37</v>
      </c>
      <c r="P67" s="34" t="n">
        <v>12940.87</v>
      </c>
      <c r="Q67" s="18" t="n">
        <v>3161.8</v>
      </c>
      <c r="R67" s="18" t="n">
        <v>6613.21</v>
      </c>
      <c r="S67" s="18" t="n">
        <v>3841.45</v>
      </c>
      <c r="T67" s="18" t="n">
        <v>5239.98</v>
      </c>
      <c r="U67" s="34" t="n">
        <v>18856.44</v>
      </c>
      <c r="V67" s="18" t="n">
        <v>5532.73</v>
      </c>
      <c r="W67" s="18" t="n">
        <v>6381.85</v>
      </c>
      <c r="X67" s="18" t="n">
        <v>7566.23</v>
      </c>
      <c r="Y67" s="18" t="n">
        <v>5705.39</v>
      </c>
      <c r="Z67" s="34" t="n">
        <v>25186.2</v>
      </c>
      <c r="AA67" s="18" t="n">
        <v>6185.87</v>
      </c>
      <c r="AB67" s="19" t="n">
        <v>7968.94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2177.63</v>
      </c>
      <c r="F68" s="9" t="n"/>
      <c r="G68" s="18" t="n">
        <v>2329.55</v>
      </c>
      <c r="H68" s="18" t="n">
        <v>2244.58</v>
      </c>
      <c r="I68" s="18" t="n">
        <v>2806.07</v>
      </c>
      <c r="J68" s="18" t="n">
        <v>2456.36</v>
      </c>
      <c r="K68" s="34" t="n">
        <v>9836.559999999999</v>
      </c>
      <c r="L68" s="18" t="n">
        <v>2458.72</v>
      </c>
      <c r="M68" s="18" t="n">
        <v>2534.67</v>
      </c>
      <c r="N68" s="18" t="n">
        <v>3276.13</v>
      </c>
      <c r="O68" s="18" t="n">
        <v>-214.57</v>
      </c>
      <c r="P68" s="34" t="n">
        <v>8054.95</v>
      </c>
      <c r="Q68" s="18" t="n">
        <v>2010.67</v>
      </c>
      <c r="R68" s="18" t="n">
        <v>2051.11</v>
      </c>
      <c r="S68" s="18" t="n">
        <v>2652.51</v>
      </c>
      <c r="T68" s="18" t="n">
        <v>1881.05</v>
      </c>
      <c r="U68" s="34" t="n">
        <v>8595.34</v>
      </c>
      <c r="V68" s="18" t="n">
        <v>2873.45</v>
      </c>
      <c r="W68" s="18" t="n">
        <v>1973.04</v>
      </c>
      <c r="X68" s="18" t="n">
        <v>2700.91</v>
      </c>
      <c r="Y68" s="18" t="n">
        <v>2104.51</v>
      </c>
      <c r="Z68" s="34" t="n">
        <v>9651.91</v>
      </c>
      <c r="AA68" s="18" t="n">
        <v>2023.58</v>
      </c>
      <c r="AB68" s="19" t="n">
        <v>2835.27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3294.09</v>
      </c>
      <c r="F69" s="9" t="n"/>
      <c r="G69" s="18" t="n">
        <v>2642.18</v>
      </c>
      <c r="H69" s="18" t="n">
        <v>2415.92</v>
      </c>
      <c r="I69" s="18" t="n">
        <v>1905.83</v>
      </c>
      <c r="J69" s="18" t="n">
        <v>2921.18</v>
      </c>
      <c r="K69" s="34" t="n">
        <v>9885.110000000001</v>
      </c>
      <c r="L69" s="18" t="n">
        <v>1450.06</v>
      </c>
      <c r="M69" s="18" t="n">
        <v>1766.87</v>
      </c>
      <c r="N69" s="18" t="n">
        <v>1784.8</v>
      </c>
      <c r="O69" s="18" t="n">
        <v>-115.8</v>
      </c>
      <c r="P69" s="34" t="n">
        <v>4885.93</v>
      </c>
      <c r="Q69" s="18" t="n">
        <v>1151.13</v>
      </c>
      <c r="R69" s="18" t="n">
        <v>4562.1</v>
      </c>
      <c r="S69" s="18" t="n">
        <v>1188.94</v>
      </c>
      <c r="T69" s="18" t="n">
        <v>3358.93</v>
      </c>
      <c r="U69" s="34" t="n">
        <v>10261.1</v>
      </c>
      <c r="V69" s="18" t="n">
        <v>2659.27</v>
      </c>
      <c r="W69" s="18" t="n">
        <v>4408.81</v>
      </c>
      <c r="X69" s="18" t="n">
        <v>4865.33</v>
      </c>
      <c r="Y69" s="18" t="n">
        <v>3600.88</v>
      </c>
      <c r="Z69" s="34" t="n">
        <v>15534.29</v>
      </c>
      <c r="AA69" s="18" t="n">
        <v>4162.29</v>
      </c>
      <c r="AB69" s="19" t="n">
        <v>5133.68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3361.37</v>
      </c>
      <c r="F70" s="9" t="n"/>
      <c r="G70" s="18" t="n">
        <v>324.46</v>
      </c>
      <c r="H70" s="18" t="n">
        <v>657.87</v>
      </c>
      <c r="I70" s="18" t="n">
        <v>871.13</v>
      </c>
      <c r="J70" s="18" t="n">
        <v>-47.51</v>
      </c>
      <c r="K70" s="34" t="n">
        <v>1805.95</v>
      </c>
      <c r="L70" s="18" t="n">
        <v>2394.01</v>
      </c>
      <c r="M70" s="18" t="n">
        <v>154.42</v>
      </c>
      <c r="N70" s="18" t="n">
        <v>937.9299999999999</v>
      </c>
      <c r="O70" s="18" t="n">
        <v>-345.52</v>
      </c>
      <c r="P70" s="34" t="n">
        <v>3140.84</v>
      </c>
      <c r="Q70" s="18" t="n">
        <v>75431.19</v>
      </c>
      <c r="R70" s="18" t="n">
        <v>-154.92</v>
      </c>
      <c r="S70" s="18" t="n">
        <v>8280.52</v>
      </c>
      <c r="T70" s="18" t="n">
        <v>3320.34</v>
      </c>
      <c r="U70" s="34" t="n">
        <v>86877.13</v>
      </c>
      <c r="V70" s="18" t="n">
        <v>309.24</v>
      </c>
      <c r="W70" s="18" t="n">
        <v>19873.58</v>
      </c>
      <c r="X70" s="18" t="n">
        <v>289</v>
      </c>
      <c r="Y70" s="18" t="n">
        <v>207.82</v>
      </c>
      <c r="Z70" s="34" t="n">
        <v>20679.64</v>
      </c>
      <c r="AA70" s="18" t="n">
        <v>322.19</v>
      </c>
      <c r="AB70" s="19" t="n">
        <v>404.18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292.94</v>
      </c>
      <c r="F71" s="9" t="n"/>
      <c r="G71" s="18" t="n">
        <v>1932.65</v>
      </c>
      <c r="H71" s="18" t="n">
        <v>10925.32</v>
      </c>
      <c r="I71" s="18" t="n">
        <v>70.95</v>
      </c>
      <c r="J71" s="18" t="n">
        <v>5006.54</v>
      </c>
      <c r="K71" s="34" t="n">
        <v>17935.46</v>
      </c>
      <c r="L71" s="18" t="n">
        <v>32.44</v>
      </c>
      <c r="M71" s="18" t="n">
        <v>8604.309999999999</v>
      </c>
      <c r="N71" s="18" t="n">
        <v>143.46</v>
      </c>
      <c r="O71" s="18" t="n">
        <v>-70.97</v>
      </c>
      <c r="P71" s="34" t="n">
        <v>8709.24</v>
      </c>
      <c r="Q71" s="18" t="n">
        <v>8881.42</v>
      </c>
      <c r="R71" s="18" t="n">
        <v>10273.34</v>
      </c>
      <c r="S71" s="18" t="n">
        <v>4632.2</v>
      </c>
      <c r="T71" s="18" t="n">
        <v>8196.360000000001</v>
      </c>
      <c r="U71" s="34" t="n">
        <v>31983.32</v>
      </c>
      <c r="V71" s="18" t="n">
        <v>4847.89</v>
      </c>
      <c r="W71" s="18" t="n">
        <v>4291.47</v>
      </c>
      <c r="X71" s="18" t="n">
        <v>7482.16</v>
      </c>
      <c r="Y71" s="18" t="n">
        <v>-16016.69</v>
      </c>
      <c r="Z71" s="34" t="n">
        <v>604.83</v>
      </c>
      <c r="AA71" s="18" t="n">
        <v>5.66</v>
      </c>
      <c r="AB71" s="19" t="n">
        <v>204.86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71.90000000000001</v>
      </c>
      <c r="F72" s="9" t="n"/>
      <c r="G72" s="18" t="n">
        <v>140.7</v>
      </c>
      <c r="H72" s="18" t="n">
        <v>1290.19</v>
      </c>
      <c r="I72" s="18" t="n">
        <v>166.13</v>
      </c>
      <c r="J72" s="18" t="n">
        <v>781.87</v>
      </c>
      <c r="K72" s="34" t="n">
        <v>2378.89</v>
      </c>
      <c r="L72" s="18" t="n">
        <v>241.2</v>
      </c>
      <c r="M72" s="18" t="n">
        <v>2331.66</v>
      </c>
      <c r="N72" s="18" t="n">
        <v>300.62</v>
      </c>
      <c r="O72" s="18" t="n">
        <v>427.78</v>
      </c>
      <c r="P72" s="34" t="n">
        <v>3301.26</v>
      </c>
      <c r="Q72" s="18" t="n">
        <v>497.95</v>
      </c>
      <c r="R72" s="18" t="n">
        <v>533.5700000000001</v>
      </c>
      <c r="S72" s="18" t="n">
        <v>717.55</v>
      </c>
      <c r="T72" s="18" t="n">
        <v>668.45</v>
      </c>
      <c r="U72" s="34" t="n">
        <v>2417.52</v>
      </c>
      <c r="V72" s="18" t="n">
        <v>1286.7</v>
      </c>
      <c r="W72" s="18" t="n">
        <v>1201.32</v>
      </c>
      <c r="X72" s="18" t="n">
        <v>1127.18</v>
      </c>
      <c r="Y72" s="18" t="n">
        <v>1406.57</v>
      </c>
      <c r="Z72" s="34" t="n">
        <v>5021.77</v>
      </c>
      <c r="AA72" s="18" t="n">
        <v>1247.97</v>
      </c>
      <c r="AB72" s="19" t="n">
        <v>1036.39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856.51</v>
      </c>
      <c r="F73" s="9" t="n"/>
      <c r="G73" s="18" t="n">
        <v>951.34</v>
      </c>
      <c r="H73" s="18" t="n">
        <v>1781.96</v>
      </c>
      <c r="I73" s="18" t="n">
        <v>1562.76</v>
      </c>
      <c r="J73" s="18" t="n">
        <v>2196.3</v>
      </c>
      <c r="K73" s="34" t="n">
        <v>6492.36</v>
      </c>
      <c r="L73" s="18" t="n">
        <v>1982.95</v>
      </c>
      <c r="M73" s="18" t="n">
        <v>2863.32</v>
      </c>
      <c r="N73" s="18" t="n">
        <v>1938.56</v>
      </c>
      <c r="O73" s="18" t="n">
        <v>1410.49</v>
      </c>
      <c r="P73" s="34" t="n">
        <v>8195.32</v>
      </c>
      <c r="Q73" s="18" t="n">
        <v>1746.13</v>
      </c>
      <c r="R73" s="18" t="n">
        <v>7388.14</v>
      </c>
      <c r="S73" s="18" t="n">
        <v>1244.52</v>
      </c>
      <c r="T73" s="18" t="n">
        <v>1195.47</v>
      </c>
      <c r="U73" s="34" t="n">
        <v>11574.26</v>
      </c>
      <c r="V73" s="18" t="n">
        <v>1038.7</v>
      </c>
      <c r="W73" s="18" t="n">
        <v>753.47</v>
      </c>
      <c r="X73" s="18" t="n">
        <v>686.5599999999999</v>
      </c>
      <c r="Y73" s="18" t="n">
        <v>579.5700000000001</v>
      </c>
      <c r="Z73" s="34" t="n">
        <v>3058.3</v>
      </c>
      <c r="AA73" s="18" t="n">
        <v>485.72</v>
      </c>
      <c r="AB73" s="19" t="n">
        <v>390.82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5577.92</v>
      </c>
      <c r="F74" s="9" t="n"/>
      <c r="G74" s="18" t="n">
        <v>223.34</v>
      </c>
      <c r="H74" s="18" t="n">
        <v>-8343.309999999999</v>
      </c>
      <c r="I74" s="18" t="n">
        <v>1309.38</v>
      </c>
      <c r="J74" s="18" t="n">
        <v>-3547.29</v>
      </c>
      <c r="K74" s="34" t="n">
        <v>-10357.88</v>
      </c>
      <c r="L74" s="18" t="n">
        <v>2069.88</v>
      </c>
      <c r="M74" s="18" t="n">
        <v>-7214.67</v>
      </c>
      <c r="N74" s="18" t="n">
        <v>941.3200000000001</v>
      </c>
      <c r="O74" s="18" t="n">
        <v>-1373.06</v>
      </c>
      <c r="P74" s="34" t="n">
        <v>-5576.53</v>
      </c>
      <c r="Q74" s="18" t="n">
        <v>66452.73</v>
      </c>
      <c r="R74" s="18" t="n">
        <v>-12720.73</v>
      </c>
      <c r="S74" s="18" t="n">
        <v>4310.29</v>
      </c>
      <c r="T74" s="18" t="n">
        <v>-2044.11</v>
      </c>
      <c r="U74" s="34" t="n">
        <v>55998.18</v>
      </c>
      <c r="V74" s="18" t="n">
        <v>-1631.39</v>
      </c>
      <c r="W74" s="18" t="n">
        <v>20438.76</v>
      </c>
      <c r="X74" s="18" t="n">
        <v>-1887.22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6202.19</v>
      </c>
      <c r="F75" s="9" t="n"/>
      <c r="G75" s="18" t="n">
        <v>424.04</v>
      </c>
      <c r="H75" s="18" t="n">
        <v>332.86</v>
      </c>
      <c r="I75" s="18" t="n">
        <v>88.04000000000001</v>
      </c>
      <c r="J75" s="18" t="n">
        <v>-431.78</v>
      </c>
      <c r="K75" s="34" t="n">
        <v>413.16</v>
      </c>
      <c r="L75" s="18" t="n">
        <v>50.92</v>
      </c>
      <c r="M75" s="18" t="n">
        <v>233.45</v>
      </c>
      <c r="N75" s="18" t="n">
        <v>-19.48</v>
      </c>
      <c r="O75" s="18" t="n">
        <v>-4939.91</v>
      </c>
      <c r="P75" s="34" t="n">
        <v>-4675.02</v>
      </c>
      <c r="Q75" s="18" t="n">
        <v>13409.7</v>
      </c>
      <c r="R75" s="18" t="n">
        <v>-479.16</v>
      </c>
      <c r="S75" s="18" t="n">
        <v>1251.39</v>
      </c>
      <c r="T75" s="18" t="n">
        <v>1793.07</v>
      </c>
      <c r="U75" s="34" t="n">
        <v>15975</v>
      </c>
      <c r="V75" s="18" t="n">
        <v>698.88</v>
      </c>
      <c r="W75" s="18" t="n">
        <v>1209.75</v>
      </c>
      <c r="X75" s="18" t="n">
        <v>1222.15</v>
      </c>
      <c r="Y75" s="18" t="n">
        <v>2511.15</v>
      </c>
      <c r="Z75" s="34" t="n">
        <v>5641.93</v>
      </c>
      <c r="AA75" s="18" t="n">
        <v>1018.7</v>
      </c>
      <c r="AB75" s="19" t="n">
        <v>1367.08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-624.26</v>
      </c>
      <c r="F76" s="9" t="n"/>
      <c r="G76" s="18" t="n">
        <v>-200.69</v>
      </c>
      <c r="H76" s="18" t="n">
        <v>-8676.16</v>
      </c>
      <c r="I76" s="18" t="n">
        <v>1221.34</v>
      </c>
      <c r="J76" s="18" t="n">
        <v>-3115.52</v>
      </c>
      <c r="K76" s="34" t="n">
        <v>-10771.03</v>
      </c>
      <c r="L76" s="18" t="n">
        <v>2018.96</v>
      </c>
      <c r="M76" s="18" t="n">
        <v>-7448.12</v>
      </c>
      <c r="N76" s="18" t="n">
        <v>960.8</v>
      </c>
      <c r="O76" s="18" t="n">
        <v>6963.49</v>
      </c>
      <c r="P76" s="34" t="n">
        <v>2495.13</v>
      </c>
      <c r="Q76" s="18" t="n">
        <v>53043.02</v>
      </c>
      <c r="R76" s="18" t="n">
        <v>-12241.57</v>
      </c>
      <c r="S76" s="18" t="n">
        <v>3058.9</v>
      </c>
      <c r="T76" s="18" t="n">
        <v>-3837.18</v>
      </c>
      <c r="U76" s="34" t="n">
        <v>40023.17</v>
      </c>
      <c r="V76" s="18" t="n">
        <v>-2330.27</v>
      </c>
      <c r="W76" s="18" t="n">
        <v>19229.01</v>
      </c>
      <c r="X76" s="18" t="n">
        <v>-3109.36</v>
      </c>
      <c r="Y76" s="18" t="n">
        <v>11777.42</v>
      </c>
      <c r="Z76" s="34" t="n">
        <v>25566.8</v>
      </c>
      <c r="AB76" s="19" t="n">
        <v>9386.219999999999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4863.36</v>
      </c>
      <c r="F77" s="9" t="n"/>
      <c r="G77" s="18" t="n">
        <v>-411.61</v>
      </c>
      <c r="H77" s="18" t="n">
        <v>-7883.39</v>
      </c>
      <c r="I77" s="18" t="n">
        <v>1466.63</v>
      </c>
      <c r="J77" s="18" t="n">
        <v>-1182.34</v>
      </c>
      <c r="K77" s="34" t="n">
        <v>-8010.71</v>
      </c>
      <c r="L77" s="18" t="n">
        <v>2103.42</v>
      </c>
      <c r="M77" s="18" t="n">
        <v>-7684.77</v>
      </c>
      <c r="N77" s="18" t="n">
        <v>1014.62</v>
      </c>
      <c r="O77" s="18" t="n">
        <v>5853.65</v>
      </c>
      <c r="P77" s="34" t="n">
        <v>1286.92</v>
      </c>
      <c r="Q77" s="18" t="n">
        <v>63694.08</v>
      </c>
      <c r="R77" s="18" t="n">
        <v>24476.59</v>
      </c>
      <c r="S77" s="18" t="n">
        <v>-10765.51</v>
      </c>
      <c r="T77" s="18" t="n">
        <v>27773.06</v>
      </c>
      <c r="U77" s="34" t="n">
        <v>105178.22</v>
      </c>
      <c r="V77" s="18" t="n">
        <v>22181.8</v>
      </c>
      <c r="W77" s="18" t="n">
        <v>35758.8</v>
      </c>
      <c r="X77" s="18" t="n">
        <v>35229.71</v>
      </c>
      <c r="Y77" s="18" t="n">
        <v>7235.96</v>
      </c>
      <c r="Z77" s="34" t="n">
        <v>100406.27</v>
      </c>
      <c r="AA77" s="18" t="n">
        <v>7327.49</v>
      </c>
      <c r="AB77" s="19" t="n">
        <v>16276.54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-624.26</v>
      </c>
      <c r="F78" s="9" t="n"/>
      <c r="G78" s="18" t="n">
        <v>-200.69</v>
      </c>
      <c r="H78" s="18" t="n">
        <v>-8676.16</v>
      </c>
      <c r="I78" s="18" t="n">
        <v>1221.34</v>
      </c>
      <c r="J78" s="18" t="n">
        <v>-3115.52</v>
      </c>
      <c r="K78" s="34" t="n">
        <v>-10771.03</v>
      </c>
      <c r="L78" s="18" t="n">
        <v>2018.96</v>
      </c>
      <c r="M78" s="18" t="n">
        <v>-7448.12</v>
      </c>
      <c r="N78" s="18" t="n">
        <v>960.8</v>
      </c>
      <c r="O78" s="18" t="n">
        <v>6963.49</v>
      </c>
      <c r="P78" s="34" t="n">
        <v>2495.13</v>
      </c>
      <c r="Q78" s="18" t="n">
        <v>53043.02</v>
      </c>
      <c r="R78" s="18" t="n">
        <v>-12241.57</v>
      </c>
      <c r="S78" s="18" t="n">
        <v>3058.9</v>
      </c>
      <c r="T78" s="18" t="n">
        <v>-3837.18</v>
      </c>
      <c r="U78" s="34" t="n">
        <v>40023.17</v>
      </c>
      <c r="V78" s="18" t="n">
        <v>-2330.27</v>
      </c>
      <c r="W78" s="18" t="n">
        <v>19229.01</v>
      </c>
      <c r="X78" s="18" t="n">
        <v>-3109.36</v>
      </c>
      <c r="Y78" s="18" t="n">
        <v>11777.42</v>
      </c>
      <c r="Z78" s="34" t="n">
        <v>25566.8</v>
      </c>
      <c r="AA78" s="18" t="n">
        <v>6782.16</v>
      </c>
      <c r="AB78" s="19" t="n">
        <v>9386.219999999999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-784.61</v>
      </c>
      <c r="F79" s="9" t="n"/>
      <c r="G79" s="18" t="n">
        <v>-810.64</v>
      </c>
      <c r="H79" s="18" t="n">
        <v>-491.77</v>
      </c>
      <c r="I79" s="18" t="n">
        <v>-1396.63</v>
      </c>
      <c r="J79" s="18" t="n">
        <v>-1414.43</v>
      </c>
      <c r="K79" s="34" t="n">
        <v>-4113.47</v>
      </c>
      <c r="L79" s="18" t="n">
        <v>-1741.75</v>
      </c>
      <c r="M79" s="18" t="n">
        <v>-531.66</v>
      </c>
      <c r="N79" s="18" t="n">
        <v>-1637.94</v>
      </c>
      <c r="O79" s="18" t="n">
        <v>-982.71</v>
      </c>
      <c r="P79" s="34" t="n">
        <v>-4894.06</v>
      </c>
      <c r="Q79" s="18" t="n">
        <v>-1248.18</v>
      </c>
      <c r="R79" s="18" t="n">
        <v>-6854.57</v>
      </c>
      <c r="S79" s="18" t="n">
        <v>-526.97</v>
      </c>
      <c r="T79" s="18" t="n">
        <v>-527.02</v>
      </c>
      <c r="U79" s="34" t="n">
        <v>-9156.74</v>
      </c>
      <c r="V79" s="18" t="n">
        <v>248</v>
      </c>
      <c r="W79" s="18" t="n">
        <v>447.85</v>
      </c>
      <c r="X79" s="18" t="n">
        <v>440.62</v>
      </c>
      <c r="Y79" s="18" t="n">
        <v>827</v>
      </c>
      <c r="Z79" s="34" t="n">
        <v>1963.47</v>
      </c>
      <c r="AA79" s="18" t="n">
        <v>762.25</v>
      </c>
      <c r="AB79" s="19" t="n">
        <v>645.5700000000001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3068.43</v>
      </c>
      <c r="F80" s="9" t="n"/>
      <c r="G80" s="18" t="n">
        <v>-1608.19</v>
      </c>
      <c r="H80" s="18" t="n">
        <v>-10267.45</v>
      </c>
      <c r="I80" s="18" t="n">
        <v>800.1799999999999</v>
      </c>
      <c r="J80" s="18" t="n">
        <v>-5054.05</v>
      </c>
      <c r="K80" s="34" t="n">
        <v>-16129.51</v>
      </c>
      <c r="L80" s="18" t="n">
        <v>2361.57</v>
      </c>
      <c r="M80" s="18" t="n">
        <v>-8449.889999999999</v>
      </c>
      <c r="N80" s="18" t="n">
        <v>794.47</v>
      </c>
      <c r="O80" s="18" t="n">
        <v>-274.55</v>
      </c>
      <c r="P80" s="34" t="n">
        <v>-5568.4</v>
      </c>
      <c r="Q80" s="18" t="n">
        <v>66549.77</v>
      </c>
      <c r="R80" s="18" t="n">
        <v>-10428.26</v>
      </c>
      <c r="S80" s="18" t="n">
        <v>3648.32</v>
      </c>
      <c r="T80" s="18" t="n">
        <v>-4876.02</v>
      </c>
      <c r="U80" s="34" t="n">
        <v>54893.81</v>
      </c>
      <c r="V80" s="18" t="n">
        <v>-4538.65</v>
      </c>
      <c r="W80" s="18" t="n">
        <v>15582.11</v>
      </c>
      <c r="X80" s="18" t="n">
        <v>-7193.16</v>
      </c>
      <c r="Y80" s="18" t="n">
        <v>16224.51</v>
      </c>
      <c r="Z80" s="34" t="n">
        <v>20074.81</v>
      </c>
      <c r="AA80" s="18" t="n">
        <v>316.53</v>
      </c>
      <c r="AB80" s="19" t="n">
        <v>199.32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-624.26</v>
      </c>
      <c r="F81" s="9" t="n"/>
      <c r="G81" s="18" t="n">
        <v>-200.69</v>
      </c>
      <c r="H81" s="18" t="n">
        <v>-8676.16</v>
      </c>
      <c r="I81" s="18" t="n">
        <v>1221.34</v>
      </c>
      <c r="J81" s="18" t="n">
        <v>-3115.52</v>
      </c>
      <c r="K81" s="34" t="n">
        <v>-10771.03</v>
      </c>
      <c r="L81" s="18" t="n">
        <v>2018.96</v>
      </c>
      <c r="M81" s="18" t="n">
        <v>-7448.12</v>
      </c>
      <c r="N81" s="18" t="n">
        <v>960.8</v>
      </c>
      <c r="O81" s="18" t="n">
        <v>3566.85</v>
      </c>
      <c r="P81" s="34" t="n">
        <v>-901.51</v>
      </c>
      <c r="Q81" s="18" t="n">
        <v>53043.02</v>
      </c>
      <c r="R81" s="18" t="n">
        <v>-12241.57</v>
      </c>
      <c r="S81" s="18" t="n">
        <v>3058.9</v>
      </c>
      <c r="T81" s="18" t="n">
        <v>-3837.18</v>
      </c>
      <c r="U81" s="34" t="n">
        <v>40023.17</v>
      </c>
      <c r="V81" s="18" t="n">
        <v>-2330.27</v>
      </c>
      <c r="W81" s="18" t="n">
        <v>19229.01</v>
      </c>
      <c r="X81" s="18" t="n">
        <v>-3109.36</v>
      </c>
      <c r="Y81" s="18" t="n">
        <v>11777.42</v>
      </c>
      <c r="Z81" s="34" t="n">
        <v>25566.8</v>
      </c>
      <c r="AA81" s="18" t="n">
        <v>6782.16</v>
      </c>
      <c r="AB81" s="19" t="n">
        <v>9386.219999999999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O82" s="18" t="n">
        <v>3396.63</v>
      </c>
      <c r="P82" s="9" t="n"/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(비지배주주지분)당기순이익</t>
        </is>
      </c>
      <c r="F83" s="9" t="n"/>
      <c r="K83" s="9" t="n"/>
      <c r="P83" s="9" t="n"/>
      <c r="R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A84" s="18" t="n">
        <v>2559.8</v>
      </c>
      <c r="AB84" s="19" t="n">
        <v>4774.74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이자수익</t>
        </is>
      </c>
      <c r="F85" s="9" t="n"/>
      <c r="K85" s="9" t="n"/>
      <c r="P85" s="9" t="n"/>
      <c r="U85" s="9" t="n"/>
      <c r="Z85" s="9" t="n"/>
      <c r="AB85" s="19" t="n">
        <v>1036.17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배당금수익</t>
        </is>
      </c>
      <c r="F86" s="9" t="n"/>
      <c r="K86" s="9" t="n"/>
      <c r="P86" s="9" t="n"/>
      <c r="U86" s="9" t="n"/>
      <c r="Z86" s="9" t="n"/>
      <c r="AB86" s="19" t="n">
        <v>0.22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K87" s="9" t="n"/>
      <c r="P87" s="9" t="n"/>
      <c r="U87" s="9" t="n"/>
      <c r="Z87" s="9" t="n"/>
      <c r="AB87" s="19" t="n">
        <v>390.82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U88" s="9" t="n"/>
      <c r="Z88" s="9" t="n"/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U89" s="9" t="n"/>
      <c r="Z89" s="9" t="n"/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이자손익</t>
        </is>
      </c>
      <c r="F90" s="9" t="n"/>
      <c r="K90" s="9" t="n"/>
      <c r="P90" s="9" t="n"/>
      <c r="U90" s="9" t="n"/>
      <c r="Z90" s="9" t="n"/>
      <c r="AB90" s="19" t="n">
        <v>645.35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2255.31</v>
      </c>
      <c r="F91" s="9" t="n"/>
      <c r="G91" s="18" t="n">
        <v>-52133.14</v>
      </c>
      <c r="H91" s="18" t="n">
        <v>47219.46</v>
      </c>
      <c r="I91" s="18" t="n">
        <v>2431.45</v>
      </c>
      <c r="J91" s="18" t="n">
        <v>-1803.73</v>
      </c>
      <c r="K91" s="34" t="n">
        <v>-4285.96</v>
      </c>
      <c r="L91" s="18" t="n">
        <v>-3117.39</v>
      </c>
      <c r="M91" s="18" t="n">
        <v>-1068.55</v>
      </c>
      <c r="N91" s="18" t="n">
        <v>10808.69</v>
      </c>
      <c r="O91" s="18" t="n">
        <v>2068.87</v>
      </c>
      <c r="P91" s="34" t="n">
        <v>8691.620000000001</v>
      </c>
      <c r="Q91" s="18" t="n">
        <v>10746.55</v>
      </c>
      <c r="R91" s="18" t="n">
        <v>2700.93</v>
      </c>
      <c r="S91" s="18" t="n">
        <v>5901.77</v>
      </c>
      <c r="T91" s="18" t="n">
        <v>-690.66</v>
      </c>
      <c r="U91" s="34" t="n">
        <v>18658.59</v>
      </c>
      <c r="V91" s="18" t="n">
        <v>-1921.71</v>
      </c>
      <c r="W91" s="18" t="n">
        <v>591.96</v>
      </c>
      <c r="X91" s="18" t="n">
        <v>3954.42</v>
      </c>
      <c r="Y91" s="18" t="n">
        <v>2518.15</v>
      </c>
      <c r="Z91" s="34" t="n">
        <v>5142.82</v>
      </c>
      <c r="AA91" s="18" t="n">
        <v>-9716.469999999999</v>
      </c>
      <c r="AB91" s="19" t="n">
        <v>-10867.47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1731.51</v>
      </c>
      <c r="F92" s="9" t="n"/>
      <c r="G92" s="18" t="n">
        <v>1673.07</v>
      </c>
      <c r="H92" s="18" t="n">
        <v>1663.08</v>
      </c>
      <c r="I92" s="18" t="n">
        <v>1617.21</v>
      </c>
      <c r="J92" s="18" t="n">
        <v>1653.98</v>
      </c>
      <c r="K92" s="34" t="n">
        <v>6607.34</v>
      </c>
      <c r="L92" s="18" t="n">
        <v>1522.9</v>
      </c>
      <c r="M92" s="18" t="n">
        <v>1686.86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9.68</v>
      </c>
      <c r="F93" s="9" t="n"/>
      <c r="G93" s="18" t="n">
        <v>10.03</v>
      </c>
      <c r="H93" s="18" t="n">
        <v>10.03</v>
      </c>
      <c r="I93" s="18" t="n">
        <v>4.93</v>
      </c>
      <c r="J93" s="18" t="n">
        <v>2.18</v>
      </c>
      <c r="K93" s="34" t="n">
        <v>27.17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G94" s="18" t="n">
        <v>-50701.94</v>
      </c>
      <c r="H94" s="18" t="n">
        <v>50708.39</v>
      </c>
      <c r="I94" s="18" t="n">
        <v>0</v>
      </c>
      <c r="J94" s="18" t="n">
        <v>0</v>
      </c>
      <c r="K94" s="34" t="n">
        <v>6.45</v>
      </c>
      <c r="N94" s="18" t="n">
        <v>0</v>
      </c>
      <c r="O94" s="18" t="n">
        <v>0</v>
      </c>
      <c r="P94" s="9" t="n"/>
      <c r="S94" s="18" t="n">
        <v>0.09</v>
      </c>
      <c r="T94" s="18" t="n">
        <v>0.09</v>
      </c>
      <c r="U94" s="9" t="n"/>
      <c r="X94" s="18" t="n">
        <v>0.11</v>
      </c>
      <c r="Y94" s="18" t="n">
        <v>0.11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26.51</v>
      </c>
      <c r="F95" s="9" t="n"/>
      <c r="G95" s="18" t="n">
        <v>-5765.74</v>
      </c>
      <c r="H95" s="18" t="n">
        <v>-6935.63</v>
      </c>
      <c r="I95" s="18" t="n">
        <v>-465.49</v>
      </c>
      <c r="J95" s="18" t="n">
        <v>-28.76</v>
      </c>
      <c r="K95" s="34" t="n">
        <v>-13195.62</v>
      </c>
      <c r="L95" s="18" t="n">
        <v>-503.93</v>
      </c>
      <c r="M95" s="18" t="n">
        <v>-532.01</v>
      </c>
      <c r="N95" s="18" t="n">
        <v>-238.34</v>
      </c>
      <c r="O95" s="18" t="n">
        <v>-507.45</v>
      </c>
      <c r="P95" s="34" t="n">
        <v>-1781.73</v>
      </c>
      <c r="Q95" s="18" t="n">
        <v>194.09</v>
      </c>
      <c r="R95" s="18" t="n">
        <v>227.11</v>
      </c>
      <c r="S95" s="18" t="n">
        <v>-130.28</v>
      </c>
      <c r="T95" s="18" t="n">
        <v>-87.73</v>
      </c>
      <c r="U95" s="34" t="n">
        <v>203.19</v>
      </c>
      <c r="V95" s="18" t="n">
        <v>-4969.31</v>
      </c>
      <c r="W95" s="18" t="n">
        <v>-5781.45</v>
      </c>
      <c r="X95" s="18" t="n">
        <v>-2670.21</v>
      </c>
      <c r="Y95" s="18" t="n">
        <v>-2451.87</v>
      </c>
      <c r="Z95" s="34" t="n">
        <v>-15872.84</v>
      </c>
      <c r="AA95" s="18" t="n">
        <v>-15750.1</v>
      </c>
      <c r="AB95" s="19" t="n">
        <v>-18964.15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8275.57</v>
      </c>
      <c r="F96" s="9" t="n"/>
      <c r="G96" s="18" t="n">
        <v>51253.13</v>
      </c>
      <c r="H96" s="18" t="n">
        <v>-45400.28</v>
      </c>
      <c r="I96" s="18" t="n">
        <v>-25627.81</v>
      </c>
      <c r="J96" s="18" t="n">
        <v>-5568.53</v>
      </c>
      <c r="K96" s="34" t="n">
        <v>-25343.49</v>
      </c>
      <c r="L96" s="18" t="n">
        <v>1953.38</v>
      </c>
      <c r="M96" s="18" t="n">
        <v>-970.95</v>
      </c>
      <c r="N96" s="18" t="n">
        <v>3076.65</v>
      </c>
      <c r="O96" s="18" t="n">
        <v>16493.94</v>
      </c>
      <c r="P96" s="34" t="n">
        <v>20553.02</v>
      </c>
      <c r="Q96" s="18" t="n">
        <v>10494.36</v>
      </c>
      <c r="R96" s="18" t="n">
        <v>-28735.1</v>
      </c>
      <c r="S96" s="18" t="n">
        <v>-1253.2</v>
      </c>
      <c r="T96" s="18" t="n">
        <v>4722.66</v>
      </c>
      <c r="U96" s="34" t="n">
        <v>-14771.28</v>
      </c>
      <c r="V96" s="18" t="n">
        <v>28602.1</v>
      </c>
      <c r="W96" s="18" t="n">
        <v>24914.97</v>
      </c>
      <c r="X96" s="18" t="n">
        <v>20132.92</v>
      </c>
      <c r="Y96" s="18" t="n">
        <v>6679.73</v>
      </c>
      <c r="Z96" s="34" t="n">
        <v>80329.72</v>
      </c>
      <c r="AA96" s="18" t="n">
        <v>12579.28</v>
      </c>
      <c r="AB96" s="19" t="n">
        <v>33171.11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E97" s="18" t="n">
        <v>0.82</v>
      </c>
      <c r="F97" s="9" t="n"/>
      <c r="G97" s="18" t="n">
        <v>26.55</v>
      </c>
      <c r="H97" s="18" t="n">
        <v>0</v>
      </c>
      <c r="I97" s="18" t="n">
        <v>0</v>
      </c>
      <c r="J97" s="18" t="n">
        <v>3.63</v>
      </c>
      <c r="K97" s="34" t="n">
        <v>30.18</v>
      </c>
      <c r="L97" s="18" t="n">
        <v>4.55</v>
      </c>
      <c r="M97" s="18" t="n">
        <v>0.8100000000000001</v>
      </c>
      <c r="N97" s="18" t="n">
        <v>215.26</v>
      </c>
      <c r="O97" s="18" t="n">
        <v>0</v>
      </c>
      <c r="P97" s="34" t="n">
        <v>220.62</v>
      </c>
      <c r="Q97" s="18" t="n">
        <v>89</v>
      </c>
      <c r="R97" s="18" t="n">
        <v>0</v>
      </c>
      <c r="S97" s="18" t="n">
        <v>1</v>
      </c>
      <c r="T97" s="18" t="n">
        <v>0</v>
      </c>
      <c r="U97" s="34" t="n">
        <v>90</v>
      </c>
      <c r="X97" s="18" t="n">
        <v>25</v>
      </c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E98" s="18" t="n">
        <v>1053.5</v>
      </c>
      <c r="F98" s="9" t="n"/>
      <c r="G98" s="18" t="n">
        <v>391.32</v>
      </c>
      <c r="H98" s="18" t="n">
        <v>349.23</v>
      </c>
      <c r="I98" s="18" t="n">
        <v>241.36</v>
      </c>
      <c r="J98" s="18" t="n">
        <v>973.54</v>
      </c>
      <c r="K98" s="34" t="n">
        <v>1955.45</v>
      </c>
      <c r="L98" s="18" t="n">
        <v>604.6</v>
      </c>
      <c r="M98" s="18" t="n">
        <v>493.25</v>
      </c>
      <c r="N98" s="18" t="n">
        <v>770.87</v>
      </c>
      <c r="O98" s="18" t="n">
        <v>664.28</v>
      </c>
      <c r="P98" s="34" t="n">
        <v>2533</v>
      </c>
      <c r="Q98" s="18" t="n">
        <v>434.15</v>
      </c>
      <c r="R98" s="18" t="n">
        <v>906.65</v>
      </c>
      <c r="S98" s="18" t="n">
        <v>961.54</v>
      </c>
      <c r="T98" s="18" t="n">
        <v>548.45</v>
      </c>
      <c r="U98" s="34" t="n">
        <v>2850.79</v>
      </c>
      <c r="V98" s="18" t="n">
        <v>1900.29</v>
      </c>
      <c r="W98" s="18" t="n">
        <v>1098.41</v>
      </c>
      <c r="X98" s="18" t="n">
        <v>904.42</v>
      </c>
      <c r="Y98" s="18" t="n">
        <v>2627.7</v>
      </c>
      <c r="Z98" s="34" t="n">
        <v>6530.82</v>
      </c>
      <c r="AA98" s="18" t="n">
        <v>329.53</v>
      </c>
      <c r="AB98" s="19" t="n">
        <v>286.8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E99" s="18" t="n">
        <v>1053.5</v>
      </c>
      <c r="F99" s="9" t="n"/>
      <c r="G99" s="18" t="n">
        <v>398.32</v>
      </c>
      <c r="H99" s="18" t="n">
        <v>349.23</v>
      </c>
      <c r="I99" s="18" t="n">
        <v>242.81</v>
      </c>
      <c r="J99" s="18" t="n">
        <v>974.1</v>
      </c>
      <c r="K99" s="34" t="n">
        <v>1964.46</v>
      </c>
      <c r="L99" s="18" t="n">
        <v>634.6</v>
      </c>
      <c r="M99" s="18" t="n">
        <v>493.25</v>
      </c>
      <c r="N99" s="18" t="n">
        <v>770.87</v>
      </c>
      <c r="O99" s="18" t="n">
        <v>664.28</v>
      </c>
      <c r="P99" s="34" t="n">
        <v>2563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4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4" t="n">
        <v>6530.82</v>
      </c>
      <c r="AA99" s="18" t="n">
        <v>329.53</v>
      </c>
      <c r="AB99" s="19" t="n">
        <v>694.8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866.83</v>
      </c>
      <c r="F100" s="9" t="n"/>
      <c r="G100" s="18" t="n">
        <v>-473.63</v>
      </c>
      <c r="H100" s="18" t="n">
        <v>16636.59</v>
      </c>
      <c r="I100" s="18" t="n">
        <v>-3154.16</v>
      </c>
      <c r="J100" s="18" t="n">
        <v>-8.039999999999999</v>
      </c>
      <c r="K100" s="34" t="n">
        <v>13000.76</v>
      </c>
      <c r="L100" s="18" t="n">
        <v>-865.17</v>
      </c>
      <c r="M100" s="18" t="n">
        <v>-184.24</v>
      </c>
      <c r="N100" s="18" t="n">
        <v>2136.46</v>
      </c>
      <c r="O100" s="18" t="n">
        <v>-12785.74</v>
      </c>
      <c r="P100" s="34" t="n">
        <v>-11698.69</v>
      </c>
      <c r="Q100" s="18" t="n">
        <v>-25435.26</v>
      </c>
      <c r="R100" s="18" t="n">
        <v>11873.43</v>
      </c>
      <c r="S100" s="18" t="n">
        <v>-1923.63</v>
      </c>
      <c r="T100" s="18" t="n">
        <v>-4828.82</v>
      </c>
      <c r="U100" s="34" t="n">
        <v>-20314.28</v>
      </c>
      <c r="V100" s="18" t="n">
        <v>-10442.3</v>
      </c>
      <c r="W100" s="18" t="n">
        <v>-33307.48</v>
      </c>
      <c r="X100" s="18" t="n">
        <v>-24774.31</v>
      </c>
      <c r="Y100" s="18" t="n">
        <v>-12007.03</v>
      </c>
      <c r="Z100" s="34" t="n">
        <v>-80531.12</v>
      </c>
      <c r="AA100" s="18" t="n">
        <v>-3296.81</v>
      </c>
      <c r="AB100" s="19" t="n">
        <v>-22445.04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19.85</v>
      </c>
      <c r="F101" s="9" t="n"/>
      <c r="G101" s="18" t="n">
        <v>2459.85</v>
      </c>
      <c r="H101" s="18" t="n">
        <v>2319.85</v>
      </c>
      <c r="I101" s="18" t="n">
        <v>5599.85</v>
      </c>
      <c r="J101" s="18" t="n">
        <v>719.85</v>
      </c>
      <c r="K101" s="34" t="n">
        <v>11099.4</v>
      </c>
      <c r="L101" s="18" t="n">
        <v>1019.85</v>
      </c>
      <c r="M101" s="18" t="n">
        <v>10019.85</v>
      </c>
      <c r="N101" s="18" t="n">
        <v>1139.85</v>
      </c>
      <c r="O101" s="18" t="n">
        <v>26319.85</v>
      </c>
      <c r="P101" s="34" t="n">
        <v>38499.4</v>
      </c>
      <c r="Q101" s="18" t="n">
        <v>15016.95</v>
      </c>
      <c r="R101" s="18" t="n">
        <v>39016.95</v>
      </c>
      <c r="S101" s="18" t="n">
        <v>25300</v>
      </c>
      <c r="T101" s="18" t="n">
        <v>24000</v>
      </c>
      <c r="U101" s="34" t="n">
        <v>103333.9</v>
      </c>
      <c r="V101" s="18" t="n">
        <v>10000</v>
      </c>
      <c r="W101" s="18" t="n">
        <v>25500</v>
      </c>
      <c r="X101" s="18" t="n">
        <v>15650</v>
      </c>
      <c r="Y101" s="18" t="n">
        <v>12000</v>
      </c>
      <c r="Z101" s="34" t="n">
        <v>63150</v>
      </c>
      <c r="AA101" s="18" t="n">
        <v>500</v>
      </c>
      <c r="AB101" s="19" t="n">
        <v>15540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22778.58</v>
      </c>
      <c r="F102" s="9" t="n"/>
      <c r="G102" s="18" t="n">
        <v>-2690.27</v>
      </c>
      <c r="H102" s="18" t="n">
        <v>36903.52</v>
      </c>
      <c r="I102" s="18" t="n">
        <v>-52634.9</v>
      </c>
      <c r="J102" s="18" t="n">
        <v>-14858.29</v>
      </c>
      <c r="K102" s="34" t="n">
        <v>-33279.94</v>
      </c>
      <c r="L102" s="18" t="n">
        <v>-3996.64</v>
      </c>
      <c r="M102" s="18" t="n">
        <v>-4602.95</v>
      </c>
      <c r="N102" s="18" t="n">
        <v>32049.1</v>
      </c>
      <c r="O102" s="18" t="n">
        <v>11597.34</v>
      </c>
      <c r="P102" s="34" t="n">
        <v>35046.85</v>
      </c>
      <c r="Q102" s="18" t="n">
        <v>-8456.110000000001</v>
      </c>
      <c r="R102" s="18" t="n">
        <v>-28394.71</v>
      </c>
      <c r="S102" s="18" t="n">
        <v>5625.36</v>
      </c>
      <c r="T102" s="18" t="n">
        <v>-1533.83</v>
      </c>
      <c r="U102" s="34" t="n">
        <v>-32759.29</v>
      </c>
      <c r="V102" s="18" t="n">
        <v>32531.85</v>
      </c>
      <c r="W102" s="18" t="n">
        <v>-15683.99</v>
      </c>
      <c r="X102" s="18" t="n">
        <v>-1342.55</v>
      </c>
      <c r="Y102" s="18" t="n">
        <v>-10623.48</v>
      </c>
      <c r="Z102" s="34" t="n">
        <v>4881.83</v>
      </c>
      <c r="AA102" s="18" t="n">
        <v>-364.42</v>
      </c>
      <c r="AB102" s="19" t="n">
        <v>-179.01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11380.85</v>
      </c>
      <c r="F103" s="9" t="n"/>
      <c r="G103" s="18" t="n">
        <v>27451.56</v>
      </c>
      <c r="H103" s="18" t="n">
        <v>18447.77</v>
      </c>
      <c r="I103" s="18" t="n">
        <v>-26284.37</v>
      </c>
      <c r="J103" s="18" t="n">
        <v>-7478</v>
      </c>
      <c r="K103" s="34" t="n">
        <v>12136.96</v>
      </c>
      <c r="L103" s="18" t="n">
        <v>10169.51</v>
      </c>
      <c r="M103" s="18" t="n">
        <v>-2379.23</v>
      </c>
      <c r="N103" s="18" t="n">
        <v>16027.31</v>
      </c>
      <c r="O103" s="18" t="n">
        <v>5820.27</v>
      </c>
      <c r="P103" s="34" t="n">
        <v>29637.86</v>
      </c>
      <c r="Q103" s="18" t="n">
        <v>25376.1</v>
      </c>
      <c r="R103" s="18" t="n">
        <v>-14233.97</v>
      </c>
      <c r="S103" s="18" t="n">
        <v>2900.42</v>
      </c>
      <c r="T103" s="18" t="n">
        <v>-737</v>
      </c>
      <c r="U103" s="34" t="n">
        <v>13305.55</v>
      </c>
      <c r="V103" s="18" t="n">
        <v>29599.31</v>
      </c>
      <c r="W103" s="18" t="n">
        <v>-7883.43</v>
      </c>
      <c r="X103" s="18" t="n">
        <v>-655.6</v>
      </c>
      <c r="Y103" s="18" t="n">
        <v>-2872.9</v>
      </c>
      <c r="Z103" s="34" t="n">
        <v>18187.38</v>
      </c>
      <c r="AA103" s="18" t="n">
        <v>17822.96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G104" s="18" t="n">
        <v>7</v>
      </c>
      <c r="H104" s="18" t="n">
        <v>0</v>
      </c>
      <c r="I104" s="18" t="n">
        <v>1.45</v>
      </c>
      <c r="J104" s="18" t="n">
        <v>0.5600000000000001</v>
      </c>
      <c r="K104" s="34" t="n">
        <v>9.01</v>
      </c>
      <c r="L104" s="18" t="n">
        <v>30</v>
      </c>
      <c r="M104" s="18" t="n">
        <v>0</v>
      </c>
      <c r="N104" s="18" t="n">
        <v>0</v>
      </c>
      <c r="O104" s="18" t="n">
        <v>0</v>
      </c>
      <c r="P104" s="34" t="n">
        <v>30</v>
      </c>
      <c r="S104" s="18" t="n">
        <v>0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651.12</v>
      </c>
      <c r="P105" s="9" t="n"/>
      <c r="Q105" s="18" t="n">
        <v>314.74</v>
      </c>
      <c r="R105" s="18" t="n">
        <v>398.92</v>
      </c>
      <c r="S105" s="18" t="n">
        <v>356.34</v>
      </c>
      <c r="T105" s="18" t="n">
        <v>247.38</v>
      </c>
      <c r="U105" s="34" t="n">
        <v>1317.38</v>
      </c>
      <c r="V105" s="18" t="n">
        <v>1091.29</v>
      </c>
      <c r="W105" s="18" t="n">
        <v>379.54</v>
      </c>
      <c r="X105" s="18" t="n">
        <v>1326.55</v>
      </c>
      <c r="Y105" s="18" t="n">
        <v>298.75</v>
      </c>
      <c r="Z105" s="34" t="n">
        <v>3096.13</v>
      </c>
      <c r="AA105" s="18" t="n">
        <v>2877.74</v>
      </c>
      <c r="AB105" s="19" t="n">
        <v>573.55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P106" s="9" t="n"/>
      <c r="Q106" s="18" t="n">
        <v>20457.46</v>
      </c>
      <c r="R106" s="18" t="n">
        <v>0.8</v>
      </c>
      <c r="S106" s="18" t="n">
        <v>0</v>
      </c>
      <c r="T106" s="18" t="n">
        <v>0</v>
      </c>
      <c r="U106" s="34" t="n">
        <v>20458.26</v>
      </c>
      <c r="X106" s="18" t="n">
        <v>9232.879999999999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리스부채의상환</t>
        </is>
      </c>
      <c r="F107" s="9" t="n"/>
      <c r="K107" s="9" t="n"/>
      <c r="P107" s="9" t="n"/>
      <c r="U107" s="9" t="n"/>
      <c r="Z107" s="9" t="n"/>
      <c r="AA107" s="18" t="n">
        <v>7.78</v>
      </c>
      <c r="AB107" s="19" t="n">
        <v>7.92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4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4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4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4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4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4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4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4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4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4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4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4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4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4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4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4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4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4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4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4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4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4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4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4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4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4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I11" s="18" t="n">
        <v>170.05</v>
      </c>
      <c r="K11" s="9" t="n"/>
      <c r="L11" s="18" t="n">
        <v>7.37</v>
      </c>
      <c r="O11" s="18" t="n">
        <v>283.05</v>
      </c>
      <c r="P11" s="34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4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4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4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4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4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4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4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4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4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4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4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4" t="n">
        <v>793.28</v>
      </c>
      <c r="L14" s="18" t="n">
        <v>780.4299999999999</v>
      </c>
      <c r="M14" s="18" t="n">
        <v>802.5</v>
      </c>
      <c r="N14" s="18" t="n">
        <v>824.5599999999999</v>
      </c>
      <c r="O14" s="18" t="n">
        <v>546.63</v>
      </c>
      <c r="P14" s="34" t="n">
        <v>546.63</v>
      </c>
      <c r="Q14" s="18" t="n">
        <v>81934.89999999999</v>
      </c>
      <c r="R14" s="18" t="n">
        <v>130095.77</v>
      </c>
      <c r="S14" s="18" t="n">
        <v>112137.72</v>
      </c>
      <c r="T14" s="18" t="n">
        <v>153422.9</v>
      </c>
      <c r="U14" s="34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4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4" t="n">
        <v>32554.12</v>
      </c>
      <c r="L15" s="18" t="n">
        <v>32541.27</v>
      </c>
      <c r="M15" s="18" t="n">
        <v>32563.34</v>
      </c>
      <c r="N15" s="18" t="n">
        <v>32585.4</v>
      </c>
      <c r="O15" s="18" t="n">
        <v>17591.48</v>
      </c>
      <c r="P15" s="34" t="n">
        <v>17591.48</v>
      </c>
      <c r="Q15" s="18" t="n">
        <v>98924.11</v>
      </c>
      <c r="R15" s="18" t="n">
        <v>147084.98</v>
      </c>
      <c r="S15" s="18" t="n">
        <v>129126.93</v>
      </c>
      <c r="T15" s="18" t="n">
        <v>170412.11</v>
      </c>
      <c r="U15" s="34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4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4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4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4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4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4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4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4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4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4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4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4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4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4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4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4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4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4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4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4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4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4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4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4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4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4" t="n">
        <v>0</v>
      </c>
      <c r="J21" s="18" t="n">
        <v>0</v>
      </c>
      <c r="K21" s="34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4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4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4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4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4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4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4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4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4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4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4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4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4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4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4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4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4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4" t="n">
        <v>91800</v>
      </c>
      <c r="Q25" s="18" t="n">
        <v>86800</v>
      </c>
      <c r="R25" s="18" t="n">
        <v>92300</v>
      </c>
      <c r="U25" s="9" t="n"/>
      <c r="Y25" s="18" t="n">
        <v>30000</v>
      </c>
      <c r="Z25" s="34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4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4" t="n">
        <v>5913.18</v>
      </c>
      <c r="L26" s="18" t="n">
        <v>6070.63</v>
      </c>
      <c r="M26" s="18" t="n">
        <v>6240.28</v>
      </c>
      <c r="N26" s="18" t="n">
        <v>6354.04</v>
      </c>
      <c r="O26" s="18" t="n">
        <v>6540.95</v>
      </c>
      <c r="P26" s="34" t="n">
        <v>6540.95</v>
      </c>
      <c r="Q26" s="18" t="n">
        <v>6733.77</v>
      </c>
      <c r="R26" s="18" t="n">
        <v>0</v>
      </c>
      <c r="S26" s="18" t="n">
        <v>0</v>
      </c>
      <c r="T26" s="18" t="n">
        <v>0</v>
      </c>
      <c r="U26" s="34" t="n">
        <v>0</v>
      </c>
      <c r="Y26" s="18" t="n">
        <v>14000</v>
      </c>
      <c r="Z26" s="34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4" t="n">
        <v>12640.56</v>
      </c>
      <c r="G27" s="18" t="n">
        <v>7078.18</v>
      </c>
      <c r="H27" s="18" t="n">
        <v>414.15</v>
      </c>
      <c r="J27" s="18" t="n">
        <v>894.13</v>
      </c>
      <c r="K27" s="34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4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4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4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4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4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4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4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4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4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4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4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4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4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4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4" t="n">
        <v>33.9</v>
      </c>
      <c r="L30" s="18" t="n">
        <v>16.95</v>
      </c>
      <c r="O30" s="18" t="n">
        <v>0</v>
      </c>
      <c r="P30" s="34" t="n">
        <v>0</v>
      </c>
      <c r="Q30" s="18" t="n">
        <v>0</v>
      </c>
      <c r="R30" s="18" t="n">
        <v>14000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4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4" t="n">
        <v>0</v>
      </c>
      <c r="O31" s="18" t="n">
        <v>50.04</v>
      </c>
      <c r="P31" s="34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4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4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4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4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4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4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4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4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4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4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4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4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4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4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4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4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4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4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4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4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4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4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4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4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4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4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4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4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4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4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4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4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4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4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4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4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4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4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4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4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4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4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4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4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4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4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4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4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4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4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4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4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4" t="n">
        <v>97792.46000000001</v>
      </c>
      <c r="L42" s="18" t="n">
        <v>98090.41</v>
      </c>
      <c r="M42" s="18" t="n">
        <v>98412.75999999999</v>
      </c>
      <c r="N42" s="18" t="n">
        <v>104508.08</v>
      </c>
      <c r="O42" s="18" t="n">
        <v>104881.9</v>
      </c>
      <c r="P42" s="34" t="n">
        <v>104881.9</v>
      </c>
      <c r="Q42" s="18" t="n">
        <v>100267.54</v>
      </c>
      <c r="R42" s="18" t="n">
        <v>106300</v>
      </c>
      <c r="S42" s="18" t="n">
        <v>0</v>
      </c>
      <c r="T42" s="18" t="n">
        <v>0</v>
      </c>
      <c r="U42" s="34" t="n">
        <v>0</v>
      </c>
      <c r="Y42" s="18" t="n">
        <v>44000</v>
      </c>
      <c r="Z42" s="34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4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4" t="n">
        <v>90467.98</v>
      </c>
      <c r="L43" s="18" t="n">
        <v>89893.17</v>
      </c>
      <c r="M43" s="18" t="n">
        <v>87855.44</v>
      </c>
      <c r="N43" s="18" t="n">
        <v>75873.09</v>
      </c>
      <c r="O43" s="18" t="n">
        <v>69428.75999999999</v>
      </c>
      <c r="P43" s="34" t="n">
        <v>69428.75999999999</v>
      </c>
      <c r="Q43" s="18" t="n">
        <v>46795.26</v>
      </c>
      <c r="R43" s="18" t="n">
        <v>39846.22</v>
      </c>
      <c r="S43" s="18" t="n">
        <v>-57627.08</v>
      </c>
      <c r="T43" s="18" t="n">
        <v>-52143.4</v>
      </c>
      <c r="U43" s="34" t="n">
        <v>-52143.4</v>
      </c>
      <c r="Y43" s="18" t="n">
        <v>30311.51</v>
      </c>
      <c r="Z43" s="34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4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4" t="n">
        <v>8117.76</v>
      </c>
      <c r="L44" s="18" t="n">
        <v>8977.67</v>
      </c>
      <c r="M44" s="18" t="n">
        <v>11359.82</v>
      </c>
      <c r="N44" s="18" t="n">
        <v>29459.55</v>
      </c>
      <c r="O44" s="18" t="n">
        <v>35999.77</v>
      </c>
      <c r="P44" s="34" t="n">
        <v>35999.77</v>
      </c>
      <c r="Q44" s="18" t="n">
        <v>135407.18</v>
      </c>
      <c r="R44" s="18" t="n">
        <v>196549.55</v>
      </c>
      <c r="S44" s="18" t="n">
        <v>169764.8</v>
      </c>
      <c r="T44" s="18" t="n">
        <v>205566.3</v>
      </c>
      <c r="U44" s="34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4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4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4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4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4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4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4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4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4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4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4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4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4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4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4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4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4" t="n">
        <v>6540.95</v>
      </c>
      <c r="Q50" s="18" t="n">
        <v>6733.77</v>
      </c>
      <c r="R50" s="18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4" t="n">
        <v>62.92</v>
      </c>
      <c r="M51" s="18" t="n">
        <v>101373.27</v>
      </c>
      <c r="N51" s="18" t="n">
        <v>101369.33</v>
      </c>
      <c r="O51" s="18" t="n">
        <v>109.46</v>
      </c>
      <c r="P51" s="34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4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4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4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4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4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4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4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4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4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4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4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4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4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4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4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4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4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4" t="n">
        <v>91800</v>
      </c>
      <c r="Q56" s="18" t="n">
        <v>86800</v>
      </c>
      <c r="R56" s="18" t="n">
        <v>92300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기타유동자산</t>
        </is>
      </c>
      <c r="F57" s="9" t="n"/>
      <c r="K57" s="9" t="n"/>
      <c r="P57" s="9" t="n"/>
      <c r="U57" s="9" t="n"/>
      <c r="Y57" s="18" t="n">
        <v>119.86</v>
      </c>
      <c r="Z57" s="34" t="n">
        <v>119.86</v>
      </c>
      <c r="AA57" s="18" t="n">
        <v>35.17</v>
      </c>
      <c r="AB57" s="19" t="n">
        <v>41.37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사용권자산</t>
        </is>
      </c>
      <c r="F58" s="9" t="n"/>
      <c r="K58" s="9" t="n"/>
      <c r="P58" s="9" t="n"/>
      <c r="U58" s="9" t="n"/>
      <c r="Y58" s="18" t="n">
        <v>25.82</v>
      </c>
      <c r="Z58" s="34" t="n">
        <v>25.82</v>
      </c>
      <c r="AA58" s="18" t="n">
        <v>21.26</v>
      </c>
      <c r="AB58" s="19" t="n">
        <v>16.71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기타유동부채</t>
        </is>
      </c>
      <c r="F59" s="9" t="n"/>
      <c r="K59" s="9" t="n"/>
      <c r="P59" s="9" t="n"/>
      <c r="U59" s="9" t="n"/>
      <c r="Y59" s="18" t="n">
        <v>177.49</v>
      </c>
      <c r="Z59" s="34" t="n">
        <v>177.49</v>
      </c>
      <c r="AA59" s="18" t="n">
        <v>519.55</v>
      </c>
      <c r="AB59" s="19" t="n">
        <v>655.9299999999999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18287.73</v>
      </c>
      <c r="F60" s="9" t="n"/>
      <c r="G60" s="18" t="n">
        <v>18483.47</v>
      </c>
      <c r="H60" s="18" t="n">
        <v>18475.2</v>
      </c>
      <c r="I60" s="18" t="n">
        <v>17595.95</v>
      </c>
      <c r="J60" s="18" t="n">
        <v>19585.46</v>
      </c>
      <c r="K60" s="34" t="n">
        <v>74140.08</v>
      </c>
      <c r="L60" s="18" t="n">
        <v>19035.77</v>
      </c>
      <c r="M60" s="18" t="n">
        <v>18045.1</v>
      </c>
      <c r="N60" s="18" t="n">
        <v>17122.97</v>
      </c>
      <c r="O60" s="18" t="n">
        <v>17679.72</v>
      </c>
      <c r="P60" s="34" t="n">
        <v>71883.56</v>
      </c>
      <c r="Q60" s="18" t="n">
        <v>17685.27</v>
      </c>
      <c r="R60" s="18" t="n">
        <v>22152.44</v>
      </c>
      <c r="S60" s="18" t="n">
        <v>18091.47</v>
      </c>
      <c r="T60" s="18" t="n">
        <v>22244.79</v>
      </c>
      <c r="U60" s="34" t="n">
        <v>80173.97</v>
      </c>
      <c r="V60" s="18" t="n">
        <v>24460.07</v>
      </c>
      <c r="W60" s="18" t="n">
        <v>22126.77</v>
      </c>
      <c r="X60" s="18" t="n">
        <v>24232.69</v>
      </c>
      <c r="Y60" s="18" t="n">
        <v>21533.84</v>
      </c>
      <c r="Z60" s="34" t="n">
        <v>92353.37</v>
      </c>
      <c r="AA60" s="18" t="n">
        <v>24490.37</v>
      </c>
      <c r="AB60" s="19" t="n">
        <v>27365.98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15684.25</v>
      </c>
      <c r="F61" s="9" t="n"/>
      <c r="G61" s="18" t="n">
        <v>16209.19</v>
      </c>
      <c r="H61" s="18" t="n">
        <v>16156.16</v>
      </c>
      <c r="I61" s="18" t="n">
        <v>15562.39</v>
      </c>
      <c r="J61" s="18" t="n">
        <v>16958.39</v>
      </c>
      <c r="K61" s="34" t="n">
        <v>64886.13</v>
      </c>
      <c r="L61" s="18" t="n">
        <v>16903.97</v>
      </c>
      <c r="M61" s="18" t="n">
        <v>15215.1</v>
      </c>
      <c r="N61" s="18" t="n">
        <v>14434.58</v>
      </c>
      <c r="O61" s="18" t="n">
        <v>15557.7</v>
      </c>
      <c r="P61" s="34" t="n">
        <v>62111.35</v>
      </c>
      <c r="Q61" s="18" t="n">
        <v>15070.06</v>
      </c>
      <c r="R61" s="18" t="n">
        <v>16266.15</v>
      </c>
      <c r="S61" s="18" t="n">
        <v>14412.47</v>
      </c>
      <c r="T61" s="18" t="n">
        <v>17649.57</v>
      </c>
      <c r="U61" s="34" t="n">
        <v>63398.25</v>
      </c>
      <c r="V61" s="18" t="n">
        <v>19584.11</v>
      </c>
      <c r="W61" s="18" t="n">
        <v>16427.51</v>
      </c>
      <c r="X61" s="18" t="n">
        <v>17559.5</v>
      </c>
      <c r="Y61" s="18" t="n">
        <v>16891.26</v>
      </c>
      <c r="Z61" s="34" t="n">
        <v>70462.38</v>
      </c>
      <c r="AA61" s="18" t="n">
        <v>18664.25</v>
      </c>
      <c r="AB61" s="19" t="n">
        <v>20450.79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2603.48</v>
      </c>
      <c r="F62" s="9" t="n"/>
      <c r="G62" s="18" t="n">
        <v>2274.28</v>
      </c>
      <c r="H62" s="18" t="n">
        <v>2319.03</v>
      </c>
      <c r="I62" s="18" t="n">
        <v>2033.56</v>
      </c>
      <c r="J62" s="18" t="n">
        <v>2627.06</v>
      </c>
      <c r="K62" s="34" t="n">
        <v>9253.93</v>
      </c>
      <c r="L62" s="18" t="n">
        <v>2131.8</v>
      </c>
      <c r="M62" s="18" t="n">
        <v>2830</v>
      </c>
      <c r="N62" s="18" t="n">
        <v>2688.39</v>
      </c>
      <c r="O62" s="18" t="n">
        <v>2122.02</v>
      </c>
      <c r="P62" s="34" t="n">
        <v>9772.209999999999</v>
      </c>
      <c r="Q62" s="18" t="n">
        <v>2615.21</v>
      </c>
      <c r="R62" s="18" t="n">
        <v>5886.29</v>
      </c>
      <c r="S62" s="18" t="n">
        <v>3679</v>
      </c>
      <c r="T62" s="18" t="n">
        <v>4595.24</v>
      </c>
      <c r="U62" s="34" t="n">
        <v>16775.74</v>
      </c>
      <c r="V62" s="18" t="n">
        <v>4875.96</v>
      </c>
      <c r="W62" s="18" t="n">
        <v>5699.27</v>
      </c>
      <c r="X62" s="18" t="n">
        <v>6673.19</v>
      </c>
      <c r="Y62" s="18" t="n">
        <v>4642.57</v>
      </c>
      <c r="Z62" s="34" t="n">
        <v>21890.99</v>
      </c>
      <c r="AA62" s="18" t="n">
        <v>5826.12</v>
      </c>
      <c r="AB62" s="19" t="n">
        <v>6915.19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799.4299999999999</v>
      </c>
      <c r="F63" s="9" t="n"/>
      <c r="G63" s="18" t="n">
        <v>862.5700000000001</v>
      </c>
      <c r="H63" s="18" t="n">
        <v>737.72</v>
      </c>
      <c r="I63" s="18" t="n">
        <v>1183.91</v>
      </c>
      <c r="J63" s="18" t="n">
        <v>914.11</v>
      </c>
      <c r="K63" s="34" t="n">
        <v>3698.31</v>
      </c>
      <c r="L63" s="18" t="n">
        <v>940.62</v>
      </c>
      <c r="M63" s="18" t="n">
        <v>980.2</v>
      </c>
      <c r="N63" s="18" t="n">
        <v>1619.83</v>
      </c>
      <c r="O63" s="18" t="n">
        <v>1039.56</v>
      </c>
      <c r="P63" s="34" t="n">
        <v>4580.21</v>
      </c>
      <c r="Q63" s="18" t="n">
        <v>1220.84</v>
      </c>
      <c r="R63" s="18" t="n">
        <v>1265.89</v>
      </c>
      <c r="S63" s="18" t="n">
        <v>1796.74</v>
      </c>
      <c r="T63" s="18" t="n">
        <v>1161.94</v>
      </c>
      <c r="U63" s="34" t="n">
        <v>5445.41</v>
      </c>
      <c r="V63" s="18" t="n">
        <v>2101.44</v>
      </c>
      <c r="W63" s="18" t="n">
        <v>1191.76</v>
      </c>
      <c r="X63" s="18" t="n">
        <v>1943.97</v>
      </c>
      <c r="Y63" s="18" t="n">
        <v>1270.03</v>
      </c>
      <c r="Z63" s="34" t="n">
        <v>6507.2</v>
      </c>
      <c r="AA63" s="18" t="n">
        <v>1287.14</v>
      </c>
      <c r="AB63" s="19" t="n">
        <v>2054.91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1804.04</v>
      </c>
      <c r="F64" s="9" t="n"/>
      <c r="G64" s="18" t="n">
        <v>1411.71</v>
      </c>
      <c r="H64" s="18" t="n">
        <v>1581.31</v>
      </c>
      <c r="I64" s="18" t="n">
        <v>849.65</v>
      </c>
      <c r="J64" s="18" t="n">
        <v>1712.95</v>
      </c>
      <c r="K64" s="34" t="n">
        <v>5555.62</v>
      </c>
      <c r="L64" s="18" t="n">
        <v>1191.18</v>
      </c>
      <c r="M64" s="18" t="n">
        <v>1849.8</v>
      </c>
      <c r="N64" s="18" t="n">
        <v>1068.56</v>
      </c>
      <c r="O64" s="18" t="n">
        <v>1082.46</v>
      </c>
      <c r="P64" s="34" t="n">
        <v>5192</v>
      </c>
      <c r="Q64" s="18" t="n">
        <v>1394.38</v>
      </c>
      <c r="R64" s="18" t="n">
        <v>4620.4</v>
      </c>
      <c r="S64" s="18" t="n">
        <v>1882.26</v>
      </c>
      <c r="T64" s="18" t="n">
        <v>3433.29</v>
      </c>
      <c r="U64" s="34" t="n">
        <v>11330.33</v>
      </c>
      <c r="V64" s="18" t="n">
        <v>2774.52</v>
      </c>
      <c r="W64" s="18" t="n">
        <v>4507.51</v>
      </c>
      <c r="X64" s="18" t="n">
        <v>4729.22</v>
      </c>
      <c r="Y64" s="18" t="n">
        <v>3372.55</v>
      </c>
      <c r="Z64" s="34" t="n">
        <v>15383.8</v>
      </c>
      <c r="AA64" s="18" t="n">
        <v>4538.98</v>
      </c>
      <c r="AB64" s="19" t="n">
        <v>4860.28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31.99</v>
      </c>
      <c r="F65" s="9" t="n"/>
      <c r="G65" s="18" t="n">
        <v>33.26</v>
      </c>
      <c r="H65" s="18" t="n">
        <v>60.34</v>
      </c>
      <c r="I65" s="18" t="n">
        <v>127.56</v>
      </c>
      <c r="J65" s="18" t="n">
        <v>-15.86</v>
      </c>
      <c r="K65" s="34" t="n">
        <v>205.3</v>
      </c>
      <c r="L65" s="18" t="n">
        <v>151.13</v>
      </c>
      <c r="M65" s="18" t="n">
        <v>3.58</v>
      </c>
      <c r="N65" s="18" t="n">
        <v>601.45</v>
      </c>
      <c r="O65" s="18" t="n">
        <v>70.34</v>
      </c>
      <c r="P65" s="34" t="n">
        <v>826.5</v>
      </c>
      <c r="Q65" s="18" t="n">
        <v>47826.29</v>
      </c>
      <c r="R65" s="18" t="n">
        <v>-272.96</v>
      </c>
      <c r="S65" s="18" t="n">
        <v>28.96</v>
      </c>
      <c r="T65" s="18" t="n">
        <v>36.72</v>
      </c>
      <c r="U65" s="34" t="n">
        <v>47619.01</v>
      </c>
      <c r="V65" s="18" t="n">
        <v>98.26000000000001</v>
      </c>
      <c r="W65" s="18" t="n">
        <v>403.89</v>
      </c>
      <c r="X65" s="18" t="n">
        <v>50.17</v>
      </c>
      <c r="Y65" s="18" t="n">
        <v>1489.92</v>
      </c>
      <c r="Z65" s="34" t="n">
        <v>2042.24</v>
      </c>
      <c r="AA65" s="18" t="n">
        <v>151.51</v>
      </c>
      <c r="AB65" s="19" t="n">
        <v>268.24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159.43</v>
      </c>
      <c r="F66" s="9" t="n"/>
      <c r="G66" s="18" t="n">
        <v>5.42</v>
      </c>
      <c r="H66" s="18" t="n">
        <v>131.6</v>
      </c>
      <c r="I66" s="18" t="n">
        <v>3.97</v>
      </c>
      <c r="J66" s="18" t="n">
        <v>179.14</v>
      </c>
      <c r="K66" s="34" t="n">
        <v>320.13</v>
      </c>
      <c r="L66" s="18" t="n">
        <v>6.34</v>
      </c>
      <c r="M66" s="18" t="n">
        <v>42.45</v>
      </c>
      <c r="N66" s="18" t="n">
        <v>46.66</v>
      </c>
      <c r="O66" s="18" t="n">
        <v>5639.18</v>
      </c>
      <c r="P66" s="34" t="n">
        <v>5734.63</v>
      </c>
      <c r="Q66" s="18" t="n">
        <v>21.69</v>
      </c>
      <c r="R66" s="18" t="n">
        <v>521.1900000000001</v>
      </c>
      <c r="S66" s="18" t="n">
        <v>-27.27</v>
      </c>
      <c r="T66" s="18" t="n">
        <v>102.43</v>
      </c>
      <c r="U66" s="34" t="n">
        <v>618.04</v>
      </c>
      <c r="V66" s="18" t="n">
        <v>223.41</v>
      </c>
      <c r="W66" s="18" t="n">
        <v>183.22</v>
      </c>
      <c r="X66" s="18" t="n">
        <v>-7.55</v>
      </c>
      <c r="Y66" s="18" t="n">
        <v>134.7</v>
      </c>
      <c r="Z66" s="34" t="n">
        <v>533.78</v>
      </c>
      <c r="AA66" s="18" t="n">
        <v>4</v>
      </c>
      <c r="AB66" s="19" t="n">
        <v>204.81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50704.28</v>
      </c>
      <c r="F67" s="9" t="n"/>
      <c r="G67" s="18" t="n">
        <v>46.23</v>
      </c>
      <c r="H67" s="18" t="n">
        <v>6111.66</v>
      </c>
      <c r="I67" s="18" t="n">
        <v>6082.49</v>
      </c>
      <c r="J67" s="18" t="n">
        <v>563.6</v>
      </c>
      <c r="K67" s="34" t="n">
        <v>12803.98</v>
      </c>
      <c r="L67" s="18" t="n">
        <v>56.26</v>
      </c>
      <c r="M67" s="18" t="n">
        <v>2082.96</v>
      </c>
      <c r="N67" s="18" t="n">
        <v>191.08</v>
      </c>
      <c r="O67" s="18" t="n">
        <v>12807.04</v>
      </c>
      <c r="P67" s="34" t="n">
        <v>15137.34</v>
      </c>
      <c r="Q67" s="18" t="n">
        <v>460.39</v>
      </c>
      <c r="R67" s="18" t="n">
        <v>440.8</v>
      </c>
      <c r="S67" s="18" t="n">
        <v>697.47</v>
      </c>
      <c r="T67" s="18" t="n">
        <v>613.25</v>
      </c>
      <c r="U67" s="34" t="n">
        <v>2211.91</v>
      </c>
      <c r="V67" s="18" t="n">
        <v>1242.83</v>
      </c>
      <c r="W67" s="18" t="n">
        <v>1097.91</v>
      </c>
      <c r="X67" s="18" t="n">
        <v>1079.45</v>
      </c>
      <c r="Y67" s="18" t="n">
        <v>1351.78</v>
      </c>
      <c r="Z67" s="34" t="n">
        <v>4771.97</v>
      </c>
      <c r="AA67" s="18" t="n">
        <v>1206.16</v>
      </c>
      <c r="AB67" s="19" t="n">
        <v>986.6799999999999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570.12</v>
      </c>
      <c r="F68" s="9" t="n"/>
      <c r="G68" s="18" t="n">
        <v>612.84</v>
      </c>
      <c r="H68" s="18" t="n">
        <v>1365.31</v>
      </c>
      <c r="I68" s="18" t="n">
        <v>1119.59</v>
      </c>
      <c r="J68" s="18" t="n">
        <v>1759.89</v>
      </c>
      <c r="K68" s="34" t="n">
        <v>4857.63</v>
      </c>
      <c r="L68" s="18" t="n">
        <v>1465.25</v>
      </c>
      <c r="M68" s="18" t="n">
        <v>2316.88</v>
      </c>
      <c r="N68" s="18" t="n">
        <v>1452.98</v>
      </c>
      <c r="O68" s="18" t="n">
        <v>1830.43</v>
      </c>
      <c r="P68" s="34" t="n">
        <v>7065.54</v>
      </c>
      <c r="Q68" s="18" t="n">
        <v>1523.88</v>
      </c>
      <c r="R68" s="18" t="n">
        <v>7184.73</v>
      </c>
      <c r="S68" s="18" t="n">
        <v>1060.2</v>
      </c>
      <c r="T68" s="18" t="n">
        <v>988.66</v>
      </c>
      <c r="U68" s="34" t="n">
        <v>10757.47</v>
      </c>
      <c r="V68" s="18" t="n">
        <v>866.72</v>
      </c>
      <c r="W68" s="18" t="n">
        <v>589.0599999999999</v>
      </c>
      <c r="X68" s="18" t="n">
        <v>520</v>
      </c>
      <c r="Y68" s="18" t="n">
        <v>412.55</v>
      </c>
      <c r="Z68" s="34" t="n">
        <v>2388.33</v>
      </c>
      <c r="AA68" s="18" t="n">
        <v>323.56</v>
      </c>
      <c r="AB68" s="19" t="n">
        <v>246.93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51810.76</v>
      </c>
      <c r="F69" s="9" t="n"/>
      <c r="G69" s="18" t="n">
        <v>872.9400000000001</v>
      </c>
      <c r="H69" s="18" t="n">
        <v>6256.41</v>
      </c>
      <c r="I69" s="18" t="n">
        <v>5936.14</v>
      </c>
      <c r="J69" s="18" t="n">
        <v>321.66</v>
      </c>
      <c r="K69" s="34" t="n">
        <v>13387.15</v>
      </c>
      <c r="L69" s="18" t="n">
        <v>-73.02</v>
      </c>
      <c r="M69" s="18" t="n">
        <v>1577.01</v>
      </c>
      <c r="N69" s="18" t="n">
        <v>361.45</v>
      </c>
      <c r="O69" s="18" t="n">
        <v>6490.23</v>
      </c>
      <c r="P69" s="34" t="n">
        <v>8355.67</v>
      </c>
      <c r="Q69" s="18" t="n">
        <v>48135.49</v>
      </c>
      <c r="R69" s="18" t="n">
        <v>-2917.68</v>
      </c>
      <c r="S69" s="18" t="n">
        <v>1575.74</v>
      </c>
      <c r="T69" s="18" t="n">
        <v>2992.19</v>
      </c>
      <c r="U69" s="34" t="n">
        <v>49785.74</v>
      </c>
      <c r="V69" s="18" t="n">
        <v>3025.46</v>
      </c>
      <c r="W69" s="18" t="n">
        <v>5237.03</v>
      </c>
      <c r="X69" s="18" t="n">
        <v>5346.4</v>
      </c>
      <c r="Y69" s="18" t="n">
        <v>5667</v>
      </c>
      <c r="Z69" s="34" t="n">
        <v>19275.89</v>
      </c>
      <c r="AA69" s="18" t="n">
        <v>5569.09</v>
      </c>
      <c r="AB69" s="19" t="n">
        <v>5663.47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12079.23</v>
      </c>
      <c r="F70" s="9" t="n"/>
      <c r="G70" s="18" t="n">
        <v>186.55</v>
      </c>
      <c r="H70" s="18" t="n">
        <v>281.91</v>
      </c>
      <c r="I70" s="18" t="n">
        <v>-144.25</v>
      </c>
      <c r="J70" s="18" t="n">
        <v>668.9299999999999</v>
      </c>
      <c r="K70" s="34" t="n">
        <v>993.14</v>
      </c>
      <c r="M70" s="18" t="n">
        <v>250.08</v>
      </c>
      <c r="N70" s="18" t="n">
        <v>-22.31</v>
      </c>
      <c r="O70" s="18" t="n">
        <v>339.8</v>
      </c>
      <c r="P70" s="9" t="n"/>
      <c r="Q70" s="18" t="n">
        <v>9801.549999999999</v>
      </c>
      <c r="R70" s="18" t="n">
        <v>-479.16</v>
      </c>
      <c r="S70" s="18" t="n">
        <v>1251.39</v>
      </c>
      <c r="T70" s="18" t="n">
        <v>1874.12</v>
      </c>
      <c r="U70" s="34" t="n">
        <v>12447.9</v>
      </c>
      <c r="V70" s="18" t="n">
        <v>698.88</v>
      </c>
      <c r="W70" s="18" t="n">
        <v>1209.75</v>
      </c>
      <c r="X70" s="18" t="n">
        <v>1222.15</v>
      </c>
      <c r="Y70" s="18" t="n">
        <v>101.74</v>
      </c>
      <c r="Z70" s="34" t="n">
        <v>3232.52</v>
      </c>
      <c r="AA70" s="18" t="n">
        <v>1018.7</v>
      </c>
      <c r="AB70" s="19" t="n">
        <v>1367.08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39731.53</v>
      </c>
      <c r="F71" s="9" t="n"/>
      <c r="G71" s="18" t="n">
        <v>686.4</v>
      </c>
      <c r="H71" s="18" t="n">
        <v>5974.5</v>
      </c>
      <c r="I71" s="18" t="n">
        <v>6080.39</v>
      </c>
      <c r="J71" s="18" t="n">
        <v>-347.27</v>
      </c>
      <c r="K71" s="34" t="n">
        <v>12394.02</v>
      </c>
      <c r="L71" s="18" t="n">
        <v>-73.02</v>
      </c>
      <c r="M71" s="18" t="n">
        <v>1326.93</v>
      </c>
      <c r="N71" s="18" t="n">
        <v>383.76</v>
      </c>
      <c r="O71" s="18" t="n">
        <v>6150.43</v>
      </c>
      <c r="P71" s="34" t="n">
        <v>7788.1</v>
      </c>
      <c r="Q71" s="18" t="n">
        <v>38333.94</v>
      </c>
      <c r="R71" s="18" t="n">
        <v>-2438.52</v>
      </c>
      <c r="S71" s="18" t="n">
        <v>324.35</v>
      </c>
      <c r="T71" s="18" t="n">
        <v>1118.07</v>
      </c>
      <c r="U71" s="34" t="n">
        <v>37337.84</v>
      </c>
      <c r="V71" s="18" t="n">
        <v>2326.58</v>
      </c>
      <c r="W71" s="18" t="n">
        <v>4027.27</v>
      </c>
      <c r="X71" s="18" t="n">
        <v>4124.25</v>
      </c>
      <c r="Y71" s="18" t="n">
        <v>5565.26</v>
      </c>
      <c r="Z71" s="34" t="n">
        <v>16043.36</v>
      </c>
      <c r="AA71" s="18" t="n">
        <v>4550.38</v>
      </c>
      <c r="AB71" s="19" t="n">
        <v>4296.39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45063.61</v>
      </c>
      <c r="F72" s="9" t="n"/>
      <c r="G72" s="18" t="n">
        <v>680.75</v>
      </c>
      <c r="H72" s="18" t="n">
        <v>5967.52</v>
      </c>
      <c r="I72" s="18" t="n">
        <v>6080.09</v>
      </c>
      <c r="J72" s="18" t="n">
        <v>404.9</v>
      </c>
      <c r="K72" s="34" t="n">
        <v>13133.26</v>
      </c>
      <c r="L72" s="18" t="n">
        <v>-103</v>
      </c>
      <c r="M72" s="18" t="n">
        <v>1299.43</v>
      </c>
      <c r="N72" s="18" t="n">
        <v>369.98</v>
      </c>
      <c r="O72" s="18" t="n">
        <v>5803.62</v>
      </c>
      <c r="P72" s="34" t="n">
        <v>7370.03</v>
      </c>
      <c r="Q72" s="18" t="n">
        <v>49141.6</v>
      </c>
      <c r="R72" s="18" t="n">
        <v>34279.7</v>
      </c>
      <c r="S72" s="18" t="n">
        <v>-13500.57</v>
      </c>
      <c r="T72" s="18" t="n">
        <v>32679.92</v>
      </c>
      <c r="U72" s="34" t="n">
        <v>102600.65</v>
      </c>
      <c r="V72" s="18" t="n">
        <v>26837.61</v>
      </c>
      <c r="W72" s="18" t="n">
        <v>20555.95</v>
      </c>
      <c r="X72" s="18" t="n">
        <v>42464.27</v>
      </c>
      <c r="Y72" s="18" t="n">
        <v>4130.33</v>
      </c>
      <c r="Z72" s="34" t="n">
        <v>93988.16</v>
      </c>
      <c r="AA72" s="18" t="n">
        <v>5094.29</v>
      </c>
      <c r="AB72" s="19" t="n">
        <v>11188.07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50134.16</v>
      </c>
      <c r="F73" s="9" t="n"/>
      <c r="G73" s="18" t="n">
        <v>-566.61</v>
      </c>
      <c r="H73" s="18" t="n">
        <v>4746.35</v>
      </c>
      <c r="I73" s="18" t="n">
        <v>4962.9</v>
      </c>
      <c r="J73" s="18" t="n">
        <v>-1196.29</v>
      </c>
      <c r="K73" s="34" t="n">
        <v>7946.35</v>
      </c>
      <c r="L73" s="18" t="n">
        <v>-1408.99</v>
      </c>
      <c r="M73" s="18" t="n">
        <v>-233.92</v>
      </c>
      <c r="N73" s="18" t="n">
        <v>-1261.9</v>
      </c>
      <c r="O73" s="18" t="n">
        <v>10976.61</v>
      </c>
      <c r="P73" s="34" t="n">
        <v>8071.8</v>
      </c>
      <c r="Q73" s="18" t="n">
        <v>-1063.49</v>
      </c>
      <c r="R73" s="18" t="n">
        <v>-6743.93</v>
      </c>
      <c r="S73" s="18" t="n">
        <v>-362.73</v>
      </c>
      <c r="T73" s="18" t="n">
        <v>-375.41</v>
      </c>
      <c r="U73" s="34" t="n">
        <v>-8545.559999999999</v>
      </c>
      <c r="V73" s="18" t="n">
        <v>376.11</v>
      </c>
      <c r="W73" s="18" t="n">
        <v>508.85</v>
      </c>
      <c r="X73" s="18" t="n">
        <v>559.45</v>
      </c>
      <c r="Y73" s="18" t="n">
        <v>939.23</v>
      </c>
      <c r="Z73" s="34" t="n">
        <v>2383.64</v>
      </c>
      <c r="AA73" s="18" t="n">
        <v>882.6</v>
      </c>
      <c r="AB73" s="19" t="n">
        <v>739.75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-127.44</v>
      </c>
      <c r="F74" s="9" t="n"/>
      <c r="G74" s="18" t="n">
        <v>27.84</v>
      </c>
      <c r="H74" s="18" t="n">
        <v>-71.26000000000001</v>
      </c>
      <c r="I74" s="18" t="n">
        <v>123.59</v>
      </c>
      <c r="J74" s="18" t="n">
        <v>-195</v>
      </c>
      <c r="K74" s="34" t="n">
        <v>-114.83</v>
      </c>
      <c r="L74" s="18" t="n">
        <v>144.79</v>
      </c>
      <c r="M74" s="18" t="n">
        <v>-38.87</v>
      </c>
      <c r="N74" s="18" t="n">
        <v>554.79</v>
      </c>
      <c r="O74" s="18" t="n">
        <v>-5568.84</v>
      </c>
      <c r="P74" s="34" t="n">
        <v>-4908.13</v>
      </c>
      <c r="Q74" s="18" t="n">
        <v>47804.6</v>
      </c>
      <c r="R74" s="18" t="n">
        <v>-794.15</v>
      </c>
      <c r="S74" s="18" t="n">
        <v>56.23</v>
      </c>
      <c r="T74" s="18" t="n">
        <v>-65.70999999999999</v>
      </c>
      <c r="U74" s="34" t="n">
        <v>47000.97</v>
      </c>
      <c r="V74" s="18" t="n">
        <v>-125.15</v>
      </c>
      <c r="W74" s="18" t="n">
        <v>220.67</v>
      </c>
      <c r="X74" s="18" t="n">
        <v>57.72</v>
      </c>
      <c r="Y74" s="18" t="n">
        <v>1355.22</v>
      </c>
      <c r="Z74" s="34" t="n">
        <v>1508.46</v>
      </c>
      <c r="AA74" s="18" t="n">
        <v>147.51</v>
      </c>
      <c r="AB74" s="19" t="n">
        <v>63.43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39731.53</v>
      </c>
      <c r="F75" s="9" t="n"/>
      <c r="G75" s="18" t="n">
        <v>686.4</v>
      </c>
      <c r="H75" s="18" t="n">
        <v>5974.5</v>
      </c>
      <c r="I75" s="18" t="n">
        <v>6080.39</v>
      </c>
      <c r="J75" s="18" t="n">
        <v>-347.27</v>
      </c>
      <c r="K75" s="34" t="n">
        <v>12394.02</v>
      </c>
      <c r="L75" s="18" t="n">
        <v>-73.02</v>
      </c>
      <c r="M75" s="18" t="n">
        <v>1326.93</v>
      </c>
      <c r="N75" s="18" t="n">
        <v>383.76</v>
      </c>
      <c r="O75" s="18" t="n">
        <v>6150.43</v>
      </c>
      <c r="P75" s="34" t="n">
        <v>7788.1</v>
      </c>
      <c r="Q75" s="18" t="n">
        <v>38333.94</v>
      </c>
      <c r="R75" s="18" t="n">
        <v>-2438.52</v>
      </c>
      <c r="S75" s="18" t="n">
        <v>324.35</v>
      </c>
      <c r="T75" s="18" t="n">
        <v>1118.07</v>
      </c>
      <c r="U75" s="34" t="n">
        <v>37337.84</v>
      </c>
      <c r="V75" s="18" t="n">
        <v>2326.58</v>
      </c>
      <c r="W75" s="18" t="n">
        <v>4027.27</v>
      </c>
      <c r="X75" s="18" t="n">
        <v>4124.25</v>
      </c>
      <c r="Y75" s="18" t="n">
        <v>5565.26</v>
      </c>
      <c r="Z75" s="34" t="n">
        <v>16043.36</v>
      </c>
      <c r="AA75" s="18" t="n">
        <v>4550.38</v>
      </c>
      <c r="AB75" s="19" t="n">
        <v>4296.39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4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4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4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4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49071.91</v>
      </c>
      <c r="F77" s="9" t="n"/>
      <c r="G77" s="18" t="n">
        <v>-4235.89</v>
      </c>
      <c r="H77" s="18" t="n">
        <v>301.02</v>
      </c>
      <c r="I77" s="18" t="n">
        <v>5007.33</v>
      </c>
      <c r="J77" s="18" t="n">
        <v>508.59</v>
      </c>
      <c r="K77" s="34" t="n">
        <v>1581.05</v>
      </c>
      <c r="L77" s="18" t="n">
        <v>1008.91</v>
      </c>
      <c r="M77" s="18" t="n">
        <v>3564.33</v>
      </c>
      <c r="N77" s="18" t="n">
        <v>1129.91</v>
      </c>
      <c r="O77" s="18" t="n">
        <v>11260.49</v>
      </c>
      <c r="P77" s="34" t="n">
        <v>16963.64</v>
      </c>
      <c r="Q77" s="18" t="n">
        <v>2243.93</v>
      </c>
      <c r="R77" s="18" t="n">
        <v>2498.81</v>
      </c>
      <c r="S77" s="18" t="n">
        <v>5904.67</v>
      </c>
      <c r="T77" s="18" t="n">
        <v>-124.48</v>
      </c>
      <c r="U77" s="34" t="n">
        <v>10522.93</v>
      </c>
      <c r="V77" s="18" t="n">
        <v>-2239.13</v>
      </c>
      <c r="W77" s="18" t="n">
        <v>1894.71</v>
      </c>
      <c r="X77" s="18" t="n">
        <v>5145.55</v>
      </c>
      <c r="Y77" s="18" t="n">
        <v>1358.22</v>
      </c>
      <c r="Z77" s="34" t="n">
        <v>6159.35</v>
      </c>
      <c r="AA77" s="18" t="n">
        <v>-11212.07</v>
      </c>
      <c r="AB77" s="19" t="n">
        <v>-12358.9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감가상각비</t>
        </is>
      </c>
      <c r="E78" s="18" t="n">
        <v>1127.51</v>
      </c>
      <c r="F78" s="9" t="n"/>
      <c r="G78" s="18" t="n">
        <v>985.5700000000001</v>
      </c>
      <c r="H78" s="18" t="n">
        <v>1009.53</v>
      </c>
      <c r="I78" s="18" t="n">
        <v>1015.88</v>
      </c>
      <c r="J78" s="18" t="n">
        <v>1018.69</v>
      </c>
      <c r="K78" s="34" t="n">
        <v>4029.67</v>
      </c>
      <c r="L78" s="18" t="n">
        <v>874.52</v>
      </c>
      <c r="M78" s="18" t="n">
        <v>1051.45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-14.41</v>
      </c>
      <c r="F79" s="9" t="n"/>
      <c r="G79" s="18" t="n">
        <v>-5748.93</v>
      </c>
      <c r="H79" s="18" t="n">
        <v>-6904.12</v>
      </c>
      <c r="I79" s="18" t="n">
        <v>-439.96</v>
      </c>
      <c r="J79" s="18" t="n">
        <v>-10.88</v>
      </c>
      <c r="K79" s="34" t="n">
        <v>-13103.89</v>
      </c>
      <c r="L79" s="18" t="n">
        <v>-394.54</v>
      </c>
      <c r="M79" s="18" t="n">
        <v>-382.27</v>
      </c>
      <c r="N79" s="18" t="n">
        <v>-224.86</v>
      </c>
      <c r="O79" s="18" t="n">
        <v>-317.88</v>
      </c>
      <c r="P79" s="34" t="n">
        <v>-1319.55</v>
      </c>
      <c r="Q79" s="18" t="n">
        <v>205.93</v>
      </c>
      <c r="R79" s="18" t="n">
        <v>212.38</v>
      </c>
      <c r="S79" s="18" t="n">
        <v>-124.61</v>
      </c>
      <c r="T79" s="18" t="n">
        <v>-78.19</v>
      </c>
      <c r="U79" s="34" t="n">
        <v>215.51</v>
      </c>
      <c r="V79" s="18" t="n">
        <v>-4972.05</v>
      </c>
      <c r="W79" s="18" t="n">
        <v>-5792.41</v>
      </c>
      <c r="X79" s="18" t="n">
        <v>-2665.65</v>
      </c>
      <c r="Y79" s="18" t="n">
        <v>-2447.38</v>
      </c>
      <c r="Z79" s="34" t="n">
        <v>-15877.49</v>
      </c>
      <c r="AA79" s="18" t="n">
        <v>-15747.57</v>
      </c>
      <c r="AB79" s="19" t="n">
        <v>-18973.39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-45894.73</v>
      </c>
      <c r="F80" s="9" t="n"/>
      <c r="G80" s="18" t="n">
        <v>-234.64</v>
      </c>
      <c r="H80" s="18" t="n">
        <v>26.87</v>
      </c>
      <c r="I80" s="18" t="n">
        <v>-29022.63</v>
      </c>
      <c r="J80" s="18" t="n">
        <v>-2285.1</v>
      </c>
      <c r="K80" s="34" t="n">
        <v>-31515.5</v>
      </c>
      <c r="L80" s="18" t="n">
        <v>-2728.27</v>
      </c>
      <c r="M80" s="18" t="n">
        <v>-3758.1</v>
      </c>
      <c r="N80" s="18" t="n">
        <v>9364.73</v>
      </c>
      <c r="O80" s="18" t="n">
        <v>-1745.67</v>
      </c>
      <c r="P80" s="34" t="n">
        <v>1132.69</v>
      </c>
      <c r="Q80" s="18" t="n">
        <v>17695.68</v>
      </c>
      <c r="R80" s="18" t="n">
        <v>-30030.6</v>
      </c>
      <c r="S80" s="18" t="n">
        <v>-907.73</v>
      </c>
      <c r="T80" s="18" t="n">
        <v>4219.84</v>
      </c>
      <c r="U80" s="34" t="n">
        <v>-9022.809999999999</v>
      </c>
      <c r="V80" s="18" t="n">
        <v>30126.19</v>
      </c>
      <c r="W80" s="18" t="n">
        <v>24599.93</v>
      </c>
      <c r="X80" s="18" t="n">
        <v>20240.34</v>
      </c>
      <c r="Y80" s="18" t="n">
        <v>6838.64</v>
      </c>
      <c r="Z80" s="34" t="n">
        <v>81805.10000000001</v>
      </c>
      <c r="AA80" s="18" t="n">
        <v>12403.82</v>
      </c>
      <c r="AB80" s="19" t="n">
        <v>33095.98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K81" s="9" t="n"/>
      <c r="N81" s="18" t="n">
        <v>0</v>
      </c>
      <c r="O81" s="18" t="n">
        <v>0</v>
      </c>
      <c r="P81" s="9" t="n"/>
      <c r="Q81" s="18" t="n">
        <v>89</v>
      </c>
      <c r="R81" s="18" t="n">
        <v>0</v>
      </c>
      <c r="S81" s="18" t="n">
        <v>1</v>
      </c>
      <c r="T81" s="18" t="n">
        <v>0</v>
      </c>
      <c r="U81" s="34" t="n">
        <v>90</v>
      </c>
      <c r="V81" s="18" t="n">
        <v>0</v>
      </c>
      <c r="W81" s="18" t="n">
        <v>400</v>
      </c>
      <c r="X81" s="18" t="n">
        <v>25</v>
      </c>
      <c r="Y81" s="18" t="n">
        <v>0</v>
      </c>
      <c r="Z81" s="34" t="n">
        <v>425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292.39</v>
      </c>
      <c r="F82" s="9" t="n"/>
      <c r="G82" s="18" t="n">
        <v>222.63</v>
      </c>
      <c r="H82" s="18" t="n">
        <v>226.98</v>
      </c>
      <c r="I82" s="18" t="n">
        <v>96.45999999999999</v>
      </c>
      <c r="J82" s="18" t="n">
        <v>230.9</v>
      </c>
      <c r="K82" s="34" t="n">
        <v>776.97</v>
      </c>
      <c r="L82" s="18" t="n">
        <v>253.14</v>
      </c>
      <c r="M82" s="18" t="n">
        <v>242.95</v>
      </c>
      <c r="N82" s="18" t="n">
        <v>480.26</v>
      </c>
      <c r="O82" s="18" t="n">
        <v>597.1900000000001</v>
      </c>
      <c r="P82" s="34" t="n">
        <v>1573.54</v>
      </c>
      <c r="Q82" s="18" t="n">
        <v>434.15</v>
      </c>
      <c r="R82" s="18" t="n">
        <v>906.65</v>
      </c>
      <c r="S82" s="18" t="n">
        <v>961.54</v>
      </c>
      <c r="T82" s="18" t="n">
        <v>531.95</v>
      </c>
      <c r="U82" s="34" t="n">
        <v>2834.29</v>
      </c>
      <c r="V82" s="18" t="n">
        <v>1900.29</v>
      </c>
      <c r="W82" s="18" t="n">
        <v>1097.21</v>
      </c>
      <c r="X82" s="18" t="n">
        <v>895.42</v>
      </c>
      <c r="Y82" s="18" t="n">
        <v>2473.34</v>
      </c>
      <c r="Z82" s="34" t="n">
        <v>6366.26</v>
      </c>
      <c r="AA82" s="18" t="n">
        <v>315.28</v>
      </c>
      <c r="AB82" s="19" t="n">
        <v>286.8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4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4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4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4" t="n">
        <v>6366.26</v>
      </c>
      <c r="AA83" s="18" t="n">
        <v>723.28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177.98</v>
      </c>
      <c r="F84" s="9" t="n"/>
      <c r="G84" s="18" t="n">
        <v>1582.36</v>
      </c>
      <c r="H84" s="18" t="n">
        <v>18983.05</v>
      </c>
      <c r="I84" s="18" t="n">
        <v>-16.95</v>
      </c>
      <c r="J84" s="18" t="n">
        <v>-16.95</v>
      </c>
      <c r="K84" s="34" t="n">
        <v>20531.51</v>
      </c>
      <c r="L84" s="18" t="n">
        <v>-20.28</v>
      </c>
      <c r="M84" s="18" t="n">
        <v>-22.11</v>
      </c>
      <c r="N84" s="18" t="n">
        <v>3702.15</v>
      </c>
      <c r="O84" s="18" t="n">
        <v>-917.84</v>
      </c>
      <c r="P84" s="34" t="n">
        <v>2741.92</v>
      </c>
      <c r="Q84" s="18" t="n">
        <v>-25426.22</v>
      </c>
      <c r="R84" s="18" t="n">
        <v>12244.8</v>
      </c>
      <c r="S84" s="18" t="n">
        <v>-2267.79</v>
      </c>
      <c r="T84" s="18" t="n">
        <v>-4826.31</v>
      </c>
      <c r="U84" s="34" t="n">
        <v>-20275.52</v>
      </c>
      <c r="V84" s="18" t="n">
        <v>-11439.37</v>
      </c>
      <c r="W84" s="18" t="n">
        <v>-32804.28</v>
      </c>
      <c r="X84" s="18" t="n">
        <v>-25072.1</v>
      </c>
      <c r="Y84" s="18" t="n">
        <v>-12004.54</v>
      </c>
      <c r="Z84" s="34" t="n">
        <v>-81320.28999999999</v>
      </c>
      <c r="AA84" s="18" t="n">
        <v>-2793.9</v>
      </c>
      <c r="AB84" s="19" t="n">
        <v>-20831.71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차입금의감소</t>
        </is>
      </c>
      <c r="E85" s="18" t="n">
        <v>16.95</v>
      </c>
      <c r="F85" s="9" t="n"/>
      <c r="G85" s="18" t="n">
        <v>416.95</v>
      </c>
      <c r="H85" s="18" t="n">
        <v>16.95</v>
      </c>
      <c r="I85" s="18" t="n">
        <v>16.95</v>
      </c>
      <c r="J85" s="18" t="n">
        <v>16.95</v>
      </c>
      <c r="K85" s="34" t="n">
        <v>467.8</v>
      </c>
      <c r="L85" s="18" t="n">
        <v>16.95</v>
      </c>
      <c r="M85" s="18" t="n">
        <v>10016.95</v>
      </c>
      <c r="N85" s="18" t="n">
        <v>16.95</v>
      </c>
      <c r="O85" s="18" t="n">
        <v>6016.95</v>
      </c>
      <c r="P85" s="34" t="n">
        <v>16067.8</v>
      </c>
      <c r="Q85" s="18" t="n">
        <v>15016.95</v>
      </c>
      <c r="R85" s="18" t="n">
        <v>39016.95</v>
      </c>
      <c r="S85" s="18" t="n">
        <v>25300</v>
      </c>
      <c r="T85" s="18" t="n">
        <v>24000</v>
      </c>
      <c r="U85" s="34" t="n">
        <v>103333.9</v>
      </c>
      <c r="V85" s="18" t="n">
        <v>10000</v>
      </c>
      <c r="W85" s="18" t="n">
        <v>25000</v>
      </c>
      <c r="X85" s="18" t="n">
        <v>15650</v>
      </c>
      <c r="Y85" s="18" t="n">
        <v>12000</v>
      </c>
      <c r="Z85" s="34" t="n">
        <v>62650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6709.37</v>
      </c>
      <c r="F86" s="9" t="n"/>
      <c r="G86" s="18" t="n">
        <v>-5750.49</v>
      </c>
      <c r="H86" s="18" t="n">
        <v>38623.48</v>
      </c>
      <c r="I86" s="18" t="n">
        <v>-48026.69</v>
      </c>
      <c r="J86" s="18" t="n">
        <v>-3633.33</v>
      </c>
      <c r="K86" s="34" t="n">
        <v>-18787.03</v>
      </c>
      <c r="L86" s="18" t="n">
        <v>-3455.56</v>
      </c>
      <c r="M86" s="18" t="n">
        <v>-471.68</v>
      </c>
      <c r="N86" s="18" t="n">
        <v>28397.71</v>
      </c>
      <c r="O86" s="18" t="n">
        <v>17192.84</v>
      </c>
      <c r="P86" s="34" t="n">
        <v>41663.31</v>
      </c>
      <c r="Q86" s="18" t="n">
        <v>-10993.92</v>
      </c>
      <c r="R86" s="18" t="n">
        <v>-30594.82</v>
      </c>
      <c r="S86" s="18" t="n">
        <v>5509.69</v>
      </c>
      <c r="T86" s="18" t="n">
        <v>-1440.77</v>
      </c>
      <c r="U86" s="34" t="n">
        <v>-37519.82</v>
      </c>
      <c r="V86" s="18" t="n">
        <v>32913.55</v>
      </c>
      <c r="W86" s="18" t="n">
        <v>-12663.22</v>
      </c>
      <c r="X86" s="18" t="n">
        <v>656.75</v>
      </c>
      <c r="Y86" s="18" t="n">
        <v>-14297.16</v>
      </c>
      <c r="Z86" s="34" t="n">
        <v>6609.92</v>
      </c>
      <c r="AA86" s="18" t="n">
        <v>-1569.99</v>
      </c>
      <c r="AB86" s="19" t="n">
        <v>-123.11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3354.21</v>
      </c>
      <c r="F87" s="9" t="n"/>
      <c r="G87" s="18" t="n">
        <v>11519.71</v>
      </c>
      <c r="H87" s="18" t="n">
        <v>19312.54</v>
      </c>
      <c r="I87" s="18" t="n">
        <v>-23994.44</v>
      </c>
      <c r="J87" s="18" t="n">
        <v>-1839.87</v>
      </c>
      <c r="K87" s="34" t="n">
        <v>4997.94</v>
      </c>
      <c r="L87" s="18" t="n">
        <v>3282.03</v>
      </c>
      <c r="M87" s="18" t="n">
        <v>-255.81</v>
      </c>
      <c r="N87" s="18" t="n">
        <v>14200.92</v>
      </c>
      <c r="O87" s="18" t="n">
        <v>8595.860000000001</v>
      </c>
      <c r="P87" s="34" t="n">
        <v>25823</v>
      </c>
      <c r="Q87" s="18" t="n">
        <v>20315.68</v>
      </c>
      <c r="R87" s="18" t="n">
        <v>-15307.82</v>
      </c>
      <c r="S87" s="18" t="n">
        <v>2780.54</v>
      </c>
      <c r="T87" s="18" t="n">
        <v>-709.83</v>
      </c>
      <c r="U87" s="34" t="n">
        <v>7078.57</v>
      </c>
      <c r="V87" s="18" t="n">
        <v>23544.42</v>
      </c>
      <c r="W87" s="18" t="n">
        <v>-6353.57</v>
      </c>
      <c r="X87" s="18" t="n">
        <v>342.95</v>
      </c>
      <c r="Y87" s="18" t="n">
        <v>-3845.31</v>
      </c>
      <c r="Z87" s="34" t="n">
        <v>13688.49</v>
      </c>
      <c r="AA87" s="18" t="n">
        <v>12118.5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I88" s="18" t="n">
        <v>6000</v>
      </c>
      <c r="J88" s="18" t="n">
        <v>0</v>
      </c>
      <c r="K88" s="9" t="n"/>
      <c r="P88" s="9" t="n"/>
      <c r="U88" s="9" t="n"/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329.02</v>
      </c>
      <c r="P89" s="9" t="n"/>
      <c r="Q89" s="18" t="n">
        <v>303.82</v>
      </c>
      <c r="R89" s="18" t="n">
        <v>308.03</v>
      </c>
      <c r="S89" s="18" t="n">
        <v>321.97</v>
      </c>
      <c r="T89" s="18" t="n">
        <v>187.7</v>
      </c>
      <c r="U89" s="34" t="n">
        <v>1121.52</v>
      </c>
      <c r="V89" s="18" t="n">
        <v>1068.65</v>
      </c>
      <c r="W89" s="18" t="n">
        <v>289.12</v>
      </c>
      <c r="X89" s="18" t="n">
        <v>1299.07</v>
      </c>
      <c r="Y89" s="18" t="n">
        <v>271.55</v>
      </c>
      <c r="Z89" s="34" t="n">
        <v>2928.39</v>
      </c>
      <c r="AA89" s="18" t="n">
        <v>2816.29</v>
      </c>
      <c r="AB89" s="19" t="n">
        <v>502.83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F90" s="9" t="n"/>
      <c r="K90" s="9" t="n"/>
      <c r="P90" s="9" t="n"/>
      <c r="Q90" s="18" t="n">
        <v>20401.36</v>
      </c>
      <c r="R90" s="18" t="n">
        <v>0</v>
      </c>
      <c r="S90" s="18" t="n">
        <v>0</v>
      </c>
      <c r="T90" s="18" t="n">
        <v>0</v>
      </c>
      <c r="U90" s="34" t="n">
        <v>20401.36</v>
      </c>
      <c r="V90" s="18" t="n">
        <v>0</v>
      </c>
      <c r="W90" s="18" t="n">
        <v>6526.16</v>
      </c>
      <c r="X90" s="18" t="n">
        <v>9232.879999999999</v>
      </c>
      <c r="Y90" s="18" t="n">
        <v>0</v>
      </c>
      <c r="Z90" s="34" t="n">
        <v>15759.04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K91" s="9" t="n"/>
      <c r="P91" s="9" t="n"/>
      <c r="U91" s="9" t="n"/>
      <c r="Z91" s="9" t="n"/>
      <c r="AA91" s="18" t="n">
        <v>408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F92" s="9" t="n"/>
      <c r="K92" s="9" t="n"/>
      <c r="P92" s="9" t="n"/>
      <c r="U92" s="9" t="n"/>
      <c r="Z92" s="9" t="n"/>
      <c r="AA92" s="18" t="n">
        <v>4.57</v>
      </c>
      <c r="AB92" s="19" t="n">
        <v>4.6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Z93" s="9" t="n"/>
      <c r="AA93" s="18" t="n">
        <v>2789.32</v>
      </c>
      <c r="AB93" s="19" t="n">
        <v>2210.68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0.0911</v>
      </c>
      <c r="F10" s="34" t="n"/>
      <c r="G10" s="18" t="n">
        <v>0.06660000000000001</v>
      </c>
      <c r="H10" s="18" t="n">
        <v>0.0761</v>
      </c>
      <c r="I10" s="18" t="n">
        <v>0.0536</v>
      </c>
      <c r="J10" s="18" t="n">
        <v>0.07049999999999999</v>
      </c>
      <c r="K10" s="34">
        <f>SUM(G10:J10)</f>
        <v/>
      </c>
      <c r="L10" s="18" t="n">
        <v>0.0444</v>
      </c>
      <c r="M10" s="18" t="n">
        <v>0.0547</v>
      </c>
      <c r="N10" s="18" t="n">
        <v>0.0531</v>
      </c>
      <c r="O10" s="18" t="n">
        <v>-0.0217</v>
      </c>
      <c r="P10" s="34">
        <f>SUM(L10:O10)</f>
        <v/>
      </c>
      <c r="Q10" s="18" t="n">
        <v>0.0529</v>
      </c>
      <c r="R10" s="18" t="n">
        <v>0.1789</v>
      </c>
      <c r="S10" s="18" t="n">
        <v>0.0578</v>
      </c>
      <c r="T10" s="18" t="n">
        <v>0.1346</v>
      </c>
      <c r="U10" s="34">
        <f>SUM(Q10:T10)</f>
        <v/>
      </c>
      <c r="V10" s="18" t="n">
        <v>0.09320000000000001</v>
      </c>
      <c r="W10" s="18" t="n">
        <v>0.1752</v>
      </c>
      <c r="X10" s="18" t="n">
        <v>0.169</v>
      </c>
      <c r="Y10" s="18" t="n">
        <v>0.1413</v>
      </c>
      <c r="Z10" s="34">
        <f>SUM(V10:Y10)</f>
        <v/>
      </c>
      <c r="AA10" s="18" t="n">
        <v>0.1602</v>
      </c>
      <c r="AB10" s="19" t="n">
        <v>0.1613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 t="n"/>
      <c r="Z14" s="34">
        <f>SUM(V14:Y14)</f>
        <v/>
      </c>
      <c r="AA14" s="18" t="n"/>
      <c r="AB14" s="19" t="n"/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 t="n"/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33.97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16.36</v>
      </c>
      <c r="AD19" s="20" t="n">
        <v>16.36</v>
      </c>
      <c r="AE19" s="35">
        <f>SUM(AA19:AD19)</f>
        <v/>
      </c>
      <c r="AF19" s="20" t="n">
        <v>16.36</v>
      </c>
      <c r="AG19" s="20" t="n">
        <v>16.36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50.26</v>
      </c>
      <c r="F20" s="34" t="n"/>
      <c r="G20" s="18" t="n">
        <v>43.15</v>
      </c>
      <c r="H20" s="18" t="n">
        <v>40.79</v>
      </c>
      <c r="I20" s="18" t="n">
        <v>35.23</v>
      </c>
      <c r="J20" s="18" t="n">
        <v>45.75</v>
      </c>
      <c r="K20" s="34">
        <f>SUM(G20:J20)</f>
        <v/>
      </c>
      <c r="L20" s="18" t="n">
        <v>29.73</v>
      </c>
      <c r="M20" s="18" t="n">
        <v>34.54</v>
      </c>
      <c r="N20" s="18" t="n"/>
      <c r="O20" s="18" t="n"/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70.13</v>
      </c>
      <c r="AD20" s="20" t="n">
        <v>57.29</v>
      </c>
      <c r="AE20" s="35">
        <f>SUM(AA20:AD20)</f>
        <v/>
      </c>
      <c r="AF20" s="20" t="n">
        <v>82.17</v>
      </c>
      <c r="AG20" s="20" t="n">
        <v>86.79000000000001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 t="n"/>
      <c r="W25" s="18" t="n"/>
      <c r="X25" s="18" t="n"/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 t="n"/>
      <c r="W26" s="18" t="n"/>
      <c r="X26" s="18" t="n"/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22.55</v>
      </c>
      <c r="F30" s="34" t="n"/>
      <c r="G30" s="18" t="n">
        <v>-521.33</v>
      </c>
      <c r="H30" s="18" t="n">
        <v>472.19</v>
      </c>
      <c r="I30" s="18" t="n">
        <v>24.31</v>
      </c>
      <c r="J30" s="18" t="n">
        <v>-18.04</v>
      </c>
      <c r="K30" s="34">
        <f>SUM(G30:J30)</f>
        <v/>
      </c>
      <c r="L30" s="18" t="n">
        <v>-31.17</v>
      </c>
      <c r="M30" s="18" t="n">
        <v>-10.69</v>
      </c>
      <c r="N30" s="18" t="n">
        <v>108.09</v>
      </c>
      <c r="O30" s="18" t="n">
        <v>20.69</v>
      </c>
      <c r="P30" s="34">
        <f>SUM(L30:O30)</f>
        <v/>
      </c>
      <c r="Q30" s="18" t="n">
        <v>107.47</v>
      </c>
      <c r="R30" s="18" t="n">
        <v>27.01</v>
      </c>
      <c r="S30" s="18" t="n">
        <v>59.02</v>
      </c>
      <c r="T30" s="18" t="n">
        <v>-6.91</v>
      </c>
      <c r="U30" s="34">
        <f>SUM(Q30:T30)</f>
        <v/>
      </c>
      <c r="V30" s="18" t="n">
        <v>-19.22</v>
      </c>
      <c r="W30" s="18" t="n">
        <v>5.92</v>
      </c>
      <c r="X30" s="18" t="n">
        <v>39.54</v>
      </c>
      <c r="Y30" s="18" t="n">
        <v>25.18</v>
      </c>
      <c r="Z30" s="34">
        <f>SUM(V30:Y30)</f>
        <v/>
      </c>
      <c r="AA30" s="18" t="n">
        <v>-97.16</v>
      </c>
      <c r="AB30" s="19" t="n">
        <v>-108.67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9.180999999999999</v>
      </c>
      <c r="F31" s="27">
        <f>E31</f>
        <v/>
      </c>
      <c r="G31" s="26" t="n">
        <v>9.332000000000001</v>
      </c>
      <c r="H31" s="26" t="n">
        <v>9.332000000000001</v>
      </c>
      <c r="I31" s="26" t="n">
        <v>9.332000000000001</v>
      </c>
      <c r="J31" s="26" t="n">
        <v>9.332000000000001</v>
      </c>
      <c r="K31" s="27">
        <f>J31</f>
        <v/>
      </c>
      <c r="L31" s="26" t="n">
        <v>9.332000000000001</v>
      </c>
      <c r="M31" s="26" t="n">
        <v>9.332000000000001</v>
      </c>
      <c r="N31" s="26" t="n">
        <v>9.151999999999999</v>
      </c>
      <c r="O31" s="26" t="n">
        <v>9.067</v>
      </c>
      <c r="P31" s="27">
        <f>O31</f>
        <v/>
      </c>
      <c r="Q31" s="26" t="n">
        <v>9.067</v>
      </c>
      <c r="R31" s="26" t="n">
        <v>9.616</v>
      </c>
      <c r="S31" s="26" t="n">
        <v>9.616</v>
      </c>
      <c r="T31" s="26" t="n">
        <v>9.323</v>
      </c>
      <c r="U31" s="27">
        <f>T31</f>
        <v/>
      </c>
      <c r="V31" s="26" t="n">
        <v>9.273999999999999</v>
      </c>
      <c r="W31" s="26" t="n">
        <v>9.238</v>
      </c>
      <c r="X31" s="26" t="n">
        <v>9.233000000000001</v>
      </c>
      <c r="Y31" s="26" t="n">
        <v>9.233000000000001</v>
      </c>
      <c r="Z31" s="27">
        <f>Y31</f>
        <v/>
      </c>
      <c r="AA31" s="26" t="n">
        <v>9.176</v>
      </c>
      <c r="AB31" s="28" t="n">
        <v>45.695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2250</v>
      </c>
      <c r="P34" s="34">
        <f>SUM(L34:O34)</f>
        <v/>
      </c>
      <c r="Q34" s="18" t="n"/>
      <c r="R34" s="18" t="n"/>
      <c r="S34" s="18" t="n"/>
      <c r="T34" s="18" t="n">
        <v>700</v>
      </c>
      <c r="U34" s="34">
        <f>SUM(Q34:T34)</f>
        <v/>
      </c>
      <c r="V34" s="18" t="n"/>
      <c r="W34" s="18" t="n"/>
      <c r="X34" s="18" t="n"/>
      <c r="Y34" s="18" t="n">
        <v>750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/>
      <c r="K35" s="34">
        <f>SUM(G35:J35)</f>
        <v/>
      </c>
      <c r="L35" s="18" t="n"/>
      <c r="M35" s="18" t="n"/>
      <c r="N35" s="18" t="n"/>
      <c r="O35" s="18" t="n">
        <v>7.41</v>
      </c>
      <c r="P35" s="34">
        <f>SUM(L35:O35)</f>
        <v/>
      </c>
      <c r="Q35" s="18" t="n">
        <v>0.38</v>
      </c>
      <c r="R35" s="18" t="n">
        <v>0.52</v>
      </c>
      <c r="S35" s="18" t="n">
        <v>0.75</v>
      </c>
      <c r="T35" s="18" t="n">
        <v>1.16</v>
      </c>
      <c r="U35" s="34">
        <f>SUM(Q35:T35)</f>
        <v/>
      </c>
      <c r="V35" s="18" t="n"/>
      <c r="W35" s="18" t="n">
        <v>4.44</v>
      </c>
      <c r="X35" s="18" t="n">
        <v>8.300000000000001</v>
      </c>
      <c r="Y35" s="18" t="n">
        <v>3.74</v>
      </c>
      <c r="Z35" s="34">
        <f>SUM(V35:Y35)</f>
        <v/>
      </c>
      <c r="AA35" s="18" t="n">
        <v>2.45</v>
      </c>
      <c r="AB35" s="19" t="n">
        <v>5.5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0.11</v>
      </c>
      <c r="F36" s="34" t="n">
        <v>0.13</v>
      </c>
      <c r="G36" s="18" t="n">
        <v>0.15</v>
      </c>
      <c r="H36" s="18" t="n">
        <v>0.17</v>
      </c>
      <c r="I36" s="18" t="n">
        <v>0.16</v>
      </c>
      <c r="J36" s="18" t="n">
        <v>0.14</v>
      </c>
      <c r="K36" s="34">
        <f>SUM(G36:J36)</f>
        <v/>
      </c>
      <c r="L36" s="18" t="n">
        <v>0.13</v>
      </c>
      <c r="M36" s="18" t="n">
        <v>0.12</v>
      </c>
      <c r="N36" s="18" t="n">
        <v>0.13</v>
      </c>
      <c r="O36" s="18" t="n">
        <v>0.12</v>
      </c>
      <c r="P36" s="34">
        <f>SUM(L36:O36)</f>
        <v/>
      </c>
      <c r="Q36" s="18" t="n">
        <v>0.1</v>
      </c>
      <c r="R36" s="18" t="n">
        <v>0.11</v>
      </c>
      <c r="S36" s="18" t="n">
        <v>0.17</v>
      </c>
      <c r="T36" s="18" t="n">
        <v>0.19</v>
      </c>
      <c r="U36" s="34">
        <f>SUM(Q36:T36)</f>
        <v/>
      </c>
      <c r="V36" s="18" t="n">
        <v>0.23</v>
      </c>
      <c r="W36" s="18" t="n">
        <v>0.23</v>
      </c>
      <c r="X36" s="18" t="n">
        <v>0.25</v>
      </c>
      <c r="Y36" s="18" t="n">
        <v>0.28</v>
      </c>
      <c r="Z36" s="34">
        <f>SUM(V36:Y36)</f>
        <v/>
      </c>
      <c r="AA36" s="18" t="n">
        <v>0.25</v>
      </c>
      <c r="AB36" s="19" t="n">
        <v>1.33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361.4</v>
      </c>
      <c r="F37" s="34" t="n"/>
      <c r="G37" s="18" t="n">
        <v>396.52</v>
      </c>
      <c r="H37" s="18" t="n">
        <v>317.35</v>
      </c>
      <c r="I37" s="18" t="n">
        <v>355.61</v>
      </c>
      <c r="J37" s="18" t="n">
        <v>414.43</v>
      </c>
      <c r="K37" s="34">
        <f>SUM(G37:J37)</f>
        <v/>
      </c>
      <c r="L37" s="18" t="n">
        <v>326.94</v>
      </c>
      <c r="M37" s="18" t="n">
        <v>323.09</v>
      </c>
      <c r="N37" s="18" t="n">
        <v>336.18</v>
      </c>
      <c r="O37" s="18" t="n">
        <v>53.3</v>
      </c>
      <c r="P37" s="34">
        <f>SUM(L37:O37)</f>
        <v/>
      </c>
      <c r="Q37" s="18" t="n">
        <v>217.69</v>
      </c>
      <c r="R37" s="18" t="n">
        <v>254.99</v>
      </c>
      <c r="S37" s="18" t="n">
        <v>205.68</v>
      </c>
      <c r="T37" s="18" t="n">
        <v>249.49</v>
      </c>
      <c r="U37" s="34">
        <f>SUM(Q37:T37)</f>
        <v/>
      </c>
      <c r="V37" s="18" t="n">
        <v>285.21</v>
      </c>
      <c r="W37" s="18" t="n">
        <v>251.62</v>
      </c>
      <c r="X37" s="18" t="n">
        <v>287.95</v>
      </c>
      <c r="Y37" s="18" t="n">
        <v>254.8</v>
      </c>
      <c r="Z37" s="34">
        <f>SUM(V37:Y37)</f>
        <v/>
      </c>
      <c r="AA37" s="18" t="n">
        <v>259.87</v>
      </c>
      <c r="AB37" s="19" t="n">
        <v>318.3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32.94</v>
      </c>
      <c r="F38" s="34" t="n"/>
      <c r="G38" s="18" t="n">
        <v>26.42</v>
      </c>
      <c r="H38" s="18" t="n">
        <v>24.16</v>
      </c>
      <c r="I38" s="18" t="n">
        <v>19.06</v>
      </c>
      <c r="J38" s="18" t="n">
        <v>29.21</v>
      </c>
      <c r="K38" s="34">
        <f>SUM(G38:J38)</f>
        <v/>
      </c>
      <c r="L38" s="18" t="n">
        <v>14.5</v>
      </c>
      <c r="M38" s="18" t="n">
        <v>17.67</v>
      </c>
      <c r="N38" s="18" t="n">
        <v>17.85</v>
      </c>
      <c r="O38" s="18" t="n">
        <v>-1.16</v>
      </c>
      <c r="P38" s="34">
        <f>SUM(L38:O38)</f>
        <v/>
      </c>
      <c r="Q38" s="18" t="n">
        <v>11.51</v>
      </c>
      <c r="R38" s="18" t="n">
        <v>45.62</v>
      </c>
      <c r="S38" s="18" t="n">
        <v>11.89</v>
      </c>
      <c r="T38" s="18" t="n">
        <v>33.59</v>
      </c>
      <c r="U38" s="34">
        <f>SUM(Q38:T38)</f>
        <v/>
      </c>
      <c r="V38" s="18" t="n">
        <v>26.59</v>
      </c>
      <c r="W38" s="18" t="n">
        <v>44.09</v>
      </c>
      <c r="X38" s="18" t="n">
        <v>48.65</v>
      </c>
      <c r="Y38" s="18" t="n">
        <v>36.01</v>
      </c>
      <c r="Z38" s="34">
        <f>SUM(V38:Y38)</f>
        <v/>
      </c>
      <c r="AA38" s="18" t="n">
        <v>41.62</v>
      </c>
      <c r="AB38" s="19" t="n">
        <v>51.34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676.7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9.1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0.08699999999999999</v>
      </c>
    </row>
    <row r="34">
      <c r="C34" s="2" t="inlineStr">
        <is>
          <t>fair_pbr</t>
        </is>
      </c>
      <c r="D34" t="n">
        <v>0.97</v>
      </c>
    </row>
    <row r="35">
      <c r="C35" s="2" t="inlineStr">
        <is>
          <t>fair_value_pbr</t>
        </is>
      </c>
      <c r="D35" t="n">
        <v>7500</v>
      </c>
    </row>
    <row r="36">
      <c r="C36" s="2" t="inlineStr">
        <is>
          <t>ev_ebitda</t>
        </is>
      </c>
      <c r="D36" t="n">
        <v>10.48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