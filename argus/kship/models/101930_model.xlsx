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BS연결!$C$5:$AO$108</definedName>
    <definedName name="BS별도H">BS별도!$C$1:$AO$1</definedName>
    <definedName name="BS별도">BS별도!$C$5:$AO$94</definedName>
    <definedName name="SUBQH">subQ!$A$1:$AO$1</definedName>
    <definedName name="subQ">subQ!$A$5:$AO$45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고객지수 4분기 이동합(t−2) 196744억 × 비례계수 0.0067 × 계절비중 Q3 0.271(계절비중 — 최근 3개 연도(2026, 2025, 2024) 분기/연간 비중 평균; 격자 lag0~4×창8/12/19×수준·YoY·4Q합 중 최대 r=0.88, n=8, 창 8)</t>
      </text>
    </comment>
    <comment ref="AD21" authorId="0" shapeId="0">
      <text>
        <t>모델값 역산(implied): v / 전년동기 − 1
고객지수 4분기 이동합(t−2) 218595억 × 비례계수 0.0067 × 계절비중 Q4 0.185(계절비중 — 최근 3개 연도(2026, 2025, 2024) 분기/연간 비중 평균; 격자 lag0~4×창8/12/19×수준·YoY·4Q합 중 최대 r=0.88, n=8, 창 8)</t>
      </text>
    </comment>
    <comment ref="AF21" authorId="0" shapeId="0">
      <text>
        <t>모델값 역산(implied): v / 전년동기 − 1
고객지수 4분기 이동합(t−2) 240366억 × 비례계수 0.0067 × 계절비중 Q1 0.271(계절비중 — 최근 3개 연도(2026, 2025, 2024) 분기/연간 비중 평균; 격자 lag0~4×창8/12/19×수준·YoY·4Q합 중 최대 r=0.88, n=8, 창 8)</t>
      </text>
    </comment>
    <comment ref="AG21" authorId="0" shapeId="0">
      <text>
        <t>모델값 역산(implied): v / 전년동기 − 1
고객지수 4분기 이동합(t−2) 255852억 × 비례계수 0.0067 × 계절비중 Q2 0.273(계절비중 — 최근 3개 연도(2026, 2025, 2024) 분기/연간 비중 평균; 격자 lag0~4×창8/12/19×수준·YoY·4Q합 중 최대 r=0.88, n=8, 창 8)</t>
      </text>
    </comment>
    <comment ref="AH21" authorId="0" shapeId="0">
      <text>
        <t>모델값 역산(implied): v / 전년동기 − 1
고객지수 4분기 이동합(t−2) 265700억 × 비례계수 0.0067 × 계절비중 Q3 0.271(계절비중 — 최근 3개 연도(2026, 2025, 2024) 분기/연간 비중 평균; 격자 lag0~4×창8/12/19×수준·YoY·4Q합 중 최대 r=0.88, n=8, 창 8)</t>
      </text>
    </comment>
    <comment ref="AI21" authorId="0" shapeId="0">
      <text>
        <t>모델값 역산(implied): v / 전년동기 − 1
고객지수 4분기 이동합(t−2) 274541억 × 비례계수 0.0067 × 계절비중 Q4 0.185(계절비중 — 최근 3개 연도(2026, 2025, 2024) 분기/연간 비중 평균; 격자 lag0~4×창8/12/19×수준·YoY·4Q합 중 최대 r=0.88, n=8, 창 8)</t>
      </text>
    </comment>
    <comment ref="AK21" authorId="0" shapeId="0">
      <text>
        <t>모델값 역산(implied): v / 전년동기 − 1
고객지수 4분기 이동합(t−2) 284424억 × 비례계수 0.0067 × 계절비중 Q1 0.271(계절비중 — 최근 3개 연도(2026, 2025, 2024) 분기/연간 비중 평균; 격자 lag0~4×창8/12/19×수준·YoY·4Q합 중 최대 r=0.88, n=8, 창 8)</t>
      </text>
    </comment>
    <comment ref="AL21" authorId="0" shapeId="0">
      <text>
        <t>모델값 역산(implied): v / 전년동기 − 1
고객지수 4분기 이동합(t−2) 297400억 × 비례계수 0.0067 × 계절비중 Q2 0.273(계절비중 — 최근 3개 연도(2026, 2025, 2024) 분기/연간 비중 평균; 격자 lag0~4×창8/12/19×수준·YoY·4Q합 중 최대 r=0.88, n=8, 창 8)</t>
      </text>
    </comment>
    <comment ref="AM21" authorId="0" shapeId="0">
      <text>
        <t>모델값 역산(implied): v / 전년동기 − 1
고객지수 4분기 이동합(t−2) 313630억 × 비례계수 0.0067 × 계절비중 Q3 0.271(계절비중 — 최근 3개 연도(2026, 2025, 2024) 분기/연간 비중 평균; 격자 lag0~4×창8/12/19×수준·YoY·4Q합 중 최대 r=0.88, n=8, 창 8)</t>
      </text>
    </comment>
    <comment ref="AN21" authorId="0" shapeId="0">
      <text>
        <t>모델값 역산(implied): v / 전년동기 − 1
고객지수 4분기 이동합(t−2) 331909억 × 비례계수 0.0067 × 계절비중 Q4 0.185(계절비중 — 최근 3개 연도(2026, 2025, 2024) 분기/연간 비중 평균; 격자 lag0~4×창8/12/19×수준·YoY·4Q합 중 최대 r=0.88, n=8, 창 8)</t>
      </text>
    </comment>
    <comment ref="AC22" authorId="0" shapeId="0">
      <text>
        <t>3절 스칼라 '판관비율' 참조 — 숫자로 덮어쓰면 이 분기만 바뀐다
매출액 × 판관비율 8.58%(최근 4분기 중위)</t>
      </text>
    </comment>
    <comment ref="AD22" authorId="0" shapeId="0">
      <text>
        <t>3절 스칼라 '판관비율' 참조 — 숫자로 덮어쓰면 이 분기만 바뀐다
매출액 × 판관비율 8.58%(최근 4분기 중위)</t>
      </text>
    </comment>
    <comment ref="AF22" authorId="0" shapeId="0">
      <text>
        <t>3절 스칼라 '판관비율' 참조 — 숫자로 덮어쓰면 이 분기만 바뀐다
매출액 × 판관비율 8.58%(최근 4분기 중위)</t>
      </text>
    </comment>
    <comment ref="AG22" authorId="0" shapeId="0">
      <text>
        <t>3절 스칼라 '판관비율' 참조 — 숫자로 덮어쓰면 이 분기만 바뀐다
매출액 × 판관비율 8.58%(최근 4분기 중위)</t>
      </text>
    </comment>
    <comment ref="AH22" authorId="0" shapeId="0">
      <text>
        <t>3절 스칼라 '판관비율' 참조 — 숫자로 덮어쓰면 이 분기만 바뀐다
매출액 × 판관비율 8.58%(최근 4분기 중위)</t>
      </text>
    </comment>
    <comment ref="AI22" authorId="0" shapeId="0">
      <text>
        <t>3절 스칼라 '판관비율' 참조 — 숫자로 덮어쓰면 이 분기만 바뀐다
매출액 × 판관비율 8.58%(최근 4분기 중위)</t>
      </text>
    </comment>
    <comment ref="AK22" authorId="0" shapeId="0">
      <text>
        <t>3절 스칼라 '판관비율' 참조 — 숫자로 덮어쓰면 이 분기만 바뀐다
매출액 × 판관비율 8.58%(최근 4분기 중위)</t>
      </text>
    </comment>
    <comment ref="AL22" authorId="0" shapeId="0">
      <text>
        <t>3절 스칼라 '판관비율' 참조 — 숫자로 덮어쓰면 이 분기만 바뀐다
매출액 × 판관비율 8.58%(최근 4분기 중위)</t>
      </text>
    </comment>
    <comment ref="AM22" authorId="0" shapeId="0">
      <text>
        <t>3절 스칼라 '판관비율' 참조 — 숫자로 덮어쓰면 이 분기만 바뀐다
매출액 × 판관비율 8.58%(최근 4분기 중위)</t>
      </text>
    </comment>
    <comment ref="AN22" authorId="0" shapeId="0">
      <text>
        <t>3절 스칼라 '판관비율' 참조 — 숫자로 덮어쓰면 이 분기만 바뀐다
매출액 × 판관비율 8.58%(최근 4분기 중위)</t>
      </text>
    </comment>
    <comment ref="AC23" authorId="0" shapeId="0">
      <text>
        <t>모델값 역산(implied): v / 매출액
매출액 × OPM(최근 8분기 OPM 중위 15.1% 유지)</t>
      </text>
    </comment>
    <comment ref="AD23" authorId="0" shapeId="0">
      <text>
        <t>모델값 역산(implied): v / 매출액
매출액 × OPM(최근 8분기 OPM 중위 15.1% 유지)</t>
      </text>
    </comment>
    <comment ref="AF23" authorId="0" shapeId="0">
      <text>
        <t>모델값 역산(implied): v / 매출액
매출액 × OPM(최근 8분기 OPM 중위 15.1% 유지)</t>
      </text>
    </comment>
    <comment ref="AG23" authorId="0" shapeId="0">
      <text>
        <t>모델값 역산(implied): v / 매출액
매출액 × OPM(최근 8분기 OPM 중위 15.1% 유지)</t>
      </text>
    </comment>
    <comment ref="AH23" authorId="0" shapeId="0">
      <text>
        <t>모델값 역산(implied): v / 매출액
매출액 × OPM(최근 8분기 OPM 중위 15.1% 유지)</t>
      </text>
    </comment>
    <comment ref="AI23" authorId="0" shapeId="0">
      <text>
        <t>모델값 역산(implied): v / 매출액
매출액 × OPM(최근 8분기 OPM 중위 15.1% 유지)</t>
      </text>
    </comment>
    <comment ref="AK23" authorId="0" shapeId="0">
      <text>
        <t>모델값 역산(implied): v / 매출액
매출액 × OPM(최근 8분기 OPM 중위 15.1% 유지)</t>
      </text>
    </comment>
    <comment ref="AL23" authorId="0" shapeId="0">
      <text>
        <t>모델값 역산(implied): v / 매출액
매출액 × OPM(최근 8분기 OPM 중위 15.1% 유지)</t>
      </text>
    </comment>
    <comment ref="AM23" authorId="0" shapeId="0">
      <text>
        <t>모델값 역산(implied): v / 매출액
매출액 × OPM(최근 8분기 OPM 중위 15.1% 유지)</t>
      </text>
    </comment>
    <comment ref="AN23" authorId="0" shapeId="0">
      <text>
        <t>모델값 역산(implied): v / 매출액
매출액 × OPM(최근 8분기 OPM 중위 15.1% 유지)</t>
      </text>
    </comment>
    <comment ref="AC24" authorId="0" shapeId="0">
      <text>
        <t>모델값 역산(implied): 모델 v 그대로
파생상품 평가·거래손익 0 가정</t>
      </text>
    </comment>
    <comment ref="AD24" authorId="0" shapeId="0">
      <text>
        <t>모델값 역산(implied): 모델 v 그대로
파생상품 평가·거래손익 0 가정</t>
      </text>
    </comment>
    <comment ref="AF24" authorId="0" shapeId="0">
      <text>
        <t>모델값 역산(implied): 모델 v 그대로
파생상품 평가·거래손익 0 가정</t>
      </text>
    </comment>
    <comment ref="AG24" authorId="0" shapeId="0">
      <text>
        <t>모델값 역산(implied): 모델 v 그대로
파생상품 평가·거래손익 0 가정</t>
      </text>
    </comment>
    <comment ref="AH24" authorId="0" shapeId="0">
      <text>
        <t>모델값 역산(implied): 모델 v 그대로
파생상품 평가·거래손익 0 가정</t>
      </text>
    </comment>
    <comment ref="AI24" authorId="0" shapeId="0">
      <text>
        <t>모델값 역산(implied): 모델 v 그대로
파생상품 평가·거래손익 0 가정</t>
      </text>
    </comment>
    <comment ref="AK24" authorId="0" shapeId="0">
      <text>
        <t>모델값 역산(implied): 모델 v 그대로
파생상품 평가·거래손익 0 가정</t>
      </text>
    </comment>
    <comment ref="AL24" authorId="0" shapeId="0">
      <text>
        <t>모델값 역산(implied): 모델 v 그대로
파생상품 평가·거래손익 0 가정</t>
      </text>
    </comment>
    <comment ref="AM24" authorId="0" shapeId="0">
      <text>
        <t>모델값 역산(implied): 모델 v 그대로
파생상품 평가·거래손익 0 가정</t>
      </text>
    </comment>
    <comment ref="AN24" authorId="0" shapeId="0">
      <text>
        <t>모델값 역산(implied): 모델 v 그대로
파생상품 평가·거래손익 0 가정</t>
      </text>
    </comment>
    <comment ref="AC25" authorId="0" shapeId="0">
      <text>
        <t>모델값 역산(implied): 모델 v 그대로
최근 4분기(2025Q2~2026Q2) 잔차 중위</t>
      </text>
    </comment>
    <comment ref="AD25" authorId="0" shapeId="0">
      <text>
        <t>모델값 역산(implied): 모델 v 그대로
최근 4분기(2025Q2~2026Q2) 잔차 중위</t>
      </text>
    </comment>
    <comment ref="AF25" authorId="0" shapeId="0">
      <text>
        <t>모델값 역산(implied): 모델 v 그대로
최근 4분기(2025Q2~2026Q2) 잔차 중위</t>
      </text>
    </comment>
    <comment ref="AG25" authorId="0" shapeId="0">
      <text>
        <t>모델값 역산(implied): 모델 v 그대로
최근 4분기(2025Q2~2026Q2) 잔차 중위</t>
      </text>
    </comment>
    <comment ref="AH25" authorId="0" shapeId="0">
      <text>
        <t>모델값 역산(implied): 모델 v 그대로
최근 4분기(2025Q2~2026Q2) 잔차 중위</t>
      </text>
    </comment>
    <comment ref="AI25" authorId="0" shapeId="0">
      <text>
        <t>모델값 역산(implied): 모델 v 그대로
최근 4분기(2025Q2~2026Q2) 잔차 중위</t>
      </text>
    </comment>
    <comment ref="AK25" authorId="0" shapeId="0">
      <text>
        <t>모델값 역산(implied): 모델 v 그대로
최근 4분기(2025Q2~2026Q2) 잔차 중위</t>
      </text>
    </comment>
    <comment ref="AL25" authorId="0" shapeId="0">
      <text>
        <t>모델값 역산(implied): 모델 v 그대로
최근 4분기(2025Q2~2026Q2) 잔차 중위</t>
      </text>
    </comment>
    <comment ref="AM25" authorId="0" shapeId="0">
      <text>
        <t>모델값 역산(implied): 모델 v 그대로
최근 4분기(2025Q2~2026Q2) 잔차 중위</t>
      </text>
    </comment>
    <comment ref="AN25" authorId="0" shapeId="0">
      <text>
        <t>모델값 역산(implied): 모델 v 그대로
최근 4분기(2025Q2~2026Q2) 잔차 중위</t>
      </text>
    </comment>
    <comment ref="AC26" authorId="0" shapeId="0">
      <text>
        <t>모델값 역산(implied): 모델 v 그대로
일회성 미가정 → 0</t>
      </text>
    </comment>
    <comment ref="AD26" authorId="0" shapeId="0">
      <text>
        <t>모델값 역산(implied): 모델 v 그대로
일회성 미가정 → 0</t>
      </text>
    </comment>
    <comment ref="AF26" authorId="0" shapeId="0">
      <text>
        <t>모델값 역산(implied): 모델 v 그대로
일회성 미가정 → 0</t>
      </text>
    </comment>
    <comment ref="AG26" authorId="0" shapeId="0">
      <text>
        <t>모델값 역산(implied): 모델 v 그대로
일회성 미가정 → 0</t>
      </text>
    </comment>
    <comment ref="AH26" authorId="0" shapeId="0">
      <text>
        <t>모델값 역산(implied): 모델 v 그대로
일회성 미가정 → 0</t>
      </text>
    </comment>
    <comment ref="AI26" authorId="0" shapeId="0">
      <text>
        <t>모델값 역산(implied): 모델 v 그대로
일회성 미가정 → 0</t>
      </text>
    </comment>
    <comment ref="AK26" authorId="0" shapeId="0">
      <text>
        <t>모델값 역산(implied): 모델 v 그대로
일회성 미가정 → 0</t>
      </text>
    </comment>
    <comment ref="AL26" authorId="0" shapeId="0">
      <text>
        <t>모델값 역산(implied): 모델 v 그대로
일회성 미가정 → 0</t>
      </text>
    </comment>
    <comment ref="AM26" authorId="0" shapeId="0">
      <text>
        <t>모델값 역산(implied): 모델 v 그대로
일회성 미가정 → 0</t>
      </text>
    </comment>
    <comment ref="AN26" authorId="0" shapeId="0">
      <text>
        <t>모델값 역산(implied): 모델 v 그대로
일회성 미가정 → 0</t>
      </text>
    </comment>
    <comment ref="AC27" authorId="0" shapeId="0">
      <text>
        <t>모델값 역산(implied): 모델 v 그대로
최근 4분기 중위</t>
      </text>
    </comment>
    <comment ref="AD27" authorId="0" shapeId="0">
      <text>
        <t>모델값 역산(implied): 모델 v 그대로
최근 4분기 중위</t>
      </text>
    </comment>
    <comment ref="AF27" authorId="0" shapeId="0">
      <text>
        <t>모델값 역산(implied): 모델 v 그대로
최근 4분기 중위</t>
      </text>
    </comment>
    <comment ref="AG27" authorId="0" shapeId="0">
      <text>
        <t>모델값 역산(implied): 모델 v 그대로
최근 4분기 중위</t>
      </text>
    </comment>
    <comment ref="AH27" authorId="0" shapeId="0">
      <text>
        <t>모델값 역산(implied): 모델 v 그대로
최근 4분기 중위</t>
      </text>
    </comment>
    <comment ref="AI27" authorId="0" shapeId="0">
      <text>
        <t>모델값 역산(implied): 모델 v 그대로
최근 4분기 중위</t>
      </text>
    </comment>
    <comment ref="AK27" authorId="0" shapeId="0">
      <text>
        <t>모델값 역산(implied): 모델 v 그대로
최근 4분기 중위</t>
      </text>
    </comment>
    <comment ref="AL27" authorId="0" shapeId="0">
      <text>
        <t>모델값 역산(implied): 모델 v 그대로
최근 4분기 중위</t>
      </text>
    </comment>
    <comment ref="AM27" authorId="0" shapeId="0">
      <text>
        <t>모델값 역산(implied): 모델 v 그대로
최근 4분기 중위</t>
      </text>
    </comment>
    <comment ref="AN27" authorId="0" shapeId="0">
      <text>
        <t>모델값 역산(implied): 모델 v 그대로
최근 4분기 중위</t>
      </text>
    </comment>
    <comment ref="AC28" authorId="0" shapeId="0">
      <text>
        <t>3절 스칼라 '세율' 참조 — 숫자로 덮어쓰면 이 분기만 바뀐다
max(세전, 0) × 세율 21.9%(최근 12분기 유효세율 21.9%(5~27% 안 — 그대로))</t>
      </text>
    </comment>
    <comment ref="AD28" authorId="0" shapeId="0">
      <text>
        <t>3절 스칼라 '세율' 참조 — 숫자로 덮어쓰면 이 분기만 바뀐다
max(세전, 0) × 세율 21.9%(최근 12분기 유효세율 21.9%(5~27% 안 — 그대로))</t>
      </text>
    </comment>
    <comment ref="AF28" authorId="0" shapeId="0">
      <text>
        <t>3절 스칼라 '세율' 참조 — 숫자로 덮어쓰면 이 분기만 바뀐다
max(세전, 0) × 세율 21.9%(최근 12분기 유효세율 21.9%(5~27% 안 — 그대로))</t>
      </text>
    </comment>
    <comment ref="AG28" authorId="0" shapeId="0">
      <text>
        <t>3절 스칼라 '세율' 참조 — 숫자로 덮어쓰면 이 분기만 바뀐다
max(세전, 0) × 세율 21.9%(최근 12분기 유효세율 21.9%(5~27% 안 — 그대로))</t>
      </text>
    </comment>
    <comment ref="AH28" authorId="0" shapeId="0">
      <text>
        <t>3절 스칼라 '세율' 참조 — 숫자로 덮어쓰면 이 분기만 바뀐다
max(세전, 0) × 세율 21.9%(최근 12분기 유효세율 21.9%(5~27% 안 — 그대로))</t>
      </text>
    </comment>
    <comment ref="AI28" authorId="0" shapeId="0">
      <text>
        <t>3절 스칼라 '세율' 참조 — 숫자로 덮어쓰면 이 분기만 바뀐다
max(세전, 0) × 세율 21.9%(최근 12분기 유효세율 21.9%(5~27% 안 — 그대로))</t>
      </text>
    </comment>
    <comment ref="AK28" authorId="0" shapeId="0">
      <text>
        <t>3절 스칼라 '세율' 참조 — 숫자로 덮어쓰면 이 분기만 바뀐다
max(세전, 0) × 세율 21.9%(최근 12분기 유효세율 21.9%(5~27% 안 — 그대로))</t>
      </text>
    </comment>
    <comment ref="AL28" authorId="0" shapeId="0">
      <text>
        <t>3절 스칼라 '세율' 참조 — 숫자로 덮어쓰면 이 분기만 바뀐다
max(세전, 0) × 세율 21.9%(최근 12분기 유효세율 21.9%(5~27% 안 — 그대로))</t>
      </text>
    </comment>
    <comment ref="AM28" authorId="0" shapeId="0">
      <text>
        <t>3절 스칼라 '세율' 참조 — 숫자로 덮어쓰면 이 분기만 바뀐다
max(세전, 0) × 세율 21.9%(최근 12분기 유효세율 21.9%(5~27% 안 — 그대로))</t>
      </text>
    </comment>
    <comment ref="AN28" authorId="0" shapeId="0">
      <text>
        <t>3절 스칼라 '세율' 참조 — 숫자로 덮어쓰면 이 분기만 바뀐다
max(세전, 0) × 세율 21.9%(최근 12분기 유효세율 21.9%(5~27% 안 — 그대로))</t>
      </text>
    </comment>
    <comment ref="AC29" authorId="0" shapeId="0">
      <text>
        <t>3절 스칼라 '지배주주비중' 참조 — 숫자로 덮어쓰면 이 분기만 바뀐다
당기순이익 × (1 − 비지배 비중 0.0%, 최근 8분기 실측)</t>
      </text>
    </comment>
    <comment ref="AD29" authorId="0" shapeId="0">
      <text>
        <t>3절 스칼라 '지배주주비중' 참조 — 숫자로 덮어쓰면 이 분기만 바뀐다
당기순이익 × (1 − 비지배 비중 0.0%, 최근 8분기 실측)</t>
      </text>
    </comment>
    <comment ref="AF29" authorId="0" shapeId="0">
      <text>
        <t>3절 스칼라 '지배주주비중' 참조 — 숫자로 덮어쓰면 이 분기만 바뀐다
당기순이익 × (1 − 비지배 비중 0.0%, 최근 8분기 실측)</t>
      </text>
    </comment>
    <comment ref="AG29" authorId="0" shapeId="0">
      <text>
        <t>3절 스칼라 '지배주주비중' 참조 — 숫자로 덮어쓰면 이 분기만 바뀐다
당기순이익 × (1 − 비지배 비중 0.0%, 최근 8분기 실측)</t>
      </text>
    </comment>
    <comment ref="AH29" authorId="0" shapeId="0">
      <text>
        <t>3절 스칼라 '지배주주비중' 참조 — 숫자로 덮어쓰면 이 분기만 바뀐다
당기순이익 × (1 − 비지배 비중 0.0%, 최근 8분기 실측)</t>
      </text>
    </comment>
    <comment ref="AI29" authorId="0" shapeId="0">
      <text>
        <t>3절 스칼라 '지배주주비중' 참조 — 숫자로 덮어쓰면 이 분기만 바뀐다
당기순이익 × (1 − 비지배 비중 0.0%, 최근 8분기 실측)</t>
      </text>
    </comment>
    <comment ref="AK29" authorId="0" shapeId="0">
      <text>
        <t>3절 스칼라 '지배주주비중' 참조 — 숫자로 덮어쓰면 이 분기만 바뀐다
당기순이익 × (1 − 비지배 비중 0.0%, 최근 8분기 실측)</t>
      </text>
    </comment>
    <comment ref="AL29" authorId="0" shapeId="0">
      <text>
        <t>3절 스칼라 '지배주주비중' 참조 — 숫자로 덮어쓰면 이 분기만 바뀐다
당기순이익 × (1 − 비지배 비중 0.0%, 최근 8분기 실측)</t>
      </text>
    </comment>
    <comment ref="AM29" authorId="0" shapeId="0">
      <text>
        <t>3절 스칼라 '지배주주비중' 참조 — 숫자로 덮어쓰면 이 분기만 바뀐다
당기순이익 × (1 − 비지배 비중 0.0%, 최근 8분기 실측)</t>
      </text>
    </comment>
    <comment ref="AN29" authorId="0" shapeId="0">
      <text>
        <t>3절 스칼라 '지배주주비중' 참조 — 숫자로 덮어쓰면 이 분기만 바뀐다
당기순이익 × (1 − 비지배 비중 0.0%, 최근 8분기 실측)</t>
      </text>
    </comment>
    <comment ref="AC31" authorId="0" shapeId="0">
      <text>
        <t>모델값 역산(implied): 모델 v 그대로
최근 4분기 감가상각비 중위 유지</t>
      </text>
    </comment>
    <comment ref="AD31" authorId="0" shapeId="0">
      <text>
        <t>모델값 역산(implied): 모델 v 그대로
최근 4분기 감가상각비 중위 유지</t>
      </text>
    </comment>
    <comment ref="AF31" authorId="0" shapeId="0">
      <text>
        <t>모델값 역산(implied): 모델 v 그대로
최근 4분기 감가상각비 중위 유지</t>
      </text>
    </comment>
    <comment ref="AG31" authorId="0" shapeId="0">
      <text>
        <t>모델값 역산(implied): 모델 v 그대로
최근 4분기 감가상각비 중위 유지</t>
      </text>
    </comment>
    <comment ref="AH31" authorId="0" shapeId="0">
      <text>
        <t>모델값 역산(implied): 모델 v 그대로
최근 4분기 감가상각비 중위 유지</t>
      </text>
    </comment>
    <comment ref="AI31" authorId="0" shapeId="0">
      <text>
        <t>모델값 역산(implied): 모델 v 그대로
최근 4분기 감가상각비 중위 유지</t>
      </text>
    </comment>
    <comment ref="AK31" authorId="0" shapeId="0">
      <text>
        <t>모델값 역산(implied): 모델 v 그대로
최근 4분기 감가상각비 중위 유지</t>
      </text>
    </comment>
    <comment ref="AL31" authorId="0" shapeId="0">
      <text>
        <t>모델값 역산(implied): 모델 v 그대로
최근 4분기 감가상각비 중위 유지</t>
      </text>
    </comment>
    <comment ref="AM31" authorId="0" shapeId="0">
      <text>
        <t>모델값 역산(implied): 모델 v 그대로
최근 4분기 감가상각비 중위 유지</t>
      </text>
    </comment>
    <comment ref="AN31" authorId="0" shapeId="0">
      <text>
        <t>모델값 역산(implied): 모델 v 그대로
최근 4분기 감가상각비 중위 유지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AK32" authorId="0" shapeId="0">
      <text>
        <t>모델값 역산(implied): v / 전분기 − 1
마지막 실적 유지(가정)</t>
      </text>
    </comment>
    <comment ref="AL32" authorId="0" shapeId="0">
      <text>
        <t>모델값 역산(implied): v / 전분기 − 1
마지막 실적 유지(가정)</t>
      </text>
    </comment>
    <comment ref="AM32" authorId="0" shapeId="0">
      <text>
        <t>모델값 역산(implied): v / 전분기 − 1
마지막 실적 유지(가정)</t>
      </text>
    </comment>
    <comment ref="AN32" authorId="0" shapeId="0">
      <text>
        <t>모델값 역산(implied): v / 전분기 − 1
마지막 실적 유지(가정)</t>
      </text>
    </comment>
    <comment ref="AC33" authorId="0" shapeId="0">
      <text>
        <t>모델값 역산(implied): 전분기(시트값) + 당기순이익(시트 수식값) − v
전분기 + 당기순이익 − 배당(Q2 지급 가정)</t>
      </text>
    </comment>
    <comment ref="AD33" authorId="0" shapeId="0">
      <text>
        <t>모델값 역산(implied): 전분기(시트값) + 당기순이익(시트 수식값) − v
전분기 + 당기순이익 − 배당(Q2 지급 가정)</t>
      </text>
    </comment>
    <comment ref="AF33" authorId="0" shapeId="0">
      <text>
        <t>모델값 역산(implied): 전분기(시트값) + 당기순이익(시트 수식값) − v
전분기 + 당기순이익 − 배당(Q2 지급 가정)</t>
      </text>
    </comment>
    <comment ref="AG33" authorId="0" shapeId="0">
      <text>
        <t>모델값 역산(implied): 전분기(시트값) + 당기순이익(시트 수식값) − v
전분기 + 당기순이익 − 배당(Q2 지급 가정)</t>
      </text>
    </comment>
    <comment ref="AH33" authorId="0" shapeId="0">
      <text>
        <t>모델값 역산(implied): 전분기(시트값) + 당기순이익(시트 수식값) − v
전분기 + 당기순이익 − 배당(Q2 지급 가정)</t>
      </text>
    </comment>
    <comment ref="AI33" authorId="0" shapeId="0">
      <text>
        <t>모델값 역산(implied): 전분기(시트값) + 당기순이익(시트 수식값) − v
전분기 + 당기순이익 − 배당(Q2 지급 가정)</t>
      </text>
    </comment>
    <comment ref="AK33" authorId="0" shapeId="0">
      <text>
        <t>모델값 역산(implied): 전분기(시트값) + 당기순이익(시트 수식값) − v
전분기 + 당기순이익 − 배당(Q2 지급 가정)</t>
      </text>
    </comment>
    <comment ref="AL33" authorId="0" shapeId="0">
      <text>
        <t>모델값 역산(implied): 전분기(시트값) + 당기순이익(시트 수식값) − v
전분기 + 당기순이익 − 배당(Q2 지급 가정)</t>
      </text>
    </comment>
    <comment ref="AM33" authorId="0" shapeId="0">
      <text>
        <t>모델값 역산(implied): 전분기(시트값) + 당기순이익(시트 수식값) − v
전분기 + 당기순이익 − 배당(Q2 지급 가정)</t>
      </text>
    </comment>
    <comment ref="AN33" authorId="0" shapeId="0">
      <text>
        <t>모델값 역산(implied): 전분기(시트값) + 당기순이익(시트 수식값) − v
전분기 + 당기순이익 − 배당(Q2 지급 가정)</t>
      </text>
    </comment>
    <comment ref="AC34" authorId="0" shapeId="0">
      <text>
        <t>모델값 역산(implied): 전분기(시트값) + 지배주주순이익(시트 수식값) − v
전분기 + 지배주주순이익 − 배당</t>
      </text>
    </comment>
    <comment ref="AD34" authorId="0" shapeId="0">
      <text>
        <t>모델값 역산(implied): 전분기(시트값) + 지배주주순이익(시트 수식값) − v
전분기 + 지배주주순이익 − 배당</t>
      </text>
    </comment>
    <comment ref="AF34" authorId="0" shapeId="0">
      <text>
        <t>모델값 역산(implied): 전분기(시트값) + 지배주주순이익(시트 수식값) − v
전분기 + 지배주주순이익 − 배당</t>
      </text>
    </comment>
    <comment ref="AG34" authorId="0" shapeId="0">
      <text>
        <t>모델값 역산(implied): 전분기(시트값) + 지배주주순이익(시트 수식값) − v
전분기 + 지배주주순이익 − 배당</t>
      </text>
    </comment>
    <comment ref="AH34" authorId="0" shapeId="0">
      <text>
        <t>모델값 역산(implied): 전분기(시트값) + 지배주주순이익(시트 수식값) − v
전분기 + 지배주주순이익 − 배당</t>
      </text>
    </comment>
    <comment ref="AI34" authorId="0" shapeId="0">
      <text>
        <t>모델값 역산(implied): 전분기(시트값) + 지배주주순이익(시트 수식값) − v
전분기 + 지배주주순이익 − 배당</t>
      </text>
    </comment>
    <comment ref="AK34" authorId="0" shapeId="0">
      <text>
        <t>모델값 역산(implied): 전분기(시트값) + 지배주주순이익(시트 수식값) − v
전분기 + 지배주주순이익 − 배당</t>
      </text>
    </comment>
    <comment ref="AL34" authorId="0" shapeId="0">
      <text>
        <t>모델값 역산(implied): 전분기(시트값) + 지배주주순이익(시트 수식값) − v
전분기 + 지배주주순이익 − 배당</t>
      </text>
    </comment>
    <comment ref="AM34" authorId="0" shapeId="0">
      <text>
        <t>모델값 역산(implied): 전분기(시트값) + 지배주주순이익(시트 수식값) − v
전분기 + 지배주주순이익 − 배당</t>
      </text>
    </comment>
    <comment ref="AN34" authorId="0" shapeId="0">
      <text>
        <t>모델값 역산(implied): 전분기(시트값) + 지배주주순이익(시트 수식값) − v
전분기 + 지배주주순이익 − 배당</t>
      </text>
    </comment>
    <comment ref="AC35" authorId="0" shapeId="0">
      <text>
        <t>모델값 역산(implied): v / 전분기 − 1
마지막 실적 유지(가정)</t>
      </text>
    </comment>
    <comment ref="AD35" authorId="0" shapeId="0">
      <text>
        <t>모델값 역산(implied): v / 전분기 − 1
마지막 실적 유지(가정)</t>
      </text>
    </comment>
    <comment ref="AF35" authorId="0" shapeId="0">
      <text>
        <t>모델값 역산(implied): v / 전분기 − 1
마지막 실적 유지(가정)</t>
      </text>
    </comment>
    <comment ref="AG35" authorId="0" shapeId="0">
      <text>
        <t>모델값 역산(implied): v / 전분기 − 1
마지막 실적 유지(가정)</t>
      </text>
    </comment>
    <comment ref="AH35" authorId="0" shapeId="0">
      <text>
        <t>모델값 역산(implied): v / 전분기 − 1
마지막 실적 유지(가정)</t>
      </text>
    </comment>
    <comment ref="AI35" authorId="0" shapeId="0">
      <text>
        <t>모델값 역산(implied): v / 전분기 − 1
마지막 실적 유지(가정)</t>
      </text>
    </comment>
    <comment ref="AK35" authorId="0" shapeId="0">
      <text>
        <t>모델값 역산(implied): v / 전분기 − 1
마지막 실적 유지(가정)</t>
      </text>
    </comment>
    <comment ref="AL35" authorId="0" shapeId="0">
      <text>
        <t>모델값 역산(implied): v / 전분기 − 1
마지막 실적 유지(가정)</t>
      </text>
    </comment>
    <comment ref="AM35" authorId="0" shapeId="0">
      <text>
        <t>모델값 역산(implied): v / 전분기 − 1
마지막 실적 유지(가정)</t>
      </text>
    </comment>
    <comment ref="AN35" authorId="0" shapeId="0">
      <text>
        <t>모델값 역산(implied): v / 전분기 − 1
마지막 실적 유지(가정)</t>
      </text>
    </comment>
    <comment ref="AC36" authorId="0" shapeId="0">
      <text>
        <t>모델값 역산(implied): v / 전분기 − 1
전분기 − FCF 근사[순이익 + 감가상각비 16억 − CAPEX 8억(각 최근 4분기 중위) − 배당] (운전자본 불변·총차입금 유지 가정 → 변동은 전부 현금)</t>
      </text>
    </comment>
    <comment ref="AD36" authorId="0" shapeId="0">
      <text>
        <t>모델값 역산(implied): v / 전분기 − 1
전분기 − FCF 근사[순이익 + 감가상각비 16억 − CAPEX 8억(각 최근 4분기 중위) − 배당] (운전자본 불변·총차입금 유지 가정 → 변동은 전부 현금)</t>
      </text>
    </comment>
    <comment ref="AF36" authorId="0" shapeId="0">
      <text>
        <t>모델값 역산(implied): v / 전분기 − 1
전분기 − FCF 근사[순이익 + 감가상각비 16억 − CAPEX 8억(각 최근 4분기 중위) − 배당] (운전자본 불변·총차입금 유지 가정 → 변동은 전부 현금)</t>
      </text>
    </comment>
    <comment ref="AG36" authorId="0" shapeId="0">
      <text>
        <t>모델값 역산(implied): v / 전분기 − 1
전분기 − FCF 근사[순이익 + 감가상각비 16억 − CAPEX 8억(각 최근 4분기 중위) − 배당] (운전자본 불변·총차입금 유지 가정 → 변동은 전부 현금)</t>
      </text>
    </comment>
    <comment ref="AH36" authorId="0" shapeId="0">
      <text>
        <t>모델값 역산(implied): v / 전분기 − 1
전분기 − FCF 근사[순이익 + 감가상각비 16억 − CAPEX 8억(각 최근 4분기 중위) − 배당] (운전자본 불변·총차입금 유지 가정 → 변동은 전부 현금)</t>
      </text>
    </comment>
    <comment ref="AI36" authorId="0" shapeId="0">
      <text>
        <t>모델값 역산(implied): v / 전분기 − 1
전분기 − FCF 근사[순이익 + 감가상각비 16억 − CAPEX 8억(각 최근 4분기 중위) − 배당] (운전자본 불변·총차입금 유지 가정 → 변동은 전부 현금)</t>
      </text>
    </comment>
    <comment ref="AK36" authorId="0" shapeId="0">
      <text>
        <t>모델값 역산(implied): v / 전분기 − 1
전분기 − FCF 근사[순이익 + 감가상각비 16억 − CAPEX 8억(각 최근 4분기 중위) − 배당] (운전자본 불변·총차입금 유지 가정 → 변동은 전부 현금)</t>
      </text>
    </comment>
    <comment ref="AL36" authorId="0" shapeId="0">
      <text>
        <t>모델값 역산(implied): v / 전분기 − 1
전분기 − FCF 근사[순이익 + 감가상각비 16억 − CAPEX 8억(각 최근 4분기 중위) − 배당] (운전자본 불변·총차입금 유지 가정 → 변동은 전부 현금)</t>
      </text>
    </comment>
    <comment ref="AM36" authorId="0" shapeId="0">
      <text>
        <t>모델값 역산(implied): v / 전분기 − 1
전분기 − FCF 근사[순이익 + 감가상각비 16억 − CAPEX 8억(각 최근 4분기 중위) − 배당] (운전자본 불변·총차입금 유지 가정 → 변동은 전부 현금)</t>
      </text>
    </comment>
    <comment ref="AN36" authorId="0" shapeId="0">
      <text>
        <t>모델값 역산(implied): v / 전분기 − 1
전분기 − FCF 근사[순이익 + 감가상각비 16억 − CAPEX 8억(각 최근 4분기 중위) − 배당] (운전자본 불변·총차입금 유지 가정 → 변동은 전부 현금)</t>
      </text>
    </comment>
    <comment ref="AC37" authorId="0" shapeId="0">
      <text>
        <t>모델값 역산(implied): v / 전분기 − 1
전분기 + FCF 근사 — 순차입금 롤과 같은 가정</t>
      </text>
    </comment>
    <comment ref="AD37" authorId="0" shapeId="0">
      <text>
        <t>모델값 역산(implied): v / 전분기 − 1
전분기 + FCF 근사 — 순차입금 롤과 같은 가정</t>
      </text>
    </comment>
    <comment ref="AF37" authorId="0" shapeId="0">
      <text>
        <t>모델값 역산(implied): v / 전분기 − 1
전분기 + FCF 근사 — 순차입금 롤과 같은 가정</t>
      </text>
    </comment>
    <comment ref="AG37" authorId="0" shapeId="0">
      <text>
        <t>모델값 역산(implied): v / 전분기 − 1
전분기 + FCF 근사 — 순차입금 롤과 같은 가정</t>
      </text>
    </comment>
    <comment ref="AH37" authorId="0" shapeId="0">
      <text>
        <t>모델값 역산(implied): v / 전분기 − 1
전분기 + FCF 근사 — 순차입금 롤과 같은 가정</t>
      </text>
    </comment>
    <comment ref="AI37" authorId="0" shapeId="0">
      <text>
        <t>모델값 역산(implied): v / 전분기 − 1
전분기 + FCF 근사 — 순차입금 롤과 같은 가정</t>
      </text>
    </comment>
    <comment ref="AK37" authorId="0" shapeId="0">
      <text>
        <t>모델값 역산(implied): v / 전분기 − 1
전분기 + FCF 근사 — 순차입금 롤과 같은 가정</t>
      </text>
    </comment>
    <comment ref="AL37" authorId="0" shapeId="0">
      <text>
        <t>모델값 역산(implied): v / 전분기 − 1
전분기 + FCF 근사 — 순차입금 롤과 같은 가정</t>
      </text>
    </comment>
    <comment ref="AM37" authorId="0" shapeId="0">
      <text>
        <t>모델값 역산(implied): v / 전분기 − 1
전분기 + FCF 근사 — 순차입금 롤과 같은 가정</t>
      </text>
    </comment>
    <comment ref="AN37" authorId="0" shapeId="0">
      <text>
        <t>모델값 역산(implied): v / 전분기 − 1
전분기 + FCF 근사 — 순차입금 롤과 같은 가정</t>
      </text>
    </comment>
    <comment ref="AC39" authorId="0" shapeId="0">
      <text>
        <t>모델값 역산(implied): v / 전년동기 − 1
최근 4분기(2025Q3~2026Q2) CAPEX 중위 유지 — 순차입금 롤에 반영(FCF 근사)</t>
      </text>
    </comment>
    <comment ref="AD39" authorId="0" shapeId="0">
      <text>
        <t>모델값 역산(implied): v / 전년동기 − 1
최근 4분기(2025Q3~2026Q2) CAPEX 중위 유지 — 순차입금 롤에 반영(FCF 근사)</t>
      </text>
    </comment>
    <comment ref="AF39" authorId="0" shapeId="0">
      <text>
        <t>모델값 역산(implied): v / 전년동기 − 1
최근 4분기(2025Q3~2026Q2) CAPEX 중위 유지 — 순차입금 롤에 반영(FCF 근사)</t>
      </text>
    </comment>
    <comment ref="AG39" authorId="0" shapeId="0">
      <text>
        <t>모델값 역산(implied): v / 전년동기 − 1
최근 4분기(2025Q3~2026Q2) CAPEX 중위 유지 — 순차입금 롤에 반영(FCF 근사)</t>
      </text>
    </comment>
    <comment ref="AH39" authorId="0" shapeId="0">
      <text>
        <t>모델값 역산(implied): v / 전년동기 − 1
최근 4분기(2025Q3~2026Q2) CAPEX 중위 유지 — 순차입금 롤에 반영(FCF 근사)</t>
      </text>
    </comment>
    <comment ref="AI39" authorId="0" shapeId="0">
      <text>
        <t>모델값 역산(implied): v / 전년동기 − 1
최근 4분기(2025Q3~2026Q2) CAPEX 중위 유지 — 순차입금 롤에 반영(FCF 근사)</t>
      </text>
    </comment>
    <comment ref="AK39" authorId="0" shapeId="0">
      <text>
        <t>모델값 역산(implied): v / 전년동기 − 1
최근 4분기(2025Q3~2026Q2) CAPEX 중위 유지 — 순차입금 롤에 반영(FCF 근사)</t>
      </text>
    </comment>
    <comment ref="AL39" authorId="0" shapeId="0">
      <text>
        <t>모델값 역산(implied): v / 전년동기 − 1
최근 4분기(2025Q3~2026Q2) CAPEX 중위 유지 — 순차입금 롤에 반영(FCF 근사)</t>
      </text>
    </comment>
    <comment ref="AM39" authorId="0" shapeId="0">
      <text>
        <t>모델값 역산(implied): v / 전년동기 − 1
최근 4분기(2025Q3~2026Q2) CAPEX 중위 유지 — 순차입금 롤에 반영(FCF 근사)</t>
      </text>
    </comment>
    <comment ref="AN39" authorId="0" shapeId="0">
      <text>
        <t>모델값 역산(implied): v / 전년동기 − 1
최근 4분기(2025Q3~2026Q2) CAPEX 중위 유지 — 순차입금 롤에 반영(FCF 근사)</t>
      </text>
    </comment>
    <comment ref="AC41" authorId="0" shapeId="0">
      <text>
        <t>모델값 역산(implied): v / 전분기 − 1
유통주식수 유지 — fin.shares.common_outstanding(2026Q2)</t>
      </text>
    </comment>
    <comment ref="AD41" authorId="0" shapeId="0">
      <text>
        <t>모델값 역산(implied): v / 전분기 − 1
유통주식수 유지 — fin.shares.common_outstanding(2026Q2)</t>
      </text>
    </comment>
    <comment ref="AF41" authorId="0" shapeId="0">
      <text>
        <t>모델값 역산(implied): v / 전분기 − 1
유통주식수 유지 — fin.shares.common_outstanding(2026Q2)</t>
      </text>
    </comment>
    <comment ref="AG41" authorId="0" shapeId="0">
      <text>
        <t>모델값 역산(implied): v / 전분기 − 1
유통주식수 유지 — fin.shares.common_outstanding(2026Q2)</t>
      </text>
    </comment>
    <comment ref="AH41" authorId="0" shapeId="0">
      <text>
        <t>모델값 역산(implied): v / 전분기 − 1
유통주식수 유지 — fin.shares.common_outstanding(2026Q2)</t>
      </text>
    </comment>
    <comment ref="AI41" authorId="0" shapeId="0">
      <text>
        <t>모델값 역산(implied): v / 전분기 − 1
유통주식수 유지 — fin.shares.common_outstanding(2026Q2)</t>
      </text>
    </comment>
    <comment ref="AK41" authorId="0" shapeId="0">
      <text>
        <t>모델값 역산(implied): v / 전분기 − 1
유통주식수 유지 — fin.shares.common_outstanding(2026Q2)</t>
      </text>
    </comment>
    <comment ref="AL41" authorId="0" shapeId="0">
      <text>
        <t>모델값 역산(implied): v / 전분기 − 1
유통주식수 유지 — fin.shares.common_outstanding(2026Q2)</t>
      </text>
    </comment>
    <comment ref="AM41" authorId="0" shapeId="0">
      <text>
        <t>모델값 역산(implied): v / 전분기 − 1
유통주식수 유지 — fin.shares.common_outstanding(2026Q2)</t>
      </text>
    </comment>
    <comment ref="AN41" authorId="0" shapeId="0">
      <text>
        <t>모델값 역산(implied): v / 전분기 − 1
유통주식수 유지 — fin.shares.common_outstanding(2026Q2)</t>
      </text>
    </comment>
    <comment ref="AD42" authorId="0" shapeId="0">
      <text>
        <t>모델값 역산(implied): 모델 v 그대로
직전 결산 DPS 150원(fin 750원 ÷ ×5 병합/분할 환산) 유지</t>
      </text>
    </comment>
    <comment ref="AI42" authorId="0" shapeId="0">
      <text>
        <t>모델값 역산(implied): 모델 v 그대로
직전 결산 DPS 150원(fin 750원 ÷ ×5 병합/분할 환산) 유지</t>
      </text>
    </comment>
    <comment ref="AN42" authorId="0" shapeId="0">
      <text>
        <t>모델값 역산(implied): 모델 v 그대로
직전 결산 DPS 150원(fin 750원 ÷ ×5 병합/분할 환산)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고객지수 4분기 이동합(t−2) 196744억 × 비례계수 0.0067 × 계절비중 Q3 0.271(계절비중 — 최근 3개 연도(2026, 2025, 2024) 분기/연간 비중 평균; 격자 lag0~4×창8/12/19×수준·YoY·4Q합 중 최대 r=0.88, n=8, 창 8)
[yoy]</t>
      </text>
    </comment>
    <comment ref="AD5" authorId="0" shapeId="0">
      <text>
        <t>추정: 고객지수 4분기 이동합(t−2) 218595억 × 비례계수 0.0067 × 계절비중 Q4 0.185(계절비중 — 최근 3개 연도(2026, 2025, 2024) 분기/연간 비중 평균; 격자 lag0~4×창8/12/19×수준·YoY·4Q합 중 최대 r=0.88, n=8, 창 8)
[yoy]</t>
      </text>
    </comment>
    <comment ref="AF5" authorId="0" shapeId="0">
      <text>
        <t>추정: 고객지수 4분기 이동합(t−2) 240366억 × 비례계수 0.0067 × 계절비중 Q1 0.271(계절비중 — 최근 3개 연도(2026, 2025, 2024) 분기/연간 비중 평균; 격자 lag0~4×창8/12/19×수준·YoY·4Q합 중 최대 r=0.88, n=8, 창 8)
[yoy]</t>
      </text>
    </comment>
    <comment ref="AG5" authorId="0" shapeId="0">
      <text>
        <t>추정: 고객지수 4분기 이동합(t−2) 255852억 × 비례계수 0.0067 × 계절비중 Q2 0.273(계절비중 — 최근 3개 연도(2026, 2025, 2024) 분기/연간 비중 평균; 격자 lag0~4×창8/12/19×수준·YoY·4Q합 중 최대 r=0.88, n=8, 창 8)
[yoy]</t>
      </text>
    </comment>
    <comment ref="AH5" authorId="0" shapeId="0">
      <text>
        <t>추정: 고객지수 4분기 이동합(t−2) 265700억 × 비례계수 0.0067 × 계절비중 Q3 0.271(계절비중 — 최근 3개 연도(2026, 2025, 2024) 분기/연간 비중 평균; 격자 lag0~4×창8/12/19×수준·YoY·4Q합 중 최대 r=0.88, n=8, 창 8)
[yoy]</t>
      </text>
    </comment>
    <comment ref="AI5" authorId="0" shapeId="0">
      <text>
        <t>추정: 고객지수 4분기 이동합(t−2) 274541억 × 비례계수 0.0067 × 계절비중 Q4 0.185(계절비중 — 최근 3개 연도(2026, 2025, 2024) 분기/연간 비중 평균; 격자 lag0~4×창8/12/19×수준·YoY·4Q합 중 최대 r=0.88, n=8, 창 8)
[yoy]</t>
      </text>
    </comment>
    <comment ref="AK5" authorId="0" shapeId="0">
      <text>
        <t>추정: 고객지수 4분기 이동합(t−2) 284424억 × 비례계수 0.0067 × 계절비중 Q1 0.271(계절비중 — 최근 3개 연도(2026, 2025, 2024) 분기/연간 비중 평균; 격자 lag0~4×창8/12/19×수준·YoY·4Q합 중 최대 r=0.88, n=8, 창 8)
[yoy]</t>
      </text>
    </comment>
    <comment ref="AL5" authorId="0" shapeId="0">
      <text>
        <t>추정: 고객지수 4분기 이동합(t−2) 297400억 × 비례계수 0.0067 × 계절비중 Q2 0.273(계절비중 — 최근 3개 연도(2026, 2025, 2024) 분기/연간 비중 평균; 격자 lag0~4×창8/12/19×수준·YoY·4Q합 중 최대 r=0.88, n=8, 창 8)
[yoy]</t>
      </text>
    </comment>
    <comment ref="AM5" authorId="0" shapeId="0">
      <text>
        <t>추정: 고객지수 4분기 이동합(t−2) 313630억 × 비례계수 0.0067 × 계절비중 Q3 0.271(계절비중 — 최근 3개 연도(2026, 2025, 2024) 분기/연간 비중 평균; 격자 lag0~4×창8/12/19×수준·YoY·4Q합 중 최대 r=0.88, n=8, 창 8)
[yoy]</t>
      </text>
    </comment>
    <comment ref="AN5" authorId="0" shapeId="0">
      <text>
        <t>추정: 고객지수 4분기 이동합(t−2) 331909억 × 비례계수 0.0067 × 계절비중 Q4 0.185(계절비중 — 최근 3개 연도(2026, 2025, 2024) 분기/연간 비중 평균; 격자 lag0~4×창8/12/19×수준·YoY·4Q합 중 최대 r=0.88, n=8, 창 8)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8.58%(최근 4분기 중위)
[ratio]</t>
      </text>
    </comment>
    <comment ref="AD8" authorId="0" shapeId="0">
      <text>
        <t>추정: 매출액 × 판관비율 8.58%(최근 4분기 중위)
[ratio]</t>
      </text>
    </comment>
    <comment ref="AF8" authorId="0" shapeId="0">
      <text>
        <t>추정: 매출액 × 판관비율 8.58%(최근 4분기 중위)
[ratio]</t>
      </text>
    </comment>
    <comment ref="AG8" authorId="0" shapeId="0">
      <text>
        <t>추정: 매출액 × 판관비율 8.58%(최근 4분기 중위)
[ratio]</t>
      </text>
    </comment>
    <comment ref="AH8" authorId="0" shapeId="0">
      <text>
        <t>추정: 매출액 × 판관비율 8.58%(최근 4분기 중위)
[ratio]</t>
      </text>
    </comment>
    <comment ref="AI8" authorId="0" shapeId="0">
      <text>
        <t>추정: 매출액 × 판관비율 8.58%(최근 4분기 중위)
[ratio]</t>
      </text>
    </comment>
    <comment ref="AK8" authorId="0" shapeId="0">
      <text>
        <t>추정: 매출액 × 판관비율 8.58%(최근 4분기 중위)
[ratio]</t>
      </text>
    </comment>
    <comment ref="AL8" authorId="0" shapeId="0">
      <text>
        <t>추정: 매출액 × 판관비율 8.58%(최근 4분기 중위)
[ratio]</t>
      </text>
    </comment>
    <comment ref="AM8" authorId="0" shapeId="0">
      <text>
        <t>추정: 매출액 × 판관비율 8.58%(최근 4분기 중위)
[ratio]</t>
      </text>
    </comment>
    <comment ref="AN8" authorId="0" shapeId="0">
      <text>
        <t>추정: 매출액 × 판관비율 8.58%(최근 4분기 중위)
[ratio]</t>
      </text>
    </comment>
    <comment ref="AC9" authorId="0" shapeId="0">
      <text>
        <t>추정: 매출액 × OPM(최근 8분기 OPM 중위 15.1% 유지)
[ratio]</t>
      </text>
    </comment>
    <comment ref="AD9" authorId="0" shapeId="0">
      <text>
        <t>추정: 매출액 × OPM(최근 8분기 OPM 중위 15.1% 유지)
[ratio]</t>
      </text>
    </comment>
    <comment ref="AF9" authorId="0" shapeId="0">
      <text>
        <t>추정: 매출액 × OPM(최근 8분기 OPM 중위 15.1% 유지)
[ratio]</t>
      </text>
    </comment>
    <comment ref="AG9" authorId="0" shapeId="0">
      <text>
        <t>추정: 매출액 × OPM(최근 8분기 OPM 중위 15.1% 유지)
[ratio]</t>
      </text>
    </comment>
    <comment ref="AH9" authorId="0" shapeId="0">
      <text>
        <t>추정: 매출액 × OPM(최근 8분기 OPM 중위 15.1% 유지)
[ratio]</t>
      </text>
    </comment>
    <comment ref="AI9" authorId="0" shapeId="0">
      <text>
        <t>추정: 매출액 × OPM(최근 8분기 OPM 중위 15.1% 유지)
[ratio]</t>
      </text>
    </comment>
    <comment ref="AK9" authorId="0" shapeId="0">
      <text>
        <t>추정: 매출액 × OPM(최근 8분기 OPM 중위 15.1% 유지)
[ratio]</t>
      </text>
    </comment>
    <comment ref="AL9" authorId="0" shapeId="0">
      <text>
        <t>추정: 매출액 × OPM(최근 8분기 OPM 중위 15.1% 유지)
[ratio]</t>
      </text>
    </comment>
    <comment ref="AM9" authorId="0" shapeId="0">
      <text>
        <t>추정: 매출액 × OPM(최근 8분기 OPM 중위 15.1% 유지)
[ratio]</t>
      </text>
    </comment>
    <comment ref="AN9" authorId="0" shapeId="0">
      <text>
        <t>추정: 매출액 × OPM(최근 8분기 OPM 중위 15.1% 유지)
[ratio]</t>
      </text>
    </comment>
    <comment ref="AC10" authorId="0" shapeId="0">
      <text>
        <t>추정: 최근 8분기 OPM 중위 15.1% 유지
[divide]</t>
      </text>
    </comment>
    <comment ref="AD10" authorId="0" shapeId="0">
      <text>
        <t>추정: 최근 8분기 OPM 중위 15.1% 유지
[divide]</t>
      </text>
    </comment>
    <comment ref="AF10" authorId="0" shapeId="0">
      <text>
        <t>추정: 최근 8분기 OPM 중위 15.1% 유지
[divide]</t>
      </text>
    </comment>
    <comment ref="AG10" authorId="0" shapeId="0">
      <text>
        <t>추정: 최근 8분기 OPM 중위 15.1% 유지
[divide]</t>
      </text>
    </comment>
    <comment ref="AH10" authorId="0" shapeId="0">
      <text>
        <t>추정: 최근 8분기 OPM 중위 15.1% 유지
[divide]</t>
      </text>
    </comment>
    <comment ref="AI10" authorId="0" shapeId="0">
      <text>
        <t>추정: 최근 8분기 OPM 중위 15.1% 유지
[divide]</t>
      </text>
    </comment>
    <comment ref="AK10" authorId="0" shapeId="0">
      <text>
        <t>추정: 최근 8분기 OPM 중위 15.1% 유지
[divide]</t>
      </text>
    </comment>
    <comment ref="AL10" authorId="0" shapeId="0">
      <text>
        <t>추정: 최근 8분기 OPM 중위 15.1% 유지
[divide]</t>
      </text>
    </comment>
    <comment ref="AM10" authorId="0" shapeId="0">
      <text>
        <t>추정: 최근 8분기 OPM 중위 15.1% 유지
[divide]</t>
      </text>
    </comment>
    <comment ref="AN10" authorId="0" shapeId="0">
      <text>
        <t>추정: 최근 8분기 OPM 중위 15.1% 유지
[divide]</t>
      </text>
    </comment>
    <comment ref="AC11" authorId="0" shapeId="0">
      <text>
        <t>추정: 이자손익 + 파생상품손익 0 + 기타금융손익 +0.00억(최근 4분기(2025Q2~2026Q2) 잔차 중위) (항등식); 이자손익 = 이자발생자산 824억 × 2.98%(주석 이자수익 ÷ 평균 이자발생자산(2025Q2~2026Q2)) − 총차입금 466억 × 3.52%(주석 이자비용 ÷ 평균 총차입금(2025Q2~2026Q2)) (연율) ÷ 4; 환율 효과는 환관련손익 행 별도
[identity]</t>
      </text>
    </comment>
    <comment ref="AD11" authorId="0" shapeId="0">
      <text>
        <t>추정: 이자손익 + 파생상품손익 0 + 기타금융손익 +0.00억(최근 4분기(2025Q2~2026Q2) 잔차 중위) (항등식); 이자손익 = 이자발생자산 905억 × 2.98%(주석 이자수익 ÷ 평균 이자발생자산(2025Q2~2026Q2)) − 총차입금 466억 × 3.52%(주석 이자비용 ÷ 평균 총차입금(2025Q2~2026Q2)) (연율) ÷ 4; 환율 효과는 환관련손익 행 별도
[identity]</t>
      </text>
    </comment>
    <comment ref="AF11" authorId="0" shapeId="0">
      <text>
        <t>추정: 이자손익 + 파생상품손익 0 + 기타금융손익 +0.00억(최근 4분기(2025Q2~2026Q2) 잔차 중위) (항등식); 이자손익 = 이자발생자산 976억 × 2.98%(주석 이자수익 ÷ 평균 이자발생자산(2025Q2~2026Q2)) − 총차입금 466억 × 3.52%(주석 이자비용 ÷ 평균 총차입금(2025Q2~2026Q2)) (연율) ÷ 4; 환율 효과는 환관련손익 행 별도
[identity]</t>
      </text>
    </comment>
    <comment ref="AG11" authorId="0" shapeId="0">
      <text>
        <t>추정: 이자손익 + 파생상품손익 0 + 기타금융손익 +0.00억(최근 4분기(2025Q2~2026Q2) 잔차 중위) (항등식); 이자손익 = 이자발생자산 1067억 × 2.98%(주석 이자수익 ÷ 평균 이자발생자산(2025Q2~2026Q2)) − 총차입금 466억 × 3.52%(주석 이자비용 ÷ 평균 총차입금(2025Q2~2026Q2)) (연율) ÷ 4; 환율 효과는 환관련손익 행 별도
[identity]</t>
      </text>
    </comment>
    <comment ref="AH11" authorId="0" shapeId="0">
      <text>
        <t>추정: 이자손익 + 파생상품손익 0 + 기타금융손익 +0.00억(최근 4분기(2025Q2~2026Q2) 잔차 중위) (항등식); 이자손익 = 이자발생자산 1093억 × 2.98%(주석 이자수익 ÷ 평균 이자발생자산(2025Q2~2026Q2)) − 총차입금 466억 × 3.52%(주석 이자비용 ÷ 평균 총차입금(2025Q2~2026Q2)) (연율) ÷ 4; 환율 효과는 환관련손익 행 별도
[identity]</t>
      </text>
    </comment>
    <comment ref="AI11" authorId="0" shapeId="0">
      <text>
        <t>추정: 이자손익 + 파생상품손익 0 + 기타금융손익 +0.00억(최근 4분기(2025Q2~2026Q2) 잔차 중위) (항등식); 이자손익 = 이자발생자산 1190억 × 2.98%(주석 이자수익 ÷ 평균 이자발생자산(2025Q2~2026Q2)) − 총차입금 466억 × 3.52%(주석 이자비용 ÷ 평균 총차입금(2025Q2~2026Q2)) (연율) ÷ 4; 환율 효과는 환관련손익 행 별도
[identity]</t>
      </text>
    </comment>
    <comment ref="AK11" authorId="0" shapeId="0">
      <text>
        <t>추정: 이자손익 + 파생상품손익 0 + 기타금융손익 +0.00억(최근 4분기(2025Q2~2026Q2) 잔차 중위) (항등식); 이자손익 = 이자발생자산 1271억 × 2.98%(주석 이자수익 ÷ 평균 이자발생자산(2025Q2~2026Q2)) − 총차입금 466억 × 3.52%(주석 이자비용 ÷ 평균 총차입금(2025Q2~2026Q2)) (연율) ÷ 4; 환율 효과는 환관련손익 행 별도
[identity]</t>
      </text>
    </comment>
    <comment ref="AL11" authorId="0" shapeId="0">
      <text>
        <t>추정: 이자손익 + 파생상품손익 0 + 기타금융손익 +0.00억(최근 4분기(2025Q2~2026Q2) 잔차 중위) (항등식); 이자손익 = 이자발생자산 1373억 × 2.98%(주석 이자수익 ÷ 평균 이자발생자산(2025Q2~2026Q2)) − 총차입금 466억 × 3.52%(주석 이자비용 ÷ 평균 총차입금(2025Q2~2026Q2)) (연율) ÷ 4; 환율 효과는 환관련손익 행 별도
[identity]</t>
      </text>
    </comment>
    <comment ref="AM11" authorId="0" shapeId="0">
      <text>
        <t>추정: 이자손익 + 파생상품손익 0 + 기타금융손익 +0.00억(최근 4분기(2025Q2~2026Q2) 잔차 중위) (항등식); 이자손익 = 이자발생자산 1410억 × 2.98%(주석 이자수익 ÷ 평균 이자발생자산(2025Q2~2026Q2)) − 총차입금 466억 × 3.52%(주석 이자비용 ÷ 평균 총차입금(2025Q2~2026Q2)) (연율) ÷ 4; 환율 효과는 환관련손익 행 별도
[identity]</t>
      </text>
    </comment>
    <comment ref="AN11" authorId="0" shapeId="0">
      <text>
        <t>추정: 이자손익 + 파생상품손익 0 + 기타금융손익 +0.00억(최근 4분기(2025Q2~2026Q2) 잔차 중위) (항등식); 이자손익 = 이자발생자산 1519억 × 2.98%(주석 이자수익 ÷ 평균 이자발생자산(2025Q2~2026Q2)) − 총차입금 466억 × 3.52%(주석 이자비용 ÷ 평균 총차입금(2025Q2~2026Q2)) (연율) ÷ 4; 환율 효과는 환관련손익 행 별도
[identity]</t>
      </text>
    </comment>
    <comment ref="AC12" authorId="0" shapeId="0">
      <text>
        <t>추정: 이자발생자산 824억 × 2.98%(주석 이자수익 ÷ 평균 이자발생자산(2025Q2~2026Q2)) − 총차입금 466억 × 3.52%(주석 이자비용 ÷ 평균 총차입금(2025Q2~2026Q2)) (연율) ÷ 4
[interest]</t>
      </text>
    </comment>
    <comment ref="AD12" authorId="0" shapeId="0">
      <text>
        <t>추정: 이자발생자산 905억 × 2.98%(주석 이자수익 ÷ 평균 이자발생자산(2025Q2~2026Q2)) − 총차입금 466억 × 3.52%(주석 이자비용 ÷ 평균 총차입금(2025Q2~2026Q2)) (연율) ÷ 4
[interest]</t>
      </text>
    </comment>
    <comment ref="AF12" authorId="0" shapeId="0">
      <text>
        <t>추정: 이자발생자산 976억 × 2.98%(주석 이자수익 ÷ 평균 이자발생자산(2025Q2~2026Q2)) − 총차입금 466억 × 3.52%(주석 이자비용 ÷ 평균 총차입금(2025Q2~2026Q2)) (연율) ÷ 4
[interest]</t>
      </text>
    </comment>
    <comment ref="AG12" authorId="0" shapeId="0">
      <text>
        <t>추정: 이자발생자산 1067억 × 2.98%(주석 이자수익 ÷ 평균 이자발생자산(2025Q2~2026Q2)) − 총차입금 466억 × 3.52%(주석 이자비용 ÷ 평균 총차입금(2025Q2~2026Q2)) (연율) ÷ 4
[interest]</t>
      </text>
    </comment>
    <comment ref="AH12" authorId="0" shapeId="0">
      <text>
        <t>추정: 이자발생자산 1093억 × 2.98%(주석 이자수익 ÷ 평균 이자발생자산(2025Q2~2026Q2)) − 총차입금 466억 × 3.52%(주석 이자비용 ÷ 평균 총차입금(2025Q2~2026Q2)) (연율) ÷ 4
[interest]</t>
      </text>
    </comment>
    <comment ref="AI12" authorId="0" shapeId="0">
      <text>
        <t>추정: 이자발생자산 1190억 × 2.98%(주석 이자수익 ÷ 평균 이자발생자산(2025Q2~2026Q2)) − 총차입금 466억 × 3.52%(주석 이자비용 ÷ 평균 총차입금(2025Q2~2026Q2)) (연율) ÷ 4
[interest]</t>
      </text>
    </comment>
    <comment ref="AK12" authorId="0" shapeId="0">
      <text>
        <t>추정: 이자발생자산 1271억 × 2.98%(주석 이자수익 ÷ 평균 이자발생자산(2025Q2~2026Q2)) − 총차입금 466억 × 3.52%(주석 이자비용 ÷ 평균 총차입금(2025Q2~2026Q2)) (연율) ÷ 4
[interest]</t>
      </text>
    </comment>
    <comment ref="AL12" authorId="0" shapeId="0">
      <text>
        <t>추정: 이자발생자산 1373억 × 2.98%(주석 이자수익 ÷ 평균 이자발생자산(2025Q2~2026Q2)) − 총차입금 466억 × 3.52%(주석 이자비용 ÷ 평균 총차입금(2025Q2~2026Q2)) (연율) ÷ 4
[interest]</t>
      </text>
    </comment>
    <comment ref="AM12" authorId="0" shapeId="0">
      <text>
        <t>추정: 이자발생자산 1410억 × 2.98%(주석 이자수익 ÷ 평균 이자발생자산(2025Q2~2026Q2)) − 총차입금 466억 × 3.52%(주석 이자비용 ÷ 평균 총차입금(2025Q2~2026Q2)) (연율) ÷ 4
[interest]</t>
      </text>
    </comment>
    <comment ref="AN12" authorId="0" shapeId="0">
      <text>
        <t>추정: 이자발생자산 1519억 × 2.98%(주석 이자수익 ÷ 평균 이자발생자산(2025Q2~2026Q2)) − 총차입금 466억 × 3.52%(주석 이자비용 ÷ 평균 총차입금(2025Q2~2026Q2)) (연율) ÷ 4
[interest]</t>
      </text>
    </comment>
    <comment ref="I13" authorId="0" shapeId="0">
      <text>
        <t>BS 계정 합·차: +파생상품이익 -파생상품손실</t>
      </text>
    </comment>
    <comment ref="J13" authorId="0" shapeId="0">
      <text>
        <t>BS 계정 합·차: +파생상품이익 -파생상품손실</t>
      </text>
    </comment>
    <comment ref="M13" authorId="0" shapeId="0">
      <text>
        <t>BS 계정 합·차: +파생상품이익 -파생상품손실</t>
      </text>
    </comment>
    <comment ref="N13" authorId="0" shapeId="0">
      <text>
        <t>BS 계정 합·차: +파생상품이익 -파생상품손실</t>
      </text>
    </comment>
    <comment ref="O13" authorId="0" shapeId="0">
      <text>
        <t>BS 계정 합·차: +파생상품이익 -파생상품손실</t>
      </text>
    </comment>
    <comment ref="R13" authorId="0" shapeId="0">
      <text>
        <t>BS 계정 합·차: +파생상품이익 -파생상품손실</t>
      </text>
    </comment>
    <comment ref="S13" authorId="0" shapeId="0">
      <text>
        <t>BS 계정 합·차: +파생상품이익 -파생상품손실</t>
      </text>
    </comment>
    <comment ref="T13" authorId="0" shapeId="0">
      <text>
        <t>BS 계정 합·차: +파생상품이익 -파생상품손실</t>
      </text>
    </comment>
    <comment ref="V13" authorId="0" shapeId="0">
      <text>
        <t>BS 계정 합·차: +파생상품이익 -파생상품손실</t>
      </text>
    </comment>
    <comment ref="W13" authorId="0" shapeId="0">
      <text>
        <t>BS 계정 합·차: +파생상품이익 -파생상품손실</t>
      </text>
    </comment>
    <comment ref="X13" authorId="0" shapeId="0">
      <text>
        <t>BS 계정 합·차: +파생상품이익 -파생상품손실</t>
      </text>
    </comment>
    <comment ref="Y13" authorId="0" shapeId="0">
      <text>
        <t>BS 계정 합·차: +파생상품이익 -파생상품손실</t>
      </text>
    </comment>
    <comment ref="AB13" authorId="0" shapeId="0">
      <text>
        <t>BS 계정 합·차: +파생상품이익 -파생상품손실</t>
      </text>
    </comment>
    <comment ref="AC13" authorId="0" shapeId="0">
      <text>
        <t>추정: 파생상품 평가·거래손익 0 가정
[abs]</t>
      </text>
    </comment>
    <comment ref="AD13" authorId="0" shapeId="0">
      <text>
        <t>추정: 파생상품 평가·거래손익 0 가정
[abs]</t>
      </text>
    </comment>
    <comment ref="AF13" authorId="0" shapeId="0">
      <text>
        <t>추정: 파생상품 평가·거래손익 0 가정
[abs]</t>
      </text>
    </comment>
    <comment ref="AG13" authorId="0" shapeId="0">
      <text>
        <t>추정: 파생상품 평가·거래손익 0 가정
[abs]</t>
      </text>
    </comment>
    <comment ref="AH13" authorId="0" shapeId="0">
      <text>
        <t>추정: 파생상품 평가·거래손익 0 가정
[abs]</t>
      </text>
    </comment>
    <comment ref="AI13" authorId="0" shapeId="0">
      <text>
        <t>추정: 파생상품 평가·거래손익 0 가정
[abs]</t>
      </text>
    </comment>
    <comment ref="AK13" authorId="0" shapeId="0">
      <text>
        <t>추정: 파생상품 평가·거래손익 0 가정
[abs]</t>
      </text>
    </comment>
    <comment ref="AL13" authorId="0" shapeId="0">
      <text>
        <t>추정: 파생상품 평가·거래손익 0 가정
[abs]</t>
      </text>
    </comment>
    <comment ref="AM13" authorId="0" shapeId="0">
      <text>
        <t>추정: 파생상품 평가·거래손익 0 가정
[abs]</t>
      </text>
    </comment>
    <comment ref="AN13" authorId="0" shapeId="0">
      <text>
        <t>추정: 파생상품 평가·거래손익 0 가정
[abs]</t>
      </text>
    </comment>
    <comment ref="I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J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M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N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O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R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S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T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V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W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X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Y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AB14" authorId="0" shapeId="0">
      <text>
        <t>실측(계정 매핑 없음(파생·부문·시세 행) — 모델값 직접) — fin.cons.is.금융손익 − 이자손익 − 파생상품손익(잔차) — 외환손익은 기타영업외 주석 → 금융 잔차에서 제외</t>
      </text>
    </comment>
    <comment ref="AC14" authorId="0" shapeId="0">
      <text>
        <t>추정: 최근 4분기(2025Q2~2026Q2) 잔차 중위
[abs]</t>
      </text>
    </comment>
    <comment ref="AD14" authorId="0" shapeId="0">
      <text>
        <t>추정: 최근 4분기(2025Q2~2026Q2) 잔차 중위
[abs]</t>
      </text>
    </comment>
    <comment ref="AF14" authorId="0" shapeId="0">
      <text>
        <t>추정: 최근 4분기(2025Q2~2026Q2) 잔차 중위
[abs]</t>
      </text>
    </comment>
    <comment ref="AG14" authorId="0" shapeId="0">
      <text>
        <t>추정: 최근 4분기(2025Q2~2026Q2) 잔차 중위
[abs]</t>
      </text>
    </comment>
    <comment ref="AH14" authorId="0" shapeId="0">
      <text>
        <t>추정: 최근 4분기(2025Q2~2026Q2) 잔차 중위
[abs]</t>
      </text>
    </comment>
    <comment ref="AI14" authorId="0" shapeId="0">
      <text>
        <t>추정: 최근 4분기(2025Q2~2026Q2) 잔차 중위
[abs]</t>
      </text>
    </comment>
    <comment ref="AK14" authorId="0" shapeId="0">
      <text>
        <t>추정: 최근 4분기(2025Q2~2026Q2) 잔차 중위
[abs]</t>
      </text>
    </comment>
    <comment ref="AL14" authorId="0" shapeId="0">
      <text>
        <t>추정: 최근 4분기(2025Q2~2026Q2) 잔차 중위
[abs]</t>
      </text>
    </comment>
    <comment ref="AM14" authorId="0" shapeId="0">
      <text>
        <t>추정: 최근 4분기(2025Q2~2026Q2) 잔차 중위
[abs]</t>
      </text>
    </comment>
    <comment ref="AN14" authorId="0" shapeId="0">
      <text>
        <t>추정: 최근 4분기(2025Q2~2026Q2) 잔차 중위
[abs]</t>
      </text>
    </comment>
    <comment ref="AC15" authorId="0" shapeId="0">
      <text>
        <t>추정: 일회성 미가정 → 0
[abs]</t>
      </text>
    </comment>
    <comment ref="AD15" authorId="0" shapeId="0">
      <text>
        <t>추정: 일회성 미가정 → 0
[abs]</t>
      </text>
    </comment>
    <comment ref="AF15" authorId="0" shapeId="0">
      <text>
        <t>추정: 일회성 미가정 → 0
[abs]</t>
      </text>
    </comment>
    <comment ref="AG15" authorId="0" shapeId="0">
      <text>
        <t>추정: 일회성 미가정 → 0
[abs]</t>
      </text>
    </comment>
    <comment ref="AH15" authorId="0" shapeId="0">
      <text>
        <t>추정: 일회성 미가정 → 0
[abs]</t>
      </text>
    </comment>
    <comment ref="AI15" authorId="0" shapeId="0">
      <text>
        <t>추정: 일회성 미가정 → 0
[abs]</t>
      </text>
    </comment>
    <comment ref="AK15" authorId="0" shapeId="0">
      <text>
        <t>추정: 일회성 미가정 → 0
[abs]</t>
      </text>
    </comment>
    <comment ref="AL15" authorId="0" shapeId="0">
      <text>
        <t>추정: 일회성 미가정 → 0
[abs]</t>
      </text>
    </comment>
    <comment ref="AM15" authorId="0" shapeId="0">
      <text>
        <t>추정: 일회성 미가정 → 0
[abs]</t>
      </text>
    </comment>
    <comment ref="AN15" authorId="0" shapeId="0">
      <text>
        <t>추정: 일회성 미가정 → 0
[abs]</t>
      </text>
    </comment>
    <comment ref="AC16" authorId="0" shapeId="0">
      <text>
        <t>추정: 최근 4분기 중위
[abs]</t>
      </text>
    </comment>
    <comment ref="AD16" authorId="0" shapeId="0">
      <text>
        <t>추정: 최근 4분기 중위
[abs]</t>
      </text>
    </comment>
    <comment ref="AF16" authorId="0" shapeId="0">
      <text>
        <t>추정: 최근 4분기 중위
[abs]</t>
      </text>
    </comment>
    <comment ref="AG16" authorId="0" shapeId="0">
      <text>
        <t>추정: 최근 4분기 중위
[abs]</t>
      </text>
    </comment>
    <comment ref="AH16" authorId="0" shapeId="0">
      <text>
        <t>추정: 최근 4분기 중위
[abs]</t>
      </text>
    </comment>
    <comment ref="AI16" authorId="0" shapeId="0">
      <text>
        <t>추정: 최근 4분기 중위
[abs]</t>
      </text>
    </comment>
    <comment ref="AK16" authorId="0" shapeId="0">
      <text>
        <t>추정: 최근 4분기 중위
[abs]</t>
      </text>
    </comment>
    <comment ref="AL16" authorId="0" shapeId="0">
      <text>
        <t>추정: 최근 4분기 중위
[abs]</t>
      </text>
    </comment>
    <comment ref="AM16" authorId="0" shapeId="0">
      <text>
        <t>추정: 최근 4분기 중위
[abs]</t>
      </text>
    </comment>
    <comment ref="AN16" authorId="0" shapeId="0">
      <text>
        <t>추정: 최근 4분기 중위
[abs]</t>
      </text>
    </comment>
    <comment ref="AC17" authorId="0" shapeId="0">
      <text>
        <t>추정: 영업이익 + 금융손익 + 기타영업외 + 지분법 + 환관련(항등식)
[identity]</t>
      </text>
    </comment>
    <comment ref="AD17" authorId="0" shapeId="0">
      <text>
        <t>추정: 영업이익 + 금융손익 + 기타영업외 + 지분법 + 환관련(항등식)
[identity]</t>
      </text>
    </comment>
    <comment ref="AF17" authorId="0" shapeId="0">
      <text>
        <t>추정: 영업이익 + 금융손익 + 기타영업외 + 지분법 + 환관련(항등식)
[identity]</t>
      </text>
    </comment>
    <comment ref="AG17" authorId="0" shapeId="0">
      <text>
        <t>추정: 영업이익 + 금융손익 + 기타영업외 + 지분법 + 환관련(항등식)
[identity]</t>
      </text>
    </comment>
    <comment ref="AH17" authorId="0" shapeId="0">
      <text>
        <t>추정: 영업이익 + 금융손익 + 기타영업외 + 지분법 + 환관련(항등식)
[identity]</t>
      </text>
    </comment>
    <comment ref="AI17" authorId="0" shapeId="0">
      <text>
        <t>추정: 영업이익 + 금융손익 + 기타영업외 + 지분법 + 환관련(항등식)
[identity]</t>
      </text>
    </comment>
    <comment ref="AK17" authorId="0" shapeId="0">
      <text>
        <t>추정: 영업이익 + 금융손익 + 기타영업외 + 지분법 + 환관련(항등식)
[identity]</t>
      </text>
    </comment>
    <comment ref="AL17" authorId="0" shapeId="0">
      <text>
        <t>추정: 영업이익 + 금융손익 + 기타영업외 + 지분법 + 환관련(항등식)
[identity]</t>
      </text>
    </comment>
    <comment ref="AM17" authorId="0" shapeId="0">
      <text>
        <t>추정: 영업이익 + 금융손익 + 기타영업외 + 지분법 + 환관련(항등식)
[identity]</t>
      </text>
    </comment>
    <comment ref="AN17" authorId="0" shapeId="0">
      <text>
        <t>추정: 영업이익 + 금융손익 + 기타영업외 + 지분법 + 환관련(항등식)
[identity]</t>
      </text>
    </comment>
    <comment ref="AC18" authorId="0" shapeId="0">
      <text>
        <t>추정: max(세전, 0) × 세율 21.9%(최근 12분기 유효세율 21.9%(5~27% 안 — 그대로))
[tax]</t>
      </text>
    </comment>
    <comment ref="AD18" authorId="0" shapeId="0">
      <text>
        <t>추정: max(세전, 0) × 세율 21.9%(최근 12분기 유효세율 21.9%(5~27% 안 — 그대로))
[tax]</t>
      </text>
    </comment>
    <comment ref="AF18" authorId="0" shapeId="0">
      <text>
        <t>추정: max(세전, 0) × 세율 21.9%(최근 12분기 유효세율 21.9%(5~27% 안 — 그대로))
[tax]</t>
      </text>
    </comment>
    <comment ref="AG18" authorId="0" shapeId="0">
      <text>
        <t>추정: max(세전, 0) × 세율 21.9%(최근 12분기 유효세율 21.9%(5~27% 안 — 그대로))
[tax]</t>
      </text>
    </comment>
    <comment ref="AH18" authorId="0" shapeId="0">
      <text>
        <t>추정: max(세전, 0) × 세율 21.9%(최근 12분기 유효세율 21.9%(5~27% 안 — 그대로))
[tax]</t>
      </text>
    </comment>
    <comment ref="AI18" authorId="0" shapeId="0">
      <text>
        <t>추정: max(세전, 0) × 세율 21.9%(최근 12분기 유효세율 21.9%(5~27% 안 — 그대로))
[tax]</t>
      </text>
    </comment>
    <comment ref="AK18" authorId="0" shapeId="0">
      <text>
        <t>추정: max(세전, 0) × 세율 21.9%(최근 12분기 유효세율 21.9%(5~27% 안 — 그대로))
[tax]</t>
      </text>
    </comment>
    <comment ref="AL18" authorId="0" shapeId="0">
      <text>
        <t>추정: max(세전, 0) × 세율 21.9%(최근 12분기 유효세율 21.9%(5~27% 안 — 그대로))
[tax]</t>
      </text>
    </comment>
    <comment ref="AM18" authorId="0" shapeId="0">
      <text>
        <t>추정: max(세전, 0) × 세율 21.9%(최근 12분기 유효세율 21.9%(5~27% 안 — 그대로))
[tax]</t>
      </text>
    </comment>
    <comment ref="AN18" authorId="0" shapeId="0">
      <text>
        <t>추정: max(세전, 0) × 세율 21.9%(최근 12분기 유효세율 21.9%(5~27% 안 — 그대로))
[tax]</t>
      </text>
    </comment>
    <comment ref="AC19" authorId="0" shapeId="0">
      <text>
        <t>추정: 세전이익 − 법인세비용(항등식)
[identity]</t>
      </text>
    </comment>
    <comment ref="AD19" authorId="0" shapeId="0">
      <text>
        <t>추정: 세전이익 − 법인세비용(항등식)
[identity]</t>
      </text>
    </comment>
    <comment ref="AF19" authorId="0" shapeId="0">
      <text>
        <t>추정: 세전이익 − 법인세비용(항등식)
[identity]</t>
      </text>
    </comment>
    <comment ref="AG19" authorId="0" shapeId="0">
      <text>
        <t>추정: 세전이익 − 법인세비용(항등식)
[identity]</t>
      </text>
    </comment>
    <comment ref="AH19" authorId="0" shapeId="0">
      <text>
        <t>추정: 세전이익 − 법인세비용(항등식)
[identity]</t>
      </text>
    </comment>
    <comment ref="AI19" authorId="0" shapeId="0">
      <text>
        <t>추정: 세전이익 − 법인세비용(항등식)
[identity]</t>
      </text>
    </comment>
    <comment ref="AK19" authorId="0" shapeId="0">
      <text>
        <t>추정: 세전이익 − 법인세비용(항등식)
[identity]</t>
      </text>
    </comment>
    <comment ref="AL19" authorId="0" shapeId="0">
      <text>
        <t>추정: 세전이익 − 법인세비용(항등식)
[identity]</t>
      </text>
    </comment>
    <comment ref="AM19" authorId="0" shapeId="0">
      <text>
        <t>추정: 세전이익 − 법인세비용(항등식)
[identity]</t>
      </text>
    </comment>
    <comment ref="AN19" authorId="0" shapeId="0">
      <text>
        <t>추정: 세전이익 − 법인세비용(항등식)
[identity]</t>
      </text>
    </comment>
    <comment ref="AC20" authorId="0" shapeId="0">
      <text>
        <t>추정: 당기순이익 × (1 − 비지배 비중 0.0%, 최근 8분기 실측)
[ratio]</t>
      </text>
    </comment>
    <comment ref="AD20" authorId="0" shapeId="0">
      <text>
        <t>추정: 당기순이익 × (1 − 비지배 비중 0.0%, 최근 8분기 실측)
[ratio]</t>
      </text>
    </comment>
    <comment ref="AF20" authorId="0" shapeId="0">
      <text>
        <t>추정: 당기순이익 × (1 − 비지배 비중 0.0%, 최근 8분기 실측)
[ratio]</t>
      </text>
    </comment>
    <comment ref="AG20" authorId="0" shapeId="0">
      <text>
        <t>추정: 당기순이익 × (1 − 비지배 비중 0.0%, 최근 8분기 실측)
[ratio]</t>
      </text>
    </comment>
    <comment ref="AH20" authorId="0" shapeId="0">
      <text>
        <t>추정: 당기순이익 × (1 − 비지배 비중 0.0%, 최근 8분기 실측)
[ratio]</t>
      </text>
    </comment>
    <comment ref="AI20" authorId="0" shapeId="0">
      <text>
        <t>추정: 당기순이익 × (1 − 비지배 비중 0.0%, 최근 8분기 실측)
[ratio]</t>
      </text>
    </comment>
    <comment ref="AK20" authorId="0" shapeId="0">
      <text>
        <t>추정: 당기순이익 × (1 − 비지배 비중 0.0%, 최근 8분기 실측)
[ratio]</t>
      </text>
    </comment>
    <comment ref="AL20" authorId="0" shapeId="0">
      <text>
        <t>추정: 당기순이익 × (1 − 비지배 비중 0.0%, 최근 8분기 실측)
[ratio]</t>
      </text>
    </comment>
    <comment ref="AM20" authorId="0" shapeId="0">
      <text>
        <t>추정: 당기순이익 × (1 − 비지배 비중 0.0%, 최근 8분기 실측)
[ratio]</t>
      </text>
    </comment>
    <comment ref="AN20" authorId="0" shapeId="0">
      <text>
        <t>추정: 당기순이익 × (1 − 비지배 비중 0.0%, 최근 8분기 실측)
[ratio]</t>
      </text>
    </comment>
    <comment ref="AC22" authorId="0" shapeId="0">
      <text>
        <t>추정: 최근 4분기 감가상각비 중위 유지
[abs]</t>
      </text>
    </comment>
    <comment ref="AD22" authorId="0" shapeId="0">
      <text>
        <t>추정: 최근 4분기 감가상각비 중위 유지
[abs]</t>
      </text>
    </comment>
    <comment ref="AF22" authorId="0" shapeId="0">
      <text>
        <t>추정: 최근 4분기 감가상각비 중위 유지
[abs]</t>
      </text>
    </comment>
    <comment ref="AG22" authorId="0" shapeId="0">
      <text>
        <t>추정: 최근 4분기 감가상각비 중위 유지
[abs]</t>
      </text>
    </comment>
    <comment ref="AH22" authorId="0" shapeId="0">
      <text>
        <t>추정: 최근 4분기 감가상각비 중위 유지
[abs]</t>
      </text>
    </comment>
    <comment ref="AI22" authorId="0" shapeId="0">
      <text>
        <t>추정: 최근 4분기 감가상각비 중위 유지
[abs]</t>
      </text>
    </comment>
    <comment ref="AK22" authorId="0" shapeId="0">
      <text>
        <t>추정: 최근 4분기 감가상각비 중위 유지
[abs]</t>
      </text>
    </comment>
    <comment ref="AL22" authorId="0" shapeId="0">
      <text>
        <t>추정: 최근 4분기 감가상각비 중위 유지
[abs]</t>
      </text>
    </comment>
    <comment ref="AM22" authorId="0" shapeId="0">
      <text>
        <t>추정: 최근 4분기 감가상각비 중위 유지
[abs]</t>
      </text>
    </comment>
    <comment ref="AN22" authorId="0" shapeId="0">
      <text>
        <t>추정: 최근 4분기 감가상각비 중위 유지
[abs]</t>
      </text>
    </comment>
    <comment ref="E23" authorId="0" shapeId="0">
      <text>
        <t>실측(계정 매핑 없음(파생·부문·시세 행) — 모델값 직접) — 영업이익 + 감가상각비(CF)</t>
      </text>
    </comment>
    <comment ref="G23" authorId="0" shapeId="0">
      <text>
        <t>실측(계정 매핑 없음(파생·부문·시세 행) — 모델값 직접) — 영업이익 + 감가상각비(CF)</t>
      </text>
    </comment>
    <comment ref="H23" authorId="0" shapeId="0">
      <text>
        <t>실측(계정 매핑 없음(파생·부문·시세 행) — 모델값 직접) — 영업이익 + 감가상각비(CF)</t>
      </text>
    </comment>
    <comment ref="I23" authorId="0" shapeId="0">
      <text>
        <t>실측(계정 매핑 없음(파생·부문·시세 행) — 모델값 직접) — 영업이익 + 감가상각비(CF)</t>
      </text>
    </comment>
    <comment ref="J23" authorId="0" shapeId="0">
      <text>
        <t>실측(계정 매핑 없음(파생·부문·시세 행) — 모델값 직접) — 영업이익 + 감가상각비(CF)</t>
      </text>
    </comment>
    <comment ref="L23" authorId="0" shapeId="0">
      <text>
        <t>실측(계정 매핑 없음(파생·부문·시세 행) — 모델값 직접) — 영업이익 + 감가상각비(CF)</t>
      </text>
    </comment>
    <comment ref="M23" authorId="0" shapeId="0">
      <text>
        <t>실측(계정 매핑 없음(파생·부문·시세 행) — 모델값 직접) — 영업이익 + 감가상각비(CF)</t>
      </text>
    </comment>
    <comment ref="AC23" authorId="0" shapeId="0">
      <text>
        <t>추정: 영업이익 + 감가상각비
[identity]</t>
      </text>
    </comment>
    <comment ref="AD23" authorId="0" shapeId="0">
      <text>
        <t>추정: 영업이익 + 감가상각비
[identity]</t>
      </text>
    </comment>
    <comment ref="AF23" authorId="0" shapeId="0">
      <text>
        <t>추정: 영업이익 + 감가상각비
[identity]</t>
      </text>
    </comment>
    <comment ref="AG23" authorId="0" shapeId="0">
      <text>
        <t>추정: 영업이익 + 감가상각비
[identity]</t>
      </text>
    </comment>
    <comment ref="AH23" authorId="0" shapeId="0">
      <text>
        <t>추정: 영업이익 + 감가상각비
[identity]</t>
      </text>
    </comment>
    <comment ref="AI23" authorId="0" shapeId="0">
      <text>
        <t>추정: 영업이익 + 감가상각비
[identity]</t>
      </text>
    </comment>
    <comment ref="AK23" authorId="0" shapeId="0">
      <text>
        <t>추정: 영업이익 + 감가상각비
[identity]</t>
      </text>
    </comment>
    <comment ref="AL23" authorId="0" shapeId="0">
      <text>
        <t>추정: 영업이익 + 감가상각비
[identity]</t>
      </text>
    </comment>
    <comment ref="AM23" authorId="0" shapeId="0">
      <text>
        <t>추정: 영업이익 + 감가상각비
[identity]</t>
      </text>
    </comment>
    <comment ref="AN23" authorId="0" shapeId="0">
      <text>
        <t>추정: 영업이익 + 감가상각비
[identity]</t>
      </text>
    </comment>
    <comment ref="AC24" authorId="0" shapeId="0">
      <text>
        <t>추정: 부채총계 + 자본총계(항등식)
[identity]</t>
      </text>
    </comment>
    <comment ref="AD24" authorId="0" shapeId="0">
      <text>
        <t>추정: 부채총계 + 자본총계(항등식)
[identity]</t>
      </text>
    </comment>
    <comment ref="AF24" authorId="0" shapeId="0">
      <text>
        <t>추정: 부채총계 + 자본총계(항등식)
[identity]</t>
      </text>
    </comment>
    <comment ref="AG24" authorId="0" shapeId="0">
      <text>
        <t>추정: 부채총계 + 자본총계(항등식)
[identity]</t>
      </text>
    </comment>
    <comment ref="AH24" authorId="0" shapeId="0">
      <text>
        <t>추정: 부채총계 + 자본총계(항등식)
[identity]</t>
      </text>
    </comment>
    <comment ref="AI24" authorId="0" shapeId="0">
      <text>
        <t>추정: 부채총계 + 자본총계(항등식)
[identity]</t>
      </text>
    </comment>
    <comment ref="AK24" authorId="0" shapeId="0">
      <text>
        <t>추정: 부채총계 + 자본총계(항등식)
[identity]</t>
      </text>
    </comment>
    <comment ref="AL24" authorId="0" shapeId="0">
      <text>
        <t>추정: 부채총계 + 자본총계(항등식)
[identity]</t>
      </text>
    </comment>
    <comment ref="AM24" authorId="0" shapeId="0">
      <text>
        <t>추정: 부채총계 + 자본총계(항등식)
[identity]</t>
      </text>
    </comment>
    <comment ref="AN24" authorId="0" shapeId="0">
      <text>
        <t>추정: 부채총계 + 자본총계(항등식)
[identity]</t>
      </text>
    </comment>
    <comment ref="AC25" authorId="0" shapeId="0">
      <text>
        <t>추정: 마지막 실적 유지(가정)
[qoq]</t>
      </text>
    </comment>
    <comment ref="AD25" authorId="0" shapeId="0">
      <text>
        <t>추정: 마지막 실적 유지(가정)
[qoq]</t>
      </text>
    </comment>
    <comment ref="AF25" authorId="0" shapeId="0">
      <text>
        <t>추정: 마지막 실적 유지(가정)
[qoq]</t>
      </text>
    </comment>
    <comment ref="AG25" authorId="0" shapeId="0">
      <text>
        <t>추정: 마지막 실적 유지(가정)
[qoq]</t>
      </text>
    </comment>
    <comment ref="AH25" authorId="0" shapeId="0">
      <text>
        <t>추정: 마지막 실적 유지(가정)
[qoq]</t>
      </text>
    </comment>
    <comment ref="AI25" authorId="0" shapeId="0">
      <text>
        <t>추정: 마지막 실적 유지(가정)
[qoq]</t>
      </text>
    </comment>
    <comment ref="AK25" authorId="0" shapeId="0">
      <text>
        <t>추정: 마지막 실적 유지(가정)
[qoq]</t>
      </text>
    </comment>
    <comment ref="AL25" authorId="0" shapeId="0">
      <text>
        <t>추정: 마지막 실적 유지(가정)
[qoq]</t>
      </text>
    </comment>
    <comment ref="AM25" authorId="0" shapeId="0">
      <text>
        <t>추정: 마지막 실적 유지(가정)
[qoq]</t>
      </text>
    </comment>
    <comment ref="AN25" authorId="0" shapeId="0">
      <text>
        <t>추정: 마지막 실적 유지(가정)
[qoq]</t>
      </text>
    </comment>
    <comment ref="AC26" authorId="0" shapeId="0">
      <text>
        <t>추정: 전분기 + 당기순이익 − 배당(Q2 지급 가정)
[roll]</t>
      </text>
    </comment>
    <comment ref="AD26" authorId="0" shapeId="0">
      <text>
        <t>추정: 전분기 + 당기순이익 − 배당(Q2 지급 가정)
[roll]</t>
      </text>
    </comment>
    <comment ref="AF26" authorId="0" shapeId="0">
      <text>
        <t>추정: 전분기 + 당기순이익 − 배당(Q2 지급 가정)
[roll]</t>
      </text>
    </comment>
    <comment ref="AG26" authorId="0" shapeId="0">
      <text>
        <t>추정: 전분기 + 당기순이익 − 배당(Q2 지급 가정)
[roll]</t>
      </text>
    </comment>
    <comment ref="AH26" authorId="0" shapeId="0">
      <text>
        <t>추정: 전분기 + 당기순이익 − 배당(Q2 지급 가정)
[roll]</t>
      </text>
    </comment>
    <comment ref="AI26" authorId="0" shapeId="0">
      <text>
        <t>추정: 전분기 + 당기순이익 − 배당(Q2 지급 가정)
[roll]</t>
      </text>
    </comment>
    <comment ref="AK26" authorId="0" shapeId="0">
      <text>
        <t>추정: 전분기 + 당기순이익 − 배당(Q2 지급 가정)
[roll]</t>
      </text>
    </comment>
    <comment ref="AL26" authorId="0" shapeId="0">
      <text>
        <t>추정: 전분기 + 당기순이익 − 배당(Q2 지급 가정)
[roll]</t>
      </text>
    </comment>
    <comment ref="AM26" authorId="0" shapeId="0">
      <text>
        <t>추정: 전분기 + 당기순이익 − 배당(Q2 지급 가정)
[roll]</t>
      </text>
    </comment>
    <comment ref="AN26" authorId="0" shapeId="0">
      <text>
        <t>추정: 전분기 + 당기순이익 − 배당(Q2 지급 가정)
[roll]</t>
      </text>
    </comment>
    <comment ref="AC27" authorId="0" shapeId="0">
      <text>
        <t>추정: 전분기 + 지배주주순이익 − 배당
[roll]</t>
      </text>
    </comment>
    <comment ref="AD27" authorId="0" shapeId="0">
      <text>
        <t>추정: 전분기 + 지배주주순이익 − 배당
[roll]</t>
      </text>
    </comment>
    <comment ref="AF27" authorId="0" shapeId="0">
      <text>
        <t>추정: 전분기 + 지배주주순이익 − 배당
[roll]</t>
      </text>
    </comment>
    <comment ref="AG27" authorId="0" shapeId="0">
      <text>
        <t>추정: 전분기 + 지배주주순이익 − 배당
[roll]</t>
      </text>
    </comment>
    <comment ref="AH27" authorId="0" shapeId="0">
      <text>
        <t>추정: 전분기 + 지배주주순이익 − 배당
[roll]</t>
      </text>
    </comment>
    <comment ref="AI27" authorId="0" shapeId="0">
      <text>
        <t>추정: 전분기 + 지배주주순이익 − 배당
[roll]</t>
      </text>
    </comment>
    <comment ref="AK27" authorId="0" shapeId="0">
      <text>
        <t>추정: 전분기 + 지배주주순이익 − 배당
[roll]</t>
      </text>
    </comment>
    <comment ref="AL27" authorId="0" shapeId="0">
      <text>
        <t>추정: 전분기 + 지배주주순이익 − 배당
[roll]</t>
      </text>
    </comment>
    <comment ref="AM27" authorId="0" shapeId="0">
      <text>
        <t>추정: 전분기 + 지배주주순이익 − 배당
[roll]</t>
      </text>
    </comment>
    <comment ref="AN27" authorId="0" shapeId="0">
      <text>
        <t>추정: 전분기 + 지배주주순이익 − 배당
[roll]</t>
      </text>
    </comment>
    <comment ref="AC28" authorId="0" shapeId="0">
      <text>
        <t>추정: 마지막 실적 유지(가정)
[qoq]</t>
      </text>
    </comment>
    <comment ref="AD28" authorId="0" shapeId="0">
      <text>
        <t>추정: 마지막 실적 유지(가정)
[qoq]</t>
      </text>
    </comment>
    <comment ref="AF28" authorId="0" shapeId="0">
      <text>
        <t>추정: 마지막 실적 유지(가정)
[qoq]</t>
      </text>
    </comment>
    <comment ref="AG28" authorId="0" shapeId="0">
      <text>
        <t>추정: 마지막 실적 유지(가정)
[qoq]</t>
      </text>
    </comment>
    <comment ref="AH28" authorId="0" shapeId="0">
      <text>
        <t>추정: 마지막 실적 유지(가정)
[qoq]</t>
      </text>
    </comment>
    <comment ref="AI28" authorId="0" shapeId="0">
      <text>
        <t>추정: 마지막 실적 유지(가정)
[qoq]</t>
      </text>
    </comment>
    <comment ref="AK28" authorId="0" shapeId="0">
      <text>
        <t>추정: 마지막 실적 유지(가정)
[qoq]</t>
      </text>
    </comment>
    <comment ref="AL28" authorId="0" shapeId="0">
      <text>
        <t>추정: 마지막 실적 유지(가정)
[qoq]</t>
      </text>
    </comment>
    <comment ref="AM28" authorId="0" shapeId="0">
      <text>
        <t>추정: 마지막 실적 유지(가정)
[qoq]</t>
      </text>
    </comment>
    <comment ref="AN28" authorId="0" shapeId="0">
      <text>
        <t>추정: 마지막 실적 유지(가정)
[qoq]</t>
      </text>
    </comment>
    <comment ref="AC29" authorId="0" shapeId="0">
      <text>
        <t>추정: 전분기 − FCF 근사[순이익 + 감가상각비 16억 − CAPEX 8억(각 최근 4분기 중위) − 배당] (운전자본 불변·총차입금 유지 가정 → 변동은 전부 현금)
[qoq]</t>
      </text>
    </comment>
    <comment ref="AD29" authorId="0" shapeId="0">
      <text>
        <t>추정: 전분기 − FCF 근사[순이익 + 감가상각비 16억 − CAPEX 8억(각 최근 4분기 중위) − 배당] (운전자본 불변·총차입금 유지 가정 → 변동은 전부 현금)
[qoq]</t>
      </text>
    </comment>
    <comment ref="AF29" authorId="0" shapeId="0">
      <text>
        <t>추정: 전분기 − FCF 근사[순이익 + 감가상각비 16억 − CAPEX 8억(각 최근 4분기 중위) − 배당] (운전자본 불변·총차입금 유지 가정 → 변동은 전부 현금)
[qoq]</t>
      </text>
    </comment>
    <comment ref="AG29" authorId="0" shapeId="0">
      <text>
        <t>추정: 전분기 − FCF 근사[순이익 + 감가상각비 16억 − CAPEX 8억(각 최근 4분기 중위) − 배당] (운전자본 불변·총차입금 유지 가정 → 변동은 전부 현금)
[qoq]</t>
      </text>
    </comment>
    <comment ref="AH29" authorId="0" shapeId="0">
      <text>
        <t>추정: 전분기 − FCF 근사[순이익 + 감가상각비 16억 − CAPEX 8억(각 최근 4분기 중위) − 배당] (운전자본 불변·총차입금 유지 가정 → 변동은 전부 현금)
[qoq]</t>
      </text>
    </comment>
    <comment ref="AI29" authorId="0" shapeId="0">
      <text>
        <t>추정: 전분기 − FCF 근사[순이익 + 감가상각비 16억 − CAPEX 8억(각 최근 4분기 중위) − 배당] (운전자본 불변·총차입금 유지 가정 → 변동은 전부 현금)
[qoq]</t>
      </text>
    </comment>
    <comment ref="AK29" authorId="0" shapeId="0">
      <text>
        <t>추정: 전분기 − FCF 근사[순이익 + 감가상각비 16억 − CAPEX 8억(각 최근 4분기 중위) − 배당] (운전자본 불변·총차입금 유지 가정 → 변동은 전부 현금)
[qoq]</t>
      </text>
    </comment>
    <comment ref="AL29" authorId="0" shapeId="0">
      <text>
        <t>추정: 전분기 − FCF 근사[순이익 + 감가상각비 16억 − CAPEX 8억(각 최근 4분기 중위) − 배당] (운전자본 불변·총차입금 유지 가정 → 변동은 전부 현금)
[qoq]</t>
      </text>
    </comment>
    <comment ref="AM29" authorId="0" shapeId="0">
      <text>
        <t>추정: 전분기 − FCF 근사[순이익 + 감가상각비 16억 − CAPEX 8억(각 최근 4분기 중위) − 배당] (운전자본 불변·총차입금 유지 가정 → 변동은 전부 현금)
[qoq]</t>
      </text>
    </comment>
    <comment ref="AN29" authorId="0" shapeId="0">
      <text>
        <t>추정: 전분기 − FCF 근사[순이익 + 감가상각비 16억 − CAPEX 8억(각 최근 4분기 중위) − 배당] (운전자본 불변·총차입금 유지 가정 → 변동은 전부 현금)
[qoq]</t>
      </text>
    </comment>
    <comment ref="AC30" authorId="0" shapeId="0">
      <text>
        <t>추정: 전분기 + FCF 근사 — 순차입금 롤과 같은 가정
[qoq]</t>
      </text>
    </comment>
    <comment ref="AD30" authorId="0" shapeId="0">
      <text>
        <t>추정: 전분기 + FCF 근사 — 순차입금 롤과 같은 가정
[qoq]</t>
      </text>
    </comment>
    <comment ref="AF30" authorId="0" shapeId="0">
      <text>
        <t>추정: 전분기 + FCF 근사 — 순차입금 롤과 같은 가정
[qoq]</t>
      </text>
    </comment>
    <comment ref="AG30" authorId="0" shapeId="0">
      <text>
        <t>추정: 전분기 + FCF 근사 — 순차입금 롤과 같은 가정
[qoq]</t>
      </text>
    </comment>
    <comment ref="AH30" authorId="0" shapeId="0">
      <text>
        <t>추정: 전분기 + FCF 근사 — 순차입금 롤과 같은 가정
[qoq]</t>
      </text>
    </comment>
    <comment ref="AI30" authorId="0" shapeId="0">
      <text>
        <t>추정: 전분기 + FCF 근사 — 순차입금 롤과 같은 가정
[qoq]</t>
      </text>
    </comment>
    <comment ref="AK30" authorId="0" shapeId="0">
      <text>
        <t>추정: 전분기 + FCF 근사 — 순차입금 롤과 같은 가정
[qoq]</t>
      </text>
    </comment>
    <comment ref="AL30" authorId="0" shapeId="0">
      <text>
        <t>추정: 전분기 + FCF 근사 — 순차입금 롤과 같은 가정
[qoq]</t>
      </text>
    </comment>
    <comment ref="AM30" authorId="0" shapeId="0">
      <text>
        <t>추정: 전분기 + FCF 근사 — 순차입금 롤과 같은 가정
[qoq]</t>
      </text>
    </comment>
    <comment ref="AN30" authorId="0" shapeId="0">
      <text>
        <t>추정: 전분기 + FCF 근사 — 순차입금 롤과 같은 가정
[qoq]</t>
      </text>
    </comment>
    <comment ref="AC32" authorId="0" shapeId="0">
      <text>
        <t>추정: 최근 4분기(2025Q3~2026Q2) CAPEX 중위 유지 — 순차입금 롤에 반영(FCF 근사)
[yoy]</t>
      </text>
    </comment>
    <comment ref="AD32" authorId="0" shapeId="0">
      <text>
        <t>추정: 최근 4분기(2025Q3~2026Q2) CAPEX 중위 유지 — 순차입금 롤에 반영(FCF 근사)
[yoy]</t>
      </text>
    </comment>
    <comment ref="AF32" authorId="0" shapeId="0">
      <text>
        <t>추정: 최근 4분기(2025Q3~2026Q2) CAPEX 중위 유지 — 순차입금 롤에 반영(FCF 근사)
[yoy]</t>
      </text>
    </comment>
    <comment ref="AG32" authorId="0" shapeId="0">
      <text>
        <t>추정: 최근 4분기(2025Q3~2026Q2) CAPEX 중위 유지 — 순차입금 롤에 반영(FCF 근사)
[yoy]</t>
      </text>
    </comment>
    <comment ref="AH32" authorId="0" shapeId="0">
      <text>
        <t>추정: 최근 4분기(2025Q3~2026Q2) CAPEX 중위 유지 — 순차입금 롤에 반영(FCF 근사)
[yoy]</t>
      </text>
    </comment>
    <comment ref="AI32" authorId="0" shapeId="0">
      <text>
        <t>추정: 최근 4분기(2025Q3~2026Q2) CAPEX 중위 유지 — 순차입금 롤에 반영(FCF 근사)
[yoy]</t>
      </text>
    </comment>
    <comment ref="AK32" authorId="0" shapeId="0">
      <text>
        <t>추정: 최근 4분기(2025Q3~2026Q2) CAPEX 중위 유지 — 순차입금 롤에 반영(FCF 근사)
[yoy]</t>
      </text>
    </comment>
    <comment ref="AL32" authorId="0" shapeId="0">
      <text>
        <t>추정: 최근 4분기(2025Q3~2026Q2) CAPEX 중위 유지 — 순차입금 롤에 반영(FCF 근사)
[yoy]</t>
      </text>
    </comment>
    <comment ref="AM32" authorId="0" shapeId="0">
      <text>
        <t>추정: 최근 4분기(2025Q3~2026Q2) CAPEX 중위 유지 — 순차입금 롤에 반영(FCF 근사)
[yoy]</t>
      </text>
    </comment>
    <comment ref="AN32" authorId="0" shapeId="0">
      <text>
        <t>추정: 최근 4분기(2025Q3~2026Q2) CAPEX 중위 유지 — 순차입금 롤에 반영(FCF 근사)
[yoy]</t>
      </text>
    </comment>
    <comment ref="E34" authorId="0" shapeId="0">
      <text>
        <t>추정(실적 구간 갭필): fin.shares.common_outstanding 9,180,848주 × ×5(환산 — 2026Q2 ×5 무상증자; IAS 33.64 비교표시·수정주가 이력과 정합)</t>
      </text>
    </comment>
    <comment ref="G34" authorId="0" shapeId="0">
      <text>
        <t>추정(실적 구간 갭필): fin.shares.common_outstanding 9,331,705주 × ×5(환산 — 2026Q2 ×5 무상증자; IAS 33.64 비교표시·수정주가 이력과 정합)</t>
      </text>
    </comment>
    <comment ref="H34" authorId="0" shapeId="0">
      <text>
        <t>추정(실적 구간 갭필): fin.shares.common_outstanding 9,331,705주 × ×5(환산 — 2026Q2 ×5 무상증자; IAS 33.64 비교표시·수정주가 이력과 정합)</t>
      </text>
    </comment>
    <comment ref="I34" authorId="0" shapeId="0">
      <text>
        <t>추정(실적 구간 갭필): fin.shares.common_outstanding 9,331,705주 × ×5(환산 — 2026Q2 ×5 무상증자; IAS 33.64 비교표시·수정주가 이력과 정합)</t>
      </text>
    </comment>
    <comment ref="J34" authorId="0" shapeId="0">
      <text>
        <t>추정(실적 구간 갭필): fin.shares.common_outstanding 9,331,705주 × ×5(환산 — 2026Q2 ×5 무상증자; IAS 33.64 비교표시·수정주가 이력과 정합)</t>
      </text>
    </comment>
    <comment ref="L34" authorId="0" shapeId="0">
      <text>
        <t>추정(실적 구간 갭필): fin.shares.common_outstanding 9,331,705주 × ×5(환산 — 2026Q2 ×5 무상증자; IAS 33.64 비교표시·수정주가 이력과 정합)</t>
      </text>
    </comment>
    <comment ref="M34" authorId="0" shapeId="0">
      <text>
        <t>추정(실적 구간 갭필): fin.shares.common_outstanding 9,331,705주 × ×5(환산 — 2026Q2 ×5 무상증자; IAS 33.64 비교표시·수정주가 이력과 정합)</t>
      </text>
    </comment>
    <comment ref="N34" authorId="0" shapeId="0">
      <text>
        <t>추정(실적 구간 갭필): fin.shares.common_outstanding 9,151,705주 × ×5(환산 — 2026Q2 ×5 무상증자; IAS 33.64 비교표시·수정주가 이력과 정합)</t>
      </text>
    </comment>
    <comment ref="O34" authorId="0" shapeId="0">
      <text>
        <t>추정(실적 구간 갭필): fin.shares.common_outstanding 9,067,273주 × ×5(환산 — 2026Q2 ×5 무상증자; IAS 33.64 비교표시·수정주가 이력과 정합)</t>
      </text>
    </comment>
    <comment ref="Q34" authorId="0" shapeId="0">
      <text>
        <t>추정(실적 구간 갭필): fin.shares.common_outstanding 9,067,273주 × ×5(환산 — 2026Q2 ×5 무상증자; IAS 33.64 비교표시·수정주가 이력과 정합)</t>
      </text>
    </comment>
    <comment ref="R34" authorId="0" shapeId="0">
      <text>
        <t>추정(실적 구간 갭필): fin.shares.common_outstanding 9,615,733주 × ×5(환산 — 2026Q2 ×5 무상증자; IAS 33.64 비교표시·수정주가 이력과 정합)</t>
      </text>
    </comment>
    <comment ref="S34" authorId="0" shapeId="0">
      <text>
        <t>추정(실적 구간 갭필): fin.shares.common_outstanding 9,615,733주 × ×5(환산 — 2026Q2 ×5 무상증자; IAS 33.64 비교표시·수정주가 이력과 정합)</t>
      </text>
    </comment>
    <comment ref="T34" authorId="0" shapeId="0">
      <text>
        <t>추정(실적 구간 갭필): fin.shares.common_outstanding 9,323,083주 × ×5(환산 — 2026Q2 ×5 무상증자; IAS 33.64 비교표시·수정주가 이력과 정합)</t>
      </text>
    </comment>
    <comment ref="V34" authorId="0" shapeId="0">
      <text>
        <t>추정(실적 구간 갭필): fin.shares.common_outstanding 9,274,083주 × ×5(환산 — 2026Q2 ×5 무상증자; IAS 33.64 비교표시·수정주가 이력과 정합)</t>
      </text>
    </comment>
    <comment ref="W34" authorId="0" shapeId="0">
      <text>
        <t>추정(실적 구간 갭필): fin.shares.common_outstanding 9,238,047주 × ×5(환산 — 2026Q2 ×5 무상증자; IAS 33.64 비교표시·수정주가 이력과 정합)</t>
      </text>
    </comment>
    <comment ref="X34" authorId="0" shapeId="0">
      <text>
        <t>추정(실적 구간 갭필): fin.shares.common_outstanding 9,232,882주 × ×5(환산 — 2026Q2 ×5 무상증자; IAS 33.64 비교표시·수정주가 이력과 정합)</t>
      </text>
    </comment>
    <comment ref="Y34" authorId="0" shapeId="0">
      <text>
        <t>추정(실적 구간 갭필): fin.shares.common_outstanding 9,232,882주 × ×5(환산 — 2026Q2 ×5 무상증자; IAS 33.64 비교표시·수정주가 이력과 정합)</t>
      </text>
    </comment>
    <comment ref="AA34" authorId="0" shapeId="0">
      <text>
        <t>추정(실적 구간 갭필): fin.shares.common_outstanding 9,175,882주 × ×5(환산 — 2026Q2 ×5 무상증자; IAS 33.64 비교표시·수정주가 이력과 정합)</t>
      </text>
    </comment>
    <comment ref="AB34" authorId="0" shapeId="0">
      <text>
        <t>실측(계정 매핑 없음(파생·부문·시세 행) — 모델값 직접) — fin.shares.common_outstanding</t>
      </text>
    </comment>
    <comment ref="AC34" authorId="0" shapeId="0">
      <text>
        <t>추정: 유통주식수 유지 — fin.shares.common_outstanding(2026Q2)
[qoq]</t>
      </text>
    </comment>
    <comment ref="AD34" authorId="0" shapeId="0">
      <text>
        <t>추정: 유통주식수 유지 — fin.shares.common_outstanding(2026Q2)
[qoq]</t>
      </text>
    </comment>
    <comment ref="AF34" authorId="0" shapeId="0">
      <text>
        <t>추정: 유통주식수 유지 — fin.shares.common_outstanding(2026Q2)
[qoq]</t>
      </text>
    </comment>
    <comment ref="AG34" authorId="0" shapeId="0">
      <text>
        <t>추정: 유통주식수 유지 — fin.shares.common_outstanding(2026Q2)
[qoq]</t>
      </text>
    </comment>
    <comment ref="AH34" authorId="0" shapeId="0">
      <text>
        <t>추정: 유통주식수 유지 — fin.shares.common_outstanding(2026Q2)
[qoq]</t>
      </text>
    </comment>
    <comment ref="AI34" authorId="0" shapeId="0">
      <text>
        <t>추정: 유통주식수 유지 — fin.shares.common_outstanding(2026Q2)
[qoq]</t>
      </text>
    </comment>
    <comment ref="AK34" authorId="0" shapeId="0">
      <text>
        <t>추정: 유통주식수 유지 — fin.shares.common_outstanding(2026Q2)
[qoq]</t>
      </text>
    </comment>
    <comment ref="AL34" authorId="0" shapeId="0">
      <text>
        <t>추정: 유통주식수 유지 — fin.shares.common_outstanding(2026Q2)
[qoq]</t>
      </text>
    </comment>
    <comment ref="AM34" authorId="0" shapeId="0">
      <text>
        <t>추정: 유통주식수 유지 — fin.shares.common_outstanding(2026Q2)
[qoq]</t>
      </text>
    </comment>
    <comment ref="AN34" authorId="0" shapeId="0">
      <text>
        <t>추정: 유통주식수 유지 — fin.shares.common_outstanding(2026Q2)
[qoq]</t>
      </text>
    </comment>
    <comment ref="AC35" authorId="0" shapeId="0">
      <text>
        <t>추정: 지배주주순이익 ÷ 유통주식수
[per_share]</t>
      </text>
    </comment>
    <comment ref="AD35" authorId="0" shapeId="0">
      <text>
        <t>추정: 지배주주순이익 ÷ 유통주식수
[per_share]</t>
      </text>
    </comment>
    <comment ref="AF35" authorId="0" shapeId="0">
      <text>
        <t>추정: 지배주주순이익 ÷ 유통주식수
[per_share]</t>
      </text>
    </comment>
    <comment ref="AG35" authorId="0" shapeId="0">
      <text>
        <t>추정: 지배주주순이익 ÷ 유통주식수
[per_share]</t>
      </text>
    </comment>
    <comment ref="AH35" authorId="0" shapeId="0">
      <text>
        <t>추정: 지배주주순이익 ÷ 유통주식수
[per_share]</t>
      </text>
    </comment>
    <comment ref="AI35" authorId="0" shapeId="0">
      <text>
        <t>추정: 지배주주순이익 ÷ 유통주식수
[per_share]</t>
      </text>
    </comment>
    <comment ref="AK35" authorId="0" shapeId="0">
      <text>
        <t>추정: 지배주주순이익 ÷ 유통주식수
[per_share]</t>
      </text>
    </comment>
    <comment ref="AL35" authorId="0" shapeId="0">
      <text>
        <t>추정: 지배주주순이익 ÷ 유통주식수
[per_share]</t>
      </text>
    </comment>
    <comment ref="AM35" authorId="0" shapeId="0">
      <text>
        <t>추정: 지배주주순이익 ÷ 유통주식수
[per_share]</t>
      </text>
    </comment>
    <comment ref="AN35" authorId="0" shapeId="0">
      <text>
        <t>추정: 지배주주순이익 ÷ 유통주식수
[per_share]</t>
      </text>
    </comment>
    <comment ref="AC36" authorId="0" shapeId="0">
      <text>
        <t>추정: 지배주주지분 ÷ 유통주식수
[per_share]</t>
      </text>
    </comment>
    <comment ref="AD36" authorId="0" shapeId="0">
      <text>
        <t>추정: 지배주주지분 ÷ 유통주식수
[per_share]</t>
      </text>
    </comment>
    <comment ref="AF36" authorId="0" shapeId="0">
      <text>
        <t>추정: 지배주주지분 ÷ 유통주식수
[per_share]</t>
      </text>
    </comment>
    <comment ref="AG36" authorId="0" shapeId="0">
      <text>
        <t>추정: 지배주주지분 ÷ 유통주식수
[per_share]</t>
      </text>
    </comment>
    <comment ref="AH36" authorId="0" shapeId="0">
      <text>
        <t>추정: 지배주주지분 ÷ 유통주식수
[per_share]</t>
      </text>
    </comment>
    <comment ref="AI36" authorId="0" shapeId="0">
      <text>
        <t>추정: 지배주주지분 ÷ 유통주식수
[per_share]</t>
      </text>
    </comment>
    <comment ref="AK36" authorId="0" shapeId="0">
      <text>
        <t>추정: 지배주주지분 ÷ 유통주식수
[per_share]</t>
      </text>
    </comment>
    <comment ref="AL36" authorId="0" shapeId="0">
      <text>
        <t>추정: 지배주주지분 ÷ 유통주식수
[per_share]</t>
      </text>
    </comment>
    <comment ref="AM36" authorId="0" shapeId="0">
      <text>
        <t>추정: 지배주주지분 ÷ 유통주식수
[per_share]</t>
      </text>
    </comment>
    <comment ref="AN36" authorId="0" shapeId="0">
      <text>
        <t>추정: 지배주주지분 ÷ 유통주식수
[per_share]</t>
      </text>
    </comment>
    <comment ref="E37" authorId="0" shapeId="0">
      <text>
        <t>실측(계정 매핑 없음(파생·부문·시세 행) — 모델값 직접) — fin.dividend.dps_common(연간, Q4 에 표기)</t>
      </text>
    </comment>
    <comment ref="F37" authorId="0" shapeId="0">
      <text>
        <t>연간(actual) — 분기 미완 연도, 모델 a 값 직접</t>
      </text>
    </comment>
    <comment ref="J37" authorId="0" shapeId="0">
      <text>
        <t>실측(계정 매핑 없음(파생·부문·시세 행) — 모델값 직접) — fin.dividend.dps_common(연간, Q4 에 표기)</t>
      </text>
    </comment>
    <comment ref="O37" authorId="0" shapeId="0">
      <text>
        <t>추정(실적 구간 갭필): fin.dividend.dps_common 2,250원 ÷ ×5(병합/분할 환산 — 2026Q2 ×5 무상증자)</t>
      </text>
    </comment>
    <comment ref="T37" authorId="0" shapeId="0">
      <text>
        <t>추정(실적 구간 갭필): fin.dividend.dps_common 700원 ÷ ×5(병합/분할 환산 — 2026Q2 ×5 무상증자)</t>
      </text>
    </comment>
    <comment ref="Y37" authorId="0" shapeId="0">
      <text>
        <t>추정(실적 구간 갭필): fin.dividend.dps_common 750원 ÷ ×5(병합/분할 환산 — 2026Q2 ×5 무상증자)</t>
      </text>
    </comment>
    <comment ref="AD37" authorId="0" shapeId="0">
      <text>
        <t>추정: 직전 결산 DPS 150원(fin 750원 ÷ ×5 병합/분할 환산) 유지
[abs]</t>
      </text>
    </comment>
    <comment ref="AI37" authorId="0" shapeId="0">
      <text>
        <t>추정: 직전 결산 DPS 150원(fin 750원 ÷ ×5 병합/분할 환산) 유지
[abs]</t>
      </text>
    </comment>
    <comment ref="AN37" authorId="0" shapeId="0">
      <text>
        <t>추정: 직전 결산 DPS 150원(fin 750원 ÷ ×5 병합/분할 환산) 유지
[abs]</t>
      </text>
    </comment>
    <comment ref="AC38" authorId="0" shapeId="0">
      <text>
        <t>추정: 현재 종가 ÷ TTM EPS(추정 포함)
[valuation]</t>
      </text>
    </comment>
    <comment ref="AD38" authorId="0" shapeId="0">
      <text>
        <t>추정: 현재 종가 ÷ TTM EPS(추정 포함)
[valuation]</t>
      </text>
    </comment>
    <comment ref="AF38" authorId="0" shapeId="0">
      <text>
        <t>추정: 현재 종가 ÷ TTM EPS(추정 포함)
[valuation]</t>
      </text>
    </comment>
    <comment ref="AG38" authorId="0" shapeId="0">
      <text>
        <t>추정: 현재 종가 ÷ TTM EPS(추정 포함)
[valuation]</t>
      </text>
    </comment>
    <comment ref="AH38" authorId="0" shapeId="0">
      <text>
        <t>추정: 현재 종가 ÷ TTM EPS(추정 포함)
[valuation]</t>
      </text>
    </comment>
    <comment ref="AI38" authorId="0" shapeId="0">
      <text>
        <t>추정: 현재 종가 ÷ TTM EPS(추정 포함)
[valuation]</t>
      </text>
    </comment>
    <comment ref="AK38" authorId="0" shapeId="0">
      <text>
        <t>추정: 현재 종가 ÷ TTM EPS(추정 포함)
[valuation]</t>
      </text>
    </comment>
    <comment ref="AL38" authorId="0" shapeId="0">
      <text>
        <t>추정: 현재 종가 ÷ TTM EPS(추정 포함)
[valuation]</t>
      </text>
    </comment>
    <comment ref="AM38" authorId="0" shapeId="0">
      <text>
        <t>추정: 현재 종가 ÷ TTM EPS(추정 포함)
[valuation]</t>
      </text>
    </comment>
    <comment ref="AN38" authorId="0" shapeId="0">
      <text>
        <t>추정: 현재 종가 ÷ TTM EPS(추정 포함)
[valuation]</t>
      </text>
    </comment>
    <comment ref="AC39" authorId="0" shapeId="0">
      <text>
        <t>추정: 현재 종가 ÷ BPS(추정 포함)
[valuation]</t>
      </text>
    </comment>
    <comment ref="AD39" authorId="0" shapeId="0">
      <text>
        <t>추정: 현재 종가 ÷ BPS(추정 포함)
[valuation]</t>
      </text>
    </comment>
    <comment ref="AF39" authorId="0" shapeId="0">
      <text>
        <t>추정: 현재 종가 ÷ BPS(추정 포함)
[valuation]</t>
      </text>
    </comment>
    <comment ref="AG39" authorId="0" shapeId="0">
      <text>
        <t>추정: 현재 종가 ÷ BPS(추정 포함)
[valuation]</t>
      </text>
    </comment>
    <comment ref="AH39" authorId="0" shapeId="0">
      <text>
        <t>추정: 현재 종가 ÷ BPS(추정 포함)
[valuation]</t>
      </text>
    </comment>
    <comment ref="AI39" authorId="0" shapeId="0">
      <text>
        <t>추정: 현재 종가 ÷ BPS(추정 포함)
[valuation]</t>
      </text>
    </comment>
    <comment ref="AK39" authorId="0" shapeId="0">
      <text>
        <t>추정: 현재 종가 ÷ BPS(추정 포함)
[valuation]</t>
      </text>
    </comment>
    <comment ref="AL39" authorId="0" shapeId="0">
      <text>
        <t>추정: 현재 종가 ÷ BPS(추정 포함)
[valuation]</t>
      </text>
    </comment>
    <comment ref="AM39" authorId="0" shapeId="0">
      <text>
        <t>추정: 현재 종가 ÷ BPS(추정 포함)
[valuation]</t>
      </text>
    </comment>
    <comment ref="AN39" authorId="0" shapeId="0">
      <text>
        <t>추정: 현재 종가 ÷ BPS(추정 포함)
[valuation]</t>
      </text>
    </comment>
    <comment ref="E40" authorId="0" shapeId="0">
      <text>
        <t>실측(계정 매핑 없음(파생·부문·시세 행) — 모델값 직접) — = 매출액(부문 미분리)</t>
      </text>
    </comment>
    <comment ref="G40" authorId="0" shapeId="0">
      <text>
        <t>실측(계정 매핑 없음(파생·부문·시세 행) — 모델값 직접) — = 매출액(부문 미분리)</t>
      </text>
    </comment>
    <comment ref="H40" authorId="0" shapeId="0">
      <text>
        <t>실측(계정 매핑 없음(파생·부문·시세 행) — 모델값 직접) — = 매출액(부문 미분리)</t>
      </text>
    </comment>
    <comment ref="I40" authorId="0" shapeId="0">
      <text>
        <t>실측(계정 매핑 없음(파생·부문·시세 행) — 모델값 직접) — = 매출액(부문 미분리)</t>
      </text>
    </comment>
    <comment ref="J40" authorId="0" shapeId="0">
      <text>
        <t>실측(계정 매핑 없음(파생·부문·시세 행) — 모델값 직접) — = 매출액(부문 미분리)</t>
      </text>
    </comment>
    <comment ref="L40" authorId="0" shapeId="0">
      <text>
        <t>실측(계정 매핑 없음(파생·부문·시세 행) — 모델값 직접) — = 매출액(부문 미분리)</t>
      </text>
    </comment>
    <comment ref="M40" authorId="0" shapeId="0">
      <text>
        <t>실측(계정 매핑 없음(파생·부문·시세 행) — 모델값 직접) — = 매출액(부문 미분리)</t>
      </text>
    </comment>
    <comment ref="N40" authorId="0" shapeId="0">
      <text>
        <t>실측(계정 매핑 없음(파생·부문·시세 행) — 모델값 직접) — = 매출액(부문 미분리)</t>
      </text>
    </comment>
    <comment ref="O40" authorId="0" shapeId="0">
      <text>
        <t>실측(계정 매핑 없음(파생·부문·시세 행) — 모델값 직접) — = 매출액(부문 미분리)</t>
      </text>
    </comment>
    <comment ref="Q40" authorId="0" shapeId="0">
      <text>
        <t>실측(계정 매핑 없음(파생·부문·시세 행) — 모델값 직접) — = 매출액(부문 미분리)</t>
      </text>
    </comment>
    <comment ref="R40" authorId="0" shapeId="0">
      <text>
        <t>실측(계정 매핑 없음(파생·부문·시세 행) — 모델값 직접) — = 매출액(부문 미분리)</t>
      </text>
    </comment>
    <comment ref="S40" authorId="0" shapeId="0">
      <text>
        <t>실측(계정 매핑 없음(파생·부문·시세 행) — 모델값 직접) — = 매출액(부문 미분리)</t>
      </text>
    </comment>
    <comment ref="T40" authorId="0" shapeId="0">
      <text>
        <t>실측(계정 매핑 없음(파생·부문·시세 행) — 모델값 직접) — = 매출액(부문 미분리)</t>
      </text>
    </comment>
    <comment ref="V40" authorId="0" shapeId="0">
      <text>
        <t>실측(계정 매핑 없음(파생·부문·시세 행) — 모델값 직접) — = 매출액(부문 미분리)</t>
      </text>
    </comment>
    <comment ref="W40" authorId="0" shapeId="0">
      <text>
        <t>실측(계정 매핑 없음(파생·부문·시세 행) — 모델값 직접) — = 매출액(부문 미분리)</t>
      </text>
    </comment>
    <comment ref="X40" authorId="0" shapeId="0">
      <text>
        <t>실측(계정 매핑 없음(파생·부문·시세 행) — 모델값 직접) — = 매출액(부문 미분리)</t>
      </text>
    </comment>
    <comment ref="Y40" authorId="0" shapeId="0">
      <text>
        <t>실측(계정 매핑 없음(파생·부문·시세 행) — 모델값 직접) — = 매출액(부문 미분리)</t>
      </text>
    </comment>
    <comment ref="AA40" authorId="0" shapeId="0">
      <text>
        <t>실측(계정 매핑 없음(파생·부문·시세 행) — 모델값 직접) — = 매출액(부문 미분리)</t>
      </text>
    </comment>
    <comment ref="AB40" authorId="0" shapeId="0">
      <text>
        <t>실측(계정 매핑 없음(파생·부문·시세 행) — 모델값 직접) — = 매출액(부문 미분리)</t>
      </text>
    </comment>
    <comment ref="AC40" authorId="0" shapeId="0">
      <text>
        <t>추정: = 매출액 추정(부문 미분리)
[identity]</t>
      </text>
    </comment>
    <comment ref="AD40" authorId="0" shapeId="0">
      <text>
        <t>추정: = 매출액 추정(부문 미분리)
[identity]</t>
      </text>
    </comment>
    <comment ref="AF40" authorId="0" shapeId="0">
      <text>
        <t>추정: = 매출액 추정(부문 미분리)
[identity]</t>
      </text>
    </comment>
    <comment ref="AG40" authorId="0" shapeId="0">
      <text>
        <t>추정: = 매출액 추정(부문 미분리)
[identity]</t>
      </text>
    </comment>
    <comment ref="AH40" authorId="0" shapeId="0">
      <text>
        <t>추정: = 매출액 추정(부문 미분리)
[identity]</t>
      </text>
    </comment>
    <comment ref="AI40" authorId="0" shapeId="0">
      <text>
        <t>추정: = 매출액 추정(부문 미분리)
[identity]</t>
      </text>
    </comment>
    <comment ref="AK40" authorId="0" shapeId="0">
      <text>
        <t>추정: = 매출액 추정(부문 미분리)
[identity]</t>
      </text>
    </comment>
    <comment ref="AL40" authorId="0" shapeId="0">
      <text>
        <t>추정: = 매출액 추정(부문 미분리)
[identity]</t>
      </text>
    </comment>
    <comment ref="AM40" authorId="0" shapeId="0">
      <text>
        <t>추정: = 매출액 추정(부문 미분리)
[identity]</t>
      </text>
    </comment>
    <comment ref="AN40" authorId="0" shapeId="0">
      <text>
        <t>추정: = 매출액 추정(부문 미분리)
[identity]</t>
      </text>
    </comment>
    <comment ref="E41" authorId="0" shapeId="0">
      <text>
        <t>실측(계정 매핑 없음(파생·부문·시세 행) — 모델값 직접) — = 영업이익(부문 미분리)</t>
      </text>
    </comment>
    <comment ref="G41" authorId="0" shapeId="0">
      <text>
        <t>실측(계정 매핑 없음(파생·부문·시세 행) — 모델값 직접) — = 영업이익(부문 미분리)</t>
      </text>
    </comment>
    <comment ref="H41" authorId="0" shapeId="0">
      <text>
        <t>실측(계정 매핑 없음(파생·부문·시세 행) — 모델값 직접) — = 영업이익(부문 미분리)</t>
      </text>
    </comment>
    <comment ref="I41" authorId="0" shapeId="0">
      <text>
        <t>실측(계정 매핑 없음(파생·부문·시세 행) — 모델값 직접) — = 영업이익(부문 미분리)</t>
      </text>
    </comment>
    <comment ref="J41" authorId="0" shapeId="0">
      <text>
        <t>실측(계정 매핑 없음(파생·부문·시세 행) — 모델값 직접) — = 영업이익(부문 미분리)</t>
      </text>
    </comment>
    <comment ref="L41" authorId="0" shapeId="0">
      <text>
        <t>실측(계정 매핑 없음(파생·부문·시세 행) — 모델값 직접) — = 영업이익(부문 미분리)</t>
      </text>
    </comment>
    <comment ref="M41" authorId="0" shapeId="0">
      <text>
        <t>실측(계정 매핑 없음(파생·부문·시세 행) — 모델값 직접) — = 영업이익(부문 미분리)</t>
      </text>
    </comment>
    <comment ref="N41" authorId="0" shapeId="0">
      <text>
        <t>실측(계정 매핑 없음(파생·부문·시세 행) — 모델값 직접) — = 영업이익(부문 미분리)</t>
      </text>
    </comment>
    <comment ref="O41" authorId="0" shapeId="0">
      <text>
        <t>실측(계정 매핑 없음(파생·부문·시세 행) — 모델값 직접) — = 영업이익(부문 미분리)</t>
      </text>
    </comment>
    <comment ref="Q41" authorId="0" shapeId="0">
      <text>
        <t>실측(계정 매핑 없음(파생·부문·시세 행) — 모델값 직접) — = 영업이익(부문 미분리)</t>
      </text>
    </comment>
    <comment ref="R41" authorId="0" shapeId="0">
      <text>
        <t>실측(계정 매핑 없음(파생·부문·시세 행) — 모델값 직접) — = 영업이익(부문 미분리)</t>
      </text>
    </comment>
    <comment ref="S41" authorId="0" shapeId="0">
      <text>
        <t>실측(계정 매핑 없음(파생·부문·시세 행) — 모델값 직접) — = 영업이익(부문 미분리)</t>
      </text>
    </comment>
    <comment ref="T41" authorId="0" shapeId="0">
      <text>
        <t>실측(계정 매핑 없음(파생·부문·시세 행) — 모델값 직접) — = 영업이익(부문 미분리)</t>
      </text>
    </comment>
    <comment ref="V41" authorId="0" shapeId="0">
      <text>
        <t>실측(계정 매핑 없음(파생·부문·시세 행) — 모델값 직접) — = 영업이익(부문 미분리)</t>
      </text>
    </comment>
    <comment ref="W41" authorId="0" shapeId="0">
      <text>
        <t>실측(계정 매핑 없음(파생·부문·시세 행) — 모델값 직접) — = 영업이익(부문 미분리)</t>
      </text>
    </comment>
    <comment ref="X41" authorId="0" shapeId="0">
      <text>
        <t>실측(계정 매핑 없음(파생·부문·시세 행) — 모델값 직접) — = 영업이익(부문 미분리)</t>
      </text>
    </comment>
    <comment ref="Y41" authorId="0" shapeId="0">
      <text>
        <t>실측(계정 매핑 없음(파생·부문·시세 행) — 모델값 직접) — = 영업이익(부문 미분리)</t>
      </text>
    </comment>
    <comment ref="AA41" authorId="0" shapeId="0">
      <text>
        <t>실측(계정 매핑 없음(파생·부문·시세 행) — 모델값 직접) — = 영업이익(부문 미분리)</t>
      </text>
    </comment>
    <comment ref="AB41" authorId="0" shapeId="0">
      <text>
        <t>실측(계정 매핑 없음(파생·부문·시세 행) — 모델값 직접) — = 영업이익(부문 미분리)</t>
      </text>
    </comment>
    <comment ref="AC41" authorId="0" shapeId="0">
      <text>
        <t>추정: = 매출액 × OPM(부문 미분리)
[identity]</t>
      </text>
    </comment>
    <comment ref="AD41" authorId="0" shapeId="0">
      <text>
        <t>추정: = 매출액 × OPM(부문 미분리)
[identity]</t>
      </text>
    </comment>
    <comment ref="AF41" authorId="0" shapeId="0">
      <text>
        <t>추정: = 매출액 × OPM(부문 미분리)
[identity]</t>
      </text>
    </comment>
    <comment ref="AG41" authorId="0" shapeId="0">
      <text>
        <t>추정: = 매출액 × OPM(부문 미분리)
[identity]</t>
      </text>
    </comment>
    <comment ref="AH41" authorId="0" shapeId="0">
      <text>
        <t>추정: = 매출액 × OPM(부문 미분리)
[identity]</t>
      </text>
    </comment>
    <comment ref="AI41" authorId="0" shapeId="0">
      <text>
        <t>추정: = 매출액 × OPM(부문 미분리)
[identity]</t>
      </text>
    </comment>
    <comment ref="AK41" authorId="0" shapeId="0">
      <text>
        <t>추정: = 매출액 × OPM(부문 미분리)
[identity]</t>
      </text>
    </comment>
    <comment ref="AL41" authorId="0" shapeId="0">
      <text>
        <t>추정: = 매출액 × OPM(부문 미분리)
[identity]</t>
      </text>
    </comment>
    <comment ref="AM41" authorId="0" shapeId="0">
      <text>
        <t>추정: = 매출액 × OPM(부문 미분리)
[identity]</t>
      </text>
    </comment>
    <comment ref="AN41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인화정공(101930) 실적 모델 — ARGUS 한국조선</t>
        </is>
      </c>
    </row>
    <row r="2">
      <c r="A2" t="inlineStr">
        <is>
          <t>기준 분기 2026Q2 · 마지막 실적 2026Q2 · 생성 2026-10-26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21.94% — 법인세 = MAX(세전,0) × 세율, 추정 전 분기 연결(Σ법인세/Σmax(세전,0) 역산, 재현 오차 ≤ 0.05억). 모델 가정 21.94% · 근거: 최근 12분기 유효세율 21.9%(5~27% 안 — 그대로)</t>
        </is>
      </c>
    </row>
    <row r="23">
      <c r="A23" t="inlineStr">
        <is>
          <t>· 판관비율 8.58%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2.98% / 부채 3.52% — 이자손익 = (전분기 이자발생자산 × 자산이자율 − 전분기 총차입금 × 부채이자율)/4, 최소자승 역산(모델 assumptions [0.0298, 0.0352] 는 4자리 반올림이라 그대로 쓰면 ±1억 어긋남) · 출처: {"asset": "주석 이자수익 ÷ 평균 이자발생자산(2025Q2~2026Q2)", "debt": "주석 이자비용 ÷ 평균 총차입금(2025Q2~2026Q2)"}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5.0/15.5/22.2배(hist_quarterly(분기 평균가 ÷ TTM EPS, 10분기, 25/50/75 백분위) · 캡 5~30배 적용(원값 3.8/15.5/22.2))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assets/models/101930.json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외환차손익이 기타영업외 주석에 있음(13분기, 2022Q3~2026Q2) → 외환손익 행 없음, 기타금융손익 = 금융손익 − 이자 − 파생(fx_in_other_nonop) / 주식수 사건 환산: 2026Q2 ×5 무상증자(eps_reported 교차검증 confirmed) → 사건 전 실적 18분기의 주식수·EPS·BPS·DPS 를 비율 환산(IAS 33.64; 셀 kind estimate, basis 에 원주식수·비율) / 금융손익 실적→추정 단절: 최근 4분기 실적 +4/+8/+8/+6(중위 +7억) → 추정 2026Q3 +2억(차 -5억, -71%)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16.1, "op_wape_pct": 51.5, "n": 4, "note": "단일 회사 4분기 — 통계 아님", "driver_at_freeze": "trend_seasonal", "selection_oos_at_freeze": {"wape_link": null, "wape_trend": null, "adopted": false, "decision": "rejected", "note": "유의성 조건 미달 → OOS 비교 전 기각"},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236.66, "rev_act": 287.95, "op_pred": 17.87, "op_act": 48.65}, {"q": "2025Q4", "rev_pred": 287.06, "rev_act": 254.8, "op_pred": 21.68, "op_act": 36.01}, {"q": "2026Q1", "rev_pred": 328.16, "rev_act": 259.87, "op_pred": 24.78, "op_act": 41.62}, {"q": "2026Q2", "rev_pred": 289.52, "rev_act": 318.3, "op_pred": 21.87, "op_act": 51.34}]}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0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1337.49</v>
      </c>
      <c r="AE6" s="17" t="n">
        <v>1451.19</v>
      </c>
      <c r="AF6" s="16" t="n">
        <v>1324.45</v>
      </c>
      <c r="AG6" s="16" t="n">
        <v>1324.45</v>
      </c>
      <c r="AH6" s="16" t="n">
        <v>1324.45</v>
      </c>
      <c r="AI6" s="16" t="n">
        <v>1324.45</v>
      </c>
      <c r="AJ6" s="11" t="n"/>
      <c r="AK6" s="16" t="n">
        <v>1324.45</v>
      </c>
      <c r="AL6" s="16" t="n">
        <v>1324.45</v>
      </c>
      <c r="AM6" s="16" t="n">
        <v>1324.45</v>
      </c>
      <c r="AN6" s="16" t="n">
        <v>1324.45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1324.45</v>
      </c>
      <c r="AE7" s="17" t="n">
        <v>1324.45</v>
      </c>
      <c r="AF7" s="16" t="n">
        <v>1324.45</v>
      </c>
      <c r="AG7" s="16" t="n">
        <v>1324.45</v>
      </c>
      <c r="AH7" s="16" t="n">
        <v>1324.45</v>
      </c>
      <c r="AI7" s="16" t="n">
        <v>1324.45</v>
      </c>
      <c r="AJ7" s="11" t="n"/>
      <c r="AK7" s="16" t="n">
        <v>1324.45</v>
      </c>
      <c r="AL7" s="16" t="n">
        <v>1324.45</v>
      </c>
      <c r="AM7" s="16" t="n">
        <v>1324.45</v>
      </c>
      <c r="AN7" s="16" t="n">
        <v>1324.45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846.51</v>
      </c>
      <c r="AE8" s="17" t="n">
        <v>915.5700000000001</v>
      </c>
      <c r="AF8" s="16" t="n">
        <v>844.67</v>
      </c>
      <c r="AG8" s="16" t="n">
        <v>844.67</v>
      </c>
      <c r="AH8" s="16" t="n">
        <v>844.67</v>
      </c>
      <c r="AI8" s="16" t="n">
        <v>844.67</v>
      </c>
      <c r="AJ8" s="11" t="n"/>
      <c r="AK8" s="16" t="n">
        <v>844.67</v>
      </c>
      <c r="AL8" s="16" t="n">
        <v>844.67</v>
      </c>
      <c r="AM8" s="16" t="n">
        <v>844.67</v>
      </c>
      <c r="AN8" s="16" t="n">
        <v>844.67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844.67</v>
      </c>
      <c r="AE9" s="17" t="n">
        <v>844.67</v>
      </c>
      <c r="AF9" s="16" t="n">
        <v>844.67</v>
      </c>
      <c r="AG9" s="16" t="n">
        <v>844.67</v>
      </c>
      <c r="AH9" s="16" t="n">
        <v>844.67</v>
      </c>
      <c r="AI9" s="16" t="n">
        <v>844.67</v>
      </c>
      <c r="AJ9" s="11" t="n"/>
      <c r="AK9" s="16" t="n">
        <v>844.67</v>
      </c>
      <c r="AL9" s="16" t="n">
        <v>844.67</v>
      </c>
      <c r="AM9" s="16" t="n">
        <v>844.67</v>
      </c>
      <c r="AN9" s="16" t="n">
        <v>844.67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1500.06</v>
      </c>
      <c r="AE10" s="17" t="n">
        <v>1680.5</v>
      </c>
      <c r="AF10" s="16" t="n">
        <v>1482.45</v>
      </c>
      <c r="AG10" s="16" t="n">
        <v>1482.45</v>
      </c>
      <c r="AH10" s="16" t="n">
        <v>1482.45</v>
      </c>
      <c r="AI10" s="16" t="n">
        <v>1482.45</v>
      </c>
      <c r="AJ10" s="11" t="n"/>
      <c r="AK10" s="16" t="n">
        <v>1482.45</v>
      </c>
      <c r="AL10" s="16" t="n">
        <v>1482.45</v>
      </c>
      <c r="AM10" s="16" t="n">
        <v>1482.45</v>
      </c>
      <c r="AN10" s="16" t="n">
        <v>1482.45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1482.45</v>
      </c>
      <c r="AE11" s="17" t="n">
        <v>1482.45</v>
      </c>
      <c r="AF11" s="16" t="n">
        <v>1482.45</v>
      </c>
      <c r="AG11" s="16" t="n">
        <v>1482.45</v>
      </c>
      <c r="AH11" s="16" t="n">
        <v>1482.45</v>
      </c>
      <c r="AI11" s="16" t="n">
        <v>1482.45</v>
      </c>
      <c r="AJ11" s="11" t="n"/>
      <c r="AK11" s="16" t="n">
        <v>1482.45</v>
      </c>
      <c r="AL11" s="16" t="n">
        <v>1482.45</v>
      </c>
      <c r="AM11" s="16" t="n">
        <v>1482.45</v>
      </c>
      <c r="AN11" s="16" t="n">
        <v>1482.45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199.88</v>
      </c>
      <c r="AE12" s="17" t="n">
        <v>213.06</v>
      </c>
      <c r="AF12" s="16" t="n">
        <v>198.56</v>
      </c>
      <c r="AG12" s="16" t="n">
        <v>198.56</v>
      </c>
      <c r="AH12" s="16" t="n">
        <v>198.56</v>
      </c>
      <c r="AI12" s="16" t="n">
        <v>198.56</v>
      </c>
      <c r="AJ12" s="11" t="n"/>
      <c r="AK12" s="16" t="n">
        <v>198.56</v>
      </c>
      <c r="AL12" s="16" t="n">
        <v>198.56</v>
      </c>
      <c r="AM12" s="16" t="n">
        <v>198.56</v>
      </c>
      <c r="AN12" s="16" t="n">
        <v>198.56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198.56</v>
      </c>
      <c r="AE13" s="17" t="n">
        <v>198.56</v>
      </c>
      <c r="AF13" s="16" t="n">
        <v>198.56</v>
      </c>
      <c r="AG13" s="16" t="n">
        <v>198.56</v>
      </c>
      <c r="AH13" s="16" t="n">
        <v>198.56</v>
      </c>
      <c r="AI13" s="16" t="n">
        <v>198.56</v>
      </c>
      <c r="AJ13" s="11" t="n"/>
      <c r="AK13" s="16" t="n">
        <v>198.56</v>
      </c>
      <c r="AL13" s="16" t="n">
        <v>198.56</v>
      </c>
      <c r="AM13" s="16" t="n">
        <v>198.56</v>
      </c>
      <c r="AN13" s="16" t="n">
        <v>198.56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2760</v>
      </c>
      <c r="F15" s="9" t="n"/>
      <c r="G15" s="18" t="n">
        <v>3190</v>
      </c>
      <c r="H15" s="18" t="n">
        <v>3010</v>
      </c>
      <c r="I15" s="18" t="n">
        <v>2660</v>
      </c>
      <c r="J15" s="18" t="n">
        <v>2520</v>
      </c>
      <c r="K15" s="9" t="n"/>
      <c r="L15" s="18" t="n">
        <v>1996</v>
      </c>
      <c r="M15" s="18" t="n">
        <v>2328</v>
      </c>
      <c r="N15" s="18" t="n">
        <v>2140</v>
      </c>
      <c r="O15" s="18" t="n">
        <v>2328</v>
      </c>
      <c r="P15" s="9" t="n"/>
      <c r="Q15" s="18" t="n">
        <v>2444</v>
      </c>
      <c r="R15" s="18" t="n">
        <v>4660</v>
      </c>
      <c r="S15" s="18" t="n">
        <v>4130</v>
      </c>
      <c r="T15" s="18" t="n">
        <v>6010</v>
      </c>
      <c r="U15" s="9" t="n"/>
      <c r="V15" s="18" t="n">
        <v>6450</v>
      </c>
      <c r="W15" s="18" t="n">
        <v>7230</v>
      </c>
      <c r="X15" s="18" t="n">
        <v>11060</v>
      </c>
      <c r="Y15" s="18" t="n">
        <v>9240</v>
      </c>
      <c r="Z15" s="9" t="n"/>
      <c r="AA15" s="18" t="n">
        <v>9240</v>
      </c>
      <c r="AB15" s="19" t="n">
        <v>7440</v>
      </c>
      <c r="AC15" s="20" t="n">
        <v>6210</v>
      </c>
      <c r="AD15" s="20" t="n">
        <v>6340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2810</v>
      </c>
      <c r="F16" s="9" t="n"/>
      <c r="G16" s="18" t="n">
        <v>3590</v>
      </c>
      <c r="H16" s="18" t="n">
        <v>3490</v>
      </c>
      <c r="I16" s="18" t="n">
        <v>3410</v>
      </c>
      <c r="J16" s="18" t="n">
        <v>2800</v>
      </c>
      <c r="K16" s="9" t="n"/>
      <c r="L16" s="18" t="n">
        <v>3024</v>
      </c>
      <c r="M16" s="18" t="n">
        <v>2414</v>
      </c>
      <c r="N16" s="18" t="n">
        <v>2626</v>
      </c>
      <c r="O16" s="18" t="n">
        <v>2440</v>
      </c>
      <c r="P16" s="9" t="n"/>
      <c r="Q16" s="18" t="n">
        <v>2548</v>
      </c>
      <c r="R16" s="18" t="n">
        <v>5600</v>
      </c>
      <c r="S16" s="18" t="n">
        <v>4990</v>
      </c>
      <c r="T16" s="18" t="n">
        <v>6730</v>
      </c>
      <c r="U16" s="9" t="n"/>
      <c r="V16" s="18" t="n">
        <v>7780</v>
      </c>
      <c r="W16" s="18" t="n">
        <v>8700</v>
      </c>
      <c r="X16" s="18" t="n">
        <v>12360</v>
      </c>
      <c r="Y16" s="18" t="n">
        <v>12900</v>
      </c>
      <c r="Z16" s="9" t="n"/>
      <c r="AA16" s="18" t="n">
        <v>10980</v>
      </c>
      <c r="AB16" s="19" t="n">
        <v>17000</v>
      </c>
      <c r="AC16" s="20" t="n">
        <v>8740</v>
      </c>
      <c r="AD16" s="20" t="n">
        <v>7000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2000</v>
      </c>
      <c r="F17" s="9" t="n"/>
      <c r="G17" s="18" t="n">
        <v>2370</v>
      </c>
      <c r="H17" s="18" t="n">
        <v>2730</v>
      </c>
      <c r="I17" s="18" t="n">
        <v>2470</v>
      </c>
      <c r="J17" s="18" t="n">
        <v>2400</v>
      </c>
      <c r="K17" s="9" t="n"/>
      <c r="L17" s="18" t="n">
        <v>1846</v>
      </c>
      <c r="M17" s="18" t="n">
        <v>1918</v>
      </c>
      <c r="N17" s="18" t="n">
        <v>1520</v>
      </c>
      <c r="O17" s="18" t="n">
        <v>1956</v>
      </c>
      <c r="P17" s="9" t="n"/>
      <c r="Q17" s="18" t="n">
        <v>2060</v>
      </c>
      <c r="R17" s="18" t="n">
        <v>2346</v>
      </c>
      <c r="S17" s="18" t="n">
        <v>3616</v>
      </c>
      <c r="T17" s="18" t="n">
        <v>4120</v>
      </c>
      <c r="U17" s="9" t="n"/>
      <c r="V17" s="18" t="n">
        <v>5740</v>
      </c>
      <c r="W17" s="18" t="n">
        <v>6320</v>
      </c>
      <c r="X17" s="18" t="n">
        <v>6190</v>
      </c>
      <c r="Y17" s="18" t="n">
        <v>8680</v>
      </c>
      <c r="Z17" s="9" t="n"/>
      <c r="AA17" s="18" t="n">
        <v>7020</v>
      </c>
      <c r="AB17" s="19" t="n">
        <v>6790</v>
      </c>
      <c r="AC17" s="20" t="n">
        <v>5480</v>
      </c>
      <c r="AD17" s="20" t="n">
        <v>5290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2359.8</v>
      </c>
      <c r="F18" s="9" t="n"/>
      <c r="G18" s="18" t="n">
        <v>2870.3</v>
      </c>
      <c r="H18" s="18" t="n">
        <v>3096.9</v>
      </c>
      <c r="I18" s="18" t="n">
        <v>2927.9</v>
      </c>
      <c r="J18" s="18" t="n">
        <v>2574.5</v>
      </c>
      <c r="K18" s="9" t="n"/>
      <c r="L18" s="18" t="n">
        <v>2361.4</v>
      </c>
      <c r="M18" s="18" t="n">
        <v>2156.4</v>
      </c>
      <c r="N18" s="18" t="n">
        <v>2291.6</v>
      </c>
      <c r="O18" s="18" t="n">
        <v>2158.7</v>
      </c>
      <c r="P18" s="9" t="n"/>
      <c r="Q18" s="18" t="n">
        <v>2261.4</v>
      </c>
      <c r="R18" s="18" t="n">
        <v>2852.3</v>
      </c>
      <c r="S18" s="18" t="n">
        <v>4252.5</v>
      </c>
      <c r="T18" s="18" t="n">
        <v>5182.8</v>
      </c>
      <c r="U18" s="9" t="n"/>
      <c r="V18" s="18" t="n">
        <v>6779</v>
      </c>
      <c r="W18" s="18" t="n">
        <v>7703.5</v>
      </c>
      <c r="X18" s="18" t="n">
        <v>8976.200000000001</v>
      </c>
      <c r="Y18" s="18" t="n">
        <v>10363.2</v>
      </c>
      <c r="Z18" s="9" t="n"/>
      <c r="AA18" s="18" t="n">
        <v>9207.1</v>
      </c>
      <c r="AB18" s="19" t="n">
        <v>10322.6</v>
      </c>
      <c r="AC18" s="20" t="n">
        <v>6807.6</v>
      </c>
      <c r="AD18" s="20" t="n">
        <v>5925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0.238762321</v>
      </c>
      <c r="AD21" s="24" t="n">
        <v>0.065639266</v>
      </c>
      <c r="AE21" s="25" t="n"/>
      <c r="AF21" s="24" t="n">
        <v>0.680102484</v>
      </c>
      <c r="AG21" s="24" t="n">
        <v>0.469719647</v>
      </c>
      <c r="AH21" s="24" t="n">
        <v>0.350490608</v>
      </c>
      <c r="AI21" s="24" t="n">
        <v>0.255920156</v>
      </c>
      <c r="AJ21" s="25" t="n"/>
      <c r="AK21" s="24" t="n">
        <v>0.183302794</v>
      </c>
      <c r="AL21" s="24" t="n">
        <v>0.162394989</v>
      </c>
      <c r="AM21" s="24" t="n">
        <v>0.18039525</v>
      </c>
      <c r="AN21" s="24" t="n">
        <v>0.208961351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$D$53</f>
        <v/>
      </c>
      <c r="AD22" s="26">
        <f>$D$53</f>
        <v/>
      </c>
      <c r="AE22" s="25">
        <f>IFERROR(subQ!AE8/subQ!AE5,"")</f>
        <v/>
      </c>
      <c r="AF22" s="26">
        <f>$D$53</f>
        <v/>
      </c>
      <c r="AG22" s="26">
        <f>$D$53</f>
        <v/>
      </c>
      <c r="AH22" s="26">
        <f>$D$53</f>
        <v/>
      </c>
      <c r="AI22" s="26">
        <f>$D$53</f>
        <v/>
      </c>
      <c r="AJ22" s="25">
        <f>IFERROR(subQ!AJ8/subQ!AJ5,"")</f>
        <v/>
      </c>
      <c r="AK22" s="26">
        <f>$D$53</f>
        <v/>
      </c>
      <c r="AL22" s="26">
        <f>$D$53</f>
        <v/>
      </c>
      <c r="AM22" s="26">
        <f>$D$53</f>
        <v/>
      </c>
      <c r="AN22" s="26">
        <f>$D$53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0.150742921</v>
      </c>
      <c r="AD23" s="24" t="n">
        <v>0.150738408</v>
      </c>
      <c r="AE23" s="25">
        <f>IFERROR(subQ!AE9/subQ!AE5,"")</f>
        <v/>
      </c>
      <c r="AF23" s="24" t="n">
        <v>0.150732936</v>
      </c>
      <c r="AG23" s="24" t="n">
        <v>0.150744961</v>
      </c>
      <c r="AH23" s="24" t="n">
        <v>0.150751474</v>
      </c>
      <c r="AI23" s="24" t="n">
        <v>0.150753621</v>
      </c>
      <c r="AJ23" s="25">
        <f>IFERROR(subQ!AJ9/subQ!AJ5,"")</f>
        <v/>
      </c>
      <c r="AK23" s="24" t="n">
        <v>0.150746182</v>
      </c>
      <c r="AL23" s="24" t="n">
        <v>0.150741109</v>
      </c>
      <c r="AM23" s="24" t="n">
        <v>0.150750941</v>
      </c>
      <c r="AN23" s="24" t="n">
        <v>0.150747065</v>
      </c>
      <c r="AO23" s="25">
        <f>IFERROR(subQ!AO9/subQ!AO5,"")</f>
        <v/>
      </c>
    </row>
    <row r="24">
      <c r="A24" s="12" t="inlineStr">
        <is>
          <t>drv:파생상품손익</t>
        </is>
      </c>
      <c r="B24" s="2" t="inlineStr">
        <is>
          <t>abs</t>
        </is>
      </c>
      <c r="C24" t="inlineStr">
        <is>
          <t>파생상품손익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drv:기타금융손익</t>
        </is>
      </c>
      <c r="B25" s="2" t="inlineStr">
        <is>
          <t>abs</t>
        </is>
      </c>
      <c r="C25" t="inlineStr">
        <is>
          <t>기타금융손익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7">
        <f>subQ!W14</f>
        <v/>
      </c>
      <c r="X25" s="27">
        <f>subQ!X14</f>
        <v/>
      </c>
      <c r="Y25" s="27">
        <f>subQ!Y14</f>
        <v/>
      </c>
      <c r="Z25" s="28">
        <f>subQ!Z14</f>
        <v/>
      </c>
      <c r="AA25" s="27">
        <f>subQ!AA14</f>
        <v/>
      </c>
      <c r="AB25" s="29">
        <f>subQ!AB14</f>
        <v/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  <c r="AK25" s="30" t="n">
        <v>0</v>
      </c>
      <c r="AL25" s="30" t="n">
        <v>0</v>
      </c>
      <c r="AM25" s="30" t="n">
        <v>0</v>
      </c>
      <c r="AN25" s="30" t="n">
        <v>0</v>
      </c>
      <c r="AO25" s="31">
        <f>subQ!AO14</f>
        <v/>
      </c>
    </row>
    <row r="26">
      <c r="A26" s="12" t="inlineStr">
        <is>
          <t>drv:기타영업외손익</t>
        </is>
      </c>
      <c r="B26" s="2" t="inlineStr">
        <is>
          <t>abs</t>
        </is>
      </c>
      <c r="C26" t="inlineStr">
        <is>
          <t>기타영업외손익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7">
        <f>subQ!W15</f>
        <v/>
      </c>
      <c r="X26" s="27">
        <f>subQ!X15</f>
        <v/>
      </c>
      <c r="Y26" s="27">
        <f>subQ!Y15</f>
        <v/>
      </c>
      <c r="Z26" s="28">
        <f>subQ!Z15</f>
        <v/>
      </c>
      <c r="AA26" s="27">
        <f>subQ!AA15</f>
        <v/>
      </c>
      <c r="AB26" s="29">
        <f>subQ!AB15</f>
        <v/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  <c r="AK26" s="30" t="n">
        <v>0</v>
      </c>
      <c r="AL26" s="30" t="n">
        <v>0</v>
      </c>
      <c r="AM26" s="30" t="n">
        <v>0</v>
      </c>
      <c r="AN26" s="30" t="n">
        <v>0</v>
      </c>
      <c r="AO26" s="31">
        <f>subQ!AO15</f>
        <v/>
      </c>
    </row>
    <row r="27">
      <c r="A27" s="12" t="inlineStr">
        <is>
          <t>drv:지분법손익</t>
        </is>
      </c>
      <c r="B27" s="2" t="inlineStr">
        <is>
          <t>abs</t>
        </is>
      </c>
      <c r="C27" t="inlineStr">
        <is>
          <t>지분법손익 (가정, 억원)</t>
        </is>
      </c>
      <c r="E27" s="27">
        <f>subQ!E16</f>
        <v/>
      </c>
      <c r="F27" s="28">
        <f>subQ!F16</f>
        <v/>
      </c>
      <c r="G27" s="27">
        <f>subQ!G16</f>
        <v/>
      </c>
      <c r="H27" s="27">
        <f>subQ!H16</f>
        <v/>
      </c>
      <c r="I27" s="27">
        <f>subQ!I16</f>
        <v/>
      </c>
      <c r="J27" s="27">
        <f>subQ!J16</f>
        <v/>
      </c>
      <c r="K27" s="28">
        <f>subQ!K16</f>
        <v/>
      </c>
      <c r="L27" s="27">
        <f>subQ!L16</f>
        <v/>
      </c>
      <c r="M27" s="27">
        <f>subQ!M16</f>
        <v/>
      </c>
      <c r="N27" s="27">
        <f>subQ!N16</f>
        <v/>
      </c>
      <c r="O27" s="27">
        <f>subQ!O16</f>
        <v/>
      </c>
      <c r="P27" s="28">
        <f>subQ!P16</f>
        <v/>
      </c>
      <c r="Q27" s="27">
        <f>subQ!Q16</f>
        <v/>
      </c>
      <c r="R27" s="27">
        <f>subQ!R16</f>
        <v/>
      </c>
      <c r="S27" s="27">
        <f>subQ!S16</f>
        <v/>
      </c>
      <c r="T27" s="27">
        <f>subQ!T16</f>
        <v/>
      </c>
      <c r="U27" s="28">
        <f>subQ!U16</f>
        <v/>
      </c>
      <c r="V27" s="27">
        <f>subQ!V16</f>
        <v/>
      </c>
      <c r="W27" s="27">
        <f>subQ!W16</f>
        <v/>
      </c>
      <c r="X27" s="27">
        <f>subQ!X16</f>
        <v/>
      </c>
      <c r="Y27" s="27">
        <f>subQ!Y16</f>
        <v/>
      </c>
      <c r="Z27" s="28">
        <f>subQ!Z16</f>
        <v/>
      </c>
      <c r="AA27" s="27">
        <f>subQ!AA16</f>
        <v/>
      </c>
      <c r="AB27" s="29">
        <f>subQ!AB16</f>
        <v/>
      </c>
      <c r="AC27" s="30" t="n">
        <v>36.67</v>
      </c>
      <c r="AD27" s="30" t="n">
        <v>36.67</v>
      </c>
      <c r="AE27" s="31">
        <f>subQ!AE16</f>
        <v/>
      </c>
      <c r="AF27" s="30" t="n">
        <v>36.67</v>
      </c>
      <c r="AG27" s="30" t="n">
        <v>36.67</v>
      </c>
      <c r="AH27" s="30" t="n">
        <v>36.67</v>
      </c>
      <c r="AI27" s="30" t="n">
        <v>36.67</v>
      </c>
      <c r="AJ27" s="31">
        <f>subQ!AJ16</f>
        <v/>
      </c>
      <c r="AK27" s="30" t="n">
        <v>36.67</v>
      </c>
      <c r="AL27" s="30" t="n">
        <v>36.67</v>
      </c>
      <c r="AM27" s="30" t="n">
        <v>36.67</v>
      </c>
      <c r="AN27" s="30" t="n">
        <v>36.67</v>
      </c>
      <c r="AO27" s="31">
        <f>subQ!AO16</f>
        <v/>
      </c>
    </row>
    <row r="28">
      <c r="A28" s="12" t="inlineStr">
        <is>
          <t>drv:법인세비용</t>
        </is>
      </c>
      <c r="B28" s="2" t="inlineStr">
        <is>
          <t>tax</t>
        </is>
      </c>
      <c r="C28" t="inlineStr">
        <is>
          <t>법인세율(/세전) — 법인세 = MAX(세전,0) × 세율</t>
        </is>
      </c>
      <c r="E28" s="21">
        <f>IFERROR(subQ!E18/subQ!E17,"")</f>
        <v/>
      </c>
      <c r="F28" s="22">
        <f>IFERROR(subQ!F18/subQ!F17,"")</f>
        <v/>
      </c>
      <c r="G28" s="21">
        <f>IFERROR(subQ!G18/subQ!G17,"")</f>
        <v/>
      </c>
      <c r="H28" s="21">
        <f>IFERROR(subQ!H18/subQ!H17,"")</f>
        <v/>
      </c>
      <c r="I28" s="21">
        <f>IFERROR(subQ!I18/subQ!I17,"")</f>
        <v/>
      </c>
      <c r="J28" s="21">
        <f>IFERROR(subQ!J18/subQ!J17,"")</f>
        <v/>
      </c>
      <c r="K28" s="22">
        <f>IFERROR(subQ!K18/subQ!K17,"")</f>
        <v/>
      </c>
      <c r="L28" s="21">
        <f>IFERROR(subQ!L18/subQ!L17,"")</f>
        <v/>
      </c>
      <c r="M28" s="21">
        <f>IFERROR(subQ!M18/subQ!M17,"")</f>
        <v/>
      </c>
      <c r="N28" s="21">
        <f>IFERROR(subQ!N18/subQ!N17,"")</f>
        <v/>
      </c>
      <c r="O28" s="21">
        <f>IFERROR(subQ!O18/subQ!O17,"")</f>
        <v/>
      </c>
      <c r="P28" s="22">
        <f>IFERROR(subQ!P18/subQ!P17,"")</f>
        <v/>
      </c>
      <c r="Q28" s="21">
        <f>IFERROR(subQ!Q18/subQ!Q17,"")</f>
        <v/>
      </c>
      <c r="R28" s="21">
        <f>IFERROR(subQ!R18/subQ!R17,"")</f>
        <v/>
      </c>
      <c r="S28" s="21">
        <f>IFERROR(subQ!S18/subQ!S17,"")</f>
        <v/>
      </c>
      <c r="T28" s="21">
        <f>IFERROR(subQ!T18/subQ!T17,"")</f>
        <v/>
      </c>
      <c r="U28" s="22">
        <f>IFERROR(subQ!U18/subQ!U17,"")</f>
        <v/>
      </c>
      <c r="V28" s="21">
        <f>IFERROR(subQ!V18/subQ!V17,"")</f>
        <v/>
      </c>
      <c r="W28" s="21">
        <f>IFERROR(subQ!W18/subQ!W17,"")</f>
        <v/>
      </c>
      <c r="X28" s="21">
        <f>IFERROR(subQ!X18/subQ!X17,"")</f>
        <v/>
      </c>
      <c r="Y28" s="21">
        <f>IFERROR(subQ!Y18/subQ!Y17,"")</f>
        <v/>
      </c>
      <c r="Z28" s="22">
        <f>IFERROR(subQ!Z18/subQ!Z17,"")</f>
        <v/>
      </c>
      <c r="AA28" s="21">
        <f>IFERROR(subQ!AA18/subQ!AA17,"")</f>
        <v/>
      </c>
      <c r="AB28" s="23">
        <f>IFERROR(subQ!AB18/subQ!AB17,"")</f>
        <v/>
      </c>
      <c r="AC28" s="26">
        <f>$D$52</f>
        <v/>
      </c>
      <c r="AD28" s="26">
        <f>$D$52</f>
        <v/>
      </c>
      <c r="AE28" s="25">
        <f>IFERROR(subQ!AE18/subQ!AE17,"")</f>
        <v/>
      </c>
      <c r="AF28" s="26">
        <f>$D$52</f>
        <v/>
      </c>
      <c r="AG28" s="26">
        <f>$D$52</f>
        <v/>
      </c>
      <c r="AH28" s="26">
        <f>$D$52</f>
        <v/>
      </c>
      <c r="AI28" s="26">
        <f>$D$52</f>
        <v/>
      </c>
      <c r="AJ28" s="25">
        <f>IFERROR(subQ!AJ18/subQ!AJ17,"")</f>
        <v/>
      </c>
      <c r="AK28" s="26">
        <f>$D$52</f>
        <v/>
      </c>
      <c r="AL28" s="26">
        <f>$D$52</f>
        <v/>
      </c>
      <c r="AM28" s="26">
        <f>$D$52</f>
        <v/>
      </c>
      <c r="AN28" s="26">
        <f>$D$52</f>
        <v/>
      </c>
      <c r="AO28" s="25">
        <f>IFERROR(subQ!AO18/subQ!AO17,"")</f>
        <v/>
      </c>
    </row>
    <row r="29">
      <c r="A29" s="12" t="inlineStr">
        <is>
          <t>drv:지배주주순이익</t>
        </is>
      </c>
      <c r="B29" s="2" t="inlineStr">
        <is>
          <t>ratio</t>
        </is>
      </c>
      <c r="C29" t="inlineStr">
        <is>
          <t>지배주주 비중(/당기순이익)</t>
        </is>
      </c>
      <c r="E29" s="21">
        <f>IFERROR(subQ!E20/subQ!E19,"")</f>
        <v/>
      </c>
      <c r="F29" s="22">
        <f>IFERROR(subQ!F20/subQ!F19,"")</f>
        <v/>
      </c>
      <c r="G29" s="21">
        <f>IFERROR(subQ!G20/subQ!G19,"")</f>
        <v/>
      </c>
      <c r="H29" s="21">
        <f>IFERROR(subQ!H20/subQ!H19,"")</f>
        <v/>
      </c>
      <c r="I29" s="21">
        <f>IFERROR(subQ!I20/subQ!I19,"")</f>
        <v/>
      </c>
      <c r="J29" s="21">
        <f>IFERROR(subQ!J20/subQ!J19,"")</f>
        <v/>
      </c>
      <c r="K29" s="22">
        <f>IFERROR(subQ!K20/subQ!K19,"")</f>
        <v/>
      </c>
      <c r="L29" s="21">
        <f>IFERROR(subQ!L20/subQ!L19,"")</f>
        <v/>
      </c>
      <c r="M29" s="21">
        <f>IFERROR(subQ!M20/subQ!M19,"")</f>
        <v/>
      </c>
      <c r="N29" s="21">
        <f>IFERROR(subQ!N20/subQ!N19,"")</f>
        <v/>
      </c>
      <c r="O29" s="21">
        <f>IFERROR(subQ!O20/subQ!O19,"")</f>
        <v/>
      </c>
      <c r="P29" s="22">
        <f>IFERROR(subQ!P20/subQ!P19,"")</f>
        <v/>
      </c>
      <c r="Q29" s="21">
        <f>IFERROR(subQ!Q20/subQ!Q19,"")</f>
        <v/>
      </c>
      <c r="R29" s="21">
        <f>IFERROR(subQ!R20/subQ!R19,"")</f>
        <v/>
      </c>
      <c r="S29" s="21">
        <f>IFERROR(subQ!S20/subQ!S19,"")</f>
        <v/>
      </c>
      <c r="T29" s="21">
        <f>IFERROR(subQ!T20/subQ!T19,"")</f>
        <v/>
      </c>
      <c r="U29" s="22">
        <f>IFERROR(subQ!U20/subQ!U19,"")</f>
        <v/>
      </c>
      <c r="V29" s="21">
        <f>IFERROR(subQ!V20/subQ!V19,"")</f>
        <v/>
      </c>
      <c r="W29" s="21">
        <f>IFERROR(subQ!W20/subQ!W19,"")</f>
        <v/>
      </c>
      <c r="X29" s="21">
        <f>IFERROR(subQ!X20/subQ!X19,"")</f>
        <v/>
      </c>
      <c r="Y29" s="21">
        <f>IFERROR(subQ!Y20/subQ!Y19,"")</f>
        <v/>
      </c>
      <c r="Z29" s="22">
        <f>IFERROR(subQ!Z20/subQ!Z19,"")</f>
        <v/>
      </c>
      <c r="AA29" s="21">
        <f>IFERROR(subQ!AA20/subQ!AA19,"")</f>
        <v/>
      </c>
      <c r="AB29" s="23">
        <f>IFERROR(subQ!AB20/subQ!AB19,"")</f>
        <v/>
      </c>
      <c r="AC29" s="26">
        <f>$D$54</f>
        <v/>
      </c>
      <c r="AD29" s="26">
        <f>$D$54</f>
        <v/>
      </c>
      <c r="AE29" s="25">
        <f>IFERROR(subQ!AE20/subQ!AE19,"")</f>
        <v/>
      </c>
      <c r="AF29" s="26">
        <f>$D$54</f>
        <v/>
      </c>
      <c r="AG29" s="26">
        <f>$D$54</f>
        <v/>
      </c>
      <c r="AH29" s="26">
        <f>$D$54</f>
        <v/>
      </c>
      <c r="AI29" s="26">
        <f>$D$54</f>
        <v/>
      </c>
      <c r="AJ29" s="25">
        <f>IFERROR(subQ!AJ20/subQ!AJ19,"")</f>
        <v/>
      </c>
      <c r="AK29" s="26">
        <f>$D$54</f>
        <v/>
      </c>
      <c r="AL29" s="26">
        <f>$D$54</f>
        <v/>
      </c>
      <c r="AM29" s="26">
        <f>$D$54</f>
        <v/>
      </c>
      <c r="AN29" s="26">
        <f>$D$54</f>
        <v/>
      </c>
      <c r="AO29" s="25">
        <f>IFERROR(subQ!AO20/subQ!AO19,"")</f>
        <v/>
      </c>
    </row>
    <row r="30">
      <c r="A30" s="12" t="inlineStr">
        <is>
          <t>drv:중단사업이익</t>
        </is>
      </c>
      <c r="B30" s="2" t="inlineStr">
        <is>
          <t>abs</t>
        </is>
      </c>
      <c r="C30" t="inlineStr">
        <is>
          <t>중단사업이익 (가정, 억원)</t>
        </is>
      </c>
      <c r="E30" s="27">
        <f>subQ!E21</f>
        <v/>
      </c>
      <c r="F30" s="28">
        <f>subQ!F21</f>
        <v/>
      </c>
      <c r="G30" s="27">
        <f>subQ!G21</f>
        <v/>
      </c>
      <c r="H30" s="27">
        <f>subQ!H21</f>
        <v/>
      </c>
      <c r="I30" s="27">
        <f>subQ!I21</f>
        <v/>
      </c>
      <c r="J30" s="27">
        <f>subQ!J21</f>
        <v/>
      </c>
      <c r="K30" s="28">
        <f>subQ!K21</f>
        <v/>
      </c>
      <c r="L30" s="27">
        <f>subQ!L21</f>
        <v/>
      </c>
      <c r="M30" s="27">
        <f>subQ!M21</f>
        <v/>
      </c>
      <c r="N30" s="27">
        <f>subQ!N21</f>
        <v/>
      </c>
      <c r="O30" s="27">
        <f>subQ!O21</f>
        <v/>
      </c>
      <c r="P30" s="28">
        <f>subQ!P21</f>
        <v/>
      </c>
      <c r="Q30" s="27">
        <f>subQ!Q21</f>
        <v/>
      </c>
      <c r="R30" s="27">
        <f>subQ!R21</f>
        <v/>
      </c>
      <c r="S30" s="27">
        <f>subQ!S21</f>
        <v/>
      </c>
      <c r="T30" s="27">
        <f>subQ!T21</f>
        <v/>
      </c>
      <c r="U30" s="28">
        <f>subQ!U21</f>
        <v/>
      </c>
      <c r="V30" s="27">
        <f>subQ!V21</f>
        <v/>
      </c>
      <c r="W30" s="27">
        <f>subQ!W21</f>
        <v/>
      </c>
      <c r="X30" s="27">
        <f>subQ!X21</f>
        <v/>
      </c>
      <c r="Y30" s="27">
        <f>subQ!Y21</f>
        <v/>
      </c>
      <c r="Z30" s="28">
        <f>subQ!Z21</f>
        <v/>
      </c>
      <c r="AA30" s="27">
        <f>subQ!AA21</f>
        <v/>
      </c>
      <c r="AB30" s="29">
        <f>subQ!AB21</f>
        <v/>
      </c>
      <c r="AC30" s="32" t="n"/>
      <c r="AD30" s="32" t="n"/>
      <c r="AE30" s="31">
        <f>subQ!AE21</f>
        <v/>
      </c>
      <c r="AF30" s="32" t="n"/>
      <c r="AG30" s="32" t="n"/>
      <c r="AH30" s="32" t="n"/>
      <c r="AI30" s="32" t="n"/>
      <c r="AJ30" s="31">
        <f>subQ!AJ21</f>
        <v/>
      </c>
      <c r="AK30" s="32" t="n"/>
      <c r="AL30" s="32" t="n"/>
      <c r="AM30" s="32" t="n"/>
      <c r="AN30" s="32" t="n"/>
      <c r="AO30" s="31">
        <f>subQ!AO21</f>
        <v/>
      </c>
    </row>
    <row r="31">
      <c r="A31" s="12" t="inlineStr">
        <is>
          <t>drv:감가상각비</t>
        </is>
      </c>
      <c r="B31" s="2" t="inlineStr">
        <is>
          <t>abs</t>
        </is>
      </c>
      <c r="C31" t="inlineStr">
        <is>
          <t>감가상각비 (가정, 억원)</t>
        </is>
      </c>
      <c r="E31" s="27">
        <f>subQ!E22</f>
        <v/>
      </c>
      <c r="F31" s="28">
        <f>subQ!F22</f>
        <v/>
      </c>
      <c r="G31" s="27">
        <f>subQ!G22</f>
        <v/>
      </c>
      <c r="H31" s="27">
        <f>subQ!H22</f>
        <v/>
      </c>
      <c r="I31" s="27">
        <f>subQ!I22</f>
        <v/>
      </c>
      <c r="J31" s="27">
        <f>subQ!J22</f>
        <v/>
      </c>
      <c r="K31" s="28">
        <f>subQ!K22</f>
        <v/>
      </c>
      <c r="L31" s="27">
        <f>subQ!L22</f>
        <v/>
      </c>
      <c r="M31" s="27">
        <f>subQ!M22</f>
        <v/>
      </c>
      <c r="N31" s="27">
        <f>subQ!N22</f>
        <v/>
      </c>
      <c r="O31" s="27">
        <f>subQ!O22</f>
        <v/>
      </c>
      <c r="P31" s="28">
        <f>subQ!P22</f>
        <v/>
      </c>
      <c r="Q31" s="27">
        <f>subQ!Q22</f>
        <v/>
      </c>
      <c r="R31" s="27">
        <f>subQ!R22</f>
        <v/>
      </c>
      <c r="S31" s="27">
        <f>subQ!S22</f>
        <v/>
      </c>
      <c r="T31" s="27">
        <f>subQ!T22</f>
        <v/>
      </c>
      <c r="U31" s="28">
        <f>subQ!U22</f>
        <v/>
      </c>
      <c r="V31" s="27">
        <f>subQ!V22</f>
        <v/>
      </c>
      <c r="W31" s="27">
        <f>subQ!W22</f>
        <v/>
      </c>
      <c r="X31" s="27">
        <f>subQ!X22</f>
        <v/>
      </c>
      <c r="Y31" s="27">
        <f>subQ!Y22</f>
        <v/>
      </c>
      <c r="Z31" s="28">
        <f>subQ!Z22</f>
        <v/>
      </c>
      <c r="AA31" s="27">
        <f>subQ!AA22</f>
        <v/>
      </c>
      <c r="AB31" s="29">
        <f>subQ!AB22</f>
        <v/>
      </c>
      <c r="AC31" s="30" t="n">
        <v>16.36</v>
      </c>
      <c r="AD31" s="30" t="n">
        <v>16.36</v>
      </c>
      <c r="AE31" s="31">
        <f>subQ!AE22</f>
        <v/>
      </c>
      <c r="AF31" s="30" t="n">
        <v>16.36</v>
      </c>
      <c r="AG31" s="30" t="n">
        <v>16.36</v>
      </c>
      <c r="AH31" s="30" t="n">
        <v>16.36</v>
      </c>
      <c r="AI31" s="30" t="n">
        <v>16.36</v>
      </c>
      <c r="AJ31" s="31">
        <f>subQ!AJ22</f>
        <v/>
      </c>
      <c r="AK31" s="30" t="n">
        <v>16.36</v>
      </c>
      <c r="AL31" s="30" t="n">
        <v>16.36</v>
      </c>
      <c r="AM31" s="30" t="n">
        <v>16.36</v>
      </c>
      <c r="AN31" s="30" t="n">
        <v>16.36</v>
      </c>
      <c r="AO31" s="31">
        <f>subQ!AO22</f>
        <v/>
      </c>
    </row>
    <row r="32">
      <c r="A32" s="12" t="inlineStr">
        <is>
          <t>drv:부채총계</t>
        </is>
      </c>
      <c r="B32" s="2" t="inlineStr">
        <is>
          <t>qoq</t>
        </is>
      </c>
      <c r="C32" t="inlineStr">
        <is>
          <t>부채총계 QoQ</t>
        </is>
      </c>
      <c r="E32" s="21" t="n"/>
      <c r="F32" s="22" t="n"/>
      <c r="G32" s="21">
        <f>IFERROR(subQ!G25/subQ!E25-1,"")</f>
        <v/>
      </c>
      <c r="H32" s="21">
        <f>IFERROR(subQ!H25/subQ!G25-1,"")</f>
        <v/>
      </c>
      <c r="I32" s="21">
        <f>IFERROR(subQ!I25/subQ!H25-1,"")</f>
        <v/>
      </c>
      <c r="J32" s="21">
        <f>IFERROR(subQ!J25/subQ!I25-1,"")</f>
        <v/>
      </c>
      <c r="K32" s="22" t="n"/>
      <c r="L32" s="21">
        <f>IFERROR(subQ!L25/subQ!J25-1,"")</f>
        <v/>
      </c>
      <c r="M32" s="21">
        <f>IFERROR(subQ!M25/subQ!L25-1,"")</f>
        <v/>
      </c>
      <c r="N32" s="21">
        <f>IFERROR(subQ!N25/subQ!M25-1,"")</f>
        <v/>
      </c>
      <c r="O32" s="21">
        <f>IFERROR(subQ!O25/subQ!N25-1,"")</f>
        <v/>
      </c>
      <c r="P32" s="22" t="n"/>
      <c r="Q32" s="21">
        <f>IFERROR(subQ!Q25/subQ!O25-1,"")</f>
        <v/>
      </c>
      <c r="R32" s="21">
        <f>IFERROR(subQ!R25/subQ!Q25-1,"")</f>
        <v/>
      </c>
      <c r="S32" s="21">
        <f>IFERROR(subQ!S25/subQ!R25-1,"")</f>
        <v/>
      </c>
      <c r="T32" s="21">
        <f>IFERROR(subQ!T25/subQ!S25-1,"")</f>
        <v/>
      </c>
      <c r="U32" s="22" t="n"/>
      <c r="V32" s="21">
        <f>IFERROR(subQ!V25/subQ!T25-1,"")</f>
        <v/>
      </c>
      <c r="W32" s="21">
        <f>IFERROR(subQ!W25/subQ!V25-1,"")</f>
        <v/>
      </c>
      <c r="X32" s="21">
        <f>IFERROR(subQ!X25/subQ!W25-1,"")</f>
        <v/>
      </c>
      <c r="Y32" s="21">
        <f>IFERROR(subQ!Y25/subQ!X25-1,"")</f>
        <v/>
      </c>
      <c r="Z32" s="22" t="n"/>
      <c r="AA32" s="21">
        <f>IFERROR(subQ!AA25/subQ!Y25-1,"")</f>
        <v/>
      </c>
      <c r="AB32" s="23">
        <f>IFERROR(subQ!AB25/subQ!AA25-1,"")</f>
        <v/>
      </c>
      <c r="AC32" s="24" t="n">
        <v>-2.46e-06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  <c r="AK32" s="24" t="n">
        <v>0</v>
      </c>
      <c r="AL32" s="24" t="n">
        <v>0</v>
      </c>
      <c r="AM32" s="24" t="n">
        <v>0</v>
      </c>
      <c r="AN32" s="24" t="n">
        <v>0</v>
      </c>
      <c r="AO32" s="25" t="n"/>
    </row>
    <row r="33">
      <c r="A33" s="12" t="inlineStr">
        <is>
          <t>drv:자본총계</t>
        </is>
      </c>
      <c r="B33" s="2" t="inlineStr">
        <is>
          <t>roll</t>
        </is>
      </c>
      <c r="C33" t="inlineStr">
        <is>
          <t>자본총계 기타변동(배당 등, 억원)</t>
        </is>
      </c>
      <c r="E33" s="27" t="n"/>
      <c r="F33" s="28" t="n"/>
      <c r="G33" s="27">
        <f>IFERROR(subQ!E26+subQ!G19-subQ!G26,"")</f>
        <v/>
      </c>
      <c r="H33" s="27">
        <f>IFERROR(subQ!G26+subQ!H19-subQ!H26,"")</f>
        <v/>
      </c>
      <c r="I33" s="27">
        <f>IFERROR(subQ!H26+subQ!I19-subQ!I26,"")</f>
        <v/>
      </c>
      <c r="J33" s="27">
        <f>IFERROR(subQ!I26+subQ!J19-subQ!J26,"")</f>
        <v/>
      </c>
      <c r="K33" s="28" t="n"/>
      <c r="L33" s="27">
        <f>IFERROR(subQ!J26+subQ!L19-subQ!L26,"")</f>
        <v/>
      </c>
      <c r="M33" s="27">
        <f>IFERROR(subQ!L26+subQ!M19-subQ!M26,"")</f>
        <v/>
      </c>
      <c r="N33" s="27">
        <f>IFERROR(subQ!M26+subQ!N19-subQ!N26,"")</f>
        <v/>
      </c>
      <c r="O33" s="27">
        <f>IFERROR(subQ!N26+subQ!O19-subQ!O26,"")</f>
        <v/>
      </c>
      <c r="P33" s="28" t="n"/>
      <c r="Q33" s="27">
        <f>IFERROR(subQ!O26+subQ!Q19-subQ!Q26,"")</f>
        <v/>
      </c>
      <c r="R33" s="27">
        <f>IFERROR(subQ!Q26+subQ!R19-subQ!R26,"")</f>
        <v/>
      </c>
      <c r="S33" s="27">
        <f>IFERROR(subQ!R26+subQ!S19-subQ!S26,"")</f>
        <v/>
      </c>
      <c r="T33" s="27">
        <f>IFERROR(subQ!S26+subQ!T19-subQ!T26,"")</f>
        <v/>
      </c>
      <c r="U33" s="28" t="n"/>
      <c r="V33" s="27">
        <f>IFERROR(subQ!T26+subQ!V19-subQ!V26,"")</f>
        <v/>
      </c>
      <c r="W33" s="27">
        <f>IFERROR(subQ!V26+subQ!W19-subQ!W26,"")</f>
        <v/>
      </c>
      <c r="X33" s="27">
        <f>IFERROR(subQ!W26+subQ!X19-subQ!X26,"")</f>
        <v/>
      </c>
      <c r="Y33" s="27">
        <f>IFERROR(subQ!X26+subQ!Y19-subQ!Y26,"")</f>
        <v/>
      </c>
      <c r="Z33" s="28" t="n"/>
      <c r="AA33" s="27">
        <f>IFERROR(subQ!Y26+subQ!AA19-subQ!AA26,"")</f>
        <v/>
      </c>
      <c r="AB33" s="29">
        <f>IFERROR(subQ!AA26+subQ!AB19-subQ!AB26,"")</f>
        <v/>
      </c>
      <c r="AC33" s="30" t="n">
        <v>-0.000809684</v>
      </c>
      <c r="AD33" s="30" t="n">
        <v>-0.007846888</v>
      </c>
      <c r="AE33" s="31" t="n"/>
      <c r="AF33" s="30" t="n">
        <v>-0.004257786</v>
      </c>
      <c r="AG33" s="30" t="n">
        <v>68.541077503</v>
      </c>
      <c r="AH33" s="30" t="n">
        <v>-0.005516347</v>
      </c>
      <c r="AI33" s="30" t="n">
        <v>0.002605387</v>
      </c>
      <c r="AJ33" s="31" t="n"/>
      <c r="AK33" s="30" t="n">
        <v>-0.005427026</v>
      </c>
      <c r="AL33" s="30" t="n">
        <v>68.540767004</v>
      </c>
      <c r="AM33" s="30" t="n">
        <v>0.004508613</v>
      </c>
      <c r="AN33" s="30" t="n">
        <v>0.000793615</v>
      </c>
      <c r="AO33" s="31" t="n"/>
    </row>
    <row r="34">
      <c r="A34" s="12" t="inlineStr">
        <is>
          <t>drv:지배주주지분</t>
        </is>
      </c>
      <c r="B34" s="2" t="inlineStr">
        <is>
          <t>roll</t>
        </is>
      </c>
      <c r="C34" t="inlineStr">
        <is>
          <t>지배주주지분 기타변동(배당 등, 억원)</t>
        </is>
      </c>
      <c r="E34" s="27" t="n"/>
      <c r="F34" s="28" t="n"/>
      <c r="G34" s="27">
        <f>IFERROR(subQ!E27+subQ!G20-subQ!G27,"")</f>
        <v/>
      </c>
      <c r="H34" s="27">
        <f>IFERROR(subQ!G27+subQ!H20-subQ!H27,"")</f>
        <v/>
      </c>
      <c r="I34" s="27">
        <f>IFERROR(subQ!H27+subQ!I20-subQ!I27,"")</f>
        <v/>
      </c>
      <c r="J34" s="27">
        <f>IFERROR(subQ!I27+subQ!J20-subQ!J27,"")</f>
        <v/>
      </c>
      <c r="K34" s="28" t="n"/>
      <c r="L34" s="27">
        <f>IFERROR(subQ!J27+subQ!L20-subQ!L27,"")</f>
        <v/>
      </c>
      <c r="M34" s="27">
        <f>IFERROR(subQ!L27+subQ!M20-subQ!M27,"")</f>
        <v/>
      </c>
      <c r="N34" s="27">
        <f>IFERROR(subQ!M27+subQ!N20-subQ!N27,"")</f>
        <v/>
      </c>
      <c r="O34" s="27">
        <f>IFERROR(subQ!N27+subQ!O20-subQ!O27,"")</f>
        <v/>
      </c>
      <c r="P34" s="28" t="n"/>
      <c r="Q34" s="27">
        <f>IFERROR(subQ!O27+subQ!Q20-subQ!Q27,"")</f>
        <v/>
      </c>
      <c r="R34" s="27">
        <f>IFERROR(subQ!Q27+subQ!R20-subQ!R27,"")</f>
        <v/>
      </c>
      <c r="S34" s="27">
        <f>IFERROR(subQ!R27+subQ!S20-subQ!S27,"")</f>
        <v/>
      </c>
      <c r="T34" s="27">
        <f>IFERROR(subQ!S27+subQ!T20-subQ!T27,"")</f>
        <v/>
      </c>
      <c r="U34" s="28" t="n"/>
      <c r="V34" s="27">
        <f>IFERROR(subQ!T27+subQ!V20-subQ!V27,"")</f>
        <v/>
      </c>
      <c r="W34" s="27">
        <f>IFERROR(subQ!V27+subQ!W20-subQ!W27,"")</f>
        <v/>
      </c>
      <c r="X34" s="27">
        <f>IFERROR(subQ!W27+subQ!X20-subQ!X27,"")</f>
        <v/>
      </c>
      <c r="Y34" s="27">
        <f>IFERROR(subQ!X27+subQ!Y20-subQ!Y27,"")</f>
        <v/>
      </c>
      <c r="Z34" s="28" t="n"/>
      <c r="AA34" s="27">
        <f>IFERROR(subQ!Y27+subQ!AA20-subQ!AA27,"")</f>
        <v/>
      </c>
      <c r="AB34" s="29">
        <f>IFERROR(subQ!AA27+subQ!AB20-subQ!AB27,"")</f>
        <v/>
      </c>
      <c r="AC34" s="30" t="n">
        <v>-0.000809684</v>
      </c>
      <c r="AD34" s="30" t="n">
        <v>-0.007846888</v>
      </c>
      <c r="AE34" s="31" t="n"/>
      <c r="AF34" s="30" t="n">
        <v>-0.004257786</v>
      </c>
      <c r="AG34" s="30" t="n">
        <v>68.541077503</v>
      </c>
      <c r="AH34" s="30" t="n">
        <v>-0.005516347</v>
      </c>
      <c r="AI34" s="30" t="n">
        <v>0.002605387</v>
      </c>
      <c r="AJ34" s="31" t="n"/>
      <c r="AK34" s="30" t="n">
        <v>-0.005427026</v>
      </c>
      <c r="AL34" s="30" t="n">
        <v>68.540767004</v>
      </c>
      <c r="AM34" s="30" t="n">
        <v>0.004508613</v>
      </c>
      <c r="AN34" s="30" t="n">
        <v>0.000793615</v>
      </c>
      <c r="AO34" s="31" t="n"/>
    </row>
    <row r="35">
      <c r="A35" s="12" t="inlineStr">
        <is>
          <t>drv:총차입금</t>
        </is>
      </c>
      <c r="B35" s="2" t="inlineStr">
        <is>
          <t>qoq</t>
        </is>
      </c>
      <c r="C35" t="inlineStr">
        <is>
          <t>총차입금 QoQ</t>
        </is>
      </c>
      <c r="E35" s="21" t="n"/>
      <c r="F35" s="22" t="n"/>
      <c r="G35" s="21">
        <f>IFERROR(subQ!G28/subQ!E28-1,"")</f>
        <v/>
      </c>
      <c r="H35" s="21">
        <f>IFERROR(subQ!H28/subQ!G28-1,"")</f>
        <v/>
      </c>
      <c r="I35" s="21">
        <f>IFERROR(subQ!I28/subQ!H28-1,"")</f>
        <v/>
      </c>
      <c r="J35" s="21">
        <f>IFERROR(subQ!J28/subQ!I28-1,"")</f>
        <v/>
      </c>
      <c r="K35" s="22" t="n"/>
      <c r="L35" s="21">
        <f>IFERROR(subQ!L28/subQ!J28-1,"")</f>
        <v/>
      </c>
      <c r="M35" s="21">
        <f>IFERROR(subQ!M28/subQ!L28-1,"")</f>
        <v/>
      </c>
      <c r="N35" s="21">
        <f>IFERROR(subQ!N28/subQ!M28-1,"")</f>
        <v/>
      </c>
      <c r="O35" s="21">
        <f>IFERROR(subQ!O28/subQ!N28-1,"")</f>
        <v/>
      </c>
      <c r="P35" s="22" t="n"/>
      <c r="Q35" s="21">
        <f>IFERROR(subQ!Q28/subQ!O28-1,"")</f>
        <v/>
      </c>
      <c r="R35" s="21">
        <f>IFERROR(subQ!R28/subQ!Q28-1,"")</f>
        <v/>
      </c>
      <c r="S35" s="21">
        <f>IFERROR(subQ!S28/subQ!R28-1,"")</f>
        <v/>
      </c>
      <c r="T35" s="21">
        <f>IFERROR(subQ!T28/subQ!S28-1,"")</f>
        <v/>
      </c>
      <c r="U35" s="22" t="n"/>
      <c r="V35" s="21">
        <f>IFERROR(subQ!V28/subQ!T28-1,"")</f>
        <v/>
      </c>
      <c r="W35" s="21">
        <f>IFERROR(subQ!W28/subQ!V28-1,"")</f>
        <v/>
      </c>
      <c r="X35" s="21">
        <f>IFERROR(subQ!X28/subQ!W28-1,"")</f>
        <v/>
      </c>
      <c r="Y35" s="21">
        <f>IFERROR(subQ!Y28/subQ!X28-1,"")</f>
        <v/>
      </c>
      <c r="Z35" s="22" t="n"/>
      <c r="AA35" s="21">
        <f>IFERROR(subQ!AA28/subQ!Y28-1,"")</f>
        <v/>
      </c>
      <c r="AB35" s="23">
        <f>IFERROR(subQ!AB28/subQ!AA28-1,"")</f>
        <v/>
      </c>
      <c r="AC35" s="24" t="n">
        <v>0</v>
      </c>
      <c r="AD35" s="24" t="n">
        <v>0</v>
      </c>
      <c r="AE35" s="25" t="n"/>
      <c r="AF35" s="24" t="n">
        <v>0</v>
      </c>
      <c r="AG35" s="24" t="n">
        <v>0</v>
      </c>
      <c r="AH35" s="24" t="n">
        <v>0</v>
      </c>
      <c r="AI35" s="24" t="n">
        <v>0</v>
      </c>
      <c r="AJ35" s="25" t="n"/>
      <c r="AK35" s="24" t="n">
        <v>0</v>
      </c>
      <c r="AL35" s="24" t="n">
        <v>0</v>
      </c>
      <c r="AM35" s="24" t="n">
        <v>0</v>
      </c>
      <c r="AN35" s="24" t="n">
        <v>0</v>
      </c>
      <c r="AO35" s="25" t="n"/>
    </row>
    <row r="36">
      <c r="A36" s="12" t="inlineStr">
        <is>
          <t>drv:순차입금</t>
        </is>
      </c>
      <c r="B36" s="2" t="inlineStr">
        <is>
          <t>qoq</t>
        </is>
      </c>
      <c r="C36" t="inlineStr">
        <is>
          <t>순차입금 QoQ</t>
        </is>
      </c>
      <c r="E36" s="21" t="n"/>
      <c r="F36" s="22" t="n"/>
      <c r="G36" s="21">
        <f>IFERROR(subQ!G29/subQ!E29-1,"")</f>
        <v/>
      </c>
      <c r="H36" s="21">
        <f>IFERROR(subQ!H29/subQ!G29-1,"")</f>
        <v/>
      </c>
      <c r="I36" s="21">
        <f>IFERROR(subQ!I29/subQ!H29-1,"")</f>
        <v/>
      </c>
      <c r="J36" s="21">
        <f>IFERROR(subQ!J29/subQ!I29-1,"")</f>
        <v/>
      </c>
      <c r="K36" s="22" t="n"/>
      <c r="L36" s="21">
        <f>IFERROR(subQ!L29/subQ!J29-1,"")</f>
        <v/>
      </c>
      <c r="M36" s="21">
        <f>IFERROR(subQ!M29/subQ!L29-1,"")</f>
        <v/>
      </c>
      <c r="N36" s="21">
        <f>IFERROR(subQ!N29/subQ!M29-1,"")</f>
        <v/>
      </c>
      <c r="O36" s="21">
        <f>IFERROR(subQ!O29/subQ!N29-1,"")</f>
        <v/>
      </c>
      <c r="P36" s="22" t="n"/>
      <c r="Q36" s="21">
        <f>IFERROR(subQ!Q29/subQ!O29-1,"")</f>
        <v/>
      </c>
      <c r="R36" s="21">
        <f>IFERROR(subQ!R29/subQ!Q29-1,"")</f>
        <v/>
      </c>
      <c r="S36" s="21">
        <f>IFERROR(subQ!S29/subQ!R29-1,"")</f>
        <v/>
      </c>
      <c r="T36" s="21">
        <f>IFERROR(subQ!T29/subQ!S29-1,"")</f>
        <v/>
      </c>
      <c r="U36" s="22" t="n"/>
      <c r="V36" s="21">
        <f>IFERROR(subQ!V29/subQ!T29-1,"")</f>
        <v/>
      </c>
      <c r="W36" s="21">
        <f>IFERROR(subQ!W29/subQ!V29-1,"")</f>
        <v/>
      </c>
      <c r="X36" s="21">
        <f>IFERROR(subQ!X29/subQ!W29-1,"")</f>
        <v/>
      </c>
      <c r="Y36" s="21">
        <f>IFERROR(subQ!Y29/subQ!X29-1,"")</f>
        <v/>
      </c>
      <c r="Z36" s="22" t="n"/>
      <c r="AA36" s="21">
        <f>IFERROR(subQ!AA29/subQ!Y29-1,"")</f>
        <v/>
      </c>
      <c r="AB36" s="23">
        <f>IFERROR(subQ!AB29/subQ!AA29-1,"")</f>
        <v/>
      </c>
      <c r="AC36" s="24" t="n">
        <v>-0.277798183</v>
      </c>
      <c r="AD36" s="24" t="n">
        <v>-0.339047801</v>
      </c>
      <c r="AE36" s="25" t="n"/>
      <c r="AF36" s="24" t="n">
        <v>-0.656238711</v>
      </c>
      <c r="AG36" s="24" t="n">
        <v>-0.556746532</v>
      </c>
      <c r="AH36" s="24" t="n">
        <v>-4.590801328</v>
      </c>
      <c r="AI36" s="24" t="n">
        <v>1.067476561</v>
      </c>
      <c r="AJ36" s="25" t="n"/>
      <c r="AK36" s="24" t="n">
        <v>0.651210321</v>
      </c>
      <c r="AL36" s="24" t="n">
        <v>0.143929138</v>
      </c>
      <c r="AM36" s="24" t="n">
        <v>0.368195036</v>
      </c>
      <c r="AN36" s="24" t="n">
        <v>0.225242814</v>
      </c>
      <c r="AO36" s="25" t="n"/>
    </row>
    <row r="37">
      <c r="A37" s="12" t="inlineStr">
        <is>
          <t>drv:이자발생자산</t>
        </is>
      </c>
      <c r="B37" s="2" t="inlineStr">
        <is>
          <t>qoq</t>
        </is>
      </c>
      <c r="C37" t="inlineStr">
        <is>
          <t>이자발생자산 QoQ</t>
        </is>
      </c>
      <c r="E37" s="21" t="n"/>
      <c r="F37" s="22" t="n"/>
      <c r="G37" s="21">
        <f>IFERROR(subQ!G30/subQ!E30-1,"")</f>
        <v/>
      </c>
      <c r="H37" s="21">
        <f>IFERROR(subQ!H30/subQ!G30-1,"")</f>
        <v/>
      </c>
      <c r="I37" s="21">
        <f>IFERROR(subQ!I30/subQ!H30-1,"")</f>
        <v/>
      </c>
      <c r="J37" s="21">
        <f>IFERROR(subQ!J30/subQ!I30-1,"")</f>
        <v/>
      </c>
      <c r="K37" s="22" t="n"/>
      <c r="L37" s="21">
        <f>IFERROR(subQ!L30/subQ!J30-1,"")</f>
        <v/>
      </c>
      <c r="M37" s="21">
        <f>IFERROR(subQ!M30/subQ!L30-1,"")</f>
        <v/>
      </c>
      <c r="N37" s="21">
        <f>IFERROR(subQ!N30/subQ!M30-1,"")</f>
        <v/>
      </c>
      <c r="O37" s="21">
        <f>IFERROR(subQ!O30/subQ!N30-1,"")</f>
        <v/>
      </c>
      <c r="P37" s="22" t="n"/>
      <c r="Q37" s="21">
        <f>IFERROR(subQ!Q30/subQ!O30-1,"")</f>
        <v/>
      </c>
      <c r="R37" s="21">
        <f>IFERROR(subQ!R30/subQ!Q30-1,"")</f>
        <v/>
      </c>
      <c r="S37" s="21">
        <f>IFERROR(subQ!S30/subQ!R30-1,"")</f>
        <v/>
      </c>
      <c r="T37" s="21">
        <f>IFERROR(subQ!T30/subQ!S30-1,"")</f>
        <v/>
      </c>
      <c r="U37" s="22" t="n"/>
      <c r="V37" s="21">
        <f>IFERROR(subQ!V30/subQ!T30-1,"")</f>
        <v/>
      </c>
      <c r="W37" s="21">
        <f>IFERROR(subQ!W30/subQ!V30-1,"")</f>
        <v/>
      </c>
      <c r="X37" s="21">
        <f>IFERROR(subQ!X30/subQ!W30-1,"")</f>
        <v/>
      </c>
      <c r="Y37" s="21">
        <f>IFERROR(subQ!Y30/subQ!X30-1,"")</f>
        <v/>
      </c>
      <c r="Z37" s="22" t="n"/>
      <c r="AA37" s="21">
        <f>IFERROR(subQ!AA30/subQ!Y30-1,"")</f>
        <v/>
      </c>
      <c r="AB37" s="23">
        <f>IFERROR(subQ!AB30/subQ!AA30-1,"")</f>
        <v/>
      </c>
      <c r="AC37" s="24" t="n">
        <v>0.09772562999999999</v>
      </c>
      <c r="AD37" s="24" t="n">
        <v>0.07845759400000001</v>
      </c>
      <c r="AE37" s="25" t="n"/>
      <c r="AF37" s="24" t="n">
        <v>0.093091893</v>
      </c>
      <c r="AG37" s="24" t="n">
        <v>0.024834763</v>
      </c>
      <c r="AH37" s="24" t="n">
        <v>0.08857054</v>
      </c>
      <c r="AI37" s="24" t="n">
        <v>0.067926653</v>
      </c>
      <c r="AJ37" s="25" t="n"/>
      <c r="AK37" s="24" t="n">
        <v>0.08024142500000001</v>
      </c>
      <c r="AL37" s="24" t="n">
        <v>0.027105976</v>
      </c>
      <c r="AM37" s="24" t="n">
        <v>0.077228594</v>
      </c>
      <c r="AN37" s="24" t="n">
        <v>0.059998947</v>
      </c>
      <c r="AO37" s="25" t="n"/>
    </row>
    <row r="38">
      <c r="A38" s="12" t="inlineStr">
        <is>
          <t>drv:현금및현금성자산</t>
        </is>
      </c>
      <c r="B38" s="2" t="inlineStr">
        <is>
          <t>qoq</t>
        </is>
      </c>
      <c r="C38" t="inlineStr">
        <is>
          <t>현금및현금성자산 QoQ</t>
        </is>
      </c>
      <c r="E38" s="21" t="n"/>
      <c r="F38" s="22" t="n"/>
      <c r="G38" s="21">
        <f>IFERROR(subQ!G31/subQ!E31-1,"")</f>
        <v/>
      </c>
      <c r="H38" s="21">
        <f>IFERROR(subQ!H31/subQ!G31-1,"")</f>
        <v/>
      </c>
      <c r="I38" s="21">
        <f>IFERROR(subQ!I31/subQ!H31-1,"")</f>
        <v/>
      </c>
      <c r="J38" s="21">
        <f>IFERROR(subQ!J31/subQ!I31-1,"")</f>
        <v/>
      </c>
      <c r="K38" s="22" t="n"/>
      <c r="L38" s="21">
        <f>IFERROR(subQ!L31/subQ!J31-1,"")</f>
        <v/>
      </c>
      <c r="M38" s="21">
        <f>IFERROR(subQ!M31/subQ!L31-1,"")</f>
        <v/>
      </c>
      <c r="N38" s="21">
        <f>IFERROR(subQ!N31/subQ!M31-1,"")</f>
        <v/>
      </c>
      <c r="O38" s="21">
        <f>IFERROR(subQ!O31/subQ!N31-1,"")</f>
        <v/>
      </c>
      <c r="P38" s="22" t="n"/>
      <c r="Q38" s="21">
        <f>IFERROR(subQ!Q31/subQ!O31-1,"")</f>
        <v/>
      </c>
      <c r="R38" s="21">
        <f>IFERROR(subQ!R31/subQ!Q31-1,"")</f>
        <v/>
      </c>
      <c r="S38" s="21">
        <f>IFERROR(subQ!S31/subQ!R31-1,"")</f>
        <v/>
      </c>
      <c r="T38" s="21">
        <f>IFERROR(subQ!T31/subQ!S31-1,"")</f>
        <v/>
      </c>
      <c r="U38" s="22" t="n"/>
      <c r="V38" s="21">
        <f>IFERROR(subQ!V31/subQ!T31-1,"")</f>
        <v/>
      </c>
      <c r="W38" s="21">
        <f>IFERROR(subQ!W31/subQ!V31-1,"")</f>
        <v/>
      </c>
      <c r="X38" s="21">
        <f>IFERROR(subQ!X31/subQ!W31-1,"")</f>
        <v/>
      </c>
      <c r="Y38" s="21">
        <f>IFERROR(subQ!Y31/subQ!X31-1,"")</f>
        <v/>
      </c>
      <c r="Z38" s="22" t="n"/>
      <c r="AA38" s="21">
        <f>IFERROR(subQ!AA31/subQ!Y31-1,"")</f>
        <v/>
      </c>
      <c r="AB38" s="23">
        <f>IFERROR(subQ!AB31/subQ!AA31-1,"")</f>
        <v/>
      </c>
      <c r="AC38" s="33" t="n"/>
      <c r="AD38" s="33" t="n"/>
      <c r="AE38" s="25" t="n"/>
      <c r="AF38" s="33" t="n"/>
      <c r="AG38" s="33" t="n"/>
      <c r="AH38" s="33" t="n"/>
      <c r="AI38" s="33" t="n"/>
      <c r="AJ38" s="25" t="n"/>
      <c r="AK38" s="33" t="n"/>
      <c r="AL38" s="33" t="n"/>
      <c r="AM38" s="33" t="n"/>
      <c r="AN38" s="33" t="n"/>
      <c r="AO38" s="25" t="n"/>
    </row>
    <row r="39">
      <c r="A39" s="12" t="inlineStr">
        <is>
          <t>drv:CAPEX</t>
        </is>
      </c>
      <c r="B39" s="2" t="inlineStr">
        <is>
          <t>yoy</t>
        </is>
      </c>
      <c r="C39" t="inlineStr">
        <is>
          <t>CAPEX YoY</t>
        </is>
      </c>
      <c r="E39" s="21" t="n"/>
      <c r="F39" s="22" t="n"/>
      <c r="G39" s="21" t="n"/>
      <c r="H39" s="21" t="n"/>
      <c r="I39" s="21" t="n"/>
      <c r="J39" s="21">
        <f>IFERROR(subQ!J32/subQ!E32-1,"")</f>
        <v/>
      </c>
      <c r="K39" s="22" t="n"/>
      <c r="L39" s="21">
        <f>IFERROR(subQ!L32/subQ!G32-1,"")</f>
        <v/>
      </c>
      <c r="M39" s="21">
        <f>IFERROR(subQ!M32/subQ!H32-1,"")</f>
        <v/>
      </c>
      <c r="N39" s="21">
        <f>IFERROR(subQ!N32/subQ!I32-1,"")</f>
        <v/>
      </c>
      <c r="O39" s="21">
        <f>IFERROR(subQ!O32/subQ!J32-1,"")</f>
        <v/>
      </c>
      <c r="P39" s="22" t="n"/>
      <c r="Q39" s="21">
        <f>IFERROR(subQ!Q32/subQ!L32-1,"")</f>
        <v/>
      </c>
      <c r="R39" s="21">
        <f>IFERROR(subQ!R32/subQ!M32-1,"")</f>
        <v/>
      </c>
      <c r="S39" s="21">
        <f>IFERROR(subQ!S32/subQ!N32-1,"")</f>
        <v/>
      </c>
      <c r="T39" s="21">
        <f>IFERROR(subQ!T32/subQ!O32-1,"")</f>
        <v/>
      </c>
      <c r="U39" s="22" t="n"/>
      <c r="V39" s="21">
        <f>IFERROR(subQ!V32/subQ!Q32-1,"")</f>
        <v/>
      </c>
      <c r="W39" s="21">
        <f>IFERROR(subQ!W32/subQ!R32-1,"")</f>
        <v/>
      </c>
      <c r="X39" s="21">
        <f>IFERROR(subQ!X32/subQ!S32-1,"")</f>
        <v/>
      </c>
      <c r="Y39" s="21">
        <f>IFERROR(subQ!Y32/subQ!T32-1,"")</f>
        <v/>
      </c>
      <c r="Z39" s="22" t="n"/>
      <c r="AA39" s="21">
        <f>IFERROR(subQ!AA32/subQ!V32-1,"")</f>
        <v/>
      </c>
      <c r="AB39" s="23">
        <f>IFERROR(subQ!AB32/subQ!W32-1,"")</f>
        <v/>
      </c>
      <c r="AC39" s="24" t="n">
        <v>-0.115455209</v>
      </c>
      <c r="AD39" s="24" t="n">
        <v>-0.695551243</v>
      </c>
      <c r="AE39" s="25" t="n"/>
      <c r="AF39" s="24" t="n">
        <v>1.427700058</v>
      </c>
      <c r="AG39" s="24" t="n">
        <v>0.151410478</v>
      </c>
      <c r="AH39" s="24" t="n">
        <v>0</v>
      </c>
      <c r="AI39" s="24" t="n">
        <v>0</v>
      </c>
      <c r="AJ39" s="25" t="n"/>
      <c r="AK39" s="24" t="n">
        <v>0</v>
      </c>
      <c r="AL39" s="24" t="n">
        <v>0</v>
      </c>
      <c r="AM39" s="24" t="n">
        <v>0</v>
      </c>
      <c r="AN39" s="24" t="n">
        <v>0</v>
      </c>
      <c r="AO39" s="25" t="n"/>
    </row>
    <row r="40">
      <c r="A40" s="12" t="inlineStr">
        <is>
          <t>drv:영업활동현금흐름</t>
        </is>
      </c>
      <c r="B40" s="2" t="inlineStr">
        <is>
          <t>yoy</t>
        </is>
      </c>
      <c r="C40" t="inlineStr">
        <is>
          <t>영업활동현금흐름 YoY</t>
        </is>
      </c>
      <c r="E40" s="21" t="n"/>
      <c r="F40" s="22" t="n"/>
      <c r="G40" s="21" t="n"/>
      <c r="H40" s="21" t="n"/>
      <c r="I40" s="21" t="n"/>
      <c r="J40" s="21">
        <f>IFERROR(subQ!J33/subQ!E33-1,"")</f>
        <v/>
      </c>
      <c r="K40" s="22" t="n"/>
      <c r="L40" s="21">
        <f>IFERROR(subQ!L33/subQ!G33-1,"")</f>
        <v/>
      </c>
      <c r="M40" s="21">
        <f>IFERROR(subQ!M33/subQ!H33-1,"")</f>
        <v/>
      </c>
      <c r="N40" s="21">
        <f>IFERROR(subQ!N33/subQ!I33-1,"")</f>
        <v/>
      </c>
      <c r="O40" s="21">
        <f>IFERROR(subQ!O33/subQ!J33-1,"")</f>
        <v/>
      </c>
      <c r="P40" s="22" t="n"/>
      <c r="Q40" s="21">
        <f>IFERROR(subQ!Q33/subQ!L33-1,"")</f>
        <v/>
      </c>
      <c r="R40" s="21">
        <f>IFERROR(subQ!R33/subQ!M33-1,"")</f>
        <v/>
      </c>
      <c r="S40" s="21">
        <f>IFERROR(subQ!S33/subQ!N33-1,"")</f>
        <v/>
      </c>
      <c r="T40" s="21">
        <f>IFERROR(subQ!T33/subQ!O33-1,"")</f>
        <v/>
      </c>
      <c r="U40" s="22" t="n"/>
      <c r="V40" s="21">
        <f>IFERROR(subQ!V33/subQ!Q33-1,"")</f>
        <v/>
      </c>
      <c r="W40" s="21">
        <f>IFERROR(subQ!W33/subQ!R33-1,"")</f>
        <v/>
      </c>
      <c r="X40" s="21">
        <f>IFERROR(subQ!X33/subQ!S33-1,"")</f>
        <v/>
      </c>
      <c r="Y40" s="21">
        <f>IFERROR(subQ!Y33/subQ!T33-1,"")</f>
        <v/>
      </c>
      <c r="Z40" s="22" t="n"/>
      <c r="AA40" s="21">
        <f>IFERROR(subQ!AA33/subQ!V33-1,"")</f>
        <v/>
      </c>
      <c r="AB40" s="23">
        <f>IFERROR(subQ!AB33/subQ!W33-1,"")</f>
        <v/>
      </c>
      <c r="AC40" s="33" t="n"/>
      <c r="AD40" s="33" t="n"/>
      <c r="AE40" s="25" t="n"/>
      <c r="AF40" s="33" t="n"/>
      <c r="AG40" s="33" t="n"/>
      <c r="AH40" s="33" t="n"/>
      <c r="AI40" s="33" t="n"/>
      <c r="AJ40" s="25" t="n"/>
      <c r="AK40" s="33" t="n"/>
      <c r="AL40" s="33" t="n"/>
      <c r="AM40" s="33" t="n"/>
      <c r="AN40" s="33" t="n"/>
      <c r="AO40" s="25" t="n"/>
    </row>
    <row r="41">
      <c r="A41" s="12" t="inlineStr">
        <is>
          <t>drv:주식수</t>
        </is>
      </c>
      <c r="B41" s="2" t="inlineStr">
        <is>
          <t>qoq</t>
        </is>
      </c>
      <c r="C41" t="inlineStr">
        <is>
          <t>주식수 QoQ</t>
        </is>
      </c>
      <c r="E41" s="21" t="n"/>
      <c r="F41" s="22" t="n"/>
      <c r="G41" s="21">
        <f>IFERROR(subQ!G34/subQ!E34-1,"")</f>
        <v/>
      </c>
      <c r="H41" s="21">
        <f>IFERROR(subQ!H34/subQ!G34-1,"")</f>
        <v/>
      </c>
      <c r="I41" s="21">
        <f>IFERROR(subQ!I34/subQ!H34-1,"")</f>
        <v/>
      </c>
      <c r="J41" s="21">
        <f>IFERROR(subQ!J34/subQ!I34-1,"")</f>
        <v/>
      </c>
      <c r="K41" s="22" t="n"/>
      <c r="L41" s="21">
        <f>IFERROR(subQ!L34/subQ!J34-1,"")</f>
        <v/>
      </c>
      <c r="M41" s="21">
        <f>IFERROR(subQ!M34/subQ!L34-1,"")</f>
        <v/>
      </c>
      <c r="N41" s="21">
        <f>IFERROR(subQ!N34/subQ!M34-1,"")</f>
        <v/>
      </c>
      <c r="O41" s="21">
        <f>IFERROR(subQ!O34/subQ!N34-1,"")</f>
        <v/>
      </c>
      <c r="P41" s="22" t="n"/>
      <c r="Q41" s="21">
        <f>IFERROR(subQ!Q34/subQ!O34-1,"")</f>
        <v/>
      </c>
      <c r="R41" s="21">
        <f>IFERROR(subQ!R34/subQ!Q34-1,"")</f>
        <v/>
      </c>
      <c r="S41" s="21">
        <f>IFERROR(subQ!S34/subQ!R34-1,"")</f>
        <v/>
      </c>
      <c r="T41" s="21">
        <f>IFERROR(subQ!T34/subQ!S34-1,"")</f>
        <v/>
      </c>
      <c r="U41" s="22" t="n"/>
      <c r="V41" s="21">
        <f>IFERROR(subQ!V34/subQ!T34-1,"")</f>
        <v/>
      </c>
      <c r="W41" s="21">
        <f>IFERROR(subQ!W34/subQ!V34-1,"")</f>
        <v/>
      </c>
      <c r="X41" s="21">
        <f>IFERROR(subQ!X34/subQ!W34-1,"")</f>
        <v/>
      </c>
      <c r="Y41" s="21">
        <f>IFERROR(subQ!Y34/subQ!X34-1,"")</f>
        <v/>
      </c>
      <c r="Z41" s="22" t="n"/>
      <c r="AA41" s="21">
        <f>IFERROR(subQ!AA34/subQ!Y34-1,"")</f>
        <v/>
      </c>
      <c r="AB41" s="23">
        <f>IFERROR(subQ!AB34/subQ!AA34-1,"")</f>
        <v/>
      </c>
      <c r="AC41" s="24" t="n">
        <v>0</v>
      </c>
      <c r="AD41" s="24" t="n">
        <v>0</v>
      </c>
      <c r="AE41" s="25" t="n"/>
      <c r="AF41" s="24" t="n">
        <v>0</v>
      </c>
      <c r="AG41" s="24" t="n">
        <v>0</v>
      </c>
      <c r="AH41" s="24" t="n">
        <v>0</v>
      </c>
      <c r="AI41" s="24" t="n">
        <v>0</v>
      </c>
      <c r="AJ41" s="25" t="n"/>
      <c r="AK41" s="24" t="n">
        <v>0</v>
      </c>
      <c r="AL41" s="24" t="n">
        <v>0</v>
      </c>
      <c r="AM41" s="24" t="n">
        <v>0</v>
      </c>
      <c r="AN41" s="24" t="n">
        <v>0</v>
      </c>
      <c r="AO41" s="25" t="n"/>
    </row>
    <row r="42">
      <c r="A42" s="12" t="inlineStr">
        <is>
          <t>drv:DPS</t>
        </is>
      </c>
      <c r="B42" s="2" t="inlineStr">
        <is>
          <t>abs</t>
        </is>
      </c>
      <c r="C42" t="inlineStr">
        <is>
          <t>DPS (가정, 원)</t>
        </is>
      </c>
      <c r="E42" s="27">
        <f>subQ!E37</f>
        <v/>
      </c>
      <c r="F42" s="28">
        <f>subQ!F37</f>
        <v/>
      </c>
      <c r="G42" s="27">
        <f>subQ!G37</f>
        <v/>
      </c>
      <c r="H42" s="27">
        <f>subQ!H37</f>
        <v/>
      </c>
      <c r="I42" s="27">
        <f>subQ!I37</f>
        <v/>
      </c>
      <c r="J42" s="27">
        <f>subQ!J37</f>
        <v/>
      </c>
      <c r="K42" s="28">
        <f>subQ!K37</f>
        <v/>
      </c>
      <c r="L42" s="27">
        <f>subQ!L37</f>
        <v/>
      </c>
      <c r="M42" s="27">
        <f>subQ!M37</f>
        <v/>
      </c>
      <c r="N42" s="27">
        <f>subQ!N37</f>
        <v/>
      </c>
      <c r="O42" s="27">
        <f>subQ!O37</f>
        <v/>
      </c>
      <c r="P42" s="28">
        <f>subQ!P37</f>
        <v/>
      </c>
      <c r="Q42" s="27">
        <f>subQ!Q37</f>
        <v/>
      </c>
      <c r="R42" s="27">
        <f>subQ!R37</f>
        <v/>
      </c>
      <c r="S42" s="27">
        <f>subQ!S37</f>
        <v/>
      </c>
      <c r="T42" s="27">
        <f>subQ!T37</f>
        <v/>
      </c>
      <c r="U42" s="28">
        <f>subQ!U37</f>
        <v/>
      </c>
      <c r="V42" s="27">
        <f>subQ!V37</f>
        <v/>
      </c>
      <c r="W42" s="27">
        <f>subQ!W37</f>
        <v/>
      </c>
      <c r="X42" s="27">
        <f>subQ!X37</f>
        <v/>
      </c>
      <c r="Y42" s="27">
        <f>subQ!Y37</f>
        <v/>
      </c>
      <c r="Z42" s="28">
        <f>subQ!Z37</f>
        <v/>
      </c>
      <c r="AA42" s="27">
        <f>subQ!AA37</f>
        <v/>
      </c>
      <c r="AB42" s="29">
        <f>subQ!AB37</f>
        <v/>
      </c>
      <c r="AC42" s="32" t="n"/>
      <c r="AD42" s="30" t="n">
        <v>150</v>
      </c>
      <c r="AE42" s="31">
        <f>subQ!AE37</f>
        <v/>
      </c>
      <c r="AF42" s="32" t="n"/>
      <c r="AG42" s="32" t="n"/>
      <c r="AH42" s="32" t="n"/>
      <c r="AI42" s="30" t="n">
        <v>150</v>
      </c>
      <c r="AJ42" s="31">
        <f>subQ!AJ37</f>
        <v/>
      </c>
      <c r="AK42" s="32" t="n"/>
      <c r="AL42" s="32" t="n"/>
      <c r="AM42" s="32" t="n"/>
      <c r="AN42" s="30" t="n">
        <v>150</v>
      </c>
      <c r="AO42" s="31">
        <f>subQ!AO37</f>
        <v/>
      </c>
    </row>
    <row r="43"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B44" s="1" t="inlineStr">
        <is>
          <t>3. 밸류에이션·스칼라</t>
        </is>
      </c>
      <c r="C44" s="2" t="inlineStr">
        <is>
          <t>노란 셀 = 가정. '연결' 표시는 추정 전 분기 수식이 이 셀을 참조한다는 뜻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sc:종가</t>
        </is>
      </c>
      <c r="C45" t="inlineStr">
        <is>
          <t>종가</t>
        </is>
      </c>
      <c r="D45" s="34" t="n">
        <v>6340</v>
      </c>
      <c r="E45" s="2" t="inlineStr">
        <is>
          <t>원 — 네이버 정규장 종가(aik 확정종가 대조 · aik 5,810원)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sc:기준일</t>
        </is>
      </c>
      <c r="C46" t="inlineStr">
        <is>
          <t>기준일</t>
        </is>
      </c>
      <c r="D46" s="35" t="inlineStr">
        <is>
          <t>20261026</t>
        </is>
      </c>
      <c r="E46" s="2" t="inlineStr">
        <is>
          <t>종가 기준일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sc:COE</t>
        </is>
      </c>
      <c r="C47" t="inlineStr">
        <is>
          <t>COE</t>
        </is>
      </c>
      <c r="D47" s="24" t="n">
        <v>0.09</v>
      </c>
      <c r="E47" s="2" t="inlineStr">
        <is>
          <t>자기자본비용(가정) — TP 적정 PBR = ROE/COE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sc:PER_lo</t>
        </is>
      </c>
      <c r="C48" t="inlineStr">
        <is>
          <t>PER_lo</t>
        </is>
      </c>
      <c r="D48" s="30" t="n">
        <v>5</v>
      </c>
      <c r="E48" s="2" t="inlineStr">
        <is>
          <t>PER 밴드 하단(배) — hist_quarterly(분기 평균가 ÷ TTM EPS, 10분기, 25/50/75 백분위) · 캡 5~30배 적용(원값 3.8/15.5/22.2)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sc:PER_mid</t>
        </is>
      </c>
      <c r="C49" t="inlineStr">
        <is>
          <t>PER_mid</t>
        </is>
      </c>
      <c r="D49" s="30" t="n">
        <v>15.5</v>
      </c>
      <c r="E49" s="2" t="inlineStr">
        <is>
          <t>PER 밴드 중단(배)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sc:PER_hi</t>
        </is>
      </c>
      <c r="C50" t="inlineStr">
        <is>
          <t>PER_hi</t>
        </is>
      </c>
      <c r="D50" s="30" t="n">
        <v>22.2</v>
      </c>
      <c r="E50" s="2" t="inlineStr">
        <is>
          <t>PER 밴드 상단(배)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sc:EPS_Y1가중</t>
        </is>
      </c>
      <c r="C51" t="inlineStr">
        <is>
          <t>EPS_Y1가중</t>
        </is>
      </c>
      <c r="D51" s="24" t="n">
        <v>0.5</v>
      </c>
      <c r="E51" s="2" t="inlineStr">
        <is>
          <t>12M fwd EPS = FY(last_actual연도)E × w + FY+1E × (1−w) — 기준 분기 2Q 이면 0.5(가정)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sc:세율</t>
        </is>
      </c>
      <c r="C52" t="inlineStr">
        <is>
          <t>세율</t>
        </is>
      </c>
      <c r="D52" s="36" t="n">
        <v>0.2194432301210087</v>
      </c>
      <c r="E52" s="2" t="inlineStr">
        <is>
          <t>연결 — 법인세 = MAX(세전,0) × 세율(역산, 재현 오차 ≤ 0.05억 · 모델 assumptions 0.2194) · 최근 12분기 유효세율 21.9%(5~27% 안 — 그대로)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sc:판관비율</t>
        </is>
      </c>
      <c r="C53" t="inlineStr">
        <is>
          <t>판관비율</t>
        </is>
      </c>
      <c r="D53" s="36" t="n">
        <v>0.08583502589447972</v>
      </c>
      <c r="E53" s="2" t="inlineStr">
        <is>
          <t>연결 — 판관비 = 매출액 × 판관비율(역산, 재현 오차 ≤ 0.05억 · 모델 assumptions 0.0858)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sc:지배주주비중</t>
        </is>
      </c>
      <c r="C54" t="inlineStr">
        <is>
          <t>지배주주비중</t>
        </is>
      </c>
      <c r="D54" s="36" t="n">
        <v>1</v>
      </c>
      <c r="E54" s="2" t="inlineStr">
        <is>
          <t>연결 — 지배주주순이익 = 당기순이익 × 비중(역산, 재현 오차 ≤ 0.05억)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s="12" t="inlineStr">
        <is>
          <t>sc:이자율_자산</t>
        </is>
      </c>
      <c r="C55" t="inlineStr">
        <is>
          <t>이자율_자산</t>
        </is>
      </c>
      <c r="D55" s="36" t="n">
        <v>0.0298374917741083</v>
      </c>
      <c r="E55" s="2" t="inlineStr">
        <is>
          <t>연결 — 이자손익 = (전분기 이자발생자산 × 자산이자율 − 전분기 총차입금 × 부채이자율)/4(역산, 재현 오차 ≤ 0.05억 · 모델 assumptions 0.0298)</t>
        </is>
      </c>
      <c r="F55" s="9" t="n"/>
      <c r="K55" s="9" t="n"/>
      <c r="P55" s="9" t="n"/>
      <c r="U55" s="9" t="n"/>
      <c r="Z55" s="9" t="n"/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s="12" t="inlineStr">
        <is>
          <t>sc:이자율_부채</t>
        </is>
      </c>
      <c r="C56" t="inlineStr">
        <is>
          <t>이자율_부채</t>
        </is>
      </c>
      <c r="D56" s="36" t="n">
        <v>0.03524042652735362</v>
      </c>
      <c r="E56" s="2" t="inlineStr">
        <is>
          <t>연결 — 같은 수식의 부채 쪽(총차입금 행이 없으면 0)(역산, 재현 오차 ≤ 0.05억 · 모델 assumptions 0.0352)</t>
        </is>
      </c>
      <c r="F56" s="9" t="n"/>
      <c r="K56" s="9" t="n"/>
      <c r="P56" s="9" t="n"/>
      <c r="U56" s="9" t="n"/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s="12" t="inlineStr">
        <is>
          <t>sc:배당성향</t>
        </is>
      </c>
      <c r="C57" t="inlineStr">
        <is>
          <t>배당성향</t>
        </is>
      </c>
      <c r="D57" s="24" t="n">
        <v>0.2681</v>
      </c>
      <c r="E57" s="2" t="inlineStr">
        <is>
          <t>배당성향(참고 — 모델은 직전 DPS 유지·Q2 지급 가정)</t>
        </is>
      </c>
      <c r="F57" s="9" t="n"/>
      <c r="K57" s="9" t="n"/>
      <c r="P57" s="9" t="n"/>
      <c r="U57" s="9" t="n"/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s="12" t="inlineStr">
        <is>
          <t>sc:외화순노출_백만$</t>
        </is>
      </c>
      <c r="C58" t="inlineStr">
        <is>
          <t>외화순노출_백만$</t>
        </is>
      </c>
      <c r="D58" s="30" t="n"/>
      <c r="E58" s="2" t="inlineStr">
        <is>
          <t>외화 순노출 × Δ기말환율 (외화 시트 방식) — 외화 순노출 미공시(face) → 0 + 표기</t>
        </is>
      </c>
      <c r="F58" s="9" t="n"/>
      <c r="K58" s="9" t="n"/>
      <c r="P58" s="9" t="n"/>
      <c r="U58" s="9" t="n"/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s="12" t="inlineStr">
        <is>
          <t>sc:헤지비율</t>
        </is>
      </c>
      <c r="C59" t="inlineStr">
        <is>
          <t>헤지비율</t>
        </is>
      </c>
      <c r="D59" s="24" t="n"/>
      <c r="E59" s="2" t="inlineStr">
        <is>
          <t>sls 없음</t>
        </is>
      </c>
      <c r="F59" s="9" t="n"/>
      <c r="K59" s="9" t="n"/>
      <c r="P59" s="9" t="n"/>
      <c r="U59" s="9" t="n"/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s="12" t="inlineStr">
        <is>
          <t>sc:헤지환율_약정</t>
        </is>
      </c>
      <c r="C60" t="inlineStr">
        <is>
          <t>헤지환율_약정</t>
        </is>
      </c>
      <c r="D60" s="16" t="n"/>
      <c r="E60" s="2" t="inlineStr">
        <is>
          <t>sls 없음</t>
        </is>
      </c>
      <c r="F60" s="9" t="n"/>
      <c r="K60" s="9" t="n"/>
      <c r="P60" s="9" t="n"/>
      <c r="U60" s="9" t="n"/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8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인화정공(연)</t>
        </is>
      </c>
      <c r="C3" s="2" t="inlineStr">
        <is>
          <t>UPDATE: 26-10-26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101723.74</v>
      </c>
      <c r="F5" s="37" t="n">
        <v>101723.74</v>
      </c>
      <c r="G5" s="18" t="n">
        <v>99806.10000000001</v>
      </c>
      <c r="H5" s="18" t="n">
        <v>116046.67</v>
      </c>
      <c r="I5" s="18" t="n">
        <v>89406.78999999999</v>
      </c>
      <c r="J5" s="18" t="n">
        <v>85858.05</v>
      </c>
      <c r="K5" s="37" t="n">
        <v>85858.05</v>
      </c>
      <c r="L5" s="18" t="n">
        <v>91617.72</v>
      </c>
      <c r="M5" s="18" t="n">
        <v>78320.56</v>
      </c>
      <c r="N5" s="18" t="n">
        <v>99152.72</v>
      </c>
      <c r="O5" s="18" t="n">
        <v>74798.44</v>
      </c>
      <c r="P5" s="37" t="n">
        <v>74798.44</v>
      </c>
      <c r="Q5" s="18" t="n">
        <v>90892.17</v>
      </c>
      <c r="R5" s="18" t="n">
        <v>105632.19</v>
      </c>
      <c r="S5" s="18" t="n">
        <v>104122.38</v>
      </c>
      <c r="T5" s="18" t="n">
        <v>104918.13</v>
      </c>
      <c r="U5" s="37" t="n">
        <v>104918.13</v>
      </c>
      <c r="V5" s="18" t="n">
        <v>211162.88</v>
      </c>
      <c r="W5" s="18" t="n">
        <v>177354.45</v>
      </c>
      <c r="X5" s="18" t="n">
        <v>221238.06</v>
      </c>
      <c r="Y5" s="18" t="n">
        <v>224602.52</v>
      </c>
      <c r="Z5" s="37" t="n">
        <v>224602.52</v>
      </c>
      <c r="AA5" s="18" t="n">
        <v>211813.39</v>
      </c>
      <c r="AB5" s="19" t="n">
        <v>179456.63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28788.2</v>
      </c>
      <c r="F6" s="37" t="n">
        <v>28788.2</v>
      </c>
      <c r="G6" s="18" t="n">
        <v>27451.56</v>
      </c>
      <c r="H6" s="18" t="n">
        <v>45899.33</v>
      </c>
      <c r="I6" s="18" t="n">
        <v>19614.96</v>
      </c>
      <c r="J6" s="18" t="n">
        <v>12136.96</v>
      </c>
      <c r="K6" s="37" t="n">
        <v>12136.96</v>
      </c>
      <c r="L6" s="18" t="n">
        <v>10169.51</v>
      </c>
      <c r="M6" s="18" t="n">
        <v>7790.28</v>
      </c>
      <c r="N6" s="18" t="n">
        <v>23817.59</v>
      </c>
      <c r="O6" s="18" t="n">
        <v>29637.86</v>
      </c>
      <c r="P6" s="37" t="n">
        <v>29637.86</v>
      </c>
      <c r="Q6" s="18" t="n">
        <v>25376.1</v>
      </c>
      <c r="R6" s="18" t="n">
        <v>11142.13</v>
      </c>
      <c r="S6" s="18" t="n">
        <v>14042.55</v>
      </c>
      <c r="T6" s="18" t="n">
        <v>13305.55</v>
      </c>
      <c r="U6" s="37" t="n">
        <v>13305.55</v>
      </c>
      <c r="V6" s="18" t="n">
        <v>29599.31</v>
      </c>
      <c r="W6" s="18" t="n">
        <v>21715.88</v>
      </c>
      <c r="X6" s="18" t="n">
        <v>21060.28</v>
      </c>
      <c r="Y6" s="18" t="n">
        <v>18187.38</v>
      </c>
      <c r="Z6" s="37" t="n">
        <v>18187.38</v>
      </c>
      <c r="AA6" s="18" t="n">
        <v>17822.96</v>
      </c>
      <c r="AB6" s="19" t="n">
        <v>17643.95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13649.67</v>
      </c>
      <c r="F7" s="37" t="n">
        <v>13649.67</v>
      </c>
      <c r="G7" s="18" t="n">
        <v>14262.76</v>
      </c>
      <c r="H7" s="18" t="n">
        <v>11898</v>
      </c>
      <c r="I7" s="18" t="n">
        <v>12198</v>
      </c>
      <c r="J7" s="18" t="n">
        <v>14298</v>
      </c>
      <c r="K7" s="37" t="n">
        <v>14298</v>
      </c>
      <c r="L7" s="18" t="n">
        <v>12306.67</v>
      </c>
      <c r="M7" s="18" t="n">
        <v>12150.67</v>
      </c>
      <c r="N7" s="18" t="n">
        <v>12477.42</v>
      </c>
      <c r="O7" s="18" t="n">
        <v>3594.41</v>
      </c>
      <c r="P7" s="37" t="n">
        <v>3594.41</v>
      </c>
      <c r="Q7" s="18" t="n">
        <v>33620.87</v>
      </c>
      <c r="R7" s="18" t="n">
        <v>24112.2</v>
      </c>
      <c r="S7" s="18" t="n">
        <v>51378.68</v>
      </c>
      <c r="T7" s="18" t="n">
        <v>46104.83</v>
      </c>
      <c r="U7" s="37" t="n">
        <v>46104.83</v>
      </c>
      <c r="V7" s="18" t="n">
        <v>136841.32</v>
      </c>
      <c r="W7" s="18" t="n">
        <v>111522.12</v>
      </c>
      <c r="X7" s="18" t="n">
        <v>168162.1</v>
      </c>
      <c r="Z7" s="9" t="n"/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19437.04</v>
      </c>
      <c r="F8" s="37" t="n">
        <v>19437.04</v>
      </c>
      <c r="G8" s="18" t="n">
        <v>18974.05</v>
      </c>
      <c r="H8" s="18" t="n">
        <v>18817.42</v>
      </c>
      <c r="I8" s="18" t="n">
        <v>16094.42</v>
      </c>
      <c r="J8" s="18" t="n">
        <v>17939.81</v>
      </c>
      <c r="K8" s="37" t="n">
        <v>17939.81</v>
      </c>
      <c r="L8" s="18" t="n">
        <v>15619.01</v>
      </c>
      <c r="M8" s="18" t="n">
        <v>15130.62</v>
      </c>
      <c r="N8" s="18" t="n">
        <v>17529.75</v>
      </c>
      <c r="O8" s="18" t="n">
        <v>5136.41</v>
      </c>
      <c r="P8" s="37" t="n">
        <v>5136.41</v>
      </c>
      <c r="Q8" s="18" t="n">
        <v>36148.47</v>
      </c>
      <c r="R8" s="18" t="n">
        <v>63936.54</v>
      </c>
      <c r="S8" s="18" t="n">
        <v>51378.68</v>
      </c>
      <c r="T8" s="18" t="n">
        <v>46104.83</v>
      </c>
      <c r="U8" s="37" t="n">
        <v>46104.83</v>
      </c>
      <c r="V8" s="18" t="n">
        <v>136841.32</v>
      </c>
      <c r="W8" s="18" t="n">
        <v>111556.35</v>
      </c>
      <c r="X8" s="18" t="n">
        <v>168162.1</v>
      </c>
      <c r="Z8" s="9" t="n"/>
      <c r="AB8" s="5" t="n"/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43852.09</v>
      </c>
      <c r="F9" s="37" t="n">
        <v>43852.09</v>
      </c>
      <c r="G9" s="18" t="n">
        <v>49750.99</v>
      </c>
      <c r="H9" s="18" t="n">
        <v>35821.4</v>
      </c>
      <c r="I9" s="18" t="n">
        <v>41350.35</v>
      </c>
      <c r="J9" s="18" t="n">
        <v>55075.16</v>
      </c>
      <c r="K9" s="37" t="n">
        <v>55075.16</v>
      </c>
      <c r="L9" s="18" t="n">
        <v>64340.64</v>
      </c>
      <c r="M9" s="18" t="n">
        <v>42859.01</v>
      </c>
      <c r="N9" s="18" t="n">
        <v>44257.07</v>
      </c>
      <c r="O9" s="18" t="n">
        <v>54322.55</v>
      </c>
      <c r="P9" s="37" t="n">
        <v>54322.55</v>
      </c>
      <c r="Q9" s="18" t="n">
        <v>34498.02</v>
      </c>
      <c r="R9" s="18" t="n">
        <v>75628.44</v>
      </c>
      <c r="S9" s="18" t="n">
        <v>35520.47</v>
      </c>
      <c r="T9" s="18" t="n">
        <v>43956.1</v>
      </c>
      <c r="U9" s="37" t="n">
        <v>43956.1</v>
      </c>
      <c r="V9" s="18" t="n">
        <v>49471.95</v>
      </c>
      <c r="W9" s="18" t="n">
        <v>44276.78</v>
      </c>
      <c r="X9" s="18" t="n">
        <v>34225.3</v>
      </c>
      <c r="Y9" s="18" t="n">
        <v>15284.69</v>
      </c>
      <c r="Z9" s="37" t="n">
        <v>15284.69</v>
      </c>
      <c r="AA9" s="18" t="n">
        <v>17066.07</v>
      </c>
      <c r="AB9" s="19" t="n">
        <v>16777.91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단기대여금</t>
        </is>
      </c>
      <c r="E10" s="18" t="n">
        <v>1787.37</v>
      </c>
      <c r="F10" s="37" t="n">
        <v>1787.37</v>
      </c>
      <c r="G10" s="18" t="n">
        <v>1211.29</v>
      </c>
      <c r="H10" s="18" t="n">
        <v>1684.37</v>
      </c>
      <c r="I10" s="18" t="n">
        <v>1661.37</v>
      </c>
      <c r="J10" s="18" t="n">
        <v>1803.72</v>
      </c>
      <c r="K10" s="37" t="n">
        <v>1803.72</v>
      </c>
      <c r="L10" s="18" t="n">
        <v>1983.72</v>
      </c>
      <c r="M10" s="18" t="n">
        <v>2533.74</v>
      </c>
      <c r="N10" s="18" t="n">
        <v>4613.62</v>
      </c>
      <c r="O10" s="18" t="n">
        <v>1326.84</v>
      </c>
      <c r="P10" s="37" t="n">
        <v>1326.84</v>
      </c>
      <c r="Q10" s="18" t="n">
        <v>2325.59</v>
      </c>
      <c r="R10" s="18" t="n">
        <v>39824.34</v>
      </c>
      <c r="U10" s="9" t="n"/>
      <c r="Z10" s="9" t="n"/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25.28</v>
      </c>
      <c r="F11" s="37" t="n">
        <v>25.28</v>
      </c>
      <c r="G11" s="18" t="n">
        <v>13.07</v>
      </c>
      <c r="H11" s="18" t="n">
        <v>14.33</v>
      </c>
      <c r="I11" s="18" t="n">
        <v>170.16</v>
      </c>
      <c r="J11" s="18" t="n">
        <v>39.53</v>
      </c>
      <c r="K11" s="37" t="n">
        <v>39.53</v>
      </c>
      <c r="L11" s="18" t="n">
        <v>36.18</v>
      </c>
      <c r="M11" s="18" t="n">
        <v>33.48</v>
      </c>
      <c r="N11" s="18" t="n">
        <v>132.39</v>
      </c>
      <c r="O11" s="18" t="n">
        <v>326.29</v>
      </c>
      <c r="P11" s="37" t="n">
        <v>326.29</v>
      </c>
      <c r="Q11" s="18" t="n">
        <v>34.07</v>
      </c>
      <c r="R11" s="18" t="n">
        <v>19.34</v>
      </c>
      <c r="S11" s="18" t="n">
        <v>25.01</v>
      </c>
      <c r="T11" s="18" t="n">
        <v>34.55</v>
      </c>
      <c r="U11" s="37" t="n">
        <v>34.55</v>
      </c>
      <c r="V11" s="18" t="n">
        <v>31.81</v>
      </c>
      <c r="W11" s="18" t="n">
        <v>20.85</v>
      </c>
      <c r="X11" s="18" t="n">
        <v>25.41</v>
      </c>
      <c r="Y11" s="18" t="n">
        <v>29.9</v>
      </c>
      <c r="Z11" s="37" t="n">
        <v>29.9</v>
      </c>
      <c r="AA11" s="18" t="n">
        <v>32.42</v>
      </c>
      <c r="AB11" s="19" t="n">
        <v>23.19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32539.81</v>
      </c>
      <c r="F12" s="37" t="n">
        <v>32539.81</v>
      </c>
      <c r="G12" s="18" t="n">
        <v>29153.76</v>
      </c>
      <c r="H12" s="18" t="n">
        <v>34145.5</v>
      </c>
      <c r="I12" s="18" t="n">
        <v>33589.33</v>
      </c>
      <c r="J12" s="18" t="n">
        <v>27926.1</v>
      </c>
      <c r="K12" s="37" t="n">
        <v>27926.1</v>
      </c>
      <c r="L12" s="18" t="n">
        <v>29933.31</v>
      </c>
      <c r="M12" s="18" t="n">
        <v>33779.36</v>
      </c>
      <c r="N12" s="18" t="n">
        <v>37646.26</v>
      </c>
      <c r="O12" s="18" t="n">
        <v>13443.51</v>
      </c>
      <c r="P12" s="37" t="n">
        <v>13443.51</v>
      </c>
      <c r="Q12" s="18" t="n">
        <v>13392.77</v>
      </c>
      <c r="R12" s="18" t="n">
        <v>12761.5</v>
      </c>
      <c r="S12" s="18" t="n">
        <v>14457.59</v>
      </c>
      <c r="T12" s="18" t="n">
        <v>16839.1</v>
      </c>
      <c r="U12" s="37" t="n">
        <v>16839.1</v>
      </c>
      <c r="V12" s="18" t="n">
        <v>13147.61</v>
      </c>
      <c r="W12" s="18" t="n">
        <v>14798.07</v>
      </c>
      <c r="X12" s="18" t="n">
        <v>13410.53</v>
      </c>
      <c r="Y12" s="18" t="n">
        <v>14789.23</v>
      </c>
      <c r="Z12" s="37" t="n">
        <v>14789.23</v>
      </c>
      <c r="AA12" s="18" t="n">
        <v>15617.58</v>
      </c>
      <c r="AB12" s="19" t="n">
        <v>16381.45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기타유동금융자산</t>
        </is>
      </c>
      <c r="E13" s="18" t="n">
        <v>4000</v>
      </c>
      <c r="F13" s="37" t="n">
        <v>4000</v>
      </c>
      <c r="G13" s="18" t="n">
        <v>3500</v>
      </c>
      <c r="H13" s="18" t="n">
        <v>5235.05</v>
      </c>
      <c r="I13" s="18" t="n">
        <v>2235.05</v>
      </c>
      <c r="J13" s="18" t="n">
        <v>1838.09</v>
      </c>
      <c r="K13" s="37" t="n">
        <v>1838.09</v>
      </c>
      <c r="L13" s="18" t="n">
        <v>1328.62</v>
      </c>
      <c r="M13" s="18" t="n">
        <v>446.21</v>
      </c>
      <c r="N13" s="18" t="n">
        <v>438.71</v>
      </c>
      <c r="O13" s="18" t="n">
        <v>215.16</v>
      </c>
      <c r="P13" s="37" t="n">
        <v>215.16</v>
      </c>
      <c r="Q13" s="18" t="n">
        <v>202.01</v>
      </c>
      <c r="R13" s="18" t="n">
        <v>0</v>
      </c>
      <c r="S13" s="18" t="n">
        <v>0</v>
      </c>
      <c r="T13" s="18" t="n">
        <v>0</v>
      </c>
      <c r="U13" s="37" t="n">
        <v>0</v>
      </c>
      <c r="W13" s="18" t="n">
        <v>34.23</v>
      </c>
      <c r="Y13" s="18" t="n">
        <v>172107.12</v>
      </c>
      <c r="Z13" s="37" t="n">
        <v>172107.12</v>
      </c>
      <c r="AA13" s="18" t="n">
        <v>158557.95</v>
      </c>
      <c r="AB13" s="19" t="n">
        <v>125341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유동파생상품자산</t>
        </is>
      </c>
      <c r="E14" s="18" t="n">
        <v>0</v>
      </c>
      <c r="F14" s="37" t="n">
        <v>0</v>
      </c>
      <c r="H14" s="18" t="n">
        <v>1735.05</v>
      </c>
      <c r="I14" s="18" t="n">
        <v>1735.05</v>
      </c>
      <c r="J14" s="18" t="n">
        <v>1338.09</v>
      </c>
      <c r="K14" s="37" t="n">
        <v>1338.09</v>
      </c>
      <c r="L14" s="18" t="n">
        <v>1328.62</v>
      </c>
      <c r="M14" s="18" t="n">
        <v>446.21</v>
      </c>
      <c r="N14" s="18" t="n">
        <v>438.71</v>
      </c>
      <c r="O14" s="18" t="n">
        <v>215.16</v>
      </c>
      <c r="P14" s="37" t="n">
        <v>215.16</v>
      </c>
      <c r="Q14" s="18" t="n">
        <v>202.01</v>
      </c>
      <c r="R14" s="18" t="n">
        <v>0</v>
      </c>
      <c r="S14" s="18" t="n">
        <v>0</v>
      </c>
      <c r="T14" s="18" t="n">
        <v>0</v>
      </c>
      <c r="U14" s="37" t="n">
        <v>0</v>
      </c>
      <c r="W14" s="18" t="n">
        <v>34.23</v>
      </c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비유동자산</t>
        </is>
      </c>
      <c r="E15" s="18" t="n">
        <v>262975.94</v>
      </c>
      <c r="F15" s="37" t="n">
        <v>262975.94</v>
      </c>
      <c r="G15" s="18" t="n">
        <v>245866.22</v>
      </c>
      <c r="H15" s="18" t="n">
        <v>230958.45</v>
      </c>
      <c r="I15" s="18" t="n">
        <v>256459.19</v>
      </c>
      <c r="J15" s="18" t="n">
        <v>254863.66</v>
      </c>
      <c r="K15" s="37" t="n">
        <v>254863.66</v>
      </c>
      <c r="L15" s="18" t="n">
        <v>255594.17</v>
      </c>
      <c r="M15" s="18" t="n">
        <v>254568.07</v>
      </c>
      <c r="N15" s="18" t="n">
        <v>254180.01</v>
      </c>
      <c r="O15" s="18" t="n">
        <v>244392.17</v>
      </c>
      <c r="P15" s="37" t="n">
        <v>244392.17</v>
      </c>
      <c r="Q15" s="18" t="n">
        <v>265414.99</v>
      </c>
      <c r="R15" s="18" t="n">
        <v>304449.72</v>
      </c>
      <c r="S15" s="18" t="n">
        <v>289588.77</v>
      </c>
      <c r="T15" s="18" t="n">
        <v>325338.58</v>
      </c>
      <c r="U15" s="37" t="n">
        <v>325338.58</v>
      </c>
      <c r="V15" s="18" t="n">
        <v>232258.64</v>
      </c>
      <c r="W15" s="18" t="n">
        <v>268788.88</v>
      </c>
      <c r="X15" s="18" t="n">
        <v>241928.84</v>
      </c>
      <c r="Y15" s="18" t="n">
        <v>237467.73</v>
      </c>
      <c r="Z15" s="37" t="n">
        <v>237467.73</v>
      </c>
      <c r="AA15" s="18" t="n">
        <v>240715.96</v>
      </c>
      <c r="AB15" s="19" t="n">
        <v>253109.93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장기금융자산</t>
        </is>
      </c>
      <c r="E16" s="18" t="n">
        <v>3113.38</v>
      </c>
      <c r="F16" s="37" t="n">
        <v>3113.38</v>
      </c>
      <c r="G16" s="18" t="n">
        <v>2759.46</v>
      </c>
      <c r="H16" s="18" t="n">
        <v>2680.64</v>
      </c>
      <c r="I16" s="18" t="n">
        <v>2259.7</v>
      </c>
      <c r="J16" s="18" t="n">
        <v>2650.3</v>
      </c>
      <c r="K16" s="37" t="n">
        <v>2650.3</v>
      </c>
      <c r="L16" s="18" t="n">
        <v>2717.31</v>
      </c>
      <c r="M16" s="18" t="n">
        <v>2792.06</v>
      </c>
      <c r="N16" s="18" t="n">
        <v>2971.8</v>
      </c>
      <c r="O16" s="18" t="n">
        <v>1237.16</v>
      </c>
      <c r="P16" s="37" t="n">
        <v>1237.16</v>
      </c>
      <c r="Q16" s="18" t="n">
        <v>82706.25999999999</v>
      </c>
      <c r="R16" s="18" t="n">
        <v>130886.66</v>
      </c>
      <c r="S16" s="18" t="n">
        <v>112929.07</v>
      </c>
      <c r="T16" s="18" t="n">
        <v>154214</v>
      </c>
      <c r="U16" s="37" t="n">
        <v>154214</v>
      </c>
      <c r="V16" s="18" t="n">
        <v>64914.86</v>
      </c>
      <c r="W16" s="18" t="n">
        <v>86030.52</v>
      </c>
      <c r="X16" s="18" t="n">
        <v>69675.14</v>
      </c>
      <c r="Y16" s="18" t="n">
        <v>54668.44</v>
      </c>
      <c r="Z16" s="37" t="n">
        <v>54668.44</v>
      </c>
      <c r="AA16" s="18" t="n">
        <v>55636.22</v>
      </c>
      <c r="AB16" s="19" t="n">
        <v>64782.84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투자자산</t>
        </is>
      </c>
      <c r="E17" s="18" t="n">
        <v>3613.38</v>
      </c>
      <c r="F17" s="37" t="n">
        <v>3613.38</v>
      </c>
      <c r="G17" s="18" t="n">
        <v>3159.46</v>
      </c>
      <c r="H17" s="18" t="n">
        <v>3080.64</v>
      </c>
      <c r="I17" s="18" t="n">
        <v>2659.7</v>
      </c>
      <c r="J17" s="18" t="n">
        <v>2950.3</v>
      </c>
      <c r="K17" s="37" t="n">
        <v>2950.3</v>
      </c>
      <c r="L17" s="18" t="n">
        <v>2817.31</v>
      </c>
      <c r="M17" s="18" t="n">
        <v>2892.06</v>
      </c>
      <c r="N17" s="18" t="n">
        <v>3571.8</v>
      </c>
      <c r="O17" s="18" t="n">
        <v>1822.16</v>
      </c>
      <c r="P17" s="37" t="n">
        <v>1822.16</v>
      </c>
      <c r="Q17" s="18" t="n">
        <v>83291.25999999999</v>
      </c>
      <c r="R17" s="18" t="n">
        <v>130971.66</v>
      </c>
      <c r="S17" s="18" t="n">
        <v>112929.07</v>
      </c>
      <c r="T17" s="18" t="n">
        <v>154214</v>
      </c>
      <c r="U17" s="37" t="n">
        <v>154214</v>
      </c>
      <c r="V17" s="18" t="n">
        <v>64914.86</v>
      </c>
      <c r="W17" s="18" t="n">
        <v>86030.52</v>
      </c>
      <c r="X17" s="18" t="n">
        <v>69675.14</v>
      </c>
      <c r="Y17" s="18" t="n">
        <v>136527.32</v>
      </c>
      <c r="Z17" s="37" t="n">
        <v>136527.32</v>
      </c>
      <c r="AA17" s="18" t="n">
        <v>140054.9</v>
      </c>
      <c r="AB17" s="19" t="n">
        <v>153976.26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장기매출채권및기타채권</t>
        </is>
      </c>
      <c r="E18" s="18" t="n">
        <v>607.8200000000001</v>
      </c>
      <c r="F18" s="37" t="n">
        <v>607.8200000000001</v>
      </c>
      <c r="G18" s="18" t="n">
        <v>515.22</v>
      </c>
      <c r="H18" s="18" t="n">
        <v>463.73</v>
      </c>
      <c r="I18" s="18" t="n">
        <v>467.22</v>
      </c>
      <c r="J18" s="18" t="n">
        <v>377.74</v>
      </c>
      <c r="K18" s="37" t="n">
        <v>377.74</v>
      </c>
      <c r="L18" s="18" t="n">
        <v>163.12</v>
      </c>
      <c r="M18" s="18" t="n">
        <v>168.31</v>
      </c>
      <c r="N18" s="18" t="n">
        <v>667.6900000000001</v>
      </c>
      <c r="O18" s="18" t="n">
        <v>614.14</v>
      </c>
      <c r="P18" s="37" t="n">
        <v>614.14</v>
      </c>
      <c r="Q18" s="18" t="n">
        <v>614.37</v>
      </c>
      <c r="R18" s="18" t="n">
        <v>114.6</v>
      </c>
      <c r="U18" s="9" t="n"/>
      <c r="Y18" s="18" t="n">
        <v>88.65000000000001</v>
      </c>
      <c r="Z18" s="37" t="n">
        <v>88.65000000000001</v>
      </c>
      <c r="AA18" s="18" t="n">
        <v>88.70999999999999</v>
      </c>
      <c r="AB18" s="19" t="n">
        <v>87.73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장기대여금</t>
        </is>
      </c>
      <c r="E19" s="18" t="n">
        <v>500</v>
      </c>
      <c r="F19" s="37" t="n">
        <v>500</v>
      </c>
      <c r="G19" s="18" t="n">
        <v>400</v>
      </c>
      <c r="H19" s="18" t="n">
        <v>400</v>
      </c>
      <c r="I19" s="18" t="n">
        <v>400</v>
      </c>
      <c r="J19" s="18" t="n">
        <v>300</v>
      </c>
      <c r="K19" s="37" t="n">
        <v>300</v>
      </c>
      <c r="L19" s="18" t="n">
        <v>100</v>
      </c>
      <c r="M19" s="18" t="n">
        <v>100</v>
      </c>
      <c r="N19" s="18" t="n">
        <v>600</v>
      </c>
      <c r="O19" s="18" t="n">
        <v>585</v>
      </c>
      <c r="P19" s="37" t="n">
        <v>585</v>
      </c>
      <c r="Q19" s="18" t="n">
        <v>585</v>
      </c>
      <c r="R19" s="18" t="n">
        <v>85</v>
      </c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유형자산</t>
        </is>
      </c>
      <c r="E20" s="18" t="n">
        <v>95904.10000000001</v>
      </c>
      <c r="F20" s="37" t="n">
        <v>95904.10000000001</v>
      </c>
      <c r="G20" s="18" t="n">
        <v>94740.88</v>
      </c>
      <c r="H20" s="18" t="n">
        <v>93535.42</v>
      </c>
      <c r="I20" s="18" t="n">
        <v>92217.09</v>
      </c>
      <c r="J20" s="18" t="n">
        <v>91617.92</v>
      </c>
      <c r="K20" s="37" t="n">
        <v>91617.92</v>
      </c>
      <c r="L20" s="18" t="n">
        <v>90785.73</v>
      </c>
      <c r="M20" s="18" t="n">
        <v>89839.33</v>
      </c>
      <c r="N20" s="18" t="n">
        <v>88821.98</v>
      </c>
      <c r="O20" s="18" t="n">
        <v>71627.21000000001</v>
      </c>
      <c r="P20" s="37" t="n">
        <v>71627.21000000001</v>
      </c>
      <c r="Q20" s="18" t="n">
        <v>71242.99000000001</v>
      </c>
      <c r="R20" s="18" t="n">
        <v>71288.50999999999</v>
      </c>
      <c r="S20" s="18" t="n">
        <v>71347.00999999999</v>
      </c>
      <c r="T20" s="18" t="n">
        <v>71009.16</v>
      </c>
      <c r="U20" s="37" t="n">
        <v>71009.16</v>
      </c>
      <c r="V20" s="18" t="n">
        <v>72084.03</v>
      </c>
      <c r="W20" s="18" t="n">
        <v>72164.57000000001</v>
      </c>
      <c r="X20" s="18" t="n">
        <v>72111.12</v>
      </c>
      <c r="Y20" s="18" t="n">
        <v>73564.73</v>
      </c>
      <c r="Z20" s="37" t="n">
        <v>73564.73</v>
      </c>
      <c r="AA20" s="18" t="n">
        <v>73024.99000000001</v>
      </c>
      <c r="AB20" s="19" t="n">
        <v>72387.89999999999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투자부동산</t>
        </is>
      </c>
      <c r="E21" s="18" t="n">
        <v>38214.31</v>
      </c>
      <c r="F21" s="37" t="n">
        <v>38214.31</v>
      </c>
      <c r="G21" s="18" t="n">
        <v>38286.21</v>
      </c>
      <c r="H21" s="18" t="n">
        <v>35011.07</v>
      </c>
      <c r="I21" s="18" t="n">
        <v>32632.19</v>
      </c>
      <c r="J21" s="18" t="n">
        <v>32695.11</v>
      </c>
      <c r="K21" s="37" t="n">
        <v>32695.11</v>
      </c>
      <c r="L21" s="18" t="n">
        <v>32695.11</v>
      </c>
      <c r="M21" s="18" t="n">
        <v>32757.02</v>
      </c>
      <c r="N21" s="18" t="n">
        <v>33627.39</v>
      </c>
      <c r="O21" s="18" t="n">
        <v>28445.6</v>
      </c>
      <c r="P21" s="37" t="n">
        <v>28445.6</v>
      </c>
      <c r="Q21" s="18" t="n">
        <v>28445.6</v>
      </c>
      <c r="R21" s="18" t="n">
        <v>29252.81</v>
      </c>
      <c r="S21" s="18" t="n">
        <v>29268.81</v>
      </c>
      <c r="T21" s="18" t="n">
        <v>29268.81</v>
      </c>
      <c r="U21" s="37" t="n">
        <v>29268.81</v>
      </c>
      <c r="V21" s="18" t="n">
        <v>29205.88</v>
      </c>
      <c r="W21" s="18" t="n">
        <v>29205.88</v>
      </c>
      <c r="X21" s="18" t="n">
        <v>29205.88</v>
      </c>
      <c r="Y21" s="18" t="n">
        <v>27133.65</v>
      </c>
      <c r="Z21" s="37" t="n">
        <v>27133.65</v>
      </c>
      <c r="AA21" s="18" t="n">
        <v>26995.95</v>
      </c>
      <c r="AB21" s="19" t="n">
        <v>25607.38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무형자산</t>
        </is>
      </c>
      <c r="E22" s="18" t="n">
        <v>142</v>
      </c>
      <c r="F22" s="37" t="n">
        <v>142</v>
      </c>
      <c r="G22" s="18" t="n">
        <v>138.97</v>
      </c>
      <c r="H22" s="18" t="n">
        <v>128.94</v>
      </c>
      <c r="I22" s="18" t="n">
        <v>125.46</v>
      </c>
      <c r="J22" s="18" t="n">
        <v>123.85</v>
      </c>
      <c r="K22" s="37" t="n">
        <v>123.85</v>
      </c>
      <c r="L22" s="18" t="n">
        <v>122.94</v>
      </c>
      <c r="M22" s="18" t="n">
        <v>122.09</v>
      </c>
      <c r="N22" s="18" t="n">
        <v>121.5</v>
      </c>
      <c r="O22" s="18" t="n">
        <v>116.81</v>
      </c>
      <c r="P22" s="37" t="n">
        <v>116.81</v>
      </c>
      <c r="Q22" s="18" t="n">
        <v>116.67</v>
      </c>
      <c r="R22" s="18" t="n">
        <v>116.53</v>
      </c>
      <c r="S22" s="18" t="n">
        <v>116.39</v>
      </c>
      <c r="T22" s="18" t="n">
        <v>116.26</v>
      </c>
      <c r="U22" s="37" t="n">
        <v>116.26</v>
      </c>
      <c r="V22" s="18" t="n">
        <v>116.16</v>
      </c>
      <c r="W22" s="18" t="n">
        <v>116.06</v>
      </c>
      <c r="X22" s="18" t="n">
        <v>115.96</v>
      </c>
      <c r="Y22" s="18" t="n">
        <v>115.86</v>
      </c>
      <c r="Z22" s="37" t="n">
        <v>115.86</v>
      </c>
      <c r="AA22" s="18" t="n">
        <v>523.76</v>
      </c>
      <c r="AB22" s="19" t="n">
        <v>523.66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이연법인세자산</t>
        </is>
      </c>
      <c r="E23" s="18" t="n">
        <v>96.53</v>
      </c>
      <c r="F23" s="37" t="n">
        <v>96.53</v>
      </c>
      <c r="G23" s="18" t="n">
        <v>96.53</v>
      </c>
      <c r="J23" s="18" t="n">
        <v>0</v>
      </c>
      <c r="K23" s="37" t="n">
        <v>0</v>
      </c>
      <c r="O23" s="18" t="n">
        <v>2665.45</v>
      </c>
      <c r="P23" s="37" t="n">
        <v>2665.45</v>
      </c>
      <c r="Q23" s="18" t="n">
        <v>0</v>
      </c>
      <c r="R23" s="18" t="n">
        <v>0</v>
      </c>
      <c r="S23" s="18" t="n">
        <v>0</v>
      </c>
      <c r="T23" s="18" t="n">
        <v>0</v>
      </c>
      <c r="U23" s="37" t="n">
        <v>0</v>
      </c>
      <c r="V23" s="18" t="n">
        <v>0</v>
      </c>
      <c r="W23" s="18" t="n">
        <v>0</v>
      </c>
      <c r="Y23" s="18" t="n">
        <v>0</v>
      </c>
      <c r="Z23" s="37" t="n">
        <v>0</v>
      </c>
      <c r="AB23" s="5" t="n"/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기타비유동자산</t>
        </is>
      </c>
      <c r="E24" s="18" t="n">
        <v>3.14</v>
      </c>
      <c r="F24" s="37" t="n">
        <v>3.14</v>
      </c>
      <c r="G24" s="18" t="n">
        <v>4.04</v>
      </c>
      <c r="H24" s="18" t="n">
        <v>11.43</v>
      </c>
      <c r="I24" s="18" t="n">
        <v>8.52</v>
      </c>
      <c r="J24" s="18" t="n">
        <v>7.39</v>
      </c>
      <c r="K24" s="37" t="n">
        <v>7.39</v>
      </c>
      <c r="L24" s="18" t="n">
        <v>11.81</v>
      </c>
      <c r="M24" s="18" t="n">
        <v>84463.45</v>
      </c>
      <c r="N24" s="18" t="n">
        <v>84462.50999999999</v>
      </c>
      <c r="O24" s="18" t="n">
        <v>12.55</v>
      </c>
      <c r="P24" s="37" t="n">
        <v>12.55</v>
      </c>
      <c r="Q24" s="18" t="n">
        <v>11.56</v>
      </c>
      <c r="R24" s="18" t="n">
        <v>276.69</v>
      </c>
      <c r="S24" s="18" t="n">
        <v>103.07</v>
      </c>
      <c r="T24" s="18" t="n">
        <v>8.279999999999999</v>
      </c>
      <c r="U24" s="37" t="n">
        <v>8.279999999999999</v>
      </c>
      <c r="V24" s="18" t="n">
        <v>8.630000000000001</v>
      </c>
      <c r="W24" s="18" t="n">
        <v>6.98</v>
      </c>
      <c r="X24" s="18" t="n">
        <v>6.51</v>
      </c>
      <c r="Y24" s="18" t="n">
        <v>37.52</v>
      </c>
      <c r="Z24" s="37" t="n">
        <v>37.52</v>
      </c>
      <c r="AA24" s="18" t="n">
        <v>27.65</v>
      </c>
      <c r="AB24" s="19" t="n">
        <v>527.01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자산총계</t>
        </is>
      </c>
      <c r="E25" s="18" t="n">
        <v>364699.68</v>
      </c>
      <c r="F25" s="37" t="n">
        <v>364699.68</v>
      </c>
      <c r="G25" s="18" t="n">
        <v>345672.32</v>
      </c>
      <c r="H25" s="18" t="n">
        <v>347005.12</v>
      </c>
      <c r="I25" s="18" t="n">
        <v>345865.98</v>
      </c>
      <c r="J25" s="18" t="n">
        <v>340721.71</v>
      </c>
      <c r="K25" s="37" t="n">
        <v>340721.71</v>
      </c>
      <c r="L25" s="18" t="n">
        <v>347211.89</v>
      </c>
      <c r="M25" s="18" t="n">
        <v>332888.63</v>
      </c>
      <c r="N25" s="18" t="n">
        <v>353332.72</v>
      </c>
      <c r="O25" s="18" t="n">
        <v>319190.61</v>
      </c>
      <c r="P25" s="37" t="n">
        <v>319190.61</v>
      </c>
      <c r="Q25" s="18" t="n">
        <v>356307.15</v>
      </c>
      <c r="R25" s="18" t="n">
        <v>410081.9</v>
      </c>
      <c r="S25" s="18" t="n">
        <v>393711.15</v>
      </c>
      <c r="T25" s="18" t="n">
        <v>430256.71</v>
      </c>
      <c r="U25" s="37" t="n">
        <v>430256.71</v>
      </c>
      <c r="V25" s="18" t="n">
        <v>443421.53</v>
      </c>
      <c r="W25" s="18" t="n">
        <v>446143.32</v>
      </c>
      <c r="X25" s="18" t="n">
        <v>463166.9</v>
      </c>
      <c r="Y25" s="18" t="n">
        <v>462070.25</v>
      </c>
      <c r="Z25" s="37" t="n">
        <v>462070.25</v>
      </c>
      <c r="AA25" s="18" t="n">
        <v>452529.34</v>
      </c>
      <c r="AB25" s="19" t="n">
        <v>432566.56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유동부채</t>
        </is>
      </c>
      <c r="E26" s="18" t="n">
        <v>169586.87</v>
      </c>
      <c r="F26" s="37" t="n">
        <v>169586.87</v>
      </c>
      <c r="G26" s="18" t="n">
        <v>162047.67</v>
      </c>
      <c r="H26" s="18" t="n">
        <v>165948.12</v>
      </c>
      <c r="I26" s="18" t="n">
        <v>160920.17</v>
      </c>
      <c r="J26" s="18" t="n">
        <v>158686.2</v>
      </c>
      <c r="K26" s="37" t="n">
        <v>158686.2</v>
      </c>
      <c r="L26" s="18" t="n">
        <v>162871.2</v>
      </c>
      <c r="M26" s="18" t="n">
        <v>156116.89</v>
      </c>
      <c r="N26" s="18" t="n">
        <v>177484.85</v>
      </c>
      <c r="O26" s="18" t="n">
        <v>143470.04</v>
      </c>
      <c r="P26" s="37" t="n">
        <v>143470.04</v>
      </c>
      <c r="Q26" s="18" t="n">
        <v>133236.74</v>
      </c>
      <c r="R26" s="18" t="n">
        <v>130000.04</v>
      </c>
      <c r="S26" s="18" t="n">
        <v>131416.55</v>
      </c>
      <c r="T26" s="18" t="n">
        <v>133955.18</v>
      </c>
      <c r="U26" s="37" t="n">
        <v>133955.18</v>
      </c>
      <c r="V26" s="18" t="n">
        <v>144952.79</v>
      </c>
      <c r="W26" s="18" t="n">
        <v>122439.31</v>
      </c>
      <c r="X26" s="18" t="n">
        <v>117628</v>
      </c>
      <c r="Y26" s="18" t="n">
        <v>107007.16</v>
      </c>
      <c r="Z26" s="37" t="n">
        <v>107007.16</v>
      </c>
      <c r="AA26" s="18" t="n">
        <v>98168.73</v>
      </c>
      <c r="AB26" s="19" t="n">
        <v>62469.72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매입채무및기타채무</t>
        </is>
      </c>
      <c r="E27" s="18" t="n">
        <v>156919.62</v>
      </c>
      <c r="F27" s="37" t="n">
        <v>156919.62</v>
      </c>
      <c r="G27" s="18" t="n">
        <v>154814.86</v>
      </c>
      <c r="H27" s="18" t="n">
        <v>160944.21</v>
      </c>
      <c r="I27" s="18" t="n">
        <v>156115</v>
      </c>
      <c r="J27" s="18" t="n">
        <v>153694.1</v>
      </c>
      <c r="K27" s="37" t="n">
        <v>153694.1</v>
      </c>
      <c r="L27" s="18" t="n">
        <v>158386.33</v>
      </c>
      <c r="M27" s="18" t="n">
        <v>153948.19</v>
      </c>
      <c r="N27" s="18" t="n">
        <v>175558.47</v>
      </c>
      <c r="O27" s="18" t="n">
        <v>142343.96</v>
      </c>
      <c r="P27" s="37" t="n">
        <v>142343.96</v>
      </c>
      <c r="Q27" s="18" t="n">
        <v>122403.27</v>
      </c>
      <c r="R27" s="18" t="n">
        <v>121070.41</v>
      </c>
      <c r="S27" s="18" t="n">
        <v>120824.44</v>
      </c>
      <c r="T27" s="18" t="n">
        <v>123353.53</v>
      </c>
      <c r="U27" s="37" t="n">
        <v>123353.53</v>
      </c>
      <c r="V27" s="18" t="n">
        <v>118084.63</v>
      </c>
      <c r="W27" s="18" t="n">
        <v>100154.51</v>
      </c>
      <c r="X27" s="18" t="n">
        <v>83285.02</v>
      </c>
      <c r="Y27" s="18" t="n">
        <v>8383.42</v>
      </c>
      <c r="Z27" s="37" t="n">
        <v>8383.42</v>
      </c>
      <c r="AA27" s="18" t="n">
        <v>7526.44</v>
      </c>
      <c r="AB27" s="19" t="n">
        <v>8124.91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단기차입금</t>
        </is>
      </c>
      <c r="E28" s="18" t="n">
        <v>131396</v>
      </c>
      <c r="F28" s="37" t="n">
        <v>131396</v>
      </c>
      <c r="G28" s="18" t="n">
        <v>129456</v>
      </c>
      <c r="H28" s="18" t="n">
        <v>132156</v>
      </c>
      <c r="I28" s="18" t="n">
        <v>126576</v>
      </c>
      <c r="J28" s="18" t="n">
        <v>126576</v>
      </c>
      <c r="K28" s="37" t="n">
        <v>126576</v>
      </c>
      <c r="L28" s="18" t="n">
        <v>126726</v>
      </c>
      <c r="M28" s="18" t="n">
        <v>126576</v>
      </c>
      <c r="N28" s="18" t="n">
        <v>130836</v>
      </c>
      <c r="O28" s="18" t="n">
        <v>108680</v>
      </c>
      <c r="P28" s="37" t="n">
        <v>108680</v>
      </c>
      <c r="Q28" s="18" t="n">
        <v>103680</v>
      </c>
      <c r="R28" s="18" t="n">
        <v>109180</v>
      </c>
      <c r="S28" s="18" t="n">
        <v>109530</v>
      </c>
      <c r="T28" s="18" t="n">
        <v>109530</v>
      </c>
      <c r="U28" s="37" t="n">
        <v>109530</v>
      </c>
      <c r="V28" s="18" t="n">
        <v>99530</v>
      </c>
      <c r="W28" s="18" t="n">
        <v>74530</v>
      </c>
      <c r="X28" s="18" t="n">
        <v>58880</v>
      </c>
      <c r="Y28" s="18" t="n">
        <v>46880</v>
      </c>
      <c r="Z28" s="37" t="n">
        <v>46880</v>
      </c>
      <c r="AA28" s="18" t="n">
        <v>46880</v>
      </c>
      <c r="AB28" s="19" t="n">
        <v>45340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유동성장기부채</t>
        </is>
      </c>
      <c r="E29" s="18" t="n">
        <v>2579.4</v>
      </c>
      <c r="F29" s="37" t="n">
        <v>2579.4</v>
      </c>
      <c r="G29" s="18" t="n">
        <v>2079.4</v>
      </c>
      <c r="H29" s="18" t="n">
        <v>7602.9</v>
      </c>
      <c r="I29" s="18" t="n">
        <v>7763.82</v>
      </c>
      <c r="J29" s="18" t="n">
        <v>7924.78</v>
      </c>
      <c r="K29" s="37" t="n">
        <v>7924.78</v>
      </c>
      <c r="L29" s="18" t="n">
        <v>7082.23</v>
      </c>
      <c r="M29" s="18" t="n">
        <v>7248.98</v>
      </c>
      <c r="N29" s="18" t="n">
        <v>7410.69</v>
      </c>
      <c r="O29" s="18" t="n">
        <v>7574.85</v>
      </c>
      <c r="P29" s="37" t="n">
        <v>7574.85</v>
      </c>
      <c r="Q29" s="18" t="n">
        <v>7750.72</v>
      </c>
      <c r="R29" s="18" t="n">
        <v>1000</v>
      </c>
      <c r="S29" s="18" t="n">
        <v>1000</v>
      </c>
      <c r="T29" s="18" t="n">
        <v>1000</v>
      </c>
      <c r="U29" s="37" t="n">
        <v>1000</v>
      </c>
      <c r="V29" s="18" t="n">
        <v>1000</v>
      </c>
      <c r="W29" s="18" t="n">
        <v>14500</v>
      </c>
      <c r="X29" s="18" t="n">
        <v>14500</v>
      </c>
      <c r="Y29" s="18" t="n">
        <v>14500</v>
      </c>
      <c r="Z29" s="37" t="n">
        <v>14500</v>
      </c>
      <c r="AA29" s="18" t="n">
        <v>15000</v>
      </c>
      <c r="AB29" s="19" t="n">
        <v>1000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유동리스부채</t>
        </is>
      </c>
      <c r="E30" s="18" t="n">
        <v>46.2</v>
      </c>
      <c r="F30" s="37" t="n">
        <v>46.2</v>
      </c>
      <c r="G30" s="18" t="n">
        <v>44.07</v>
      </c>
      <c r="H30" s="18" t="n">
        <v>55.32</v>
      </c>
      <c r="I30" s="18" t="n">
        <v>56.87</v>
      </c>
      <c r="J30" s="18" t="n">
        <v>64.09</v>
      </c>
      <c r="K30" s="37" t="n">
        <v>64.09</v>
      </c>
      <c r="L30" s="18" t="n">
        <v>55.48</v>
      </c>
      <c r="M30" s="18" t="n">
        <v>73.89</v>
      </c>
      <c r="N30" s="18" t="n">
        <v>67.36</v>
      </c>
      <c r="O30" s="18" t="n">
        <v>41.71</v>
      </c>
      <c r="P30" s="37" t="n">
        <v>41.71</v>
      </c>
      <c r="Q30" s="18" t="n">
        <v>42.13</v>
      </c>
      <c r="R30" s="18" t="n">
        <v>45.09</v>
      </c>
      <c r="S30" s="18" t="n">
        <v>45.52</v>
      </c>
      <c r="T30" s="18" t="n">
        <v>45.96</v>
      </c>
      <c r="U30" s="37" t="n">
        <v>45.96</v>
      </c>
      <c r="V30" s="18" t="n">
        <v>30.6</v>
      </c>
      <c r="W30" s="18" t="n">
        <v>28.78</v>
      </c>
      <c r="X30" s="18" t="n">
        <v>25.75</v>
      </c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리스부채</t>
        </is>
      </c>
      <c r="E31" s="18" t="n">
        <v>83.40000000000001</v>
      </c>
      <c r="F31" s="37" t="n">
        <v>83.40000000000001</v>
      </c>
      <c r="G31" s="18" t="n">
        <v>70.31999999999999</v>
      </c>
      <c r="H31" s="18" t="n">
        <v>105.38</v>
      </c>
      <c r="I31" s="18" t="n">
        <v>113.03</v>
      </c>
      <c r="J31" s="18" t="n">
        <v>157.98</v>
      </c>
      <c r="K31" s="37" t="n">
        <v>157.98</v>
      </c>
      <c r="L31" s="18" t="n">
        <v>139.47</v>
      </c>
      <c r="M31" s="18" t="n">
        <v>225.12</v>
      </c>
      <c r="N31" s="18" t="n">
        <v>203.91</v>
      </c>
      <c r="O31" s="18" t="n">
        <v>137.17</v>
      </c>
      <c r="P31" s="37" t="n">
        <v>137.17</v>
      </c>
      <c r="Q31" s="18" t="n">
        <v>126.26</v>
      </c>
      <c r="R31" s="18" t="n">
        <v>115.25</v>
      </c>
      <c r="S31" s="18" t="n">
        <v>104.13</v>
      </c>
      <c r="T31" s="18" t="n">
        <v>92.92</v>
      </c>
      <c r="U31" s="37" t="n">
        <v>92.92</v>
      </c>
      <c r="V31" s="18" t="n">
        <v>53.49</v>
      </c>
      <c r="W31" s="18" t="n">
        <v>45.89</v>
      </c>
      <c r="X31" s="18" t="n">
        <v>38.24</v>
      </c>
      <c r="Y31" s="18" t="n">
        <v>7.83</v>
      </c>
      <c r="Z31" s="37" t="n">
        <v>7.83</v>
      </c>
      <c r="AA31" s="18" t="n">
        <v>3.14</v>
      </c>
      <c r="AB31" s="19" t="n">
        <v>36.47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단기금융부채</t>
        </is>
      </c>
      <c r="E32" s="18" t="n">
        <v>46.2</v>
      </c>
      <c r="F32" s="37" t="n">
        <v>46.2</v>
      </c>
      <c r="G32" s="18" t="n">
        <v>46.45</v>
      </c>
      <c r="H32" s="18" t="n">
        <v>8711.559999999999</v>
      </c>
      <c r="I32" s="18" t="n">
        <v>8721.93</v>
      </c>
      <c r="J32" s="18" t="n">
        <v>7678.61</v>
      </c>
      <c r="K32" s="37" t="n">
        <v>7678.61</v>
      </c>
      <c r="L32" s="18" t="n">
        <v>7670</v>
      </c>
      <c r="M32" s="18" t="n">
        <v>3676.51</v>
      </c>
      <c r="N32" s="18" t="n">
        <v>3679.68</v>
      </c>
      <c r="O32" s="18" t="n">
        <v>2236.51</v>
      </c>
      <c r="P32" s="37" t="n">
        <v>2236.51</v>
      </c>
      <c r="Q32" s="18" t="n">
        <v>2244.85</v>
      </c>
      <c r="R32" s="18" t="n">
        <v>45.09</v>
      </c>
      <c r="S32" s="18" t="n">
        <v>45.52</v>
      </c>
      <c r="T32" s="18" t="n">
        <v>97.36</v>
      </c>
      <c r="U32" s="37" t="n">
        <v>97.36</v>
      </c>
      <c r="V32" s="18" t="n">
        <v>32.04</v>
      </c>
      <c r="W32" s="18" t="n">
        <v>28.78</v>
      </c>
      <c r="X32" s="18" t="n">
        <v>25.75</v>
      </c>
      <c r="Y32" s="18" t="n">
        <v>0</v>
      </c>
      <c r="Z32" s="37" t="n">
        <v>0</v>
      </c>
      <c r="AB32" s="5" t="n"/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당기법인세부채(미지급법인세)</t>
        </is>
      </c>
      <c r="E33" s="18" t="n">
        <v>12667.25</v>
      </c>
      <c r="F33" s="37" t="n">
        <v>12667.25</v>
      </c>
      <c r="G33" s="18" t="n">
        <v>7231.62</v>
      </c>
      <c r="H33" s="18" t="n">
        <v>675.79</v>
      </c>
      <c r="I33" s="18" t="n">
        <v>472.63</v>
      </c>
      <c r="J33" s="18" t="n">
        <v>1184.84</v>
      </c>
      <c r="K33" s="37" t="n">
        <v>1184.84</v>
      </c>
      <c r="L33" s="18" t="n">
        <v>677.61</v>
      </c>
      <c r="M33" s="18" t="n">
        <v>367.4</v>
      </c>
      <c r="N33" s="18" t="n">
        <v>120.23</v>
      </c>
      <c r="O33" s="18" t="n">
        <v>28.68</v>
      </c>
      <c r="P33" s="37" t="n">
        <v>28.68</v>
      </c>
      <c r="Q33" s="18" t="n">
        <v>9732.1</v>
      </c>
      <c r="R33" s="18" t="n">
        <v>8929.639999999999</v>
      </c>
      <c r="S33" s="18" t="n">
        <v>10592.11</v>
      </c>
      <c r="T33" s="18" t="n">
        <v>10575.94</v>
      </c>
      <c r="U33" s="37" t="n">
        <v>10575.94</v>
      </c>
      <c r="V33" s="18" t="n">
        <v>26867.44</v>
      </c>
      <c r="W33" s="18" t="n">
        <v>22284.79</v>
      </c>
      <c r="X33" s="18" t="n">
        <v>34342.98</v>
      </c>
      <c r="Y33" s="18" t="n">
        <v>34331.23</v>
      </c>
      <c r="Z33" s="37" t="n">
        <v>34331.23</v>
      </c>
      <c r="AA33" s="18" t="n">
        <v>19602.36</v>
      </c>
      <c r="AB33" s="19" t="n">
        <v>2268.65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비유동부채</t>
        </is>
      </c>
      <c r="E34" s="18" t="n">
        <v>5488.26</v>
      </c>
      <c r="F34" s="37" t="n">
        <v>5488.26</v>
      </c>
      <c r="G34" s="18" t="n">
        <v>5649.85</v>
      </c>
      <c r="H34" s="18" t="n">
        <v>10965.58</v>
      </c>
      <c r="I34" s="18" t="n">
        <v>13412.87</v>
      </c>
      <c r="J34" s="18" t="n">
        <v>11684.9</v>
      </c>
      <c r="K34" s="37" t="n">
        <v>11684.9</v>
      </c>
      <c r="L34" s="18" t="n">
        <v>11886.66</v>
      </c>
      <c r="M34" s="18" t="n">
        <v>12002.48</v>
      </c>
      <c r="N34" s="18" t="n">
        <v>12140.65</v>
      </c>
      <c r="O34" s="18" t="n">
        <v>7035.45</v>
      </c>
      <c r="P34" s="37" t="n">
        <v>7035.45</v>
      </c>
      <c r="Q34" s="18" t="n">
        <v>11092.59</v>
      </c>
      <c r="R34" s="18" t="n">
        <v>30054.15</v>
      </c>
      <c r="S34" s="18" t="n">
        <v>25324.75</v>
      </c>
      <c r="T34" s="18" t="n">
        <v>36376.77</v>
      </c>
      <c r="U34" s="37" t="n">
        <v>36376.77</v>
      </c>
      <c r="V34" s="18" t="n">
        <v>24319.48</v>
      </c>
      <c r="W34" s="18" t="n">
        <v>15069.58</v>
      </c>
      <c r="X34" s="18" t="n">
        <v>13613.61</v>
      </c>
      <c r="Y34" s="18" t="n">
        <v>13709.31</v>
      </c>
      <c r="Z34" s="37" t="n">
        <v>13709.31</v>
      </c>
      <c r="AA34" s="18" t="n">
        <v>13085.1</v>
      </c>
      <c r="AB34" s="19" t="n">
        <v>14755.47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장기매입채무및기타채무</t>
        </is>
      </c>
      <c r="E35" s="18" t="n">
        <v>1795.9</v>
      </c>
      <c r="F35" s="37" t="n">
        <v>1795.9</v>
      </c>
      <c r="G35" s="18" t="n">
        <v>1679.02</v>
      </c>
      <c r="H35" s="18" t="n">
        <v>7244.9</v>
      </c>
      <c r="I35" s="18" t="n">
        <v>9498.1</v>
      </c>
      <c r="J35" s="18" t="n">
        <v>9623.82</v>
      </c>
      <c r="K35" s="37" t="n">
        <v>9623.82</v>
      </c>
      <c r="L35" s="18" t="n">
        <v>9914.309999999999</v>
      </c>
      <c r="M35" s="18" t="n">
        <v>9809.35</v>
      </c>
      <c r="N35" s="18" t="n">
        <v>9920.459999999999</v>
      </c>
      <c r="O35" s="18" t="n">
        <v>7152.65</v>
      </c>
      <c r="P35" s="37" t="n">
        <v>7152.65</v>
      </c>
      <c r="Q35" s="18" t="n">
        <v>7293.56</v>
      </c>
      <c r="R35" s="18" t="n">
        <v>14505.22</v>
      </c>
      <c r="S35" s="18" t="n">
        <v>14341.85</v>
      </c>
      <c r="T35" s="18" t="n">
        <v>14168.91</v>
      </c>
      <c r="U35" s="37" t="n">
        <v>14168.91</v>
      </c>
      <c r="V35" s="18" t="n">
        <v>15124.54</v>
      </c>
      <c r="W35" s="18" t="n">
        <v>1098.47</v>
      </c>
      <c r="X35" s="18" t="n">
        <v>1423.55</v>
      </c>
      <c r="Y35" s="18" t="n">
        <v>127.53</v>
      </c>
      <c r="Z35" s="37" t="n">
        <v>127.53</v>
      </c>
      <c r="AA35" s="18" t="n">
        <v>120</v>
      </c>
      <c r="AB35" s="19" t="n">
        <v>50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기타비유동부채</t>
        </is>
      </c>
      <c r="E36" s="18" t="n">
        <v>711</v>
      </c>
      <c r="F36" s="37" t="n">
        <v>711</v>
      </c>
      <c r="G36" s="18" t="n">
        <v>661</v>
      </c>
      <c r="H36" s="18" t="n">
        <v>781</v>
      </c>
      <c r="I36" s="18" t="n">
        <v>441.15</v>
      </c>
      <c r="J36" s="18" t="n">
        <v>442.15</v>
      </c>
      <c r="K36" s="37" t="n">
        <v>442.15</v>
      </c>
      <c r="L36" s="18" t="n">
        <v>325.74</v>
      </c>
      <c r="M36" s="18" t="n">
        <v>442.4</v>
      </c>
      <c r="N36" s="18" t="n">
        <v>440.75</v>
      </c>
      <c r="O36" s="18" t="n">
        <v>190</v>
      </c>
      <c r="P36" s="37" t="n">
        <v>190</v>
      </c>
      <c r="Q36" s="18" t="n">
        <v>190</v>
      </c>
      <c r="R36" s="18" t="n">
        <v>190</v>
      </c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장기차입금</t>
        </is>
      </c>
      <c r="E37" s="18" t="n">
        <v>116.2</v>
      </c>
      <c r="F37" s="37" t="n">
        <v>116.2</v>
      </c>
      <c r="G37" s="18" t="n">
        <v>96.34999999999999</v>
      </c>
      <c r="H37" s="18" t="n">
        <v>76.5</v>
      </c>
      <c r="I37" s="18" t="n">
        <v>2556.65</v>
      </c>
      <c r="J37" s="18" t="n">
        <v>2536.8</v>
      </c>
      <c r="K37" s="37" t="n">
        <v>2536.8</v>
      </c>
      <c r="L37" s="18" t="n">
        <v>2516.95</v>
      </c>
      <c r="M37" s="18" t="n">
        <v>2500</v>
      </c>
      <c r="N37" s="18" t="n">
        <v>2500</v>
      </c>
      <c r="O37" s="18" t="n">
        <v>0</v>
      </c>
      <c r="P37" s="37" t="n">
        <v>0</v>
      </c>
      <c r="Q37" s="18" t="n">
        <v>0</v>
      </c>
      <c r="R37" s="18" t="n">
        <v>14000</v>
      </c>
      <c r="S37" s="18" t="n">
        <v>14000</v>
      </c>
      <c r="T37" s="18" t="n">
        <v>14000</v>
      </c>
      <c r="U37" s="37" t="n">
        <v>14000</v>
      </c>
      <c r="V37" s="18" t="n">
        <v>15000</v>
      </c>
      <c r="W37" s="18" t="n">
        <v>1000</v>
      </c>
      <c r="X37" s="18" t="n">
        <v>1300</v>
      </c>
      <c r="Y37" s="18" t="n">
        <v>1300</v>
      </c>
      <c r="Z37" s="37" t="n">
        <v>1300</v>
      </c>
      <c r="AA37" s="18" t="n">
        <v>300</v>
      </c>
      <c r="AB37" s="19" t="n">
        <v>300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비유동리스부채</t>
        </is>
      </c>
      <c r="E38" s="18" t="n">
        <v>37.2</v>
      </c>
      <c r="F38" s="37" t="n">
        <v>37.2</v>
      </c>
      <c r="G38" s="18" t="n">
        <v>26.25</v>
      </c>
      <c r="H38" s="18" t="n">
        <v>50.06</v>
      </c>
      <c r="I38" s="18" t="n">
        <v>56.16</v>
      </c>
      <c r="J38" s="18" t="n">
        <v>93.89</v>
      </c>
      <c r="K38" s="37" t="n">
        <v>93.89</v>
      </c>
      <c r="L38" s="18" t="n">
        <v>83.98999999999999</v>
      </c>
      <c r="M38" s="18" t="n">
        <v>151.23</v>
      </c>
      <c r="N38" s="18" t="n">
        <v>136.55</v>
      </c>
      <c r="O38" s="18" t="n">
        <v>95.45999999999999</v>
      </c>
      <c r="P38" s="37" t="n">
        <v>95.45999999999999</v>
      </c>
      <c r="Q38" s="18" t="n">
        <v>84.13</v>
      </c>
      <c r="R38" s="18" t="n">
        <v>70.16</v>
      </c>
      <c r="S38" s="18" t="n">
        <v>58.61</v>
      </c>
      <c r="T38" s="18" t="n">
        <v>46.96</v>
      </c>
      <c r="U38" s="37" t="n">
        <v>46.96</v>
      </c>
      <c r="V38" s="18" t="n">
        <v>22.89</v>
      </c>
      <c r="W38" s="18" t="n">
        <v>17.11</v>
      </c>
      <c r="X38" s="18" t="n">
        <v>12.49</v>
      </c>
      <c r="Y38" s="18" t="n">
        <v>7.83</v>
      </c>
      <c r="Z38" s="37" t="n">
        <v>7.83</v>
      </c>
      <c r="AA38" s="18" t="n">
        <v>3.14</v>
      </c>
      <c r="AB38" s="19" t="n">
        <v>36.47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장기금융부채</t>
        </is>
      </c>
      <c r="E39" s="18" t="n">
        <v>37.2</v>
      </c>
      <c r="F39" s="37" t="n">
        <v>37.2</v>
      </c>
      <c r="G39" s="18" t="n">
        <v>26.25</v>
      </c>
      <c r="H39" s="18" t="n">
        <v>50.06</v>
      </c>
      <c r="I39" s="18" t="n">
        <v>56.16</v>
      </c>
      <c r="J39" s="18" t="n">
        <v>93.89</v>
      </c>
      <c r="K39" s="37" t="n">
        <v>93.89</v>
      </c>
      <c r="L39" s="18" t="n">
        <v>83.98999999999999</v>
      </c>
      <c r="M39" s="18" t="n">
        <v>151.23</v>
      </c>
      <c r="N39" s="18" t="n">
        <v>136.55</v>
      </c>
      <c r="O39" s="18" t="n">
        <v>95.45999999999999</v>
      </c>
      <c r="P39" s="37" t="n">
        <v>95.45999999999999</v>
      </c>
      <c r="Q39" s="18" t="n">
        <v>84.13</v>
      </c>
      <c r="R39" s="18" t="n">
        <v>70.16</v>
      </c>
      <c r="S39" s="18" t="n">
        <v>58.61</v>
      </c>
      <c r="T39" s="18" t="n">
        <v>46.96</v>
      </c>
      <c r="U39" s="37" t="n">
        <v>46.96</v>
      </c>
      <c r="V39" s="18" t="n">
        <v>22.89</v>
      </c>
      <c r="W39" s="18" t="n">
        <v>17.11</v>
      </c>
      <c r="X39" s="18" t="n">
        <v>12.49</v>
      </c>
      <c r="Y39" s="18" t="n">
        <v>7.83</v>
      </c>
      <c r="Z39" s="37" t="n">
        <v>7.83</v>
      </c>
      <c r="AA39" s="18" t="n">
        <v>3.14</v>
      </c>
      <c r="AB39" s="19" t="n">
        <v>36.47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장기충당부채</t>
        </is>
      </c>
      <c r="E40" s="18" t="n">
        <v>0</v>
      </c>
      <c r="F40" s="37" t="n">
        <v>0</v>
      </c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확정급여부채</t>
        </is>
      </c>
      <c r="E41" s="18" t="n">
        <v>678.48</v>
      </c>
      <c r="F41" s="37" t="n">
        <v>678.48</v>
      </c>
      <c r="G41" s="18" t="n">
        <v>899.01</v>
      </c>
      <c r="H41" s="18" t="n">
        <v>550.85</v>
      </c>
      <c r="I41" s="18" t="n">
        <v>736.34</v>
      </c>
      <c r="J41" s="18" t="n">
        <v>0</v>
      </c>
      <c r="K41" s="37" t="n">
        <v>0</v>
      </c>
      <c r="L41" s="18" t="n">
        <v>0</v>
      </c>
      <c r="O41" s="18" t="n">
        <v>45.92</v>
      </c>
      <c r="P41" s="37" t="n">
        <v>45.92</v>
      </c>
      <c r="Q41" s="18" t="n">
        <v>226.77</v>
      </c>
      <c r="R41" s="18" t="n">
        <v>0</v>
      </c>
      <c r="S41" s="18" t="n">
        <v>0</v>
      </c>
      <c r="T41" s="18" t="n">
        <v>0</v>
      </c>
      <c r="U41" s="37" t="n">
        <v>0</v>
      </c>
      <c r="V41" s="18" t="n">
        <v>188.87</v>
      </c>
      <c r="X41" s="18" t="n">
        <v>203.68</v>
      </c>
      <c r="Y41" s="18" t="n">
        <v>6.26</v>
      </c>
      <c r="Z41" s="37" t="n">
        <v>6.26</v>
      </c>
      <c r="AA41" s="18" t="n">
        <v>220.62</v>
      </c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이연법인세부채</t>
        </is>
      </c>
      <c r="E42" s="18" t="n">
        <v>3479.63</v>
      </c>
      <c r="F42" s="37" t="n">
        <v>3479.63</v>
      </c>
      <c r="G42" s="18" t="n">
        <v>3519.53</v>
      </c>
      <c r="H42" s="18" t="n">
        <v>3576.75</v>
      </c>
      <c r="I42" s="18" t="n">
        <v>3558.29</v>
      </c>
      <c r="J42" s="18" t="n">
        <v>2413.89</v>
      </c>
      <c r="K42" s="37" t="n">
        <v>2413.89</v>
      </c>
      <c r="L42" s="18" t="n">
        <v>2464.75</v>
      </c>
      <c r="M42" s="18" t="n">
        <v>2464.75</v>
      </c>
      <c r="N42" s="18" t="n">
        <v>2464.75</v>
      </c>
      <c r="O42" s="18" t="n">
        <v>0</v>
      </c>
      <c r="P42" s="37" t="n">
        <v>0</v>
      </c>
      <c r="Q42" s="18" t="n">
        <v>3715.09</v>
      </c>
      <c r="R42" s="18" t="n">
        <v>15671.46</v>
      </c>
      <c r="S42" s="18" t="n">
        <v>10982.9</v>
      </c>
      <c r="T42" s="18" t="n">
        <v>22207.87</v>
      </c>
      <c r="U42" s="37" t="n">
        <v>22207.87</v>
      </c>
      <c r="V42" s="18" t="n">
        <v>9006.059999999999</v>
      </c>
      <c r="W42" s="18" t="n">
        <v>13971.11</v>
      </c>
      <c r="X42" s="18" t="n">
        <v>11986.39</v>
      </c>
      <c r="Y42" s="18" t="n">
        <v>12267.69</v>
      </c>
      <c r="Z42" s="37" t="n">
        <v>12267.69</v>
      </c>
      <c r="AA42" s="18" t="n">
        <v>12441.34</v>
      </c>
      <c r="AB42" s="19" t="n">
        <v>14369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부채총계</t>
        </is>
      </c>
      <c r="E43" s="18" t="n">
        <v>175075.13</v>
      </c>
      <c r="F43" s="37" t="n">
        <v>175075.13</v>
      </c>
      <c r="G43" s="18" t="n">
        <v>167697.52</v>
      </c>
      <c r="H43" s="18" t="n">
        <v>176913.7</v>
      </c>
      <c r="I43" s="18" t="n">
        <v>174333.04</v>
      </c>
      <c r="J43" s="18" t="n">
        <v>170371.1</v>
      </c>
      <c r="K43" s="37" t="n">
        <v>170371.1</v>
      </c>
      <c r="L43" s="18" t="n">
        <v>174757.86</v>
      </c>
      <c r="M43" s="18" t="n">
        <v>168119.38</v>
      </c>
      <c r="N43" s="18" t="n">
        <v>189625.5</v>
      </c>
      <c r="O43" s="18" t="n">
        <v>150505.49</v>
      </c>
      <c r="P43" s="37" t="n">
        <v>150505.49</v>
      </c>
      <c r="Q43" s="18" t="n">
        <v>144329.32</v>
      </c>
      <c r="R43" s="18" t="n">
        <v>160054.19</v>
      </c>
      <c r="S43" s="18" t="n">
        <v>156741.3</v>
      </c>
      <c r="T43" s="18" t="n">
        <v>170331.95</v>
      </c>
      <c r="U43" s="37" t="n">
        <v>170331.95</v>
      </c>
      <c r="V43" s="18" t="n">
        <v>169272.26</v>
      </c>
      <c r="W43" s="18" t="n">
        <v>137508.89</v>
      </c>
      <c r="X43" s="18" t="n">
        <v>131241.61</v>
      </c>
      <c r="Y43" s="18" t="n">
        <v>120716.47</v>
      </c>
      <c r="Z43" s="37" t="n">
        <v>120716.47</v>
      </c>
      <c r="AA43" s="18" t="n">
        <v>111253.84</v>
      </c>
      <c r="AB43" s="19" t="n">
        <v>77225.19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지배주주지분</t>
        </is>
      </c>
      <c r="E44" s="18" t="n">
        <v>189624.55</v>
      </c>
      <c r="F44" s="37" t="n">
        <v>189624.55</v>
      </c>
      <c r="G44" s="18" t="n">
        <v>177974.8</v>
      </c>
      <c r="H44" s="18" t="n">
        <v>170091.41</v>
      </c>
      <c r="I44" s="18" t="n">
        <v>171532.94</v>
      </c>
      <c r="J44" s="18" t="n">
        <v>170350.61</v>
      </c>
      <c r="K44" s="37" t="n">
        <v>170350.61</v>
      </c>
      <c r="L44" s="18" t="n">
        <v>172454.03</v>
      </c>
      <c r="M44" s="18" t="n">
        <v>164769.26</v>
      </c>
      <c r="N44" s="18" t="n">
        <v>163707.22</v>
      </c>
      <c r="O44" s="18" t="n">
        <v>168685.12</v>
      </c>
      <c r="P44" s="37" t="n">
        <v>168685.12</v>
      </c>
      <c r="Q44" s="18" t="n">
        <v>211977.83</v>
      </c>
      <c r="R44" s="18" t="n">
        <v>250027.71</v>
      </c>
      <c r="S44" s="18" t="n">
        <v>236969.85</v>
      </c>
      <c r="T44" s="18" t="n">
        <v>259924.76</v>
      </c>
      <c r="U44" s="37" t="n">
        <v>259924.76</v>
      </c>
      <c r="V44" s="18" t="n">
        <v>274149.27</v>
      </c>
      <c r="W44" s="18" t="n">
        <v>308634.44</v>
      </c>
      <c r="X44" s="18" t="n">
        <v>331925.29</v>
      </c>
      <c r="Y44" s="18" t="n">
        <v>341353.79</v>
      </c>
      <c r="Z44" s="37" t="n">
        <v>341353.79</v>
      </c>
      <c r="AA44" s="18" t="n">
        <v>341275.51</v>
      </c>
      <c r="AB44" s="19" t="n">
        <v>355341.37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자본금</t>
        </is>
      </c>
      <c r="E45" s="18" t="n">
        <v>4665.85</v>
      </c>
      <c r="F45" s="37" t="n">
        <v>4665.85</v>
      </c>
      <c r="G45" s="18" t="n">
        <v>4665.85</v>
      </c>
      <c r="H45" s="18" t="n">
        <v>4665.85</v>
      </c>
      <c r="I45" s="18" t="n">
        <v>4665.85</v>
      </c>
      <c r="J45" s="18" t="n">
        <v>4665.85</v>
      </c>
      <c r="K45" s="37" t="n">
        <v>4665.85</v>
      </c>
      <c r="L45" s="18" t="n">
        <v>4665.85</v>
      </c>
      <c r="M45" s="18" t="n">
        <v>4665.85</v>
      </c>
      <c r="N45" s="18" t="n">
        <v>4665.85</v>
      </c>
      <c r="O45" s="18" t="n">
        <v>4665.85</v>
      </c>
      <c r="P45" s="37" t="n">
        <v>4665.85</v>
      </c>
      <c r="Q45" s="18" t="n">
        <v>4665.85</v>
      </c>
      <c r="R45" s="18" t="n">
        <v>4940.08</v>
      </c>
      <c r="S45" s="18" t="n">
        <v>4940.08</v>
      </c>
      <c r="T45" s="18" t="n">
        <v>4940.08</v>
      </c>
      <c r="U45" s="37" t="n">
        <v>4940.08</v>
      </c>
      <c r="V45" s="18" t="n">
        <v>4940.08</v>
      </c>
      <c r="W45" s="18" t="n">
        <v>4940.08</v>
      </c>
      <c r="X45" s="18" t="n">
        <v>4940.08</v>
      </c>
      <c r="Y45" s="18" t="n">
        <v>4940.08</v>
      </c>
      <c r="Z45" s="37" t="n">
        <v>4940.08</v>
      </c>
      <c r="AA45" s="18" t="n">
        <v>4940.08</v>
      </c>
      <c r="AB45" s="19" t="n">
        <v>4940.08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보통주자본금</t>
        </is>
      </c>
      <c r="E46" s="18" t="n">
        <v>4665.85</v>
      </c>
      <c r="F46" s="37" t="n">
        <v>4665.85</v>
      </c>
      <c r="G46" s="18" t="n">
        <v>4665.85</v>
      </c>
      <c r="H46" s="18" t="n">
        <v>4665.85</v>
      </c>
      <c r="I46" s="18" t="n">
        <v>4665.85</v>
      </c>
      <c r="J46" s="18" t="n">
        <v>4665.85</v>
      </c>
      <c r="K46" s="37" t="n">
        <v>4665.85</v>
      </c>
      <c r="L46" s="18" t="n">
        <v>4665.85</v>
      </c>
      <c r="M46" s="18" t="n">
        <v>4665.85</v>
      </c>
      <c r="N46" s="18" t="n">
        <v>4665.85</v>
      </c>
      <c r="O46" s="18" t="n">
        <v>4665.85</v>
      </c>
      <c r="P46" s="37" t="n">
        <v>4665.85</v>
      </c>
      <c r="Q46" s="18" t="n">
        <v>4665.85</v>
      </c>
      <c r="R46" s="18" t="n">
        <v>4940.08</v>
      </c>
      <c r="S46" s="18" t="n">
        <v>4940.08</v>
      </c>
      <c r="T46" s="18" t="n">
        <v>4940.08</v>
      </c>
      <c r="U46" s="37" t="n">
        <v>4940.08</v>
      </c>
      <c r="V46" s="18" t="n">
        <v>4940.08</v>
      </c>
      <c r="W46" s="18" t="n">
        <v>4940.08</v>
      </c>
      <c r="X46" s="18" t="n">
        <v>4940.08</v>
      </c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자본잉여금</t>
        </is>
      </c>
      <c r="E47" s="18" t="n">
        <v>94541.75999999999</v>
      </c>
      <c r="F47" s="37" t="n">
        <v>94541.75999999999</v>
      </c>
      <c r="G47" s="18" t="n">
        <v>94541.75999999999</v>
      </c>
      <c r="H47" s="18" t="n">
        <v>94541.75999999999</v>
      </c>
      <c r="I47" s="18" t="n">
        <v>94541.75999999999</v>
      </c>
      <c r="J47" s="18" t="n">
        <v>94541.75999999999</v>
      </c>
      <c r="K47" s="37" t="n">
        <v>94541.75999999999</v>
      </c>
      <c r="L47" s="18" t="n">
        <v>94541.75999999999</v>
      </c>
      <c r="M47" s="18" t="n">
        <v>94541.75999999999</v>
      </c>
      <c r="N47" s="18" t="n">
        <v>94541.75999999999</v>
      </c>
      <c r="O47" s="18" t="n">
        <v>13983.76</v>
      </c>
      <c r="P47" s="37" t="n">
        <v>13983.76</v>
      </c>
      <c r="Q47" s="18" t="n">
        <v>13983.76</v>
      </c>
      <c r="R47" s="18" t="n">
        <v>40581.88</v>
      </c>
      <c r="S47" s="18" t="n">
        <v>40581.88</v>
      </c>
      <c r="T47" s="18" t="n">
        <v>40581.88</v>
      </c>
      <c r="U47" s="37" t="n">
        <v>40581.88</v>
      </c>
      <c r="V47" s="18" t="n">
        <v>27961.88</v>
      </c>
      <c r="W47" s="18" t="n">
        <v>27961.88</v>
      </c>
      <c r="X47" s="18" t="n">
        <v>27961.88</v>
      </c>
      <c r="Y47" s="18" t="n">
        <v>13825.38</v>
      </c>
      <c r="Z47" s="37" t="n">
        <v>13825.38</v>
      </c>
      <c r="AA47" s="18" t="n">
        <v>11036.06</v>
      </c>
      <c r="AB47" s="19" t="n">
        <v>13825.38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기타자본</t>
        </is>
      </c>
      <c r="E48" s="18" t="n">
        <v>-4391.6</v>
      </c>
      <c r="F48" s="37" t="n">
        <v>-4391.6</v>
      </c>
      <c r="G48" s="18" t="n">
        <v>-309.35</v>
      </c>
      <c r="H48" s="18" t="n">
        <v>-309.35</v>
      </c>
      <c r="I48" s="18" t="n">
        <v>-359.56</v>
      </c>
      <c r="J48" s="18" t="n">
        <v>-359.56</v>
      </c>
      <c r="K48" s="37" t="n">
        <v>-359.56</v>
      </c>
      <c r="L48" s="18" t="n">
        <v>-359.56</v>
      </c>
      <c r="M48" s="18" t="n">
        <v>-359.56</v>
      </c>
      <c r="N48" s="18" t="n">
        <v>-4512.86</v>
      </c>
      <c r="O48" s="18" t="n">
        <v>-6264.38</v>
      </c>
      <c r="P48" s="37" t="n">
        <v>-6264.38</v>
      </c>
      <c r="Q48" s="18" t="n">
        <v>-311.12</v>
      </c>
      <c r="R48" s="18" t="n">
        <v>-311.12</v>
      </c>
      <c r="S48" s="18" t="n">
        <v>-4895.83</v>
      </c>
      <c r="T48" s="18" t="n">
        <v>-14532.13</v>
      </c>
      <c r="U48" s="37" t="n">
        <v>-14532.13</v>
      </c>
      <c r="V48" s="18" t="n">
        <v>-17394.4</v>
      </c>
      <c r="W48" s="18" t="n">
        <v>-19941.66</v>
      </c>
      <c r="X48" s="18" t="n">
        <v>-311.12</v>
      </c>
      <c r="Y48" s="18" t="n">
        <v>29098.89</v>
      </c>
      <c r="Z48" s="37" t="n">
        <v>29098.89</v>
      </c>
      <c r="AA48" s="18" t="n">
        <v>29657.46</v>
      </c>
      <c r="AB48" s="19" t="n">
        <v>36574.1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기타포괄이익누계액</t>
        </is>
      </c>
      <c r="E49" s="18" t="n">
        <v>-696.55</v>
      </c>
      <c r="F49" s="37" t="n">
        <v>-696.55</v>
      </c>
      <c r="G49" s="18" t="n">
        <v>-897.92</v>
      </c>
      <c r="H49" s="18" t="n">
        <v>-202</v>
      </c>
      <c r="I49" s="18" t="n">
        <v>43.58</v>
      </c>
      <c r="J49" s="18" t="n">
        <v>732.3099999999999</v>
      </c>
      <c r="K49" s="37" t="n">
        <v>732.3099999999999</v>
      </c>
      <c r="L49" s="18" t="n">
        <v>846.74</v>
      </c>
      <c r="M49" s="18" t="n">
        <v>637.59</v>
      </c>
      <c r="N49" s="18" t="n">
        <v>679.86</v>
      </c>
      <c r="O49" s="18" t="n">
        <v>158.27</v>
      </c>
      <c r="P49" s="37" t="n">
        <v>158.27</v>
      </c>
      <c r="Q49" s="18" t="n">
        <v>10815.82</v>
      </c>
      <c r="R49" s="18" t="n">
        <v>47534.88</v>
      </c>
      <c r="S49" s="18" t="n">
        <v>33708.68</v>
      </c>
      <c r="T49" s="18" t="n">
        <v>65440.32</v>
      </c>
      <c r="U49" s="37" t="n">
        <v>65440.32</v>
      </c>
      <c r="V49" s="18" t="n">
        <v>30035.84</v>
      </c>
      <c r="W49" s="18" t="n">
        <v>46568.53</v>
      </c>
      <c r="X49" s="18" t="n">
        <v>39850.4</v>
      </c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이익잉여금</t>
        </is>
      </c>
      <c r="E50" s="18" t="n">
        <v>140580.17</v>
      </c>
      <c r="F50" s="37" t="n">
        <v>140580.17</v>
      </c>
      <c r="G50" s="18" t="n">
        <v>127090.66</v>
      </c>
      <c r="H50" s="18" t="n">
        <v>118511.36</v>
      </c>
      <c r="I50" s="18" t="n">
        <v>119732.4</v>
      </c>
      <c r="J50" s="18" t="n">
        <v>117861.35</v>
      </c>
      <c r="K50" s="37" t="n">
        <v>117861.35</v>
      </c>
      <c r="L50" s="18" t="n">
        <v>119850.33</v>
      </c>
      <c r="M50" s="18" t="n">
        <v>112374.71</v>
      </c>
      <c r="N50" s="18" t="n">
        <v>113347.06</v>
      </c>
      <c r="O50" s="18" t="n">
        <v>160001.31</v>
      </c>
      <c r="P50" s="37" t="n">
        <v>160001.31</v>
      </c>
      <c r="Q50" s="18" t="n">
        <v>189659.84</v>
      </c>
      <c r="R50" s="18" t="n">
        <v>177417.37</v>
      </c>
      <c r="S50" s="18" t="n">
        <v>180478.06</v>
      </c>
      <c r="T50" s="18" t="n">
        <v>176519.48</v>
      </c>
      <c r="U50" s="37" t="n">
        <v>176519.48</v>
      </c>
      <c r="V50" s="18" t="n">
        <v>233889.61</v>
      </c>
      <c r="W50" s="18" t="n">
        <v>253115.71</v>
      </c>
      <c r="X50" s="18" t="n">
        <v>273309.42</v>
      </c>
      <c r="Y50" s="18" t="n">
        <v>293489.44</v>
      </c>
      <c r="Z50" s="37" t="n">
        <v>293489.44</v>
      </c>
      <c r="AA50" s="18" t="n">
        <v>295641.91</v>
      </c>
      <c r="AB50" s="19" t="n">
        <v>300001.81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자본총계</t>
        </is>
      </c>
      <c r="E51" s="18" t="n">
        <v>189624.55</v>
      </c>
      <c r="F51" s="37" t="n">
        <v>189624.55</v>
      </c>
      <c r="G51" s="18" t="n">
        <v>177974.8</v>
      </c>
      <c r="H51" s="18" t="n">
        <v>170091.41</v>
      </c>
      <c r="I51" s="18" t="n">
        <v>171532.94</v>
      </c>
      <c r="J51" s="18" t="n">
        <v>170350.61</v>
      </c>
      <c r="K51" s="37" t="n">
        <v>170350.61</v>
      </c>
      <c r="L51" s="18" t="n">
        <v>172454.03</v>
      </c>
      <c r="M51" s="18" t="n">
        <v>164769.26</v>
      </c>
      <c r="N51" s="18" t="n">
        <v>163707.22</v>
      </c>
      <c r="O51" s="18" t="n">
        <v>168685.12</v>
      </c>
      <c r="P51" s="37" t="n">
        <v>168685.12</v>
      </c>
      <c r="Q51" s="18" t="n">
        <v>211977.83</v>
      </c>
      <c r="R51" s="18" t="n">
        <v>250027.71</v>
      </c>
      <c r="S51" s="18" t="n">
        <v>236969.85</v>
      </c>
      <c r="T51" s="18" t="n">
        <v>259924.76</v>
      </c>
      <c r="U51" s="37" t="n">
        <v>259924.76</v>
      </c>
      <c r="V51" s="18" t="n">
        <v>274149.27</v>
      </c>
      <c r="W51" s="18" t="n">
        <v>308634.44</v>
      </c>
      <c r="X51" s="18" t="n">
        <v>331925.29</v>
      </c>
      <c r="Y51" s="18" t="n">
        <v>341353.79</v>
      </c>
      <c r="Z51" s="37" t="n">
        <v>341353.79</v>
      </c>
      <c r="AA51" s="18" t="n">
        <v>341275.51</v>
      </c>
      <c r="AB51" s="19" t="n">
        <v>355341.37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부채와자본총계</t>
        </is>
      </c>
      <c r="E52" s="18" t="n">
        <v>364699.68</v>
      </c>
      <c r="F52" s="37" t="n">
        <v>364699.68</v>
      </c>
      <c r="G52" s="18" t="n">
        <v>345672.32</v>
      </c>
      <c r="H52" s="18" t="n">
        <v>347005.12</v>
      </c>
      <c r="I52" s="18" t="n">
        <v>345865.98</v>
      </c>
      <c r="J52" s="18" t="n">
        <v>340721.71</v>
      </c>
      <c r="K52" s="37" t="n">
        <v>340721.71</v>
      </c>
      <c r="L52" s="18" t="n">
        <v>347211.89</v>
      </c>
      <c r="M52" s="18" t="n">
        <v>332888.63</v>
      </c>
      <c r="N52" s="18" t="n">
        <v>353332.72</v>
      </c>
      <c r="O52" s="18" t="n">
        <v>319190.61</v>
      </c>
      <c r="P52" s="37" t="n">
        <v>319190.61</v>
      </c>
      <c r="Q52" s="18" t="n">
        <v>356307.15</v>
      </c>
      <c r="R52" s="18" t="n">
        <v>410081.9</v>
      </c>
      <c r="S52" s="18" t="n">
        <v>393711.15</v>
      </c>
      <c r="T52" s="18" t="n">
        <v>430256.71</v>
      </c>
      <c r="U52" s="37" t="n">
        <v>430256.71</v>
      </c>
      <c r="V52" s="18" t="n">
        <v>443421.53</v>
      </c>
      <c r="W52" s="18" t="n">
        <v>446143.32</v>
      </c>
      <c r="X52" s="18" t="n">
        <v>463166.9</v>
      </c>
      <c r="Y52" s="18" t="n">
        <v>462070.25</v>
      </c>
      <c r="Z52" s="37" t="n">
        <v>462070.25</v>
      </c>
      <c r="AA52" s="18" t="n">
        <v>452529.34</v>
      </c>
      <c r="AB52" s="19" t="n">
        <v>432566.56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총차입금</t>
        </is>
      </c>
      <c r="E53" s="18" t="n">
        <v>134091.6</v>
      </c>
      <c r="F53" s="37" t="n">
        <v>134091.6</v>
      </c>
      <c r="G53" s="18" t="n">
        <v>131631.75</v>
      </c>
      <c r="H53" s="18" t="n">
        <v>145358.9</v>
      </c>
      <c r="I53" s="18" t="n">
        <v>142580.89</v>
      </c>
      <c r="J53" s="18" t="n">
        <v>142882.96</v>
      </c>
      <c r="K53" s="37" t="n">
        <v>142882.96</v>
      </c>
      <c r="L53" s="18" t="n">
        <v>142328.01</v>
      </c>
      <c r="M53" s="18" t="n">
        <v>142497.46</v>
      </c>
      <c r="N53" s="18" t="n">
        <v>147100.73</v>
      </c>
      <c r="O53" s="18" t="n">
        <v>122795.8</v>
      </c>
      <c r="P53" s="37" t="n">
        <v>122795.8</v>
      </c>
      <c r="Q53" s="18" t="n">
        <v>118164.49</v>
      </c>
      <c r="R53" s="18" t="n">
        <v>124180</v>
      </c>
      <c r="S53" s="18" t="n">
        <v>124530</v>
      </c>
      <c r="T53" s="18" t="n">
        <v>124530</v>
      </c>
      <c r="U53" s="37" t="n">
        <v>124530</v>
      </c>
      <c r="V53" s="18" t="n">
        <v>115530</v>
      </c>
      <c r="W53" s="18" t="n">
        <v>90030</v>
      </c>
      <c r="X53" s="18" t="n">
        <v>74680</v>
      </c>
      <c r="Y53" s="18" t="n">
        <v>62680</v>
      </c>
      <c r="Z53" s="37" t="n">
        <v>62680</v>
      </c>
      <c r="AA53" s="18" t="n">
        <v>62180</v>
      </c>
      <c r="AB53" s="19" t="n">
        <v>46640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순차입금</t>
        </is>
      </c>
      <c r="E54" s="18" t="n">
        <v>85866.36</v>
      </c>
      <c r="F54" s="37" t="n">
        <v>85866.36</v>
      </c>
      <c r="G54" s="18" t="n">
        <v>85206.14</v>
      </c>
      <c r="H54" s="18" t="n">
        <v>80642.14999999999</v>
      </c>
      <c r="I54" s="18" t="n">
        <v>106871.51</v>
      </c>
      <c r="J54" s="18" t="n">
        <v>112806.19</v>
      </c>
      <c r="K54" s="37" t="n">
        <v>112806.19</v>
      </c>
      <c r="L54" s="18" t="n">
        <v>116539.49</v>
      </c>
      <c r="M54" s="18" t="n">
        <v>119576.56</v>
      </c>
      <c r="N54" s="18" t="n">
        <v>105753.39</v>
      </c>
      <c r="O54" s="18" t="n">
        <v>88021.53</v>
      </c>
      <c r="P54" s="37" t="n">
        <v>88021.53</v>
      </c>
      <c r="Q54" s="18" t="n">
        <v>56639.92</v>
      </c>
      <c r="R54" s="18" t="n">
        <v>49101.33</v>
      </c>
      <c r="S54" s="18" t="n">
        <v>59108.77</v>
      </c>
      <c r="T54" s="18" t="n">
        <v>65119.62</v>
      </c>
      <c r="U54" s="37" t="n">
        <v>65119.62</v>
      </c>
      <c r="V54" s="18" t="n">
        <v>-50910.63</v>
      </c>
      <c r="W54" s="18" t="n">
        <v>-43242.23</v>
      </c>
      <c r="X54" s="18" t="n">
        <v>-114542.38</v>
      </c>
      <c r="Y54" s="18" t="n">
        <v>44492.62</v>
      </c>
      <c r="Z54" s="37" t="n">
        <v>44492.62</v>
      </c>
      <c r="AA54" s="18" t="n">
        <v>44357.04</v>
      </c>
      <c r="AB54" s="19" t="n">
        <v>28996.05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이자발생자산</t>
        </is>
      </c>
      <c r="E55" s="18" t="n">
        <v>51338.62</v>
      </c>
      <c r="F55" s="37" t="n">
        <v>51338.62</v>
      </c>
      <c r="G55" s="18" t="n">
        <v>49185.07</v>
      </c>
      <c r="H55" s="18" t="n">
        <v>67397.39</v>
      </c>
      <c r="I55" s="18" t="n">
        <v>37969.08</v>
      </c>
      <c r="J55" s="18" t="n">
        <v>32727.07</v>
      </c>
      <c r="K55" s="37" t="n">
        <v>32727.07</v>
      </c>
      <c r="L55" s="18" t="n">
        <v>28505.83</v>
      </c>
      <c r="M55" s="18" t="n">
        <v>25712.96</v>
      </c>
      <c r="N55" s="18" t="n">
        <v>44319.14</v>
      </c>
      <c r="O55" s="18" t="n">
        <v>36011.43</v>
      </c>
      <c r="P55" s="37" t="n">
        <v>36011.43</v>
      </c>
      <c r="Q55" s="18" t="n">
        <v>144230.83</v>
      </c>
      <c r="R55" s="18" t="n">
        <v>205965.33</v>
      </c>
      <c r="S55" s="18" t="n">
        <v>178350.3</v>
      </c>
      <c r="T55" s="18" t="n">
        <v>213624.38</v>
      </c>
      <c r="U55" s="37" t="n">
        <v>213624.38</v>
      </c>
      <c r="V55" s="18" t="n">
        <v>231355.49</v>
      </c>
      <c r="W55" s="18" t="n">
        <v>219302.75</v>
      </c>
      <c r="X55" s="18" t="n">
        <v>258897.52</v>
      </c>
      <c r="Y55" s="18" t="n">
        <v>72855.82000000001</v>
      </c>
      <c r="Z55" s="37" t="n">
        <v>72855.82000000001</v>
      </c>
      <c r="AA55" s="18" t="n">
        <v>73459.17999999999</v>
      </c>
      <c r="AB55" s="19" t="n">
        <v>82426.78999999999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기타유동금융부채</t>
        </is>
      </c>
      <c r="F56" s="9" t="n"/>
      <c r="G56" s="18" t="n">
        <v>1.19</v>
      </c>
      <c r="H56" s="18" t="n">
        <v>4328.12</v>
      </c>
      <c r="I56" s="18" t="n">
        <v>4332.53</v>
      </c>
      <c r="J56" s="18" t="n">
        <v>3807.26</v>
      </c>
      <c r="K56" s="37" t="n">
        <v>3807.26</v>
      </c>
      <c r="L56" s="18" t="n">
        <v>3807.26</v>
      </c>
      <c r="M56" s="18" t="n">
        <v>1801.31</v>
      </c>
      <c r="N56" s="18" t="n">
        <v>1806.16</v>
      </c>
      <c r="O56" s="18" t="n">
        <v>1097.4</v>
      </c>
      <c r="P56" s="37" t="n">
        <v>1097.4</v>
      </c>
      <c r="Q56" s="18" t="n">
        <v>1101.36</v>
      </c>
      <c r="R56" s="18" t="n">
        <v>0</v>
      </c>
      <c r="S56" s="18" t="n">
        <v>0</v>
      </c>
      <c r="T56" s="18" t="n">
        <v>25.7</v>
      </c>
      <c r="U56" s="37" t="n">
        <v>25.7</v>
      </c>
      <c r="V56" s="18" t="n">
        <v>0.72</v>
      </c>
      <c r="W56" s="18" t="n">
        <v>0</v>
      </c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단기파생상품부채</t>
        </is>
      </c>
      <c r="F57" s="9" t="n"/>
      <c r="G57" s="18" t="n">
        <v>1.19</v>
      </c>
      <c r="H57" s="18" t="n">
        <v>4328.12</v>
      </c>
      <c r="I57" s="18" t="n">
        <v>4332.53</v>
      </c>
      <c r="J57" s="18" t="n">
        <v>3807.26</v>
      </c>
      <c r="K57" s="37" t="n">
        <v>3807.26</v>
      </c>
      <c r="L57" s="18" t="n">
        <v>3807.26</v>
      </c>
      <c r="M57" s="18" t="n">
        <v>1801.31</v>
      </c>
      <c r="N57" s="18" t="n">
        <v>1806.16</v>
      </c>
      <c r="O57" s="18" t="n">
        <v>1097.4</v>
      </c>
      <c r="P57" s="37" t="n">
        <v>1097.4</v>
      </c>
      <c r="Q57" s="18" t="n">
        <v>1101.36</v>
      </c>
      <c r="R57" s="18" t="n">
        <v>0</v>
      </c>
      <c r="S57" s="18" t="n">
        <v>0</v>
      </c>
      <c r="T57" s="18" t="n">
        <v>25.7</v>
      </c>
      <c r="U57" s="37" t="n">
        <v>25.7</v>
      </c>
      <c r="V57" s="18" t="n">
        <v>0.72</v>
      </c>
      <c r="W57" s="18" t="n">
        <v>0</v>
      </c>
      <c r="Y57" s="18" t="n">
        <v>0</v>
      </c>
      <c r="Z57" s="37" t="n">
        <v>0</v>
      </c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사채</t>
        </is>
      </c>
      <c r="F58" s="9" t="n"/>
      <c r="H58" s="18" t="n">
        <v>5523.5</v>
      </c>
      <c r="I58" s="18" t="n">
        <v>5684.42</v>
      </c>
      <c r="J58" s="18" t="n">
        <v>5845.38</v>
      </c>
      <c r="K58" s="37" t="n">
        <v>5845.38</v>
      </c>
      <c r="L58" s="18" t="n">
        <v>6002.83</v>
      </c>
      <c r="M58" s="18" t="n">
        <v>6172.48</v>
      </c>
      <c r="N58" s="18" t="n">
        <v>6354.04</v>
      </c>
      <c r="O58" s="18" t="n">
        <v>6540.95</v>
      </c>
      <c r="P58" s="37" t="n">
        <v>6540.95</v>
      </c>
      <c r="Q58" s="18" t="n">
        <v>6733.77</v>
      </c>
      <c r="R58" s="18" t="n">
        <v>0</v>
      </c>
      <c r="S58" s="18" t="n">
        <v>0</v>
      </c>
      <c r="T58" s="18" t="n">
        <v>0</v>
      </c>
      <c r="U58" s="37" t="n">
        <v>0</v>
      </c>
      <c r="Z58" s="9" t="n"/>
      <c r="AB58" s="5" t="n"/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단기금융부채(face)</t>
        </is>
      </c>
      <c r="F59" s="9" t="n"/>
      <c r="K59" s="9" t="n"/>
      <c r="N59" s="18" t="n">
        <v>130836</v>
      </c>
      <c r="O59" s="18" t="n">
        <v>108680</v>
      </c>
      <c r="P59" s="37" t="n">
        <v>108680</v>
      </c>
      <c r="Q59" s="18" t="n">
        <v>103680</v>
      </c>
      <c r="R59" s="18" t="n">
        <v>109180</v>
      </c>
      <c r="S59" s="18" t="n">
        <v>109530</v>
      </c>
      <c r="T59" s="18" t="n">
        <v>109530</v>
      </c>
      <c r="U59" s="37" t="n">
        <v>109530</v>
      </c>
      <c r="V59" s="18" t="n">
        <v>99530</v>
      </c>
      <c r="W59" s="18" t="n">
        <v>74530</v>
      </c>
      <c r="X59" s="18" t="n">
        <v>58880</v>
      </c>
      <c r="Z59" s="9" t="n"/>
      <c r="AB59" s="5" t="n"/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장기금융부채(face)</t>
        </is>
      </c>
      <c r="F60" s="9" t="n"/>
      <c r="K60" s="9" t="n"/>
      <c r="P60" s="9" t="n"/>
      <c r="S60" s="18" t="n">
        <v>14000</v>
      </c>
      <c r="T60" s="18" t="n">
        <v>14000</v>
      </c>
      <c r="U60" s="37" t="n">
        <v>14000</v>
      </c>
      <c r="V60" s="18" t="n">
        <v>15000</v>
      </c>
      <c r="W60" s="18" t="n">
        <v>1000</v>
      </c>
      <c r="X60" s="18" t="n">
        <v>1300</v>
      </c>
      <c r="Z60" s="9" t="n"/>
      <c r="AB60" s="5" t="n"/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기타유동자산</t>
        </is>
      </c>
      <c r="F61" s="9" t="n"/>
      <c r="K61" s="9" t="n"/>
      <c r="P61" s="9" t="n"/>
      <c r="U61" s="9" t="n"/>
      <c r="Y61" s="18" t="n">
        <v>287.25</v>
      </c>
      <c r="Z61" s="37" t="n">
        <v>287.25</v>
      </c>
      <c r="AA61" s="18" t="n">
        <v>354.34</v>
      </c>
      <c r="AB61" s="19" t="n">
        <v>620.16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매각예정비유동자산및처분자산</t>
        </is>
      </c>
      <c r="F62" s="9" t="n"/>
      <c r="K62" s="9" t="n"/>
      <c r="P62" s="9" t="n"/>
      <c r="U62" s="9" t="n"/>
      <c r="Y62" s="18" t="n">
        <v>0</v>
      </c>
      <c r="Z62" s="37" t="n">
        <v>0</v>
      </c>
      <c r="AB62" s="5" t="n"/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종속기업및관계기업투자</t>
        </is>
      </c>
      <c r="F63" s="9" t="n"/>
      <c r="K63" s="9" t="n"/>
      <c r="P63" s="9" t="n"/>
      <c r="U63" s="9" t="n"/>
      <c r="Y63" s="18" t="n">
        <v>81858.88</v>
      </c>
      <c r="Z63" s="37" t="n">
        <v>81858.88</v>
      </c>
      <c r="AA63" s="18" t="n">
        <v>84418.67999999999</v>
      </c>
      <c r="AB63" s="19" t="n">
        <v>89193.42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사용권자산</t>
        </is>
      </c>
      <c r="F64" s="9" t="n"/>
      <c r="K64" s="9" t="n"/>
      <c r="P64" s="9" t="n"/>
      <c r="U64" s="9" t="n"/>
      <c r="Y64" s="18" t="n">
        <v>29.85</v>
      </c>
      <c r="Z64" s="37" t="n">
        <v>29.85</v>
      </c>
      <c r="AA64" s="18" t="n">
        <v>22.27</v>
      </c>
      <c r="AB64" s="19" t="n">
        <v>65.09999999999999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기타유동부채</t>
        </is>
      </c>
      <c r="F65" s="9" t="n"/>
      <c r="K65" s="9" t="n"/>
      <c r="P65" s="9" t="n"/>
      <c r="U65" s="9" t="n"/>
      <c r="Y65" s="18" t="n">
        <v>1494.23</v>
      </c>
      <c r="Z65" s="37" t="n">
        <v>1494.23</v>
      </c>
      <c r="AA65" s="18" t="n">
        <v>3148.77</v>
      </c>
      <c r="AB65" s="19" t="n">
        <v>4452.18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매출액(수익)</t>
        </is>
      </c>
      <c r="E66" s="18" t="n">
        <v>36139.56</v>
      </c>
      <c r="F66" s="9" t="n"/>
      <c r="G66" s="18" t="n">
        <v>39651.68</v>
      </c>
      <c r="H66" s="18" t="n">
        <v>31734.58</v>
      </c>
      <c r="I66" s="18" t="n">
        <v>35560.56</v>
      </c>
      <c r="J66" s="18" t="n">
        <v>41442.86</v>
      </c>
      <c r="K66" s="37" t="n">
        <v>148389.68</v>
      </c>
      <c r="L66" s="18" t="n">
        <v>32693.89</v>
      </c>
      <c r="M66" s="18" t="n">
        <v>32309.27</v>
      </c>
      <c r="N66" s="18" t="n">
        <v>33618.1</v>
      </c>
      <c r="O66" s="18" t="n">
        <v>5329.81</v>
      </c>
      <c r="P66" s="37" t="n">
        <v>103951.07</v>
      </c>
      <c r="Q66" s="18" t="n">
        <v>21768.5</v>
      </c>
      <c r="R66" s="18" t="n">
        <v>25498.5</v>
      </c>
      <c r="S66" s="18" t="n">
        <v>20568.31</v>
      </c>
      <c r="T66" s="18" t="n">
        <v>24948.7</v>
      </c>
      <c r="U66" s="37" t="n">
        <v>92784.00999999999</v>
      </c>
      <c r="V66" s="18" t="n">
        <v>28520.55</v>
      </c>
      <c r="W66" s="18" t="n">
        <v>25162.4</v>
      </c>
      <c r="X66" s="18" t="n">
        <v>28794.87</v>
      </c>
      <c r="Y66" s="18" t="n">
        <v>25480.48</v>
      </c>
      <c r="Z66" s="37" t="n">
        <v>107958.3</v>
      </c>
      <c r="AA66" s="18" t="n">
        <v>25986.51</v>
      </c>
      <c r="AB66" s="19" t="n">
        <v>31829.88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매출원가</t>
        </is>
      </c>
      <c r="E67" s="18" t="n">
        <v>30667.84</v>
      </c>
      <c r="F67" s="9" t="n"/>
      <c r="G67" s="18" t="n">
        <v>34679.95</v>
      </c>
      <c r="H67" s="18" t="n">
        <v>27074.08</v>
      </c>
      <c r="I67" s="18" t="n">
        <v>30848.66</v>
      </c>
      <c r="J67" s="18" t="n">
        <v>36065.32</v>
      </c>
      <c r="K67" s="37" t="n">
        <v>128668.01</v>
      </c>
      <c r="L67" s="18" t="n">
        <v>28785.12</v>
      </c>
      <c r="M67" s="18" t="n">
        <v>28007.72</v>
      </c>
      <c r="N67" s="18" t="n">
        <v>28557.18</v>
      </c>
      <c r="O67" s="18" t="n">
        <v>5660.19</v>
      </c>
      <c r="P67" s="37" t="n">
        <v>91010.21000000001</v>
      </c>
      <c r="Q67" s="18" t="n">
        <v>18606.7</v>
      </c>
      <c r="R67" s="18" t="n">
        <v>18885.29</v>
      </c>
      <c r="S67" s="18" t="n">
        <v>16726.86</v>
      </c>
      <c r="T67" s="18" t="n">
        <v>19708.72</v>
      </c>
      <c r="U67" s="37" t="n">
        <v>73927.57000000001</v>
      </c>
      <c r="V67" s="18" t="n">
        <v>22987.82</v>
      </c>
      <c r="W67" s="18" t="n">
        <v>18780.55</v>
      </c>
      <c r="X67" s="18" t="n">
        <v>21228.63</v>
      </c>
      <c r="Y67" s="18" t="n">
        <v>19775.09</v>
      </c>
      <c r="Z67" s="37" t="n">
        <v>82772.09</v>
      </c>
      <c r="AA67" s="18" t="n">
        <v>19800.64</v>
      </c>
      <c r="AB67" s="19" t="n">
        <v>23860.94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매출총이익</t>
        </is>
      </c>
      <c r="E68" s="18" t="n">
        <v>5471.71</v>
      </c>
      <c r="F68" s="9" t="n"/>
      <c r="G68" s="18" t="n">
        <v>4971.73</v>
      </c>
      <c r="H68" s="18" t="n">
        <v>4660.5</v>
      </c>
      <c r="I68" s="18" t="n">
        <v>4711.9</v>
      </c>
      <c r="J68" s="18" t="n">
        <v>5377.54</v>
      </c>
      <c r="K68" s="37" t="n">
        <v>19721.67</v>
      </c>
      <c r="L68" s="18" t="n">
        <v>3908.77</v>
      </c>
      <c r="M68" s="18" t="n">
        <v>4301.55</v>
      </c>
      <c r="N68" s="18" t="n">
        <v>5060.92</v>
      </c>
      <c r="O68" s="18" t="n">
        <v>-330.37</v>
      </c>
      <c r="P68" s="37" t="n">
        <v>12940.87</v>
      </c>
      <c r="Q68" s="18" t="n">
        <v>3161.8</v>
      </c>
      <c r="R68" s="18" t="n">
        <v>6613.21</v>
      </c>
      <c r="S68" s="18" t="n">
        <v>3841.45</v>
      </c>
      <c r="T68" s="18" t="n">
        <v>5239.98</v>
      </c>
      <c r="U68" s="37" t="n">
        <v>18856.44</v>
      </c>
      <c r="V68" s="18" t="n">
        <v>5532.73</v>
      </c>
      <c r="W68" s="18" t="n">
        <v>6381.85</v>
      </c>
      <c r="X68" s="18" t="n">
        <v>7566.23</v>
      </c>
      <c r="Y68" s="18" t="n">
        <v>5705.39</v>
      </c>
      <c r="Z68" s="37" t="n">
        <v>25186.2</v>
      </c>
      <c r="AA68" s="18" t="n">
        <v>6185.87</v>
      </c>
      <c r="AB68" s="19" t="n">
        <v>7968.94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판관비</t>
        </is>
      </c>
      <c r="E69" s="18" t="n">
        <v>2177.63</v>
      </c>
      <c r="F69" s="9" t="n"/>
      <c r="G69" s="18" t="n">
        <v>2329.55</v>
      </c>
      <c r="H69" s="18" t="n">
        <v>2244.58</v>
      </c>
      <c r="I69" s="18" t="n">
        <v>2806.07</v>
      </c>
      <c r="J69" s="18" t="n">
        <v>2456.36</v>
      </c>
      <c r="K69" s="37" t="n">
        <v>9836.559999999999</v>
      </c>
      <c r="L69" s="18" t="n">
        <v>2458.72</v>
      </c>
      <c r="M69" s="18" t="n">
        <v>2534.67</v>
      </c>
      <c r="N69" s="18" t="n">
        <v>3276.13</v>
      </c>
      <c r="O69" s="18" t="n">
        <v>-214.57</v>
      </c>
      <c r="P69" s="37" t="n">
        <v>8054.95</v>
      </c>
      <c r="Q69" s="18" t="n">
        <v>2010.67</v>
      </c>
      <c r="R69" s="18" t="n">
        <v>2051.11</v>
      </c>
      <c r="S69" s="18" t="n">
        <v>2652.51</v>
      </c>
      <c r="T69" s="18" t="n">
        <v>1881.05</v>
      </c>
      <c r="U69" s="37" t="n">
        <v>8595.34</v>
      </c>
      <c r="V69" s="18" t="n">
        <v>2873.45</v>
      </c>
      <c r="W69" s="18" t="n">
        <v>1973.04</v>
      </c>
      <c r="X69" s="18" t="n">
        <v>2700.91</v>
      </c>
      <c r="Y69" s="18" t="n">
        <v>2104.51</v>
      </c>
      <c r="Z69" s="37" t="n">
        <v>9651.91</v>
      </c>
      <c r="AA69" s="18" t="n">
        <v>2023.58</v>
      </c>
      <c r="AB69" s="19" t="n">
        <v>2835.27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영업이익</t>
        </is>
      </c>
      <c r="E70" s="18" t="n">
        <v>3294.09</v>
      </c>
      <c r="F70" s="9" t="n"/>
      <c r="G70" s="18" t="n">
        <v>2642.18</v>
      </c>
      <c r="H70" s="18" t="n">
        <v>2415.92</v>
      </c>
      <c r="I70" s="18" t="n">
        <v>1905.83</v>
      </c>
      <c r="J70" s="18" t="n">
        <v>2921.18</v>
      </c>
      <c r="K70" s="37" t="n">
        <v>9885.110000000001</v>
      </c>
      <c r="L70" s="18" t="n">
        <v>1450.06</v>
      </c>
      <c r="M70" s="18" t="n">
        <v>1766.87</v>
      </c>
      <c r="N70" s="18" t="n">
        <v>1784.8</v>
      </c>
      <c r="O70" s="18" t="n">
        <v>-115.8</v>
      </c>
      <c r="P70" s="37" t="n">
        <v>4885.93</v>
      </c>
      <c r="Q70" s="18" t="n">
        <v>1151.13</v>
      </c>
      <c r="R70" s="18" t="n">
        <v>4562.1</v>
      </c>
      <c r="S70" s="18" t="n">
        <v>1188.94</v>
      </c>
      <c r="T70" s="18" t="n">
        <v>3358.93</v>
      </c>
      <c r="U70" s="37" t="n">
        <v>10261.1</v>
      </c>
      <c r="V70" s="18" t="n">
        <v>2659.27</v>
      </c>
      <c r="W70" s="18" t="n">
        <v>4408.81</v>
      </c>
      <c r="X70" s="18" t="n">
        <v>4865.33</v>
      </c>
      <c r="Y70" s="18" t="n">
        <v>3600.88</v>
      </c>
      <c r="Z70" s="37" t="n">
        <v>15534.29</v>
      </c>
      <c r="AA70" s="18" t="n">
        <v>4162.29</v>
      </c>
      <c r="AB70" s="19" t="n">
        <v>5133.68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기타영업외수익</t>
        </is>
      </c>
      <c r="E71" s="18" t="n">
        <v>3361.37</v>
      </c>
      <c r="F71" s="9" t="n"/>
      <c r="G71" s="18" t="n">
        <v>324.46</v>
      </c>
      <c r="H71" s="18" t="n">
        <v>657.87</v>
      </c>
      <c r="I71" s="18" t="n">
        <v>871.13</v>
      </c>
      <c r="J71" s="18" t="n">
        <v>-47.51</v>
      </c>
      <c r="K71" s="37" t="n">
        <v>1805.95</v>
      </c>
      <c r="L71" s="18" t="n">
        <v>2394.01</v>
      </c>
      <c r="M71" s="18" t="n">
        <v>154.42</v>
      </c>
      <c r="N71" s="18" t="n">
        <v>937.9299999999999</v>
      </c>
      <c r="O71" s="18" t="n">
        <v>-345.52</v>
      </c>
      <c r="P71" s="37" t="n">
        <v>3140.84</v>
      </c>
      <c r="Q71" s="18" t="n">
        <v>75431.19</v>
      </c>
      <c r="R71" s="18" t="n">
        <v>-154.92</v>
      </c>
      <c r="S71" s="18" t="n">
        <v>8280.52</v>
      </c>
      <c r="T71" s="18" t="n">
        <v>3320.34</v>
      </c>
      <c r="U71" s="37" t="n">
        <v>86877.13</v>
      </c>
      <c r="V71" s="18" t="n">
        <v>309.24</v>
      </c>
      <c r="W71" s="18" t="n">
        <v>19873.58</v>
      </c>
      <c r="X71" s="18" t="n">
        <v>289</v>
      </c>
      <c r="Y71" s="18" t="n">
        <v>207.82</v>
      </c>
      <c r="Z71" s="37" t="n">
        <v>20679.64</v>
      </c>
      <c r="AA71" s="18" t="n">
        <v>322.19</v>
      </c>
      <c r="AB71" s="19" t="n">
        <v>404.18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기타영업외비용</t>
        </is>
      </c>
      <c r="E72" s="18" t="n">
        <v>292.94</v>
      </c>
      <c r="F72" s="9" t="n"/>
      <c r="G72" s="18" t="n">
        <v>1932.65</v>
      </c>
      <c r="H72" s="18" t="n">
        <v>10925.32</v>
      </c>
      <c r="I72" s="18" t="n">
        <v>70.95</v>
      </c>
      <c r="J72" s="18" t="n">
        <v>5006.54</v>
      </c>
      <c r="K72" s="37" t="n">
        <v>17935.46</v>
      </c>
      <c r="L72" s="18" t="n">
        <v>32.44</v>
      </c>
      <c r="M72" s="18" t="n">
        <v>8604.309999999999</v>
      </c>
      <c r="N72" s="18" t="n">
        <v>143.46</v>
      </c>
      <c r="O72" s="18" t="n">
        <v>-70.97</v>
      </c>
      <c r="P72" s="37" t="n">
        <v>8709.24</v>
      </c>
      <c r="Q72" s="18" t="n">
        <v>8881.42</v>
      </c>
      <c r="R72" s="18" t="n">
        <v>10273.34</v>
      </c>
      <c r="S72" s="18" t="n">
        <v>4632.2</v>
      </c>
      <c r="T72" s="18" t="n">
        <v>8196.360000000001</v>
      </c>
      <c r="U72" s="37" t="n">
        <v>31983.32</v>
      </c>
      <c r="V72" s="18" t="n">
        <v>4847.89</v>
      </c>
      <c r="W72" s="18" t="n">
        <v>4291.47</v>
      </c>
      <c r="X72" s="18" t="n">
        <v>7482.16</v>
      </c>
      <c r="Y72" s="18" t="n">
        <v>-16016.69</v>
      </c>
      <c r="Z72" s="37" t="n">
        <v>604.83</v>
      </c>
      <c r="AA72" s="18" t="n">
        <v>5.66</v>
      </c>
      <c r="AB72" s="19" t="n">
        <v>204.86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금융수익</t>
        </is>
      </c>
      <c r="E73" s="18" t="n">
        <v>71.90000000000001</v>
      </c>
      <c r="F73" s="9" t="n"/>
      <c r="G73" s="18" t="n">
        <v>140.7</v>
      </c>
      <c r="H73" s="18" t="n">
        <v>1290.19</v>
      </c>
      <c r="I73" s="18" t="n">
        <v>166.13</v>
      </c>
      <c r="J73" s="18" t="n">
        <v>781.87</v>
      </c>
      <c r="K73" s="37" t="n">
        <v>2378.89</v>
      </c>
      <c r="L73" s="18" t="n">
        <v>241.2</v>
      </c>
      <c r="M73" s="18" t="n">
        <v>2331.66</v>
      </c>
      <c r="N73" s="18" t="n">
        <v>300.62</v>
      </c>
      <c r="O73" s="18" t="n">
        <v>427.78</v>
      </c>
      <c r="P73" s="37" t="n">
        <v>3301.26</v>
      </c>
      <c r="Q73" s="18" t="n">
        <v>497.95</v>
      </c>
      <c r="R73" s="18" t="n">
        <v>533.5700000000001</v>
      </c>
      <c r="S73" s="18" t="n">
        <v>717.55</v>
      </c>
      <c r="T73" s="18" t="n">
        <v>668.45</v>
      </c>
      <c r="U73" s="37" t="n">
        <v>2417.52</v>
      </c>
      <c r="V73" s="18" t="n">
        <v>1286.7</v>
      </c>
      <c r="W73" s="18" t="n">
        <v>1201.32</v>
      </c>
      <c r="X73" s="18" t="n">
        <v>1127.18</v>
      </c>
      <c r="Y73" s="18" t="n">
        <v>1406.57</v>
      </c>
      <c r="Z73" s="37" t="n">
        <v>5021.77</v>
      </c>
      <c r="AA73" s="18" t="n">
        <v>1247.97</v>
      </c>
      <c r="AB73" s="19" t="n">
        <v>1036.39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금융비용</t>
        </is>
      </c>
      <c r="E74" s="18" t="n">
        <v>856.51</v>
      </c>
      <c r="F74" s="9" t="n"/>
      <c r="G74" s="18" t="n">
        <v>951.34</v>
      </c>
      <c r="H74" s="18" t="n">
        <v>1781.96</v>
      </c>
      <c r="I74" s="18" t="n">
        <v>1562.76</v>
      </c>
      <c r="J74" s="18" t="n">
        <v>2196.3</v>
      </c>
      <c r="K74" s="37" t="n">
        <v>6492.36</v>
      </c>
      <c r="L74" s="18" t="n">
        <v>1982.95</v>
      </c>
      <c r="M74" s="18" t="n">
        <v>2863.32</v>
      </c>
      <c r="N74" s="18" t="n">
        <v>1938.56</v>
      </c>
      <c r="O74" s="18" t="n">
        <v>1410.49</v>
      </c>
      <c r="P74" s="37" t="n">
        <v>8195.32</v>
      </c>
      <c r="Q74" s="18" t="n">
        <v>1746.13</v>
      </c>
      <c r="R74" s="18" t="n">
        <v>7388.14</v>
      </c>
      <c r="S74" s="18" t="n">
        <v>1244.52</v>
      </c>
      <c r="T74" s="18" t="n">
        <v>1195.47</v>
      </c>
      <c r="U74" s="37" t="n">
        <v>11574.26</v>
      </c>
      <c r="V74" s="18" t="n">
        <v>1038.7</v>
      </c>
      <c r="W74" s="18" t="n">
        <v>753.47</v>
      </c>
      <c r="X74" s="18" t="n">
        <v>686.5599999999999</v>
      </c>
      <c r="Y74" s="18" t="n">
        <v>579.5700000000001</v>
      </c>
      <c r="Z74" s="37" t="n">
        <v>3058.3</v>
      </c>
      <c r="AA74" s="18" t="n">
        <v>485.72</v>
      </c>
      <c r="AB74" s="19" t="n">
        <v>390.82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법인세비용차감전계속사업이익</t>
        </is>
      </c>
      <c r="E75" s="18" t="n">
        <v>5577.92</v>
      </c>
      <c r="F75" s="9" t="n"/>
      <c r="G75" s="18" t="n">
        <v>223.34</v>
      </c>
      <c r="H75" s="18" t="n">
        <v>-8343.309999999999</v>
      </c>
      <c r="I75" s="18" t="n">
        <v>1309.38</v>
      </c>
      <c r="J75" s="18" t="n">
        <v>-3547.29</v>
      </c>
      <c r="K75" s="37" t="n">
        <v>-10357.88</v>
      </c>
      <c r="L75" s="18" t="n">
        <v>2069.88</v>
      </c>
      <c r="M75" s="18" t="n">
        <v>-7214.67</v>
      </c>
      <c r="N75" s="18" t="n">
        <v>941.3200000000001</v>
      </c>
      <c r="O75" s="18" t="n">
        <v>-1373.06</v>
      </c>
      <c r="P75" s="37" t="n">
        <v>-5576.53</v>
      </c>
      <c r="Q75" s="18" t="n">
        <v>66452.73</v>
      </c>
      <c r="R75" s="18" t="n">
        <v>-12720.73</v>
      </c>
      <c r="S75" s="18" t="n">
        <v>4310.29</v>
      </c>
      <c r="T75" s="18" t="n">
        <v>-2044.11</v>
      </c>
      <c r="U75" s="37" t="n">
        <v>55998.18</v>
      </c>
      <c r="V75" s="18" t="n">
        <v>-1631.39</v>
      </c>
      <c r="W75" s="18" t="n">
        <v>20438.76</v>
      </c>
      <c r="X75" s="18" t="n">
        <v>-1887.22</v>
      </c>
      <c r="Z75" s="9" t="n"/>
      <c r="AB75" s="5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법인세비용</t>
        </is>
      </c>
      <c r="E76" s="18" t="n">
        <v>6202.19</v>
      </c>
      <c r="F76" s="9" t="n"/>
      <c r="G76" s="18" t="n">
        <v>424.04</v>
      </c>
      <c r="H76" s="18" t="n">
        <v>332.86</v>
      </c>
      <c r="I76" s="18" t="n">
        <v>88.04000000000001</v>
      </c>
      <c r="J76" s="18" t="n">
        <v>-431.78</v>
      </c>
      <c r="K76" s="37" t="n">
        <v>413.16</v>
      </c>
      <c r="L76" s="18" t="n">
        <v>50.92</v>
      </c>
      <c r="M76" s="18" t="n">
        <v>233.45</v>
      </c>
      <c r="N76" s="18" t="n">
        <v>-19.48</v>
      </c>
      <c r="O76" s="18" t="n">
        <v>-4939.91</v>
      </c>
      <c r="P76" s="37" t="n">
        <v>-4675.02</v>
      </c>
      <c r="Q76" s="18" t="n">
        <v>13409.7</v>
      </c>
      <c r="R76" s="18" t="n">
        <v>-479.16</v>
      </c>
      <c r="S76" s="18" t="n">
        <v>1251.39</v>
      </c>
      <c r="T76" s="18" t="n">
        <v>1793.07</v>
      </c>
      <c r="U76" s="37" t="n">
        <v>15975</v>
      </c>
      <c r="V76" s="18" t="n">
        <v>698.88</v>
      </c>
      <c r="W76" s="18" t="n">
        <v>1209.75</v>
      </c>
      <c r="X76" s="18" t="n">
        <v>1222.15</v>
      </c>
      <c r="Y76" s="18" t="n">
        <v>2511.15</v>
      </c>
      <c r="Z76" s="37" t="n">
        <v>5641.93</v>
      </c>
      <c r="AA76" s="18" t="n">
        <v>1018.7</v>
      </c>
      <c r="AB76" s="19" t="n">
        <v>1367.08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당기순이익</t>
        </is>
      </c>
      <c r="E77" s="18" t="n">
        <v>-624.26</v>
      </c>
      <c r="F77" s="9" t="n"/>
      <c r="G77" s="18" t="n">
        <v>-200.69</v>
      </c>
      <c r="H77" s="18" t="n">
        <v>-8676.16</v>
      </c>
      <c r="I77" s="18" t="n">
        <v>1221.34</v>
      </c>
      <c r="J77" s="18" t="n">
        <v>-3115.52</v>
      </c>
      <c r="K77" s="37" t="n">
        <v>-10771.03</v>
      </c>
      <c r="L77" s="18" t="n">
        <v>2018.96</v>
      </c>
      <c r="M77" s="18" t="n">
        <v>-7448.12</v>
      </c>
      <c r="N77" s="18" t="n">
        <v>960.8</v>
      </c>
      <c r="O77" s="18" t="n">
        <v>6963.49</v>
      </c>
      <c r="P77" s="37" t="n">
        <v>2495.13</v>
      </c>
      <c r="Q77" s="18" t="n">
        <v>53043.02</v>
      </c>
      <c r="R77" s="18" t="n">
        <v>-12241.57</v>
      </c>
      <c r="S77" s="18" t="n">
        <v>3058.9</v>
      </c>
      <c r="T77" s="18" t="n">
        <v>-3837.18</v>
      </c>
      <c r="U77" s="37" t="n">
        <v>40023.17</v>
      </c>
      <c r="V77" s="18" t="n">
        <v>-2330.27</v>
      </c>
      <c r="W77" s="18" t="n">
        <v>19229.01</v>
      </c>
      <c r="X77" s="18" t="n">
        <v>-3109.36</v>
      </c>
      <c r="Y77" s="18" t="n">
        <v>11777.42</v>
      </c>
      <c r="Z77" s="37" t="n">
        <v>25566.8</v>
      </c>
      <c r="AB77" s="19" t="n">
        <v>9386.219999999999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총포괄손익</t>
        </is>
      </c>
      <c r="E78" s="18" t="n">
        <v>4863.36</v>
      </c>
      <c r="F78" s="9" t="n"/>
      <c r="G78" s="18" t="n">
        <v>-411.61</v>
      </c>
      <c r="H78" s="18" t="n">
        <v>-7883.39</v>
      </c>
      <c r="I78" s="18" t="n">
        <v>1466.63</v>
      </c>
      <c r="J78" s="18" t="n">
        <v>-1182.34</v>
      </c>
      <c r="K78" s="37" t="n">
        <v>-8010.71</v>
      </c>
      <c r="L78" s="18" t="n">
        <v>2103.42</v>
      </c>
      <c r="M78" s="18" t="n">
        <v>-7684.77</v>
      </c>
      <c r="N78" s="18" t="n">
        <v>1014.62</v>
      </c>
      <c r="O78" s="18" t="n">
        <v>5853.65</v>
      </c>
      <c r="P78" s="37" t="n">
        <v>1286.92</v>
      </c>
      <c r="Q78" s="18" t="n">
        <v>63694.08</v>
      </c>
      <c r="R78" s="18" t="n">
        <v>24476.59</v>
      </c>
      <c r="S78" s="18" t="n">
        <v>-10765.51</v>
      </c>
      <c r="T78" s="18" t="n">
        <v>27773.06</v>
      </c>
      <c r="U78" s="37" t="n">
        <v>105178.22</v>
      </c>
      <c r="V78" s="18" t="n">
        <v>22181.8</v>
      </c>
      <c r="W78" s="18" t="n">
        <v>35758.8</v>
      </c>
      <c r="X78" s="18" t="n">
        <v>35229.71</v>
      </c>
      <c r="Y78" s="18" t="n">
        <v>7235.96</v>
      </c>
      <c r="Z78" s="37" t="n">
        <v>100406.27</v>
      </c>
      <c r="AA78" s="18" t="n">
        <v>7327.49</v>
      </c>
      <c r="AB78" s="19" t="n">
        <v>16276.54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(지배주주지분)당기순이익</t>
        </is>
      </c>
      <c r="E79" s="18" t="n">
        <v>-624.26</v>
      </c>
      <c r="F79" s="9" t="n"/>
      <c r="G79" s="18" t="n">
        <v>-200.69</v>
      </c>
      <c r="H79" s="18" t="n">
        <v>-8676.16</v>
      </c>
      <c r="I79" s="18" t="n">
        <v>1221.34</v>
      </c>
      <c r="J79" s="18" t="n">
        <v>-3115.52</v>
      </c>
      <c r="K79" s="37" t="n">
        <v>-10771.03</v>
      </c>
      <c r="L79" s="18" t="n">
        <v>2018.96</v>
      </c>
      <c r="M79" s="18" t="n">
        <v>-7448.12</v>
      </c>
      <c r="N79" s="18" t="n">
        <v>960.8</v>
      </c>
      <c r="O79" s="18" t="n">
        <v>6963.49</v>
      </c>
      <c r="P79" s="37" t="n">
        <v>2495.13</v>
      </c>
      <c r="Q79" s="18" t="n">
        <v>53043.02</v>
      </c>
      <c r="R79" s="18" t="n">
        <v>-12241.57</v>
      </c>
      <c r="S79" s="18" t="n">
        <v>3058.9</v>
      </c>
      <c r="T79" s="18" t="n">
        <v>-3837.18</v>
      </c>
      <c r="U79" s="37" t="n">
        <v>40023.17</v>
      </c>
      <c r="V79" s="18" t="n">
        <v>-2330.27</v>
      </c>
      <c r="W79" s="18" t="n">
        <v>19229.01</v>
      </c>
      <c r="X79" s="18" t="n">
        <v>-3109.36</v>
      </c>
      <c r="Y79" s="18" t="n">
        <v>11777.42</v>
      </c>
      <c r="Z79" s="37" t="n">
        <v>25566.8</v>
      </c>
      <c r="AA79" s="18" t="n">
        <v>6782.16</v>
      </c>
      <c r="AB79" s="19" t="n">
        <v>9386.219999999999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금융손익</t>
        </is>
      </c>
      <c r="E80" s="18" t="n">
        <v>-784.61</v>
      </c>
      <c r="F80" s="9" t="n"/>
      <c r="G80" s="18" t="n">
        <v>-810.64</v>
      </c>
      <c r="H80" s="18" t="n">
        <v>-491.77</v>
      </c>
      <c r="I80" s="18" t="n">
        <v>-1396.63</v>
      </c>
      <c r="J80" s="18" t="n">
        <v>-1414.43</v>
      </c>
      <c r="K80" s="37" t="n">
        <v>-4113.47</v>
      </c>
      <c r="L80" s="18" t="n">
        <v>-1741.75</v>
      </c>
      <c r="M80" s="18" t="n">
        <v>-531.66</v>
      </c>
      <c r="N80" s="18" t="n">
        <v>-1637.94</v>
      </c>
      <c r="O80" s="18" t="n">
        <v>-982.71</v>
      </c>
      <c r="P80" s="37" t="n">
        <v>-4894.06</v>
      </c>
      <c r="Q80" s="18" t="n">
        <v>-1248.18</v>
      </c>
      <c r="R80" s="18" t="n">
        <v>-6854.57</v>
      </c>
      <c r="S80" s="18" t="n">
        <v>-526.97</v>
      </c>
      <c r="T80" s="18" t="n">
        <v>-527.02</v>
      </c>
      <c r="U80" s="37" t="n">
        <v>-9156.74</v>
      </c>
      <c r="V80" s="18" t="n">
        <v>248</v>
      </c>
      <c r="W80" s="18" t="n">
        <v>447.85</v>
      </c>
      <c r="X80" s="18" t="n">
        <v>440.62</v>
      </c>
      <c r="Y80" s="18" t="n">
        <v>827</v>
      </c>
      <c r="Z80" s="37" t="n">
        <v>1963.47</v>
      </c>
      <c r="AA80" s="18" t="n">
        <v>762.25</v>
      </c>
      <c r="AB80" s="19" t="n">
        <v>645.5700000000001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기타영업외손익</t>
        </is>
      </c>
      <c r="E81" s="18" t="n">
        <v>3068.43</v>
      </c>
      <c r="F81" s="9" t="n"/>
      <c r="G81" s="18" t="n">
        <v>-1608.19</v>
      </c>
      <c r="H81" s="18" t="n">
        <v>-10267.45</v>
      </c>
      <c r="I81" s="18" t="n">
        <v>800.1799999999999</v>
      </c>
      <c r="J81" s="18" t="n">
        <v>-5054.05</v>
      </c>
      <c r="K81" s="37" t="n">
        <v>-16129.51</v>
      </c>
      <c r="L81" s="18" t="n">
        <v>2361.57</v>
      </c>
      <c r="M81" s="18" t="n">
        <v>-8449.889999999999</v>
      </c>
      <c r="N81" s="18" t="n">
        <v>794.47</v>
      </c>
      <c r="O81" s="18" t="n">
        <v>-274.55</v>
      </c>
      <c r="P81" s="37" t="n">
        <v>-5568.4</v>
      </c>
      <c r="Q81" s="18" t="n">
        <v>66549.77</v>
      </c>
      <c r="R81" s="18" t="n">
        <v>-10428.26</v>
      </c>
      <c r="S81" s="18" t="n">
        <v>3648.32</v>
      </c>
      <c r="T81" s="18" t="n">
        <v>-4876.02</v>
      </c>
      <c r="U81" s="37" t="n">
        <v>54893.81</v>
      </c>
      <c r="V81" s="18" t="n">
        <v>-4538.65</v>
      </c>
      <c r="W81" s="18" t="n">
        <v>15582.11</v>
      </c>
      <c r="X81" s="18" t="n">
        <v>-7193.16</v>
      </c>
      <c r="Y81" s="18" t="n">
        <v>16224.51</v>
      </c>
      <c r="Z81" s="37" t="n">
        <v>20074.81</v>
      </c>
      <c r="AA81" s="18" t="n">
        <v>316.53</v>
      </c>
      <c r="AB81" s="19" t="n">
        <v>199.32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계속사업이익</t>
        </is>
      </c>
      <c r="E82" s="18" t="n">
        <v>-624.26</v>
      </c>
      <c r="F82" s="9" t="n"/>
      <c r="G82" s="18" t="n">
        <v>-200.69</v>
      </c>
      <c r="H82" s="18" t="n">
        <v>-8676.16</v>
      </c>
      <c r="I82" s="18" t="n">
        <v>1221.34</v>
      </c>
      <c r="J82" s="18" t="n">
        <v>-3115.52</v>
      </c>
      <c r="K82" s="37" t="n">
        <v>-10771.03</v>
      </c>
      <c r="L82" s="18" t="n">
        <v>2018.96</v>
      </c>
      <c r="M82" s="18" t="n">
        <v>-7448.12</v>
      </c>
      <c r="N82" s="18" t="n">
        <v>960.8</v>
      </c>
      <c r="O82" s="18" t="n">
        <v>3566.85</v>
      </c>
      <c r="P82" s="37" t="n">
        <v>-901.51</v>
      </c>
      <c r="Q82" s="18" t="n">
        <v>53043.02</v>
      </c>
      <c r="R82" s="18" t="n">
        <v>-12241.57</v>
      </c>
      <c r="S82" s="18" t="n">
        <v>3058.9</v>
      </c>
      <c r="T82" s="18" t="n">
        <v>-3837.18</v>
      </c>
      <c r="U82" s="37" t="n">
        <v>40023.17</v>
      </c>
      <c r="V82" s="18" t="n">
        <v>-2330.27</v>
      </c>
      <c r="W82" s="18" t="n">
        <v>19229.01</v>
      </c>
      <c r="X82" s="18" t="n">
        <v>-3109.36</v>
      </c>
      <c r="Y82" s="18" t="n">
        <v>11777.42</v>
      </c>
      <c r="Z82" s="37" t="n">
        <v>25566.8</v>
      </c>
      <c r="AA82" s="18" t="n">
        <v>6782.16</v>
      </c>
      <c r="AB82" s="19" t="n">
        <v>9386.219999999999</v>
      </c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이자수익</t>
        </is>
      </c>
      <c r="F83" s="9" t="n"/>
      <c r="G83" s="18" t="n">
        <v>134.6</v>
      </c>
      <c r="H83" s="18" t="n">
        <v>201.39</v>
      </c>
      <c r="I83" s="18" t="n">
        <v>165.96</v>
      </c>
      <c r="J83" s="18" t="n">
        <v>192.62</v>
      </c>
      <c r="K83" s="37" t="n">
        <v>694.5700000000001</v>
      </c>
      <c r="L83" s="18" t="n">
        <v>241.2</v>
      </c>
      <c r="M83" s="18" t="n">
        <v>322.8</v>
      </c>
      <c r="N83" s="18" t="n">
        <v>300.62</v>
      </c>
      <c r="O83" s="18" t="n">
        <v>-289.28</v>
      </c>
      <c r="P83" s="37" t="n">
        <v>575.34</v>
      </c>
      <c r="Q83" s="18" t="n">
        <v>497.95</v>
      </c>
      <c r="R83" s="18" t="n">
        <v>527.24</v>
      </c>
      <c r="S83" s="18" t="n">
        <v>717.46</v>
      </c>
      <c r="T83" s="18" t="n">
        <v>668.36</v>
      </c>
      <c r="U83" s="37" t="n">
        <v>2411.01</v>
      </c>
      <c r="V83" s="18" t="n">
        <v>1282.54</v>
      </c>
      <c r="W83" s="18" t="n">
        <v>1153.81</v>
      </c>
      <c r="X83" s="18" t="n">
        <v>1128.54</v>
      </c>
      <c r="Y83" s="18" t="n">
        <v>1403.58</v>
      </c>
      <c r="Z83" s="37" t="n">
        <v>4968.47</v>
      </c>
      <c r="AB83" s="19" t="n">
        <v>1036.17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이자비용</t>
        </is>
      </c>
      <c r="F84" s="9" t="n"/>
      <c r="G84" s="18" t="n">
        <v>950.15</v>
      </c>
      <c r="H84" s="18" t="n">
        <v>1247.14</v>
      </c>
      <c r="I84" s="18" t="n">
        <v>1542.01</v>
      </c>
      <c r="J84" s="18" t="n">
        <v>1796.85</v>
      </c>
      <c r="K84" s="37" t="n">
        <v>5536.15</v>
      </c>
      <c r="L84" s="18" t="n">
        <v>1973.49</v>
      </c>
      <c r="M84" s="18" t="n">
        <v>1665.99</v>
      </c>
      <c r="N84" s="18" t="n">
        <v>2244.71</v>
      </c>
      <c r="O84" s="18" t="n">
        <v>1176.51</v>
      </c>
      <c r="P84" s="37" t="n">
        <v>7060.7</v>
      </c>
      <c r="Q84" s="18" t="n">
        <v>1733.2</v>
      </c>
      <c r="R84" s="18" t="n">
        <v>1302.5</v>
      </c>
      <c r="S84" s="18" t="n">
        <v>1244.52</v>
      </c>
      <c r="T84" s="18" t="n">
        <v>1169.77</v>
      </c>
      <c r="U84" s="37" t="n">
        <v>5449.99</v>
      </c>
      <c r="V84" s="18" t="n">
        <v>1033.37</v>
      </c>
      <c r="W84" s="18" t="n">
        <v>754.1900000000001</v>
      </c>
      <c r="X84" s="18" t="n">
        <v>686.5599999999999</v>
      </c>
      <c r="Y84" s="18" t="n">
        <v>579.55</v>
      </c>
      <c r="Z84" s="37" t="n">
        <v>3053.67</v>
      </c>
      <c r="AB84" s="19" t="n">
        <v>390.82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파생상품손실</t>
        </is>
      </c>
      <c r="F85" s="9" t="n"/>
      <c r="G85" s="18" t="n">
        <v>1.19</v>
      </c>
      <c r="H85" s="18" t="n">
        <v>534.8200000000001</v>
      </c>
      <c r="I85" s="18" t="n">
        <v>20.75</v>
      </c>
      <c r="J85" s="18" t="n">
        <v>399.44</v>
      </c>
      <c r="K85" s="37" t="n">
        <v>956.2</v>
      </c>
      <c r="L85" s="18" t="n">
        <v>9.470000000000001</v>
      </c>
      <c r="M85" s="18" t="n">
        <v>882.42</v>
      </c>
      <c r="N85" s="18" t="n">
        <v>8.76</v>
      </c>
      <c r="O85" s="18" t="n">
        <v>233.97</v>
      </c>
      <c r="P85" s="37" t="n">
        <v>1134.62</v>
      </c>
      <c r="Q85" s="18" t="n">
        <v>12.93</v>
      </c>
      <c r="R85" s="18" t="n">
        <v>6085.64</v>
      </c>
      <c r="S85" s="18" t="n">
        <v>0</v>
      </c>
      <c r="T85" s="18" t="n">
        <v>25.7</v>
      </c>
      <c r="U85" s="37" t="n">
        <v>6124.27</v>
      </c>
      <c r="V85" s="18" t="n">
        <v>5.33</v>
      </c>
      <c r="W85" s="18" t="n">
        <v>-0.72</v>
      </c>
      <c r="X85" s="18" t="n">
        <v>0</v>
      </c>
      <c r="Y85" s="18" t="n">
        <v>0.02</v>
      </c>
      <c r="Z85" s="37" t="n">
        <v>4.63</v>
      </c>
      <c r="AB85" s="19" t="n">
        <v>0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이자손익</t>
        </is>
      </c>
      <c r="F86" s="9" t="n"/>
      <c r="G86" s="18" t="n">
        <v>-815.55</v>
      </c>
      <c r="H86" s="18" t="n">
        <v>-1045.75</v>
      </c>
      <c r="I86" s="18" t="n">
        <v>-1376.05</v>
      </c>
      <c r="J86" s="18" t="n">
        <v>-1604.23</v>
      </c>
      <c r="K86" s="37" t="n">
        <v>-4841.58</v>
      </c>
      <c r="L86" s="18" t="n">
        <v>-1732.29</v>
      </c>
      <c r="M86" s="18" t="n">
        <v>-1343.19</v>
      </c>
      <c r="N86" s="18" t="n">
        <v>-1944.09</v>
      </c>
      <c r="O86" s="18" t="n">
        <v>-1465.79</v>
      </c>
      <c r="P86" s="37" t="n">
        <v>-6485.36</v>
      </c>
      <c r="Q86" s="18" t="n">
        <v>-1235.25</v>
      </c>
      <c r="R86" s="18" t="n">
        <v>-775.26</v>
      </c>
      <c r="S86" s="18" t="n">
        <v>-527.0599999999999</v>
      </c>
      <c r="T86" s="18" t="n">
        <v>-501.41</v>
      </c>
      <c r="U86" s="37" t="n">
        <v>-3038.98</v>
      </c>
      <c r="V86" s="18" t="n">
        <v>249.17</v>
      </c>
      <c r="W86" s="18" t="n">
        <v>399.62</v>
      </c>
      <c r="X86" s="18" t="n">
        <v>441.98</v>
      </c>
      <c r="Y86" s="18" t="n">
        <v>824.03</v>
      </c>
      <c r="Z86" s="37" t="n">
        <v>1914.8</v>
      </c>
      <c r="AB86" s="19" t="n">
        <v>645.35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파생상품이익</t>
        </is>
      </c>
      <c r="F87" s="9" t="n"/>
      <c r="I87" s="18" t="n">
        <v>0.18</v>
      </c>
      <c r="J87" s="18" t="n">
        <v>527.75</v>
      </c>
      <c r="K87" s="9" t="n"/>
      <c r="M87" s="18" t="n">
        <v>2005.95</v>
      </c>
      <c r="N87" s="18" t="n">
        <v>0</v>
      </c>
      <c r="O87" s="18" t="n">
        <v>717.0599999999999</v>
      </c>
      <c r="P87" s="9" t="n"/>
      <c r="R87" s="18" t="n">
        <v>5.88</v>
      </c>
      <c r="S87" s="18" t="n">
        <v>0</v>
      </c>
      <c r="T87" s="18" t="n">
        <v>0</v>
      </c>
      <c r="U87" s="9" t="n"/>
      <c r="V87" s="18" t="n">
        <v>4.16</v>
      </c>
      <c r="W87" s="18" t="n">
        <v>47.31</v>
      </c>
      <c r="X87" s="18" t="n">
        <v>-1.47</v>
      </c>
      <c r="Y87" s="18" t="n">
        <v>2.87</v>
      </c>
      <c r="Z87" s="37" t="n">
        <v>52.87</v>
      </c>
      <c r="AB87" s="19" t="n">
        <v>0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중단사업이익</t>
        </is>
      </c>
      <c r="F88" s="9" t="n"/>
      <c r="K88" s="9" t="n"/>
      <c r="O88" s="18" t="n">
        <v>3396.63</v>
      </c>
      <c r="P88" s="9" t="n"/>
      <c r="Q88" s="18" t="n">
        <v>0</v>
      </c>
      <c r="R88" s="18" t="n">
        <v>0</v>
      </c>
      <c r="S88" s="18" t="n">
        <v>0</v>
      </c>
      <c r="T88" s="18" t="n">
        <v>0</v>
      </c>
      <c r="U88" s="37" t="n">
        <v>0</v>
      </c>
      <c r="Z88" s="9" t="n"/>
      <c r="AB88" s="5" t="n"/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(비지배주주지분)당기순이익</t>
        </is>
      </c>
      <c r="F89" s="9" t="n"/>
      <c r="K89" s="9" t="n"/>
      <c r="P89" s="9" t="n"/>
      <c r="R89" s="18" t="n">
        <v>0</v>
      </c>
      <c r="U89" s="9" t="n"/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종속기업,공동지배기업및관계기업관련손익</t>
        </is>
      </c>
      <c r="F90" s="9" t="n"/>
      <c r="K90" s="9" t="n"/>
      <c r="P90" s="9" t="n"/>
      <c r="U90" s="9" t="n"/>
      <c r="Z90" s="9" t="n"/>
      <c r="AA90" s="18" t="n">
        <v>2559.8</v>
      </c>
      <c r="AB90" s="19" t="n">
        <v>4774.74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배당금수익</t>
        </is>
      </c>
      <c r="F91" s="9" t="n"/>
      <c r="K91" s="9" t="n"/>
      <c r="P91" s="9" t="n"/>
      <c r="U91" s="9" t="n"/>
      <c r="Z91" s="9" t="n"/>
      <c r="AB91" s="19" t="n">
        <v>0.22</v>
      </c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영업활동으로인한현금흐름</t>
        </is>
      </c>
      <c r="E92" s="18" t="n">
        <v>2255.31</v>
      </c>
      <c r="F92" s="9" t="n"/>
      <c r="G92" s="18" t="n">
        <v>-52133.14</v>
      </c>
      <c r="H92" s="18" t="n">
        <v>47219.46</v>
      </c>
      <c r="I92" s="18" t="n">
        <v>2431.45</v>
      </c>
      <c r="J92" s="18" t="n">
        <v>-1803.73</v>
      </c>
      <c r="K92" s="37" t="n">
        <v>-4285.96</v>
      </c>
      <c r="L92" s="18" t="n">
        <v>-3117.39</v>
      </c>
      <c r="M92" s="18" t="n">
        <v>-1068.55</v>
      </c>
      <c r="N92" s="18" t="n">
        <v>10808.69</v>
      </c>
      <c r="O92" s="18" t="n">
        <v>2068.87</v>
      </c>
      <c r="P92" s="37" t="n">
        <v>8691.620000000001</v>
      </c>
      <c r="Q92" s="18" t="n">
        <v>10746.55</v>
      </c>
      <c r="R92" s="18" t="n">
        <v>2700.93</v>
      </c>
      <c r="S92" s="18" t="n">
        <v>5901.77</v>
      </c>
      <c r="T92" s="18" t="n">
        <v>-690.66</v>
      </c>
      <c r="U92" s="37" t="n">
        <v>18658.59</v>
      </c>
      <c r="V92" s="18" t="n">
        <v>-1921.71</v>
      </c>
      <c r="W92" s="18" t="n">
        <v>591.96</v>
      </c>
      <c r="X92" s="18" t="n">
        <v>3954.42</v>
      </c>
      <c r="Y92" s="18" t="n">
        <v>2518.15</v>
      </c>
      <c r="Z92" s="37" t="n">
        <v>5142.82</v>
      </c>
      <c r="AA92" s="18" t="n">
        <v>-9716.469999999999</v>
      </c>
      <c r="AB92" s="19" t="n">
        <v>-10867.47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감가상각비</t>
        </is>
      </c>
      <c r="E93" s="18" t="n">
        <v>1731.51</v>
      </c>
      <c r="F93" s="9" t="n"/>
      <c r="G93" s="18" t="n">
        <v>1673.07</v>
      </c>
      <c r="H93" s="18" t="n">
        <v>1663.08</v>
      </c>
      <c r="I93" s="18" t="n">
        <v>1617.21</v>
      </c>
      <c r="J93" s="18" t="n">
        <v>1653.98</v>
      </c>
      <c r="K93" s="37" t="n">
        <v>6607.34</v>
      </c>
      <c r="L93" s="18" t="n">
        <v>1522.9</v>
      </c>
      <c r="M93" s="18" t="n">
        <v>1686.86</v>
      </c>
      <c r="P93" s="9" t="n"/>
      <c r="U93" s="9" t="n"/>
      <c r="Z93" s="9" t="n"/>
      <c r="AB93" s="5" t="n"/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무형자산상각비</t>
        </is>
      </c>
      <c r="E94" s="18" t="n">
        <v>9.68</v>
      </c>
      <c r="F94" s="9" t="n"/>
      <c r="G94" s="18" t="n">
        <v>10.03</v>
      </c>
      <c r="H94" s="18" t="n">
        <v>10.03</v>
      </c>
      <c r="I94" s="18" t="n">
        <v>4.93</v>
      </c>
      <c r="J94" s="18" t="n">
        <v>2.18</v>
      </c>
      <c r="K94" s="37" t="n">
        <v>27.17</v>
      </c>
      <c r="P94" s="9" t="n"/>
      <c r="U94" s="9" t="n"/>
      <c r="Z94" s="9" t="n"/>
      <c r="AB94" s="5" t="n"/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  <row r="95">
      <c r="A95" t="n">
        <v>1</v>
      </c>
      <c r="C95" t="inlineStr">
        <is>
          <t>배당금수취(CF)</t>
        </is>
      </c>
      <c r="E95" s="18" t="n">
        <v>0</v>
      </c>
      <c r="F95" s="9" t="n"/>
      <c r="G95" s="18" t="n">
        <v>-50701.94</v>
      </c>
      <c r="H95" s="18" t="n">
        <v>50708.39</v>
      </c>
      <c r="I95" s="18" t="n">
        <v>0</v>
      </c>
      <c r="J95" s="18" t="n">
        <v>0</v>
      </c>
      <c r="K95" s="37" t="n">
        <v>6.45</v>
      </c>
      <c r="N95" s="18" t="n">
        <v>0</v>
      </c>
      <c r="O95" s="18" t="n">
        <v>0</v>
      </c>
      <c r="P95" s="9" t="n"/>
      <c r="S95" s="18" t="n">
        <v>0.09</v>
      </c>
      <c r="T95" s="18" t="n">
        <v>0.09</v>
      </c>
      <c r="U95" s="9" t="n"/>
      <c r="X95" s="18" t="n">
        <v>0.11</v>
      </c>
      <c r="Y95" s="18" t="n">
        <v>0.11</v>
      </c>
      <c r="Z95" s="9" t="n"/>
      <c r="AB95" s="5" t="n"/>
      <c r="AC95" s="10" t="n"/>
      <c r="AD95" s="10" t="n"/>
      <c r="AE95" s="11" t="n"/>
      <c r="AF95" s="10" t="n"/>
      <c r="AG95" s="10" t="n"/>
      <c r="AH95" s="10" t="n"/>
      <c r="AI95" s="10" t="n"/>
      <c r="AJ95" s="11" t="n"/>
      <c r="AK95" s="10" t="n"/>
      <c r="AL95" s="10" t="n"/>
      <c r="AM95" s="10" t="n"/>
      <c r="AN95" s="10" t="n"/>
      <c r="AO95" s="11" t="n"/>
    </row>
    <row r="96">
      <c r="A96" t="n">
        <v>1</v>
      </c>
      <c r="C96" t="inlineStr">
        <is>
          <t>법인세납부(CF)</t>
        </is>
      </c>
      <c r="E96" s="18" t="n">
        <v>26.51</v>
      </c>
      <c r="F96" s="9" t="n"/>
      <c r="G96" s="18" t="n">
        <v>-5765.74</v>
      </c>
      <c r="H96" s="18" t="n">
        <v>-6935.63</v>
      </c>
      <c r="I96" s="18" t="n">
        <v>-465.49</v>
      </c>
      <c r="J96" s="18" t="n">
        <v>-28.76</v>
      </c>
      <c r="K96" s="37" t="n">
        <v>-13195.62</v>
      </c>
      <c r="L96" s="18" t="n">
        <v>-503.93</v>
      </c>
      <c r="M96" s="18" t="n">
        <v>-532.01</v>
      </c>
      <c r="N96" s="18" t="n">
        <v>-238.34</v>
      </c>
      <c r="O96" s="18" t="n">
        <v>-507.45</v>
      </c>
      <c r="P96" s="37" t="n">
        <v>-1781.73</v>
      </c>
      <c r="Q96" s="18" t="n">
        <v>194.09</v>
      </c>
      <c r="R96" s="18" t="n">
        <v>227.11</v>
      </c>
      <c r="S96" s="18" t="n">
        <v>-130.28</v>
      </c>
      <c r="T96" s="18" t="n">
        <v>-87.73</v>
      </c>
      <c r="U96" s="37" t="n">
        <v>203.19</v>
      </c>
      <c r="V96" s="18" t="n">
        <v>-4969.31</v>
      </c>
      <c r="W96" s="18" t="n">
        <v>-5781.45</v>
      </c>
      <c r="X96" s="18" t="n">
        <v>-2670.21</v>
      </c>
      <c r="Y96" s="18" t="n">
        <v>-2451.87</v>
      </c>
      <c r="Z96" s="37" t="n">
        <v>-15872.84</v>
      </c>
      <c r="AA96" s="18" t="n">
        <v>-15750.1</v>
      </c>
      <c r="AB96" s="19" t="n">
        <v>-18964.15</v>
      </c>
      <c r="AC96" s="10" t="n"/>
      <c r="AD96" s="10" t="n"/>
      <c r="AE96" s="11" t="n"/>
      <c r="AF96" s="10" t="n"/>
      <c r="AG96" s="10" t="n"/>
      <c r="AH96" s="10" t="n"/>
      <c r="AI96" s="10" t="n"/>
      <c r="AJ96" s="11" t="n"/>
      <c r="AK96" s="10" t="n"/>
      <c r="AL96" s="10" t="n"/>
      <c r="AM96" s="10" t="n"/>
      <c r="AN96" s="10" t="n"/>
      <c r="AO96" s="11" t="n"/>
    </row>
    <row r="97">
      <c r="A97" t="n">
        <v>1</v>
      </c>
      <c r="C97" t="inlineStr">
        <is>
          <t>투자활동으로인한현금흐름</t>
        </is>
      </c>
      <c r="E97" s="18" t="n">
        <v>8275.57</v>
      </c>
      <c r="F97" s="9" t="n"/>
      <c r="G97" s="18" t="n">
        <v>51253.13</v>
      </c>
      <c r="H97" s="18" t="n">
        <v>-45400.28</v>
      </c>
      <c r="I97" s="18" t="n">
        <v>-25627.81</v>
      </c>
      <c r="J97" s="18" t="n">
        <v>-5568.53</v>
      </c>
      <c r="K97" s="37" t="n">
        <v>-25343.49</v>
      </c>
      <c r="L97" s="18" t="n">
        <v>1953.38</v>
      </c>
      <c r="M97" s="18" t="n">
        <v>-970.95</v>
      </c>
      <c r="N97" s="18" t="n">
        <v>3076.65</v>
      </c>
      <c r="O97" s="18" t="n">
        <v>16493.94</v>
      </c>
      <c r="P97" s="37" t="n">
        <v>20553.02</v>
      </c>
      <c r="Q97" s="18" t="n">
        <v>10494.36</v>
      </c>
      <c r="R97" s="18" t="n">
        <v>-28735.1</v>
      </c>
      <c r="S97" s="18" t="n">
        <v>-1253.2</v>
      </c>
      <c r="T97" s="18" t="n">
        <v>4722.66</v>
      </c>
      <c r="U97" s="37" t="n">
        <v>-14771.28</v>
      </c>
      <c r="V97" s="18" t="n">
        <v>28602.1</v>
      </c>
      <c r="W97" s="18" t="n">
        <v>24914.97</v>
      </c>
      <c r="X97" s="18" t="n">
        <v>20132.92</v>
      </c>
      <c r="Y97" s="18" t="n">
        <v>6679.73</v>
      </c>
      <c r="Z97" s="37" t="n">
        <v>80329.72</v>
      </c>
      <c r="AA97" s="18" t="n">
        <v>12579.28</v>
      </c>
      <c r="AB97" s="19" t="n">
        <v>33171.11</v>
      </c>
      <c r="AC97" s="10" t="n"/>
      <c r="AD97" s="10" t="n"/>
      <c r="AE97" s="11" t="n"/>
      <c r="AF97" s="10" t="n"/>
      <c r="AG97" s="10" t="n"/>
      <c r="AH97" s="10" t="n"/>
      <c r="AI97" s="10" t="n"/>
      <c r="AJ97" s="11" t="n"/>
      <c r="AK97" s="10" t="n"/>
      <c r="AL97" s="10" t="n"/>
      <c r="AM97" s="10" t="n"/>
      <c r="AN97" s="10" t="n"/>
      <c r="AO97" s="11" t="n"/>
    </row>
    <row r="98">
      <c r="A98" t="n">
        <v>1</v>
      </c>
      <c r="C98" t="inlineStr">
        <is>
          <t>유형자산의감소</t>
        </is>
      </c>
      <c r="E98" s="18" t="n">
        <v>0.82</v>
      </c>
      <c r="F98" s="9" t="n"/>
      <c r="G98" s="18" t="n">
        <v>26.55</v>
      </c>
      <c r="H98" s="18" t="n">
        <v>0</v>
      </c>
      <c r="I98" s="18" t="n">
        <v>0</v>
      </c>
      <c r="J98" s="18" t="n">
        <v>3.63</v>
      </c>
      <c r="K98" s="37" t="n">
        <v>30.18</v>
      </c>
      <c r="L98" s="18" t="n">
        <v>4.55</v>
      </c>
      <c r="M98" s="18" t="n">
        <v>0.8100000000000001</v>
      </c>
      <c r="N98" s="18" t="n">
        <v>215.26</v>
      </c>
      <c r="O98" s="18" t="n">
        <v>0</v>
      </c>
      <c r="P98" s="37" t="n">
        <v>220.62</v>
      </c>
      <c r="Q98" s="18" t="n">
        <v>89</v>
      </c>
      <c r="R98" s="18" t="n">
        <v>0</v>
      </c>
      <c r="S98" s="18" t="n">
        <v>1</v>
      </c>
      <c r="T98" s="18" t="n">
        <v>0</v>
      </c>
      <c r="U98" s="37" t="n">
        <v>90</v>
      </c>
      <c r="X98" s="18" t="n">
        <v>25</v>
      </c>
      <c r="Y98" s="18" t="n">
        <v>0</v>
      </c>
      <c r="Z98" s="9" t="n"/>
      <c r="AB98" s="5" t="n"/>
      <c r="AC98" s="10" t="n"/>
      <c r="AD98" s="10" t="n"/>
      <c r="AE98" s="11" t="n"/>
      <c r="AF98" s="10" t="n"/>
      <c r="AG98" s="10" t="n"/>
      <c r="AH98" s="10" t="n"/>
      <c r="AI98" s="10" t="n"/>
      <c r="AJ98" s="11" t="n"/>
      <c r="AK98" s="10" t="n"/>
      <c r="AL98" s="10" t="n"/>
      <c r="AM98" s="10" t="n"/>
      <c r="AN98" s="10" t="n"/>
      <c r="AO98" s="11" t="n"/>
    </row>
    <row r="99">
      <c r="A99" t="n">
        <v>1</v>
      </c>
      <c r="C99" t="inlineStr">
        <is>
          <t>유형자산의증가</t>
        </is>
      </c>
      <c r="E99" s="18" t="n">
        <v>1053.5</v>
      </c>
      <c r="F99" s="9" t="n"/>
      <c r="G99" s="18" t="n">
        <v>391.32</v>
      </c>
      <c r="H99" s="18" t="n">
        <v>349.23</v>
      </c>
      <c r="I99" s="18" t="n">
        <v>241.36</v>
      </c>
      <c r="J99" s="18" t="n">
        <v>973.54</v>
      </c>
      <c r="K99" s="37" t="n">
        <v>1955.45</v>
      </c>
      <c r="L99" s="18" t="n">
        <v>604.6</v>
      </c>
      <c r="M99" s="18" t="n">
        <v>493.25</v>
      </c>
      <c r="N99" s="18" t="n">
        <v>770.87</v>
      </c>
      <c r="O99" s="18" t="n">
        <v>664.28</v>
      </c>
      <c r="P99" s="37" t="n">
        <v>2533</v>
      </c>
      <c r="Q99" s="18" t="n">
        <v>434.15</v>
      </c>
      <c r="R99" s="18" t="n">
        <v>906.65</v>
      </c>
      <c r="S99" s="18" t="n">
        <v>961.54</v>
      </c>
      <c r="T99" s="18" t="n">
        <v>548.45</v>
      </c>
      <c r="U99" s="37" t="n">
        <v>2850.79</v>
      </c>
      <c r="V99" s="18" t="n">
        <v>1900.29</v>
      </c>
      <c r="W99" s="18" t="n">
        <v>1098.41</v>
      </c>
      <c r="X99" s="18" t="n">
        <v>904.42</v>
      </c>
      <c r="Y99" s="18" t="n">
        <v>2627.7</v>
      </c>
      <c r="Z99" s="37" t="n">
        <v>6530.82</v>
      </c>
      <c r="AA99" s="18" t="n">
        <v>329.53</v>
      </c>
      <c r="AB99" s="19" t="n">
        <v>286.8</v>
      </c>
      <c r="AC99" s="10" t="n"/>
      <c r="AD99" s="10" t="n"/>
      <c r="AE99" s="11" t="n"/>
      <c r="AF99" s="10" t="n"/>
      <c r="AG99" s="10" t="n"/>
      <c r="AH99" s="10" t="n"/>
      <c r="AI99" s="10" t="n"/>
      <c r="AJ99" s="11" t="n"/>
      <c r="AK99" s="10" t="n"/>
      <c r="AL99" s="10" t="n"/>
      <c r="AM99" s="10" t="n"/>
      <c r="AN99" s="10" t="n"/>
      <c r="AO99" s="11" t="n"/>
    </row>
    <row r="100">
      <c r="A100" t="n">
        <v>1</v>
      </c>
      <c r="C100" t="inlineStr">
        <is>
          <t>CAPEX</t>
        </is>
      </c>
      <c r="E100" s="18" t="n">
        <v>1053.5</v>
      </c>
      <c r="F100" s="9" t="n"/>
      <c r="G100" s="18" t="n">
        <v>398.32</v>
      </c>
      <c r="H100" s="18" t="n">
        <v>349.23</v>
      </c>
      <c r="I100" s="18" t="n">
        <v>242.81</v>
      </c>
      <c r="J100" s="18" t="n">
        <v>974.1</v>
      </c>
      <c r="K100" s="37" t="n">
        <v>1964.46</v>
      </c>
      <c r="L100" s="18" t="n">
        <v>634.6</v>
      </c>
      <c r="M100" s="18" t="n">
        <v>493.25</v>
      </c>
      <c r="N100" s="18" t="n">
        <v>770.87</v>
      </c>
      <c r="O100" s="18" t="n">
        <v>664.28</v>
      </c>
      <c r="P100" s="37" t="n">
        <v>2563</v>
      </c>
      <c r="Q100" s="18" t="n">
        <v>434.15</v>
      </c>
      <c r="R100" s="18" t="n">
        <v>906.65</v>
      </c>
      <c r="S100" s="18" t="n">
        <v>961.54</v>
      </c>
      <c r="T100" s="18" t="n">
        <v>548.45</v>
      </c>
      <c r="U100" s="37" t="n">
        <v>2850.79</v>
      </c>
      <c r="V100" s="18" t="n">
        <v>1900.29</v>
      </c>
      <c r="W100" s="18" t="n">
        <v>1098.41</v>
      </c>
      <c r="X100" s="18" t="n">
        <v>904.42</v>
      </c>
      <c r="Y100" s="18" t="n">
        <v>2627.7</v>
      </c>
      <c r="Z100" s="37" t="n">
        <v>6530.82</v>
      </c>
      <c r="AA100" s="18" t="n">
        <v>329.53</v>
      </c>
      <c r="AB100" s="19" t="n">
        <v>694.8</v>
      </c>
      <c r="AC100" s="10" t="n"/>
      <c r="AD100" s="10" t="n"/>
      <c r="AE100" s="11" t="n"/>
      <c r="AF100" s="10" t="n"/>
      <c r="AG100" s="10" t="n"/>
      <c r="AH100" s="10" t="n"/>
      <c r="AI100" s="10" t="n"/>
      <c r="AJ100" s="11" t="n"/>
      <c r="AK100" s="10" t="n"/>
      <c r="AL100" s="10" t="n"/>
      <c r="AM100" s="10" t="n"/>
      <c r="AN100" s="10" t="n"/>
      <c r="AO100" s="11" t="n"/>
    </row>
    <row r="101">
      <c r="A101" t="n">
        <v>1</v>
      </c>
      <c r="C101" t="inlineStr">
        <is>
          <t>재무활동으로인한현금흐름</t>
        </is>
      </c>
      <c r="E101" s="18" t="n">
        <v>866.83</v>
      </c>
      <c r="F101" s="9" t="n"/>
      <c r="G101" s="18" t="n">
        <v>-473.63</v>
      </c>
      <c r="H101" s="18" t="n">
        <v>16636.59</v>
      </c>
      <c r="I101" s="18" t="n">
        <v>-3154.16</v>
      </c>
      <c r="J101" s="18" t="n">
        <v>-8.039999999999999</v>
      </c>
      <c r="K101" s="37" t="n">
        <v>13000.76</v>
      </c>
      <c r="L101" s="18" t="n">
        <v>-865.17</v>
      </c>
      <c r="M101" s="18" t="n">
        <v>-184.24</v>
      </c>
      <c r="N101" s="18" t="n">
        <v>2136.46</v>
      </c>
      <c r="O101" s="18" t="n">
        <v>-12785.74</v>
      </c>
      <c r="P101" s="37" t="n">
        <v>-11698.69</v>
      </c>
      <c r="Q101" s="18" t="n">
        <v>-25435.26</v>
      </c>
      <c r="R101" s="18" t="n">
        <v>11873.43</v>
      </c>
      <c r="S101" s="18" t="n">
        <v>-1923.63</v>
      </c>
      <c r="T101" s="18" t="n">
        <v>-4828.82</v>
      </c>
      <c r="U101" s="37" t="n">
        <v>-20314.28</v>
      </c>
      <c r="V101" s="18" t="n">
        <v>-10442.3</v>
      </c>
      <c r="W101" s="18" t="n">
        <v>-33307.48</v>
      </c>
      <c r="X101" s="18" t="n">
        <v>-24774.31</v>
      </c>
      <c r="Y101" s="18" t="n">
        <v>-12007.03</v>
      </c>
      <c r="Z101" s="37" t="n">
        <v>-80531.12</v>
      </c>
      <c r="AA101" s="18" t="n">
        <v>-3296.81</v>
      </c>
      <c r="AB101" s="19" t="n">
        <v>-22445.04</v>
      </c>
      <c r="AC101" s="10" t="n"/>
      <c r="AD101" s="10" t="n"/>
      <c r="AE101" s="11" t="n"/>
      <c r="AF101" s="10" t="n"/>
      <c r="AG101" s="10" t="n"/>
      <c r="AH101" s="10" t="n"/>
      <c r="AI101" s="10" t="n"/>
      <c r="AJ101" s="11" t="n"/>
      <c r="AK101" s="10" t="n"/>
      <c r="AL101" s="10" t="n"/>
      <c r="AM101" s="10" t="n"/>
      <c r="AN101" s="10" t="n"/>
      <c r="AO101" s="11" t="n"/>
    </row>
    <row r="102">
      <c r="A102" t="n">
        <v>1</v>
      </c>
      <c r="C102" t="inlineStr">
        <is>
          <t>차입금의감소</t>
        </is>
      </c>
      <c r="E102" s="18" t="n">
        <v>19.85</v>
      </c>
      <c r="F102" s="9" t="n"/>
      <c r="G102" s="18" t="n">
        <v>2459.85</v>
      </c>
      <c r="H102" s="18" t="n">
        <v>2319.85</v>
      </c>
      <c r="I102" s="18" t="n">
        <v>5599.85</v>
      </c>
      <c r="J102" s="18" t="n">
        <v>719.85</v>
      </c>
      <c r="K102" s="37" t="n">
        <v>11099.4</v>
      </c>
      <c r="L102" s="18" t="n">
        <v>1019.85</v>
      </c>
      <c r="M102" s="18" t="n">
        <v>10019.85</v>
      </c>
      <c r="N102" s="18" t="n">
        <v>1139.85</v>
      </c>
      <c r="O102" s="18" t="n">
        <v>26319.85</v>
      </c>
      <c r="P102" s="37" t="n">
        <v>38499.4</v>
      </c>
      <c r="Q102" s="18" t="n">
        <v>15016.95</v>
      </c>
      <c r="R102" s="18" t="n">
        <v>39016.95</v>
      </c>
      <c r="S102" s="18" t="n">
        <v>25300</v>
      </c>
      <c r="T102" s="18" t="n">
        <v>24000</v>
      </c>
      <c r="U102" s="37" t="n">
        <v>103333.9</v>
      </c>
      <c r="V102" s="18" t="n">
        <v>10000</v>
      </c>
      <c r="W102" s="18" t="n">
        <v>25500</v>
      </c>
      <c r="X102" s="18" t="n">
        <v>15650</v>
      </c>
      <c r="Y102" s="18" t="n">
        <v>12000</v>
      </c>
      <c r="Z102" s="37" t="n">
        <v>63150</v>
      </c>
      <c r="AA102" s="18" t="n">
        <v>500</v>
      </c>
      <c r="AB102" s="19" t="n">
        <v>15540</v>
      </c>
      <c r="AC102" s="10" t="n"/>
      <c r="AD102" s="10" t="n"/>
      <c r="AE102" s="11" t="n"/>
      <c r="AF102" s="10" t="n"/>
      <c r="AG102" s="10" t="n"/>
      <c r="AH102" s="10" t="n"/>
      <c r="AI102" s="10" t="n"/>
      <c r="AJ102" s="11" t="n"/>
      <c r="AK102" s="10" t="n"/>
      <c r="AL102" s="10" t="n"/>
      <c r="AM102" s="10" t="n"/>
      <c r="AN102" s="10" t="n"/>
      <c r="AO102" s="11" t="n"/>
    </row>
    <row r="103">
      <c r="A103" t="n">
        <v>1</v>
      </c>
      <c r="C103" t="inlineStr">
        <is>
          <t>현금및현금성자산의증감</t>
        </is>
      </c>
      <c r="E103" s="18" t="n">
        <v>22778.58</v>
      </c>
      <c r="F103" s="9" t="n"/>
      <c r="G103" s="18" t="n">
        <v>-2690.27</v>
      </c>
      <c r="H103" s="18" t="n">
        <v>36903.52</v>
      </c>
      <c r="I103" s="18" t="n">
        <v>-52634.9</v>
      </c>
      <c r="J103" s="18" t="n">
        <v>-14858.29</v>
      </c>
      <c r="K103" s="37" t="n">
        <v>-33279.94</v>
      </c>
      <c r="L103" s="18" t="n">
        <v>-3996.64</v>
      </c>
      <c r="M103" s="18" t="n">
        <v>-4602.95</v>
      </c>
      <c r="N103" s="18" t="n">
        <v>32049.1</v>
      </c>
      <c r="O103" s="18" t="n">
        <v>11597.34</v>
      </c>
      <c r="P103" s="37" t="n">
        <v>35046.85</v>
      </c>
      <c r="Q103" s="18" t="n">
        <v>-8456.110000000001</v>
      </c>
      <c r="R103" s="18" t="n">
        <v>-28394.71</v>
      </c>
      <c r="S103" s="18" t="n">
        <v>5625.36</v>
      </c>
      <c r="T103" s="18" t="n">
        <v>-1533.83</v>
      </c>
      <c r="U103" s="37" t="n">
        <v>-32759.29</v>
      </c>
      <c r="V103" s="18" t="n">
        <v>32531.85</v>
      </c>
      <c r="W103" s="18" t="n">
        <v>-15683.99</v>
      </c>
      <c r="X103" s="18" t="n">
        <v>-1342.55</v>
      </c>
      <c r="Y103" s="18" t="n">
        <v>-10623.48</v>
      </c>
      <c r="Z103" s="37" t="n">
        <v>4881.83</v>
      </c>
      <c r="AA103" s="18" t="n">
        <v>-364.42</v>
      </c>
      <c r="AB103" s="19" t="n">
        <v>-179.01</v>
      </c>
      <c r="AC103" s="10" t="n"/>
      <c r="AD103" s="10" t="n"/>
      <c r="AE103" s="11" t="n"/>
      <c r="AF103" s="10" t="n"/>
      <c r="AG103" s="10" t="n"/>
      <c r="AH103" s="10" t="n"/>
      <c r="AI103" s="10" t="n"/>
      <c r="AJ103" s="11" t="n"/>
      <c r="AK103" s="10" t="n"/>
      <c r="AL103" s="10" t="n"/>
      <c r="AM103" s="10" t="n"/>
      <c r="AN103" s="10" t="n"/>
      <c r="AO103" s="11" t="n"/>
    </row>
    <row r="104">
      <c r="A104" t="n">
        <v>1</v>
      </c>
      <c r="C104" t="inlineStr">
        <is>
          <t>기말현금및현금성자산</t>
        </is>
      </c>
      <c r="E104" s="18" t="n">
        <v>11380.85</v>
      </c>
      <c r="F104" s="9" t="n"/>
      <c r="G104" s="18" t="n">
        <v>27451.56</v>
      </c>
      <c r="H104" s="18" t="n">
        <v>18447.77</v>
      </c>
      <c r="I104" s="18" t="n">
        <v>-26284.37</v>
      </c>
      <c r="J104" s="18" t="n">
        <v>-7478</v>
      </c>
      <c r="K104" s="37" t="n">
        <v>12136.96</v>
      </c>
      <c r="L104" s="18" t="n">
        <v>10169.51</v>
      </c>
      <c r="M104" s="18" t="n">
        <v>-2379.23</v>
      </c>
      <c r="N104" s="18" t="n">
        <v>16027.31</v>
      </c>
      <c r="O104" s="18" t="n">
        <v>5820.27</v>
      </c>
      <c r="P104" s="37" t="n">
        <v>29637.86</v>
      </c>
      <c r="Q104" s="18" t="n">
        <v>25376.1</v>
      </c>
      <c r="R104" s="18" t="n">
        <v>-14233.97</v>
      </c>
      <c r="S104" s="18" t="n">
        <v>2900.42</v>
      </c>
      <c r="T104" s="18" t="n">
        <v>-737</v>
      </c>
      <c r="U104" s="37" t="n">
        <v>13305.55</v>
      </c>
      <c r="V104" s="18" t="n">
        <v>29599.31</v>
      </c>
      <c r="W104" s="18" t="n">
        <v>-7883.43</v>
      </c>
      <c r="X104" s="18" t="n">
        <v>-655.6</v>
      </c>
      <c r="Y104" s="18" t="n">
        <v>-2872.9</v>
      </c>
      <c r="Z104" s="37" t="n">
        <v>18187.38</v>
      </c>
      <c r="AA104" s="18" t="n">
        <v>17822.96</v>
      </c>
      <c r="AB104" s="19" t="n">
        <v>-179.01</v>
      </c>
      <c r="AC104" s="10" t="n"/>
      <c r="AD104" s="10" t="n"/>
      <c r="AE104" s="11" t="n"/>
      <c r="AF104" s="10" t="n"/>
      <c r="AG104" s="10" t="n"/>
      <c r="AH104" s="10" t="n"/>
      <c r="AI104" s="10" t="n"/>
      <c r="AJ104" s="11" t="n"/>
      <c r="AK104" s="10" t="n"/>
      <c r="AL104" s="10" t="n"/>
      <c r="AM104" s="10" t="n"/>
      <c r="AN104" s="10" t="n"/>
      <c r="AO104" s="11" t="n"/>
    </row>
    <row r="105">
      <c r="A105" t="n">
        <v>1</v>
      </c>
      <c r="C105" t="inlineStr">
        <is>
          <t>무형자산의증가</t>
        </is>
      </c>
      <c r="F105" s="9" t="n"/>
      <c r="G105" s="18" t="n">
        <v>7</v>
      </c>
      <c r="H105" s="18" t="n">
        <v>0</v>
      </c>
      <c r="I105" s="18" t="n">
        <v>1.45</v>
      </c>
      <c r="J105" s="18" t="n">
        <v>0.5600000000000001</v>
      </c>
      <c r="K105" s="37" t="n">
        <v>9.01</v>
      </c>
      <c r="L105" s="18" t="n">
        <v>30</v>
      </c>
      <c r="M105" s="18" t="n">
        <v>0</v>
      </c>
      <c r="N105" s="18" t="n">
        <v>0</v>
      </c>
      <c r="O105" s="18" t="n">
        <v>0</v>
      </c>
      <c r="P105" s="37" t="n">
        <v>30</v>
      </c>
      <c r="S105" s="18" t="n">
        <v>0</v>
      </c>
      <c r="T105" s="18" t="n">
        <v>0</v>
      </c>
      <c r="U105" s="9" t="n"/>
      <c r="Z105" s="9" t="n"/>
      <c r="AB105" s="5" t="n"/>
      <c r="AC105" s="10" t="n"/>
      <c r="AD105" s="10" t="n"/>
      <c r="AE105" s="11" t="n"/>
      <c r="AF105" s="10" t="n"/>
      <c r="AG105" s="10" t="n"/>
      <c r="AH105" s="10" t="n"/>
      <c r="AI105" s="10" t="n"/>
      <c r="AJ105" s="11" t="n"/>
      <c r="AK105" s="10" t="n"/>
      <c r="AL105" s="10" t="n"/>
      <c r="AM105" s="10" t="n"/>
      <c r="AN105" s="10" t="n"/>
      <c r="AO105" s="11" t="n"/>
    </row>
    <row r="106">
      <c r="A106" t="n">
        <v>1</v>
      </c>
      <c r="C106" t="inlineStr">
        <is>
          <t>이자수취(CF)</t>
        </is>
      </c>
      <c r="F106" s="9" t="n"/>
      <c r="K106" s="9" t="n"/>
      <c r="O106" s="18" t="n">
        <v>651.12</v>
      </c>
      <c r="P106" s="9" t="n"/>
      <c r="Q106" s="18" t="n">
        <v>314.74</v>
      </c>
      <c r="R106" s="18" t="n">
        <v>398.92</v>
      </c>
      <c r="S106" s="18" t="n">
        <v>356.34</v>
      </c>
      <c r="T106" s="18" t="n">
        <v>247.38</v>
      </c>
      <c r="U106" s="37" t="n">
        <v>1317.38</v>
      </c>
      <c r="V106" s="18" t="n">
        <v>1091.29</v>
      </c>
      <c r="W106" s="18" t="n">
        <v>379.54</v>
      </c>
      <c r="X106" s="18" t="n">
        <v>1326.55</v>
      </c>
      <c r="Y106" s="18" t="n">
        <v>298.75</v>
      </c>
      <c r="Z106" s="37" t="n">
        <v>3096.13</v>
      </c>
      <c r="AA106" s="18" t="n">
        <v>2877.74</v>
      </c>
      <c r="AB106" s="19" t="n">
        <v>573.55</v>
      </c>
      <c r="AC106" s="10" t="n"/>
      <c r="AD106" s="10" t="n"/>
      <c r="AE106" s="11" t="n"/>
      <c r="AF106" s="10" t="n"/>
      <c r="AG106" s="10" t="n"/>
      <c r="AH106" s="10" t="n"/>
      <c r="AI106" s="10" t="n"/>
      <c r="AJ106" s="11" t="n"/>
      <c r="AK106" s="10" t="n"/>
      <c r="AL106" s="10" t="n"/>
      <c r="AM106" s="10" t="n"/>
      <c r="AN106" s="10" t="n"/>
      <c r="AO106" s="11" t="n"/>
    </row>
    <row r="107">
      <c r="A107" t="n">
        <v>1</v>
      </c>
      <c r="C107" t="inlineStr">
        <is>
          <t>배당금지급</t>
        </is>
      </c>
      <c r="F107" s="9" t="n"/>
      <c r="K107" s="9" t="n"/>
      <c r="P107" s="9" t="n"/>
      <c r="Q107" s="18" t="n">
        <v>20457.46</v>
      </c>
      <c r="R107" s="18" t="n">
        <v>0.8</v>
      </c>
      <c r="S107" s="18" t="n">
        <v>0</v>
      </c>
      <c r="T107" s="18" t="n">
        <v>0</v>
      </c>
      <c r="U107" s="37" t="n">
        <v>20458.26</v>
      </c>
      <c r="X107" s="18" t="n">
        <v>9232.879999999999</v>
      </c>
      <c r="Y107" s="18" t="n">
        <v>0</v>
      </c>
      <c r="Z107" s="9" t="n"/>
      <c r="AB107" s="5" t="n"/>
      <c r="AC107" s="10" t="n"/>
      <c r="AD107" s="10" t="n"/>
      <c r="AE107" s="11" t="n"/>
      <c r="AF107" s="10" t="n"/>
      <c r="AG107" s="10" t="n"/>
      <c r="AH107" s="10" t="n"/>
      <c r="AI107" s="10" t="n"/>
      <c r="AJ107" s="11" t="n"/>
      <c r="AK107" s="10" t="n"/>
      <c r="AL107" s="10" t="n"/>
      <c r="AM107" s="10" t="n"/>
      <c r="AN107" s="10" t="n"/>
      <c r="AO107" s="11" t="n"/>
    </row>
    <row r="108">
      <c r="A108" t="n">
        <v>1</v>
      </c>
      <c r="C108" t="inlineStr">
        <is>
          <t>리스부채의상환</t>
        </is>
      </c>
      <c r="F108" s="9" t="n"/>
      <c r="K108" s="9" t="n"/>
      <c r="P108" s="9" t="n"/>
      <c r="U108" s="9" t="n"/>
      <c r="Z108" s="9" t="n"/>
      <c r="AA108" s="18" t="n">
        <v>7.78</v>
      </c>
      <c r="AB108" s="19" t="n">
        <v>7.92</v>
      </c>
      <c r="AC108" s="10" t="n"/>
      <c r="AD108" s="10" t="n"/>
      <c r="AE108" s="11" t="n"/>
      <c r="AF108" s="10" t="n"/>
      <c r="AG108" s="10" t="n"/>
      <c r="AH108" s="10" t="n"/>
      <c r="AI108" s="10" t="n"/>
      <c r="AJ108" s="11" t="n"/>
      <c r="AK108" s="10" t="n"/>
      <c r="AL108" s="10" t="n"/>
      <c r="AM108" s="10" t="n"/>
      <c r="AN108" s="10" t="n"/>
      <c r="AO108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9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인화정공(별)</t>
        </is>
      </c>
      <c r="C3" s="2" t="inlineStr">
        <is>
          <t>UPDATE: 26-10-26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36188.84</v>
      </c>
      <c r="F5" s="37" t="n">
        <v>36188.84</v>
      </c>
      <c r="G5" s="18" t="n">
        <v>34043.97</v>
      </c>
      <c r="H5" s="18" t="n">
        <v>54813.13</v>
      </c>
      <c r="I5" s="18" t="n">
        <v>32299.22</v>
      </c>
      <c r="J5" s="18" t="n">
        <v>33484.86</v>
      </c>
      <c r="K5" s="37" t="n">
        <v>33484.86</v>
      </c>
      <c r="L5" s="18" t="n">
        <v>33451.61</v>
      </c>
      <c r="M5" s="18" t="n">
        <v>33572.3</v>
      </c>
      <c r="N5" s="18" t="n">
        <v>49575.79</v>
      </c>
      <c r="O5" s="18" t="n">
        <v>59137.79</v>
      </c>
      <c r="P5" s="37" t="n">
        <v>59137.79</v>
      </c>
      <c r="Q5" s="18" t="n">
        <v>76010.07000000001</v>
      </c>
      <c r="R5" s="18" t="n">
        <v>91316.16</v>
      </c>
      <c r="S5" s="18" t="n">
        <v>91418.67999999999</v>
      </c>
      <c r="T5" s="18" t="n">
        <v>90467.32000000001</v>
      </c>
      <c r="U5" s="37" t="n">
        <v>90467.32000000001</v>
      </c>
      <c r="V5" s="18" t="n">
        <v>196365.58</v>
      </c>
      <c r="W5" s="18" t="n">
        <v>163047.92</v>
      </c>
      <c r="X5" s="18" t="n">
        <v>207100.81</v>
      </c>
      <c r="Y5" s="18" t="n">
        <v>210447.27</v>
      </c>
      <c r="Z5" s="37" t="n">
        <v>210447.27</v>
      </c>
      <c r="AA5" s="18" t="n">
        <v>196904.1</v>
      </c>
      <c r="AB5" s="19" t="n">
        <v>163070.67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14382.03</v>
      </c>
      <c r="F6" s="37" t="n">
        <v>14382.03</v>
      </c>
      <c r="G6" s="18" t="n">
        <v>11519.71</v>
      </c>
      <c r="H6" s="18" t="n">
        <v>30832.25</v>
      </c>
      <c r="I6" s="18" t="n">
        <v>6837.81</v>
      </c>
      <c r="J6" s="18" t="n">
        <v>4997.94</v>
      </c>
      <c r="K6" s="37" t="n">
        <v>4997.94</v>
      </c>
      <c r="L6" s="18" t="n">
        <v>3282.03</v>
      </c>
      <c r="M6" s="18" t="n">
        <v>3026.22</v>
      </c>
      <c r="N6" s="18" t="n">
        <v>17227.14</v>
      </c>
      <c r="O6" s="18" t="n">
        <v>25823</v>
      </c>
      <c r="P6" s="37" t="n">
        <v>25823</v>
      </c>
      <c r="Q6" s="18" t="n">
        <v>20315.68</v>
      </c>
      <c r="R6" s="18" t="n">
        <v>5007.86</v>
      </c>
      <c r="S6" s="18" t="n">
        <v>7788.4</v>
      </c>
      <c r="T6" s="18" t="n">
        <v>7078.57</v>
      </c>
      <c r="U6" s="37" t="n">
        <v>7078.57</v>
      </c>
      <c r="V6" s="18" t="n">
        <v>23544.42</v>
      </c>
      <c r="W6" s="18" t="n">
        <v>17190.85</v>
      </c>
      <c r="X6" s="18" t="n">
        <v>17533.8</v>
      </c>
      <c r="Y6" s="18" t="n">
        <v>13688.49</v>
      </c>
      <c r="Z6" s="37" t="n">
        <v>13688.49</v>
      </c>
      <c r="AA6" s="18" t="n">
        <v>12118.5</v>
      </c>
      <c r="AB6" s="19" t="n">
        <v>11995.39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단기금융상품</t>
        </is>
      </c>
      <c r="E7" s="18" t="n">
        <v>307.67</v>
      </c>
      <c r="F7" s="37" t="n">
        <v>307.67</v>
      </c>
      <c r="G7" s="18" t="n">
        <v>463.67</v>
      </c>
      <c r="H7" s="18" t="n">
        <v>256</v>
      </c>
      <c r="I7" s="18" t="n">
        <v>256</v>
      </c>
      <c r="J7" s="18" t="n">
        <v>156</v>
      </c>
      <c r="K7" s="37" t="n">
        <v>156</v>
      </c>
      <c r="L7" s="18" t="n">
        <v>164.67</v>
      </c>
      <c r="M7" s="18" t="n">
        <v>8.67</v>
      </c>
      <c r="N7" s="18" t="n">
        <v>935.42</v>
      </c>
      <c r="O7" s="18" t="n">
        <v>2094.41</v>
      </c>
      <c r="P7" s="37" t="n">
        <v>2094.41</v>
      </c>
      <c r="Q7" s="18" t="n">
        <v>32120.87</v>
      </c>
      <c r="R7" s="18" t="n">
        <v>22612.2</v>
      </c>
      <c r="S7" s="18" t="n">
        <v>49838.68</v>
      </c>
      <c r="T7" s="18" t="n">
        <v>45064.83</v>
      </c>
      <c r="U7" s="37" t="n">
        <v>45064.83</v>
      </c>
      <c r="V7" s="18" t="n">
        <v>134301.32</v>
      </c>
      <c r="W7" s="18" t="n">
        <v>108982.12</v>
      </c>
      <c r="X7" s="18" t="n">
        <v>165621.1</v>
      </c>
      <c r="Z7" s="9" t="n"/>
      <c r="AB7" s="5" t="n"/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단기금융자산</t>
        </is>
      </c>
      <c r="E8" s="18" t="n">
        <v>1421.01</v>
      </c>
      <c r="F8" s="37" t="n">
        <v>1421.01</v>
      </c>
      <c r="G8" s="18" t="n">
        <v>1417.71</v>
      </c>
      <c r="H8" s="18" t="n">
        <v>2942.09</v>
      </c>
      <c r="I8" s="18" t="n">
        <v>2939.09</v>
      </c>
      <c r="J8" s="18" t="n">
        <v>2326.54</v>
      </c>
      <c r="K8" s="37" t="n">
        <v>2326.54</v>
      </c>
      <c r="L8" s="18" t="n">
        <v>4915.21</v>
      </c>
      <c r="M8" s="18" t="n">
        <v>7531.1</v>
      </c>
      <c r="N8" s="18" t="n">
        <v>11407.85</v>
      </c>
      <c r="O8" s="18" t="n">
        <v>9630.139999999999</v>
      </c>
      <c r="P8" s="37" t="n">
        <v>9630.139999999999</v>
      </c>
      <c r="Q8" s="18" t="n">
        <v>33156.6</v>
      </c>
      <c r="R8" s="18" t="n">
        <v>61445.92</v>
      </c>
      <c r="S8" s="18" t="n">
        <v>49838.68</v>
      </c>
      <c r="T8" s="18" t="n">
        <v>45064.83</v>
      </c>
      <c r="U8" s="37" t="n">
        <v>45064.83</v>
      </c>
      <c r="V8" s="18" t="n">
        <v>134301.32</v>
      </c>
      <c r="W8" s="18" t="n">
        <v>108982.12</v>
      </c>
      <c r="X8" s="18" t="n">
        <v>165621.1</v>
      </c>
      <c r="Z8" s="9" t="n"/>
      <c r="AB8" s="5" t="n"/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매출채권및기타채권</t>
        </is>
      </c>
      <c r="E9" s="18" t="n">
        <v>23548.75</v>
      </c>
      <c r="F9" s="37" t="n">
        <v>23548.75</v>
      </c>
      <c r="G9" s="18" t="n">
        <v>25475.94</v>
      </c>
      <c r="H9" s="18" t="n">
        <v>22250.58</v>
      </c>
      <c r="I9" s="18" t="n">
        <v>24411.69</v>
      </c>
      <c r="J9" s="18" t="n">
        <v>29797.38</v>
      </c>
      <c r="K9" s="37" t="n">
        <v>29797.38</v>
      </c>
      <c r="L9" s="18" t="n">
        <v>33393.12</v>
      </c>
      <c r="M9" s="18" t="n">
        <v>31310.15</v>
      </c>
      <c r="N9" s="18" t="n">
        <v>32002.4</v>
      </c>
      <c r="O9" s="18" t="n">
        <v>35753.16</v>
      </c>
      <c r="P9" s="37" t="n">
        <v>35753.16</v>
      </c>
      <c r="Q9" s="18" t="n">
        <v>26943.04</v>
      </c>
      <c r="R9" s="18" t="n">
        <v>69621.13</v>
      </c>
      <c r="S9" s="18" t="n">
        <v>32759.25</v>
      </c>
      <c r="T9" s="18" t="n">
        <v>39334.28</v>
      </c>
      <c r="U9" s="37" t="n">
        <v>39334.28</v>
      </c>
      <c r="V9" s="18" t="n">
        <v>45027.59</v>
      </c>
      <c r="W9" s="18" t="n">
        <v>39417.83</v>
      </c>
      <c r="X9" s="18" t="n">
        <v>26733.08</v>
      </c>
      <c r="Y9" s="18" t="n">
        <v>12450.74</v>
      </c>
      <c r="Z9" s="37" t="n">
        <v>12450.74</v>
      </c>
      <c r="AA9" s="18" t="n">
        <v>15435.74</v>
      </c>
      <c r="AB9" s="19" t="n">
        <v>14287.92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단기대여금</t>
        </is>
      </c>
      <c r="E10" s="18" t="n">
        <v>1113.34</v>
      </c>
      <c r="F10" s="37" t="n">
        <v>1113.34</v>
      </c>
      <c r="G10" s="18" t="n">
        <v>954.04</v>
      </c>
      <c r="H10" s="18" t="n">
        <v>951.04</v>
      </c>
      <c r="I10" s="18" t="n">
        <v>948.04</v>
      </c>
      <c r="J10" s="18" t="n">
        <v>853.72</v>
      </c>
      <c r="K10" s="37" t="n">
        <v>853.72</v>
      </c>
      <c r="L10" s="18" t="n">
        <v>3433.72</v>
      </c>
      <c r="M10" s="18" t="n">
        <v>7083.72</v>
      </c>
      <c r="N10" s="18" t="n">
        <v>10033.72</v>
      </c>
      <c r="O10" s="18" t="n">
        <v>7333.72</v>
      </c>
      <c r="P10" s="37" t="n">
        <v>7333.72</v>
      </c>
      <c r="Q10" s="18" t="n">
        <v>833.72</v>
      </c>
      <c r="R10" s="18" t="n">
        <v>38833.72</v>
      </c>
      <c r="U10" s="9" t="n"/>
      <c r="Z10" s="9" t="n"/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당기법인세자산(선급법인세)</t>
        </is>
      </c>
      <c r="E11" s="18" t="n">
        <v>0</v>
      </c>
      <c r="F11" s="37" t="n">
        <v>0</v>
      </c>
      <c r="I11" s="18" t="n">
        <v>170.05</v>
      </c>
      <c r="K11" s="9" t="n"/>
      <c r="L11" s="18" t="n">
        <v>7.37</v>
      </c>
      <c r="O11" s="18" t="n">
        <v>283.05</v>
      </c>
      <c r="P11" s="37" t="n">
        <v>283.05</v>
      </c>
      <c r="Q11" s="18" t="n">
        <v>0</v>
      </c>
      <c r="R11" s="18" t="n">
        <v>0</v>
      </c>
      <c r="S11" s="18" t="n">
        <v>0</v>
      </c>
      <c r="T11" s="18" t="n">
        <v>0</v>
      </c>
      <c r="U11" s="37" t="n">
        <v>0</v>
      </c>
      <c r="V11" s="18" t="n">
        <v>0</v>
      </c>
      <c r="Z11" s="9" t="n"/>
      <c r="AB11" s="5" t="n"/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재고자산</t>
        </is>
      </c>
      <c r="E12" s="18" t="n">
        <v>9452.32</v>
      </c>
      <c r="F12" s="37" t="n">
        <v>9452.32</v>
      </c>
      <c r="G12" s="18" t="n">
        <v>9139.66</v>
      </c>
      <c r="H12" s="18" t="n">
        <v>10657.67</v>
      </c>
      <c r="I12" s="18" t="n">
        <v>10913.64</v>
      </c>
      <c r="J12" s="18" t="n">
        <v>10962.94</v>
      </c>
      <c r="K12" s="37" t="n">
        <v>10962.94</v>
      </c>
      <c r="L12" s="18" t="n">
        <v>9491.65</v>
      </c>
      <c r="M12" s="18" t="n">
        <v>10152.45</v>
      </c>
      <c r="N12" s="18" t="n">
        <v>10180.94</v>
      </c>
      <c r="O12" s="18" t="n">
        <v>9428.34</v>
      </c>
      <c r="P12" s="37" t="n">
        <v>9428.34</v>
      </c>
      <c r="Q12" s="18" t="n">
        <v>9614.559999999999</v>
      </c>
      <c r="R12" s="18" t="n">
        <v>9563.23</v>
      </c>
      <c r="S12" s="18" t="n">
        <v>11402.88</v>
      </c>
      <c r="T12" s="18" t="n">
        <v>12432.04</v>
      </c>
      <c r="U12" s="37" t="n">
        <v>12432.04</v>
      </c>
      <c r="V12" s="18" t="n">
        <v>9717.24</v>
      </c>
      <c r="W12" s="18" t="n">
        <v>10477.24</v>
      </c>
      <c r="X12" s="18" t="n">
        <v>9493.98</v>
      </c>
      <c r="Y12" s="18" t="n">
        <v>11355.36</v>
      </c>
      <c r="Z12" s="37" t="n">
        <v>11355.36</v>
      </c>
      <c r="AA12" s="18" t="n">
        <v>11428.02</v>
      </c>
      <c r="AB12" s="19" t="n">
        <v>11589</v>
      </c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242563.59</v>
      </c>
      <c r="F13" s="37" t="n">
        <v>242563.59</v>
      </c>
      <c r="G13" s="18" t="n">
        <v>241815.96</v>
      </c>
      <c r="H13" s="18" t="n">
        <v>240990.23</v>
      </c>
      <c r="I13" s="18" t="n">
        <v>268999.97</v>
      </c>
      <c r="J13" s="18" t="n">
        <v>269022.1</v>
      </c>
      <c r="K13" s="37" t="n">
        <v>269022.1</v>
      </c>
      <c r="L13" s="18" t="n">
        <v>268297.36</v>
      </c>
      <c r="M13" s="18" t="n">
        <v>267732.27</v>
      </c>
      <c r="N13" s="18" t="n">
        <v>269175.26</v>
      </c>
      <c r="O13" s="18" t="n">
        <v>265478.3</v>
      </c>
      <c r="P13" s="37" t="n">
        <v>265478.3</v>
      </c>
      <c r="Q13" s="18" t="n">
        <v>271141.38</v>
      </c>
      <c r="R13" s="18" t="n">
        <v>319600.89</v>
      </c>
      <c r="S13" s="18" t="n">
        <v>301607.11</v>
      </c>
      <c r="T13" s="18" t="n">
        <v>342400.16</v>
      </c>
      <c r="U13" s="37" t="n">
        <v>342400.16</v>
      </c>
      <c r="V13" s="18" t="n">
        <v>254075.32</v>
      </c>
      <c r="W13" s="18" t="n">
        <v>275664.84</v>
      </c>
      <c r="X13" s="18" t="n">
        <v>258717.7</v>
      </c>
      <c r="Y13" s="18" t="n">
        <v>246832.24</v>
      </c>
      <c r="Z13" s="37" t="n">
        <v>246832.24</v>
      </c>
      <c r="AA13" s="18" t="n">
        <v>247641.11</v>
      </c>
      <c r="AB13" s="19" t="n">
        <v>256314.63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장기금융자산</t>
        </is>
      </c>
      <c r="E14" s="18" t="n">
        <v>450.02</v>
      </c>
      <c r="F14" s="37" t="n">
        <v>450.02</v>
      </c>
      <c r="G14" s="18" t="n">
        <v>457.08</v>
      </c>
      <c r="H14" s="18" t="n">
        <v>464.15</v>
      </c>
      <c r="I14" s="18" t="n">
        <v>471.21</v>
      </c>
      <c r="J14" s="18" t="n">
        <v>793.28</v>
      </c>
      <c r="K14" s="37" t="n">
        <v>793.28</v>
      </c>
      <c r="L14" s="18" t="n">
        <v>780.4299999999999</v>
      </c>
      <c r="M14" s="18" t="n">
        <v>802.5</v>
      </c>
      <c r="N14" s="18" t="n">
        <v>1124.56</v>
      </c>
      <c r="O14" s="18" t="n">
        <v>546.63</v>
      </c>
      <c r="P14" s="37" t="n">
        <v>546.63</v>
      </c>
      <c r="Q14" s="18" t="n">
        <v>163301.11</v>
      </c>
      <c r="R14" s="18" t="n">
        <v>259602.28</v>
      </c>
      <c r="S14" s="18" t="n">
        <v>223664.12</v>
      </c>
      <c r="T14" s="18" t="n">
        <v>153422.9</v>
      </c>
      <c r="U14" s="37" t="n">
        <v>153422.9</v>
      </c>
      <c r="V14" s="18" t="n">
        <v>64102.96</v>
      </c>
      <c r="W14" s="18" t="n">
        <v>85622.53</v>
      </c>
      <c r="X14" s="18" t="n">
        <v>68949.58</v>
      </c>
      <c r="Y14" s="18" t="n">
        <v>54150.44</v>
      </c>
      <c r="Z14" s="37" t="n">
        <v>54150.44</v>
      </c>
      <c r="AA14" s="18" t="n">
        <v>55107.54</v>
      </c>
      <c r="AB14" s="19" t="n">
        <v>64246.27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투자자산</t>
        </is>
      </c>
      <c r="E15" s="18" t="n">
        <v>158969.93</v>
      </c>
      <c r="F15" s="37" t="n">
        <v>158969.93</v>
      </c>
      <c r="G15" s="18" t="n">
        <v>158976.99</v>
      </c>
      <c r="H15" s="18" t="n">
        <v>158984.06</v>
      </c>
      <c r="I15" s="18" t="n">
        <v>32232.05</v>
      </c>
      <c r="J15" s="18" t="n">
        <v>32554.12</v>
      </c>
      <c r="K15" s="37" t="n">
        <v>32554.12</v>
      </c>
      <c r="L15" s="18" t="n">
        <v>32541.27</v>
      </c>
      <c r="M15" s="18" t="n">
        <v>32563.34</v>
      </c>
      <c r="N15" s="18" t="n">
        <v>32885.4</v>
      </c>
      <c r="O15" s="18" t="n">
        <v>17591.48</v>
      </c>
      <c r="P15" s="37" t="n">
        <v>17591.48</v>
      </c>
      <c r="Q15" s="18" t="n">
        <v>180290.32</v>
      </c>
      <c r="R15" s="18" t="n">
        <v>276591.49</v>
      </c>
      <c r="S15" s="18" t="n">
        <v>240653.33</v>
      </c>
      <c r="T15" s="18" t="n">
        <v>170412.11</v>
      </c>
      <c r="U15" s="37" t="n">
        <v>170412.11</v>
      </c>
      <c r="V15" s="18" t="n">
        <v>81092.17</v>
      </c>
      <c r="W15" s="18" t="n">
        <v>102611.74</v>
      </c>
      <c r="X15" s="18" t="n">
        <v>85938.78999999999</v>
      </c>
      <c r="Y15" s="18" t="n">
        <v>165062.82</v>
      </c>
      <c r="Z15" s="37" t="n">
        <v>165062.82</v>
      </c>
      <c r="AA15" s="18" t="n">
        <v>166019.92</v>
      </c>
      <c r="AB15" s="19" t="n">
        <v>175158.65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장기매출채권및기타채권</t>
        </is>
      </c>
      <c r="E16" s="18" t="n">
        <v>42.79</v>
      </c>
      <c r="F16" s="37" t="n">
        <v>42.79</v>
      </c>
      <c r="G16" s="18" t="n">
        <v>51.04</v>
      </c>
      <c r="H16" s="18" t="n">
        <v>0.8</v>
      </c>
      <c r="I16" s="18" t="n">
        <v>0.8</v>
      </c>
      <c r="J16" s="18" t="n">
        <v>11.11</v>
      </c>
      <c r="K16" s="37" t="n">
        <v>11.11</v>
      </c>
      <c r="L16" s="18" t="n">
        <v>11.27</v>
      </c>
      <c r="M16" s="18" t="n">
        <v>11.33</v>
      </c>
      <c r="N16" s="18" t="n">
        <v>11.49</v>
      </c>
      <c r="O16" s="18" t="n">
        <v>21.09</v>
      </c>
      <c r="P16" s="37" t="n">
        <v>21.09</v>
      </c>
      <c r="Q16" s="18" t="n">
        <v>21.32</v>
      </c>
      <c r="R16" s="18" t="n">
        <v>21.55</v>
      </c>
      <c r="U16" s="9" t="n"/>
      <c r="Y16" s="18" t="n">
        <v>10.59</v>
      </c>
      <c r="Z16" s="37" t="n">
        <v>10.59</v>
      </c>
      <c r="AA16" s="18" t="n">
        <v>10.65</v>
      </c>
      <c r="AB16" s="19" t="n">
        <v>10.71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유형자산</t>
        </is>
      </c>
      <c r="E17" s="18" t="n">
        <v>65888.7</v>
      </c>
      <c r="F17" s="37" t="n">
        <v>65888.7</v>
      </c>
      <c r="G17" s="18" t="n">
        <v>65126.78</v>
      </c>
      <c r="H17" s="18" t="n">
        <v>64345.23</v>
      </c>
      <c r="I17" s="18" t="n">
        <v>63426.83</v>
      </c>
      <c r="J17" s="18" t="n">
        <v>62640.07</v>
      </c>
      <c r="K17" s="37" t="n">
        <v>62640.07</v>
      </c>
      <c r="L17" s="18" t="n">
        <v>62023.64</v>
      </c>
      <c r="M17" s="18" t="n">
        <v>61380.51</v>
      </c>
      <c r="N17" s="18" t="n">
        <v>60948.53</v>
      </c>
      <c r="O17" s="18" t="n">
        <v>60612.98</v>
      </c>
      <c r="P17" s="37" t="n">
        <v>60612.98</v>
      </c>
      <c r="Q17" s="18" t="n">
        <v>60327.09</v>
      </c>
      <c r="R17" s="18" t="n">
        <v>60467.22</v>
      </c>
      <c r="S17" s="18" t="n">
        <v>60619.86</v>
      </c>
      <c r="T17" s="18" t="n">
        <v>60359.02</v>
      </c>
      <c r="U17" s="37" t="n">
        <v>60359.02</v>
      </c>
      <c r="V17" s="18" t="n">
        <v>61527.22</v>
      </c>
      <c r="W17" s="18" t="n">
        <v>61696</v>
      </c>
      <c r="X17" s="18" t="n">
        <v>61720.64</v>
      </c>
      <c r="Y17" s="18" t="n">
        <v>63109.97</v>
      </c>
      <c r="Z17" s="37" t="n">
        <v>63109.97</v>
      </c>
      <c r="AA17" s="18" t="n">
        <v>62652.57</v>
      </c>
      <c r="AB17" s="19" t="n">
        <v>62113.07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투자부동산</t>
        </is>
      </c>
      <c r="E18" s="18" t="n">
        <v>17549.03</v>
      </c>
      <c r="F18" s="37" t="n">
        <v>17549.03</v>
      </c>
      <c r="G18" s="18" t="n">
        <v>17549.03</v>
      </c>
      <c r="H18" s="18" t="n">
        <v>17549.03</v>
      </c>
      <c r="I18" s="18" t="n">
        <v>17549.03</v>
      </c>
      <c r="J18" s="18" t="n">
        <v>17549.03</v>
      </c>
      <c r="K18" s="37" t="n">
        <v>17549.03</v>
      </c>
      <c r="L18" s="18" t="n">
        <v>17611.95</v>
      </c>
      <c r="M18" s="18" t="n">
        <v>17549.03</v>
      </c>
      <c r="N18" s="18" t="n">
        <v>19629.99</v>
      </c>
      <c r="O18" s="18" t="n">
        <v>19629.99</v>
      </c>
      <c r="P18" s="37" t="n">
        <v>19629.99</v>
      </c>
      <c r="Q18" s="18" t="n">
        <v>19629.99</v>
      </c>
      <c r="R18" s="18" t="n">
        <v>19629.99</v>
      </c>
      <c r="S18" s="18" t="n">
        <v>19645.99</v>
      </c>
      <c r="T18" s="18" t="n">
        <v>19645.99</v>
      </c>
      <c r="U18" s="37" t="n">
        <v>19645.99</v>
      </c>
      <c r="V18" s="18" t="n">
        <v>19645.99</v>
      </c>
      <c r="W18" s="18" t="n">
        <v>19645.99</v>
      </c>
      <c r="X18" s="18" t="n">
        <v>19645.99</v>
      </c>
      <c r="Y18" s="18" t="n">
        <v>18507.85</v>
      </c>
      <c r="Z18" s="37" t="n">
        <v>18507.85</v>
      </c>
      <c r="AA18" s="18" t="n">
        <v>18413.52</v>
      </c>
      <c r="AB18" s="19" t="n">
        <v>18134.29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115.18</v>
      </c>
      <c r="F19" s="37" t="n">
        <v>115.18</v>
      </c>
      <c r="G19" s="18" t="n">
        <v>115.18</v>
      </c>
      <c r="H19" s="18" t="n">
        <v>115.18</v>
      </c>
      <c r="I19" s="18" t="n">
        <v>115.18</v>
      </c>
      <c r="J19" s="18" t="n">
        <v>115.18</v>
      </c>
      <c r="K19" s="37" t="n">
        <v>115.18</v>
      </c>
      <c r="L19" s="18" t="n">
        <v>115.18</v>
      </c>
      <c r="M19" s="18" t="n">
        <v>115.18</v>
      </c>
      <c r="N19" s="18" t="n">
        <v>115.18</v>
      </c>
      <c r="O19" s="18" t="n">
        <v>115.18</v>
      </c>
      <c r="P19" s="37" t="n">
        <v>115.18</v>
      </c>
      <c r="Q19" s="18" t="n">
        <v>115.18</v>
      </c>
      <c r="R19" s="18" t="n">
        <v>115.18</v>
      </c>
      <c r="S19" s="18" t="n">
        <v>115.18</v>
      </c>
      <c r="T19" s="18" t="n">
        <v>115.18</v>
      </c>
      <c r="U19" s="37" t="n">
        <v>115.18</v>
      </c>
      <c r="V19" s="18" t="n">
        <v>115.18</v>
      </c>
      <c r="W19" s="18" t="n">
        <v>115.18</v>
      </c>
      <c r="X19" s="18" t="n">
        <v>115.18</v>
      </c>
      <c r="Y19" s="18" t="n">
        <v>115.18</v>
      </c>
      <c r="Z19" s="37" t="n">
        <v>115.18</v>
      </c>
      <c r="AA19" s="18" t="n">
        <v>523.1799999999999</v>
      </c>
      <c r="AB19" s="19" t="n">
        <v>523.1799999999999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종속기업및관계기업투자</t>
        </is>
      </c>
      <c r="E20" s="18" t="n">
        <v>158519.91</v>
      </c>
      <c r="F20" s="37" t="n">
        <v>158519.91</v>
      </c>
      <c r="G20" s="18" t="n">
        <v>158519.91</v>
      </c>
      <c r="H20" s="18" t="n">
        <v>158519.91</v>
      </c>
      <c r="I20" s="18" t="n">
        <v>31760.84</v>
      </c>
      <c r="J20" s="18" t="n">
        <v>31760.84</v>
      </c>
      <c r="K20" s="37" t="n">
        <v>31760.84</v>
      </c>
      <c r="L20" s="18" t="n">
        <v>31760.84</v>
      </c>
      <c r="M20" s="18" t="n">
        <v>31760.84</v>
      </c>
      <c r="N20" s="18" t="n">
        <v>31760.84</v>
      </c>
      <c r="O20" s="18" t="n">
        <v>17044.85</v>
      </c>
      <c r="P20" s="37" t="n">
        <v>17044.85</v>
      </c>
      <c r="Q20" s="18" t="n">
        <v>16989.21</v>
      </c>
      <c r="R20" s="18" t="n">
        <v>16989.21</v>
      </c>
      <c r="S20" s="18" t="n">
        <v>16989.21</v>
      </c>
      <c r="T20" s="18" t="n">
        <v>16989.21</v>
      </c>
      <c r="U20" s="37" t="n">
        <v>16989.21</v>
      </c>
      <c r="V20" s="18" t="n">
        <v>16989.21</v>
      </c>
      <c r="W20" s="18" t="n">
        <v>16989.21</v>
      </c>
      <c r="X20" s="18" t="n">
        <v>16989.21</v>
      </c>
      <c r="Y20" s="18" t="n">
        <v>110912.38</v>
      </c>
      <c r="Z20" s="37" t="n">
        <v>110912.38</v>
      </c>
      <c r="AA20" s="18" t="n">
        <v>110912.38</v>
      </c>
      <c r="AB20" s="19" t="n">
        <v>110912.38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이연법인세자산</t>
        </is>
      </c>
      <c r="E21" s="18" t="n">
        <v>0</v>
      </c>
      <c r="F21" s="37" t="n">
        <v>0</v>
      </c>
      <c r="J21" s="18" t="n">
        <v>0</v>
      </c>
      <c r="K21" s="37" t="n">
        <v>0</v>
      </c>
      <c r="P21" s="9" t="n"/>
      <c r="U21" s="9" t="n"/>
      <c r="Z21" s="9" t="n"/>
      <c r="AB21" s="5" t="n"/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278752.43</v>
      </c>
      <c r="F22" s="37" t="n">
        <v>278752.43</v>
      </c>
      <c r="G22" s="18" t="n">
        <v>275859.93</v>
      </c>
      <c r="H22" s="18" t="n">
        <v>295803.36</v>
      </c>
      <c r="I22" s="18" t="n">
        <v>301299.2</v>
      </c>
      <c r="J22" s="18" t="n">
        <v>302506.96</v>
      </c>
      <c r="K22" s="37" t="n">
        <v>302506.96</v>
      </c>
      <c r="L22" s="18" t="n">
        <v>301748.97</v>
      </c>
      <c r="M22" s="18" t="n">
        <v>301304.57</v>
      </c>
      <c r="N22" s="18" t="n">
        <v>318751.05</v>
      </c>
      <c r="O22" s="18" t="n">
        <v>324616.08</v>
      </c>
      <c r="P22" s="37" t="n">
        <v>324616.08</v>
      </c>
      <c r="Q22" s="18" t="n">
        <v>347151.45</v>
      </c>
      <c r="R22" s="18" t="n">
        <v>410917.05</v>
      </c>
      <c r="S22" s="18" t="n">
        <v>393025.8</v>
      </c>
      <c r="T22" s="18" t="n">
        <v>432867.47</v>
      </c>
      <c r="U22" s="37" t="n">
        <v>432867.47</v>
      </c>
      <c r="V22" s="18" t="n">
        <v>450440.91</v>
      </c>
      <c r="W22" s="18" t="n">
        <v>438712.76</v>
      </c>
      <c r="X22" s="18" t="n">
        <v>465818.51</v>
      </c>
      <c r="Y22" s="18" t="n">
        <v>457279.51</v>
      </c>
      <c r="Z22" s="37" t="n">
        <v>457279.51</v>
      </c>
      <c r="AA22" s="18" t="n">
        <v>444545.21</v>
      </c>
      <c r="AB22" s="19" t="n">
        <v>419385.31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99937.8</v>
      </c>
      <c r="F23" s="37" t="n">
        <v>99937.8</v>
      </c>
      <c r="G23" s="18" t="n">
        <v>94272.52</v>
      </c>
      <c r="H23" s="18" t="n">
        <v>102922.79</v>
      </c>
      <c r="I23" s="18" t="n">
        <v>102103.62</v>
      </c>
      <c r="J23" s="18" t="n">
        <v>103446.12</v>
      </c>
      <c r="K23" s="37" t="n">
        <v>103446.12</v>
      </c>
      <c r="L23" s="18" t="n">
        <v>102659.76</v>
      </c>
      <c r="M23" s="18" t="n">
        <v>100774.77</v>
      </c>
      <c r="N23" s="18" t="n">
        <v>119756.78</v>
      </c>
      <c r="O23" s="18" t="n">
        <v>120145.99</v>
      </c>
      <c r="P23" s="37" t="n">
        <v>120145.99</v>
      </c>
      <c r="Q23" s="18" t="n">
        <v>110795.22</v>
      </c>
      <c r="R23" s="18" t="n">
        <v>107665.34</v>
      </c>
      <c r="S23" s="18" t="n">
        <v>110270.74</v>
      </c>
      <c r="T23" s="18" t="n">
        <v>110910.57</v>
      </c>
      <c r="U23" s="37" t="n">
        <v>110910.57</v>
      </c>
      <c r="V23" s="18" t="n">
        <v>122707.2</v>
      </c>
      <c r="W23" s="18" t="n">
        <v>100919.11</v>
      </c>
      <c r="X23" s="18" t="n">
        <v>96826.82000000001</v>
      </c>
      <c r="Y23" s="18" t="n">
        <v>86337.67999999999</v>
      </c>
      <c r="Z23" s="37" t="n">
        <v>86337.67999999999</v>
      </c>
      <c r="AA23" s="18" t="n">
        <v>75604.14</v>
      </c>
      <c r="AB23" s="19" t="n">
        <v>39830.59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87297.24000000001</v>
      </c>
      <c r="F24" s="37" t="n">
        <v>87297.24000000001</v>
      </c>
      <c r="G24" s="18" t="n">
        <v>87194.34</v>
      </c>
      <c r="H24" s="18" t="n">
        <v>98194.89999999999</v>
      </c>
      <c r="I24" s="18" t="n">
        <v>97789.88</v>
      </c>
      <c r="J24" s="18" t="n">
        <v>98744.72</v>
      </c>
      <c r="K24" s="37" t="n">
        <v>98744.72</v>
      </c>
      <c r="L24" s="18" t="n">
        <v>98345.53999999999</v>
      </c>
      <c r="M24" s="18" t="n">
        <v>98606.07000000001</v>
      </c>
      <c r="N24" s="18" t="n">
        <v>117835.25</v>
      </c>
      <c r="O24" s="18" t="n">
        <v>119048.59</v>
      </c>
      <c r="P24" s="37" t="n">
        <v>119048.59</v>
      </c>
      <c r="Q24" s="18" t="n">
        <v>99973.39</v>
      </c>
      <c r="R24" s="18" t="n">
        <v>98743.38</v>
      </c>
      <c r="S24" s="18" t="n">
        <v>99686.3</v>
      </c>
      <c r="T24" s="18" t="n">
        <v>100342.3</v>
      </c>
      <c r="U24" s="37" t="n">
        <v>100342.3</v>
      </c>
      <c r="V24" s="18" t="n">
        <v>95847.42999999999</v>
      </c>
      <c r="W24" s="18" t="n">
        <v>78641.99000000001</v>
      </c>
      <c r="X24" s="18" t="n">
        <v>62491.52</v>
      </c>
      <c r="Y24" s="18" t="n">
        <v>7041.08</v>
      </c>
      <c r="Z24" s="37" t="n">
        <v>7041.08</v>
      </c>
      <c r="AA24" s="18" t="n">
        <v>20004.76</v>
      </c>
      <c r="AB24" s="19" t="n">
        <v>6167.87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단기차입금</t>
        </is>
      </c>
      <c r="E25" s="18" t="n">
        <v>81400</v>
      </c>
      <c r="F25" s="37" t="n">
        <v>81400</v>
      </c>
      <c r="G25" s="18" t="n">
        <v>81000</v>
      </c>
      <c r="H25" s="18" t="n">
        <v>86000</v>
      </c>
      <c r="I25" s="18" t="n">
        <v>86000</v>
      </c>
      <c r="J25" s="18" t="n">
        <v>86000</v>
      </c>
      <c r="K25" s="37" t="n">
        <v>86000</v>
      </c>
      <c r="L25" s="18" t="n">
        <v>86000</v>
      </c>
      <c r="M25" s="18" t="n">
        <v>86000</v>
      </c>
      <c r="N25" s="18" t="n">
        <v>91800</v>
      </c>
      <c r="O25" s="18" t="n">
        <v>91800</v>
      </c>
      <c r="P25" s="37" t="n">
        <v>91800</v>
      </c>
      <c r="Q25" s="18" t="n">
        <v>86800</v>
      </c>
      <c r="R25" s="18" t="n">
        <v>92300</v>
      </c>
      <c r="S25" s="18" t="n">
        <v>92650</v>
      </c>
      <c r="T25" s="18" t="n">
        <v>92650</v>
      </c>
      <c r="U25" s="37" t="n">
        <v>92650</v>
      </c>
      <c r="V25" s="18" t="n">
        <v>82650</v>
      </c>
      <c r="W25" s="18" t="n">
        <v>57650</v>
      </c>
      <c r="X25" s="18" t="n">
        <v>42000</v>
      </c>
      <c r="Y25" s="18" t="n">
        <v>30000</v>
      </c>
      <c r="Z25" s="37" t="n">
        <v>30000</v>
      </c>
      <c r="AA25" s="18" t="n">
        <v>30000</v>
      </c>
      <c r="AB25" s="19" t="n">
        <v>30000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유동성장기부채</t>
        </is>
      </c>
      <c r="E26" s="18" t="n">
        <v>67.8</v>
      </c>
      <c r="F26" s="37" t="n">
        <v>67.8</v>
      </c>
      <c r="G26" s="18" t="n">
        <v>67.8</v>
      </c>
      <c r="H26" s="18" t="n">
        <v>5591.3</v>
      </c>
      <c r="I26" s="18" t="n">
        <v>5752.22</v>
      </c>
      <c r="J26" s="18" t="n">
        <v>5913.18</v>
      </c>
      <c r="K26" s="37" t="n">
        <v>5913.18</v>
      </c>
      <c r="L26" s="18" t="n">
        <v>6070.63</v>
      </c>
      <c r="M26" s="18" t="n">
        <v>6240.28</v>
      </c>
      <c r="N26" s="18" t="n">
        <v>6404.89</v>
      </c>
      <c r="O26" s="18" t="n">
        <v>6574.85</v>
      </c>
      <c r="P26" s="37" t="n">
        <v>6574.85</v>
      </c>
      <c r="Q26" s="18" t="n">
        <v>6750.72</v>
      </c>
      <c r="R26" s="18" t="n">
        <v>0</v>
      </c>
      <c r="S26" s="18" t="n">
        <v>0</v>
      </c>
      <c r="T26" s="18" t="n">
        <v>0</v>
      </c>
      <c r="U26" s="37" t="n">
        <v>0</v>
      </c>
      <c r="W26" s="18" t="n">
        <v>14000</v>
      </c>
      <c r="X26" s="18" t="n">
        <v>14000</v>
      </c>
      <c r="Y26" s="18" t="n">
        <v>14000</v>
      </c>
      <c r="Z26" s="37" t="n">
        <v>14000</v>
      </c>
      <c r="AB26" s="19" t="n">
        <v>0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당기법인세부채(미지급법인세)</t>
        </is>
      </c>
      <c r="E27" s="18" t="n">
        <v>12640.56</v>
      </c>
      <c r="F27" s="37" t="n">
        <v>12640.56</v>
      </c>
      <c r="G27" s="18" t="n">
        <v>7078.18</v>
      </c>
      <c r="H27" s="18" t="n">
        <v>414.15</v>
      </c>
      <c r="J27" s="18" t="n">
        <v>894.13</v>
      </c>
      <c r="K27" s="37" t="n">
        <v>894.13</v>
      </c>
      <c r="L27" s="18" t="n">
        <v>506.96</v>
      </c>
      <c r="M27" s="18" t="n">
        <v>367.4</v>
      </c>
      <c r="N27" s="18" t="n">
        <v>120.23</v>
      </c>
      <c r="O27" s="18" t="n">
        <v>0</v>
      </c>
      <c r="P27" s="37" t="n">
        <v>0</v>
      </c>
      <c r="Q27" s="18" t="n">
        <v>9724.43</v>
      </c>
      <c r="R27" s="18" t="n">
        <v>8921.959999999999</v>
      </c>
      <c r="S27" s="18" t="n">
        <v>10584.43</v>
      </c>
      <c r="T27" s="18" t="n">
        <v>10568.27</v>
      </c>
      <c r="U27" s="37" t="n">
        <v>10568.27</v>
      </c>
      <c r="V27" s="18" t="n">
        <v>26859.77</v>
      </c>
      <c r="W27" s="18" t="n">
        <v>22277.12</v>
      </c>
      <c r="X27" s="18" t="n">
        <v>34335.3</v>
      </c>
      <c r="Y27" s="18" t="n">
        <v>34323.56</v>
      </c>
      <c r="Z27" s="37" t="n">
        <v>34323.56</v>
      </c>
      <c r="AA27" s="18" t="n">
        <v>19594.69</v>
      </c>
      <c r="AB27" s="19" t="n">
        <v>2260.97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비유동부채</t>
        </is>
      </c>
      <c r="E28" s="18" t="n">
        <v>2443.4</v>
      </c>
      <c r="F28" s="37" t="n">
        <v>2443.4</v>
      </c>
      <c r="G28" s="18" t="n">
        <v>2494.31</v>
      </c>
      <c r="H28" s="18" t="n">
        <v>7819.94</v>
      </c>
      <c r="I28" s="18" t="n">
        <v>8054.85</v>
      </c>
      <c r="J28" s="18" t="n">
        <v>7515.21</v>
      </c>
      <c r="K28" s="37" t="n">
        <v>7515.21</v>
      </c>
      <c r="L28" s="18" t="n">
        <v>7646.58</v>
      </c>
      <c r="M28" s="18" t="n">
        <v>7787.73</v>
      </c>
      <c r="N28" s="18" t="n">
        <v>7958.88</v>
      </c>
      <c r="O28" s="18" t="n">
        <v>8531.07</v>
      </c>
      <c r="P28" s="37" t="n">
        <v>8531.07</v>
      </c>
      <c r="Q28" s="18" t="n">
        <v>11676.95</v>
      </c>
      <c r="R28" s="18" t="n">
        <v>30719.45</v>
      </c>
      <c r="S28" s="18" t="n">
        <v>26015.72</v>
      </c>
      <c r="T28" s="18" t="n">
        <v>37355.79</v>
      </c>
      <c r="U28" s="37" t="n">
        <v>37355.79</v>
      </c>
      <c r="V28" s="18" t="n">
        <v>24252.28</v>
      </c>
      <c r="W28" s="18" t="n">
        <v>15029.9</v>
      </c>
      <c r="X28" s="18" t="n">
        <v>13181.25</v>
      </c>
      <c r="Y28" s="18" t="n">
        <v>11001.07</v>
      </c>
      <c r="Z28" s="37" t="n">
        <v>11001.07</v>
      </c>
      <c r="AA28" s="18" t="n">
        <v>11311.78</v>
      </c>
      <c r="AB28" s="19" t="n">
        <v>12948.03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장기매입채무및기타채무</t>
        </is>
      </c>
      <c r="E29" s="18" t="n">
        <v>341.64</v>
      </c>
      <c r="F29" s="37" t="n">
        <v>341.64</v>
      </c>
      <c r="G29" s="18" t="n">
        <v>315.67</v>
      </c>
      <c r="H29" s="18" t="n">
        <v>5781.22</v>
      </c>
      <c r="I29" s="18" t="n">
        <v>5911.67</v>
      </c>
      <c r="J29" s="18" t="n">
        <v>6087.36</v>
      </c>
      <c r="K29" s="37" t="n">
        <v>6087.36</v>
      </c>
      <c r="L29" s="18" t="n">
        <v>6211.96</v>
      </c>
      <c r="M29" s="18" t="n">
        <v>6346.36</v>
      </c>
      <c r="N29" s="18" t="n">
        <v>6510.73</v>
      </c>
      <c r="O29" s="18" t="n">
        <v>6728.42</v>
      </c>
      <c r="P29" s="37" t="n">
        <v>6728.42</v>
      </c>
      <c r="Q29" s="18" t="n">
        <v>6899.47</v>
      </c>
      <c r="R29" s="18" t="n">
        <v>14141.3</v>
      </c>
      <c r="S29" s="18" t="n">
        <v>14085.29</v>
      </c>
      <c r="T29" s="18" t="n">
        <v>14070.03</v>
      </c>
      <c r="U29" s="37" t="n">
        <v>14070.03</v>
      </c>
      <c r="V29" s="18" t="n">
        <v>14042.38</v>
      </c>
      <c r="W29" s="18" t="n">
        <v>30.9</v>
      </c>
      <c r="X29" s="18" t="n">
        <v>19.51</v>
      </c>
      <c r="Y29" s="18" t="n">
        <v>7.02</v>
      </c>
      <c r="Z29" s="37" t="n">
        <v>7.02</v>
      </c>
      <c r="AB29" s="5" t="n"/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장기차입금</t>
        </is>
      </c>
      <c r="E30" s="18" t="n">
        <v>101.7</v>
      </c>
      <c r="F30" s="37" t="n">
        <v>101.7</v>
      </c>
      <c r="G30" s="18" t="n">
        <v>84.75</v>
      </c>
      <c r="H30" s="18" t="n">
        <v>67.8</v>
      </c>
      <c r="I30" s="18" t="n">
        <v>50.85</v>
      </c>
      <c r="J30" s="18" t="n">
        <v>33.9</v>
      </c>
      <c r="K30" s="37" t="n">
        <v>33.9</v>
      </c>
      <c r="L30" s="18" t="n">
        <v>16.95</v>
      </c>
      <c r="O30" s="18" t="n">
        <v>0</v>
      </c>
      <c r="P30" s="37" t="n">
        <v>0</v>
      </c>
      <c r="Q30" s="18" t="n">
        <v>0</v>
      </c>
      <c r="R30" s="18" t="n">
        <v>14000</v>
      </c>
      <c r="S30" s="18" t="n">
        <v>14000</v>
      </c>
      <c r="T30" s="18" t="n">
        <v>14000</v>
      </c>
      <c r="U30" s="37" t="n">
        <v>14000</v>
      </c>
      <c r="V30" s="18" t="n">
        <v>14000</v>
      </c>
      <c r="Z30" s="9" t="n"/>
      <c r="AB30" s="5" t="n"/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확정급여부채</t>
        </is>
      </c>
      <c r="E31" s="18" t="n">
        <v>342.19</v>
      </c>
      <c r="F31" s="37" t="n">
        <v>342.19</v>
      </c>
      <c r="G31" s="18" t="n">
        <v>456.38</v>
      </c>
      <c r="H31" s="18" t="n">
        <v>254.14</v>
      </c>
      <c r="I31" s="18" t="n">
        <v>351.84</v>
      </c>
      <c r="J31" s="18" t="n">
        <v>0</v>
      </c>
      <c r="K31" s="37" t="n">
        <v>0</v>
      </c>
      <c r="O31" s="18" t="n">
        <v>50.04</v>
      </c>
      <c r="P31" s="37" t="n">
        <v>50.04</v>
      </c>
      <c r="Q31" s="18" t="n">
        <v>162.47</v>
      </c>
      <c r="R31" s="18" t="n">
        <v>0</v>
      </c>
      <c r="S31" s="18" t="n">
        <v>0</v>
      </c>
      <c r="T31" s="18" t="n">
        <v>62.38</v>
      </c>
      <c r="U31" s="37" t="n">
        <v>62.38</v>
      </c>
      <c r="V31" s="18" t="n">
        <v>188.32</v>
      </c>
      <c r="W31" s="18" t="n">
        <v>12.36</v>
      </c>
      <c r="X31" s="18" t="n">
        <v>159.84</v>
      </c>
      <c r="Y31" s="18" t="n">
        <v>139.5</v>
      </c>
      <c r="Z31" s="37" t="n">
        <v>139.5</v>
      </c>
      <c r="AA31" s="18" t="n">
        <v>288.27</v>
      </c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이연법인세부채</t>
        </is>
      </c>
      <c r="E32" s="18" t="n">
        <v>1879.54</v>
      </c>
      <c r="F32" s="37" t="n">
        <v>1879.54</v>
      </c>
      <c r="G32" s="18" t="n">
        <v>1837.73</v>
      </c>
      <c r="H32" s="18" t="n">
        <v>1879.54</v>
      </c>
      <c r="I32" s="18" t="n">
        <v>1879.54</v>
      </c>
      <c r="J32" s="18" t="n">
        <v>1509.28</v>
      </c>
      <c r="K32" s="37" t="n">
        <v>1509.28</v>
      </c>
      <c r="L32" s="18" t="n">
        <v>1509.28</v>
      </c>
      <c r="M32" s="18" t="n">
        <v>1509.28</v>
      </c>
      <c r="N32" s="18" t="n">
        <v>1509.28</v>
      </c>
      <c r="O32" s="18" t="n">
        <v>1806.99</v>
      </c>
      <c r="P32" s="37" t="n">
        <v>1806.99</v>
      </c>
      <c r="Q32" s="18" t="n">
        <v>4662.62</v>
      </c>
      <c r="R32" s="18" t="n">
        <v>16618.99</v>
      </c>
      <c r="S32" s="18" t="n">
        <v>11930.43</v>
      </c>
      <c r="T32" s="18" t="n">
        <v>23223.39</v>
      </c>
      <c r="U32" s="37" t="n">
        <v>23223.39</v>
      </c>
      <c r="V32" s="18" t="n">
        <v>10021.59</v>
      </c>
      <c r="W32" s="18" t="n">
        <v>14986.64</v>
      </c>
      <c r="X32" s="18" t="n">
        <v>13001.91</v>
      </c>
      <c r="Y32" s="18" t="n">
        <v>10846.72</v>
      </c>
      <c r="Z32" s="37" t="n">
        <v>10846.72</v>
      </c>
      <c r="AA32" s="18" t="n">
        <v>11020.37</v>
      </c>
      <c r="AB32" s="19" t="n">
        <v>12948.03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부채총계</t>
        </is>
      </c>
      <c r="E33" s="18" t="n">
        <v>102381.19</v>
      </c>
      <c r="F33" s="37" t="n">
        <v>102381.19</v>
      </c>
      <c r="G33" s="18" t="n">
        <v>96766.83</v>
      </c>
      <c r="H33" s="18" t="n">
        <v>110742.73</v>
      </c>
      <c r="I33" s="18" t="n">
        <v>110158.47</v>
      </c>
      <c r="J33" s="18" t="n">
        <v>110961.33</v>
      </c>
      <c r="K33" s="37" t="n">
        <v>110961.33</v>
      </c>
      <c r="L33" s="18" t="n">
        <v>110306.34</v>
      </c>
      <c r="M33" s="18" t="n">
        <v>108562.5</v>
      </c>
      <c r="N33" s="18" t="n">
        <v>127715.66</v>
      </c>
      <c r="O33" s="18" t="n">
        <v>128677.05</v>
      </c>
      <c r="P33" s="37" t="n">
        <v>128677.05</v>
      </c>
      <c r="Q33" s="18" t="n">
        <v>122472.18</v>
      </c>
      <c r="R33" s="18" t="n">
        <v>138384.79</v>
      </c>
      <c r="S33" s="18" t="n">
        <v>136286.45</v>
      </c>
      <c r="T33" s="18" t="n">
        <v>148266.36</v>
      </c>
      <c r="U33" s="37" t="n">
        <v>148266.36</v>
      </c>
      <c r="V33" s="18" t="n">
        <v>146959.48</v>
      </c>
      <c r="W33" s="18" t="n">
        <v>115949.01</v>
      </c>
      <c r="X33" s="18" t="n">
        <v>110008.07</v>
      </c>
      <c r="Y33" s="18" t="n">
        <v>97338.75</v>
      </c>
      <c r="Z33" s="37" t="n">
        <v>97338.75</v>
      </c>
      <c r="AA33" s="18" t="n">
        <v>86915.92</v>
      </c>
      <c r="AB33" s="19" t="n">
        <v>52778.62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자본금</t>
        </is>
      </c>
      <c r="E34" s="18" t="n">
        <v>4665.85</v>
      </c>
      <c r="F34" s="37" t="n">
        <v>4665.85</v>
      </c>
      <c r="G34" s="18" t="n">
        <v>4665.85</v>
      </c>
      <c r="H34" s="18" t="n">
        <v>4665.85</v>
      </c>
      <c r="I34" s="18" t="n">
        <v>4665.85</v>
      </c>
      <c r="J34" s="18" t="n">
        <v>4665.85</v>
      </c>
      <c r="K34" s="37" t="n">
        <v>4665.85</v>
      </c>
      <c r="L34" s="18" t="n">
        <v>4665.85</v>
      </c>
      <c r="M34" s="18" t="n">
        <v>4665.85</v>
      </c>
      <c r="N34" s="18" t="n">
        <v>4665.85</v>
      </c>
      <c r="O34" s="18" t="n">
        <v>4665.85</v>
      </c>
      <c r="P34" s="37" t="n">
        <v>4665.85</v>
      </c>
      <c r="Q34" s="18" t="n">
        <v>4665.85</v>
      </c>
      <c r="R34" s="18" t="n">
        <v>4940.08</v>
      </c>
      <c r="S34" s="18" t="n">
        <v>4940.08</v>
      </c>
      <c r="T34" s="18" t="n">
        <v>4940.08</v>
      </c>
      <c r="U34" s="37" t="n">
        <v>4940.08</v>
      </c>
      <c r="V34" s="18" t="n">
        <v>4940.08</v>
      </c>
      <c r="W34" s="18" t="n">
        <v>4940.08</v>
      </c>
      <c r="X34" s="18" t="n">
        <v>4940.08</v>
      </c>
      <c r="Y34" s="18" t="n">
        <v>4940.08</v>
      </c>
      <c r="Z34" s="37" t="n">
        <v>4940.08</v>
      </c>
      <c r="AA34" s="18" t="n">
        <v>4940.08</v>
      </c>
      <c r="AB34" s="19" t="n">
        <v>4940.08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보통주자본금</t>
        </is>
      </c>
      <c r="E35" s="18" t="n">
        <v>4665.85</v>
      </c>
      <c r="F35" s="37" t="n">
        <v>4665.85</v>
      </c>
      <c r="G35" s="18" t="n">
        <v>4665.85</v>
      </c>
      <c r="H35" s="18" t="n">
        <v>4665.85</v>
      </c>
      <c r="I35" s="18" t="n">
        <v>4665.85</v>
      </c>
      <c r="J35" s="18" t="n">
        <v>4665.85</v>
      </c>
      <c r="K35" s="37" t="n">
        <v>4665.85</v>
      </c>
      <c r="L35" s="18" t="n">
        <v>4665.85</v>
      </c>
      <c r="M35" s="18" t="n">
        <v>4665.85</v>
      </c>
      <c r="N35" s="18" t="n">
        <v>4665.85</v>
      </c>
      <c r="O35" s="18" t="n">
        <v>4665.85</v>
      </c>
      <c r="P35" s="37" t="n">
        <v>4665.85</v>
      </c>
      <c r="Q35" s="18" t="n">
        <v>4665.85</v>
      </c>
      <c r="R35" s="18" t="n">
        <v>4940.08</v>
      </c>
      <c r="S35" s="18" t="n">
        <v>4940.08</v>
      </c>
      <c r="T35" s="18" t="n">
        <v>4940.08</v>
      </c>
      <c r="U35" s="37" t="n">
        <v>4940.08</v>
      </c>
      <c r="V35" s="18" t="n">
        <v>4940.08</v>
      </c>
      <c r="W35" s="18" t="n">
        <v>4940.08</v>
      </c>
      <c r="X35" s="18" t="n">
        <v>4940.08</v>
      </c>
      <c r="Z35" s="9" t="n"/>
      <c r="AB35" s="5" t="n"/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자본잉여금</t>
        </is>
      </c>
      <c r="E36" s="18" t="n">
        <v>94556.36</v>
      </c>
      <c r="F36" s="37" t="n">
        <v>94556.36</v>
      </c>
      <c r="G36" s="18" t="n">
        <v>94556.36</v>
      </c>
      <c r="H36" s="18" t="n">
        <v>94556.36</v>
      </c>
      <c r="I36" s="18" t="n">
        <v>94556.36</v>
      </c>
      <c r="J36" s="18" t="n">
        <v>94556.36</v>
      </c>
      <c r="K36" s="37" t="n">
        <v>94556.36</v>
      </c>
      <c r="L36" s="18" t="n">
        <v>94556.36</v>
      </c>
      <c r="M36" s="18" t="n">
        <v>94556.36</v>
      </c>
      <c r="N36" s="18" t="n">
        <v>94556.36</v>
      </c>
      <c r="O36" s="18" t="n">
        <v>13998.36</v>
      </c>
      <c r="P36" s="37" t="n">
        <v>13998.36</v>
      </c>
      <c r="Q36" s="18" t="n">
        <v>13998.36</v>
      </c>
      <c r="R36" s="18" t="n">
        <v>40596.48</v>
      </c>
      <c r="S36" s="18" t="n">
        <v>40596.48</v>
      </c>
      <c r="T36" s="18" t="n">
        <v>40596.48</v>
      </c>
      <c r="U36" s="37" t="n">
        <v>40596.48</v>
      </c>
      <c r="V36" s="18" t="n">
        <v>27976.48</v>
      </c>
      <c r="W36" s="18" t="n">
        <v>27976.48</v>
      </c>
      <c r="X36" s="18" t="n">
        <v>27976.48</v>
      </c>
      <c r="Y36" s="18" t="n">
        <v>13839.98</v>
      </c>
      <c r="Z36" s="37" t="n">
        <v>13839.98</v>
      </c>
      <c r="AA36" s="18" t="n">
        <v>11050.66</v>
      </c>
      <c r="AB36" s="19" t="n">
        <v>13839.98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기타자본</t>
        </is>
      </c>
      <c r="E37" s="18" t="n">
        <v>-4378.76</v>
      </c>
      <c r="F37" s="37" t="n">
        <v>-4378.76</v>
      </c>
      <c r="G37" s="18" t="n">
        <v>-296.52</v>
      </c>
      <c r="H37" s="18" t="n">
        <v>-296.52</v>
      </c>
      <c r="I37" s="18" t="n">
        <v>-296.52</v>
      </c>
      <c r="J37" s="18" t="n">
        <v>-296.52</v>
      </c>
      <c r="K37" s="37" t="n">
        <v>-296.52</v>
      </c>
      <c r="L37" s="18" t="n">
        <v>-296.52</v>
      </c>
      <c r="M37" s="18" t="n">
        <v>-296.52</v>
      </c>
      <c r="N37" s="18" t="n">
        <v>-4449.82</v>
      </c>
      <c r="O37" s="18" t="n">
        <v>-6249.78</v>
      </c>
      <c r="P37" s="37" t="n">
        <v>-6249.78</v>
      </c>
      <c r="Q37" s="18" t="n">
        <v>21331.82</v>
      </c>
      <c r="R37" s="18" t="n">
        <v>94770.03999999999</v>
      </c>
      <c r="S37" s="18" t="n">
        <v>62531.91</v>
      </c>
      <c r="T37" s="18" t="n">
        <v>116358.28</v>
      </c>
      <c r="U37" s="37" t="n">
        <v>116358.28</v>
      </c>
      <c r="V37" s="18" t="n">
        <v>42684.96</v>
      </c>
      <c r="W37" s="18" t="n">
        <v>73200.86</v>
      </c>
      <c r="X37" s="18" t="n">
        <v>84439.60000000001</v>
      </c>
      <c r="Y37" s="18" t="n">
        <v>32296.42</v>
      </c>
      <c r="Z37" s="37" t="n">
        <v>32296.42</v>
      </c>
      <c r="AA37" s="18" t="n">
        <v>32853.57</v>
      </c>
      <c r="AB37" s="19" t="n">
        <v>39771.58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이익잉여금</t>
        </is>
      </c>
      <c r="E38" s="18" t="n">
        <v>126616.58</v>
      </c>
      <c r="F38" s="37" t="n">
        <v>126616.58</v>
      </c>
      <c r="G38" s="18" t="n">
        <v>127297.33</v>
      </c>
      <c r="H38" s="18" t="n">
        <v>133264.86</v>
      </c>
      <c r="I38" s="18" t="n">
        <v>139344.95</v>
      </c>
      <c r="J38" s="18" t="n">
        <v>139749.86</v>
      </c>
      <c r="K38" s="37" t="n">
        <v>139749.86</v>
      </c>
      <c r="L38" s="18" t="n">
        <v>139646.85</v>
      </c>
      <c r="M38" s="18" t="n">
        <v>140946.29</v>
      </c>
      <c r="N38" s="18" t="n">
        <v>141316.27</v>
      </c>
      <c r="O38" s="18" t="n">
        <v>187398.89</v>
      </c>
      <c r="P38" s="37" t="n">
        <v>187398.89</v>
      </c>
      <c r="Q38" s="18" t="n">
        <v>202348.33</v>
      </c>
      <c r="R38" s="18" t="n">
        <v>199908.92</v>
      </c>
      <c r="S38" s="18" t="n">
        <v>200235.06</v>
      </c>
      <c r="T38" s="18" t="n">
        <v>201183.65</v>
      </c>
      <c r="U38" s="37" t="n">
        <v>201183.65</v>
      </c>
      <c r="V38" s="18" t="n">
        <v>263210.62</v>
      </c>
      <c r="W38" s="18" t="n">
        <v>267234.99</v>
      </c>
      <c r="X38" s="18" t="n">
        <v>294662.32</v>
      </c>
      <c r="Y38" s="18" t="n">
        <v>308864.28</v>
      </c>
      <c r="Z38" s="37" t="n">
        <v>308864.28</v>
      </c>
      <c r="AA38" s="18" t="n">
        <v>308784.97</v>
      </c>
      <c r="AB38" s="19" t="n">
        <v>308055.04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자본총계</t>
        </is>
      </c>
      <c r="E39" s="18" t="n">
        <v>176371.23</v>
      </c>
      <c r="F39" s="37" t="n">
        <v>176371.23</v>
      </c>
      <c r="G39" s="18" t="n">
        <v>179093.11</v>
      </c>
      <c r="H39" s="18" t="n">
        <v>185060.63</v>
      </c>
      <c r="I39" s="18" t="n">
        <v>191140.72</v>
      </c>
      <c r="J39" s="18" t="n">
        <v>191545.63</v>
      </c>
      <c r="K39" s="37" t="n">
        <v>191545.63</v>
      </c>
      <c r="L39" s="18" t="n">
        <v>191442.63</v>
      </c>
      <c r="M39" s="18" t="n">
        <v>192742.06</v>
      </c>
      <c r="N39" s="18" t="n">
        <v>191035.39</v>
      </c>
      <c r="O39" s="18" t="n">
        <v>195939.03</v>
      </c>
      <c r="P39" s="37" t="n">
        <v>195939.03</v>
      </c>
      <c r="Q39" s="18" t="n">
        <v>224679.27</v>
      </c>
      <c r="R39" s="18" t="n">
        <v>272532.26</v>
      </c>
      <c r="S39" s="18" t="n">
        <v>256739.34</v>
      </c>
      <c r="T39" s="18" t="n">
        <v>284601.11</v>
      </c>
      <c r="U39" s="37" t="n">
        <v>284601.11</v>
      </c>
      <c r="V39" s="18" t="n">
        <v>303481.43</v>
      </c>
      <c r="W39" s="18" t="n">
        <v>322763.75</v>
      </c>
      <c r="X39" s="18" t="n">
        <v>355810.44</v>
      </c>
      <c r="Y39" s="18" t="n">
        <v>359940.77</v>
      </c>
      <c r="Z39" s="37" t="n">
        <v>359940.77</v>
      </c>
      <c r="AA39" s="18" t="n">
        <v>357629.29</v>
      </c>
      <c r="AB39" s="19" t="n">
        <v>366606.69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부채와자본총계</t>
        </is>
      </c>
      <c r="E40" s="18" t="n">
        <v>278752.43</v>
      </c>
      <c r="F40" s="37" t="n">
        <v>278752.43</v>
      </c>
      <c r="G40" s="18" t="n">
        <v>275859.93</v>
      </c>
      <c r="H40" s="18" t="n">
        <v>295803.36</v>
      </c>
      <c r="I40" s="18" t="n">
        <v>301299.2</v>
      </c>
      <c r="J40" s="18" t="n">
        <v>302506.96</v>
      </c>
      <c r="K40" s="37" t="n">
        <v>302506.96</v>
      </c>
      <c r="L40" s="18" t="n">
        <v>301748.97</v>
      </c>
      <c r="M40" s="18" t="n">
        <v>301304.57</v>
      </c>
      <c r="N40" s="18" t="n">
        <v>318751.05</v>
      </c>
      <c r="O40" s="18" t="n">
        <v>324616.08</v>
      </c>
      <c r="P40" s="37" t="n">
        <v>324616.08</v>
      </c>
      <c r="Q40" s="18" t="n">
        <v>347151.45</v>
      </c>
      <c r="R40" s="18" t="n">
        <v>410917.05</v>
      </c>
      <c r="S40" s="18" t="n">
        <v>393025.8</v>
      </c>
      <c r="T40" s="18" t="n">
        <v>432867.47</v>
      </c>
      <c r="U40" s="37" t="n">
        <v>432867.47</v>
      </c>
      <c r="V40" s="18" t="n">
        <v>450440.91</v>
      </c>
      <c r="W40" s="18" t="n">
        <v>438712.76</v>
      </c>
      <c r="X40" s="18" t="n">
        <v>465818.51</v>
      </c>
      <c r="Y40" s="18" t="n">
        <v>457279.51</v>
      </c>
      <c r="Z40" s="37" t="n">
        <v>457279.51</v>
      </c>
      <c r="AA40" s="18" t="n">
        <v>444545.21</v>
      </c>
      <c r="AB40" s="19" t="n">
        <v>419385.31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지배주주지분</t>
        </is>
      </c>
      <c r="E41" s="18" t="n">
        <v>176371.23</v>
      </c>
      <c r="F41" s="37" t="n">
        <v>176371.23</v>
      </c>
      <c r="G41" s="18" t="n">
        <v>179093.11</v>
      </c>
      <c r="H41" s="18" t="n">
        <v>185060.63</v>
      </c>
      <c r="I41" s="18" t="n">
        <v>191140.72</v>
      </c>
      <c r="J41" s="18" t="n">
        <v>191545.63</v>
      </c>
      <c r="K41" s="37" t="n">
        <v>191545.63</v>
      </c>
      <c r="L41" s="18" t="n">
        <v>191442.63</v>
      </c>
      <c r="M41" s="18" t="n">
        <v>192742.06</v>
      </c>
      <c r="N41" s="18" t="n">
        <v>191035.39</v>
      </c>
      <c r="O41" s="18" t="n">
        <v>195939.03</v>
      </c>
      <c r="P41" s="37" t="n">
        <v>195939.03</v>
      </c>
      <c r="Q41" s="18" t="n">
        <v>224679.27</v>
      </c>
      <c r="R41" s="18" t="n">
        <v>272532.26</v>
      </c>
      <c r="S41" s="18" t="n">
        <v>256739.34</v>
      </c>
      <c r="T41" s="18" t="n">
        <v>284601.11</v>
      </c>
      <c r="U41" s="37" t="n">
        <v>284601.11</v>
      </c>
      <c r="V41" s="18" t="n">
        <v>303481.43</v>
      </c>
      <c r="W41" s="18" t="n">
        <v>322763.75</v>
      </c>
      <c r="X41" s="18" t="n">
        <v>355810.44</v>
      </c>
      <c r="Y41" s="18" t="n">
        <v>359940.77</v>
      </c>
      <c r="Z41" s="37" t="n">
        <v>359940.77</v>
      </c>
      <c r="AA41" s="18" t="n">
        <v>357629.29</v>
      </c>
      <c r="AB41" s="19" t="n">
        <v>366606.69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총차입금</t>
        </is>
      </c>
      <c r="E42" s="18" t="n">
        <v>81569.5</v>
      </c>
      <c r="F42" s="37" t="n">
        <v>81569.5</v>
      </c>
      <c r="G42" s="18" t="n">
        <v>81152.55</v>
      </c>
      <c r="H42" s="18" t="n">
        <v>97182.60000000001</v>
      </c>
      <c r="I42" s="18" t="n">
        <v>97487.49000000001</v>
      </c>
      <c r="J42" s="18" t="n">
        <v>97792.46000000001</v>
      </c>
      <c r="K42" s="37" t="n">
        <v>97792.46000000001</v>
      </c>
      <c r="L42" s="18" t="n">
        <v>98090.41</v>
      </c>
      <c r="M42" s="18" t="n">
        <v>98412.75999999999</v>
      </c>
      <c r="N42" s="18" t="n">
        <v>104558.93</v>
      </c>
      <c r="O42" s="18" t="n">
        <v>104915.8</v>
      </c>
      <c r="P42" s="37" t="n">
        <v>104915.8</v>
      </c>
      <c r="Q42" s="18" t="n">
        <v>100284.49</v>
      </c>
      <c r="R42" s="18" t="n">
        <v>106300</v>
      </c>
      <c r="S42" s="18" t="n">
        <v>106650</v>
      </c>
      <c r="T42" s="18" t="n">
        <v>106650</v>
      </c>
      <c r="U42" s="37" t="n">
        <v>106650</v>
      </c>
      <c r="V42" s="18" t="n">
        <v>96650</v>
      </c>
      <c r="W42" s="18" t="n">
        <v>71650</v>
      </c>
      <c r="X42" s="18" t="n">
        <v>56000</v>
      </c>
      <c r="Y42" s="18" t="n">
        <v>44000</v>
      </c>
      <c r="Z42" s="37" t="n">
        <v>44000</v>
      </c>
      <c r="AA42" s="18" t="n">
        <v>30000</v>
      </c>
      <c r="AB42" s="19" t="n">
        <v>30000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순차입금</t>
        </is>
      </c>
      <c r="E43" s="18" t="n">
        <v>65766.46000000001</v>
      </c>
      <c r="F43" s="37" t="n">
        <v>65766.46000000001</v>
      </c>
      <c r="G43" s="18" t="n">
        <v>68215.13</v>
      </c>
      <c r="H43" s="18" t="n">
        <v>63408.26</v>
      </c>
      <c r="I43" s="18" t="n">
        <v>87710.59</v>
      </c>
      <c r="J43" s="18" t="n">
        <v>90467.98</v>
      </c>
      <c r="K43" s="37" t="n">
        <v>90467.98</v>
      </c>
      <c r="L43" s="18" t="n">
        <v>89893.17</v>
      </c>
      <c r="M43" s="18" t="n">
        <v>87855.44</v>
      </c>
      <c r="N43" s="18" t="n">
        <v>75923.94</v>
      </c>
      <c r="O43" s="18" t="n">
        <v>69462.66</v>
      </c>
      <c r="P43" s="37" t="n">
        <v>69462.66</v>
      </c>
      <c r="Q43" s="18" t="n">
        <v>46812.21</v>
      </c>
      <c r="R43" s="18" t="n">
        <v>39846.22</v>
      </c>
      <c r="S43" s="18" t="n">
        <v>49022.92</v>
      </c>
      <c r="T43" s="18" t="n">
        <v>54506.6</v>
      </c>
      <c r="U43" s="37" t="n">
        <v>54506.6</v>
      </c>
      <c r="V43" s="18" t="n">
        <v>-61195.74</v>
      </c>
      <c r="W43" s="18" t="n">
        <v>-54522.97</v>
      </c>
      <c r="X43" s="18" t="n">
        <v>-127154.9</v>
      </c>
      <c r="Y43" s="18" t="n">
        <v>30311.51</v>
      </c>
      <c r="Z43" s="37" t="n">
        <v>30311.51</v>
      </c>
      <c r="AA43" s="18" t="n">
        <v>17881.5</v>
      </c>
      <c r="AB43" s="19" t="n">
        <v>18004.61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이자발생자산</t>
        </is>
      </c>
      <c r="E44" s="18" t="n">
        <v>16253.06</v>
      </c>
      <c r="F44" s="37" t="n">
        <v>16253.06</v>
      </c>
      <c r="G44" s="18" t="n">
        <v>13394.5</v>
      </c>
      <c r="H44" s="18" t="n">
        <v>34238.49</v>
      </c>
      <c r="I44" s="18" t="n">
        <v>10248.11</v>
      </c>
      <c r="J44" s="18" t="n">
        <v>8117.76</v>
      </c>
      <c r="K44" s="37" t="n">
        <v>8117.76</v>
      </c>
      <c r="L44" s="18" t="n">
        <v>8977.67</v>
      </c>
      <c r="M44" s="18" t="n">
        <v>11359.82</v>
      </c>
      <c r="N44" s="18" t="n">
        <v>29759.55</v>
      </c>
      <c r="O44" s="18" t="n">
        <v>35999.77</v>
      </c>
      <c r="P44" s="37" t="n">
        <v>35999.77</v>
      </c>
      <c r="Q44" s="18" t="n">
        <v>216773.39</v>
      </c>
      <c r="R44" s="18" t="n">
        <v>326056.06</v>
      </c>
      <c r="S44" s="18" t="n">
        <v>281291.2</v>
      </c>
      <c r="T44" s="18" t="n">
        <v>205566.3</v>
      </c>
      <c r="U44" s="37" t="n">
        <v>205566.3</v>
      </c>
      <c r="V44" s="18" t="n">
        <v>221948.7</v>
      </c>
      <c r="W44" s="18" t="n">
        <v>211795.5</v>
      </c>
      <c r="X44" s="18" t="n">
        <v>252104.48</v>
      </c>
      <c r="Y44" s="18" t="n">
        <v>67838.92999999999</v>
      </c>
      <c r="Z44" s="37" t="n">
        <v>67838.92999999999</v>
      </c>
      <c r="AA44" s="18" t="n">
        <v>67226.03999999999</v>
      </c>
      <c r="AB44" s="19" t="n">
        <v>76241.66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기타유동금융자산</t>
        </is>
      </c>
      <c r="F45" s="9" t="n"/>
      <c r="H45" s="18" t="n">
        <v>1735.05</v>
      </c>
      <c r="I45" s="18" t="n">
        <v>1735.05</v>
      </c>
      <c r="J45" s="18" t="n">
        <v>1316.82</v>
      </c>
      <c r="K45" s="37" t="n">
        <v>1316.82</v>
      </c>
      <c r="L45" s="18" t="n">
        <v>1316.82</v>
      </c>
      <c r="M45" s="18" t="n">
        <v>438.71</v>
      </c>
      <c r="N45" s="18" t="n">
        <v>438.71</v>
      </c>
      <c r="O45" s="18" t="n">
        <v>202.01</v>
      </c>
      <c r="P45" s="37" t="n">
        <v>202.01</v>
      </c>
      <c r="Q45" s="18" t="n">
        <v>202.01</v>
      </c>
      <c r="R45" s="18" t="n">
        <v>0</v>
      </c>
      <c r="S45" s="18" t="n">
        <v>0</v>
      </c>
      <c r="T45" s="18" t="n">
        <v>0</v>
      </c>
      <c r="U45" s="37" t="n">
        <v>0</v>
      </c>
      <c r="Y45" s="18" t="n">
        <v>169566.12</v>
      </c>
      <c r="Z45" s="37" t="n">
        <v>169566.12</v>
      </c>
      <c r="AA45" s="18" t="n">
        <v>156216.95</v>
      </c>
      <c r="AB45" s="19" t="n">
        <v>123000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유동파생상품자산</t>
        </is>
      </c>
      <c r="F46" s="9" t="n"/>
      <c r="H46" s="18" t="n">
        <v>1735.05</v>
      </c>
      <c r="I46" s="18" t="n">
        <v>1735.05</v>
      </c>
      <c r="J46" s="18" t="n">
        <v>1316.82</v>
      </c>
      <c r="K46" s="37" t="n">
        <v>1316.82</v>
      </c>
      <c r="L46" s="18" t="n">
        <v>1316.82</v>
      </c>
      <c r="M46" s="18" t="n">
        <v>438.71</v>
      </c>
      <c r="N46" s="18" t="n">
        <v>438.71</v>
      </c>
      <c r="O46" s="18" t="n">
        <v>202.01</v>
      </c>
      <c r="P46" s="37" t="n">
        <v>202.01</v>
      </c>
      <c r="Q46" s="18" t="n">
        <v>202.01</v>
      </c>
      <c r="R46" s="18" t="n">
        <v>0</v>
      </c>
      <c r="S46" s="18" t="n">
        <v>0</v>
      </c>
      <c r="T46" s="18" t="n">
        <v>0</v>
      </c>
      <c r="U46" s="37" t="n">
        <v>0</v>
      </c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기타유동금융부채</t>
        </is>
      </c>
      <c r="F47" s="9" t="n"/>
      <c r="H47" s="18" t="n">
        <v>4313.74</v>
      </c>
      <c r="I47" s="18" t="n">
        <v>4313.74</v>
      </c>
      <c r="J47" s="18" t="n">
        <v>3807.26</v>
      </c>
      <c r="K47" s="37" t="n">
        <v>3807.26</v>
      </c>
      <c r="L47" s="18" t="n">
        <v>3807.26</v>
      </c>
      <c r="M47" s="18" t="n">
        <v>1801.31</v>
      </c>
      <c r="N47" s="18" t="n">
        <v>1801.31</v>
      </c>
      <c r="O47" s="18" t="n">
        <v>1097.4</v>
      </c>
      <c r="P47" s="37" t="n">
        <v>1097.4</v>
      </c>
      <c r="Q47" s="18" t="n">
        <v>1097.4</v>
      </c>
      <c r="R47" s="18" t="n">
        <v>0</v>
      </c>
      <c r="S47" s="18" t="n">
        <v>0</v>
      </c>
      <c r="T47" s="18" t="n">
        <v>0</v>
      </c>
      <c r="U47" s="37" t="n">
        <v>0</v>
      </c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단기금융부채</t>
        </is>
      </c>
      <c r="F48" s="9" t="n"/>
      <c r="H48" s="18" t="n">
        <v>8627.48</v>
      </c>
      <c r="I48" s="18" t="n">
        <v>8627.48</v>
      </c>
      <c r="J48" s="18" t="n">
        <v>7629.35</v>
      </c>
      <c r="K48" s="37" t="n">
        <v>7629.35</v>
      </c>
      <c r="L48" s="18" t="n">
        <v>7628.38</v>
      </c>
      <c r="M48" s="18" t="n">
        <v>3617.88</v>
      </c>
      <c r="N48" s="18" t="n">
        <v>3618.09</v>
      </c>
      <c r="O48" s="18" t="n">
        <v>2224.36</v>
      </c>
      <c r="P48" s="37" t="n">
        <v>2224.36</v>
      </c>
      <c r="Q48" s="18" t="n">
        <v>2224.7</v>
      </c>
      <c r="R48" s="18" t="n">
        <v>32.77</v>
      </c>
      <c r="S48" s="18" t="n">
        <v>33.11</v>
      </c>
      <c r="T48" s="18" t="n">
        <v>33.46</v>
      </c>
      <c r="U48" s="37" t="n">
        <v>33.46</v>
      </c>
      <c r="V48" s="18" t="n">
        <v>18.02</v>
      </c>
      <c r="W48" s="18" t="n">
        <v>18.24</v>
      </c>
      <c r="X48" s="18" t="n">
        <v>18.35</v>
      </c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단기파생상품부채</t>
        </is>
      </c>
      <c r="F49" s="9" t="n"/>
      <c r="H49" s="18" t="n">
        <v>4313.74</v>
      </c>
      <c r="I49" s="18" t="n">
        <v>4313.74</v>
      </c>
      <c r="J49" s="18" t="n">
        <v>3807.26</v>
      </c>
      <c r="K49" s="37" t="n">
        <v>3807.26</v>
      </c>
      <c r="L49" s="18" t="n">
        <v>3807.26</v>
      </c>
      <c r="M49" s="18" t="n">
        <v>1801.31</v>
      </c>
      <c r="N49" s="18" t="n">
        <v>1801.31</v>
      </c>
      <c r="O49" s="18" t="n">
        <v>1097.4</v>
      </c>
      <c r="P49" s="37" t="n">
        <v>1097.4</v>
      </c>
      <c r="Q49" s="18" t="n">
        <v>1097.4</v>
      </c>
      <c r="R49" s="18" t="n">
        <v>0</v>
      </c>
      <c r="S49" s="18" t="n">
        <v>0</v>
      </c>
      <c r="T49" s="18" t="n">
        <v>0</v>
      </c>
      <c r="U49" s="37" t="n">
        <v>0</v>
      </c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사채</t>
        </is>
      </c>
      <c r="F50" s="9" t="n"/>
      <c r="H50" s="18" t="n">
        <v>5523.5</v>
      </c>
      <c r="I50" s="18" t="n">
        <v>5684.42</v>
      </c>
      <c r="J50" s="18" t="n">
        <v>5845.38</v>
      </c>
      <c r="K50" s="37" t="n">
        <v>5845.38</v>
      </c>
      <c r="L50" s="18" t="n">
        <v>6002.83</v>
      </c>
      <c r="M50" s="18" t="n">
        <v>6172.48</v>
      </c>
      <c r="N50" s="18" t="n">
        <v>6354.04</v>
      </c>
      <c r="O50" s="18" t="n">
        <v>6540.95</v>
      </c>
      <c r="P50" s="37" t="n">
        <v>6540.95</v>
      </c>
      <c r="Q50" s="18" t="n">
        <v>6733.77</v>
      </c>
      <c r="R50" s="18" t="n">
        <v>0</v>
      </c>
      <c r="S50" s="18" t="n">
        <v>0</v>
      </c>
      <c r="T50" s="18" t="n">
        <v>0</v>
      </c>
      <c r="U50" s="37" t="n">
        <v>0</v>
      </c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기타비유동자산</t>
        </is>
      </c>
      <c r="F51" s="9" t="n"/>
      <c r="J51" s="18" t="n">
        <v>62.92</v>
      </c>
      <c r="K51" s="37" t="n">
        <v>62.92</v>
      </c>
      <c r="M51" s="18" t="n">
        <v>101373.27</v>
      </c>
      <c r="N51" s="18" t="n">
        <v>101369.33</v>
      </c>
      <c r="O51" s="18" t="n">
        <v>109.46</v>
      </c>
      <c r="P51" s="37" t="n">
        <v>109.46</v>
      </c>
      <c r="Q51" s="18" t="n">
        <v>100.97</v>
      </c>
      <c r="R51" s="18" t="n">
        <v>353.5</v>
      </c>
      <c r="S51" s="18" t="n">
        <v>243.12</v>
      </c>
      <c r="T51" s="18" t="n">
        <v>106.63</v>
      </c>
      <c r="U51" s="37" t="n">
        <v>106.63</v>
      </c>
      <c r="V51" s="18" t="n">
        <v>39.49</v>
      </c>
      <c r="W51" s="18" t="n">
        <v>34.93</v>
      </c>
      <c r="X51" s="18" t="n">
        <v>30.37</v>
      </c>
      <c r="Y51" s="18" t="n">
        <v>25.82</v>
      </c>
      <c r="Z51" s="37" t="n">
        <v>25.82</v>
      </c>
      <c r="AA51" s="18" t="n">
        <v>21.26</v>
      </c>
      <c r="AB51" s="19" t="n">
        <v>374.73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유동리스부채</t>
        </is>
      </c>
      <c r="F52" s="9" t="n"/>
      <c r="J52" s="18" t="n">
        <v>14.83</v>
      </c>
      <c r="K52" s="37" t="n">
        <v>14.83</v>
      </c>
      <c r="L52" s="18" t="n">
        <v>13.86</v>
      </c>
      <c r="M52" s="18" t="n">
        <v>15.26</v>
      </c>
      <c r="N52" s="18" t="n">
        <v>15.47</v>
      </c>
      <c r="O52" s="18" t="n">
        <v>29.56</v>
      </c>
      <c r="P52" s="37" t="n">
        <v>29.56</v>
      </c>
      <c r="Q52" s="18" t="n">
        <v>29.9</v>
      </c>
      <c r="R52" s="18" t="n">
        <v>32.77</v>
      </c>
      <c r="S52" s="18" t="n">
        <v>33.11</v>
      </c>
      <c r="T52" s="18" t="n">
        <v>33.46</v>
      </c>
      <c r="U52" s="37" t="n">
        <v>33.46</v>
      </c>
      <c r="V52" s="18" t="n">
        <v>18.02</v>
      </c>
      <c r="W52" s="18" t="n">
        <v>18.24</v>
      </c>
      <c r="X52" s="18" t="n">
        <v>18.35</v>
      </c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리스부채</t>
        </is>
      </c>
      <c r="F53" s="9" t="n"/>
      <c r="J53" s="18" t="n">
        <v>60.04</v>
      </c>
      <c r="K53" s="37" t="n">
        <v>60.04</v>
      </c>
      <c r="L53" s="18" t="n">
        <v>56.7</v>
      </c>
      <c r="M53" s="18" t="n">
        <v>53.32</v>
      </c>
      <c r="N53" s="18" t="n">
        <v>49.88</v>
      </c>
      <c r="O53" s="18" t="n">
        <v>108.27</v>
      </c>
      <c r="P53" s="37" t="n">
        <v>108.27</v>
      </c>
      <c r="Q53" s="18" t="n">
        <v>100.38</v>
      </c>
      <c r="R53" s="18" t="n">
        <v>92.39</v>
      </c>
      <c r="S53" s="18" t="n">
        <v>84.31999999999999</v>
      </c>
      <c r="T53" s="18" t="n">
        <v>76.17</v>
      </c>
      <c r="U53" s="37" t="n">
        <v>76.17</v>
      </c>
      <c r="V53" s="18" t="n">
        <v>39.85</v>
      </c>
      <c r="W53" s="18" t="n">
        <v>35.35</v>
      </c>
      <c r="X53" s="18" t="n">
        <v>30.84</v>
      </c>
      <c r="Y53" s="18" t="n">
        <v>7.83</v>
      </c>
      <c r="Z53" s="37" t="n">
        <v>7.83</v>
      </c>
      <c r="AA53" s="18" t="n">
        <v>3.14</v>
      </c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비유동리스부채</t>
        </is>
      </c>
      <c r="F54" s="9" t="n"/>
      <c r="J54" s="18" t="n">
        <v>45.21</v>
      </c>
      <c r="K54" s="37" t="n">
        <v>45.21</v>
      </c>
      <c r="L54" s="18" t="n">
        <v>42.84</v>
      </c>
      <c r="M54" s="18" t="n">
        <v>38.06</v>
      </c>
      <c r="N54" s="18" t="n">
        <v>34.41</v>
      </c>
      <c r="O54" s="18" t="n">
        <v>78.70999999999999</v>
      </c>
      <c r="P54" s="37" t="n">
        <v>78.70999999999999</v>
      </c>
      <c r="Q54" s="18" t="n">
        <v>70.48</v>
      </c>
      <c r="R54" s="18" t="n">
        <v>59.62</v>
      </c>
      <c r="S54" s="18" t="n">
        <v>51.21</v>
      </c>
      <c r="T54" s="18" t="n">
        <v>42.71</v>
      </c>
      <c r="U54" s="37" t="n">
        <v>42.71</v>
      </c>
      <c r="V54" s="18" t="n">
        <v>21.83</v>
      </c>
      <c r="W54" s="18" t="n">
        <v>17.11</v>
      </c>
      <c r="X54" s="18" t="n">
        <v>12.49</v>
      </c>
      <c r="Y54" s="18" t="n">
        <v>7.83</v>
      </c>
      <c r="Z54" s="37" t="n">
        <v>7.83</v>
      </c>
      <c r="AA54" s="18" t="n">
        <v>3.14</v>
      </c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장기금융부채</t>
        </is>
      </c>
      <c r="F55" s="9" t="n"/>
      <c r="J55" s="18" t="n">
        <v>45.21</v>
      </c>
      <c r="K55" s="37" t="n">
        <v>45.21</v>
      </c>
      <c r="L55" s="18" t="n">
        <v>42.84</v>
      </c>
      <c r="M55" s="18" t="n">
        <v>38.06</v>
      </c>
      <c r="N55" s="18" t="n">
        <v>34.41</v>
      </c>
      <c r="O55" s="18" t="n">
        <v>78.70999999999999</v>
      </c>
      <c r="P55" s="37" t="n">
        <v>78.70999999999999</v>
      </c>
      <c r="Q55" s="18" t="n">
        <v>70.48</v>
      </c>
      <c r="R55" s="18" t="n">
        <v>59.62</v>
      </c>
      <c r="S55" s="18" t="n">
        <v>51.21</v>
      </c>
      <c r="T55" s="18" t="n">
        <v>42.71</v>
      </c>
      <c r="U55" s="37" t="n">
        <v>42.71</v>
      </c>
      <c r="V55" s="18" t="n">
        <v>21.83</v>
      </c>
      <c r="W55" s="18" t="n">
        <v>17.11</v>
      </c>
      <c r="X55" s="18" t="n">
        <v>12.49</v>
      </c>
      <c r="Y55" s="18" t="n">
        <v>7.83</v>
      </c>
      <c r="Z55" s="37" t="n">
        <v>7.83</v>
      </c>
      <c r="AA55" s="18" t="n">
        <v>3.14</v>
      </c>
      <c r="AB55" s="5" t="n"/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단기금융부채(face)</t>
        </is>
      </c>
      <c r="F56" s="9" t="n"/>
      <c r="K56" s="9" t="n"/>
      <c r="N56" s="18" t="n">
        <v>91800</v>
      </c>
      <c r="O56" s="18" t="n">
        <v>91800</v>
      </c>
      <c r="P56" s="37" t="n">
        <v>91800</v>
      </c>
      <c r="Q56" s="18" t="n">
        <v>86800</v>
      </c>
      <c r="R56" s="18" t="n">
        <v>92300</v>
      </c>
      <c r="S56" s="18" t="n">
        <v>92650</v>
      </c>
      <c r="T56" s="18" t="n">
        <v>92650</v>
      </c>
      <c r="U56" s="37" t="n">
        <v>92650</v>
      </c>
      <c r="V56" s="18" t="n">
        <v>82650</v>
      </c>
      <c r="W56" s="18" t="n">
        <v>57650</v>
      </c>
      <c r="X56" s="18" t="n">
        <v>42000</v>
      </c>
      <c r="Z56" s="9" t="n"/>
      <c r="AB56" s="5" t="n"/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장기금융부채(face)</t>
        </is>
      </c>
      <c r="F57" s="9" t="n"/>
      <c r="K57" s="9" t="n"/>
      <c r="P57" s="9" t="n"/>
      <c r="S57" s="18" t="n">
        <v>14000</v>
      </c>
      <c r="T57" s="18" t="n">
        <v>14000</v>
      </c>
      <c r="U57" s="37" t="n">
        <v>14000</v>
      </c>
      <c r="V57" s="18" t="n">
        <v>14000</v>
      </c>
      <c r="Z57" s="9" t="n"/>
      <c r="AB57" s="5" t="n"/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기타유동자산</t>
        </is>
      </c>
      <c r="F58" s="9" t="n"/>
      <c r="K58" s="9" t="n"/>
      <c r="P58" s="9" t="n"/>
      <c r="U58" s="9" t="n"/>
      <c r="Y58" s="18" t="n">
        <v>119.86</v>
      </c>
      <c r="Z58" s="37" t="n">
        <v>119.86</v>
      </c>
      <c r="AA58" s="18" t="n">
        <v>35.17</v>
      </c>
      <c r="AB58" s="19" t="n">
        <v>41.37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사용권자산</t>
        </is>
      </c>
      <c r="F59" s="9" t="n"/>
      <c r="K59" s="9" t="n"/>
      <c r="P59" s="9" t="n"/>
      <c r="U59" s="9" t="n"/>
      <c r="Y59" s="18" t="n">
        <v>25.82</v>
      </c>
      <c r="Z59" s="37" t="n">
        <v>25.82</v>
      </c>
      <c r="AA59" s="18" t="n">
        <v>21.26</v>
      </c>
      <c r="AB59" s="19" t="n">
        <v>16.71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기타유동부채</t>
        </is>
      </c>
      <c r="F60" s="9" t="n"/>
      <c r="K60" s="9" t="n"/>
      <c r="P60" s="9" t="n"/>
      <c r="U60" s="9" t="n"/>
      <c r="Y60" s="18" t="n">
        <v>177.49</v>
      </c>
      <c r="Z60" s="37" t="n">
        <v>177.49</v>
      </c>
      <c r="AA60" s="18" t="n">
        <v>519.55</v>
      </c>
      <c r="AB60" s="19" t="n">
        <v>655.9299999999999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매출액(수익)</t>
        </is>
      </c>
      <c r="E61" s="18" t="n">
        <v>18287.73</v>
      </c>
      <c r="F61" s="9" t="n"/>
      <c r="G61" s="18" t="n">
        <v>18483.47</v>
      </c>
      <c r="H61" s="18" t="n">
        <v>18475.2</v>
      </c>
      <c r="I61" s="18" t="n">
        <v>17595.95</v>
      </c>
      <c r="J61" s="18" t="n">
        <v>19585.46</v>
      </c>
      <c r="K61" s="37" t="n">
        <v>74140.08</v>
      </c>
      <c r="L61" s="18" t="n">
        <v>19035.77</v>
      </c>
      <c r="M61" s="18" t="n">
        <v>18045.1</v>
      </c>
      <c r="N61" s="18" t="n">
        <v>17122.97</v>
      </c>
      <c r="O61" s="18" t="n">
        <v>17679.72</v>
      </c>
      <c r="P61" s="37" t="n">
        <v>71883.56</v>
      </c>
      <c r="Q61" s="18" t="n">
        <v>17685.27</v>
      </c>
      <c r="R61" s="18" t="n">
        <v>22152.44</v>
      </c>
      <c r="S61" s="18" t="n">
        <v>18091.47</v>
      </c>
      <c r="T61" s="18" t="n">
        <v>22244.79</v>
      </c>
      <c r="U61" s="37" t="n">
        <v>80173.97</v>
      </c>
      <c r="V61" s="18" t="n">
        <v>24460.07</v>
      </c>
      <c r="W61" s="18" t="n">
        <v>22126.77</v>
      </c>
      <c r="X61" s="18" t="n">
        <v>24232.69</v>
      </c>
      <c r="Y61" s="18" t="n">
        <v>21533.84</v>
      </c>
      <c r="Z61" s="37" t="n">
        <v>92353.37</v>
      </c>
      <c r="AA61" s="18" t="n">
        <v>24490.37</v>
      </c>
      <c r="AB61" s="19" t="n">
        <v>27365.98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매출원가</t>
        </is>
      </c>
      <c r="E62" s="18" t="n">
        <v>15684.25</v>
      </c>
      <c r="F62" s="9" t="n"/>
      <c r="G62" s="18" t="n">
        <v>16209.19</v>
      </c>
      <c r="H62" s="18" t="n">
        <v>16156.16</v>
      </c>
      <c r="I62" s="18" t="n">
        <v>15562.39</v>
      </c>
      <c r="J62" s="18" t="n">
        <v>16958.39</v>
      </c>
      <c r="K62" s="37" t="n">
        <v>64886.13</v>
      </c>
      <c r="L62" s="18" t="n">
        <v>16903.97</v>
      </c>
      <c r="M62" s="18" t="n">
        <v>15215.1</v>
      </c>
      <c r="N62" s="18" t="n">
        <v>14434.58</v>
      </c>
      <c r="O62" s="18" t="n">
        <v>15557.7</v>
      </c>
      <c r="P62" s="37" t="n">
        <v>62111.35</v>
      </c>
      <c r="Q62" s="18" t="n">
        <v>15070.06</v>
      </c>
      <c r="R62" s="18" t="n">
        <v>16266.15</v>
      </c>
      <c r="S62" s="18" t="n">
        <v>14412.47</v>
      </c>
      <c r="T62" s="18" t="n">
        <v>17649.57</v>
      </c>
      <c r="U62" s="37" t="n">
        <v>63398.25</v>
      </c>
      <c r="V62" s="18" t="n">
        <v>19584.11</v>
      </c>
      <c r="W62" s="18" t="n">
        <v>16427.51</v>
      </c>
      <c r="X62" s="18" t="n">
        <v>17559.5</v>
      </c>
      <c r="Y62" s="18" t="n">
        <v>16891.26</v>
      </c>
      <c r="Z62" s="37" t="n">
        <v>70462.38</v>
      </c>
      <c r="AA62" s="18" t="n">
        <v>18664.25</v>
      </c>
      <c r="AB62" s="19" t="n">
        <v>20450.79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매출총이익</t>
        </is>
      </c>
      <c r="E63" s="18" t="n">
        <v>2603.48</v>
      </c>
      <c r="F63" s="9" t="n"/>
      <c r="G63" s="18" t="n">
        <v>2274.28</v>
      </c>
      <c r="H63" s="18" t="n">
        <v>2319.03</v>
      </c>
      <c r="I63" s="18" t="n">
        <v>2033.56</v>
      </c>
      <c r="J63" s="18" t="n">
        <v>2627.06</v>
      </c>
      <c r="K63" s="37" t="n">
        <v>9253.93</v>
      </c>
      <c r="L63" s="18" t="n">
        <v>2131.8</v>
      </c>
      <c r="M63" s="18" t="n">
        <v>2830</v>
      </c>
      <c r="N63" s="18" t="n">
        <v>2688.39</v>
      </c>
      <c r="O63" s="18" t="n">
        <v>2122.02</v>
      </c>
      <c r="P63" s="37" t="n">
        <v>9772.209999999999</v>
      </c>
      <c r="Q63" s="18" t="n">
        <v>2615.21</v>
      </c>
      <c r="R63" s="18" t="n">
        <v>5886.29</v>
      </c>
      <c r="S63" s="18" t="n">
        <v>3679</v>
      </c>
      <c r="T63" s="18" t="n">
        <v>4595.24</v>
      </c>
      <c r="U63" s="37" t="n">
        <v>16775.74</v>
      </c>
      <c r="V63" s="18" t="n">
        <v>4875.96</v>
      </c>
      <c r="W63" s="18" t="n">
        <v>5699.27</v>
      </c>
      <c r="X63" s="18" t="n">
        <v>6673.19</v>
      </c>
      <c r="Y63" s="18" t="n">
        <v>4642.57</v>
      </c>
      <c r="Z63" s="37" t="n">
        <v>21890.99</v>
      </c>
      <c r="AA63" s="18" t="n">
        <v>5826.12</v>
      </c>
      <c r="AB63" s="19" t="n">
        <v>6915.19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판관비</t>
        </is>
      </c>
      <c r="E64" s="18" t="n">
        <v>799.4299999999999</v>
      </c>
      <c r="F64" s="9" t="n"/>
      <c r="G64" s="18" t="n">
        <v>862.5700000000001</v>
      </c>
      <c r="H64" s="18" t="n">
        <v>737.72</v>
      </c>
      <c r="I64" s="18" t="n">
        <v>1183.91</v>
      </c>
      <c r="J64" s="18" t="n">
        <v>914.11</v>
      </c>
      <c r="K64" s="37" t="n">
        <v>3698.31</v>
      </c>
      <c r="L64" s="18" t="n">
        <v>940.62</v>
      </c>
      <c r="M64" s="18" t="n">
        <v>980.2</v>
      </c>
      <c r="N64" s="18" t="n">
        <v>1619.83</v>
      </c>
      <c r="O64" s="18" t="n">
        <v>1039.56</v>
      </c>
      <c r="P64" s="37" t="n">
        <v>4580.21</v>
      </c>
      <c r="Q64" s="18" t="n">
        <v>1220.84</v>
      </c>
      <c r="R64" s="18" t="n">
        <v>1265.89</v>
      </c>
      <c r="S64" s="18" t="n">
        <v>1796.74</v>
      </c>
      <c r="T64" s="18" t="n">
        <v>1161.94</v>
      </c>
      <c r="U64" s="37" t="n">
        <v>5445.41</v>
      </c>
      <c r="V64" s="18" t="n">
        <v>2101.44</v>
      </c>
      <c r="W64" s="18" t="n">
        <v>1191.76</v>
      </c>
      <c r="X64" s="18" t="n">
        <v>1943.97</v>
      </c>
      <c r="Y64" s="18" t="n">
        <v>1270.03</v>
      </c>
      <c r="Z64" s="37" t="n">
        <v>6507.2</v>
      </c>
      <c r="AA64" s="18" t="n">
        <v>1287.14</v>
      </c>
      <c r="AB64" s="19" t="n">
        <v>2054.91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영업이익</t>
        </is>
      </c>
      <c r="E65" s="18" t="n">
        <v>1804.04</v>
      </c>
      <c r="F65" s="9" t="n"/>
      <c r="G65" s="18" t="n">
        <v>1411.71</v>
      </c>
      <c r="H65" s="18" t="n">
        <v>1581.31</v>
      </c>
      <c r="I65" s="18" t="n">
        <v>849.65</v>
      </c>
      <c r="J65" s="18" t="n">
        <v>1712.95</v>
      </c>
      <c r="K65" s="37" t="n">
        <v>5555.62</v>
      </c>
      <c r="L65" s="18" t="n">
        <v>1191.18</v>
      </c>
      <c r="M65" s="18" t="n">
        <v>1849.8</v>
      </c>
      <c r="N65" s="18" t="n">
        <v>1068.56</v>
      </c>
      <c r="O65" s="18" t="n">
        <v>1082.46</v>
      </c>
      <c r="P65" s="37" t="n">
        <v>5192</v>
      </c>
      <c r="Q65" s="18" t="n">
        <v>1394.38</v>
      </c>
      <c r="R65" s="18" t="n">
        <v>4620.4</v>
      </c>
      <c r="S65" s="18" t="n">
        <v>1882.26</v>
      </c>
      <c r="T65" s="18" t="n">
        <v>3433.29</v>
      </c>
      <c r="U65" s="37" t="n">
        <v>11330.33</v>
      </c>
      <c r="V65" s="18" t="n">
        <v>2774.52</v>
      </c>
      <c r="W65" s="18" t="n">
        <v>4507.51</v>
      </c>
      <c r="X65" s="18" t="n">
        <v>4729.22</v>
      </c>
      <c r="Y65" s="18" t="n">
        <v>3372.55</v>
      </c>
      <c r="Z65" s="37" t="n">
        <v>15383.8</v>
      </c>
      <c r="AA65" s="18" t="n">
        <v>4538.98</v>
      </c>
      <c r="AB65" s="19" t="n">
        <v>4860.28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기타영업외수익</t>
        </is>
      </c>
      <c r="E66" s="18" t="n">
        <v>31.99</v>
      </c>
      <c r="F66" s="9" t="n"/>
      <c r="G66" s="18" t="n">
        <v>33.26</v>
      </c>
      <c r="H66" s="18" t="n">
        <v>60.34</v>
      </c>
      <c r="I66" s="18" t="n">
        <v>127.56</v>
      </c>
      <c r="J66" s="18" t="n">
        <v>-15.86</v>
      </c>
      <c r="K66" s="37" t="n">
        <v>205.3</v>
      </c>
      <c r="L66" s="18" t="n">
        <v>151.13</v>
      </c>
      <c r="M66" s="18" t="n">
        <v>3.58</v>
      </c>
      <c r="N66" s="18" t="n">
        <v>601.45</v>
      </c>
      <c r="O66" s="18" t="n">
        <v>70.34</v>
      </c>
      <c r="P66" s="37" t="n">
        <v>826.5</v>
      </c>
      <c r="Q66" s="18" t="n">
        <v>47826.29</v>
      </c>
      <c r="R66" s="18" t="n">
        <v>-272.96</v>
      </c>
      <c r="S66" s="18" t="n">
        <v>28.96</v>
      </c>
      <c r="T66" s="18" t="n">
        <v>36.72</v>
      </c>
      <c r="U66" s="37" t="n">
        <v>47619.01</v>
      </c>
      <c r="V66" s="18" t="n">
        <v>98.26000000000001</v>
      </c>
      <c r="W66" s="18" t="n">
        <v>403.89</v>
      </c>
      <c r="X66" s="18" t="n">
        <v>50.17</v>
      </c>
      <c r="Y66" s="18" t="n">
        <v>1489.92</v>
      </c>
      <c r="Z66" s="37" t="n">
        <v>2042.24</v>
      </c>
      <c r="AA66" s="18" t="n">
        <v>151.51</v>
      </c>
      <c r="AB66" s="19" t="n">
        <v>268.24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기타영업외비용</t>
        </is>
      </c>
      <c r="E67" s="18" t="n">
        <v>159.43</v>
      </c>
      <c r="F67" s="9" t="n"/>
      <c r="G67" s="18" t="n">
        <v>5.42</v>
      </c>
      <c r="H67" s="18" t="n">
        <v>131.6</v>
      </c>
      <c r="I67" s="18" t="n">
        <v>3.97</v>
      </c>
      <c r="J67" s="18" t="n">
        <v>179.14</v>
      </c>
      <c r="K67" s="37" t="n">
        <v>320.13</v>
      </c>
      <c r="L67" s="18" t="n">
        <v>6.34</v>
      </c>
      <c r="M67" s="18" t="n">
        <v>42.45</v>
      </c>
      <c r="N67" s="18" t="n">
        <v>46.66</v>
      </c>
      <c r="O67" s="18" t="n">
        <v>5639.18</v>
      </c>
      <c r="P67" s="37" t="n">
        <v>5734.63</v>
      </c>
      <c r="Q67" s="18" t="n">
        <v>21.69</v>
      </c>
      <c r="R67" s="18" t="n">
        <v>521.1900000000001</v>
      </c>
      <c r="S67" s="18" t="n">
        <v>-27.27</v>
      </c>
      <c r="T67" s="18" t="n">
        <v>102.43</v>
      </c>
      <c r="U67" s="37" t="n">
        <v>618.04</v>
      </c>
      <c r="V67" s="18" t="n">
        <v>223.41</v>
      </c>
      <c r="W67" s="18" t="n">
        <v>183.22</v>
      </c>
      <c r="X67" s="18" t="n">
        <v>-7.55</v>
      </c>
      <c r="Y67" s="18" t="n">
        <v>134.7</v>
      </c>
      <c r="Z67" s="37" t="n">
        <v>533.78</v>
      </c>
      <c r="AA67" s="18" t="n">
        <v>4</v>
      </c>
      <c r="AB67" s="19" t="n">
        <v>204.81</v>
      </c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금융수익</t>
        </is>
      </c>
      <c r="E68" s="18" t="n">
        <v>50704.28</v>
      </c>
      <c r="F68" s="9" t="n"/>
      <c r="G68" s="18" t="n">
        <v>46.23</v>
      </c>
      <c r="H68" s="18" t="n">
        <v>6111.66</v>
      </c>
      <c r="I68" s="18" t="n">
        <v>6082.49</v>
      </c>
      <c r="J68" s="18" t="n">
        <v>563.6</v>
      </c>
      <c r="K68" s="37" t="n">
        <v>12803.98</v>
      </c>
      <c r="L68" s="18" t="n">
        <v>56.26</v>
      </c>
      <c r="M68" s="18" t="n">
        <v>2082.96</v>
      </c>
      <c r="N68" s="18" t="n">
        <v>191.08</v>
      </c>
      <c r="O68" s="18" t="n">
        <v>12807.04</v>
      </c>
      <c r="P68" s="37" t="n">
        <v>15137.34</v>
      </c>
      <c r="Q68" s="18" t="n">
        <v>460.39</v>
      </c>
      <c r="R68" s="18" t="n">
        <v>440.8</v>
      </c>
      <c r="S68" s="18" t="n">
        <v>697.47</v>
      </c>
      <c r="T68" s="18" t="n">
        <v>613.25</v>
      </c>
      <c r="U68" s="37" t="n">
        <v>2211.91</v>
      </c>
      <c r="V68" s="18" t="n">
        <v>1242.83</v>
      </c>
      <c r="W68" s="18" t="n">
        <v>1097.91</v>
      </c>
      <c r="X68" s="18" t="n">
        <v>1079.45</v>
      </c>
      <c r="Y68" s="18" t="n">
        <v>1351.78</v>
      </c>
      <c r="Z68" s="37" t="n">
        <v>4771.97</v>
      </c>
      <c r="AA68" s="18" t="n">
        <v>1206.16</v>
      </c>
      <c r="AB68" s="19" t="n">
        <v>986.6799999999999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금융비용</t>
        </is>
      </c>
      <c r="E69" s="18" t="n">
        <v>570.12</v>
      </c>
      <c r="F69" s="9" t="n"/>
      <c r="G69" s="18" t="n">
        <v>612.84</v>
      </c>
      <c r="H69" s="18" t="n">
        <v>1365.31</v>
      </c>
      <c r="I69" s="18" t="n">
        <v>1119.59</v>
      </c>
      <c r="J69" s="18" t="n">
        <v>1759.89</v>
      </c>
      <c r="K69" s="37" t="n">
        <v>4857.63</v>
      </c>
      <c r="L69" s="18" t="n">
        <v>1465.25</v>
      </c>
      <c r="M69" s="18" t="n">
        <v>2316.88</v>
      </c>
      <c r="N69" s="18" t="n">
        <v>1452.98</v>
      </c>
      <c r="O69" s="18" t="n">
        <v>1830.43</v>
      </c>
      <c r="P69" s="37" t="n">
        <v>7065.54</v>
      </c>
      <c r="Q69" s="18" t="n">
        <v>1523.88</v>
      </c>
      <c r="R69" s="18" t="n">
        <v>7184.73</v>
      </c>
      <c r="S69" s="18" t="n">
        <v>1060.2</v>
      </c>
      <c r="T69" s="18" t="n">
        <v>988.66</v>
      </c>
      <c r="U69" s="37" t="n">
        <v>10757.47</v>
      </c>
      <c r="V69" s="18" t="n">
        <v>866.72</v>
      </c>
      <c r="W69" s="18" t="n">
        <v>589.0599999999999</v>
      </c>
      <c r="X69" s="18" t="n">
        <v>520</v>
      </c>
      <c r="Y69" s="18" t="n">
        <v>412.55</v>
      </c>
      <c r="Z69" s="37" t="n">
        <v>2388.33</v>
      </c>
      <c r="AA69" s="18" t="n">
        <v>323.56</v>
      </c>
      <c r="AB69" s="19" t="n">
        <v>246.93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법인세비용차감전계속사업이익</t>
        </is>
      </c>
      <c r="E70" s="18" t="n">
        <v>51810.76</v>
      </c>
      <c r="F70" s="9" t="n"/>
      <c r="G70" s="18" t="n">
        <v>872.9400000000001</v>
      </c>
      <c r="H70" s="18" t="n">
        <v>6256.41</v>
      </c>
      <c r="I70" s="18" t="n">
        <v>5936.14</v>
      </c>
      <c r="J70" s="18" t="n">
        <v>321.66</v>
      </c>
      <c r="K70" s="37" t="n">
        <v>13387.15</v>
      </c>
      <c r="L70" s="18" t="n">
        <v>-73.02</v>
      </c>
      <c r="M70" s="18" t="n">
        <v>1577.01</v>
      </c>
      <c r="N70" s="18" t="n">
        <v>361.45</v>
      </c>
      <c r="O70" s="18" t="n">
        <v>6490.23</v>
      </c>
      <c r="P70" s="37" t="n">
        <v>8355.67</v>
      </c>
      <c r="Q70" s="18" t="n">
        <v>48135.49</v>
      </c>
      <c r="R70" s="18" t="n">
        <v>-2917.68</v>
      </c>
      <c r="S70" s="18" t="n">
        <v>1575.74</v>
      </c>
      <c r="T70" s="18" t="n">
        <v>2992.19</v>
      </c>
      <c r="U70" s="37" t="n">
        <v>49785.74</v>
      </c>
      <c r="V70" s="18" t="n">
        <v>3025.46</v>
      </c>
      <c r="W70" s="18" t="n">
        <v>5237.03</v>
      </c>
      <c r="X70" s="18" t="n">
        <v>5346.4</v>
      </c>
      <c r="Y70" s="18" t="n">
        <v>5667</v>
      </c>
      <c r="Z70" s="37" t="n">
        <v>19275.89</v>
      </c>
      <c r="AA70" s="18" t="n">
        <v>5569.09</v>
      </c>
      <c r="AB70" s="19" t="n">
        <v>5663.47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법인세비용</t>
        </is>
      </c>
      <c r="E71" s="18" t="n">
        <v>12079.23</v>
      </c>
      <c r="F71" s="9" t="n"/>
      <c r="G71" s="18" t="n">
        <v>186.55</v>
      </c>
      <c r="H71" s="18" t="n">
        <v>281.91</v>
      </c>
      <c r="I71" s="18" t="n">
        <v>-144.25</v>
      </c>
      <c r="J71" s="18" t="n">
        <v>668.9299999999999</v>
      </c>
      <c r="K71" s="37" t="n">
        <v>993.14</v>
      </c>
      <c r="M71" s="18" t="n">
        <v>250.08</v>
      </c>
      <c r="N71" s="18" t="n">
        <v>-22.31</v>
      </c>
      <c r="O71" s="18" t="n">
        <v>339.8</v>
      </c>
      <c r="P71" s="9" t="n"/>
      <c r="Q71" s="18" t="n">
        <v>9801.549999999999</v>
      </c>
      <c r="R71" s="18" t="n">
        <v>-479.16</v>
      </c>
      <c r="S71" s="18" t="n">
        <v>1251.39</v>
      </c>
      <c r="T71" s="18" t="n">
        <v>1874.12</v>
      </c>
      <c r="U71" s="37" t="n">
        <v>12447.9</v>
      </c>
      <c r="V71" s="18" t="n">
        <v>698.88</v>
      </c>
      <c r="W71" s="18" t="n">
        <v>1209.75</v>
      </c>
      <c r="X71" s="18" t="n">
        <v>1222.15</v>
      </c>
      <c r="Y71" s="18" t="n">
        <v>101.74</v>
      </c>
      <c r="Z71" s="37" t="n">
        <v>3232.52</v>
      </c>
      <c r="AA71" s="18" t="n">
        <v>1018.7</v>
      </c>
      <c r="AB71" s="19" t="n">
        <v>1367.08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당기순이익</t>
        </is>
      </c>
      <c r="E72" s="18" t="n">
        <v>39731.53</v>
      </c>
      <c r="F72" s="9" t="n"/>
      <c r="G72" s="18" t="n">
        <v>686.4</v>
      </c>
      <c r="H72" s="18" t="n">
        <v>5974.5</v>
      </c>
      <c r="I72" s="18" t="n">
        <v>6080.39</v>
      </c>
      <c r="J72" s="18" t="n">
        <v>-347.27</v>
      </c>
      <c r="K72" s="37" t="n">
        <v>12394.02</v>
      </c>
      <c r="L72" s="18" t="n">
        <v>-73.02</v>
      </c>
      <c r="M72" s="18" t="n">
        <v>1326.93</v>
      </c>
      <c r="N72" s="18" t="n">
        <v>383.76</v>
      </c>
      <c r="O72" s="18" t="n">
        <v>6150.43</v>
      </c>
      <c r="P72" s="37" t="n">
        <v>7788.1</v>
      </c>
      <c r="Q72" s="18" t="n">
        <v>38333.94</v>
      </c>
      <c r="R72" s="18" t="n">
        <v>-2438.52</v>
      </c>
      <c r="S72" s="18" t="n">
        <v>324.35</v>
      </c>
      <c r="T72" s="18" t="n">
        <v>1118.07</v>
      </c>
      <c r="U72" s="37" t="n">
        <v>37337.84</v>
      </c>
      <c r="V72" s="18" t="n">
        <v>2326.58</v>
      </c>
      <c r="W72" s="18" t="n">
        <v>4027.27</v>
      </c>
      <c r="X72" s="18" t="n">
        <v>4124.25</v>
      </c>
      <c r="Y72" s="18" t="n">
        <v>5565.26</v>
      </c>
      <c r="Z72" s="37" t="n">
        <v>16043.36</v>
      </c>
      <c r="AA72" s="18" t="n">
        <v>4550.38</v>
      </c>
      <c r="AB72" s="19" t="n">
        <v>4296.39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총포괄손익</t>
        </is>
      </c>
      <c r="E73" s="18" t="n">
        <v>45063.61</v>
      </c>
      <c r="F73" s="9" t="n"/>
      <c r="G73" s="18" t="n">
        <v>680.75</v>
      </c>
      <c r="H73" s="18" t="n">
        <v>5967.52</v>
      </c>
      <c r="I73" s="18" t="n">
        <v>6080.09</v>
      </c>
      <c r="J73" s="18" t="n">
        <v>404.9</v>
      </c>
      <c r="K73" s="37" t="n">
        <v>13133.26</v>
      </c>
      <c r="L73" s="18" t="n">
        <v>-103</v>
      </c>
      <c r="M73" s="18" t="n">
        <v>1299.43</v>
      </c>
      <c r="N73" s="18" t="n">
        <v>369.98</v>
      </c>
      <c r="O73" s="18" t="n">
        <v>5803.62</v>
      </c>
      <c r="P73" s="37" t="n">
        <v>7370.03</v>
      </c>
      <c r="Q73" s="18" t="n">
        <v>49141.6</v>
      </c>
      <c r="R73" s="18" t="n">
        <v>34279.7</v>
      </c>
      <c r="S73" s="18" t="n">
        <v>-13500.57</v>
      </c>
      <c r="T73" s="18" t="n">
        <v>32679.92</v>
      </c>
      <c r="U73" s="37" t="n">
        <v>102600.65</v>
      </c>
      <c r="V73" s="18" t="n">
        <v>26837.61</v>
      </c>
      <c r="W73" s="18" t="n">
        <v>20555.95</v>
      </c>
      <c r="X73" s="18" t="n">
        <v>42464.27</v>
      </c>
      <c r="Y73" s="18" t="n">
        <v>4130.33</v>
      </c>
      <c r="Z73" s="37" t="n">
        <v>93988.16</v>
      </c>
      <c r="AA73" s="18" t="n">
        <v>5094.29</v>
      </c>
      <c r="AB73" s="19" t="n">
        <v>11188.07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금융손익</t>
        </is>
      </c>
      <c r="E74" s="18" t="n">
        <v>50134.16</v>
      </c>
      <c r="F74" s="9" t="n"/>
      <c r="G74" s="18" t="n">
        <v>-566.61</v>
      </c>
      <c r="H74" s="18" t="n">
        <v>4746.35</v>
      </c>
      <c r="I74" s="18" t="n">
        <v>4962.9</v>
      </c>
      <c r="J74" s="18" t="n">
        <v>-1196.29</v>
      </c>
      <c r="K74" s="37" t="n">
        <v>7946.35</v>
      </c>
      <c r="L74" s="18" t="n">
        <v>-1408.99</v>
      </c>
      <c r="M74" s="18" t="n">
        <v>-233.92</v>
      </c>
      <c r="N74" s="18" t="n">
        <v>-1261.9</v>
      </c>
      <c r="O74" s="18" t="n">
        <v>10976.61</v>
      </c>
      <c r="P74" s="37" t="n">
        <v>8071.8</v>
      </c>
      <c r="Q74" s="18" t="n">
        <v>-1063.49</v>
      </c>
      <c r="R74" s="18" t="n">
        <v>-6743.93</v>
      </c>
      <c r="S74" s="18" t="n">
        <v>-362.73</v>
      </c>
      <c r="T74" s="18" t="n">
        <v>-375.41</v>
      </c>
      <c r="U74" s="37" t="n">
        <v>-8545.559999999999</v>
      </c>
      <c r="V74" s="18" t="n">
        <v>376.11</v>
      </c>
      <c r="W74" s="18" t="n">
        <v>508.85</v>
      </c>
      <c r="X74" s="18" t="n">
        <v>559.45</v>
      </c>
      <c r="Y74" s="18" t="n">
        <v>939.23</v>
      </c>
      <c r="Z74" s="37" t="n">
        <v>2383.64</v>
      </c>
      <c r="AA74" s="18" t="n">
        <v>882.6</v>
      </c>
      <c r="AB74" s="19" t="n">
        <v>739.75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기타영업외손익</t>
        </is>
      </c>
      <c r="E75" s="18" t="n">
        <v>-127.44</v>
      </c>
      <c r="F75" s="9" t="n"/>
      <c r="G75" s="18" t="n">
        <v>27.84</v>
      </c>
      <c r="H75" s="18" t="n">
        <v>-71.26000000000001</v>
      </c>
      <c r="I75" s="18" t="n">
        <v>123.59</v>
      </c>
      <c r="J75" s="18" t="n">
        <v>-195</v>
      </c>
      <c r="K75" s="37" t="n">
        <v>-114.83</v>
      </c>
      <c r="L75" s="18" t="n">
        <v>144.79</v>
      </c>
      <c r="M75" s="18" t="n">
        <v>-38.87</v>
      </c>
      <c r="N75" s="18" t="n">
        <v>554.79</v>
      </c>
      <c r="O75" s="18" t="n">
        <v>-5568.84</v>
      </c>
      <c r="P75" s="37" t="n">
        <v>-4908.13</v>
      </c>
      <c r="Q75" s="18" t="n">
        <v>47804.6</v>
      </c>
      <c r="R75" s="18" t="n">
        <v>-794.15</v>
      </c>
      <c r="S75" s="18" t="n">
        <v>56.23</v>
      </c>
      <c r="T75" s="18" t="n">
        <v>-65.70999999999999</v>
      </c>
      <c r="U75" s="37" t="n">
        <v>47000.97</v>
      </c>
      <c r="V75" s="18" t="n">
        <v>-125.15</v>
      </c>
      <c r="W75" s="18" t="n">
        <v>220.67</v>
      </c>
      <c r="X75" s="18" t="n">
        <v>57.72</v>
      </c>
      <c r="Y75" s="18" t="n">
        <v>1355.22</v>
      </c>
      <c r="Z75" s="37" t="n">
        <v>1508.46</v>
      </c>
      <c r="AA75" s="18" t="n">
        <v>147.51</v>
      </c>
      <c r="AB75" s="19" t="n">
        <v>63.43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(지배주주지분)당기순이익</t>
        </is>
      </c>
      <c r="E76" s="18" t="n">
        <v>39731.53</v>
      </c>
      <c r="F76" s="9" t="n"/>
      <c r="G76" s="18" t="n">
        <v>686.4</v>
      </c>
      <c r="H76" s="18" t="n">
        <v>5974.5</v>
      </c>
      <c r="I76" s="18" t="n">
        <v>6080.39</v>
      </c>
      <c r="J76" s="18" t="n">
        <v>-347.27</v>
      </c>
      <c r="K76" s="37" t="n">
        <v>12394.02</v>
      </c>
      <c r="L76" s="18" t="n">
        <v>-73.02</v>
      </c>
      <c r="M76" s="18" t="n">
        <v>1326.93</v>
      </c>
      <c r="N76" s="18" t="n">
        <v>383.76</v>
      </c>
      <c r="O76" s="18" t="n">
        <v>6150.43</v>
      </c>
      <c r="P76" s="37" t="n">
        <v>7788.1</v>
      </c>
      <c r="Q76" s="18" t="n">
        <v>38333.94</v>
      </c>
      <c r="R76" s="18" t="n">
        <v>-2438.52</v>
      </c>
      <c r="S76" s="18" t="n">
        <v>324.35</v>
      </c>
      <c r="T76" s="18" t="n">
        <v>1118.07</v>
      </c>
      <c r="U76" s="37" t="n">
        <v>37337.84</v>
      </c>
      <c r="V76" s="18" t="n">
        <v>2326.58</v>
      </c>
      <c r="W76" s="18" t="n">
        <v>4027.27</v>
      </c>
      <c r="X76" s="18" t="n">
        <v>4124.25</v>
      </c>
      <c r="Y76" s="18" t="n">
        <v>5565.26</v>
      </c>
      <c r="Z76" s="37" t="n">
        <v>16043.36</v>
      </c>
      <c r="AA76" s="18" t="n">
        <v>4550.38</v>
      </c>
      <c r="AB76" s="19" t="n">
        <v>4296.39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계속사업이익</t>
        </is>
      </c>
      <c r="E77" s="18" t="n">
        <v>39731.53</v>
      </c>
      <c r="F77" s="9" t="n"/>
      <c r="G77" s="18" t="n">
        <v>686.4</v>
      </c>
      <c r="H77" s="18" t="n">
        <v>5974.5</v>
      </c>
      <c r="I77" s="18" t="n">
        <v>6080.39</v>
      </c>
      <c r="J77" s="18" t="n">
        <v>-347.27</v>
      </c>
      <c r="K77" s="37" t="n">
        <v>12394.02</v>
      </c>
      <c r="L77" s="18" t="n">
        <v>-73.02</v>
      </c>
      <c r="M77" s="18" t="n">
        <v>1326.93</v>
      </c>
      <c r="N77" s="18" t="n">
        <v>383.76</v>
      </c>
      <c r="O77" s="18" t="n">
        <v>6150.43</v>
      </c>
      <c r="P77" s="37" t="n">
        <v>7788.1</v>
      </c>
      <c r="Q77" s="18" t="n">
        <v>38333.94</v>
      </c>
      <c r="R77" s="18" t="n">
        <v>-2438.52</v>
      </c>
      <c r="S77" s="18" t="n">
        <v>324.35</v>
      </c>
      <c r="T77" s="18" t="n">
        <v>1118.07</v>
      </c>
      <c r="U77" s="37" t="n">
        <v>37337.84</v>
      </c>
      <c r="V77" s="18" t="n">
        <v>2326.58</v>
      </c>
      <c r="W77" s="18" t="n">
        <v>4027.27</v>
      </c>
      <c r="X77" s="18" t="n">
        <v>4124.25</v>
      </c>
      <c r="Y77" s="18" t="n">
        <v>5565.26</v>
      </c>
      <c r="Z77" s="37" t="n">
        <v>16043.36</v>
      </c>
      <c r="AA77" s="18" t="n">
        <v>4550.38</v>
      </c>
      <c r="AB77" s="19" t="n">
        <v>4296.39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영업활동으로인한현금흐름</t>
        </is>
      </c>
      <c r="E78" s="18" t="n">
        <v>49071.91</v>
      </c>
      <c r="F78" s="9" t="n"/>
      <c r="G78" s="18" t="n">
        <v>-4235.89</v>
      </c>
      <c r="H78" s="18" t="n">
        <v>301.02</v>
      </c>
      <c r="I78" s="18" t="n">
        <v>5007.33</v>
      </c>
      <c r="J78" s="18" t="n">
        <v>508.59</v>
      </c>
      <c r="K78" s="37" t="n">
        <v>1581.05</v>
      </c>
      <c r="L78" s="18" t="n">
        <v>1008.91</v>
      </c>
      <c r="M78" s="18" t="n">
        <v>3564.33</v>
      </c>
      <c r="N78" s="18" t="n">
        <v>1129.91</v>
      </c>
      <c r="O78" s="18" t="n">
        <v>11260.49</v>
      </c>
      <c r="P78" s="37" t="n">
        <v>16963.64</v>
      </c>
      <c r="Q78" s="18" t="n">
        <v>2243.93</v>
      </c>
      <c r="R78" s="18" t="n">
        <v>2498.81</v>
      </c>
      <c r="S78" s="18" t="n">
        <v>5904.67</v>
      </c>
      <c r="T78" s="18" t="n">
        <v>-124.48</v>
      </c>
      <c r="U78" s="37" t="n">
        <v>10522.93</v>
      </c>
      <c r="V78" s="18" t="n">
        <v>-2239.13</v>
      </c>
      <c r="W78" s="18" t="n">
        <v>1894.71</v>
      </c>
      <c r="X78" s="18" t="n">
        <v>5145.55</v>
      </c>
      <c r="Y78" s="18" t="n">
        <v>1358.22</v>
      </c>
      <c r="Z78" s="37" t="n">
        <v>6159.35</v>
      </c>
      <c r="AA78" s="18" t="n">
        <v>-11212.07</v>
      </c>
      <c r="AB78" s="19" t="n">
        <v>-12358.9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감가상각비</t>
        </is>
      </c>
      <c r="E79" s="18" t="n">
        <v>1127.51</v>
      </c>
      <c r="F79" s="9" t="n"/>
      <c r="G79" s="18" t="n">
        <v>985.5700000000001</v>
      </c>
      <c r="H79" s="18" t="n">
        <v>1009.53</v>
      </c>
      <c r="I79" s="18" t="n">
        <v>1015.88</v>
      </c>
      <c r="J79" s="18" t="n">
        <v>1018.69</v>
      </c>
      <c r="K79" s="37" t="n">
        <v>4029.67</v>
      </c>
      <c r="L79" s="18" t="n">
        <v>874.52</v>
      </c>
      <c r="M79" s="18" t="n">
        <v>1051.45</v>
      </c>
      <c r="P79" s="9" t="n"/>
      <c r="U79" s="9" t="n"/>
      <c r="Z79" s="9" t="n"/>
      <c r="AB79" s="5" t="n"/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법인세납부(CF)</t>
        </is>
      </c>
      <c r="E80" s="18" t="n">
        <v>-14.41</v>
      </c>
      <c r="F80" s="9" t="n"/>
      <c r="G80" s="18" t="n">
        <v>-5748.93</v>
      </c>
      <c r="H80" s="18" t="n">
        <v>-6904.12</v>
      </c>
      <c r="I80" s="18" t="n">
        <v>-439.96</v>
      </c>
      <c r="J80" s="18" t="n">
        <v>-10.88</v>
      </c>
      <c r="K80" s="37" t="n">
        <v>-13103.89</v>
      </c>
      <c r="L80" s="18" t="n">
        <v>-394.54</v>
      </c>
      <c r="M80" s="18" t="n">
        <v>-382.27</v>
      </c>
      <c r="N80" s="18" t="n">
        <v>-224.86</v>
      </c>
      <c r="O80" s="18" t="n">
        <v>-317.88</v>
      </c>
      <c r="P80" s="37" t="n">
        <v>-1319.55</v>
      </c>
      <c r="Q80" s="18" t="n">
        <v>205.93</v>
      </c>
      <c r="R80" s="18" t="n">
        <v>212.38</v>
      </c>
      <c r="S80" s="18" t="n">
        <v>-124.61</v>
      </c>
      <c r="T80" s="18" t="n">
        <v>-78.19</v>
      </c>
      <c r="U80" s="37" t="n">
        <v>215.51</v>
      </c>
      <c r="V80" s="18" t="n">
        <v>-4972.05</v>
      </c>
      <c r="W80" s="18" t="n">
        <v>-5792.41</v>
      </c>
      <c r="X80" s="18" t="n">
        <v>-2665.65</v>
      </c>
      <c r="Y80" s="18" t="n">
        <v>-2447.38</v>
      </c>
      <c r="Z80" s="37" t="n">
        <v>-15877.49</v>
      </c>
      <c r="AA80" s="18" t="n">
        <v>-15747.57</v>
      </c>
      <c r="AB80" s="19" t="n">
        <v>-18973.39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투자활동으로인한현금흐름</t>
        </is>
      </c>
      <c r="E81" s="18" t="n">
        <v>-45894.73</v>
      </c>
      <c r="F81" s="9" t="n"/>
      <c r="G81" s="18" t="n">
        <v>-234.64</v>
      </c>
      <c r="H81" s="18" t="n">
        <v>26.87</v>
      </c>
      <c r="I81" s="18" t="n">
        <v>-29022.63</v>
      </c>
      <c r="J81" s="18" t="n">
        <v>-2285.1</v>
      </c>
      <c r="K81" s="37" t="n">
        <v>-31515.5</v>
      </c>
      <c r="L81" s="18" t="n">
        <v>-2728.27</v>
      </c>
      <c r="M81" s="18" t="n">
        <v>-3758.1</v>
      </c>
      <c r="N81" s="18" t="n">
        <v>9364.73</v>
      </c>
      <c r="O81" s="18" t="n">
        <v>-1745.67</v>
      </c>
      <c r="P81" s="37" t="n">
        <v>1132.69</v>
      </c>
      <c r="Q81" s="18" t="n">
        <v>17695.68</v>
      </c>
      <c r="R81" s="18" t="n">
        <v>-30030.6</v>
      </c>
      <c r="S81" s="18" t="n">
        <v>-907.73</v>
      </c>
      <c r="T81" s="18" t="n">
        <v>4219.84</v>
      </c>
      <c r="U81" s="37" t="n">
        <v>-9022.809999999999</v>
      </c>
      <c r="V81" s="18" t="n">
        <v>30126.19</v>
      </c>
      <c r="W81" s="18" t="n">
        <v>24599.93</v>
      </c>
      <c r="X81" s="18" t="n">
        <v>20240.34</v>
      </c>
      <c r="Y81" s="18" t="n">
        <v>6838.64</v>
      </c>
      <c r="Z81" s="37" t="n">
        <v>81805.10000000001</v>
      </c>
      <c r="AA81" s="18" t="n">
        <v>12403.82</v>
      </c>
      <c r="AB81" s="19" t="n">
        <v>33095.98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유형자산의감소</t>
        </is>
      </c>
      <c r="E82" s="18" t="n">
        <v>0</v>
      </c>
      <c r="F82" s="9" t="n"/>
      <c r="K82" s="9" t="n"/>
      <c r="N82" s="18" t="n">
        <v>0</v>
      </c>
      <c r="O82" s="18" t="n">
        <v>0</v>
      </c>
      <c r="P82" s="9" t="n"/>
      <c r="Q82" s="18" t="n">
        <v>89</v>
      </c>
      <c r="R82" s="18" t="n">
        <v>0</v>
      </c>
      <c r="S82" s="18" t="n">
        <v>1</v>
      </c>
      <c r="T82" s="18" t="n">
        <v>0</v>
      </c>
      <c r="U82" s="37" t="n">
        <v>90</v>
      </c>
      <c r="V82" s="18" t="n">
        <v>0</v>
      </c>
      <c r="W82" s="18" t="n">
        <v>400</v>
      </c>
      <c r="X82" s="18" t="n">
        <v>25</v>
      </c>
      <c r="Y82" s="18" t="n">
        <v>0</v>
      </c>
      <c r="Z82" s="37" t="n">
        <v>425</v>
      </c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유형자산의증가</t>
        </is>
      </c>
      <c r="E83" s="18" t="n">
        <v>292.39</v>
      </c>
      <c r="F83" s="9" t="n"/>
      <c r="G83" s="18" t="n">
        <v>222.63</v>
      </c>
      <c r="H83" s="18" t="n">
        <v>226.98</v>
      </c>
      <c r="I83" s="18" t="n">
        <v>96.45999999999999</v>
      </c>
      <c r="J83" s="18" t="n">
        <v>230.9</v>
      </c>
      <c r="K83" s="37" t="n">
        <v>776.97</v>
      </c>
      <c r="L83" s="18" t="n">
        <v>253.14</v>
      </c>
      <c r="M83" s="18" t="n">
        <v>242.95</v>
      </c>
      <c r="N83" s="18" t="n">
        <v>480.26</v>
      </c>
      <c r="O83" s="18" t="n">
        <v>597.1900000000001</v>
      </c>
      <c r="P83" s="37" t="n">
        <v>1573.54</v>
      </c>
      <c r="Q83" s="18" t="n">
        <v>434.15</v>
      </c>
      <c r="R83" s="18" t="n">
        <v>906.65</v>
      </c>
      <c r="S83" s="18" t="n">
        <v>961.54</v>
      </c>
      <c r="T83" s="18" t="n">
        <v>531.95</v>
      </c>
      <c r="U83" s="37" t="n">
        <v>2834.29</v>
      </c>
      <c r="V83" s="18" t="n">
        <v>1900.29</v>
      </c>
      <c r="W83" s="18" t="n">
        <v>1097.21</v>
      </c>
      <c r="X83" s="18" t="n">
        <v>895.42</v>
      </c>
      <c r="Y83" s="18" t="n">
        <v>2473.34</v>
      </c>
      <c r="Z83" s="37" t="n">
        <v>6366.26</v>
      </c>
      <c r="AA83" s="18" t="n">
        <v>315.28</v>
      </c>
      <c r="AB83" s="19" t="n">
        <v>286.8</v>
      </c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CAPEX</t>
        </is>
      </c>
      <c r="E84" s="18" t="n">
        <v>292.39</v>
      </c>
      <c r="F84" s="9" t="n"/>
      <c r="G84" s="18" t="n">
        <v>222.63</v>
      </c>
      <c r="H84" s="18" t="n">
        <v>226.98</v>
      </c>
      <c r="I84" s="18" t="n">
        <v>96.45999999999999</v>
      </c>
      <c r="J84" s="18" t="n">
        <v>230.9</v>
      </c>
      <c r="K84" s="37" t="n">
        <v>776.97</v>
      </c>
      <c r="L84" s="18" t="n">
        <v>253.14</v>
      </c>
      <c r="M84" s="18" t="n">
        <v>242.95</v>
      </c>
      <c r="N84" s="18" t="n">
        <v>480.26</v>
      </c>
      <c r="O84" s="18" t="n">
        <v>597.1900000000001</v>
      </c>
      <c r="P84" s="37" t="n">
        <v>1573.54</v>
      </c>
      <c r="Q84" s="18" t="n">
        <v>434.15</v>
      </c>
      <c r="R84" s="18" t="n">
        <v>906.65</v>
      </c>
      <c r="S84" s="18" t="n">
        <v>961.54</v>
      </c>
      <c r="T84" s="18" t="n">
        <v>531.95</v>
      </c>
      <c r="U84" s="37" t="n">
        <v>2834.29</v>
      </c>
      <c r="V84" s="18" t="n">
        <v>1900.29</v>
      </c>
      <c r="W84" s="18" t="n">
        <v>1097.21</v>
      </c>
      <c r="X84" s="18" t="n">
        <v>895.42</v>
      </c>
      <c r="Y84" s="18" t="n">
        <v>2473.34</v>
      </c>
      <c r="Z84" s="37" t="n">
        <v>6366.26</v>
      </c>
      <c r="AA84" s="18" t="n">
        <v>723.28</v>
      </c>
      <c r="AB84" s="19" t="n">
        <v>286.8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재무활동으로인한현금흐름</t>
        </is>
      </c>
      <c r="E85" s="18" t="n">
        <v>177.98</v>
      </c>
      <c r="F85" s="9" t="n"/>
      <c r="G85" s="18" t="n">
        <v>1582.36</v>
      </c>
      <c r="H85" s="18" t="n">
        <v>18983.05</v>
      </c>
      <c r="I85" s="18" t="n">
        <v>-16.95</v>
      </c>
      <c r="J85" s="18" t="n">
        <v>-16.95</v>
      </c>
      <c r="K85" s="37" t="n">
        <v>20531.51</v>
      </c>
      <c r="L85" s="18" t="n">
        <v>-20.28</v>
      </c>
      <c r="M85" s="18" t="n">
        <v>-22.11</v>
      </c>
      <c r="N85" s="18" t="n">
        <v>3702.15</v>
      </c>
      <c r="O85" s="18" t="n">
        <v>-917.84</v>
      </c>
      <c r="P85" s="37" t="n">
        <v>2741.92</v>
      </c>
      <c r="Q85" s="18" t="n">
        <v>-25426.22</v>
      </c>
      <c r="R85" s="18" t="n">
        <v>12244.8</v>
      </c>
      <c r="S85" s="18" t="n">
        <v>-2267.79</v>
      </c>
      <c r="T85" s="18" t="n">
        <v>-4826.31</v>
      </c>
      <c r="U85" s="37" t="n">
        <v>-20275.52</v>
      </c>
      <c r="V85" s="18" t="n">
        <v>-11439.37</v>
      </c>
      <c r="W85" s="18" t="n">
        <v>-32804.28</v>
      </c>
      <c r="X85" s="18" t="n">
        <v>-25072.1</v>
      </c>
      <c r="Y85" s="18" t="n">
        <v>-12004.54</v>
      </c>
      <c r="Z85" s="37" t="n">
        <v>-81320.28999999999</v>
      </c>
      <c r="AA85" s="18" t="n">
        <v>-2793.9</v>
      </c>
      <c r="AB85" s="19" t="n">
        <v>-20831.71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차입금의감소</t>
        </is>
      </c>
      <c r="E86" s="18" t="n">
        <v>16.95</v>
      </c>
      <c r="F86" s="9" t="n"/>
      <c r="G86" s="18" t="n">
        <v>416.95</v>
      </c>
      <c r="H86" s="18" t="n">
        <v>16.95</v>
      </c>
      <c r="I86" s="18" t="n">
        <v>16.95</v>
      </c>
      <c r="J86" s="18" t="n">
        <v>16.95</v>
      </c>
      <c r="K86" s="37" t="n">
        <v>467.8</v>
      </c>
      <c r="L86" s="18" t="n">
        <v>16.95</v>
      </c>
      <c r="M86" s="18" t="n">
        <v>10016.95</v>
      </c>
      <c r="N86" s="18" t="n">
        <v>16.95</v>
      </c>
      <c r="O86" s="18" t="n">
        <v>6016.95</v>
      </c>
      <c r="P86" s="37" t="n">
        <v>16067.8</v>
      </c>
      <c r="Q86" s="18" t="n">
        <v>15016.95</v>
      </c>
      <c r="R86" s="18" t="n">
        <v>39016.95</v>
      </c>
      <c r="S86" s="18" t="n">
        <v>25300</v>
      </c>
      <c r="T86" s="18" t="n">
        <v>24000</v>
      </c>
      <c r="U86" s="37" t="n">
        <v>103333.9</v>
      </c>
      <c r="V86" s="18" t="n">
        <v>10000</v>
      </c>
      <c r="W86" s="18" t="n">
        <v>25000</v>
      </c>
      <c r="X86" s="18" t="n">
        <v>15650</v>
      </c>
      <c r="Y86" s="18" t="n">
        <v>12000</v>
      </c>
      <c r="Z86" s="37" t="n">
        <v>62650</v>
      </c>
      <c r="AB86" s="5" t="n"/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  <row r="87">
      <c r="A87" t="n">
        <v>1</v>
      </c>
      <c r="C87" t="inlineStr">
        <is>
          <t>현금및현금성자산의증감</t>
        </is>
      </c>
      <c r="E87" s="18" t="n">
        <v>6709.37</v>
      </c>
      <c r="F87" s="9" t="n"/>
      <c r="G87" s="18" t="n">
        <v>-5750.49</v>
      </c>
      <c r="H87" s="18" t="n">
        <v>38623.48</v>
      </c>
      <c r="I87" s="18" t="n">
        <v>-48026.69</v>
      </c>
      <c r="J87" s="18" t="n">
        <v>-3633.33</v>
      </c>
      <c r="K87" s="37" t="n">
        <v>-18787.03</v>
      </c>
      <c r="L87" s="18" t="n">
        <v>-3455.56</v>
      </c>
      <c r="M87" s="18" t="n">
        <v>-471.68</v>
      </c>
      <c r="N87" s="18" t="n">
        <v>28397.71</v>
      </c>
      <c r="O87" s="18" t="n">
        <v>17192.84</v>
      </c>
      <c r="P87" s="37" t="n">
        <v>41663.31</v>
      </c>
      <c r="Q87" s="18" t="n">
        <v>-10993.92</v>
      </c>
      <c r="R87" s="18" t="n">
        <v>-30594.82</v>
      </c>
      <c r="S87" s="18" t="n">
        <v>5509.69</v>
      </c>
      <c r="T87" s="18" t="n">
        <v>-1440.77</v>
      </c>
      <c r="U87" s="37" t="n">
        <v>-37519.82</v>
      </c>
      <c r="V87" s="18" t="n">
        <v>32913.55</v>
      </c>
      <c r="W87" s="18" t="n">
        <v>-12663.22</v>
      </c>
      <c r="X87" s="18" t="n">
        <v>656.75</v>
      </c>
      <c r="Y87" s="18" t="n">
        <v>-14297.16</v>
      </c>
      <c r="Z87" s="37" t="n">
        <v>6609.92</v>
      </c>
      <c r="AA87" s="18" t="n">
        <v>-1569.99</v>
      </c>
      <c r="AB87" s="19" t="n">
        <v>-123.11</v>
      </c>
      <c r="AC87" s="10" t="n"/>
      <c r="AD87" s="10" t="n"/>
      <c r="AE87" s="11" t="n"/>
      <c r="AF87" s="10" t="n"/>
      <c r="AG87" s="10" t="n"/>
      <c r="AH87" s="10" t="n"/>
      <c r="AI87" s="10" t="n"/>
      <c r="AJ87" s="11" t="n"/>
      <c r="AK87" s="10" t="n"/>
      <c r="AL87" s="10" t="n"/>
      <c r="AM87" s="10" t="n"/>
      <c r="AN87" s="10" t="n"/>
      <c r="AO87" s="11" t="n"/>
    </row>
    <row r="88">
      <c r="A88" t="n">
        <v>1</v>
      </c>
      <c r="C88" t="inlineStr">
        <is>
          <t>기말현금및현금성자산</t>
        </is>
      </c>
      <c r="E88" s="18" t="n">
        <v>3354.21</v>
      </c>
      <c r="F88" s="9" t="n"/>
      <c r="G88" s="18" t="n">
        <v>11519.71</v>
      </c>
      <c r="H88" s="18" t="n">
        <v>19312.54</v>
      </c>
      <c r="I88" s="18" t="n">
        <v>-23994.44</v>
      </c>
      <c r="J88" s="18" t="n">
        <v>-1839.87</v>
      </c>
      <c r="K88" s="37" t="n">
        <v>4997.94</v>
      </c>
      <c r="L88" s="18" t="n">
        <v>3282.03</v>
      </c>
      <c r="M88" s="18" t="n">
        <v>-255.81</v>
      </c>
      <c r="N88" s="18" t="n">
        <v>14200.92</v>
      </c>
      <c r="O88" s="18" t="n">
        <v>8595.860000000001</v>
      </c>
      <c r="P88" s="37" t="n">
        <v>25823</v>
      </c>
      <c r="Q88" s="18" t="n">
        <v>20315.68</v>
      </c>
      <c r="R88" s="18" t="n">
        <v>-15307.82</v>
      </c>
      <c r="S88" s="18" t="n">
        <v>2780.54</v>
      </c>
      <c r="T88" s="18" t="n">
        <v>-709.83</v>
      </c>
      <c r="U88" s="37" t="n">
        <v>7078.57</v>
      </c>
      <c r="V88" s="18" t="n">
        <v>23544.42</v>
      </c>
      <c r="W88" s="18" t="n">
        <v>-6353.57</v>
      </c>
      <c r="X88" s="18" t="n">
        <v>342.95</v>
      </c>
      <c r="Y88" s="18" t="n">
        <v>-3845.31</v>
      </c>
      <c r="Z88" s="37" t="n">
        <v>13688.49</v>
      </c>
      <c r="AA88" s="18" t="n">
        <v>12118.5</v>
      </c>
      <c r="AB88" s="19" t="n">
        <v>-123.11</v>
      </c>
      <c r="AC88" s="10" t="n"/>
      <c r="AD88" s="10" t="n"/>
      <c r="AE88" s="11" t="n"/>
      <c r="AF88" s="10" t="n"/>
      <c r="AG88" s="10" t="n"/>
      <c r="AH88" s="10" t="n"/>
      <c r="AI88" s="10" t="n"/>
      <c r="AJ88" s="11" t="n"/>
      <c r="AK88" s="10" t="n"/>
      <c r="AL88" s="10" t="n"/>
      <c r="AM88" s="10" t="n"/>
      <c r="AN88" s="10" t="n"/>
      <c r="AO88" s="11" t="n"/>
    </row>
    <row r="89">
      <c r="A89" t="n">
        <v>1</v>
      </c>
      <c r="C89" t="inlineStr">
        <is>
          <t>배당금수취(CF)</t>
        </is>
      </c>
      <c r="F89" s="9" t="n"/>
      <c r="I89" s="18" t="n">
        <v>6000</v>
      </c>
      <c r="J89" s="18" t="n">
        <v>0</v>
      </c>
      <c r="K89" s="9" t="n"/>
      <c r="P89" s="9" t="n"/>
      <c r="U89" s="9" t="n"/>
      <c r="V89" s="18" t="n">
        <v>0</v>
      </c>
      <c r="Z89" s="9" t="n"/>
      <c r="AB89" s="5" t="n"/>
      <c r="AC89" s="10" t="n"/>
      <c r="AD89" s="10" t="n"/>
      <c r="AE89" s="11" t="n"/>
      <c r="AF89" s="10" t="n"/>
      <c r="AG89" s="10" t="n"/>
      <c r="AH89" s="10" t="n"/>
      <c r="AI89" s="10" t="n"/>
      <c r="AJ89" s="11" t="n"/>
      <c r="AK89" s="10" t="n"/>
      <c r="AL89" s="10" t="n"/>
      <c r="AM89" s="10" t="n"/>
      <c r="AN89" s="10" t="n"/>
      <c r="AO89" s="11" t="n"/>
    </row>
    <row r="90">
      <c r="A90" t="n">
        <v>1</v>
      </c>
      <c r="C90" t="inlineStr">
        <is>
          <t>이자수취(CF)</t>
        </is>
      </c>
      <c r="F90" s="9" t="n"/>
      <c r="K90" s="9" t="n"/>
      <c r="O90" s="18" t="n">
        <v>329.02</v>
      </c>
      <c r="P90" s="9" t="n"/>
      <c r="Q90" s="18" t="n">
        <v>303.82</v>
      </c>
      <c r="R90" s="18" t="n">
        <v>308.03</v>
      </c>
      <c r="S90" s="18" t="n">
        <v>321.97</v>
      </c>
      <c r="T90" s="18" t="n">
        <v>187.7</v>
      </c>
      <c r="U90" s="37" t="n">
        <v>1121.52</v>
      </c>
      <c r="V90" s="18" t="n">
        <v>1068.65</v>
      </c>
      <c r="W90" s="18" t="n">
        <v>289.12</v>
      </c>
      <c r="X90" s="18" t="n">
        <v>1299.07</v>
      </c>
      <c r="Y90" s="18" t="n">
        <v>271.55</v>
      </c>
      <c r="Z90" s="37" t="n">
        <v>2928.39</v>
      </c>
      <c r="AA90" s="18" t="n">
        <v>2816.29</v>
      </c>
      <c r="AB90" s="19" t="n">
        <v>502.83</v>
      </c>
      <c r="AC90" s="10" t="n"/>
      <c r="AD90" s="10" t="n"/>
      <c r="AE90" s="11" t="n"/>
      <c r="AF90" s="10" t="n"/>
      <c r="AG90" s="10" t="n"/>
      <c r="AH90" s="10" t="n"/>
      <c r="AI90" s="10" t="n"/>
      <c r="AJ90" s="11" t="n"/>
      <c r="AK90" s="10" t="n"/>
      <c r="AL90" s="10" t="n"/>
      <c r="AM90" s="10" t="n"/>
      <c r="AN90" s="10" t="n"/>
      <c r="AO90" s="11" t="n"/>
    </row>
    <row r="91">
      <c r="A91" t="n">
        <v>1</v>
      </c>
      <c r="C91" t="inlineStr">
        <is>
          <t>배당금지급</t>
        </is>
      </c>
      <c r="F91" s="9" t="n"/>
      <c r="K91" s="9" t="n"/>
      <c r="P91" s="9" t="n"/>
      <c r="Q91" s="18" t="n">
        <v>20401.36</v>
      </c>
      <c r="R91" s="18" t="n">
        <v>0</v>
      </c>
      <c r="S91" s="18" t="n">
        <v>0</v>
      </c>
      <c r="T91" s="18" t="n">
        <v>0</v>
      </c>
      <c r="U91" s="37" t="n">
        <v>20401.36</v>
      </c>
      <c r="V91" s="18" t="n">
        <v>0</v>
      </c>
      <c r="W91" s="18" t="n">
        <v>6526.16</v>
      </c>
      <c r="X91" s="18" t="n">
        <v>9232.879999999999</v>
      </c>
      <c r="Y91" s="18" t="n">
        <v>0</v>
      </c>
      <c r="Z91" s="37" t="n">
        <v>15759.04</v>
      </c>
      <c r="AB91" s="5" t="n"/>
      <c r="AC91" s="10" t="n"/>
      <c r="AD91" s="10" t="n"/>
      <c r="AE91" s="11" t="n"/>
      <c r="AF91" s="10" t="n"/>
      <c r="AG91" s="10" t="n"/>
      <c r="AH91" s="10" t="n"/>
      <c r="AI91" s="10" t="n"/>
      <c r="AJ91" s="11" t="n"/>
      <c r="AK91" s="10" t="n"/>
      <c r="AL91" s="10" t="n"/>
      <c r="AM91" s="10" t="n"/>
      <c r="AN91" s="10" t="n"/>
      <c r="AO91" s="11" t="n"/>
    </row>
    <row r="92">
      <c r="A92" t="n">
        <v>1</v>
      </c>
      <c r="C92" t="inlineStr">
        <is>
          <t>무형자산의증가</t>
        </is>
      </c>
      <c r="F92" s="9" t="n"/>
      <c r="K92" s="9" t="n"/>
      <c r="P92" s="9" t="n"/>
      <c r="U92" s="9" t="n"/>
      <c r="Z92" s="9" t="n"/>
      <c r="AA92" s="18" t="n">
        <v>408</v>
      </c>
      <c r="AB92" s="19" t="n">
        <v>0</v>
      </c>
      <c r="AC92" s="10" t="n"/>
      <c r="AD92" s="10" t="n"/>
      <c r="AE92" s="11" t="n"/>
      <c r="AF92" s="10" t="n"/>
      <c r="AG92" s="10" t="n"/>
      <c r="AH92" s="10" t="n"/>
      <c r="AI92" s="10" t="n"/>
      <c r="AJ92" s="11" t="n"/>
      <c r="AK92" s="10" t="n"/>
      <c r="AL92" s="10" t="n"/>
      <c r="AM92" s="10" t="n"/>
      <c r="AN92" s="10" t="n"/>
      <c r="AO92" s="11" t="n"/>
    </row>
    <row r="93">
      <c r="A93" t="n">
        <v>1</v>
      </c>
      <c r="C93" t="inlineStr">
        <is>
          <t>리스부채의상환</t>
        </is>
      </c>
      <c r="F93" s="9" t="n"/>
      <c r="K93" s="9" t="n"/>
      <c r="P93" s="9" t="n"/>
      <c r="U93" s="9" t="n"/>
      <c r="Z93" s="9" t="n"/>
      <c r="AA93" s="18" t="n">
        <v>4.57</v>
      </c>
      <c r="AB93" s="19" t="n">
        <v>4.6</v>
      </c>
      <c r="AC93" s="10" t="n"/>
      <c r="AD93" s="10" t="n"/>
      <c r="AE93" s="11" t="n"/>
      <c r="AF93" s="10" t="n"/>
      <c r="AG93" s="10" t="n"/>
      <c r="AH93" s="10" t="n"/>
      <c r="AI93" s="10" t="n"/>
      <c r="AJ93" s="11" t="n"/>
      <c r="AK93" s="10" t="n"/>
      <c r="AL93" s="10" t="n"/>
      <c r="AM93" s="10" t="n"/>
      <c r="AN93" s="10" t="n"/>
      <c r="AO93" s="11" t="n"/>
    </row>
    <row r="94">
      <c r="A94" t="n">
        <v>1</v>
      </c>
      <c r="C94" t="inlineStr">
        <is>
          <t>자기주식의취득</t>
        </is>
      </c>
      <c r="F94" s="9" t="n"/>
      <c r="K94" s="9" t="n"/>
      <c r="P94" s="9" t="n"/>
      <c r="U94" s="9" t="n"/>
      <c r="Z94" s="9" t="n"/>
      <c r="AA94" s="18" t="n">
        <v>2789.32</v>
      </c>
      <c r="AB94" s="19" t="n">
        <v>2210.68</v>
      </c>
      <c r="AC94" s="10" t="n"/>
      <c r="AD94" s="10" t="n"/>
      <c r="AE94" s="11" t="n"/>
      <c r="AF94" s="10" t="n"/>
      <c r="AG94" s="10" t="n"/>
      <c r="AH94" s="10" t="n"/>
      <c r="AI94" s="10" t="n"/>
      <c r="AJ94" s="11" t="n"/>
      <c r="AK94" s="10" t="n"/>
      <c r="AL94" s="10" t="n"/>
      <c r="AM94" s="10" t="n"/>
      <c r="AN94" s="10" t="n"/>
      <c r="AO94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SUM(G5:J5)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SUM(L7:O7)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3">
        <f>IFERROR(AC9/AC5,"")</f>
        <v/>
      </c>
      <c r="AD10" s="33">
        <f>IFERROR(AD9/AD5,"")</f>
        <v/>
      </c>
      <c r="AE10" s="25">
        <f>IFERROR(AE9/AE5,"")</f>
        <v/>
      </c>
      <c r="AF10" s="33">
        <f>IFERROR(AF9/AF5,"")</f>
        <v/>
      </c>
      <c r="AG10" s="33">
        <f>IFERROR(AG9/AG5,"")</f>
        <v/>
      </c>
      <c r="AH10" s="33">
        <f>IFERROR(AH9/AH5,"")</f>
        <v/>
      </c>
      <c r="AI10" s="33">
        <f>IFERROR(AI9/AI5,"")</f>
        <v/>
      </c>
      <c r="AJ10" s="25">
        <f>IFERROR(AJ9/AJ5,"")</f>
        <v/>
      </c>
      <c r="AK10" s="33">
        <f>IFERROR(AK9/AK5,"")</f>
        <v/>
      </c>
      <c r="AL10" s="33">
        <f>IFERROR(AL9/AL5,"")</f>
        <v/>
      </c>
      <c r="AM10" s="33">
        <f>IFERROR(AM9/AM5,"")</f>
        <v/>
      </c>
      <c r="AN10" s="33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IFERROR(AC12+AC13+AC14,"")</f>
        <v/>
      </c>
      <c r="AD11" s="20">
        <f>IFERROR(AD12+AD13+AD14,"")</f>
        <v/>
      </c>
      <c r="AE11" s="38">
        <f>SUM(AA11:AD11)</f>
        <v/>
      </c>
      <c r="AF11" s="20">
        <f>IFERROR(AF12+AF13+AF14,"")</f>
        <v/>
      </c>
      <c r="AG11" s="20">
        <f>IFERROR(AG12+AG13+AG14,"")</f>
        <v/>
      </c>
      <c r="AH11" s="20">
        <f>IFERROR(AH12+AH13+AH14,"")</f>
        <v/>
      </c>
      <c r="AI11" s="20">
        <f>IFERROR(AI12+AI13+AI14,"")</f>
        <v/>
      </c>
      <c r="AJ11" s="38">
        <f>SUM(AF11:AI11)</f>
        <v/>
      </c>
      <c r="AK11" s="20">
        <f>IFERROR(AK12+AK13+AK14,"")</f>
        <v/>
      </c>
      <c r="AL11" s="20">
        <f>IFERROR(AL12+AL13+AL14,"")</f>
        <v/>
      </c>
      <c r="AM11" s="20">
        <f>IFERROR(AM12+AM13+AM14,"")</f>
        <v/>
      </c>
      <c r="AN11" s="20">
        <f>IFERROR(AN12+AN13+AN14,"")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>
        <f>IFERROR(VLOOKUP($D12,BS연결,MATCH(H$1,BS연결H,0),0)/100,"")</f>
        <v/>
      </c>
      <c r="I12" s="18">
        <f>IFERROR(VLOOKUP($D12,BS연결,MATCH(I$1,BS연결H,0),0)/100,"")</f>
        <v/>
      </c>
      <c r="J12" s="18">
        <f>IFERROR(VLOOKUP($D12,BS연결,MATCH(J$1,BS연결H,0),0)/100,"")</f>
        <v/>
      </c>
      <c r="K12" s="37">
        <f>IFERROR(VLOOKUP($D12,BS연결,MATCH(K$1,BS연결H,0),0)/100,"")</f>
        <v/>
      </c>
      <c r="L12" s="18">
        <f>IFERROR(VLOOKUP($D12,BS연결,MATCH(L$1,BS연결H,0),0)/100,"")</f>
        <v/>
      </c>
      <c r="M12" s="18">
        <f>IFERROR(VLOOKUP($D12,BS연결,MATCH(M$1,BS연결H,0),0)/100,"")</f>
        <v/>
      </c>
      <c r="N12" s="18">
        <f>IFERROR(VLOOKUP($D12,BS연결,MATCH(N$1,BS연결H,0),0)/100,"")</f>
        <v/>
      </c>
      <c r="O12" s="18">
        <f>IFERROR(VLOOKUP($D12,BS연결,MATCH(O$1,BS연결H,0),0)/100,"")</f>
        <v/>
      </c>
      <c r="P12" s="37">
        <f>IFERROR(VLOOKUP($D12,BS연결,MATCH(P$1,BS연결H,0),0)/100,"")</f>
        <v/>
      </c>
      <c r="Q12" s="18">
        <f>IFERROR(VLOOKUP($D12,BS연결,MATCH(Q$1,BS연결H,0),0)/100,"")</f>
        <v/>
      </c>
      <c r="R12" s="18">
        <f>IFERROR(VLOOKUP($D12,BS연결,MATCH(R$1,BS연결H,0),0)/100,"")</f>
        <v/>
      </c>
      <c r="S12" s="18">
        <f>IFERROR(VLOOKUP($D12,BS연결,MATCH(S$1,BS연결H,0),0)/100,"")</f>
        <v/>
      </c>
      <c r="T12" s="18">
        <f>IFERROR(VLOOKUP($D12,BS연결,MATCH(T$1,BS연결H,0),0)/100,"")</f>
        <v/>
      </c>
      <c r="U12" s="37">
        <f>IFERROR(VLOOKUP($D12,BS연결,MATCH(U$1,BS연결H,0),0)/100,"")</f>
        <v/>
      </c>
      <c r="V12" s="18">
        <f>IFERROR(VLOOKUP($D12,BS연결,MATCH(V$1,BS연결H,0),0)/100,"")</f>
        <v/>
      </c>
      <c r="W12" s="18">
        <f>IFERROR(VLOOKUP($D12,BS연결,MATCH(W$1,BS연결H,0),0)/100,"")</f>
        <v/>
      </c>
      <c r="X12" s="18">
        <f>IFERROR(VLOOKUP($D12,BS연결,MATCH(X$1,BS연결H,0),0)/100,"")</f>
        <v/>
      </c>
      <c r="Y12" s="18">
        <f>IFERROR(VLOOKUP($D12,BS연결,MATCH(Y$1,BS연결H,0),0)/100,"")</f>
        <v/>
      </c>
      <c r="Z12" s="37">
        <f>IFERROR(VLOOKUP($D12,BS연결,MATCH(Z$1,BS연결H,0),0)/100,"")</f>
        <v/>
      </c>
      <c r="AA12" s="18" t="n"/>
      <c r="AB12" s="19">
        <f>IFERROR(VLOOKUP($D12,BS연결,MATCH(AB$1,BS연결H,0),0)/100,"")</f>
        <v/>
      </c>
      <c r="AC12" s="20">
        <f>IFERROR((AB30*변수!$D$55-AB28*변수!$D$56)/4,"")</f>
        <v/>
      </c>
      <c r="AD12" s="20">
        <f>IFERROR((AC30*변수!$D$55-AC28*변수!$D$56)/4,"")</f>
        <v/>
      </c>
      <c r="AE12" s="38">
        <f>SUM(AA12:AD12)</f>
        <v/>
      </c>
      <c r="AF12" s="20">
        <f>IFERROR((AD30*변수!$D$55-AD28*변수!$D$56)/4,"")</f>
        <v/>
      </c>
      <c r="AG12" s="20">
        <f>IFERROR((AF30*변수!$D$55-AF28*변수!$D$56)/4,"")</f>
        <v/>
      </c>
      <c r="AH12" s="20">
        <f>IFERROR((AG30*변수!$D$55-AG28*변수!$D$56)/4,"")</f>
        <v/>
      </c>
      <c r="AI12" s="20">
        <f>IFERROR((AH30*변수!$D$55-AH28*변수!$D$56)/4,"")</f>
        <v/>
      </c>
      <c r="AJ12" s="38">
        <f>SUM(AF12:AI12)</f>
        <v/>
      </c>
      <c r="AK12" s="20">
        <f>IFERROR((AI30*변수!$D$55-AI28*변수!$D$56)/4,"")</f>
        <v/>
      </c>
      <c r="AL12" s="20">
        <f>IFERROR((AK30*변수!$D$55-AK28*변수!$D$56)/4,"")</f>
        <v/>
      </c>
      <c r="AM12" s="20">
        <f>IFERROR((AL30*변수!$D$55-AL28*변수!$D$56)/4,"")</f>
        <v/>
      </c>
      <c r="AN12" s="20">
        <f>IFERROR((AM30*변수!$D$55-AM28*변수!$D$56)/4,"")</f>
        <v/>
      </c>
      <c r="AO12" s="38">
        <f>SUM(AK12:AN12)</f>
        <v/>
      </c>
    </row>
    <row r="13">
      <c r="A13" s="12" t="inlineStr">
        <is>
          <t>파생상품손익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파생상품손익</t>
        </is>
      </c>
      <c r="E13" s="18" t="n"/>
      <c r="F13" s="37" t="n"/>
      <c r="G13" s="18" t="n"/>
      <c r="H13" s="18" t="n"/>
      <c r="I13" s="18">
        <f>IFERROR((VLOOKUP("파생상품이익",BS연결,MATCH(I$1,BS연결H,0),0)-VLOOKUP("파생상품손실",BS연결,MATCH(I$1,BS연결H,0),0))/100,"")</f>
        <v/>
      </c>
      <c r="J13" s="18">
        <f>IFERROR((VLOOKUP("파생상품이익",BS연결,MATCH(J$1,BS연결H,0),0)-VLOOKUP("파생상품손실",BS연결,MATCH(J$1,BS연결H,0),0))/100,"")</f>
        <v/>
      </c>
      <c r="K13" s="37">
        <f>SUM(G13:J13)</f>
        <v/>
      </c>
      <c r="L13" s="18" t="n"/>
      <c r="M13" s="18">
        <f>IFERROR((VLOOKUP("파생상품이익",BS연결,MATCH(M$1,BS연결H,0),0)-VLOOKUP("파생상품손실",BS연결,MATCH(M$1,BS연결H,0),0))/100,"")</f>
        <v/>
      </c>
      <c r="N13" s="18">
        <f>IFERROR((VLOOKUP("파생상품이익",BS연결,MATCH(N$1,BS연결H,0),0)-VLOOKUP("파생상품손실",BS연결,MATCH(N$1,BS연결H,0),0))/100,"")</f>
        <v/>
      </c>
      <c r="O13" s="18">
        <f>IFERROR((VLOOKUP("파생상품이익",BS연결,MATCH(O$1,BS연결H,0),0)-VLOOKUP("파생상품손실",BS연결,MATCH(O$1,BS연결H,0),0))/100,"")</f>
        <v/>
      </c>
      <c r="P13" s="37">
        <f>SUM(L13:O13)</f>
        <v/>
      </c>
      <c r="Q13" s="18" t="n"/>
      <c r="R13" s="18">
        <f>IFERROR((VLOOKUP("파생상품이익",BS연결,MATCH(R$1,BS연결H,0),0)-VLOOKUP("파생상품손실",BS연결,MATCH(R$1,BS연결H,0),0))/100,"")</f>
        <v/>
      </c>
      <c r="S13" s="18">
        <f>IFERROR((VLOOKUP("파생상품이익",BS연결,MATCH(S$1,BS연결H,0),0)-VLOOKUP("파생상품손실",BS연결,MATCH(S$1,BS연결H,0),0))/100,"")</f>
        <v/>
      </c>
      <c r="T13" s="18">
        <f>IFERROR((VLOOKUP("파생상품이익",BS연결,MATCH(T$1,BS연결H,0),0)-VLOOKUP("파생상품손실",BS연결,MATCH(T$1,BS연결H,0),0))/100,"")</f>
        <v/>
      </c>
      <c r="U13" s="37">
        <f>SUM(Q13:T13)</f>
        <v/>
      </c>
      <c r="V13" s="18">
        <f>IFERROR((VLOOKUP("파생상품이익",BS연결,MATCH(V$1,BS연결H,0),0)-VLOOKUP("파생상품손실",BS연결,MATCH(V$1,BS연결H,0),0))/100,"")</f>
        <v/>
      </c>
      <c r="W13" s="18">
        <f>IFERROR((VLOOKUP("파생상품이익",BS연결,MATCH(W$1,BS연결H,0),0)-VLOOKUP("파생상품손실",BS연결,MATCH(W$1,BS연결H,0),0))/100,"")</f>
        <v/>
      </c>
      <c r="X13" s="18">
        <f>IFERROR((VLOOKUP("파생상품이익",BS연결,MATCH(X$1,BS연결H,0),0)-VLOOKUP("파생상품손실",BS연결,MATCH(X$1,BS연결H,0),0))/100,"")</f>
        <v/>
      </c>
      <c r="Y13" s="18">
        <f>IFERROR((VLOOKUP("파생상품이익",BS연결,MATCH(Y$1,BS연결H,0),0)-VLOOKUP("파생상품손실",BS연결,MATCH(Y$1,BS연결H,0),0))/100,"")</f>
        <v/>
      </c>
      <c r="Z13" s="37">
        <f>SUM(V13:Y13)</f>
        <v/>
      </c>
      <c r="AA13" s="18" t="n"/>
      <c r="AB13" s="19">
        <f>IFERROR((VLOOKUP("파생상품이익",BS연결,MATCH(AB$1,BS연결H,0),0)-VLOOKUP("파생상품손실",BS연결,MATCH(AB$1,BS연결H,0),0))/100,"")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기타금융손익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기타금융손익(금융손익 잔차)</t>
        </is>
      </c>
      <c r="E14" s="18" t="n"/>
      <c r="F14" s="37" t="n"/>
      <c r="G14" s="18" t="n"/>
      <c r="H14" s="18" t="n"/>
      <c r="I14" s="18" t="n">
        <v>0</v>
      </c>
      <c r="J14" s="18" t="n">
        <v>0.62</v>
      </c>
      <c r="K14" s="37">
        <f>SUM(G14:J14)</f>
        <v/>
      </c>
      <c r="L14" s="18" t="n"/>
      <c r="M14" s="18" t="n">
        <v>-3.13</v>
      </c>
      <c r="N14" s="18" t="n">
        <v>3.15</v>
      </c>
      <c r="O14" s="18" t="n">
        <v>0</v>
      </c>
      <c r="P14" s="37">
        <f>SUM(L14:O14)</f>
        <v/>
      </c>
      <c r="Q14" s="18" t="n"/>
      <c r="R14" s="18" t="n">
        <v>0</v>
      </c>
      <c r="S14" s="18" t="n">
        <v>0</v>
      </c>
      <c r="T14" s="18" t="n">
        <v>0</v>
      </c>
      <c r="U14" s="37">
        <f>SUM(Q14:T14)</f>
        <v/>
      </c>
      <c r="V14" s="18" t="n">
        <v>-0</v>
      </c>
      <c r="W14" s="18" t="n">
        <v>0</v>
      </c>
      <c r="X14" s="18" t="n">
        <v>0</v>
      </c>
      <c r="Y14" s="18" t="n">
        <v>0</v>
      </c>
      <c r="Z14" s="37">
        <f>SUM(V14:Y14)</f>
        <v/>
      </c>
      <c r="AA14" s="18" t="n"/>
      <c r="AB14" s="19" t="n">
        <v>0.01</v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  <c r="AK14" s="20">
        <f>변수!AK25</f>
        <v/>
      </c>
      <c r="AL14" s="20">
        <f>변수!AL25</f>
        <v/>
      </c>
      <c r="AM14" s="20">
        <f>변수!AM25</f>
        <v/>
      </c>
      <c r="AN14" s="20">
        <f>변수!AN25</f>
        <v/>
      </c>
      <c r="AO14" s="38">
        <f>SUM(AK14:AN14)</f>
        <v/>
      </c>
    </row>
    <row r="15">
      <c r="A15" s="12" t="inlineStr">
        <is>
          <t>기타영업외손익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기타영업외손익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  <c r="AK15" s="20">
        <f>변수!AK26</f>
        <v/>
      </c>
      <c r="AL15" s="20">
        <f>변수!AL26</f>
        <v/>
      </c>
      <c r="AM15" s="20">
        <f>변수!AM26</f>
        <v/>
      </c>
      <c r="AN15" s="20">
        <f>변수!AN26</f>
        <v/>
      </c>
      <c r="AO15" s="38">
        <f>SUM(AK15:AN15)</f>
        <v/>
      </c>
    </row>
    <row r="16">
      <c r="A16" s="12" t="inlineStr">
        <is>
          <t>지분법손익</t>
        </is>
      </c>
      <c r="B16" t="inlineStr">
        <is>
          <t>손익</t>
        </is>
      </c>
      <c r="C16" t="inlineStr">
        <is>
          <t>억원</t>
        </is>
      </c>
      <c r="D16" t="inlineStr">
        <is>
          <t>종속기업,공동지배기업및관계기업관련손익</t>
        </is>
      </c>
      <c r="E16" s="18" t="n"/>
      <c r="F16" s="37" t="n"/>
      <c r="G16" s="18" t="n"/>
      <c r="H16" s="18" t="n"/>
      <c r="I16" s="18" t="n"/>
      <c r="J16" s="18" t="n"/>
      <c r="K16" s="37">
        <f>SUM(G16:J16)</f>
        <v/>
      </c>
      <c r="L16" s="18" t="n"/>
      <c r="M16" s="18" t="n"/>
      <c r="N16" s="18" t="n"/>
      <c r="O16" s="18" t="n"/>
      <c r="P16" s="37">
        <f>SUM(L16:O16)</f>
        <v/>
      </c>
      <c r="Q16" s="18" t="n"/>
      <c r="R16" s="18" t="n"/>
      <c r="S16" s="18" t="n"/>
      <c r="T16" s="18" t="n"/>
      <c r="U16" s="37">
        <f>SUM(Q16:T16)</f>
        <v/>
      </c>
      <c r="V16" s="18" t="n"/>
      <c r="W16" s="18" t="n"/>
      <c r="X16" s="18" t="n"/>
      <c r="Y16" s="18" t="n"/>
      <c r="Z16" s="37">
        <f>SUM(V16:Y16)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변수!AC27</f>
        <v/>
      </c>
      <c r="AD16" s="20">
        <f>변수!AD27</f>
        <v/>
      </c>
      <c r="AE16" s="38">
        <f>SUM(AA16:AD16)</f>
        <v/>
      </c>
      <c r="AF16" s="20">
        <f>변수!AF27</f>
        <v/>
      </c>
      <c r="AG16" s="20">
        <f>변수!AG27</f>
        <v/>
      </c>
      <c r="AH16" s="20">
        <f>변수!AH27</f>
        <v/>
      </c>
      <c r="AI16" s="20">
        <f>변수!AI27</f>
        <v/>
      </c>
      <c r="AJ16" s="38">
        <f>SUM(AF16:AI16)</f>
        <v/>
      </c>
      <c r="AK16" s="20">
        <f>변수!AK27</f>
        <v/>
      </c>
      <c r="AL16" s="20">
        <f>변수!AL27</f>
        <v/>
      </c>
      <c r="AM16" s="20">
        <f>변수!AM27</f>
        <v/>
      </c>
      <c r="AN16" s="20">
        <f>변수!AN27</f>
        <v/>
      </c>
      <c r="AO16" s="38">
        <f>SUM(AK16:AN16)</f>
        <v/>
      </c>
    </row>
    <row r="17">
      <c r="A17" s="12" t="inlineStr">
        <is>
          <t>세전이익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법인세비용차감전계속사업이익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 t="n"/>
      <c r="Z17" s="37">
        <f>SUM(V17:Y17)</f>
        <v/>
      </c>
      <c r="AA17" s="18" t="n"/>
      <c r="AB17" s="19" t="n"/>
      <c r="AC17" s="20">
        <f>IFERROR(AC9+AC11+AC15+AC16,"")</f>
        <v/>
      </c>
      <c r="AD17" s="20">
        <f>IFERROR(AD9+AD11+AD15+AD16,"")</f>
        <v/>
      </c>
      <c r="AE17" s="38">
        <f>SUM(AA17:AD17)</f>
        <v/>
      </c>
      <c r="AF17" s="20">
        <f>IFERROR(AF9+AF11+AF15+AF16,"")</f>
        <v/>
      </c>
      <c r="AG17" s="20">
        <f>IFERROR(AG9+AG11+AG15+AG16,"")</f>
        <v/>
      </c>
      <c r="AH17" s="20">
        <f>IFERROR(AH9+AH11+AH15+AH16,"")</f>
        <v/>
      </c>
      <c r="AI17" s="20">
        <f>IFERROR(AI9+AI11+AI15+AI16,"")</f>
        <v/>
      </c>
      <c r="AJ17" s="38">
        <f>SUM(AF17:AI17)</f>
        <v/>
      </c>
      <c r="AK17" s="20">
        <f>IFERROR(AK9+AK11+AK15+AK16,"")</f>
        <v/>
      </c>
      <c r="AL17" s="20">
        <f>IFERROR(AL9+AL11+AL15+AL16,"")</f>
        <v/>
      </c>
      <c r="AM17" s="20">
        <f>IFERROR(AM9+AM11+AM15+AM16,"")</f>
        <v/>
      </c>
      <c r="AN17" s="20">
        <f>IFERROR(AN9+AN11+AN15+AN16,"")</f>
        <v/>
      </c>
      <c r="AO17" s="38">
        <f>SUM(AK17:AN17)</f>
        <v/>
      </c>
    </row>
    <row r="18">
      <c r="A18" s="12" t="inlineStr">
        <is>
          <t>법인세비용</t>
        </is>
      </c>
      <c r="B18" t="inlineStr">
        <is>
          <t>손익</t>
        </is>
      </c>
      <c r="C18" t="inlineStr">
        <is>
          <t>억원</t>
        </is>
      </c>
      <c r="D18" t="inlineStr">
        <is>
          <t>법인세비용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>
        <f>IFERROR(VLOOKUP($D18,BS연결,MATCH(N$1,BS연결H,0),0)/100,"")</f>
        <v/>
      </c>
      <c r="O18" s="18">
        <f>IFERROR(VLOOKUP($D18,BS연결,MATCH(O$1,BS연결H,0),0)/100,"")</f>
        <v/>
      </c>
      <c r="P18" s="37">
        <f>IFERROR(VLOOKUP($D18,BS연결,MATCH(P$1,BS연결H,0),0)/100,"")</f>
        <v/>
      </c>
      <c r="Q18" s="18">
        <f>IFERROR(VLOOKUP($D18,BS연결,MATCH(Q$1,BS연결H,0),0)/100,"")</f>
        <v/>
      </c>
      <c r="R18" s="18">
        <f>IFERROR(VLOOKUP($D18,BS연결,MATCH(R$1,BS연결H,0),0)/100,"")</f>
        <v/>
      </c>
      <c r="S18" s="18">
        <f>IFERROR(VLOOKUP($D18,BS연결,MATCH(S$1,BS연결H,0),0)/100,"")</f>
        <v/>
      </c>
      <c r="T18" s="18">
        <f>IFERROR(VLOOKUP($D18,BS연결,MATCH(T$1,BS연결H,0),0)/100,"")</f>
        <v/>
      </c>
      <c r="U18" s="37">
        <f>IFERROR(VLOOKUP($D18,BS연결,MATCH(U$1,BS연결H,0),0)/100,"")</f>
        <v/>
      </c>
      <c r="V18" s="18">
        <f>IFERROR(VLOOKUP($D18,BS연결,MATCH(V$1,BS연결H,0),0)/100,"")</f>
        <v/>
      </c>
      <c r="W18" s="18">
        <f>IFERROR(VLOOKUP($D18,BS연결,MATCH(W$1,BS연결H,0),0)/100,"")</f>
        <v/>
      </c>
      <c r="X18" s="18">
        <f>IFERROR(VLOOKUP($D18,BS연결,MATCH(X$1,BS연결H,0),0)/100,"")</f>
        <v/>
      </c>
      <c r="Y18" s="18">
        <f>IFERROR(VLOOKUP($D18,BS연결,MATCH(Y$1,BS연결H,0),0)/100,"")</f>
        <v/>
      </c>
      <c r="Z18" s="37">
        <f>IFERROR(VLOOKUP($D18,BS연결,MATCH(Z$1,BS연결H,0),0)/100,"")</f>
        <v/>
      </c>
      <c r="AA18" s="18">
        <f>IFERROR(VLOOKUP($D18,BS연결,MATCH(AA$1,BS연결H,0),0)/100,"")</f>
        <v/>
      </c>
      <c r="AB18" s="19">
        <f>IFERROR(VLOOKUP($D18,BS연결,MATCH(AB$1,BS연결H,0),0)/100,"")</f>
        <v/>
      </c>
      <c r="AC18" s="20">
        <f>IFERROR(MAX(AC17,0)*변수!AC28,"")</f>
        <v/>
      </c>
      <c r="AD18" s="20">
        <f>IFERROR(MAX(AD17,0)*변수!AD28,"")</f>
        <v/>
      </c>
      <c r="AE18" s="38">
        <f>SUM(AA18:AD18)</f>
        <v/>
      </c>
      <c r="AF18" s="20">
        <f>IFERROR(MAX(AF17,0)*변수!AF28,"")</f>
        <v/>
      </c>
      <c r="AG18" s="20">
        <f>IFERROR(MAX(AG17,0)*변수!AG28,"")</f>
        <v/>
      </c>
      <c r="AH18" s="20">
        <f>IFERROR(MAX(AH17,0)*변수!AH28,"")</f>
        <v/>
      </c>
      <c r="AI18" s="20">
        <f>IFERROR(MAX(AI17,0)*변수!AI28,"")</f>
        <v/>
      </c>
      <c r="AJ18" s="38">
        <f>SUM(AF18:AI18)</f>
        <v/>
      </c>
      <c r="AK18" s="20">
        <f>IFERROR(MAX(AK17,0)*변수!AK28,"")</f>
        <v/>
      </c>
      <c r="AL18" s="20">
        <f>IFERROR(MAX(AL17,0)*변수!AL28,"")</f>
        <v/>
      </c>
      <c r="AM18" s="20">
        <f>IFERROR(MAX(AM17,0)*변수!AM28,"")</f>
        <v/>
      </c>
      <c r="AN18" s="20">
        <f>IFERROR(MAX(AN17,0)*변수!AN28,"")</f>
        <v/>
      </c>
      <c r="AO18" s="38">
        <f>SUM(AK18:AN18)</f>
        <v/>
      </c>
    </row>
    <row r="19">
      <c r="A19" s="12" t="inlineStr">
        <is>
          <t>당기순이익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당기순이익</t>
        </is>
      </c>
      <c r="E19" s="18">
        <f>IFERROR(VLOOKUP($D19,BS연결,MATCH(E$1,BS연결H,0),0)/100,"")</f>
        <v/>
      </c>
      <c r="F19" s="37" t="n"/>
      <c r="G19" s="18">
        <f>IFERROR(VLOOKUP($D19,BS연결,MATCH(G$1,BS연결H,0),0)/100,"")</f>
        <v/>
      </c>
      <c r="H19" s="18">
        <f>IFERROR(VLOOKUP($D19,BS연결,MATCH(H$1,BS연결H,0),0)/100,"")</f>
        <v/>
      </c>
      <c r="I19" s="18">
        <f>IFERROR(VLOOKUP($D19,BS연결,MATCH(I$1,BS연결H,0),0)/100,"")</f>
        <v/>
      </c>
      <c r="J19" s="18">
        <f>IFERROR(VLOOKUP($D19,BS연결,MATCH(J$1,BS연결H,0),0)/100,"")</f>
        <v/>
      </c>
      <c r="K19" s="37">
        <f>IFERROR(VLOOKUP($D19,BS연결,MATCH(K$1,BS연결H,0),0)/100,"")</f>
        <v/>
      </c>
      <c r="L19" s="18">
        <f>IFERROR(VLOOKUP($D19,BS연결,MATCH(L$1,BS연결H,0),0)/100,"")</f>
        <v/>
      </c>
      <c r="M19" s="18">
        <f>IFERROR(VLOOKUP($D19,BS연결,MATCH(M$1,BS연결H,0),0)/100,"")</f>
        <v/>
      </c>
      <c r="N19" s="18">
        <f>IFERROR(VLOOKUP($D19,BS연결,MATCH(N$1,BS연결H,0),0)/100,"")</f>
        <v/>
      </c>
      <c r="O19" s="18">
        <f>IFERROR(VLOOKUP($D19,BS연결,MATCH(O$1,BS연결H,0),0)/100,"")</f>
        <v/>
      </c>
      <c r="P19" s="37">
        <f>IFERROR(VLOOKUP($D19,BS연결,MATCH(P$1,BS연결H,0),0)/100,"")</f>
        <v/>
      </c>
      <c r="Q19" s="18">
        <f>IFERROR(VLOOKUP($D19,BS연결,MATCH(Q$1,BS연결H,0),0)/100,"")</f>
        <v/>
      </c>
      <c r="R19" s="18">
        <f>IFERROR(VLOOKUP($D19,BS연결,MATCH(R$1,BS연결H,0),0)/100,"")</f>
        <v/>
      </c>
      <c r="S19" s="18">
        <f>IFERROR(VLOOKUP($D19,BS연결,MATCH(S$1,BS연결H,0),0)/100,"")</f>
        <v/>
      </c>
      <c r="T19" s="18">
        <f>IFERROR(VLOOKUP($D19,BS연결,MATCH(T$1,BS연결H,0),0)/100,"")</f>
        <v/>
      </c>
      <c r="U19" s="37">
        <f>IFERROR(VLOOKUP($D19,BS연결,MATCH(U$1,BS연결H,0),0)/100,"")</f>
        <v/>
      </c>
      <c r="V19" s="18">
        <f>IFERROR(VLOOKUP($D19,BS연결,MATCH(V$1,BS연결H,0),0)/100,"")</f>
        <v/>
      </c>
      <c r="W19" s="18">
        <f>IFERROR(VLOOKUP($D19,BS연결,MATCH(W$1,BS연결H,0),0)/100,"")</f>
        <v/>
      </c>
      <c r="X19" s="18">
        <f>IFERROR(VLOOKUP($D19,BS연결,MATCH(X$1,BS연결H,0),0)/100,"")</f>
        <v/>
      </c>
      <c r="Y19" s="18">
        <f>IFERROR(VLOOKUP($D19,BS연결,MATCH(Y$1,BS연결H,0),0)/100,"")</f>
        <v/>
      </c>
      <c r="Z19" s="37">
        <f>IFERROR(VLOOKUP($D19,BS연결,MATCH(Z$1,BS연결H,0),0)/100,"")</f>
        <v/>
      </c>
      <c r="AA19" s="18" t="n"/>
      <c r="AB19" s="19">
        <f>IFERROR(VLOOKUP($D19,BS연결,MATCH(AB$1,BS연결H,0),0)/100,"")</f>
        <v/>
      </c>
      <c r="AC19" s="20">
        <f>IFERROR(AC17-AC18,"")</f>
        <v/>
      </c>
      <c r="AD19" s="20">
        <f>IFERROR(AD17-AD18,"")</f>
        <v/>
      </c>
      <c r="AE19" s="38">
        <f>SUM(AA19:AD19)</f>
        <v/>
      </c>
      <c r="AF19" s="20">
        <f>IFERROR(AF17-AF18,"")</f>
        <v/>
      </c>
      <c r="AG19" s="20">
        <f>IFERROR(AG17-AG18,"")</f>
        <v/>
      </c>
      <c r="AH19" s="20">
        <f>IFERROR(AH17-AH18,"")</f>
        <v/>
      </c>
      <c r="AI19" s="20">
        <f>IFERROR(AI17-AI18,"")</f>
        <v/>
      </c>
      <c r="AJ19" s="38">
        <f>SUM(AF19:AI19)</f>
        <v/>
      </c>
      <c r="AK19" s="20">
        <f>IFERROR(AK17-AK18,"")</f>
        <v/>
      </c>
      <c r="AL19" s="20">
        <f>IFERROR(AL17-AL18,"")</f>
        <v/>
      </c>
      <c r="AM19" s="20">
        <f>IFERROR(AM17-AM18,"")</f>
        <v/>
      </c>
      <c r="AN19" s="20">
        <f>IFERROR(AN17-AN18,"")</f>
        <v/>
      </c>
      <c r="AO19" s="38">
        <f>SUM(AK19:AN19)</f>
        <v/>
      </c>
    </row>
    <row r="20">
      <c r="A20" s="12" t="inlineStr">
        <is>
          <t>지배주주순이익</t>
        </is>
      </c>
      <c r="B20" t="inlineStr">
        <is>
          <t>손익</t>
        </is>
      </c>
      <c r="C20" t="inlineStr">
        <is>
          <t>억원</t>
        </is>
      </c>
      <c r="D20" t="inlineStr">
        <is>
          <t>(지배주주지분)당기순이익</t>
        </is>
      </c>
      <c r="E20" s="18">
        <f>IFERROR(VLOOKUP($D20,BS연결,MATCH(E$1,BS연결H,0),0)/100,"")</f>
        <v/>
      </c>
      <c r="F20" s="37" t="n"/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IFERROR(AC19*변수!AC29,"")</f>
        <v/>
      </c>
      <c r="AD20" s="20">
        <f>IFERROR(AD19*변수!AD29,"")</f>
        <v/>
      </c>
      <c r="AE20" s="38">
        <f>SUM(AA20:AD20)</f>
        <v/>
      </c>
      <c r="AF20" s="20">
        <f>IFERROR(AF19*변수!AF29,"")</f>
        <v/>
      </c>
      <c r="AG20" s="20">
        <f>IFERROR(AG19*변수!AG29,"")</f>
        <v/>
      </c>
      <c r="AH20" s="20">
        <f>IFERROR(AH19*변수!AH29,"")</f>
        <v/>
      </c>
      <c r="AI20" s="20">
        <f>IFERROR(AI19*변수!AI29,"")</f>
        <v/>
      </c>
      <c r="AJ20" s="38">
        <f>SUM(AF20:AI20)</f>
        <v/>
      </c>
      <c r="AK20" s="20">
        <f>IFERROR(AK19*변수!AK29,"")</f>
        <v/>
      </c>
      <c r="AL20" s="20">
        <f>IFERROR(AL19*변수!AL29,"")</f>
        <v/>
      </c>
      <c r="AM20" s="20">
        <f>IFERROR(AM19*변수!AM29,"")</f>
        <v/>
      </c>
      <c r="AN20" s="20">
        <f>IFERROR(AN19*변수!AN29,"")</f>
        <v/>
      </c>
      <c r="AO20" s="38">
        <f>SUM(AK20:AN20)</f>
        <v/>
      </c>
    </row>
    <row r="21">
      <c r="A21" s="12" t="inlineStr">
        <is>
          <t>중단사업이익</t>
        </is>
      </c>
      <c r="B21" t="inlineStr">
        <is>
          <t>손익</t>
        </is>
      </c>
      <c r="C21" t="inlineStr">
        <is>
          <t>억원</t>
        </is>
      </c>
      <c r="D21" t="inlineStr">
        <is>
          <t>중단사업이익</t>
        </is>
      </c>
      <c r="E21" s="18" t="n"/>
      <c r="F21" s="37" t="n"/>
      <c r="G21" s="18" t="n"/>
      <c r="H21" s="18" t="n"/>
      <c r="I21" s="18" t="n"/>
      <c r="J21" s="18" t="n"/>
      <c r="K21" s="37">
        <f>SUM(G21:J21)</f>
        <v/>
      </c>
      <c r="L21" s="18" t="n"/>
      <c r="M21" s="18" t="n"/>
      <c r="N21" s="18" t="n"/>
      <c r="O21" s="18">
        <f>IFERROR(VLOOKUP($D21,BS연결,MATCH(O$1,BS연결H,0),0)/100,"")</f>
        <v/>
      </c>
      <c r="P21" s="37">
        <f>SUM(L21:O21)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 t="n"/>
      <c r="W21" s="18" t="n"/>
      <c r="X21" s="18" t="n"/>
      <c r="Y21" s="18" t="n"/>
      <c r="Z21" s="37">
        <f>SUM(V21:Y21)</f>
        <v/>
      </c>
      <c r="AA21" s="18" t="n"/>
      <c r="AB21" s="19" t="n"/>
      <c r="AC21" s="20" t="n"/>
      <c r="AD21" s="20" t="n"/>
      <c r="AE21" s="38">
        <f>SUM(AA21:AD21)</f>
        <v/>
      </c>
      <c r="AF21" s="20" t="n"/>
      <c r="AG21" s="20" t="n"/>
      <c r="AH21" s="20" t="n"/>
      <c r="AI21" s="20" t="n"/>
      <c r="AJ21" s="38">
        <f>SUM(AF21:AI21)</f>
        <v/>
      </c>
      <c r="AK21" s="20" t="n"/>
      <c r="AL21" s="20" t="n"/>
      <c r="AM21" s="20" t="n"/>
      <c r="AN21" s="20" t="n"/>
      <c r="AO21" s="38">
        <f>SUM(AK21:AN21)</f>
        <v/>
      </c>
    </row>
    <row r="22">
      <c r="A22" s="12" t="inlineStr">
        <is>
          <t>감가상각비</t>
        </is>
      </c>
      <c r="B22" t="inlineStr">
        <is>
          <t>손익</t>
        </is>
      </c>
      <c r="C22" t="inlineStr">
        <is>
          <t>억원</t>
        </is>
      </c>
      <c r="D22" t="inlineStr">
        <is>
          <t>감가상각비</t>
        </is>
      </c>
      <c r="E22" s="18">
        <f>IFERROR(VLOOKUP($D22,BS연결,MATCH(E$1,BS연결H,0),0)/100,"")</f>
        <v/>
      </c>
      <c r="F22" s="37" t="n"/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 t="n"/>
      <c r="O22" s="18" t="n"/>
      <c r="P22" s="37">
        <f>SUM(L22:O22)</f>
        <v/>
      </c>
      <c r="Q22" s="18" t="n"/>
      <c r="R22" s="18" t="n"/>
      <c r="S22" s="18" t="n"/>
      <c r="T22" s="18" t="n"/>
      <c r="U22" s="37">
        <f>SUM(Q22:T22)</f>
        <v/>
      </c>
      <c r="V22" s="18" t="n"/>
      <c r="W22" s="18" t="n"/>
      <c r="X22" s="18" t="n"/>
      <c r="Y22" s="18" t="n"/>
      <c r="Z22" s="37">
        <f>SUM(V22:Y22)</f>
        <v/>
      </c>
      <c r="AA22" s="18" t="n"/>
      <c r="AB22" s="19" t="n"/>
      <c r="AC22" s="20">
        <f>변수!AC31</f>
        <v/>
      </c>
      <c r="AD22" s="20">
        <f>변수!AD31</f>
        <v/>
      </c>
      <c r="AE22" s="38">
        <f>SUM(AA22:AD22)</f>
        <v/>
      </c>
      <c r="AF22" s="20">
        <f>변수!AF31</f>
        <v/>
      </c>
      <c r="AG22" s="20">
        <f>변수!AG31</f>
        <v/>
      </c>
      <c r="AH22" s="20">
        <f>변수!AH31</f>
        <v/>
      </c>
      <c r="AI22" s="20">
        <f>변수!AI31</f>
        <v/>
      </c>
      <c r="AJ22" s="38">
        <f>SUM(AF22:AI22)</f>
        <v/>
      </c>
      <c r="AK22" s="20">
        <f>변수!AK31</f>
        <v/>
      </c>
      <c r="AL22" s="20">
        <f>변수!AL31</f>
        <v/>
      </c>
      <c r="AM22" s="20">
        <f>변수!AM31</f>
        <v/>
      </c>
      <c r="AN22" s="20">
        <f>변수!AN31</f>
        <v/>
      </c>
      <c r="AO22" s="38">
        <f>SUM(AK22:AN22)</f>
        <v/>
      </c>
    </row>
    <row r="23">
      <c r="A23" s="12" t="inlineStr">
        <is>
          <t>EBITDA</t>
        </is>
      </c>
      <c r="B23" t="inlineStr">
        <is>
          <t>손익</t>
        </is>
      </c>
      <c r="C23" t="inlineStr">
        <is>
          <t>억원</t>
        </is>
      </c>
      <c r="D23" t="inlineStr">
        <is>
          <t>EBITDA</t>
        </is>
      </c>
      <c r="E23" s="18" t="n">
        <v>50.26</v>
      </c>
      <c r="F23" s="37" t="n"/>
      <c r="G23" s="18" t="n">
        <v>43.15</v>
      </c>
      <c r="H23" s="18" t="n">
        <v>40.79</v>
      </c>
      <c r="I23" s="18" t="n">
        <v>35.23</v>
      </c>
      <c r="J23" s="18" t="n">
        <v>45.75</v>
      </c>
      <c r="K23" s="37">
        <f>SUM(G23:J23)</f>
        <v/>
      </c>
      <c r="L23" s="18" t="n">
        <v>29.73</v>
      </c>
      <c r="M23" s="18" t="n">
        <v>34.54</v>
      </c>
      <c r="N23" s="18" t="n"/>
      <c r="O23" s="18" t="n"/>
      <c r="P23" s="37">
        <f>SUM(L23:O23)</f>
        <v/>
      </c>
      <c r="Q23" s="18" t="n"/>
      <c r="R23" s="18" t="n"/>
      <c r="S23" s="18" t="n"/>
      <c r="T23" s="18" t="n"/>
      <c r="U23" s="37">
        <f>SUM(Q23:T23)</f>
        <v/>
      </c>
      <c r="V23" s="18" t="n"/>
      <c r="W23" s="18" t="n"/>
      <c r="X23" s="18" t="n"/>
      <c r="Y23" s="18" t="n"/>
      <c r="Z23" s="37">
        <f>SUM(V23:Y23)</f>
        <v/>
      </c>
      <c r="AA23" s="18" t="n"/>
      <c r="AB23" s="19" t="n"/>
      <c r="AC23" s="20">
        <f>IFERROR(AC9+AC22,"")</f>
        <v/>
      </c>
      <c r="AD23" s="20">
        <f>IFERROR(AD9+AD22,"")</f>
        <v/>
      </c>
      <c r="AE23" s="38">
        <f>SUM(AA23:AD23)</f>
        <v/>
      </c>
      <c r="AF23" s="20">
        <f>IFERROR(AF9+AF22,"")</f>
        <v/>
      </c>
      <c r="AG23" s="20">
        <f>IFERROR(AG9+AG22,"")</f>
        <v/>
      </c>
      <c r="AH23" s="20">
        <f>IFERROR(AH9+AH22,"")</f>
        <v/>
      </c>
      <c r="AI23" s="20">
        <f>IFERROR(AI9+AI22,"")</f>
        <v/>
      </c>
      <c r="AJ23" s="38">
        <f>SUM(AF23:AI23)</f>
        <v/>
      </c>
      <c r="AK23" s="20">
        <f>IFERROR(AK9+AK22,"")</f>
        <v/>
      </c>
      <c r="AL23" s="20">
        <f>IFERROR(AL9+AL22,"")</f>
        <v/>
      </c>
      <c r="AM23" s="20">
        <f>IFERROR(AM9+AM22,"")</f>
        <v/>
      </c>
      <c r="AN23" s="20">
        <f>IFERROR(AN9+AN22,"")</f>
        <v/>
      </c>
      <c r="AO23" s="38">
        <f>SUM(AK23:AN23)</f>
        <v/>
      </c>
    </row>
    <row r="24">
      <c r="A24" s="12" t="inlineStr">
        <is>
          <t>자산총계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자산총계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IFERROR(AC25+AC26,"")</f>
        <v/>
      </c>
      <c r="AD24" s="20">
        <f>IFERROR(AD25+AD26,"")</f>
        <v/>
      </c>
      <c r="AE24" s="38">
        <f>AD24</f>
        <v/>
      </c>
      <c r="AF24" s="20">
        <f>IFERROR(AF25+AF26,"")</f>
        <v/>
      </c>
      <c r="AG24" s="20">
        <f>IFERROR(AG25+AG26,"")</f>
        <v/>
      </c>
      <c r="AH24" s="20">
        <f>IFERROR(AH25+AH26,"")</f>
        <v/>
      </c>
      <c r="AI24" s="20">
        <f>IFERROR(AI25+AI26,"")</f>
        <v/>
      </c>
      <c r="AJ24" s="38">
        <f>AI24</f>
        <v/>
      </c>
      <c r="AK24" s="20">
        <f>IFERROR(AK25+AK26,"")</f>
        <v/>
      </c>
      <c r="AL24" s="20">
        <f>IFERROR(AL25+AL26,"")</f>
        <v/>
      </c>
      <c r="AM24" s="20">
        <f>IFERROR(AM25+AM26,"")</f>
        <v/>
      </c>
      <c r="AN24" s="20">
        <f>IFERROR(AN25+AN26,"")</f>
        <v/>
      </c>
      <c r="AO24" s="38">
        <f>AN24</f>
        <v/>
      </c>
    </row>
    <row r="25">
      <c r="A25" s="12" t="inlineStr">
        <is>
          <t>부채총계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부채총계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>
        <f>IFERROR(AB25*(1+변수!AC32),"")</f>
        <v/>
      </c>
      <c r="AD25" s="20">
        <f>IFERROR(AC25*(1+변수!AD32),"")</f>
        <v/>
      </c>
      <c r="AE25" s="38">
        <f>AD25</f>
        <v/>
      </c>
      <c r="AF25" s="20">
        <f>IFERROR(AD25*(1+변수!AF32),"")</f>
        <v/>
      </c>
      <c r="AG25" s="20">
        <f>IFERROR(AF25*(1+변수!AG32),"")</f>
        <v/>
      </c>
      <c r="AH25" s="20">
        <f>IFERROR(AG25*(1+변수!AH32),"")</f>
        <v/>
      </c>
      <c r="AI25" s="20">
        <f>IFERROR(AH25*(1+변수!AI32),"")</f>
        <v/>
      </c>
      <c r="AJ25" s="38">
        <f>AI25</f>
        <v/>
      </c>
      <c r="AK25" s="20">
        <f>IFERROR(AI25*(1+변수!AK32),"")</f>
        <v/>
      </c>
      <c r="AL25" s="20">
        <f>IFERROR(AK25*(1+변수!AL32),"")</f>
        <v/>
      </c>
      <c r="AM25" s="20">
        <f>IFERROR(AL25*(1+변수!AM32),"")</f>
        <v/>
      </c>
      <c r="AN25" s="20">
        <f>IFERROR(AM25*(1+변수!AN32),"")</f>
        <v/>
      </c>
      <c r="AO25" s="38">
        <f>AN25</f>
        <v/>
      </c>
    </row>
    <row r="26">
      <c r="A26" s="12" t="inlineStr">
        <is>
          <t>자본총계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자본총계</t>
        </is>
      </c>
      <c r="E26" s="18">
        <f>IFERROR(VLOOKUP($D26,BS연결,MATCH(E$1,BS연결H,0),0)/100,"")</f>
        <v/>
      </c>
      <c r="F26" s="37">
        <f>IFERROR(VLOOKUP($D26,BS연결,MATCH(F$1,BS연결H,0),0)/100,"")</f>
        <v/>
      </c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IFERROR(AB26+AC19-변수!AC33,"")</f>
        <v/>
      </c>
      <c r="AD26" s="20">
        <f>IFERROR(AC26+AD19-변수!AD33,"")</f>
        <v/>
      </c>
      <c r="AE26" s="38">
        <f>AD26</f>
        <v/>
      </c>
      <c r="AF26" s="20">
        <f>IFERROR(AD26+AF19-변수!AF33,"")</f>
        <v/>
      </c>
      <c r="AG26" s="20">
        <f>IFERROR(AF26+AG19-변수!AG33,"")</f>
        <v/>
      </c>
      <c r="AH26" s="20">
        <f>IFERROR(AG26+AH19-변수!AH33,"")</f>
        <v/>
      </c>
      <c r="AI26" s="20">
        <f>IFERROR(AH26+AI19-변수!AI33,"")</f>
        <v/>
      </c>
      <c r="AJ26" s="38">
        <f>AI26</f>
        <v/>
      </c>
      <c r="AK26" s="20">
        <f>IFERROR(AI26+AK19-변수!AK33,"")</f>
        <v/>
      </c>
      <c r="AL26" s="20">
        <f>IFERROR(AK26+AL19-변수!AL33,"")</f>
        <v/>
      </c>
      <c r="AM26" s="20">
        <f>IFERROR(AL26+AM19-변수!AM33,"")</f>
        <v/>
      </c>
      <c r="AN26" s="20">
        <f>IFERROR(AM26+AN19-변수!AN33,"")</f>
        <v/>
      </c>
      <c r="AO26" s="38">
        <f>AN26</f>
        <v/>
      </c>
    </row>
    <row r="27">
      <c r="A27" s="12" t="inlineStr">
        <is>
          <t>지배주주지분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지배주주지분</t>
        </is>
      </c>
      <c r="E27" s="18">
        <f>IFERROR(VLOOKUP($D27,BS연결,MATCH(E$1,BS연결H,0),0)/100,"")</f>
        <v/>
      </c>
      <c r="F27" s="37">
        <f>IFERROR(VLOOKUP($D27,BS연결,MATCH(F$1,BS연결H,0),0)/100,"")</f>
        <v/>
      </c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>
        <f>IFERROR(AB27+AC20-변수!AC34,"")</f>
        <v/>
      </c>
      <c r="AD27" s="20">
        <f>IFERROR(AC27+AD20-변수!AD34,"")</f>
        <v/>
      </c>
      <c r="AE27" s="38">
        <f>AD27</f>
        <v/>
      </c>
      <c r="AF27" s="20">
        <f>IFERROR(AD27+AF20-변수!AF34,"")</f>
        <v/>
      </c>
      <c r="AG27" s="20">
        <f>IFERROR(AF27+AG20-변수!AG34,"")</f>
        <v/>
      </c>
      <c r="AH27" s="20">
        <f>IFERROR(AG27+AH20-변수!AH34,"")</f>
        <v/>
      </c>
      <c r="AI27" s="20">
        <f>IFERROR(AH27+AI20-변수!AI34,"")</f>
        <v/>
      </c>
      <c r="AJ27" s="38">
        <f>AI27</f>
        <v/>
      </c>
      <c r="AK27" s="20">
        <f>IFERROR(AI27+AK20-변수!AK34,"")</f>
        <v/>
      </c>
      <c r="AL27" s="20">
        <f>IFERROR(AK27+AL20-변수!AL34,"")</f>
        <v/>
      </c>
      <c r="AM27" s="20">
        <f>IFERROR(AL27+AM20-변수!AM34,"")</f>
        <v/>
      </c>
      <c r="AN27" s="20">
        <f>IFERROR(AM27+AN20-변수!AN34,"")</f>
        <v/>
      </c>
      <c r="AO27" s="38">
        <f>AN27</f>
        <v/>
      </c>
    </row>
    <row r="28">
      <c r="A28" s="12" t="inlineStr">
        <is>
          <t>총차입금</t>
        </is>
      </c>
      <c r="B28" t="inlineStr">
        <is>
          <t>재무상태</t>
        </is>
      </c>
      <c r="C28" t="inlineStr">
        <is>
          <t>억원</t>
        </is>
      </c>
      <c r="D28" t="inlineStr">
        <is>
          <t>총차입금</t>
        </is>
      </c>
      <c r="E28" s="18">
        <f>IFERROR(VLOOKUP($D28,BS연결,MATCH(E$1,BS연결H,0),0)/100,"")</f>
        <v/>
      </c>
      <c r="F28" s="37">
        <f>IFERROR(VLOOKUP($D28,BS연결,MATCH(F$1,BS연결H,0),0)/100,"")</f>
        <v/>
      </c>
      <c r="G28" s="18">
        <f>IFERROR(VLOOKUP($D28,BS연결,MATCH(G$1,BS연결H,0),0)/100,"")</f>
        <v/>
      </c>
      <c r="H28" s="18">
        <f>IFERROR(VLOOKUP($D28,BS연결,MATCH(H$1,BS연결H,0),0)/100,"")</f>
        <v/>
      </c>
      <c r="I28" s="18">
        <f>IFERROR(VLOOKUP($D28,BS연결,MATCH(I$1,BS연결H,0),0)/100,"")</f>
        <v/>
      </c>
      <c r="J28" s="18">
        <f>IFERROR(VLOOKUP($D28,BS연결,MATCH(J$1,BS연결H,0),0)/100,"")</f>
        <v/>
      </c>
      <c r="K28" s="37">
        <f>IFERROR(VLOOKUP($D28,BS연결,MATCH(K$1,BS연결H,0),0)/100,"")</f>
        <v/>
      </c>
      <c r="L28" s="18">
        <f>IFERROR(VLOOKUP($D28,BS연결,MATCH(L$1,BS연결H,0),0)/100,"")</f>
        <v/>
      </c>
      <c r="M28" s="18">
        <f>IFERROR(VLOOKUP($D28,BS연결,MATCH(M$1,BS연결H,0),0)/100,"")</f>
        <v/>
      </c>
      <c r="N28" s="18">
        <f>IFERROR(VLOOKUP($D28,BS연결,MATCH(N$1,BS연결H,0),0)/100,"")</f>
        <v/>
      </c>
      <c r="O28" s="18">
        <f>IFERROR(VLOOKUP($D28,BS연결,MATCH(O$1,BS연결H,0),0)/100,"")</f>
        <v/>
      </c>
      <c r="P28" s="37">
        <f>IFERROR(VLOOKUP($D28,BS연결,MATCH(P$1,BS연결H,0),0)/100,"")</f>
        <v/>
      </c>
      <c r="Q28" s="18">
        <f>IFERROR(VLOOKUP($D28,BS연결,MATCH(Q$1,BS연결H,0),0)/100,"")</f>
        <v/>
      </c>
      <c r="R28" s="18">
        <f>IFERROR(VLOOKUP($D28,BS연결,MATCH(R$1,BS연결H,0),0)/100,"")</f>
        <v/>
      </c>
      <c r="S28" s="18">
        <f>IFERROR(VLOOKUP($D28,BS연결,MATCH(S$1,BS연결H,0),0)/100,"")</f>
        <v/>
      </c>
      <c r="T28" s="18">
        <f>IFERROR(VLOOKUP($D28,BS연결,MATCH(T$1,BS연결H,0),0)/100,"")</f>
        <v/>
      </c>
      <c r="U28" s="37">
        <f>IFERROR(VLOOKUP($D28,BS연결,MATCH(U$1,BS연결H,0),0)/100,"")</f>
        <v/>
      </c>
      <c r="V28" s="18">
        <f>IFERROR(VLOOKUP($D28,BS연결,MATCH(V$1,BS연결H,0),0)/100,"")</f>
        <v/>
      </c>
      <c r="W28" s="18">
        <f>IFERROR(VLOOKUP($D28,BS연결,MATCH(W$1,BS연결H,0),0)/100,"")</f>
        <v/>
      </c>
      <c r="X28" s="18">
        <f>IFERROR(VLOOKUP($D28,BS연결,MATCH(X$1,BS연결H,0),0)/100,"")</f>
        <v/>
      </c>
      <c r="Y28" s="18">
        <f>IFERROR(VLOOKUP($D28,BS연결,MATCH(Y$1,BS연결H,0),0)/100,"")</f>
        <v/>
      </c>
      <c r="Z28" s="37">
        <f>IFERROR(VLOOKUP($D28,BS연결,MATCH(Z$1,BS연결H,0),0)/100,"")</f>
        <v/>
      </c>
      <c r="AA28" s="18">
        <f>IFERROR(VLOOKUP($D28,BS연결,MATCH(AA$1,BS연결H,0),0)/100,"")</f>
        <v/>
      </c>
      <c r="AB28" s="19">
        <f>IFERROR(VLOOKUP($D28,BS연결,MATCH(AB$1,BS연결H,0),0)/100,"")</f>
        <v/>
      </c>
      <c r="AC28" s="20">
        <f>IFERROR(AB28*(1+변수!AC35),"")</f>
        <v/>
      </c>
      <c r="AD28" s="20">
        <f>IFERROR(AC28*(1+변수!AD35),"")</f>
        <v/>
      </c>
      <c r="AE28" s="38">
        <f>AD28</f>
        <v/>
      </c>
      <c r="AF28" s="20">
        <f>IFERROR(AD28*(1+변수!AF35),"")</f>
        <v/>
      </c>
      <c r="AG28" s="20">
        <f>IFERROR(AF28*(1+변수!AG35),"")</f>
        <v/>
      </c>
      <c r="AH28" s="20">
        <f>IFERROR(AG28*(1+변수!AH35),"")</f>
        <v/>
      </c>
      <c r="AI28" s="20">
        <f>IFERROR(AH28*(1+변수!AI35),"")</f>
        <v/>
      </c>
      <c r="AJ28" s="38">
        <f>AI28</f>
        <v/>
      </c>
      <c r="AK28" s="20">
        <f>IFERROR(AI28*(1+변수!AK35),"")</f>
        <v/>
      </c>
      <c r="AL28" s="20">
        <f>IFERROR(AK28*(1+변수!AL35),"")</f>
        <v/>
      </c>
      <c r="AM28" s="20">
        <f>IFERROR(AL28*(1+변수!AM35),"")</f>
        <v/>
      </c>
      <c r="AN28" s="20">
        <f>IFERROR(AM28*(1+변수!AN35),"")</f>
        <v/>
      </c>
      <c r="AO28" s="38">
        <f>AN28</f>
        <v/>
      </c>
    </row>
    <row r="29">
      <c r="A29" s="12" t="inlineStr">
        <is>
          <t>순차입금</t>
        </is>
      </c>
      <c r="B29" t="inlineStr">
        <is>
          <t>재무상태</t>
        </is>
      </c>
      <c r="C29" t="inlineStr">
        <is>
          <t>억원</t>
        </is>
      </c>
      <c r="D29" t="inlineStr">
        <is>
          <t>순차입금</t>
        </is>
      </c>
      <c r="E29" s="18">
        <f>IFERROR(VLOOKUP($D29,BS연결,MATCH(E$1,BS연결H,0),0)/100,"")</f>
        <v/>
      </c>
      <c r="F29" s="37">
        <f>IFERROR(VLOOKUP($D29,BS연결,MATCH(F$1,BS연결H,0),0)/100,"")</f>
        <v/>
      </c>
      <c r="G29" s="18">
        <f>IFERROR(VLOOKUP($D29,BS연결,MATCH(G$1,BS연결H,0),0)/100,"")</f>
        <v/>
      </c>
      <c r="H29" s="18">
        <f>IFERROR(VLOOKUP($D29,BS연결,MATCH(H$1,BS연결H,0),0)/100,"")</f>
        <v/>
      </c>
      <c r="I29" s="18">
        <f>IFERROR(VLOOKUP($D29,BS연결,MATCH(I$1,BS연결H,0),0)/100,"")</f>
        <v/>
      </c>
      <c r="J29" s="18">
        <f>IFERROR(VLOOKUP($D29,BS연결,MATCH(J$1,BS연결H,0),0)/100,"")</f>
        <v/>
      </c>
      <c r="K29" s="37">
        <f>IFERROR(VLOOKUP($D29,BS연결,MATCH(K$1,BS연결H,0),0)/100,"")</f>
        <v/>
      </c>
      <c r="L29" s="18">
        <f>IFERROR(VLOOKUP($D29,BS연결,MATCH(L$1,BS연결H,0),0)/100,"")</f>
        <v/>
      </c>
      <c r="M29" s="18">
        <f>IFERROR(VLOOKUP($D29,BS연결,MATCH(M$1,BS연결H,0),0)/100,"")</f>
        <v/>
      </c>
      <c r="N29" s="18">
        <f>IFERROR(VLOOKUP($D29,BS연결,MATCH(N$1,BS연결H,0),0)/100,"")</f>
        <v/>
      </c>
      <c r="O29" s="18">
        <f>IFERROR(VLOOKUP($D29,BS연결,MATCH(O$1,BS연결H,0),0)/100,"")</f>
        <v/>
      </c>
      <c r="P29" s="37">
        <f>IFERROR(VLOOKUP($D29,BS연결,MATCH(P$1,BS연결H,0),0)/100,"")</f>
        <v/>
      </c>
      <c r="Q29" s="18">
        <f>IFERROR(VLOOKUP($D29,BS연결,MATCH(Q$1,BS연결H,0),0)/100,"")</f>
        <v/>
      </c>
      <c r="R29" s="18">
        <f>IFERROR(VLOOKUP($D29,BS연결,MATCH(R$1,BS연결H,0),0)/100,"")</f>
        <v/>
      </c>
      <c r="S29" s="18">
        <f>IFERROR(VLOOKUP($D29,BS연결,MATCH(S$1,BS연결H,0),0)/100,"")</f>
        <v/>
      </c>
      <c r="T29" s="18">
        <f>IFERROR(VLOOKUP($D29,BS연결,MATCH(T$1,BS연결H,0),0)/100,"")</f>
        <v/>
      </c>
      <c r="U29" s="37">
        <f>IFERROR(VLOOKUP($D29,BS연결,MATCH(U$1,BS연결H,0),0)/100,"")</f>
        <v/>
      </c>
      <c r="V29" s="18">
        <f>IFERROR(VLOOKUP($D29,BS연결,MATCH(V$1,BS연결H,0),0)/100,"")</f>
        <v/>
      </c>
      <c r="W29" s="18">
        <f>IFERROR(VLOOKUP($D29,BS연결,MATCH(W$1,BS연결H,0),0)/100,"")</f>
        <v/>
      </c>
      <c r="X29" s="18">
        <f>IFERROR(VLOOKUP($D29,BS연결,MATCH(X$1,BS연결H,0),0)/100,"")</f>
        <v/>
      </c>
      <c r="Y29" s="18">
        <f>IFERROR(VLOOKUP($D29,BS연결,MATCH(Y$1,BS연결H,0),0)/100,"")</f>
        <v/>
      </c>
      <c r="Z29" s="37">
        <f>IFERROR(VLOOKUP($D29,BS연결,MATCH(Z$1,BS연결H,0),0)/100,"")</f>
        <v/>
      </c>
      <c r="AA29" s="18">
        <f>IFERROR(VLOOKUP($D29,BS연결,MATCH(AA$1,BS연결H,0),0)/100,"")</f>
        <v/>
      </c>
      <c r="AB29" s="19">
        <f>IFERROR(VLOOKUP($D29,BS연결,MATCH(AB$1,BS연결H,0),0)/100,"")</f>
        <v/>
      </c>
      <c r="AC29" s="20">
        <f>IFERROR(AB29*(1+변수!AC36),"")</f>
        <v/>
      </c>
      <c r="AD29" s="20">
        <f>IFERROR(AC29*(1+변수!AD36),"")</f>
        <v/>
      </c>
      <c r="AE29" s="38">
        <f>AD29</f>
        <v/>
      </c>
      <c r="AF29" s="20">
        <f>IFERROR(AD29*(1+변수!AF36),"")</f>
        <v/>
      </c>
      <c r="AG29" s="20">
        <f>IFERROR(AF29*(1+변수!AG36),"")</f>
        <v/>
      </c>
      <c r="AH29" s="20">
        <f>IFERROR(AG29*(1+변수!AH36),"")</f>
        <v/>
      </c>
      <c r="AI29" s="20">
        <f>IFERROR(AH29*(1+변수!AI36),"")</f>
        <v/>
      </c>
      <c r="AJ29" s="38">
        <f>AI29</f>
        <v/>
      </c>
      <c r="AK29" s="20">
        <f>IFERROR(AI29*(1+변수!AK36),"")</f>
        <v/>
      </c>
      <c r="AL29" s="20">
        <f>IFERROR(AK29*(1+변수!AL36),"")</f>
        <v/>
      </c>
      <c r="AM29" s="20">
        <f>IFERROR(AL29*(1+변수!AM36),"")</f>
        <v/>
      </c>
      <c r="AN29" s="20">
        <f>IFERROR(AM29*(1+변수!AN36),"")</f>
        <v/>
      </c>
      <c r="AO29" s="38">
        <f>AN29</f>
        <v/>
      </c>
    </row>
    <row r="30">
      <c r="A30" s="12" t="inlineStr">
        <is>
          <t>이자발생자산</t>
        </is>
      </c>
      <c r="B30" t="inlineStr">
        <is>
          <t>재무상태</t>
        </is>
      </c>
      <c r="C30" t="inlineStr">
        <is>
          <t>억원</t>
        </is>
      </c>
      <c r="D30" t="inlineStr">
        <is>
          <t>이자발생자산</t>
        </is>
      </c>
      <c r="E30" s="18">
        <f>IFERROR(VLOOKUP($D30,BS연결,MATCH(E$1,BS연결H,0),0)/100,"")</f>
        <v/>
      </c>
      <c r="F30" s="37">
        <f>IFERROR(VLOOKUP($D30,BS연결,MATCH(F$1,BS연결H,0),0)/100,"")</f>
        <v/>
      </c>
      <c r="G30" s="18">
        <f>IFERROR(VLOOKUP($D30,BS연결,MATCH(G$1,BS연결H,0),0)/100,"")</f>
        <v/>
      </c>
      <c r="H30" s="18">
        <f>IFERROR(VLOOKUP($D30,BS연결,MATCH(H$1,BS연결H,0),0)/100,"")</f>
        <v/>
      </c>
      <c r="I30" s="18">
        <f>IFERROR(VLOOKUP($D30,BS연결,MATCH(I$1,BS연결H,0),0)/100,"")</f>
        <v/>
      </c>
      <c r="J30" s="18">
        <f>IFERROR(VLOOKUP($D30,BS연결,MATCH(J$1,BS연결H,0),0)/100,"")</f>
        <v/>
      </c>
      <c r="K30" s="37">
        <f>IFERROR(VLOOKUP($D30,BS연결,MATCH(K$1,BS연결H,0),0)/100,"")</f>
        <v/>
      </c>
      <c r="L30" s="18">
        <f>IFERROR(VLOOKUP($D30,BS연결,MATCH(L$1,BS연결H,0),0)/100,"")</f>
        <v/>
      </c>
      <c r="M30" s="18">
        <f>IFERROR(VLOOKUP($D30,BS연결,MATCH(M$1,BS연결H,0),0)/100,"")</f>
        <v/>
      </c>
      <c r="N30" s="18">
        <f>IFERROR(VLOOKUP($D30,BS연결,MATCH(N$1,BS연결H,0),0)/100,"")</f>
        <v/>
      </c>
      <c r="O30" s="18">
        <f>IFERROR(VLOOKUP($D30,BS연결,MATCH(O$1,BS연결H,0),0)/100,"")</f>
        <v/>
      </c>
      <c r="P30" s="37">
        <f>IFERROR(VLOOKUP($D30,BS연결,MATCH(P$1,BS연결H,0),0)/100,"")</f>
        <v/>
      </c>
      <c r="Q30" s="18">
        <f>IFERROR(VLOOKUP($D30,BS연결,MATCH(Q$1,BS연결H,0),0)/100,"")</f>
        <v/>
      </c>
      <c r="R30" s="18">
        <f>IFERROR(VLOOKUP($D30,BS연결,MATCH(R$1,BS연결H,0),0)/100,"")</f>
        <v/>
      </c>
      <c r="S30" s="18">
        <f>IFERROR(VLOOKUP($D30,BS연결,MATCH(S$1,BS연결H,0),0)/100,"")</f>
        <v/>
      </c>
      <c r="T30" s="18">
        <f>IFERROR(VLOOKUP($D30,BS연결,MATCH(T$1,BS연결H,0),0)/100,"")</f>
        <v/>
      </c>
      <c r="U30" s="37">
        <f>IFERROR(VLOOKUP($D30,BS연결,MATCH(U$1,BS연결H,0),0)/100,"")</f>
        <v/>
      </c>
      <c r="V30" s="18">
        <f>IFERROR(VLOOKUP($D30,BS연결,MATCH(V$1,BS연결H,0),0)/100,"")</f>
        <v/>
      </c>
      <c r="W30" s="18">
        <f>IFERROR(VLOOKUP($D30,BS연결,MATCH(W$1,BS연결H,0),0)/100,"")</f>
        <v/>
      </c>
      <c r="X30" s="18">
        <f>IFERROR(VLOOKUP($D30,BS연결,MATCH(X$1,BS연결H,0),0)/100,"")</f>
        <v/>
      </c>
      <c r="Y30" s="18">
        <f>IFERROR(VLOOKUP($D30,BS연결,MATCH(Y$1,BS연결H,0),0)/100,"")</f>
        <v/>
      </c>
      <c r="Z30" s="37">
        <f>IFERROR(VLOOKUP($D30,BS연결,MATCH(Z$1,BS연결H,0),0)/100,"")</f>
        <v/>
      </c>
      <c r="AA30" s="18">
        <f>IFERROR(VLOOKUP($D30,BS연결,MATCH(AA$1,BS연결H,0),0)/100,"")</f>
        <v/>
      </c>
      <c r="AB30" s="19">
        <f>IFERROR(VLOOKUP($D30,BS연결,MATCH(AB$1,BS연결H,0),0)/100,"")</f>
        <v/>
      </c>
      <c r="AC30" s="20">
        <f>IFERROR(AB30*(1+변수!AC37),"")</f>
        <v/>
      </c>
      <c r="AD30" s="20">
        <f>IFERROR(AC30*(1+변수!AD37),"")</f>
        <v/>
      </c>
      <c r="AE30" s="38">
        <f>AD30</f>
        <v/>
      </c>
      <c r="AF30" s="20">
        <f>IFERROR(AD30*(1+변수!AF37),"")</f>
        <v/>
      </c>
      <c r="AG30" s="20">
        <f>IFERROR(AF30*(1+변수!AG37),"")</f>
        <v/>
      </c>
      <c r="AH30" s="20">
        <f>IFERROR(AG30*(1+변수!AH37),"")</f>
        <v/>
      </c>
      <c r="AI30" s="20">
        <f>IFERROR(AH30*(1+변수!AI37),"")</f>
        <v/>
      </c>
      <c r="AJ30" s="38">
        <f>AI30</f>
        <v/>
      </c>
      <c r="AK30" s="20">
        <f>IFERROR(AI30*(1+변수!AK37),"")</f>
        <v/>
      </c>
      <c r="AL30" s="20">
        <f>IFERROR(AK30*(1+변수!AL37),"")</f>
        <v/>
      </c>
      <c r="AM30" s="20">
        <f>IFERROR(AL30*(1+변수!AM37),"")</f>
        <v/>
      </c>
      <c r="AN30" s="20">
        <f>IFERROR(AM30*(1+변수!AN37),"")</f>
        <v/>
      </c>
      <c r="AO30" s="38">
        <f>AN30</f>
        <v/>
      </c>
    </row>
    <row r="31">
      <c r="A31" s="12" t="inlineStr">
        <is>
          <t>현금및현금성자산</t>
        </is>
      </c>
      <c r="B31" t="inlineStr">
        <is>
          <t>재무상태</t>
        </is>
      </c>
      <c r="C31" t="inlineStr">
        <is>
          <t>억원</t>
        </is>
      </c>
      <c r="D31" t="inlineStr">
        <is>
          <t>현금및현금성자산</t>
        </is>
      </c>
      <c r="E31" s="18">
        <f>IFERROR(VLOOKUP($D31,BS연결,MATCH(E$1,BS연결H,0),0)/100,"")</f>
        <v/>
      </c>
      <c r="F31" s="37">
        <f>IFERROR(VLOOKUP($D31,BS연결,MATCH(F$1,BS연결H,0),0)/100,"")</f>
        <v/>
      </c>
      <c r="G31" s="18">
        <f>IFERROR(VLOOKUP($D31,BS연결,MATCH(G$1,BS연결H,0),0)/100,"")</f>
        <v/>
      </c>
      <c r="H31" s="18">
        <f>IFERROR(VLOOKUP($D31,BS연결,MATCH(H$1,BS연결H,0),0)/100,"")</f>
        <v/>
      </c>
      <c r="I31" s="18">
        <f>IFERROR(VLOOKUP($D31,BS연결,MATCH(I$1,BS연결H,0),0)/100,"")</f>
        <v/>
      </c>
      <c r="J31" s="18">
        <f>IFERROR(VLOOKUP($D31,BS연결,MATCH(J$1,BS연결H,0),0)/100,"")</f>
        <v/>
      </c>
      <c r="K31" s="37">
        <f>IFERROR(VLOOKUP($D31,BS연결,MATCH(K$1,BS연결H,0),0)/100,"")</f>
        <v/>
      </c>
      <c r="L31" s="18">
        <f>IFERROR(VLOOKUP($D31,BS연결,MATCH(L$1,BS연결H,0),0)/100,"")</f>
        <v/>
      </c>
      <c r="M31" s="18">
        <f>IFERROR(VLOOKUP($D31,BS연결,MATCH(M$1,BS연결H,0),0)/100,"")</f>
        <v/>
      </c>
      <c r="N31" s="18">
        <f>IFERROR(VLOOKUP($D31,BS연결,MATCH(N$1,BS연결H,0),0)/100,"")</f>
        <v/>
      </c>
      <c r="O31" s="18">
        <f>IFERROR(VLOOKUP($D31,BS연결,MATCH(O$1,BS연결H,0),0)/100,"")</f>
        <v/>
      </c>
      <c r="P31" s="37">
        <f>IFERROR(VLOOKUP($D31,BS연결,MATCH(P$1,BS연결H,0),0)/100,"")</f>
        <v/>
      </c>
      <c r="Q31" s="18">
        <f>IFERROR(VLOOKUP($D31,BS연결,MATCH(Q$1,BS연결H,0),0)/100,"")</f>
        <v/>
      </c>
      <c r="R31" s="18">
        <f>IFERROR(VLOOKUP($D31,BS연결,MATCH(R$1,BS연결H,0),0)/100,"")</f>
        <v/>
      </c>
      <c r="S31" s="18">
        <f>IFERROR(VLOOKUP($D31,BS연결,MATCH(S$1,BS연결H,0),0)/100,"")</f>
        <v/>
      </c>
      <c r="T31" s="18">
        <f>IFERROR(VLOOKUP($D31,BS연결,MATCH(T$1,BS연결H,0),0)/100,"")</f>
        <v/>
      </c>
      <c r="U31" s="37">
        <f>IFERROR(VLOOKUP($D31,BS연결,MATCH(U$1,BS연결H,0),0)/100,"")</f>
        <v/>
      </c>
      <c r="V31" s="18">
        <f>IFERROR(VLOOKUP($D31,BS연결,MATCH(V$1,BS연결H,0),0)/100,"")</f>
        <v/>
      </c>
      <c r="W31" s="18">
        <f>IFERROR(VLOOKUP($D31,BS연결,MATCH(W$1,BS연결H,0),0)/100,"")</f>
        <v/>
      </c>
      <c r="X31" s="18">
        <f>IFERROR(VLOOKUP($D31,BS연결,MATCH(X$1,BS연결H,0),0)/100,"")</f>
        <v/>
      </c>
      <c r="Y31" s="18">
        <f>IFERROR(VLOOKUP($D31,BS연결,MATCH(Y$1,BS연결H,0),0)/100,"")</f>
        <v/>
      </c>
      <c r="Z31" s="37">
        <f>IFERROR(VLOOKUP($D31,BS연결,MATCH(Z$1,BS연결H,0),0)/100,"")</f>
        <v/>
      </c>
      <c r="AA31" s="18">
        <f>IFERROR(VLOOKUP($D31,BS연결,MATCH(AA$1,BS연결H,0),0)/100,"")</f>
        <v/>
      </c>
      <c r="AB31" s="19">
        <f>IFERROR(VLOOKUP($D31,BS연결,MATCH(AB$1,BS연결H,0),0)/100,"")</f>
        <v/>
      </c>
      <c r="AC31" s="20" t="n"/>
      <c r="AD31" s="20" t="n"/>
      <c r="AE31" s="38">
        <f>AD31</f>
        <v/>
      </c>
      <c r="AF31" s="20" t="n"/>
      <c r="AG31" s="20" t="n"/>
      <c r="AH31" s="20" t="n"/>
      <c r="AI31" s="20" t="n"/>
      <c r="AJ31" s="38">
        <f>AI31</f>
        <v/>
      </c>
      <c r="AK31" s="20" t="n"/>
      <c r="AL31" s="20" t="n"/>
      <c r="AM31" s="20" t="n"/>
      <c r="AN31" s="20" t="n"/>
      <c r="AO31" s="38">
        <f>AN31</f>
        <v/>
      </c>
    </row>
    <row r="32">
      <c r="A32" s="12" t="inlineStr">
        <is>
          <t>CAPEX</t>
        </is>
      </c>
      <c r="B32" t="inlineStr">
        <is>
          <t>현금흐름</t>
        </is>
      </c>
      <c r="C32" t="inlineStr">
        <is>
          <t>억원</t>
        </is>
      </c>
      <c r="D32" t="inlineStr">
        <is>
          <t>CAPEX</t>
        </is>
      </c>
      <c r="E32" s="18">
        <f>IFERROR(VLOOKUP($D32,BS연결,MATCH(E$1,BS연결H,0),0)/100,"")</f>
        <v/>
      </c>
      <c r="F32" s="37" t="n"/>
      <c r="G32" s="18">
        <f>IFERROR(VLOOKUP($D32,BS연결,MATCH(G$1,BS연결H,0),0)/100,"")</f>
        <v/>
      </c>
      <c r="H32" s="18">
        <f>IFERROR(VLOOKUP($D32,BS연결,MATCH(H$1,BS연결H,0),0)/100,"")</f>
        <v/>
      </c>
      <c r="I32" s="18">
        <f>IFERROR(VLOOKUP($D32,BS연결,MATCH(I$1,BS연결H,0),0)/100,"")</f>
        <v/>
      </c>
      <c r="J32" s="18">
        <f>IFERROR(VLOOKUP($D32,BS연결,MATCH(J$1,BS연결H,0),0)/100,"")</f>
        <v/>
      </c>
      <c r="K32" s="37">
        <f>IFERROR(VLOOKUP($D32,BS연결,MATCH(K$1,BS연결H,0),0)/100,"")</f>
        <v/>
      </c>
      <c r="L32" s="18">
        <f>IFERROR(VLOOKUP($D32,BS연결,MATCH(L$1,BS연결H,0),0)/100,"")</f>
        <v/>
      </c>
      <c r="M32" s="18">
        <f>IFERROR(VLOOKUP($D32,BS연결,MATCH(M$1,BS연결H,0),0)/100,"")</f>
        <v/>
      </c>
      <c r="N32" s="18">
        <f>IFERROR(VLOOKUP($D32,BS연결,MATCH(N$1,BS연결H,0),0)/100,"")</f>
        <v/>
      </c>
      <c r="O32" s="18">
        <f>IFERROR(VLOOKUP($D32,BS연결,MATCH(O$1,BS연결H,0),0)/100,"")</f>
        <v/>
      </c>
      <c r="P32" s="37">
        <f>IFERROR(VLOOKUP($D32,BS연결,MATCH(P$1,BS연결H,0),0)/100,"")</f>
        <v/>
      </c>
      <c r="Q32" s="18">
        <f>IFERROR(VLOOKUP($D32,BS연결,MATCH(Q$1,BS연결H,0),0)/100,"")</f>
        <v/>
      </c>
      <c r="R32" s="18">
        <f>IFERROR(VLOOKUP($D32,BS연결,MATCH(R$1,BS연결H,0),0)/100,"")</f>
        <v/>
      </c>
      <c r="S32" s="18">
        <f>IFERROR(VLOOKUP($D32,BS연결,MATCH(S$1,BS연결H,0),0)/100,"")</f>
        <v/>
      </c>
      <c r="T32" s="18">
        <f>IFERROR(VLOOKUP($D32,BS연결,MATCH(T$1,BS연결H,0),0)/100,"")</f>
        <v/>
      </c>
      <c r="U32" s="37">
        <f>IFERROR(VLOOKUP($D32,BS연결,MATCH(U$1,BS연결H,0),0)/100,"")</f>
        <v/>
      </c>
      <c r="V32" s="18">
        <f>IFERROR(VLOOKUP($D32,BS연결,MATCH(V$1,BS연결H,0),0)/100,"")</f>
        <v/>
      </c>
      <c r="W32" s="18">
        <f>IFERROR(VLOOKUP($D32,BS연결,MATCH(W$1,BS연결H,0),0)/100,"")</f>
        <v/>
      </c>
      <c r="X32" s="18">
        <f>IFERROR(VLOOKUP($D32,BS연결,MATCH(X$1,BS연결H,0),0)/100,"")</f>
        <v/>
      </c>
      <c r="Y32" s="18">
        <f>IFERROR(VLOOKUP($D32,BS연결,MATCH(Y$1,BS연결H,0),0)/100,"")</f>
        <v/>
      </c>
      <c r="Z32" s="37">
        <f>IFERROR(VLOOKUP($D32,BS연결,MATCH(Z$1,BS연결H,0),0)/100,"")</f>
        <v/>
      </c>
      <c r="AA32" s="18">
        <f>IFERROR(VLOOKUP($D32,BS연결,MATCH(AA$1,BS연결H,0),0)/100,"")</f>
        <v/>
      </c>
      <c r="AB32" s="19">
        <f>IFERROR(VLOOKUP($D32,BS연결,MATCH(AB$1,BS연결H,0),0)/100,"")</f>
        <v/>
      </c>
      <c r="AC32" s="20">
        <f>IFERROR(X32*(1+변수!AC39),"")</f>
        <v/>
      </c>
      <c r="AD32" s="20">
        <f>IFERROR(Y32*(1+변수!AD39),"")</f>
        <v/>
      </c>
      <c r="AE32" s="38">
        <f>SUM(AA32:AD32)</f>
        <v/>
      </c>
      <c r="AF32" s="20">
        <f>IFERROR(AA32*(1+변수!AF39),"")</f>
        <v/>
      </c>
      <c r="AG32" s="20">
        <f>IFERROR(AB32*(1+변수!AG39),"")</f>
        <v/>
      </c>
      <c r="AH32" s="20">
        <f>IFERROR(AC32*(1+변수!AH39),"")</f>
        <v/>
      </c>
      <c r="AI32" s="20">
        <f>IFERROR(AD32*(1+변수!AI39),"")</f>
        <v/>
      </c>
      <c r="AJ32" s="38">
        <f>SUM(AF32:AI32)</f>
        <v/>
      </c>
      <c r="AK32" s="20">
        <f>IFERROR(AF32*(1+변수!AK39),"")</f>
        <v/>
      </c>
      <c r="AL32" s="20">
        <f>IFERROR(AG32*(1+변수!AL39),"")</f>
        <v/>
      </c>
      <c r="AM32" s="20">
        <f>IFERROR(AH32*(1+변수!AM39),"")</f>
        <v/>
      </c>
      <c r="AN32" s="20">
        <f>IFERROR(AI32*(1+변수!AN39),"")</f>
        <v/>
      </c>
      <c r="AO32" s="38">
        <f>SUM(AK32:AN32)</f>
        <v/>
      </c>
    </row>
    <row r="33">
      <c r="A33" s="12" t="inlineStr">
        <is>
          <t>영업활동현금흐름</t>
        </is>
      </c>
      <c r="B33" t="inlineStr">
        <is>
          <t>현금흐름</t>
        </is>
      </c>
      <c r="C33" t="inlineStr">
        <is>
          <t>억원</t>
        </is>
      </c>
      <c r="D33" t="inlineStr">
        <is>
          <t>영업활동으로인한현금흐름</t>
        </is>
      </c>
      <c r="E33" s="18">
        <f>IFERROR(VLOOKUP($D33,BS연결,MATCH(E$1,BS연결H,0),0)/100,"")</f>
        <v/>
      </c>
      <c r="F33" s="37" t="n"/>
      <c r="G33" s="18">
        <f>IFERROR(VLOOKUP($D33,BS연결,MATCH(G$1,BS연결H,0),0)/100,"")</f>
        <v/>
      </c>
      <c r="H33" s="18">
        <f>IFERROR(VLOOKUP($D33,BS연결,MATCH(H$1,BS연결H,0),0)/100,"")</f>
        <v/>
      </c>
      <c r="I33" s="18">
        <f>IFERROR(VLOOKUP($D33,BS연결,MATCH(I$1,BS연결H,0),0)/100,"")</f>
        <v/>
      </c>
      <c r="J33" s="18">
        <f>IFERROR(VLOOKUP($D33,BS연결,MATCH(J$1,BS연결H,0),0)/100,"")</f>
        <v/>
      </c>
      <c r="K33" s="37">
        <f>IFERROR(VLOOKUP($D33,BS연결,MATCH(K$1,BS연결H,0),0)/100,"")</f>
        <v/>
      </c>
      <c r="L33" s="18">
        <f>IFERROR(VLOOKUP($D33,BS연결,MATCH(L$1,BS연결H,0),0)/100,"")</f>
        <v/>
      </c>
      <c r="M33" s="18">
        <f>IFERROR(VLOOKUP($D33,BS연결,MATCH(M$1,BS연결H,0),0)/100,"")</f>
        <v/>
      </c>
      <c r="N33" s="18">
        <f>IFERROR(VLOOKUP($D33,BS연결,MATCH(N$1,BS연결H,0),0)/100,"")</f>
        <v/>
      </c>
      <c r="O33" s="18">
        <f>IFERROR(VLOOKUP($D33,BS연결,MATCH(O$1,BS연결H,0),0)/100,"")</f>
        <v/>
      </c>
      <c r="P33" s="37">
        <f>IFERROR(VLOOKUP($D33,BS연결,MATCH(P$1,BS연결H,0),0)/100,"")</f>
        <v/>
      </c>
      <c r="Q33" s="18">
        <f>IFERROR(VLOOKUP($D33,BS연결,MATCH(Q$1,BS연결H,0),0)/100,"")</f>
        <v/>
      </c>
      <c r="R33" s="18">
        <f>IFERROR(VLOOKUP($D33,BS연결,MATCH(R$1,BS연결H,0),0)/100,"")</f>
        <v/>
      </c>
      <c r="S33" s="18">
        <f>IFERROR(VLOOKUP($D33,BS연결,MATCH(S$1,BS연결H,0),0)/100,"")</f>
        <v/>
      </c>
      <c r="T33" s="18">
        <f>IFERROR(VLOOKUP($D33,BS연결,MATCH(T$1,BS연결H,0),0)/100,"")</f>
        <v/>
      </c>
      <c r="U33" s="37">
        <f>IFERROR(VLOOKUP($D33,BS연결,MATCH(U$1,BS연결H,0),0)/100,"")</f>
        <v/>
      </c>
      <c r="V33" s="18">
        <f>IFERROR(VLOOKUP($D33,BS연결,MATCH(V$1,BS연결H,0),0)/100,"")</f>
        <v/>
      </c>
      <c r="W33" s="18">
        <f>IFERROR(VLOOKUP($D33,BS연결,MATCH(W$1,BS연결H,0),0)/100,"")</f>
        <v/>
      </c>
      <c r="X33" s="18">
        <f>IFERROR(VLOOKUP($D33,BS연결,MATCH(X$1,BS연결H,0),0)/100,"")</f>
        <v/>
      </c>
      <c r="Y33" s="18">
        <f>IFERROR(VLOOKUP($D33,BS연결,MATCH(Y$1,BS연결H,0),0)/100,"")</f>
        <v/>
      </c>
      <c r="Z33" s="37">
        <f>IFERROR(VLOOKUP($D33,BS연결,MATCH(Z$1,BS연결H,0),0)/100,"")</f>
        <v/>
      </c>
      <c r="AA33" s="18">
        <f>IFERROR(VLOOKUP($D33,BS연결,MATCH(AA$1,BS연결H,0),0)/100,"")</f>
        <v/>
      </c>
      <c r="AB33" s="19">
        <f>IFERROR(VLOOKUP($D33,BS연결,MATCH(AB$1,BS연결H,0),0)/100,"")</f>
        <v/>
      </c>
      <c r="AC33" s="20" t="n"/>
      <c r="AD33" s="20" t="n"/>
      <c r="AE33" s="38">
        <f>SUM(AA33:AD33)</f>
        <v/>
      </c>
      <c r="AF33" s="20" t="n"/>
      <c r="AG33" s="20" t="n"/>
      <c r="AH33" s="20" t="n"/>
      <c r="AI33" s="20" t="n"/>
      <c r="AJ33" s="38">
        <f>SUM(AF33:AI33)</f>
        <v/>
      </c>
      <c r="AK33" s="20" t="n"/>
      <c r="AL33" s="20" t="n"/>
      <c r="AM33" s="20" t="n"/>
      <c r="AN33" s="20" t="n"/>
      <c r="AO33" s="38">
        <f>SUM(AK33:AN33)</f>
        <v/>
      </c>
    </row>
    <row r="34">
      <c r="A34" s="12" t="inlineStr">
        <is>
          <t>주식수</t>
        </is>
      </c>
      <c r="B34" t="inlineStr">
        <is>
          <t>주당</t>
        </is>
      </c>
      <c r="C34" t="inlineStr">
        <is>
          <t>백만주</t>
        </is>
      </c>
      <c r="D34" t="inlineStr">
        <is>
          <t>유통주식수</t>
        </is>
      </c>
      <c r="E34" s="32" t="n">
        <v>45.90424</v>
      </c>
      <c r="F34" s="28">
        <f>E34</f>
        <v/>
      </c>
      <c r="G34" s="32" t="n">
        <v>46.658525</v>
      </c>
      <c r="H34" s="32" t="n">
        <v>46.658525</v>
      </c>
      <c r="I34" s="32" t="n">
        <v>46.658525</v>
      </c>
      <c r="J34" s="32" t="n">
        <v>46.658525</v>
      </c>
      <c r="K34" s="28">
        <f>J34</f>
        <v/>
      </c>
      <c r="L34" s="32" t="n">
        <v>46.658525</v>
      </c>
      <c r="M34" s="32" t="n">
        <v>46.658525</v>
      </c>
      <c r="N34" s="32" t="n">
        <v>45.758525</v>
      </c>
      <c r="O34" s="32" t="n">
        <v>45.336365</v>
      </c>
      <c r="P34" s="28">
        <f>O34</f>
        <v/>
      </c>
      <c r="Q34" s="32" t="n">
        <v>45.336365</v>
      </c>
      <c r="R34" s="32" t="n">
        <v>48.078665</v>
      </c>
      <c r="S34" s="32" t="n">
        <v>48.078665</v>
      </c>
      <c r="T34" s="32" t="n">
        <v>46.615415</v>
      </c>
      <c r="U34" s="28">
        <f>T34</f>
        <v/>
      </c>
      <c r="V34" s="32" t="n">
        <v>46.370415</v>
      </c>
      <c r="W34" s="32" t="n">
        <v>46.190235</v>
      </c>
      <c r="X34" s="32" t="n">
        <v>46.16441</v>
      </c>
      <c r="Y34" s="32" t="n">
        <v>46.16441</v>
      </c>
      <c r="Z34" s="28">
        <f>Y34</f>
        <v/>
      </c>
      <c r="AA34" s="32" t="n">
        <v>45.87941</v>
      </c>
      <c r="AB34" s="29" t="n">
        <v>45.695</v>
      </c>
      <c r="AC34" s="32">
        <f>IFERROR(AB34*(1+변수!AC41),"")</f>
        <v/>
      </c>
      <c r="AD34" s="32">
        <f>IFERROR(AC34*(1+변수!AD41),"")</f>
        <v/>
      </c>
      <c r="AE34" s="31">
        <f>AD34</f>
        <v/>
      </c>
      <c r="AF34" s="32">
        <f>IFERROR(AD34*(1+변수!AF41),"")</f>
        <v/>
      </c>
      <c r="AG34" s="32">
        <f>IFERROR(AF34*(1+변수!AG41),"")</f>
        <v/>
      </c>
      <c r="AH34" s="32">
        <f>IFERROR(AG34*(1+변수!AH41),"")</f>
        <v/>
      </c>
      <c r="AI34" s="32">
        <f>IFERROR(AH34*(1+변수!AI41),"")</f>
        <v/>
      </c>
      <c r="AJ34" s="31">
        <f>AI34</f>
        <v/>
      </c>
      <c r="AK34" s="32">
        <f>IFERROR(AI34*(1+변수!AK41),"")</f>
        <v/>
      </c>
      <c r="AL34" s="32">
        <f>IFERROR(AK34*(1+변수!AL41),"")</f>
        <v/>
      </c>
      <c r="AM34" s="32">
        <f>IFERROR(AL34*(1+변수!AM41),"")</f>
        <v/>
      </c>
      <c r="AN34" s="32">
        <f>IFERROR(AM34*(1+변수!AN41),"")</f>
        <v/>
      </c>
      <c r="AO34" s="31">
        <f>AN34</f>
        <v/>
      </c>
    </row>
    <row r="35">
      <c r="A35" s="12" t="inlineStr">
        <is>
          <t>EPS</t>
        </is>
      </c>
      <c r="B35" t="inlineStr">
        <is>
          <t>주당</t>
        </is>
      </c>
      <c r="C35" t="inlineStr">
        <is>
          <t>원</t>
        </is>
      </c>
      <c r="D35" t="inlineStr">
        <is>
          <t>EPS</t>
        </is>
      </c>
      <c r="E35" s="18">
        <f>IFERROR(E20*100/E34,"")</f>
        <v/>
      </c>
      <c r="F35" s="37" t="n"/>
      <c r="G35" s="18">
        <f>IFERROR(G20*100/G34,"")</f>
        <v/>
      </c>
      <c r="H35" s="18">
        <f>IFERROR(H20*100/H34,"")</f>
        <v/>
      </c>
      <c r="I35" s="18">
        <f>IFERROR(I20*100/I34,"")</f>
        <v/>
      </c>
      <c r="J35" s="18">
        <f>IFERROR(J20*100/J34,"")</f>
        <v/>
      </c>
      <c r="K35" s="37">
        <f>SUM(G35:J35)</f>
        <v/>
      </c>
      <c r="L35" s="18">
        <f>IFERROR(L20*100/L34,"")</f>
        <v/>
      </c>
      <c r="M35" s="18">
        <f>IFERROR(M20*100/M34,"")</f>
        <v/>
      </c>
      <c r="N35" s="18">
        <f>IFERROR(N20*100/N34,"")</f>
        <v/>
      </c>
      <c r="O35" s="18">
        <f>IFERROR(O20*100/O34,"")</f>
        <v/>
      </c>
      <c r="P35" s="37">
        <f>SUM(L35:O35)</f>
        <v/>
      </c>
      <c r="Q35" s="18">
        <f>IFERROR(Q20*100/Q34,"")</f>
        <v/>
      </c>
      <c r="R35" s="18">
        <f>IFERROR(R20*100/R34,"")</f>
        <v/>
      </c>
      <c r="S35" s="18">
        <f>IFERROR(S20*100/S34,"")</f>
        <v/>
      </c>
      <c r="T35" s="18">
        <f>IFERROR(T20*100/T34,"")</f>
        <v/>
      </c>
      <c r="U35" s="37">
        <f>SUM(Q35:T35)</f>
        <v/>
      </c>
      <c r="V35" s="18">
        <f>IFERROR(V20*100/V34,"")</f>
        <v/>
      </c>
      <c r="W35" s="18">
        <f>IFERROR(W20*100/W34,"")</f>
        <v/>
      </c>
      <c r="X35" s="18">
        <f>IFERROR(X20*100/X34,"")</f>
        <v/>
      </c>
      <c r="Y35" s="18">
        <f>IFERROR(Y20*100/Y34,"")</f>
        <v/>
      </c>
      <c r="Z35" s="37">
        <f>SUM(V35:Y35)</f>
        <v/>
      </c>
      <c r="AA35" s="18">
        <f>IFERROR(AA20*100/AA34,"")</f>
        <v/>
      </c>
      <c r="AB35" s="19">
        <f>IFERROR(AB20*100/AB34,"")</f>
        <v/>
      </c>
      <c r="AC35" s="20">
        <f>IFERROR(AC20*100/AC34,"")</f>
        <v/>
      </c>
      <c r="AD35" s="20">
        <f>IFERROR(AD20*100/AD34,"")</f>
        <v/>
      </c>
      <c r="AE35" s="38">
        <f>SUM(AA35:AD35)</f>
        <v/>
      </c>
      <c r="AF35" s="20">
        <f>IFERROR(AF20*100/AF34,"")</f>
        <v/>
      </c>
      <c r="AG35" s="20">
        <f>IFERROR(AG20*100/AG34,"")</f>
        <v/>
      </c>
      <c r="AH35" s="20">
        <f>IFERROR(AH20*100/AH34,"")</f>
        <v/>
      </c>
      <c r="AI35" s="20">
        <f>IFERROR(AI20*100/AI34,"")</f>
        <v/>
      </c>
      <c r="AJ35" s="38">
        <f>SUM(AF35:AI35)</f>
        <v/>
      </c>
      <c r="AK35" s="20">
        <f>IFERROR(AK20*100/AK34,"")</f>
        <v/>
      </c>
      <c r="AL35" s="20">
        <f>IFERROR(AL20*100/AL34,"")</f>
        <v/>
      </c>
      <c r="AM35" s="20">
        <f>IFERROR(AM20*100/AM34,"")</f>
        <v/>
      </c>
      <c r="AN35" s="20">
        <f>IFERROR(AN20*100/AN34,"")</f>
        <v/>
      </c>
      <c r="AO35" s="38">
        <f>SUM(AK35:AN35)</f>
        <v/>
      </c>
    </row>
    <row r="36">
      <c r="A36" s="12" t="inlineStr">
        <is>
          <t>BPS</t>
        </is>
      </c>
      <c r="B36" t="inlineStr">
        <is>
          <t>주당</t>
        </is>
      </c>
      <c r="C36" t="inlineStr">
        <is>
          <t>원</t>
        </is>
      </c>
      <c r="D36" t="inlineStr">
        <is>
          <t>BPS</t>
        </is>
      </c>
      <c r="E36" s="18">
        <f>IFERROR(E27*100/E34,"")</f>
        <v/>
      </c>
      <c r="F36" s="37">
        <f>E36</f>
        <v/>
      </c>
      <c r="G36" s="18">
        <f>IFERROR(G27*100/G34,"")</f>
        <v/>
      </c>
      <c r="H36" s="18">
        <f>IFERROR(H27*100/H34,"")</f>
        <v/>
      </c>
      <c r="I36" s="18">
        <f>IFERROR(I27*100/I34,"")</f>
        <v/>
      </c>
      <c r="J36" s="18">
        <f>IFERROR(J27*100/J34,"")</f>
        <v/>
      </c>
      <c r="K36" s="37">
        <f>J36</f>
        <v/>
      </c>
      <c r="L36" s="18">
        <f>IFERROR(L27*100/L34,"")</f>
        <v/>
      </c>
      <c r="M36" s="18">
        <f>IFERROR(M27*100/M34,"")</f>
        <v/>
      </c>
      <c r="N36" s="18">
        <f>IFERROR(N27*100/N34,"")</f>
        <v/>
      </c>
      <c r="O36" s="18">
        <f>IFERROR(O27*100/O34,"")</f>
        <v/>
      </c>
      <c r="P36" s="37">
        <f>O36</f>
        <v/>
      </c>
      <c r="Q36" s="18">
        <f>IFERROR(Q27*100/Q34,"")</f>
        <v/>
      </c>
      <c r="R36" s="18">
        <f>IFERROR(R27*100/R34,"")</f>
        <v/>
      </c>
      <c r="S36" s="18">
        <f>IFERROR(S27*100/S34,"")</f>
        <v/>
      </c>
      <c r="T36" s="18">
        <f>IFERROR(T27*100/T34,"")</f>
        <v/>
      </c>
      <c r="U36" s="37">
        <f>T36</f>
        <v/>
      </c>
      <c r="V36" s="18">
        <f>IFERROR(V27*100/V34,"")</f>
        <v/>
      </c>
      <c r="W36" s="18">
        <f>IFERROR(W27*100/W34,"")</f>
        <v/>
      </c>
      <c r="X36" s="18">
        <f>IFERROR(X27*100/X34,"")</f>
        <v/>
      </c>
      <c r="Y36" s="18">
        <f>IFERROR(Y27*100/Y34,"")</f>
        <v/>
      </c>
      <c r="Z36" s="37">
        <f>Y36</f>
        <v/>
      </c>
      <c r="AA36" s="18">
        <f>IFERROR(AA27*100/AA34,"")</f>
        <v/>
      </c>
      <c r="AB36" s="19">
        <f>IFERROR(AB27*100/AB34,"")</f>
        <v/>
      </c>
      <c r="AC36" s="20">
        <f>IFERROR(AC27*100/AC34,"")</f>
        <v/>
      </c>
      <c r="AD36" s="20">
        <f>IFERROR(AD27*100/AD34,"")</f>
        <v/>
      </c>
      <c r="AE36" s="38">
        <f>AD36</f>
        <v/>
      </c>
      <c r="AF36" s="20">
        <f>IFERROR(AF27*100/AF34,"")</f>
        <v/>
      </c>
      <c r="AG36" s="20">
        <f>IFERROR(AG27*100/AG34,"")</f>
        <v/>
      </c>
      <c r="AH36" s="20">
        <f>IFERROR(AH27*100/AH34,"")</f>
        <v/>
      </c>
      <c r="AI36" s="20">
        <f>IFERROR(AI27*100/AI34,"")</f>
        <v/>
      </c>
      <c r="AJ36" s="38">
        <f>AI36</f>
        <v/>
      </c>
      <c r="AK36" s="20">
        <f>IFERROR(AK27*100/AK34,"")</f>
        <v/>
      </c>
      <c r="AL36" s="20">
        <f>IFERROR(AL27*100/AL34,"")</f>
        <v/>
      </c>
      <c r="AM36" s="20">
        <f>IFERROR(AM27*100/AM34,"")</f>
        <v/>
      </c>
      <c r="AN36" s="20">
        <f>IFERROR(AN27*100/AN34,"")</f>
        <v/>
      </c>
      <c r="AO36" s="38">
        <f>AN36</f>
        <v/>
      </c>
    </row>
    <row r="37">
      <c r="A37" s="12" t="inlineStr">
        <is>
          <t>DPS</t>
        </is>
      </c>
      <c r="B37" t="inlineStr">
        <is>
          <t>주당</t>
        </is>
      </c>
      <c r="C37" t="inlineStr">
        <is>
          <t>원</t>
        </is>
      </c>
      <c r="D37" t="inlineStr">
        <is>
          <t>DPS(보통주)</t>
        </is>
      </c>
      <c r="E37" s="18" t="n">
        <v>0</v>
      </c>
      <c r="F37" s="37" t="n">
        <v>0</v>
      </c>
      <c r="G37" s="18" t="n"/>
      <c r="H37" s="18" t="n"/>
      <c r="I37" s="18" t="n"/>
      <c r="J37" s="18" t="n">
        <v>0</v>
      </c>
      <c r="K37" s="37">
        <f>SUM(G37:J37)</f>
        <v/>
      </c>
      <c r="L37" s="18" t="n"/>
      <c r="M37" s="18" t="n"/>
      <c r="N37" s="18" t="n"/>
      <c r="O37" s="20" t="n">
        <v>450</v>
      </c>
      <c r="P37" s="37">
        <f>SUM(L37:O37)</f>
        <v/>
      </c>
      <c r="Q37" s="18" t="n"/>
      <c r="R37" s="18" t="n"/>
      <c r="S37" s="18" t="n"/>
      <c r="T37" s="20" t="n">
        <v>140</v>
      </c>
      <c r="U37" s="37">
        <f>SUM(Q37:T37)</f>
        <v/>
      </c>
      <c r="V37" s="18" t="n"/>
      <c r="W37" s="18" t="n"/>
      <c r="X37" s="18" t="n"/>
      <c r="Y37" s="20" t="n">
        <v>150</v>
      </c>
      <c r="Z37" s="37">
        <f>SUM(V37:Y37)</f>
        <v/>
      </c>
      <c r="AA37" s="18" t="n"/>
      <c r="AB37" s="19" t="n"/>
      <c r="AC37" s="20" t="n"/>
      <c r="AD37" s="20">
        <f>변수!AD42</f>
        <v/>
      </c>
      <c r="AE37" s="38">
        <f>SUM(AA37:AD37)</f>
        <v/>
      </c>
      <c r="AF37" s="20" t="n"/>
      <c r="AG37" s="20" t="n"/>
      <c r="AH37" s="20" t="n"/>
      <c r="AI37" s="20">
        <f>변수!AI42</f>
        <v/>
      </c>
      <c r="AJ37" s="38">
        <f>SUM(AF37:AI37)</f>
        <v/>
      </c>
      <c r="AK37" s="20" t="n"/>
      <c r="AL37" s="20" t="n"/>
      <c r="AM37" s="20" t="n"/>
      <c r="AN37" s="20">
        <f>변수!AN42</f>
        <v/>
      </c>
      <c r="AO37" s="38">
        <f>SUM(AK37:AN37)</f>
        <v/>
      </c>
    </row>
    <row r="38">
      <c r="A38" s="12" t="inlineStr">
        <is>
          <t>PER</t>
        </is>
      </c>
      <c r="B38" t="inlineStr">
        <is>
          <t>주당</t>
        </is>
      </c>
      <c r="C38" t="inlineStr">
        <is>
          <t>배</t>
        </is>
      </c>
      <c r="D38" t="inlineStr">
        <is>
          <t>PER</t>
        </is>
      </c>
      <c r="E38" s="13" t="n"/>
      <c r="F38" s="14">
        <f>E38</f>
        <v/>
      </c>
      <c r="G38" s="13" t="n"/>
      <c r="H38" s="13" t="n"/>
      <c r="I38" s="13" t="n"/>
      <c r="J38" s="13" t="n"/>
      <c r="K38" s="14">
        <f>J38</f>
        <v/>
      </c>
      <c r="L38" s="13" t="n"/>
      <c r="M38" s="13" t="n"/>
      <c r="N38" s="13" t="n"/>
      <c r="O38" s="13">
        <f>IFERROR(변수!O18/(L35+M35+N35+O35),"")</f>
        <v/>
      </c>
      <c r="P38" s="14">
        <f>O38</f>
        <v/>
      </c>
      <c r="Q38" s="13">
        <f>IFERROR(변수!Q18/(M35+N35+O35+Q35),"")</f>
        <v/>
      </c>
      <c r="R38" s="13">
        <f>IFERROR(변수!R18/(N35+O35+Q35+R35),"")</f>
        <v/>
      </c>
      <c r="S38" s="13">
        <f>IFERROR(변수!S18/(O35+Q35+R35+S35),"")</f>
        <v/>
      </c>
      <c r="T38" s="13">
        <f>IFERROR(변수!T18/(Q35+R35+S35+T35),"")</f>
        <v/>
      </c>
      <c r="U38" s="14">
        <f>T38</f>
        <v/>
      </c>
      <c r="V38" s="13" t="n"/>
      <c r="W38" s="13">
        <f>IFERROR(변수!W18/(S35+T35+V35+W35),"")</f>
        <v/>
      </c>
      <c r="X38" s="13">
        <f>IFERROR(변수!X18/(T35+V35+W35+X35),"")</f>
        <v/>
      </c>
      <c r="Y38" s="13">
        <f>IFERROR(변수!Y18/(V35+W35+X35+Y35),"")</f>
        <v/>
      </c>
      <c r="Z38" s="14">
        <f>Y38</f>
        <v/>
      </c>
      <c r="AA38" s="13">
        <f>IFERROR(변수!AA18/(W35+X35+Y35+AA35),"")</f>
        <v/>
      </c>
      <c r="AB38" s="15">
        <f>IFERROR(변수!AB18/(X35+Y35+AA35+AB35),"")</f>
        <v/>
      </c>
      <c r="AC38" s="39">
        <f>IFERROR(변수!$D$45/(Y35+AA35+AB35+AC35),"")</f>
        <v/>
      </c>
      <c r="AD38" s="39">
        <f>IFERROR(변수!$D$45/(AA35+AB35+AC35+AD35),"")</f>
        <v/>
      </c>
      <c r="AE38" s="40">
        <f>AD38</f>
        <v/>
      </c>
      <c r="AF38" s="39">
        <f>IFERROR(변수!$D$45/(AB35+AC35+AD35+AF35),"")</f>
        <v/>
      </c>
      <c r="AG38" s="39">
        <f>IFERROR(변수!$D$45/(AC35+AD35+AF35+AG35),"")</f>
        <v/>
      </c>
      <c r="AH38" s="39">
        <f>IFERROR(변수!$D$45/(AD35+AF35+AG35+AH35),"")</f>
        <v/>
      </c>
      <c r="AI38" s="39">
        <f>IFERROR(변수!$D$45/(AF35+AG35+AH35+AI35),"")</f>
        <v/>
      </c>
      <c r="AJ38" s="40">
        <f>AI38</f>
        <v/>
      </c>
      <c r="AK38" s="39">
        <f>IFERROR(변수!$D$45/(AG35+AH35+AI35+AK35),"")</f>
        <v/>
      </c>
      <c r="AL38" s="39">
        <f>IFERROR(변수!$D$45/(AH35+AI35+AK35+AL35),"")</f>
        <v/>
      </c>
      <c r="AM38" s="39">
        <f>IFERROR(변수!$D$45/(AI35+AK35+AL35+AM35),"")</f>
        <v/>
      </c>
      <c r="AN38" s="39">
        <f>IFERROR(변수!$D$45/(AK35+AL35+AM35+AN35),"")</f>
        <v/>
      </c>
      <c r="AO38" s="40">
        <f>AN38</f>
        <v/>
      </c>
    </row>
    <row r="39">
      <c r="A39" s="12" t="inlineStr">
        <is>
          <t>PBR</t>
        </is>
      </c>
      <c r="B39" t="inlineStr">
        <is>
          <t>주당</t>
        </is>
      </c>
      <c r="C39" t="inlineStr">
        <is>
          <t>배</t>
        </is>
      </c>
      <c r="D39" t="inlineStr">
        <is>
          <t>PBR</t>
        </is>
      </c>
      <c r="E39" s="13">
        <f>IFERROR(변수!E18/E36,"")</f>
        <v/>
      </c>
      <c r="F39" s="14">
        <f>E39</f>
        <v/>
      </c>
      <c r="G39" s="13">
        <f>IFERROR(변수!G18/G36,"")</f>
        <v/>
      </c>
      <c r="H39" s="13">
        <f>IFERROR(변수!H18/H36,"")</f>
        <v/>
      </c>
      <c r="I39" s="13">
        <f>IFERROR(변수!I18/I36,"")</f>
        <v/>
      </c>
      <c r="J39" s="13">
        <f>IFERROR(변수!J18/J36,"")</f>
        <v/>
      </c>
      <c r="K39" s="14">
        <f>J39</f>
        <v/>
      </c>
      <c r="L39" s="13">
        <f>IFERROR(변수!L18/L36,"")</f>
        <v/>
      </c>
      <c r="M39" s="13">
        <f>IFERROR(변수!M18/M36,"")</f>
        <v/>
      </c>
      <c r="N39" s="13">
        <f>IFERROR(변수!N18/N36,"")</f>
        <v/>
      </c>
      <c r="O39" s="13">
        <f>IFERROR(변수!O18/O36,"")</f>
        <v/>
      </c>
      <c r="P39" s="14">
        <f>O39</f>
        <v/>
      </c>
      <c r="Q39" s="13">
        <f>IFERROR(변수!Q18/Q36,"")</f>
        <v/>
      </c>
      <c r="R39" s="13">
        <f>IFERROR(변수!R18/R36,"")</f>
        <v/>
      </c>
      <c r="S39" s="13">
        <f>IFERROR(변수!S18/S36,"")</f>
        <v/>
      </c>
      <c r="T39" s="13">
        <f>IFERROR(변수!T18/T36,"")</f>
        <v/>
      </c>
      <c r="U39" s="14">
        <f>T39</f>
        <v/>
      </c>
      <c r="V39" s="13">
        <f>IFERROR(변수!V18/V36,"")</f>
        <v/>
      </c>
      <c r="W39" s="13">
        <f>IFERROR(변수!W18/W36,"")</f>
        <v/>
      </c>
      <c r="X39" s="13">
        <f>IFERROR(변수!X18/X36,"")</f>
        <v/>
      </c>
      <c r="Y39" s="13">
        <f>IFERROR(변수!Y18/Y36,"")</f>
        <v/>
      </c>
      <c r="Z39" s="14">
        <f>Y39</f>
        <v/>
      </c>
      <c r="AA39" s="13">
        <f>IFERROR(변수!AA18/AA36,"")</f>
        <v/>
      </c>
      <c r="AB39" s="15">
        <f>IFERROR(변수!AB18/AB36,"")</f>
        <v/>
      </c>
      <c r="AC39" s="39">
        <f>IFERROR(변수!$D$45/AC36,"")</f>
        <v/>
      </c>
      <c r="AD39" s="39">
        <f>IFERROR(변수!$D$45/AD36,"")</f>
        <v/>
      </c>
      <c r="AE39" s="40">
        <f>AD39</f>
        <v/>
      </c>
      <c r="AF39" s="39">
        <f>IFERROR(변수!$D$45/AF36,"")</f>
        <v/>
      </c>
      <c r="AG39" s="39">
        <f>IFERROR(변수!$D$45/AG36,"")</f>
        <v/>
      </c>
      <c r="AH39" s="39">
        <f>IFERROR(변수!$D$45/AH36,"")</f>
        <v/>
      </c>
      <c r="AI39" s="39">
        <f>IFERROR(변수!$D$45/AI36,"")</f>
        <v/>
      </c>
      <c r="AJ39" s="40">
        <f>AI39</f>
        <v/>
      </c>
      <c r="AK39" s="39">
        <f>IFERROR(변수!$D$45/AK36,"")</f>
        <v/>
      </c>
      <c r="AL39" s="39">
        <f>IFERROR(변수!$D$45/AL36,"")</f>
        <v/>
      </c>
      <c r="AM39" s="39">
        <f>IFERROR(변수!$D$45/AM36,"")</f>
        <v/>
      </c>
      <c r="AN39" s="39">
        <f>IFERROR(변수!$D$45/AN36,"")</f>
        <v/>
      </c>
      <c r="AO39" s="40">
        <f>AN39</f>
        <v/>
      </c>
    </row>
    <row r="40">
      <c r="A40" s="12" t="inlineStr">
        <is>
          <t>매출전사</t>
        </is>
      </c>
      <c r="B40" t="inlineStr">
        <is>
          <t>사업부</t>
        </is>
      </c>
      <c r="C40" t="inlineStr">
        <is>
          <t>억원</t>
        </is>
      </c>
      <c r="D40" t="inlineStr">
        <is>
          <t>매출 전사(부문 미분리)</t>
        </is>
      </c>
      <c r="E40" s="18" t="n">
        <v>361.4</v>
      </c>
      <c r="F40" s="37" t="n"/>
      <c r="G40" s="18" t="n">
        <v>396.52</v>
      </c>
      <c r="H40" s="18" t="n">
        <v>317.35</v>
      </c>
      <c r="I40" s="18" t="n">
        <v>355.61</v>
      </c>
      <c r="J40" s="18" t="n">
        <v>414.43</v>
      </c>
      <c r="K40" s="37">
        <f>SUM(G40:J40)</f>
        <v/>
      </c>
      <c r="L40" s="18" t="n">
        <v>326.94</v>
      </c>
      <c r="M40" s="18" t="n">
        <v>323.09</v>
      </c>
      <c r="N40" s="18" t="n">
        <v>336.18</v>
      </c>
      <c r="O40" s="18" t="n">
        <v>53.3</v>
      </c>
      <c r="P40" s="37">
        <f>SUM(L40:O40)</f>
        <v/>
      </c>
      <c r="Q40" s="18" t="n">
        <v>217.69</v>
      </c>
      <c r="R40" s="18" t="n">
        <v>254.99</v>
      </c>
      <c r="S40" s="18" t="n">
        <v>205.68</v>
      </c>
      <c r="T40" s="18" t="n">
        <v>249.49</v>
      </c>
      <c r="U40" s="37">
        <f>SUM(Q40:T40)</f>
        <v/>
      </c>
      <c r="V40" s="18" t="n">
        <v>285.21</v>
      </c>
      <c r="W40" s="18" t="n">
        <v>251.62</v>
      </c>
      <c r="X40" s="18" t="n">
        <v>287.95</v>
      </c>
      <c r="Y40" s="18" t="n">
        <v>254.8</v>
      </c>
      <c r="Z40" s="37">
        <f>SUM(V40:Y40)</f>
        <v/>
      </c>
      <c r="AA40" s="18" t="n">
        <v>259.87</v>
      </c>
      <c r="AB40" s="19" t="n">
        <v>318.3</v>
      </c>
      <c r="AC40" s="20">
        <f>IFERROR(AC5,"")</f>
        <v/>
      </c>
      <c r="AD40" s="20">
        <f>IFERROR(AD5,"")</f>
        <v/>
      </c>
      <c r="AE40" s="38">
        <f>SUM(AA40:AD40)</f>
        <v/>
      </c>
      <c r="AF40" s="20">
        <f>IFERROR(AF5,"")</f>
        <v/>
      </c>
      <c r="AG40" s="20">
        <f>IFERROR(AG5,"")</f>
        <v/>
      </c>
      <c r="AH40" s="20">
        <f>IFERROR(AH5,"")</f>
        <v/>
      </c>
      <c r="AI40" s="20">
        <f>IFERROR(AI5,"")</f>
        <v/>
      </c>
      <c r="AJ40" s="38">
        <f>SUM(AF40:AI40)</f>
        <v/>
      </c>
      <c r="AK40" s="20">
        <f>IFERROR(AK5,"")</f>
        <v/>
      </c>
      <c r="AL40" s="20">
        <f>IFERROR(AL5,"")</f>
        <v/>
      </c>
      <c r="AM40" s="20">
        <f>IFERROR(AM5,"")</f>
        <v/>
      </c>
      <c r="AN40" s="20">
        <f>IFERROR(AN5,"")</f>
        <v/>
      </c>
      <c r="AO40" s="38">
        <f>SUM(AK40:AN40)</f>
        <v/>
      </c>
    </row>
    <row r="41">
      <c r="A41" s="12" t="inlineStr">
        <is>
          <t>OP전사</t>
        </is>
      </c>
      <c r="B41" t="inlineStr">
        <is>
          <t>사업부</t>
        </is>
      </c>
      <c r="C41" t="inlineStr">
        <is>
          <t>억원</t>
        </is>
      </c>
      <c r="D41" t="inlineStr">
        <is>
          <t>OP 전사(부문 미분리)</t>
        </is>
      </c>
      <c r="E41" s="18" t="n">
        <v>32.94</v>
      </c>
      <c r="F41" s="37" t="n"/>
      <c r="G41" s="18" t="n">
        <v>26.42</v>
      </c>
      <c r="H41" s="18" t="n">
        <v>24.16</v>
      </c>
      <c r="I41" s="18" t="n">
        <v>19.06</v>
      </c>
      <c r="J41" s="18" t="n">
        <v>29.21</v>
      </c>
      <c r="K41" s="37">
        <f>SUM(G41:J41)</f>
        <v/>
      </c>
      <c r="L41" s="18" t="n">
        <v>14.5</v>
      </c>
      <c r="M41" s="18" t="n">
        <v>17.67</v>
      </c>
      <c r="N41" s="18" t="n">
        <v>17.85</v>
      </c>
      <c r="O41" s="18" t="n">
        <v>-1.16</v>
      </c>
      <c r="P41" s="37">
        <f>SUM(L41:O41)</f>
        <v/>
      </c>
      <c r="Q41" s="18" t="n">
        <v>11.51</v>
      </c>
      <c r="R41" s="18" t="n">
        <v>45.62</v>
      </c>
      <c r="S41" s="18" t="n">
        <v>11.89</v>
      </c>
      <c r="T41" s="18" t="n">
        <v>33.59</v>
      </c>
      <c r="U41" s="37">
        <f>SUM(Q41:T41)</f>
        <v/>
      </c>
      <c r="V41" s="18" t="n">
        <v>26.59</v>
      </c>
      <c r="W41" s="18" t="n">
        <v>44.09</v>
      </c>
      <c r="X41" s="18" t="n">
        <v>48.65</v>
      </c>
      <c r="Y41" s="18" t="n">
        <v>36.01</v>
      </c>
      <c r="Z41" s="37">
        <f>SUM(V41:Y41)</f>
        <v/>
      </c>
      <c r="AA41" s="18" t="n">
        <v>41.62</v>
      </c>
      <c r="AB41" s="19" t="n">
        <v>51.34</v>
      </c>
      <c r="AC41" s="20">
        <f>IFERROR(AC9,"")</f>
        <v/>
      </c>
      <c r="AD41" s="20">
        <f>IFERROR(AD9,"")</f>
        <v/>
      </c>
      <c r="AE41" s="38">
        <f>SUM(AA41:AD41)</f>
        <v/>
      </c>
      <c r="AF41" s="20">
        <f>IFERROR(AF9,"")</f>
        <v/>
      </c>
      <c r="AG41" s="20">
        <f>IFERROR(AG9,"")</f>
        <v/>
      </c>
      <c r="AH41" s="20">
        <f>IFERROR(AH9,"")</f>
        <v/>
      </c>
      <c r="AI41" s="20">
        <f>IFERROR(AI9,"")</f>
        <v/>
      </c>
      <c r="AJ41" s="38">
        <f>SUM(AF41:AI41)</f>
        <v/>
      </c>
      <c r="AK41" s="20">
        <f>IFERROR(AK9,"")</f>
        <v/>
      </c>
      <c r="AL41" s="20">
        <f>IFERROR(AL9,"")</f>
        <v/>
      </c>
      <c r="AM41" s="20">
        <f>IFERROR(AM9,"")</f>
        <v/>
      </c>
      <c r="AN41" s="20">
        <f>IFERROR(AN9,"")</f>
        <v/>
      </c>
      <c r="AO41" s="38">
        <f>SUM(AK41:AN41)</f>
        <v/>
      </c>
    </row>
    <row r="42">
      <c r="B42" s="2" t="inlineStr">
        <is>
          <t>비율(참고)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NPM</t>
        </is>
      </c>
      <c r="C43" t="inlineStr">
        <is>
          <t>%</t>
        </is>
      </c>
      <c r="D43" t="inlineStr">
        <is>
          <t>지배주주순이익 / 매출액</t>
        </is>
      </c>
      <c r="E43" s="21">
        <f>IFERROR(E20/E5,"")</f>
        <v/>
      </c>
      <c r="F43" s="22">
        <f>IFERROR(F20/F5,"")</f>
        <v/>
      </c>
      <c r="G43" s="21">
        <f>IFERROR(G20/G5,"")</f>
        <v/>
      </c>
      <c r="H43" s="21">
        <f>IFERROR(H20/H5,"")</f>
        <v/>
      </c>
      <c r="I43" s="21">
        <f>IFERROR(I20/I5,"")</f>
        <v/>
      </c>
      <c r="J43" s="21">
        <f>IFERROR(J20/J5,"")</f>
        <v/>
      </c>
      <c r="K43" s="22">
        <f>IFERROR(K20/K5,"")</f>
        <v/>
      </c>
      <c r="L43" s="21">
        <f>IFERROR(L20/L5,"")</f>
        <v/>
      </c>
      <c r="M43" s="21">
        <f>IFERROR(M20/M5,"")</f>
        <v/>
      </c>
      <c r="N43" s="21">
        <f>IFERROR(N20/N5,"")</f>
        <v/>
      </c>
      <c r="O43" s="21">
        <f>IFERROR(O20/O5,"")</f>
        <v/>
      </c>
      <c r="P43" s="22">
        <f>IFERROR(P20/P5,"")</f>
        <v/>
      </c>
      <c r="Q43" s="21">
        <f>IFERROR(Q20/Q5,"")</f>
        <v/>
      </c>
      <c r="R43" s="21">
        <f>IFERROR(R20/R5,"")</f>
        <v/>
      </c>
      <c r="S43" s="21">
        <f>IFERROR(S20/S5,"")</f>
        <v/>
      </c>
      <c r="T43" s="21">
        <f>IFERROR(T20/T5,"")</f>
        <v/>
      </c>
      <c r="U43" s="22">
        <f>IFERROR(U20/U5,"")</f>
        <v/>
      </c>
      <c r="V43" s="21">
        <f>IFERROR(V20/V5,"")</f>
        <v/>
      </c>
      <c r="W43" s="21">
        <f>IFERROR(W20/W5,"")</f>
        <v/>
      </c>
      <c r="X43" s="21">
        <f>IFERROR(X20/X5,"")</f>
        <v/>
      </c>
      <c r="Y43" s="21">
        <f>IFERROR(Y20/Y5,"")</f>
        <v/>
      </c>
      <c r="Z43" s="22">
        <f>IFERROR(Z20/Z5,"")</f>
        <v/>
      </c>
      <c r="AA43" s="21">
        <f>IFERROR(AA20/AA5,"")</f>
        <v/>
      </c>
      <c r="AB43" s="23">
        <f>IFERROR(AB20/AB5,"")</f>
        <v/>
      </c>
      <c r="AC43" s="33">
        <f>IFERROR(AC20/AC5,"")</f>
        <v/>
      </c>
      <c r="AD43" s="33">
        <f>IFERROR(AD20/AD5,"")</f>
        <v/>
      </c>
      <c r="AE43" s="25">
        <f>IFERROR(AE20/AE5,"")</f>
        <v/>
      </c>
      <c r="AF43" s="33">
        <f>IFERROR(AF20/AF5,"")</f>
        <v/>
      </c>
      <c r="AG43" s="33">
        <f>IFERROR(AG20/AG5,"")</f>
        <v/>
      </c>
      <c r="AH43" s="33">
        <f>IFERROR(AH20/AH5,"")</f>
        <v/>
      </c>
      <c r="AI43" s="33">
        <f>IFERROR(AI20/AI5,"")</f>
        <v/>
      </c>
      <c r="AJ43" s="25">
        <f>IFERROR(AJ20/AJ5,"")</f>
        <v/>
      </c>
      <c r="AK43" s="33">
        <f>IFERROR(AK20/AK5,"")</f>
        <v/>
      </c>
      <c r="AL43" s="33">
        <f>IFERROR(AL20/AL5,"")</f>
        <v/>
      </c>
      <c r="AM43" s="33">
        <f>IFERROR(AM20/AM5,"")</f>
        <v/>
      </c>
      <c r="AN43" s="33">
        <f>IFERROR(AN20/AN5,"")</f>
        <v/>
      </c>
      <c r="AO43" s="25">
        <f>IFERROR(AO20/AO5,"")</f>
        <v/>
      </c>
    </row>
    <row r="44">
      <c r="A44" s="12" t="inlineStr">
        <is>
          <t>매출원가율</t>
        </is>
      </c>
      <c r="C44" t="inlineStr">
        <is>
          <t>%</t>
        </is>
      </c>
      <c r="D44" t="inlineStr">
        <is>
          <t>매출원가 / 매출액</t>
        </is>
      </c>
      <c r="E44" s="21">
        <f>IFERROR(E6/E5,"")</f>
        <v/>
      </c>
      <c r="F44" s="22">
        <f>IFERROR(F6/F5,"")</f>
        <v/>
      </c>
      <c r="G44" s="21">
        <f>IFERROR(G6/G5,"")</f>
        <v/>
      </c>
      <c r="H44" s="21">
        <f>IFERROR(H6/H5,"")</f>
        <v/>
      </c>
      <c r="I44" s="21">
        <f>IFERROR(I6/I5,"")</f>
        <v/>
      </c>
      <c r="J44" s="21">
        <f>IFERROR(J6/J5,"")</f>
        <v/>
      </c>
      <c r="K44" s="22">
        <f>IFERROR(K6/K5,"")</f>
        <v/>
      </c>
      <c r="L44" s="21">
        <f>IFERROR(L6/L5,"")</f>
        <v/>
      </c>
      <c r="M44" s="21">
        <f>IFERROR(M6/M5,"")</f>
        <v/>
      </c>
      <c r="N44" s="21">
        <f>IFERROR(N6/N5,"")</f>
        <v/>
      </c>
      <c r="O44" s="21">
        <f>IFERROR(O6/O5,"")</f>
        <v/>
      </c>
      <c r="P44" s="22">
        <f>IFERROR(P6/P5,"")</f>
        <v/>
      </c>
      <c r="Q44" s="21">
        <f>IFERROR(Q6/Q5,"")</f>
        <v/>
      </c>
      <c r="R44" s="21">
        <f>IFERROR(R6/R5,"")</f>
        <v/>
      </c>
      <c r="S44" s="21">
        <f>IFERROR(S6/S5,"")</f>
        <v/>
      </c>
      <c r="T44" s="21">
        <f>IFERROR(T6/T5,"")</f>
        <v/>
      </c>
      <c r="U44" s="22">
        <f>IFERROR(U6/U5,"")</f>
        <v/>
      </c>
      <c r="V44" s="21">
        <f>IFERROR(V6/V5,"")</f>
        <v/>
      </c>
      <c r="W44" s="21">
        <f>IFERROR(W6/W5,"")</f>
        <v/>
      </c>
      <c r="X44" s="21">
        <f>IFERROR(X6/X5,"")</f>
        <v/>
      </c>
      <c r="Y44" s="21">
        <f>IFERROR(Y6/Y5,"")</f>
        <v/>
      </c>
      <c r="Z44" s="22">
        <f>IFERROR(Z6/Z5,"")</f>
        <v/>
      </c>
      <c r="AA44" s="21">
        <f>IFERROR(AA6/AA5,"")</f>
        <v/>
      </c>
      <c r="AB44" s="23">
        <f>IFERROR(AB6/AB5,"")</f>
        <v/>
      </c>
      <c r="AC44" s="33">
        <f>IFERROR(AC6/AC5,"")</f>
        <v/>
      </c>
      <c r="AD44" s="33">
        <f>IFERROR(AD6/AD5,"")</f>
        <v/>
      </c>
      <c r="AE44" s="25">
        <f>IFERROR(AE6/AE5,"")</f>
        <v/>
      </c>
      <c r="AF44" s="33">
        <f>IFERROR(AF6/AF5,"")</f>
        <v/>
      </c>
      <c r="AG44" s="33">
        <f>IFERROR(AG6/AG5,"")</f>
        <v/>
      </c>
      <c r="AH44" s="33">
        <f>IFERROR(AH6/AH5,"")</f>
        <v/>
      </c>
      <c r="AI44" s="33">
        <f>IFERROR(AI6/AI5,"")</f>
        <v/>
      </c>
      <c r="AJ44" s="25">
        <f>IFERROR(AJ6/AJ5,"")</f>
        <v/>
      </c>
      <c r="AK44" s="33">
        <f>IFERROR(AK6/AK5,"")</f>
        <v/>
      </c>
      <c r="AL44" s="33">
        <f>IFERROR(AL6/AL5,"")</f>
        <v/>
      </c>
      <c r="AM44" s="33">
        <f>IFERROR(AM6/AM5,"")</f>
        <v/>
      </c>
      <c r="AN44" s="33">
        <f>IFERROR(AN6/AN5,"")</f>
        <v/>
      </c>
      <c r="AO44" s="25">
        <f>IFERROR(AO6/AO5,"")</f>
        <v/>
      </c>
    </row>
    <row r="45">
      <c r="A45" s="12" t="inlineStr">
        <is>
          <t>판관비율</t>
        </is>
      </c>
      <c r="C45" t="inlineStr">
        <is>
          <t>%</t>
        </is>
      </c>
      <c r="D45" t="inlineStr">
        <is>
          <t>판관비 / 매출액</t>
        </is>
      </c>
      <c r="E45" s="21">
        <f>IFERROR(E8/E5,"")</f>
        <v/>
      </c>
      <c r="F45" s="22">
        <f>IFERROR(F8/F5,"")</f>
        <v/>
      </c>
      <c r="G45" s="21">
        <f>IFERROR(G8/G5,"")</f>
        <v/>
      </c>
      <c r="H45" s="21">
        <f>IFERROR(H8/H5,"")</f>
        <v/>
      </c>
      <c r="I45" s="21">
        <f>IFERROR(I8/I5,"")</f>
        <v/>
      </c>
      <c r="J45" s="21">
        <f>IFERROR(J8/J5,"")</f>
        <v/>
      </c>
      <c r="K45" s="22">
        <f>IFERROR(K8/K5,"")</f>
        <v/>
      </c>
      <c r="L45" s="21">
        <f>IFERROR(L8/L5,"")</f>
        <v/>
      </c>
      <c r="M45" s="21">
        <f>IFERROR(M8/M5,"")</f>
        <v/>
      </c>
      <c r="N45" s="21">
        <f>IFERROR(N8/N5,"")</f>
        <v/>
      </c>
      <c r="O45" s="21">
        <f>IFERROR(O8/O5,"")</f>
        <v/>
      </c>
      <c r="P45" s="22">
        <f>IFERROR(P8/P5,"")</f>
        <v/>
      </c>
      <c r="Q45" s="21">
        <f>IFERROR(Q8/Q5,"")</f>
        <v/>
      </c>
      <c r="R45" s="21">
        <f>IFERROR(R8/R5,"")</f>
        <v/>
      </c>
      <c r="S45" s="21">
        <f>IFERROR(S8/S5,"")</f>
        <v/>
      </c>
      <c r="T45" s="21">
        <f>IFERROR(T8/T5,"")</f>
        <v/>
      </c>
      <c r="U45" s="22">
        <f>IFERROR(U8/U5,"")</f>
        <v/>
      </c>
      <c r="V45" s="21">
        <f>IFERROR(V8/V5,"")</f>
        <v/>
      </c>
      <c r="W45" s="21">
        <f>IFERROR(W8/W5,"")</f>
        <v/>
      </c>
      <c r="X45" s="21">
        <f>IFERROR(X8/X5,"")</f>
        <v/>
      </c>
      <c r="Y45" s="21">
        <f>IFERROR(Y8/Y5,"")</f>
        <v/>
      </c>
      <c r="Z45" s="22">
        <f>IFERROR(Z8/Z5,"")</f>
        <v/>
      </c>
      <c r="AA45" s="21">
        <f>IFERROR(AA8/AA5,"")</f>
        <v/>
      </c>
      <c r="AB45" s="23">
        <f>IFERROR(AB8/AB5,"")</f>
        <v/>
      </c>
      <c r="AC45" s="33">
        <f>IFERROR(AC8/AC5,"")</f>
        <v/>
      </c>
      <c r="AD45" s="33">
        <f>IFERROR(AD8/AD5,"")</f>
        <v/>
      </c>
      <c r="AE45" s="25">
        <f>IFERROR(AE8/AE5,"")</f>
        <v/>
      </c>
      <c r="AF45" s="33">
        <f>IFERROR(AF8/AF5,"")</f>
        <v/>
      </c>
      <c r="AG45" s="33">
        <f>IFERROR(AG8/AG5,"")</f>
        <v/>
      </c>
      <c r="AH45" s="33">
        <f>IFERROR(AH8/AH5,"")</f>
        <v/>
      </c>
      <c r="AI45" s="33">
        <f>IFERROR(AI8/AI5,"")</f>
        <v/>
      </c>
      <c r="AJ45" s="25">
        <f>IFERROR(AJ8/AJ5,"")</f>
        <v/>
      </c>
      <c r="AK45" s="33">
        <f>IFERROR(AK8/AK5,"")</f>
        <v/>
      </c>
      <c r="AL45" s="33">
        <f>IFERROR(AL8/AL5,"")</f>
        <v/>
      </c>
      <c r="AM45" s="33">
        <f>IFERROR(AM8/AM5,"")</f>
        <v/>
      </c>
      <c r="AN45" s="33">
        <f>IFERROR(AN8/AN5,"")</f>
        <v/>
      </c>
      <c r="AO45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변수!D45</f>
        <v/>
      </c>
      <c r="W2" s="42" t="n"/>
    </row>
    <row r="3">
      <c r="C3" t="inlineStr">
        <is>
          <t>기준일:</t>
        </is>
      </c>
      <c r="D3" t="inlineStr">
        <is>
          <t>20261026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3">
        <f>IFERROR(VLOOKUP($A10,subQ,MATCH(X$1,SUBQH,0),0),"")</f>
        <v/>
      </c>
      <c r="Y10" s="33">
        <f>IFERROR(VLOOKUP($A10,subQ,MATCH(Y$1,SUBQH,0),0),"")</f>
        <v/>
      </c>
      <c r="Z10" s="33">
        <f>IFERROR(VLOOKUP($A10,subQ,MATCH(Z$1,SUBQH,0),0),"")</f>
        <v/>
      </c>
      <c r="AA10" s="33">
        <f>IFERROR(VLOOKUP($A10,subQ,MATCH(AA$1,SUBQH,0),0),"")</f>
        <v/>
      </c>
      <c r="AB10" s="33">
        <f>IFERROR(VLOOKUP($A10,subQ,MATCH(AB$1,SUBQH,0),0),"")</f>
        <v/>
      </c>
      <c r="AC10" s="33">
        <f>IFERROR(VLOOKUP($A10,subQ,MATCH(AC$1,SUBQH,0),0),"")</f>
        <v/>
      </c>
      <c r="AD10" s="33">
        <f>IFERROR(VLOOKUP($A10,subQ,MATCH(AD$1,SUBQH,0),0),"")</f>
        <v/>
      </c>
      <c r="AE10" s="33">
        <f>IFERROR(VLOOKUP($A10,subQ,MATCH(AE$1,SUBQH,0),0),"")</f>
        <v/>
      </c>
      <c r="AF10" s="33">
        <f>IFERROR(VLOOKUP($A10,subQ,MATCH(AF$1,SUBQH,0),0),"")</f>
        <v/>
      </c>
      <c r="AG10" s="33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파생상품손익</t>
        </is>
      </c>
      <c r="D13" t="inlineStr">
        <is>
          <t>파생상품손익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기타금융손익</t>
        </is>
      </c>
      <c r="D14" t="inlineStr">
        <is>
          <t>기타금융손익(금융손익 잔차)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기타영업외손익</t>
        </is>
      </c>
      <c r="D15" t="inlineStr">
        <is>
          <t>기타영업외손익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지분법손익</t>
        </is>
      </c>
      <c r="D16" t="inlineStr">
        <is>
          <t>지분법손익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중단사업이익</t>
        </is>
      </c>
      <c r="D21" t="inlineStr">
        <is>
          <t>중단사업이익(실적만)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감가상각비</t>
        </is>
      </c>
      <c r="D22" t="inlineStr">
        <is>
          <t>감가상각비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EBITDA</t>
        </is>
      </c>
      <c r="D23" t="inlineStr">
        <is>
          <t>EBITDA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자산총계</t>
        </is>
      </c>
      <c r="D24" t="inlineStr">
        <is>
          <t>자산총계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부채총계</t>
        </is>
      </c>
      <c r="D25" t="inlineStr">
        <is>
          <t>부채총계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자본총계</t>
        </is>
      </c>
      <c r="D26" t="inlineStr">
        <is>
          <t>자본총계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지배주주지분</t>
        </is>
      </c>
      <c r="D27" t="inlineStr">
        <is>
          <t>지배주주지분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총차입금</t>
        </is>
      </c>
      <c r="D28" t="inlineStr">
        <is>
          <t>총차입금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18">
        <f>IFERROR(VLOOKUP($A28,subQ,MATCH(S$1,SUBQH,0),0),"")</f>
        <v/>
      </c>
      <c r="T28" s="18">
        <f>IFERROR(VLOOKUP($A28,subQ,MATCH(T$1,SUBQH,0),0),"")</f>
        <v/>
      </c>
      <c r="U28" s="18">
        <f>IFERROR(VLOOKUP($A28,subQ,MATCH(U$1,SUBQH,0),0),"")</f>
        <v/>
      </c>
      <c r="V28" s="18">
        <f>IFERROR(VLOOKUP($A28,subQ,MATCH(V$1,SUBQH,0),0),"")</f>
        <v/>
      </c>
      <c r="W28" s="45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  <c r="AD28" s="20">
        <f>IFERROR(VLOOKUP($A28,subQ,MATCH(AD$1,SUBQH,0),0),"")</f>
        <v/>
      </c>
      <c r="AE28" s="20">
        <f>IFERROR(VLOOKUP($A28,subQ,MATCH(AE$1,SUBQH,0),0),"")</f>
        <v/>
      </c>
      <c r="AF28" s="20">
        <f>IFERROR(VLOOKUP($A28,subQ,MATCH(AF$1,SUBQH,0),0),"")</f>
        <v/>
      </c>
      <c r="AG28" s="20">
        <f>IFERROR(VLOOKUP($A28,subQ,MATCH(AG$1,SUBQH,0),0),"")</f>
        <v/>
      </c>
    </row>
    <row r="29">
      <c r="A29" s="12" t="inlineStr">
        <is>
          <t>순차입금</t>
        </is>
      </c>
      <c r="D29" t="inlineStr">
        <is>
          <t>순차입금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이자발생자산</t>
        </is>
      </c>
      <c r="D30" t="inlineStr">
        <is>
          <t>이자발생자산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현금및현금성자산</t>
        </is>
      </c>
      <c r="D31" t="inlineStr">
        <is>
          <t>현금및현금성자산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CAPEX</t>
        </is>
      </c>
      <c r="D32" t="inlineStr">
        <is>
          <t>CAPEX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18">
        <f>IFERROR(VLOOKUP($A32,subQ,MATCH(S$1,SUBQH,0),0),"")</f>
        <v/>
      </c>
      <c r="T32" s="18">
        <f>IFERROR(VLOOKUP($A32,subQ,MATCH(T$1,SUBQH,0),0),"")</f>
        <v/>
      </c>
      <c r="U32" s="18">
        <f>IFERROR(VLOOKUP($A32,subQ,MATCH(U$1,SUBQH,0),0),"")</f>
        <v/>
      </c>
      <c r="V32" s="18">
        <f>IFERROR(VLOOKUP($A32,subQ,MATCH(V$1,SUBQH,0),0),"")</f>
        <v/>
      </c>
      <c r="W32" s="45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  <c r="AD32" s="20">
        <f>IFERROR(VLOOKUP($A32,subQ,MATCH(AD$1,SUBQH,0),0),"")</f>
        <v/>
      </c>
      <c r="AE32" s="20">
        <f>IFERROR(VLOOKUP($A32,subQ,MATCH(AE$1,SUBQH,0),0),"")</f>
        <v/>
      </c>
      <c r="AF32" s="20">
        <f>IFERROR(VLOOKUP($A32,subQ,MATCH(AF$1,SUBQH,0),0),"")</f>
        <v/>
      </c>
      <c r="AG32" s="20">
        <f>IFERROR(VLOOKUP($A32,subQ,MATCH(AG$1,SUBQH,0),0),"")</f>
        <v/>
      </c>
    </row>
    <row r="33">
      <c r="A33" s="12" t="inlineStr">
        <is>
          <t>영업활동현금흐름</t>
        </is>
      </c>
      <c r="D33" t="inlineStr">
        <is>
          <t>영업활동현금흐름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18">
        <f>IFERROR(VLOOKUP($A33,subQ,MATCH(S$1,SUBQH,0),0),"")</f>
        <v/>
      </c>
      <c r="T33" s="18">
        <f>IFERROR(VLOOKUP($A33,subQ,MATCH(T$1,SUBQH,0),0),"")</f>
        <v/>
      </c>
      <c r="U33" s="18">
        <f>IFERROR(VLOOKUP($A33,subQ,MATCH(U$1,SUBQH,0),0),"")</f>
        <v/>
      </c>
      <c r="V33" s="18">
        <f>IFERROR(VLOOKUP($A33,subQ,MATCH(V$1,SUBQH,0),0),"")</f>
        <v/>
      </c>
      <c r="W33" s="45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  <c r="AD33" s="20">
        <f>IFERROR(VLOOKUP($A33,subQ,MATCH(AD$1,SUBQH,0),0),"")</f>
        <v/>
      </c>
      <c r="AE33" s="20">
        <f>IFERROR(VLOOKUP($A33,subQ,MATCH(AE$1,SUBQH,0),0),"")</f>
        <v/>
      </c>
      <c r="AF33" s="20">
        <f>IFERROR(VLOOKUP($A33,subQ,MATCH(AF$1,SUBQH,0),0),"")</f>
        <v/>
      </c>
      <c r="AG33" s="20">
        <f>IFERROR(VLOOKUP($A33,subQ,MATCH(AG$1,SUBQH,0),0),"")</f>
        <v/>
      </c>
    </row>
    <row r="34">
      <c r="A34" s="12" t="inlineStr">
        <is>
          <t>주식수</t>
        </is>
      </c>
      <c r="D34" t="inlineStr">
        <is>
          <t>유통주식수</t>
        </is>
      </c>
      <c r="E34" s="27">
        <f>IFERROR(VLOOKUP($A34,subQ,MATCH(E$1,SUBQH,0),0),"")</f>
        <v/>
      </c>
      <c r="F34" s="27">
        <f>IFERROR(VLOOKUP($A34,subQ,MATCH(F$1,SUBQH,0),0),"")</f>
        <v/>
      </c>
      <c r="G34" s="27">
        <f>IFERROR(VLOOKUP($A34,subQ,MATCH(G$1,SUBQH,0),0),"")</f>
        <v/>
      </c>
      <c r="H34" s="27">
        <f>IFERROR(VLOOKUP($A34,subQ,MATCH(H$1,SUBQH,0),0),"")</f>
        <v/>
      </c>
      <c r="I34" s="27">
        <f>IFERROR(VLOOKUP($A34,subQ,MATCH(I$1,SUBQH,0),0),"")</f>
        <v/>
      </c>
      <c r="J34" s="27">
        <f>IFERROR(VLOOKUP($A34,subQ,MATCH(J$1,SUBQH,0),0),"")</f>
        <v/>
      </c>
      <c r="K34" s="27">
        <f>IFERROR(VLOOKUP($A34,subQ,MATCH(K$1,SUBQH,0),0),"")</f>
        <v/>
      </c>
      <c r="L34" s="27">
        <f>IFERROR(VLOOKUP($A34,subQ,MATCH(L$1,SUBQH,0),0),"")</f>
        <v/>
      </c>
      <c r="M34" s="27">
        <f>IFERROR(VLOOKUP($A34,subQ,MATCH(M$1,SUBQH,0),0),"")</f>
        <v/>
      </c>
      <c r="N34" s="27">
        <f>IFERROR(VLOOKUP($A34,subQ,MATCH(N$1,SUBQH,0),0),"")</f>
        <v/>
      </c>
      <c r="O34" s="27">
        <f>IFERROR(VLOOKUP($A34,subQ,MATCH(O$1,SUBQH,0),0),"")</f>
        <v/>
      </c>
      <c r="P34" s="27">
        <f>IFERROR(VLOOKUP($A34,subQ,MATCH(P$1,SUBQH,0),0),"")</f>
        <v/>
      </c>
      <c r="Q34" s="27">
        <f>IFERROR(VLOOKUP($A34,subQ,MATCH(Q$1,SUBQH,0),0),"")</f>
        <v/>
      </c>
      <c r="R34" s="27">
        <f>IFERROR(VLOOKUP($A34,subQ,MATCH(R$1,SUBQH,0),0),"")</f>
        <v/>
      </c>
      <c r="S34" s="27">
        <f>IFERROR(VLOOKUP($A34,subQ,MATCH(S$1,SUBQH,0),0),"")</f>
        <v/>
      </c>
      <c r="T34" s="27">
        <f>IFERROR(VLOOKUP($A34,subQ,MATCH(T$1,SUBQH,0),0),"")</f>
        <v/>
      </c>
      <c r="U34" s="27">
        <f>IFERROR(VLOOKUP($A34,subQ,MATCH(U$1,SUBQH,0),0),"")</f>
        <v/>
      </c>
      <c r="V34" s="27">
        <f>IFERROR(VLOOKUP($A34,subQ,MATCH(V$1,SUBQH,0),0),"")</f>
        <v/>
      </c>
      <c r="W34" s="47">
        <f>IFERROR(VLOOKUP($A34,subQ,MATCH(W$1,SUBQH,0),0),"")</f>
        <v/>
      </c>
      <c r="X34" s="32">
        <f>IFERROR(VLOOKUP($A34,subQ,MATCH(X$1,SUBQH,0),0),"")</f>
        <v/>
      </c>
      <c r="Y34" s="32">
        <f>IFERROR(VLOOKUP($A34,subQ,MATCH(Y$1,SUBQH,0),0),"")</f>
        <v/>
      </c>
      <c r="Z34" s="32">
        <f>IFERROR(VLOOKUP($A34,subQ,MATCH(Z$1,SUBQH,0),0),"")</f>
        <v/>
      </c>
      <c r="AA34" s="32">
        <f>IFERROR(VLOOKUP($A34,subQ,MATCH(AA$1,SUBQH,0),0),"")</f>
        <v/>
      </c>
      <c r="AB34" s="32">
        <f>IFERROR(VLOOKUP($A34,subQ,MATCH(AB$1,SUBQH,0),0),"")</f>
        <v/>
      </c>
      <c r="AC34" s="32">
        <f>IFERROR(VLOOKUP($A34,subQ,MATCH(AC$1,SUBQH,0),0),"")</f>
        <v/>
      </c>
      <c r="AD34" s="32">
        <f>IFERROR(VLOOKUP($A34,subQ,MATCH(AD$1,SUBQH,0),0),"")</f>
        <v/>
      </c>
      <c r="AE34" s="32">
        <f>IFERROR(VLOOKUP($A34,subQ,MATCH(AE$1,SUBQH,0),0),"")</f>
        <v/>
      </c>
      <c r="AF34" s="32">
        <f>IFERROR(VLOOKUP($A34,subQ,MATCH(AF$1,SUBQH,0),0),"")</f>
        <v/>
      </c>
      <c r="AG34" s="32">
        <f>IFERROR(VLOOKUP($A34,subQ,MATCH(AG$1,SUBQH,0),0),"")</f>
        <v/>
      </c>
    </row>
    <row r="35">
      <c r="A35" s="12" t="inlineStr">
        <is>
          <t>EPS</t>
        </is>
      </c>
      <c r="D35" t="inlineStr">
        <is>
          <t>EPS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BPS</t>
        </is>
      </c>
      <c r="D36" t="inlineStr">
        <is>
          <t>BPS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18">
        <f>IFERROR(VLOOKUP($A36,subQ,MATCH(I$1,SUBQH,0),0),"")</f>
        <v/>
      </c>
      <c r="J36" s="18">
        <f>IFERROR(VLOOKUP($A36,subQ,MATCH(J$1,SUBQH,0),0),"")</f>
        <v/>
      </c>
      <c r="K36" s="18">
        <f>IFERROR(VLOOKUP($A36,subQ,MATCH(K$1,SUBQH,0),0),"")</f>
        <v/>
      </c>
      <c r="L36" s="18">
        <f>IFERROR(VLOOKUP($A36,subQ,MATCH(L$1,SUBQH,0),0),"")</f>
        <v/>
      </c>
      <c r="M36" s="18">
        <f>IFERROR(VLOOKUP($A36,subQ,MATCH(M$1,SUBQH,0),0),"")</f>
        <v/>
      </c>
      <c r="N36" s="18">
        <f>IFERROR(VLOOKUP($A36,subQ,MATCH(N$1,SUBQH,0),0),"")</f>
        <v/>
      </c>
      <c r="O36" s="18">
        <f>IFERROR(VLOOKUP($A36,subQ,MATCH(O$1,SUBQH,0),0),"")</f>
        <v/>
      </c>
      <c r="P36" s="18">
        <f>IFERROR(VLOOKUP($A36,subQ,MATCH(P$1,SUBQH,0),0),"")</f>
        <v/>
      </c>
      <c r="Q36" s="18">
        <f>IFERROR(VLOOKUP($A36,subQ,MATCH(Q$1,SUBQH,0),0),"")</f>
        <v/>
      </c>
      <c r="R36" s="18">
        <f>IFERROR(VLOOKUP($A36,subQ,MATCH(R$1,SUBQH,0),0),"")</f>
        <v/>
      </c>
      <c r="S36" s="18">
        <f>IFERROR(VLOOKUP($A36,subQ,MATCH(S$1,SUBQH,0),0),"")</f>
        <v/>
      </c>
      <c r="T36" s="18">
        <f>IFERROR(VLOOKUP($A36,subQ,MATCH(T$1,SUBQH,0),0),"")</f>
        <v/>
      </c>
      <c r="U36" s="18">
        <f>IFERROR(VLOOKUP($A36,subQ,MATCH(U$1,SUBQH,0),0),"")</f>
        <v/>
      </c>
      <c r="V36" s="18">
        <f>IFERROR(VLOOKUP($A36,subQ,MATCH(V$1,SUBQH,0),0),"")</f>
        <v/>
      </c>
      <c r="W36" s="45">
        <f>IFERROR(VLOOKUP($A36,subQ,MATCH(W$1,SUBQH,0),0),"")</f>
        <v/>
      </c>
      <c r="X36" s="20">
        <f>IFERROR(VLOOKUP($A36,subQ,MATCH(X$1,SUBQH,0),0),"")</f>
        <v/>
      </c>
      <c r="Y36" s="20">
        <f>IFERROR(VLOOKUP($A36,subQ,MATCH(Y$1,SUBQH,0),0),"")</f>
        <v/>
      </c>
      <c r="Z36" s="20">
        <f>IFERROR(VLOOKUP($A36,subQ,MATCH(Z$1,SUBQH,0),0),"")</f>
        <v/>
      </c>
      <c r="AA36" s="20">
        <f>IFERROR(VLOOKUP($A36,subQ,MATCH(AA$1,SUBQH,0),0),"")</f>
        <v/>
      </c>
      <c r="AB36" s="20">
        <f>IFERROR(VLOOKUP($A36,subQ,MATCH(AB$1,SUBQH,0),0),"")</f>
        <v/>
      </c>
      <c r="AC36" s="20">
        <f>IFERROR(VLOOKUP($A36,subQ,MATCH(AC$1,SUBQH,0),0),"")</f>
        <v/>
      </c>
      <c r="AD36" s="20">
        <f>IFERROR(VLOOKUP($A36,subQ,MATCH(AD$1,SUBQH,0),0),"")</f>
        <v/>
      </c>
      <c r="AE36" s="20">
        <f>IFERROR(VLOOKUP($A36,subQ,MATCH(AE$1,SUBQH,0),0),"")</f>
        <v/>
      </c>
      <c r="AF36" s="20">
        <f>IFERROR(VLOOKUP($A36,subQ,MATCH(AF$1,SUBQH,0),0),"")</f>
        <v/>
      </c>
      <c r="AG36" s="20">
        <f>IFERROR(VLOOKUP($A36,subQ,MATCH(AG$1,SUBQH,0),0),"")</f>
        <v/>
      </c>
    </row>
    <row r="37">
      <c r="A37" s="12" t="inlineStr">
        <is>
          <t>DPS</t>
        </is>
      </c>
      <c r="D37" t="inlineStr">
        <is>
          <t>DPS(보통주)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18">
        <f>IFERROR(VLOOKUP($A37,subQ,MATCH(S$1,SUBQH,0),0),"")</f>
        <v/>
      </c>
      <c r="T37" s="18">
        <f>IFERROR(VLOOKUP($A37,subQ,MATCH(T$1,SUBQH,0),0),"")</f>
        <v/>
      </c>
      <c r="U37" s="18">
        <f>IFERROR(VLOOKUP($A37,subQ,MATCH(U$1,SUBQH,0),0),"")</f>
        <v/>
      </c>
      <c r="V37" s="18">
        <f>IFERROR(VLOOKUP($A37,subQ,MATCH(V$1,SUBQH,0),0),"")</f>
        <v/>
      </c>
      <c r="W37" s="45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  <c r="AD37" s="20">
        <f>IFERROR(VLOOKUP($A37,subQ,MATCH(AD$1,SUBQH,0),0),"")</f>
        <v/>
      </c>
      <c r="AE37" s="20">
        <f>IFERROR(VLOOKUP($A37,subQ,MATCH(AE$1,SUBQH,0),0),"")</f>
        <v/>
      </c>
      <c r="AF37" s="20">
        <f>IFERROR(VLOOKUP($A37,subQ,MATCH(AF$1,SUBQH,0),0),"")</f>
        <v/>
      </c>
      <c r="AG37" s="20">
        <f>IFERROR(VLOOKUP($A37,subQ,MATCH(AG$1,SUBQH,0),0),"")</f>
        <v/>
      </c>
    </row>
    <row r="38">
      <c r="A38" s="12" t="inlineStr">
        <is>
          <t>PER</t>
        </is>
      </c>
      <c r="D38" t="inlineStr">
        <is>
          <t>PER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13">
        <f>IFERROR(VLOOKUP($A38,subQ,MATCH(I$1,SUBQH,0),0),"")</f>
        <v/>
      </c>
      <c r="J38" s="13">
        <f>IFERROR(VLOOKUP($A38,subQ,MATCH(J$1,SUBQH,0),0),"")</f>
        <v/>
      </c>
      <c r="K38" s="13">
        <f>IFERROR(VLOOKUP($A38,subQ,MATCH(K$1,SUBQH,0),0),"")</f>
        <v/>
      </c>
      <c r="L38" s="13">
        <f>IFERROR(VLOOKUP($A38,subQ,MATCH(L$1,SUBQH,0),0),"")</f>
        <v/>
      </c>
      <c r="M38" s="13">
        <f>IFERROR(VLOOKUP($A38,subQ,MATCH(M$1,SUBQH,0),0),"")</f>
        <v/>
      </c>
      <c r="N38" s="13">
        <f>IFERROR(VLOOKUP($A38,subQ,MATCH(N$1,SUBQH,0),0),"")</f>
        <v/>
      </c>
      <c r="O38" s="13">
        <f>IFERROR(VLOOKUP($A38,subQ,MATCH(O$1,SUBQH,0),0),"")</f>
        <v/>
      </c>
      <c r="P38" s="13">
        <f>IFERROR(VLOOKUP($A38,subQ,MATCH(P$1,SUBQH,0),0),"")</f>
        <v/>
      </c>
      <c r="Q38" s="13">
        <f>IFERROR(VLOOKUP($A38,subQ,MATCH(Q$1,SUBQH,0),0),"")</f>
        <v/>
      </c>
      <c r="R38" s="13">
        <f>IFERROR(VLOOKUP($A38,subQ,MATCH(R$1,SUBQH,0),0),"")</f>
        <v/>
      </c>
      <c r="S38" s="13">
        <f>IFERROR(VLOOKUP($A38,subQ,MATCH(S$1,SUBQH,0),0),"")</f>
        <v/>
      </c>
      <c r="T38" s="13">
        <f>IFERROR(VLOOKUP($A38,subQ,MATCH(T$1,SUBQH,0),0),"")</f>
        <v/>
      </c>
      <c r="U38" s="13">
        <f>IFERROR(VLOOKUP($A38,subQ,MATCH(U$1,SUBQH,0),0),"")</f>
        <v/>
      </c>
      <c r="V38" s="13">
        <f>IFERROR(VLOOKUP($A38,subQ,MATCH(V$1,SUBQH,0),0),"")</f>
        <v/>
      </c>
      <c r="W38" s="48">
        <f>IFERROR(VLOOKUP($A38,subQ,MATCH(W$1,SUBQH,0),0),"")</f>
        <v/>
      </c>
      <c r="X38" s="39">
        <f>IFERROR(VLOOKUP($A38,subQ,MATCH(X$1,SUBQH,0),0),"")</f>
        <v/>
      </c>
      <c r="Y38" s="39">
        <f>IFERROR(VLOOKUP($A38,subQ,MATCH(Y$1,SUBQH,0),0),"")</f>
        <v/>
      </c>
      <c r="Z38" s="39">
        <f>IFERROR(VLOOKUP($A38,subQ,MATCH(Z$1,SUBQH,0),0),"")</f>
        <v/>
      </c>
      <c r="AA38" s="39">
        <f>IFERROR(VLOOKUP($A38,subQ,MATCH(AA$1,SUBQH,0),0),"")</f>
        <v/>
      </c>
      <c r="AB38" s="39">
        <f>IFERROR(VLOOKUP($A38,subQ,MATCH(AB$1,SUBQH,0),0),"")</f>
        <v/>
      </c>
      <c r="AC38" s="39">
        <f>IFERROR(VLOOKUP($A38,subQ,MATCH(AC$1,SUBQH,0),0),"")</f>
        <v/>
      </c>
      <c r="AD38" s="39">
        <f>IFERROR(VLOOKUP($A38,subQ,MATCH(AD$1,SUBQH,0),0),"")</f>
        <v/>
      </c>
      <c r="AE38" s="39">
        <f>IFERROR(VLOOKUP($A38,subQ,MATCH(AE$1,SUBQH,0),0),"")</f>
        <v/>
      </c>
      <c r="AF38" s="39">
        <f>IFERROR(VLOOKUP($A38,subQ,MATCH(AF$1,SUBQH,0),0),"")</f>
        <v/>
      </c>
      <c r="AG38" s="39">
        <f>IFERROR(VLOOKUP($A38,subQ,MATCH(AG$1,SUBQH,0),0),"")</f>
        <v/>
      </c>
    </row>
    <row r="39">
      <c r="A39" s="12" t="inlineStr">
        <is>
          <t>PBR</t>
        </is>
      </c>
      <c r="D39" t="inlineStr">
        <is>
          <t>PBR</t>
        </is>
      </c>
      <c r="E39" s="13">
        <f>IFERROR(VLOOKUP($A39,subQ,MATCH(E$1,SUBQH,0),0),"")</f>
        <v/>
      </c>
      <c r="F39" s="13">
        <f>IFERROR(VLOOKUP($A39,subQ,MATCH(F$1,SUBQH,0),0),"")</f>
        <v/>
      </c>
      <c r="G39" s="13">
        <f>IFERROR(VLOOKUP($A39,subQ,MATCH(G$1,SUBQH,0),0),"")</f>
        <v/>
      </c>
      <c r="H39" s="13">
        <f>IFERROR(VLOOKUP($A39,subQ,MATCH(H$1,SUBQH,0),0),"")</f>
        <v/>
      </c>
      <c r="I39" s="13">
        <f>IFERROR(VLOOKUP($A39,subQ,MATCH(I$1,SUBQH,0),0),"")</f>
        <v/>
      </c>
      <c r="J39" s="13">
        <f>IFERROR(VLOOKUP($A39,subQ,MATCH(J$1,SUBQH,0),0),"")</f>
        <v/>
      </c>
      <c r="K39" s="13">
        <f>IFERROR(VLOOKUP($A39,subQ,MATCH(K$1,SUBQH,0),0),"")</f>
        <v/>
      </c>
      <c r="L39" s="13">
        <f>IFERROR(VLOOKUP($A39,subQ,MATCH(L$1,SUBQH,0),0),"")</f>
        <v/>
      </c>
      <c r="M39" s="13">
        <f>IFERROR(VLOOKUP($A39,subQ,MATCH(M$1,SUBQH,0),0),"")</f>
        <v/>
      </c>
      <c r="N39" s="13">
        <f>IFERROR(VLOOKUP($A39,subQ,MATCH(N$1,SUBQH,0),0),"")</f>
        <v/>
      </c>
      <c r="O39" s="13">
        <f>IFERROR(VLOOKUP($A39,subQ,MATCH(O$1,SUBQH,0),0),"")</f>
        <v/>
      </c>
      <c r="P39" s="13">
        <f>IFERROR(VLOOKUP($A39,subQ,MATCH(P$1,SUBQH,0),0),"")</f>
        <v/>
      </c>
      <c r="Q39" s="13">
        <f>IFERROR(VLOOKUP($A39,subQ,MATCH(Q$1,SUBQH,0),0),"")</f>
        <v/>
      </c>
      <c r="R39" s="13">
        <f>IFERROR(VLOOKUP($A39,subQ,MATCH(R$1,SUBQH,0),0),"")</f>
        <v/>
      </c>
      <c r="S39" s="13">
        <f>IFERROR(VLOOKUP($A39,subQ,MATCH(S$1,SUBQH,0),0),"")</f>
        <v/>
      </c>
      <c r="T39" s="13">
        <f>IFERROR(VLOOKUP($A39,subQ,MATCH(T$1,SUBQH,0),0),"")</f>
        <v/>
      </c>
      <c r="U39" s="13">
        <f>IFERROR(VLOOKUP($A39,subQ,MATCH(U$1,SUBQH,0),0),"")</f>
        <v/>
      </c>
      <c r="V39" s="13">
        <f>IFERROR(VLOOKUP($A39,subQ,MATCH(V$1,SUBQH,0),0),"")</f>
        <v/>
      </c>
      <c r="W39" s="48">
        <f>IFERROR(VLOOKUP($A39,subQ,MATCH(W$1,SUBQH,0),0),"")</f>
        <v/>
      </c>
      <c r="X39" s="39">
        <f>IFERROR(VLOOKUP($A39,subQ,MATCH(X$1,SUBQH,0),0),"")</f>
        <v/>
      </c>
      <c r="Y39" s="39">
        <f>IFERROR(VLOOKUP($A39,subQ,MATCH(Y$1,SUBQH,0),0),"")</f>
        <v/>
      </c>
      <c r="Z39" s="39">
        <f>IFERROR(VLOOKUP($A39,subQ,MATCH(Z$1,SUBQH,0),0),"")</f>
        <v/>
      </c>
      <c r="AA39" s="39">
        <f>IFERROR(VLOOKUP($A39,subQ,MATCH(AA$1,SUBQH,0),0),"")</f>
        <v/>
      </c>
      <c r="AB39" s="39">
        <f>IFERROR(VLOOKUP($A39,subQ,MATCH(AB$1,SUBQH,0),0),"")</f>
        <v/>
      </c>
      <c r="AC39" s="39">
        <f>IFERROR(VLOOKUP($A39,subQ,MATCH(AC$1,SUBQH,0),0),"")</f>
        <v/>
      </c>
      <c r="AD39" s="39">
        <f>IFERROR(VLOOKUP($A39,subQ,MATCH(AD$1,SUBQH,0),0),"")</f>
        <v/>
      </c>
      <c r="AE39" s="39">
        <f>IFERROR(VLOOKUP($A39,subQ,MATCH(AE$1,SUBQH,0),0),"")</f>
        <v/>
      </c>
      <c r="AF39" s="39">
        <f>IFERROR(VLOOKUP($A39,subQ,MATCH(AF$1,SUBQH,0),0),"")</f>
        <v/>
      </c>
      <c r="AG39" s="39">
        <f>IFERROR(VLOOKUP($A39,subQ,MATCH(AG$1,SUBQH,0),0),"")</f>
        <v/>
      </c>
    </row>
    <row r="40">
      <c r="A40" s="12" t="inlineStr">
        <is>
          <t>매출전사</t>
        </is>
      </c>
      <c r="D40" t="inlineStr">
        <is>
          <t>매출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18">
        <f>IFERROR(VLOOKUP($A40,subQ,MATCH(I$1,SUBQH,0),0),"")</f>
        <v/>
      </c>
      <c r="J40" s="18">
        <f>IFERROR(VLOOKUP($A40,subQ,MATCH(J$1,SUBQH,0),0),"")</f>
        <v/>
      </c>
      <c r="K40" s="18">
        <f>IFERROR(VLOOKUP($A40,subQ,MATCH(K$1,SUBQH,0),0),"")</f>
        <v/>
      </c>
      <c r="L40" s="18">
        <f>IFERROR(VLOOKUP($A40,subQ,MATCH(L$1,SUBQH,0),0),"")</f>
        <v/>
      </c>
      <c r="M40" s="18">
        <f>IFERROR(VLOOKUP($A40,subQ,MATCH(M$1,SUBQH,0),0),"")</f>
        <v/>
      </c>
      <c r="N40" s="18">
        <f>IFERROR(VLOOKUP($A40,subQ,MATCH(N$1,SUBQH,0),0),"")</f>
        <v/>
      </c>
      <c r="O40" s="18">
        <f>IFERROR(VLOOKUP($A40,subQ,MATCH(O$1,SUBQH,0),0),"")</f>
        <v/>
      </c>
      <c r="P40" s="18">
        <f>IFERROR(VLOOKUP($A40,subQ,MATCH(P$1,SUBQH,0),0),"")</f>
        <v/>
      </c>
      <c r="Q40" s="18">
        <f>IFERROR(VLOOKUP($A40,subQ,MATCH(Q$1,SUBQH,0),0),"")</f>
        <v/>
      </c>
      <c r="R40" s="18">
        <f>IFERROR(VLOOKUP($A40,subQ,MATCH(R$1,SUBQH,0),0),"")</f>
        <v/>
      </c>
      <c r="S40" s="18">
        <f>IFERROR(VLOOKUP($A40,subQ,MATCH(S$1,SUBQH,0),0),"")</f>
        <v/>
      </c>
      <c r="T40" s="18">
        <f>IFERROR(VLOOKUP($A40,subQ,MATCH(T$1,SUBQH,0),0),"")</f>
        <v/>
      </c>
      <c r="U40" s="18">
        <f>IFERROR(VLOOKUP($A40,subQ,MATCH(U$1,SUBQH,0),0),"")</f>
        <v/>
      </c>
      <c r="V40" s="18">
        <f>IFERROR(VLOOKUP($A40,subQ,MATCH(V$1,SUBQH,0),0),"")</f>
        <v/>
      </c>
      <c r="W40" s="45">
        <f>IFERROR(VLOOKUP($A40,subQ,MATCH(W$1,SUBQH,0),0),"")</f>
        <v/>
      </c>
      <c r="X40" s="20">
        <f>IFERROR(VLOOKUP($A40,subQ,MATCH(X$1,SUBQH,0),0),"")</f>
        <v/>
      </c>
      <c r="Y40" s="20">
        <f>IFERROR(VLOOKUP($A40,subQ,MATCH(Y$1,SUBQH,0),0),"")</f>
        <v/>
      </c>
      <c r="Z40" s="20">
        <f>IFERROR(VLOOKUP($A40,subQ,MATCH(Z$1,SUBQH,0),0),"")</f>
        <v/>
      </c>
      <c r="AA40" s="20">
        <f>IFERROR(VLOOKUP($A40,subQ,MATCH(AA$1,SUBQH,0),0),"")</f>
        <v/>
      </c>
      <c r="AB40" s="20">
        <f>IFERROR(VLOOKUP($A40,subQ,MATCH(AB$1,SUBQH,0),0),"")</f>
        <v/>
      </c>
      <c r="AC40" s="20">
        <f>IFERROR(VLOOKUP($A40,subQ,MATCH(AC$1,SUBQH,0),0),"")</f>
        <v/>
      </c>
      <c r="AD40" s="20">
        <f>IFERROR(VLOOKUP($A40,subQ,MATCH(AD$1,SUBQH,0),0),"")</f>
        <v/>
      </c>
      <c r="AE40" s="20">
        <f>IFERROR(VLOOKUP($A40,subQ,MATCH(AE$1,SUBQH,0),0),"")</f>
        <v/>
      </c>
      <c r="AF40" s="20">
        <f>IFERROR(VLOOKUP($A40,subQ,MATCH(AF$1,SUBQH,0),0),"")</f>
        <v/>
      </c>
      <c r="AG40" s="20">
        <f>IFERROR(VLOOKUP($A40,subQ,MATCH(AG$1,SUBQH,0),0),"")</f>
        <v/>
      </c>
    </row>
    <row r="41">
      <c r="A41" s="12" t="inlineStr">
        <is>
          <t>OP전사</t>
        </is>
      </c>
      <c r="D41" t="inlineStr">
        <is>
          <t>OP 전사(부문 미분리)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18">
        <f>IFERROR(VLOOKUP($A41,subQ,MATCH(I$1,SUBQH,0),0),"")</f>
        <v/>
      </c>
      <c r="J41" s="18">
        <f>IFERROR(VLOOKUP($A41,subQ,MATCH(J$1,SUBQH,0),0),"")</f>
        <v/>
      </c>
      <c r="K41" s="18">
        <f>IFERROR(VLOOKUP($A41,subQ,MATCH(K$1,SUBQH,0),0),"")</f>
        <v/>
      </c>
      <c r="L41" s="18">
        <f>IFERROR(VLOOKUP($A41,subQ,MATCH(L$1,SUBQH,0),0),"")</f>
        <v/>
      </c>
      <c r="M41" s="18">
        <f>IFERROR(VLOOKUP($A41,subQ,MATCH(M$1,SUBQH,0),0),"")</f>
        <v/>
      </c>
      <c r="N41" s="18">
        <f>IFERROR(VLOOKUP($A41,subQ,MATCH(N$1,SUBQH,0),0),"")</f>
        <v/>
      </c>
      <c r="O41" s="18">
        <f>IFERROR(VLOOKUP($A41,subQ,MATCH(O$1,SUBQH,0),0),"")</f>
        <v/>
      </c>
      <c r="P41" s="18">
        <f>IFERROR(VLOOKUP($A41,subQ,MATCH(P$1,SUBQH,0),0),"")</f>
        <v/>
      </c>
      <c r="Q41" s="18">
        <f>IFERROR(VLOOKUP($A41,subQ,MATCH(Q$1,SUBQH,0),0),"")</f>
        <v/>
      </c>
      <c r="R41" s="18">
        <f>IFERROR(VLOOKUP($A41,subQ,MATCH(R$1,SUBQH,0),0),"")</f>
        <v/>
      </c>
      <c r="S41" s="18">
        <f>IFERROR(VLOOKUP($A41,subQ,MATCH(S$1,SUBQH,0),0),"")</f>
        <v/>
      </c>
      <c r="T41" s="18">
        <f>IFERROR(VLOOKUP($A41,subQ,MATCH(T$1,SUBQH,0),0),"")</f>
        <v/>
      </c>
      <c r="U41" s="18">
        <f>IFERROR(VLOOKUP($A41,subQ,MATCH(U$1,SUBQH,0),0),"")</f>
        <v/>
      </c>
      <c r="V41" s="18">
        <f>IFERROR(VLOOKUP($A41,subQ,MATCH(V$1,SUBQH,0),0),"")</f>
        <v/>
      </c>
      <c r="W41" s="45">
        <f>IFERROR(VLOOKUP($A41,subQ,MATCH(W$1,SUBQH,0),0),"")</f>
        <v/>
      </c>
      <c r="X41" s="20">
        <f>IFERROR(VLOOKUP($A41,subQ,MATCH(X$1,SUBQH,0),0),"")</f>
        <v/>
      </c>
      <c r="Y41" s="20">
        <f>IFERROR(VLOOKUP($A41,subQ,MATCH(Y$1,SUBQH,0),0),"")</f>
        <v/>
      </c>
      <c r="Z41" s="20">
        <f>IFERROR(VLOOKUP($A41,subQ,MATCH(Z$1,SUBQH,0),0),"")</f>
        <v/>
      </c>
      <c r="AA41" s="20">
        <f>IFERROR(VLOOKUP($A41,subQ,MATCH(AA$1,SUBQH,0),0),"")</f>
        <v/>
      </c>
      <c r="AB41" s="20">
        <f>IFERROR(VLOOKUP($A41,subQ,MATCH(AB$1,SUBQH,0),0),"")</f>
        <v/>
      </c>
      <c r="AC41" s="20">
        <f>IFERROR(VLOOKUP($A41,subQ,MATCH(AC$1,SUBQH,0),0),"")</f>
        <v/>
      </c>
      <c r="AD41" s="20">
        <f>IFERROR(VLOOKUP($A41,subQ,MATCH(AD$1,SUBQH,0),0),"")</f>
        <v/>
      </c>
      <c r="AE41" s="20">
        <f>IFERROR(VLOOKUP($A41,subQ,MATCH(AE$1,SUBQH,0),0),"")</f>
        <v/>
      </c>
      <c r="AF41" s="20">
        <f>IFERROR(VLOOKUP($A41,subQ,MATCH(AF$1,SUBQH,0),0),"")</f>
        <v/>
      </c>
      <c r="AG41" s="20">
        <f>IFERROR(VLOOKUP($A41,subQ,MATCH(AG$1,SUBQH,0),0),"")</f>
        <v/>
      </c>
    </row>
    <row r="42">
      <c r="A42" s="12" t="inlineStr">
        <is>
          <t>NPM</t>
        </is>
      </c>
      <c r="D42" t="inlineStr">
        <is>
          <t>NPM</t>
        </is>
      </c>
      <c r="E42" s="21">
        <f>IFERROR(VLOOKUP($A42,subQ,MATCH(E$1,SUBQH,0),0),"")</f>
        <v/>
      </c>
      <c r="F42" s="21">
        <f>IFERROR(VLOOKUP($A42,subQ,MATCH(F$1,SUBQH,0),0),"")</f>
        <v/>
      </c>
      <c r="G42" s="21">
        <f>IFERROR(VLOOKUP($A42,subQ,MATCH(G$1,SUBQH,0),0),"")</f>
        <v/>
      </c>
      <c r="H42" s="21">
        <f>IFERROR(VLOOKUP($A42,subQ,MATCH(H$1,SUBQH,0),0),"")</f>
        <v/>
      </c>
      <c r="I42" s="21">
        <f>IFERROR(VLOOKUP($A42,subQ,MATCH(I$1,SUBQH,0),0),"")</f>
        <v/>
      </c>
      <c r="J42" s="21">
        <f>IFERROR(VLOOKUP($A42,subQ,MATCH(J$1,SUBQH,0),0),"")</f>
        <v/>
      </c>
      <c r="K42" s="21">
        <f>IFERROR(VLOOKUP($A42,subQ,MATCH(K$1,SUBQH,0),0),"")</f>
        <v/>
      </c>
      <c r="L42" s="21">
        <f>IFERROR(VLOOKUP($A42,subQ,MATCH(L$1,SUBQH,0),0),"")</f>
        <v/>
      </c>
      <c r="M42" s="21">
        <f>IFERROR(VLOOKUP($A42,subQ,MATCH(M$1,SUBQH,0),0),"")</f>
        <v/>
      </c>
      <c r="N42" s="21">
        <f>IFERROR(VLOOKUP($A42,subQ,MATCH(N$1,SUBQH,0),0),"")</f>
        <v/>
      </c>
      <c r="O42" s="21">
        <f>IFERROR(VLOOKUP($A42,subQ,MATCH(O$1,SUBQH,0),0),"")</f>
        <v/>
      </c>
      <c r="P42" s="21">
        <f>IFERROR(VLOOKUP($A42,subQ,MATCH(P$1,SUBQH,0),0),"")</f>
        <v/>
      </c>
      <c r="Q42" s="21">
        <f>IFERROR(VLOOKUP($A42,subQ,MATCH(Q$1,SUBQH,0),0),"")</f>
        <v/>
      </c>
      <c r="R42" s="21">
        <f>IFERROR(VLOOKUP($A42,subQ,MATCH(R$1,SUBQH,0),0),"")</f>
        <v/>
      </c>
      <c r="S42" s="21">
        <f>IFERROR(VLOOKUP($A42,subQ,MATCH(S$1,SUBQH,0),0),"")</f>
        <v/>
      </c>
      <c r="T42" s="21">
        <f>IFERROR(VLOOKUP($A42,subQ,MATCH(T$1,SUBQH,0),0),"")</f>
        <v/>
      </c>
      <c r="U42" s="21">
        <f>IFERROR(VLOOKUP($A42,subQ,MATCH(U$1,SUBQH,0),0),"")</f>
        <v/>
      </c>
      <c r="V42" s="21">
        <f>IFERROR(VLOOKUP($A42,subQ,MATCH(V$1,SUBQH,0),0),"")</f>
        <v/>
      </c>
      <c r="W42" s="46">
        <f>IFERROR(VLOOKUP($A42,subQ,MATCH(W$1,SUBQH,0),0),"")</f>
        <v/>
      </c>
      <c r="X42" s="33">
        <f>IFERROR(VLOOKUP($A42,subQ,MATCH(X$1,SUBQH,0),0),"")</f>
        <v/>
      </c>
      <c r="Y42" s="33">
        <f>IFERROR(VLOOKUP($A42,subQ,MATCH(Y$1,SUBQH,0),0),"")</f>
        <v/>
      </c>
      <c r="Z42" s="33">
        <f>IFERROR(VLOOKUP($A42,subQ,MATCH(Z$1,SUBQH,0),0),"")</f>
        <v/>
      </c>
      <c r="AA42" s="33">
        <f>IFERROR(VLOOKUP($A42,subQ,MATCH(AA$1,SUBQH,0),0),"")</f>
        <v/>
      </c>
      <c r="AB42" s="33">
        <f>IFERROR(VLOOKUP($A42,subQ,MATCH(AB$1,SUBQH,0),0),"")</f>
        <v/>
      </c>
      <c r="AC42" s="33">
        <f>IFERROR(VLOOKUP($A42,subQ,MATCH(AC$1,SUBQH,0),0),"")</f>
        <v/>
      </c>
      <c r="AD42" s="33">
        <f>IFERROR(VLOOKUP($A42,subQ,MATCH(AD$1,SUBQH,0),0),"")</f>
        <v/>
      </c>
      <c r="AE42" s="33">
        <f>IFERROR(VLOOKUP($A42,subQ,MATCH(AE$1,SUBQH,0),0),"")</f>
        <v/>
      </c>
      <c r="AF42" s="33">
        <f>IFERROR(VLOOKUP($A42,subQ,MATCH(AF$1,SUBQH,0),0),"")</f>
        <v/>
      </c>
      <c r="AG42" s="33">
        <f>IFERROR(VLOOKUP($A42,subQ,MATCH(AG$1,SUBQH,0),0),"")</f>
        <v/>
      </c>
    </row>
    <row r="43">
      <c r="A43" s="12" t="inlineStr">
        <is>
          <t>매출액 YoY</t>
        </is>
      </c>
      <c r="D43" t="inlineStr">
        <is>
          <t>매출액 YoY</t>
        </is>
      </c>
      <c r="I43" s="21">
        <f>IFERROR(I5/E5-1,"")</f>
        <v/>
      </c>
      <c r="J43" s="21">
        <f>IFERROR(J5/F5-1,"")</f>
        <v/>
      </c>
      <c r="K43" s="21">
        <f>IFERROR(K5/G5-1,"")</f>
        <v/>
      </c>
      <c r="L43" s="21">
        <f>IFERROR(L5/H5-1,"")</f>
        <v/>
      </c>
      <c r="M43" s="21">
        <f>IFERROR(M5/I5-1,"")</f>
        <v/>
      </c>
      <c r="N43" s="21">
        <f>IFERROR(N5/J5-1,"")</f>
        <v/>
      </c>
      <c r="O43" s="21">
        <f>IFERROR(O5/K5-1,"")</f>
        <v/>
      </c>
      <c r="P43" s="21">
        <f>IFERROR(P5/L5-1,"")</f>
        <v/>
      </c>
      <c r="Q43" s="21">
        <f>IFERROR(Q5/M5-1,"")</f>
        <v/>
      </c>
      <c r="R43" s="21">
        <f>IFERROR(R5/N5-1,"")</f>
        <v/>
      </c>
      <c r="S43" s="21">
        <f>IFERROR(S5/O5-1,"")</f>
        <v/>
      </c>
      <c r="T43" s="21">
        <f>IFERROR(T5/P5-1,"")</f>
        <v/>
      </c>
      <c r="U43" s="21">
        <f>IFERROR(U5/Q5-1,"")</f>
        <v/>
      </c>
      <c r="V43" s="21">
        <f>IFERROR(V5/R5-1,"")</f>
        <v/>
      </c>
      <c r="W43" s="46">
        <f>IFERROR(W5/S5-1,"")</f>
        <v/>
      </c>
      <c r="X43" s="33">
        <f>IFERROR(X5/T5-1,"")</f>
        <v/>
      </c>
      <c r="Y43" s="33">
        <f>IFERROR(Y5/U5-1,"")</f>
        <v/>
      </c>
      <c r="Z43" s="33">
        <f>IFERROR(Z5/V5-1,"")</f>
        <v/>
      </c>
      <c r="AA43" s="33">
        <f>IFERROR(AA5/W5-1,"")</f>
        <v/>
      </c>
      <c r="AB43" s="33">
        <f>IFERROR(AB5/X5-1,"")</f>
        <v/>
      </c>
      <c r="AC43" s="33">
        <f>IFERROR(AC5/Y5-1,"")</f>
        <v/>
      </c>
      <c r="AD43" s="33">
        <f>IFERROR(AD5/Z5-1,"")</f>
        <v/>
      </c>
      <c r="AE43" s="33">
        <f>IFERROR(AE5/AA5-1,"")</f>
        <v/>
      </c>
      <c r="AF43" s="33">
        <f>IFERROR(AF5/AB5-1,"")</f>
        <v/>
      </c>
      <c r="AG43" s="33">
        <f>IFERROR(AG5/AC5-1,"")</f>
        <v/>
      </c>
    </row>
    <row r="44">
      <c r="A44" s="12" t="inlineStr">
        <is>
          <t>영업이익 YoY</t>
        </is>
      </c>
      <c r="D44" t="inlineStr">
        <is>
          <t>영업이익 YoY</t>
        </is>
      </c>
      <c r="I44" s="21">
        <f>IFERROR(I9/E9-1,"")</f>
        <v/>
      </c>
      <c r="J44" s="21">
        <f>IFERROR(J9/F9-1,"")</f>
        <v/>
      </c>
      <c r="K44" s="21">
        <f>IFERROR(K9/G9-1,"")</f>
        <v/>
      </c>
      <c r="L44" s="21">
        <f>IFERROR(L9/H9-1,"")</f>
        <v/>
      </c>
      <c r="M44" s="21">
        <f>IFERROR(M9/I9-1,"")</f>
        <v/>
      </c>
      <c r="N44" s="21">
        <f>IFERROR(N9/J9-1,"")</f>
        <v/>
      </c>
      <c r="O44" s="21">
        <f>IFERROR(O9/K9-1,"")</f>
        <v/>
      </c>
      <c r="P44" s="21">
        <f>IFERROR(P9/L9-1,"")</f>
        <v/>
      </c>
      <c r="Q44" s="21">
        <f>IFERROR(Q9/M9-1,"")</f>
        <v/>
      </c>
      <c r="R44" s="21">
        <f>IFERROR(R9/N9-1,"")</f>
        <v/>
      </c>
      <c r="S44" s="21">
        <f>IFERROR(S9/O9-1,"")</f>
        <v/>
      </c>
      <c r="T44" s="21">
        <f>IFERROR(T9/P9-1,"")</f>
        <v/>
      </c>
      <c r="U44" s="21">
        <f>IFERROR(U9/Q9-1,"")</f>
        <v/>
      </c>
      <c r="V44" s="21">
        <f>IFERROR(V9/R9-1,"")</f>
        <v/>
      </c>
      <c r="W44" s="46">
        <f>IFERROR(W9/S9-1,"")</f>
        <v/>
      </c>
      <c r="X44" s="33">
        <f>IFERROR(X9/T9-1,"")</f>
        <v/>
      </c>
      <c r="Y44" s="33">
        <f>IFERROR(Y9/U9-1,"")</f>
        <v/>
      </c>
      <c r="Z44" s="33">
        <f>IFERROR(Z9/V9-1,"")</f>
        <v/>
      </c>
      <c r="AA44" s="33">
        <f>IFERROR(AA9/W9-1,"")</f>
        <v/>
      </c>
      <c r="AB44" s="33">
        <f>IFERROR(AB9/X9-1,"")</f>
        <v/>
      </c>
      <c r="AC44" s="33">
        <f>IFERROR(AC9/Y9-1,"")</f>
        <v/>
      </c>
      <c r="AD44" s="33">
        <f>IFERROR(AD9/Z9-1,"")</f>
        <v/>
      </c>
      <c r="AE44" s="33">
        <f>IFERROR(AE9/AA9-1,"")</f>
        <v/>
      </c>
      <c r="AF44" s="33">
        <f>IFERROR(AF9/AB9-1,"")</f>
        <v/>
      </c>
      <c r="AG44" s="33">
        <f>IFERROR(AG9/AC9-1,"")</f>
        <v/>
      </c>
    </row>
    <row r="45">
      <c r="A45" s="12" t="inlineStr">
        <is>
          <t>지배주주순이익 YoY</t>
        </is>
      </c>
      <c r="D45" t="inlineStr">
        <is>
          <t>지배주주순이익 YoY</t>
        </is>
      </c>
      <c r="I45" s="21">
        <f>IFERROR(I20/E20-1,"")</f>
        <v/>
      </c>
      <c r="J45" s="21">
        <f>IFERROR(J20/F20-1,"")</f>
        <v/>
      </c>
      <c r="K45" s="21">
        <f>IFERROR(K20/G20-1,"")</f>
        <v/>
      </c>
      <c r="L45" s="21">
        <f>IFERROR(L20/H20-1,"")</f>
        <v/>
      </c>
      <c r="M45" s="21">
        <f>IFERROR(M20/I20-1,"")</f>
        <v/>
      </c>
      <c r="N45" s="21">
        <f>IFERROR(N20/J20-1,"")</f>
        <v/>
      </c>
      <c r="O45" s="21">
        <f>IFERROR(O20/K20-1,"")</f>
        <v/>
      </c>
      <c r="P45" s="21">
        <f>IFERROR(P20/L20-1,"")</f>
        <v/>
      </c>
      <c r="Q45" s="21">
        <f>IFERROR(Q20/M20-1,"")</f>
        <v/>
      </c>
      <c r="R45" s="21">
        <f>IFERROR(R20/N20-1,"")</f>
        <v/>
      </c>
      <c r="S45" s="21">
        <f>IFERROR(S20/O20-1,"")</f>
        <v/>
      </c>
      <c r="T45" s="21">
        <f>IFERROR(T20/P20-1,"")</f>
        <v/>
      </c>
      <c r="U45" s="21">
        <f>IFERROR(U20/Q20-1,"")</f>
        <v/>
      </c>
      <c r="V45" s="21">
        <f>IFERROR(V20/R20-1,"")</f>
        <v/>
      </c>
      <c r="W45" s="46">
        <f>IFERROR(W20/S20-1,"")</f>
        <v/>
      </c>
      <c r="X45" s="33">
        <f>IFERROR(X20/T20-1,"")</f>
        <v/>
      </c>
      <c r="Y45" s="33">
        <f>IFERROR(Y20/U20-1,"")</f>
        <v/>
      </c>
      <c r="Z45" s="33">
        <f>IFERROR(Z20/V20-1,"")</f>
        <v/>
      </c>
      <c r="AA45" s="33">
        <f>IFERROR(AA20/W20-1,"")</f>
        <v/>
      </c>
      <c r="AB45" s="33">
        <f>IFERROR(AB20/X20-1,"")</f>
        <v/>
      </c>
      <c r="AC45" s="33">
        <f>IFERROR(AC20/Y20-1,"")</f>
        <v/>
      </c>
      <c r="AD45" s="33">
        <f>IFERROR(AD20/Z20-1,"")</f>
        <v/>
      </c>
      <c r="AE45" s="33">
        <f>IFERROR(AE20/AA20-1,"")</f>
        <v/>
      </c>
      <c r="AF45" s="33">
        <f>IFERROR(AF20/AB20-1,"")</f>
        <v/>
      </c>
      <c r="AG45" s="33">
        <f>IFERROR(AG20/AC20-1,"")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변수!D45</f>
        <v/>
      </c>
      <c r="I2" s="42" t="n"/>
    </row>
    <row r="3">
      <c r="C3" t="inlineStr">
        <is>
          <t>기준일:</t>
        </is>
      </c>
      <c r="D3" t="inlineStr">
        <is>
          <t>20261026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3">
        <f>IFERROR(VLOOKUP($A10,subQ,MATCH(J$1,SUBQH,0),0),"")</f>
        <v/>
      </c>
      <c r="K10" s="33">
        <f>IFERROR(VLOOKUP($A10,subQ,MATCH(K$1,SUBQH,0),0),"")</f>
        <v/>
      </c>
      <c r="L10" s="33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파생상품손익</t>
        </is>
      </c>
      <c r="D13" t="inlineStr">
        <is>
          <t>파생상품손익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기타금융손익</t>
        </is>
      </c>
      <c r="D14" t="inlineStr">
        <is>
          <t>기타금융손익(금융손익 잔차)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기타영업외손익</t>
        </is>
      </c>
      <c r="D15" t="inlineStr">
        <is>
          <t>기타영업외손익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지분법손익</t>
        </is>
      </c>
      <c r="D16" t="inlineStr">
        <is>
          <t>지분법손익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세전이익</t>
        </is>
      </c>
      <c r="D17" t="inlineStr">
        <is>
          <t>법인세비용차감전이익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법인세비용</t>
        </is>
      </c>
      <c r="D18" t="inlineStr">
        <is>
          <t>법인세비용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당기순이익</t>
        </is>
      </c>
      <c r="D19" t="inlineStr">
        <is>
          <t>당기순이익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지배주주순이익</t>
        </is>
      </c>
      <c r="D20" t="inlineStr">
        <is>
          <t>지배주주순이익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중단사업이익</t>
        </is>
      </c>
      <c r="D21" t="inlineStr">
        <is>
          <t>중단사업이익(실적만)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감가상각비</t>
        </is>
      </c>
      <c r="D22" t="inlineStr">
        <is>
          <t>감가상각비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EBITDA</t>
        </is>
      </c>
      <c r="D23" t="inlineStr">
        <is>
          <t>EBITDA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자산총계</t>
        </is>
      </c>
      <c r="D24" t="inlineStr">
        <is>
          <t>자산총계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부채총계</t>
        </is>
      </c>
      <c r="D25" t="inlineStr">
        <is>
          <t>부채총계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자본총계</t>
        </is>
      </c>
      <c r="D26" t="inlineStr">
        <is>
          <t>자본총계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지배주주지분</t>
        </is>
      </c>
      <c r="D27" t="inlineStr">
        <is>
          <t>지배주주지분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총차입금</t>
        </is>
      </c>
      <c r="D28" t="inlineStr">
        <is>
          <t>총차입금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45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  <c r="L28" s="20">
        <f>IFERROR(VLOOKUP($A28,subQ,MATCH(L$1,SUBQH,0),0),"")</f>
        <v/>
      </c>
    </row>
    <row r="29">
      <c r="A29" s="12" t="inlineStr">
        <is>
          <t>순차입금</t>
        </is>
      </c>
      <c r="D29" t="inlineStr">
        <is>
          <t>순차입금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이자발생자산</t>
        </is>
      </c>
      <c r="D30" t="inlineStr">
        <is>
          <t>이자발생자산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현금및현금성자산</t>
        </is>
      </c>
      <c r="D31" t="inlineStr">
        <is>
          <t>현금및현금성자산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CAPEX</t>
        </is>
      </c>
      <c r="D32" t="inlineStr">
        <is>
          <t>CAPEX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45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  <c r="L32" s="20">
        <f>IFERROR(VLOOKUP($A32,subQ,MATCH(L$1,SUBQH,0),0),"")</f>
        <v/>
      </c>
    </row>
    <row r="33">
      <c r="A33" s="12" t="inlineStr">
        <is>
          <t>영업활동현금흐름</t>
        </is>
      </c>
      <c r="D33" t="inlineStr">
        <is>
          <t>영업활동현금흐름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45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  <c r="L33" s="20">
        <f>IFERROR(VLOOKUP($A33,subQ,MATCH(L$1,SUBQH,0),0),"")</f>
        <v/>
      </c>
    </row>
    <row r="34">
      <c r="A34" s="12" t="inlineStr">
        <is>
          <t>주식수</t>
        </is>
      </c>
      <c r="D34" t="inlineStr">
        <is>
          <t>유통주식수</t>
        </is>
      </c>
      <c r="E34" s="27">
        <f>IFERROR(VLOOKUP($A34,subQ,MATCH(E$1,SUBQH,0),0),"")</f>
        <v/>
      </c>
      <c r="F34" s="27">
        <f>IFERROR(VLOOKUP($A34,subQ,MATCH(F$1,SUBQH,0),0),"")</f>
        <v/>
      </c>
      <c r="G34" s="27">
        <f>IFERROR(VLOOKUP($A34,subQ,MATCH(G$1,SUBQH,0),0),"")</f>
        <v/>
      </c>
      <c r="H34" s="27">
        <f>IFERROR(VLOOKUP($A34,subQ,MATCH(H$1,SUBQH,0),0),"")</f>
        <v/>
      </c>
      <c r="I34" s="47">
        <f>IFERROR(VLOOKUP($A34,subQ,MATCH(I$1,SUBQH,0),0),"")</f>
        <v/>
      </c>
      <c r="J34" s="32">
        <f>IFERROR(VLOOKUP($A34,subQ,MATCH(J$1,SUBQH,0),0),"")</f>
        <v/>
      </c>
      <c r="K34" s="32">
        <f>IFERROR(VLOOKUP($A34,subQ,MATCH(K$1,SUBQH,0),0),"")</f>
        <v/>
      </c>
      <c r="L34" s="32">
        <f>IFERROR(VLOOKUP($A34,subQ,MATCH(L$1,SUBQH,0),0),"")</f>
        <v/>
      </c>
    </row>
    <row r="35">
      <c r="A35" s="12" t="inlineStr">
        <is>
          <t>EPS</t>
        </is>
      </c>
      <c r="D35" t="inlineStr">
        <is>
          <t>EPS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BPS</t>
        </is>
      </c>
      <c r="D36" t="inlineStr">
        <is>
          <t>BPS</t>
        </is>
      </c>
      <c r="E36" s="18">
        <f>IFERROR(VLOOKUP($A36,subQ,MATCH(E$1,SUBQH,0),0),"")</f>
        <v/>
      </c>
      <c r="F36" s="18">
        <f>IFERROR(VLOOKUP($A36,subQ,MATCH(F$1,SUBQH,0),0),"")</f>
        <v/>
      </c>
      <c r="G36" s="18">
        <f>IFERROR(VLOOKUP($A36,subQ,MATCH(G$1,SUBQH,0),0),"")</f>
        <v/>
      </c>
      <c r="H36" s="18">
        <f>IFERROR(VLOOKUP($A36,subQ,MATCH(H$1,SUBQH,0),0),"")</f>
        <v/>
      </c>
      <c r="I36" s="45">
        <f>IFERROR(VLOOKUP($A36,subQ,MATCH(I$1,SUBQH,0),0),"")</f>
        <v/>
      </c>
      <c r="J36" s="20">
        <f>IFERROR(VLOOKUP($A36,subQ,MATCH(J$1,SUBQH,0),0),"")</f>
        <v/>
      </c>
      <c r="K36" s="20">
        <f>IFERROR(VLOOKUP($A36,subQ,MATCH(K$1,SUBQH,0),0),"")</f>
        <v/>
      </c>
      <c r="L36" s="20">
        <f>IFERROR(VLOOKUP($A36,subQ,MATCH(L$1,SUBQH,0),0),"")</f>
        <v/>
      </c>
    </row>
    <row r="37">
      <c r="A37" s="12" t="inlineStr">
        <is>
          <t>DPS</t>
        </is>
      </c>
      <c r="D37" t="inlineStr">
        <is>
          <t>DPS(보통주)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45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  <c r="L37" s="20">
        <f>IFERROR(VLOOKUP($A37,subQ,MATCH(L$1,SUBQH,0),0),"")</f>
        <v/>
      </c>
    </row>
    <row r="38">
      <c r="A38" s="12" t="inlineStr">
        <is>
          <t>PER</t>
        </is>
      </c>
      <c r="D38" t="inlineStr">
        <is>
          <t>PER</t>
        </is>
      </c>
      <c r="E38" s="13">
        <f>IFERROR(VLOOKUP($A38,subQ,MATCH(E$1,SUBQH,0),0),"")</f>
        <v/>
      </c>
      <c r="F38" s="13">
        <f>IFERROR(VLOOKUP($A38,subQ,MATCH(F$1,SUBQH,0),0),"")</f>
        <v/>
      </c>
      <c r="G38" s="13">
        <f>IFERROR(VLOOKUP($A38,subQ,MATCH(G$1,SUBQH,0),0),"")</f>
        <v/>
      </c>
      <c r="H38" s="13">
        <f>IFERROR(VLOOKUP($A38,subQ,MATCH(H$1,SUBQH,0),0),"")</f>
        <v/>
      </c>
      <c r="I38" s="48">
        <f>IFERROR(VLOOKUP($A38,subQ,MATCH(I$1,SUBQH,0),0),"")</f>
        <v/>
      </c>
      <c r="J38" s="39">
        <f>IFERROR(VLOOKUP($A38,subQ,MATCH(J$1,SUBQH,0),0),"")</f>
        <v/>
      </c>
      <c r="K38" s="39">
        <f>IFERROR(VLOOKUP($A38,subQ,MATCH(K$1,SUBQH,0),0),"")</f>
        <v/>
      </c>
      <c r="L38" s="39">
        <f>IFERROR(VLOOKUP($A38,subQ,MATCH(L$1,SUBQH,0),0),"")</f>
        <v/>
      </c>
    </row>
    <row r="39">
      <c r="A39" s="12" t="inlineStr">
        <is>
          <t>PBR</t>
        </is>
      </c>
      <c r="D39" t="inlineStr">
        <is>
          <t>PBR</t>
        </is>
      </c>
      <c r="E39" s="13">
        <f>IFERROR(VLOOKUP($A39,subQ,MATCH(E$1,SUBQH,0),0),"")</f>
        <v/>
      </c>
      <c r="F39" s="13">
        <f>IFERROR(VLOOKUP($A39,subQ,MATCH(F$1,SUBQH,0),0),"")</f>
        <v/>
      </c>
      <c r="G39" s="13">
        <f>IFERROR(VLOOKUP($A39,subQ,MATCH(G$1,SUBQH,0),0),"")</f>
        <v/>
      </c>
      <c r="H39" s="13">
        <f>IFERROR(VLOOKUP($A39,subQ,MATCH(H$1,SUBQH,0),0),"")</f>
        <v/>
      </c>
      <c r="I39" s="48">
        <f>IFERROR(VLOOKUP($A39,subQ,MATCH(I$1,SUBQH,0),0),"")</f>
        <v/>
      </c>
      <c r="J39" s="39">
        <f>IFERROR(VLOOKUP($A39,subQ,MATCH(J$1,SUBQH,0),0),"")</f>
        <v/>
      </c>
      <c r="K39" s="39">
        <f>IFERROR(VLOOKUP($A39,subQ,MATCH(K$1,SUBQH,0),0),"")</f>
        <v/>
      </c>
      <c r="L39" s="39">
        <f>IFERROR(VLOOKUP($A39,subQ,MATCH(L$1,SUBQH,0),0),"")</f>
        <v/>
      </c>
    </row>
    <row r="40">
      <c r="A40" s="12" t="inlineStr">
        <is>
          <t>매출전사</t>
        </is>
      </c>
      <c r="D40" t="inlineStr">
        <is>
          <t>매출 전사(부문 미분리)</t>
        </is>
      </c>
      <c r="E40" s="18">
        <f>IFERROR(VLOOKUP($A40,subQ,MATCH(E$1,SUBQH,0),0),"")</f>
        <v/>
      </c>
      <c r="F40" s="18">
        <f>IFERROR(VLOOKUP($A40,subQ,MATCH(F$1,SUBQH,0),0),"")</f>
        <v/>
      </c>
      <c r="G40" s="18">
        <f>IFERROR(VLOOKUP($A40,subQ,MATCH(G$1,SUBQH,0),0),"")</f>
        <v/>
      </c>
      <c r="H40" s="18">
        <f>IFERROR(VLOOKUP($A40,subQ,MATCH(H$1,SUBQH,0),0),"")</f>
        <v/>
      </c>
      <c r="I40" s="45">
        <f>IFERROR(VLOOKUP($A40,subQ,MATCH(I$1,SUBQH,0),0),"")</f>
        <v/>
      </c>
      <c r="J40" s="20">
        <f>IFERROR(VLOOKUP($A40,subQ,MATCH(J$1,SUBQH,0),0),"")</f>
        <v/>
      </c>
      <c r="K40" s="20">
        <f>IFERROR(VLOOKUP($A40,subQ,MATCH(K$1,SUBQH,0),0),"")</f>
        <v/>
      </c>
      <c r="L40" s="20">
        <f>IFERROR(VLOOKUP($A40,subQ,MATCH(L$1,SUBQH,0),0),"")</f>
        <v/>
      </c>
    </row>
    <row r="41">
      <c r="A41" s="12" t="inlineStr">
        <is>
          <t>OP전사</t>
        </is>
      </c>
      <c r="D41" t="inlineStr">
        <is>
          <t>OP 전사(부문 미분리)</t>
        </is>
      </c>
      <c r="E41" s="18">
        <f>IFERROR(VLOOKUP($A41,subQ,MATCH(E$1,SUBQH,0),0),"")</f>
        <v/>
      </c>
      <c r="F41" s="18">
        <f>IFERROR(VLOOKUP($A41,subQ,MATCH(F$1,SUBQH,0),0),"")</f>
        <v/>
      </c>
      <c r="G41" s="18">
        <f>IFERROR(VLOOKUP($A41,subQ,MATCH(G$1,SUBQH,0),0),"")</f>
        <v/>
      </c>
      <c r="H41" s="18">
        <f>IFERROR(VLOOKUP($A41,subQ,MATCH(H$1,SUBQH,0),0),"")</f>
        <v/>
      </c>
      <c r="I41" s="45">
        <f>IFERROR(VLOOKUP($A41,subQ,MATCH(I$1,SUBQH,0),0),"")</f>
        <v/>
      </c>
      <c r="J41" s="20">
        <f>IFERROR(VLOOKUP($A41,subQ,MATCH(J$1,SUBQH,0),0),"")</f>
        <v/>
      </c>
      <c r="K41" s="20">
        <f>IFERROR(VLOOKUP($A41,subQ,MATCH(K$1,SUBQH,0),0),"")</f>
        <v/>
      </c>
      <c r="L41" s="20">
        <f>IFERROR(VLOOKUP($A41,subQ,MATCH(L$1,SUBQH,0),0),"")</f>
        <v/>
      </c>
    </row>
    <row r="42">
      <c r="A42" s="12" t="inlineStr">
        <is>
          <t>NPM</t>
        </is>
      </c>
      <c r="D42" t="inlineStr">
        <is>
          <t>NPM</t>
        </is>
      </c>
      <c r="E42" s="21">
        <f>IFERROR(VLOOKUP($A42,subQ,MATCH(E$1,SUBQH,0),0),"")</f>
        <v/>
      </c>
      <c r="F42" s="21">
        <f>IFERROR(VLOOKUP($A42,subQ,MATCH(F$1,SUBQH,0),0),"")</f>
        <v/>
      </c>
      <c r="G42" s="21">
        <f>IFERROR(VLOOKUP($A42,subQ,MATCH(G$1,SUBQH,0),0),"")</f>
        <v/>
      </c>
      <c r="H42" s="21">
        <f>IFERROR(VLOOKUP($A42,subQ,MATCH(H$1,SUBQH,0),0),"")</f>
        <v/>
      </c>
      <c r="I42" s="46">
        <f>IFERROR(VLOOKUP($A42,subQ,MATCH(I$1,SUBQH,0),0),"")</f>
        <v/>
      </c>
      <c r="J42" s="33">
        <f>IFERROR(VLOOKUP($A42,subQ,MATCH(J$1,SUBQH,0),0),"")</f>
        <v/>
      </c>
      <c r="K42" s="33">
        <f>IFERROR(VLOOKUP($A42,subQ,MATCH(K$1,SUBQH,0),0),"")</f>
        <v/>
      </c>
      <c r="L42" s="33">
        <f>IFERROR(VLOOKUP($A42,subQ,MATCH(L$1,SUBQH,0),0),"")</f>
        <v/>
      </c>
    </row>
    <row r="43">
      <c r="A43" s="12" t="inlineStr">
        <is>
          <t>매출액 YoY</t>
        </is>
      </c>
      <c r="D43" t="inlineStr">
        <is>
          <t>매출액 YoY</t>
        </is>
      </c>
      <c r="F43" s="21">
        <f>IFERROR(F5/E5-1,"")</f>
        <v/>
      </c>
      <c r="G43" s="21">
        <f>IFERROR(G5/F5-1,"")</f>
        <v/>
      </c>
      <c r="H43" s="21">
        <f>IFERROR(H5/G5-1,"")</f>
        <v/>
      </c>
      <c r="I43" s="46">
        <f>IFERROR(I5/H5-1,"")</f>
        <v/>
      </c>
      <c r="J43" s="33">
        <f>IFERROR(J5/I5-1,"")</f>
        <v/>
      </c>
      <c r="K43" s="33">
        <f>IFERROR(K5/J5-1,"")</f>
        <v/>
      </c>
      <c r="L43" s="33">
        <f>IFERROR(L5/K5-1,"")</f>
        <v/>
      </c>
    </row>
    <row r="44">
      <c r="A44" s="12" t="inlineStr">
        <is>
          <t>영업이익 YoY</t>
        </is>
      </c>
      <c r="D44" t="inlineStr">
        <is>
          <t>영업이익 YoY</t>
        </is>
      </c>
      <c r="F44" s="21">
        <f>IFERROR(F9/E9-1,"")</f>
        <v/>
      </c>
      <c r="G44" s="21">
        <f>IFERROR(G9/F9-1,"")</f>
        <v/>
      </c>
      <c r="H44" s="21">
        <f>IFERROR(H9/G9-1,"")</f>
        <v/>
      </c>
      <c r="I44" s="46">
        <f>IFERROR(I9/H9-1,"")</f>
        <v/>
      </c>
      <c r="J44" s="33">
        <f>IFERROR(J9/I9-1,"")</f>
        <v/>
      </c>
      <c r="K44" s="33">
        <f>IFERROR(K9/J9-1,"")</f>
        <v/>
      </c>
      <c r="L44" s="33">
        <f>IFERROR(L9/K9-1,"")</f>
        <v/>
      </c>
    </row>
    <row r="45">
      <c r="A45" s="12" t="inlineStr">
        <is>
          <t>지배주주순이익 YoY</t>
        </is>
      </c>
      <c r="D45" t="inlineStr">
        <is>
          <t>지배주주순이익 YoY</t>
        </is>
      </c>
      <c r="F45" s="21">
        <f>IFERROR(F20/E20-1,"")</f>
        <v/>
      </c>
      <c r="G45" s="21">
        <f>IFERROR(G20/F20-1,"")</f>
        <v/>
      </c>
      <c r="H45" s="21">
        <f>IFERROR(H20/G20-1,"")</f>
        <v/>
      </c>
      <c r="I45" s="46">
        <f>IFERROR(I20/H20-1,"")</f>
        <v/>
      </c>
      <c r="J45" s="33">
        <f>IFERROR(J20/I20-1,"")</f>
        <v/>
      </c>
      <c r="K45" s="33">
        <f>IFERROR(K20/J20-1,"")</f>
        <v/>
      </c>
      <c r="L45" s="33">
        <f>IFERROR(L20/K20-1,"")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변수!D45</f>
        <v/>
      </c>
    </row>
    <row r="2">
      <c r="B2" s="1" t="inlineStr">
        <is>
          <t>기준일</t>
        </is>
      </c>
      <c r="C2">
        <f>변수!D46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IFERROR(E7*변수!D51+F7*(1-변수!D51),"")</f>
        <v/>
      </c>
    </row>
    <row r="15">
      <c r="C15" t="inlineStr">
        <is>
          <t>적정가치 @PER_lo</t>
        </is>
      </c>
      <c r="D15" s="27">
        <f>변수!D48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변수!D49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변수!D50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변수!D47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665.3</v>
      </c>
    </row>
    <row r="30">
      <c r="C30" s="2" t="inlineStr">
        <is>
          <t>bps_latest</t>
        </is>
      </c>
      <c r="D30" t="n">
        <v>7776.4</v>
      </c>
    </row>
    <row r="31">
      <c r="C31" s="2" t="inlineStr">
        <is>
          <t>per_now</t>
        </is>
      </c>
      <c r="D31" t="n">
        <v>9.529999999999999</v>
      </c>
    </row>
    <row r="32">
      <c r="C32" s="2" t="inlineStr">
        <is>
          <t>pbr_now</t>
        </is>
      </c>
      <c r="D32" t="n">
        <v>0.82</v>
      </c>
    </row>
    <row r="33">
      <c r="C33" s="2" t="inlineStr">
        <is>
          <t>roe_fwd</t>
        </is>
      </c>
      <c r="D33" t="n">
        <v>0.0856</v>
      </c>
    </row>
    <row r="34">
      <c r="C34" s="2" t="inlineStr">
        <is>
          <t>fair_pbr</t>
        </is>
      </c>
      <c r="D34" t="n">
        <v>0.95</v>
      </c>
    </row>
    <row r="35">
      <c r="C35" s="2" t="inlineStr">
        <is>
          <t>fair_value_pbr</t>
        </is>
      </c>
      <c r="D35" t="n">
        <v>7400</v>
      </c>
    </row>
    <row r="36">
      <c r="C36" s="2" t="inlineStr">
        <is>
          <t>ev_ebitda</t>
        </is>
      </c>
      <c r="D36" t="n">
        <v>10.75</v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3">
        <f>IFERROR(X5/W5-1,"")</f>
        <v/>
      </c>
      <c r="Y6" s="33">
        <f>IFERROR(Y5/X5-1,"")</f>
        <v/>
      </c>
      <c r="Z6" s="33">
        <f>IFERROR(Z5/Y5-1,"")</f>
        <v/>
      </c>
      <c r="AA6" s="33">
        <f>IFERROR(AA5/Z5-1,"")</f>
        <v/>
      </c>
      <c r="AB6" s="33">
        <f>IFERROR(AB5/AA5-1,"")</f>
        <v/>
      </c>
      <c r="AC6" s="33">
        <f>IFERROR(AC5/AB5-1,"")</f>
        <v/>
      </c>
      <c r="AD6" s="33">
        <f>IFERROR(AD5/AC5-1,"")</f>
        <v/>
      </c>
      <c r="AE6" s="33">
        <f>IFERROR(AE5/AD5-1,"")</f>
        <v/>
      </c>
      <c r="AF6" s="33">
        <f>IFERROR(AF5/AE5-1,"")</f>
        <v/>
      </c>
      <c r="AG6" s="33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3">
        <f>IFERROR(X7/W7-1,"")</f>
        <v/>
      </c>
      <c r="Y8" s="33">
        <f>IFERROR(Y7/X7-1,"")</f>
        <v/>
      </c>
      <c r="Z8" s="33">
        <f>IFERROR(Z7/Y7-1,"")</f>
        <v/>
      </c>
      <c r="AA8" s="33">
        <f>IFERROR(AA7/Z7-1,"")</f>
        <v/>
      </c>
      <c r="AB8" s="33">
        <f>IFERROR(AB7/AA7-1,"")</f>
        <v/>
      </c>
      <c r="AC8" s="33">
        <f>IFERROR(AC7/AB7-1,"")</f>
        <v/>
      </c>
      <c r="AD8" s="33">
        <f>IFERROR(AD7/AC7-1,"")</f>
        <v/>
      </c>
      <c r="AE8" s="33">
        <f>IFERROR(AE7/AD7-1,"")</f>
        <v/>
      </c>
      <c r="AF8" s="33">
        <f>IFERROR(AF7/AE7-1,"")</f>
        <v/>
      </c>
      <c r="AG8" s="33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3">
        <f>IFERROR(X9/W9-1,"")</f>
        <v/>
      </c>
      <c r="Y10" s="33">
        <f>IFERROR(Y9/X9-1,"")</f>
        <v/>
      </c>
      <c r="Z10" s="33">
        <f>IFERROR(Z9/Y9-1,"")</f>
        <v/>
      </c>
      <c r="AA10" s="33">
        <f>IFERROR(AA9/Z9-1,"")</f>
        <v/>
      </c>
      <c r="AB10" s="33">
        <f>IFERROR(AB9/AA9-1,"")</f>
        <v/>
      </c>
      <c r="AC10" s="33">
        <f>IFERROR(AC9/AB9-1,"")</f>
        <v/>
      </c>
      <c r="AD10" s="33">
        <f>IFERROR(AD9/AC9-1,"")</f>
        <v/>
      </c>
      <c r="AE10" s="33">
        <f>IFERROR(AE9/AD9-1,"")</f>
        <v/>
      </c>
      <c r="AF10" s="33">
        <f>IFERROR(AF9/AE9-1,"")</f>
        <v/>
      </c>
      <c r="AG10" s="33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3">
        <f>IFERROR(X11/W11-1,"")</f>
        <v/>
      </c>
      <c r="Y12" s="33">
        <f>IFERROR(Y11/X11-1,"")</f>
        <v/>
      </c>
      <c r="Z12" s="33">
        <f>IFERROR(Z11/Y11-1,"")</f>
        <v/>
      </c>
      <c r="AA12" s="33">
        <f>IFERROR(AA11/Z11-1,"")</f>
        <v/>
      </c>
      <c r="AB12" s="33">
        <f>IFERROR(AB11/AA11-1,"")</f>
        <v/>
      </c>
      <c r="AC12" s="33">
        <f>IFERROR(AC11/AB11-1,"")</f>
        <v/>
      </c>
      <c r="AD12" s="33">
        <f>IFERROR(AD11/AC11-1,"")</f>
        <v/>
      </c>
      <c r="AE12" s="33">
        <f>IFERROR(AE11/AD11-1,"")</f>
        <v/>
      </c>
      <c r="AF12" s="33">
        <f>IFERROR(AF11/AE11-1,"")</f>
        <v/>
      </c>
      <c r="AG12" s="33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3">
        <f>IFERROR(X13/W13-1,"")</f>
        <v/>
      </c>
      <c r="Y14" s="33">
        <f>IFERROR(Y13/X13-1,"")</f>
        <v/>
      </c>
      <c r="Z14" s="33">
        <f>IFERROR(Z13/Y13-1,"")</f>
        <v/>
      </c>
      <c r="AA14" s="33">
        <f>IFERROR(AA13/Z13-1,"")</f>
        <v/>
      </c>
      <c r="AB14" s="33">
        <f>IFERROR(AB13/AA13-1,"")</f>
        <v/>
      </c>
      <c r="AC14" s="33">
        <f>IFERROR(AC13/AB13-1,"")</f>
        <v/>
      </c>
      <c r="AD14" s="33">
        <f>IFERROR(AD13/AC13-1,"")</f>
        <v/>
      </c>
      <c r="AE14" s="33">
        <f>IFERROR(AE13/AD13-1,"")</f>
        <v/>
      </c>
      <c r="AF14" s="33">
        <f>IFERROR(AF13/AE13-1,"")</f>
        <v/>
      </c>
      <c r="AG14" s="33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변수!D58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2026-10-26T00:00:00Z</dcterms:created>
  <dcterms:modified xsi:type="dcterms:W3CDTF">2026-10-26T00:00:00Z</dcterms:modified>
</cp:coreProperties>
</file>