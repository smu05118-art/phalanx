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BS연결!$C$5:$AO$122</definedName>
    <definedName name="BS별도H">BS별도!$C$1:$AO$1</definedName>
    <definedName name="BS별도">BS별도!$C$5:$AO$120</definedName>
    <definedName name="SUBQH">subQ!$A$1:$AO$1</definedName>
    <definedName name="subQ">subQ!$A$5:$AO$43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이동합(t−2) 117749억 × 비례계수 0.1284 × 계절비중 Q3 0.228(계절비중 — 최근 3개 연도(2026, 2025, 2024) 분기/연간 비중 평균; 격자 lag0~4×창8/12/19×수준·YoY·4Q합 중 최대 r=1.00, n=14, 창 19)</t>
      </text>
    </comment>
    <comment ref="AD21" authorId="0" shapeId="0">
      <text>
        <t>모델값 역산(implied): v / 전년동기 − 1
고객지수 4분기 이동합(t−2) 129632억 × 비례계수 0.1284 × 계절비중 Q4 0.288(계절비중 — 최근 3개 연도(2026, 2025, 2024) 분기/연간 비중 평균; 격자 lag0~4×창8/12/19×수준·YoY·4Q합 중 최대 r=1.00, n=14, 창 19)</t>
      </text>
    </comment>
    <comment ref="AF21" authorId="0" shapeId="0">
      <text>
        <t>모델값 역산(implied): v / 전년동기 − 1
고객지수 4분기 이동합(t−2) 138532억 × 비례계수 0.1284 × 계절비중 Q1 0.236(계절비중 — 최근 3개 연도(2026, 2025, 2024) 분기/연간 비중 평균; 격자 lag0~4×창8/12/19×수준·YoY·4Q합 중 최대 r=1.00, n=14, 창 19)</t>
      </text>
    </comment>
    <comment ref="AG21" authorId="0" shapeId="0">
      <text>
        <t>모델값 역산(implied): v / 전년동기 − 1
고객지수 4분기 이동합(t−2) 146392억 × 비례계수 0.1284 × 계절비중 Q2 0.247(계절비중 — 최근 3개 연도(2026, 2025, 2024) 분기/연간 비중 평균; 격자 lag0~4×창8/12/19×수준·YoY·4Q합 중 최대 r=1.00, n=14, 창 19)</t>
      </text>
    </comment>
    <comment ref="AH21" authorId="0" shapeId="0">
      <text>
        <t>모델값 역산(implied): v / 전년동기 − 1
고객지수 4분기 이동합(t−2) 154096억 × 비례계수 0.1284 × 계절비중 Q3 0.228(계절비중 — 최근 3개 연도(2026, 2025, 2024) 분기/연간 비중 평균; 격자 lag0~4×창8/12/19×수준·YoY·4Q합 중 최대 r=1.00, n=14, 창 19)</t>
      </text>
    </comment>
    <comment ref="AI21" authorId="0" shapeId="0">
      <text>
        <t>모델값 역산(implied): v / 전년동기 − 1
고객지수 4분기 이동합(t−2) 152288억 × 비례계수 0.1284 × 계절비중 Q4 0.288(계절비중 — 최근 3개 연도(2026, 2025, 2024) 분기/연간 비중 평균; 격자 lag0~4×창8/12/19×수준·YoY·4Q합 중 최대 r=1.00, n=14, 창 19)</t>
      </text>
    </comment>
    <comment ref="AK21" authorId="0" shapeId="0">
      <text>
        <t>모델값 역산(implied): v / 전년동기 − 1
고객지수 4분기 이동합(t−2) 156945억 × 비례계수 0.1284 × 계절비중 Q1 0.236(계절비중 — 최근 3개 연도(2026, 2025, 2024) 분기/연간 비중 평균; 격자 lag0~4×창8/12/19×수준·YoY·4Q합 중 최대 r=1.00, n=14, 창 19)</t>
      </text>
    </comment>
    <comment ref="AL21" authorId="0" shapeId="0">
      <text>
        <t>모델값 역산(implied): v / 전년동기 − 1
고객지수 4분기 이동합(t−2) 163284억 × 비례계수 0.1284 × 계절비중 Q2 0.247(계절비중 — 최근 3개 연도(2026, 2025, 2024) 분기/연간 비중 평균; 격자 lag0~4×창8/12/19×수준·YoY·4Q합 중 최대 r=1.00, n=14, 창 19)</t>
      </text>
    </comment>
    <comment ref="AM21" authorId="0" shapeId="0">
      <text>
        <t>모델값 역산(implied): v / 전년동기 − 1
고객지수 4분기 이동합(t−2) 171464억 × 비례계수 0.1284 × 계절비중 Q3 0.228(계절비중 — 최근 3개 연도(2026, 2025, 2024) 분기/연간 비중 평균; 격자 lag0~4×창8/12/19×수준·YoY·4Q합 중 최대 r=1.00, n=14, 창 19)</t>
      </text>
    </comment>
    <comment ref="AN21" authorId="0" shapeId="0">
      <text>
        <t>모델값 역산(implied): v / 전년동기 − 1
고객지수 4분기 이동합(t−2) 175328억 × 비례계수 0.1284 × 계절비중 Q4 0.288(계절비중 — 최근 3개 연도(2026, 2025, 2024) 분기/연간 비중 평균; 격자 lag0~4×창8/12/19×수준·YoY·4Q합 중 최대 r=1.00, n=14, 창 19)</t>
      </text>
    </comment>
    <comment ref="AC22" authorId="0" shapeId="0">
      <text>
        <t>3절 스칼라 '판관비율' 참조 — 숫자로 덮어쓰면 이 분기만 바뀐다
매출액 × 판관비율 4.58%(최근 4분기 중위)</t>
      </text>
    </comment>
    <comment ref="AD22" authorId="0" shapeId="0">
      <text>
        <t>3절 스칼라 '판관비율' 참조 — 숫자로 덮어쓰면 이 분기만 바뀐다
매출액 × 판관비율 4.58%(최근 4분기 중위)</t>
      </text>
    </comment>
    <comment ref="AF22" authorId="0" shapeId="0">
      <text>
        <t>3절 스칼라 '판관비율' 참조 — 숫자로 덮어쓰면 이 분기만 바뀐다
매출액 × 판관비율 4.58%(최근 4분기 중위)</t>
      </text>
    </comment>
    <comment ref="AG22" authorId="0" shapeId="0">
      <text>
        <t>3절 스칼라 '판관비율' 참조 — 숫자로 덮어쓰면 이 분기만 바뀐다
매출액 × 판관비율 4.58%(최근 4분기 중위)</t>
      </text>
    </comment>
    <comment ref="AH22" authorId="0" shapeId="0">
      <text>
        <t>3절 스칼라 '판관비율' 참조 — 숫자로 덮어쓰면 이 분기만 바뀐다
매출액 × 판관비율 4.58%(최근 4분기 중위)</t>
      </text>
    </comment>
    <comment ref="AI22" authorId="0" shapeId="0">
      <text>
        <t>3절 스칼라 '판관비율' 참조 — 숫자로 덮어쓰면 이 분기만 바뀐다
매출액 × 판관비율 4.58%(최근 4분기 중위)</t>
      </text>
    </comment>
    <comment ref="AK22" authorId="0" shapeId="0">
      <text>
        <t>3절 스칼라 '판관비율' 참조 — 숫자로 덮어쓰면 이 분기만 바뀐다
매출액 × 판관비율 4.58%(최근 4분기 중위)</t>
      </text>
    </comment>
    <comment ref="AL22" authorId="0" shapeId="0">
      <text>
        <t>3절 스칼라 '판관비율' 참조 — 숫자로 덮어쓰면 이 분기만 바뀐다
매출액 × 판관비율 4.58%(최근 4분기 중위)</t>
      </text>
    </comment>
    <comment ref="AM22" authorId="0" shapeId="0">
      <text>
        <t>3절 스칼라 '판관비율' 참조 — 숫자로 덮어쓰면 이 분기만 바뀐다
매출액 × 판관비율 4.58%(최근 4분기 중위)</t>
      </text>
    </comment>
    <comment ref="AN22" authorId="0" shapeId="0">
      <text>
        <t>3절 스칼라 '판관비율' 참조 — 숫자로 덮어쓰면 이 분기만 바뀐다
매출액 × 판관비율 4.58%(최근 4분기 중위)</t>
      </text>
    </comment>
    <comment ref="AC23" authorId="0" shapeId="0">
      <text>
        <t>모델값 역산(implied): v / 매출액
매출액 × OPM(최근 8분기 OPM 중위 8.8% 유지)</t>
      </text>
    </comment>
    <comment ref="AD23" authorId="0" shapeId="0">
      <text>
        <t>모델값 역산(implied): v / 매출액
매출액 × OPM(최근 8분기 OPM 중위 8.8% 유지)</t>
      </text>
    </comment>
    <comment ref="AF23" authorId="0" shapeId="0">
      <text>
        <t>모델값 역산(implied): v / 매출액
매출액 × OPM(최근 8분기 OPM 중위 8.8% 유지)</t>
      </text>
    </comment>
    <comment ref="AG23" authorId="0" shapeId="0">
      <text>
        <t>모델값 역산(implied): v / 매출액
매출액 × OPM(최근 8분기 OPM 중위 8.8% 유지)</t>
      </text>
    </comment>
    <comment ref="AH23" authorId="0" shapeId="0">
      <text>
        <t>모델값 역산(implied): v / 매출액
매출액 × OPM(최근 8분기 OPM 중위 8.8% 유지)</t>
      </text>
    </comment>
    <comment ref="AI23" authorId="0" shapeId="0">
      <text>
        <t>모델값 역산(implied): v / 매출액
매출액 × OPM(최근 8분기 OPM 중위 8.8% 유지)</t>
      </text>
    </comment>
    <comment ref="AK23" authorId="0" shapeId="0">
      <text>
        <t>모델값 역산(implied): v / 매출액
매출액 × OPM(최근 8분기 OPM 중위 8.8% 유지)</t>
      </text>
    </comment>
    <comment ref="AL23" authorId="0" shapeId="0">
      <text>
        <t>모델값 역산(implied): v / 매출액
매출액 × OPM(최근 8분기 OPM 중위 8.8% 유지)</t>
      </text>
    </comment>
    <comment ref="AM23" authorId="0" shapeId="0">
      <text>
        <t>모델값 역산(implied): v / 매출액
매출액 × OPM(최근 8분기 OPM 중위 8.8% 유지)</t>
      </text>
    </comment>
    <comment ref="AN23" authorId="0" shapeId="0">
      <text>
        <t>모델값 역산(implied): v / 매출액
매출액 × OPM(최근 8분기 OPM 중위 8.8%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 중위 +716.13억이 이자손익 추정 +24.97억의 50% 초과 → 0(경고)</t>
      </text>
    </comment>
    <comment ref="AD26" authorId="0" shapeId="0">
      <text>
        <t>모델값 역산(implied): 모델 v 그대로
최근 4분기 중위 +716.13억이 이자손익 추정 +24.97억의 50% 초과 → 0(경고)</t>
      </text>
    </comment>
    <comment ref="AF26" authorId="0" shapeId="0">
      <text>
        <t>모델값 역산(implied): 모델 v 그대로
최근 4분기 중위 +716.13억이 이자손익 추정 +24.97억의 50% 초과 → 0(경고)</t>
      </text>
    </comment>
    <comment ref="AG26" authorId="0" shapeId="0">
      <text>
        <t>모델값 역산(implied): 모델 v 그대로
최근 4분기 중위 +716.13억이 이자손익 추정 +24.97억의 50% 초과 → 0(경고)</t>
      </text>
    </comment>
    <comment ref="AH26" authorId="0" shapeId="0">
      <text>
        <t>모델값 역산(implied): 모델 v 그대로
최근 4분기 중위 +716.13억이 이자손익 추정 +24.97억의 50% 초과 → 0(경고)</t>
      </text>
    </comment>
    <comment ref="AI26" authorId="0" shapeId="0">
      <text>
        <t>모델값 역산(implied): 모델 v 그대로
최근 4분기 중위 +716.13억이 이자손익 추정 +24.97억의 50% 초과 → 0(경고)</t>
      </text>
    </comment>
    <comment ref="AK26" authorId="0" shapeId="0">
      <text>
        <t>모델값 역산(implied): 모델 v 그대로
최근 4분기 중위 +716.13억이 이자손익 추정 +24.97억의 50% 초과 → 0(경고)</t>
      </text>
    </comment>
    <comment ref="AL26" authorId="0" shapeId="0">
      <text>
        <t>모델값 역산(implied): 모델 v 그대로
최근 4분기 중위 +716.13억이 이자손익 추정 +24.97억의 50% 초과 → 0(경고)</t>
      </text>
    </comment>
    <comment ref="AM26" authorId="0" shapeId="0">
      <text>
        <t>모델값 역산(implied): 모델 v 그대로
최근 4분기 중위 +716.13억이 이자손익 추정 +24.97억의 50% 초과 → 0(경고)</t>
      </text>
    </comment>
    <comment ref="AN26" authorId="0" shapeId="0">
      <text>
        <t>모델값 역산(implied): 모델 v 그대로
최근 4분기 중위 +716.13억이 이자손익 추정 +24.97억의 50% 초과 → 0(경고)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D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F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G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H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I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K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L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M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N29" authorId="0" shapeId="0">
      <text>
        <t>3절 스칼라 '세율' 참조 — 숫자로 덮어쓰면 이 분기만 바뀐다
max(세전, 0) × 세율 22.0%(최근 12분기 유효세율 -12.9% 가 5~27% 밖; 세전 &gt; 0 분기 중위 2.9% 도 5~27% 밖 → 법정세율 근사 22% 가정)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D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F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G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H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I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K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L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M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N35" authorId="0" shapeId="0">
      <text>
        <t>모델값 역산(implied): v / 전분기 − 1
전분기 − FCF 근사[순이익 − 배당(감가상각비 없음 → CAPEX≈감가 가정, CAPEX 중위 140억은 행에만)]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D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F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G38" authorId="0" shapeId="0">
      <text>
        <t>모델값 역산(implied): v / 전분기 − 1 (전년동기 없음 → 전분기 대비)
최근 4분기(2025Q2~2026Q1) CAPEX 중위 유지 — 순차입금 롤에 미반영(감가상각비 없음 → CAPEX≈감가 가정)</t>
      </text>
    </comment>
    <comment ref="AH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I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K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L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M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N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0원 유지</t>
      </text>
    </comment>
    <comment ref="AI41" authorId="0" shapeId="0">
      <text>
        <t>모델값 역산(implied): 모델 v 그대로
직전 결산 DPS 0원 유지</t>
      </text>
    </comment>
    <comment ref="AN41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이동합(t−2) 117749억 × 비례계수 0.1284 × 계절비중 Q3 0.228(계절비중 — 최근 3개 연도(2026, 2025, 2024) 분기/연간 비중 평균; 격자 lag0~4×창8/12/19×수준·YoY·4Q합 중 최대 r=1.00, n=14, 창 19)
[yoy]</t>
      </text>
    </comment>
    <comment ref="AD5" authorId="0" shapeId="0">
      <text>
        <t>추정: 고객지수 4분기 이동합(t−2) 129632억 × 비례계수 0.1284 × 계절비중 Q4 0.288(계절비중 — 최근 3개 연도(2026, 2025, 2024) 분기/연간 비중 평균; 격자 lag0~4×창8/12/19×수준·YoY·4Q합 중 최대 r=1.00, n=14, 창 19)
[yoy]</t>
      </text>
    </comment>
    <comment ref="AF5" authorId="0" shapeId="0">
      <text>
        <t>추정: 고객지수 4분기 이동합(t−2) 138532억 × 비례계수 0.1284 × 계절비중 Q1 0.236(계절비중 — 최근 3개 연도(2026, 2025, 2024) 분기/연간 비중 평균; 격자 lag0~4×창8/12/19×수준·YoY·4Q합 중 최대 r=1.00, n=14, 창 19)
[yoy]</t>
      </text>
    </comment>
    <comment ref="AG5" authorId="0" shapeId="0">
      <text>
        <t>추정: 고객지수 4분기 이동합(t−2) 146392억 × 비례계수 0.1284 × 계절비중 Q2 0.247(계절비중 — 최근 3개 연도(2026, 2025, 2024) 분기/연간 비중 평균; 격자 lag0~4×창8/12/19×수준·YoY·4Q합 중 최대 r=1.00, n=14, 창 19)
[yoy]</t>
      </text>
    </comment>
    <comment ref="AH5" authorId="0" shapeId="0">
      <text>
        <t>추정: 고객지수 4분기 이동합(t−2) 154096억 × 비례계수 0.1284 × 계절비중 Q3 0.228(계절비중 — 최근 3개 연도(2026, 2025, 2024) 분기/연간 비중 평균; 격자 lag0~4×창8/12/19×수준·YoY·4Q합 중 최대 r=1.00, n=14, 창 19)
[yoy]</t>
      </text>
    </comment>
    <comment ref="AI5" authorId="0" shapeId="0">
      <text>
        <t>추정: 고객지수 4분기 이동합(t−2) 152288억 × 비례계수 0.1284 × 계절비중 Q4 0.288(계절비중 — 최근 3개 연도(2026, 2025, 2024) 분기/연간 비중 평균; 격자 lag0~4×창8/12/19×수준·YoY·4Q합 중 최대 r=1.00, n=14, 창 19)
[yoy]</t>
      </text>
    </comment>
    <comment ref="AK5" authorId="0" shapeId="0">
      <text>
        <t>추정: 고객지수 4분기 이동합(t−2) 156945억 × 비례계수 0.1284 × 계절비중 Q1 0.236(계절비중 — 최근 3개 연도(2026, 2025, 2024) 분기/연간 비중 평균; 격자 lag0~4×창8/12/19×수준·YoY·4Q합 중 최대 r=1.00, n=14, 창 19)
[yoy]</t>
      </text>
    </comment>
    <comment ref="AL5" authorId="0" shapeId="0">
      <text>
        <t>추정: 고객지수 4분기 이동합(t−2) 163284억 × 비례계수 0.1284 × 계절비중 Q2 0.247(계절비중 — 최근 3개 연도(2026, 2025, 2024) 분기/연간 비중 평균; 격자 lag0~4×창8/12/19×수준·YoY·4Q합 중 최대 r=1.00, n=14, 창 19)
[yoy]</t>
      </text>
    </comment>
    <comment ref="AM5" authorId="0" shapeId="0">
      <text>
        <t>추정: 고객지수 4분기 이동합(t−2) 171464억 × 비례계수 0.1284 × 계절비중 Q3 0.228(계절비중 — 최근 3개 연도(2026, 2025, 2024) 분기/연간 비중 평균; 격자 lag0~4×창8/12/19×수준·YoY·4Q합 중 최대 r=1.00, n=14, 창 19)
[yoy]</t>
      </text>
    </comment>
    <comment ref="AN5" authorId="0" shapeId="0">
      <text>
        <t>추정: 고객지수 4분기 이동합(t−2) 175328억 × 비례계수 0.1284 × 계절비중 Q4 0.288(계절비중 — 최근 3개 연도(2026, 2025, 2024) 분기/연간 비중 평균; 격자 lag0~4×창8/12/19×수준·YoY·4Q합 중 최대 r=1.00, n=14, 창 19)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4.58%(최근 4분기 중위)
[ratio]</t>
      </text>
    </comment>
    <comment ref="AD8" authorId="0" shapeId="0">
      <text>
        <t>추정: 매출액 × 판관비율 4.58%(최근 4분기 중위)
[ratio]</t>
      </text>
    </comment>
    <comment ref="AF8" authorId="0" shapeId="0">
      <text>
        <t>추정: 매출액 × 판관비율 4.58%(최근 4분기 중위)
[ratio]</t>
      </text>
    </comment>
    <comment ref="AG8" authorId="0" shapeId="0">
      <text>
        <t>추정: 매출액 × 판관비율 4.58%(최근 4분기 중위)
[ratio]</t>
      </text>
    </comment>
    <comment ref="AH8" authorId="0" shapeId="0">
      <text>
        <t>추정: 매출액 × 판관비율 4.58%(최근 4분기 중위)
[ratio]</t>
      </text>
    </comment>
    <comment ref="AI8" authorId="0" shapeId="0">
      <text>
        <t>추정: 매출액 × 판관비율 4.58%(최근 4분기 중위)
[ratio]</t>
      </text>
    </comment>
    <comment ref="AK8" authorId="0" shapeId="0">
      <text>
        <t>추정: 매출액 × 판관비율 4.58%(최근 4분기 중위)
[ratio]</t>
      </text>
    </comment>
    <comment ref="AL8" authorId="0" shapeId="0">
      <text>
        <t>추정: 매출액 × 판관비율 4.58%(최근 4분기 중위)
[ratio]</t>
      </text>
    </comment>
    <comment ref="AM8" authorId="0" shapeId="0">
      <text>
        <t>추정: 매출액 × 판관비율 4.58%(최근 4분기 중위)
[ratio]</t>
      </text>
    </comment>
    <comment ref="AN8" authorId="0" shapeId="0">
      <text>
        <t>추정: 매출액 × 판관비율 4.58%(최근 4분기 중위)
[ratio]</t>
      </text>
    </comment>
    <comment ref="AC9" authorId="0" shapeId="0">
      <text>
        <t>추정: 매출액 × OPM(최근 8분기 OPM 중위 8.8% 유지)
[ratio]</t>
      </text>
    </comment>
    <comment ref="AD9" authorId="0" shapeId="0">
      <text>
        <t>추정: 매출액 × OPM(최근 8분기 OPM 중위 8.8% 유지)
[ratio]</t>
      </text>
    </comment>
    <comment ref="AF9" authorId="0" shapeId="0">
      <text>
        <t>추정: 매출액 × OPM(최근 8분기 OPM 중위 8.8% 유지)
[ratio]</t>
      </text>
    </comment>
    <comment ref="AG9" authorId="0" shapeId="0">
      <text>
        <t>추정: 매출액 × OPM(최근 8분기 OPM 중위 8.8% 유지)
[ratio]</t>
      </text>
    </comment>
    <comment ref="AH9" authorId="0" shapeId="0">
      <text>
        <t>추정: 매출액 × OPM(최근 8분기 OPM 중위 8.8% 유지)
[ratio]</t>
      </text>
    </comment>
    <comment ref="AI9" authorId="0" shapeId="0">
      <text>
        <t>추정: 매출액 × OPM(최근 8분기 OPM 중위 8.8% 유지)
[ratio]</t>
      </text>
    </comment>
    <comment ref="AK9" authorId="0" shapeId="0">
      <text>
        <t>추정: 매출액 × OPM(최근 8분기 OPM 중위 8.8% 유지)
[ratio]</t>
      </text>
    </comment>
    <comment ref="AL9" authorId="0" shapeId="0">
      <text>
        <t>추정: 매출액 × OPM(최근 8분기 OPM 중위 8.8% 유지)
[ratio]</t>
      </text>
    </comment>
    <comment ref="AM9" authorId="0" shapeId="0">
      <text>
        <t>추정: 매출액 × OPM(최근 8분기 OPM 중위 8.8% 유지)
[ratio]</t>
      </text>
    </comment>
    <comment ref="AN9" authorId="0" shapeId="0">
      <text>
        <t>추정: 매출액 × OPM(최근 8분기 OPM 중위 8.8% 유지)
[ratio]</t>
      </text>
    </comment>
    <comment ref="AC10" authorId="0" shapeId="0">
      <text>
        <t>추정: 최근 8분기 OPM 중위 8.8% 유지
[divide]</t>
      </text>
    </comment>
    <comment ref="AD10" authorId="0" shapeId="0">
      <text>
        <t>추정: 최근 8분기 OPM 중위 8.8% 유지
[divide]</t>
      </text>
    </comment>
    <comment ref="AF10" authorId="0" shapeId="0">
      <text>
        <t>추정: 최근 8분기 OPM 중위 8.8% 유지
[divide]</t>
      </text>
    </comment>
    <comment ref="AG10" authorId="0" shapeId="0">
      <text>
        <t>추정: 최근 8분기 OPM 중위 8.8% 유지
[divide]</t>
      </text>
    </comment>
    <comment ref="AH10" authorId="0" shapeId="0">
      <text>
        <t>추정: 최근 8분기 OPM 중위 8.8% 유지
[divide]</t>
      </text>
    </comment>
    <comment ref="AI10" authorId="0" shapeId="0">
      <text>
        <t>추정: 최근 8분기 OPM 중위 8.8% 유지
[divide]</t>
      </text>
    </comment>
    <comment ref="AK10" authorId="0" shapeId="0">
      <text>
        <t>추정: 최근 8분기 OPM 중위 8.8% 유지
[divide]</t>
      </text>
    </comment>
    <comment ref="AL10" authorId="0" shapeId="0">
      <text>
        <t>추정: 최근 8분기 OPM 중위 8.8% 유지
[divide]</t>
      </text>
    </comment>
    <comment ref="AM10" authorId="0" shapeId="0">
      <text>
        <t>추정: 최근 8분기 OPM 중위 8.8% 유지
[divide]</t>
      </text>
    </comment>
    <comment ref="AN10" authorId="0" shapeId="0">
      <text>
        <t>추정: 최근 8분기 OPM 중위 8.8% 유지
[divide]</t>
      </text>
    </comment>
    <comment ref="AC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3071억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3328억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3680억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3994억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4341억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4680억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5100억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5462억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5857억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 중위 +716.13억이 이자손익 추정 +24.97억의 50% 초과 → 0(경고)) (항등식); 이자손익 = 이자발생자산 6242억 × 3.77%(주석 이자수익 ÷ 평균 이자발생자산(2025Q2~2026Q2)) − 총차입금 316억 × 5.04%(주석 이자비용 ÷ 평균 총차입금(2025Q2~2026Q2)) (연율) ÷ 4; 환율 효과는 환관련손익 행 별도
[identity]</t>
      </text>
    </comment>
    <comment ref="AC12" authorId="0" shapeId="0">
      <text>
        <t>추정: 이자발생자산 3071억 × 3.77%(주석 이자수익 ÷ 평균 이자발생자산(2025Q2~2026Q2)) − 총차입금 316억 × 5.04%(주석 이자비용 ÷ 평균 총차입금(2025Q2~2026Q2)) (연율) ÷ 4
[interest]</t>
      </text>
    </comment>
    <comment ref="AD12" authorId="0" shapeId="0">
      <text>
        <t>추정: 이자발생자산 3328억 × 3.77%(주석 이자수익 ÷ 평균 이자발생자산(2025Q2~2026Q2)) − 총차입금 316억 × 5.04%(주석 이자비용 ÷ 평균 총차입금(2025Q2~2026Q2)) (연율) ÷ 4
[interest]</t>
      </text>
    </comment>
    <comment ref="AF12" authorId="0" shapeId="0">
      <text>
        <t>추정: 이자발생자산 3680억 × 3.77%(주석 이자수익 ÷ 평균 이자발생자산(2025Q2~2026Q2)) − 총차입금 316억 × 5.04%(주석 이자비용 ÷ 평균 총차입금(2025Q2~2026Q2)) (연율) ÷ 4
[interest]</t>
      </text>
    </comment>
    <comment ref="AG12" authorId="0" shapeId="0">
      <text>
        <t>추정: 이자발생자산 3994억 × 3.77%(주석 이자수익 ÷ 평균 이자발생자산(2025Q2~2026Q2)) − 총차입금 316억 × 5.04%(주석 이자비용 ÷ 평균 총차입금(2025Q2~2026Q2)) (연율) ÷ 4
[interest]</t>
      </text>
    </comment>
    <comment ref="AH12" authorId="0" shapeId="0">
      <text>
        <t>추정: 이자발생자산 4341억 × 3.77%(주석 이자수익 ÷ 평균 이자발생자산(2025Q2~2026Q2)) − 총차입금 316억 × 5.04%(주석 이자비용 ÷ 평균 총차입금(2025Q2~2026Q2)) (연율) ÷ 4
[interest]</t>
      </text>
    </comment>
    <comment ref="AI12" authorId="0" shapeId="0">
      <text>
        <t>추정: 이자발생자산 4680억 × 3.77%(주석 이자수익 ÷ 평균 이자발생자산(2025Q2~2026Q2)) − 총차입금 316억 × 5.04%(주석 이자비용 ÷ 평균 총차입금(2025Q2~2026Q2)) (연율) ÷ 4
[interest]</t>
      </text>
    </comment>
    <comment ref="AK12" authorId="0" shapeId="0">
      <text>
        <t>추정: 이자발생자산 5100억 × 3.77%(주석 이자수익 ÷ 평균 이자발생자산(2025Q2~2026Q2)) − 총차입금 316억 × 5.04%(주석 이자비용 ÷ 평균 총차입금(2025Q2~2026Q2)) (연율) ÷ 4
[interest]</t>
      </text>
    </comment>
    <comment ref="AL12" authorId="0" shapeId="0">
      <text>
        <t>추정: 이자발생자산 5462억 × 3.77%(주석 이자수익 ÷ 평균 이자발생자산(2025Q2~2026Q2)) − 총차입금 316억 × 5.04%(주석 이자비용 ÷ 평균 총차입금(2025Q2~2026Q2)) (연율) ÷ 4
[interest]</t>
      </text>
    </comment>
    <comment ref="AM12" authorId="0" shapeId="0">
      <text>
        <t>추정: 이자발생자산 5857억 × 3.77%(주석 이자수익 ÷ 평균 이자발생자산(2025Q2~2026Q2)) − 총차입금 316억 × 5.04%(주석 이자비용 ÷ 평균 총차입금(2025Q2~2026Q2)) (연율) ÷ 4
[interest]</t>
      </text>
    </comment>
    <comment ref="AN12" authorId="0" shapeId="0">
      <text>
        <t>추정: 이자발생자산 6242억 × 3.77%(주석 이자수익 ÷ 평균 이자발생자산(2025Q2~2026Q2)) − 총차입금 316억 × 5.04%(주석 이자비용 ÷ 평균 총차입금(2025Q2~2026Q2))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 중위 +716.13억이 이자손익 추정 +24.97억의 50% 초과 → 0(경고)
[abs]</t>
      </text>
    </comment>
    <comment ref="AD15" authorId="0" shapeId="0">
      <text>
        <t>추정: 최근 4분기 중위 +716.13억이 이자손익 추정 +24.97억의 50% 초과 → 0(경고)
[abs]</t>
      </text>
    </comment>
    <comment ref="AF15" authorId="0" shapeId="0">
      <text>
        <t>추정: 최근 4분기 중위 +716.13억이 이자손익 추정 +24.97억의 50% 초과 → 0(경고)
[abs]</t>
      </text>
    </comment>
    <comment ref="AG15" authorId="0" shapeId="0">
      <text>
        <t>추정: 최근 4분기 중위 +716.13억이 이자손익 추정 +24.97억의 50% 초과 → 0(경고)
[abs]</t>
      </text>
    </comment>
    <comment ref="AH15" authorId="0" shapeId="0">
      <text>
        <t>추정: 최근 4분기 중위 +716.13억이 이자손익 추정 +24.97억의 50% 초과 → 0(경고)
[abs]</t>
      </text>
    </comment>
    <comment ref="AI15" authorId="0" shapeId="0">
      <text>
        <t>추정: 최근 4분기 중위 +716.13억이 이자손익 추정 +24.97억의 50% 초과 → 0(경고)
[abs]</t>
      </text>
    </comment>
    <comment ref="AK15" authorId="0" shapeId="0">
      <text>
        <t>추정: 최근 4분기 중위 +716.13억이 이자손익 추정 +24.97억의 50% 초과 → 0(경고)
[abs]</t>
      </text>
    </comment>
    <comment ref="AL15" authorId="0" shapeId="0">
      <text>
        <t>추정: 최근 4분기 중위 +716.13억이 이자손익 추정 +24.97억의 50% 초과 → 0(경고)
[abs]</t>
      </text>
    </comment>
    <comment ref="AM15" authorId="0" shapeId="0">
      <text>
        <t>추정: 최근 4분기 중위 +716.13억이 이자손익 추정 +24.97억의 50% 초과 → 0(경고)
[abs]</t>
      </text>
    </comment>
    <comment ref="AN15" authorId="0" shapeId="0">
      <text>
        <t>추정: 최근 4분기 중위 +716.13억이 이자손익 추정 +24.97억의 50% 초과 → 0(경고)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D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F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G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H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I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K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L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M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N19" authorId="0" shapeId="0">
      <text>
        <t>추정: max(세전, 0) × 세율 22.0%(최근 12분기 유효세율 -12.9% 가 5~27% 밖; 세전 &gt; 0 분기 중위 2.9% 도 5~27% 밖 → 법정세율 근사 22% 가정)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140억은 행에만)]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4분기(2025Q2~2026Q1) CAPEX 중위 유지 — 순차입금 롤에 미반영(감가상각비 없음 → CAPEX≈감가 가정)
[yoy]</t>
      </text>
    </comment>
    <comment ref="AD30" authorId="0" shapeId="0">
      <text>
        <t>추정: 최근 4분기(2025Q2~2026Q1) CAPEX 중위 유지 — 순차입금 롤에 미반영(감가상각비 없음 → CAPEX≈감가 가정)
[yoy]</t>
      </text>
    </comment>
    <comment ref="AF30" authorId="0" shapeId="0">
      <text>
        <t>추정: 최근 4분기(2025Q2~2026Q1) CAPEX 중위 유지 — 순차입금 롤에 미반영(감가상각비 없음 → CAPEX≈감가 가정)
[yoy]</t>
      </text>
    </comment>
    <comment ref="AG30" authorId="0" shapeId="0">
      <text>
        <t>추정: 최근 4분기(2025Q2~2026Q1) CAPEX 중위 유지 — 순차입금 롤에 미반영(감가상각비 없음 → CAPEX≈감가 가정)
[yoy]</t>
      </text>
    </comment>
    <comment ref="AH30" authorId="0" shapeId="0">
      <text>
        <t>추정: 최근 4분기(2025Q2~2026Q1) CAPEX 중위 유지 — 순차입금 롤에 미반영(감가상각비 없음 → CAPEX≈감가 가정)
[yoy]</t>
      </text>
    </comment>
    <comment ref="AI30" authorId="0" shapeId="0">
      <text>
        <t>추정: 최근 4분기(2025Q2~2026Q1) CAPEX 중위 유지 — 순차입금 롤에 미반영(감가상각비 없음 → CAPEX≈감가 가정)
[yoy]</t>
      </text>
    </comment>
    <comment ref="AK30" authorId="0" shapeId="0">
      <text>
        <t>추정: 최근 4분기(2025Q2~2026Q1) CAPEX 중위 유지 — 순차입금 롤에 미반영(감가상각비 없음 → CAPEX≈감가 가정)
[yoy]</t>
      </text>
    </comment>
    <comment ref="AL30" authorId="0" shapeId="0">
      <text>
        <t>추정: 최근 4분기(2025Q2~2026Q1) CAPEX 중위 유지 — 순차입금 롤에 미반영(감가상각비 없음 → CAPEX≈감가 가정)
[yoy]</t>
      </text>
    </comment>
    <comment ref="AM30" authorId="0" shapeId="0">
      <text>
        <t>추정: 최근 4분기(2025Q2~2026Q1) CAPEX 중위 유지 — 순차입금 롤에 미반영(감가상각비 없음 → CAPEX≈감가 가정)
[yoy]</t>
      </text>
    </comment>
    <comment ref="AN30" authorId="0" shapeId="0">
      <text>
        <t>추정: 최근 4분기(2025Q2~2026Q1)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AC34" authorId="0" shapeId="0">
      <text>
        <t>추정: 지배주주지분 ÷ 유통주식수
[per_share]</t>
      </text>
    </comment>
    <comment ref="AD34" authorId="0" shapeId="0">
      <text>
        <t>추정: 지배주주지분 ÷ 유통주식수
[per_share]</t>
      </text>
    </comment>
    <comment ref="AF34" authorId="0" shapeId="0">
      <text>
        <t>추정: 지배주주지분 ÷ 유통주식수
[per_share]</t>
      </text>
    </comment>
    <comment ref="AG34" authorId="0" shapeId="0">
      <text>
        <t>추정: 지배주주지분 ÷ 유통주식수
[per_share]</t>
      </text>
    </comment>
    <comment ref="AH34" authorId="0" shapeId="0">
      <text>
        <t>추정: 지배주주지분 ÷ 유통주식수
[per_share]</t>
      </text>
    </comment>
    <comment ref="AI34" authorId="0" shapeId="0">
      <text>
        <t>추정: 지배주주지분 ÷ 유통주식수
[per_share]</t>
      </text>
    </comment>
    <comment ref="AK34" authorId="0" shapeId="0">
      <text>
        <t>추정: 지배주주지분 ÷ 유통주식수
[per_share]</t>
      </text>
    </comment>
    <comment ref="AL34" authorId="0" shapeId="0">
      <text>
        <t>추정: 지배주주지분 ÷ 유통주식수
[per_share]</t>
      </text>
    </comment>
    <comment ref="AM34" authorId="0" shapeId="0">
      <text>
        <t>추정: 지배주주지분 ÷ 유통주식수
[per_share]</t>
      </text>
    </comment>
    <comment ref="AN34" authorId="0" shapeId="0">
      <text>
        <t>추정: 지배주주지분 ÷ 유통주식수
[per_share]</t>
      </text>
    </comment>
    <comment ref="E35" authorId="0" shapeId="0">
      <text>
        <t>실측(계정 매핑 없음(파생·부문·시세 행) — 모델값 직접) — fin.dividend.dps_common(연간, Q4 에 표기)</t>
      </text>
    </comment>
    <comment ref="F35" authorId="0" shapeId="0">
      <text>
        <t>연간(actual) — 분기 미완 연도, 모델 a 값 직접</t>
      </text>
    </comment>
    <comment ref="J35" authorId="0" shapeId="0">
      <text>
        <t>실측(계정 매핑 없음(파생·부문·시세 행) — 모델값 직접) — fin.dividend.dps_common(연간, Q4 에 표기)</t>
      </text>
    </comment>
    <comment ref="O35" authorId="0" shapeId="0">
      <text>
        <t>실측(계정 매핑 없음(파생·부문·시세 행) — 모델값 직접) — fin.dividend.dps_common(연간, Q4 에 표기)</t>
      </text>
    </comment>
    <comment ref="T35" authorId="0" shapeId="0">
      <text>
        <t>실측(계정 매핑 없음(파생·부문·시세 행) — 모델값 직접) — fin.dividend.dps_common(연간, Q4 에 표기)</t>
      </text>
    </comment>
    <comment ref="Y35" authorId="0" shapeId="0">
      <text>
        <t>실측(계정 매핑 없음(파생·부문·시세 행) — 모델값 직접) — fin.dividend.dps_common(연간, Q4 에 표기)</t>
      </text>
    </comment>
    <comment ref="AD35" authorId="0" shapeId="0">
      <text>
        <t>추정: 직전 결산 DPS 0원 유지
[abs]</t>
      </text>
    </comment>
    <comment ref="AI35" authorId="0" shapeId="0">
      <text>
        <t>추정: 직전 결산 DPS 0원 유지
[abs]</t>
      </text>
    </comment>
    <comment ref="AN35" authorId="0" shapeId="0">
      <text>
        <t>추정: 직전 결산 DPS 0원 유지
[abs]</t>
      </text>
    </comment>
    <comment ref="AC36" authorId="0" shapeId="0">
      <text>
        <t>추정: 현재 종가 ÷ TTM EPS(추정 포함)
[valuation]</t>
      </text>
    </comment>
    <comment ref="AD36" authorId="0" shapeId="0">
      <text>
        <t>추정: 현재 종가 ÷ TTM EPS(추정 포함)
[valuation]</t>
      </text>
    </comment>
    <comment ref="AF36" authorId="0" shapeId="0">
      <text>
        <t>추정: 현재 종가 ÷ TTM EPS(추정 포함)
[valuation]</t>
      </text>
    </comment>
    <comment ref="AG36" authorId="0" shapeId="0">
      <text>
        <t>추정: 현재 종가 ÷ TTM EPS(추정 포함)
[valuation]</t>
      </text>
    </comment>
    <comment ref="AH36" authorId="0" shapeId="0">
      <text>
        <t>추정: 현재 종가 ÷ TTM EPS(추정 포함)
[valuation]</t>
      </text>
    </comment>
    <comment ref="AI36" authorId="0" shapeId="0">
      <text>
        <t>추정: 현재 종가 ÷ TTM EPS(추정 포함)
[valuation]</t>
      </text>
    </comment>
    <comment ref="AK36" authorId="0" shapeId="0">
      <text>
        <t>추정: 현재 종가 ÷ TTM EPS(추정 포함)
[valuation]</t>
      </text>
    </comment>
    <comment ref="AL36" authorId="0" shapeId="0">
      <text>
        <t>추정: 현재 종가 ÷ TTM EPS(추정 포함)
[valuation]</t>
      </text>
    </comment>
    <comment ref="AM36" authorId="0" shapeId="0">
      <text>
        <t>추정: 현재 종가 ÷ TTM EPS(추정 포함)
[valuation]</t>
      </text>
    </comment>
    <comment ref="AN36" authorId="0" shapeId="0">
      <text>
        <t>추정: 현재 종가 ÷ TTM EPS(추정 포함)
[valuation]</t>
      </text>
    </comment>
    <comment ref="AC37" authorId="0" shapeId="0">
      <text>
        <t>추정: 현재 종가 ÷ BPS(추정 포함)
[valuation]</t>
      </text>
    </comment>
    <comment ref="AD37" authorId="0" shapeId="0">
      <text>
        <t>추정: 현재 종가 ÷ BPS(추정 포함)
[valuation]</t>
      </text>
    </comment>
    <comment ref="AF37" authorId="0" shapeId="0">
      <text>
        <t>추정: 현재 종가 ÷ BPS(추정 포함)
[valuation]</t>
      </text>
    </comment>
    <comment ref="AG37" authorId="0" shapeId="0">
      <text>
        <t>추정: 현재 종가 ÷ BPS(추정 포함)
[valuation]</t>
      </text>
    </comment>
    <comment ref="AH37" authorId="0" shapeId="0">
      <text>
        <t>추정: 현재 종가 ÷ BPS(추정 포함)
[valuation]</t>
      </text>
    </comment>
    <comment ref="AI37" authorId="0" shapeId="0">
      <text>
        <t>추정: 현재 종가 ÷ BPS(추정 포함)
[valuation]</t>
      </text>
    </comment>
    <comment ref="AK37" authorId="0" shapeId="0">
      <text>
        <t>추정: 현재 종가 ÷ BPS(추정 포함)
[valuation]</t>
      </text>
    </comment>
    <comment ref="AL37" authorId="0" shapeId="0">
      <text>
        <t>추정: 현재 종가 ÷ BPS(추정 포함)
[valuation]</t>
      </text>
    </comment>
    <comment ref="AM37" authorId="0" shapeId="0">
      <text>
        <t>추정: 현재 종가 ÷ BPS(추정 포함)
[valuation]</t>
      </text>
    </comment>
    <comment ref="AN37" authorId="0" shapeId="0">
      <text>
        <t>추정: 현재 종가 ÷ BPS(추정 포함)
[valuation]</t>
      </text>
    </comment>
    <comment ref="E38" authorId="0" shapeId="0">
      <text>
        <t>실측(계정 매핑 없음(파생·부문·시세 행) — 모델값 직접) — = 매출액(부문 미분리)</t>
      </text>
    </comment>
    <comment ref="G38" authorId="0" shapeId="0">
      <text>
        <t>실측(계정 매핑 없음(파생·부문·시세 행) — 모델값 직접) — = 매출액(부문 미분리)</t>
      </text>
    </comment>
    <comment ref="H38" authorId="0" shapeId="0">
      <text>
        <t>실측(계정 매핑 없음(파생·부문·시세 행) — 모델값 직접) — = 매출액(부문 미분리)</t>
      </text>
    </comment>
    <comment ref="I38" authorId="0" shapeId="0">
      <text>
        <t>실측(계정 매핑 없음(파생·부문·시세 행) — 모델값 직접) — = 매출액(부문 미분리)</t>
      </text>
    </comment>
    <comment ref="J38" authorId="0" shapeId="0">
      <text>
        <t>실측(계정 매핑 없음(파생·부문·시세 행) — 모델값 직접) — = 매출액(부문 미분리)</t>
      </text>
    </comment>
    <comment ref="L38" authorId="0" shapeId="0">
      <text>
        <t>실측(계정 매핑 없음(파생·부문·시세 행) — 모델값 직접) — = 매출액(부문 미분리)</t>
      </text>
    </comment>
    <comment ref="M38" authorId="0" shapeId="0">
      <text>
        <t>실측(계정 매핑 없음(파생·부문·시세 행) — 모델값 직접) — = 매출액(부문 미분리)</t>
      </text>
    </comment>
    <comment ref="N38" authorId="0" shapeId="0">
      <text>
        <t>실측(계정 매핑 없음(파생·부문·시세 행) — 모델값 직접) — = 매출액(부문 미분리)</t>
      </text>
    </comment>
    <comment ref="O38" authorId="0" shapeId="0">
      <text>
        <t>실측(계정 매핑 없음(파생·부문·시세 행) — 모델값 직접) — = 매출액(부문 미분리)</t>
      </text>
    </comment>
    <comment ref="Q38" authorId="0" shapeId="0">
      <text>
        <t>실측(계정 매핑 없음(파생·부문·시세 행) — 모델값 직접) — = 매출액(부문 미분리)</t>
      </text>
    </comment>
    <comment ref="R38" authorId="0" shapeId="0">
      <text>
        <t>실측(계정 매핑 없음(파생·부문·시세 행) — 모델값 직접) — = 매출액(부문 미분리)</t>
      </text>
    </comment>
    <comment ref="S38" authorId="0" shapeId="0">
      <text>
        <t>실측(계정 매핑 없음(파생·부문·시세 행) — 모델값 직접) — = 매출액(부문 미분리)</t>
      </text>
    </comment>
    <comment ref="T38" authorId="0" shapeId="0">
      <text>
        <t>실측(계정 매핑 없음(파생·부문·시세 행) — 모델값 직접) — = 매출액(부문 미분리)</t>
      </text>
    </comment>
    <comment ref="V38" authorId="0" shapeId="0">
      <text>
        <t>실측(계정 매핑 없음(파생·부문·시세 행) — 모델값 직접) — = 매출액(부문 미분리)</t>
      </text>
    </comment>
    <comment ref="W38" authorId="0" shapeId="0">
      <text>
        <t>실측(계정 매핑 없음(파생·부문·시세 행) — 모델값 직접) — = 매출액(부문 미분리)</t>
      </text>
    </comment>
    <comment ref="X38" authorId="0" shapeId="0">
      <text>
        <t>실측(계정 매핑 없음(파생·부문·시세 행) — 모델값 직접) — = 매출액(부문 미분리)</t>
      </text>
    </comment>
    <comment ref="Y38" authorId="0" shapeId="0">
      <text>
        <t>실측(계정 매핑 없음(파생·부문·시세 행) — 모델값 직접) — = 매출액(부문 미분리)</t>
      </text>
    </comment>
    <comment ref="AA38" authorId="0" shapeId="0">
      <text>
        <t>실측(계정 매핑 없음(파생·부문·시세 행) — 모델값 직접) — = 매출액(부문 미분리)</t>
      </text>
    </comment>
    <comment ref="AB38" authorId="0" shapeId="0">
      <text>
        <t>실측(계정 매핑 없음(파생·부문·시세 행) — 모델값 직접) — = 매출액(부문 미분리)</t>
      </text>
    </comment>
    <comment ref="AC38" authorId="0" shapeId="0">
      <text>
        <t>추정: = 매출액 추정(부문 미분리)
[identity]</t>
      </text>
    </comment>
    <comment ref="AD38" authorId="0" shapeId="0">
      <text>
        <t>추정: = 매출액 추정(부문 미분리)
[identity]</t>
      </text>
    </comment>
    <comment ref="AF38" authorId="0" shapeId="0">
      <text>
        <t>추정: = 매출액 추정(부문 미분리)
[identity]</t>
      </text>
    </comment>
    <comment ref="AG38" authorId="0" shapeId="0">
      <text>
        <t>추정: = 매출액 추정(부문 미분리)
[identity]</t>
      </text>
    </comment>
    <comment ref="AH38" authorId="0" shapeId="0">
      <text>
        <t>추정: = 매출액 추정(부문 미분리)
[identity]</t>
      </text>
    </comment>
    <comment ref="AI38" authorId="0" shapeId="0">
      <text>
        <t>추정: = 매출액 추정(부문 미분리)
[identity]</t>
      </text>
    </comment>
    <comment ref="AK38" authorId="0" shapeId="0">
      <text>
        <t>추정: = 매출액 추정(부문 미분리)
[identity]</t>
      </text>
    </comment>
    <comment ref="AL38" authorId="0" shapeId="0">
      <text>
        <t>추정: = 매출액 추정(부문 미분리)
[identity]</t>
      </text>
    </comment>
    <comment ref="AM38" authorId="0" shapeId="0">
      <text>
        <t>추정: = 매출액 추정(부문 미분리)
[identity]</t>
      </text>
    </comment>
    <comment ref="AN38" authorId="0" shapeId="0">
      <text>
        <t>추정: = 매출액 추정(부문 미분리)
[identity]</t>
      </text>
    </comment>
    <comment ref="E39" authorId="0" shapeId="0">
      <text>
        <t>실측(계정 매핑 없음(파생·부문·시세 행) — 모델값 직접) — = 영업이익(부문 미분리)</t>
      </text>
    </comment>
    <comment ref="G39" authorId="0" shapeId="0">
      <text>
        <t>실측(계정 매핑 없음(파생·부문·시세 행) — 모델값 직접) — = 영업이익(부문 미분리)</t>
      </text>
    </comment>
    <comment ref="H39" authorId="0" shapeId="0">
      <text>
        <t>실측(계정 매핑 없음(파생·부문·시세 행) — 모델값 직접) — = 영업이익(부문 미분리)</t>
      </text>
    </comment>
    <comment ref="I39" authorId="0" shapeId="0">
      <text>
        <t>실측(계정 매핑 없음(파생·부문·시세 행) — 모델값 직접) — = 영업이익(부문 미분리)</t>
      </text>
    </comment>
    <comment ref="J39" authorId="0" shapeId="0">
      <text>
        <t>실측(계정 매핑 없음(파생·부문·시세 행) — 모델값 직접) — = 영업이익(부문 미분리)</t>
      </text>
    </comment>
    <comment ref="L39" authorId="0" shapeId="0">
      <text>
        <t>실측(계정 매핑 없음(파생·부문·시세 행) — 모델값 직접) — = 영업이익(부문 미분리)</t>
      </text>
    </comment>
    <comment ref="M39" authorId="0" shapeId="0">
      <text>
        <t>실측(계정 매핑 없음(파생·부문·시세 행) — 모델값 직접) — = 영업이익(부문 미분리)</t>
      </text>
    </comment>
    <comment ref="N39" authorId="0" shapeId="0">
      <text>
        <t>실측(계정 매핑 없음(파생·부문·시세 행) — 모델값 직접) — = 영업이익(부문 미분리)</t>
      </text>
    </comment>
    <comment ref="O39" authorId="0" shapeId="0">
      <text>
        <t>실측(계정 매핑 없음(파생·부문·시세 행) — 모델값 직접) — = 영업이익(부문 미분리)</t>
      </text>
    </comment>
    <comment ref="Q39" authorId="0" shapeId="0">
      <text>
        <t>실측(계정 매핑 없음(파생·부문·시세 행) — 모델값 직접) — = 영업이익(부문 미분리)</t>
      </text>
    </comment>
    <comment ref="R39" authorId="0" shapeId="0">
      <text>
        <t>실측(계정 매핑 없음(파생·부문·시세 행) — 모델값 직접) — = 영업이익(부문 미분리)</t>
      </text>
    </comment>
    <comment ref="S39" authorId="0" shapeId="0">
      <text>
        <t>실측(계정 매핑 없음(파생·부문·시세 행) — 모델값 직접) — = 영업이익(부문 미분리)</t>
      </text>
    </comment>
    <comment ref="T39" authorId="0" shapeId="0">
      <text>
        <t>실측(계정 매핑 없음(파생·부문·시세 행) — 모델값 직접) — = 영업이익(부문 미분리)</t>
      </text>
    </comment>
    <comment ref="V39" authorId="0" shapeId="0">
      <text>
        <t>실측(계정 매핑 없음(파생·부문·시세 행) — 모델값 직접) — = 영업이익(부문 미분리)</t>
      </text>
    </comment>
    <comment ref="W39" authorId="0" shapeId="0">
      <text>
        <t>실측(계정 매핑 없음(파생·부문·시세 행) — 모델값 직접) — = 영업이익(부문 미분리)</t>
      </text>
    </comment>
    <comment ref="X39" authorId="0" shapeId="0">
      <text>
        <t>실측(계정 매핑 없음(파생·부문·시세 행) — 모델값 직접) — = 영업이익(부문 미분리)</t>
      </text>
    </comment>
    <comment ref="Y39" authorId="0" shapeId="0">
      <text>
        <t>실측(계정 매핑 없음(파생·부문·시세 행) — 모델값 직접) — = 영업이익(부문 미분리)</t>
      </text>
    </comment>
    <comment ref="AA39" authorId="0" shapeId="0">
      <text>
        <t>실측(계정 매핑 없음(파생·부문·시세 행) — 모델값 직접) — = 영업이익(부문 미분리)</t>
      </text>
    </comment>
    <comment ref="AB39" authorId="0" shapeId="0">
      <text>
        <t>실측(계정 매핑 없음(파생·부문·시세 행) — 모델값 직접) — = 영업이익(부문 미분리)</t>
      </text>
    </comment>
    <comment ref="AC39" authorId="0" shapeId="0">
      <text>
        <t>추정: = 매출액 × OPM(부문 미분리)
[identity]</t>
      </text>
    </comment>
    <comment ref="AD39" authorId="0" shapeId="0">
      <text>
        <t>추정: = 매출액 × OPM(부문 미분리)
[identity]</t>
      </text>
    </comment>
    <comment ref="AF39" authorId="0" shapeId="0">
      <text>
        <t>추정: = 매출액 × OPM(부문 미분리)
[identity]</t>
      </text>
    </comment>
    <comment ref="AG39" authorId="0" shapeId="0">
      <text>
        <t>추정: = 매출액 × OPM(부문 미분리)
[identity]</t>
      </text>
    </comment>
    <comment ref="AH39" authorId="0" shapeId="0">
      <text>
        <t>추정: = 매출액 × OPM(부문 미분리)
[identity]</t>
      </text>
    </comment>
    <comment ref="AI39" authorId="0" shapeId="0">
      <text>
        <t>추정: = 매출액 × OPM(부문 미분리)
[identity]</t>
      </text>
    </comment>
    <comment ref="AK39" authorId="0" shapeId="0">
      <text>
        <t>추정: = 매출액 × OPM(부문 미분리)
[identity]</t>
      </text>
    </comment>
    <comment ref="AL39" authorId="0" shapeId="0">
      <text>
        <t>추정: = 매출액 × OPM(부문 미분리)
[identity]</t>
      </text>
    </comment>
    <comment ref="AM39" authorId="0" shapeId="0">
      <text>
        <t>추정: = 매출액 × OPM(부문 미분리)
[identity]</t>
      </text>
    </comment>
    <comment ref="AN39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한화엔진(082740)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법인세 = MAX(세전,0) × 세율, 추정 전 분기 연결(Σ법인세/Σmax(세전,0) 역산, 재현 오차 ≤ 0.05억). 모델 가정 22.00% · 근거: 최근 12분기 유효세율 -12.9% 가 5~27% 밖; 세전 &gt; 0 분기 중위 2.9% 도 5~27% 밖 → 법정세율 근사 22% 가정</t>
        </is>
      </c>
    </row>
    <row r="23">
      <c r="A23" t="inlineStr">
        <is>
          <t>· 판관비율 4.58%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3.77% / 부채 5.05% — 이자손익 = (전분기 이자발생자산 × 자산이자율 − 전분기 총차입금 × 부채이자율)/4, 최소자승 역산(모델 assumptions [0.0377, 0.0504] 는 4자리 반올림이라 그대로 쓰면 ±1억 어긋남) · 출처: {"asset": "주석 이자수익 ÷ 평균 이자발생자산(2025Q2~2026Q2)", "debt": "주석 이자비용 ÷ 평균 총차입금(2025Q2~2026Q2)"}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21.6/24.9/30.0배(hist_quarterly(분기 평균가 ÷ TTM EPS, 11분기, 25/50/75 백분위) · 캡 5~30배 적용(원값 21.6/24.9/48.7))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assets/models/082740.json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연결 손익 없는 분기 10개는 별도 재무제표로 보충(셀 src 표기; fin issues no_cons_statements·no_prior_ytd; 겹치는 마지막 분기 2026Q2 연결/별도 매출 +9.3%): 2023Q3, 2023Q4, 2024Q1, 2024Q2, 2024Q3, 2024Q4, 2025Q1, 2025Q2, 2025Q3, 2025Q4 / 감가상각비가 face·CF 에 없음(주석 미파싱) → EBITDA·EV/EBITDA 미산출 / 기타금융손익(금융손익 − 이자 − 외환 − 파생 잔차) 최근 4분기 중위 +716.1억이 이자손익 추정 +25.0억의 50% 초과 → 추정 0 — 평가손익·재분류 여부는 주석 확인 / 금융손익 실적→추정 단절: 최근 4분기 실적 +95/+68/+194/+37(중위 +81억) → 추정 2026Q3 +25억(차 -56억, -69%)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9.7, "op_wape_pct": 44.3, "n": 4, "note": "단일 회사 4분기 — 통계 아님", "driver_at_freeze": "customer_yard_revenue_weighted", "selection_oos_at_freeze": {"freeze": "2024Q2", "n": 4, "wape_link": null, "wape_trend": 12.7, "adopted": "undetermined", "decision": "undetermined", "note": "현재 채택 조합(suppliers_mentions·시차 2·ma4·창 12)을 동결 데이터로 재적합할 수 없음(짝·고객 모델 부족) → 연동 WAPE 없음, undetermined(유의성 조건만으로 채택)"},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3305.76, "rev_act": 2973.45, "op_pred": 199.62, "op_act": 266.31}, {"q": "2025Q4", "rev_pred": 4386.85, "rev_act": 3678.3, "op_pred": 264.9, "op_act": 473.48}, {"q": "2026Q1", "rev_pred": 3679.41, "rev_act": 3452.39, "op_pred": 222.19, "op_act": 513.79}, {"q": "2026Q2", "rev_pred": 3680.92, "rev_act": 3622.2, "op_pred": 222.28, "op_act": 379.11}]}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6542</v>
      </c>
      <c r="F15" s="9" t="n"/>
      <c r="G15" s="18" t="n">
        <v>7201</v>
      </c>
      <c r="H15" s="18" t="n">
        <v>8098</v>
      </c>
      <c r="I15" s="18" t="n">
        <v>7140</v>
      </c>
      <c r="J15" s="18" t="n">
        <v>7420</v>
      </c>
      <c r="K15" s="9" t="n"/>
      <c r="L15" s="18" t="n">
        <v>7450</v>
      </c>
      <c r="M15" s="18" t="n">
        <v>10120</v>
      </c>
      <c r="N15" s="18" t="n">
        <v>8840</v>
      </c>
      <c r="O15" s="18" t="n">
        <v>9790</v>
      </c>
      <c r="P15" s="9" t="n"/>
      <c r="Q15" s="18" t="n">
        <v>9820</v>
      </c>
      <c r="R15" s="18" t="n">
        <v>15630</v>
      </c>
      <c r="S15" s="18" t="n">
        <v>13460</v>
      </c>
      <c r="T15" s="18" t="n">
        <v>18440</v>
      </c>
      <c r="U15" s="9" t="n"/>
      <c r="V15" s="18" t="n">
        <v>21250</v>
      </c>
      <c r="W15" s="18" t="n">
        <v>28450</v>
      </c>
      <c r="X15" s="18" t="n">
        <v>44900</v>
      </c>
      <c r="Y15" s="18" t="n">
        <v>42950</v>
      </c>
      <c r="Z15" s="9" t="n"/>
      <c r="AA15" s="18" t="n">
        <v>43550</v>
      </c>
      <c r="AB15" s="19" t="n">
        <v>51000</v>
      </c>
      <c r="AC15" s="20" t="n">
        <v>49350</v>
      </c>
      <c r="AD15" s="20" t="n">
        <v>37400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7428</v>
      </c>
      <c r="F16" s="9" t="n"/>
      <c r="G16" s="18" t="n">
        <v>8196</v>
      </c>
      <c r="H16" s="18" t="n">
        <v>8785</v>
      </c>
      <c r="I16" s="18" t="n">
        <v>9470</v>
      </c>
      <c r="J16" s="18" t="n">
        <v>7970</v>
      </c>
      <c r="K16" s="9" t="n"/>
      <c r="L16" s="18" t="n">
        <v>9100</v>
      </c>
      <c r="M16" s="18" t="n">
        <v>10850</v>
      </c>
      <c r="N16" s="18" t="n">
        <v>12750</v>
      </c>
      <c r="O16" s="18" t="n">
        <v>10220</v>
      </c>
      <c r="P16" s="9" t="n"/>
      <c r="Q16" s="18" t="n">
        <v>10450</v>
      </c>
      <c r="R16" s="18" t="n">
        <v>16990</v>
      </c>
      <c r="S16" s="18" t="n">
        <v>17160</v>
      </c>
      <c r="T16" s="18" t="n">
        <v>19100</v>
      </c>
      <c r="U16" s="9" t="n"/>
      <c r="V16" s="18" t="n">
        <v>28750</v>
      </c>
      <c r="W16" s="18" t="n">
        <v>32350</v>
      </c>
      <c r="X16" s="18" t="n">
        <v>48600</v>
      </c>
      <c r="Y16" s="18" t="n">
        <v>53900</v>
      </c>
      <c r="Z16" s="9" t="n"/>
      <c r="AA16" s="18" t="n">
        <v>59900</v>
      </c>
      <c r="AB16" s="19" t="n">
        <v>94400</v>
      </c>
      <c r="AC16" s="20" t="n">
        <v>58000</v>
      </c>
      <c r="AD16" s="20" t="n">
        <v>49500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5569</v>
      </c>
      <c r="F17" s="9" t="n"/>
      <c r="G17" s="18" t="n">
        <v>6306</v>
      </c>
      <c r="H17" s="18" t="n">
        <v>6180</v>
      </c>
      <c r="I17" s="18" t="n">
        <v>6572</v>
      </c>
      <c r="J17" s="18" t="n">
        <v>6110</v>
      </c>
      <c r="K17" s="9" t="n"/>
      <c r="L17" s="18" t="n">
        <v>6650</v>
      </c>
      <c r="M17" s="18" t="n">
        <v>7190</v>
      </c>
      <c r="N17" s="18" t="n">
        <v>8650</v>
      </c>
      <c r="O17" s="18" t="n">
        <v>7560</v>
      </c>
      <c r="P17" s="9" t="n"/>
      <c r="Q17" s="18" t="n">
        <v>7990</v>
      </c>
      <c r="R17" s="18" t="n">
        <v>9270</v>
      </c>
      <c r="S17" s="18" t="n">
        <v>11000</v>
      </c>
      <c r="T17" s="18" t="n">
        <v>13110</v>
      </c>
      <c r="U17" s="9" t="n"/>
      <c r="V17" s="18" t="n">
        <v>17820</v>
      </c>
      <c r="W17" s="18" t="n">
        <v>20000</v>
      </c>
      <c r="X17" s="18" t="n">
        <v>24650</v>
      </c>
      <c r="Y17" s="18" t="n">
        <v>39400</v>
      </c>
      <c r="Z17" s="9" t="n"/>
      <c r="AA17" s="18" t="n">
        <v>41300</v>
      </c>
      <c r="AB17" s="19" t="n">
        <v>42850</v>
      </c>
      <c r="AC17" s="20" t="n">
        <v>35800</v>
      </c>
      <c r="AD17" s="20" t="n">
        <v>34500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6396.5</v>
      </c>
      <c r="F18" s="9" t="n"/>
      <c r="G18" s="18" t="n">
        <v>7130.2</v>
      </c>
      <c r="H18" s="18" t="n">
        <v>7539.9</v>
      </c>
      <c r="I18" s="18" t="n">
        <v>7942.9</v>
      </c>
      <c r="J18" s="18" t="n">
        <v>7167.7</v>
      </c>
      <c r="K18" s="9" t="n"/>
      <c r="L18" s="18" t="n">
        <v>7374</v>
      </c>
      <c r="M18" s="18" t="n">
        <v>8558.4</v>
      </c>
      <c r="N18" s="18" t="n">
        <v>10654.2</v>
      </c>
      <c r="O18" s="18" t="n">
        <v>8818.299999999999</v>
      </c>
      <c r="P18" s="9" t="n"/>
      <c r="Q18" s="18" t="n">
        <v>9172.799999999999</v>
      </c>
      <c r="R18" s="18" t="n">
        <v>12623.3</v>
      </c>
      <c r="S18" s="18" t="n">
        <v>13837.9</v>
      </c>
      <c r="T18" s="18" t="n">
        <v>15717.2</v>
      </c>
      <c r="U18" s="9" t="n"/>
      <c r="V18" s="18" t="n">
        <v>23237.1</v>
      </c>
      <c r="W18" s="18" t="n">
        <v>27122.5</v>
      </c>
      <c r="X18" s="18" t="n">
        <v>37497.7</v>
      </c>
      <c r="Y18" s="18" t="n">
        <v>44940.7</v>
      </c>
      <c r="Z18" s="9" t="n"/>
      <c r="AA18" s="18" t="n">
        <v>51281.4</v>
      </c>
      <c r="AB18" s="19" t="n">
        <v>62239.3</v>
      </c>
      <c r="AC18" s="20" t="n">
        <v>46760.5</v>
      </c>
      <c r="AD18" s="20" t="n">
        <v>43971.4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0.157226929</v>
      </c>
      <c r="AD21" s="24" t="n">
        <v>0.305452165</v>
      </c>
      <c r="AE21" s="25" t="n"/>
      <c r="AF21" s="24" t="n">
        <v>0.218351601</v>
      </c>
      <c r="AG21" s="24" t="n">
        <v>0.284081852</v>
      </c>
      <c r="AH21" s="24" t="n">
        <v>0.308678392</v>
      </c>
      <c r="AI21" s="24" t="n">
        <v>0.174768422</v>
      </c>
      <c r="AJ21" s="25" t="n"/>
      <c r="AK21" s="24" t="n">
        <v>0.13292188</v>
      </c>
      <c r="AL21" s="24" t="n">
        <v>0.115387427</v>
      </c>
      <c r="AM21" s="24" t="n">
        <v>0.112708772</v>
      </c>
      <c r="AN21" s="24" t="n">
        <v>0.151296301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$D$52</f>
        <v/>
      </c>
      <c r="AD22" s="26">
        <f>$D$52</f>
        <v/>
      </c>
      <c r="AE22" s="25">
        <f>IFERROR(subQ!AE8/subQ!AE5,"")</f>
        <v/>
      </c>
      <c r="AF22" s="26">
        <f>$D$52</f>
        <v/>
      </c>
      <c r="AG22" s="26">
        <f>$D$52</f>
        <v/>
      </c>
      <c r="AH22" s="26">
        <f>$D$52</f>
        <v/>
      </c>
      <c r="AI22" s="26">
        <f>$D$52</f>
        <v/>
      </c>
      <c r="AJ22" s="25">
        <f>IFERROR(subQ!AJ8/subQ!AJ5,"")</f>
        <v/>
      </c>
      <c r="AK22" s="26">
        <f>$D$52</f>
        <v/>
      </c>
      <c r="AL22" s="26">
        <f>$D$52</f>
        <v/>
      </c>
      <c r="AM22" s="26">
        <f>$D$52</f>
        <v/>
      </c>
      <c r="AN22" s="26">
        <f>$D$52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0.08834162600000001</v>
      </c>
      <c r="AD23" s="24" t="n">
        <v>0.088339053</v>
      </c>
      <c r="AE23" s="25">
        <f>IFERROR(subQ!AE9/subQ!AE5,"")</f>
        <v/>
      </c>
      <c r="AF23" s="24" t="n">
        <v>0.08834039</v>
      </c>
      <c r="AG23" s="24" t="n">
        <v>0.088340643</v>
      </c>
      <c r="AH23" s="24" t="n">
        <v>0.088338948</v>
      </c>
      <c r="AI23" s="24" t="n">
        <v>0.08833993699999999</v>
      </c>
      <c r="AJ23" s="25">
        <f>IFERROR(subQ!AJ9/subQ!AJ5,"")</f>
        <v/>
      </c>
      <c r="AK23" s="24" t="n">
        <v>0.088340157</v>
      </c>
      <c r="AL23" s="24" t="n">
        <v>0.088340346</v>
      </c>
      <c r="AM23" s="24" t="n">
        <v>0.088339836</v>
      </c>
      <c r="AN23" s="24" t="n">
        <v>0.088340632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-0.04</v>
      </c>
      <c r="AD28" s="30" t="n">
        <v>-0.04</v>
      </c>
      <c r="AE28" s="31">
        <f>subQ!AE17</f>
        <v/>
      </c>
      <c r="AF28" s="30" t="n">
        <v>-0.04</v>
      </c>
      <c r="AG28" s="30" t="n">
        <v>-0.04</v>
      </c>
      <c r="AH28" s="30" t="n">
        <v>-0.04</v>
      </c>
      <c r="AI28" s="30" t="n">
        <v>-0.04</v>
      </c>
      <c r="AJ28" s="31">
        <f>subQ!AJ17</f>
        <v/>
      </c>
      <c r="AK28" s="30" t="n">
        <v>-0.04</v>
      </c>
      <c r="AL28" s="30" t="n">
        <v>-0.04</v>
      </c>
      <c r="AM28" s="30" t="n">
        <v>-0.04</v>
      </c>
      <c r="AN28" s="30" t="n">
        <v>-0.04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tax</t>
        </is>
      </c>
      <c r="C29" t="inlineStr">
        <is>
          <t>법인세율(/세전) — 법인세 = MAX(세전,0) × 세율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6">
        <f>$D$51</f>
        <v/>
      </c>
      <c r="AD29" s="26">
        <f>$D$51</f>
        <v/>
      </c>
      <c r="AE29" s="25">
        <f>IFERROR(subQ!AE19/subQ!AE18,"")</f>
        <v/>
      </c>
      <c r="AF29" s="26">
        <f>$D$51</f>
        <v/>
      </c>
      <c r="AG29" s="26">
        <f>$D$51</f>
        <v/>
      </c>
      <c r="AH29" s="26">
        <f>$D$51</f>
        <v/>
      </c>
      <c r="AI29" s="26">
        <f>$D$51</f>
        <v/>
      </c>
      <c r="AJ29" s="25">
        <f>IFERROR(subQ!AJ19/subQ!AJ18,"")</f>
        <v/>
      </c>
      <c r="AK29" s="26">
        <f>$D$51</f>
        <v/>
      </c>
      <c r="AL29" s="26">
        <f>$D$51</f>
        <v/>
      </c>
      <c r="AM29" s="26">
        <f>$D$51</f>
        <v/>
      </c>
      <c r="AN29" s="26">
        <f>$D$51</f>
        <v/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$D$53</f>
        <v/>
      </c>
      <c r="AD30" s="26">
        <f>$D$53</f>
        <v/>
      </c>
      <c r="AE30" s="25">
        <f>IFERROR(subQ!AE21/subQ!AE20,"")</f>
        <v/>
      </c>
      <c r="AF30" s="26">
        <f>$D$53</f>
        <v/>
      </c>
      <c r="AG30" s="26">
        <f>$D$53</f>
        <v/>
      </c>
      <c r="AH30" s="26">
        <f>$D$53</f>
        <v/>
      </c>
      <c r="AI30" s="26">
        <f>$D$53</f>
        <v/>
      </c>
      <c r="AJ30" s="25">
        <f>IFERROR(subQ!AJ21/subQ!AJ20,"")</f>
        <v/>
      </c>
      <c r="AK30" s="26">
        <f>$D$53</f>
        <v/>
      </c>
      <c r="AL30" s="26">
        <f>$D$53</f>
        <v/>
      </c>
      <c r="AM30" s="26">
        <f>$D$53</f>
        <v/>
      </c>
      <c r="AN30" s="26">
        <f>$D$53</f>
        <v/>
      </c>
      <c r="AO30" s="25">
        <f>IFERROR(subQ!AO21/subQ!AO20,"")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1.31e-07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0.00530175</v>
      </c>
      <c r="AD32" s="30" t="n">
        <v>-0.013456659</v>
      </c>
      <c r="AE32" s="31" t="n"/>
      <c r="AF32" s="30" t="n">
        <v>-9.101e-05</v>
      </c>
      <c r="AG32" s="30" t="n">
        <v>-0.001622087</v>
      </c>
      <c r="AH32" s="30" t="n">
        <v>-0.002867333</v>
      </c>
      <c r="AI32" s="30" t="n">
        <v>-0.006608591</v>
      </c>
      <c r="AJ32" s="31" t="n"/>
      <c r="AK32" s="30" t="n">
        <v>-6.7464e-05</v>
      </c>
      <c r="AL32" s="30" t="n">
        <v>0.003934382</v>
      </c>
      <c r="AM32" s="30" t="n">
        <v>-0.00065193</v>
      </c>
      <c r="AN32" s="30" t="n">
        <v>0.001525968</v>
      </c>
      <c r="AO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IFERROR(subQ!E25+subQ!G21-subQ!G25,"")</f>
        <v/>
      </c>
      <c r="H33" s="27">
        <f>IFERROR(subQ!G25+subQ!H21-subQ!H25,"")</f>
        <v/>
      </c>
      <c r="I33" s="27">
        <f>IFERROR(subQ!H25+subQ!I21-subQ!I25,"")</f>
        <v/>
      </c>
      <c r="J33" s="27">
        <f>IFERROR(subQ!I25+subQ!J21-subQ!J25,"")</f>
        <v/>
      </c>
      <c r="K33" s="28" t="n"/>
      <c r="L33" s="27">
        <f>IFERROR(subQ!J25+subQ!L21-subQ!L25,"")</f>
        <v/>
      </c>
      <c r="M33" s="27">
        <f>IFERROR(subQ!L25+subQ!M21-subQ!M25,"")</f>
        <v/>
      </c>
      <c r="N33" s="27">
        <f>IFERROR(subQ!M25+subQ!N21-subQ!N25,"")</f>
        <v/>
      </c>
      <c r="O33" s="27">
        <f>IFERROR(subQ!N25+subQ!O21-subQ!O25,"")</f>
        <v/>
      </c>
      <c r="P33" s="28" t="n"/>
      <c r="Q33" s="27">
        <f>IFERROR(subQ!O25+subQ!Q21-subQ!Q25,"")</f>
        <v/>
      </c>
      <c r="R33" s="27">
        <f>IFERROR(subQ!Q25+subQ!R21-subQ!R25,"")</f>
        <v/>
      </c>
      <c r="S33" s="27">
        <f>IFERROR(subQ!R25+subQ!S21-subQ!S25,"")</f>
        <v/>
      </c>
      <c r="T33" s="27">
        <f>IFERROR(subQ!S25+subQ!T21-subQ!T25,"")</f>
        <v/>
      </c>
      <c r="U33" s="28" t="n"/>
      <c r="V33" s="27">
        <f>IFERROR(subQ!T25+subQ!V21-subQ!V25,"")</f>
        <v/>
      </c>
      <c r="W33" s="27">
        <f>IFERROR(subQ!V25+subQ!W21-subQ!W25,"")</f>
        <v/>
      </c>
      <c r="X33" s="27">
        <f>IFERROR(subQ!W25+subQ!X21-subQ!X25,"")</f>
        <v/>
      </c>
      <c r="Y33" s="27">
        <f>IFERROR(subQ!X25+subQ!Y21-subQ!Y25,"")</f>
        <v/>
      </c>
      <c r="Z33" s="28" t="n"/>
      <c r="AA33" s="27">
        <f>IFERROR(subQ!Y25+subQ!AA21-subQ!AA25,"")</f>
        <v/>
      </c>
      <c r="AB33" s="29">
        <f>IFERROR(subQ!AA25+subQ!AB21-subQ!AB25,"")</f>
        <v/>
      </c>
      <c r="AC33" s="30" t="n">
        <v>0.00530175</v>
      </c>
      <c r="AD33" s="30" t="n">
        <v>-0.013456659</v>
      </c>
      <c r="AE33" s="31" t="n"/>
      <c r="AF33" s="30" t="n">
        <v>-9.101e-05</v>
      </c>
      <c r="AG33" s="30" t="n">
        <v>-0.001622087</v>
      </c>
      <c r="AH33" s="30" t="n">
        <v>-0.002867333</v>
      </c>
      <c r="AI33" s="30" t="n">
        <v>-0.006608591</v>
      </c>
      <c r="AJ33" s="31" t="n"/>
      <c r="AK33" s="30" t="n">
        <v>-6.7464e-05</v>
      </c>
      <c r="AL33" s="30" t="n">
        <v>0.003934382</v>
      </c>
      <c r="AM33" s="30" t="n">
        <v>-0.00065193</v>
      </c>
      <c r="AN33" s="30" t="n">
        <v>0.001525968</v>
      </c>
      <c r="AO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1.2984e-05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0.09359310899999999</v>
      </c>
      <c r="AD35" s="24" t="n">
        <v>0.117497723</v>
      </c>
      <c r="AE35" s="25" t="n"/>
      <c r="AF35" s="24" t="n">
        <v>0.093662308</v>
      </c>
      <c r="AG35" s="24" t="n">
        <v>0.094640444</v>
      </c>
      <c r="AH35" s="24" t="n">
        <v>0.084547923</v>
      </c>
      <c r="AI35" s="24" t="n">
        <v>0.096557401</v>
      </c>
      <c r="AJ35" s="25" t="n"/>
      <c r="AK35" s="24" t="n">
        <v>0.076051152</v>
      </c>
      <c r="AL35" s="24" t="n">
        <v>0.076870616</v>
      </c>
      <c r="AM35" s="24" t="n">
        <v>0.069696915</v>
      </c>
      <c r="AN35" s="24" t="n">
        <v>0.082930741</v>
      </c>
      <c r="AO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0.083527318</v>
      </c>
      <c r="AD36" s="24" t="n">
        <v>0.105830599</v>
      </c>
      <c r="AE36" s="25" t="n"/>
      <c r="AF36" s="24" t="n">
        <v>0.085254445</v>
      </c>
      <c r="AG36" s="24" t="n">
        <v>0.08681217200000001</v>
      </c>
      <c r="AH36" s="24" t="n">
        <v>0.078113085</v>
      </c>
      <c r="AI36" s="24" t="n">
        <v>0.08974312399999999</v>
      </c>
      <c r="AJ36" s="25" t="n"/>
      <c r="AK36" s="24" t="n">
        <v>0.071124349</v>
      </c>
      <c r="AL36" s="24" t="n">
        <v>0.07222139800000001</v>
      </c>
      <c r="AM36" s="24" t="n">
        <v>0.065765503</v>
      </c>
      <c r="AN36" s="24" t="n">
        <v>0.078541505</v>
      </c>
      <c r="AO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24" t="n">
        <v>0.399338083</v>
      </c>
      <c r="AD38" s="24" t="n">
        <v>-0.221994387</v>
      </c>
      <c r="AE38" s="25" t="n"/>
      <c r="AF38" s="24" t="n">
        <v>-0.439682912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32" t="n"/>
      <c r="AD39" s="32" t="n"/>
      <c r="AE39" s="25" t="n"/>
      <c r="AF39" s="32" t="n"/>
      <c r="AG39" s="32" t="n"/>
      <c r="AH39" s="32" t="n"/>
      <c r="AI39" s="32" t="n"/>
      <c r="AJ39" s="25" t="n"/>
      <c r="AK39" s="32" t="n"/>
      <c r="AL39" s="32" t="n"/>
      <c r="AM39" s="32" t="n"/>
      <c r="AN39" s="32" t="n"/>
      <c r="AO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IFERROR(subQ!G32/subQ!E32-1,"")</f>
        <v/>
      </c>
      <c r="H40" s="21">
        <f>IFERROR(subQ!H32/subQ!G32-1,"")</f>
        <v/>
      </c>
      <c r="I40" s="21">
        <f>IFERROR(subQ!I32/subQ!H32-1,"")</f>
        <v/>
      </c>
      <c r="J40" s="21">
        <f>IFERROR(subQ!J32/subQ!I32-1,"")</f>
        <v/>
      </c>
      <c r="K40" s="22" t="n"/>
      <c r="L40" s="21">
        <f>IFERROR(subQ!L32/subQ!J32-1,"")</f>
        <v/>
      </c>
      <c r="M40" s="21">
        <f>IFERROR(subQ!M32/subQ!L32-1,"")</f>
        <v/>
      </c>
      <c r="N40" s="21">
        <f>IFERROR(subQ!N32/subQ!M32-1,"")</f>
        <v/>
      </c>
      <c r="O40" s="21">
        <f>IFERROR(subQ!O32/subQ!N32-1,"")</f>
        <v/>
      </c>
      <c r="P40" s="22" t="n"/>
      <c r="Q40" s="21">
        <f>IFERROR(subQ!Q32/subQ!O32-1,"")</f>
        <v/>
      </c>
      <c r="R40" s="21">
        <f>IFERROR(subQ!R32/subQ!Q32-1,"")</f>
        <v/>
      </c>
      <c r="S40" s="21">
        <f>IFERROR(subQ!S32/subQ!R32-1,"")</f>
        <v/>
      </c>
      <c r="T40" s="21">
        <f>IFERROR(subQ!T32/subQ!S32-1,"")</f>
        <v/>
      </c>
      <c r="U40" s="22" t="n"/>
      <c r="V40" s="21">
        <f>IFERROR(subQ!V32/subQ!T32-1,"")</f>
        <v/>
      </c>
      <c r="W40" s="21">
        <f>IFERROR(subQ!W32/subQ!V32-1,"")</f>
        <v/>
      </c>
      <c r="X40" s="21">
        <f>IFERROR(subQ!X32/subQ!W32-1,"")</f>
        <v/>
      </c>
      <c r="Y40" s="21">
        <f>IFERROR(subQ!Y32/subQ!X32-1,"")</f>
        <v/>
      </c>
      <c r="Z40" s="22" t="n"/>
      <c r="AA40" s="21">
        <f>IFERROR(subQ!AA32/subQ!Y32-1,"")</f>
        <v/>
      </c>
      <c r="AB40" s="23">
        <f>IFERROR(subQ!AB32/subQ!AA32-1,"")</f>
        <v/>
      </c>
      <c r="AC40" s="24" t="n">
        <v>0</v>
      </c>
      <c r="AD40" s="24" t="n">
        <v>0</v>
      </c>
      <c r="AE40" s="25" t="n"/>
      <c r="AF40" s="24" t="n">
        <v>0</v>
      </c>
      <c r="AG40" s="24" t="n">
        <v>0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subQ!E35</f>
        <v/>
      </c>
      <c r="F41" s="28">
        <f>subQ!F35</f>
        <v/>
      </c>
      <c r="G41" s="27">
        <f>subQ!G35</f>
        <v/>
      </c>
      <c r="H41" s="27">
        <f>subQ!H35</f>
        <v/>
      </c>
      <c r="I41" s="27">
        <f>subQ!I35</f>
        <v/>
      </c>
      <c r="J41" s="27">
        <f>subQ!J35</f>
        <v/>
      </c>
      <c r="K41" s="28">
        <f>subQ!K35</f>
        <v/>
      </c>
      <c r="L41" s="27">
        <f>subQ!L35</f>
        <v/>
      </c>
      <c r="M41" s="27">
        <f>subQ!M35</f>
        <v/>
      </c>
      <c r="N41" s="27">
        <f>subQ!N35</f>
        <v/>
      </c>
      <c r="O41" s="27">
        <f>subQ!O35</f>
        <v/>
      </c>
      <c r="P41" s="28">
        <f>subQ!P35</f>
        <v/>
      </c>
      <c r="Q41" s="27">
        <f>subQ!Q35</f>
        <v/>
      </c>
      <c r="R41" s="27">
        <f>subQ!R35</f>
        <v/>
      </c>
      <c r="S41" s="27">
        <f>subQ!S35</f>
        <v/>
      </c>
      <c r="T41" s="27">
        <f>subQ!T35</f>
        <v/>
      </c>
      <c r="U41" s="28">
        <f>subQ!U35</f>
        <v/>
      </c>
      <c r="V41" s="27">
        <f>subQ!V35</f>
        <v/>
      </c>
      <c r="W41" s="27">
        <f>subQ!W35</f>
        <v/>
      </c>
      <c r="X41" s="27">
        <f>subQ!X35</f>
        <v/>
      </c>
      <c r="Y41" s="27">
        <f>subQ!Y35</f>
        <v/>
      </c>
      <c r="Z41" s="28">
        <f>subQ!Z35</f>
        <v/>
      </c>
      <c r="AA41" s="27">
        <f>subQ!AA35</f>
        <v/>
      </c>
      <c r="AB41" s="29">
        <f>subQ!AB35</f>
        <v/>
      </c>
      <c r="AC41" s="33" t="n"/>
      <c r="AD41" s="30" t="n">
        <v>0</v>
      </c>
      <c r="AE41" s="31">
        <f>subQ!AE35</f>
        <v/>
      </c>
      <c r="AF41" s="33" t="n"/>
      <c r="AG41" s="33" t="n"/>
      <c r="AH41" s="33" t="n"/>
      <c r="AI41" s="30" t="n">
        <v>0</v>
      </c>
      <c r="AJ41" s="31">
        <f>subQ!AJ35</f>
        <v/>
      </c>
      <c r="AK41" s="33" t="n"/>
      <c r="AL41" s="33" t="n"/>
      <c r="AM41" s="33" t="n"/>
      <c r="AN41" s="30" t="n">
        <v>0</v>
      </c>
      <c r="AO41" s="31">
        <f>subQ!AO35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37400</v>
      </c>
      <c r="E44" s="2" t="inlineStr">
        <is>
          <t>원 — 네이버 정규장 종가(aik 확정종가 대조 · aik 41,050원)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20261013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21.6</v>
      </c>
      <c r="E47" s="2" t="inlineStr">
        <is>
          <t>PER 밴드 하단(배) — hist_quarterly(분기 평균가 ÷ TTM EPS, 11분기, 25/50/75 백분위) · 캡 5~30배 적용(원값 21.6/24.9/48.7)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24.9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30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0.2199980824340304</v>
      </c>
      <c r="E51" s="2" t="inlineStr">
        <is>
          <t>연결 — 법인세 = MAX(세전,0) × 세율(역산, 재현 오차 ≤ 0.05억 · 모델 assumptions 0.22) · 최근 12분기 유효세율 -12.9% 가 5~27% 밖; 세전 &gt; 0 분기 중위 2.9% 도 5~27% 밖 → 법정세율 근사 22% 가정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0.04577705831166107</v>
      </c>
      <c r="E52" s="2" t="inlineStr">
        <is>
          <t>연결 — 판관비 = 매출액 × 판관비율(역산, 재현 오차 ≤ 0.05억 · 모델 assumptions 0.0458)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0.03770089459587493</v>
      </c>
      <c r="E54" s="2" t="inlineStr">
        <is>
          <t>연결 — 이자손익 = (전분기 이자발생자산 × 자산이자율 − 전분기 총차입금 × 부채이자율)/4(역산, 재현 오차 ≤ 0.05억 · 모델 assumptions 0.0377)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0.05046515597315091</v>
      </c>
      <c r="E55" s="2" t="inlineStr">
        <is>
          <t>연결 — 같은 수식의 부채 쪽(총차입금 행이 없으면 0)(역산, 재현 오차 ≤ 0.05억 · 모델 assumptions 0.0504)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한화엔진(연)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344869.46</v>
      </c>
      <c r="F5" s="37" t="n">
        <v>344869.46</v>
      </c>
      <c r="G5" s="18" t="n">
        <v>353848.61</v>
      </c>
      <c r="H5" s="18" t="n">
        <v>389318.95</v>
      </c>
      <c r="I5" s="18" t="n">
        <v>539497.0699999999</v>
      </c>
      <c r="J5" s="18" t="n">
        <v>471073.55</v>
      </c>
      <c r="K5" s="37" t="n">
        <v>471073.55</v>
      </c>
      <c r="L5" s="18" t="n">
        <v>492546.99</v>
      </c>
      <c r="M5" s="18" t="n">
        <v>552402.0699999999</v>
      </c>
      <c r="P5" s="9" t="n"/>
      <c r="U5" s="9" t="n"/>
      <c r="Y5" s="18" t="n">
        <v>1031851.25</v>
      </c>
      <c r="Z5" s="37" t="n">
        <v>1031851.25</v>
      </c>
      <c r="AA5" s="18" t="n">
        <v>856528.61</v>
      </c>
      <c r="AB5" s="19" t="n">
        <v>1040092.87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54072.27</v>
      </c>
      <c r="F6" s="37" t="n">
        <v>54072.27</v>
      </c>
      <c r="G6" s="18" t="n">
        <v>63867.89</v>
      </c>
      <c r="H6" s="18" t="n">
        <v>54601.56</v>
      </c>
      <c r="I6" s="18" t="n">
        <v>91486.71000000001</v>
      </c>
      <c r="J6" s="18" t="n">
        <v>54559.25</v>
      </c>
      <c r="K6" s="37" t="n">
        <v>54559.25</v>
      </c>
      <c r="L6" s="18" t="n">
        <v>66371.55</v>
      </c>
      <c r="M6" s="18" t="n">
        <v>33083.66</v>
      </c>
      <c r="P6" s="9" t="n"/>
      <c r="U6" s="9" t="n"/>
      <c r="Y6" s="18" t="n">
        <v>276708.03</v>
      </c>
      <c r="Z6" s="37" t="n">
        <v>276708.03</v>
      </c>
      <c r="AA6" s="18" t="n">
        <v>49997.56</v>
      </c>
      <c r="AB6" s="19" t="n">
        <v>163635.95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12702.29</v>
      </c>
      <c r="F7" s="37" t="n">
        <v>12702.29</v>
      </c>
      <c r="G7" s="18" t="n">
        <v>8568</v>
      </c>
      <c r="H7" s="18" t="n">
        <v>8497.16</v>
      </c>
      <c r="I7" s="18" t="n">
        <v>42291.27</v>
      </c>
      <c r="J7" s="18" t="n">
        <v>15156.82</v>
      </c>
      <c r="K7" s="37" t="n">
        <v>15156.82</v>
      </c>
      <c r="L7" s="18" t="n">
        <v>13870.42</v>
      </c>
      <c r="M7" s="18" t="n">
        <v>13910.76</v>
      </c>
      <c r="P7" s="9" t="n"/>
      <c r="U7" s="9" t="n"/>
      <c r="Y7" s="18" t="n">
        <v>133988.65</v>
      </c>
      <c r="Z7" s="37" t="n">
        <v>133988.65</v>
      </c>
      <c r="AA7" s="18" t="n">
        <v>65265.9</v>
      </c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12825.24</v>
      </c>
      <c r="F8" s="37" t="n">
        <v>12825.24</v>
      </c>
      <c r="G8" s="18" t="n">
        <v>8689.65</v>
      </c>
      <c r="H8" s="18" t="n">
        <v>8610.459999999999</v>
      </c>
      <c r="I8" s="18" t="n">
        <v>42395.52</v>
      </c>
      <c r="J8" s="18" t="n">
        <v>15257.32</v>
      </c>
      <c r="K8" s="37" t="n">
        <v>15257.32</v>
      </c>
      <c r="L8" s="18" t="n">
        <v>13974.42</v>
      </c>
      <c r="M8" s="18" t="n">
        <v>14015.66</v>
      </c>
      <c r="P8" s="9" t="n"/>
      <c r="U8" s="9" t="n"/>
      <c r="Y8" s="18" t="n">
        <v>134106</v>
      </c>
      <c r="Z8" s="37" t="n">
        <v>134106</v>
      </c>
      <c r="AA8" s="18" t="n">
        <v>70823.39999999999</v>
      </c>
      <c r="AB8" s="19" t="n">
        <v>142045.33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단기대여금</t>
        </is>
      </c>
      <c r="E9" s="18" t="n">
        <v>122.95</v>
      </c>
      <c r="F9" s="37" t="n">
        <v>122.95</v>
      </c>
      <c r="G9" s="18" t="n">
        <v>121.65</v>
      </c>
      <c r="H9" s="18" t="n">
        <v>113.3</v>
      </c>
      <c r="I9" s="18" t="n">
        <v>104.25</v>
      </c>
      <c r="J9" s="18" t="n">
        <v>100.5</v>
      </c>
      <c r="K9" s="37" t="n">
        <v>100.5</v>
      </c>
      <c r="L9" s="18" t="n">
        <v>104</v>
      </c>
      <c r="M9" s="18" t="n">
        <v>104.9</v>
      </c>
      <c r="P9" s="9" t="n"/>
      <c r="U9" s="9" t="n"/>
      <c r="Y9" s="18" t="n">
        <v>117.35</v>
      </c>
      <c r="Z9" s="37" t="n">
        <v>117.35</v>
      </c>
      <c r="AA9" s="18" t="n">
        <v>176.2</v>
      </c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59573.79</v>
      </c>
      <c r="F10" s="37" t="n">
        <v>59573.79</v>
      </c>
      <c r="G10" s="18" t="n">
        <v>56633.51</v>
      </c>
      <c r="H10" s="18" t="n">
        <v>50838.22</v>
      </c>
      <c r="I10" s="18" t="n">
        <v>49956.88</v>
      </c>
      <c r="J10" s="18" t="n">
        <v>71262.89</v>
      </c>
      <c r="K10" s="37" t="n">
        <v>71262.89</v>
      </c>
      <c r="L10" s="18" t="n">
        <v>69235.42999999999</v>
      </c>
      <c r="M10" s="18" t="n">
        <v>72694.88</v>
      </c>
      <c r="P10" s="9" t="n"/>
      <c r="U10" s="9" t="n"/>
      <c r="Y10" s="18" t="n">
        <v>165742.58</v>
      </c>
      <c r="Z10" s="37" t="n">
        <v>165742.58</v>
      </c>
      <c r="AA10" s="18" t="n">
        <v>193202.37</v>
      </c>
      <c r="AB10" s="19" t="n">
        <v>152728.52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계약자산</t>
        </is>
      </c>
      <c r="E11" s="18" t="n">
        <v>12664.66</v>
      </c>
      <c r="F11" s="37" t="n">
        <v>12664.66</v>
      </c>
      <c r="K11" s="9" t="n"/>
      <c r="P11" s="9" t="n"/>
      <c r="U11" s="9" t="n"/>
      <c r="Z11" s="9" t="n"/>
      <c r="AB11" s="19" t="n">
        <v>17130.13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146.29</v>
      </c>
      <c r="F12" s="37" t="n">
        <v>146.29</v>
      </c>
      <c r="G12" s="18" t="n">
        <v>152.66</v>
      </c>
      <c r="H12" s="18" t="n">
        <v>117.23</v>
      </c>
      <c r="I12" s="18" t="n">
        <v>139.42</v>
      </c>
      <c r="J12" s="18" t="n">
        <v>211.85</v>
      </c>
      <c r="K12" s="37" t="n">
        <v>211.85</v>
      </c>
      <c r="L12" s="18" t="n">
        <v>257.65</v>
      </c>
      <c r="M12" s="18" t="n">
        <v>312.85</v>
      </c>
      <c r="P12" s="9" t="n"/>
      <c r="U12" s="9" t="n"/>
      <c r="Y12" s="18" t="n">
        <v>18.3</v>
      </c>
      <c r="Z12" s="37" t="n">
        <v>18.3</v>
      </c>
      <c r="AB12" s="19" t="n">
        <v>334.38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18" t="n">
        <v>179427.93</v>
      </c>
      <c r="F13" s="37" t="n">
        <v>179427.93</v>
      </c>
      <c r="G13" s="18" t="n">
        <v>190338.02</v>
      </c>
      <c r="H13" s="18" t="n">
        <v>219008.4</v>
      </c>
      <c r="I13" s="18" t="n">
        <v>241946.35</v>
      </c>
      <c r="J13" s="18" t="n">
        <v>252292.72</v>
      </c>
      <c r="K13" s="37" t="n">
        <v>252292.72</v>
      </c>
      <c r="L13" s="18" t="n">
        <v>269549.22</v>
      </c>
      <c r="M13" s="18" t="n">
        <v>322351.85</v>
      </c>
      <c r="P13" s="9" t="n"/>
      <c r="U13" s="9" t="n"/>
      <c r="Y13" s="18" t="n">
        <v>356165.91</v>
      </c>
      <c r="Z13" s="37" t="n">
        <v>356165.91</v>
      </c>
      <c r="AA13" s="18" t="n">
        <v>391082.44</v>
      </c>
      <c r="AB13" s="19" t="n">
        <v>474237.38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기타유동자산</t>
        </is>
      </c>
      <c r="E14" s="18" t="n">
        <v>9051.299999999999</v>
      </c>
      <c r="F14" s="37" t="n">
        <v>9051.299999999999</v>
      </c>
      <c r="G14" s="18" t="n">
        <v>12040.68</v>
      </c>
      <c r="H14" s="18" t="n">
        <v>14130.14</v>
      </c>
      <c r="I14" s="18" t="n">
        <v>15952.97</v>
      </c>
      <c r="J14" s="18" t="n">
        <v>14647.14</v>
      </c>
      <c r="K14" s="37" t="n">
        <v>14647.14</v>
      </c>
      <c r="L14" s="18" t="n">
        <v>14546.24</v>
      </c>
      <c r="M14" s="18" t="n">
        <v>16315.88</v>
      </c>
      <c r="P14" s="9" t="n"/>
      <c r="U14" s="9" t="n"/>
      <c r="Y14" s="18" t="n">
        <v>15258.84</v>
      </c>
      <c r="Z14" s="37" t="n">
        <v>15258.84</v>
      </c>
      <c r="AA14" s="18" t="n">
        <v>29390.95</v>
      </c>
      <c r="AB14" s="19" t="n">
        <v>33442.32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450755.27</v>
      </c>
      <c r="F15" s="37" t="n">
        <v>450755.27</v>
      </c>
      <c r="G15" s="18" t="n">
        <v>449351.04</v>
      </c>
      <c r="H15" s="18" t="n">
        <v>482798.51</v>
      </c>
      <c r="I15" s="18" t="n">
        <v>541209.9300000001</v>
      </c>
      <c r="J15" s="18" t="n">
        <v>485156.75</v>
      </c>
      <c r="K15" s="37" t="n">
        <v>485156.75</v>
      </c>
      <c r="L15" s="18" t="n">
        <v>502326.36</v>
      </c>
      <c r="M15" s="18" t="n">
        <v>477828.77</v>
      </c>
      <c r="P15" s="9" t="n"/>
      <c r="U15" s="9" t="n"/>
      <c r="Y15" s="18" t="n">
        <v>663839.01</v>
      </c>
      <c r="Z15" s="37" t="n">
        <v>663839.01</v>
      </c>
      <c r="AA15" s="18" t="n">
        <v>1054041.04</v>
      </c>
      <c r="AB15" s="19" t="n">
        <v>1130671.81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518.77</v>
      </c>
      <c r="F16" s="37" t="n">
        <v>518.77</v>
      </c>
      <c r="G16" s="18" t="n">
        <v>1472</v>
      </c>
      <c r="H16" s="18" t="n">
        <v>3639.48</v>
      </c>
      <c r="I16" s="18" t="n">
        <v>5621.98</v>
      </c>
      <c r="J16" s="18" t="n">
        <v>8008.43</v>
      </c>
      <c r="K16" s="37" t="n">
        <v>8008.43</v>
      </c>
      <c r="L16" s="18" t="n">
        <v>7778.89</v>
      </c>
      <c r="M16" s="18" t="n">
        <v>8472.58</v>
      </c>
      <c r="P16" s="9" t="n"/>
      <c r="U16" s="9" t="n"/>
      <c r="Y16" s="18" t="n">
        <v>1158.77</v>
      </c>
      <c r="Z16" s="37" t="n">
        <v>1158.77</v>
      </c>
      <c r="AA16" s="18" t="n">
        <v>1158.77</v>
      </c>
      <c r="AB16" s="19" t="n">
        <v>1460.03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3668.07</v>
      </c>
      <c r="F17" s="37" t="n">
        <v>3668.07</v>
      </c>
      <c r="G17" s="18" t="n">
        <v>3276.48</v>
      </c>
      <c r="H17" s="18" t="n">
        <v>5479.86</v>
      </c>
      <c r="I17" s="18" t="n">
        <v>7421.14</v>
      </c>
      <c r="J17" s="18" t="n">
        <v>44759.74</v>
      </c>
      <c r="K17" s="37" t="n">
        <v>44759.74</v>
      </c>
      <c r="L17" s="18" t="n">
        <v>44784.07</v>
      </c>
      <c r="M17" s="18" t="n">
        <v>9887.23</v>
      </c>
      <c r="P17" s="9" t="n"/>
      <c r="U17" s="9" t="n"/>
      <c r="Y17" s="18" t="n">
        <v>1517.76</v>
      </c>
      <c r="Z17" s="37" t="n">
        <v>1517.76</v>
      </c>
      <c r="AA17" s="18" t="n">
        <v>1866.96</v>
      </c>
      <c r="AB17" s="19" t="n">
        <v>128253.11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2839.41</v>
      </c>
      <c r="F18" s="37" t="n">
        <v>2839.41</v>
      </c>
      <c r="G18" s="18" t="n">
        <v>1514.03</v>
      </c>
      <c r="H18" s="18" t="n">
        <v>1532.32</v>
      </c>
      <c r="I18" s="18" t="n">
        <v>1532.32</v>
      </c>
      <c r="J18" s="18" t="n">
        <v>36484.57</v>
      </c>
      <c r="K18" s="37" t="n">
        <v>36484.57</v>
      </c>
      <c r="L18" s="18" t="n">
        <v>36624.78</v>
      </c>
      <c r="M18" s="18" t="n">
        <v>1076.27</v>
      </c>
      <c r="P18" s="9" t="n"/>
      <c r="U18" s="9" t="n"/>
      <c r="Z18" s="9" t="n"/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장기대여금</t>
        </is>
      </c>
      <c r="E19" s="18" t="n">
        <v>309.89</v>
      </c>
      <c r="F19" s="37" t="n">
        <v>309.89</v>
      </c>
      <c r="G19" s="18" t="n">
        <v>290.45</v>
      </c>
      <c r="H19" s="18" t="n">
        <v>308.06</v>
      </c>
      <c r="I19" s="18" t="n">
        <v>266.84</v>
      </c>
      <c r="J19" s="18" t="n">
        <v>266.74</v>
      </c>
      <c r="K19" s="37" t="n">
        <v>266.74</v>
      </c>
      <c r="L19" s="18" t="n">
        <v>380.4</v>
      </c>
      <c r="M19" s="18" t="n">
        <v>338.38</v>
      </c>
      <c r="P19" s="9" t="n"/>
      <c r="U19" s="9" t="n"/>
      <c r="Y19" s="18" t="n">
        <v>358.99</v>
      </c>
      <c r="Z19" s="37" t="n">
        <v>358.99</v>
      </c>
      <c r="AA19" s="18" t="n">
        <v>463.3</v>
      </c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장기매출채권및기타채권</t>
        </is>
      </c>
      <c r="E20" s="18" t="n">
        <v>579.58</v>
      </c>
      <c r="F20" s="37" t="n">
        <v>579.58</v>
      </c>
      <c r="G20" s="18" t="n">
        <v>591.47</v>
      </c>
      <c r="H20" s="18" t="n">
        <v>593.29</v>
      </c>
      <c r="I20" s="18" t="n">
        <v>596.4299999999999</v>
      </c>
      <c r="J20" s="18" t="n">
        <v>591.97</v>
      </c>
      <c r="K20" s="37" t="n">
        <v>591.97</v>
      </c>
      <c r="L20" s="18" t="n">
        <v>608.8099999999999</v>
      </c>
      <c r="M20" s="18" t="n">
        <v>596.33</v>
      </c>
      <c r="P20" s="9" t="n"/>
      <c r="U20" s="9" t="n"/>
      <c r="Y20" s="18" t="n">
        <v>2734.92</v>
      </c>
      <c r="Z20" s="37" t="n">
        <v>2734.92</v>
      </c>
      <c r="AA20" s="18" t="n">
        <v>2278.51</v>
      </c>
      <c r="AB20" s="19" t="n">
        <v>3173.69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유형자산</t>
        </is>
      </c>
      <c r="E21" s="18" t="n">
        <v>361262.63</v>
      </c>
      <c r="F21" s="37" t="n">
        <v>361262.63</v>
      </c>
      <c r="G21" s="18" t="n">
        <v>359286.02</v>
      </c>
      <c r="H21" s="18" t="n">
        <v>359531.92</v>
      </c>
      <c r="I21" s="18" t="n">
        <v>357967.24</v>
      </c>
      <c r="J21" s="18" t="n">
        <v>354241.66</v>
      </c>
      <c r="K21" s="37" t="n">
        <v>354241.66</v>
      </c>
      <c r="L21" s="18" t="n">
        <v>356421.66</v>
      </c>
      <c r="M21" s="18" t="n">
        <v>366070.83</v>
      </c>
      <c r="P21" s="9" t="n"/>
      <c r="U21" s="9" t="n"/>
      <c r="Y21" s="18" t="n">
        <v>433599.71</v>
      </c>
      <c r="Z21" s="37" t="n">
        <v>433599.71</v>
      </c>
      <c r="AA21" s="18" t="n">
        <v>460320.15</v>
      </c>
      <c r="AB21" s="19" t="n">
        <v>493553.84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사용권자산</t>
        </is>
      </c>
      <c r="E22" s="18" t="n">
        <v>11937.8</v>
      </c>
      <c r="F22" s="37" t="n">
        <v>11937.8</v>
      </c>
      <c r="G22" s="18" t="n">
        <v>11592.36</v>
      </c>
      <c r="H22" s="18" t="n">
        <v>11237.53</v>
      </c>
      <c r="I22" s="18" t="n">
        <v>10805</v>
      </c>
      <c r="J22" s="18" t="n">
        <v>10742.3</v>
      </c>
      <c r="K22" s="37" t="n">
        <v>10742.3</v>
      </c>
      <c r="L22" s="18" t="n">
        <v>10533.81</v>
      </c>
      <c r="M22" s="18" t="n">
        <v>11288.93</v>
      </c>
      <c r="P22" s="9" t="n"/>
      <c r="U22" s="9" t="n"/>
      <c r="Y22" s="18" t="n">
        <v>9028.790000000001</v>
      </c>
      <c r="Z22" s="37" t="n">
        <v>9028.790000000001</v>
      </c>
      <c r="AA22" s="18" t="n">
        <v>8890.83</v>
      </c>
      <c r="AB22" s="19" t="n">
        <v>19496.9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기타비유동자산</t>
        </is>
      </c>
      <c r="E23" s="18" t="n">
        <v>13689.75</v>
      </c>
      <c r="F23" s="37" t="n">
        <v>13689.75</v>
      </c>
      <c r="G23" s="18" t="n">
        <v>13217.1</v>
      </c>
      <c r="H23" s="18" t="n">
        <v>13172.23</v>
      </c>
      <c r="I23" s="18" t="n">
        <v>13028.98</v>
      </c>
      <c r="J23" s="18" t="n">
        <v>11779.6</v>
      </c>
      <c r="K23" s="37" t="n">
        <v>11779.6</v>
      </c>
      <c r="L23" s="18" t="n">
        <v>12044.73</v>
      </c>
      <c r="M23" s="18" t="n">
        <v>12723.46</v>
      </c>
      <c r="P23" s="9" t="n"/>
      <c r="U23" s="9" t="n"/>
      <c r="Y23" s="18" t="n">
        <v>16298.55</v>
      </c>
      <c r="Z23" s="37" t="n">
        <v>16298.55</v>
      </c>
      <c r="AA23" s="18" t="n">
        <v>323080.24</v>
      </c>
      <c r="AB23" s="19" t="n">
        <v>26664.74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투자부동산</t>
        </is>
      </c>
      <c r="E24" s="18" t="n">
        <v>47673.85</v>
      </c>
      <c r="F24" s="37" t="n">
        <v>47673.85</v>
      </c>
      <c r="G24" s="18" t="n">
        <v>47673.85</v>
      </c>
      <c r="H24" s="18" t="n">
        <v>47169.78</v>
      </c>
      <c r="I24" s="18" t="n">
        <v>47169.78</v>
      </c>
      <c r="J24" s="18" t="n">
        <v>47192.31</v>
      </c>
      <c r="K24" s="37" t="n">
        <v>47192.31</v>
      </c>
      <c r="L24" s="18" t="n">
        <v>47192.31</v>
      </c>
      <c r="M24" s="18" t="n">
        <v>47192.31</v>
      </c>
      <c r="P24" s="9" t="n"/>
      <c r="U24" s="9" t="n"/>
      <c r="Y24" s="18" t="n">
        <v>48965.82</v>
      </c>
      <c r="Z24" s="37" t="n">
        <v>48965.82</v>
      </c>
      <c r="AA24" s="18" t="n">
        <v>48965.82</v>
      </c>
      <c r="AB24" s="19" t="n">
        <v>48965.82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무형자산</t>
        </is>
      </c>
      <c r="E25" s="18" t="n">
        <v>3755.14</v>
      </c>
      <c r="F25" s="37" t="n">
        <v>3755.14</v>
      </c>
      <c r="G25" s="18" t="n">
        <v>3534.4</v>
      </c>
      <c r="H25" s="18" t="n">
        <v>3429.61</v>
      </c>
      <c r="I25" s="18" t="n">
        <v>3488.19</v>
      </c>
      <c r="J25" s="18" t="n">
        <v>3448.29</v>
      </c>
      <c r="K25" s="37" t="n">
        <v>3448.29</v>
      </c>
      <c r="L25" s="18" t="n">
        <v>3209.51</v>
      </c>
      <c r="M25" s="18" t="n">
        <v>2967.92</v>
      </c>
      <c r="P25" s="9" t="n"/>
      <c r="U25" s="9" t="n"/>
      <c r="Y25" s="18" t="n">
        <v>9617.77</v>
      </c>
      <c r="Z25" s="37" t="n">
        <v>9617.77</v>
      </c>
      <c r="AA25" s="18" t="n">
        <v>20383.14</v>
      </c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이연법인세자산</t>
        </is>
      </c>
      <c r="E26" s="18" t="n">
        <v>13995.03</v>
      </c>
      <c r="F26" s="37" t="n">
        <v>13995.03</v>
      </c>
      <c r="G26" s="18" t="n">
        <v>14685.46</v>
      </c>
      <c r="H26" s="18" t="n">
        <v>14877.67</v>
      </c>
      <c r="I26" s="18" t="n">
        <v>13452.88</v>
      </c>
      <c r="J26" s="18" t="n">
        <v>13110.98</v>
      </c>
      <c r="K26" s="37" t="n">
        <v>13110.98</v>
      </c>
      <c r="L26" s="18" t="n">
        <v>11554.47</v>
      </c>
      <c r="M26" s="18" t="n">
        <v>11454.18</v>
      </c>
      <c r="P26" s="9" t="n"/>
      <c r="U26" s="9" t="n"/>
      <c r="Y26" s="18" t="n">
        <v>77750.89</v>
      </c>
      <c r="Z26" s="37" t="n">
        <v>77750.89</v>
      </c>
      <c r="AA26" s="18" t="n">
        <v>64689.18</v>
      </c>
      <c r="AB26" s="19" t="n">
        <v>65305.78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자산총계</t>
        </is>
      </c>
      <c r="E27" s="18" t="n">
        <v>795624.73</v>
      </c>
      <c r="F27" s="37" t="n">
        <v>795624.73</v>
      </c>
      <c r="G27" s="18" t="n">
        <v>803199.65</v>
      </c>
      <c r="H27" s="18" t="n">
        <v>872117.46</v>
      </c>
      <c r="I27" s="18" t="n">
        <v>1080707</v>
      </c>
      <c r="J27" s="18" t="n">
        <v>956230.29</v>
      </c>
      <c r="K27" s="37" t="n">
        <v>956230.29</v>
      </c>
      <c r="L27" s="18" t="n">
        <v>994873.36</v>
      </c>
      <c r="M27" s="18" t="n">
        <v>1030230.84</v>
      </c>
      <c r="P27" s="9" t="n"/>
      <c r="U27" s="9" t="n"/>
      <c r="Y27" s="18" t="n">
        <v>1695690.26</v>
      </c>
      <c r="Z27" s="37" t="n">
        <v>1695690.26</v>
      </c>
      <c r="AA27" s="18" t="n">
        <v>1910569.65</v>
      </c>
      <c r="AB27" s="19" t="n">
        <v>2170764.68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유동부채</t>
        </is>
      </c>
      <c r="E28" s="18" t="n">
        <v>431103.69</v>
      </c>
      <c r="F28" s="37" t="n">
        <v>431103.69</v>
      </c>
      <c r="G28" s="18" t="n">
        <v>475517.02</v>
      </c>
      <c r="H28" s="18" t="n">
        <v>549023.5600000001</v>
      </c>
      <c r="I28" s="18" t="n">
        <v>606568.37</v>
      </c>
      <c r="J28" s="18" t="n">
        <v>498756.38</v>
      </c>
      <c r="K28" s="37" t="n">
        <v>498756.38</v>
      </c>
      <c r="L28" s="18" t="n">
        <v>533646.28</v>
      </c>
      <c r="M28" s="18" t="n">
        <v>518471.56</v>
      </c>
      <c r="P28" s="9" t="n"/>
      <c r="U28" s="9" t="n"/>
      <c r="Y28" s="18" t="n">
        <v>611221.29</v>
      </c>
      <c r="Z28" s="37" t="n">
        <v>611221.29</v>
      </c>
      <c r="AA28" s="18" t="n">
        <v>722234.12</v>
      </c>
      <c r="AB28" s="19" t="n">
        <v>818702.3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매입채무및기타채무</t>
        </is>
      </c>
      <c r="E29" s="18" t="n">
        <v>124028.52</v>
      </c>
      <c r="F29" s="37" t="n">
        <v>124028.52</v>
      </c>
      <c r="G29" s="18" t="n">
        <v>132551.37</v>
      </c>
      <c r="H29" s="18" t="n">
        <v>132319.06</v>
      </c>
      <c r="I29" s="18" t="n">
        <v>118165.31</v>
      </c>
      <c r="J29" s="18" t="n">
        <v>133169.77</v>
      </c>
      <c r="K29" s="37" t="n">
        <v>133169.77</v>
      </c>
      <c r="L29" s="18" t="n">
        <v>140100.22</v>
      </c>
      <c r="M29" s="18" t="n">
        <v>144542.5</v>
      </c>
      <c r="P29" s="9" t="n"/>
      <c r="U29" s="9" t="n"/>
      <c r="Y29" s="18" t="n">
        <v>179006.96</v>
      </c>
      <c r="Z29" s="37" t="n">
        <v>179006.96</v>
      </c>
      <c r="AA29" s="18" t="n">
        <v>229328.81</v>
      </c>
      <c r="AB29" s="19" t="n">
        <v>220566.4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계약부채</t>
        </is>
      </c>
      <c r="E30" s="18" t="n">
        <v>2381.61</v>
      </c>
      <c r="F30" s="37" t="n">
        <v>2381.61</v>
      </c>
      <c r="G30" s="18" t="n">
        <v>2232.58</v>
      </c>
      <c r="H30" s="18" t="n">
        <v>2337.48</v>
      </c>
      <c r="I30" s="18" t="n">
        <v>2295.76</v>
      </c>
      <c r="J30" s="18" t="n">
        <v>125312.31</v>
      </c>
      <c r="K30" s="37" t="n">
        <v>125312.31</v>
      </c>
      <c r="L30" s="18" t="n">
        <v>136489.79</v>
      </c>
      <c r="M30" s="18" t="n">
        <v>153159.35</v>
      </c>
      <c r="P30" s="9" t="n"/>
      <c r="U30" s="9" t="n"/>
      <c r="Y30" s="18" t="n">
        <v>250874.74</v>
      </c>
      <c r="Z30" s="37" t="n">
        <v>250874.74</v>
      </c>
      <c r="AA30" s="18" t="n">
        <v>269004.85</v>
      </c>
      <c r="AB30" s="19" t="n">
        <v>382815.21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단기차입금</t>
        </is>
      </c>
      <c r="E31" s="18" t="n">
        <v>127850.09</v>
      </c>
      <c r="F31" s="37" t="n">
        <v>127850.09</v>
      </c>
      <c r="G31" s="18" t="n">
        <v>137895.08</v>
      </c>
      <c r="H31" s="18" t="n">
        <v>148104.69</v>
      </c>
      <c r="I31" s="18" t="n">
        <v>128402.11</v>
      </c>
      <c r="J31" s="18" t="n">
        <v>125000</v>
      </c>
      <c r="K31" s="37" t="n">
        <v>125000</v>
      </c>
      <c r="L31" s="18" t="n">
        <v>125000</v>
      </c>
      <c r="M31" s="18" t="n">
        <v>143900</v>
      </c>
      <c r="P31" s="9" t="n"/>
      <c r="U31" s="9" t="n"/>
      <c r="Z31" s="9" t="n"/>
      <c r="AB31" s="19" t="n">
        <v>21576.59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유동성장기부채</t>
        </is>
      </c>
      <c r="E32" s="18" t="n">
        <v>8412</v>
      </c>
      <c r="F32" s="37" t="n">
        <v>8412</v>
      </c>
      <c r="G32" s="18" t="n">
        <v>12470.9</v>
      </c>
      <c r="H32" s="18" t="n">
        <v>62555.8</v>
      </c>
      <c r="I32" s="18" t="n">
        <v>60055.75</v>
      </c>
      <c r="J32" s="18" t="n">
        <v>57055.75</v>
      </c>
      <c r="K32" s="37" t="n">
        <v>57055.75</v>
      </c>
      <c r="L32" s="18" t="n">
        <v>54055.75</v>
      </c>
      <c r="M32" s="18" t="n">
        <v>4055.75</v>
      </c>
      <c r="P32" s="9" t="n"/>
      <c r="U32" s="9" t="n"/>
      <c r="Y32" s="18" t="n">
        <v>43008.75</v>
      </c>
      <c r="Z32" s="37" t="n">
        <v>43008.75</v>
      </c>
      <c r="AA32" s="18" t="n">
        <v>45391.85</v>
      </c>
      <c r="AB32" s="19" t="n">
        <v>0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선수금</t>
        </is>
      </c>
      <c r="E33" s="18" t="n">
        <v>128935.23</v>
      </c>
      <c r="F33" s="37" t="n">
        <v>128935.23</v>
      </c>
      <c r="G33" s="18" t="n">
        <v>130096.7</v>
      </c>
      <c r="H33" s="18" t="n">
        <v>119213.08</v>
      </c>
      <c r="I33" s="18" t="n">
        <v>125753.52</v>
      </c>
      <c r="K33" s="9" t="n"/>
      <c r="P33" s="9" t="n"/>
      <c r="U33" s="9" t="n"/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기타유동부채</t>
        </is>
      </c>
      <c r="E34" s="18" t="n">
        <v>143004.11</v>
      </c>
      <c r="F34" s="37" t="n">
        <v>143004.11</v>
      </c>
      <c r="G34" s="18" t="n">
        <v>147007.37</v>
      </c>
      <c r="H34" s="18" t="n">
        <v>138395.35</v>
      </c>
      <c r="I34" s="18" t="n">
        <v>144496.54</v>
      </c>
      <c r="J34" s="18" t="n">
        <v>16453.15</v>
      </c>
      <c r="K34" s="37" t="n">
        <v>16453.15</v>
      </c>
      <c r="L34" s="18" t="n">
        <v>19222.68</v>
      </c>
      <c r="M34" s="18" t="n">
        <v>20402.79</v>
      </c>
      <c r="P34" s="9" t="n"/>
      <c r="U34" s="9" t="n"/>
      <c r="Y34" s="18" t="n">
        <v>51443.19</v>
      </c>
      <c r="Z34" s="37" t="n">
        <v>51443.19</v>
      </c>
      <c r="AA34" s="18" t="n">
        <v>39711.02</v>
      </c>
      <c r="AB34" s="19" t="n">
        <v>49744.45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단기충당부채</t>
        </is>
      </c>
      <c r="E35" s="18" t="n">
        <v>7490.2</v>
      </c>
      <c r="F35" s="37" t="n">
        <v>7490.2</v>
      </c>
      <c r="G35" s="18" t="n">
        <v>20519.14</v>
      </c>
      <c r="H35" s="18" t="n">
        <v>16271.12</v>
      </c>
      <c r="I35" s="18" t="n">
        <v>12649.07</v>
      </c>
      <c r="J35" s="18" t="n">
        <v>9805.65</v>
      </c>
      <c r="K35" s="37" t="n">
        <v>9805.65</v>
      </c>
      <c r="L35" s="18" t="n">
        <v>10302.54</v>
      </c>
      <c r="M35" s="18" t="n">
        <v>7322.26</v>
      </c>
      <c r="P35" s="9" t="n"/>
      <c r="U35" s="9" t="n"/>
      <c r="Y35" s="18" t="n">
        <v>5951.68</v>
      </c>
      <c r="Z35" s="37" t="n">
        <v>5951.68</v>
      </c>
      <c r="AA35" s="18" t="n">
        <v>5357.49</v>
      </c>
      <c r="AB35" s="19" t="n">
        <v>6150.66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비유동부채</t>
        </is>
      </c>
      <c r="E36" s="18" t="n">
        <v>155419.72</v>
      </c>
      <c r="F36" s="37" t="n">
        <v>155419.72</v>
      </c>
      <c r="G36" s="18" t="n">
        <v>163610.83</v>
      </c>
      <c r="H36" s="18" t="n">
        <v>190146.91</v>
      </c>
      <c r="I36" s="18" t="n">
        <v>249697.55</v>
      </c>
      <c r="J36" s="18" t="n">
        <v>235848.09</v>
      </c>
      <c r="K36" s="37" t="n">
        <v>235848.09</v>
      </c>
      <c r="L36" s="18" t="n">
        <v>233601.97</v>
      </c>
      <c r="M36" s="18" t="n">
        <v>284381.98</v>
      </c>
      <c r="P36" s="9" t="n"/>
      <c r="U36" s="9" t="n"/>
      <c r="Y36" s="18" t="n">
        <v>528366.0699999999</v>
      </c>
      <c r="Z36" s="37" t="n">
        <v>528366.0699999999</v>
      </c>
      <c r="AA36" s="18" t="n">
        <v>578302.71</v>
      </c>
      <c r="AB36" s="19" t="n">
        <v>702314.5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장기차입금</t>
        </is>
      </c>
      <c r="E37" s="18" t="n">
        <v>75708</v>
      </c>
      <c r="F37" s="37" t="n">
        <v>75708</v>
      </c>
      <c r="G37" s="18" t="n">
        <v>72335.10000000001</v>
      </c>
      <c r="H37" s="18" t="n">
        <v>21723.2</v>
      </c>
      <c r="I37" s="18" t="n">
        <v>20709.06</v>
      </c>
      <c r="J37" s="18" t="n">
        <v>19695.12</v>
      </c>
      <c r="K37" s="37" t="n">
        <v>19695.12</v>
      </c>
      <c r="L37" s="18" t="n">
        <v>18681.18</v>
      </c>
      <c r="M37" s="18" t="n">
        <v>17667.24</v>
      </c>
      <c r="P37" s="9" t="n"/>
      <c r="U37" s="9" t="n"/>
      <c r="Y37" s="18" t="n">
        <v>10000</v>
      </c>
      <c r="Z37" s="37" t="n">
        <v>10000</v>
      </c>
      <c r="AA37" s="18" t="n">
        <v>10000</v>
      </c>
      <c r="AB37" s="19" t="n">
        <v>10000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장기매입채무및기타채무</t>
        </is>
      </c>
      <c r="E38" s="18" t="n">
        <v>9704.52</v>
      </c>
      <c r="F38" s="37" t="n">
        <v>9704.52</v>
      </c>
      <c r="G38" s="18" t="n">
        <v>9530.379999999999</v>
      </c>
      <c r="H38" s="18" t="n">
        <v>9235.66</v>
      </c>
      <c r="I38" s="18" t="n">
        <v>8963.700000000001</v>
      </c>
      <c r="J38" s="18" t="n">
        <v>8747.389999999999</v>
      </c>
      <c r="K38" s="37" t="n">
        <v>8747.389999999999</v>
      </c>
      <c r="L38" s="18" t="n">
        <v>8670.860000000001</v>
      </c>
      <c r="M38" s="18" t="n">
        <v>9188.190000000001</v>
      </c>
      <c r="P38" s="9" t="n"/>
      <c r="U38" s="9" t="n"/>
      <c r="Y38" s="18" t="n">
        <v>20095.14</v>
      </c>
      <c r="Z38" s="37" t="n">
        <v>20095.14</v>
      </c>
      <c r="AA38" s="18" t="n">
        <v>11718.59</v>
      </c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확정급여부채</t>
        </is>
      </c>
      <c r="E39" s="18" t="n">
        <v>9270.24</v>
      </c>
      <c r="F39" s="37" t="n">
        <v>9270.24</v>
      </c>
      <c r="G39" s="18" t="n">
        <v>11571.13</v>
      </c>
      <c r="H39" s="18" t="n">
        <v>12349.59</v>
      </c>
      <c r="I39" s="18" t="n">
        <v>13244.12</v>
      </c>
      <c r="J39" s="18" t="n">
        <v>4818.18</v>
      </c>
      <c r="K39" s="37" t="n">
        <v>4818.18</v>
      </c>
      <c r="L39" s="18" t="n">
        <v>7560.97</v>
      </c>
      <c r="M39" s="18" t="n">
        <v>8345.16</v>
      </c>
      <c r="P39" s="9" t="n"/>
      <c r="U39" s="9" t="n"/>
      <c r="Y39" s="18" t="n">
        <v>8347.75</v>
      </c>
      <c r="Z39" s="37" t="n">
        <v>8347.75</v>
      </c>
      <c r="AA39" s="18" t="n">
        <v>10306.64</v>
      </c>
      <c r="AB39" s="19" t="n">
        <v>9637.450000000001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장기충당부채</t>
        </is>
      </c>
      <c r="E40" s="18" t="n">
        <v>5706.54</v>
      </c>
      <c r="F40" s="37" t="n">
        <v>5706.54</v>
      </c>
      <c r="G40" s="18" t="n">
        <v>19062.5</v>
      </c>
      <c r="H40" s="18" t="n">
        <v>37332.88</v>
      </c>
      <c r="I40" s="18" t="n">
        <v>21780.78</v>
      </c>
      <c r="J40" s="18" t="n">
        <v>15612.39</v>
      </c>
      <c r="K40" s="37" t="n">
        <v>15612.39</v>
      </c>
      <c r="L40" s="18" t="n">
        <v>7332.01</v>
      </c>
      <c r="M40" s="18" t="n">
        <v>5306.71</v>
      </c>
      <c r="P40" s="9" t="n"/>
      <c r="U40" s="9" t="n"/>
      <c r="Y40" s="18" t="n">
        <v>8035.87</v>
      </c>
      <c r="Z40" s="37" t="n">
        <v>8035.87</v>
      </c>
      <c r="AA40" s="18" t="n">
        <v>7031.03</v>
      </c>
      <c r="AB40" s="19" t="n">
        <v>8080.48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기타비유동부채</t>
        </is>
      </c>
      <c r="E41" s="18" t="n">
        <v>3465.35</v>
      </c>
      <c r="F41" s="37" t="n">
        <v>3465.35</v>
      </c>
      <c r="G41" s="18" t="n">
        <v>3400.47</v>
      </c>
      <c r="H41" s="18" t="n">
        <v>3503.95</v>
      </c>
      <c r="I41" s="18" t="n">
        <v>3607.43</v>
      </c>
      <c r="J41" s="18" t="n">
        <v>3241.2</v>
      </c>
      <c r="K41" s="37" t="n">
        <v>3241.2</v>
      </c>
      <c r="L41" s="18" t="n">
        <v>3654.77</v>
      </c>
      <c r="M41" s="18" t="n">
        <v>3560.23</v>
      </c>
      <c r="P41" s="9" t="n"/>
      <c r="U41" s="9" t="n"/>
      <c r="Y41" s="18" t="n">
        <v>10723.87</v>
      </c>
      <c r="Z41" s="37" t="n">
        <v>10723.87</v>
      </c>
      <c r="AA41" s="18" t="n">
        <v>11450.32</v>
      </c>
      <c r="AB41" s="19" t="n">
        <v>11975.4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부채총계</t>
        </is>
      </c>
      <c r="E42" s="18" t="n">
        <v>586523.41</v>
      </c>
      <c r="F42" s="37" t="n">
        <v>586523.41</v>
      </c>
      <c r="G42" s="18" t="n">
        <v>639127.85</v>
      </c>
      <c r="H42" s="18" t="n">
        <v>739170.46</v>
      </c>
      <c r="I42" s="18" t="n">
        <v>856265.92</v>
      </c>
      <c r="J42" s="18" t="n">
        <v>734604.47</v>
      </c>
      <c r="K42" s="37" t="n">
        <v>734604.47</v>
      </c>
      <c r="L42" s="18" t="n">
        <v>767248.25</v>
      </c>
      <c r="M42" s="18" t="n">
        <v>802853.54</v>
      </c>
      <c r="P42" s="9" t="n"/>
      <c r="U42" s="9" t="n"/>
      <c r="Y42" s="18" t="n">
        <v>1139587.36</v>
      </c>
      <c r="Z42" s="37" t="n">
        <v>1139587.36</v>
      </c>
      <c r="AA42" s="18" t="n">
        <v>1300536.83</v>
      </c>
      <c r="AB42" s="19" t="n">
        <v>1521016.8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자본금</t>
        </is>
      </c>
      <c r="E43" s="18" t="n">
        <v>46721.25</v>
      </c>
      <c r="F43" s="37" t="n">
        <v>46721.25</v>
      </c>
      <c r="G43" s="18" t="n">
        <v>46721.25</v>
      </c>
      <c r="H43" s="18" t="n">
        <v>46721.25</v>
      </c>
      <c r="I43" s="18" t="n">
        <v>71543.99000000001</v>
      </c>
      <c r="J43" s="18" t="n">
        <v>71543.99000000001</v>
      </c>
      <c r="K43" s="37" t="n">
        <v>71543.99000000001</v>
      </c>
      <c r="L43" s="18" t="n">
        <v>71543.99000000001</v>
      </c>
      <c r="M43" s="18" t="n">
        <v>71543.99000000001</v>
      </c>
      <c r="P43" s="9" t="n"/>
      <c r="U43" s="9" t="n"/>
      <c r="Y43" s="18" t="n">
        <v>83447.14</v>
      </c>
      <c r="Z43" s="37" t="n">
        <v>83447.14</v>
      </c>
      <c r="AA43" s="18" t="n">
        <v>83447.14</v>
      </c>
      <c r="AB43" s="19" t="n">
        <v>83447.14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자본잉여금</t>
        </is>
      </c>
      <c r="E44" s="18" t="n">
        <v>208952.94</v>
      </c>
      <c r="F44" s="37" t="n">
        <v>208952.94</v>
      </c>
      <c r="G44" s="18" t="n">
        <v>208952.94</v>
      </c>
      <c r="H44" s="18" t="n">
        <v>208952.94</v>
      </c>
      <c r="I44" s="18" t="n">
        <v>273469.85</v>
      </c>
      <c r="J44" s="18" t="n">
        <v>273460.96</v>
      </c>
      <c r="K44" s="37" t="n">
        <v>273460.96</v>
      </c>
      <c r="L44" s="18" t="n">
        <v>273460.96</v>
      </c>
      <c r="M44" s="18" t="n">
        <v>273460.96</v>
      </c>
      <c r="P44" s="9" t="n"/>
      <c r="U44" s="9" t="n"/>
      <c r="Y44" s="18" t="n">
        <v>352820.98</v>
      </c>
      <c r="Z44" s="37" t="n">
        <v>352820.98</v>
      </c>
      <c r="AA44" s="18" t="n">
        <v>353327.81</v>
      </c>
      <c r="AB44" s="19" t="n">
        <v>355519.07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기타자본</t>
        </is>
      </c>
      <c r="E45" s="18" t="n">
        <v>-54788.96</v>
      </c>
      <c r="F45" s="37" t="n">
        <v>-54788.96</v>
      </c>
      <c r="G45" s="18" t="n">
        <v>-54788.96</v>
      </c>
      <c r="H45" s="18" t="n">
        <v>-54788.96</v>
      </c>
      <c r="I45" s="18" t="n">
        <v>-54909.84</v>
      </c>
      <c r="J45" s="18" t="n">
        <v>-54909.84</v>
      </c>
      <c r="K45" s="37" t="n">
        <v>-54909.84</v>
      </c>
      <c r="L45" s="18" t="n">
        <v>-54909.84</v>
      </c>
      <c r="M45" s="18" t="n">
        <v>-54909.84</v>
      </c>
      <c r="P45" s="9" t="n"/>
      <c r="U45" s="9" t="n"/>
      <c r="Y45" s="18" t="n">
        <v>-54909.84</v>
      </c>
      <c r="Z45" s="37" t="n">
        <v>-54909.84</v>
      </c>
      <c r="AA45" s="18" t="n">
        <v>-54909.84</v>
      </c>
      <c r="AB45" s="19" t="n">
        <v>-50772.36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기타포괄이익누계액</t>
        </is>
      </c>
      <c r="E46" s="18" t="n">
        <v>79022.73</v>
      </c>
      <c r="F46" s="37" t="n">
        <v>79022.73</v>
      </c>
      <c r="G46" s="18" t="n">
        <v>78415.03</v>
      </c>
      <c r="H46" s="18" t="n">
        <v>78246</v>
      </c>
      <c r="I46" s="18" t="n">
        <v>78243.22</v>
      </c>
      <c r="J46" s="18" t="n">
        <v>79075.99000000001</v>
      </c>
      <c r="K46" s="37" t="n">
        <v>79075.99000000001</v>
      </c>
      <c r="L46" s="18" t="n">
        <v>79414.06</v>
      </c>
      <c r="M46" s="18" t="n">
        <v>78783.25</v>
      </c>
      <c r="P46" s="9" t="n"/>
      <c r="U46" s="9" t="n"/>
      <c r="Y46" s="18" t="n">
        <v>84457.58</v>
      </c>
      <c r="Z46" s="37" t="n">
        <v>84457.58</v>
      </c>
      <c r="AA46" s="18" t="n">
        <v>85027.33</v>
      </c>
      <c r="AB46" s="19" t="n">
        <v>85076.17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이익잉여금</t>
        </is>
      </c>
      <c r="E47" s="18" t="n">
        <v>-70806.64</v>
      </c>
      <c r="F47" s="37" t="n">
        <v>-70806.64</v>
      </c>
      <c r="G47" s="18" t="n">
        <v>-115228.47</v>
      </c>
      <c r="H47" s="18" t="n">
        <v>-146184.23</v>
      </c>
      <c r="I47" s="18" t="n">
        <v>-143906.15</v>
      </c>
      <c r="J47" s="18" t="n">
        <v>-147545.28</v>
      </c>
      <c r="K47" s="37" t="n">
        <v>-147545.28</v>
      </c>
      <c r="L47" s="18" t="n">
        <v>-141884.06</v>
      </c>
      <c r="M47" s="18" t="n">
        <v>-141501.07</v>
      </c>
      <c r="P47" s="9" t="n"/>
      <c r="U47" s="9" t="n"/>
      <c r="Y47" s="18" t="n">
        <v>90287.03999999999</v>
      </c>
      <c r="Z47" s="37" t="n">
        <v>90287.03999999999</v>
      </c>
      <c r="AA47" s="18" t="n">
        <v>143140.38</v>
      </c>
      <c r="AB47" s="19" t="n">
        <v>176477.86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자본총계</t>
        </is>
      </c>
      <c r="E48" s="18" t="n">
        <v>209101.32</v>
      </c>
      <c r="F48" s="37" t="n">
        <v>209101.32</v>
      </c>
      <c r="G48" s="18" t="n">
        <v>164071.79</v>
      </c>
      <c r="H48" s="18" t="n">
        <v>132947</v>
      </c>
      <c r="I48" s="18" t="n">
        <v>224441.08</v>
      </c>
      <c r="J48" s="18" t="n">
        <v>221625.83</v>
      </c>
      <c r="K48" s="37" t="n">
        <v>221625.83</v>
      </c>
      <c r="L48" s="18" t="n">
        <v>227625.11</v>
      </c>
      <c r="M48" s="18" t="n">
        <v>227377.29</v>
      </c>
      <c r="P48" s="9" t="n"/>
      <c r="U48" s="9" t="n"/>
      <c r="Y48" s="18" t="n">
        <v>556102.9</v>
      </c>
      <c r="Z48" s="37" t="n">
        <v>556102.9</v>
      </c>
      <c r="AA48" s="18" t="n">
        <v>610032.8199999999</v>
      </c>
      <c r="AB48" s="19" t="n">
        <v>649747.88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부채와자본총계</t>
        </is>
      </c>
      <c r="E49" s="18" t="n">
        <v>795624.73</v>
      </c>
      <c r="F49" s="37" t="n">
        <v>795624.73</v>
      </c>
      <c r="G49" s="18" t="n">
        <v>803199.65</v>
      </c>
      <c r="H49" s="18" t="n">
        <v>872117.46</v>
      </c>
      <c r="I49" s="18" t="n">
        <v>1080707</v>
      </c>
      <c r="J49" s="18" t="n">
        <v>956230.29</v>
      </c>
      <c r="K49" s="37" t="n">
        <v>956230.29</v>
      </c>
      <c r="L49" s="18" t="n">
        <v>994873.36</v>
      </c>
      <c r="M49" s="18" t="n">
        <v>1030230.84</v>
      </c>
      <c r="P49" s="9" t="n"/>
      <c r="U49" s="9" t="n"/>
      <c r="Y49" s="18" t="n">
        <v>1695690.26</v>
      </c>
      <c r="Z49" s="37" t="n">
        <v>1695690.26</v>
      </c>
      <c r="AA49" s="18" t="n">
        <v>1910569.65</v>
      </c>
      <c r="AB49" s="19" t="n">
        <v>2170764.68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지배주주지분</t>
        </is>
      </c>
      <c r="E50" s="18" t="n">
        <v>209101.32</v>
      </c>
      <c r="F50" s="37" t="n">
        <v>209101.32</v>
      </c>
      <c r="G50" s="18" t="n">
        <v>164071.79</v>
      </c>
      <c r="H50" s="18" t="n">
        <v>132947</v>
      </c>
      <c r="I50" s="18" t="n">
        <v>224441.08</v>
      </c>
      <c r="J50" s="18" t="n">
        <v>221625.83</v>
      </c>
      <c r="K50" s="37" t="n">
        <v>221625.83</v>
      </c>
      <c r="L50" s="18" t="n">
        <v>227625.11</v>
      </c>
      <c r="M50" s="18" t="n">
        <v>227377.29</v>
      </c>
      <c r="P50" s="9" t="n"/>
      <c r="U50" s="9" t="n"/>
      <c r="Y50" s="18" t="n">
        <v>556102.9</v>
      </c>
      <c r="Z50" s="37" t="n">
        <v>556102.9</v>
      </c>
      <c r="AA50" s="18" t="n">
        <v>610032.8199999999</v>
      </c>
      <c r="AB50" s="19" t="n">
        <v>649747.88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211970.09</v>
      </c>
      <c r="F51" s="37" t="n">
        <v>211970.09</v>
      </c>
      <c r="G51" s="18" t="n">
        <v>222701.08</v>
      </c>
      <c r="H51" s="18" t="n">
        <v>232383.69</v>
      </c>
      <c r="I51" s="18" t="n">
        <v>209166.92</v>
      </c>
      <c r="J51" s="18" t="n">
        <v>201750.87</v>
      </c>
      <c r="K51" s="37" t="n">
        <v>201750.87</v>
      </c>
      <c r="L51" s="18" t="n">
        <v>197736.93</v>
      </c>
      <c r="M51" s="18" t="n">
        <v>204726.91</v>
      </c>
      <c r="P51" s="9" t="n"/>
      <c r="U51" s="9" t="n"/>
      <c r="Y51" s="18" t="n">
        <v>53008.75</v>
      </c>
      <c r="Z51" s="37" t="n">
        <v>53008.75</v>
      </c>
      <c r="AA51" s="18" t="n">
        <v>55391.85</v>
      </c>
      <c r="AB51" s="19" t="n">
        <v>31576.59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145072.58</v>
      </c>
      <c r="F52" s="37" t="n">
        <v>145072.58</v>
      </c>
      <c r="G52" s="18" t="n">
        <v>150143.54</v>
      </c>
      <c r="H52" s="18" t="n">
        <v>169171.67</v>
      </c>
      <c r="I52" s="18" t="n">
        <v>75284.69</v>
      </c>
      <c r="J52" s="18" t="n">
        <v>131934.3</v>
      </c>
      <c r="K52" s="37" t="n">
        <v>131934.3</v>
      </c>
      <c r="L52" s="18" t="n">
        <v>117390.96</v>
      </c>
      <c r="M52" s="18" t="n">
        <v>157627.59</v>
      </c>
      <c r="P52" s="9" t="n"/>
      <c r="U52" s="9" t="n"/>
      <c r="Y52" s="18" t="n">
        <v>-357805.28</v>
      </c>
      <c r="Z52" s="37" t="n">
        <v>-357805.28</v>
      </c>
      <c r="AA52" s="18" t="n">
        <v>-65429.11</v>
      </c>
      <c r="AB52" s="19" t="n">
        <v>-274104.69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67416.28</v>
      </c>
      <c r="F53" s="37" t="n">
        <v>67416.28</v>
      </c>
      <c r="G53" s="18" t="n">
        <v>74029.53999999999</v>
      </c>
      <c r="H53" s="18" t="n">
        <v>66851.5</v>
      </c>
      <c r="I53" s="18" t="n">
        <v>139504.21</v>
      </c>
      <c r="J53" s="18" t="n">
        <v>77825</v>
      </c>
      <c r="K53" s="37" t="n">
        <v>77825</v>
      </c>
      <c r="L53" s="18" t="n">
        <v>88124.86</v>
      </c>
      <c r="M53" s="18" t="n">
        <v>55571.9</v>
      </c>
      <c r="P53" s="9" t="n"/>
      <c r="U53" s="9" t="n"/>
      <c r="Y53" s="18" t="n">
        <v>411972.8</v>
      </c>
      <c r="Z53" s="37" t="n">
        <v>411972.8</v>
      </c>
      <c r="AA53" s="18" t="n">
        <v>121979.73</v>
      </c>
      <c r="AB53" s="19" t="n">
        <v>307141.31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매각예정비유동자산및처분자산</t>
        </is>
      </c>
      <c r="F54" s="9" t="n"/>
      <c r="J54" s="18" t="n">
        <v>6927.38</v>
      </c>
      <c r="K54" s="37" t="n">
        <v>6927.38</v>
      </c>
      <c r="L54" s="18" t="n">
        <v>7220.98</v>
      </c>
      <c r="M54" s="18" t="n">
        <v>42412.49</v>
      </c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비유동계약부채</t>
        </is>
      </c>
      <c r="F55" s="9" t="n"/>
      <c r="J55" s="18" t="n">
        <v>150627.17</v>
      </c>
      <c r="K55" s="37" t="n">
        <v>150627.17</v>
      </c>
      <c r="L55" s="18" t="n">
        <v>159766.33</v>
      </c>
      <c r="M55" s="18" t="n">
        <v>176226.57</v>
      </c>
      <c r="P55" s="9" t="n"/>
      <c r="U55" s="9" t="n"/>
      <c r="Y55" s="18" t="n">
        <v>397590.94</v>
      </c>
      <c r="Z55" s="37" t="n">
        <v>397590.94</v>
      </c>
      <c r="AA55" s="18" t="n">
        <v>396812.13</v>
      </c>
      <c r="AB55" s="19" t="n">
        <v>482270.11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사채</t>
        </is>
      </c>
      <c r="F56" s="9" t="n"/>
      <c r="K56" s="9" t="n"/>
      <c r="M56" s="18" t="n">
        <v>39103.92</v>
      </c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당기법인세부채(미지급법인세)</t>
        </is>
      </c>
      <c r="F57" s="9" t="n"/>
      <c r="K57" s="9" t="n"/>
      <c r="P57" s="9" t="n"/>
      <c r="U57" s="9" t="n"/>
      <c r="Y57" s="18" t="n">
        <v>2440.38</v>
      </c>
      <c r="Z57" s="37" t="n">
        <v>2440.38</v>
      </c>
      <c r="AA57" s="18" t="n">
        <v>4064.64</v>
      </c>
      <c r="AB57" s="19" t="n">
        <v>1940.49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유동파생상품자산</t>
        </is>
      </c>
      <c r="F58" s="9" t="n"/>
      <c r="K58" s="9" t="n"/>
      <c r="P58" s="9" t="n"/>
      <c r="U58" s="9" t="n"/>
      <c r="Z58" s="9" t="n"/>
      <c r="AA58" s="18" t="n">
        <v>5381.3</v>
      </c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비유동파생상품자산</t>
        </is>
      </c>
      <c r="F59" s="9" t="n"/>
      <c r="K59" s="9" t="n"/>
      <c r="P59" s="9" t="n"/>
      <c r="U59" s="9" t="n"/>
      <c r="Z59" s="9" t="n"/>
      <c r="AA59" s="18" t="n">
        <v>244.89</v>
      </c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단기파생상품부채</t>
        </is>
      </c>
      <c r="F60" s="9" t="n"/>
      <c r="K60" s="9" t="n"/>
      <c r="P60" s="9" t="n"/>
      <c r="U60" s="9" t="n"/>
      <c r="Z60" s="9" t="n"/>
      <c r="AA60" s="18" t="n">
        <v>46.99</v>
      </c>
      <c r="AB60" s="19" t="n">
        <v>0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단기금융부채</t>
        </is>
      </c>
      <c r="F61" s="9" t="n"/>
      <c r="K61" s="9" t="n"/>
      <c r="P61" s="9" t="n"/>
      <c r="U61" s="9" t="n"/>
      <c r="Z61" s="9" t="n"/>
      <c r="AA61" s="18" t="n">
        <v>46.99</v>
      </c>
      <c r="AB61" s="19" t="n">
        <v>135908.49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기타유동금융자산</t>
        </is>
      </c>
      <c r="F62" s="9" t="n"/>
      <c r="K62" s="9" t="n"/>
      <c r="P62" s="9" t="n"/>
      <c r="U62" s="9" t="n"/>
      <c r="Z62" s="9" t="n"/>
      <c r="AB62" s="19" t="n">
        <v>56538.88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유동확정계약자산</t>
        </is>
      </c>
      <c r="F63" s="9" t="n"/>
      <c r="K63" s="9" t="n"/>
      <c r="P63" s="9" t="n"/>
      <c r="U63" s="9" t="n"/>
      <c r="Z63" s="9" t="n"/>
      <c r="AB63" s="19" t="n">
        <v>142045.33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비유동확정계약자산</t>
        </is>
      </c>
      <c r="F64" s="9" t="n"/>
      <c r="K64" s="9" t="n"/>
      <c r="P64" s="9" t="n"/>
      <c r="U64" s="9" t="n"/>
      <c r="Z64" s="9" t="n"/>
      <c r="AB64" s="19" t="n">
        <v>126793.08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단기금융부채(face)</t>
        </is>
      </c>
      <c r="F65" s="9" t="n"/>
      <c r="K65" s="9" t="n"/>
      <c r="P65" s="9" t="n"/>
      <c r="U65" s="9" t="n"/>
      <c r="Z65" s="9" t="n"/>
      <c r="AB65" s="19" t="n">
        <v>21576.59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기타유동금융부채</t>
        </is>
      </c>
      <c r="F66" s="9" t="n"/>
      <c r="K66" s="9" t="n"/>
      <c r="P66" s="9" t="n"/>
      <c r="U66" s="9" t="n"/>
      <c r="Z66" s="9" t="n"/>
      <c r="AB66" s="19" t="n">
        <v>135908.49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기타비유동금융부채</t>
        </is>
      </c>
      <c r="F67" s="9" t="n"/>
      <c r="K67" s="9" t="n"/>
      <c r="P67" s="9" t="n"/>
      <c r="U67" s="9" t="n"/>
      <c r="Z67" s="9" t="n"/>
      <c r="AB67" s="19" t="n">
        <v>134212.82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장기금융부채</t>
        </is>
      </c>
      <c r="F68" s="9" t="n"/>
      <c r="K68" s="9" t="n"/>
      <c r="P68" s="9" t="n"/>
      <c r="U68" s="9" t="n"/>
      <c r="Z68" s="9" t="n"/>
      <c r="AB68" s="19" t="n">
        <v>134279.17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장기파생상품부채</t>
        </is>
      </c>
      <c r="F69" s="9" t="n"/>
      <c r="K69" s="9" t="n"/>
      <c r="P69" s="9" t="n"/>
      <c r="U69" s="9" t="n"/>
      <c r="Z69" s="9" t="n"/>
      <c r="AB69" s="19" t="n">
        <v>66.34999999999999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이연법인세부채</t>
        </is>
      </c>
      <c r="F70" s="9" t="n"/>
      <c r="K70" s="9" t="n"/>
      <c r="P70" s="9" t="n"/>
      <c r="U70" s="9" t="n"/>
      <c r="Z70" s="9" t="n"/>
      <c r="AB70" s="19" t="n">
        <v>25380.74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비지배주주지분</t>
        </is>
      </c>
      <c r="F71" s="9" t="n"/>
      <c r="K71" s="9" t="n"/>
      <c r="P71" s="9" t="n"/>
      <c r="U71" s="9" t="n"/>
      <c r="Z71" s="9" t="n"/>
      <c r="AB71" s="19" t="n">
        <v>0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매출액(수익)</t>
        </is>
      </c>
      <c r="E72" s="18" t="n">
        <v>195696.52</v>
      </c>
      <c r="F72" s="9" t="n"/>
      <c r="G72" s="18" t="n">
        <v>177843.36</v>
      </c>
      <c r="H72" s="18" t="n">
        <v>186463.86</v>
      </c>
      <c r="I72" s="18" t="n">
        <v>175722.69</v>
      </c>
      <c r="J72" s="18" t="n">
        <v>224212.93</v>
      </c>
      <c r="K72" s="37" t="n">
        <v>764242.84</v>
      </c>
      <c r="L72" s="18" t="n">
        <v>199346.87</v>
      </c>
      <c r="M72" s="18" t="n">
        <v>189045.67</v>
      </c>
      <c r="P72" s="9" t="n"/>
      <c r="U72" s="9" t="n"/>
      <c r="Z72" s="9" t="n"/>
      <c r="AA72" s="18" t="n">
        <v>345239.42</v>
      </c>
      <c r="AB72" s="19" t="n">
        <v>362219.9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매출원가</t>
        </is>
      </c>
      <c r="E73" s="18" t="n">
        <v>195835.77</v>
      </c>
      <c r="F73" s="9" t="n"/>
      <c r="G73" s="18" t="n">
        <v>172877.78</v>
      </c>
      <c r="H73" s="18" t="n">
        <v>208911.14</v>
      </c>
      <c r="I73" s="18" t="n">
        <v>167705.44</v>
      </c>
      <c r="J73" s="18" t="n">
        <v>212486.99</v>
      </c>
      <c r="K73" s="37" t="n">
        <v>761981.35</v>
      </c>
      <c r="L73" s="18" t="n">
        <v>186268.23</v>
      </c>
      <c r="M73" s="18" t="n">
        <v>177428.85</v>
      </c>
      <c r="P73" s="9" t="n"/>
      <c r="U73" s="9" t="n"/>
      <c r="Z73" s="9" t="n"/>
      <c r="AA73" s="18" t="n">
        <v>279847.04</v>
      </c>
      <c r="AB73" s="19" t="n">
        <v>287115.93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매출총이익</t>
        </is>
      </c>
      <c r="E74" s="18" t="n">
        <v>-139.25</v>
      </c>
      <c r="F74" s="9" t="n"/>
      <c r="G74" s="18" t="n">
        <v>4965.59</v>
      </c>
      <c r="H74" s="18" t="n">
        <v>-22447.28</v>
      </c>
      <c r="I74" s="18" t="n">
        <v>8017.25</v>
      </c>
      <c r="J74" s="18" t="n">
        <v>11725.95</v>
      </c>
      <c r="K74" s="37" t="n">
        <v>2261.51</v>
      </c>
      <c r="L74" s="18" t="n">
        <v>13078.64</v>
      </c>
      <c r="M74" s="18" t="n">
        <v>11616.82</v>
      </c>
      <c r="P74" s="9" t="n"/>
      <c r="U74" s="9" t="n"/>
      <c r="Z74" s="9" t="n"/>
      <c r="AA74" s="18" t="n">
        <v>65392.38</v>
      </c>
      <c r="AB74" s="19" t="n">
        <v>75103.97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판관비</t>
        </is>
      </c>
      <c r="E75" s="18" t="n">
        <v>7419.42</v>
      </c>
      <c r="F75" s="9" t="n"/>
      <c r="G75" s="18" t="n">
        <v>7522.54</v>
      </c>
      <c r="H75" s="18" t="n">
        <v>8083.85</v>
      </c>
      <c r="I75" s="18" t="n">
        <v>7499.68</v>
      </c>
      <c r="J75" s="18" t="n">
        <v>8689.66</v>
      </c>
      <c r="K75" s="37" t="n">
        <v>31795.73</v>
      </c>
      <c r="L75" s="18" t="n">
        <v>9004.540000000001</v>
      </c>
      <c r="M75" s="18" t="n">
        <v>8143.45</v>
      </c>
      <c r="P75" s="9" t="n"/>
      <c r="U75" s="9" t="n"/>
      <c r="Z75" s="9" t="n"/>
      <c r="AA75" s="18" t="n">
        <v>14013.44</v>
      </c>
      <c r="AB75" s="19" t="n">
        <v>37193.26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영업이익</t>
        </is>
      </c>
      <c r="E76" s="18" t="n">
        <v>-7558.67</v>
      </c>
      <c r="F76" s="9" t="n"/>
      <c r="G76" s="18" t="n">
        <v>-2556.95</v>
      </c>
      <c r="H76" s="18" t="n">
        <v>-30531.13</v>
      </c>
      <c r="I76" s="18" t="n">
        <v>517.58</v>
      </c>
      <c r="J76" s="18" t="n">
        <v>3036.28</v>
      </c>
      <c r="K76" s="37" t="n">
        <v>-29534.22</v>
      </c>
      <c r="L76" s="18" t="n">
        <v>4074.1</v>
      </c>
      <c r="M76" s="18" t="n">
        <v>3473.37</v>
      </c>
      <c r="P76" s="9" t="n"/>
      <c r="U76" s="9" t="n"/>
      <c r="Z76" s="9" t="n"/>
      <c r="AA76" s="18" t="n">
        <v>51378.94</v>
      </c>
      <c r="AB76" s="19" t="n">
        <v>37910.72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금융수익</t>
        </is>
      </c>
      <c r="E77" s="18" t="n">
        <v>3453.06</v>
      </c>
      <c r="F77" s="9" t="n"/>
      <c r="G77" s="18" t="n">
        <v>15427.54</v>
      </c>
      <c r="H77" s="18" t="n">
        <v>70781.75</v>
      </c>
      <c r="I77" s="18" t="n">
        <v>144323.12</v>
      </c>
      <c r="J77" s="18" t="n">
        <v>-93430.63</v>
      </c>
      <c r="K77" s="37" t="n">
        <v>137101.78</v>
      </c>
      <c r="L77" s="18" t="n">
        <v>58707.19</v>
      </c>
      <c r="M77" s="18" t="n">
        <v>26858.49</v>
      </c>
      <c r="P77" s="9" t="n"/>
      <c r="U77" s="9" t="n"/>
      <c r="Z77" s="9" t="n"/>
      <c r="AA77" s="18" t="n">
        <v>211830.29</v>
      </c>
      <c r="AB77" s="19" t="n">
        <v>87195.22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금융비용</t>
        </is>
      </c>
      <c r="E78" s="18" t="n">
        <v>5617.08</v>
      </c>
      <c r="F78" s="9" t="n"/>
      <c r="G78" s="18" t="n">
        <v>16710.29</v>
      </c>
      <c r="H78" s="18" t="n">
        <v>71471.27</v>
      </c>
      <c r="I78" s="18" t="n">
        <v>141504.97</v>
      </c>
      <c r="J78" s="18" t="n">
        <v>-82449.81</v>
      </c>
      <c r="K78" s="37" t="n">
        <v>147236.72</v>
      </c>
      <c r="L78" s="18" t="n">
        <v>61685.47</v>
      </c>
      <c r="M78" s="18" t="n">
        <v>29729.58</v>
      </c>
      <c r="P78" s="9" t="n"/>
      <c r="U78" s="9" t="n"/>
      <c r="Z78" s="9" t="n"/>
      <c r="AA78" s="18" t="n">
        <v>192402.43</v>
      </c>
      <c r="AB78" s="19" t="n">
        <v>83533.44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기타영업외수익</t>
        </is>
      </c>
      <c r="E79" s="18" t="n">
        <v>3759.85</v>
      </c>
      <c r="F79" s="9" t="n"/>
      <c r="G79" s="18" t="n">
        <v>33.08</v>
      </c>
      <c r="H79" s="18" t="n">
        <v>131.94</v>
      </c>
      <c r="I79" s="18" t="n">
        <v>394.18</v>
      </c>
      <c r="J79" s="18" t="n">
        <v>3318.81</v>
      </c>
      <c r="K79" s="37" t="n">
        <v>3878.01</v>
      </c>
      <c r="L79" s="18" t="n">
        <v>6078.63</v>
      </c>
      <c r="M79" s="18" t="n">
        <v>323.18</v>
      </c>
      <c r="P79" s="9" t="n"/>
      <c r="U79" s="9" t="n"/>
      <c r="Z79" s="9" t="n"/>
      <c r="AA79" s="18" t="n">
        <v>79.09</v>
      </c>
      <c r="AB79" s="19" t="n">
        <v>146.41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기타영업외비용</t>
        </is>
      </c>
      <c r="E80" s="18" t="n">
        <v>10781.43</v>
      </c>
      <c r="F80" s="9" t="n"/>
      <c r="G80" s="18" t="n">
        <v>50.17</v>
      </c>
      <c r="H80" s="18" t="n">
        <v>190.99</v>
      </c>
      <c r="I80" s="18" t="n">
        <v>27.03</v>
      </c>
      <c r="J80" s="18" t="n">
        <v>1260.33</v>
      </c>
      <c r="K80" s="37" t="n">
        <v>1528.52</v>
      </c>
      <c r="L80" s="18" t="n">
        <v>53.68</v>
      </c>
      <c r="M80" s="18" t="n">
        <v>359.17</v>
      </c>
      <c r="P80" s="9" t="n"/>
      <c r="U80" s="9" t="n"/>
      <c r="Z80" s="9" t="n"/>
      <c r="AA80" s="18" t="n">
        <v>1767.01</v>
      </c>
      <c r="AB80" s="19" t="n">
        <v>5855.47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종속기업,공동지배기업및관계기업관련손익</t>
        </is>
      </c>
      <c r="E81" s="18" t="n">
        <v>32.95</v>
      </c>
      <c r="F81" s="9" t="n"/>
      <c r="G81" s="18" t="n">
        <v>-862.13</v>
      </c>
      <c r="H81" s="18" t="n">
        <v>-3.41</v>
      </c>
      <c r="J81" s="18" t="n">
        <v>-483.42</v>
      </c>
      <c r="K81" s="9" t="n"/>
      <c r="L81" s="18" t="n">
        <v>96.95</v>
      </c>
      <c r="M81" s="18" t="n">
        <v>-0.15</v>
      </c>
      <c r="P81" s="9" t="n"/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지분법관련손익</t>
        </is>
      </c>
      <c r="E82" s="18" t="n">
        <v>32.95</v>
      </c>
      <c r="F82" s="9" t="n"/>
      <c r="G82" s="18" t="n">
        <v>-862.13</v>
      </c>
      <c r="H82" s="18" t="n">
        <v>-3.41</v>
      </c>
      <c r="J82" s="18" t="n">
        <v>-483.42</v>
      </c>
      <c r="K82" s="9" t="n"/>
      <c r="L82" s="18" t="n">
        <v>96.95</v>
      </c>
      <c r="M82" s="18" t="n">
        <v>-0.15</v>
      </c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법인세비용차감전계속사업이익</t>
        </is>
      </c>
      <c r="E83" s="18" t="n">
        <v>-16711.33</v>
      </c>
      <c r="F83" s="9" t="n"/>
      <c r="G83" s="18" t="n">
        <v>-4718.91</v>
      </c>
      <c r="H83" s="18" t="n">
        <v>-31283.11</v>
      </c>
      <c r="I83" s="18" t="n">
        <v>3702.87</v>
      </c>
      <c r="J83" s="18" t="n">
        <v>-6369.48</v>
      </c>
      <c r="K83" s="37" t="n">
        <v>-38668.63</v>
      </c>
      <c r="L83" s="18" t="n">
        <v>7217.73</v>
      </c>
      <c r="M83" s="18" t="n">
        <v>566.14</v>
      </c>
      <c r="P83" s="9" t="n"/>
      <c r="U83" s="9" t="n"/>
      <c r="Z83" s="9" t="n"/>
      <c r="AA83" s="18" t="n">
        <v>69118.88</v>
      </c>
      <c r="AB83" s="19" t="n">
        <v>35863.43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법인세비용</t>
        </is>
      </c>
      <c r="E84" s="18" t="n">
        <v>-3075.28</v>
      </c>
      <c r="F84" s="9" t="n"/>
      <c r="G84" s="18" t="n">
        <v>8.44</v>
      </c>
      <c r="H84" s="18" t="n">
        <v>-192.21</v>
      </c>
      <c r="I84" s="18" t="n">
        <v>1424.79</v>
      </c>
      <c r="J84" s="18" t="n">
        <v>362.75</v>
      </c>
      <c r="K84" s="37" t="n">
        <v>1603.77</v>
      </c>
      <c r="L84" s="18" t="n">
        <v>1556.51</v>
      </c>
      <c r="M84" s="18" t="n">
        <v>183.14</v>
      </c>
      <c r="P84" s="9" t="n"/>
      <c r="U84" s="9" t="n"/>
      <c r="Z84" s="9" t="n"/>
      <c r="AA84" s="18" t="n">
        <v>16265.55</v>
      </c>
      <c r="AB84" s="19" t="n">
        <v>2663.59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계속사업이익</t>
        </is>
      </c>
      <c r="E85" s="18" t="n">
        <v>-13636.05</v>
      </c>
      <c r="F85" s="9" t="n"/>
      <c r="G85" s="18" t="n">
        <v>-4727.35</v>
      </c>
      <c r="H85" s="18" t="n">
        <v>-31090.9</v>
      </c>
      <c r="I85" s="18" t="n">
        <v>2278.08</v>
      </c>
      <c r="J85" s="18" t="n">
        <v>-6732.22</v>
      </c>
      <c r="K85" s="37" t="n">
        <v>-40272.39</v>
      </c>
      <c r="L85" s="18" t="n">
        <v>5661.21</v>
      </c>
      <c r="M85" s="18" t="n">
        <v>383</v>
      </c>
      <c r="P85" s="9" t="n"/>
      <c r="U85" s="9" t="n"/>
      <c r="Z85" s="9" t="n"/>
      <c r="AA85" s="18" t="n">
        <v>52853.34</v>
      </c>
      <c r="AB85" s="19" t="n">
        <v>33199.84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당기순이익</t>
        </is>
      </c>
      <c r="E86" s="18" t="n">
        <v>-13636.05</v>
      </c>
      <c r="F86" s="9" t="n"/>
      <c r="G86" s="18" t="n">
        <v>-4727.35</v>
      </c>
      <c r="H86" s="18" t="n">
        <v>-31090.9</v>
      </c>
      <c r="I86" s="18" t="n">
        <v>2278.08</v>
      </c>
      <c r="J86" s="18" t="n">
        <v>-6732.22</v>
      </c>
      <c r="K86" s="37" t="n">
        <v>-40272.39</v>
      </c>
      <c r="L86" s="18" t="n">
        <v>5661.21</v>
      </c>
      <c r="M86" s="18" t="n">
        <v>383</v>
      </c>
      <c r="P86" s="9" t="n"/>
      <c r="U86" s="9" t="n"/>
      <c r="Z86" s="9" t="n"/>
      <c r="AA86" s="18" t="n">
        <v>52853.34</v>
      </c>
      <c r="AB86" s="19" t="n">
        <v>33199.84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(지배주주지분)당기순이익</t>
        </is>
      </c>
      <c r="E87" s="18" t="n">
        <v>-13636.05</v>
      </c>
      <c r="F87" s="9" t="n"/>
      <c r="G87" s="18" t="n">
        <v>-4727.35</v>
      </c>
      <c r="H87" s="18" t="n">
        <v>-31090.9</v>
      </c>
      <c r="I87" s="18" t="n">
        <v>2278.08</v>
      </c>
      <c r="J87" s="18" t="n">
        <v>-6732.22</v>
      </c>
      <c r="K87" s="37" t="n">
        <v>-40272.39</v>
      </c>
      <c r="L87" s="18" t="n">
        <v>5661.21</v>
      </c>
      <c r="M87" s="18" t="n">
        <v>383</v>
      </c>
      <c r="P87" s="9" t="n"/>
      <c r="U87" s="9" t="n"/>
      <c r="Z87" s="9" t="n"/>
      <c r="AA87" s="18" t="n">
        <v>52853.34</v>
      </c>
      <c r="AB87" s="19" t="n">
        <v>33199.84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금융손익</t>
        </is>
      </c>
      <c r="E88" s="18" t="n">
        <v>-2164.02</v>
      </c>
      <c r="F88" s="9" t="n"/>
      <c r="G88" s="18" t="n">
        <v>-1282.75</v>
      </c>
      <c r="H88" s="18" t="n">
        <v>-689.52</v>
      </c>
      <c r="I88" s="18" t="n">
        <v>2818.15</v>
      </c>
      <c r="J88" s="18" t="n">
        <v>-10980.82</v>
      </c>
      <c r="K88" s="37" t="n">
        <v>-10134.94</v>
      </c>
      <c r="L88" s="18" t="n">
        <v>-2978.28</v>
      </c>
      <c r="M88" s="18" t="n">
        <v>-2871.09</v>
      </c>
      <c r="P88" s="9" t="n"/>
      <c r="U88" s="9" t="n"/>
      <c r="Z88" s="9" t="n"/>
      <c r="AA88" s="18" t="n">
        <v>19427.86</v>
      </c>
      <c r="AB88" s="19" t="n">
        <v>3661.78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기타영업외손익</t>
        </is>
      </c>
      <c r="E89" s="18" t="n">
        <v>-7021.58</v>
      </c>
      <c r="F89" s="9" t="n"/>
      <c r="G89" s="18" t="n">
        <v>-17.09</v>
      </c>
      <c r="H89" s="18" t="n">
        <v>-59.05</v>
      </c>
      <c r="I89" s="18" t="n">
        <v>367.15</v>
      </c>
      <c r="J89" s="18" t="n">
        <v>2058.48</v>
      </c>
      <c r="K89" s="37" t="n">
        <v>2349.49</v>
      </c>
      <c r="L89" s="18" t="n">
        <v>6024.95</v>
      </c>
      <c r="M89" s="18" t="n">
        <v>-35.99</v>
      </c>
      <c r="P89" s="9" t="n"/>
      <c r="U89" s="9" t="n"/>
      <c r="Z89" s="9" t="n"/>
      <c r="AA89" s="18" t="n">
        <v>-1687.92</v>
      </c>
      <c r="AB89" s="19" t="n">
        <v>-5709.06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총포괄손익</t>
        </is>
      </c>
      <c r="E90" s="18" t="n">
        <v>-15472.35</v>
      </c>
      <c r="F90" s="9" t="n"/>
      <c r="G90" s="18" t="n">
        <v>-5335.05</v>
      </c>
      <c r="H90" s="18" t="n">
        <v>-31124.79</v>
      </c>
      <c r="I90" s="18" t="n">
        <v>2275.3</v>
      </c>
      <c r="J90" s="18" t="n">
        <v>-2806.36</v>
      </c>
      <c r="K90" s="37" t="n">
        <v>-36990.9</v>
      </c>
      <c r="L90" s="18" t="n">
        <v>5999.28</v>
      </c>
      <c r="M90" s="18" t="n">
        <v>-247.81</v>
      </c>
      <c r="P90" s="9" t="n"/>
      <c r="U90" s="9" t="n"/>
      <c r="Z90" s="9" t="n"/>
      <c r="AA90" s="18" t="n">
        <v>53423.09</v>
      </c>
      <c r="AB90" s="19" t="n">
        <v>33386.32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이자수익</t>
        </is>
      </c>
      <c r="F91" s="9" t="n"/>
      <c r="G91" s="18" t="n">
        <v>73.03</v>
      </c>
      <c r="H91" s="18" t="n">
        <v>85.59</v>
      </c>
      <c r="I91" s="18" t="n">
        <v>377.56</v>
      </c>
      <c r="J91" s="18" t="n">
        <v>541.54</v>
      </c>
      <c r="K91" s="37" t="n">
        <v>1077.72</v>
      </c>
      <c r="L91" s="18" t="n">
        <v>332.92</v>
      </c>
      <c r="M91" s="18" t="n">
        <v>381.4</v>
      </c>
      <c r="P91" s="9" t="n"/>
      <c r="U91" s="9" t="n"/>
      <c r="Z91" s="9" t="n"/>
      <c r="AA91" s="18" t="n">
        <v>3273.17</v>
      </c>
      <c r="AB91" s="19" t="n">
        <v>1784.17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이자비용</t>
        </is>
      </c>
      <c r="F92" s="9" t="n"/>
      <c r="G92" s="18" t="n">
        <v>2054.84</v>
      </c>
      <c r="H92" s="18" t="n">
        <v>2475.73</v>
      </c>
      <c r="I92" s="18" t="n">
        <v>2532.11</v>
      </c>
      <c r="J92" s="18" t="n">
        <v>2539.39</v>
      </c>
      <c r="K92" s="37" t="n">
        <v>9602.07</v>
      </c>
      <c r="L92" s="18" t="n">
        <v>2607.75</v>
      </c>
      <c r="M92" s="18" t="n">
        <v>2969.32</v>
      </c>
      <c r="P92" s="9" t="n"/>
      <c r="U92" s="9" t="n"/>
      <c r="Z92" s="9" t="n"/>
      <c r="AA92" s="18" t="n">
        <v>552.4299999999999</v>
      </c>
      <c r="AB92" s="19" t="n">
        <v>726.1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외환차익</t>
        </is>
      </c>
      <c r="F93" s="9" t="n"/>
      <c r="G93" s="18" t="n">
        <v>3518.18</v>
      </c>
      <c r="H93" s="18" t="n">
        <v>6007.98</v>
      </c>
      <c r="I93" s="18" t="n">
        <v>9105.879999999999</v>
      </c>
      <c r="J93" s="18" t="n">
        <v>6881.07</v>
      </c>
      <c r="K93" s="37" t="n">
        <v>25513.11</v>
      </c>
      <c r="L93" s="18" t="n">
        <v>6949.4</v>
      </c>
      <c r="M93" s="18" t="n">
        <v>6494.07</v>
      </c>
      <c r="P93" s="9" t="n"/>
      <c r="U93" s="9" t="n"/>
      <c r="Z93" s="9" t="n"/>
      <c r="AA93" s="18" t="n">
        <v>66794.41</v>
      </c>
      <c r="AB93" s="19" t="n">
        <v>40928.65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외환차손</t>
        </is>
      </c>
      <c r="F94" s="9" t="n"/>
      <c r="G94" s="18" t="n">
        <v>1601.86</v>
      </c>
      <c r="H94" s="18" t="n">
        <v>2871.11</v>
      </c>
      <c r="I94" s="18" t="n">
        <v>2407.15</v>
      </c>
      <c r="J94" s="18" t="n">
        <v>15101.93</v>
      </c>
      <c r="K94" s="37" t="n">
        <v>21982.05</v>
      </c>
      <c r="L94" s="18" t="n">
        <v>6565.81</v>
      </c>
      <c r="M94" s="18" t="n">
        <v>6017.84</v>
      </c>
      <c r="P94" s="9" t="n"/>
      <c r="U94" s="9" t="n"/>
      <c r="Z94" s="9" t="n"/>
      <c r="AA94" s="18" t="n">
        <v>49388.18</v>
      </c>
      <c r="AB94" s="19" t="n">
        <v>32548.55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외화환산이익</t>
        </is>
      </c>
      <c r="F95" s="9" t="n"/>
      <c r="G95" s="18" t="n">
        <v>437.59</v>
      </c>
      <c r="H95" s="18" t="n">
        <v>713.79</v>
      </c>
      <c r="I95" s="18" t="n">
        <v>2108.99</v>
      </c>
      <c r="J95" s="18" t="n">
        <v>-2535.05</v>
      </c>
      <c r="K95" s="37" t="n">
        <v>725.3200000000001</v>
      </c>
      <c r="L95" s="18" t="n">
        <v>546.35</v>
      </c>
      <c r="M95" s="18" t="n">
        <v>1064.89</v>
      </c>
      <c r="P95" s="9" t="n"/>
      <c r="U95" s="9" t="n"/>
      <c r="Z95" s="9" t="n"/>
      <c r="AA95" s="18" t="n">
        <v>7836.39</v>
      </c>
      <c r="AB95" s="19" t="n">
        <v>-4059.95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외화환산손실</t>
        </is>
      </c>
      <c r="F96" s="9" t="n"/>
      <c r="G96" s="18" t="n">
        <v>245.16</v>
      </c>
      <c r="H96" s="18" t="n">
        <v>61.58</v>
      </c>
      <c r="I96" s="18" t="n">
        <v>475.02</v>
      </c>
      <c r="J96" s="18" t="n">
        <v>1774</v>
      </c>
      <c r="K96" s="37" t="n">
        <v>2555.76</v>
      </c>
      <c r="L96" s="18" t="n">
        <v>447.04</v>
      </c>
      <c r="M96" s="18" t="n">
        <v>-273.25</v>
      </c>
      <c r="P96" s="9" t="n"/>
      <c r="U96" s="9" t="n"/>
      <c r="Z96" s="9" t="n"/>
      <c r="AA96" s="18" t="n">
        <v>2517.68</v>
      </c>
      <c r="AB96" s="19" t="n">
        <v>-2358.13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파생상품이익</t>
        </is>
      </c>
      <c r="F97" s="9" t="n"/>
      <c r="G97" s="18" t="n">
        <v>1297.39</v>
      </c>
      <c r="H97" s="18" t="n">
        <v>-584.27</v>
      </c>
      <c r="I97" s="18" t="n">
        <v>16.41</v>
      </c>
      <c r="J97" s="18" t="n">
        <v>35573.24</v>
      </c>
      <c r="K97" s="37" t="n">
        <v>36302.77</v>
      </c>
      <c r="L97" s="18" t="n">
        <v>2487.59</v>
      </c>
      <c r="M97" s="18" t="n">
        <v>1490.48</v>
      </c>
      <c r="P97" s="9" t="n"/>
      <c r="U97" s="9" t="n"/>
      <c r="Z97" s="9" t="n"/>
      <c r="AA97" s="18" t="n">
        <v>3123.64</v>
      </c>
      <c r="AB97" s="19" t="n">
        <v>838.03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파생상품손실</t>
        </is>
      </c>
      <c r="F98" s="9" t="n"/>
      <c r="G98" s="18" t="n">
        <v>11163.04</v>
      </c>
      <c r="H98" s="18" t="n">
        <v>66701.98</v>
      </c>
      <c r="I98" s="18" t="n">
        <v>135648.36</v>
      </c>
      <c r="J98" s="18" t="n">
        <v>-132623.79</v>
      </c>
      <c r="K98" s="37" t="n">
        <v>80889.59</v>
      </c>
      <c r="L98" s="18" t="n">
        <v>50193.14</v>
      </c>
      <c r="M98" s="18" t="n">
        <v>19305.85</v>
      </c>
      <c r="P98" s="9" t="n"/>
      <c r="U98" s="9" t="n"/>
      <c r="Z98" s="9" t="n"/>
      <c r="AA98" s="18" t="n">
        <v>138535</v>
      </c>
      <c r="AB98" s="19" t="n">
        <v>51104.13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이자손익</t>
        </is>
      </c>
      <c r="F99" s="9" t="n"/>
      <c r="G99" s="18" t="n">
        <v>-1981.81</v>
      </c>
      <c r="H99" s="18" t="n">
        <v>-2390.14</v>
      </c>
      <c r="I99" s="18" t="n">
        <v>-2154.55</v>
      </c>
      <c r="J99" s="18" t="n">
        <v>-1997.85</v>
      </c>
      <c r="K99" s="37" t="n">
        <v>-8524.35</v>
      </c>
      <c r="L99" s="18" t="n">
        <v>-2274.83</v>
      </c>
      <c r="M99" s="18" t="n">
        <v>-2587.92</v>
      </c>
      <c r="P99" s="9" t="n"/>
      <c r="U99" s="9" t="n"/>
      <c r="Z99" s="9" t="n"/>
      <c r="AA99" s="18" t="n">
        <v>2720.74</v>
      </c>
      <c r="AB99" s="19" t="n">
        <v>1058.07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배당금수익</t>
        </is>
      </c>
      <c r="F100" s="9" t="n"/>
      <c r="H100" s="18" t="n">
        <v>0.46</v>
      </c>
      <c r="I100" s="18" t="n">
        <v>20.96</v>
      </c>
      <c r="J100" s="18" t="n">
        <v>0</v>
      </c>
      <c r="K100" s="9" t="n"/>
      <c r="P100" s="9" t="n"/>
      <c r="U100" s="9" t="n"/>
      <c r="Z100" s="9" t="n"/>
      <c r="AA100" s="18" t="n">
        <v>0</v>
      </c>
      <c r="AB100" s="19" t="n">
        <v>0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영업외손익</t>
        </is>
      </c>
      <c r="F101" s="9" t="n"/>
      <c r="K101" s="9" t="n"/>
      <c r="P101" s="9" t="n"/>
      <c r="U101" s="9" t="n"/>
      <c r="Z101" s="9" t="n"/>
      <c r="AB101" s="19" t="n">
        <v>-2047.28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(비지배주주지분)당기순이익</t>
        </is>
      </c>
      <c r="F102" s="9" t="n"/>
      <c r="K102" s="9" t="n"/>
      <c r="P102" s="9" t="n"/>
      <c r="U102" s="9" t="n"/>
      <c r="Z102" s="9" t="n"/>
      <c r="AB102" s="19" t="n">
        <v>0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영업활동으로인한현금흐름</t>
        </is>
      </c>
      <c r="E103" s="18" t="n">
        <v>-9581.959999999999</v>
      </c>
      <c r="F103" s="9" t="n"/>
      <c r="G103" s="18" t="n">
        <v>-1811.77</v>
      </c>
      <c r="H103" s="18" t="n">
        <v>-14782.51</v>
      </c>
      <c r="I103" s="18" t="n">
        <v>9343.35</v>
      </c>
      <c r="J103" s="18" t="n">
        <v>-13861.77</v>
      </c>
      <c r="K103" s="37" t="n">
        <v>-21112.7</v>
      </c>
      <c r="L103" s="18" t="n">
        <v>19550.48</v>
      </c>
      <c r="M103" s="18" t="n">
        <v>-29140.26</v>
      </c>
      <c r="P103" s="9" t="n"/>
      <c r="U103" s="9" t="n"/>
      <c r="Z103" s="9" t="n"/>
      <c r="AA103" s="18" t="n">
        <v>48345.58</v>
      </c>
      <c r="AB103" s="19" t="n">
        <v>174502.68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법인세납부(CF)</t>
        </is>
      </c>
      <c r="E104" s="18" t="n">
        <v>-9.16</v>
      </c>
      <c r="F104" s="9" t="n"/>
      <c r="G104" s="18" t="n">
        <v>-6.37</v>
      </c>
      <c r="H104" s="18" t="n">
        <v>35.44</v>
      </c>
      <c r="I104" s="18" t="n">
        <v>-22.2</v>
      </c>
      <c r="J104" s="18" t="n">
        <v>-72.43000000000001</v>
      </c>
      <c r="K104" s="37" t="n">
        <v>-65.56</v>
      </c>
      <c r="L104" s="18" t="n">
        <v>-45.8</v>
      </c>
      <c r="M104" s="18" t="n">
        <v>-55.2</v>
      </c>
      <c r="P104" s="9" t="n"/>
      <c r="U104" s="9" t="n"/>
      <c r="Z104" s="9" t="n"/>
      <c r="AA104" s="18" t="n">
        <v>-1606.38</v>
      </c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투자활동으로인한현금흐름</t>
        </is>
      </c>
      <c r="E105" s="18" t="n">
        <v>-2787.46</v>
      </c>
      <c r="F105" s="9" t="n"/>
      <c r="G105" s="18" t="n">
        <v>1473.28</v>
      </c>
      <c r="H105" s="18" t="n">
        <v>-3699.09</v>
      </c>
      <c r="I105" s="18" t="n">
        <v>-38914.88</v>
      </c>
      <c r="J105" s="18" t="n">
        <v>-13368.48</v>
      </c>
      <c r="K105" s="37" t="n">
        <v>-54509.17</v>
      </c>
      <c r="L105" s="18" t="n">
        <v>-3086.88</v>
      </c>
      <c r="M105" s="18" t="n">
        <v>-11699.19</v>
      </c>
      <c r="P105" s="9" t="n"/>
      <c r="U105" s="9" t="n"/>
      <c r="Z105" s="9" t="n"/>
      <c r="AA105" s="18" t="n">
        <v>-265353.43</v>
      </c>
      <c r="AB105" s="19" t="n">
        <v>-34521.93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유형자산의감소</t>
        </is>
      </c>
      <c r="E106" s="18" t="n">
        <v>0</v>
      </c>
      <c r="F106" s="9" t="n"/>
      <c r="I106" s="18" t="n">
        <v>3.91</v>
      </c>
      <c r="J106" s="18" t="n">
        <v>-0.01</v>
      </c>
      <c r="K106" s="9" t="n"/>
      <c r="L106" s="18" t="n">
        <v>49.22</v>
      </c>
      <c r="M106" s="18" t="n">
        <v>15.92</v>
      </c>
      <c r="P106" s="9" t="n"/>
      <c r="U106" s="9" t="n"/>
      <c r="Z106" s="9" t="n"/>
      <c r="AA106" s="18" t="n">
        <v>1.82</v>
      </c>
      <c r="AB106" s="5" t="n"/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무형자산의감소</t>
        </is>
      </c>
      <c r="E107" s="18" t="n">
        <v>178.02</v>
      </c>
      <c r="F107" s="9" t="n"/>
      <c r="K107" s="9" t="n"/>
      <c r="P107" s="9" t="n"/>
      <c r="U107" s="9" t="n"/>
      <c r="Z107" s="9" t="n"/>
      <c r="AB107" s="5" t="n"/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유형자산의증가</t>
        </is>
      </c>
      <c r="E108" s="18" t="n">
        <v>2782.22</v>
      </c>
      <c r="F108" s="9" t="n"/>
      <c r="G108" s="18" t="n">
        <v>1716.49</v>
      </c>
      <c r="H108" s="18" t="n">
        <v>1999.55</v>
      </c>
      <c r="I108" s="18" t="n">
        <v>2897.04</v>
      </c>
      <c r="J108" s="18" t="n">
        <v>2405.25</v>
      </c>
      <c r="K108" s="37" t="n">
        <v>9018.33</v>
      </c>
      <c r="L108" s="18" t="n">
        <v>4536.04</v>
      </c>
      <c r="M108" s="18" t="n">
        <v>11065.58</v>
      </c>
      <c r="P108" s="9" t="n"/>
      <c r="U108" s="9" t="n"/>
      <c r="Z108" s="9" t="n"/>
      <c r="AA108" s="18" t="n">
        <v>23598.89</v>
      </c>
      <c r="AB108" s="5" t="n"/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CAPEX</t>
        </is>
      </c>
      <c r="E109" s="18" t="n">
        <v>2916.22</v>
      </c>
      <c r="F109" s="9" t="n"/>
      <c r="G109" s="18" t="n">
        <v>1730.49</v>
      </c>
      <c r="H109" s="18" t="n">
        <v>2129.35</v>
      </c>
      <c r="I109" s="18" t="n">
        <v>3194.89</v>
      </c>
      <c r="J109" s="18" t="n">
        <v>2601.13</v>
      </c>
      <c r="K109" s="37" t="n">
        <v>9655.860000000001</v>
      </c>
      <c r="L109" s="18" t="n">
        <v>4539.04</v>
      </c>
      <c r="M109" s="18" t="n">
        <v>11062.58</v>
      </c>
      <c r="P109" s="9" t="n"/>
      <c r="U109" s="9" t="n"/>
      <c r="Z109" s="9" t="n"/>
      <c r="AA109" s="18" t="n">
        <v>24939.45</v>
      </c>
      <c r="AB109" s="5" t="n"/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무형자산의증가</t>
        </is>
      </c>
      <c r="E110" s="18" t="n">
        <v>134</v>
      </c>
      <c r="F110" s="9" t="n"/>
      <c r="G110" s="18" t="n">
        <v>14</v>
      </c>
      <c r="H110" s="18" t="n">
        <v>129.8</v>
      </c>
      <c r="I110" s="18" t="n">
        <v>297.85</v>
      </c>
      <c r="J110" s="18" t="n">
        <v>195.88</v>
      </c>
      <c r="K110" s="37" t="n">
        <v>637.53</v>
      </c>
      <c r="L110" s="18" t="n">
        <v>3</v>
      </c>
      <c r="P110" s="9" t="n"/>
      <c r="U110" s="9" t="n"/>
      <c r="Z110" s="9" t="n"/>
      <c r="AA110" s="18" t="n">
        <v>1340.56</v>
      </c>
      <c r="AB110" s="5" t="n"/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재무활동으로인한현금흐름</t>
        </is>
      </c>
      <c r="E111" s="18" t="n">
        <v>724.25</v>
      </c>
      <c r="F111" s="9" t="n"/>
      <c r="G111" s="18" t="n">
        <v>10235.29</v>
      </c>
      <c r="H111" s="18" t="n">
        <v>8981.059999999999</v>
      </c>
      <c r="I111" s="18" t="n">
        <v>65245.88</v>
      </c>
      <c r="J111" s="18" t="n">
        <v>-7709.98</v>
      </c>
      <c r="K111" s="37" t="n">
        <v>76752.25</v>
      </c>
      <c r="L111" s="18" t="n">
        <v>-4502.75</v>
      </c>
      <c r="M111" s="18" t="n">
        <v>7267.09</v>
      </c>
      <c r="P111" s="9" t="n"/>
      <c r="U111" s="9" t="n"/>
      <c r="Z111" s="9" t="n"/>
      <c r="AA111" s="18" t="n">
        <v>-968</v>
      </c>
      <c r="AB111" s="19" t="n">
        <v>-43836.32</v>
      </c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단기차입금의증가</t>
        </is>
      </c>
      <c r="E112" s="18" t="n">
        <v>35000</v>
      </c>
      <c r="F112" s="9" t="n"/>
      <c r="G112" s="18" t="n">
        <v>25000</v>
      </c>
      <c r="H112" s="18" t="n">
        <v>25000</v>
      </c>
      <c r="I112" s="18" t="n">
        <v>15000</v>
      </c>
      <c r="J112" s="18" t="n">
        <v>16000</v>
      </c>
      <c r="K112" s="37" t="n">
        <v>81000</v>
      </c>
      <c r="L112" s="18" t="n">
        <v>31000</v>
      </c>
      <c r="M112" s="18" t="n">
        <v>49000</v>
      </c>
      <c r="P112" s="9" t="n"/>
      <c r="U112" s="9" t="n"/>
      <c r="Z112" s="9" t="n"/>
      <c r="AB112" s="5" t="n"/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  <row r="113">
      <c r="A113" t="n">
        <v>1</v>
      </c>
      <c r="C113" t="inlineStr">
        <is>
          <t>장기차입금의증가</t>
        </is>
      </c>
      <c r="E113" s="18" t="n">
        <v>1082</v>
      </c>
      <c r="F113" s="9" t="n"/>
      <c r="G113" s="18" t="n">
        <v>686</v>
      </c>
      <c r="H113" s="18" t="n">
        <v>473</v>
      </c>
      <c r="I113" s="18" t="n">
        <v>0</v>
      </c>
      <c r="J113" s="18" t="n">
        <v>0</v>
      </c>
      <c r="K113" s="37" t="n">
        <v>1159</v>
      </c>
      <c r="P113" s="9" t="n"/>
      <c r="U113" s="9" t="n"/>
      <c r="Z113" s="9" t="n"/>
      <c r="AB113" s="5" t="n"/>
      <c r="AC113" s="10" t="n"/>
      <c r="AD113" s="10" t="n"/>
      <c r="AE113" s="11" t="n"/>
      <c r="AF113" s="10" t="n"/>
      <c r="AG113" s="10" t="n"/>
      <c r="AH113" s="10" t="n"/>
      <c r="AI113" s="10" t="n"/>
      <c r="AJ113" s="11" t="n"/>
      <c r="AK113" s="10" t="n"/>
      <c r="AL113" s="10" t="n"/>
      <c r="AM113" s="10" t="n"/>
      <c r="AN113" s="10" t="n"/>
      <c r="AO113" s="11" t="n"/>
    </row>
    <row r="114">
      <c r="A114" t="n">
        <v>1</v>
      </c>
      <c r="C114" t="inlineStr">
        <is>
          <t>단기차입금의감소</t>
        </is>
      </c>
      <c r="E114" s="18" t="n">
        <v>35000</v>
      </c>
      <c r="F114" s="9" t="n"/>
      <c r="G114" s="18" t="n">
        <v>15000</v>
      </c>
      <c r="H114" s="18" t="n">
        <v>15000</v>
      </c>
      <c r="I114" s="18" t="n">
        <v>35000</v>
      </c>
      <c r="J114" s="18" t="n">
        <v>19202.1</v>
      </c>
      <c r="K114" s="37" t="n">
        <v>84202.10000000001</v>
      </c>
      <c r="L114" s="18" t="n">
        <v>31000</v>
      </c>
      <c r="M114" s="18" t="n">
        <v>30100</v>
      </c>
      <c r="P114" s="9" t="n"/>
      <c r="U114" s="9" t="n"/>
      <c r="Z114" s="9" t="n"/>
      <c r="AB114" s="5" t="n"/>
      <c r="AC114" s="10" t="n"/>
      <c r="AD114" s="10" t="n"/>
      <c r="AE114" s="11" t="n"/>
      <c r="AF114" s="10" t="n"/>
      <c r="AG114" s="10" t="n"/>
      <c r="AH114" s="10" t="n"/>
      <c r="AI114" s="10" t="n"/>
      <c r="AJ114" s="11" t="n"/>
      <c r="AK114" s="10" t="n"/>
      <c r="AL114" s="10" t="n"/>
      <c r="AM114" s="10" t="n"/>
      <c r="AN114" s="10" t="n"/>
      <c r="AO114" s="11" t="n"/>
    </row>
    <row r="115">
      <c r="A115" t="n">
        <v>1</v>
      </c>
      <c r="C115" t="inlineStr">
        <is>
          <t>리스부채의상환</t>
        </is>
      </c>
      <c r="E115" s="18" t="n">
        <v>357.74</v>
      </c>
      <c r="F115" s="9" t="n"/>
      <c r="G115" s="18" t="n">
        <v>450.71</v>
      </c>
      <c r="H115" s="18" t="n">
        <v>491.94</v>
      </c>
      <c r="I115" s="18" t="n">
        <v>458.7</v>
      </c>
      <c r="J115" s="18" t="n">
        <v>485.05</v>
      </c>
      <c r="K115" s="37" t="n">
        <v>1886.4</v>
      </c>
      <c r="L115" s="18" t="n">
        <v>488.81</v>
      </c>
      <c r="M115" s="18" t="n">
        <v>517.48</v>
      </c>
      <c r="P115" s="9" t="n"/>
      <c r="U115" s="9" t="n"/>
      <c r="Z115" s="9" t="n"/>
      <c r="AA115" s="18" t="n">
        <v>588.55</v>
      </c>
      <c r="AB115" s="5" t="n"/>
      <c r="AC115" s="10" t="n"/>
      <c r="AD115" s="10" t="n"/>
      <c r="AE115" s="11" t="n"/>
      <c r="AF115" s="10" t="n"/>
      <c r="AG115" s="10" t="n"/>
      <c r="AH115" s="10" t="n"/>
      <c r="AI115" s="10" t="n"/>
      <c r="AJ115" s="11" t="n"/>
      <c r="AK115" s="10" t="n"/>
      <c r="AL115" s="10" t="n"/>
      <c r="AM115" s="10" t="n"/>
      <c r="AN115" s="10" t="n"/>
      <c r="AO115" s="11" t="n"/>
    </row>
    <row r="116">
      <c r="A116" t="n">
        <v>1</v>
      </c>
      <c r="C116" t="inlineStr">
        <is>
          <t>현금및현금성자산의증감</t>
        </is>
      </c>
      <c r="E116" s="18" t="n">
        <v>-11818.92</v>
      </c>
      <c r="F116" s="9" t="n"/>
      <c r="G116" s="18" t="n">
        <v>9795.629999999999</v>
      </c>
      <c r="H116" s="18" t="n">
        <v>-9266.34</v>
      </c>
      <c r="I116" s="18" t="n">
        <v>36885.15</v>
      </c>
      <c r="J116" s="18" t="n">
        <v>-36927.46</v>
      </c>
      <c r="K116" s="37" t="n">
        <v>486.98</v>
      </c>
      <c r="L116" s="18" t="n">
        <v>11812.3</v>
      </c>
      <c r="M116" s="18" t="n">
        <v>-33287.89</v>
      </c>
      <c r="P116" s="9" t="n"/>
      <c r="U116" s="9" t="n"/>
      <c r="Z116" s="9" t="n"/>
      <c r="AA116" s="18" t="n">
        <v>-226710.47</v>
      </c>
      <c r="AB116" s="5" t="n"/>
      <c r="AC116" s="10" t="n"/>
      <c r="AD116" s="10" t="n"/>
      <c r="AE116" s="11" t="n"/>
      <c r="AF116" s="10" t="n"/>
      <c r="AG116" s="10" t="n"/>
      <c r="AH116" s="10" t="n"/>
      <c r="AI116" s="10" t="n"/>
      <c r="AJ116" s="11" t="n"/>
      <c r="AK116" s="10" t="n"/>
      <c r="AL116" s="10" t="n"/>
      <c r="AM116" s="10" t="n"/>
      <c r="AN116" s="10" t="n"/>
      <c r="AO116" s="11" t="n"/>
    </row>
    <row r="117">
      <c r="A117" t="n">
        <v>1</v>
      </c>
      <c r="C117" t="inlineStr">
        <is>
          <t>기말현금및현금성자산</t>
        </is>
      </c>
      <c r="E117" s="18" t="n">
        <v>-11818.92</v>
      </c>
      <c r="F117" s="9" t="n"/>
      <c r="G117" s="18" t="n">
        <v>63867.89</v>
      </c>
      <c r="H117" s="18" t="n">
        <v>-9266.33</v>
      </c>
      <c r="I117" s="18" t="n">
        <v>36885.15</v>
      </c>
      <c r="J117" s="18" t="n">
        <v>-36927.46</v>
      </c>
      <c r="K117" s="37" t="n">
        <v>54559.25</v>
      </c>
      <c r="L117" s="18" t="n">
        <v>66371.55</v>
      </c>
      <c r="M117" s="18" t="n">
        <v>-33287.89</v>
      </c>
      <c r="P117" s="9" t="n"/>
      <c r="U117" s="9" t="n"/>
      <c r="Z117" s="9" t="n"/>
      <c r="AA117" s="18" t="n">
        <v>49997.56</v>
      </c>
      <c r="AB117" s="19" t="n">
        <v>113638.39</v>
      </c>
      <c r="AC117" s="10" t="n"/>
      <c r="AD117" s="10" t="n"/>
      <c r="AE117" s="11" t="n"/>
      <c r="AF117" s="10" t="n"/>
      <c r="AG117" s="10" t="n"/>
      <c r="AH117" s="10" t="n"/>
      <c r="AI117" s="10" t="n"/>
      <c r="AJ117" s="11" t="n"/>
      <c r="AK117" s="10" t="n"/>
      <c r="AL117" s="10" t="n"/>
      <c r="AM117" s="10" t="n"/>
      <c r="AN117" s="10" t="n"/>
      <c r="AO117" s="11" t="n"/>
    </row>
    <row r="118">
      <c r="A118" t="n">
        <v>1</v>
      </c>
      <c r="C118" t="inlineStr">
        <is>
          <t>유동성장기부채의감소</t>
        </is>
      </c>
      <c r="F118" s="9" t="n"/>
      <c r="I118" s="18" t="n">
        <v>3514.2</v>
      </c>
      <c r="J118" s="18" t="n">
        <v>4013.93</v>
      </c>
      <c r="K118" s="9" t="n"/>
      <c r="L118" s="18" t="n">
        <v>4013.94</v>
      </c>
      <c r="M118" s="18" t="n">
        <v>51013.93</v>
      </c>
      <c r="P118" s="9" t="n"/>
      <c r="U118" s="9" t="n"/>
      <c r="Z118" s="9" t="n"/>
      <c r="AB118" s="5" t="n"/>
      <c r="AC118" s="10" t="n"/>
      <c r="AD118" s="10" t="n"/>
      <c r="AE118" s="11" t="n"/>
      <c r="AF118" s="10" t="n"/>
      <c r="AG118" s="10" t="n"/>
      <c r="AH118" s="10" t="n"/>
      <c r="AI118" s="10" t="n"/>
      <c r="AJ118" s="11" t="n"/>
      <c r="AK118" s="10" t="n"/>
      <c r="AL118" s="10" t="n"/>
      <c r="AM118" s="10" t="n"/>
      <c r="AN118" s="10" t="n"/>
      <c r="AO118" s="11" t="n"/>
    </row>
    <row r="119">
      <c r="A119" t="n">
        <v>1</v>
      </c>
      <c r="C119" t="inlineStr">
        <is>
          <t>배당금수취(CF)</t>
        </is>
      </c>
      <c r="F119" s="9" t="n"/>
      <c r="J119" s="18" t="n">
        <v>0</v>
      </c>
      <c r="K119" s="9" t="n"/>
      <c r="P119" s="9" t="n"/>
      <c r="U119" s="9" t="n"/>
      <c r="Z119" s="9" t="n"/>
      <c r="AB119" s="5" t="n"/>
      <c r="AC119" s="10" t="n"/>
      <c r="AD119" s="10" t="n"/>
      <c r="AE119" s="11" t="n"/>
      <c r="AF119" s="10" t="n"/>
      <c r="AG119" s="10" t="n"/>
      <c r="AH119" s="10" t="n"/>
      <c r="AI119" s="10" t="n"/>
      <c r="AJ119" s="11" t="n"/>
      <c r="AK119" s="10" t="n"/>
      <c r="AL119" s="10" t="n"/>
      <c r="AM119" s="10" t="n"/>
      <c r="AN119" s="10" t="n"/>
      <c r="AO119" s="11" t="n"/>
    </row>
    <row r="120">
      <c r="A120" t="n">
        <v>1</v>
      </c>
      <c r="C120" t="inlineStr">
        <is>
          <t>자기주식의취득</t>
        </is>
      </c>
      <c r="F120" s="9" t="n"/>
      <c r="J120" s="18" t="n">
        <v>0</v>
      </c>
      <c r="K120" s="9" t="n"/>
      <c r="P120" s="9" t="n"/>
      <c r="U120" s="9" t="n"/>
      <c r="Z120" s="9" t="n"/>
      <c r="AB120" s="5" t="n"/>
      <c r="AC120" s="10" t="n"/>
      <c r="AD120" s="10" t="n"/>
      <c r="AE120" s="11" t="n"/>
      <c r="AF120" s="10" t="n"/>
      <c r="AG120" s="10" t="n"/>
      <c r="AH120" s="10" t="n"/>
      <c r="AI120" s="10" t="n"/>
      <c r="AJ120" s="11" t="n"/>
      <c r="AK120" s="10" t="n"/>
      <c r="AL120" s="10" t="n"/>
      <c r="AM120" s="10" t="n"/>
      <c r="AN120" s="10" t="n"/>
      <c r="AO120" s="11" t="n"/>
    </row>
    <row r="121">
      <c r="A121" t="n">
        <v>1</v>
      </c>
      <c r="C121" t="inlineStr">
        <is>
          <t>이자수취(CF)</t>
        </is>
      </c>
      <c r="F121" s="9" t="n"/>
      <c r="K121" s="9" t="n"/>
      <c r="P121" s="9" t="n"/>
      <c r="U121" s="9" t="n"/>
      <c r="Z121" s="9" t="n"/>
      <c r="AA121" s="18" t="n">
        <v>3251.68</v>
      </c>
      <c r="AB121" s="5" t="n"/>
      <c r="AC121" s="10" t="n"/>
      <c r="AD121" s="10" t="n"/>
      <c r="AE121" s="11" t="n"/>
      <c r="AF121" s="10" t="n"/>
      <c r="AG121" s="10" t="n"/>
      <c r="AH121" s="10" t="n"/>
      <c r="AI121" s="10" t="n"/>
      <c r="AJ121" s="11" t="n"/>
      <c r="AK121" s="10" t="n"/>
      <c r="AL121" s="10" t="n"/>
      <c r="AM121" s="10" t="n"/>
      <c r="AN121" s="10" t="n"/>
      <c r="AO121" s="11" t="n"/>
    </row>
    <row r="122">
      <c r="A122" t="n">
        <v>1</v>
      </c>
      <c r="C122" t="inlineStr">
        <is>
          <t>이자지급(CF)</t>
        </is>
      </c>
      <c r="F122" s="9" t="n"/>
      <c r="K122" s="9" t="n"/>
      <c r="P122" s="9" t="n"/>
      <c r="U122" s="9" t="n"/>
      <c r="Z122" s="9" t="n"/>
      <c r="AA122" s="18" t="n">
        <v>-379.45</v>
      </c>
      <c r="AB122" s="5" t="n"/>
      <c r="AC122" s="10" t="n"/>
      <c r="AD122" s="10" t="n"/>
      <c r="AE122" s="11" t="n"/>
      <c r="AF122" s="10" t="n"/>
      <c r="AG122" s="10" t="n"/>
      <c r="AH122" s="10" t="n"/>
      <c r="AI122" s="10" t="n"/>
      <c r="AJ122" s="11" t="n"/>
      <c r="AK122" s="10" t="n"/>
      <c r="AL122" s="10" t="n"/>
      <c r="AM122" s="10" t="n"/>
      <c r="AN122" s="10" t="n"/>
      <c r="AO12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한화엔진(별)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346614.99</v>
      </c>
      <c r="F5" s="37" t="n">
        <v>346614.99</v>
      </c>
      <c r="G5" s="18" t="n">
        <v>356365.88</v>
      </c>
      <c r="H5" s="18" t="n">
        <v>390253.03</v>
      </c>
      <c r="I5" s="18" t="n">
        <v>540764.2</v>
      </c>
      <c r="J5" s="18" t="n">
        <v>471073.55</v>
      </c>
      <c r="K5" s="37" t="n">
        <v>471073.55</v>
      </c>
      <c r="L5" s="18" t="n">
        <v>492253.39</v>
      </c>
      <c r="M5" s="18" t="n">
        <v>552402.0699999999</v>
      </c>
      <c r="N5" s="18" t="n">
        <v>611065.1800000001</v>
      </c>
      <c r="O5" s="18" t="n">
        <v>655667.27</v>
      </c>
      <c r="P5" s="37" t="n">
        <v>655667.27</v>
      </c>
      <c r="Q5" s="18" t="n">
        <v>750413.99</v>
      </c>
      <c r="R5" s="18" t="n">
        <v>699944.85</v>
      </c>
      <c r="S5" s="18" t="n">
        <v>612864.1800000001</v>
      </c>
      <c r="T5" s="18" t="n">
        <v>785001.24</v>
      </c>
      <c r="U5" s="37" t="n">
        <v>785001.24</v>
      </c>
      <c r="V5" s="18" t="n">
        <v>851970.85</v>
      </c>
      <c r="W5" s="18" t="n">
        <v>853459.4399999999</v>
      </c>
      <c r="X5" s="18" t="n">
        <v>917610.92</v>
      </c>
      <c r="Y5" s="18" t="n">
        <v>1031851.25</v>
      </c>
      <c r="Z5" s="37" t="n">
        <v>1031851.25</v>
      </c>
      <c r="AA5" s="18" t="n">
        <v>852962.37</v>
      </c>
      <c r="AB5" s="19" t="n">
        <v>976282.4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53585.63</v>
      </c>
      <c r="F6" s="37" t="n">
        <v>53585.63</v>
      </c>
      <c r="G6" s="18" t="n">
        <v>63630.95</v>
      </c>
      <c r="H6" s="18" t="n">
        <v>54135.08</v>
      </c>
      <c r="I6" s="18" t="n">
        <v>91288.83</v>
      </c>
      <c r="J6" s="18" t="n">
        <v>54559.25</v>
      </c>
      <c r="K6" s="37" t="n">
        <v>54559.25</v>
      </c>
      <c r="L6" s="18" t="n">
        <v>66371.55</v>
      </c>
      <c r="M6" s="18" t="n">
        <v>33083.66</v>
      </c>
      <c r="N6" s="18" t="n">
        <v>47857.15</v>
      </c>
      <c r="O6" s="18" t="n">
        <v>102831.94</v>
      </c>
      <c r="P6" s="37" t="n">
        <v>102831.94</v>
      </c>
      <c r="Q6" s="18" t="n">
        <v>206784.17</v>
      </c>
      <c r="R6" s="18" t="n">
        <v>98484.97</v>
      </c>
      <c r="S6" s="18" t="n">
        <v>80109</v>
      </c>
      <c r="T6" s="18" t="n">
        <v>133001.19</v>
      </c>
      <c r="U6" s="37" t="n">
        <v>133001.19</v>
      </c>
      <c r="V6" s="18" t="n">
        <v>123194.8</v>
      </c>
      <c r="W6" s="18" t="n">
        <v>203510.89</v>
      </c>
      <c r="X6" s="18" t="n">
        <v>218647.84</v>
      </c>
      <c r="Y6" s="18" t="n">
        <v>276708.03</v>
      </c>
      <c r="Z6" s="37" t="n">
        <v>276708.03</v>
      </c>
      <c r="AA6" s="18" t="n">
        <v>46502.75</v>
      </c>
      <c r="AB6" s="19" t="n">
        <v>156711.61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12702.29</v>
      </c>
      <c r="F7" s="37" t="n">
        <v>12702.29</v>
      </c>
      <c r="G7" s="18" t="n">
        <v>8568</v>
      </c>
      <c r="H7" s="18" t="n">
        <v>8497.16</v>
      </c>
      <c r="I7" s="18" t="n">
        <v>42291.27</v>
      </c>
      <c r="J7" s="18" t="n">
        <v>15156.82</v>
      </c>
      <c r="K7" s="37" t="n">
        <v>15156.82</v>
      </c>
      <c r="L7" s="18" t="n">
        <v>13870.42</v>
      </c>
      <c r="M7" s="18" t="n">
        <v>13910.76</v>
      </c>
      <c r="N7" s="18" t="n">
        <v>16846.02</v>
      </c>
      <c r="O7" s="18" t="n">
        <v>18612.47</v>
      </c>
      <c r="P7" s="37" t="n">
        <v>18612.47</v>
      </c>
      <c r="Q7" s="18" t="n">
        <v>16917.66</v>
      </c>
      <c r="R7" s="18" t="n">
        <v>24899.77</v>
      </c>
      <c r="S7" s="18" t="n">
        <v>12539.26</v>
      </c>
      <c r="T7" s="18" t="n">
        <v>6649.16</v>
      </c>
      <c r="U7" s="37" t="n">
        <v>6649.16</v>
      </c>
      <c r="V7" s="18" t="n">
        <v>65458.64</v>
      </c>
      <c r="W7" s="18" t="n">
        <v>133814.27</v>
      </c>
      <c r="X7" s="18" t="n">
        <v>150479.7</v>
      </c>
      <c r="Y7" s="18" t="n">
        <v>133988.65</v>
      </c>
      <c r="Z7" s="37" t="n">
        <v>133988.65</v>
      </c>
      <c r="AA7" s="18" t="n">
        <v>65265.9</v>
      </c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14059.78</v>
      </c>
      <c r="F8" s="37" t="n">
        <v>14059.78</v>
      </c>
      <c r="G8" s="18" t="n">
        <v>10082.11</v>
      </c>
      <c r="H8" s="18" t="n">
        <v>8610.459999999999</v>
      </c>
      <c r="I8" s="18" t="n">
        <v>42395.52</v>
      </c>
      <c r="J8" s="18" t="n">
        <v>15257.32</v>
      </c>
      <c r="K8" s="37" t="n">
        <v>15257.32</v>
      </c>
      <c r="L8" s="18" t="n">
        <v>13974.42</v>
      </c>
      <c r="M8" s="18" t="n">
        <v>14015.66</v>
      </c>
      <c r="N8" s="18" t="n">
        <v>16953.42</v>
      </c>
      <c r="O8" s="18" t="n">
        <v>18726.37</v>
      </c>
      <c r="P8" s="37" t="n">
        <v>18726.37</v>
      </c>
      <c r="Q8" s="18" t="n">
        <v>17033.76</v>
      </c>
      <c r="R8" s="18" t="n">
        <v>25014.52</v>
      </c>
      <c r="S8" s="18" t="n">
        <v>12656.06</v>
      </c>
      <c r="T8" s="18" t="n">
        <v>6766.66</v>
      </c>
      <c r="U8" s="37" t="n">
        <v>6766.66</v>
      </c>
      <c r="V8" s="18" t="n">
        <v>65568.84</v>
      </c>
      <c r="W8" s="18" t="n">
        <v>133922.52</v>
      </c>
      <c r="X8" s="18" t="n">
        <v>150593.6</v>
      </c>
      <c r="Y8" s="18" t="n">
        <v>134106</v>
      </c>
      <c r="Z8" s="37" t="n">
        <v>134106</v>
      </c>
      <c r="AA8" s="18" t="n">
        <v>70823.39999999999</v>
      </c>
      <c r="AB8" s="19" t="n">
        <v>142045.33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단기대여금</t>
        </is>
      </c>
      <c r="E9" s="18" t="n">
        <v>1357.49</v>
      </c>
      <c r="F9" s="37" t="n">
        <v>1357.49</v>
      </c>
      <c r="G9" s="18" t="n">
        <v>1514.11</v>
      </c>
      <c r="H9" s="18" t="n">
        <v>113.3</v>
      </c>
      <c r="I9" s="18" t="n">
        <v>104.25</v>
      </c>
      <c r="J9" s="18" t="n">
        <v>100.5</v>
      </c>
      <c r="K9" s="37" t="n">
        <v>100.5</v>
      </c>
      <c r="L9" s="18" t="n">
        <v>104</v>
      </c>
      <c r="M9" s="18" t="n">
        <v>104.9</v>
      </c>
      <c r="N9" s="18" t="n">
        <v>107.4</v>
      </c>
      <c r="O9" s="18" t="n">
        <v>113.9</v>
      </c>
      <c r="P9" s="37" t="n">
        <v>113.9</v>
      </c>
      <c r="Q9" s="18" t="n">
        <v>116.1</v>
      </c>
      <c r="R9" s="18" t="n">
        <v>114.75</v>
      </c>
      <c r="S9" s="18" t="n">
        <v>116.8</v>
      </c>
      <c r="T9" s="18" t="n">
        <v>117.5</v>
      </c>
      <c r="U9" s="37" t="n">
        <v>117.5</v>
      </c>
      <c r="V9" s="18" t="n">
        <v>110.2</v>
      </c>
      <c r="W9" s="18" t="n">
        <v>108.25</v>
      </c>
      <c r="X9" s="18" t="n">
        <v>113.9</v>
      </c>
      <c r="Y9" s="18" t="n">
        <v>117.35</v>
      </c>
      <c r="Z9" s="37" t="n">
        <v>117.35</v>
      </c>
      <c r="AA9" s="18" t="n">
        <v>176.2</v>
      </c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61460.63</v>
      </c>
      <c r="F10" s="37" t="n">
        <v>61460.63</v>
      </c>
      <c r="G10" s="18" t="n">
        <v>58679.42</v>
      </c>
      <c r="H10" s="18" t="n">
        <v>52273.4</v>
      </c>
      <c r="I10" s="18" t="n">
        <v>51497.35</v>
      </c>
      <c r="J10" s="18" t="n">
        <v>71262.89</v>
      </c>
      <c r="K10" s="37" t="n">
        <v>71262.89</v>
      </c>
      <c r="L10" s="18" t="n">
        <v>69235.42999999999</v>
      </c>
      <c r="M10" s="18" t="n">
        <v>72694.88</v>
      </c>
      <c r="N10" s="18" t="n">
        <v>68484.46000000001</v>
      </c>
      <c r="O10" s="18" t="n">
        <v>86308.2</v>
      </c>
      <c r="P10" s="37" t="n">
        <v>86308.2</v>
      </c>
      <c r="Q10" s="18" t="n">
        <v>101001.9</v>
      </c>
      <c r="R10" s="18" t="n">
        <v>117001.28</v>
      </c>
      <c r="S10" s="18" t="n">
        <v>103633.04</v>
      </c>
      <c r="T10" s="18" t="n">
        <v>135080.97</v>
      </c>
      <c r="U10" s="37" t="n">
        <v>135080.97</v>
      </c>
      <c r="V10" s="18" t="n">
        <v>159251.38</v>
      </c>
      <c r="W10" s="18" t="n">
        <v>131598.76</v>
      </c>
      <c r="X10" s="18" t="n">
        <v>117452.15</v>
      </c>
      <c r="Y10" s="18" t="n">
        <v>165742.58</v>
      </c>
      <c r="Z10" s="37" t="n">
        <v>165742.58</v>
      </c>
      <c r="AA10" s="18" t="n">
        <v>193202</v>
      </c>
      <c r="AB10" s="19" t="n">
        <v>123760.64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계약자산</t>
        </is>
      </c>
      <c r="E11" s="18" t="n">
        <v>12664.66</v>
      </c>
      <c r="F11" s="37" t="n">
        <v>12664.66</v>
      </c>
      <c r="K11" s="9" t="n"/>
      <c r="N11" s="18" t="n">
        <v>877.05</v>
      </c>
      <c r="O11" s="18" t="n">
        <v>700.7</v>
      </c>
      <c r="P11" s="37" t="n">
        <v>700.7</v>
      </c>
      <c r="R11" s="18" t="n">
        <v>530.23</v>
      </c>
      <c r="S11" s="18" t="n">
        <v>598.73</v>
      </c>
      <c r="T11" s="18" t="n">
        <v>4492.99</v>
      </c>
      <c r="U11" s="37" t="n">
        <v>4492.99</v>
      </c>
      <c r="V11" s="18" t="n">
        <v>0</v>
      </c>
      <c r="W11" s="18" t="n">
        <v>0</v>
      </c>
      <c r="X11" s="18" t="n">
        <v>0</v>
      </c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146.29</v>
      </c>
      <c r="F12" s="37" t="n">
        <v>146.29</v>
      </c>
      <c r="G12" s="18" t="n">
        <v>152.66</v>
      </c>
      <c r="H12" s="18" t="n">
        <v>117.23</v>
      </c>
      <c r="I12" s="18" t="n">
        <v>139.42</v>
      </c>
      <c r="J12" s="18" t="n">
        <v>211.85</v>
      </c>
      <c r="K12" s="37" t="n">
        <v>211.85</v>
      </c>
      <c r="L12" s="18" t="n">
        <v>257.65</v>
      </c>
      <c r="M12" s="18" t="n">
        <v>312.85</v>
      </c>
      <c r="N12" s="18" t="n">
        <v>389.14</v>
      </c>
      <c r="O12" s="18" t="n">
        <v>385.46</v>
      </c>
      <c r="P12" s="37" t="n">
        <v>385.46</v>
      </c>
      <c r="Q12" s="18" t="n">
        <v>83.7</v>
      </c>
      <c r="R12" s="18" t="n">
        <v>44.69</v>
      </c>
      <c r="T12" s="18" t="n">
        <v>0</v>
      </c>
      <c r="U12" s="37" t="n">
        <v>0</v>
      </c>
      <c r="V12" s="18" t="n">
        <v>193.35</v>
      </c>
      <c r="W12" s="18" t="n">
        <v>127.35</v>
      </c>
      <c r="X12" s="18" t="n">
        <v>4.3</v>
      </c>
      <c r="Y12" s="18" t="n">
        <v>18.3</v>
      </c>
      <c r="Z12" s="37" t="n">
        <v>18.3</v>
      </c>
      <c r="AB12" s="19" t="n">
        <v>26.79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재고자산</t>
        </is>
      </c>
      <c r="E13" s="18" t="n">
        <v>179045.98</v>
      </c>
      <c r="F13" s="37" t="n">
        <v>179045.98</v>
      </c>
      <c r="G13" s="18" t="n">
        <v>190016.21</v>
      </c>
      <c r="H13" s="18" t="n">
        <v>218947.82</v>
      </c>
      <c r="I13" s="18" t="n">
        <v>241888.53</v>
      </c>
      <c r="J13" s="18" t="n">
        <v>252292.72</v>
      </c>
      <c r="K13" s="37" t="n">
        <v>252292.72</v>
      </c>
      <c r="L13" s="18" t="n">
        <v>269549.22</v>
      </c>
      <c r="M13" s="18" t="n">
        <v>322351.85</v>
      </c>
      <c r="N13" s="18" t="n">
        <v>374061.81</v>
      </c>
      <c r="O13" s="18" t="n">
        <v>366491.88</v>
      </c>
      <c r="P13" s="37" t="n">
        <v>366491.88</v>
      </c>
      <c r="Q13" s="18" t="n">
        <v>359722.18</v>
      </c>
      <c r="R13" s="18" t="n">
        <v>369663.85</v>
      </c>
      <c r="S13" s="18" t="n">
        <v>358367.95</v>
      </c>
      <c r="T13" s="18" t="n">
        <v>370325.63</v>
      </c>
      <c r="U13" s="37" t="n">
        <v>370325.63</v>
      </c>
      <c r="V13" s="18" t="n">
        <v>374170.9</v>
      </c>
      <c r="W13" s="18" t="n">
        <v>328435.94</v>
      </c>
      <c r="X13" s="18" t="n">
        <v>348771.35</v>
      </c>
      <c r="Y13" s="18" t="n">
        <v>356165.91</v>
      </c>
      <c r="Z13" s="37" t="n">
        <v>356165.91</v>
      </c>
      <c r="AA13" s="18" t="n">
        <v>391082.44</v>
      </c>
      <c r="AB13" s="19" t="n">
        <v>466105.59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기타유동자산</t>
        </is>
      </c>
      <c r="E14" s="18" t="n">
        <v>8544.040000000001</v>
      </c>
      <c r="F14" s="37" t="n">
        <v>8544.040000000001</v>
      </c>
      <c r="G14" s="18" t="n">
        <v>11678.34</v>
      </c>
      <c r="H14" s="18" t="n">
        <v>14156.09</v>
      </c>
      <c r="I14" s="18" t="n">
        <v>15935.33</v>
      </c>
      <c r="J14" s="18" t="n">
        <v>14647.14</v>
      </c>
      <c r="K14" s="37" t="n">
        <v>14647.14</v>
      </c>
      <c r="L14" s="18" t="n">
        <v>14546.24</v>
      </c>
      <c r="M14" s="18" t="n">
        <v>16315.88</v>
      </c>
      <c r="N14" s="18" t="n">
        <v>14592.13</v>
      </c>
      <c r="O14" s="18" t="n">
        <v>16741.12</v>
      </c>
      <c r="P14" s="37" t="n">
        <v>16741.12</v>
      </c>
      <c r="Q14" s="18" t="n">
        <v>14172.59</v>
      </c>
      <c r="R14" s="18" t="n">
        <v>14461.98</v>
      </c>
      <c r="S14" s="18" t="n">
        <v>15426.89</v>
      </c>
      <c r="T14" s="18" t="n">
        <v>16454.51</v>
      </c>
      <c r="U14" s="37" t="n">
        <v>16454.51</v>
      </c>
      <c r="V14" s="18" t="n">
        <v>16837.3</v>
      </c>
      <c r="W14" s="18" t="n">
        <v>15336.42</v>
      </c>
      <c r="X14" s="18" t="n">
        <v>17561.28</v>
      </c>
      <c r="Y14" s="18" t="n">
        <v>15258.84</v>
      </c>
      <c r="Z14" s="37" t="n">
        <v>15258.84</v>
      </c>
      <c r="AA14" s="18" t="n">
        <v>29319.9</v>
      </c>
      <c r="AB14" s="19" t="n">
        <v>31956.04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445773.77</v>
      </c>
      <c r="F15" s="37" t="n">
        <v>445773.77</v>
      </c>
      <c r="G15" s="18" t="n">
        <v>444183.58</v>
      </c>
      <c r="H15" s="18" t="n">
        <v>478591.64</v>
      </c>
      <c r="I15" s="18" t="n">
        <v>536908.77</v>
      </c>
      <c r="J15" s="18" t="n">
        <v>485156.75</v>
      </c>
      <c r="K15" s="37" t="n">
        <v>485156.75</v>
      </c>
      <c r="L15" s="18" t="n">
        <v>502186.15</v>
      </c>
      <c r="M15" s="18" t="n">
        <v>477828.77</v>
      </c>
      <c r="N15" s="18" t="n">
        <v>502787.6</v>
      </c>
      <c r="O15" s="18" t="n">
        <v>481190.9</v>
      </c>
      <c r="P15" s="37" t="n">
        <v>481190.9</v>
      </c>
      <c r="Q15" s="18" t="n">
        <v>499761.5</v>
      </c>
      <c r="R15" s="18" t="n">
        <v>520351.33</v>
      </c>
      <c r="S15" s="18" t="n">
        <v>508758.52</v>
      </c>
      <c r="T15" s="18" t="n">
        <v>628100.71</v>
      </c>
      <c r="U15" s="37" t="n">
        <v>628100.71</v>
      </c>
      <c r="V15" s="18" t="n">
        <v>633346.55</v>
      </c>
      <c r="W15" s="18" t="n">
        <v>576292.46</v>
      </c>
      <c r="X15" s="18" t="n">
        <v>576697.09</v>
      </c>
      <c r="Y15" s="18" t="n">
        <v>663843.29</v>
      </c>
      <c r="Z15" s="37" t="n">
        <v>663843.29</v>
      </c>
      <c r="AA15" s="18" t="n">
        <v>1057216.71</v>
      </c>
      <c r="AB15" s="19" t="n">
        <v>1085203.62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518.77</v>
      </c>
      <c r="F16" s="37" t="n">
        <v>518.77</v>
      </c>
      <c r="G16" s="18" t="n">
        <v>1472</v>
      </c>
      <c r="H16" s="18" t="n">
        <v>3639.48</v>
      </c>
      <c r="I16" s="18" t="n">
        <v>5621.98</v>
      </c>
      <c r="J16" s="18" t="n">
        <v>8008.43</v>
      </c>
      <c r="K16" s="37" t="n">
        <v>8008.43</v>
      </c>
      <c r="L16" s="18" t="n">
        <v>7778.89</v>
      </c>
      <c r="M16" s="18" t="n">
        <v>8472.58</v>
      </c>
      <c r="N16" s="18" t="n">
        <v>5572.35</v>
      </c>
      <c r="O16" s="18" t="n">
        <v>3072.46</v>
      </c>
      <c r="P16" s="37" t="n">
        <v>3072.46</v>
      </c>
      <c r="Q16" s="18" t="n">
        <v>2702.18</v>
      </c>
      <c r="R16" s="18" t="n">
        <v>1158.77</v>
      </c>
      <c r="S16" s="18" t="n">
        <v>1158.77</v>
      </c>
      <c r="T16" s="18" t="n">
        <v>1158.77</v>
      </c>
      <c r="U16" s="37" t="n">
        <v>1158.77</v>
      </c>
      <c r="V16" s="18" t="n">
        <v>1158.77</v>
      </c>
      <c r="W16" s="18" t="n">
        <v>1158.77</v>
      </c>
      <c r="X16" s="18" t="n">
        <v>1158.77</v>
      </c>
      <c r="Y16" s="18" t="n">
        <v>1158.77</v>
      </c>
      <c r="Z16" s="37" t="n">
        <v>1158.77</v>
      </c>
      <c r="AA16" s="18" t="n">
        <v>1158.77</v>
      </c>
      <c r="AB16" s="19" t="n">
        <v>1220.54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3668.07</v>
      </c>
      <c r="F17" s="37" t="n">
        <v>3668.07</v>
      </c>
      <c r="G17" s="18" t="n">
        <v>3276.48</v>
      </c>
      <c r="H17" s="18" t="n">
        <v>5461.57</v>
      </c>
      <c r="I17" s="18" t="n">
        <v>7402.85</v>
      </c>
      <c r="J17" s="18" t="n">
        <v>44759.74</v>
      </c>
      <c r="K17" s="37" t="n">
        <v>44759.74</v>
      </c>
      <c r="L17" s="18" t="n">
        <v>44643.86</v>
      </c>
      <c r="M17" s="18" t="n">
        <v>9887.23</v>
      </c>
      <c r="N17" s="18" t="n">
        <v>7064.51</v>
      </c>
      <c r="O17" s="18" t="n">
        <v>4611.29</v>
      </c>
      <c r="P17" s="37" t="n">
        <v>4611.29</v>
      </c>
      <c r="Q17" s="18" t="n">
        <v>4236.08</v>
      </c>
      <c r="R17" s="18" t="n">
        <v>2735.22</v>
      </c>
      <c r="S17" s="18" t="n">
        <v>2738.39</v>
      </c>
      <c r="T17" s="18" t="n">
        <v>2794.28</v>
      </c>
      <c r="U17" s="37" t="n">
        <v>2794.28</v>
      </c>
      <c r="V17" s="18" t="n">
        <v>2840.82</v>
      </c>
      <c r="W17" s="18" t="n">
        <v>2979.34</v>
      </c>
      <c r="X17" s="18" t="n">
        <v>1543.45</v>
      </c>
      <c r="Y17" s="18" t="n">
        <v>1522.04</v>
      </c>
      <c r="Z17" s="37" t="n">
        <v>1522.04</v>
      </c>
      <c r="AA17" s="18" t="n">
        <v>311931.24</v>
      </c>
      <c r="AB17" s="19" t="n">
        <v>128013.62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2839.41</v>
      </c>
      <c r="F18" s="37" t="n">
        <v>2839.41</v>
      </c>
      <c r="G18" s="18" t="n">
        <v>1514.03</v>
      </c>
      <c r="H18" s="18" t="n">
        <v>1514.03</v>
      </c>
      <c r="I18" s="18" t="n">
        <v>1514.03</v>
      </c>
      <c r="J18" s="18" t="n">
        <v>36484.57</v>
      </c>
      <c r="K18" s="37" t="n">
        <v>36484.57</v>
      </c>
      <c r="L18" s="18" t="n">
        <v>36484.57</v>
      </c>
      <c r="M18" s="18" t="n">
        <v>1076.27</v>
      </c>
      <c r="N18" s="18" t="n">
        <v>1153.64</v>
      </c>
      <c r="O18" s="18" t="n">
        <v>1154.81</v>
      </c>
      <c r="P18" s="37" t="n">
        <v>1154.81</v>
      </c>
      <c r="Q18" s="18" t="n">
        <v>1154.81</v>
      </c>
      <c r="R18" s="18" t="n">
        <v>1236.01</v>
      </c>
      <c r="S18" s="18" t="n">
        <v>1239.42</v>
      </c>
      <c r="T18" s="18" t="n">
        <v>1286.54</v>
      </c>
      <c r="U18" s="37" t="n">
        <v>1286.54</v>
      </c>
      <c r="V18" s="18" t="n">
        <v>1352.22</v>
      </c>
      <c r="W18" s="18" t="n">
        <v>1493.73</v>
      </c>
      <c r="X18" s="18" t="n">
        <v>0</v>
      </c>
      <c r="Y18" s="18" t="n">
        <v>4.28</v>
      </c>
      <c r="Z18" s="37" t="n">
        <v>4.28</v>
      </c>
      <c r="AA18" s="18" t="n">
        <v>310064.28</v>
      </c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장기대여금</t>
        </is>
      </c>
      <c r="E19" s="18" t="n">
        <v>309.89</v>
      </c>
      <c r="F19" s="37" t="n">
        <v>309.89</v>
      </c>
      <c r="G19" s="18" t="n">
        <v>290.45</v>
      </c>
      <c r="H19" s="18" t="n">
        <v>308.06</v>
      </c>
      <c r="I19" s="18" t="n">
        <v>266.84</v>
      </c>
      <c r="J19" s="18" t="n">
        <v>266.74</v>
      </c>
      <c r="K19" s="37" t="n">
        <v>266.74</v>
      </c>
      <c r="L19" s="18" t="n">
        <v>380.4</v>
      </c>
      <c r="M19" s="18" t="n">
        <v>338.38</v>
      </c>
      <c r="N19" s="18" t="n">
        <v>338.52</v>
      </c>
      <c r="O19" s="18" t="n">
        <v>384.02</v>
      </c>
      <c r="P19" s="37" t="n">
        <v>384.02</v>
      </c>
      <c r="Q19" s="18" t="n">
        <v>379.09</v>
      </c>
      <c r="R19" s="18" t="n">
        <v>340.44</v>
      </c>
      <c r="S19" s="18" t="n">
        <v>340.2</v>
      </c>
      <c r="T19" s="18" t="n">
        <v>348.97</v>
      </c>
      <c r="U19" s="37" t="n">
        <v>348.97</v>
      </c>
      <c r="V19" s="18" t="n">
        <v>329.83</v>
      </c>
      <c r="W19" s="18" t="n">
        <v>326.84</v>
      </c>
      <c r="X19" s="18" t="n">
        <v>384.68</v>
      </c>
      <c r="Y19" s="18" t="n">
        <v>358.99</v>
      </c>
      <c r="Z19" s="37" t="n">
        <v>358.99</v>
      </c>
      <c r="AA19" s="18" t="n">
        <v>463.3</v>
      </c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장기매출채권및기타채권</t>
        </is>
      </c>
      <c r="E20" s="18" t="n">
        <v>579.58</v>
      </c>
      <c r="F20" s="37" t="n">
        <v>579.58</v>
      </c>
      <c r="G20" s="18" t="n">
        <v>591.47</v>
      </c>
      <c r="H20" s="18" t="n">
        <v>593.29</v>
      </c>
      <c r="I20" s="18" t="n">
        <v>596.4299999999999</v>
      </c>
      <c r="J20" s="18" t="n">
        <v>591.97</v>
      </c>
      <c r="K20" s="37" t="n">
        <v>591.97</v>
      </c>
      <c r="L20" s="18" t="n">
        <v>608.8099999999999</v>
      </c>
      <c r="M20" s="18" t="n">
        <v>596.33</v>
      </c>
      <c r="N20" s="18" t="n">
        <v>603.52</v>
      </c>
      <c r="O20" s="18" t="n">
        <v>589.92</v>
      </c>
      <c r="P20" s="37" t="n">
        <v>589.92</v>
      </c>
      <c r="Q20" s="18" t="n">
        <v>1452.58</v>
      </c>
      <c r="R20" s="18" t="n">
        <v>1407.18</v>
      </c>
      <c r="S20" s="18" t="n">
        <v>1406.88</v>
      </c>
      <c r="T20" s="18" t="n">
        <v>1493.53</v>
      </c>
      <c r="U20" s="37" t="n">
        <v>1493.53</v>
      </c>
      <c r="V20" s="18" t="n">
        <v>1801.61</v>
      </c>
      <c r="W20" s="18" t="n">
        <v>1819.5</v>
      </c>
      <c r="X20" s="18" t="n">
        <v>2685.11</v>
      </c>
      <c r="Y20" s="18" t="n">
        <v>2734.92</v>
      </c>
      <c r="Z20" s="37" t="n">
        <v>2734.92</v>
      </c>
      <c r="AA20" s="18" t="n">
        <v>2278.51</v>
      </c>
      <c r="AB20" s="19" t="n">
        <v>3083.55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유형자산</t>
        </is>
      </c>
      <c r="E21" s="18" t="n">
        <v>358378.92</v>
      </c>
      <c r="F21" s="37" t="n">
        <v>358378.92</v>
      </c>
      <c r="G21" s="18" t="n">
        <v>356224.49</v>
      </c>
      <c r="H21" s="18" t="n">
        <v>356637.32</v>
      </c>
      <c r="I21" s="18" t="n">
        <v>355015.27</v>
      </c>
      <c r="J21" s="18" t="n">
        <v>354241.66</v>
      </c>
      <c r="K21" s="37" t="n">
        <v>354241.66</v>
      </c>
      <c r="L21" s="18" t="n">
        <v>356421.66</v>
      </c>
      <c r="M21" s="18" t="n">
        <v>366070.83</v>
      </c>
      <c r="N21" s="18" t="n">
        <v>370471.9</v>
      </c>
      <c r="O21" s="18" t="n">
        <v>379948.53</v>
      </c>
      <c r="P21" s="37" t="n">
        <v>379948.53</v>
      </c>
      <c r="Q21" s="18" t="n">
        <v>384268.82</v>
      </c>
      <c r="R21" s="18" t="n">
        <v>392748.36</v>
      </c>
      <c r="S21" s="18" t="n">
        <v>410808.32</v>
      </c>
      <c r="T21" s="18" t="n">
        <v>415497.11</v>
      </c>
      <c r="U21" s="37" t="n">
        <v>415497.11</v>
      </c>
      <c r="V21" s="18" t="n">
        <v>417018.14</v>
      </c>
      <c r="W21" s="18" t="n">
        <v>415696.73</v>
      </c>
      <c r="X21" s="18" t="n">
        <v>425828.43</v>
      </c>
      <c r="Y21" s="18" t="n">
        <v>433599.71</v>
      </c>
      <c r="Z21" s="37" t="n">
        <v>433599.71</v>
      </c>
      <c r="AA21" s="18" t="n">
        <v>460320.15</v>
      </c>
      <c r="AB21" s="19" t="n">
        <v>490282.47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사용권자산</t>
        </is>
      </c>
      <c r="E22" s="18" t="n">
        <v>11937.8</v>
      </c>
      <c r="F22" s="37" t="n">
        <v>11937.8</v>
      </c>
      <c r="G22" s="18" t="n">
        <v>11592.36</v>
      </c>
      <c r="H22" s="18" t="n">
        <v>11237.53</v>
      </c>
      <c r="I22" s="18" t="n">
        <v>10805</v>
      </c>
      <c r="J22" s="18" t="n">
        <v>10742.3</v>
      </c>
      <c r="K22" s="37" t="n">
        <v>10742.3</v>
      </c>
      <c r="L22" s="18" t="n">
        <v>10533.81</v>
      </c>
      <c r="M22" s="18" t="n">
        <v>11288.93</v>
      </c>
      <c r="N22" s="18" t="n">
        <v>10936.94</v>
      </c>
      <c r="O22" s="18" t="n">
        <v>10791.77</v>
      </c>
      <c r="P22" s="37" t="n">
        <v>10791.77</v>
      </c>
      <c r="Q22" s="18" t="n">
        <v>10790.39</v>
      </c>
      <c r="R22" s="18" t="n">
        <v>10609.86</v>
      </c>
      <c r="S22" s="18" t="n">
        <v>10459.36</v>
      </c>
      <c r="T22" s="18" t="n">
        <v>10091</v>
      </c>
      <c r="U22" s="37" t="n">
        <v>10091</v>
      </c>
      <c r="V22" s="18" t="n">
        <v>9976.15</v>
      </c>
      <c r="W22" s="18" t="n">
        <v>9545.870000000001</v>
      </c>
      <c r="X22" s="18" t="n">
        <v>9098.02</v>
      </c>
      <c r="Y22" s="18" t="n">
        <v>9028.790000000001</v>
      </c>
      <c r="Z22" s="37" t="n">
        <v>9028.790000000001</v>
      </c>
      <c r="AA22" s="18" t="n">
        <v>8890.83</v>
      </c>
      <c r="AB22" s="19" t="n">
        <v>9319.68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기타비유동자산</t>
        </is>
      </c>
      <c r="E23" s="18" t="n">
        <v>12421.68</v>
      </c>
      <c r="F23" s="37" t="n">
        <v>12421.68</v>
      </c>
      <c r="G23" s="18" t="n">
        <v>11932.44</v>
      </c>
      <c r="H23" s="18" t="n">
        <v>11878.24</v>
      </c>
      <c r="I23" s="18" t="n">
        <v>11698.07</v>
      </c>
      <c r="J23" s="18" t="n">
        <v>11779.6</v>
      </c>
      <c r="K23" s="37" t="n">
        <v>11779.6</v>
      </c>
      <c r="L23" s="18" t="n">
        <v>12044.73</v>
      </c>
      <c r="M23" s="18" t="n">
        <v>12723.46</v>
      </c>
      <c r="N23" s="18" t="n">
        <v>12682.66</v>
      </c>
      <c r="O23" s="18" t="n">
        <v>12176.2</v>
      </c>
      <c r="P23" s="37" t="n">
        <v>12176.2</v>
      </c>
      <c r="Q23" s="18" t="n">
        <v>12036.46</v>
      </c>
      <c r="R23" s="18" t="n">
        <v>11812.68</v>
      </c>
      <c r="S23" s="18" t="n">
        <v>12792.21</v>
      </c>
      <c r="T23" s="18" t="n">
        <v>12714.65</v>
      </c>
      <c r="U23" s="37" t="n">
        <v>12714.65</v>
      </c>
      <c r="V23" s="18" t="n">
        <v>17327.25</v>
      </c>
      <c r="W23" s="18" t="n">
        <v>14331.01</v>
      </c>
      <c r="X23" s="18" t="n">
        <v>13403.04</v>
      </c>
      <c r="Y23" s="18" t="n">
        <v>16298.55</v>
      </c>
      <c r="Z23" s="37" t="n">
        <v>16298.55</v>
      </c>
      <c r="AA23" s="18" t="n">
        <v>16191.63</v>
      </c>
      <c r="AB23" s="19" t="n">
        <v>16078.69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투자부동산</t>
        </is>
      </c>
      <c r="E24" s="18" t="n">
        <v>47673.85</v>
      </c>
      <c r="F24" s="37" t="n">
        <v>47673.85</v>
      </c>
      <c r="G24" s="18" t="n">
        <v>47673.85</v>
      </c>
      <c r="H24" s="18" t="n">
        <v>47169.78</v>
      </c>
      <c r="I24" s="18" t="n">
        <v>47169.78</v>
      </c>
      <c r="J24" s="18" t="n">
        <v>47192.31</v>
      </c>
      <c r="K24" s="37" t="n">
        <v>47192.31</v>
      </c>
      <c r="L24" s="18" t="n">
        <v>47192.31</v>
      </c>
      <c r="M24" s="18" t="n">
        <v>47192.31</v>
      </c>
      <c r="N24" s="18" t="n">
        <v>47192.31</v>
      </c>
      <c r="O24" s="18" t="n">
        <v>48965.82</v>
      </c>
      <c r="P24" s="37" t="n">
        <v>48965.82</v>
      </c>
      <c r="Q24" s="18" t="n">
        <v>48965.82</v>
      </c>
      <c r="R24" s="18" t="n">
        <v>48965.82</v>
      </c>
      <c r="S24" s="18" t="n">
        <v>48965.82</v>
      </c>
      <c r="T24" s="18" t="n">
        <v>48965.82</v>
      </c>
      <c r="U24" s="37" t="n">
        <v>48965.82</v>
      </c>
      <c r="V24" s="18" t="n">
        <v>48965.82</v>
      </c>
      <c r="W24" s="18" t="n">
        <v>48965.82</v>
      </c>
      <c r="X24" s="18" t="n">
        <v>48965.82</v>
      </c>
      <c r="Y24" s="18" t="n">
        <v>48965.82</v>
      </c>
      <c r="Z24" s="37" t="n">
        <v>48965.82</v>
      </c>
      <c r="AA24" s="18" t="n">
        <v>48965.82</v>
      </c>
      <c r="AB24" s="19" t="n">
        <v>48965.82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무형자산</t>
        </is>
      </c>
      <c r="E25" s="18" t="n">
        <v>3755.14</v>
      </c>
      <c r="F25" s="37" t="n">
        <v>3755.14</v>
      </c>
      <c r="G25" s="18" t="n">
        <v>3534.4</v>
      </c>
      <c r="H25" s="18" t="n">
        <v>3429.61</v>
      </c>
      <c r="I25" s="18" t="n">
        <v>3488.19</v>
      </c>
      <c r="J25" s="18" t="n">
        <v>3448.29</v>
      </c>
      <c r="K25" s="37" t="n">
        <v>3448.29</v>
      </c>
      <c r="L25" s="18" t="n">
        <v>3209.51</v>
      </c>
      <c r="M25" s="18" t="n">
        <v>2967.92</v>
      </c>
      <c r="N25" s="18" t="n">
        <v>2730.67</v>
      </c>
      <c r="O25" s="18" t="n">
        <v>2861.61</v>
      </c>
      <c r="P25" s="37" t="n">
        <v>2861.61</v>
      </c>
      <c r="Q25" s="18" t="n">
        <v>2717.67</v>
      </c>
      <c r="R25" s="18" t="n">
        <v>2714.87</v>
      </c>
      <c r="S25" s="18" t="n">
        <v>3302.65</v>
      </c>
      <c r="T25" s="18" t="n">
        <v>5712.95</v>
      </c>
      <c r="U25" s="37" t="n">
        <v>5712.95</v>
      </c>
      <c r="V25" s="18" t="n">
        <v>7078.43</v>
      </c>
      <c r="W25" s="18" t="n">
        <v>6866.4</v>
      </c>
      <c r="X25" s="18" t="n">
        <v>7420.32</v>
      </c>
      <c r="Y25" s="18" t="n">
        <v>9617.77</v>
      </c>
      <c r="Z25" s="37" t="n">
        <v>9617.77</v>
      </c>
      <c r="AA25" s="18" t="n">
        <v>20383.14</v>
      </c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이연법인세자산</t>
        </is>
      </c>
      <c r="E26" s="18" t="n">
        <v>13165.33</v>
      </c>
      <c r="F26" s="37" t="n">
        <v>13165.33</v>
      </c>
      <c r="G26" s="18" t="n">
        <v>13864.2</v>
      </c>
      <c r="H26" s="18" t="n">
        <v>14877.67</v>
      </c>
      <c r="I26" s="18" t="n">
        <v>13452.88</v>
      </c>
      <c r="J26" s="18" t="n">
        <v>13110.98</v>
      </c>
      <c r="K26" s="37" t="n">
        <v>13110.98</v>
      </c>
      <c r="L26" s="18" t="n">
        <v>11554.47</v>
      </c>
      <c r="M26" s="18" t="n">
        <v>11454.18</v>
      </c>
      <c r="N26" s="18" t="n">
        <v>12124.08</v>
      </c>
      <c r="O26" s="18" t="n">
        <v>13062.19</v>
      </c>
      <c r="P26" s="37" t="n">
        <v>13062.19</v>
      </c>
      <c r="Q26" s="18" t="n">
        <v>10030.96</v>
      </c>
      <c r="R26" s="18" t="n">
        <v>5909.52</v>
      </c>
      <c r="S26" s="18" t="n">
        <v>3353.98</v>
      </c>
      <c r="T26" s="18" t="n">
        <v>16906.84</v>
      </c>
      <c r="U26" s="37" t="n">
        <v>16906.84</v>
      </c>
      <c r="V26" s="18" t="n">
        <v>16373.32</v>
      </c>
      <c r="W26" s="18" t="n">
        <v>25717.08</v>
      </c>
      <c r="X26" s="18" t="n">
        <v>25545.1</v>
      </c>
      <c r="Y26" s="18" t="n">
        <v>77750.89</v>
      </c>
      <c r="Z26" s="37" t="n">
        <v>77750.89</v>
      </c>
      <c r="AA26" s="18" t="n">
        <v>64689.18</v>
      </c>
      <c r="AB26" s="19" t="n">
        <v>65260.11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자산총계</t>
        </is>
      </c>
      <c r="E27" s="18" t="n">
        <v>792388.77</v>
      </c>
      <c r="F27" s="37" t="n">
        <v>792388.77</v>
      </c>
      <c r="G27" s="18" t="n">
        <v>800549.46</v>
      </c>
      <c r="H27" s="18" t="n">
        <v>868844.67</v>
      </c>
      <c r="I27" s="18" t="n">
        <v>1077672.96</v>
      </c>
      <c r="J27" s="18" t="n">
        <v>956230.29</v>
      </c>
      <c r="K27" s="37" t="n">
        <v>956230.29</v>
      </c>
      <c r="L27" s="18" t="n">
        <v>994439.54</v>
      </c>
      <c r="M27" s="18" t="n">
        <v>1030230.84</v>
      </c>
      <c r="N27" s="18" t="n">
        <v>1113852.78</v>
      </c>
      <c r="O27" s="18" t="n">
        <v>1136858.17</v>
      </c>
      <c r="P27" s="37" t="n">
        <v>1136858.17</v>
      </c>
      <c r="Q27" s="18" t="n">
        <v>1250175.49</v>
      </c>
      <c r="R27" s="18" t="n">
        <v>1220296.18</v>
      </c>
      <c r="S27" s="18" t="n">
        <v>1121622.7</v>
      </c>
      <c r="T27" s="18" t="n">
        <v>1413101.95</v>
      </c>
      <c r="U27" s="37" t="n">
        <v>1413101.95</v>
      </c>
      <c r="V27" s="18" t="n">
        <v>1485317.4</v>
      </c>
      <c r="W27" s="18" t="n">
        <v>1429751.9</v>
      </c>
      <c r="X27" s="18" t="n">
        <v>1494308.01</v>
      </c>
      <c r="Y27" s="18" t="n">
        <v>1695694.54</v>
      </c>
      <c r="Z27" s="37" t="n">
        <v>1695694.54</v>
      </c>
      <c r="AA27" s="18" t="n">
        <v>1910179.08</v>
      </c>
      <c r="AB27" s="19" t="n">
        <v>2061486.02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유동부채</t>
        </is>
      </c>
      <c r="E28" s="18" t="n">
        <v>428139.57</v>
      </c>
      <c r="F28" s="37" t="n">
        <v>428139.57</v>
      </c>
      <c r="G28" s="18" t="n">
        <v>472573.32</v>
      </c>
      <c r="H28" s="18" t="n">
        <v>545879.3</v>
      </c>
      <c r="I28" s="18" t="n">
        <v>603253.72</v>
      </c>
      <c r="J28" s="18" t="n">
        <v>498797.88</v>
      </c>
      <c r="K28" s="37" t="n">
        <v>498797.88</v>
      </c>
      <c r="L28" s="18" t="n">
        <v>533688.97</v>
      </c>
      <c r="M28" s="18" t="n">
        <v>518514.55</v>
      </c>
      <c r="N28" s="18" t="n">
        <v>596934.0699999999</v>
      </c>
      <c r="O28" s="18" t="n">
        <v>603567.8199999999</v>
      </c>
      <c r="P28" s="37" t="n">
        <v>603567.8199999999</v>
      </c>
      <c r="Q28" s="18" t="n">
        <v>613162.88</v>
      </c>
      <c r="R28" s="18" t="n">
        <v>535412.6899999999</v>
      </c>
      <c r="S28" s="18" t="n">
        <v>443990.06</v>
      </c>
      <c r="T28" s="18" t="n">
        <v>586563.1800000001</v>
      </c>
      <c r="U28" s="37" t="n">
        <v>586563.1800000001</v>
      </c>
      <c r="V28" s="18" t="n">
        <v>606765.29</v>
      </c>
      <c r="W28" s="18" t="n">
        <v>528929.2</v>
      </c>
      <c r="X28" s="18" t="n">
        <v>561720.42</v>
      </c>
      <c r="Y28" s="18" t="n">
        <v>611225.5699999999</v>
      </c>
      <c r="Z28" s="37" t="n">
        <v>611225.5699999999</v>
      </c>
      <c r="AA28" s="18" t="n">
        <v>722238.4</v>
      </c>
      <c r="AB28" s="19" t="n">
        <v>740378.58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매입채무및기타채무</t>
        </is>
      </c>
      <c r="E29" s="18" t="n">
        <v>123914.49</v>
      </c>
      <c r="F29" s="37" t="n">
        <v>123914.49</v>
      </c>
      <c r="G29" s="18" t="n">
        <v>132502.75</v>
      </c>
      <c r="H29" s="18" t="n">
        <v>132279.49</v>
      </c>
      <c r="I29" s="18" t="n">
        <v>118306.45</v>
      </c>
      <c r="J29" s="18" t="n">
        <v>133211.27</v>
      </c>
      <c r="K29" s="37" t="n">
        <v>133211.27</v>
      </c>
      <c r="L29" s="18" t="n">
        <v>140142.91</v>
      </c>
      <c r="M29" s="18" t="n">
        <v>144585.49</v>
      </c>
      <c r="N29" s="18" t="n">
        <v>148992.39</v>
      </c>
      <c r="O29" s="18" t="n">
        <v>199823.97</v>
      </c>
      <c r="P29" s="37" t="n">
        <v>199823.97</v>
      </c>
      <c r="Q29" s="18" t="n">
        <v>176885.8</v>
      </c>
      <c r="R29" s="18" t="n">
        <v>174927.17</v>
      </c>
      <c r="S29" s="18" t="n">
        <v>136815.45</v>
      </c>
      <c r="T29" s="18" t="n">
        <v>160663.68</v>
      </c>
      <c r="U29" s="37" t="n">
        <v>160663.68</v>
      </c>
      <c r="V29" s="18" t="n">
        <v>178995.03</v>
      </c>
      <c r="W29" s="18" t="n">
        <v>149408.71</v>
      </c>
      <c r="X29" s="18" t="n">
        <v>150287.02</v>
      </c>
      <c r="Y29" s="18" t="n">
        <v>179011.24</v>
      </c>
      <c r="Z29" s="37" t="n">
        <v>179011.24</v>
      </c>
      <c r="AA29" s="18" t="n">
        <v>229333.1</v>
      </c>
      <c r="AB29" s="19" t="n">
        <v>196418.51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계약부채</t>
        </is>
      </c>
      <c r="E30" s="18" t="n">
        <v>2381.61</v>
      </c>
      <c r="F30" s="37" t="n">
        <v>2381.61</v>
      </c>
      <c r="G30" s="18" t="n">
        <v>2232.58</v>
      </c>
      <c r="H30" s="18" t="n">
        <v>2337.48</v>
      </c>
      <c r="I30" s="18" t="n">
        <v>2295.76</v>
      </c>
      <c r="J30" s="18" t="n">
        <v>125312.31</v>
      </c>
      <c r="K30" s="37" t="n">
        <v>125312.31</v>
      </c>
      <c r="L30" s="18" t="n">
        <v>136489.79</v>
      </c>
      <c r="M30" s="18" t="n">
        <v>153159.35</v>
      </c>
      <c r="N30" s="18" t="n">
        <v>173445.3</v>
      </c>
      <c r="O30" s="18" t="n">
        <v>180982.12</v>
      </c>
      <c r="P30" s="37" t="n">
        <v>180982.12</v>
      </c>
      <c r="Q30" s="18" t="n">
        <v>190770.4</v>
      </c>
      <c r="R30" s="18" t="n">
        <v>208366.09</v>
      </c>
      <c r="S30" s="18" t="n">
        <v>203483.4</v>
      </c>
      <c r="T30" s="18" t="n">
        <v>226940.11</v>
      </c>
      <c r="U30" s="37" t="n">
        <v>226940.11</v>
      </c>
      <c r="V30" s="18" t="n">
        <v>246984.13</v>
      </c>
      <c r="W30" s="18" t="n">
        <v>235275.65</v>
      </c>
      <c r="X30" s="18" t="n">
        <v>245235.76</v>
      </c>
      <c r="Y30" s="18" t="n">
        <v>250874.74</v>
      </c>
      <c r="Z30" s="37" t="n">
        <v>250874.74</v>
      </c>
      <c r="AA30" s="18" t="n">
        <v>269004.85</v>
      </c>
      <c r="AB30" s="19" t="n">
        <v>352317.06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단기차입금</t>
        </is>
      </c>
      <c r="E31" s="18" t="n">
        <v>125000</v>
      </c>
      <c r="F31" s="37" t="n">
        <v>125000</v>
      </c>
      <c r="G31" s="18" t="n">
        <v>135000</v>
      </c>
      <c r="H31" s="18" t="n">
        <v>145000</v>
      </c>
      <c r="I31" s="18" t="n">
        <v>125000</v>
      </c>
      <c r="J31" s="18" t="n">
        <v>125000</v>
      </c>
      <c r="K31" s="37" t="n">
        <v>125000</v>
      </c>
      <c r="L31" s="18" t="n">
        <v>125000</v>
      </c>
      <c r="M31" s="18" t="n">
        <v>143900</v>
      </c>
      <c r="N31" s="18" t="n">
        <v>169600</v>
      </c>
      <c r="O31" s="18" t="n">
        <v>153000</v>
      </c>
      <c r="P31" s="37" t="n">
        <v>153000</v>
      </c>
      <c r="Q31" s="18" t="n">
        <v>151800</v>
      </c>
      <c r="R31" s="18" t="n">
        <v>50000</v>
      </c>
      <c r="S31" s="18" t="n">
        <v>36000</v>
      </c>
      <c r="T31" s="18" t="n">
        <v>30000</v>
      </c>
      <c r="U31" s="37" t="n">
        <v>30000</v>
      </c>
      <c r="V31" s="18" t="n">
        <v>30000</v>
      </c>
      <c r="W31" s="18" t="n">
        <v>20000</v>
      </c>
      <c r="X31" s="18" t="n">
        <v>20000</v>
      </c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유동성장기부채</t>
        </is>
      </c>
      <c r="E32" s="18" t="n">
        <v>8412</v>
      </c>
      <c r="F32" s="37" t="n">
        <v>8412</v>
      </c>
      <c r="G32" s="18" t="n">
        <v>12470.9</v>
      </c>
      <c r="H32" s="18" t="n">
        <v>62555.8</v>
      </c>
      <c r="I32" s="18" t="n">
        <v>60055.75</v>
      </c>
      <c r="J32" s="18" t="n">
        <v>57055.75</v>
      </c>
      <c r="K32" s="37" t="n">
        <v>57055.75</v>
      </c>
      <c r="L32" s="18" t="n">
        <v>54055.75</v>
      </c>
      <c r="M32" s="18" t="n">
        <v>4055.75</v>
      </c>
      <c r="N32" s="18" t="n">
        <v>17805.75</v>
      </c>
      <c r="O32" s="18" t="n">
        <v>17055.75</v>
      </c>
      <c r="P32" s="37" t="n">
        <v>17055.75</v>
      </c>
      <c r="Q32" s="18" t="n">
        <v>16305.75</v>
      </c>
      <c r="T32" s="18" t="n">
        <v>0</v>
      </c>
      <c r="U32" s="37" t="n">
        <v>0</v>
      </c>
      <c r="V32" s="18" t="n">
        <v>0</v>
      </c>
      <c r="W32" s="18" t="n">
        <v>40602.7</v>
      </c>
      <c r="X32" s="18" t="n">
        <v>42000.98</v>
      </c>
      <c r="Y32" s="18" t="n">
        <v>43008.75</v>
      </c>
      <c r="Z32" s="37" t="n">
        <v>43008.75</v>
      </c>
      <c r="AA32" s="18" t="n">
        <v>45391.85</v>
      </c>
      <c r="AB32" s="19" t="n">
        <v>0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선수금</t>
        </is>
      </c>
      <c r="E33" s="18" t="n">
        <v>128935.23</v>
      </c>
      <c r="F33" s="37" t="n">
        <v>128935.23</v>
      </c>
      <c r="G33" s="18" t="n">
        <v>130096.7</v>
      </c>
      <c r="H33" s="18" t="n">
        <v>119213.08</v>
      </c>
      <c r="I33" s="18" t="n">
        <v>125753.52</v>
      </c>
      <c r="K33" s="9" t="n"/>
      <c r="P33" s="9" t="n"/>
      <c r="U33" s="9" t="n"/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기타유동부채</t>
        </is>
      </c>
      <c r="E34" s="18" t="n">
        <v>143004.11</v>
      </c>
      <c r="F34" s="37" t="n">
        <v>143004.11</v>
      </c>
      <c r="G34" s="18" t="n">
        <v>147007.37</v>
      </c>
      <c r="H34" s="18" t="n">
        <v>138395.35</v>
      </c>
      <c r="I34" s="18" t="n">
        <v>144442.86</v>
      </c>
      <c r="J34" s="18" t="n">
        <v>16453.15</v>
      </c>
      <c r="K34" s="37" t="n">
        <v>16453.15</v>
      </c>
      <c r="L34" s="18" t="n">
        <v>19222.68</v>
      </c>
      <c r="M34" s="18" t="n">
        <v>20402.79</v>
      </c>
      <c r="N34" s="18" t="n">
        <v>21652.81</v>
      </c>
      <c r="O34" s="18" t="n">
        <v>19618.75</v>
      </c>
      <c r="P34" s="37" t="n">
        <v>19618.75</v>
      </c>
      <c r="Q34" s="18" t="n">
        <v>20576.7</v>
      </c>
      <c r="R34" s="18" t="n">
        <v>27229.97</v>
      </c>
      <c r="S34" s="18" t="n">
        <v>29142.58</v>
      </c>
      <c r="T34" s="18" t="n">
        <v>37789.59</v>
      </c>
      <c r="U34" s="37" t="n">
        <v>37789.59</v>
      </c>
      <c r="V34" s="18" t="n">
        <v>30157.53</v>
      </c>
      <c r="W34" s="18" t="n">
        <v>37085.04</v>
      </c>
      <c r="X34" s="18" t="n">
        <v>42740.59</v>
      </c>
      <c r="Y34" s="18" t="n">
        <v>51443.19</v>
      </c>
      <c r="Z34" s="37" t="n">
        <v>51443.19</v>
      </c>
      <c r="AA34" s="18" t="n">
        <v>39711.02</v>
      </c>
      <c r="AB34" s="19" t="n">
        <v>47480.87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단기충당부채</t>
        </is>
      </c>
      <c r="E35" s="18" t="n">
        <v>7490.2</v>
      </c>
      <c r="F35" s="37" t="n">
        <v>7490.2</v>
      </c>
      <c r="G35" s="18" t="n">
        <v>20519.14</v>
      </c>
      <c r="H35" s="18" t="n">
        <v>16271.12</v>
      </c>
      <c r="I35" s="18" t="n">
        <v>12649.07</v>
      </c>
      <c r="J35" s="18" t="n">
        <v>9805.65</v>
      </c>
      <c r="K35" s="37" t="n">
        <v>9805.65</v>
      </c>
      <c r="L35" s="18" t="n">
        <v>10302.54</v>
      </c>
      <c r="M35" s="18" t="n">
        <v>7322.26</v>
      </c>
      <c r="N35" s="18" t="n">
        <v>6003.42</v>
      </c>
      <c r="O35" s="18" t="n">
        <v>5418.09</v>
      </c>
      <c r="P35" s="37" t="n">
        <v>5418.09</v>
      </c>
      <c r="Q35" s="18" t="n">
        <v>5691.98</v>
      </c>
      <c r="R35" s="18" t="n">
        <v>4891.72</v>
      </c>
      <c r="S35" s="18" t="n">
        <v>4377.74</v>
      </c>
      <c r="T35" s="18" t="n">
        <v>4565.94</v>
      </c>
      <c r="U35" s="37" t="n">
        <v>4565.94</v>
      </c>
      <c r="V35" s="18" t="n">
        <v>4889.84</v>
      </c>
      <c r="W35" s="18" t="n">
        <v>5136.11</v>
      </c>
      <c r="X35" s="18" t="n">
        <v>6979.16</v>
      </c>
      <c r="Y35" s="18" t="n">
        <v>5951.68</v>
      </c>
      <c r="Z35" s="37" t="n">
        <v>5951.68</v>
      </c>
      <c r="AA35" s="18" t="n">
        <v>5357.49</v>
      </c>
      <c r="AB35" s="19" t="n">
        <v>5588.93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비유동부채</t>
        </is>
      </c>
      <c r="E36" s="18" t="n">
        <v>155419.72</v>
      </c>
      <c r="F36" s="37" t="n">
        <v>155419.72</v>
      </c>
      <c r="G36" s="18" t="n">
        <v>163610.83</v>
      </c>
      <c r="H36" s="18" t="n">
        <v>190146.91</v>
      </c>
      <c r="I36" s="18" t="n">
        <v>249697.55</v>
      </c>
      <c r="J36" s="18" t="n">
        <v>235848.09</v>
      </c>
      <c r="K36" s="37" t="n">
        <v>235848.09</v>
      </c>
      <c r="L36" s="18" t="n">
        <v>233601.97</v>
      </c>
      <c r="M36" s="18" t="n">
        <v>284381.98</v>
      </c>
      <c r="N36" s="18" t="n">
        <v>291310.33</v>
      </c>
      <c r="O36" s="18" t="n">
        <v>309142.06</v>
      </c>
      <c r="P36" s="37" t="n">
        <v>309142.06</v>
      </c>
      <c r="Q36" s="18" t="n">
        <v>308196.85</v>
      </c>
      <c r="R36" s="18" t="n">
        <v>343200.79</v>
      </c>
      <c r="S36" s="18" t="n">
        <v>325077.87</v>
      </c>
      <c r="T36" s="18" t="n">
        <v>433242.98</v>
      </c>
      <c r="U36" s="37" t="n">
        <v>433242.98</v>
      </c>
      <c r="V36" s="18" t="n">
        <v>465322.02</v>
      </c>
      <c r="W36" s="18" t="n">
        <v>470769.71</v>
      </c>
      <c r="X36" s="18" t="n">
        <v>471031</v>
      </c>
      <c r="Y36" s="18" t="n">
        <v>528366.0699999999</v>
      </c>
      <c r="Z36" s="37" t="n">
        <v>528366.0699999999</v>
      </c>
      <c r="AA36" s="18" t="n">
        <v>578302.71</v>
      </c>
      <c r="AB36" s="19" t="n">
        <v>668541.61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장기차입금</t>
        </is>
      </c>
      <c r="E37" s="18" t="n">
        <v>75708</v>
      </c>
      <c r="F37" s="37" t="n">
        <v>75708</v>
      </c>
      <c r="G37" s="18" t="n">
        <v>72335.10000000001</v>
      </c>
      <c r="H37" s="18" t="n">
        <v>21723.2</v>
      </c>
      <c r="I37" s="18" t="n">
        <v>20709.06</v>
      </c>
      <c r="J37" s="18" t="n">
        <v>19695.12</v>
      </c>
      <c r="K37" s="37" t="n">
        <v>19695.12</v>
      </c>
      <c r="L37" s="18" t="n">
        <v>18681.18</v>
      </c>
      <c r="M37" s="18" t="n">
        <v>17667.24</v>
      </c>
      <c r="N37" s="18" t="n">
        <v>2903.31</v>
      </c>
      <c r="O37" s="18" t="n">
        <v>2639.37</v>
      </c>
      <c r="P37" s="37" t="n">
        <v>2639.37</v>
      </c>
      <c r="Q37" s="18" t="n">
        <v>2375.43</v>
      </c>
      <c r="S37" s="18" t="n">
        <v>10000</v>
      </c>
      <c r="T37" s="18" t="n">
        <v>0</v>
      </c>
      <c r="U37" s="37" t="n">
        <v>0</v>
      </c>
      <c r="V37" s="18" t="n">
        <v>10000</v>
      </c>
      <c r="W37" s="18" t="n">
        <v>10000</v>
      </c>
      <c r="X37" s="18" t="n">
        <v>10000</v>
      </c>
      <c r="Y37" s="18" t="n">
        <v>10000</v>
      </c>
      <c r="Z37" s="37" t="n">
        <v>10000</v>
      </c>
      <c r="AA37" s="18" t="n">
        <v>10000</v>
      </c>
      <c r="AB37" s="19" t="n">
        <v>10000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장기매입채무및기타채무</t>
        </is>
      </c>
      <c r="E38" s="18" t="n">
        <v>9704.52</v>
      </c>
      <c r="F38" s="37" t="n">
        <v>9704.52</v>
      </c>
      <c r="G38" s="18" t="n">
        <v>9530.379999999999</v>
      </c>
      <c r="H38" s="18" t="n">
        <v>9235.66</v>
      </c>
      <c r="I38" s="18" t="n">
        <v>8963.700000000001</v>
      </c>
      <c r="J38" s="18" t="n">
        <v>8747.389999999999</v>
      </c>
      <c r="K38" s="37" t="n">
        <v>8747.389999999999</v>
      </c>
      <c r="L38" s="18" t="n">
        <v>8670.860000000001</v>
      </c>
      <c r="M38" s="18" t="n">
        <v>9188.190000000001</v>
      </c>
      <c r="N38" s="18" t="n">
        <v>8949.290000000001</v>
      </c>
      <c r="O38" s="18" t="n">
        <v>8708.959999999999</v>
      </c>
      <c r="P38" s="37" t="n">
        <v>8708.959999999999</v>
      </c>
      <c r="Q38" s="18" t="n">
        <v>8723.85</v>
      </c>
      <c r="R38" s="18" t="n">
        <v>8988.129999999999</v>
      </c>
      <c r="S38" s="18" t="n">
        <v>9593.129999999999</v>
      </c>
      <c r="T38" s="18" t="n">
        <v>10549.09</v>
      </c>
      <c r="U38" s="37" t="n">
        <v>10549.09</v>
      </c>
      <c r="V38" s="18" t="n">
        <v>11746.72</v>
      </c>
      <c r="W38" s="18" t="n">
        <v>14009.95</v>
      </c>
      <c r="X38" s="18" t="n">
        <v>19180.03</v>
      </c>
      <c r="Y38" s="18" t="n">
        <v>20095.14</v>
      </c>
      <c r="Z38" s="37" t="n">
        <v>20095.14</v>
      </c>
      <c r="AA38" s="18" t="n">
        <v>11718.59</v>
      </c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확정급여부채</t>
        </is>
      </c>
      <c r="E39" s="18" t="n">
        <v>9270.24</v>
      </c>
      <c r="F39" s="37" t="n">
        <v>9270.24</v>
      </c>
      <c r="G39" s="18" t="n">
        <v>11571.13</v>
      </c>
      <c r="H39" s="18" t="n">
        <v>12349.59</v>
      </c>
      <c r="I39" s="18" t="n">
        <v>13244.12</v>
      </c>
      <c r="J39" s="18" t="n">
        <v>4818.18</v>
      </c>
      <c r="K39" s="37" t="n">
        <v>4818.18</v>
      </c>
      <c r="L39" s="18" t="n">
        <v>7560.97</v>
      </c>
      <c r="M39" s="18" t="n">
        <v>8345.16</v>
      </c>
      <c r="N39" s="18" t="n">
        <v>9237.290000000001</v>
      </c>
      <c r="O39" s="18" t="n">
        <v>7110.7</v>
      </c>
      <c r="P39" s="37" t="n">
        <v>7110.7</v>
      </c>
      <c r="Q39" s="18" t="n">
        <v>9561.629999999999</v>
      </c>
      <c r="R39" s="18" t="n">
        <v>10721.55</v>
      </c>
      <c r="S39" s="18" t="n">
        <v>11737.22</v>
      </c>
      <c r="T39" s="18" t="n">
        <v>5049.89</v>
      </c>
      <c r="U39" s="37" t="n">
        <v>5049.89</v>
      </c>
      <c r="V39" s="18" t="n">
        <v>0</v>
      </c>
      <c r="W39" s="18" t="n">
        <v>4151.62</v>
      </c>
      <c r="X39" s="18" t="n">
        <v>3526.66</v>
      </c>
      <c r="Y39" s="18" t="n">
        <v>8347.75</v>
      </c>
      <c r="Z39" s="37" t="n">
        <v>8347.75</v>
      </c>
      <c r="AA39" s="18" t="n">
        <v>10306.64</v>
      </c>
      <c r="AB39" s="19" t="n">
        <v>9637.450000000001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장기충당부채</t>
        </is>
      </c>
      <c r="E40" s="18" t="n">
        <v>5706.54</v>
      </c>
      <c r="F40" s="37" t="n">
        <v>5706.54</v>
      </c>
      <c r="G40" s="18" t="n">
        <v>19062.5</v>
      </c>
      <c r="H40" s="18" t="n">
        <v>37332.88</v>
      </c>
      <c r="I40" s="18" t="n">
        <v>21780.78</v>
      </c>
      <c r="J40" s="18" t="n">
        <v>15612.39</v>
      </c>
      <c r="K40" s="37" t="n">
        <v>15612.39</v>
      </c>
      <c r="L40" s="18" t="n">
        <v>7332.01</v>
      </c>
      <c r="M40" s="18" t="n">
        <v>5306.71</v>
      </c>
      <c r="N40" s="18" t="n">
        <v>5048.55</v>
      </c>
      <c r="O40" s="18" t="n">
        <v>5957.99</v>
      </c>
      <c r="P40" s="37" t="n">
        <v>5957.99</v>
      </c>
      <c r="Q40" s="18" t="n">
        <v>5491.21</v>
      </c>
      <c r="R40" s="18" t="n">
        <v>5564.97</v>
      </c>
      <c r="S40" s="18" t="n">
        <v>5566.76</v>
      </c>
      <c r="T40" s="18" t="n">
        <v>5582.28</v>
      </c>
      <c r="U40" s="37" t="n">
        <v>5582.28</v>
      </c>
      <c r="V40" s="18" t="n">
        <v>5916.9</v>
      </c>
      <c r="W40" s="18" t="n">
        <v>6367.33</v>
      </c>
      <c r="X40" s="18" t="n">
        <v>9962.440000000001</v>
      </c>
      <c r="Y40" s="18" t="n">
        <v>8035.87</v>
      </c>
      <c r="Z40" s="37" t="n">
        <v>8035.87</v>
      </c>
      <c r="AA40" s="18" t="n">
        <v>7031.03</v>
      </c>
      <c r="AB40" s="19" t="n">
        <v>8080.48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기타비유동부채</t>
        </is>
      </c>
      <c r="E41" s="18" t="n">
        <v>3465.35</v>
      </c>
      <c r="F41" s="37" t="n">
        <v>3465.35</v>
      </c>
      <c r="G41" s="18" t="n">
        <v>3400.47</v>
      </c>
      <c r="H41" s="18" t="n">
        <v>3503.95</v>
      </c>
      <c r="I41" s="18" t="n">
        <v>3607.43</v>
      </c>
      <c r="J41" s="18" t="n">
        <v>3241.2</v>
      </c>
      <c r="K41" s="37" t="n">
        <v>3241.2</v>
      </c>
      <c r="L41" s="18" t="n">
        <v>3654.77</v>
      </c>
      <c r="M41" s="18" t="n">
        <v>3560.23</v>
      </c>
      <c r="N41" s="18" t="n">
        <v>3356.32</v>
      </c>
      <c r="O41" s="18" t="n">
        <v>3626.46</v>
      </c>
      <c r="P41" s="37" t="n">
        <v>3626.46</v>
      </c>
      <c r="Q41" s="18" t="n">
        <v>3648.44</v>
      </c>
      <c r="R41" s="18" t="n">
        <v>3763.86</v>
      </c>
      <c r="S41" s="18" t="n">
        <v>3879.28</v>
      </c>
      <c r="T41" s="18" t="n">
        <v>6359.6</v>
      </c>
      <c r="U41" s="37" t="n">
        <v>6359.6</v>
      </c>
      <c r="V41" s="18" t="n">
        <v>6568.92</v>
      </c>
      <c r="W41" s="18" t="n">
        <v>6778.24</v>
      </c>
      <c r="X41" s="18" t="n">
        <v>6987.55</v>
      </c>
      <c r="Y41" s="18" t="n">
        <v>10723.87</v>
      </c>
      <c r="Z41" s="37" t="n">
        <v>10723.87</v>
      </c>
      <c r="AA41" s="18" t="n">
        <v>11450.32</v>
      </c>
      <c r="AB41" s="19" t="n">
        <v>11797.38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부채총계</t>
        </is>
      </c>
      <c r="E42" s="18" t="n">
        <v>583559.29</v>
      </c>
      <c r="F42" s="37" t="n">
        <v>583559.29</v>
      </c>
      <c r="G42" s="18" t="n">
        <v>636184.16</v>
      </c>
      <c r="H42" s="18" t="n">
        <v>736026.2</v>
      </c>
      <c r="I42" s="18" t="n">
        <v>852951.27</v>
      </c>
      <c r="J42" s="18" t="n">
        <v>734645.96</v>
      </c>
      <c r="K42" s="37" t="n">
        <v>734645.96</v>
      </c>
      <c r="L42" s="18" t="n">
        <v>767290.9399999999</v>
      </c>
      <c r="M42" s="18" t="n">
        <v>802896.53</v>
      </c>
      <c r="N42" s="18" t="n">
        <v>888244.41</v>
      </c>
      <c r="O42" s="18" t="n">
        <v>912709.87</v>
      </c>
      <c r="P42" s="37" t="n">
        <v>912709.87</v>
      </c>
      <c r="Q42" s="18" t="n">
        <v>921359.74</v>
      </c>
      <c r="R42" s="18" t="n">
        <v>878613.48</v>
      </c>
      <c r="S42" s="18" t="n">
        <v>769067.9300000001</v>
      </c>
      <c r="T42" s="18" t="n">
        <v>1019806.16</v>
      </c>
      <c r="U42" s="37" t="n">
        <v>1019806.16</v>
      </c>
      <c r="V42" s="18" t="n">
        <v>1072087.31</v>
      </c>
      <c r="W42" s="18" t="n">
        <v>999698.91</v>
      </c>
      <c r="X42" s="18" t="n">
        <v>1032751.41</v>
      </c>
      <c r="Y42" s="18" t="n">
        <v>1139591.64</v>
      </c>
      <c r="Z42" s="37" t="n">
        <v>1139591.64</v>
      </c>
      <c r="AA42" s="18" t="n">
        <v>1300541.11</v>
      </c>
      <c r="AB42" s="19" t="n">
        <v>1408920.18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자본금</t>
        </is>
      </c>
      <c r="E43" s="18" t="n">
        <v>46721.25</v>
      </c>
      <c r="F43" s="37" t="n">
        <v>46721.25</v>
      </c>
      <c r="G43" s="18" t="n">
        <v>46721.25</v>
      </c>
      <c r="H43" s="18" t="n">
        <v>46721.25</v>
      </c>
      <c r="I43" s="18" t="n">
        <v>71543.99000000001</v>
      </c>
      <c r="J43" s="18" t="n">
        <v>71543.99000000001</v>
      </c>
      <c r="K43" s="37" t="n">
        <v>71543.99000000001</v>
      </c>
      <c r="L43" s="18" t="n">
        <v>71543.99000000001</v>
      </c>
      <c r="M43" s="18" t="n">
        <v>71543.99000000001</v>
      </c>
      <c r="N43" s="18" t="n">
        <v>71543.99000000001</v>
      </c>
      <c r="O43" s="18" t="n">
        <v>71543.99000000001</v>
      </c>
      <c r="P43" s="37" t="n">
        <v>71543.99000000001</v>
      </c>
      <c r="Q43" s="18" t="n">
        <v>83447.14</v>
      </c>
      <c r="R43" s="18" t="n">
        <v>83447.14</v>
      </c>
      <c r="S43" s="18" t="n">
        <v>83447.14</v>
      </c>
      <c r="T43" s="18" t="n">
        <v>83447.14</v>
      </c>
      <c r="U43" s="37" t="n">
        <v>83447.14</v>
      </c>
      <c r="V43" s="18" t="n">
        <v>83447.14</v>
      </c>
      <c r="W43" s="18" t="n">
        <v>83447.14</v>
      </c>
      <c r="X43" s="18" t="n">
        <v>83447.14</v>
      </c>
      <c r="Y43" s="18" t="n">
        <v>83447.14</v>
      </c>
      <c r="Z43" s="37" t="n">
        <v>83447.14</v>
      </c>
      <c r="AA43" s="18" t="n">
        <v>83447.14</v>
      </c>
      <c r="AB43" s="19" t="n">
        <v>83447.14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자본잉여금</t>
        </is>
      </c>
      <c r="E44" s="18" t="n">
        <v>208952.94</v>
      </c>
      <c r="F44" s="37" t="n">
        <v>208952.94</v>
      </c>
      <c r="G44" s="18" t="n">
        <v>208952.94</v>
      </c>
      <c r="H44" s="18" t="n">
        <v>208952.94</v>
      </c>
      <c r="I44" s="18" t="n">
        <v>273469.85</v>
      </c>
      <c r="J44" s="18" t="n">
        <v>273460.96</v>
      </c>
      <c r="K44" s="37" t="n">
        <v>273460.96</v>
      </c>
      <c r="L44" s="18" t="n">
        <v>273460.96</v>
      </c>
      <c r="M44" s="18" t="n">
        <v>273460.96</v>
      </c>
      <c r="N44" s="18" t="n">
        <v>273460.96</v>
      </c>
      <c r="O44" s="18" t="n">
        <v>273460.96</v>
      </c>
      <c r="P44" s="37" t="n">
        <v>273460.96</v>
      </c>
      <c r="Q44" s="18" t="n">
        <v>351036.02</v>
      </c>
      <c r="R44" s="18" t="n">
        <v>349583.69</v>
      </c>
      <c r="S44" s="18" t="n">
        <v>350027.26</v>
      </c>
      <c r="T44" s="18" t="n">
        <v>350248.55</v>
      </c>
      <c r="U44" s="37" t="n">
        <v>350248.55</v>
      </c>
      <c r="V44" s="18" t="n">
        <v>350675.84</v>
      </c>
      <c r="W44" s="18" t="n">
        <v>351519.66</v>
      </c>
      <c r="X44" s="18" t="n">
        <v>352227.27</v>
      </c>
      <c r="Y44" s="18" t="n">
        <v>352820.98</v>
      </c>
      <c r="Z44" s="37" t="n">
        <v>352820.98</v>
      </c>
      <c r="AA44" s="18" t="n">
        <v>353327.81</v>
      </c>
      <c r="AB44" s="19" t="n">
        <v>355519.07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기타자본</t>
        </is>
      </c>
      <c r="E45" s="18" t="n">
        <v>-54788.96</v>
      </c>
      <c r="F45" s="37" t="n">
        <v>-54788.96</v>
      </c>
      <c r="G45" s="18" t="n">
        <v>-54788.96</v>
      </c>
      <c r="H45" s="18" t="n">
        <v>-54788.96</v>
      </c>
      <c r="I45" s="18" t="n">
        <v>-54909.84</v>
      </c>
      <c r="J45" s="18" t="n">
        <v>-54909.84</v>
      </c>
      <c r="K45" s="37" t="n">
        <v>-54909.84</v>
      </c>
      <c r="L45" s="18" t="n">
        <v>-54909.84</v>
      </c>
      <c r="M45" s="18" t="n">
        <v>-54909.84</v>
      </c>
      <c r="N45" s="18" t="n">
        <v>-54909.84</v>
      </c>
      <c r="O45" s="18" t="n">
        <v>-54909.84</v>
      </c>
      <c r="P45" s="37" t="n">
        <v>-54909.84</v>
      </c>
      <c r="Q45" s="18" t="n">
        <v>-54909.84</v>
      </c>
      <c r="R45" s="18" t="n">
        <v>-54909.84</v>
      </c>
      <c r="S45" s="18" t="n">
        <v>-54909.84</v>
      </c>
      <c r="T45" s="18" t="n">
        <v>-54909.84</v>
      </c>
      <c r="U45" s="37" t="n">
        <v>-54909.84</v>
      </c>
      <c r="V45" s="18" t="n">
        <v>-54909.84</v>
      </c>
      <c r="W45" s="18" t="n">
        <v>-54909.84</v>
      </c>
      <c r="X45" s="18" t="n">
        <v>-54909.84</v>
      </c>
      <c r="Y45" s="18" t="n">
        <v>-54909.84</v>
      </c>
      <c r="Z45" s="37" t="n">
        <v>-54909.84</v>
      </c>
      <c r="AA45" s="18" t="n">
        <v>-54909.84</v>
      </c>
      <c r="AB45" s="19" t="n">
        <v>-50772.36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기타포괄이익누계액</t>
        </is>
      </c>
      <c r="E46" s="18" t="n">
        <v>77643.78</v>
      </c>
      <c r="F46" s="37" t="n">
        <v>77643.78</v>
      </c>
      <c r="G46" s="18" t="n">
        <v>77643.78</v>
      </c>
      <c r="H46" s="18" t="n">
        <v>77508.64</v>
      </c>
      <c r="I46" s="18" t="n">
        <v>77508.64</v>
      </c>
      <c r="J46" s="18" t="n">
        <v>78531.17999999999</v>
      </c>
      <c r="K46" s="37" t="n">
        <v>78531.17999999999</v>
      </c>
      <c r="L46" s="18" t="n">
        <v>78531.17999999999</v>
      </c>
      <c r="M46" s="18" t="n">
        <v>78256.92999999999</v>
      </c>
      <c r="N46" s="18" t="n">
        <v>79361.71000000001</v>
      </c>
      <c r="O46" s="18" t="n">
        <v>85311.49000000001</v>
      </c>
      <c r="P46" s="37" t="n">
        <v>85311.49000000001</v>
      </c>
      <c r="Q46" s="18" t="n">
        <v>85630.25999999999</v>
      </c>
      <c r="R46" s="18" t="n">
        <v>85641.78999999999</v>
      </c>
      <c r="S46" s="18" t="n">
        <v>85484.67</v>
      </c>
      <c r="T46" s="18" t="n">
        <v>85556.14</v>
      </c>
      <c r="U46" s="37" t="n">
        <v>85556.14</v>
      </c>
      <c r="V46" s="18" t="n">
        <v>85654.44</v>
      </c>
      <c r="W46" s="18" t="n">
        <v>85698.50999999999</v>
      </c>
      <c r="X46" s="18" t="n">
        <v>85751.31</v>
      </c>
      <c r="Y46" s="18" t="n">
        <v>84457.58</v>
      </c>
      <c r="Z46" s="37" t="n">
        <v>84457.58</v>
      </c>
      <c r="AA46" s="18" t="n">
        <v>84607.75</v>
      </c>
      <c r="AB46" s="19" t="n">
        <v>83765.5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이익잉여금</t>
        </is>
      </c>
      <c r="E47" s="18" t="n">
        <v>-69699.53</v>
      </c>
      <c r="F47" s="37" t="n">
        <v>-69699.53</v>
      </c>
      <c r="G47" s="18" t="n">
        <v>-114163.71</v>
      </c>
      <c r="H47" s="18" t="n">
        <v>-145575.41</v>
      </c>
      <c r="I47" s="18" t="n">
        <v>-142890.96</v>
      </c>
      <c r="J47" s="18" t="n">
        <v>-147041.97</v>
      </c>
      <c r="K47" s="37" t="n">
        <v>-147041.97</v>
      </c>
      <c r="L47" s="18" t="n">
        <v>-141477.7</v>
      </c>
      <c r="M47" s="18" t="n">
        <v>-141017.74</v>
      </c>
      <c r="N47" s="18" t="n">
        <v>-143848.45</v>
      </c>
      <c r="O47" s="18" t="n">
        <v>-151258.32</v>
      </c>
      <c r="P47" s="37" t="n">
        <v>-151258.32</v>
      </c>
      <c r="Q47" s="18" t="n">
        <v>-136387.83</v>
      </c>
      <c r="R47" s="18" t="n">
        <v>-122080.09</v>
      </c>
      <c r="S47" s="18" t="n">
        <v>-111494.46</v>
      </c>
      <c r="T47" s="18" t="n">
        <v>-71046.2</v>
      </c>
      <c r="U47" s="37" t="n">
        <v>-71046.2</v>
      </c>
      <c r="V47" s="18" t="n">
        <v>-51637.49</v>
      </c>
      <c r="W47" s="18" t="n">
        <v>-35702.48</v>
      </c>
      <c r="X47" s="18" t="n">
        <v>-4959.28</v>
      </c>
      <c r="Y47" s="18" t="n">
        <v>90287.03999999999</v>
      </c>
      <c r="Z47" s="37" t="n">
        <v>90287.03999999999</v>
      </c>
      <c r="AA47" s="18" t="n">
        <v>143165.11</v>
      </c>
      <c r="AB47" s="19" t="n">
        <v>180606.49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자본총계</t>
        </is>
      </c>
      <c r="E48" s="18" t="n">
        <v>208829.48</v>
      </c>
      <c r="F48" s="37" t="n">
        <v>208829.48</v>
      </c>
      <c r="G48" s="18" t="n">
        <v>164365.3</v>
      </c>
      <c r="H48" s="18" t="n">
        <v>132818.46</v>
      </c>
      <c r="I48" s="18" t="n">
        <v>224721.69</v>
      </c>
      <c r="J48" s="18" t="n">
        <v>221584.33</v>
      </c>
      <c r="K48" s="37" t="n">
        <v>221584.33</v>
      </c>
      <c r="L48" s="18" t="n">
        <v>227148.6</v>
      </c>
      <c r="M48" s="18" t="n">
        <v>227334.31</v>
      </c>
      <c r="N48" s="18" t="n">
        <v>225608.38</v>
      </c>
      <c r="O48" s="18" t="n">
        <v>224148.29</v>
      </c>
      <c r="P48" s="37" t="n">
        <v>224148.29</v>
      </c>
      <c r="Q48" s="18" t="n">
        <v>328815.75</v>
      </c>
      <c r="R48" s="18" t="n">
        <v>341682.7</v>
      </c>
      <c r="S48" s="18" t="n">
        <v>352554.77</v>
      </c>
      <c r="T48" s="18" t="n">
        <v>393295.79</v>
      </c>
      <c r="U48" s="37" t="n">
        <v>393295.79</v>
      </c>
      <c r="V48" s="18" t="n">
        <v>413230.09</v>
      </c>
      <c r="W48" s="18" t="n">
        <v>430052.99</v>
      </c>
      <c r="X48" s="18" t="n">
        <v>461556.6</v>
      </c>
      <c r="Y48" s="18" t="n">
        <v>556102.9</v>
      </c>
      <c r="Z48" s="37" t="n">
        <v>556102.9</v>
      </c>
      <c r="AA48" s="18" t="n">
        <v>609637.97</v>
      </c>
      <c r="AB48" s="19" t="n">
        <v>652565.84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부채와자본총계</t>
        </is>
      </c>
      <c r="E49" s="18" t="n">
        <v>792388.77</v>
      </c>
      <c r="F49" s="37" t="n">
        <v>792388.77</v>
      </c>
      <c r="G49" s="18" t="n">
        <v>800549.46</v>
      </c>
      <c r="H49" s="18" t="n">
        <v>868844.67</v>
      </c>
      <c r="I49" s="18" t="n">
        <v>1077672.96</v>
      </c>
      <c r="J49" s="18" t="n">
        <v>956230.29</v>
      </c>
      <c r="K49" s="37" t="n">
        <v>956230.29</v>
      </c>
      <c r="L49" s="18" t="n">
        <v>994439.54</v>
      </c>
      <c r="M49" s="18" t="n">
        <v>1030230.84</v>
      </c>
      <c r="N49" s="18" t="n">
        <v>1113852.78</v>
      </c>
      <c r="O49" s="18" t="n">
        <v>1136858.17</v>
      </c>
      <c r="P49" s="37" t="n">
        <v>1136858.17</v>
      </c>
      <c r="Q49" s="18" t="n">
        <v>1250175.49</v>
      </c>
      <c r="R49" s="18" t="n">
        <v>1220296.18</v>
      </c>
      <c r="S49" s="18" t="n">
        <v>1121622.7</v>
      </c>
      <c r="T49" s="18" t="n">
        <v>1413101.95</v>
      </c>
      <c r="U49" s="37" t="n">
        <v>1413101.95</v>
      </c>
      <c r="V49" s="18" t="n">
        <v>1485317.4</v>
      </c>
      <c r="W49" s="18" t="n">
        <v>1429751.9</v>
      </c>
      <c r="X49" s="18" t="n">
        <v>1494308.01</v>
      </c>
      <c r="Y49" s="18" t="n">
        <v>1695694.54</v>
      </c>
      <c r="Z49" s="37" t="n">
        <v>1695694.54</v>
      </c>
      <c r="AA49" s="18" t="n">
        <v>1910179.08</v>
      </c>
      <c r="AB49" s="19" t="n">
        <v>2061486.02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지배주주지분</t>
        </is>
      </c>
      <c r="E50" s="18" t="n">
        <v>208829.48</v>
      </c>
      <c r="F50" s="37" t="n">
        <v>208829.48</v>
      </c>
      <c r="G50" s="18" t="n">
        <v>164365.3</v>
      </c>
      <c r="H50" s="18" t="n">
        <v>132818.46</v>
      </c>
      <c r="I50" s="18" t="n">
        <v>224721.69</v>
      </c>
      <c r="J50" s="18" t="n">
        <v>221584.33</v>
      </c>
      <c r="K50" s="37" t="n">
        <v>221584.33</v>
      </c>
      <c r="L50" s="18" t="n">
        <v>227148.6</v>
      </c>
      <c r="M50" s="18" t="n">
        <v>227334.31</v>
      </c>
      <c r="N50" s="18" t="n">
        <v>225608.38</v>
      </c>
      <c r="O50" s="18" t="n">
        <v>224148.29</v>
      </c>
      <c r="P50" s="37" t="n">
        <v>224148.29</v>
      </c>
      <c r="Q50" s="18" t="n">
        <v>328815.75</v>
      </c>
      <c r="R50" s="18" t="n">
        <v>341682.7</v>
      </c>
      <c r="S50" s="18" t="n">
        <v>352554.77</v>
      </c>
      <c r="T50" s="18" t="n">
        <v>393295.79</v>
      </c>
      <c r="U50" s="37" t="n">
        <v>393295.79</v>
      </c>
      <c r="V50" s="18" t="n">
        <v>413230.09</v>
      </c>
      <c r="W50" s="18" t="n">
        <v>430052.99</v>
      </c>
      <c r="X50" s="18" t="n">
        <v>461556.6</v>
      </c>
      <c r="Y50" s="18" t="n">
        <v>556102.9</v>
      </c>
      <c r="Z50" s="37" t="n">
        <v>556102.9</v>
      </c>
      <c r="AA50" s="18" t="n">
        <v>609637.97</v>
      </c>
      <c r="AB50" s="19" t="n">
        <v>652565.84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209120</v>
      </c>
      <c r="F51" s="37" t="n">
        <v>209120</v>
      </c>
      <c r="G51" s="18" t="n">
        <v>219806</v>
      </c>
      <c r="H51" s="18" t="n">
        <v>229279</v>
      </c>
      <c r="I51" s="18" t="n">
        <v>205764.81</v>
      </c>
      <c r="J51" s="18" t="n">
        <v>201750.87</v>
      </c>
      <c r="K51" s="37" t="n">
        <v>201750.87</v>
      </c>
      <c r="L51" s="18" t="n">
        <v>197736.93</v>
      </c>
      <c r="M51" s="18" t="n">
        <v>204726.91</v>
      </c>
      <c r="N51" s="18" t="n">
        <v>230389.9</v>
      </c>
      <c r="O51" s="18" t="n">
        <v>211147.85</v>
      </c>
      <c r="P51" s="37" t="n">
        <v>211147.85</v>
      </c>
      <c r="Q51" s="18" t="n">
        <v>210670.08</v>
      </c>
      <c r="R51" s="18" t="n">
        <v>91479.58</v>
      </c>
      <c r="S51" s="18" t="n">
        <v>85425.89</v>
      </c>
      <c r="T51" s="18" t="n">
        <v>73947.00999999999</v>
      </c>
      <c r="U51" s="37" t="n">
        <v>73947.00999999999</v>
      </c>
      <c r="V51" s="18" t="n">
        <v>83870.24000000001</v>
      </c>
      <c r="W51" s="18" t="n">
        <v>70602.7</v>
      </c>
      <c r="X51" s="18" t="n">
        <v>72000.98</v>
      </c>
      <c r="Y51" s="18" t="n">
        <v>53008.75</v>
      </c>
      <c r="Z51" s="37" t="n">
        <v>53008.75</v>
      </c>
      <c r="AA51" s="18" t="n">
        <v>55391.85</v>
      </c>
      <c r="AB51" s="19" t="n">
        <v>10000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141474.59</v>
      </c>
      <c r="F52" s="37" t="n">
        <v>141474.59</v>
      </c>
      <c r="G52" s="18" t="n">
        <v>146092.94</v>
      </c>
      <c r="H52" s="18" t="n">
        <v>166533.46</v>
      </c>
      <c r="I52" s="18" t="n">
        <v>72080.46000000001</v>
      </c>
      <c r="J52" s="18" t="n">
        <v>131934.3</v>
      </c>
      <c r="K52" s="37" t="n">
        <v>131934.3</v>
      </c>
      <c r="L52" s="18" t="n">
        <v>117390.96</v>
      </c>
      <c r="M52" s="18" t="n">
        <v>157627.59</v>
      </c>
      <c r="N52" s="18" t="n">
        <v>165579.33</v>
      </c>
      <c r="O52" s="18" t="n">
        <v>89589.53999999999</v>
      </c>
      <c r="P52" s="37" t="n">
        <v>89589.53999999999</v>
      </c>
      <c r="Q52" s="18" t="n">
        <v>-13147.85</v>
      </c>
      <c r="R52" s="18" t="n">
        <v>-32019.91</v>
      </c>
      <c r="S52" s="18" t="n">
        <v>-7339.17</v>
      </c>
      <c r="T52" s="18" t="n">
        <v>-65820.84</v>
      </c>
      <c r="U52" s="37" t="n">
        <v>-65820.84</v>
      </c>
      <c r="V52" s="18" t="n">
        <v>-104893.4</v>
      </c>
      <c r="W52" s="18" t="n">
        <v>-266830.71</v>
      </c>
      <c r="X52" s="18" t="n">
        <v>-297240.46</v>
      </c>
      <c r="Y52" s="18" t="n">
        <v>-357805.28</v>
      </c>
      <c r="Z52" s="37" t="n">
        <v>-357805.28</v>
      </c>
      <c r="AA52" s="18" t="n">
        <v>-61934.3</v>
      </c>
      <c r="AB52" s="19" t="n">
        <v>-288756.94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68164.17999999999</v>
      </c>
      <c r="F53" s="37" t="n">
        <v>68164.17999999999</v>
      </c>
      <c r="G53" s="18" t="n">
        <v>75185.06</v>
      </c>
      <c r="H53" s="18" t="n">
        <v>66385.02</v>
      </c>
      <c r="I53" s="18" t="n">
        <v>139306.33</v>
      </c>
      <c r="J53" s="18" t="n">
        <v>77825</v>
      </c>
      <c r="K53" s="37" t="n">
        <v>77825</v>
      </c>
      <c r="L53" s="18" t="n">
        <v>88124.86</v>
      </c>
      <c r="M53" s="18" t="n">
        <v>55571.9</v>
      </c>
      <c r="N53" s="18" t="n">
        <v>70382.92</v>
      </c>
      <c r="O53" s="18" t="n">
        <v>124630.77</v>
      </c>
      <c r="P53" s="37" t="n">
        <v>124630.77</v>
      </c>
      <c r="Q53" s="18" t="n">
        <v>226520.11</v>
      </c>
      <c r="R53" s="18" t="n">
        <v>124658.26</v>
      </c>
      <c r="S53" s="18" t="n">
        <v>93923.83</v>
      </c>
      <c r="T53" s="18" t="n">
        <v>140926.62</v>
      </c>
      <c r="U53" s="37" t="n">
        <v>140926.62</v>
      </c>
      <c r="V53" s="18" t="n">
        <v>189922.41</v>
      </c>
      <c r="W53" s="18" t="n">
        <v>338592.18</v>
      </c>
      <c r="X53" s="18" t="n">
        <v>370400.21</v>
      </c>
      <c r="Y53" s="18" t="n">
        <v>411972.8</v>
      </c>
      <c r="Z53" s="37" t="n">
        <v>411972.8</v>
      </c>
      <c r="AA53" s="18" t="n">
        <v>118484.92</v>
      </c>
      <c r="AB53" s="19" t="n">
        <v>299977.48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매각예정비유동자산및처분자산</t>
        </is>
      </c>
      <c r="F54" s="9" t="n"/>
      <c r="J54" s="18" t="n">
        <v>6927.38</v>
      </c>
      <c r="K54" s="37" t="n">
        <v>6927.38</v>
      </c>
      <c r="L54" s="18" t="n">
        <v>6927.38</v>
      </c>
      <c r="M54" s="18" t="n">
        <v>42412.49</v>
      </c>
      <c r="N54" s="18" t="n">
        <v>35500</v>
      </c>
      <c r="O54" s="18" t="n">
        <v>35500</v>
      </c>
      <c r="P54" s="37" t="n">
        <v>35500</v>
      </c>
      <c r="T54" s="18" t="n">
        <v>0</v>
      </c>
      <c r="U54" s="37" t="n">
        <v>0</v>
      </c>
      <c r="X54" s="18" t="n">
        <v>1395.62</v>
      </c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비유동계약부채</t>
        </is>
      </c>
      <c r="F55" s="9" t="n"/>
      <c r="J55" s="18" t="n">
        <v>150627.17</v>
      </c>
      <c r="K55" s="37" t="n">
        <v>150627.17</v>
      </c>
      <c r="L55" s="18" t="n">
        <v>159766.33</v>
      </c>
      <c r="M55" s="18" t="n">
        <v>176226.57</v>
      </c>
      <c r="N55" s="18" t="n">
        <v>182654.83</v>
      </c>
      <c r="O55" s="18" t="n">
        <v>227220.41</v>
      </c>
      <c r="P55" s="37" t="n">
        <v>227220.41</v>
      </c>
      <c r="Q55" s="18" t="n">
        <v>204861.01</v>
      </c>
      <c r="R55" s="18" t="n">
        <v>221092.61</v>
      </c>
      <c r="S55" s="18" t="n">
        <v>221208.98</v>
      </c>
      <c r="T55" s="18" t="n">
        <v>253183.14</v>
      </c>
      <c r="U55" s="37" t="n">
        <v>253183.14</v>
      </c>
      <c r="V55" s="18" t="n">
        <v>276878.67</v>
      </c>
      <c r="W55" s="18" t="n">
        <v>373782.48</v>
      </c>
      <c r="X55" s="18" t="n">
        <v>374682.94</v>
      </c>
      <c r="Y55" s="18" t="n">
        <v>397590.94</v>
      </c>
      <c r="Z55" s="37" t="n">
        <v>397590.94</v>
      </c>
      <c r="AA55" s="18" t="n">
        <v>396812.13</v>
      </c>
      <c r="AB55" s="19" t="n">
        <v>482270.11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사채</t>
        </is>
      </c>
      <c r="F56" s="9" t="n"/>
      <c r="K56" s="9" t="n"/>
      <c r="M56" s="18" t="n">
        <v>39103.92</v>
      </c>
      <c r="N56" s="18" t="n">
        <v>40080.84</v>
      </c>
      <c r="O56" s="18" t="n">
        <v>38452.73</v>
      </c>
      <c r="P56" s="37" t="n">
        <v>38452.73</v>
      </c>
      <c r="Q56" s="18" t="n">
        <v>40188.9</v>
      </c>
      <c r="R56" s="18" t="n">
        <v>41479.58</v>
      </c>
      <c r="S56" s="18" t="n">
        <v>39425.89</v>
      </c>
      <c r="T56" s="18" t="n">
        <v>43947.01</v>
      </c>
      <c r="U56" s="37" t="n">
        <v>43947.01</v>
      </c>
      <c r="V56" s="18" t="n">
        <v>43870.24</v>
      </c>
      <c r="W56" s="18" t="n">
        <v>0</v>
      </c>
      <c r="X56" s="18" t="n">
        <v>0</v>
      </c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당기법인세부채(미지급법인세)</t>
        </is>
      </c>
      <c r="F57" s="9" t="n"/>
      <c r="K57" s="9" t="n"/>
      <c r="P57" s="9" t="n"/>
      <c r="Q57" s="18" t="n">
        <v>378.31</v>
      </c>
      <c r="R57" s="18" t="n">
        <v>467.73</v>
      </c>
      <c r="S57" s="18" t="n">
        <v>220.79</v>
      </c>
      <c r="T57" s="18" t="n">
        <v>869.53</v>
      </c>
      <c r="U57" s="37" t="n">
        <v>869.53</v>
      </c>
      <c r="V57" s="18" t="n">
        <v>585.8099999999999</v>
      </c>
      <c r="W57" s="18" t="n">
        <v>765.59</v>
      </c>
      <c r="X57" s="18" t="n">
        <v>591.53</v>
      </c>
      <c r="Y57" s="18" t="n">
        <v>2440.38</v>
      </c>
      <c r="Z57" s="37" t="n">
        <v>2440.38</v>
      </c>
      <c r="AA57" s="18" t="n">
        <v>4064.64</v>
      </c>
      <c r="AB57" s="19" t="n">
        <v>2664.73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유동파생상품자산</t>
        </is>
      </c>
      <c r="F58" s="9" t="n"/>
      <c r="K58" s="9" t="n"/>
      <c r="P58" s="9" t="n"/>
      <c r="U58" s="9" t="n"/>
      <c r="Z58" s="9" t="n"/>
      <c r="AA58" s="18" t="n">
        <v>5381.3</v>
      </c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비유동파생상품자산</t>
        </is>
      </c>
      <c r="F59" s="9" t="n"/>
      <c r="K59" s="9" t="n"/>
      <c r="P59" s="9" t="n"/>
      <c r="U59" s="9" t="n"/>
      <c r="Z59" s="9" t="n"/>
      <c r="AA59" s="18" t="n">
        <v>244.89</v>
      </c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단기파생상품부채</t>
        </is>
      </c>
      <c r="F60" s="9" t="n"/>
      <c r="K60" s="9" t="n"/>
      <c r="P60" s="9" t="n"/>
      <c r="U60" s="9" t="n"/>
      <c r="Z60" s="9" t="n"/>
      <c r="AA60" s="18" t="n">
        <v>46.99</v>
      </c>
      <c r="AB60" s="19" t="n">
        <v>0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단기금융부채</t>
        </is>
      </c>
      <c r="F61" s="9" t="n"/>
      <c r="K61" s="9" t="n"/>
      <c r="P61" s="9" t="n"/>
      <c r="U61" s="9" t="n"/>
      <c r="Z61" s="9" t="n"/>
      <c r="AA61" s="18" t="n">
        <v>46.99</v>
      </c>
      <c r="AB61" s="19" t="n">
        <v>135908.49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장기파생상품부채</t>
        </is>
      </c>
      <c r="F62" s="9" t="n"/>
      <c r="K62" s="9" t="n"/>
      <c r="P62" s="9" t="n"/>
      <c r="U62" s="9" t="n"/>
      <c r="Z62" s="9" t="n"/>
      <c r="AA62" s="18" t="n">
        <v>130714.21</v>
      </c>
      <c r="AB62" s="19" t="n">
        <v>66.34999999999999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장기금융부채</t>
        </is>
      </c>
      <c r="F63" s="9" t="n"/>
      <c r="K63" s="9" t="n"/>
      <c r="P63" s="9" t="n"/>
      <c r="U63" s="9" t="n"/>
      <c r="Z63" s="9" t="n"/>
      <c r="AA63" s="18" t="n">
        <v>130714.21</v>
      </c>
      <c r="AB63" s="19" t="n">
        <v>134279.17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기타유동금융자산</t>
        </is>
      </c>
      <c r="F64" s="9" t="n"/>
      <c r="K64" s="9" t="n"/>
      <c r="P64" s="9" t="n"/>
      <c r="U64" s="9" t="n"/>
      <c r="Z64" s="9" t="n"/>
      <c r="AB64" s="19" t="n">
        <v>55676.39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유동확정계약자산</t>
        </is>
      </c>
      <c r="F65" s="9" t="n"/>
      <c r="K65" s="9" t="n"/>
      <c r="P65" s="9" t="n"/>
      <c r="U65" s="9" t="n"/>
      <c r="Z65" s="9" t="n"/>
      <c r="AB65" s="19" t="n">
        <v>142045.33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비유동확정계약자산</t>
        </is>
      </c>
      <c r="F66" s="9" t="n"/>
      <c r="K66" s="9" t="n"/>
      <c r="P66" s="9" t="n"/>
      <c r="U66" s="9" t="n"/>
      <c r="Z66" s="9" t="n"/>
      <c r="AB66" s="19" t="n">
        <v>126793.08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기타유동금융부채</t>
        </is>
      </c>
      <c r="F67" s="9" t="n"/>
      <c r="K67" s="9" t="n"/>
      <c r="P67" s="9" t="n"/>
      <c r="U67" s="9" t="n"/>
      <c r="Z67" s="9" t="n"/>
      <c r="AB67" s="19" t="n">
        <v>135908.49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기타비유동금융부채</t>
        </is>
      </c>
      <c r="F68" s="9" t="n"/>
      <c r="K68" s="9" t="n"/>
      <c r="P68" s="9" t="n"/>
      <c r="U68" s="9" t="n"/>
      <c r="Z68" s="9" t="n"/>
      <c r="AB68" s="19" t="n">
        <v>134212.82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매출액(수익)</t>
        </is>
      </c>
      <c r="E69" s="18" t="n">
        <v>195576.55</v>
      </c>
      <c r="F69" s="9" t="n"/>
      <c r="G69" s="18" t="n">
        <v>177595.41</v>
      </c>
      <c r="H69" s="18" t="n">
        <v>186318.7</v>
      </c>
      <c r="I69" s="18" t="n">
        <v>175602.57</v>
      </c>
      <c r="J69" s="18" t="n">
        <v>224114.81</v>
      </c>
      <c r="K69" s="37" t="n">
        <v>763631.49</v>
      </c>
      <c r="L69" s="18" t="n">
        <v>199346.87</v>
      </c>
      <c r="M69" s="18" t="n">
        <v>189045.67</v>
      </c>
      <c r="N69" s="18" t="n">
        <v>187637.17</v>
      </c>
      <c r="O69" s="18" t="n">
        <v>278354.7</v>
      </c>
      <c r="P69" s="37" t="n">
        <v>854384.41</v>
      </c>
      <c r="Q69" s="18" t="n">
        <v>293365.12</v>
      </c>
      <c r="R69" s="18" t="n">
        <v>286485.26</v>
      </c>
      <c r="S69" s="18" t="n">
        <v>296086.23</v>
      </c>
      <c r="T69" s="18" t="n">
        <v>326268.1</v>
      </c>
      <c r="U69" s="37" t="n">
        <v>1202204.71</v>
      </c>
      <c r="V69" s="18" t="n">
        <v>318182</v>
      </c>
      <c r="W69" s="18" t="n">
        <v>387700.4</v>
      </c>
      <c r="X69" s="18" t="n">
        <v>297345.31</v>
      </c>
      <c r="Y69" s="18" t="n">
        <v>367829.64</v>
      </c>
      <c r="Z69" s="37" t="n">
        <v>1371057.35</v>
      </c>
      <c r="AA69" s="18" t="n">
        <v>345239.42</v>
      </c>
      <c r="AB69" s="19" t="n">
        <v>331514.92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매출원가</t>
        </is>
      </c>
      <c r="E70" s="18" t="n">
        <v>195534.84</v>
      </c>
      <c r="F70" s="9" t="n"/>
      <c r="G70" s="18" t="n">
        <v>172687.81</v>
      </c>
      <c r="H70" s="18" t="n">
        <v>208626.18</v>
      </c>
      <c r="I70" s="18" t="n">
        <v>167616.6</v>
      </c>
      <c r="J70" s="18" t="n">
        <v>212389.46</v>
      </c>
      <c r="K70" s="37" t="n">
        <v>761320.05</v>
      </c>
      <c r="L70" s="18" t="n">
        <v>186268.23</v>
      </c>
      <c r="M70" s="18" t="n">
        <v>177428.85</v>
      </c>
      <c r="N70" s="18" t="n">
        <v>177908.13</v>
      </c>
      <c r="O70" s="18" t="n">
        <v>269314.97</v>
      </c>
      <c r="P70" s="37" t="n">
        <v>810920.1800000001</v>
      </c>
      <c r="Q70" s="18" t="n">
        <v>264197.18</v>
      </c>
      <c r="R70" s="18" t="n">
        <v>259381.71</v>
      </c>
      <c r="S70" s="18" t="n">
        <v>269527.35</v>
      </c>
      <c r="T70" s="18" t="n">
        <v>292758.12</v>
      </c>
      <c r="U70" s="37" t="n">
        <v>1085864.36</v>
      </c>
      <c r="V70" s="18" t="n">
        <v>283200.58</v>
      </c>
      <c r="W70" s="18" t="n">
        <v>341759.23</v>
      </c>
      <c r="X70" s="18" t="n">
        <v>257585.07</v>
      </c>
      <c r="Y70" s="18" t="n">
        <v>303047.2</v>
      </c>
      <c r="Z70" s="37" t="n">
        <v>1185592.08</v>
      </c>
      <c r="AA70" s="18" t="n">
        <v>279847.04</v>
      </c>
      <c r="AB70" s="19" t="n">
        <v>270443.55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매출총이익</t>
        </is>
      </c>
      <c r="E71" s="18" t="n">
        <v>41.72</v>
      </c>
      <c r="F71" s="9" t="n"/>
      <c r="G71" s="18" t="n">
        <v>4907.6</v>
      </c>
      <c r="H71" s="18" t="n">
        <v>-22307.48</v>
      </c>
      <c r="I71" s="18" t="n">
        <v>7985.97</v>
      </c>
      <c r="J71" s="18" t="n">
        <v>11725.34</v>
      </c>
      <c r="K71" s="37" t="n">
        <v>2311.43</v>
      </c>
      <c r="L71" s="18" t="n">
        <v>13078.64</v>
      </c>
      <c r="M71" s="18" t="n">
        <v>11616.82</v>
      </c>
      <c r="N71" s="18" t="n">
        <v>9729.040000000001</v>
      </c>
      <c r="O71" s="18" t="n">
        <v>9039.74</v>
      </c>
      <c r="P71" s="37" t="n">
        <v>43464.24</v>
      </c>
      <c r="Q71" s="18" t="n">
        <v>29167.94</v>
      </c>
      <c r="R71" s="18" t="n">
        <v>27103.55</v>
      </c>
      <c r="S71" s="18" t="n">
        <v>26558.88</v>
      </c>
      <c r="T71" s="18" t="n">
        <v>33509.99</v>
      </c>
      <c r="U71" s="37" t="n">
        <v>116340.36</v>
      </c>
      <c r="V71" s="18" t="n">
        <v>34981.42</v>
      </c>
      <c r="W71" s="18" t="n">
        <v>45941.17</v>
      </c>
      <c r="X71" s="18" t="n">
        <v>39760.24</v>
      </c>
      <c r="Y71" s="18" t="n">
        <v>64782.43</v>
      </c>
      <c r="Z71" s="37" t="n">
        <v>185465.26</v>
      </c>
      <c r="AA71" s="18" t="n">
        <v>65392.38</v>
      </c>
      <c r="AB71" s="19" t="n">
        <v>61071.37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판관비</t>
        </is>
      </c>
      <c r="E72" s="18" t="n">
        <v>7237.22</v>
      </c>
      <c r="F72" s="9" t="n"/>
      <c r="G72" s="18" t="n">
        <v>7191.89</v>
      </c>
      <c r="H72" s="18" t="n">
        <v>7343.56</v>
      </c>
      <c r="I72" s="18" t="n">
        <v>7244.46</v>
      </c>
      <c r="J72" s="18" t="n">
        <v>8528.610000000001</v>
      </c>
      <c r="K72" s="37" t="n">
        <v>30308.52</v>
      </c>
      <c r="L72" s="18" t="n">
        <v>9004.540000000001</v>
      </c>
      <c r="M72" s="18" t="n">
        <v>8143.45</v>
      </c>
      <c r="N72" s="18" t="n">
        <v>8644.690000000001</v>
      </c>
      <c r="O72" s="18" t="n">
        <v>8943</v>
      </c>
      <c r="P72" s="37" t="n">
        <v>34735.68</v>
      </c>
      <c r="Q72" s="18" t="n">
        <v>9740.75</v>
      </c>
      <c r="R72" s="18" t="n">
        <v>8480.57</v>
      </c>
      <c r="S72" s="18" t="n">
        <v>11272.32</v>
      </c>
      <c r="T72" s="18" t="n">
        <v>15314.98</v>
      </c>
      <c r="U72" s="37" t="n">
        <v>44808.62</v>
      </c>
      <c r="V72" s="18" t="n">
        <v>12669.24</v>
      </c>
      <c r="W72" s="18" t="n">
        <v>12165.78</v>
      </c>
      <c r="X72" s="18" t="n">
        <v>13129.12</v>
      </c>
      <c r="Y72" s="18" t="n">
        <v>17434.82</v>
      </c>
      <c r="Z72" s="37" t="n">
        <v>55398.96</v>
      </c>
      <c r="AA72" s="18" t="n">
        <v>13988.71</v>
      </c>
      <c r="AB72" s="19" t="n">
        <v>19314.14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영업이익</t>
        </is>
      </c>
      <c r="E73" s="18" t="n">
        <v>-7195.51</v>
      </c>
      <c r="F73" s="9" t="n"/>
      <c r="G73" s="18" t="n">
        <v>-2284.29</v>
      </c>
      <c r="H73" s="18" t="n">
        <v>-29651.04</v>
      </c>
      <c r="I73" s="18" t="n">
        <v>741.5</v>
      </c>
      <c r="J73" s="18" t="n">
        <v>3196.74</v>
      </c>
      <c r="K73" s="37" t="n">
        <v>-27997.09</v>
      </c>
      <c r="L73" s="18" t="n">
        <v>4074.1</v>
      </c>
      <c r="M73" s="18" t="n">
        <v>3473.37</v>
      </c>
      <c r="N73" s="18" t="n">
        <v>1084.35</v>
      </c>
      <c r="O73" s="18" t="n">
        <v>96.75</v>
      </c>
      <c r="P73" s="37" t="n">
        <v>8728.57</v>
      </c>
      <c r="Q73" s="18" t="n">
        <v>19427.18</v>
      </c>
      <c r="R73" s="18" t="n">
        <v>18622.98</v>
      </c>
      <c r="S73" s="18" t="n">
        <v>15286.55</v>
      </c>
      <c r="T73" s="18" t="n">
        <v>18195.01</v>
      </c>
      <c r="U73" s="37" t="n">
        <v>71531.72</v>
      </c>
      <c r="V73" s="18" t="n">
        <v>22312.18</v>
      </c>
      <c r="W73" s="18" t="n">
        <v>33775.39</v>
      </c>
      <c r="X73" s="18" t="n">
        <v>26631.12</v>
      </c>
      <c r="Y73" s="18" t="n">
        <v>47347.61</v>
      </c>
      <c r="Z73" s="37" t="n">
        <v>130066.3</v>
      </c>
      <c r="AA73" s="18" t="n">
        <v>51403.67</v>
      </c>
      <c r="AB73" s="19" t="n">
        <v>41757.23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금융수익</t>
        </is>
      </c>
      <c r="E74" s="18" t="n">
        <v>3482.09</v>
      </c>
      <c r="F74" s="9" t="n"/>
      <c r="G74" s="18" t="n">
        <v>15529.77</v>
      </c>
      <c r="H74" s="18" t="n">
        <v>70787.69</v>
      </c>
      <c r="I74" s="18" t="n">
        <v>144323.46</v>
      </c>
      <c r="J74" s="18" t="n">
        <v>-93568.59</v>
      </c>
      <c r="K74" s="37" t="n">
        <v>137072.33</v>
      </c>
      <c r="L74" s="18" t="n">
        <v>58707.19</v>
      </c>
      <c r="M74" s="18" t="n">
        <v>26858.49</v>
      </c>
      <c r="N74" s="18" t="n">
        <v>61435.99</v>
      </c>
      <c r="O74" s="18" t="n">
        <v>-19237.39</v>
      </c>
      <c r="P74" s="37" t="n">
        <v>127764.28</v>
      </c>
      <c r="Q74" s="18" t="n">
        <v>88953.48</v>
      </c>
      <c r="R74" s="18" t="n">
        <v>74986.23</v>
      </c>
      <c r="S74" s="18" t="n">
        <v>-37327.3</v>
      </c>
      <c r="T74" s="18" t="n">
        <v>228734.43</v>
      </c>
      <c r="U74" s="37" t="n">
        <v>355346.84</v>
      </c>
      <c r="V74" s="18" t="n">
        <v>47586.24</v>
      </c>
      <c r="W74" s="18" t="n">
        <v>150937.94</v>
      </c>
      <c r="X74" s="18" t="n">
        <v>-61311.63</v>
      </c>
      <c r="Y74" s="18" t="n">
        <v>33407.62</v>
      </c>
      <c r="Z74" s="37" t="n">
        <v>170620.17</v>
      </c>
      <c r="AA74" s="18" t="n">
        <v>211830.29</v>
      </c>
      <c r="AB74" s="19" t="n">
        <v>86126.55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금융비용</t>
        </is>
      </c>
      <c r="E75" s="18" t="n">
        <v>5537.24</v>
      </c>
      <c r="F75" s="9" t="n"/>
      <c r="G75" s="18" t="n">
        <v>16670.62</v>
      </c>
      <c r="H75" s="18" t="n">
        <v>71209.23</v>
      </c>
      <c r="I75" s="18" t="n">
        <v>141234.09</v>
      </c>
      <c r="J75" s="18" t="n">
        <v>-82532.84</v>
      </c>
      <c r="K75" s="37" t="n">
        <v>146581.1</v>
      </c>
      <c r="L75" s="18" t="n">
        <v>61685.47</v>
      </c>
      <c r="M75" s="18" t="n">
        <v>29729.58</v>
      </c>
      <c r="N75" s="18" t="n">
        <v>64165.87</v>
      </c>
      <c r="O75" s="18" t="n">
        <v>-13665.77</v>
      </c>
      <c r="P75" s="37" t="n">
        <v>141915.15</v>
      </c>
      <c r="Q75" s="18" t="n">
        <v>89770.10000000001</v>
      </c>
      <c r="R75" s="18" t="n">
        <v>74776.42</v>
      </c>
      <c r="S75" s="18" t="n">
        <v>-32731.31</v>
      </c>
      <c r="T75" s="18" t="n">
        <v>220592.69</v>
      </c>
      <c r="U75" s="37" t="n">
        <v>352407.9</v>
      </c>
      <c r="V75" s="18" t="n">
        <v>48789.27</v>
      </c>
      <c r="W75" s="18" t="n">
        <v>168066.32</v>
      </c>
      <c r="X75" s="18" t="n">
        <v>-70764.09</v>
      </c>
      <c r="Y75" s="18" t="n">
        <v>26641.65</v>
      </c>
      <c r="Z75" s="37" t="n">
        <v>172733.15</v>
      </c>
      <c r="AA75" s="18" t="n">
        <v>192402.43</v>
      </c>
      <c r="AB75" s="19" t="n">
        <v>81643.8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기타영업외수익</t>
        </is>
      </c>
      <c r="E76" s="18" t="n">
        <v>3759.77</v>
      </c>
      <c r="F76" s="9" t="n"/>
      <c r="G76" s="18" t="n">
        <v>30.99</v>
      </c>
      <c r="H76" s="18" t="n">
        <v>77.48999999999999</v>
      </c>
      <c r="I76" s="18" t="n">
        <v>303.8</v>
      </c>
      <c r="J76" s="18" t="n">
        <v>7301.12</v>
      </c>
      <c r="K76" s="37" t="n">
        <v>7713.4</v>
      </c>
      <c r="L76" s="18" t="n">
        <v>6078.63</v>
      </c>
      <c r="M76" s="18" t="n">
        <v>414.88</v>
      </c>
      <c r="N76" s="18" t="n">
        <v>171.54</v>
      </c>
      <c r="O76" s="18" t="n">
        <v>1815.7</v>
      </c>
      <c r="P76" s="37" t="n">
        <v>8480.75</v>
      </c>
      <c r="Q76" s="18" t="n">
        <v>53.19</v>
      </c>
      <c r="R76" s="18" t="n">
        <v>92.31</v>
      </c>
      <c r="S76" s="18" t="n">
        <v>3241.22</v>
      </c>
      <c r="T76" s="18" t="n">
        <v>77.94</v>
      </c>
      <c r="U76" s="37" t="n">
        <v>3464.66</v>
      </c>
      <c r="V76" s="18" t="n">
        <v>201.82</v>
      </c>
      <c r="W76" s="18" t="n">
        <v>195.41</v>
      </c>
      <c r="X76" s="18" t="n">
        <v>162.16</v>
      </c>
      <c r="Y76" s="18" t="n">
        <v>2894.02</v>
      </c>
      <c r="Z76" s="37" t="n">
        <v>3453.41</v>
      </c>
      <c r="AA76" s="18" t="n">
        <v>79.09</v>
      </c>
      <c r="AB76" s="19" t="n">
        <v>146.39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기타영업외비용</t>
        </is>
      </c>
      <c r="E77" s="18" t="n">
        <v>9506.82</v>
      </c>
      <c r="F77" s="9" t="n"/>
      <c r="G77" s="18" t="n">
        <v>1375.55</v>
      </c>
      <c r="H77" s="18" t="n">
        <v>2565.22</v>
      </c>
      <c r="I77" s="18" t="n">
        <v>25.44</v>
      </c>
      <c r="J77" s="18" t="n">
        <v>6343.47</v>
      </c>
      <c r="K77" s="37" t="n">
        <v>10309.68</v>
      </c>
      <c r="L77" s="18" t="n">
        <v>53.68</v>
      </c>
      <c r="M77" s="18" t="n">
        <v>374.06</v>
      </c>
      <c r="N77" s="18" t="n">
        <v>1658.69</v>
      </c>
      <c r="O77" s="18" t="n">
        <v>2008.92</v>
      </c>
      <c r="P77" s="37" t="n">
        <v>4095.35</v>
      </c>
      <c r="Q77" s="18" t="n">
        <v>21.65</v>
      </c>
      <c r="R77" s="18" t="n">
        <v>435.95</v>
      </c>
      <c r="S77" s="18" t="n">
        <v>193.03</v>
      </c>
      <c r="T77" s="18" t="n">
        <v>11.34</v>
      </c>
      <c r="U77" s="37" t="n">
        <v>661.97</v>
      </c>
      <c r="V77" s="18" t="n">
        <v>1313.51</v>
      </c>
      <c r="W77" s="18" t="n">
        <v>1928.19</v>
      </c>
      <c r="X77" s="18" t="n">
        <v>4991.35</v>
      </c>
      <c r="Y77" s="18" t="n">
        <v>2519.36</v>
      </c>
      <c r="Z77" s="37" t="n">
        <v>10752.41</v>
      </c>
      <c r="AA77" s="18" t="n">
        <v>1767.01</v>
      </c>
      <c r="AB77" s="19" t="n">
        <v>5855.35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법인세비용차감전계속사업이익</t>
        </is>
      </c>
      <c r="E78" s="18" t="n">
        <v>-14997.7</v>
      </c>
      <c r="F78" s="9" t="n"/>
      <c r="G78" s="18" t="n">
        <v>-4769.7</v>
      </c>
      <c r="H78" s="18" t="n">
        <v>-32560.31</v>
      </c>
      <c r="I78" s="18" t="n">
        <v>4109.24</v>
      </c>
      <c r="J78" s="18" t="n">
        <v>-6881.36</v>
      </c>
      <c r="K78" s="37" t="n">
        <v>-40102.13</v>
      </c>
      <c r="L78" s="18" t="n">
        <v>7120.78</v>
      </c>
      <c r="M78" s="18" t="n">
        <v>643.1</v>
      </c>
      <c r="N78" s="18" t="n">
        <v>-3075.32</v>
      </c>
      <c r="O78" s="18" t="n">
        <v>-5645.52</v>
      </c>
      <c r="P78" s="37" t="n">
        <v>-956.96</v>
      </c>
      <c r="Q78" s="18" t="n">
        <v>18642.11</v>
      </c>
      <c r="R78" s="18" t="n">
        <v>18538.67</v>
      </c>
      <c r="S78" s="18" t="n">
        <v>13712.13</v>
      </c>
      <c r="T78" s="18" t="n">
        <v>26461.19</v>
      </c>
      <c r="U78" s="37" t="n">
        <v>77354.10000000001</v>
      </c>
      <c r="V78" s="18" t="n">
        <v>19979.61</v>
      </c>
      <c r="W78" s="18" t="n">
        <v>15051.37</v>
      </c>
      <c r="X78" s="18" t="n">
        <v>31246.92</v>
      </c>
      <c r="Y78" s="18" t="n">
        <v>54488.24</v>
      </c>
      <c r="Z78" s="37" t="n">
        <v>120766.14</v>
      </c>
      <c r="AA78" s="18" t="n">
        <v>69143.61</v>
      </c>
      <c r="AB78" s="19" t="n">
        <v>40531.01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법인세비용</t>
        </is>
      </c>
      <c r="E79" s="18" t="n">
        <v>-2262.89</v>
      </c>
      <c r="F79" s="9" t="n"/>
      <c r="H79" s="18" t="n">
        <v>-1013.47</v>
      </c>
      <c r="I79" s="18" t="n">
        <v>1424.79</v>
      </c>
      <c r="J79" s="18" t="n">
        <v>362.74</v>
      </c>
      <c r="K79" s="9" t="n"/>
      <c r="L79" s="18" t="n">
        <v>1556.51</v>
      </c>
      <c r="M79" s="18" t="n">
        <v>183.14</v>
      </c>
      <c r="N79" s="18" t="n">
        <v>-727.9400000000001</v>
      </c>
      <c r="O79" s="18" t="n">
        <v>-1522.26</v>
      </c>
      <c r="P79" s="37" t="n">
        <v>-510.55</v>
      </c>
      <c r="Q79" s="18" t="n">
        <v>3771.62</v>
      </c>
      <c r="R79" s="18" t="n">
        <v>4230.93</v>
      </c>
      <c r="S79" s="18" t="n">
        <v>3126.51</v>
      </c>
      <c r="T79" s="18" t="n">
        <v>-12934.51</v>
      </c>
      <c r="U79" s="37" t="n">
        <v>-1805.45</v>
      </c>
      <c r="V79" s="18" t="n">
        <v>570.9</v>
      </c>
      <c r="W79" s="18" t="n">
        <v>-6505.09</v>
      </c>
      <c r="X79" s="18" t="n">
        <v>946.5700000000001</v>
      </c>
      <c r="Y79" s="18" t="n">
        <v>-47999.66</v>
      </c>
      <c r="Z79" s="37" t="n">
        <v>-52987.28</v>
      </c>
      <c r="AA79" s="18" t="n">
        <v>16265.55</v>
      </c>
      <c r="AB79" s="19" t="n">
        <v>3227.27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계속사업이익</t>
        </is>
      </c>
      <c r="E80" s="18" t="n">
        <v>-12734.82</v>
      </c>
      <c r="F80" s="9" t="n"/>
      <c r="G80" s="18" t="n">
        <v>-4769.7</v>
      </c>
      <c r="H80" s="18" t="n">
        <v>-31546.84</v>
      </c>
      <c r="I80" s="18" t="n">
        <v>2684.45</v>
      </c>
      <c r="J80" s="18" t="n">
        <v>-7244.1</v>
      </c>
      <c r="K80" s="37" t="n">
        <v>-40876.19</v>
      </c>
      <c r="L80" s="18" t="n">
        <v>5564.27</v>
      </c>
      <c r="M80" s="18" t="n">
        <v>459.96</v>
      </c>
      <c r="N80" s="18" t="n">
        <v>-2347.38</v>
      </c>
      <c r="O80" s="18" t="n">
        <v>-4123.26</v>
      </c>
      <c r="P80" s="37" t="n">
        <v>-446.41</v>
      </c>
      <c r="Q80" s="18" t="n">
        <v>14870.49</v>
      </c>
      <c r="R80" s="18" t="n">
        <v>14307.74</v>
      </c>
      <c r="S80" s="18" t="n">
        <v>10585.62</v>
      </c>
      <c r="T80" s="18" t="n">
        <v>39395.7</v>
      </c>
      <c r="U80" s="37" t="n">
        <v>79159.55</v>
      </c>
      <c r="V80" s="18" t="n">
        <v>19408.71</v>
      </c>
      <c r="W80" s="18" t="n">
        <v>21556.46</v>
      </c>
      <c r="X80" s="18" t="n">
        <v>30300.35</v>
      </c>
      <c r="Y80" s="18" t="n">
        <v>102487.91</v>
      </c>
      <c r="Z80" s="37" t="n">
        <v>173753.43</v>
      </c>
      <c r="AA80" s="18" t="n">
        <v>52878.07</v>
      </c>
      <c r="AB80" s="19" t="n">
        <v>37303.74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당기순이익</t>
        </is>
      </c>
      <c r="E81" s="18" t="n">
        <v>-12734.82</v>
      </c>
      <c r="F81" s="9" t="n"/>
      <c r="G81" s="18" t="n">
        <v>-4769.7</v>
      </c>
      <c r="H81" s="18" t="n">
        <v>-31546.84</v>
      </c>
      <c r="I81" s="18" t="n">
        <v>2684.45</v>
      </c>
      <c r="J81" s="18" t="n">
        <v>-7244.1</v>
      </c>
      <c r="K81" s="37" t="n">
        <v>-40876.19</v>
      </c>
      <c r="L81" s="18" t="n">
        <v>5564.27</v>
      </c>
      <c r="M81" s="18" t="n">
        <v>459.96</v>
      </c>
      <c r="N81" s="18" t="n">
        <v>-2347.38</v>
      </c>
      <c r="O81" s="18" t="n">
        <v>-4123.26</v>
      </c>
      <c r="P81" s="37" t="n">
        <v>-446.41</v>
      </c>
      <c r="Q81" s="18" t="n">
        <v>14870.49</v>
      </c>
      <c r="R81" s="18" t="n">
        <v>14307.74</v>
      </c>
      <c r="S81" s="18" t="n">
        <v>10585.62</v>
      </c>
      <c r="T81" s="18" t="n">
        <v>39395.7</v>
      </c>
      <c r="U81" s="37" t="n">
        <v>79159.55</v>
      </c>
      <c r="V81" s="18" t="n">
        <v>19408.71</v>
      </c>
      <c r="W81" s="18" t="n">
        <v>21556.46</v>
      </c>
      <c r="X81" s="18" t="n">
        <v>30300.35</v>
      </c>
      <c r="Y81" s="18" t="n">
        <v>102487.91</v>
      </c>
      <c r="Z81" s="37" t="n">
        <v>173753.43</v>
      </c>
      <c r="AA81" s="18" t="n">
        <v>52878.07</v>
      </c>
      <c r="AB81" s="19" t="n">
        <v>37303.74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금융손익</t>
        </is>
      </c>
      <c r="E82" s="18" t="n">
        <v>-2055.15</v>
      </c>
      <c r="F82" s="9" t="n"/>
      <c r="G82" s="18" t="n">
        <v>-1140.85</v>
      </c>
      <c r="H82" s="18" t="n">
        <v>-421.54</v>
      </c>
      <c r="I82" s="18" t="n">
        <v>3089.37</v>
      </c>
      <c r="J82" s="18" t="n">
        <v>-11035.75</v>
      </c>
      <c r="K82" s="37" t="n">
        <v>-9508.77</v>
      </c>
      <c r="L82" s="18" t="n">
        <v>-2978.28</v>
      </c>
      <c r="M82" s="18" t="n">
        <v>-2871.09</v>
      </c>
      <c r="N82" s="18" t="n">
        <v>-2729.88</v>
      </c>
      <c r="O82" s="18" t="n">
        <v>-5571.62</v>
      </c>
      <c r="P82" s="37" t="n">
        <v>-14150.87</v>
      </c>
      <c r="Q82" s="18" t="n">
        <v>-816.62</v>
      </c>
      <c r="R82" s="18" t="n">
        <v>209.81</v>
      </c>
      <c r="S82" s="18" t="n">
        <v>-4595.99</v>
      </c>
      <c r="T82" s="18" t="n">
        <v>8141.74</v>
      </c>
      <c r="U82" s="37" t="n">
        <v>2938.94</v>
      </c>
      <c r="V82" s="18" t="n">
        <v>-1203.03</v>
      </c>
      <c r="W82" s="18" t="n">
        <v>-17128.38</v>
      </c>
      <c r="X82" s="18" t="n">
        <v>9452.459999999999</v>
      </c>
      <c r="Y82" s="18" t="n">
        <v>6765.97</v>
      </c>
      <c r="Z82" s="37" t="n">
        <v>-2112.98</v>
      </c>
      <c r="AA82" s="18" t="n">
        <v>19427.86</v>
      </c>
      <c r="AB82" s="19" t="n">
        <v>4482.75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기타영업외손익</t>
        </is>
      </c>
      <c r="E83" s="18" t="n">
        <v>-5747.05</v>
      </c>
      <c r="F83" s="9" t="n"/>
      <c r="G83" s="18" t="n">
        <v>-1344.56</v>
      </c>
      <c r="H83" s="18" t="n">
        <v>-2487.73</v>
      </c>
      <c r="I83" s="18" t="n">
        <v>278.36</v>
      </c>
      <c r="J83" s="18" t="n">
        <v>957.65</v>
      </c>
      <c r="K83" s="37" t="n">
        <v>-2596.28</v>
      </c>
      <c r="L83" s="18" t="n">
        <v>6024.95</v>
      </c>
      <c r="M83" s="18" t="n">
        <v>40.82</v>
      </c>
      <c r="N83" s="18" t="n">
        <v>-1487.15</v>
      </c>
      <c r="O83" s="18" t="n">
        <v>-193.22</v>
      </c>
      <c r="P83" s="37" t="n">
        <v>4385.4</v>
      </c>
      <c r="Q83" s="18" t="n">
        <v>31.54</v>
      </c>
      <c r="R83" s="18" t="n">
        <v>-343.64</v>
      </c>
      <c r="S83" s="18" t="n">
        <v>3048.19</v>
      </c>
      <c r="T83" s="18" t="n">
        <v>66.59999999999999</v>
      </c>
      <c r="U83" s="37" t="n">
        <v>2802.69</v>
      </c>
      <c r="V83" s="18" t="n">
        <v>-1111.69</v>
      </c>
      <c r="W83" s="18" t="n">
        <v>-1732.78</v>
      </c>
      <c r="X83" s="18" t="n">
        <v>-4829.19</v>
      </c>
      <c r="Y83" s="18" t="n">
        <v>374.66</v>
      </c>
      <c r="Z83" s="37" t="n">
        <v>-7299</v>
      </c>
      <c r="AA83" s="18" t="n">
        <v>-1687.92</v>
      </c>
      <c r="AB83" s="19" t="n">
        <v>-5708.96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(지배주주지분)당기순이익</t>
        </is>
      </c>
      <c r="E84" s="18" t="n">
        <v>-12734.82</v>
      </c>
      <c r="F84" s="9" t="n"/>
      <c r="G84" s="18" t="n">
        <v>-4769.7</v>
      </c>
      <c r="H84" s="18" t="n">
        <v>-31546.84</v>
      </c>
      <c r="I84" s="18" t="n">
        <v>2684.45</v>
      </c>
      <c r="J84" s="18" t="n">
        <v>-7244.1</v>
      </c>
      <c r="K84" s="37" t="n">
        <v>-40876.19</v>
      </c>
      <c r="L84" s="18" t="n">
        <v>5564.27</v>
      </c>
      <c r="M84" s="18" t="n">
        <v>459.96</v>
      </c>
      <c r="N84" s="18" t="n">
        <v>-2347.38</v>
      </c>
      <c r="O84" s="18" t="n">
        <v>-4123.26</v>
      </c>
      <c r="P84" s="37" t="n">
        <v>-446.41</v>
      </c>
      <c r="Q84" s="18" t="n">
        <v>14870.49</v>
      </c>
      <c r="R84" s="18" t="n">
        <v>14307.74</v>
      </c>
      <c r="S84" s="18" t="n">
        <v>10585.62</v>
      </c>
      <c r="T84" s="18" t="n">
        <v>39395.7</v>
      </c>
      <c r="U84" s="37" t="n">
        <v>79159.55</v>
      </c>
      <c r="V84" s="18" t="n">
        <v>19408.71</v>
      </c>
      <c r="W84" s="18" t="n">
        <v>21556.46</v>
      </c>
      <c r="X84" s="18" t="n">
        <v>30300.35</v>
      </c>
      <c r="Y84" s="18" t="n">
        <v>102487.91</v>
      </c>
      <c r="Z84" s="37" t="n">
        <v>173753.43</v>
      </c>
      <c r="AA84" s="18" t="n">
        <v>52878.07</v>
      </c>
      <c r="AB84" s="19" t="n">
        <v>37303.74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총포괄손익</t>
        </is>
      </c>
      <c r="E85" s="18" t="n">
        <v>-14205.08</v>
      </c>
      <c r="F85" s="9" t="n"/>
      <c r="G85" s="18" t="n">
        <v>-4769.7</v>
      </c>
      <c r="H85" s="18" t="n">
        <v>-31546.84</v>
      </c>
      <c r="I85" s="18" t="n">
        <v>2684.45</v>
      </c>
      <c r="J85" s="18" t="n">
        <v>-3128.47</v>
      </c>
      <c r="K85" s="37" t="n">
        <v>-36760.56</v>
      </c>
      <c r="L85" s="18" t="n">
        <v>5564.27</v>
      </c>
      <c r="M85" s="18" t="n">
        <v>185.71</v>
      </c>
      <c r="N85" s="18" t="n">
        <v>-1768.92</v>
      </c>
      <c r="O85" s="18" t="n">
        <v>-1460.09</v>
      </c>
      <c r="P85" s="37" t="n">
        <v>2520.97</v>
      </c>
      <c r="Q85" s="18" t="n">
        <v>15189.25</v>
      </c>
      <c r="R85" s="18" t="n">
        <v>14319.27</v>
      </c>
      <c r="S85" s="18" t="n">
        <v>10428.5</v>
      </c>
      <c r="T85" s="18" t="n">
        <v>40519.73</v>
      </c>
      <c r="U85" s="37" t="n">
        <v>80456.75</v>
      </c>
      <c r="V85" s="18" t="n">
        <v>19507.01</v>
      </c>
      <c r="W85" s="18" t="n">
        <v>15979.08</v>
      </c>
      <c r="X85" s="18" t="n">
        <v>30796</v>
      </c>
      <c r="Y85" s="18" t="n">
        <v>93952.60000000001</v>
      </c>
      <c r="Z85" s="37" t="n">
        <v>160234.69</v>
      </c>
      <c r="AA85" s="18" t="n">
        <v>53028.24</v>
      </c>
      <c r="AB85" s="19" t="n">
        <v>36599.13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종속기업,공동지배기업및관계기업관련손익</t>
        </is>
      </c>
      <c r="F86" s="9" t="n"/>
      <c r="K86" s="9" t="n"/>
      <c r="N86" s="18" t="n">
        <v>57.36</v>
      </c>
      <c r="O86" s="18" t="n">
        <v>22.59</v>
      </c>
      <c r="P86" s="9" t="n"/>
      <c r="R86" s="18" t="n">
        <v>49.53</v>
      </c>
      <c r="S86" s="18" t="n">
        <v>-26.61</v>
      </c>
      <c r="T86" s="18" t="n">
        <v>57.86</v>
      </c>
      <c r="U86" s="9" t="n"/>
      <c r="V86" s="18" t="n">
        <v>-17.84</v>
      </c>
      <c r="W86" s="18" t="n">
        <v>137.14</v>
      </c>
      <c r="X86" s="18" t="n">
        <v>-7.47</v>
      </c>
      <c r="Y86" s="18" t="n">
        <v>0</v>
      </c>
      <c r="Z86" s="37" t="n">
        <v>111.83</v>
      </c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지분법관련손익</t>
        </is>
      </c>
      <c r="F87" s="9" t="n"/>
      <c r="K87" s="9" t="n"/>
      <c r="N87" s="18" t="n">
        <v>57.36</v>
      </c>
      <c r="O87" s="18" t="n">
        <v>22.59</v>
      </c>
      <c r="P87" s="9" t="n"/>
      <c r="R87" s="18" t="n">
        <v>49.53</v>
      </c>
      <c r="S87" s="18" t="n">
        <v>-26.61</v>
      </c>
      <c r="T87" s="18" t="n">
        <v>57.86</v>
      </c>
      <c r="U87" s="9" t="n"/>
      <c r="V87" s="18" t="n">
        <v>-17.84</v>
      </c>
      <c r="W87" s="18" t="n">
        <v>137.14</v>
      </c>
      <c r="X87" s="18" t="n">
        <v>-7.47</v>
      </c>
      <c r="Y87" s="18" t="n">
        <v>0</v>
      </c>
      <c r="Z87" s="37" t="n">
        <v>111.83</v>
      </c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이자수익</t>
        </is>
      </c>
      <c r="F88" s="9" t="n"/>
      <c r="K88" s="9" t="n"/>
      <c r="P88" s="9" t="n"/>
      <c r="U88" s="9" t="n"/>
      <c r="V88" s="18" t="n">
        <v>1098.71</v>
      </c>
      <c r="W88" s="18" t="n">
        <v>2221.01</v>
      </c>
      <c r="X88" s="18" t="n">
        <v>3447.36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이자비용</t>
        </is>
      </c>
      <c r="F89" s="9" t="n"/>
      <c r="K89" s="9" t="n"/>
      <c r="P89" s="9" t="n"/>
      <c r="U89" s="9" t="n"/>
      <c r="V89" s="18" t="n">
        <v>930.34</v>
      </c>
      <c r="W89" s="18" t="n">
        <v>852.0700000000001</v>
      </c>
      <c r="X89" s="18" t="n">
        <v>761.66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외환차익</t>
        </is>
      </c>
      <c r="F90" s="9" t="n"/>
      <c r="K90" s="9" t="n"/>
      <c r="P90" s="9" t="n"/>
      <c r="U90" s="9" t="n"/>
      <c r="V90" s="18" t="n">
        <v>8268.01</v>
      </c>
      <c r="W90" s="18" t="n">
        <v>9411.639999999999</v>
      </c>
      <c r="X90" s="18" t="n">
        <v>15093.09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외환차손</t>
        </is>
      </c>
      <c r="F91" s="9" t="n"/>
      <c r="K91" s="9" t="n"/>
      <c r="P91" s="9" t="n"/>
      <c r="U91" s="9" t="n"/>
      <c r="V91" s="18" t="n">
        <v>9280.440000000001</v>
      </c>
      <c r="W91" s="18" t="n">
        <v>26079.92</v>
      </c>
      <c r="X91" s="18" t="n">
        <v>13161.58</v>
      </c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외화환산이익</t>
        </is>
      </c>
      <c r="F92" s="9" t="n"/>
      <c r="K92" s="9" t="n"/>
      <c r="P92" s="9" t="n"/>
      <c r="U92" s="9" t="n"/>
      <c r="V92" s="18" t="n">
        <v>1394.36</v>
      </c>
      <c r="W92" s="18" t="n">
        <v>2068.02</v>
      </c>
      <c r="X92" s="18" t="n">
        <v>1393.4</v>
      </c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외화환산손실</t>
        </is>
      </c>
      <c r="F93" s="9" t="n"/>
      <c r="K93" s="9" t="n"/>
      <c r="P93" s="9" t="n"/>
      <c r="U93" s="9" t="n"/>
      <c r="V93" s="18" t="n">
        <v>110.46</v>
      </c>
      <c r="W93" s="18" t="n">
        <v>8006.3</v>
      </c>
      <c r="X93" s="18" t="n">
        <v>-6376.12</v>
      </c>
      <c r="Z93" s="9" t="n"/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파생상품이익</t>
        </is>
      </c>
      <c r="F94" s="9" t="n"/>
      <c r="K94" s="9" t="n"/>
      <c r="P94" s="9" t="n"/>
      <c r="U94" s="9" t="n"/>
      <c r="V94" s="18" t="n">
        <v>6734.65</v>
      </c>
      <c r="W94" s="18" t="n">
        <v>164986.15</v>
      </c>
      <c r="X94" s="18" t="n">
        <v>-90049.82000000001</v>
      </c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파생상품손실</t>
        </is>
      </c>
      <c r="F95" s="9" t="n"/>
      <c r="K95" s="9" t="n"/>
      <c r="P95" s="9" t="n"/>
      <c r="U95" s="9" t="n"/>
      <c r="V95" s="18" t="n">
        <v>32705.85</v>
      </c>
      <c r="W95" s="18" t="n">
        <v>-24525.74</v>
      </c>
      <c r="X95" s="18" t="n">
        <v>9919.02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이자손익</t>
        </is>
      </c>
      <c r="F96" s="9" t="n"/>
      <c r="K96" s="9" t="n"/>
      <c r="P96" s="9" t="n"/>
      <c r="U96" s="9" t="n"/>
      <c r="V96" s="18" t="n">
        <v>168.37</v>
      </c>
      <c r="W96" s="18" t="n">
        <v>1368.94</v>
      </c>
      <c r="X96" s="18" t="n">
        <v>2685.7</v>
      </c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배당금수익</t>
        </is>
      </c>
      <c r="F97" s="9" t="n"/>
      <c r="K97" s="9" t="n"/>
      <c r="P97" s="9" t="n"/>
      <c r="U97" s="9" t="n"/>
      <c r="W97" s="18" t="n">
        <v>8.960000000000001</v>
      </c>
      <c r="X97" s="18" t="n">
        <v>0</v>
      </c>
      <c r="Z97" s="9" t="n"/>
      <c r="AB97" s="5" t="n"/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영업외손익</t>
        </is>
      </c>
      <c r="F98" s="9" t="n"/>
      <c r="K98" s="9" t="n"/>
      <c r="P98" s="9" t="n"/>
      <c r="U98" s="9" t="n"/>
      <c r="Z98" s="9" t="n"/>
      <c r="AB98" s="19" t="n">
        <v>-1226.22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영업활동으로인한현금흐름</t>
        </is>
      </c>
      <c r="E99" s="18" t="n">
        <v>-9770.23</v>
      </c>
      <c r="F99" s="9" t="n"/>
      <c r="G99" s="18" t="n">
        <v>-1721.07</v>
      </c>
      <c r="H99" s="18" t="n">
        <v>-14610.2</v>
      </c>
      <c r="I99" s="18" t="n">
        <v>9535.18</v>
      </c>
      <c r="J99" s="18" t="n">
        <v>-13644.79</v>
      </c>
      <c r="K99" s="37" t="n">
        <v>-20440.88</v>
      </c>
      <c r="L99" s="18" t="n">
        <v>19613.07</v>
      </c>
      <c r="M99" s="18" t="n">
        <v>-29204.48</v>
      </c>
      <c r="N99" s="18" t="n">
        <v>-384.07</v>
      </c>
      <c r="O99" s="18" t="n">
        <v>80127.59</v>
      </c>
      <c r="P99" s="37" t="n">
        <v>70152.11</v>
      </c>
      <c r="Q99" s="18" t="n">
        <v>-14455.7</v>
      </c>
      <c r="R99" s="18" t="n">
        <v>37443.6</v>
      </c>
      <c r="S99" s="18" t="n">
        <v>-4336.27</v>
      </c>
      <c r="T99" s="18" t="n">
        <v>71724.07000000001</v>
      </c>
      <c r="U99" s="37" t="n">
        <v>90375.7</v>
      </c>
      <c r="V99" s="18" t="n">
        <v>46058.61</v>
      </c>
      <c r="W99" s="18" t="n">
        <v>169896.82</v>
      </c>
      <c r="X99" s="18" t="n">
        <v>34713.08</v>
      </c>
      <c r="Y99" s="18" t="n">
        <v>79650.17</v>
      </c>
      <c r="Z99" s="37" t="n">
        <v>330318.68</v>
      </c>
      <c r="AA99" s="18" t="n">
        <v>48835.01</v>
      </c>
      <c r="AB99" s="19" t="n">
        <v>182471.81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법인세납부(CF)</t>
        </is>
      </c>
      <c r="E100" s="18" t="n">
        <v>-9.16</v>
      </c>
      <c r="F100" s="9" t="n"/>
      <c r="G100" s="18" t="n">
        <v>-6.37</v>
      </c>
      <c r="H100" s="18" t="n">
        <v>35.44</v>
      </c>
      <c r="I100" s="18" t="n">
        <v>-22.2</v>
      </c>
      <c r="J100" s="18" t="n">
        <v>-72.43000000000001</v>
      </c>
      <c r="K100" s="37" t="n">
        <v>-65.56</v>
      </c>
      <c r="L100" s="18" t="n">
        <v>-45.8</v>
      </c>
      <c r="M100" s="18" t="n">
        <v>-55.2</v>
      </c>
      <c r="N100" s="18" t="n">
        <v>-76.29000000000001</v>
      </c>
      <c r="O100" s="18" t="n">
        <v>3.68</v>
      </c>
      <c r="P100" s="37" t="n">
        <v>-173.61</v>
      </c>
      <c r="Q100" s="18" t="n">
        <v>-156.07</v>
      </c>
      <c r="R100" s="18" t="n">
        <v>24.98</v>
      </c>
      <c r="S100" s="18" t="n">
        <v>-716.99</v>
      </c>
      <c r="T100" s="18" t="n">
        <v>-310.5</v>
      </c>
      <c r="U100" s="37" t="n">
        <v>-1158.58</v>
      </c>
      <c r="V100" s="18" t="n">
        <v>-325.24</v>
      </c>
      <c r="W100" s="18" t="n">
        <v>-585.8099999999999</v>
      </c>
      <c r="X100" s="18" t="n">
        <v>-0.84</v>
      </c>
      <c r="Y100" s="18" t="n">
        <v>-0.27</v>
      </c>
      <c r="Z100" s="37" t="n">
        <v>-912.16</v>
      </c>
      <c r="AA100" s="18" t="n">
        <v>-1606.38</v>
      </c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투자활동으로인한현금흐름</t>
        </is>
      </c>
      <c r="E101" s="18" t="n">
        <v>-2787.46</v>
      </c>
      <c r="F101" s="9" t="n"/>
      <c r="G101" s="18" t="n">
        <v>1640.88</v>
      </c>
      <c r="H101" s="18" t="n">
        <v>-4083.5</v>
      </c>
      <c r="I101" s="18" t="n">
        <v>-38917.21</v>
      </c>
      <c r="J101" s="18" t="n">
        <v>-16511.7</v>
      </c>
      <c r="K101" s="37" t="n">
        <v>-57871.53</v>
      </c>
      <c r="L101" s="18" t="n">
        <v>-3086.88</v>
      </c>
      <c r="M101" s="18" t="n">
        <v>-11699.19</v>
      </c>
      <c r="N101" s="18" t="n">
        <v>-9012.129999999999</v>
      </c>
      <c r="O101" s="18" t="n">
        <v>-6481.14</v>
      </c>
      <c r="P101" s="37" t="n">
        <v>-30279.34</v>
      </c>
      <c r="Q101" s="18" t="n">
        <v>31045.05</v>
      </c>
      <c r="R101" s="18" t="n">
        <v>-22379.04</v>
      </c>
      <c r="S101" s="18" t="n">
        <v>-8850.68</v>
      </c>
      <c r="T101" s="18" t="n">
        <v>-4129.06</v>
      </c>
      <c r="U101" s="37" t="n">
        <v>-4313.73</v>
      </c>
      <c r="V101" s="18" t="n">
        <v>-65613.69</v>
      </c>
      <c r="W101" s="18" t="n">
        <v>-78391.57000000001</v>
      </c>
      <c r="X101" s="18" t="n">
        <v>-20306.37</v>
      </c>
      <c r="Y101" s="18" t="n">
        <v>3191.67</v>
      </c>
      <c r="Z101" s="37" t="n">
        <v>-161119.96</v>
      </c>
      <c r="AA101" s="18" t="n">
        <v>-278449.16</v>
      </c>
      <c r="AB101" s="19" t="n">
        <v>-31131.53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유형자산의감소</t>
        </is>
      </c>
      <c r="E102" s="18" t="n">
        <v>0</v>
      </c>
      <c r="F102" s="9" t="n"/>
      <c r="I102" s="18" t="n">
        <v>0</v>
      </c>
      <c r="J102" s="18" t="n">
        <v>0</v>
      </c>
      <c r="K102" s="9" t="n"/>
      <c r="L102" s="18" t="n">
        <v>49.22</v>
      </c>
      <c r="M102" s="18" t="n">
        <v>15.92</v>
      </c>
      <c r="N102" s="18" t="n">
        <v>101.1</v>
      </c>
      <c r="O102" s="18" t="n">
        <v>46.15</v>
      </c>
      <c r="P102" s="37" t="n">
        <v>212.39</v>
      </c>
      <c r="T102" s="18" t="n">
        <v>1.89</v>
      </c>
      <c r="U102" s="9" t="n"/>
      <c r="Y102" s="18" t="n">
        <v>141.01</v>
      </c>
      <c r="Z102" s="9" t="n"/>
      <c r="AA102" s="18" t="n">
        <v>1.82</v>
      </c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무형자산의감소</t>
        </is>
      </c>
      <c r="E103" s="18" t="n">
        <v>178.02</v>
      </c>
      <c r="F103" s="9" t="n"/>
      <c r="K103" s="9" t="n"/>
      <c r="P103" s="9" t="n"/>
      <c r="U103" s="9" t="n"/>
      <c r="X103" s="18" t="n">
        <v>140.31</v>
      </c>
      <c r="Z103" s="9" t="n"/>
      <c r="AB103" s="5" t="n"/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유형자산의증가</t>
        </is>
      </c>
      <c r="E104" s="18" t="n">
        <v>2782.22</v>
      </c>
      <c r="F104" s="9" t="n"/>
      <c r="G104" s="18" t="n">
        <v>1548.89</v>
      </c>
      <c r="H104" s="18" t="n">
        <v>1999.2</v>
      </c>
      <c r="I104" s="18" t="n">
        <v>2895.45</v>
      </c>
      <c r="J104" s="18" t="n">
        <v>2405.48</v>
      </c>
      <c r="K104" s="37" t="n">
        <v>8849.02</v>
      </c>
      <c r="L104" s="18" t="n">
        <v>4536.04</v>
      </c>
      <c r="M104" s="18" t="n">
        <v>11065.58</v>
      </c>
      <c r="N104" s="18" t="n">
        <v>9036.9</v>
      </c>
      <c r="O104" s="18" t="n">
        <v>6425.72</v>
      </c>
      <c r="P104" s="37" t="n">
        <v>31064.24</v>
      </c>
      <c r="Q104" s="18" t="n">
        <v>6737.19</v>
      </c>
      <c r="R104" s="18" t="n">
        <v>15981.3</v>
      </c>
      <c r="S104" s="18" t="n">
        <v>20599.22</v>
      </c>
      <c r="T104" s="18" t="n">
        <v>7686.07</v>
      </c>
      <c r="U104" s="37" t="n">
        <v>51003.78</v>
      </c>
      <c r="V104" s="18" t="n">
        <v>5356.11</v>
      </c>
      <c r="W104" s="18" t="n">
        <v>3434.1</v>
      </c>
      <c r="X104" s="18" t="n">
        <v>9098.16</v>
      </c>
      <c r="Y104" s="18" t="n">
        <v>15401.44</v>
      </c>
      <c r="Z104" s="37" t="n">
        <v>33289.81</v>
      </c>
      <c r="AA104" s="18" t="n">
        <v>23598.89</v>
      </c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CAPEX</t>
        </is>
      </c>
      <c r="E105" s="18" t="n">
        <v>2916.22</v>
      </c>
      <c r="F105" s="9" t="n"/>
      <c r="G105" s="18" t="n">
        <v>1562.89</v>
      </c>
      <c r="H105" s="18" t="n">
        <v>2129</v>
      </c>
      <c r="I105" s="18" t="n">
        <v>3193.3</v>
      </c>
      <c r="J105" s="18" t="n">
        <v>2601.36</v>
      </c>
      <c r="K105" s="37" t="n">
        <v>9486.549999999999</v>
      </c>
      <c r="L105" s="18" t="n">
        <v>4539.04</v>
      </c>
      <c r="M105" s="18" t="n">
        <v>11062.58</v>
      </c>
      <c r="N105" s="18" t="n">
        <v>9036.9</v>
      </c>
      <c r="O105" s="18" t="n">
        <v>6765.8</v>
      </c>
      <c r="P105" s="37" t="n">
        <v>31404.32</v>
      </c>
      <c r="Q105" s="18" t="n">
        <v>6737.19</v>
      </c>
      <c r="R105" s="18" t="n">
        <v>16105.91</v>
      </c>
      <c r="S105" s="18" t="n">
        <v>21435.41</v>
      </c>
      <c r="T105" s="18" t="n">
        <v>10223.38</v>
      </c>
      <c r="U105" s="37" t="n">
        <v>54501.89</v>
      </c>
      <c r="V105" s="18" t="n">
        <v>6838.01</v>
      </c>
      <c r="W105" s="18" t="n">
        <v>4076.3</v>
      </c>
      <c r="X105" s="18" t="n">
        <v>9986.15</v>
      </c>
      <c r="Y105" s="18" t="n">
        <v>17961.31</v>
      </c>
      <c r="Z105" s="37" t="n">
        <v>38861.77</v>
      </c>
      <c r="AA105" s="18" t="n">
        <v>24939.45</v>
      </c>
      <c r="AB105" s="5" t="n"/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무형자산의증가</t>
        </is>
      </c>
      <c r="E106" s="18" t="n">
        <v>134</v>
      </c>
      <c r="F106" s="9" t="n"/>
      <c r="G106" s="18" t="n">
        <v>14</v>
      </c>
      <c r="H106" s="18" t="n">
        <v>129.8</v>
      </c>
      <c r="I106" s="18" t="n">
        <v>297.85</v>
      </c>
      <c r="J106" s="18" t="n">
        <v>195.88</v>
      </c>
      <c r="K106" s="37" t="n">
        <v>637.53</v>
      </c>
      <c r="L106" s="18" t="n">
        <v>3</v>
      </c>
      <c r="P106" s="9" t="n"/>
      <c r="S106" s="18" t="n">
        <v>836.1900000000001</v>
      </c>
      <c r="T106" s="18" t="n">
        <v>2537.31</v>
      </c>
      <c r="U106" s="9" t="n"/>
      <c r="V106" s="18" t="n">
        <v>1481.9</v>
      </c>
      <c r="W106" s="18" t="n">
        <v>642.2</v>
      </c>
      <c r="X106" s="18" t="n">
        <v>887.99</v>
      </c>
      <c r="Y106" s="18" t="n">
        <v>2559.87</v>
      </c>
      <c r="Z106" s="37" t="n">
        <v>5571.96</v>
      </c>
      <c r="AA106" s="18" t="n">
        <v>1340.56</v>
      </c>
      <c r="AB106" s="5" t="n"/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재무활동으로인한현금흐름</t>
        </is>
      </c>
      <c r="E107" s="18" t="n">
        <v>724.25</v>
      </c>
      <c r="F107" s="9" t="n"/>
      <c r="G107" s="18" t="n">
        <v>10235.29</v>
      </c>
      <c r="H107" s="18" t="n">
        <v>8981.059999999999</v>
      </c>
      <c r="I107" s="18" t="n">
        <v>65245.88</v>
      </c>
      <c r="J107" s="18" t="n">
        <v>-4507.88</v>
      </c>
      <c r="K107" s="37" t="n">
        <v>79954.35000000001</v>
      </c>
      <c r="L107" s="18" t="n">
        <v>-4502.75</v>
      </c>
      <c r="M107" s="18" t="n">
        <v>7267.09</v>
      </c>
      <c r="N107" s="18" t="n">
        <v>24158.47</v>
      </c>
      <c r="O107" s="18" t="n">
        <v>-18166.87</v>
      </c>
      <c r="P107" s="37" t="n">
        <v>8755.940000000001</v>
      </c>
      <c r="Q107" s="18" t="n">
        <v>86685.44</v>
      </c>
      <c r="R107" s="18" t="n">
        <v>-122797.81</v>
      </c>
      <c r="S107" s="18" t="n">
        <v>-4727.67</v>
      </c>
      <c r="T107" s="18" t="n">
        <v>-16454.41</v>
      </c>
      <c r="U107" s="37" t="n">
        <v>-57294.45</v>
      </c>
      <c r="V107" s="18" t="n">
        <v>9407.040000000001</v>
      </c>
      <c r="W107" s="18" t="n">
        <v>-10582.04</v>
      </c>
      <c r="X107" s="18" t="n">
        <v>-541.2</v>
      </c>
      <c r="Y107" s="18" t="n">
        <v>-20548.96</v>
      </c>
      <c r="Z107" s="37" t="n">
        <v>-22265.16</v>
      </c>
      <c r="AA107" s="18" t="n">
        <v>-968</v>
      </c>
      <c r="AB107" s="19" t="n">
        <v>-41153.13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단기차입금의증가</t>
        </is>
      </c>
      <c r="E108" s="18" t="n">
        <v>35000</v>
      </c>
      <c r="F108" s="9" t="n"/>
      <c r="G108" s="18" t="n">
        <v>25000</v>
      </c>
      <c r="H108" s="18" t="n">
        <v>25000</v>
      </c>
      <c r="I108" s="18" t="n">
        <v>15000</v>
      </c>
      <c r="J108" s="18" t="n">
        <v>16000</v>
      </c>
      <c r="K108" s="37" t="n">
        <v>81000</v>
      </c>
      <c r="L108" s="18" t="n">
        <v>31000</v>
      </c>
      <c r="M108" s="18" t="n">
        <v>49000</v>
      </c>
      <c r="N108" s="18" t="n">
        <v>41000</v>
      </c>
      <c r="O108" s="18" t="n">
        <v>6000</v>
      </c>
      <c r="P108" s="37" t="n">
        <v>127000</v>
      </c>
      <c r="T108" s="18" t="n">
        <v>22000</v>
      </c>
      <c r="U108" s="9" t="n"/>
      <c r="X108" s="18" t="n">
        <v>0</v>
      </c>
      <c r="Y108" s="18" t="n">
        <v>30000</v>
      </c>
      <c r="Z108" s="9" t="n"/>
      <c r="AB108" s="5" t="n"/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장기차입금의증가</t>
        </is>
      </c>
      <c r="E109" s="18" t="n">
        <v>1082</v>
      </c>
      <c r="F109" s="9" t="n"/>
      <c r="G109" s="18" t="n">
        <v>686</v>
      </c>
      <c r="H109" s="18" t="n">
        <v>473</v>
      </c>
      <c r="I109" s="18" t="n">
        <v>0</v>
      </c>
      <c r="J109" s="18" t="n">
        <v>0</v>
      </c>
      <c r="K109" s="37" t="n">
        <v>1159</v>
      </c>
      <c r="P109" s="9" t="n"/>
      <c r="T109" s="18" t="n">
        <v>0</v>
      </c>
      <c r="U109" s="9" t="n"/>
      <c r="V109" s="18" t="n">
        <v>10000</v>
      </c>
      <c r="W109" s="18" t="n">
        <v>0</v>
      </c>
      <c r="X109" s="18" t="n">
        <v>0</v>
      </c>
      <c r="Y109" s="18" t="n">
        <v>0</v>
      </c>
      <c r="Z109" s="37" t="n">
        <v>10000</v>
      </c>
      <c r="AB109" s="5" t="n"/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단기차입금의감소</t>
        </is>
      </c>
      <c r="E110" s="18" t="n">
        <v>35000</v>
      </c>
      <c r="F110" s="9" t="n"/>
      <c r="G110" s="18" t="n">
        <v>15000</v>
      </c>
      <c r="H110" s="18" t="n">
        <v>15000</v>
      </c>
      <c r="I110" s="18" t="n">
        <v>35000</v>
      </c>
      <c r="J110" s="18" t="n">
        <v>16000</v>
      </c>
      <c r="K110" s="37" t="n">
        <v>81000</v>
      </c>
      <c r="L110" s="18" t="n">
        <v>31000</v>
      </c>
      <c r="M110" s="18" t="n">
        <v>30100</v>
      </c>
      <c r="N110" s="18" t="n">
        <v>15300</v>
      </c>
      <c r="O110" s="18" t="n">
        <v>22600</v>
      </c>
      <c r="P110" s="37" t="n">
        <v>99000</v>
      </c>
      <c r="Q110" s="18" t="n">
        <v>1200</v>
      </c>
      <c r="R110" s="18" t="n">
        <v>101800</v>
      </c>
      <c r="S110" s="18" t="n">
        <v>20000</v>
      </c>
      <c r="T110" s="18" t="n">
        <v>28000</v>
      </c>
      <c r="U110" s="37" t="n">
        <v>151000</v>
      </c>
      <c r="V110" s="18" t="n">
        <v>0</v>
      </c>
      <c r="W110" s="18" t="n">
        <v>30000</v>
      </c>
      <c r="X110" s="18" t="n">
        <v>0</v>
      </c>
      <c r="Y110" s="18" t="n">
        <v>50000</v>
      </c>
      <c r="Z110" s="37" t="n">
        <v>80000</v>
      </c>
      <c r="AB110" s="5" t="n"/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리스부채의상환</t>
        </is>
      </c>
      <c r="E111" s="18" t="n">
        <v>357.74</v>
      </c>
      <c r="F111" s="9" t="n"/>
      <c r="G111" s="18" t="n">
        <v>450.71</v>
      </c>
      <c r="H111" s="18" t="n">
        <v>491.94</v>
      </c>
      <c r="I111" s="18" t="n">
        <v>458.7</v>
      </c>
      <c r="J111" s="18" t="n">
        <v>485.05</v>
      </c>
      <c r="K111" s="37" t="n">
        <v>1886.4</v>
      </c>
      <c r="L111" s="18" t="n">
        <v>488.81</v>
      </c>
      <c r="M111" s="18" t="n">
        <v>517.48</v>
      </c>
      <c r="N111" s="18" t="n">
        <v>527.59</v>
      </c>
      <c r="O111" s="18" t="n">
        <v>552.9299999999999</v>
      </c>
      <c r="P111" s="37" t="n">
        <v>2086.81</v>
      </c>
      <c r="Q111" s="18" t="n">
        <v>530.71</v>
      </c>
      <c r="R111" s="18" t="n">
        <v>570.05</v>
      </c>
      <c r="S111" s="18" t="n">
        <v>639.6799999999999</v>
      </c>
      <c r="T111" s="18" t="n">
        <v>454.41</v>
      </c>
      <c r="U111" s="37" t="n">
        <v>2194.85</v>
      </c>
      <c r="V111" s="18" t="n">
        <v>592.96</v>
      </c>
      <c r="W111" s="18" t="n">
        <v>582.04</v>
      </c>
      <c r="X111" s="18" t="n">
        <v>541.2</v>
      </c>
      <c r="Y111" s="18" t="n">
        <v>548.96</v>
      </c>
      <c r="Z111" s="37" t="n">
        <v>2265.16</v>
      </c>
      <c r="AA111" s="18" t="n">
        <v>588.55</v>
      </c>
      <c r="AB111" s="5" t="n"/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현금및현금성자산의증감</t>
        </is>
      </c>
      <c r="E112" s="18" t="n">
        <v>-12017.86</v>
      </c>
      <c r="F112" s="9" t="n"/>
      <c r="G112" s="18" t="n">
        <v>10045.32</v>
      </c>
      <c r="H112" s="18" t="n">
        <v>-9495.870000000001</v>
      </c>
      <c r="I112" s="18" t="n">
        <v>37153.75</v>
      </c>
      <c r="J112" s="18" t="n">
        <v>-36729.59</v>
      </c>
      <c r="K112" s="37" t="n">
        <v>973.61</v>
      </c>
      <c r="L112" s="18" t="n">
        <v>11812.3</v>
      </c>
      <c r="M112" s="18" t="n">
        <v>-33287.89</v>
      </c>
      <c r="N112" s="18" t="n">
        <v>14773.49</v>
      </c>
      <c r="O112" s="18" t="n">
        <v>54974.79</v>
      </c>
      <c r="P112" s="37" t="n">
        <v>48272.69</v>
      </c>
      <c r="Q112" s="18" t="n">
        <v>103952.23</v>
      </c>
      <c r="R112" s="18" t="n">
        <v>-108299.19</v>
      </c>
      <c r="S112" s="18" t="n">
        <v>-18375.97</v>
      </c>
      <c r="U112" s="9" t="n"/>
      <c r="V112" s="18" t="n">
        <v>-9806.389999999999</v>
      </c>
      <c r="W112" s="18" t="n">
        <v>80316.09</v>
      </c>
      <c r="X112" s="18" t="n">
        <v>15136.95</v>
      </c>
      <c r="Z112" s="9" t="n"/>
      <c r="AB112" s="5" t="n"/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  <row r="113">
      <c r="A113" t="n">
        <v>1</v>
      </c>
      <c r="C113" t="inlineStr">
        <is>
          <t>기말현금및현금성자산</t>
        </is>
      </c>
      <c r="E113" s="18" t="n">
        <v>-12017.86</v>
      </c>
      <c r="F113" s="9" t="n"/>
      <c r="G113" s="18" t="n">
        <v>63630.95</v>
      </c>
      <c r="H113" s="18" t="n">
        <v>-9495.870000000001</v>
      </c>
      <c r="I113" s="18" t="n">
        <v>37153.75</v>
      </c>
      <c r="J113" s="18" t="n">
        <v>-36729.58</v>
      </c>
      <c r="K113" s="37" t="n">
        <v>54559.25</v>
      </c>
      <c r="L113" s="18" t="n">
        <v>66371.55</v>
      </c>
      <c r="M113" s="18" t="n">
        <v>-33287.89</v>
      </c>
      <c r="N113" s="18" t="n">
        <v>14773.49</v>
      </c>
      <c r="O113" s="18" t="n">
        <v>54974.79</v>
      </c>
      <c r="P113" s="37" t="n">
        <v>102831.94</v>
      </c>
      <c r="Q113" s="18" t="n">
        <v>206784.17</v>
      </c>
      <c r="R113" s="18" t="n">
        <v>-108299.2</v>
      </c>
      <c r="S113" s="18" t="n">
        <v>-18375.97</v>
      </c>
      <c r="U113" s="9" t="n"/>
      <c r="V113" s="18" t="n">
        <v>123194.8</v>
      </c>
      <c r="W113" s="18" t="n">
        <v>80316.09</v>
      </c>
      <c r="X113" s="18" t="n">
        <v>15136.95</v>
      </c>
      <c r="Z113" s="9" t="n"/>
      <c r="AB113" s="5" t="n"/>
      <c r="AC113" s="10" t="n"/>
      <c r="AD113" s="10" t="n"/>
      <c r="AE113" s="11" t="n"/>
      <c r="AF113" s="10" t="n"/>
      <c r="AG113" s="10" t="n"/>
      <c r="AH113" s="10" t="n"/>
      <c r="AI113" s="10" t="n"/>
      <c r="AJ113" s="11" t="n"/>
      <c r="AK113" s="10" t="n"/>
      <c r="AL113" s="10" t="n"/>
      <c r="AM113" s="10" t="n"/>
      <c r="AN113" s="10" t="n"/>
      <c r="AO113" s="11" t="n"/>
    </row>
    <row r="114">
      <c r="A114" t="n">
        <v>1</v>
      </c>
      <c r="C114" t="inlineStr">
        <is>
          <t>유동성장기부채의감소</t>
        </is>
      </c>
      <c r="F114" s="9" t="n"/>
      <c r="I114" s="18" t="n">
        <v>3514.2</v>
      </c>
      <c r="J114" s="18" t="n">
        <v>4013.93</v>
      </c>
      <c r="K114" s="9" t="n"/>
      <c r="L114" s="18" t="n">
        <v>4013.94</v>
      </c>
      <c r="M114" s="18" t="n">
        <v>51013.93</v>
      </c>
      <c r="N114" s="18" t="n">
        <v>1013.94</v>
      </c>
      <c r="O114" s="18" t="n">
        <v>1013.94</v>
      </c>
      <c r="P114" s="37" t="n">
        <v>57055.75</v>
      </c>
      <c r="Q114" s="18" t="n">
        <v>1013.94</v>
      </c>
      <c r="R114" s="18" t="n">
        <v>16305.74</v>
      </c>
      <c r="S114" s="18" t="n">
        <v>0</v>
      </c>
      <c r="T114" s="18" t="n">
        <v>0</v>
      </c>
      <c r="U114" s="37" t="n">
        <v>17319.68</v>
      </c>
      <c r="V114" s="18" t="n">
        <v>0</v>
      </c>
      <c r="W114" s="18" t="n">
        <v>0</v>
      </c>
      <c r="X114" s="18" t="n">
        <v>0</v>
      </c>
      <c r="Z114" s="9" t="n"/>
      <c r="AB114" s="5" t="n"/>
      <c r="AC114" s="10" t="n"/>
      <c r="AD114" s="10" t="n"/>
      <c r="AE114" s="11" t="n"/>
      <c r="AF114" s="10" t="n"/>
      <c r="AG114" s="10" t="n"/>
      <c r="AH114" s="10" t="n"/>
      <c r="AI114" s="10" t="n"/>
      <c r="AJ114" s="11" t="n"/>
      <c r="AK114" s="10" t="n"/>
      <c r="AL114" s="10" t="n"/>
      <c r="AM114" s="10" t="n"/>
      <c r="AN114" s="10" t="n"/>
      <c r="AO114" s="11" t="n"/>
    </row>
    <row r="115">
      <c r="A115" t="n">
        <v>1</v>
      </c>
      <c r="C115" t="inlineStr">
        <is>
          <t>배당금수취(CF)</t>
        </is>
      </c>
      <c r="F115" s="9" t="n"/>
      <c r="J115" s="18" t="n">
        <v>0</v>
      </c>
      <c r="K115" s="9" t="n"/>
      <c r="O115" s="18" t="n">
        <v>2.25</v>
      </c>
      <c r="P115" s="9" t="n"/>
      <c r="T115" s="18" t="n">
        <v>0</v>
      </c>
      <c r="U115" s="9" t="n"/>
      <c r="X115" s="18" t="n">
        <v>0</v>
      </c>
      <c r="Y115" s="18" t="n">
        <v>0</v>
      </c>
      <c r="Z115" s="9" t="n"/>
      <c r="AB115" s="5" t="n"/>
      <c r="AC115" s="10" t="n"/>
      <c r="AD115" s="10" t="n"/>
      <c r="AE115" s="11" t="n"/>
      <c r="AF115" s="10" t="n"/>
      <c r="AG115" s="10" t="n"/>
      <c r="AH115" s="10" t="n"/>
      <c r="AI115" s="10" t="n"/>
      <c r="AJ115" s="11" t="n"/>
      <c r="AK115" s="10" t="n"/>
      <c r="AL115" s="10" t="n"/>
      <c r="AM115" s="10" t="n"/>
      <c r="AN115" s="10" t="n"/>
      <c r="AO115" s="11" t="n"/>
    </row>
    <row r="116">
      <c r="A116" t="n">
        <v>1</v>
      </c>
      <c r="C116" t="inlineStr">
        <is>
          <t>자기주식의취득</t>
        </is>
      </c>
      <c r="F116" s="9" t="n"/>
      <c r="J116" s="18" t="n">
        <v>0</v>
      </c>
      <c r="K116" s="9" t="n"/>
      <c r="P116" s="9" t="n"/>
      <c r="U116" s="9" t="n"/>
      <c r="Z116" s="9" t="n"/>
      <c r="AB116" s="5" t="n"/>
      <c r="AC116" s="10" t="n"/>
      <c r="AD116" s="10" t="n"/>
      <c r="AE116" s="11" t="n"/>
      <c r="AF116" s="10" t="n"/>
      <c r="AG116" s="10" t="n"/>
      <c r="AH116" s="10" t="n"/>
      <c r="AI116" s="10" t="n"/>
      <c r="AJ116" s="11" t="n"/>
      <c r="AK116" s="10" t="n"/>
      <c r="AL116" s="10" t="n"/>
      <c r="AM116" s="10" t="n"/>
      <c r="AN116" s="10" t="n"/>
      <c r="AO116" s="11" t="n"/>
    </row>
    <row r="117">
      <c r="A117" t="n">
        <v>1</v>
      </c>
      <c r="C117" t="inlineStr">
        <is>
          <t>사채의증가</t>
        </is>
      </c>
      <c r="F117" s="9" t="n"/>
      <c r="K117" s="9" t="n"/>
      <c r="N117" s="18" t="n">
        <v>0</v>
      </c>
      <c r="O117" s="18" t="n">
        <v>0</v>
      </c>
      <c r="P117" s="9" t="n"/>
      <c r="U117" s="9" t="n"/>
      <c r="Z117" s="9" t="n"/>
      <c r="AB117" s="5" t="n"/>
      <c r="AC117" s="10" t="n"/>
      <c r="AD117" s="10" t="n"/>
      <c r="AE117" s="11" t="n"/>
      <c r="AF117" s="10" t="n"/>
      <c r="AG117" s="10" t="n"/>
      <c r="AH117" s="10" t="n"/>
      <c r="AI117" s="10" t="n"/>
      <c r="AJ117" s="11" t="n"/>
      <c r="AK117" s="10" t="n"/>
      <c r="AL117" s="10" t="n"/>
      <c r="AM117" s="10" t="n"/>
      <c r="AN117" s="10" t="n"/>
      <c r="AO117" s="11" t="n"/>
    </row>
    <row r="118">
      <c r="A118" t="n">
        <v>1</v>
      </c>
      <c r="C118" t="inlineStr">
        <is>
          <t>이자수취(CF)</t>
        </is>
      </c>
      <c r="F118" s="9" t="n"/>
      <c r="K118" s="9" t="n"/>
      <c r="O118" s="18" t="n">
        <v>563.78</v>
      </c>
      <c r="P118" s="9" t="n"/>
      <c r="Q118" s="18" t="n">
        <v>907.79</v>
      </c>
      <c r="R118" s="18" t="n">
        <v>991.61</v>
      </c>
      <c r="S118" s="18" t="n">
        <v>1237.84</v>
      </c>
      <c r="T118" s="18" t="n">
        <v>860.65</v>
      </c>
      <c r="U118" s="37" t="n">
        <v>3997.89</v>
      </c>
      <c r="V118" s="18" t="n">
        <v>1067.81</v>
      </c>
      <c r="W118" s="18" t="n">
        <v>2191.27</v>
      </c>
      <c r="X118" s="18" t="n">
        <v>3414.54</v>
      </c>
      <c r="Y118" s="18" t="n">
        <v>3346.48</v>
      </c>
      <c r="Z118" s="37" t="n">
        <v>10020.1</v>
      </c>
      <c r="AA118" s="18" t="n">
        <v>3251.68</v>
      </c>
      <c r="AB118" s="5" t="n"/>
      <c r="AC118" s="10" t="n"/>
      <c r="AD118" s="10" t="n"/>
      <c r="AE118" s="11" t="n"/>
      <c r="AF118" s="10" t="n"/>
      <c r="AG118" s="10" t="n"/>
      <c r="AH118" s="10" t="n"/>
      <c r="AI118" s="10" t="n"/>
      <c r="AJ118" s="11" t="n"/>
      <c r="AK118" s="10" t="n"/>
      <c r="AL118" s="10" t="n"/>
      <c r="AM118" s="10" t="n"/>
      <c r="AN118" s="10" t="n"/>
      <c r="AO118" s="11" t="n"/>
    </row>
    <row r="119">
      <c r="A119" t="n">
        <v>1</v>
      </c>
      <c r="C119" t="inlineStr">
        <is>
          <t>이자지급(CF)</t>
        </is>
      </c>
      <c r="F119" s="9" t="n"/>
      <c r="K119" s="9" t="n"/>
      <c r="O119" s="18" t="n">
        <v>-3143.38</v>
      </c>
      <c r="P119" s="9" t="n"/>
      <c r="Q119" s="18" t="n">
        <v>-2978.78</v>
      </c>
      <c r="R119" s="18" t="n">
        <v>-1961.83</v>
      </c>
      <c r="S119" s="18" t="n">
        <v>-1193.58</v>
      </c>
      <c r="T119" s="18" t="n">
        <v>-976.73</v>
      </c>
      <c r="U119" s="37" t="n">
        <v>-7110.92</v>
      </c>
      <c r="V119" s="18" t="n">
        <v>-698.3099999999999</v>
      </c>
      <c r="W119" s="18" t="n">
        <v>-662.1799999999999</v>
      </c>
      <c r="X119" s="18" t="n">
        <v>-563.53</v>
      </c>
      <c r="Y119" s="18" t="n">
        <v>-627.0599999999999</v>
      </c>
      <c r="Z119" s="37" t="n">
        <v>-2551.08</v>
      </c>
      <c r="AA119" s="18" t="n">
        <v>-379.45</v>
      </c>
      <c r="AB119" s="5" t="n"/>
      <c r="AC119" s="10" t="n"/>
      <c r="AD119" s="10" t="n"/>
      <c r="AE119" s="11" t="n"/>
      <c r="AF119" s="10" t="n"/>
      <c r="AG119" s="10" t="n"/>
      <c r="AH119" s="10" t="n"/>
      <c r="AI119" s="10" t="n"/>
      <c r="AJ119" s="11" t="n"/>
      <c r="AK119" s="10" t="n"/>
      <c r="AL119" s="10" t="n"/>
      <c r="AM119" s="10" t="n"/>
      <c r="AN119" s="10" t="n"/>
      <c r="AO119" s="11" t="n"/>
    </row>
    <row r="120">
      <c r="A120" t="n">
        <v>1</v>
      </c>
      <c r="C120" t="inlineStr">
        <is>
          <t>장기차입금의감소</t>
        </is>
      </c>
      <c r="F120" s="9" t="n"/>
      <c r="K120" s="9" t="n"/>
      <c r="P120" s="9" t="n"/>
      <c r="S120" s="18" t="n">
        <v>0</v>
      </c>
      <c r="T120" s="18" t="n">
        <v>10000</v>
      </c>
      <c r="U120" s="9" t="n"/>
      <c r="X120" s="18" t="n">
        <v>0</v>
      </c>
      <c r="Z120" s="9" t="n"/>
      <c r="AB120" s="5" t="n"/>
      <c r="AC120" s="10" t="n"/>
      <c r="AD120" s="10" t="n"/>
      <c r="AE120" s="11" t="n"/>
      <c r="AF120" s="10" t="n"/>
      <c r="AG120" s="10" t="n"/>
      <c r="AH120" s="10" t="n"/>
      <c r="AI120" s="10" t="n"/>
      <c r="AJ120" s="11" t="n"/>
      <c r="AK120" s="10" t="n"/>
      <c r="AL120" s="10" t="n"/>
      <c r="AM120" s="10" t="n"/>
      <c r="AN120" s="10" t="n"/>
      <c r="AO12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7">
        <f>SUM(L5:O5)</f>
        <v/>
      </c>
      <c r="Q5" s="18">
        <f>IFERROR(VLOOKUP($D5,BS별도,MATCH(Q$1,BS별도H,0),0)/100,"")</f>
        <v/>
      </c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7">
        <f>SUM(Q5:T5)</f>
        <v/>
      </c>
      <c r="V5" s="18">
        <f>IFERROR(VLOOKUP($D5,BS별도,MATCH(V$1,BS별도H,0),0)/100,"")</f>
        <v/>
      </c>
      <c r="W5" s="18">
        <f>IFERROR(VLOOKUP($D5,BS별도,MATCH(W$1,BS별도H,0),0)/100,"")</f>
        <v/>
      </c>
      <c r="X5" s="18">
        <f>IFERROR(VLOOKUP($D5,BS별도,MATCH(X$1,BS별도H,0),0)/100,"")</f>
        <v/>
      </c>
      <c r="Y5" s="18">
        <f>IFERROR(VLOOKUP($D5,BS별도,MATCH(Y$1,BS별도H,0),0)/100,"")</f>
        <v/>
      </c>
      <c r="Z5" s="37">
        <f>SUM(V5:Y5)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7">
        <f>SUM(L6:O6)</f>
        <v/>
      </c>
      <c r="Q6" s="18">
        <f>IFERROR(VLOOKUP($D6,BS별도,MATCH(Q$1,BS별도H,0),0)/100,"")</f>
        <v/>
      </c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7">
        <f>SUM(Q6:T6)</f>
        <v/>
      </c>
      <c r="V6" s="18">
        <f>IFERROR(VLOOKUP($D6,BS별도,MATCH(V$1,BS별도H,0),0)/100,"")</f>
        <v/>
      </c>
      <c r="W6" s="18">
        <f>IFERROR(VLOOKUP($D6,BS별도,MATCH(W$1,BS별도H,0),0)/100,"")</f>
        <v/>
      </c>
      <c r="X6" s="18">
        <f>IFERROR(VLOOKUP($D6,BS별도,MATCH(X$1,BS별도H,0),0)/100,"")</f>
        <v/>
      </c>
      <c r="Y6" s="18">
        <f>IFERROR(VLOOKUP($D6,BS별도,MATCH(Y$1,BS별도H,0),0)/100,"")</f>
        <v/>
      </c>
      <c r="Z6" s="37">
        <f>SUM(V6:Y6)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7">
        <f>SUM(L7:O7)</f>
        <v/>
      </c>
      <c r="Q7" s="18">
        <f>IFERROR(VLOOKUP($D7,BS별도,MATCH(Q$1,BS별도H,0),0)/100,"")</f>
        <v/>
      </c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7">
        <f>SUM(Q7:T7)</f>
        <v/>
      </c>
      <c r="V7" s="18">
        <f>IFERROR(VLOOKUP($D7,BS별도,MATCH(V$1,BS별도H,0),0)/100,"")</f>
        <v/>
      </c>
      <c r="W7" s="18">
        <f>IFERROR(VLOOKUP($D7,BS별도,MATCH(W$1,BS별도H,0),0)/100,"")</f>
        <v/>
      </c>
      <c r="X7" s="18">
        <f>IFERROR(VLOOKUP($D7,BS별도,MATCH(X$1,BS별도H,0),0)/100,"")</f>
        <v/>
      </c>
      <c r="Y7" s="18">
        <f>IFERROR(VLOOKUP($D7,BS별도,MATCH(Y$1,BS별도H,0),0)/100,"")</f>
        <v/>
      </c>
      <c r="Z7" s="37">
        <f>SUM(V7:Y7)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SUM(G8:J8)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7">
        <f>SUM(L8:O8)</f>
        <v/>
      </c>
      <c r="Q8" s="18">
        <f>IFERROR(VLOOKUP($D8,BS별도,MATCH(Q$1,BS별도H,0),0)/100,"")</f>
        <v/>
      </c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7">
        <f>SUM(Q8:T8)</f>
        <v/>
      </c>
      <c r="V8" s="18">
        <f>IFERROR(VLOOKUP($D8,BS별도,MATCH(V$1,BS별도H,0),0)/100,"")</f>
        <v/>
      </c>
      <c r="W8" s="18">
        <f>IFERROR(VLOOKUP($D8,BS별도,MATCH(W$1,BS별도H,0),0)/100,"")</f>
        <v/>
      </c>
      <c r="X8" s="18">
        <f>IFERROR(VLOOKUP($D8,BS별도,MATCH(X$1,BS별도H,0),0)/100,"")</f>
        <v/>
      </c>
      <c r="Y8" s="18">
        <f>IFERROR(VLOOKUP($D8,BS별도,MATCH(Y$1,BS별도H,0),0)/100,"")</f>
        <v/>
      </c>
      <c r="Z8" s="37">
        <f>SUM(V8:Y8)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7">
        <f>SUM(L9:O9)</f>
        <v/>
      </c>
      <c r="Q9" s="18">
        <f>IFERROR(VLOOKUP($D9,BS별도,MATCH(Q$1,BS별도H,0),0)/100,"")</f>
        <v/>
      </c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7">
        <f>SUM(Q9:T9)</f>
        <v/>
      </c>
      <c r="V9" s="18">
        <f>IFERROR(VLOOKUP($D9,BS별도,MATCH(V$1,BS별도H,0),0)/100,"")</f>
        <v/>
      </c>
      <c r="W9" s="18">
        <f>IFERROR(VLOOKUP($D9,BS별도,MATCH(W$1,BS별도H,0),0)/100,"")</f>
        <v/>
      </c>
      <c r="X9" s="18">
        <f>IFERROR(VLOOKUP($D9,BS별도,MATCH(X$1,BS별도H,0),0)/100,"")</f>
        <v/>
      </c>
      <c r="Y9" s="18">
        <f>IFERROR(VLOOKUP($D9,BS별도,MATCH(Y$1,BS별도H,0),0)/100,"")</f>
        <v/>
      </c>
      <c r="Z9" s="37">
        <f>SUM(V9:Y9)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7">
        <f>SUM(L11:O11)</f>
        <v/>
      </c>
      <c r="Q11" s="18">
        <f>IFERROR(VLOOKUP($D11,BS별도,MATCH(Q$1,BS별도H,0),0)/100,"")</f>
        <v/>
      </c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7">
        <f>SUM(Q11:T11)</f>
        <v/>
      </c>
      <c r="V11" s="18">
        <f>IFERROR(VLOOKUP($D11,BS별도,MATCH(V$1,BS별도H,0),0)/100,"")</f>
        <v/>
      </c>
      <c r="W11" s="18">
        <f>IFERROR(VLOOKUP($D11,BS별도,MATCH(W$1,BS별도H,0),0)/100,"")</f>
        <v/>
      </c>
      <c r="X11" s="18">
        <f>IFERROR(VLOOKUP($D11,BS별도,MATCH(X$1,BS별도H,0),0)/100,"")</f>
        <v/>
      </c>
      <c r="Y11" s="18">
        <f>IFERROR(VLOOKUP($D11,BS별도,MATCH(Y$1,BS별도H,0),0)/100,"")</f>
        <v/>
      </c>
      <c r="Z11" s="37">
        <f>SUM(V11:Y11)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>
        <f>IFERROR(VLOOKUP($D12,BS별도,MATCH(V$1,BS별도H,0),0)/100,"")</f>
        <v/>
      </c>
      <c r="W12" s="18">
        <f>IFERROR(VLOOKUP($D12,BS별도,MATCH(W$1,BS별도H,0),0)/100,"")</f>
        <v/>
      </c>
      <c r="X12" s="18">
        <f>IFERROR(VLOOKUP($D12,BS별도,MATCH(X$1,BS별도H,0),0)/100,"")</f>
        <v/>
      </c>
      <c r="Y12" s="18" t="n"/>
      <c r="Z12" s="37">
        <f>SUM(V12:Y12)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IFERROR((AB28*변수!$D$54-AB26*변수!$D$55)/4,"")</f>
        <v/>
      </c>
      <c r="AD12" s="20">
        <f>IFERROR((AC28*변수!$D$54-AC26*변수!$D$55)/4,"")</f>
        <v/>
      </c>
      <c r="AE12" s="38">
        <f>SUM(AA12:AD12)</f>
        <v/>
      </c>
      <c r="AF12" s="20">
        <f>IFERROR((AD28*변수!$D$54-AD26*변수!$D$55)/4,"")</f>
        <v/>
      </c>
      <c r="AG12" s="20">
        <f>IFERROR((AF28*변수!$D$54-AF26*변수!$D$55)/4,"")</f>
        <v/>
      </c>
      <c r="AH12" s="20">
        <f>IFERROR((AG28*변수!$D$54-AG26*변수!$D$55)/4,"")</f>
        <v/>
      </c>
      <c r="AI12" s="20">
        <f>IFERROR((AH28*변수!$D$54-AH26*변수!$D$55)/4,"")</f>
        <v/>
      </c>
      <c r="AJ12" s="38">
        <f>SUM(AF12:AI12)</f>
        <v/>
      </c>
      <c r="AK12" s="20">
        <f>IFERROR((AI28*변수!$D$54-AI26*변수!$D$55)/4,"")</f>
        <v/>
      </c>
      <c r="AL12" s="20">
        <f>IFERROR((AK28*변수!$D$54-AK26*변수!$D$55)/4,"")</f>
        <v/>
      </c>
      <c r="AM12" s="20">
        <f>IFERROR((AL28*변수!$D$54-AL26*변수!$D$55)/4,"")</f>
        <v/>
      </c>
      <c r="AN12" s="20">
        <f>IFERROR((AM28*변수!$D$54-AM26*변수!$D$55)/4,"")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 t="n"/>
      <c r="O13" s="18" t="n"/>
      <c r="P13" s="37">
        <f>SUM(L13:O13)</f>
        <v/>
      </c>
      <c r="Q13" s="18" t="n"/>
      <c r="R13" s="18" t="n"/>
      <c r="S13" s="18" t="n"/>
      <c r="T13" s="18" t="n"/>
      <c r="U13" s="37">
        <f>SUM(Q13:T13)</f>
        <v/>
      </c>
      <c r="V13" s="18">
        <f>IFERROR((VLOOKUP("외환차익",BS별도,MATCH(V$1,BS별도H,0),0)-VLOOKUP("외환차손",BS별도,MATCH(V$1,BS별도H,0),0)+VLOOKUP("외화환산이익",BS별도,MATCH(V$1,BS별도H,0),0)-VLOOKUP("외화환산손실",BS별도,MATCH(V$1,BS별도H,0),0))/100,"")</f>
        <v/>
      </c>
      <c r="W13" s="18">
        <f>IFERROR((VLOOKUP("외환차익",BS별도,MATCH(W$1,BS별도H,0),0)-VLOOKUP("외환차손",BS별도,MATCH(W$1,BS별도H,0),0)+VLOOKUP("외화환산이익",BS별도,MATCH(W$1,BS별도H,0),0)-VLOOKUP("외화환산손실",BS별도,MATCH(W$1,BS별도H,0),0))/100,"")</f>
        <v/>
      </c>
      <c r="X13" s="18">
        <f>IFERROR((VLOOKUP("외환차익",BS별도,MATCH(X$1,BS별도H,0),0)-VLOOKUP("외환차손",BS별도,MATCH(X$1,BS별도H,0),0)+VLOOKUP("외화환산이익",BS별도,MATCH(X$1,BS별도H,0),0)-VLOOKUP("외화환산손실",BS별도,MATCH(X$1,BS별도H,0),0))/100,"")</f>
        <v/>
      </c>
      <c r="Y13" s="18" t="n"/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>
        <f>IFERROR((VLOOKUP("파생상품이익",BS별도,MATCH(V$1,BS별도H,0),0)-VLOOKUP("파생상품손실",BS별도,MATCH(V$1,BS별도H,0),0))/100,"")</f>
        <v/>
      </c>
      <c r="W14" s="18">
        <f>IFERROR((VLOOKUP("파생상품이익",BS별도,MATCH(W$1,BS별도H,0),0)-VLOOKUP("파생상품손실",BS별도,MATCH(W$1,BS별도H,0),0))/100,"")</f>
        <v/>
      </c>
      <c r="X14" s="18">
        <f>IFERROR((VLOOKUP("파생상품이익",BS별도,MATCH(X$1,BS별도H,0),0)-VLOOKUP("파생상품손실",BS별도,MATCH(X$1,BS별도H,0),0))/100,"")</f>
        <v/>
      </c>
      <c r="Y14" s="18" t="n"/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>
        <f>IFERROR(G11-G12-G13-G14,"")</f>
        <v/>
      </c>
      <c r="H15" s="18">
        <f>IFERROR(H11-H12-H13-H14,"")</f>
        <v/>
      </c>
      <c r="I15" s="18">
        <f>IFERROR(I11-I12-I13-I14,"")</f>
        <v/>
      </c>
      <c r="J15" s="18">
        <f>IFERROR(J11-J12-J13-J14,"")</f>
        <v/>
      </c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 t="n"/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IFERROR(VLOOKUP($D16,BS별도,MATCH(N$1,BS별도H,0),0)/100,"")</f>
        <v/>
      </c>
      <c r="O16" s="18">
        <f>IFERROR(VLOOKUP($D16,BS별도,MATCH(O$1,BS별도H,0),0)/100,"")</f>
        <v/>
      </c>
      <c r="P16" s="37">
        <f>SUM(L16:O16)</f>
        <v/>
      </c>
      <c r="Q16" s="18">
        <f>IFERROR(VLOOKUP($D16,BS별도,MATCH(Q$1,BS별도H,0),0)/100,"")</f>
        <v/>
      </c>
      <c r="R16" s="18">
        <f>IFERROR(VLOOKUP($D16,BS별도,MATCH(R$1,BS별도H,0),0)/100,"")</f>
        <v/>
      </c>
      <c r="S16" s="18">
        <f>IFERROR(VLOOKUP($D16,BS별도,MATCH(S$1,BS별도H,0),0)/100,"")</f>
        <v/>
      </c>
      <c r="T16" s="18">
        <f>IFERROR(VLOOKUP($D16,BS별도,MATCH(T$1,BS별도H,0),0)/100,"")</f>
        <v/>
      </c>
      <c r="U16" s="37">
        <f>SUM(Q16:T16)</f>
        <v/>
      </c>
      <c r="V16" s="18">
        <f>IFERROR(VLOOKUP($D16,BS별도,MATCH(V$1,BS별도H,0),0)/100,"")</f>
        <v/>
      </c>
      <c r="W16" s="18">
        <f>IFERROR(VLOOKUP($D16,BS별도,MATCH(W$1,BS별도H,0),0)/100,"")</f>
        <v/>
      </c>
      <c r="X16" s="18">
        <f>IFERROR(VLOOKUP($D16,BS별도,MATCH(X$1,BS별도H,0),0)/100,"")</f>
        <v/>
      </c>
      <c r="Y16" s="18">
        <f>IFERROR(VLOOKUP($D16,BS별도,MATCH(Y$1,BS별도H,0),0)/100,"")</f>
        <v/>
      </c>
      <c r="Z16" s="37">
        <f>SUM(V16:Y16)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 t="n"/>
      <c r="J17" s="18">
        <f>IFERROR(VLOOKUP($D17,BS연결,MATCH(J$1,BS연결H,0),0)/100,"")</f>
        <v/>
      </c>
      <c r="K17" s="37">
        <f>SUM(G17:J17)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IFERROR(VLOOKUP($D17,BS별도,MATCH(N$1,BS별도H,0),0)/100,"")</f>
        <v/>
      </c>
      <c r="O17" s="18">
        <f>IFERROR(VLOOKUP($D17,BS별도,MATCH(O$1,BS별도H,0),0)/100,"")</f>
        <v/>
      </c>
      <c r="P17" s="37">
        <f>SUM(L17:O17)</f>
        <v/>
      </c>
      <c r="Q17" s="18" t="n"/>
      <c r="R17" s="18">
        <f>IFERROR(VLOOKUP($D17,BS별도,MATCH(R$1,BS별도H,0),0)/100,"")</f>
        <v/>
      </c>
      <c r="S17" s="18">
        <f>IFERROR(VLOOKUP($D17,BS별도,MATCH(S$1,BS별도H,0),0)/100,"")</f>
        <v/>
      </c>
      <c r="T17" s="18">
        <f>IFERROR(VLOOKUP($D17,BS별도,MATCH(T$1,BS별도H,0),0)/100,"")</f>
        <v/>
      </c>
      <c r="U17" s="37">
        <f>SUM(Q17:T17)</f>
        <v/>
      </c>
      <c r="V17" s="18">
        <f>IFERROR(VLOOKUP($D17,BS별도,MATCH(V$1,BS별도H,0),0)/100,"")</f>
        <v/>
      </c>
      <c r="W17" s="18">
        <f>IFERROR(VLOOKUP($D17,BS별도,MATCH(W$1,BS별도H,0),0)/100,"")</f>
        <v/>
      </c>
      <c r="X17" s="18">
        <f>IFERROR(VLOOKUP($D17,BS별도,MATCH(X$1,BS별도H,0),0)/100,"")</f>
        <v/>
      </c>
      <c r="Y17" s="18">
        <f>IFERROR(VLOOKUP($D17,BS별도,MATCH(Y$1,BS별도H,0),0)/100,"")</f>
        <v/>
      </c>
      <c r="Z17" s="37">
        <f>SUM(V17:Y17)</f>
        <v/>
      </c>
      <c r="AA17" s="18" t="n"/>
      <c r="AB17" s="19" t="n"/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7">
        <f>SUM(L18:O18)</f>
        <v/>
      </c>
      <c r="Q18" s="18">
        <f>IFERROR(VLOOKUP($D18,BS별도,MATCH(Q$1,BS별도H,0),0)/100,"")</f>
        <v/>
      </c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7">
        <f>SUM(Q18:T18)</f>
        <v/>
      </c>
      <c r="V18" s="18">
        <f>IFERROR(VLOOKUP($D18,BS별도,MATCH(V$1,BS별도H,0),0)/100,"")</f>
        <v/>
      </c>
      <c r="W18" s="18">
        <f>IFERROR(VLOOKUP($D18,BS별도,MATCH(W$1,BS별도H,0),0)/100,"")</f>
        <v/>
      </c>
      <c r="X18" s="18">
        <f>IFERROR(VLOOKUP($D18,BS별도,MATCH(X$1,BS별도H,0),0)/100,"")</f>
        <v/>
      </c>
      <c r="Y18" s="18">
        <f>IFERROR(VLOOKUP($D18,BS별도,MATCH(Y$1,BS별도H,0),0)/100,"")</f>
        <v/>
      </c>
      <c r="Z18" s="37">
        <f>SUM(V18:Y18)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7">
        <f>SUM(L19:O19)</f>
        <v/>
      </c>
      <c r="Q19" s="18">
        <f>IFERROR(VLOOKUP($D19,BS별도,MATCH(Q$1,BS별도H,0),0)/100,"")</f>
        <v/>
      </c>
      <c r="R19" s="18">
        <f>IFERROR(VLOOKUP($D19,BS별도,MATCH(R$1,BS별도H,0),0)/100,"")</f>
        <v/>
      </c>
      <c r="S19" s="18">
        <f>IFERROR(VLOOKUP($D19,BS별도,MATCH(S$1,BS별도H,0),0)/100,"")</f>
        <v/>
      </c>
      <c r="T19" s="18">
        <f>IFERROR(VLOOKUP($D19,BS별도,MATCH(T$1,BS별도H,0),0)/100,"")</f>
        <v/>
      </c>
      <c r="U19" s="37">
        <f>SUM(Q19:T19)</f>
        <v/>
      </c>
      <c r="V19" s="18">
        <f>IFERROR(VLOOKUP($D19,BS별도,MATCH(V$1,BS별도H,0),0)/100,"")</f>
        <v/>
      </c>
      <c r="W19" s="18">
        <f>IFERROR(VLOOKUP($D19,BS별도,MATCH(W$1,BS별도H,0),0)/100,"")</f>
        <v/>
      </c>
      <c r="X19" s="18">
        <f>IFERROR(VLOOKUP($D19,BS별도,MATCH(X$1,BS별도H,0),0)/100,"")</f>
        <v/>
      </c>
      <c r="Y19" s="18">
        <f>IFERROR(VLOOKUP($D19,BS별도,MATCH(Y$1,BS별도H,0),0)/100,"")</f>
        <v/>
      </c>
      <c r="Z19" s="37">
        <f>SUM(V19:Y19)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IFERROR(MAX(AC18,0)*변수!AC29,"")</f>
        <v/>
      </c>
      <c r="AD19" s="20">
        <f>IFERROR(MAX(AD18,0)*변수!AD29,"")</f>
        <v/>
      </c>
      <c r="AE19" s="38">
        <f>SUM(AA19:AD19)</f>
        <v/>
      </c>
      <c r="AF19" s="20">
        <f>IFERROR(MAX(AF18,0)*변수!AF29,"")</f>
        <v/>
      </c>
      <c r="AG19" s="20">
        <f>IFERROR(MAX(AG18,0)*변수!AG29,"")</f>
        <v/>
      </c>
      <c r="AH19" s="20">
        <f>IFERROR(MAX(AH18,0)*변수!AH29,"")</f>
        <v/>
      </c>
      <c r="AI19" s="20">
        <f>IFERROR(MAX(AI18,0)*변수!AI29,"")</f>
        <v/>
      </c>
      <c r="AJ19" s="38">
        <f>SUM(AF19:AI19)</f>
        <v/>
      </c>
      <c r="AK19" s="20">
        <f>IFERROR(MAX(AK18,0)*변수!AK29,"")</f>
        <v/>
      </c>
      <c r="AL19" s="20">
        <f>IFERROR(MAX(AL18,0)*변수!AL29,"")</f>
        <v/>
      </c>
      <c r="AM19" s="20">
        <f>IFERROR(MAX(AM18,0)*변수!AM29,"")</f>
        <v/>
      </c>
      <c r="AN19" s="20">
        <f>IFERROR(MAX(AN18,0)*변수!AN29,"")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IFERROR(VLOOKUP($D20,BS별도,MATCH(N$1,BS별도H,0),0)/100,"")</f>
        <v/>
      </c>
      <c r="O20" s="18">
        <f>IFERROR(VLOOKUP($D20,BS별도,MATCH(O$1,BS별도H,0),0)/100,"")</f>
        <v/>
      </c>
      <c r="P20" s="37">
        <f>SUM(L20:O20)</f>
        <v/>
      </c>
      <c r="Q20" s="18">
        <f>IFERROR(VLOOKUP($D20,BS별도,MATCH(Q$1,BS별도H,0),0)/100,"")</f>
        <v/>
      </c>
      <c r="R20" s="18">
        <f>IFERROR(VLOOKUP($D20,BS별도,MATCH(R$1,BS별도H,0),0)/100,"")</f>
        <v/>
      </c>
      <c r="S20" s="18">
        <f>IFERROR(VLOOKUP($D20,BS별도,MATCH(S$1,BS별도H,0),0)/100,"")</f>
        <v/>
      </c>
      <c r="T20" s="18">
        <f>IFERROR(VLOOKUP($D20,BS별도,MATCH(T$1,BS별도H,0),0)/100,"")</f>
        <v/>
      </c>
      <c r="U20" s="37">
        <f>SUM(Q20:T20)</f>
        <v/>
      </c>
      <c r="V20" s="18">
        <f>IFERROR(VLOOKUP($D20,BS별도,MATCH(V$1,BS별도H,0),0)/100,"")</f>
        <v/>
      </c>
      <c r="W20" s="18">
        <f>IFERROR(VLOOKUP($D20,BS별도,MATCH(W$1,BS별도H,0),0)/100,"")</f>
        <v/>
      </c>
      <c r="X20" s="18">
        <f>IFERROR(VLOOKUP($D20,BS별도,MATCH(X$1,BS별도H,0),0)/100,"")</f>
        <v/>
      </c>
      <c r="Y20" s="18">
        <f>IFERROR(VLOOKUP($D20,BS별도,MATCH(Y$1,BS별도H,0),0)/100,"")</f>
        <v/>
      </c>
      <c r="Z20" s="37">
        <f>SUM(V20:Y20)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7">
        <f>SUM(L21:O21)</f>
        <v/>
      </c>
      <c r="Q21" s="18">
        <f>IFERROR(VLOOKUP($D21,BS별도,MATCH(Q$1,BS별도H,0),0)/100,"")</f>
        <v/>
      </c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7">
        <f>SUM(Q21:T21)</f>
        <v/>
      </c>
      <c r="V21" s="18">
        <f>IFERROR(VLOOKUP($D21,BS별도,MATCH(V$1,BS별도H,0),0)/100,"")</f>
        <v/>
      </c>
      <c r="W21" s="18">
        <f>IFERROR(VLOOKUP($D21,BS별도,MATCH(W$1,BS별도H,0),0)/100,"")</f>
        <v/>
      </c>
      <c r="X21" s="18">
        <f>IFERROR(VLOOKUP($D21,BS별도,MATCH(X$1,BS별도H,0),0)/100,"")</f>
        <v/>
      </c>
      <c r="Y21" s="18">
        <f>IFERROR(VLOOKUP($D21,BS별도,MATCH(Y$1,BS별도H,0),0)/100,"")</f>
        <v/>
      </c>
      <c r="Z21" s="37">
        <f>SUM(V21:Y21)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IFERROR(VLOOKUP($D22,BS별도,MATCH(N$1,BS별도H,0),0)/100,"")</f>
        <v/>
      </c>
      <c r="O22" s="18">
        <f>IFERROR(VLOOKUP($D22,BS별도,MATCH(O$1,BS별도H,0),0)/100,"")</f>
        <v/>
      </c>
      <c r="P22" s="37">
        <f>O22</f>
        <v/>
      </c>
      <c r="Q22" s="18">
        <f>IFERROR(VLOOKUP($D22,BS별도,MATCH(Q$1,BS별도H,0),0)/100,"")</f>
        <v/>
      </c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7">
        <f>T22</f>
        <v/>
      </c>
      <c r="V22" s="18">
        <f>IFERROR(VLOOKUP($D22,BS별도,MATCH(V$1,BS별도H,0),0)/100,"")</f>
        <v/>
      </c>
      <c r="W22" s="18">
        <f>IFERROR(VLOOKUP($D22,BS별도,MATCH(W$1,BS별도H,0),0)/100,"")</f>
        <v/>
      </c>
      <c r="X22" s="18">
        <f>IFERROR(VLOOKUP($D22,BS별도,MATCH(X$1,BS별도H,0),0)/100,"")</f>
        <v/>
      </c>
      <c r="Y22" s="18">
        <f>IFERROR(VLOOKUP($D22,BS별도,MATCH(Y$1,BS별도H,0),0)/100,"")</f>
        <v/>
      </c>
      <c r="Z22" s="37">
        <f>Y22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IFERROR(VLOOKUP($D23,BS별도,MATCH(N$1,BS별도H,0),0)/100,"")</f>
        <v/>
      </c>
      <c r="O23" s="18">
        <f>IFERROR(VLOOKUP($D23,BS별도,MATCH(O$1,BS별도H,0),0)/100,"")</f>
        <v/>
      </c>
      <c r="P23" s="37">
        <f>O23</f>
        <v/>
      </c>
      <c r="Q23" s="18">
        <f>IFERROR(VLOOKUP($D23,BS별도,MATCH(Q$1,BS별도H,0),0)/100,"")</f>
        <v/>
      </c>
      <c r="R23" s="18">
        <f>IFERROR(VLOOKUP($D23,BS별도,MATCH(R$1,BS별도H,0),0)/100,"")</f>
        <v/>
      </c>
      <c r="S23" s="18">
        <f>IFERROR(VLOOKUP($D23,BS별도,MATCH(S$1,BS별도H,0),0)/100,"")</f>
        <v/>
      </c>
      <c r="T23" s="18">
        <f>IFERROR(VLOOKUP($D23,BS별도,MATCH(T$1,BS별도H,0),0)/100,"")</f>
        <v/>
      </c>
      <c r="U23" s="37">
        <f>T23</f>
        <v/>
      </c>
      <c r="V23" s="18">
        <f>IFERROR(VLOOKUP($D23,BS별도,MATCH(V$1,BS별도H,0),0)/100,"")</f>
        <v/>
      </c>
      <c r="W23" s="18">
        <f>IFERROR(VLOOKUP($D23,BS별도,MATCH(W$1,BS별도H,0),0)/100,"")</f>
        <v/>
      </c>
      <c r="X23" s="18">
        <f>IFERROR(VLOOKUP($D23,BS별도,MATCH(X$1,BS별도H,0),0)/100,"")</f>
        <v/>
      </c>
      <c r="Y23" s="18">
        <f>IFERROR(VLOOKUP($D23,BS별도,MATCH(Y$1,BS별도H,0),0)/100,"")</f>
        <v/>
      </c>
      <c r="Z23" s="37">
        <f>Y23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IFERROR(VLOOKUP($D24,BS별도,MATCH(N$1,BS별도H,0),0)/100,"")</f>
        <v/>
      </c>
      <c r="O24" s="18">
        <f>IFERROR(VLOOKUP($D24,BS별도,MATCH(O$1,BS별도H,0),0)/100,"")</f>
        <v/>
      </c>
      <c r="P24" s="37">
        <f>O24</f>
        <v/>
      </c>
      <c r="Q24" s="18">
        <f>IFERROR(VLOOKUP($D24,BS별도,MATCH(Q$1,BS별도H,0),0)/100,"")</f>
        <v/>
      </c>
      <c r="R24" s="18">
        <f>IFERROR(VLOOKUP($D24,BS별도,MATCH(R$1,BS별도H,0),0)/100,"")</f>
        <v/>
      </c>
      <c r="S24" s="18">
        <f>IFERROR(VLOOKUP($D24,BS별도,MATCH(S$1,BS별도H,0),0)/100,"")</f>
        <v/>
      </c>
      <c r="T24" s="18">
        <f>IFERROR(VLOOKUP($D24,BS별도,MATCH(T$1,BS별도H,0),0)/100,"")</f>
        <v/>
      </c>
      <c r="U24" s="37">
        <f>T24</f>
        <v/>
      </c>
      <c r="V24" s="18">
        <f>IFERROR(VLOOKUP($D24,BS별도,MATCH(V$1,BS별도H,0),0)/100,"")</f>
        <v/>
      </c>
      <c r="W24" s="18">
        <f>IFERROR(VLOOKUP($D24,BS별도,MATCH(W$1,BS별도H,0),0)/100,"")</f>
        <v/>
      </c>
      <c r="X24" s="18">
        <f>IFERROR(VLOOKUP($D24,BS별도,MATCH(X$1,BS별도H,0),0)/100,"")</f>
        <v/>
      </c>
      <c r="Y24" s="18">
        <f>IFERROR(VLOOKUP($D24,BS별도,MATCH(Y$1,BS별도H,0),0)/100,"")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7">
        <f>O25</f>
        <v/>
      </c>
      <c r="Q25" s="18">
        <f>IFERROR(VLOOKUP($D25,BS별도,MATCH(Q$1,BS별도H,0),0)/100,"")</f>
        <v/>
      </c>
      <c r="R25" s="18">
        <f>IFERROR(VLOOKUP($D25,BS별도,MATCH(R$1,BS별도H,0),0)/100,"")</f>
        <v/>
      </c>
      <c r="S25" s="18">
        <f>IFERROR(VLOOKUP($D25,BS별도,MATCH(S$1,BS별도H,0),0)/100,"")</f>
        <v/>
      </c>
      <c r="T25" s="18">
        <f>IFERROR(VLOOKUP($D25,BS별도,MATCH(T$1,BS별도H,0),0)/100,"")</f>
        <v/>
      </c>
      <c r="U25" s="37">
        <f>T25</f>
        <v/>
      </c>
      <c r="V25" s="18">
        <f>IFERROR(VLOOKUP($D25,BS별도,MATCH(V$1,BS별도H,0),0)/100,"")</f>
        <v/>
      </c>
      <c r="W25" s="18">
        <f>IFERROR(VLOOKUP($D25,BS별도,MATCH(W$1,BS별도H,0),0)/100,"")</f>
        <v/>
      </c>
      <c r="X25" s="18">
        <f>IFERROR(VLOOKUP($D25,BS별도,MATCH(X$1,BS별도H,0),0)/100,"")</f>
        <v/>
      </c>
      <c r="Y25" s="18">
        <f>IFERROR(VLOOKUP($D25,BS별도,MATCH(Y$1,BS별도H,0),0)/100,"")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IFERROR(AB25+AC21-변수!AC33,"")</f>
        <v/>
      </c>
      <c r="AD25" s="20">
        <f>IFERROR(AC25+AD21-변수!AD33,"")</f>
        <v/>
      </c>
      <c r="AE25" s="38">
        <f>AD25</f>
        <v/>
      </c>
      <c r="AF25" s="20">
        <f>IFERROR(AD25+AF21-변수!AF33,"")</f>
        <v/>
      </c>
      <c r="AG25" s="20">
        <f>IFERROR(AF25+AG21-변수!AG33,"")</f>
        <v/>
      </c>
      <c r="AH25" s="20">
        <f>IFERROR(AG25+AH21-변수!AH33,"")</f>
        <v/>
      </c>
      <c r="AI25" s="20">
        <f>IFERROR(AH25+AI21-변수!AI33,"")</f>
        <v/>
      </c>
      <c r="AJ25" s="38">
        <f>AI25</f>
        <v/>
      </c>
      <c r="AK25" s="20">
        <f>IFERROR(AI25+AK21-변수!AK33,"")</f>
        <v/>
      </c>
      <c r="AL25" s="20">
        <f>IFERROR(AK25+AL21-변수!AL33,"")</f>
        <v/>
      </c>
      <c r="AM25" s="20">
        <f>IFERROR(AL25+AM21-변수!AM33,"")</f>
        <v/>
      </c>
      <c r="AN25" s="20">
        <f>IFERROR(AM25+AN21-변수!AN33,"")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7">
        <f>O26</f>
        <v/>
      </c>
      <c r="Q26" s="18">
        <f>IFERROR(VLOOKUP($D26,BS별도,MATCH(Q$1,BS별도H,0),0)/100,"")</f>
        <v/>
      </c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7">
        <f>T26</f>
        <v/>
      </c>
      <c r="V26" s="18">
        <f>IFERROR(VLOOKUP($D26,BS별도,MATCH(V$1,BS별도H,0),0)/100,"")</f>
        <v/>
      </c>
      <c r="W26" s="18">
        <f>IFERROR(VLOOKUP($D26,BS별도,MATCH(W$1,BS별도H,0),0)/100,"")</f>
        <v/>
      </c>
      <c r="X26" s="18">
        <f>IFERROR(VLOOKUP($D26,BS별도,MATCH(X$1,BS별도H,0),0)/100,"")</f>
        <v/>
      </c>
      <c r="Y26" s="18">
        <f>IFERROR(VLOOKUP($D26,BS별도,MATCH(Y$1,BS별도H,0),0)/100,"")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7">
        <f>O27</f>
        <v/>
      </c>
      <c r="Q27" s="18">
        <f>IFERROR(VLOOKUP($D27,BS별도,MATCH(Q$1,BS별도H,0),0)/100,"")</f>
        <v/>
      </c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7">
        <f>T27</f>
        <v/>
      </c>
      <c r="V27" s="18">
        <f>IFERROR(VLOOKUP($D27,BS별도,MATCH(V$1,BS별도H,0),0)/100,"")</f>
        <v/>
      </c>
      <c r="W27" s="18">
        <f>IFERROR(VLOOKUP($D27,BS별도,MATCH(W$1,BS별도H,0),0)/100,"")</f>
        <v/>
      </c>
      <c r="X27" s="18">
        <f>IFERROR(VLOOKUP($D27,BS별도,MATCH(X$1,BS별도H,0),0)/100,"")</f>
        <v/>
      </c>
      <c r="Y27" s="18">
        <f>IFERROR(VLOOKUP($D27,BS별도,MATCH(Y$1,BS별도H,0),0)/100,"")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IFERROR(VLOOKUP($D28,BS별도,MATCH(N$1,BS별도H,0),0)/100,"")</f>
        <v/>
      </c>
      <c r="O28" s="18">
        <f>IFERROR(VLOOKUP($D28,BS별도,MATCH(O$1,BS별도H,0),0)/100,"")</f>
        <v/>
      </c>
      <c r="P28" s="37">
        <f>O28</f>
        <v/>
      </c>
      <c r="Q28" s="18">
        <f>IFERROR(VLOOKUP($D28,BS별도,MATCH(Q$1,BS별도H,0),0)/100,"")</f>
        <v/>
      </c>
      <c r="R28" s="18">
        <f>IFERROR(VLOOKUP($D28,BS별도,MATCH(R$1,BS별도H,0),0)/100,"")</f>
        <v/>
      </c>
      <c r="S28" s="18">
        <f>IFERROR(VLOOKUP($D28,BS별도,MATCH(S$1,BS별도H,0),0)/100,"")</f>
        <v/>
      </c>
      <c r="T28" s="18">
        <f>IFERROR(VLOOKUP($D28,BS별도,MATCH(T$1,BS별도H,0),0)/100,"")</f>
        <v/>
      </c>
      <c r="U28" s="37">
        <f>T28</f>
        <v/>
      </c>
      <c r="V28" s="18">
        <f>IFERROR(VLOOKUP($D28,BS별도,MATCH(V$1,BS별도H,0),0)/100,"")</f>
        <v/>
      </c>
      <c r="W28" s="18">
        <f>IFERROR(VLOOKUP($D28,BS별도,MATCH(W$1,BS별도H,0),0)/100,"")</f>
        <v/>
      </c>
      <c r="X28" s="18">
        <f>IFERROR(VLOOKUP($D28,BS별도,MATCH(X$1,BS별도H,0),0)/100,"")</f>
        <v/>
      </c>
      <c r="Y28" s="18">
        <f>IFERROR(VLOOKUP($D28,BS별도,MATCH(Y$1,BS별도H,0),0)/100,"")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IFERROR(VLOOKUP($D29,BS별도,MATCH(N$1,BS별도H,0),0)/100,"")</f>
        <v/>
      </c>
      <c r="O29" s="18">
        <f>IFERROR(VLOOKUP($D29,BS별도,MATCH(O$1,BS별도H,0),0)/100,"")</f>
        <v/>
      </c>
      <c r="P29" s="37">
        <f>O29</f>
        <v/>
      </c>
      <c r="Q29" s="18">
        <f>IFERROR(VLOOKUP($D29,BS별도,MATCH(Q$1,BS별도H,0),0)/100,"")</f>
        <v/>
      </c>
      <c r="R29" s="18">
        <f>IFERROR(VLOOKUP($D29,BS별도,MATCH(R$1,BS별도H,0),0)/100,"")</f>
        <v/>
      </c>
      <c r="S29" s="18">
        <f>IFERROR(VLOOKUP($D29,BS별도,MATCH(S$1,BS별도H,0),0)/100,"")</f>
        <v/>
      </c>
      <c r="T29" s="18">
        <f>IFERROR(VLOOKUP($D29,BS별도,MATCH(T$1,BS별도H,0),0)/100,"")</f>
        <v/>
      </c>
      <c r="U29" s="37">
        <f>T29</f>
        <v/>
      </c>
      <c r="V29" s="18">
        <f>IFERROR(VLOOKUP($D29,BS별도,MATCH(V$1,BS별도H,0),0)/100,"")</f>
        <v/>
      </c>
      <c r="W29" s="18">
        <f>IFERROR(VLOOKUP($D29,BS별도,MATCH(W$1,BS별도H,0),0)/100,"")</f>
        <v/>
      </c>
      <c r="X29" s="18">
        <f>IFERROR(VLOOKUP($D29,BS별도,MATCH(X$1,BS별도H,0),0)/100,"")</f>
        <v/>
      </c>
      <c r="Y29" s="18">
        <f>IFERROR(VLOOKUP($D29,BS별도,MATCH(Y$1,BS별도H,0),0)/100,"")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IFERROR(VLOOKUP($D30,BS별도,MATCH(N$1,BS별도H,0),0)/100,"")</f>
        <v/>
      </c>
      <c r="O30" s="18">
        <f>IFERROR(VLOOKUP($D30,BS별도,MATCH(O$1,BS별도H,0),0)/100,"")</f>
        <v/>
      </c>
      <c r="P30" s="37">
        <f>SUM(L30:O30)</f>
        <v/>
      </c>
      <c r="Q30" s="18">
        <f>IFERROR(VLOOKUP($D30,BS별도,MATCH(Q$1,BS별도H,0),0)/100,"")</f>
        <v/>
      </c>
      <c r="R30" s="18">
        <f>IFERROR(VLOOKUP($D30,BS별도,MATCH(R$1,BS별도H,0),0)/100,"")</f>
        <v/>
      </c>
      <c r="S30" s="18">
        <f>IFERROR(VLOOKUP($D30,BS별도,MATCH(S$1,BS별도H,0),0)/100,"")</f>
        <v/>
      </c>
      <c r="T30" s="18">
        <f>IFERROR(VLOOKUP($D30,BS별도,MATCH(T$1,BS별도H,0),0)/100,"")</f>
        <v/>
      </c>
      <c r="U30" s="37">
        <f>SUM(Q30:T30)</f>
        <v/>
      </c>
      <c r="V30" s="18">
        <f>IFERROR(VLOOKUP($D30,BS별도,MATCH(V$1,BS별도H,0),0)/100,"")</f>
        <v/>
      </c>
      <c r="W30" s="18">
        <f>IFERROR(VLOOKUP($D30,BS별도,MATCH(W$1,BS별도H,0),0)/100,"")</f>
        <v/>
      </c>
      <c r="X30" s="18">
        <f>IFERROR(VLOOKUP($D30,BS별도,MATCH(X$1,BS별도H,0),0)/100,"")</f>
        <v/>
      </c>
      <c r="Y30" s="18">
        <f>IFERROR(VLOOKUP($D30,BS별도,MATCH(Y$1,BS별도H,0),0)/100,"")</f>
        <v/>
      </c>
      <c r="Z30" s="37">
        <f>SUM(V30:Y30)</f>
        <v/>
      </c>
      <c r="AA30" s="18">
        <f>IFERROR(VLOOKUP($D30,BS연결,MATCH(AA$1,BS연결H,0),0)/100,"")</f>
        <v/>
      </c>
      <c r="AB30" s="19" t="n"/>
      <c r="AC30" s="20">
        <f>IFERROR(X30*(1+변수!AC38),"")</f>
        <v/>
      </c>
      <c r="AD30" s="20">
        <f>IFERROR(Y30*(1+변수!AD38),"")</f>
        <v/>
      </c>
      <c r="AE30" s="38">
        <f>SUM(AA30:AD30)</f>
        <v/>
      </c>
      <c r="AF30" s="20">
        <f>IFERROR(AA30*(1+변수!AF38),"")</f>
        <v/>
      </c>
      <c r="AG30" s="20">
        <f>IFERROR(AF30*(1+변수!AG38),"")</f>
        <v/>
      </c>
      <c r="AH30" s="20">
        <f>IFERROR(AC30*(1+변수!AH38),"")</f>
        <v/>
      </c>
      <c r="AI30" s="20">
        <f>IFERROR(AD30*(1+변수!AI38),"")</f>
        <v/>
      </c>
      <c r="AJ30" s="38">
        <f>SUM(AF30:AI30)</f>
        <v/>
      </c>
      <c r="AK30" s="20">
        <f>IFERROR(AF30*(1+변수!AK38),"")</f>
        <v/>
      </c>
      <c r="AL30" s="20">
        <f>IFERROR(AG30*(1+변수!AL38),"")</f>
        <v/>
      </c>
      <c r="AM30" s="20">
        <f>IFERROR(AH30*(1+변수!AM38),"")</f>
        <v/>
      </c>
      <c r="AN30" s="20">
        <f>IFERROR(AI30*(1+변수!AN38),"")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SUM(G31:J31)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IFERROR(VLOOKUP($D31,BS별도,MATCH(N$1,BS별도H,0),0)/100,"")</f>
        <v/>
      </c>
      <c r="O31" s="18">
        <f>IFERROR(VLOOKUP($D31,BS별도,MATCH(O$1,BS별도H,0),0)/100,"")</f>
        <v/>
      </c>
      <c r="P31" s="37">
        <f>SUM(L31:O31)</f>
        <v/>
      </c>
      <c r="Q31" s="18">
        <f>IFERROR(VLOOKUP($D31,BS별도,MATCH(Q$1,BS별도H,0),0)/100,"")</f>
        <v/>
      </c>
      <c r="R31" s="18">
        <f>IFERROR(VLOOKUP($D31,BS별도,MATCH(R$1,BS별도H,0),0)/100,"")</f>
        <v/>
      </c>
      <c r="S31" s="18">
        <f>IFERROR(VLOOKUP($D31,BS별도,MATCH(S$1,BS별도H,0),0)/100,"")</f>
        <v/>
      </c>
      <c r="T31" s="18">
        <f>IFERROR(VLOOKUP($D31,BS별도,MATCH(T$1,BS별도H,0),0)/100,"")</f>
        <v/>
      </c>
      <c r="U31" s="37">
        <f>SUM(Q31:T31)</f>
        <v/>
      </c>
      <c r="V31" s="18">
        <f>IFERROR(VLOOKUP($D31,BS별도,MATCH(V$1,BS별도H,0),0)/100,"")</f>
        <v/>
      </c>
      <c r="W31" s="18">
        <f>IFERROR(VLOOKUP($D31,BS별도,MATCH(W$1,BS별도H,0),0)/100,"")</f>
        <v/>
      </c>
      <c r="X31" s="18">
        <f>IFERROR(VLOOKUP($D31,BS별도,MATCH(X$1,BS별도H,0),0)/100,"")</f>
        <v/>
      </c>
      <c r="Y31" s="18">
        <f>IFERROR(VLOOKUP($D31,BS별도,MATCH(Y$1,BS별도H,0),0)/100,"")</f>
        <v/>
      </c>
      <c r="Z31" s="37">
        <f>SUM(V31:Y31)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46.714</v>
      </c>
      <c r="F32" s="28">
        <f>E32</f>
        <v/>
      </c>
      <c r="G32" s="27" t="n">
        <v>46.714</v>
      </c>
      <c r="H32" s="27" t="n">
        <v>46.714</v>
      </c>
      <c r="I32" s="27" t="n">
        <v>71.52200000000001</v>
      </c>
      <c r="J32" s="27" t="n">
        <v>71.52200000000001</v>
      </c>
      <c r="K32" s="28">
        <f>J32</f>
        <v/>
      </c>
      <c r="L32" s="27" t="n">
        <v>71.52200000000001</v>
      </c>
      <c r="M32" s="27" t="n">
        <v>71.52200000000001</v>
      </c>
      <c r="N32" s="27" t="n">
        <v>71.52200000000001</v>
      </c>
      <c r="O32" s="27" t="n">
        <v>71.52200000000001</v>
      </c>
      <c r="P32" s="28">
        <f>O32</f>
        <v/>
      </c>
      <c r="Q32" s="27" t="n">
        <v>83.426</v>
      </c>
      <c r="R32" s="27" t="n">
        <v>83.426</v>
      </c>
      <c r="S32" s="27" t="n">
        <v>83.426</v>
      </c>
      <c r="T32" s="27" t="n">
        <v>83.426</v>
      </c>
      <c r="U32" s="28">
        <f>T32</f>
        <v/>
      </c>
      <c r="V32" s="27" t="n">
        <v>83.426</v>
      </c>
      <c r="W32" s="27" t="n">
        <v>83.426</v>
      </c>
      <c r="X32" s="27" t="n">
        <v>83.426</v>
      </c>
      <c r="Y32" s="27" t="n">
        <v>83.426</v>
      </c>
      <c r="Z32" s="28">
        <f>Y32</f>
        <v/>
      </c>
      <c r="AA32" s="27" t="n">
        <v>83.426</v>
      </c>
      <c r="AB32" s="29" t="n">
        <v>83.426</v>
      </c>
      <c r="AC32" s="33">
        <f>IFERROR(AB32*(1+변수!AC40),"")</f>
        <v/>
      </c>
      <c r="AD32" s="33">
        <f>IFERROR(AC32*(1+변수!AD40),"")</f>
        <v/>
      </c>
      <c r="AE32" s="31">
        <f>AD32</f>
        <v/>
      </c>
      <c r="AF32" s="33">
        <f>IFERROR(AD32*(1+변수!AF40),"")</f>
        <v/>
      </c>
      <c r="AG32" s="33">
        <f>IFERROR(AF32*(1+변수!AG40),"")</f>
        <v/>
      </c>
      <c r="AH32" s="33">
        <f>IFERROR(AG32*(1+변수!AH40),"")</f>
        <v/>
      </c>
      <c r="AI32" s="33">
        <f>IFERROR(AH32*(1+변수!AI40),"")</f>
        <v/>
      </c>
      <c r="AJ32" s="31">
        <f>AI32</f>
        <v/>
      </c>
      <c r="AK32" s="33">
        <f>IFERROR(AI32*(1+변수!AK40),"")</f>
        <v/>
      </c>
      <c r="AL32" s="33">
        <f>IFERROR(AK32*(1+변수!AL40),"")</f>
        <v/>
      </c>
      <c r="AM32" s="33">
        <f>IFERROR(AL32*(1+변수!AM40),"")</f>
        <v/>
      </c>
      <c r="AN32" s="33">
        <f>IFERROR(AM32*(1+변수!AN40),"")</f>
        <v/>
      </c>
      <c r="AO32" s="31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37" t="n"/>
      <c r="G33" s="18">
        <f>IFERROR(G21*100/G32,"")</f>
        <v/>
      </c>
      <c r="H33" s="18">
        <f>IFERROR(H21*100/H32,"")</f>
        <v/>
      </c>
      <c r="I33" s="18">
        <f>IFERROR(I21*100/I32,"")</f>
        <v/>
      </c>
      <c r="J33" s="18">
        <f>IFERROR(J21*100/J32,"")</f>
        <v/>
      </c>
      <c r="K33" s="37">
        <f>SUM(G33:J33)</f>
        <v/>
      </c>
      <c r="L33" s="18">
        <f>IFERROR(L21*100/L32,"")</f>
        <v/>
      </c>
      <c r="M33" s="18">
        <f>IFERROR(M21*100/M32,"")</f>
        <v/>
      </c>
      <c r="N33" s="18">
        <f>IFERROR(N21*100/N32,"")</f>
        <v/>
      </c>
      <c r="O33" s="18">
        <f>IFERROR(O21*100/O32,"")</f>
        <v/>
      </c>
      <c r="P33" s="37">
        <f>SUM(L33:O33)</f>
        <v/>
      </c>
      <c r="Q33" s="18">
        <f>IFERROR(Q21*100/Q32,"")</f>
        <v/>
      </c>
      <c r="R33" s="18">
        <f>IFERROR(R21*100/R32,"")</f>
        <v/>
      </c>
      <c r="S33" s="18">
        <f>IFERROR(S21*100/S32,"")</f>
        <v/>
      </c>
      <c r="T33" s="18">
        <f>IFERROR(T21*100/T32,"")</f>
        <v/>
      </c>
      <c r="U33" s="37">
        <f>SUM(Q33:T33)</f>
        <v/>
      </c>
      <c r="V33" s="18">
        <f>IFERROR(V21*100/V32,"")</f>
        <v/>
      </c>
      <c r="W33" s="18">
        <f>IFERROR(W21*100/W32,"")</f>
        <v/>
      </c>
      <c r="X33" s="18">
        <f>IFERROR(X21*100/X32,"")</f>
        <v/>
      </c>
      <c r="Y33" s="18">
        <f>IFERROR(Y21*100/Y32,"")</f>
        <v/>
      </c>
      <c r="Z33" s="37">
        <f>SUM(V33:Y33)</f>
        <v/>
      </c>
      <c r="AA33" s="18">
        <f>IFERROR(AA21*100/AA32,"")</f>
        <v/>
      </c>
      <c r="AB33" s="19">
        <f>IFERROR(AB21*100/AB32,"")</f>
        <v/>
      </c>
      <c r="AC33" s="20">
        <f>IFERROR(AC21*100/AC32,"")</f>
        <v/>
      </c>
      <c r="AD33" s="20">
        <f>IFERROR(AD21*100/AD32,"")</f>
        <v/>
      </c>
      <c r="AE33" s="38">
        <f>SUM(AA33:AD33)</f>
        <v/>
      </c>
      <c r="AF33" s="20">
        <f>IFERROR(AF21*100/AF32,"")</f>
        <v/>
      </c>
      <c r="AG33" s="20">
        <f>IFERROR(AG21*100/AG32,"")</f>
        <v/>
      </c>
      <c r="AH33" s="20">
        <f>IFERROR(AH21*100/AH32,"")</f>
        <v/>
      </c>
      <c r="AI33" s="20">
        <f>IFERROR(AI21*100/AI32,"")</f>
        <v/>
      </c>
      <c r="AJ33" s="38">
        <f>SUM(AF33:AI33)</f>
        <v/>
      </c>
      <c r="AK33" s="20">
        <f>IFERROR(AK21*100/AK32,"")</f>
        <v/>
      </c>
      <c r="AL33" s="20">
        <f>IFERROR(AL21*100/AL32,"")</f>
        <v/>
      </c>
      <c r="AM33" s="20">
        <f>IFERROR(AM21*100/AM32,"")</f>
        <v/>
      </c>
      <c r="AN33" s="20">
        <f>IFERROR(AN21*100/AN32,"")</f>
        <v/>
      </c>
      <c r="AO33" s="38">
        <f>SUM(AK33:AN33)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37">
        <f>E34</f>
        <v/>
      </c>
      <c r="G34" s="18">
        <f>IFERROR(G25*100/G32,"")</f>
        <v/>
      </c>
      <c r="H34" s="18">
        <f>IFERROR(H25*100/H32,"")</f>
        <v/>
      </c>
      <c r="I34" s="18">
        <f>IFERROR(I25*100/I32,"")</f>
        <v/>
      </c>
      <c r="J34" s="18">
        <f>IFERROR(J25*100/J32,"")</f>
        <v/>
      </c>
      <c r="K34" s="37">
        <f>J34</f>
        <v/>
      </c>
      <c r="L34" s="18">
        <f>IFERROR(L25*100/L32,"")</f>
        <v/>
      </c>
      <c r="M34" s="18">
        <f>IFERROR(M25*100/M32,"")</f>
        <v/>
      </c>
      <c r="N34" s="18">
        <f>IFERROR(N25*100/N32,"")</f>
        <v/>
      </c>
      <c r="O34" s="18">
        <f>IFERROR(O25*100/O32,"")</f>
        <v/>
      </c>
      <c r="P34" s="37">
        <f>O34</f>
        <v/>
      </c>
      <c r="Q34" s="18">
        <f>IFERROR(Q25*100/Q32,"")</f>
        <v/>
      </c>
      <c r="R34" s="18">
        <f>IFERROR(R25*100/R32,"")</f>
        <v/>
      </c>
      <c r="S34" s="18">
        <f>IFERROR(S25*100/S32,"")</f>
        <v/>
      </c>
      <c r="T34" s="18">
        <f>IFERROR(T25*100/T32,"")</f>
        <v/>
      </c>
      <c r="U34" s="37">
        <f>T34</f>
        <v/>
      </c>
      <c r="V34" s="18">
        <f>IFERROR(V25*100/V32,"")</f>
        <v/>
      </c>
      <c r="W34" s="18">
        <f>IFERROR(W25*100/W32,"")</f>
        <v/>
      </c>
      <c r="X34" s="18">
        <f>IFERROR(X25*100/X32,"")</f>
        <v/>
      </c>
      <c r="Y34" s="18">
        <f>IFERROR(Y25*100/Y32,"")</f>
        <v/>
      </c>
      <c r="Z34" s="37">
        <f>Y34</f>
        <v/>
      </c>
      <c r="AA34" s="18">
        <f>IFERROR(AA25*100/AA32,"")</f>
        <v/>
      </c>
      <c r="AB34" s="19">
        <f>IFERROR(AB25*100/AB32,"")</f>
        <v/>
      </c>
      <c r="AC34" s="20">
        <f>IFERROR(AC25*100/AC32,"")</f>
        <v/>
      </c>
      <c r="AD34" s="20">
        <f>IFERROR(AD25*100/AD32,"")</f>
        <v/>
      </c>
      <c r="AE34" s="38">
        <f>AD34</f>
        <v/>
      </c>
      <c r="AF34" s="20">
        <f>IFERROR(AF25*100/AF32,"")</f>
        <v/>
      </c>
      <c r="AG34" s="20">
        <f>IFERROR(AG25*100/AG32,"")</f>
        <v/>
      </c>
      <c r="AH34" s="20">
        <f>IFERROR(AH25*100/AH32,"")</f>
        <v/>
      </c>
      <c r="AI34" s="20">
        <f>IFERROR(AI25*100/AI32,"")</f>
        <v/>
      </c>
      <c r="AJ34" s="38">
        <f>AI34</f>
        <v/>
      </c>
      <c r="AK34" s="20">
        <f>IFERROR(AK25*100/AK32,"")</f>
        <v/>
      </c>
      <c r="AL34" s="20">
        <f>IFERROR(AL25*100/AL32,"")</f>
        <v/>
      </c>
      <c r="AM34" s="20">
        <f>IFERROR(AM25*100/AM32,"")</f>
        <v/>
      </c>
      <c r="AN34" s="20">
        <f>IFERROR(AN25*100/AN32,"")</f>
        <v/>
      </c>
      <c r="AO34" s="38">
        <f>AN34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>
        <v>0</v>
      </c>
      <c r="F35" s="37" t="n">
        <v>0</v>
      </c>
      <c r="G35" s="18" t="n"/>
      <c r="H35" s="18" t="n"/>
      <c r="I35" s="18" t="n"/>
      <c r="J35" s="18" t="n">
        <v>0</v>
      </c>
      <c r="K35" s="37">
        <f>SUM(G35:J35)</f>
        <v/>
      </c>
      <c r="L35" s="18" t="n"/>
      <c r="M35" s="18" t="n"/>
      <c r="N35" s="18" t="n"/>
      <c r="O35" s="18" t="n">
        <v>0</v>
      </c>
      <c r="P35" s="37">
        <f>SUM(L35:O35)</f>
        <v/>
      </c>
      <c r="Q35" s="18" t="n"/>
      <c r="R35" s="18" t="n"/>
      <c r="S35" s="18" t="n"/>
      <c r="T35" s="18" t="n">
        <v>0</v>
      </c>
      <c r="U35" s="37">
        <f>SUM(Q35:T35)</f>
        <v/>
      </c>
      <c r="V35" s="18" t="n"/>
      <c r="W35" s="18" t="n"/>
      <c r="X35" s="18" t="n"/>
      <c r="Y35" s="18" t="n">
        <v>0</v>
      </c>
      <c r="Z35" s="37">
        <f>SUM(V35:Y35)</f>
        <v/>
      </c>
      <c r="AA35" s="18" t="n"/>
      <c r="AB35" s="19" t="n"/>
      <c r="AC35" s="20" t="n"/>
      <c r="AD35" s="20">
        <f>변수!AD41</f>
        <v/>
      </c>
      <c r="AE35" s="38">
        <f>SUM(AA35:AD35)</f>
        <v/>
      </c>
      <c r="AF35" s="20" t="n"/>
      <c r="AG35" s="20" t="n"/>
      <c r="AH35" s="20" t="n"/>
      <c r="AI35" s="20">
        <f>변수!AI41</f>
        <v/>
      </c>
      <c r="AJ35" s="38">
        <f>SUM(AF35:AI35)</f>
        <v/>
      </c>
      <c r="AK35" s="20" t="n"/>
      <c r="AL35" s="20" t="n"/>
      <c r="AM35" s="20" t="n"/>
      <c r="AN35" s="20">
        <f>변수!AN41</f>
        <v/>
      </c>
      <c r="AO35" s="38">
        <f>SUM(AK35:AN35)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4">
        <f>E36</f>
        <v/>
      </c>
      <c r="G36" s="13" t="n"/>
      <c r="H36" s="13" t="n"/>
      <c r="I36" s="13" t="n"/>
      <c r="J36" s="13" t="n"/>
      <c r="K36" s="14">
        <f>J36</f>
        <v/>
      </c>
      <c r="L36" s="13" t="n"/>
      <c r="M36" s="13">
        <f>IFERROR(변수!M18/(I33+J33+L33+M33),"")</f>
        <v/>
      </c>
      <c r="N36" s="13" t="n"/>
      <c r="O36" s="13" t="n"/>
      <c r="P36" s="14">
        <f>O36</f>
        <v/>
      </c>
      <c r="Q36" s="13">
        <f>IFERROR(변수!Q18/(M33+N33+O33+Q33),"")</f>
        <v/>
      </c>
      <c r="R36" s="13">
        <f>IFERROR(변수!R18/(N33+O33+Q33+R33),"")</f>
        <v/>
      </c>
      <c r="S36" s="13">
        <f>IFERROR(변수!S18/(O33+Q33+R33+S33),"")</f>
        <v/>
      </c>
      <c r="T36" s="13">
        <f>IFERROR(변수!T18/(Q33+R33+S33+T33),"")</f>
        <v/>
      </c>
      <c r="U36" s="14">
        <f>T36</f>
        <v/>
      </c>
      <c r="V36" s="13">
        <f>IFERROR(변수!V18/(R33+S33+T33+V33),"")</f>
        <v/>
      </c>
      <c r="W36" s="13">
        <f>IFERROR(변수!W18/(S33+T33+V33+W33),"")</f>
        <v/>
      </c>
      <c r="X36" s="13">
        <f>IFERROR(변수!X18/(T33+V33+W33+X33),"")</f>
        <v/>
      </c>
      <c r="Y36" s="13">
        <f>IFERROR(변수!Y18/(V33+W33+X33+Y33),"")</f>
        <v/>
      </c>
      <c r="Z36" s="14">
        <f>Y36</f>
        <v/>
      </c>
      <c r="AA36" s="13">
        <f>IFERROR(변수!AA18/(W33+X33+Y33+AA33),"")</f>
        <v/>
      </c>
      <c r="AB36" s="15">
        <f>IFERROR(변수!AB18/(X33+Y33+AA33+AB33),"")</f>
        <v/>
      </c>
      <c r="AC36" s="39">
        <f>IFERROR(변수!$D$44/(Y33+AA33+AB33+AC33),"")</f>
        <v/>
      </c>
      <c r="AD36" s="39">
        <f>IFERROR(변수!$D$44/(AA33+AB33+AC33+AD33),"")</f>
        <v/>
      </c>
      <c r="AE36" s="40">
        <f>AD36</f>
        <v/>
      </c>
      <c r="AF36" s="39">
        <f>IFERROR(변수!$D$44/(AB33+AC33+AD33+AF33),"")</f>
        <v/>
      </c>
      <c r="AG36" s="39">
        <f>IFERROR(변수!$D$44/(AC33+AD33+AF33+AG33),"")</f>
        <v/>
      </c>
      <c r="AH36" s="39">
        <f>IFERROR(변수!$D$44/(AD33+AF33+AG33+AH33),"")</f>
        <v/>
      </c>
      <c r="AI36" s="39">
        <f>IFERROR(변수!$D$44/(AF33+AG33+AH33+AI33),"")</f>
        <v/>
      </c>
      <c r="AJ36" s="40">
        <f>AI36</f>
        <v/>
      </c>
      <c r="AK36" s="39">
        <f>IFERROR(변수!$D$44/(AG33+AH33+AI33+AK33),"")</f>
        <v/>
      </c>
      <c r="AL36" s="39">
        <f>IFERROR(변수!$D$44/(AH33+AI33+AK33+AL33),"")</f>
        <v/>
      </c>
      <c r="AM36" s="39">
        <f>IFERROR(변수!$D$44/(AI33+AK33+AL33+AM33),"")</f>
        <v/>
      </c>
      <c r="AN36" s="39">
        <f>IFERROR(변수!$D$44/(AK33+AL33+AM33+AN33),"")</f>
        <v/>
      </c>
      <c r="AO36" s="40">
        <f>AN36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>
        <f>IFERROR(변수!E18/E34,"")</f>
        <v/>
      </c>
      <c r="F37" s="14">
        <f>E37</f>
        <v/>
      </c>
      <c r="G37" s="13">
        <f>IFERROR(변수!G18/G34,"")</f>
        <v/>
      </c>
      <c r="H37" s="13">
        <f>IFERROR(변수!H18/H34,"")</f>
        <v/>
      </c>
      <c r="I37" s="13">
        <f>IFERROR(변수!I18/I34,"")</f>
        <v/>
      </c>
      <c r="J37" s="13">
        <f>IFERROR(변수!J18/J34,"")</f>
        <v/>
      </c>
      <c r="K37" s="14">
        <f>J37</f>
        <v/>
      </c>
      <c r="L37" s="13">
        <f>IFERROR(변수!L18/L34,"")</f>
        <v/>
      </c>
      <c r="M37" s="13">
        <f>IFERROR(변수!M18/M34,"")</f>
        <v/>
      </c>
      <c r="N37" s="13">
        <f>IFERROR(변수!N18/N34,"")</f>
        <v/>
      </c>
      <c r="O37" s="13">
        <f>IFERROR(변수!O18/O34,"")</f>
        <v/>
      </c>
      <c r="P37" s="14">
        <f>O37</f>
        <v/>
      </c>
      <c r="Q37" s="13">
        <f>IFERROR(변수!Q18/Q34,"")</f>
        <v/>
      </c>
      <c r="R37" s="13">
        <f>IFERROR(변수!R18/R34,"")</f>
        <v/>
      </c>
      <c r="S37" s="13">
        <f>IFERROR(변수!S18/S34,"")</f>
        <v/>
      </c>
      <c r="T37" s="13">
        <f>IFERROR(변수!T18/T34,"")</f>
        <v/>
      </c>
      <c r="U37" s="14">
        <f>T37</f>
        <v/>
      </c>
      <c r="V37" s="13">
        <f>IFERROR(변수!V18/V34,"")</f>
        <v/>
      </c>
      <c r="W37" s="13">
        <f>IFERROR(변수!W18/W34,"")</f>
        <v/>
      </c>
      <c r="X37" s="13">
        <f>IFERROR(변수!X18/X34,"")</f>
        <v/>
      </c>
      <c r="Y37" s="13">
        <f>IFERROR(변수!Y18/Y34,"")</f>
        <v/>
      </c>
      <c r="Z37" s="14">
        <f>Y37</f>
        <v/>
      </c>
      <c r="AA37" s="13">
        <f>IFERROR(변수!AA18/AA34,"")</f>
        <v/>
      </c>
      <c r="AB37" s="15">
        <f>IFERROR(변수!AB18/AB34,"")</f>
        <v/>
      </c>
      <c r="AC37" s="39">
        <f>IFERROR(변수!$D$44/AC34,"")</f>
        <v/>
      </c>
      <c r="AD37" s="39">
        <f>IFERROR(변수!$D$44/AD34,"")</f>
        <v/>
      </c>
      <c r="AE37" s="40">
        <f>AD37</f>
        <v/>
      </c>
      <c r="AF37" s="39">
        <f>IFERROR(변수!$D$44/AF34,"")</f>
        <v/>
      </c>
      <c r="AG37" s="39">
        <f>IFERROR(변수!$D$44/AG34,"")</f>
        <v/>
      </c>
      <c r="AH37" s="39">
        <f>IFERROR(변수!$D$44/AH34,"")</f>
        <v/>
      </c>
      <c r="AI37" s="39">
        <f>IFERROR(변수!$D$44/AI34,"")</f>
        <v/>
      </c>
      <c r="AJ37" s="40">
        <f>AI37</f>
        <v/>
      </c>
      <c r="AK37" s="39">
        <f>IFERROR(변수!$D$44/AK34,"")</f>
        <v/>
      </c>
      <c r="AL37" s="39">
        <f>IFERROR(변수!$D$44/AL34,"")</f>
        <v/>
      </c>
      <c r="AM37" s="39">
        <f>IFERROR(변수!$D$44/AM34,"")</f>
        <v/>
      </c>
      <c r="AN37" s="39">
        <f>IFERROR(변수!$D$44/AN34,"")</f>
        <v/>
      </c>
      <c r="AO37" s="40">
        <f>AN37</f>
        <v/>
      </c>
    </row>
    <row r="38">
      <c r="A38" s="12" t="inlineStr">
        <is>
          <t>매출전사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전사(부문 미분리)</t>
        </is>
      </c>
      <c r="E38" s="18" t="n">
        <v>1956.97</v>
      </c>
      <c r="F38" s="37" t="n"/>
      <c r="G38" s="18" t="n">
        <v>1778.43</v>
      </c>
      <c r="H38" s="18" t="n">
        <v>1864.64</v>
      </c>
      <c r="I38" s="18" t="n">
        <v>1757.23</v>
      </c>
      <c r="J38" s="18" t="n">
        <v>2242.13</v>
      </c>
      <c r="K38" s="37">
        <f>SUM(G38:J38)</f>
        <v/>
      </c>
      <c r="L38" s="18" t="n">
        <v>1993.47</v>
      </c>
      <c r="M38" s="18" t="n">
        <v>1890.46</v>
      </c>
      <c r="N38" s="18" t="n">
        <v>1876.37</v>
      </c>
      <c r="O38" s="18" t="n">
        <v>2783.55</v>
      </c>
      <c r="P38" s="37">
        <f>SUM(L38:O38)</f>
        <v/>
      </c>
      <c r="Q38" s="18" t="n">
        <v>2933.65</v>
      </c>
      <c r="R38" s="18" t="n">
        <v>2864.85</v>
      </c>
      <c r="S38" s="18" t="n">
        <v>2960.86</v>
      </c>
      <c r="T38" s="18" t="n">
        <v>3262.68</v>
      </c>
      <c r="U38" s="37">
        <f>SUM(Q38:T38)</f>
        <v/>
      </c>
      <c r="V38" s="18" t="n">
        <v>3181.82</v>
      </c>
      <c r="W38" s="18" t="n">
        <v>3877</v>
      </c>
      <c r="X38" s="18" t="n">
        <v>2973.45</v>
      </c>
      <c r="Y38" s="18" t="n">
        <v>3678.3</v>
      </c>
      <c r="Z38" s="37">
        <f>SUM(V38:Y38)</f>
        <v/>
      </c>
      <c r="AA38" s="18" t="n">
        <v>3452.39</v>
      </c>
      <c r="AB38" s="19" t="n">
        <v>3622.2</v>
      </c>
      <c r="AC38" s="20">
        <f>IFERROR(AC5,"")</f>
        <v/>
      </c>
      <c r="AD38" s="20">
        <f>IFERROR(AD5,"")</f>
        <v/>
      </c>
      <c r="AE38" s="38">
        <f>SUM(AA38:AD38)</f>
        <v/>
      </c>
      <c r="AF38" s="20">
        <f>IFERROR(AF5,"")</f>
        <v/>
      </c>
      <c r="AG38" s="20">
        <f>IFERROR(AG5,"")</f>
        <v/>
      </c>
      <c r="AH38" s="20">
        <f>IFERROR(AH5,"")</f>
        <v/>
      </c>
      <c r="AI38" s="20">
        <f>IFERROR(AI5,"")</f>
        <v/>
      </c>
      <c r="AJ38" s="38">
        <f>SUM(AF38:AI38)</f>
        <v/>
      </c>
      <c r="AK38" s="20">
        <f>IFERROR(AK5,"")</f>
        <v/>
      </c>
      <c r="AL38" s="20">
        <f>IFERROR(AL5,"")</f>
        <v/>
      </c>
      <c r="AM38" s="20">
        <f>IFERROR(AM5,"")</f>
        <v/>
      </c>
      <c r="AN38" s="20">
        <f>IFERROR(AN5,"")</f>
        <v/>
      </c>
      <c r="AO38" s="38">
        <f>SUM(AK38:AN38)</f>
        <v/>
      </c>
    </row>
    <row r="39">
      <c r="A39" s="12" t="inlineStr">
        <is>
          <t>OP전사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OP 전사(부문 미분리)</t>
        </is>
      </c>
      <c r="E39" s="18" t="n">
        <v>-75.59</v>
      </c>
      <c r="F39" s="37" t="n"/>
      <c r="G39" s="18" t="n">
        <v>-25.57</v>
      </c>
      <c r="H39" s="18" t="n">
        <v>-305.31</v>
      </c>
      <c r="I39" s="18" t="n">
        <v>5.18</v>
      </c>
      <c r="J39" s="18" t="n">
        <v>30.36</v>
      </c>
      <c r="K39" s="37">
        <f>SUM(G39:J39)</f>
        <v/>
      </c>
      <c r="L39" s="18" t="n">
        <v>40.74</v>
      </c>
      <c r="M39" s="18" t="n">
        <v>34.73</v>
      </c>
      <c r="N39" s="18" t="n">
        <v>10.84</v>
      </c>
      <c r="O39" s="18" t="n">
        <v>0.97</v>
      </c>
      <c r="P39" s="37">
        <f>SUM(L39:O39)</f>
        <v/>
      </c>
      <c r="Q39" s="18" t="n">
        <v>194.27</v>
      </c>
      <c r="R39" s="18" t="n">
        <v>186.23</v>
      </c>
      <c r="S39" s="18" t="n">
        <v>152.87</v>
      </c>
      <c r="T39" s="18" t="n">
        <v>181.95</v>
      </c>
      <c r="U39" s="37">
        <f>SUM(Q39:T39)</f>
        <v/>
      </c>
      <c r="V39" s="18" t="n">
        <v>223.12</v>
      </c>
      <c r="W39" s="18" t="n">
        <v>337.75</v>
      </c>
      <c r="X39" s="18" t="n">
        <v>266.31</v>
      </c>
      <c r="Y39" s="18" t="n">
        <v>473.48</v>
      </c>
      <c r="Z39" s="37">
        <f>SUM(V39:Y39)</f>
        <v/>
      </c>
      <c r="AA39" s="18" t="n">
        <v>513.79</v>
      </c>
      <c r="AB39" s="19" t="n">
        <v>379.11</v>
      </c>
      <c r="AC39" s="20">
        <f>IFERROR(AC9,"")</f>
        <v/>
      </c>
      <c r="AD39" s="20">
        <f>IFERROR(AD9,"")</f>
        <v/>
      </c>
      <c r="AE39" s="38">
        <f>SUM(AA39:AD39)</f>
        <v/>
      </c>
      <c r="AF39" s="20">
        <f>IFERROR(AF9,"")</f>
        <v/>
      </c>
      <c r="AG39" s="20">
        <f>IFERROR(AG9,"")</f>
        <v/>
      </c>
      <c r="AH39" s="20">
        <f>IFERROR(AH9,"")</f>
        <v/>
      </c>
      <c r="AI39" s="20">
        <f>IFERROR(AI9,"")</f>
        <v/>
      </c>
      <c r="AJ39" s="38">
        <f>SUM(AF39:AI39)</f>
        <v/>
      </c>
      <c r="AK39" s="20">
        <f>IFERROR(AK9,"")</f>
        <v/>
      </c>
      <c r="AL39" s="20">
        <f>IFERROR(AL9,"")</f>
        <v/>
      </c>
      <c r="AM39" s="20">
        <f>IFERROR(AM9,"")</f>
        <v/>
      </c>
      <c r="AN39" s="20">
        <f>IFERROR(AN9,"")</f>
        <v/>
      </c>
      <c r="AO39" s="38">
        <f>SUM(AK39:AN39)</f>
        <v/>
      </c>
    </row>
    <row r="40">
      <c r="B40" s="2" t="inlineStr">
        <is>
          <t>비율(참고)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NPM</t>
        </is>
      </c>
      <c r="C41" t="inlineStr">
        <is>
          <t>%</t>
        </is>
      </c>
      <c r="D41" t="inlineStr">
        <is>
          <t>지배주주순이익 / 매출액</t>
        </is>
      </c>
      <c r="E41" s="21">
        <f>IFERROR(E21/E5,"")</f>
        <v/>
      </c>
      <c r="F41" s="22">
        <f>IFERROR(F21/F5,"")</f>
        <v/>
      </c>
      <c r="G41" s="21">
        <f>IFERROR(G21/G5,"")</f>
        <v/>
      </c>
      <c r="H41" s="21">
        <f>IFERROR(H21/H5,"")</f>
        <v/>
      </c>
      <c r="I41" s="21">
        <f>IFERROR(I21/I5,"")</f>
        <v/>
      </c>
      <c r="J41" s="21">
        <f>IFERROR(J21/J5,"")</f>
        <v/>
      </c>
      <c r="K41" s="22">
        <f>IFERROR(K21/K5,"")</f>
        <v/>
      </c>
      <c r="L41" s="21">
        <f>IFERROR(L21/L5,"")</f>
        <v/>
      </c>
      <c r="M41" s="21">
        <f>IFERROR(M21/M5,"")</f>
        <v/>
      </c>
      <c r="N41" s="21">
        <f>IFERROR(N21/N5,"")</f>
        <v/>
      </c>
      <c r="O41" s="21">
        <f>IFERROR(O21/O5,"")</f>
        <v/>
      </c>
      <c r="P41" s="22">
        <f>IFERROR(P21/P5,"")</f>
        <v/>
      </c>
      <c r="Q41" s="21">
        <f>IFERROR(Q21/Q5,"")</f>
        <v/>
      </c>
      <c r="R41" s="21">
        <f>IFERROR(R21/R5,"")</f>
        <v/>
      </c>
      <c r="S41" s="21">
        <f>IFERROR(S21/S5,"")</f>
        <v/>
      </c>
      <c r="T41" s="21">
        <f>IFERROR(T21/T5,"")</f>
        <v/>
      </c>
      <c r="U41" s="22">
        <f>IFERROR(U21/U5,"")</f>
        <v/>
      </c>
      <c r="V41" s="21">
        <f>IFERROR(V21/V5,"")</f>
        <v/>
      </c>
      <c r="W41" s="21">
        <f>IFERROR(W21/W5,"")</f>
        <v/>
      </c>
      <c r="X41" s="21">
        <f>IFERROR(X21/X5,"")</f>
        <v/>
      </c>
      <c r="Y41" s="21">
        <f>IFERROR(Y21/Y5,"")</f>
        <v/>
      </c>
      <c r="Z41" s="22">
        <f>IFERROR(Z21/Z5,"")</f>
        <v/>
      </c>
      <c r="AA41" s="21">
        <f>IFERROR(AA21/AA5,"")</f>
        <v/>
      </c>
      <c r="AB41" s="23">
        <f>IFERROR(AB21/AB5,"")</f>
        <v/>
      </c>
      <c r="AC41" s="32">
        <f>IFERROR(AC21/AC5,"")</f>
        <v/>
      </c>
      <c r="AD41" s="32">
        <f>IFERROR(AD21/AD5,"")</f>
        <v/>
      </c>
      <c r="AE41" s="25">
        <f>IFERROR(AE21/AE5,"")</f>
        <v/>
      </c>
      <c r="AF41" s="32">
        <f>IFERROR(AF21/AF5,"")</f>
        <v/>
      </c>
      <c r="AG41" s="32">
        <f>IFERROR(AG21/AG5,"")</f>
        <v/>
      </c>
      <c r="AH41" s="32">
        <f>IFERROR(AH21/AH5,"")</f>
        <v/>
      </c>
      <c r="AI41" s="32">
        <f>IFERROR(AI21/AI5,"")</f>
        <v/>
      </c>
      <c r="AJ41" s="25">
        <f>IFERROR(AJ21/AJ5,"")</f>
        <v/>
      </c>
      <c r="AK41" s="32">
        <f>IFERROR(AK21/AK5,"")</f>
        <v/>
      </c>
      <c r="AL41" s="32">
        <f>IFERROR(AL21/AL5,"")</f>
        <v/>
      </c>
      <c r="AM41" s="32">
        <f>IFERROR(AM21/AM5,"")</f>
        <v/>
      </c>
      <c r="AN41" s="32">
        <f>IFERROR(AN21/AN5,"")</f>
        <v/>
      </c>
      <c r="AO41" s="25">
        <f>IFERROR(AO21/AO5,"")</f>
        <v/>
      </c>
    </row>
    <row r="42">
      <c r="A42" s="12" t="inlineStr">
        <is>
          <t>매출원가율</t>
        </is>
      </c>
      <c r="C42" t="inlineStr">
        <is>
          <t>%</t>
        </is>
      </c>
      <c r="D42" t="inlineStr">
        <is>
          <t>매출원가 / 매출액</t>
        </is>
      </c>
      <c r="E42" s="21">
        <f>IFERROR(E6/E5,"")</f>
        <v/>
      </c>
      <c r="F42" s="22">
        <f>IFERROR(F6/F5,"")</f>
        <v/>
      </c>
      <c r="G42" s="21">
        <f>IFERROR(G6/G5,"")</f>
        <v/>
      </c>
      <c r="H42" s="21">
        <f>IFERROR(H6/H5,"")</f>
        <v/>
      </c>
      <c r="I42" s="21">
        <f>IFERROR(I6/I5,"")</f>
        <v/>
      </c>
      <c r="J42" s="21">
        <f>IFERROR(J6/J5,"")</f>
        <v/>
      </c>
      <c r="K42" s="22">
        <f>IFERROR(K6/K5,"")</f>
        <v/>
      </c>
      <c r="L42" s="21">
        <f>IFERROR(L6/L5,"")</f>
        <v/>
      </c>
      <c r="M42" s="21">
        <f>IFERROR(M6/M5,"")</f>
        <v/>
      </c>
      <c r="N42" s="21">
        <f>IFERROR(N6/N5,"")</f>
        <v/>
      </c>
      <c r="O42" s="21">
        <f>IFERROR(O6/O5,"")</f>
        <v/>
      </c>
      <c r="P42" s="22">
        <f>IFERROR(P6/P5,"")</f>
        <v/>
      </c>
      <c r="Q42" s="21">
        <f>IFERROR(Q6/Q5,"")</f>
        <v/>
      </c>
      <c r="R42" s="21">
        <f>IFERROR(R6/R5,"")</f>
        <v/>
      </c>
      <c r="S42" s="21">
        <f>IFERROR(S6/S5,"")</f>
        <v/>
      </c>
      <c r="T42" s="21">
        <f>IFERROR(T6/T5,"")</f>
        <v/>
      </c>
      <c r="U42" s="22">
        <f>IFERROR(U6/U5,"")</f>
        <v/>
      </c>
      <c r="V42" s="21">
        <f>IFERROR(V6/V5,"")</f>
        <v/>
      </c>
      <c r="W42" s="21">
        <f>IFERROR(W6/W5,"")</f>
        <v/>
      </c>
      <c r="X42" s="21">
        <f>IFERROR(X6/X5,"")</f>
        <v/>
      </c>
      <c r="Y42" s="21">
        <f>IFERROR(Y6/Y5,"")</f>
        <v/>
      </c>
      <c r="Z42" s="22">
        <f>IFERROR(Z6/Z5,"")</f>
        <v/>
      </c>
      <c r="AA42" s="21">
        <f>IFERROR(AA6/AA5,"")</f>
        <v/>
      </c>
      <c r="AB42" s="23">
        <f>IFERROR(AB6/AB5,"")</f>
        <v/>
      </c>
      <c r="AC42" s="32">
        <f>IFERROR(AC6/AC5,"")</f>
        <v/>
      </c>
      <c r="AD42" s="32">
        <f>IFERROR(AD6/AD5,"")</f>
        <v/>
      </c>
      <c r="AE42" s="25">
        <f>IFERROR(AE6/AE5,"")</f>
        <v/>
      </c>
      <c r="AF42" s="32">
        <f>IFERROR(AF6/AF5,"")</f>
        <v/>
      </c>
      <c r="AG42" s="32">
        <f>IFERROR(AG6/AG5,"")</f>
        <v/>
      </c>
      <c r="AH42" s="32">
        <f>IFERROR(AH6/AH5,"")</f>
        <v/>
      </c>
      <c r="AI42" s="32">
        <f>IFERROR(AI6/AI5,"")</f>
        <v/>
      </c>
      <c r="AJ42" s="25">
        <f>IFERROR(AJ6/AJ5,"")</f>
        <v/>
      </c>
      <c r="AK42" s="32">
        <f>IFERROR(AK6/AK5,"")</f>
        <v/>
      </c>
      <c r="AL42" s="32">
        <f>IFERROR(AL6/AL5,"")</f>
        <v/>
      </c>
      <c r="AM42" s="32">
        <f>IFERROR(AM6/AM5,"")</f>
        <v/>
      </c>
      <c r="AN42" s="32">
        <f>IFERROR(AN6/AN5,"")</f>
        <v/>
      </c>
      <c r="AO42" s="25">
        <f>IFERROR(AO6/AO5,"")</f>
        <v/>
      </c>
    </row>
    <row r="43">
      <c r="A43" s="12" t="inlineStr">
        <is>
          <t>판관비율</t>
        </is>
      </c>
      <c r="C43" t="inlineStr">
        <is>
          <t>%</t>
        </is>
      </c>
      <c r="D43" t="inlineStr">
        <is>
          <t>판관비 / 매출액</t>
        </is>
      </c>
      <c r="E43" s="21">
        <f>IFERROR(E8/E5,"")</f>
        <v/>
      </c>
      <c r="F43" s="22">
        <f>IFERROR(F8/F5,"")</f>
        <v/>
      </c>
      <c r="G43" s="21">
        <f>IFERROR(G8/G5,"")</f>
        <v/>
      </c>
      <c r="H43" s="21">
        <f>IFERROR(H8/H5,"")</f>
        <v/>
      </c>
      <c r="I43" s="21">
        <f>IFERROR(I8/I5,"")</f>
        <v/>
      </c>
      <c r="J43" s="21">
        <f>IFERROR(J8/J5,"")</f>
        <v/>
      </c>
      <c r="K43" s="22">
        <f>IFERROR(K8/K5,"")</f>
        <v/>
      </c>
      <c r="L43" s="21">
        <f>IFERROR(L8/L5,"")</f>
        <v/>
      </c>
      <c r="M43" s="21">
        <f>IFERROR(M8/M5,"")</f>
        <v/>
      </c>
      <c r="N43" s="21">
        <f>IFERROR(N8/N5,"")</f>
        <v/>
      </c>
      <c r="O43" s="21">
        <f>IFERROR(O8/O5,"")</f>
        <v/>
      </c>
      <c r="P43" s="22">
        <f>IFERROR(P8/P5,"")</f>
        <v/>
      </c>
      <c r="Q43" s="21">
        <f>IFERROR(Q8/Q5,"")</f>
        <v/>
      </c>
      <c r="R43" s="21">
        <f>IFERROR(R8/R5,"")</f>
        <v/>
      </c>
      <c r="S43" s="21">
        <f>IFERROR(S8/S5,"")</f>
        <v/>
      </c>
      <c r="T43" s="21">
        <f>IFERROR(T8/T5,"")</f>
        <v/>
      </c>
      <c r="U43" s="22">
        <f>IFERROR(U8/U5,"")</f>
        <v/>
      </c>
      <c r="V43" s="21">
        <f>IFERROR(V8/V5,"")</f>
        <v/>
      </c>
      <c r="W43" s="21">
        <f>IFERROR(W8/W5,"")</f>
        <v/>
      </c>
      <c r="X43" s="21">
        <f>IFERROR(X8/X5,"")</f>
        <v/>
      </c>
      <c r="Y43" s="21">
        <f>IFERROR(Y8/Y5,"")</f>
        <v/>
      </c>
      <c r="Z43" s="22">
        <f>IFERROR(Z8/Z5,"")</f>
        <v/>
      </c>
      <c r="AA43" s="21">
        <f>IFERROR(AA8/AA5,"")</f>
        <v/>
      </c>
      <c r="AB43" s="23">
        <f>IFERROR(AB8/AB5,"")</f>
        <v/>
      </c>
      <c r="AC43" s="32">
        <f>IFERROR(AC8/AC5,"")</f>
        <v/>
      </c>
      <c r="AD43" s="32">
        <f>IFERROR(AD8/AD5,"")</f>
        <v/>
      </c>
      <c r="AE43" s="25">
        <f>IFERROR(AE8/AE5,"")</f>
        <v/>
      </c>
      <c r="AF43" s="32">
        <f>IFERROR(AF8/AF5,"")</f>
        <v/>
      </c>
      <c r="AG43" s="32">
        <f>IFERROR(AG8/AG5,"")</f>
        <v/>
      </c>
      <c r="AH43" s="32">
        <f>IFERROR(AH8/AH5,"")</f>
        <v/>
      </c>
      <c r="AI43" s="32">
        <f>IFERROR(AI8/AI5,"")</f>
        <v/>
      </c>
      <c r="AJ43" s="25">
        <f>IFERROR(AJ8/AJ5,"")</f>
        <v/>
      </c>
      <c r="AK43" s="32">
        <f>IFERROR(AK8/AK5,"")</f>
        <v/>
      </c>
      <c r="AL43" s="32">
        <f>IFERROR(AL8/AL5,"")</f>
        <v/>
      </c>
      <c r="AM43" s="32">
        <f>IFERROR(AM8/AM5,"")</f>
        <v/>
      </c>
      <c r="AN43" s="32">
        <f>IFERROR(AN8/AN5,"")</f>
        <v/>
      </c>
      <c r="AO43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27">
        <f>IFERROR(VLOOKUP($A32,subQ,MATCH(I$1,SUBQH,0),0),"")</f>
        <v/>
      </c>
      <c r="J32" s="27">
        <f>IFERROR(VLOOKUP($A32,subQ,MATCH(J$1,SUBQH,0),0),"")</f>
        <v/>
      </c>
      <c r="K32" s="27">
        <f>IFERROR(VLOOKUP($A32,subQ,MATCH(K$1,SUBQH,0),0),"")</f>
        <v/>
      </c>
      <c r="L32" s="27">
        <f>IFERROR(VLOOKUP($A32,subQ,MATCH(L$1,SUBQH,0),0),"")</f>
        <v/>
      </c>
      <c r="M32" s="27">
        <f>IFERROR(VLOOKUP($A32,subQ,MATCH(M$1,SUBQH,0),0),"")</f>
        <v/>
      </c>
      <c r="N32" s="27">
        <f>IFERROR(VLOOKUP($A32,subQ,MATCH(N$1,SUBQH,0),0),"")</f>
        <v/>
      </c>
      <c r="O32" s="27">
        <f>IFERROR(VLOOKUP($A32,subQ,MATCH(O$1,SUBQH,0),0),"")</f>
        <v/>
      </c>
      <c r="P32" s="27">
        <f>IFERROR(VLOOKUP($A32,subQ,MATCH(P$1,SUBQH,0),0),"")</f>
        <v/>
      </c>
      <c r="Q32" s="27">
        <f>IFERROR(VLOOKUP($A32,subQ,MATCH(Q$1,SUBQH,0),0),"")</f>
        <v/>
      </c>
      <c r="R32" s="27">
        <f>IFERROR(VLOOKUP($A32,subQ,MATCH(R$1,SUBQH,0),0),"")</f>
        <v/>
      </c>
      <c r="S32" s="27">
        <f>IFERROR(VLOOKUP($A32,subQ,MATCH(S$1,SUBQH,0),0),"")</f>
        <v/>
      </c>
      <c r="T32" s="27">
        <f>IFERROR(VLOOKUP($A32,subQ,MATCH(T$1,SUBQH,0),0),"")</f>
        <v/>
      </c>
      <c r="U32" s="27">
        <f>IFERROR(VLOOKUP($A32,subQ,MATCH(U$1,SUBQH,0),0),"")</f>
        <v/>
      </c>
      <c r="V32" s="27">
        <f>IFERROR(VLOOKUP($A32,subQ,MATCH(V$1,SUBQH,0),0),"")</f>
        <v/>
      </c>
      <c r="W32" s="47">
        <f>IFERROR(VLOOKUP($A32,subQ,MATCH(W$1,SUBQH,0),0),"")</f>
        <v/>
      </c>
      <c r="X32" s="33">
        <f>IFERROR(VLOOKUP($A32,subQ,MATCH(X$1,SUBQH,0),0),"")</f>
        <v/>
      </c>
      <c r="Y32" s="33">
        <f>IFERROR(VLOOKUP($A32,subQ,MATCH(Y$1,SUBQH,0),0),"")</f>
        <v/>
      </c>
      <c r="Z32" s="33">
        <f>IFERROR(VLOOKUP($A32,subQ,MATCH(Z$1,SUBQH,0),0),"")</f>
        <v/>
      </c>
      <c r="AA32" s="33">
        <f>IFERROR(VLOOKUP($A32,subQ,MATCH(AA$1,SUBQH,0),0),"")</f>
        <v/>
      </c>
      <c r="AB32" s="33">
        <f>IFERROR(VLOOKUP($A32,subQ,MATCH(AB$1,SUBQH,0),0),"")</f>
        <v/>
      </c>
      <c r="AC32" s="33">
        <f>IFERROR(VLOOKUP($A32,subQ,MATCH(AC$1,SUBQH,0),0),"")</f>
        <v/>
      </c>
      <c r="AD32" s="33">
        <f>IFERROR(VLOOKUP($A32,subQ,MATCH(AD$1,SUBQH,0),0),"")</f>
        <v/>
      </c>
      <c r="AE32" s="33">
        <f>IFERROR(VLOOKUP($A32,subQ,MATCH(AE$1,SUBQH,0),0),"")</f>
        <v/>
      </c>
      <c r="AF32" s="33">
        <f>IFERROR(VLOOKUP($A32,subQ,MATCH(AF$1,SUBQH,0),0),"")</f>
        <v/>
      </c>
      <c r="AG32" s="33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21">
        <f>IFERROR(VLOOKUP($A40,subQ,MATCH(I$1,SUBQH,0),0),"")</f>
        <v/>
      </c>
      <c r="J40" s="21">
        <f>IFERROR(VLOOKUP($A40,subQ,MATCH(J$1,SUBQH,0),0),"")</f>
        <v/>
      </c>
      <c r="K40" s="21">
        <f>IFERROR(VLOOKUP($A40,subQ,MATCH(K$1,SUBQH,0),0),"")</f>
        <v/>
      </c>
      <c r="L40" s="21">
        <f>IFERROR(VLOOKUP($A40,subQ,MATCH(L$1,SUBQH,0),0),"")</f>
        <v/>
      </c>
      <c r="M40" s="21">
        <f>IFERROR(VLOOKUP($A40,subQ,MATCH(M$1,SUBQH,0),0),"")</f>
        <v/>
      </c>
      <c r="N40" s="21">
        <f>IFERROR(VLOOKUP($A40,subQ,MATCH(N$1,SUBQH,0),0),"")</f>
        <v/>
      </c>
      <c r="O40" s="21">
        <f>IFERROR(VLOOKUP($A40,subQ,MATCH(O$1,SUBQH,0),0),"")</f>
        <v/>
      </c>
      <c r="P40" s="21">
        <f>IFERROR(VLOOKUP($A40,subQ,MATCH(P$1,SUBQH,0),0),"")</f>
        <v/>
      </c>
      <c r="Q40" s="21">
        <f>IFERROR(VLOOKUP($A40,subQ,MATCH(Q$1,SUBQH,0),0),"")</f>
        <v/>
      </c>
      <c r="R40" s="21">
        <f>IFERROR(VLOOKUP($A40,subQ,MATCH(R$1,SUBQH,0),0),"")</f>
        <v/>
      </c>
      <c r="S40" s="21">
        <f>IFERROR(VLOOKUP($A40,subQ,MATCH(S$1,SUBQH,0),0),"")</f>
        <v/>
      </c>
      <c r="T40" s="21">
        <f>IFERROR(VLOOKUP($A40,subQ,MATCH(T$1,SUBQH,0),0),"")</f>
        <v/>
      </c>
      <c r="U40" s="21">
        <f>IFERROR(VLOOKUP($A40,subQ,MATCH(U$1,SUBQH,0),0),"")</f>
        <v/>
      </c>
      <c r="V40" s="21">
        <f>IFERROR(VLOOKUP($A40,subQ,MATCH(V$1,SUBQH,0),0),"")</f>
        <v/>
      </c>
      <c r="W40" s="46">
        <f>IFERROR(VLOOKUP($A40,subQ,MATCH(W$1,SUBQH,0),0),"")</f>
        <v/>
      </c>
      <c r="X40" s="32">
        <f>IFERROR(VLOOKUP($A40,subQ,MATCH(X$1,SUBQH,0),0),"")</f>
        <v/>
      </c>
      <c r="Y40" s="32">
        <f>IFERROR(VLOOKUP($A40,subQ,MATCH(Y$1,SUBQH,0),0),"")</f>
        <v/>
      </c>
      <c r="Z40" s="32">
        <f>IFERROR(VLOOKUP($A40,subQ,MATCH(Z$1,SUBQH,0),0),"")</f>
        <v/>
      </c>
      <c r="AA40" s="32">
        <f>IFERROR(VLOOKUP($A40,subQ,MATCH(AA$1,SUBQH,0),0),"")</f>
        <v/>
      </c>
      <c r="AB40" s="32">
        <f>IFERROR(VLOOKUP($A40,subQ,MATCH(AB$1,SUBQH,0),0),"")</f>
        <v/>
      </c>
      <c r="AC40" s="32">
        <f>IFERROR(VLOOKUP($A40,subQ,MATCH(AC$1,SUBQH,0),0),"")</f>
        <v/>
      </c>
      <c r="AD40" s="32">
        <f>IFERROR(VLOOKUP($A40,subQ,MATCH(AD$1,SUBQH,0),0),"")</f>
        <v/>
      </c>
      <c r="AE40" s="32">
        <f>IFERROR(VLOOKUP($A40,subQ,MATCH(AE$1,SUBQH,0),0),"")</f>
        <v/>
      </c>
      <c r="AF40" s="32">
        <f>IFERROR(VLOOKUP($A40,subQ,MATCH(AF$1,SUBQH,0),0),"")</f>
        <v/>
      </c>
      <c r="AG40" s="32">
        <f>IFERROR(VLOOKUP($A40,subQ,MATCH(AG$1,SUBQH,0),0),"")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I41" s="21">
        <f>IFERROR(I5/E5-1,"")</f>
        <v/>
      </c>
      <c r="J41" s="21">
        <f>IFERROR(J5/F5-1,"")</f>
        <v/>
      </c>
      <c r="K41" s="21">
        <f>IFERROR(K5/G5-1,"")</f>
        <v/>
      </c>
      <c r="L41" s="21">
        <f>IFERROR(L5/H5-1,"")</f>
        <v/>
      </c>
      <c r="M41" s="21">
        <f>IFERROR(M5/I5-1,"")</f>
        <v/>
      </c>
      <c r="N41" s="21">
        <f>IFERROR(N5/J5-1,"")</f>
        <v/>
      </c>
      <c r="O41" s="21">
        <f>IFERROR(O5/K5-1,"")</f>
        <v/>
      </c>
      <c r="P41" s="21">
        <f>IFERROR(P5/L5-1,"")</f>
        <v/>
      </c>
      <c r="Q41" s="21">
        <f>IFERROR(Q5/M5-1,"")</f>
        <v/>
      </c>
      <c r="R41" s="21">
        <f>IFERROR(R5/N5-1,"")</f>
        <v/>
      </c>
      <c r="S41" s="21">
        <f>IFERROR(S5/O5-1,"")</f>
        <v/>
      </c>
      <c r="T41" s="21">
        <f>IFERROR(T5/P5-1,"")</f>
        <v/>
      </c>
      <c r="U41" s="21">
        <f>IFERROR(U5/Q5-1,"")</f>
        <v/>
      </c>
      <c r="V41" s="21">
        <f>IFERROR(V5/R5-1,"")</f>
        <v/>
      </c>
      <c r="W41" s="46">
        <f>IFERROR(W5/S5-1,"")</f>
        <v/>
      </c>
      <c r="X41" s="32">
        <f>IFERROR(X5/T5-1,"")</f>
        <v/>
      </c>
      <c r="Y41" s="32">
        <f>IFERROR(Y5/U5-1,"")</f>
        <v/>
      </c>
      <c r="Z41" s="32">
        <f>IFERROR(Z5/V5-1,"")</f>
        <v/>
      </c>
      <c r="AA41" s="32">
        <f>IFERROR(AA5/W5-1,"")</f>
        <v/>
      </c>
      <c r="AB41" s="32">
        <f>IFERROR(AB5/X5-1,"")</f>
        <v/>
      </c>
      <c r="AC41" s="32">
        <f>IFERROR(AC5/Y5-1,"")</f>
        <v/>
      </c>
      <c r="AD41" s="32">
        <f>IFERROR(AD5/Z5-1,"")</f>
        <v/>
      </c>
      <c r="AE41" s="32">
        <f>IFERROR(AE5/AA5-1,"")</f>
        <v/>
      </c>
      <c r="AF41" s="32">
        <f>IFERROR(AF5/AB5-1,"")</f>
        <v/>
      </c>
      <c r="AG41" s="32">
        <f>IFERROR(AG5/AC5-1,"")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I42" s="21">
        <f>IFERROR(I9/E9-1,"")</f>
        <v/>
      </c>
      <c r="J42" s="21">
        <f>IFERROR(J9/F9-1,"")</f>
        <v/>
      </c>
      <c r="K42" s="21">
        <f>IFERROR(K9/G9-1,"")</f>
        <v/>
      </c>
      <c r="L42" s="21">
        <f>IFERROR(L9/H9-1,"")</f>
        <v/>
      </c>
      <c r="M42" s="21">
        <f>IFERROR(M9/I9-1,"")</f>
        <v/>
      </c>
      <c r="N42" s="21">
        <f>IFERROR(N9/J9-1,"")</f>
        <v/>
      </c>
      <c r="O42" s="21">
        <f>IFERROR(O9/K9-1,"")</f>
        <v/>
      </c>
      <c r="P42" s="21">
        <f>IFERROR(P9/L9-1,"")</f>
        <v/>
      </c>
      <c r="Q42" s="21">
        <f>IFERROR(Q9/M9-1,"")</f>
        <v/>
      </c>
      <c r="R42" s="21">
        <f>IFERROR(R9/N9-1,"")</f>
        <v/>
      </c>
      <c r="S42" s="21">
        <f>IFERROR(S9/O9-1,"")</f>
        <v/>
      </c>
      <c r="T42" s="21">
        <f>IFERROR(T9/P9-1,"")</f>
        <v/>
      </c>
      <c r="U42" s="21">
        <f>IFERROR(U9/Q9-1,"")</f>
        <v/>
      </c>
      <c r="V42" s="21">
        <f>IFERROR(V9/R9-1,"")</f>
        <v/>
      </c>
      <c r="W42" s="46">
        <f>IFERROR(W9/S9-1,"")</f>
        <v/>
      </c>
      <c r="X42" s="32">
        <f>IFERROR(X9/T9-1,"")</f>
        <v/>
      </c>
      <c r="Y42" s="32">
        <f>IFERROR(Y9/U9-1,"")</f>
        <v/>
      </c>
      <c r="Z42" s="32">
        <f>IFERROR(Z9/V9-1,"")</f>
        <v/>
      </c>
      <c r="AA42" s="32">
        <f>IFERROR(AA9/W9-1,"")</f>
        <v/>
      </c>
      <c r="AB42" s="32">
        <f>IFERROR(AB9/X9-1,"")</f>
        <v/>
      </c>
      <c r="AC42" s="32">
        <f>IFERROR(AC9/Y9-1,"")</f>
        <v/>
      </c>
      <c r="AD42" s="32">
        <f>IFERROR(AD9/Z9-1,"")</f>
        <v/>
      </c>
      <c r="AE42" s="32">
        <f>IFERROR(AE9/AA9-1,"")</f>
        <v/>
      </c>
      <c r="AF42" s="32">
        <f>IFERROR(AF9/AB9-1,"")</f>
        <v/>
      </c>
      <c r="AG42" s="32">
        <f>IFERROR(AG9/AC9-1,"")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I43" s="21">
        <f>IFERROR(I21/E21-1,"")</f>
        <v/>
      </c>
      <c r="J43" s="21">
        <f>IFERROR(J21/F21-1,"")</f>
        <v/>
      </c>
      <c r="K43" s="21">
        <f>IFERROR(K21/G21-1,"")</f>
        <v/>
      </c>
      <c r="L43" s="21">
        <f>IFERROR(L21/H21-1,"")</f>
        <v/>
      </c>
      <c r="M43" s="21">
        <f>IFERROR(M21/I21-1,"")</f>
        <v/>
      </c>
      <c r="N43" s="21">
        <f>IFERROR(N21/J21-1,"")</f>
        <v/>
      </c>
      <c r="O43" s="21">
        <f>IFERROR(O21/K21-1,"")</f>
        <v/>
      </c>
      <c r="P43" s="21">
        <f>IFERROR(P21/L21-1,"")</f>
        <v/>
      </c>
      <c r="Q43" s="21">
        <f>IFERROR(Q21/M21-1,"")</f>
        <v/>
      </c>
      <c r="R43" s="21">
        <f>IFERROR(R21/N21-1,"")</f>
        <v/>
      </c>
      <c r="S43" s="21">
        <f>IFERROR(S21/O21-1,"")</f>
        <v/>
      </c>
      <c r="T43" s="21">
        <f>IFERROR(T21/P21-1,"")</f>
        <v/>
      </c>
      <c r="U43" s="21">
        <f>IFERROR(U21/Q21-1,"")</f>
        <v/>
      </c>
      <c r="V43" s="21">
        <f>IFERROR(V21/R21-1,"")</f>
        <v/>
      </c>
      <c r="W43" s="46">
        <f>IFERROR(W21/S21-1,"")</f>
        <v/>
      </c>
      <c r="X43" s="32">
        <f>IFERROR(X21/T21-1,"")</f>
        <v/>
      </c>
      <c r="Y43" s="32">
        <f>IFERROR(Y21/U21-1,"")</f>
        <v/>
      </c>
      <c r="Z43" s="32">
        <f>IFERROR(Z21/V21-1,"")</f>
        <v/>
      </c>
      <c r="AA43" s="32">
        <f>IFERROR(AA21/W21-1,"")</f>
        <v/>
      </c>
      <c r="AB43" s="32">
        <f>IFERROR(AB21/X21-1,"")</f>
        <v/>
      </c>
      <c r="AC43" s="32">
        <f>IFERROR(AC21/Y21-1,"")</f>
        <v/>
      </c>
      <c r="AD43" s="32">
        <f>IFERROR(AD21/Z21-1,"")</f>
        <v/>
      </c>
      <c r="AE43" s="32">
        <f>IFERROR(AE21/AA21-1,"")</f>
        <v/>
      </c>
      <c r="AF43" s="32">
        <f>IFERROR(AF21/AB21-1,"")</f>
        <v/>
      </c>
      <c r="AG43" s="32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47">
        <f>IFERROR(VLOOKUP($A32,subQ,MATCH(I$1,SUBQH,0),0),"")</f>
        <v/>
      </c>
      <c r="J32" s="33">
        <f>IFERROR(VLOOKUP($A32,subQ,MATCH(J$1,SUBQH,0),0),"")</f>
        <v/>
      </c>
      <c r="K32" s="33">
        <f>IFERROR(VLOOKUP($A32,subQ,MATCH(K$1,SUBQH,0),0),"")</f>
        <v/>
      </c>
      <c r="L32" s="33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46">
        <f>IFERROR(VLOOKUP($A40,subQ,MATCH(I$1,SUBQH,0),0),"")</f>
        <v/>
      </c>
      <c r="J40" s="32">
        <f>IFERROR(VLOOKUP($A40,subQ,MATCH(J$1,SUBQH,0),0),"")</f>
        <v/>
      </c>
      <c r="K40" s="32">
        <f>IFERROR(VLOOKUP($A40,subQ,MATCH(K$1,SUBQH,0),0),"")</f>
        <v/>
      </c>
      <c r="L40" s="32">
        <f>IFERROR(VLOOKUP($A40,subQ,MATCH(L$1,SUBQH,0),0),"")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F41" s="21">
        <f>IFERROR(F5/E5-1,"")</f>
        <v/>
      </c>
      <c r="G41" s="21">
        <f>IFERROR(G5/F5-1,"")</f>
        <v/>
      </c>
      <c r="H41" s="21">
        <f>IFERROR(H5/G5-1,"")</f>
        <v/>
      </c>
      <c r="I41" s="46">
        <f>IFERROR(I5/H5-1,"")</f>
        <v/>
      </c>
      <c r="J41" s="32">
        <f>IFERROR(J5/I5-1,"")</f>
        <v/>
      </c>
      <c r="K41" s="32">
        <f>IFERROR(K5/J5-1,"")</f>
        <v/>
      </c>
      <c r="L41" s="32">
        <f>IFERROR(L5/K5-1,"")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F42" s="21">
        <f>IFERROR(F9/E9-1,"")</f>
        <v/>
      </c>
      <c r="G42" s="21">
        <f>IFERROR(G9/F9-1,"")</f>
        <v/>
      </c>
      <c r="H42" s="21">
        <f>IFERROR(H9/G9-1,"")</f>
        <v/>
      </c>
      <c r="I42" s="46">
        <f>IFERROR(I9/H9-1,"")</f>
        <v/>
      </c>
      <c r="J42" s="32">
        <f>IFERROR(J9/I9-1,"")</f>
        <v/>
      </c>
      <c r="K42" s="32">
        <f>IFERROR(K9/J9-1,"")</f>
        <v/>
      </c>
      <c r="L42" s="32">
        <f>IFERROR(L9/K9-1,"")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F43" s="21">
        <f>IFERROR(F21/E21-1,"")</f>
        <v/>
      </c>
      <c r="G43" s="21">
        <f>IFERROR(G21/F21-1,"")</f>
        <v/>
      </c>
      <c r="H43" s="21">
        <f>IFERROR(H21/G21-1,"")</f>
        <v/>
      </c>
      <c r="I43" s="46">
        <f>IFERROR(I21/H21-1,"")</f>
        <v/>
      </c>
      <c r="J43" s="32">
        <f>IFERROR(J21/I21-1,"")</f>
        <v/>
      </c>
      <c r="K43" s="32">
        <f>IFERROR(K21/J21-1,"")</f>
        <v/>
      </c>
      <c r="L43" s="32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1521.4</v>
      </c>
    </row>
    <row r="30">
      <c r="C30" s="2" t="inlineStr">
        <is>
          <t>bps_latest</t>
        </is>
      </c>
      <c r="D30" t="n">
        <v>7788.4</v>
      </c>
    </row>
    <row r="31">
      <c r="C31" s="2" t="inlineStr">
        <is>
          <t>per_now</t>
        </is>
      </c>
      <c r="D31" t="n">
        <v>24.58</v>
      </c>
    </row>
    <row r="32">
      <c r="C32" s="2" t="inlineStr">
        <is>
          <t>pbr_now</t>
        </is>
      </c>
      <c r="D32" t="n">
        <v>4.8</v>
      </c>
    </row>
    <row r="33">
      <c r="C33" s="2" t="inlineStr">
        <is>
          <t>roe_fwd</t>
        </is>
      </c>
      <c r="D33" t="n">
        <v>0.1953</v>
      </c>
    </row>
    <row r="34">
      <c r="C34" s="2" t="inlineStr">
        <is>
          <t>fair_pbr</t>
        </is>
      </c>
      <c r="D34" t="n">
        <v>2.17</v>
      </c>
    </row>
    <row r="35">
      <c r="C35" s="2" t="inlineStr">
        <is>
          <t>fair_value_pbr</t>
        </is>
      </c>
      <c r="D35" t="n">
        <v>16900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