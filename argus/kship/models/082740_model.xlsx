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BS연결!$C$5:$AO$111</definedName>
    <definedName name="BS별도H">BS별도!$C$1:$AO$1</definedName>
    <definedName name="BS별도">BS별도!$C$5:$AO$110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138537억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146053억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152887억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148598억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148286억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146891억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144338억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135330억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모델값 역산(implied): v / 매출액
매출액 × 판관비율 4.58%(최근 4분기 중위)</t>
      </text>
    </comment>
    <comment ref="AD22" authorId="0" shapeId="0">
      <text>
        <t>모델값 역산(implied): v / 매출액
매출액 × 판관비율 4.58%(최근 4분기 중위)</t>
      </text>
    </comment>
    <comment ref="AF22" authorId="0" shapeId="0">
      <text>
        <t>모델값 역산(implied): v / 매출액
매출액 × 판관비율 4.58%(최근 4분기 중위)</t>
      </text>
    </comment>
    <comment ref="AG22" authorId="0" shapeId="0">
      <text>
        <t>모델값 역산(implied): v / 매출액
매출액 × 판관비율 4.58%(최근 4분기 중위)</t>
      </text>
    </comment>
    <comment ref="AH22" authorId="0" shapeId="0">
      <text>
        <t>모델값 역산(implied): v / 매출액
매출액 × 판관비율 4.58%(최근 4분기 중위)</t>
      </text>
    </comment>
    <comment ref="AI22" authorId="0" shapeId="0">
      <text>
        <t>모델값 역산(implied): v / 매출액
매출액 × 판관비율 4.58%(최근 4분기 중위)</t>
      </text>
    </comment>
    <comment ref="AK22" authorId="0" shapeId="0">
      <text>
        <t>모델값 역산(implied): v / 매출액
매출액 × 판관비율 4.58%(최근 4분기 중위)</t>
      </text>
    </comment>
    <comment ref="AL22" authorId="0" shapeId="0">
      <text>
        <t>모델값 역산(implied): v / 매출액
매출액 × 판관비율 4.58%(최근 4분기 중위)</t>
      </text>
    </comment>
    <comment ref="AM22" authorId="0" shapeId="0">
      <text>
        <t>모델값 역산(implied): v / 매출액
매출액 × 판관비율 4.58%(최근 4분기 중위)</t>
      </text>
    </comment>
    <comment ref="AN22" authorId="0" shapeId="0">
      <text>
        <t>모델값 역산(implied): v / 매출액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v / 전년동기 − 1
최근 8분기 OPM 중위 8.8% 유지</t>
      </text>
    </comment>
    <comment ref="AD24" authorId="0" shapeId="0">
      <text>
        <t>모델값 역산(implied): v / 전년동기 − 1
최근 8분기 OPM 중위 8.8% 유지</t>
      </text>
    </comment>
    <comment ref="AF24" authorId="0" shapeId="0">
      <text>
        <t>모델값 역산(implied): v / 전년동기 − 1
최근 8분기 OPM 중위 8.8% 유지</t>
      </text>
    </comment>
    <comment ref="AG24" authorId="0" shapeId="0">
      <text>
        <t>모델값 역산(implied): v / 전년동기 − 1
최근 8분기 OPM 중위 8.8% 유지</t>
      </text>
    </comment>
    <comment ref="AH24" authorId="0" shapeId="0">
      <text>
        <t>모델값 역산(implied): v / 전년동기 − 1
최근 8분기 OPM 중위 8.8% 유지</t>
      </text>
    </comment>
    <comment ref="AI24" authorId="0" shapeId="0">
      <text>
        <t>모델값 역산(implied): v / 전년동기 − 1
최근 8분기 OPM 중위 8.8% 유지</t>
      </text>
    </comment>
    <comment ref="AK24" authorId="0" shapeId="0">
      <text>
        <t>모델값 역산(implied): v / 전년동기 − 1
최근 8분기 OPM 중위 8.8% 유지</t>
      </text>
    </comment>
    <comment ref="AL24" authorId="0" shapeId="0">
      <text>
        <t>모델값 역산(implied): v / 전년동기 − 1
최근 8분기 OPM 중위 8.8% 유지</t>
      </text>
    </comment>
    <comment ref="AM24" authorId="0" shapeId="0">
      <text>
        <t>모델값 역산(implied): v / 전년동기 − 1
최근 8분기 OPM 중위 8.8% 유지</t>
      </text>
    </comment>
    <comment ref="AN24" authorId="0" shapeId="0">
      <text>
        <t>모델값 역산(implied): v / 전년동기 − 1
최근 8분기 OPM 중위 8.8% 유지</t>
      </text>
    </comment>
    <comment ref="AC25" authorId="0" shapeId="0">
      <text>
        <t>모델값 역산(implied): 모델 v 그대로
이자손익 = 이자발생자산 3071억 × 3.93% − 총차입금 0억 × 3.56% (연율, CF 실측) ÷ 4; 환·평가손익 0 가정</t>
      </text>
    </comment>
    <comment ref="AD25" authorId="0" shapeId="0">
      <text>
        <t>모델값 역산(implied): 모델 v 그대로
이자손익 = 이자발생자산 3389억 × 3.93% − 총차입금 0억 × 3.56% (연율, CF 실측) ÷ 4; 환·평가손익 0 가정</t>
      </text>
    </comment>
    <comment ref="AF25" authorId="0" shapeId="0">
      <text>
        <t>모델값 역산(implied): 모델 v 그대로
이자손익 = 이자발생자산 3823억 × 3.93% − 총차입금 0억 × 3.56% (연율, CF 실측) ÷ 4; 환·평가손익 0 가정</t>
      </text>
    </comment>
    <comment ref="AG25" authorId="0" shapeId="0">
      <text>
        <t>모델값 역산(implied): 모델 v 그대로
이자손익 = 이자발생자산 4212억 × 3.93% − 총차입금 0억 × 3.56% (연율, CF 실측) ÷ 4; 환·평가손익 0 가정</t>
      </text>
    </comment>
    <comment ref="AH25" authorId="0" shapeId="0">
      <text>
        <t>모델값 역산(implied): 모델 v 그대로
이자손익 = 이자발생자산 4641억 × 3.93% − 총차입금 0억 × 3.56% (연율, CF 실측) ÷ 4; 환·평가손익 0 가정</t>
      </text>
    </comment>
    <comment ref="AI25" authorId="0" shapeId="0">
      <text>
        <t>모델값 역산(implied): 모델 v 그대로
이자손익 = 이자발생자산 5059억 × 3.93% − 총차입금 0억 × 3.56% (연율, CF 실측) ÷ 4; 환·평가손익 0 가정</t>
      </text>
    </comment>
    <comment ref="AK25" authorId="0" shapeId="0">
      <text>
        <t>모델값 역산(implied): 모델 v 그대로
이자손익 = 이자발생자산 5568억 × 3.93% − 총차입금 0억 × 3.56% (연율, CF 실측) ÷ 4; 환·평가손익 0 가정</t>
      </text>
    </comment>
    <comment ref="AL25" authorId="0" shapeId="0">
      <text>
        <t>모델값 역산(implied): 모델 v 그대로
이자손익 = 이자발생자산 5998억 × 3.93% − 총차입금 0억 × 3.56% (연율, CF 실측) ÷ 4; 환·평가손익 0 가정</t>
      </text>
    </comment>
    <comment ref="AM25" authorId="0" shapeId="0">
      <text>
        <t>모델값 역산(implied): 모델 v 그대로
이자손익 = 이자발생자산 6445억 × 3.93% − 총차입금 0억 × 3.56% (연율, CF 실측) ÷ 4; 환·평가손익 0 가정</t>
      </text>
    </comment>
    <comment ref="AN25" authorId="0" shapeId="0">
      <text>
        <t>모델값 역산(implied): 모델 v 그대로
이자손익 = 이자발생자산 6859억 × 3.93% − 총차입금 0억 × 3.56%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-12.9% → 5~27% 클립)</t>
      </text>
    </comment>
    <comment ref="AD28" authorId="0" shapeId="0">
      <text>
        <t>모델값 역산(implied): v / 세전이익
max(세전, 0) × 세율 5.0%(최근 12분기 유효세율 -12.9% → 5~27% 클립)</t>
      </text>
    </comment>
    <comment ref="AF28" authorId="0" shapeId="0">
      <text>
        <t>모델값 역산(implied): v / 세전이익
max(세전, 0) × 세율 5.0%(최근 12분기 유효세율 -12.9% → 5~27% 클립)</t>
      </text>
    </comment>
    <comment ref="AG28" authorId="0" shapeId="0">
      <text>
        <t>모델값 역산(implied): v / 세전이익
max(세전, 0) × 세율 5.0%(최근 12분기 유효세율 -12.9% → 5~27% 클립)</t>
      </text>
    </comment>
    <comment ref="AH28" authorId="0" shapeId="0">
      <text>
        <t>모델값 역산(implied): v / 세전이익
max(세전, 0) × 세율 5.0%(최근 12분기 유효세율 -12.9% → 5~27% 클립)</t>
      </text>
    </comment>
    <comment ref="AI28" authorId="0" shapeId="0">
      <text>
        <t>모델값 역산(implied): v / 세전이익
max(세전, 0) × 세율 5.0%(최근 12분기 유효세율 -12.9% → 5~27% 클립)</t>
      </text>
    </comment>
    <comment ref="AK28" authorId="0" shapeId="0">
      <text>
        <t>모델값 역산(implied): v / 세전이익
max(세전, 0) × 세율 5.0%(최근 12분기 유효세율 -12.9% → 5~27% 클립)</t>
      </text>
    </comment>
    <comment ref="AL28" authorId="0" shapeId="0">
      <text>
        <t>모델값 역산(implied): v / 세전이익
max(세전, 0) × 세율 5.0%(최근 12분기 유효세율 -12.9% → 5~27% 클립)</t>
      </text>
    </comment>
    <comment ref="AM28" authorId="0" shapeId="0">
      <text>
        <t>모델값 역산(implied): v / 세전이익
max(세전, 0) × 세율 5.0%(최근 12분기 유효세율 -12.9% → 5~27% 클립)</t>
      </text>
    </comment>
    <comment ref="AN28" authorId="0" shapeId="0">
      <text>
        <t>모델값 역산(implied): v / 세전이익
max(세전, 0) × 세율 5.0%(최근 12분기 유효세율 -12.9%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138537억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146053억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152887억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148598억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148286억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146891억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144338억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135330억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8.8% 유지
[yoy]</t>
      </text>
    </comment>
    <comment ref="AD10" authorId="0" shapeId="0">
      <text>
        <t>추정: 최근 8분기 OPM 중위 8.8% 유지
[yoy]</t>
      </text>
    </comment>
    <comment ref="AF10" authorId="0" shapeId="0">
      <text>
        <t>추정: 최근 8분기 OPM 중위 8.8% 유지
[yoy]</t>
      </text>
    </comment>
    <comment ref="AG10" authorId="0" shapeId="0">
      <text>
        <t>추정: 최근 8분기 OPM 중위 8.8% 유지
[yoy]</t>
      </text>
    </comment>
    <comment ref="AH10" authorId="0" shapeId="0">
      <text>
        <t>추정: 최근 8분기 OPM 중위 8.8% 유지
[yoy]</t>
      </text>
    </comment>
    <comment ref="AI10" authorId="0" shapeId="0">
      <text>
        <t>추정: 최근 8분기 OPM 중위 8.8% 유지
[yoy]</t>
      </text>
    </comment>
    <comment ref="AK10" authorId="0" shapeId="0">
      <text>
        <t>추정: 최근 8분기 OPM 중위 8.8% 유지
[yoy]</t>
      </text>
    </comment>
    <comment ref="AL10" authorId="0" shapeId="0">
      <text>
        <t>추정: 최근 8분기 OPM 중위 8.8% 유지
[yoy]</t>
      </text>
    </comment>
    <comment ref="AM10" authorId="0" shapeId="0">
      <text>
        <t>추정: 최근 8분기 OPM 중위 8.8% 유지
[yoy]</t>
      </text>
    </comment>
    <comment ref="AN10" authorId="0" shapeId="0">
      <text>
        <t>추정: 최근 8분기 OPM 중위 8.8% 유지
[yoy]</t>
      </text>
    </comment>
    <comment ref="AC11" authorId="0" shapeId="0">
      <text>
        <t>추정: 이자손익 = 이자발생자산 3071억 × 3.93% − 총차입금 0억 × 3.56% (연율, CF 실측) ÷ 4; 환·평가손익 0 가정
[abs]</t>
      </text>
    </comment>
    <comment ref="AD11" authorId="0" shapeId="0">
      <text>
        <t>추정: 이자손익 = 이자발생자산 3389억 × 3.93% − 총차입금 0억 × 3.56% (연율, CF 실측) ÷ 4; 환·평가손익 0 가정
[abs]</t>
      </text>
    </comment>
    <comment ref="AF11" authorId="0" shapeId="0">
      <text>
        <t>추정: 이자손익 = 이자발생자산 3823억 × 3.93% − 총차입금 0억 × 3.56% (연율, CF 실측) ÷ 4; 환·평가손익 0 가정
[abs]</t>
      </text>
    </comment>
    <comment ref="AG11" authorId="0" shapeId="0">
      <text>
        <t>추정: 이자손익 = 이자발생자산 4212억 × 3.93% − 총차입금 0억 × 3.56% (연율, CF 실측) ÷ 4; 환·평가손익 0 가정
[abs]</t>
      </text>
    </comment>
    <comment ref="AH11" authorId="0" shapeId="0">
      <text>
        <t>추정: 이자손익 = 이자발생자산 4641억 × 3.93% − 총차입금 0억 × 3.56% (연율, CF 실측) ÷ 4; 환·평가손익 0 가정
[abs]</t>
      </text>
    </comment>
    <comment ref="AI11" authorId="0" shapeId="0">
      <text>
        <t>추정: 이자손익 = 이자발생자산 5059억 × 3.93% − 총차입금 0억 × 3.56% (연율, CF 실측) ÷ 4; 환·평가손익 0 가정
[abs]</t>
      </text>
    </comment>
    <comment ref="AK11" authorId="0" shapeId="0">
      <text>
        <t>추정: 이자손익 = 이자발생자산 5568억 × 3.93% − 총차입금 0억 × 3.56% (연율, CF 실측) ÷ 4; 환·평가손익 0 가정
[abs]</t>
      </text>
    </comment>
    <comment ref="AL11" authorId="0" shapeId="0">
      <text>
        <t>추정: 이자손익 = 이자발생자산 5998억 × 3.93% − 총차입금 0억 × 3.56% (연율, CF 실측) ÷ 4; 환·평가손익 0 가정
[abs]</t>
      </text>
    </comment>
    <comment ref="AM11" authorId="0" shapeId="0">
      <text>
        <t>추정: 이자손익 = 이자발생자산 6445억 × 3.93% − 총차입금 0억 × 3.56% (연율, CF 실측) ÷ 4; 환·평가손익 0 가정
[abs]</t>
      </text>
    </comment>
    <comment ref="AN11" authorId="0" shapeId="0">
      <text>
        <t>추정: 이자손익 = 이자발생자산 6859억 × 3.93% − 총차입금 0억 × 3.56%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-12.9% → 5~27% 클립)
[ratio]</t>
      </text>
    </comment>
    <comment ref="AD15" authorId="0" shapeId="0">
      <text>
        <t>추정: max(세전, 0) × 세율 5.0%(최근 12분기 유효세율 -12.9% → 5~27% 클립)
[ratio]</t>
      </text>
    </comment>
    <comment ref="AF15" authorId="0" shapeId="0">
      <text>
        <t>추정: max(세전, 0) × 세율 5.0%(최근 12분기 유효세율 -12.9% → 5~27% 클립)
[ratio]</t>
      </text>
    </comment>
    <comment ref="AG15" authorId="0" shapeId="0">
      <text>
        <t>추정: max(세전, 0) × 세율 5.0%(최근 12분기 유효세율 -12.9% → 5~27% 클립)
[ratio]</t>
      </text>
    </comment>
    <comment ref="AH15" authorId="0" shapeId="0">
      <text>
        <t>추정: max(세전, 0) × 세율 5.0%(최근 12분기 유효세율 -12.9% → 5~27% 클립)
[ratio]</t>
      </text>
    </comment>
    <comment ref="AI15" authorId="0" shapeId="0">
      <text>
        <t>추정: max(세전, 0) × 세율 5.0%(최근 12분기 유효세율 -12.9% → 5~27% 클립)
[ratio]</t>
      </text>
    </comment>
    <comment ref="AK15" authorId="0" shapeId="0">
      <text>
        <t>추정: max(세전, 0) × 세율 5.0%(최근 12분기 유효세율 -12.9% → 5~27% 클립)
[ratio]</t>
      </text>
    </comment>
    <comment ref="AL15" authorId="0" shapeId="0">
      <text>
        <t>추정: max(세전, 0) × 세율 5.0%(최근 12분기 유효세율 -12.9% → 5~27% 클립)
[ratio]</t>
      </text>
    </comment>
    <comment ref="AM15" authorId="0" shapeId="0">
      <text>
        <t>추정: max(세전, 0) × 세율 5.0%(최근 12분기 유효세율 -12.9% → 5~27% 클립)
[ratio]</t>
      </text>
    </comment>
    <comment ref="AN15" authorId="0" shapeId="0">
      <text>
        <t>추정: max(세전, 0) × 세율 5.0%(최근 12분기 유효세율 -12.9%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fin.sep.cf.영업활동으로인한현금흐름 (연결 손익 없는 분기 → 별도 보충)</t>
      </text>
    </comment>
    <comment ref="O27" authorId="0" shapeId="0">
      <text>
        <t>실측(계정 매핑 없음 — 모델값 직접) — fin.sep.cf.영업활동으로인한현금흐름 (연결 손익 없는 분기 → 별도 보충)</t>
      </text>
    </comment>
    <comment ref="Q27" authorId="0" shapeId="0">
      <text>
        <t>실측(계정 매핑 없음 — 모델값 직접) — fin.sep.cf.영업활동으로인한현금흐름 (연결 손익 없는 분기 → 별도 보충)</t>
      </text>
    </comment>
    <comment ref="R27" authorId="0" shapeId="0">
      <text>
        <t>실측(계정 매핑 없음 — 모델값 직접) — fin.sep.cf.영업활동으로인한현금흐름 (연결 손익 없는 분기 → 별도 보충)</t>
      </text>
    </comment>
    <comment ref="S27" authorId="0" shapeId="0">
      <text>
        <t>실측(계정 매핑 없음 — 모델값 직접) — fin.sep.cf.영업활동으로인한현금흐름 (연결 손익 없는 분기 → 별도 보충)</t>
      </text>
    </comment>
    <comment ref="T27" authorId="0" shapeId="0">
      <text>
        <t>실측(계정 매핑 없음 — 모델값 직접) — fin.sep.cf.영업활동으로인한현금흐름 (연결 손익 없는 분기 → 별도 보충)</t>
      </text>
    </comment>
    <comment ref="V27" authorId="0" shapeId="0">
      <text>
        <t>실측(계정 매핑 없음 — 모델값 직접) — fin.sep.cf.영업활동으로인한현금흐름 (연결 손익 없는 분기 → 별도 보충)</t>
      </text>
    </comment>
    <comment ref="W27" authorId="0" shapeId="0">
      <text>
        <t>실측(계정 매핑 없음 — 모델값 직접) — fin.sep.cf.영업활동으로인한현금흐름 (연결 손익 없는 분기 → 별도 보충)</t>
      </text>
    </comment>
    <comment ref="X27" authorId="0" shapeId="0">
      <text>
        <t>실측(계정 매핑 없음 — 모델값 직접) — fin.sep.cf.영업활동으로인한현금흐름 (연결 손익 없는 분기 → 별도 보충)</t>
      </text>
    </comment>
    <comment ref="Y27" authorId="0" shapeId="0">
      <text>
        <t>실측(계정 매핑 없음 — 모델값 직접) — fin.sep.cf.영업활동으로인한현금흐름 (연결 손익 없는 분기 → 별도 보충)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M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assets/models/082740.json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</t>
        </is>
      </c>
    </row>
    <row r="22">
      <c r="A22" t="inlineStr">
        <is>
          <t>백테스트: {"freeze": "2025Q2", "horizon": 4, "revenue_wape_pct": 9.7, "op_wape_pct": 44.3,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6543</v>
      </c>
      <c r="F15" s="9" t="n"/>
      <c r="G15" s="18" t="n">
        <v>7202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28550</v>
      </c>
      <c r="X15" s="18" t="n">
        <v>44900</v>
      </c>
      <c r="Y15" s="18" t="n">
        <v>42950</v>
      </c>
      <c r="Z15" s="9" t="n"/>
      <c r="AA15" s="18" t="n">
        <v>43200</v>
      </c>
      <c r="AB15" s="19" t="n">
        <v>52000</v>
      </c>
      <c r="AC15" s="20" t="n">
        <v>49350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7429</v>
      </c>
      <c r="F16" s="9" t="n"/>
      <c r="G16" s="18" t="n">
        <v>8198</v>
      </c>
      <c r="H16" s="18" t="n">
        <v>8786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59500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5570</v>
      </c>
      <c r="F17" s="9" t="n"/>
      <c r="G17" s="18" t="n">
        <v>6307</v>
      </c>
      <c r="H17" s="18" t="n">
        <v>6182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19930</v>
      </c>
      <c r="X17" s="18" t="n">
        <v>24500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6396.7</v>
      </c>
      <c r="F18" s="9" t="n"/>
      <c r="G18" s="18" t="n">
        <v>7130.6</v>
      </c>
      <c r="H18" s="18" t="n">
        <v>7540.3</v>
      </c>
      <c r="I18" s="18" t="n">
        <v>7942.8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27168.3</v>
      </c>
      <c r="X18" s="18" t="n">
        <v>37539.2</v>
      </c>
      <c r="Y18" s="18" t="n">
        <v>44940.7</v>
      </c>
      <c r="Z18" s="9" t="n"/>
      <c r="AA18" s="18" t="n">
        <v>51393.2</v>
      </c>
      <c r="AB18" s="19" t="n">
        <v>62336.9</v>
      </c>
      <c r="AC18" s="20" t="n">
        <v>46899.2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0.157227</v>
      </c>
      <c r="AD21" s="24" t="n">
        <v>0.305452</v>
      </c>
      <c r="AE21" s="25" t="n"/>
      <c r="AF21" s="24" t="n">
        <v>0.218401</v>
      </c>
      <c r="AG21" s="24" t="n">
        <v>0.281103</v>
      </c>
      <c r="AH21" s="24" t="n">
        <v>0.298414</v>
      </c>
      <c r="AI21" s="24" t="n">
        <v>0.146306</v>
      </c>
      <c r="AJ21" s="25" t="n"/>
      <c r="AK21" s="24" t="n">
        <v>0.070369</v>
      </c>
      <c r="AL21" s="24" t="n">
        <v>0.005741</v>
      </c>
      <c r="AM21" s="24" t="n">
        <v>-0.055918</v>
      </c>
      <c r="AN21" s="24" t="n">
        <v>-0.08928899999999999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0.045778</v>
      </c>
      <c r="AD22" s="24" t="n">
        <v>0.045776</v>
      </c>
      <c r="AE22" s="25">
        <f>IFERROR(subQ!AE8/subQ!AE5,"")</f>
        <v/>
      </c>
      <c r="AF22" s="24" t="n">
        <v>0.045778</v>
      </c>
      <c r="AG22" s="24" t="n">
        <v>0.045776</v>
      </c>
      <c r="AH22" s="24" t="n">
        <v>0.045777</v>
      </c>
      <c r="AI22" s="24" t="n">
        <v>0.045776</v>
      </c>
      <c r="AJ22" s="25">
        <f>IFERROR(subQ!AJ8/subQ!AJ5,"")</f>
        <v/>
      </c>
      <c r="AK22" s="24" t="n">
        <v>0.045778</v>
      </c>
      <c r="AL22" s="24" t="n">
        <v>0.045776</v>
      </c>
      <c r="AM22" s="24" t="n">
        <v>0.045776</v>
      </c>
      <c r="AN22" s="24" t="n">
        <v>0.045776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0.088342</v>
      </c>
      <c r="AD23" s="24" t="n">
        <v>0.088339</v>
      </c>
      <c r="AE23" s="25">
        <f>IFERROR(subQ!AE9/subQ!AE5,"")</f>
        <v/>
      </c>
      <c r="AF23" s="24" t="n">
        <v>0.088339</v>
      </c>
      <c r="AG23" s="24" t="n">
        <v>0.088339</v>
      </c>
      <c r="AH23" s="24" t="n">
        <v>0.088339</v>
      </c>
      <c r="AI23" s="24" t="n">
        <v>0.088341</v>
      </c>
      <c r="AJ23" s="25">
        <f>IFERROR(subQ!AJ9/subQ!AJ5,"")</f>
        <v/>
      </c>
      <c r="AK23" s="24" t="n">
        <v>0.08834</v>
      </c>
      <c r="AL23" s="24" t="n">
        <v>0.088341</v>
      </c>
      <c r="AM23" s="24" t="n">
        <v>0.088339</v>
      </c>
      <c r="AN23" s="24" t="n">
        <v>0.08834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-0.014509</v>
      </c>
      <c r="AD24" s="24" t="n">
        <v>-0.313908</v>
      </c>
      <c r="AE24" s="25" t="n"/>
      <c r="AF24" s="24" t="n">
        <v>-0.406586</v>
      </c>
      <c r="AG24" s="24" t="n">
        <v>-0.156638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30.16</v>
      </c>
      <c r="AD25" s="29" t="n">
        <v>33.27</v>
      </c>
      <c r="AE25" s="30">
        <f>subQ!AE11</f>
        <v/>
      </c>
      <c r="AF25" s="29" t="n">
        <v>37.54</v>
      </c>
      <c r="AG25" s="29" t="n">
        <v>41.36</v>
      </c>
      <c r="AH25" s="29" t="n">
        <v>45.57</v>
      </c>
      <c r="AI25" s="29" t="n">
        <v>49.67</v>
      </c>
      <c r="AJ25" s="30">
        <f>subQ!AJ11</f>
        <v/>
      </c>
      <c r="AK25" s="29" t="n">
        <v>54.67</v>
      </c>
      <c r="AL25" s="29" t="n">
        <v>58.89</v>
      </c>
      <c r="AM25" s="29" t="n">
        <v>63.28</v>
      </c>
      <c r="AN25" s="29" t="n">
        <v>67.34999999999999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-0.04</v>
      </c>
      <c r="AD27" s="29" t="n">
        <v>-0.04</v>
      </c>
      <c r="AE27" s="30">
        <f>subQ!AE13</f>
        <v/>
      </c>
      <c r="AF27" s="29" t="n">
        <v>-0.04</v>
      </c>
      <c r="AG27" s="29" t="n">
        <v>-0.04</v>
      </c>
      <c r="AH27" s="29" t="n">
        <v>-0.04</v>
      </c>
      <c r="AI27" s="29" t="n">
        <v>-0.04</v>
      </c>
      <c r="AJ27" s="30">
        <f>subQ!AJ13</f>
        <v/>
      </c>
      <c r="AK27" s="29" t="n">
        <v>-0.04</v>
      </c>
      <c r="AL27" s="29" t="n">
        <v>-0.04</v>
      </c>
      <c r="AM27" s="29" t="n">
        <v>-0.04</v>
      </c>
      <c r="AN27" s="29" t="n">
        <v>-0.04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0.049987</v>
      </c>
      <c r="AD28" s="24" t="n">
        <v>0.049997</v>
      </c>
      <c r="AE28" s="25">
        <f>IFERROR(subQ!AE15/subQ!AE14,"")</f>
        <v/>
      </c>
      <c r="AF28" s="24" t="n">
        <v>0.049988</v>
      </c>
      <c r="AG28" s="24" t="n">
        <v>0.049994</v>
      </c>
      <c r="AH28" s="24" t="n">
        <v>0.049999</v>
      </c>
      <c r="AI28" s="24" t="n">
        <v>0.049992</v>
      </c>
      <c r="AJ28" s="25">
        <f>IFERROR(subQ!AJ15/subQ!AJ14,"")</f>
        <v/>
      </c>
      <c r="AK28" s="24" t="n">
        <v>0.050003</v>
      </c>
      <c r="AL28" s="24" t="n">
        <v>0.050006</v>
      </c>
      <c r="AM28" s="24" t="n">
        <v>0.049993</v>
      </c>
      <c r="AN28" s="24" t="n">
        <v>0.050005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-0.0012</v>
      </c>
      <c r="AD31" s="29" t="n">
        <v>0</v>
      </c>
      <c r="AE31" s="30" t="n"/>
      <c r="AF31" s="29" t="n">
        <v>0</v>
      </c>
      <c r="AG31" s="29" t="n">
        <v>-0</v>
      </c>
      <c r="AH31" s="29" t="n">
        <v>0</v>
      </c>
      <c r="AI31" s="29" t="n">
        <v>0</v>
      </c>
      <c r="AJ31" s="30" t="n"/>
      <c r="AK31" s="29" t="n">
        <v>0.01</v>
      </c>
      <c r="AL31" s="29" t="n">
        <v>-0.01</v>
      </c>
      <c r="AM31" s="29" t="n">
        <v>0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-0.0012</v>
      </c>
      <c r="AD32" s="29" t="n">
        <v>0</v>
      </c>
      <c r="AE32" s="30" t="n"/>
      <c r="AF32" s="29" t="n">
        <v>0</v>
      </c>
      <c r="AG32" s="29" t="n">
        <v>-0</v>
      </c>
      <c r="AH32" s="29" t="n">
        <v>0</v>
      </c>
      <c r="AI32" s="29" t="n">
        <v>0</v>
      </c>
      <c r="AJ32" s="30" t="n"/>
      <c r="AK32" s="29" t="n">
        <v>0.01</v>
      </c>
      <c r="AL32" s="29" t="n">
        <v>-0.01</v>
      </c>
      <c r="AM32" s="29" t="n">
        <v>0</v>
      </c>
      <c r="AN32" s="29" t="n">
        <v>-0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0.103336</v>
      </c>
      <c r="AD35" s="24" t="n">
        <v>0.128234</v>
      </c>
      <c r="AE35" s="25" t="n"/>
      <c r="AF35" s="24" t="n">
        <v>0.101649</v>
      </c>
      <c r="AG35" s="24" t="n">
        <v>0.101778</v>
      </c>
      <c r="AH35" s="24" t="n">
        <v>0.090118</v>
      </c>
      <c r="AI35" s="24" t="n">
        <v>0.100633</v>
      </c>
      <c r="AJ35" s="25" t="n"/>
      <c r="AK35" s="24" t="n">
        <v>0.077184</v>
      </c>
      <c r="AL35" s="24" t="n">
        <v>0.074625</v>
      </c>
      <c r="AM35" s="24" t="n">
        <v>0.06424299999999999</v>
      </c>
      <c r="AN35" s="24" t="n">
        <v>0.07065299999999999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-0.372438</v>
      </c>
      <c r="AD41" s="24" t="n">
        <v>0.124652</v>
      </c>
      <c r="AE41" s="25" t="n"/>
      <c r="AF41" s="24" t="n">
        <v>0.284195</v>
      </c>
      <c r="AG41" s="24" t="n">
        <v>0.049242</v>
      </c>
      <c r="AH41" s="24" t="n">
        <v>0.319257</v>
      </c>
      <c r="AI41" s="24" t="n">
        <v>-0.07581400000000001</v>
      </c>
      <c r="AJ41" s="25" t="n"/>
      <c r="AK41" s="24" t="n">
        <v>-0.175386</v>
      </c>
      <c r="AL41" s="24" t="n">
        <v>-0.130365</v>
      </c>
      <c r="AM41" s="24" t="n">
        <v>-0.072557</v>
      </c>
      <c r="AN41" s="24" t="n">
        <v>-0.017833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-0.154639</v>
      </c>
      <c r="AD42" s="24" t="n">
        <v>-0.198813</v>
      </c>
      <c r="AE42" s="25" t="n"/>
      <c r="AF42" s="24" t="n">
        <v>-0.271693</v>
      </c>
      <c r="AG42" s="24" t="n">
        <v>-0.39375</v>
      </c>
      <c r="AH42" s="24" t="n">
        <v>-0.196864</v>
      </c>
      <c r="AI42" s="24" t="n">
        <v>-0.194444</v>
      </c>
      <c r="AJ42" s="25" t="n"/>
      <c r="AK42" s="24" t="n">
        <v>-0.189453</v>
      </c>
      <c r="AL42" s="24" t="n">
        <v>-0.183505</v>
      </c>
      <c r="AM42" s="24" t="n">
        <v>-0.175705</v>
      </c>
      <c r="AN42" s="24" t="n">
        <v>-0.165517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0.088342</v>
      </c>
      <c r="AD44" s="24" t="n">
        <v>0.088339</v>
      </c>
      <c r="AE44" s="25">
        <f>IFERROR(subQ!AE35/subQ!AE34,"")</f>
        <v/>
      </c>
      <c r="AF44" s="24" t="n">
        <v>0.088339</v>
      </c>
      <c r="AG44" s="24" t="n">
        <v>0.088339</v>
      </c>
      <c r="AH44" s="24" t="n">
        <v>0.088339</v>
      </c>
      <c r="AI44" s="24" t="n">
        <v>0.088341</v>
      </c>
      <c r="AJ44" s="25">
        <f>IFERROR(subQ!AJ35/subQ!AJ34,"")</f>
        <v/>
      </c>
      <c r="AK44" s="24" t="n">
        <v>0.08834</v>
      </c>
      <c r="AL44" s="24" t="n">
        <v>0.088341</v>
      </c>
      <c r="AM44" s="24" t="n">
        <v>0.088339</v>
      </c>
      <c r="AN44" s="24" t="n">
        <v>0.08834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46900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21.6</v>
      </c>
      <c r="E50" s="2" t="inlineStr">
        <is>
          <t>PER 밴드 하단(배) — hist_quarterly(분기 평균가 ÷ TTM EPS, 11분기, 25/50/75 백분위) · 캡 5~30배 적용(원값 21.6/24.9/48.7)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24.9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30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0.0458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4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4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4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4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4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4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4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4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4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4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4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4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4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4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4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4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4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4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4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4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4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4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4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4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4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4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4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4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4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4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4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4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4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4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4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4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4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4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4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4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4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4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4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4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4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4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4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4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4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4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4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4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4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4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4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4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4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4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4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4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4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4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4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4" t="n">
        <v>53008.75</v>
      </c>
      <c r="AA51" s="18" t="n">
        <v>55391.85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4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4" t="n">
        <v>-357805.28</v>
      </c>
      <c r="AA52" s="18" t="n">
        <v>-65429.11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4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4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단기사채</t>
        </is>
      </c>
      <c r="F57" s="9" t="n"/>
      <c r="K57" s="9" t="n"/>
      <c r="P57" s="9" t="n"/>
      <c r="U57" s="9" t="n"/>
      <c r="Y57" s="18" t="n">
        <v>43008.75</v>
      </c>
      <c r="Z57" s="34" t="n">
        <v>43008.75</v>
      </c>
      <c r="AA57" s="18" t="n">
        <v>45391.85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2440.38</v>
      </c>
      <c r="Z58" s="34" t="n">
        <v>2440.38</v>
      </c>
      <c r="AA58" s="18" t="n">
        <v>4064.64</v>
      </c>
      <c r="AB58" s="19" t="n">
        <v>1940.49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U63" s="9" t="n"/>
      <c r="Z63" s="9" t="n"/>
      <c r="AB63" s="19" t="n">
        <v>56538.88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유동확정계약자산</t>
        </is>
      </c>
      <c r="F64" s="9" t="n"/>
      <c r="K64" s="9" t="n"/>
      <c r="P64" s="9" t="n"/>
      <c r="U64" s="9" t="n"/>
      <c r="Z64" s="9" t="n"/>
      <c r="AB64" s="19" t="n">
        <v>142045.33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비유동확정계약자산</t>
        </is>
      </c>
      <c r="F65" s="9" t="n"/>
      <c r="K65" s="9" t="n"/>
      <c r="P65" s="9" t="n"/>
      <c r="U65" s="9" t="n"/>
      <c r="Z65" s="9" t="n"/>
      <c r="AB65" s="19" t="n">
        <v>126793.08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4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4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4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4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4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4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4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4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4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4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4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4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4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4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4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4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-2047.28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4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(비지배주주지분)당기순이익</t>
        </is>
      </c>
      <c r="F91" s="9" t="n"/>
      <c r="K91" s="9" t="n"/>
      <c r="P91" s="9" t="n"/>
      <c r="U91" s="9" t="n"/>
      <c r="Z91" s="9" t="n"/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-9581.959999999999</v>
      </c>
      <c r="F92" s="9" t="n"/>
      <c r="G92" s="18" t="n">
        <v>-1811.77</v>
      </c>
      <c r="H92" s="18" t="n">
        <v>-14782.51</v>
      </c>
      <c r="I92" s="18" t="n">
        <v>9343.35</v>
      </c>
      <c r="J92" s="18" t="n">
        <v>-13861.77</v>
      </c>
      <c r="K92" s="34" t="n">
        <v>-21112.7</v>
      </c>
      <c r="L92" s="18" t="n">
        <v>19550.48</v>
      </c>
      <c r="M92" s="18" t="n">
        <v>-29140.26</v>
      </c>
      <c r="P92" s="9" t="n"/>
      <c r="U92" s="9" t="n"/>
      <c r="Z92" s="9" t="n"/>
      <c r="AA92" s="18" t="n">
        <v>48345.58</v>
      </c>
      <c r="AB92" s="19" t="n">
        <v>174502.68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-9.16</v>
      </c>
      <c r="F93" s="9" t="n"/>
      <c r="G93" s="18" t="n">
        <v>-6.37</v>
      </c>
      <c r="H93" s="18" t="n">
        <v>35.44</v>
      </c>
      <c r="I93" s="18" t="n">
        <v>-22.2</v>
      </c>
      <c r="J93" s="18" t="n">
        <v>-72.43000000000001</v>
      </c>
      <c r="K93" s="34" t="n">
        <v>-65.56</v>
      </c>
      <c r="L93" s="18" t="n">
        <v>-45.8</v>
      </c>
      <c r="M93" s="18" t="n">
        <v>-55.2</v>
      </c>
      <c r="P93" s="9" t="n"/>
      <c r="U93" s="9" t="n"/>
      <c r="Z93" s="9" t="n"/>
      <c r="AA93" s="18" t="n">
        <v>-1606.38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-2787.46</v>
      </c>
      <c r="F94" s="9" t="n"/>
      <c r="G94" s="18" t="n">
        <v>1473.28</v>
      </c>
      <c r="H94" s="18" t="n">
        <v>-3699.09</v>
      </c>
      <c r="I94" s="18" t="n">
        <v>-38914.88</v>
      </c>
      <c r="J94" s="18" t="n">
        <v>-13368.48</v>
      </c>
      <c r="K94" s="34" t="n">
        <v>-54509.17</v>
      </c>
      <c r="L94" s="18" t="n">
        <v>-3086.88</v>
      </c>
      <c r="M94" s="18" t="n">
        <v>-11699.19</v>
      </c>
      <c r="P94" s="9" t="n"/>
      <c r="U94" s="9" t="n"/>
      <c r="Z94" s="9" t="n"/>
      <c r="AA94" s="18" t="n">
        <v>-265353.43</v>
      </c>
      <c r="AB94" s="19" t="n">
        <v>-34521.93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I95" s="18" t="n">
        <v>3.91</v>
      </c>
      <c r="J95" s="18" t="n">
        <v>-0.01</v>
      </c>
      <c r="K95" s="9" t="n"/>
      <c r="L95" s="18" t="n">
        <v>49.22</v>
      </c>
      <c r="M95" s="18" t="n">
        <v>15.92</v>
      </c>
      <c r="P95" s="9" t="n"/>
      <c r="U95" s="9" t="n"/>
      <c r="Z95" s="9" t="n"/>
      <c r="AA95" s="18" t="n">
        <v>1.82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178.02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2782.22</v>
      </c>
      <c r="F97" s="9" t="n"/>
      <c r="G97" s="18" t="n">
        <v>1716.49</v>
      </c>
      <c r="H97" s="18" t="n">
        <v>1999.55</v>
      </c>
      <c r="I97" s="18" t="n">
        <v>2897.04</v>
      </c>
      <c r="J97" s="18" t="n">
        <v>2405.25</v>
      </c>
      <c r="K97" s="34" t="n">
        <v>9018.33</v>
      </c>
      <c r="L97" s="18" t="n">
        <v>4536.04</v>
      </c>
      <c r="M97" s="18" t="n">
        <v>11065.58</v>
      </c>
      <c r="P97" s="9" t="n"/>
      <c r="U97" s="9" t="n"/>
      <c r="Z97" s="9" t="n"/>
      <c r="AA97" s="18" t="n">
        <v>23598.89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2916.22</v>
      </c>
      <c r="F98" s="9" t="n"/>
      <c r="G98" s="18" t="n">
        <v>1730.49</v>
      </c>
      <c r="H98" s="18" t="n">
        <v>2129.35</v>
      </c>
      <c r="I98" s="18" t="n">
        <v>3194.89</v>
      </c>
      <c r="J98" s="18" t="n">
        <v>2601.13</v>
      </c>
      <c r="K98" s="34" t="n">
        <v>9655.860000000001</v>
      </c>
      <c r="L98" s="18" t="n">
        <v>4539.04</v>
      </c>
      <c r="M98" s="18" t="n">
        <v>11062.58</v>
      </c>
      <c r="P98" s="9" t="n"/>
      <c r="U98" s="9" t="n"/>
      <c r="Z98" s="9" t="n"/>
      <c r="AA98" s="18" t="n">
        <v>24939.45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134</v>
      </c>
      <c r="F99" s="9" t="n"/>
      <c r="G99" s="18" t="n">
        <v>14</v>
      </c>
      <c r="H99" s="18" t="n">
        <v>129.8</v>
      </c>
      <c r="I99" s="18" t="n">
        <v>297.85</v>
      </c>
      <c r="J99" s="18" t="n">
        <v>195.88</v>
      </c>
      <c r="K99" s="34" t="n">
        <v>637.53</v>
      </c>
      <c r="L99" s="18" t="n">
        <v>3</v>
      </c>
      <c r="P99" s="9" t="n"/>
      <c r="U99" s="9" t="n"/>
      <c r="Z99" s="9" t="n"/>
      <c r="AA99" s="18" t="n">
        <v>1340.56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724.25</v>
      </c>
      <c r="F100" s="9" t="n"/>
      <c r="G100" s="18" t="n">
        <v>10235.29</v>
      </c>
      <c r="H100" s="18" t="n">
        <v>8981.059999999999</v>
      </c>
      <c r="I100" s="18" t="n">
        <v>65245.88</v>
      </c>
      <c r="J100" s="18" t="n">
        <v>-7709.98</v>
      </c>
      <c r="K100" s="34" t="n">
        <v>76752.25</v>
      </c>
      <c r="L100" s="18" t="n">
        <v>-4502.75</v>
      </c>
      <c r="M100" s="18" t="n">
        <v>7267.09</v>
      </c>
      <c r="P100" s="9" t="n"/>
      <c r="U100" s="9" t="n"/>
      <c r="Z100" s="9" t="n"/>
      <c r="AA100" s="18" t="n">
        <v>-968</v>
      </c>
      <c r="AB100" s="19" t="n">
        <v>-43836.32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E101" s="18" t="n">
        <v>35000</v>
      </c>
      <c r="F101" s="9" t="n"/>
      <c r="G101" s="18" t="n">
        <v>25000</v>
      </c>
      <c r="H101" s="18" t="n">
        <v>25000</v>
      </c>
      <c r="I101" s="18" t="n">
        <v>15000</v>
      </c>
      <c r="J101" s="18" t="n">
        <v>16000</v>
      </c>
      <c r="K101" s="34" t="n">
        <v>81000</v>
      </c>
      <c r="L101" s="18" t="n">
        <v>31000</v>
      </c>
      <c r="M101" s="18" t="n">
        <v>49000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1082</v>
      </c>
      <c r="F102" s="9" t="n"/>
      <c r="G102" s="18" t="n">
        <v>686</v>
      </c>
      <c r="H102" s="18" t="n">
        <v>473</v>
      </c>
      <c r="I102" s="18" t="n">
        <v>0</v>
      </c>
      <c r="J102" s="18" t="n">
        <v>0</v>
      </c>
      <c r="K102" s="34" t="n">
        <v>1159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단기차입금의감소</t>
        </is>
      </c>
      <c r="E103" s="18" t="n">
        <v>35000</v>
      </c>
      <c r="F103" s="9" t="n"/>
      <c r="G103" s="18" t="n">
        <v>15000</v>
      </c>
      <c r="H103" s="18" t="n">
        <v>15000</v>
      </c>
      <c r="I103" s="18" t="n">
        <v>35000</v>
      </c>
      <c r="J103" s="18" t="n">
        <v>19202.1</v>
      </c>
      <c r="K103" s="34" t="n">
        <v>84202.10000000001</v>
      </c>
      <c r="L103" s="18" t="n">
        <v>31000</v>
      </c>
      <c r="M103" s="18" t="n">
        <v>30100</v>
      </c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357.74</v>
      </c>
      <c r="F104" s="9" t="n"/>
      <c r="G104" s="18" t="n">
        <v>450.71</v>
      </c>
      <c r="H104" s="18" t="n">
        <v>491.94</v>
      </c>
      <c r="I104" s="18" t="n">
        <v>458.7</v>
      </c>
      <c r="J104" s="18" t="n">
        <v>485.05</v>
      </c>
      <c r="K104" s="34" t="n">
        <v>1886.4</v>
      </c>
      <c r="L104" s="18" t="n">
        <v>488.81</v>
      </c>
      <c r="M104" s="18" t="n">
        <v>517.48</v>
      </c>
      <c r="P104" s="9" t="n"/>
      <c r="U104" s="9" t="n"/>
      <c r="Z104" s="9" t="n"/>
      <c r="AA104" s="18" t="n">
        <v>588.55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-11818.92</v>
      </c>
      <c r="F105" s="9" t="n"/>
      <c r="G105" s="18" t="n">
        <v>9795.629999999999</v>
      </c>
      <c r="H105" s="18" t="n">
        <v>-9266.34</v>
      </c>
      <c r="I105" s="18" t="n">
        <v>36885.15</v>
      </c>
      <c r="J105" s="18" t="n">
        <v>-36927.46</v>
      </c>
      <c r="K105" s="34" t="n">
        <v>486.98</v>
      </c>
      <c r="L105" s="18" t="n">
        <v>11812.3</v>
      </c>
      <c r="M105" s="18" t="n">
        <v>-33287.89</v>
      </c>
      <c r="P105" s="9" t="n"/>
      <c r="U105" s="9" t="n"/>
      <c r="Z105" s="9" t="n"/>
      <c r="AA105" s="18" t="n">
        <v>-226710.47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-11818.92</v>
      </c>
      <c r="F106" s="9" t="n"/>
      <c r="G106" s="18" t="n">
        <v>63867.89</v>
      </c>
      <c r="H106" s="18" t="n">
        <v>-9266.33</v>
      </c>
      <c r="I106" s="18" t="n">
        <v>36885.15</v>
      </c>
      <c r="J106" s="18" t="n">
        <v>-36927.46</v>
      </c>
      <c r="K106" s="34" t="n">
        <v>54559.25</v>
      </c>
      <c r="L106" s="18" t="n">
        <v>66371.55</v>
      </c>
      <c r="M106" s="18" t="n">
        <v>-33287.89</v>
      </c>
      <c r="P106" s="9" t="n"/>
      <c r="U106" s="9" t="n"/>
      <c r="Z106" s="9" t="n"/>
      <c r="AA106" s="18" t="n">
        <v>49997.56</v>
      </c>
      <c r="AB106" s="19" t="n">
        <v>113638.39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F107" s="9" t="n"/>
      <c r="I107" s="18" t="n">
        <v>3514.2</v>
      </c>
      <c r="J107" s="18" t="n">
        <v>4013.93</v>
      </c>
      <c r="K107" s="9" t="n"/>
      <c r="L107" s="18" t="n">
        <v>4013.94</v>
      </c>
      <c r="M107" s="18" t="n">
        <v>51013.93</v>
      </c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J108" s="18" t="n">
        <v>0</v>
      </c>
      <c r="K108" s="9" t="n"/>
      <c r="P108" s="9" t="n"/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J109" s="18" t="n">
        <v>0</v>
      </c>
      <c r="K109" s="9" t="n"/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이자수취(CF)</t>
        </is>
      </c>
      <c r="F110" s="9" t="n"/>
      <c r="K110" s="9" t="n"/>
      <c r="P110" s="9" t="n"/>
      <c r="U110" s="9" t="n"/>
      <c r="Z110" s="9" t="n"/>
      <c r="AA110" s="18" t="n">
        <v>3251.68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Z111" s="9" t="n"/>
      <c r="AA111" s="18" t="n">
        <v>-379.45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4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4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4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4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4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4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4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4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4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4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4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4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4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4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4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4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4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4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4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4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4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N11" s="18" t="n">
        <v>877.05</v>
      </c>
      <c r="O11" s="18" t="n">
        <v>700.7</v>
      </c>
      <c r="P11" s="34" t="n">
        <v>700.7</v>
      </c>
      <c r="R11" s="18" t="n">
        <v>530.23</v>
      </c>
      <c r="S11" s="18" t="n">
        <v>598.73</v>
      </c>
      <c r="T11" s="18" t="n">
        <v>4492.99</v>
      </c>
      <c r="U11" s="34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4" t="n">
        <v>385.46</v>
      </c>
      <c r="Q12" s="18" t="n">
        <v>83.7</v>
      </c>
      <c r="R12" s="18" t="n">
        <v>44.69</v>
      </c>
      <c r="T12" s="18" t="n">
        <v>0</v>
      </c>
      <c r="U12" s="34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4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4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4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4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4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4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4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4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4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4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4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4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4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4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4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4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4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4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4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4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4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4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4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4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4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4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4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4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4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4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4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4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4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4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4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4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4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4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4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4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4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4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4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4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4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4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4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4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4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4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4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4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4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4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4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4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4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4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4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4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4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4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4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4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4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4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4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4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4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4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4" t="n">
        <v>17055.75</v>
      </c>
      <c r="Q32" s="18" t="n">
        <v>16305.75</v>
      </c>
      <c r="T32" s="18" t="n">
        <v>0</v>
      </c>
      <c r="U32" s="34" t="n">
        <v>0</v>
      </c>
      <c r="V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4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4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4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4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4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4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4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4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4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4" t="n">
        <v>2639.37</v>
      </c>
      <c r="Q37" s="18" t="n">
        <v>2375.43</v>
      </c>
      <c r="S37" s="18" t="n">
        <v>10000</v>
      </c>
      <c r="T37" s="18" t="n">
        <v>0</v>
      </c>
      <c r="U37" s="34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4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4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4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4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4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4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4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4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4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4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4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4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4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4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4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4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4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4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4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4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4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4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4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4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4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4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4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4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4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4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4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4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4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4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4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4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4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4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4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4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4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4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4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4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4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4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4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4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4" t="n">
        <v>53008.75</v>
      </c>
      <c r="AA51" s="18" t="n">
        <v>55391.85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4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4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4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4" t="n">
        <v>-357805.28</v>
      </c>
      <c r="AA52" s="18" t="n">
        <v>-61934.3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4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4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4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4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4" t="n">
        <v>35500</v>
      </c>
      <c r="T54" s="18" t="n">
        <v>0</v>
      </c>
      <c r="U54" s="34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4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4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4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4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4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4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단기사채</t>
        </is>
      </c>
      <c r="F58" s="9" t="n"/>
      <c r="K58" s="9" t="n"/>
      <c r="P58" s="9" t="n"/>
      <c r="U58" s="9" t="n"/>
      <c r="W58" s="18" t="n">
        <v>40602.7</v>
      </c>
      <c r="X58" s="18" t="n">
        <v>42000.98</v>
      </c>
      <c r="Y58" s="18" t="n">
        <v>43008.75</v>
      </c>
      <c r="Z58" s="34" t="n">
        <v>43008.75</v>
      </c>
      <c r="AA58" s="18" t="n">
        <v>45391.85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66.34999999999999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장기금융부채</t>
        </is>
      </c>
      <c r="F64" s="9" t="n"/>
      <c r="K64" s="9" t="n"/>
      <c r="P64" s="9" t="n"/>
      <c r="U64" s="9" t="n"/>
      <c r="Z64" s="9" t="n"/>
      <c r="AA64" s="18" t="n">
        <v>130714.21</v>
      </c>
      <c r="AB64" s="19" t="n">
        <v>134279.17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기타유동금융자산</t>
        </is>
      </c>
      <c r="F65" s="9" t="n"/>
      <c r="K65" s="9" t="n"/>
      <c r="P65" s="9" t="n"/>
      <c r="U65" s="9" t="n"/>
      <c r="Z65" s="9" t="n"/>
      <c r="AB65" s="19" t="n">
        <v>55676.39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유동확정계약자산</t>
        </is>
      </c>
      <c r="F66" s="9" t="n"/>
      <c r="K66" s="9" t="n"/>
      <c r="P66" s="9" t="n"/>
      <c r="U66" s="9" t="n"/>
      <c r="Z66" s="9" t="n"/>
      <c r="AB66" s="19" t="n">
        <v>142045.33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비유동확정계약자산</t>
        </is>
      </c>
      <c r="F67" s="9" t="n"/>
      <c r="K67" s="9" t="n"/>
      <c r="P67" s="9" t="n"/>
      <c r="U67" s="9" t="n"/>
      <c r="Z67" s="9" t="n"/>
      <c r="AB67" s="19" t="n">
        <v>126793.08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기타유동금융부채</t>
        </is>
      </c>
      <c r="F68" s="9" t="n"/>
      <c r="K68" s="9" t="n"/>
      <c r="P68" s="9" t="n"/>
      <c r="U68" s="9" t="n"/>
      <c r="Z68" s="9" t="n"/>
      <c r="AB68" s="19" t="n">
        <v>135908.49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기타비유동금융부채</t>
        </is>
      </c>
      <c r="F69" s="9" t="n"/>
      <c r="K69" s="9" t="n"/>
      <c r="P69" s="9" t="n"/>
      <c r="U69" s="9" t="n"/>
      <c r="Z69" s="9" t="n"/>
      <c r="AB69" s="19" t="n">
        <v>134212.82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195576.55</v>
      </c>
      <c r="F70" s="9" t="n"/>
      <c r="G70" s="18" t="n">
        <v>177595.41</v>
      </c>
      <c r="H70" s="18" t="n">
        <v>186318.7</v>
      </c>
      <c r="I70" s="18" t="n">
        <v>175602.57</v>
      </c>
      <c r="J70" s="18" t="n">
        <v>224114.81</v>
      </c>
      <c r="K70" s="34" t="n">
        <v>763631.49</v>
      </c>
      <c r="L70" s="18" t="n">
        <v>199346.87</v>
      </c>
      <c r="M70" s="18" t="n">
        <v>189045.67</v>
      </c>
      <c r="N70" s="18" t="n">
        <v>187637.17</v>
      </c>
      <c r="O70" s="18" t="n">
        <v>278354.7</v>
      </c>
      <c r="P70" s="34" t="n">
        <v>854384.41</v>
      </c>
      <c r="Q70" s="18" t="n">
        <v>293365.12</v>
      </c>
      <c r="R70" s="18" t="n">
        <v>286485.26</v>
      </c>
      <c r="S70" s="18" t="n">
        <v>296086.23</v>
      </c>
      <c r="T70" s="18" t="n">
        <v>326268.1</v>
      </c>
      <c r="U70" s="34" t="n">
        <v>1202204.71</v>
      </c>
      <c r="V70" s="18" t="n">
        <v>318182</v>
      </c>
      <c r="W70" s="18" t="n">
        <v>387700.4</v>
      </c>
      <c r="X70" s="18" t="n">
        <v>297345.31</v>
      </c>
      <c r="Y70" s="18" t="n">
        <v>367829.64</v>
      </c>
      <c r="Z70" s="34" t="n">
        <v>1371057.35</v>
      </c>
      <c r="AA70" s="18" t="n">
        <v>345239.42</v>
      </c>
      <c r="AB70" s="19" t="n">
        <v>331514.92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195534.84</v>
      </c>
      <c r="F71" s="9" t="n"/>
      <c r="G71" s="18" t="n">
        <v>172687.81</v>
      </c>
      <c r="H71" s="18" t="n">
        <v>208626.18</v>
      </c>
      <c r="I71" s="18" t="n">
        <v>167616.6</v>
      </c>
      <c r="J71" s="18" t="n">
        <v>212389.46</v>
      </c>
      <c r="K71" s="34" t="n">
        <v>761320.05</v>
      </c>
      <c r="L71" s="18" t="n">
        <v>186268.23</v>
      </c>
      <c r="M71" s="18" t="n">
        <v>177428.85</v>
      </c>
      <c r="N71" s="18" t="n">
        <v>177908.13</v>
      </c>
      <c r="O71" s="18" t="n">
        <v>269314.97</v>
      </c>
      <c r="P71" s="34" t="n">
        <v>810920.1800000001</v>
      </c>
      <c r="Q71" s="18" t="n">
        <v>264197.18</v>
      </c>
      <c r="R71" s="18" t="n">
        <v>259381.71</v>
      </c>
      <c r="S71" s="18" t="n">
        <v>269527.35</v>
      </c>
      <c r="T71" s="18" t="n">
        <v>292758.12</v>
      </c>
      <c r="U71" s="34" t="n">
        <v>1085864.36</v>
      </c>
      <c r="V71" s="18" t="n">
        <v>283200.58</v>
      </c>
      <c r="W71" s="18" t="n">
        <v>341759.23</v>
      </c>
      <c r="X71" s="18" t="n">
        <v>257585.07</v>
      </c>
      <c r="Y71" s="18" t="n">
        <v>303047.2</v>
      </c>
      <c r="Z71" s="34" t="n">
        <v>1185592.08</v>
      </c>
      <c r="AA71" s="18" t="n">
        <v>279847.04</v>
      </c>
      <c r="AB71" s="19" t="n">
        <v>270443.55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41.72</v>
      </c>
      <c r="F72" s="9" t="n"/>
      <c r="G72" s="18" t="n">
        <v>4907.6</v>
      </c>
      <c r="H72" s="18" t="n">
        <v>-22307.48</v>
      </c>
      <c r="I72" s="18" t="n">
        <v>7985.97</v>
      </c>
      <c r="J72" s="18" t="n">
        <v>11725.34</v>
      </c>
      <c r="K72" s="34" t="n">
        <v>2311.43</v>
      </c>
      <c r="L72" s="18" t="n">
        <v>13078.64</v>
      </c>
      <c r="M72" s="18" t="n">
        <v>11616.82</v>
      </c>
      <c r="N72" s="18" t="n">
        <v>9729.040000000001</v>
      </c>
      <c r="O72" s="18" t="n">
        <v>9039.74</v>
      </c>
      <c r="P72" s="34" t="n">
        <v>43464.24</v>
      </c>
      <c r="Q72" s="18" t="n">
        <v>29167.94</v>
      </c>
      <c r="R72" s="18" t="n">
        <v>27103.55</v>
      </c>
      <c r="S72" s="18" t="n">
        <v>26558.88</v>
      </c>
      <c r="T72" s="18" t="n">
        <v>33509.99</v>
      </c>
      <c r="U72" s="34" t="n">
        <v>116340.36</v>
      </c>
      <c r="V72" s="18" t="n">
        <v>34981.42</v>
      </c>
      <c r="W72" s="18" t="n">
        <v>45941.17</v>
      </c>
      <c r="X72" s="18" t="n">
        <v>39760.24</v>
      </c>
      <c r="Y72" s="18" t="n">
        <v>64782.43</v>
      </c>
      <c r="Z72" s="34" t="n">
        <v>185465.26</v>
      </c>
      <c r="AA72" s="18" t="n">
        <v>65392.38</v>
      </c>
      <c r="AB72" s="19" t="n">
        <v>61071.37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7237.22</v>
      </c>
      <c r="F73" s="9" t="n"/>
      <c r="G73" s="18" t="n">
        <v>7191.89</v>
      </c>
      <c r="H73" s="18" t="n">
        <v>7343.56</v>
      </c>
      <c r="I73" s="18" t="n">
        <v>7244.46</v>
      </c>
      <c r="J73" s="18" t="n">
        <v>8528.610000000001</v>
      </c>
      <c r="K73" s="34" t="n">
        <v>30308.52</v>
      </c>
      <c r="L73" s="18" t="n">
        <v>9004.540000000001</v>
      </c>
      <c r="M73" s="18" t="n">
        <v>8143.45</v>
      </c>
      <c r="N73" s="18" t="n">
        <v>8644.690000000001</v>
      </c>
      <c r="O73" s="18" t="n">
        <v>8943</v>
      </c>
      <c r="P73" s="34" t="n">
        <v>34735.68</v>
      </c>
      <c r="Q73" s="18" t="n">
        <v>9740.75</v>
      </c>
      <c r="R73" s="18" t="n">
        <v>8480.57</v>
      </c>
      <c r="S73" s="18" t="n">
        <v>11272.32</v>
      </c>
      <c r="T73" s="18" t="n">
        <v>15314.98</v>
      </c>
      <c r="U73" s="34" t="n">
        <v>44808.62</v>
      </c>
      <c r="V73" s="18" t="n">
        <v>12669.24</v>
      </c>
      <c r="W73" s="18" t="n">
        <v>12165.78</v>
      </c>
      <c r="X73" s="18" t="n">
        <v>13129.12</v>
      </c>
      <c r="Y73" s="18" t="n">
        <v>17434.82</v>
      </c>
      <c r="Z73" s="34" t="n">
        <v>55398.96</v>
      </c>
      <c r="AA73" s="18" t="n">
        <v>13988.71</v>
      </c>
      <c r="AB73" s="19" t="n">
        <v>19314.14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-7195.51</v>
      </c>
      <c r="F74" s="9" t="n"/>
      <c r="G74" s="18" t="n">
        <v>-2284.29</v>
      </c>
      <c r="H74" s="18" t="n">
        <v>-29651.04</v>
      </c>
      <c r="I74" s="18" t="n">
        <v>741.5</v>
      </c>
      <c r="J74" s="18" t="n">
        <v>3196.74</v>
      </c>
      <c r="K74" s="34" t="n">
        <v>-27997.09</v>
      </c>
      <c r="L74" s="18" t="n">
        <v>4074.1</v>
      </c>
      <c r="M74" s="18" t="n">
        <v>3473.37</v>
      </c>
      <c r="N74" s="18" t="n">
        <v>1084.35</v>
      </c>
      <c r="O74" s="18" t="n">
        <v>96.75</v>
      </c>
      <c r="P74" s="34" t="n">
        <v>8728.57</v>
      </c>
      <c r="Q74" s="18" t="n">
        <v>19427.18</v>
      </c>
      <c r="R74" s="18" t="n">
        <v>18622.98</v>
      </c>
      <c r="S74" s="18" t="n">
        <v>15286.55</v>
      </c>
      <c r="T74" s="18" t="n">
        <v>18195.01</v>
      </c>
      <c r="U74" s="34" t="n">
        <v>71531.72</v>
      </c>
      <c r="V74" s="18" t="n">
        <v>22312.18</v>
      </c>
      <c r="W74" s="18" t="n">
        <v>33775.39</v>
      </c>
      <c r="X74" s="18" t="n">
        <v>26631.12</v>
      </c>
      <c r="Y74" s="18" t="n">
        <v>47347.61</v>
      </c>
      <c r="Z74" s="34" t="n">
        <v>130066.3</v>
      </c>
      <c r="AA74" s="18" t="n">
        <v>51403.67</v>
      </c>
      <c r="AB74" s="19" t="n">
        <v>41757.23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E75" s="18" t="n">
        <v>3482.09</v>
      </c>
      <c r="F75" s="9" t="n"/>
      <c r="G75" s="18" t="n">
        <v>15529.77</v>
      </c>
      <c r="H75" s="18" t="n">
        <v>70787.69</v>
      </c>
      <c r="I75" s="18" t="n">
        <v>144323.46</v>
      </c>
      <c r="J75" s="18" t="n">
        <v>-93568.59</v>
      </c>
      <c r="K75" s="34" t="n">
        <v>137072.33</v>
      </c>
      <c r="L75" s="18" t="n">
        <v>58707.19</v>
      </c>
      <c r="M75" s="18" t="n">
        <v>26858.49</v>
      </c>
      <c r="N75" s="18" t="n">
        <v>61435.99</v>
      </c>
      <c r="O75" s="18" t="n">
        <v>-19237.39</v>
      </c>
      <c r="P75" s="34" t="n">
        <v>127764.28</v>
      </c>
      <c r="Q75" s="18" t="n">
        <v>88953.48</v>
      </c>
      <c r="R75" s="18" t="n">
        <v>74986.23</v>
      </c>
      <c r="S75" s="18" t="n">
        <v>-37327.3</v>
      </c>
      <c r="T75" s="18" t="n">
        <v>228734.43</v>
      </c>
      <c r="U75" s="34" t="n">
        <v>355346.84</v>
      </c>
      <c r="V75" s="18" t="n">
        <v>47586.24</v>
      </c>
      <c r="W75" s="18" t="n">
        <v>150937.94</v>
      </c>
      <c r="X75" s="18" t="n">
        <v>-61311.63</v>
      </c>
      <c r="Y75" s="18" t="n">
        <v>33407.62</v>
      </c>
      <c r="Z75" s="34" t="n">
        <v>170620.17</v>
      </c>
      <c r="AA75" s="18" t="n">
        <v>211830.29</v>
      </c>
      <c r="AB75" s="19" t="n">
        <v>86126.55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금융비용</t>
        </is>
      </c>
      <c r="E76" s="18" t="n">
        <v>5537.24</v>
      </c>
      <c r="F76" s="9" t="n"/>
      <c r="G76" s="18" t="n">
        <v>16670.62</v>
      </c>
      <c r="H76" s="18" t="n">
        <v>71209.23</v>
      </c>
      <c r="I76" s="18" t="n">
        <v>141234.09</v>
      </c>
      <c r="J76" s="18" t="n">
        <v>-82532.84</v>
      </c>
      <c r="K76" s="34" t="n">
        <v>146581.1</v>
      </c>
      <c r="L76" s="18" t="n">
        <v>61685.47</v>
      </c>
      <c r="M76" s="18" t="n">
        <v>29729.58</v>
      </c>
      <c r="N76" s="18" t="n">
        <v>64165.87</v>
      </c>
      <c r="O76" s="18" t="n">
        <v>-13665.77</v>
      </c>
      <c r="P76" s="34" t="n">
        <v>141915.15</v>
      </c>
      <c r="Q76" s="18" t="n">
        <v>89770.10000000001</v>
      </c>
      <c r="R76" s="18" t="n">
        <v>74776.42</v>
      </c>
      <c r="S76" s="18" t="n">
        <v>-32731.31</v>
      </c>
      <c r="T76" s="18" t="n">
        <v>220592.69</v>
      </c>
      <c r="U76" s="34" t="n">
        <v>352407.9</v>
      </c>
      <c r="V76" s="18" t="n">
        <v>48789.27</v>
      </c>
      <c r="W76" s="18" t="n">
        <v>168066.32</v>
      </c>
      <c r="X76" s="18" t="n">
        <v>-70764.09</v>
      </c>
      <c r="Y76" s="18" t="n">
        <v>26641.65</v>
      </c>
      <c r="Z76" s="34" t="n">
        <v>172733.15</v>
      </c>
      <c r="AA76" s="18" t="n">
        <v>192402.43</v>
      </c>
      <c r="AB76" s="19" t="n">
        <v>81643.8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3759.77</v>
      </c>
      <c r="F77" s="9" t="n"/>
      <c r="G77" s="18" t="n">
        <v>30.99</v>
      </c>
      <c r="H77" s="18" t="n">
        <v>77.48999999999999</v>
      </c>
      <c r="I77" s="18" t="n">
        <v>303.8</v>
      </c>
      <c r="J77" s="18" t="n">
        <v>7301.12</v>
      </c>
      <c r="K77" s="34" t="n">
        <v>7713.4</v>
      </c>
      <c r="L77" s="18" t="n">
        <v>6078.63</v>
      </c>
      <c r="M77" s="18" t="n">
        <v>414.88</v>
      </c>
      <c r="N77" s="18" t="n">
        <v>171.54</v>
      </c>
      <c r="O77" s="18" t="n">
        <v>1815.7</v>
      </c>
      <c r="P77" s="34" t="n">
        <v>8480.75</v>
      </c>
      <c r="Q77" s="18" t="n">
        <v>53.19</v>
      </c>
      <c r="R77" s="18" t="n">
        <v>92.31</v>
      </c>
      <c r="S77" s="18" t="n">
        <v>3241.22</v>
      </c>
      <c r="T77" s="18" t="n">
        <v>77.94</v>
      </c>
      <c r="U77" s="34" t="n">
        <v>3464.66</v>
      </c>
      <c r="V77" s="18" t="n">
        <v>201.82</v>
      </c>
      <c r="W77" s="18" t="n">
        <v>195.41</v>
      </c>
      <c r="X77" s="18" t="n">
        <v>162.16</v>
      </c>
      <c r="Y77" s="18" t="n">
        <v>2894.02</v>
      </c>
      <c r="Z77" s="34" t="n">
        <v>3453.41</v>
      </c>
      <c r="AA77" s="18" t="n">
        <v>79.09</v>
      </c>
      <c r="AB77" s="19" t="n">
        <v>146.39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9506.82</v>
      </c>
      <c r="F78" s="9" t="n"/>
      <c r="G78" s="18" t="n">
        <v>1375.55</v>
      </c>
      <c r="H78" s="18" t="n">
        <v>2565.22</v>
      </c>
      <c r="I78" s="18" t="n">
        <v>25.44</v>
      </c>
      <c r="J78" s="18" t="n">
        <v>6343.47</v>
      </c>
      <c r="K78" s="34" t="n">
        <v>10309.68</v>
      </c>
      <c r="L78" s="18" t="n">
        <v>53.68</v>
      </c>
      <c r="M78" s="18" t="n">
        <v>374.06</v>
      </c>
      <c r="N78" s="18" t="n">
        <v>1658.69</v>
      </c>
      <c r="O78" s="18" t="n">
        <v>2008.92</v>
      </c>
      <c r="P78" s="34" t="n">
        <v>4095.35</v>
      </c>
      <c r="Q78" s="18" t="n">
        <v>21.65</v>
      </c>
      <c r="R78" s="18" t="n">
        <v>435.95</v>
      </c>
      <c r="S78" s="18" t="n">
        <v>193.03</v>
      </c>
      <c r="T78" s="18" t="n">
        <v>11.34</v>
      </c>
      <c r="U78" s="34" t="n">
        <v>661.97</v>
      </c>
      <c r="V78" s="18" t="n">
        <v>1313.51</v>
      </c>
      <c r="W78" s="18" t="n">
        <v>1928.19</v>
      </c>
      <c r="X78" s="18" t="n">
        <v>4991.35</v>
      </c>
      <c r="Y78" s="18" t="n">
        <v>2519.36</v>
      </c>
      <c r="Z78" s="34" t="n">
        <v>10752.41</v>
      </c>
      <c r="AA78" s="18" t="n">
        <v>1767.01</v>
      </c>
      <c r="AB78" s="19" t="n">
        <v>5855.35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-14997.7</v>
      </c>
      <c r="F79" s="9" t="n"/>
      <c r="G79" s="18" t="n">
        <v>-4769.7</v>
      </c>
      <c r="H79" s="18" t="n">
        <v>-32560.31</v>
      </c>
      <c r="I79" s="18" t="n">
        <v>4109.24</v>
      </c>
      <c r="J79" s="18" t="n">
        <v>-6881.36</v>
      </c>
      <c r="K79" s="34" t="n">
        <v>-40102.13</v>
      </c>
      <c r="L79" s="18" t="n">
        <v>7120.78</v>
      </c>
      <c r="M79" s="18" t="n">
        <v>643.1</v>
      </c>
      <c r="N79" s="18" t="n">
        <v>-3075.32</v>
      </c>
      <c r="O79" s="18" t="n">
        <v>-5645.52</v>
      </c>
      <c r="P79" s="34" t="n">
        <v>-956.96</v>
      </c>
      <c r="Q79" s="18" t="n">
        <v>18642.11</v>
      </c>
      <c r="R79" s="18" t="n">
        <v>18538.67</v>
      </c>
      <c r="S79" s="18" t="n">
        <v>13712.13</v>
      </c>
      <c r="T79" s="18" t="n">
        <v>26461.19</v>
      </c>
      <c r="U79" s="34" t="n">
        <v>77354.10000000001</v>
      </c>
      <c r="V79" s="18" t="n">
        <v>19979.61</v>
      </c>
      <c r="W79" s="18" t="n">
        <v>15051.37</v>
      </c>
      <c r="X79" s="18" t="n">
        <v>31246.92</v>
      </c>
      <c r="Y79" s="18" t="n">
        <v>54488.24</v>
      </c>
      <c r="Z79" s="34" t="n">
        <v>120766.14</v>
      </c>
      <c r="AA79" s="18" t="n">
        <v>69143.61</v>
      </c>
      <c r="AB79" s="19" t="n">
        <v>40531.01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-2262.89</v>
      </c>
      <c r="F80" s="9" t="n"/>
      <c r="H80" s="18" t="n">
        <v>-1013.47</v>
      </c>
      <c r="I80" s="18" t="n">
        <v>1424.79</v>
      </c>
      <c r="J80" s="18" t="n">
        <v>362.74</v>
      </c>
      <c r="K80" s="9" t="n"/>
      <c r="L80" s="18" t="n">
        <v>1556.51</v>
      </c>
      <c r="M80" s="18" t="n">
        <v>183.14</v>
      </c>
      <c r="N80" s="18" t="n">
        <v>-727.9400000000001</v>
      </c>
      <c r="O80" s="18" t="n">
        <v>-1522.26</v>
      </c>
      <c r="P80" s="34" t="n">
        <v>-510.55</v>
      </c>
      <c r="Q80" s="18" t="n">
        <v>3771.62</v>
      </c>
      <c r="R80" s="18" t="n">
        <v>4230.93</v>
      </c>
      <c r="S80" s="18" t="n">
        <v>3126.51</v>
      </c>
      <c r="T80" s="18" t="n">
        <v>-12934.51</v>
      </c>
      <c r="U80" s="34" t="n">
        <v>-1805.45</v>
      </c>
      <c r="V80" s="18" t="n">
        <v>570.9</v>
      </c>
      <c r="W80" s="18" t="n">
        <v>-6505.09</v>
      </c>
      <c r="X80" s="18" t="n">
        <v>946.5700000000001</v>
      </c>
      <c r="Y80" s="18" t="n">
        <v>-47999.66</v>
      </c>
      <c r="Z80" s="34" t="n">
        <v>-52987.28</v>
      </c>
      <c r="AA80" s="18" t="n">
        <v>16265.55</v>
      </c>
      <c r="AB80" s="19" t="n">
        <v>3227.27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4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4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4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4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-12734.82</v>
      </c>
      <c r="F82" s="9" t="n"/>
      <c r="G82" s="18" t="n">
        <v>-4769.7</v>
      </c>
      <c r="H82" s="18" t="n">
        <v>-31546.84</v>
      </c>
      <c r="I82" s="18" t="n">
        <v>2684.45</v>
      </c>
      <c r="J82" s="18" t="n">
        <v>-7244.1</v>
      </c>
      <c r="K82" s="34" t="n">
        <v>-40876.19</v>
      </c>
      <c r="L82" s="18" t="n">
        <v>5564.27</v>
      </c>
      <c r="M82" s="18" t="n">
        <v>459.96</v>
      </c>
      <c r="N82" s="18" t="n">
        <v>-2347.38</v>
      </c>
      <c r="O82" s="18" t="n">
        <v>-4123.26</v>
      </c>
      <c r="P82" s="34" t="n">
        <v>-446.41</v>
      </c>
      <c r="Q82" s="18" t="n">
        <v>14870.49</v>
      </c>
      <c r="R82" s="18" t="n">
        <v>14307.74</v>
      </c>
      <c r="S82" s="18" t="n">
        <v>10585.62</v>
      </c>
      <c r="T82" s="18" t="n">
        <v>39395.7</v>
      </c>
      <c r="U82" s="34" t="n">
        <v>79159.55</v>
      </c>
      <c r="V82" s="18" t="n">
        <v>19408.71</v>
      </c>
      <c r="W82" s="18" t="n">
        <v>21556.46</v>
      </c>
      <c r="X82" s="18" t="n">
        <v>30300.35</v>
      </c>
      <c r="Y82" s="18" t="n">
        <v>102487.91</v>
      </c>
      <c r="Z82" s="34" t="n">
        <v>173753.43</v>
      </c>
      <c r="AA82" s="18" t="n">
        <v>52878.07</v>
      </c>
      <c r="AB82" s="19" t="n">
        <v>37303.74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금융손익</t>
        </is>
      </c>
      <c r="E83" s="18" t="n">
        <v>-2055.15</v>
      </c>
      <c r="F83" s="9" t="n"/>
      <c r="G83" s="18" t="n">
        <v>-1140.85</v>
      </c>
      <c r="H83" s="18" t="n">
        <v>-421.54</v>
      </c>
      <c r="I83" s="18" t="n">
        <v>3089.37</v>
      </c>
      <c r="J83" s="18" t="n">
        <v>-11035.75</v>
      </c>
      <c r="K83" s="34" t="n">
        <v>-9508.77</v>
      </c>
      <c r="L83" s="18" t="n">
        <v>-2978.28</v>
      </c>
      <c r="M83" s="18" t="n">
        <v>-2871.09</v>
      </c>
      <c r="N83" s="18" t="n">
        <v>-2729.88</v>
      </c>
      <c r="O83" s="18" t="n">
        <v>-5571.62</v>
      </c>
      <c r="P83" s="34" t="n">
        <v>-14150.87</v>
      </c>
      <c r="Q83" s="18" t="n">
        <v>-816.62</v>
      </c>
      <c r="R83" s="18" t="n">
        <v>209.81</v>
      </c>
      <c r="S83" s="18" t="n">
        <v>-4595.99</v>
      </c>
      <c r="T83" s="18" t="n">
        <v>8141.74</v>
      </c>
      <c r="U83" s="34" t="n">
        <v>2938.94</v>
      </c>
      <c r="V83" s="18" t="n">
        <v>-1203.03</v>
      </c>
      <c r="W83" s="18" t="n">
        <v>-17128.38</v>
      </c>
      <c r="X83" s="18" t="n">
        <v>9452.459999999999</v>
      </c>
      <c r="Y83" s="18" t="n">
        <v>6765.97</v>
      </c>
      <c r="Z83" s="34" t="n">
        <v>-2112.98</v>
      </c>
      <c r="AA83" s="18" t="n">
        <v>19427.86</v>
      </c>
      <c r="AB83" s="19" t="n">
        <v>4482.75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-5747.05</v>
      </c>
      <c r="F84" s="9" t="n"/>
      <c r="G84" s="18" t="n">
        <v>-1344.56</v>
      </c>
      <c r="H84" s="18" t="n">
        <v>-2487.73</v>
      </c>
      <c r="I84" s="18" t="n">
        <v>278.36</v>
      </c>
      <c r="J84" s="18" t="n">
        <v>957.65</v>
      </c>
      <c r="K84" s="34" t="n">
        <v>-2596.28</v>
      </c>
      <c r="L84" s="18" t="n">
        <v>6024.95</v>
      </c>
      <c r="M84" s="18" t="n">
        <v>40.82</v>
      </c>
      <c r="N84" s="18" t="n">
        <v>-1487.15</v>
      </c>
      <c r="O84" s="18" t="n">
        <v>-193.22</v>
      </c>
      <c r="P84" s="34" t="n">
        <v>4385.4</v>
      </c>
      <c r="Q84" s="18" t="n">
        <v>31.54</v>
      </c>
      <c r="R84" s="18" t="n">
        <v>-343.64</v>
      </c>
      <c r="S84" s="18" t="n">
        <v>3048.19</v>
      </c>
      <c r="T84" s="18" t="n">
        <v>66.59999999999999</v>
      </c>
      <c r="U84" s="34" t="n">
        <v>2802.69</v>
      </c>
      <c r="V84" s="18" t="n">
        <v>-1111.69</v>
      </c>
      <c r="W84" s="18" t="n">
        <v>-1732.78</v>
      </c>
      <c r="X84" s="18" t="n">
        <v>-4829.19</v>
      </c>
      <c r="Y84" s="18" t="n">
        <v>374.66</v>
      </c>
      <c r="Z84" s="34" t="n">
        <v>-7299</v>
      </c>
      <c r="AA84" s="18" t="n">
        <v>-1687.92</v>
      </c>
      <c r="AB84" s="19" t="n">
        <v>-1226.22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(지배주주지분)당기순이익</t>
        </is>
      </c>
      <c r="E85" s="18" t="n">
        <v>-12734.82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-7244.1</v>
      </c>
      <c r="K85" s="34" t="n">
        <v>-40876.19</v>
      </c>
      <c r="L85" s="18" t="n">
        <v>5564.27</v>
      </c>
      <c r="M85" s="18" t="n">
        <v>459.96</v>
      </c>
      <c r="N85" s="18" t="n">
        <v>-2347.38</v>
      </c>
      <c r="O85" s="18" t="n">
        <v>-4123.26</v>
      </c>
      <c r="P85" s="34" t="n">
        <v>-446.41</v>
      </c>
      <c r="Q85" s="18" t="n">
        <v>14870.49</v>
      </c>
      <c r="R85" s="18" t="n">
        <v>14307.74</v>
      </c>
      <c r="S85" s="18" t="n">
        <v>10585.62</v>
      </c>
      <c r="T85" s="18" t="n">
        <v>39395.7</v>
      </c>
      <c r="U85" s="34" t="n">
        <v>79159.55</v>
      </c>
      <c r="V85" s="18" t="n">
        <v>19408.71</v>
      </c>
      <c r="W85" s="18" t="n">
        <v>21556.46</v>
      </c>
      <c r="X85" s="18" t="n">
        <v>30300.35</v>
      </c>
      <c r="Y85" s="18" t="n">
        <v>102487.91</v>
      </c>
      <c r="Z85" s="34" t="n">
        <v>173753.43</v>
      </c>
      <c r="AA85" s="18" t="n">
        <v>52878.07</v>
      </c>
      <c r="AB85" s="19" t="n">
        <v>37303.74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E86" s="18" t="n">
        <v>-14205.08</v>
      </c>
      <c r="F86" s="9" t="n"/>
      <c r="G86" s="18" t="n">
        <v>-4769.7</v>
      </c>
      <c r="H86" s="18" t="n">
        <v>-31546.84</v>
      </c>
      <c r="I86" s="18" t="n">
        <v>2684.45</v>
      </c>
      <c r="J86" s="18" t="n">
        <v>-3128.47</v>
      </c>
      <c r="K86" s="34" t="n">
        <v>-36760.56</v>
      </c>
      <c r="L86" s="18" t="n">
        <v>5564.27</v>
      </c>
      <c r="M86" s="18" t="n">
        <v>185.71</v>
      </c>
      <c r="N86" s="18" t="n">
        <v>-1768.92</v>
      </c>
      <c r="O86" s="18" t="n">
        <v>-1460.09</v>
      </c>
      <c r="P86" s="34" t="n">
        <v>2520.97</v>
      </c>
      <c r="Q86" s="18" t="n">
        <v>15189.25</v>
      </c>
      <c r="R86" s="18" t="n">
        <v>14319.27</v>
      </c>
      <c r="S86" s="18" t="n">
        <v>10428.5</v>
      </c>
      <c r="T86" s="18" t="n">
        <v>40519.73</v>
      </c>
      <c r="U86" s="34" t="n">
        <v>80456.75</v>
      </c>
      <c r="V86" s="18" t="n">
        <v>19507.01</v>
      </c>
      <c r="W86" s="18" t="n">
        <v>15979.08</v>
      </c>
      <c r="X86" s="18" t="n">
        <v>30796</v>
      </c>
      <c r="Y86" s="18" t="n">
        <v>93952.60000000001</v>
      </c>
      <c r="Z86" s="34" t="n">
        <v>160234.69</v>
      </c>
      <c r="AA86" s="18" t="n">
        <v>53028.24</v>
      </c>
      <c r="AB86" s="19" t="n">
        <v>36599.13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종속기업,공동지배기업및관계기업관련손익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4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지분법관련손익</t>
        </is>
      </c>
      <c r="F88" s="9" t="n"/>
      <c r="K88" s="9" t="n"/>
      <c r="N88" s="18" t="n">
        <v>57.36</v>
      </c>
      <c r="O88" s="18" t="n">
        <v>22.59</v>
      </c>
      <c r="P88" s="9" t="n"/>
      <c r="R88" s="18" t="n">
        <v>49.53</v>
      </c>
      <c r="S88" s="18" t="n">
        <v>-26.61</v>
      </c>
      <c r="T88" s="18" t="n">
        <v>57.86</v>
      </c>
      <c r="U88" s="9" t="n"/>
      <c r="V88" s="18" t="n">
        <v>-17.84</v>
      </c>
      <c r="W88" s="18" t="n">
        <v>137.14</v>
      </c>
      <c r="X88" s="18" t="n">
        <v>-7.47</v>
      </c>
      <c r="Y88" s="18" t="n">
        <v>0</v>
      </c>
      <c r="Z88" s="34" t="n">
        <v>111.83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-9770.23</v>
      </c>
      <c r="F89" s="9" t="n"/>
      <c r="G89" s="18" t="n">
        <v>-1721.07</v>
      </c>
      <c r="H89" s="18" t="n">
        <v>-14610.2</v>
      </c>
      <c r="I89" s="18" t="n">
        <v>9535.18</v>
      </c>
      <c r="J89" s="18" t="n">
        <v>-13644.79</v>
      </c>
      <c r="K89" s="34" t="n">
        <v>-20440.88</v>
      </c>
      <c r="L89" s="18" t="n">
        <v>19613.07</v>
      </c>
      <c r="M89" s="18" t="n">
        <v>-29204.48</v>
      </c>
      <c r="N89" s="18" t="n">
        <v>-384.07</v>
      </c>
      <c r="O89" s="18" t="n">
        <v>80127.59</v>
      </c>
      <c r="P89" s="34" t="n">
        <v>70152.11</v>
      </c>
      <c r="Q89" s="18" t="n">
        <v>-14455.7</v>
      </c>
      <c r="R89" s="18" t="n">
        <v>37443.6</v>
      </c>
      <c r="S89" s="18" t="n">
        <v>-4336.27</v>
      </c>
      <c r="T89" s="18" t="n">
        <v>71724.07000000001</v>
      </c>
      <c r="U89" s="34" t="n">
        <v>90375.7</v>
      </c>
      <c r="V89" s="18" t="n">
        <v>46058.61</v>
      </c>
      <c r="W89" s="18" t="n">
        <v>169896.82</v>
      </c>
      <c r="X89" s="18" t="n">
        <v>34713.08</v>
      </c>
      <c r="Y89" s="18" t="n">
        <v>79650.17</v>
      </c>
      <c r="Z89" s="34" t="n">
        <v>330318.68</v>
      </c>
      <c r="AA89" s="18" t="n">
        <v>48835.01</v>
      </c>
      <c r="AB89" s="19" t="n">
        <v>182471.81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-9.16</v>
      </c>
      <c r="F90" s="9" t="n"/>
      <c r="G90" s="18" t="n">
        <v>-6.37</v>
      </c>
      <c r="H90" s="18" t="n">
        <v>35.44</v>
      </c>
      <c r="I90" s="18" t="n">
        <v>-22.2</v>
      </c>
      <c r="J90" s="18" t="n">
        <v>-72.43000000000001</v>
      </c>
      <c r="K90" s="34" t="n">
        <v>-65.56</v>
      </c>
      <c r="L90" s="18" t="n">
        <v>-45.8</v>
      </c>
      <c r="M90" s="18" t="n">
        <v>-55.2</v>
      </c>
      <c r="N90" s="18" t="n">
        <v>-76.29000000000001</v>
      </c>
      <c r="O90" s="18" t="n">
        <v>3.68</v>
      </c>
      <c r="P90" s="34" t="n">
        <v>-173.61</v>
      </c>
      <c r="Q90" s="18" t="n">
        <v>-156.07</v>
      </c>
      <c r="R90" s="18" t="n">
        <v>24.98</v>
      </c>
      <c r="S90" s="18" t="n">
        <v>-716.99</v>
      </c>
      <c r="T90" s="18" t="n">
        <v>-310.5</v>
      </c>
      <c r="U90" s="34" t="n">
        <v>-1158.58</v>
      </c>
      <c r="V90" s="18" t="n">
        <v>-325.24</v>
      </c>
      <c r="W90" s="18" t="n">
        <v>-585.8099999999999</v>
      </c>
      <c r="X90" s="18" t="n">
        <v>-0.84</v>
      </c>
      <c r="Y90" s="18" t="n">
        <v>-0.27</v>
      </c>
      <c r="Z90" s="34" t="n">
        <v>-912.16</v>
      </c>
      <c r="AA90" s="18" t="n">
        <v>-1606.38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-2787.46</v>
      </c>
      <c r="F91" s="9" t="n"/>
      <c r="G91" s="18" t="n">
        <v>1640.88</v>
      </c>
      <c r="H91" s="18" t="n">
        <v>-4083.5</v>
      </c>
      <c r="I91" s="18" t="n">
        <v>-38917.21</v>
      </c>
      <c r="J91" s="18" t="n">
        <v>-16511.7</v>
      </c>
      <c r="K91" s="34" t="n">
        <v>-57871.53</v>
      </c>
      <c r="L91" s="18" t="n">
        <v>-3086.88</v>
      </c>
      <c r="M91" s="18" t="n">
        <v>-11699.19</v>
      </c>
      <c r="N91" s="18" t="n">
        <v>-9012.129999999999</v>
      </c>
      <c r="O91" s="18" t="n">
        <v>-6481.14</v>
      </c>
      <c r="P91" s="34" t="n">
        <v>-30279.34</v>
      </c>
      <c r="Q91" s="18" t="n">
        <v>31045.05</v>
      </c>
      <c r="R91" s="18" t="n">
        <v>-22379.04</v>
      </c>
      <c r="S91" s="18" t="n">
        <v>-8850.68</v>
      </c>
      <c r="T91" s="18" t="n">
        <v>-4129.06</v>
      </c>
      <c r="U91" s="34" t="n">
        <v>-4313.73</v>
      </c>
      <c r="V91" s="18" t="n">
        <v>-65613.69</v>
      </c>
      <c r="W91" s="18" t="n">
        <v>-78391.57000000001</v>
      </c>
      <c r="X91" s="18" t="n">
        <v>-20306.37</v>
      </c>
      <c r="Y91" s="18" t="n">
        <v>3191.67</v>
      </c>
      <c r="Z91" s="34" t="n">
        <v>-161119.96</v>
      </c>
      <c r="AA91" s="18" t="n">
        <v>-278449.16</v>
      </c>
      <c r="AB91" s="19" t="n">
        <v>-31131.53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L92" s="18" t="n">
        <v>49.22</v>
      </c>
      <c r="M92" s="18" t="n">
        <v>15.92</v>
      </c>
      <c r="N92" s="18" t="n">
        <v>101.1</v>
      </c>
      <c r="O92" s="18" t="n">
        <v>46.15</v>
      </c>
      <c r="P92" s="34" t="n">
        <v>212.39</v>
      </c>
      <c r="T92" s="18" t="n">
        <v>1.89</v>
      </c>
      <c r="U92" s="9" t="n"/>
      <c r="Y92" s="18" t="n">
        <v>141.01</v>
      </c>
      <c r="Z92" s="9" t="n"/>
      <c r="AA92" s="18" t="n">
        <v>1.82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178.02</v>
      </c>
      <c r="F93" s="9" t="n"/>
      <c r="K93" s="9" t="n"/>
      <c r="P93" s="9" t="n"/>
      <c r="U93" s="9" t="n"/>
      <c r="X93" s="18" t="n">
        <v>140.31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2782.22</v>
      </c>
      <c r="F94" s="9" t="n"/>
      <c r="G94" s="18" t="n">
        <v>1548.89</v>
      </c>
      <c r="H94" s="18" t="n">
        <v>1999.2</v>
      </c>
      <c r="I94" s="18" t="n">
        <v>2895.45</v>
      </c>
      <c r="J94" s="18" t="n">
        <v>2405.48</v>
      </c>
      <c r="K94" s="34" t="n">
        <v>8849.02</v>
      </c>
      <c r="L94" s="18" t="n">
        <v>4536.04</v>
      </c>
      <c r="M94" s="18" t="n">
        <v>11065.58</v>
      </c>
      <c r="N94" s="18" t="n">
        <v>9036.9</v>
      </c>
      <c r="O94" s="18" t="n">
        <v>6425.72</v>
      </c>
      <c r="P94" s="34" t="n">
        <v>31064.24</v>
      </c>
      <c r="Q94" s="18" t="n">
        <v>6737.19</v>
      </c>
      <c r="R94" s="18" t="n">
        <v>15981.3</v>
      </c>
      <c r="S94" s="18" t="n">
        <v>20599.22</v>
      </c>
      <c r="T94" s="18" t="n">
        <v>7686.07</v>
      </c>
      <c r="U94" s="34" t="n">
        <v>51003.78</v>
      </c>
      <c r="V94" s="18" t="n">
        <v>5356.11</v>
      </c>
      <c r="W94" s="18" t="n">
        <v>3434.1</v>
      </c>
      <c r="X94" s="18" t="n">
        <v>9098.16</v>
      </c>
      <c r="Y94" s="18" t="n">
        <v>15401.44</v>
      </c>
      <c r="Z94" s="34" t="n">
        <v>33289.81</v>
      </c>
      <c r="AA94" s="18" t="n">
        <v>23598.89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2916.22</v>
      </c>
      <c r="F95" s="9" t="n"/>
      <c r="G95" s="18" t="n">
        <v>1562.89</v>
      </c>
      <c r="H95" s="18" t="n">
        <v>2129</v>
      </c>
      <c r="I95" s="18" t="n">
        <v>3193.3</v>
      </c>
      <c r="J95" s="18" t="n">
        <v>2601.36</v>
      </c>
      <c r="K95" s="34" t="n">
        <v>9486.549999999999</v>
      </c>
      <c r="L95" s="18" t="n">
        <v>4539.04</v>
      </c>
      <c r="M95" s="18" t="n">
        <v>11062.58</v>
      </c>
      <c r="N95" s="18" t="n">
        <v>9036.9</v>
      </c>
      <c r="O95" s="18" t="n">
        <v>6765.8</v>
      </c>
      <c r="P95" s="34" t="n">
        <v>31404.32</v>
      </c>
      <c r="Q95" s="18" t="n">
        <v>6737.19</v>
      </c>
      <c r="R95" s="18" t="n">
        <v>16105.91</v>
      </c>
      <c r="S95" s="18" t="n">
        <v>21435.41</v>
      </c>
      <c r="T95" s="18" t="n">
        <v>10223.38</v>
      </c>
      <c r="U95" s="34" t="n">
        <v>54501.89</v>
      </c>
      <c r="V95" s="18" t="n">
        <v>6838.01</v>
      </c>
      <c r="W95" s="18" t="n">
        <v>4076.3</v>
      </c>
      <c r="X95" s="18" t="n">
        <v>9986.15</v>
      </c>
      <c r="Y95" s="18" t="n">
        <v>17961.31</v>
      </c>
      <c r="Z95" s="34" t="n">
        <v>38861.77</v>
      </c>
      <c r="AA95" s="18" t="n">
        <v>24939.45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134</v>
      </c>
      <c r="F96" s="9" t="n"/>
      <c r="G96" s="18" t="n">
        <v>14</v>
      </c>
      <c r="H96" s="18" t="n">
        <v>129.8</v>
      </c>
      <c r="I96" s="18" t="n">
        <v>297.85</v>
      </c>
      <c r="J96" s="18" t="n">
        <v>195.88</v>
      </c>
      <c r="K96" s="34" t="n">
        <v>637.53</v>
      </c>
      <c r="L96" s="18" t="n">
        <v>3</v>
      </c>
      <c r="P96" s="9" t="n"/>
      <c r="S96" s="18" t="n">
        <v>836.1900000000001</v>
      </c>
      <c r="T96" s="18" t="n">
        <v>2537.31</v>
      </c>
      <c r="U96" s="9" t="n"/>
      <c r="V96" s="18" t="n">
        <v>1481.9</v>
      </c>
      <c r="W96" s="18" t="n">
        <v>642.2</v>
      </c>
      <c r="X96" s="18" t="n">
        <v>887.99</v>
      </c>
      <c r="Y96" s="18" t="n">
        <v>2559.87</v>
      </c>
      <c r="Z96" s="34" t="n">
        <v>5571.96</v>
      </c>
      <c r="AA96" s="18" t="n">
        <v>1340.56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724.25</v>
      </c>
      <c r="F97" s="9" t="n"/>
      <c r="G97" s="18" t="n">
        <v>10235.29</v>
      </c>
      <c r="H97" s="18" t="n">
        <v>8981.059999999999</v>
      </c>
      <c r="I97" s="18" t="n">
        <v>65245.88</v>
      </c>
      <c r="J97" s="18" t="n">
        <v>-4507.88</v>
      </c>
      <c r="K97" s="34" t="n">
        <v>79954.35000000001</v>
      </c>
      <c r="L97" s="18" t="n">
        <v>-4502.75</v>
      </c>
      <c r="M97" s="18" t="n">
        <v>7267.09</v>
      </c>
      <c r="N97" s="18" t="n">
        <v>24158.47</v>
      </c>
      <c r="O97" s="18" t="n">
        <v>-18166.87</v>
      </c>
      <c r="P97" s="34" t="n">
        <v>8755.940000000001</v>
      </c>
      <c r="Q97" s="18" t="n">
        <v>86685.44</v>
      </c>
      <c r="R97" s="18" t="n">
        <v>-122797.81</v>
      </c>
      <c r="S97" s="18" t="n">
        <v>-4727.67</v>
      </c>
      <c r="T97" s="18" t="n">
        <v>-16454.41</v>
      </c>
      <c r="U97" s="34" t="n">
        <v>-57294.45</v>
      </c>
      <c r="V97" s="18" t="n">
        <v>9407.040000000001</v>
      </c>
      <c r="W97" s="18" t="n">
        <v>-10582.04</v>
      </c>
      <c r="X97" s="18" t="n">
        <v>-541.2</v>
      </c>
      <c r="Y97" s="18" t="n">
        <v>-20548.96</v>
      </c>
      <c r="Z97" s="34" t="n">
        <v>-22265.16</v>
      </c>
      <c r="AA97" s="18" t="n">
        <v>-968</v>
      </c>
      <c r="AB97" s="19" t="n">
        <v>-41153.13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35000</v>
      </c>
      <c r="F98" s="9" t="n"/>
      <c r="G98" s="18" t="n">
        <v>25000</v>
      </c>
      <c r="H98" s="18" t="n">
        <v>25000</v>
      </c>
      <c r="I98" s="18" t="n">
        <v>15000</v>
      </c>
      <c r="J98" s="18" t="n">
        <v>16000</v>
      </c>
      <c r="K98" s="34" t="n">
        <v>81000</v>
      </c>
      <c r="L98" s="18" t="n">
        <v>31000</v>
      </c>
      <c r="M98" s="18" t="n">
        <v>49000</v>
      </c>
      <c r="N98" s="18" t="n">
        <v>41000</v>
      </c>
      <c r="O98" s="18" t="n">
        <v>6000</v>
      </c>
      <c r="P98" s="34" t="n">
        <v>127000</v>
      </c>
      <c r="T98" s="18" t="n">
        <v>22000</v>
      </c>
      <c r="U98" s="9" t="n"/>
      <c r="X98" s="18" t="n">
        <v>0</v>
      </c>
      <c r="Y98" s="18" t="n">
        <v>30000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1082</v>
      </c>
      <c r="F99" s="9" t="n"/>
      <c r="G99" s="18" t="n">
        <v>686</v>
      </c>
      <c r="H99" s="18" t="n">
        <v>473</v>
      </c>
      <c r="I99" s="18" t="n">
        <v>0</v>
      </c>
      <c r="J99" s="18" t="n">
        <v>0</v>
      </c>
      <c r="K99" s="34" t="n">
        <v>1159</v>
      </c>
      <c r="P99" s="9" t="n"/>
      <c r="T99" s="18" t="n">
        <v>0</v>
      </c>
      <c r="U99" s="9" t="n"/>
      <c r="V99" s="18" t="n">
        <v>10000</v>
      </c>
      <c r="W99" s="18" t="n">
        <v>0</v>
      </c>
      <c r="X99" s="18" t="n">
        <v>0</v>
      </c>
      <c r="Y99" s="18" t="n">
        <v>0</v>
      </c>
      <c r="Z99" s="34" t="n">
        <v>10000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35000</v>
      </c>
      <c r="F100" s="9" t="n"/>
      <c r="G100" s="18" t="n">
        <v>15000</v>
      </c>
      <c r="H100" s="18" t="n">
        <v>15000</v>
      </c>
      <c r="I100" s="18" t="n">
        <v>35000</v>
      </c>
      <c r="J100" s="18" t="n">
        <v>16000</v>
      </c>
      <c r="K100" s="34" t="n">
        <v>81000</v>
      </c>
      <c r="L100" s="18" t="n">
        <v>31000</v>
      </c>
      <c r="M100" s="18" t="n">
        <v>30100</v>
      </c>
      <c r="N100" s="18" t="n">
        <v>15300</v>
      </c>
      <c r="O100" s="18" t="n">
        <v>22600</v>
      </c>
      <c r="P100" s="34" t="n">
        <v>99000</v>
      </c>
      <c r="Q100" s="18" t="n">
        <v>1200</v>
      </c>
      <c r="R100" s="18" t="n">
        <v>101800</v>
      </c>
      <c r="S100" s="18" t="n">
        <v>20000</v>
      </c>
      <c r="T100" s="18" t="n">
        <v>28000</v>
      </c>
      <c r="U100" s="34" t="n">
        <v>151000</v>
      </c>
      <c r="V100" s="18" t="n">
        <v>0</v>
      </c>
      <c r="W100" s="18" t="n">
        <v>30000</v>
      </c>
      <c r="X100" s="18" t="n">
        <v>0</v>
      </c>
      <c r="Y100" s="18" t="n">
        <v>50000</v>
      </c>
      <c r="Z100" s="34" t="n">
        <v>80000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357.74</v>
      </c>
      <c r="F101" s="9" t="n"/>
      <c r="G101" s="18" t="n">
        <v>450.71</v>
      </c>
      <c r="H101" s="18" t="n">
        <v>491.94</v>
      </c>
      <c r="I101" s="18" t="n">
        <v>458.7</v>
      </c>
      <c r="J101" s="18" t="n">
        <v>485.05</v>
      </c>
      <c r="K101" s="34" t="n">
        <v>1886.4</v>
      </c>
      <c r="L101" s="18" t="n">
        <v>488.81</v>
      </c>
      <c r="M101" s="18" t="n">
        <v>517.48</v>
      </c>
      <c r="N101" s="18" t="n">
        <v>527.59</v>
      </c>
      <c r="O101" s="18" t="n">
        <v>552.9299999999999</v>
      </c>
      <c r="P101" s="34" t="n">
        <v>2086.81</v>
      </c>
      <c r="Q101" s="18" t="n">
        <v>530.71</v>
      </c>
      <c r="R101" s="18" t="n">
        <v>570.05</v>
      </c>
      <c r="S101" s="18" t="n">
        <v>639.6799999999999</v>
      </c>
      <c r="T101" s="18" t="n">
        <v>454.41</v>
      </c>
      <c r="U101" s="34" t="n">
        <v>2194.85</v>
      </c>
      <c r="V101" s="18" t="n">
        <v>592.96</v>
      </c>
      <c r="W101" s="18" t="n">
        <v>582.04</v>
      </c>
      <c r="X101" s="18" t="n">
        <v>541.2</v>
      </c>
      <c r="Y101" s="18" t="n">
        <v>548.96</v>
      </c>
      <c r="Z101" s="34" t="n">
        <v>2265.16</v>
      </c>
      <c r="AA101" s="18" t="n">
        <v>588.55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-12017.86</v>
      </c>
      <c r="F102" s="9" t="n"/>
      <c r="G102" s="18" t="n">
        <v>10045.32</v>
      </c>
      <c r="H102" s="18" t="n">
        <v>-9495.870000000001</v>
      </c>
      <c r="I102" s="18" t="n">
        <v>37153.75</v>
      </c>
      <c r="J102" s="18" t="n">
        <v>-36729.59</v>
      </c>
      <c r="K102" s="34" t="n">
        <v>973.61</v>
      </c>
      <c r="L102" s="18" t="n">
        <v>11812.3</v>
      </c>
      <c r="M102" s="18" t="n">
        <v>-33287.89</v>
      </c>
      <c r="N102" s="18" t="n">
        <v>14773.49</v>
      </c>
      <c r="O102" s="18" t="n">
        <v>54974.79</v>
      </c>
      <c r="P102" s="34" t="n">
        <v>48272.69</v>
      </c>
      <c r="Q102" s="18" t="n">
        <v>103952.23</v>
      </c>
      <c r="R102" s="18" t="n">
        <v>-108299.19</v>
      </c>
      <c r="S102" s="18" t="n">
        <v>-18375.97</v>
      </c>
      <c r="U102" s="9" t="n"/>
      <c r="V102" s="18" t="n">
        <v>-9806.389999999999</v>
      </c>
      <c r="W102" s="18" t="n">
        <v>80316.09</v>
      </c>
      <c r="X102" s="18" t="n">
        <v>15136.95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-12017.86</v>
      </c>
      <c r="F103" s="9" t="n"/>
      <c r="G103" s="18" t="n">
        <v>63630.95</v>
      </c>
      <c r="H103" s="18" t="n">
        <v>-9495.870000000001</v>
      </c>
      <c r="I103" s="18" t="n">
        <v>37153.75</v>
      </c>
      <c r="J103" s="18" t="n">
        <v>-36729.58</v>
      </c>
      <c r="K103" s="34" t="n">
        <v>54559.25</v>
      </c>
      <c r="L103" s="18" t="n">
        <v>66371.55</v>
      </c>
      <c r="M103" s="18" t="n">
        <v>-33287.89</v>
      </c>
      <c r="N103" s="18" t="n">
        <v>14773.49</v>
      </c>
      <c r="O103" s="18" t="n">
        <v>54974.79</v>
      </c>
      <c r="P103" s="34" t="n">
        <v>102831.94</v>
      </c>
      <c r="Q103" s="18" t="n">
        <v>206784.17</v>
      </c>
      <c r="R103" s="18" t="n">
        <v>-108299.2</v>
      </c>
      <c r="S103" s="18" t="n">
        <v>-18375.97</v>
      </c>
      <c r="U103" s="9" t="n"/>
      <c r="V103" s="18" t="n">
        <v>123194.8</v>
      </c>
      <c r="W103" s="18" t="n">
        <v>80316.09</v>
      </c>
      <c r="X103" s="18" t="n">
        <v>15136.95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유동성장기부채의감소</t>
        </is>
      </c>
      <c r="F104" s="9" t="n"/>
      <c r="I104" s="18" t="n">
        <v>3514.2</v>
      </c>
      <c r="J104" s="18" t="n">
        <v>4013.93</v>
      </c>
      <c r="K104" s="9" t="n"/>
      <c r="L104" s="18" t="n">
        <v>4013.94</v>
      </c>
      <c r="M104" s="18" t="n">
        <v>51013.93</v>
      </c>
      <c r="N104" s="18" t="n">
        <v>1013.94</v>
      </c>
      <c r="O104" s="18" t="n">
        <v>1013.94</v>
      </c>
      <c r="P104" s="34" t="n">
        <v>57055.75</v>
      </c>
      <c r="Q104" s="18" t="n">
        <v>1013.94</v>
      </c>
      <c r="R104" s="18" t="n">
        <v>16305.74</v>
      </c>
      <c r="S104" s="18" t="n">
        <v>0</v>
      </c>
      <c r="T104" s="18" t="n">
        <v>0</v>
      </c>
      <c r="U104" s="34" t="n">
        <v>17319.68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J105" s="18" t="n">
        <v>0</v>
      </c>
      <c r="K105" s="9" t="n"/>
      <c r="O105" s="18" t="n">
        <v>2.25</v>
      </c>
      <c r="P105" s="9" t="n"/>
      <c r="T105" s="18" t="n">
        <v>0</v>
      </c>
      <c r="U105" s="9" t="n"/>
      <c r="X105" s="18" t="n">
        <v>0</v>
      </c>
      <c r="Y105" s="18" t="n">
        <v>0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자기주식의취득</t>
        </is>
      </c>
      <c r="F106" s="9" t="n"/>
      <c r="J106" s="18" t="n">
        <v>0</v>
      </c>
      <c r="K106" s="9" t="n"/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사채의증가</t>
        </is>
      </c>
      <c r="F107" s="9" t="n"/>
      <c r="K107" s="9" t="n"/>
      <c r="N107" s="18" t="n">
        <v>0</v>
      </c>
      <c r="O107" s="18" t="n">
        <v>0</v>
      </c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563.78</v>
      </c>
      <c r="P108" s="9" t="n"/>
      <c r="Q108" s="18" t="n">
        <v>907.79</v>
      </c>
      <c r="R108" s="18" t="n">
        <v>991.61</v>
      </c>
      <c r="S108" s="18" t="n">
        <v>1237.84</v>
      </c>
      <c r="T108" s="18" t="n">
        <v>860.65</v>
      </c>
      <c r="U108" s="34" t="n">
        <v>3997.89</v>
      </c>
      <c r="V108" s="18" t="n">
        <v>1067.81</v>
      </c>
      <c r="W108" s="18" t="n">
        <v>2191.27</v>
      </c>
      <c r="X108" s="18" t="n">
        <v>3414.54</v>
      </c>
      <c r="Y108" s="18" t="n">
        <v>3346.48</v>
      </c>
      <c r="Z108" s="34" t="n">
        <v>10020.1</v>
      </c>
      <c r="AA108" s="18" t="n">
        <v>3251.68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O109" s="18" t="n">
        <v>-3143.38</v>
      </c>
      <c r="P109" s="9" t="n"/>
      <c r="Q109" s="18" t="n">
        <v>-2978.78</v>
      </c>
      <c r="R109" s="18" t="n">
        <v>-1961.83</v>
      </c>
      <c r="S109" s="18" t="n">
        <v>-1193.58</v>
      </c>
      <c r="T109" s="18" t="n">
        <v>-976.73</v>
      </c>
      <c r="U109" s="34" t="n">
        <v>-7110.92</v>
      </c>
      <c r="V109" s="18" t="n">
        <v>-698.3099999999999</v>
      </c>
      <c r="W109" s="18" t="n">
        <v>-662.1799999999999</v>
      </c>
      <c r="X109" s="18" t="n">
        <v>-563.53</v>
      </c>
      <c r="Y109" s="18" t="n">
        <v>-627.0599999999999</v>
      </c>
      <c r="Z109" s="34" t="n">
        <v>-2551.08</v>
      </c>
      <c r="AA109" s="18" t="n">
        <v>-379.45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P110" s="9" t="n"/>
      <c r="S110" s="18" t="n">
        <v>0</v>
      </c>
      <c r="T110" s="18" t="n">
        <v>10000</v>
      </c>
      <c r="U110" s="9" t="n"/>
      <c r="X110" s="18" t="n">
        <v>0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-0.0386</v>
      </c>
      <c r="F10" s="34" t="n"/>
      <c r="G10" s="18" t="n">
        <v>-0.0144</v>
      </c>
      <c r="H10" s="18" t="n">
        <v>-0.1637</v>
      </c>
      <c r="I10" s="18" t="n">
        <v>0.0029</v>
      </c>
      <c r="J10" s="18" t="n">
        <v>0.0135</v>
      </c>
      <c r="K10" s="34">
        <f>SUM(G10:J10)</f>
        <v/>
      </c>
      <c r="L10" s="18" t="n">
        <v>0.0204</v>
      </c>
      <c r="M10" s="18" t="n">
        <v>0.0184</v>
      </c>
      <c r="N10" s="18" t="n">
        <v>0.0058</v>
      </c>
      <c r="O10" s="18" t="n">
        <v>0.0003</v>
      </c>
      <c r="P10" s="34">
        <f>SUM(L10:O10)</f>
        <v/>
      </c>
      <c r="Q10" s="18" t="n">
        <v>0.06619999999999999</v>
      </c>
      <c r="R10" s="18" t="n">
        <v>0.065</v>
      </c>
      <c r="S10" s="18" t="n">
        <v>0.0516</v>
      </c>
      <c r="T10" s="18" t="n">
        <v>0.0558</v>
      </c>
      <c r="U10" s="34">
        <f>SUM(Q10:T10)</f>
        <v/>
      </c>
      <c r="V10" s="18" t="n">
        <v>0.0701</v>
      </c>
      <c r="W10" s="18" t="n">
        <v>0.0871</v>
      </c>
      <c r="X10" s="18" t="n">
        <v>0.0896</v>
      </c>
      <c r="Y10" s="18" t="n">
        <v>0.1287</v>
      </c>
      <c r="Z10" s="34">
        <f>SUM(V10:Y10)</f>
        <v/>
      </c>
      <c r="AA10" s="18" t="n">
        <v>0.1488</v>
      </c>
      <c r="AB10" s="19" t="n">
        <v>0.1047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 t="n"/>
      <c r="J13" s="18">
        <f>IFERROR(VLOOKUP($D13,BS연결,MATCH(J$1,BS연결H,0),0)/100,"")</f>
        <v/>
      </c>
      <c r="K13" s="34">
        <f>SUM(G13:J13)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IFERROR(VLOOKUP($D26,BS연결,MATCH(AA$1,BS연결H,0),0)/100,"")</f>
        <v/>
      </c>
      <c r="AB26" s="19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-95.81999999999999</v>
      </c>
      <c r="F27" s="34" t="n"/>
      <c r="G27" s="18" t="n">
        <v>-18.12</v>
      </c>
      <c r="H27" s="18" t="n">
        <v>-147.83</v>
      </c>
      <c r="I27" s="18" t="n">
        <v>93.43000000000001</v>
      </c>
      <c r="J27" s="18" t="n">
        <v>-138.62</v>
      </c>
      <c r="K27" s="34">
        <f>SUM(G27:J27)</f>
        <v/>
      </c>
      <c r="L27" s="18" t="n">
        <v>195.5</v>
      </c>
      <c r="M27" s="18" t="n">
        <v>-291.4</v>
      </c>
      <c r="N27" s="18" t="n">
        <v>-3.84</v>
      </c>
      <c r="O27" s="18" t="n">
        <v>801.28</v>
      </c>
      <c r="P27" s="34">
        <f>SUM(L27:O27)</f>
        <v/>
      </c>
      <c r="Q27" s="18" t="n">
        <v>-144.56</v>
      </c>
      <c r="R27" s="18" t="n">
        <v>374.44</v>
      </c>
      <c r="S27" s="18" t="n">
        <v>-43.36</v>
      </c>
      <c r="T27" s="18" t="n">
        <v>717.24</v>
      </c>
      <c r="U27" s="34">
        <f>SUM(Q27:T27)</f>
        <v/>
      </c>
      <c r="V27" s="18" t="n">
        <v>460.59</v>
      </c>
      <c r="W27" s="18" t="n">
        <v>1698.97</v>
      </c>
      <c r="X27" s="18" t="n">
        <v>347.13</v>
      </c>
      <c r="Y27" s="18" t="n">
        <v>796.5</v>
      </c>
      <c r="Z27" s="34">
        <f>SUM(V27:Y27)</f>
        <v/>
      </c>
      <c r="AA27" s="18" t="n">
        <v>483.46</v>
      </c>
      <c r="AB27" s="19" t="n">
        <v>1745.03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46.714</v>
      </c>
      <c r="F28" s="27">
        <f>E28</f>
        <v/>
      </c>
      <c r="G28" s="26" t="n">
        <v>46.714</v>
      </c>
      <c r="H28" s="26" t="n">
        <v>46.714</v>
      </c>
      <c r="I28" s="26" t="n">
        <v>71.52200000000001</v>
      </c>
      <c r="J28" s="26" t="n">
        <v>71.52200000000001</v>
      </c>
      <c r="K28" s="27">
        <f>J28</f>
        <v/>
      </c>
      <c r="L28" s="26" t="n">
        <v>71.52200000000001</v>
      </c>
      <c r="M28" s="26" t="n">
        <v>71.52200000000001</v>
      </c>
      <c r="N28" s="26" t="n">
        <v>71.52200000000001</v>
      </c>
      <c r="O28" s="26" t="n">
        <v>71.52200000000001</v>
      </c>
      <c r="P28" s="27">
        <f>O28</f>
        <v/>
      </c>
      <c r="Q28" s="26" t="n">
        <v>83.426</v>
      </c>
      <c r="R28" s="26" t="n">
        <v>83.426</v>
      </c>
      <c r="S28" s="26" t="n">
        <v>83.426</v>
      </c>
      <c r="T28" s="26" t="n">
        <v>83.426</v>
      </c>
      <c r="U28" s="27">
        <f>T28</f>
        <v/>
      </c>
      <c r="V28" s="26" t="n">
        <v>83.426</v>
      </c>
      <c r="W28" s="26" t="n">
        <v>83.426</v>
      </c>
      <c r="X28" s="26" t="n">
        <v>83.426</v>
      </c>
      <c r="Y28" s="26" t="n">
        <v>83.426</v>
      </c>
      <c r="Z28" s="27">
        <f>Y28</f>
        <v/>
      </c>
      <c r="AA28" s="26" t="n">
        <v>83.426</v>
      </c>
      <c r="AB28" s="28" t="n">
        <v>83.426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>
        <v>382.07</v>
      </c>
      <c r="N32" s="18" t="n"/>
      <c r="O32" s="18" t="n"/>
      <c r="P32" s="34">
        <f>SUM(L32:O32)</f>
        <v/>
      </c>
      <c r="Q32" s="18" t="n">
        <v>98.42</v>
      </c>
      <c r="R32" s="18" t="n">
        <v>48.68</v>
      </c>
      <c r="S32" s="18" t="n">
        <v>33.03</v>
      </c>
      <c r="T32" s="18" t="n">
        <v>16.57</v>
      </c>
      <c r="U32" s="34">
        <f>SUM(Q32:T32)</f>
        <v/>
      </c>
      <c r="V32" s="18" t="n">
        <v>23.16</v>
      </c>
      <c r="W32" s="18" t="n">
        <v>24.92</v>
      </c>
      <c r="X32" s="18" t="n">
        <v>28.3</v>
      </c>
      <c r="Y32" s="18" t="n">
        <v>21.58</v>
      </c>
      <c r="Z32" s="34">
        <f>SUM(V32:Y32)</f>
        <v/>
      </c>
      <c r="AA32" s="18" t="n">
        <v>20.69</v>
      </c>
      <c r="AB32" s="19" t="n">
        <v>23.76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1.43</v>
      </c>
      <c r="F33" s="34" t="n">
        <v>1.46</v>
      </c>
      <c r="G33" s="18" t="n">
        <v>2.03</v>
      </c>
      <c r="H33" s="18" t="n">
        <v>2.65</v>
      </c>
      <c r="I33" s="18" t="n">
        <v>2.53</v>
      </c>
      <c r="J33" s="18" t="n">
        <v>2.31</v>
      </c>
      <c r="K33" s="34">
        <f>SUM(G33:J33)</f>
        <v/>
      </c>
      <c r="L33" s="18" t="n">
        <v>2.32</v>
      </c>
      <c r="M33" s="18" t="n">
        <v>2.69</v>
      </c>
      <c r="N33" s="18" t="n">
        <v>3.38</v>
      </c>
      <c r="O33" s="18" t="n">
        <v>2.81</v>
      </c>
      <c r="P33" s="34">
        <f>SUM(L33:O33)</f>
        <v/>
      </c>
      <c r="Q33" s="18" t="n">
        <v>2.33</v>
      </c>
      <c r="R33" s="18" t="n">
        <v>3.08</v>
      </c>
      <c r="S33" s="18" t="n">
        <v>3.27</v>
      </c>
      <c r="T33" s="18" t="n">
        <v>3.33</v>
      </c>
      <c r="U33" s="34">
        <f>SUM(Q33:T33)</f>
        <v/>
      </c>
      <c r="V33" s="18" t="n">
        <v>4.69</v>
      </c>
      <c r="W33" s="18" t="n">
        <v>5.27</v>
      </c>
      <c r="X33" s="18" t="n">
        <v>6.79</v>
      </c>
      <c r="Y33" s="18" t="n">
        <v>6.74</v>
      </c>
      <c r="Z33" s="34">
        <f>SUM(V33:Y33)</f>
        <v/>
      </c>
      <c r="AA33" s="18" t="n">
        <v>7.03</v>
      </c>
      <c r="AB33" s="19" t="n">
        <v>8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1956.97</v>
      </c>
      <c r="F34" s="34" t="n"/>
      <c r="G34" s="18" t="n">
        <v>1778.43</v>
      </c>
      <c r="H34" s="18" t="n">
        <v>1864.64</v>
      </c>
      <c r="I34" s="18" t="n">
        <v>1757.23</v>
      </c>
      <c r="J34" s="18" t="n">
        <v>2242.13</v>
      </c>
      <c r="K34" s="34">
        <f>SUM(G34:J34)</f>
        <v/>
      </c>
      <c r="L34" s="18" t="n">
        <v>1993.47</v>
      </c>
      <c r="M34" s="18" t="n">
        <v>1890.46</v>
      </c>
      <c r="N34" s="18" t="n">
        <v>1876.37</v>
      </c>
      <c r="O34" s="18" t="n">
        <v>2783.55</v>
      </c>
      <c r="P34" s="34">
        <f>SUM(L34:O34)</f>
        <v/>
      </c>
      <c r="Q34" s="18" t="n">
        <v>2933.65</v>
      </c>
      <c r="R34" s="18" t="n">
        <v>2864.85</v>
      </c>
      <c r="S34" s="18" t="n">
        <v>2960.86</v>
      </c>
      <c r="T34" s="18" t="n">
        <v>3262.68</v>
      </c>
      <c r="U34" s="34">
        <f>SUM(Q34:T34)</f>
        <v/>
      </c>
      <c r="V34" s="18" t="n">
        <v>3181.82</v>
      </c>
      <c r="W34" s="18" t="n">
        <v>3877</v>
      </c>
      <c r="X34" s="18" t="n">
        <v>2973.45</v>
      </c>
      <c r="Y34" s="18" t="n">
        <v>3678.3</v>
      </c>
      <c r="Z34" s="34">
        <f>SUM(V34:Y34)</f>
        <v/>
      </c>
      <c r="AA34" s="18" t="n">
        <v>3452.39</v>
      </c>
      <c r="AB34" s="19" t="n">
        <v>3622.2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-75.59</v>
      </c>
      <c r="F35" s="34" t="n"/>
      <c r="G35" s="18" t="n">
        <v>-25.57</v>
      </c>
      <c r="H35" s="18" t="n">
        <v>-305.31</v>
      </c>
      <c r="I35" s="18" t="n">
        <v>5.18</v>
      </c>
      <c r="J35" s="18" t="n">
        <v>30.36</v>
      </c>
      <c r="K35" s="34">
        <f>SUM(G35:J35)</f>
        <v/>
      </c>
      <c r="L35" s="18" t="n">
        <v>40.74</v>
      </c>
      <c r="M35" s="18" t="n">
        <v>34.73</v>
      </c>
      <c r="N35" s="18" t="n">
        <v>10.84</v>
      </c>
      <c r="O35" s="18" t="n">
        <v>0.97</v>
      </c>
      <c r="P35" s="34">
        <f>SUM(L35:O35)</f>
        <v/>
      </c>
      <c r="Q35" s="18" t="n">
        <v>194.27</v>
      </c>
      <c r="R35" s="18" t="n">
        <v>186.23</v>
      </c>
      <c r="S35" s="18" t="n">
        <v>152.87</v>
      </c>
      <c r="T35" s="18" t="n">
        <v>181.95</v>
      </c>
      <c r="U35" s="34">
        <f>SUM(Q35:T35)</f>
        <v/>
      </c>
      <c r="V35" s="18" t="n">
        <v>223.12</v>
      </c>
      <c r="W35" s="18" t="n">
        <v>337.75</v>
      </c>
      <c r="X35" s="18" t="n">
        <v>266.31</v>
      </c>
      <c r="Y35" s="18" t="n">
        <v>473.48</v>
      </c>
      <c r="Z35" s="34">
        <f>SUM(V35:Y35)</f>
        <v/>
      </c>
      <c r="AA35" s="18" t="n">
        <v>513.79</v>
      </c>
      <c r="AB35" s="19" t="n">
        <v>379.11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1881.1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24.93</v>
      </c>
    </row>
    <row r="32">
      <c r="C32" s="2" t="inlineStr">
        <is>
          <t>pbr_now</t>
        </is>
      </c>
      <c r="D32" t="n">
        <v>6.02</v>
      </c>
    </row>
    <row r="33">
      <c r="C33" s="2" t="inlineStr">
        <is>
          <t>roe_fwd</t>
        </is>
      </c>
      <c r="D33" t="n">
        <v>0.2415</v>
      </c>
    </row>
    <row r="34">
      <c r="C34" s="2" t="inlineStr">
        <is>
          <t>fair_pbr</t>
        </is>
      </c>
      <c r="D34" t="n">
        <v>2.68</v>
      </c>
    </row>
    <row r="35">
      <c r="C35" s="2" t="inlineStr">
        <is>
          <t>fair_value_pbr</t>
        </is>
      </c>
      <c r="D35" t="n">
        <v>20900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