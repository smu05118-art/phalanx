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BS별도!$C$5:$AO$120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138532억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146410억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154149억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152377억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157070억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163427억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171603억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175463억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3절 스칼라 '판관비율' 참조 — 숫자로 덮어쓰면 이 분기만 바뀐다
매출액 × 판관비율 4.58%(최근 4분기 중위)</t>
      </text>
    </comment>
    <comment ref="AD22" authorId="0" shapeId="0">
      <text>
        <t>3절 스칼라 '판관비율' 참조 — 숫자로 덮어쓰면 이 분기만 바뀐다
매출액 × 판관비율 4.58%(최근 4분기 중위)</t>
      </text>
    </comment>
    <comment ref="AF22" authorId="0" shapeId="0">
      <text>
        <t>3절 스칼라 '판관비율' 참조 — 숫자로 덮어쓰면 이 분기만 바뀐다
매출액 × 판관비율 4.58%(최근 4분기 중위)</t>
      </text>
    </comment>
    <comment ref="AG22" authorId="0" shapeId="0">
      <text>
        <t>3절 스칼라 '판관비율' 참조 — 숫자로 덮어쓰면 이 분기만 바뀐다
매출액 × 판관비율 4.58%(최근 4분기 중위)</t>
      </text>
    </comment>
    <comment ref="AH22" authorId="0" shapeId="0">
      <text>
        <t>3절 스칼라 '판관비율' 참조 — 숫자로 덮어쓰면 이 분기만 바뀐다
매출액 × 판관비율 4.58%(최근 4분기 중위)</t>
      </text>
    </comment>
    <comment ref="AI22" authorId="0" shapeId="0">
      <text>
        <t>3절 스칼라 '판관비율' 참조 — 숫자로 덮어쓰면 이 분기만 바뀐다
매출액 × 판관비율 4.58%(최근 4분기 중위)</t>
      </text>
    </comment>
    <comment ref="AK22" authorId="0" shapeId="0">
      <text>
        <t>3절 스칼라 '판관비율' 참조 — 숫자로 덮어쓰면 이 분기만 바뀐다
매출액 × 판관비율 4.58%(최근 4분기 중위)</t>
      </text>
    </comment>
    <comment ref="AL22" authorId="0" shapeId="0">
      <text>
        <t>3절 스칼라 '판관비율' 참조 — 숫자로 덮어쓰면 이 분기만 바뀐다
매출액 × 판관비율 4.58%(최근 4분기 중위)</t>
      </text>
    </comment>
    <comment ref="AM22" authorId="0" shapeId="0">
      <text>
        <t>3절 스칼라 '판관비율' 참조 — 숫자로 덮어쓰면 이 분기만 바뀐다
매출액 × 판관비율 4.58%(최근 4분기 중위)</t>
      </text>
    </comment>
    <comment ref="AN22" authorId="0" shapeId="0">
      <text>
        <t>3절 스칼라 '판관비율' 참조 — 숫자로 덮어쓰면 이 분기만 바뀐다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+716.13억이 이자손익 추정 +24.97억의 50% 초과 → 0(경고)</t>
      </text>
    </comment>
    <comment ref="AD26" authorId="0" shapeId="0">
      <text>
        <t>모델값 역산(implied): 모델 v 그대로
최근 4분기 중위 +716.13억이 이자손익 추정 +24.97억의 50% 초과 → 0(경고)</t>
      </text>
    </comment>
    <comment ref="AF26" authorId="0" shapeId="0">
      <text>
        <t>모델값 역산(implied): 모델 v 그대로
최근 4분기 중위 +716.13억이 이자손익 추정 +24.97억의 50% 초과 → 0(경고)</t>
      </text>
    </comment>
    <comment ref="AG26" authorId="0" shapeId="0">
      <text>
        <t>모델값 역산(implied): 모델 v 그대로
최근 4분기 중위 +716.13억이 이자손익 추정 +24.97억의 50% 초과 → 0(경고)</t>
      </text>
    </comment>
    <comment ref="AH26" authorId="0" shapeId="0">
      <text>
        <t>모델값 역산(implied): 모델 v 그대로
최근 4분기 중위 +716.13억이 이자손익 추정 +24.97억의 50% 초과 → 0(경고)</t>
      </text>
    </comment>
    <comment ref="AI26" authorId="0" shapeId="0">
      <text>
        <t>모델값 역산(implied): 모델 v 그대로
최근 4분기 중위 +716.13억이 이자손익 추정 +24.97억의 50% 초과 → 0(경고)</t>
      </text>
    </comment>
    <comment ref="AK26" authorId="0" shapeId="0">
      <text>
        <t>모델값 역산(implied): 모델 v 그대로
최근 4분기 중위 +716.13억이 이자손익 추정 +24.97억의 50% 초과 → 0(경고)</t>
      </text>
    </comment>
    <comment ref="AL26" authorId="0" shapeId="0">
      <text>
        <t>모델값 역산(implied): 모델 v 그대로
최근 4분기 중위 +716.13억이 이자손익 추정 +24.97억의 50% 초과 → 0(경고)</t>
      </text>
    </comment>
    <comment ref="AM26" authorId="0" shapeId="0">
      <text>
        <t>모델값 역산(implied): 모델 v 그대로
최근 4분기 중위 +716.13억이 이자손익 추정 +24.97억의 50% 초과 → 0(경고)</t>
      </text>
    </comment>
    <comment ref="AN26" authorId="0" shapeId="0">
      <text>
        <t>모델값 역산(implied): 모델 v 그대로
최근 4분기 중위 +716.13억이 이자손익 추정 +24.97억의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138532억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146410억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154149억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152377억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157070억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163427억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171603억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175463억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AC10" authorId="0" shapeId="0">
      <text>
        <t>추정: 최근 8분기 OPM 중위 8.8% 유지
[divide]</t>
      </text>
    </comment>
    <comment ref="AD10" authorId="0" shapeId="0">
      <text>
        <t>추정: 최근 8분기 OPM 중위 8.8% 유지
[divide]</t>
      </text>
    </comment>
    <comment ref="AF10" authorId="0" shapeId="0">
      <text>
        <t>추정: 최근 8분기 OPM 중위 8.8% 유지
[divide]</t>
      </text>
    </comment>
    <comment ref="AG10" authorId="0" shapeId="0">
      <text>
        <t>추정: 최근 8분기 OPM 중위 8.8% 유지
[divide]</t>
      </text>
    </comment>
    <comment ref="AH10" authorId="0" shapeId="0">
      <text>
        <t>추정: 최근 8분기 OPM 중위 8.8% 유지
[divide]</t>
      </text>
    </comment>
    <comment ref="AI10" authorId="0" shapeId="0">
      <text>
        <t>추정: 최근 8분기 OPM 중위 8.8% 유지
[divide]</t>
      </text>
    </comment>
    <comment ref="AK10" authorId="0" shapeId="0">
      <text>
        <t>추정: 최근 8분기 OPM 중위 8.8% 유지
[divide]</t>
      </text>
    </comment>
    <comment ref="AL10" authorId="0" shapeId="0">
      <text>
        <t>추정: 최근 8분기 OPM 중위 8.8% 유지
[divide]</t>
      </text>
    </comment>
    <comment ref="AM10" authorId="0" shapeId="0">
      <text>
        <t>추정: 최근 8분기 OPM 중위 8.8% 유지
[divide]</t>
      </text>
    </comment>
    <comment ref="AN10" authorId="0" shapeId="0">
      <text>
        <t>추정: 최근 8분기 OPM 중위 8.8% 유지
[divide]</t>
      </text>
    </comment>
    <comment ref="AC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3071억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3328억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3994억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4341억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5100억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5463억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5858억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6243억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C12" authorId="0" shapeId="0">
      <text>
        <t>추정: 이자발생자산 3071억 × 3.77%(주석 이자수익 ÷ 평균 이자발생자산(2025Q2~2026Q2)) − 총차입금 316억 × 5.04%(주석 이자비용 ÷ 평균 총차입금(2025Q2~2026Q2)) (연율) ÷ 4
[interest]</t>
      </text>
    </comment>
    <comment ref="AD12" authorId="0" shapeId="0">
      <text>
        <t>추정: 이자발생자산 3328억 × 3.77%(주석 이자수익 ÷ 평균 이자발생자산(2025Q2~2026Q2)) − 총차입금 316억 × 5.04%(주석 이자비용 ÷ 평균 총차입금(2025Q2~2026Q2)) (연율) ÷ 4
[interest]</t>
      </text>
    </comment>
    <comment ref="AF12" authorId="0" shapeId="0">
      <text>
        <t>추정: 이자발생자산 3680억 × 3.77%(주석 이자수익 ÷ 평균 이자발생자산(2025Q2~2026Q2)) − 총차입금 316억 × 5.04%(주석 이자비용 ÷ 평균 총차입금(2025Q2~2026Q2)) (연율) ÷ 4
[interest]</t>
      </text>
    </comment>
    <comment ref="AG12" authorId="0" shapeId="0">
      <text>
        <t>추정: 이자발생자산 3994억 × 3.77%(주석 이자수익 ÷ 평균 이자발생자산(2025Q2~2026Q2)) − 총차입금 316억 × 5.04%(주석 이자비용 ÷ 평균 총차입금(2025Q2~2026Q2)) (연율) ÷ 4
[interest]</t>
      </text>
    </comment>
    <comment ref="AH12" authorId="0" shapeId="0">
      <text>
        <t>추정: 이자발생자산 4341억 × 3.77%(주석 이자수익 ÷ 평균 이자발생자산(2025Q2~2026Q2)) − 총차입금 316억 × 5.04%(주석 이자비용 ÷ 평균 총차입금(2025Q2~2026Q2)) (연율) ÷ 4
[interest]</t>
      </text>
    </comment>
    <comment ref="AI12" authorId="0" shapeId="0">
      <text>
        <t>추정: 이자발생자산 4680억 × 3.77%(주석 이자수익 ÷ 평균 이자발생자산(2025Q2~2026Q2)) − 총차입금 316억 × 5.04%(주석 이자비용 ÷ 평균 총차입금(2025Q2~2026Q2)) (연율) ÷ 4
[interest]</t>
      </text>
    </comment>
    <comment ref="AK12" authorId="0" shapeId="0">
      <text>
        <t>추정: 이자발생자산 5100억 × 3.77%(주석 이자수익 ÷ 평균 이자발생자산(2025Q2~2026Q2)) − 총차입금 316억 × 5.04%(주석 이자비용 ÷ 평균 총차입금(2025Q2~2026Q2)) (연율) ÷ 4
[interest]</t>
      </text>
    </comment>
    <comment ref="AL12" authorId="0" shapeId="0">
      <text>
        <t>추정: 이자발생자산 5463억 × 3.77%(주석 이자수익 ÷ 평균 이자발생자산(2025Q2~2026Q2)) − 총차입금 316억 × 5.04%(주석 이자비용 ÷ 평균 총차입금(2025Q2~2026Q2)) (연율) ÷ 4
[interest]</t>
      </text>
    </comment>
    <comment ref="AM12" authorId="0" shapeId="0">
      <text>
        <t>추정: 이자발생자산 5858억 × 3.77%(주석 이자수익 ÷ 평균 이자발생자산(2025Q2~2026Q2)) − 총차입금 316억 × 5.04%(주석 이자비용 ÷ 평균 총차입금(2025Q2~2026Q2)) (연율) ÷ 4
[interest]</t>
      </text>
    </comment>
    <comment ref="AN12" authorId="0" shapeId="0">
      <text>
        <t>추정: 이자발생자산 6243억 × 3.77%(주석 이자수익 ÷ 평균 이자발생자산(2025Q2~2026Q2)) − 총차입금 316억 × 5.04%(주석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+716.13억이 이자손익 추정 +24.97억의 50% 초과 → 0(경고)
[abs]</t>
      </text>
    </comment>
    <comment ref="AD15" authorId="0" shapeId="0">
      <text>
        <t>추정: 최근 4분기 중위 +716.13억이 이자손익 추정 +24.97억의 50% 초과 → 0(경고)
[abs]</t>
      </text>
    </comment>
    <comment ref="AF15" authorId="0" shapeId="0">
      <text>
        <t>추정: 최근 4분기 중위 +716.13억이 이자손익 추정 +24.97억의 50% 초과 → 0(경고)
[abs]</t>
      </text>
    </comment>
    <comment ref="AG15" authorId="0" shapeId="0">
      <text>
        <t>추정: 최근 4분기 중위 +716.13억이 이자손익 추정 +24.97억의 50% 초과 → 0(경고)
[abs]</t>
      </text>
    </comment>
    <comment ref="AH15" authorId="0" shapeId="0">
      <text>
        <t>추정: 최근 4분기 중위 +716.13억이 이자손익 추정 +24.97억의 50% 초과 → 0(경고)
[abs]</t>
      </text>
    </comment>
    <comment ref="AI15" authorId="0" shapeId="0">
      <text>
        <t>추정: 최근 4분기 중위 +716.13억이 이자손익 추정 +24.97억의 50% 초과 → 0(경고)
[abs]</t>
      </text>
    </comment>
    <comment ref="AK15" authorId="0" shapeId="0">
      <text>
        <t>추정: 최근 4분기 중위 +716.13억이 이자손익 추정 +24.97억의 50% 초과 → 0(경고)
[abs]</t>
      </text>
    </comment>
    <comment ref="AL15" authorId="0" shapeId="0">
      <text>
        <t>추정: 최근 4분기 중위 +716.13억이 이자손익 추정 +24.97억의 50% 초과 → 0(경고)
[abs]</t>
      </text>
    </comment>
    <comment ref="AM15" authorId="0" shapeId="0">
      <text>
        <t>추정: 최근 4분기 중위 +716.13억이 이자손익 추정 +24.97억의 50% 초과 → 0(경고)
[abs]</t>
      </text>
    </comment>
    <comment ref="AN15" authorId="0" shapeId="0">
      <text>
        <t>추정: 최근 4분기 중위 +716.13억이 이자손익 추정 +24.97억의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-12.9% 가 5~27% 밖; 세전 &gt; 0 분기 중위 2.9% 도 5~27% 밖 → 법정세율 근사 22% 가정</t>
        </is>
      </c>
    </row>
    <row r="23">
      <c r="A23" t="inlineStr">
        <is>
          <t>· 판관비율 4.58%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3.77% / 부채 5.05% — 이자손익 = (전분기 이자발생자산 × 자산이자율 − 전분기 총차입금 × 부채이자율)/4, 최소자승 역산(모델 assumptions [0.0377, 0.0504]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21.6/24.9/30.0배(hist_quarterly(분기 평균가 ÷ TTM EPS, 11분기, 25/50/75 백분위) · 캡 5~30배 적용(원값 21.6/24.9/48.7))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assets/models/082740.json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+25.0억의 50% 초과 → 추정 0 — 평가손익·재분류 여부는 주석 확인 / 금융손익 실적→추정 단절: 최근 4분기 실적 +95/+68/+194/+37(중위 +81억) → 추정 2026Q3 +25억(차 -56억, -69%)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null, "wape_trend": 12.7, "adopted": "undetermined", "decision": "undetermined", "note": "현재 채택 조합(suppliers_mentions·시차 2·ma4·창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6542</v>
      </c>
      <c r="F15" s="9" t="n"/>
      <c r="G15" s="18" t="n">
        <v>7201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28450</v>
      </c>
      <c r="X15" s="18" t="n">
        <v>44900</v>
      </c>
      <c r="Y15" s="18" t="n">
        <v>42950</v>
      </c>
      <c r="Z15" s="9" t="n"/>
      <c r="AA15" s="18" t="n">
        <v>43550</v>
      </c>
      <c r="AB15" s="19" t="n">
        <v>51000</v>
      </c>
      <c r="AC15" s="20" t="n">
        <v>49350</v>
      </c>
      <c r="AD15" s="20" t="n">
        <v>41350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7428</v>
      </c>
      <c r="F16" s="9" t="n"/>
      <c r="G16" s="18" t="n">
        <v>8196</v>
      </c>
      <c r="H16" s="18" t="n">
        <v>8785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58000</v>
      </c>
      <c r="AD16" s="20" t="n">
        <v>49500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5569</v>
      </c>
      <c r="F17" s="9" t="n"/>
      <c r="G17" s="18" t="n">
        <v>6306</v>
      </c>
      <c r="H17" s="18" t="n">
        <v>6180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20000</v>
      </c>
      <c r="X17" s="18" t="n">
        <v>24650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20" t="n">
        <v>41000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6396.5</v>
      </c>
      <c r="F18" s="9" t="n"/>
      <c r="G18" s="18" t="n">
        <v>7130.2</v>
      </c>
      <c r="H18" s="18" t="n">
        <v>7539.9</v>
      </c>
      <c r="I18" s="18" t="n">
        <v>7942.9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27122.5</v>
      </c>
      <c r="X18" s="18" t="n">
        <v>37497.7</v>
      </c>
      <c r="Y18" s="18" t="n">
        <v>44940.7</v>
      </c>
      <c r="Z18" s="9" t="n"/>
      <c r="AA18" s="18" t="n">
        <v>51281.4</v>
      </c>
      <c r="AB18" s="19" t="n">
        <v>62239.3</v>
      </c>
      <c r="AC18" s="20" t="n">
        <v>46760.5</v>
      </c>
      <c r="AD18" s="20" t="n">
        <v>46380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0.157226929</v>
      </c>
      <c r="AD21" s="24" t="n">
        <v>0.305452165</v>
      </c>
      <c r="AE21" s="25" t="n"/>
      <c r="AF21" s="24" t="n">
        <v>0.218351601</v>
      </c>
      <c r="AG21" s="24" t="n">
        <v>0.284233693</v>
      </c>
      <c r="AH21" s="24" t="n">
        <v>0.30913466</v>
      </c>
      <c r="AI21" s="24" t="n">
        <v>0.175459824</v>
      </c>
      <c r="AJ21" s="25" t="n"/>
      <c r="AK21" s="24" t="n">
        <v>0.133822925</v>
      </c>
      <c r="AL21" s="24" t="n">
        <v>0.116231526</v>
      </c>
      <c r="AM21" s="24" t="n">
        <v>0.113224469</v>
      </c>
      <c r="AN21" s="24" t="n">
        <v>0.151501408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0.08834162600000001</v>
      </c>
      <c r="AD23" s="24" t="n">
        <v>0.088339053</v>
      </c>
      <c r="AE23" s="25">
        <f>IFERROR(subQ!AE9/subQ!AE5,"")</f>
        <v/>
      </c>
      <c r="AF23" s="24" t="n">
        <v>0.08834039</v>
      </c>
      <c r="AG23" s="24" t="n">
        <v>0.088340947</v>
      </c>
      <c r="AH23" s="24" t="n">
        <v>0.088339238</v>
      </c>
      <c r="AI23" s="24" t="n">
        <v>0.08833935399999999</v>
      </c>
      <c r="AJ23" s="25">
        <f>IFERROR(subQ!AJ9/subQ!AJ5,"")</f>
        <v/>
      </c>
      <c r="AK23" s="24" t="n">
        <v>0.08833914900000001</v>
      </c>
      <c r="AL23" s="24" t="n">
        <v>0.088340141</v>
      </c>
      <c r="AM23" s="24" t="n">
        <v>0.088339927</v>
      </c>
      <c r="AN23" s="24" t="n">
        <v>0.088340642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-0.04</v>
      </c>
      <c r="AD28" s="30" t="n">
        <v>-0.04</v>
      </c>
      <c r="AE28" s="31">
        <f>subQ!AE17</f>
        <v/>
      </c>
      <c r="AF28" s="30" t="n">
        <v>-0.04</v>
      </c>
      <c r="AG28" s="30" t="n">
        <v>-0.04</v>
      </c>
      <c r="AH28" s="30" t="n">
        <v>-0.04</v>
      </c>
      <c r="AI28" s="30" t="n">
        <v>-0.04</v>
      </c>
      <c r="AJ28" s="31">
        <f>subQ!AJ17</f>
        <v/>
      </c>
      <c r="AK28" s="30" t="n">
        <v>-0.04</v>
      </c>
      <c r="AL28" s="30" t="n">
        <v>-0.04</v>
      </c>
      <c r="AM28" s="30" t="n">
        <v>-0.04</v>
      </c>
      <c r="AN28" s="30" t="n">
        <v>-0.04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0.005357598</v>
      </c>
      <c r="AD32" s="30" t="n">
        <v>-0.013514227</v>
      </c>
      <c r="AE32" s="31" t="n"/>
      <c r="AF32" s="30" t="n">
        <v>0.000113072</v>
      </c>
      <c r="AG32" s="30" t="n">
        <v>-0.002349125</v>
      </c>
      <c r="AH32" s="30" t="n">
        <v>-0.002919139</v>
      </c>
      <c r="AI32" s="30" t="n">
        <v>0.001110012</v>
      </c>
      <c r="AJ32" s="31" t="n"/>
      <c r="AK32" s="30" t="n">
        <v>-0.009114636000000001</v>
      </c>
      <c r="AL32" s="30" t="n">
        <v>0.001491572</v>
      </c>
      <c r="AM32" s="30" t="n">
        <v>-0.001806148</v>
      </c>
      <c r="AN32" s="30" t="n">
        <v>0.00482999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0.005357598</v>
      </c>
      <c r="AD33" s="30" t="n">
        <v>-0.013514227</v>
      </c>
      <c r="AE33" s="31" t="n"/>
      <c r="AF33" s="30" t="n">
        <v>0.000113072</v>
      </c>
      <c r="AG33" s="30" t="n">
        <v>-0.002349125</v>
      </c>
      <c r="AH33" s="30" t="n">
        <v>-0.002919139</v>
      </c>
      <c r="AI33" s="30" t="n">
        <v>0.001110012</v>
      </c>
      <c r="AJ33" s="31" t="n"/>
      <c r="AK33" s="30" t="n">
        <v>-0.009114636000000001</v>
      </c>
      <c r="AL33" s="30" t="n">
        <v>0.001491572</v>
      </c>
      <c r="AM33" s="30" t="n">
        <v>-0.001806148</v>
      </c>
      <c r="AN33" s="30" t="n">
        <v>0.00482999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1.2984e-05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0.09359310899999999</v>
      </c>
      <c r="AD35" s="24" t="n">
        <v>0.117497723</v>
      </c>
      <c r="AE35" s="25" t="n"/>
      <c r="AF35" s="24" t="n">
        <v>0.093662308</v>
      </c>
      <c r="AG35" s="24" t="n">
        <v>0.094648633</v>
      </c>
      <c r="AH35" s="24" t="n">
        <v>0.084577214</v>
      </c>
      <c r="AI35" s="24" t="n">
        <v>0.096606951</v>
      </c>
      <c r="AJ35" s="25" t="n"/>
      <c r="AK35" s="24" t="n">
        <v>0.07610170099999999</v>
      </c>
      <c r="AL35" s="24" t="n">
        <v>0.076921278</v>
      </c>
      <c r="AM35" s="24" t="n">
        <v>0.069737275</v>
      </c>
      <c r="AN35" s="24" t="n">
        <v>0.082972401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0.083527318</v>
      </c>
      <c r="AD36" s="24" t="n">
        <v>0.105830599</v>
      </c>
      <c r="AE36" s="25" t="n"/>
      <c r="AF36" s="24" t="n">
        <v>0.085254445</v>
      </c>
      <c r="AG36" s="24" t="n">
        <v>0.086822187</v>
      </c>
      <c r="AH36" s="24" t="n">
        <v>0.078137707</v>
      </c>
      <c r="AI36" s="24" t="n">
        <v>0.08978939499999999</v>
      </c>
      <c r="AJ36" s="25" t="n"/>
      <c r="AK36" s="24" t="n">
        <v>0.07117003</v>
      </c>
      <c r="AL36" s="24" t="n">
        <v>0.072269683</v>
      </c>
      <c r="AM36" s="24" t="n">
        <v>0.065804344</v>
      </c>
      <c r="AN36" s="24" t="n">
        <v>0.078581966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0.399338083</v>
      </c>
      <c r="AD38" s="24" t="n">
        <v>-0.221994387</v>
      </c>
      <c r="AE38" s="25" t="n"/>
      <c r="AF38" s="24" t="n">
        <v>-0.439682912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0</v>
      </c>
      <c r="AE41" s="31">
        <f>subQ!AE35</f>
        <v/>
      </c>
      <c r="AF41" s="33" t="n"/>
      <c r="AG41" s="33" t="n"/>
      <c r="AH41" s="33" t="n"/>
      <c r="AI41" s="30" t="n">
        <v>0</v>
      </c>
      <c r="AJ41" s="31">
        <f>subQ!AJ35</f>
        <v/>
      </c>
      <c r="AK41" s="33" t="n"/>
      <c r="AL41" s="33" t="n"/>
      <c r="AM41" s="33" t="n"/>
      <c r="AN41" s="30" t="n">
        <v>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41350</v>
      </c>
      <c r="E44" s="2" t="inlineStr">
        <is>
          <t>원 — 네이버 정규장 종가(aik 확정종가 대조 · aik 47,450원)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21.6</v>
      </c>
      <c r="E47" s="2" t="inlineStr">
        <is>
          <t>PER 밴드 하단(배) — hist_quarterly(분기 평균가 ÷ TTM EPS, 11분기, 25/50/75 백분위) · 캡 5~30배 적용(원값 21.6/24.9/48.7)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24.9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연결 — 법인세 = MAX(세전,0) × 세율(역산, 재현 오차 ≤ 0.05억 · 모델 assumptions 0.22) · 최근 12분기 유효세율 -12.9% 가 5~27% 밖; 세전 &gt; 0 분기 중위 2.9%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0.04577696323903657</v>
      </c>
      <c r="E52" s="2" t="inlineStr">
        <is>
          <t>연결 — 판관비 = 매출액 × 판관비율(역산, 재현 오차 ≤ 0.05억 · 모델 assumptions 0.0458)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0.03770332813094393</v>
      </c>
      <c r="E54" s="2" t="inlineStr">
        <is>
          <t>연결 — 이자손익 = (전분기 이자발생자산 × 자산이자율 − 전분기 총차입금 × 부채이자율)/4(역산, 재현 오차 ≤ 0.05억 · 모델 assumptions 0.0377)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0.05047767680165551</v>
      </c>
      <c r="E55" s="2" t="inlineStr">
        <is>
          <t>연결 — 같은 수식의 부채 쪽(총차입금 행이 없으면 0)(역산, 재현 오차 ≤ 0.05억 · 모델 assumptions 0.0504)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7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7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7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7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7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7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7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7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7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7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7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7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7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7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7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7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7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7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7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7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7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7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7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7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7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7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7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7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7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7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7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7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7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7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7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7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7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7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7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7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19" t="n">
        <v>21576.59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P32" s="9" t="n"/>
      <c r="U32" s="9" t="n"/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7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7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7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7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7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7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7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7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7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7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7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7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7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7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7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7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7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7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7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7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7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7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7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7" t="n">
        <v>53008.75</v>
      </c>
      <c r="AA51" s="18" t="n">
        <v>55391.85</v>
      </c>
      <c r="AB51" s="19" t="n">
        <v>31576.59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7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7" t="n">
        <v>-357805.28</v>
      </c>
      <c r="AA52" s="18" t="n">
        <v>-65429.11</v>
      </c>
      <c r="AB52" s="19" t="n">
        <v>-274104.69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7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7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2440.38</v>
      </c>
      <c r="Z57" s="37" t="n">
        <v>2440.38</v>
      </c>
      <c r="AA57" s="18" t="n">
        <v>4064.64</v>
      </c>
      <c r="AB57" s="19" t="n">
        <v>1940.49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기타유동금융자산</t>
        </is>
      </c>
      <c r="F62" s="9" t="n"/>
      <c r="K62" s="9" t="n"/>
      <c r="P62" s="9" t="n"/>
      <c r="U62" s="9" t="n"/>
      <c r="Z62" s="9" t="n"/>
      <c r="AB62" s="19" t="n">
        <v>56538.88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142045.33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비유동확정계약자산</t>
        </is>
      </c>
      <c r="F64" s="9" t="n"/>
      <c r="K64" s="9" t="n"/>
      <c r="P64" s="9" t="n"/>
      <c r="U64" s="9" t="n"/>
      <c r="Z64" s="9" t="n"/>
      <c r="AB64" s="19" t="n">
        <v>126793.08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단기금융부채(face)</t>
        </is>
      </c>
      <c r="F65" s="9" t="n"/>
      <c r="K65" s="9" t="n"/>
      <c r="P65" s="9" t="n"/>
      <c r="U65" s="9" t="n"/>
      <c r="Z65" s="9" t="n"/>
      <c r="AB65" s="19" t="n">
        <v>21576.59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7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7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7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7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7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7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7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7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7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7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7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7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7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7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7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7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-5709.06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7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7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7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7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7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7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7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7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7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7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영업외손익</t>
        </is>
      </c>
      <c r="F101" s="9" t="n"/>
      <c r="K101" s="9" t="n"/>
      <c r="P101" s="9" t="n"/>
      <c r="U101" s="9" t="n"/>
      <c r="Z101" s="9" t="n"/>
      <c r="AB101" s="19" t="n">
        <v>-2047.28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(비지배주주지분)당기순이익</t>
        </is>
      </c>
      <c r="F102" s="9" t="n"/>
      <c r="K102" s="9" t="n"/>
      <c r="P102" s="9" t="n"/>
      <c r="U102" s="9" t="n"/>
      <c r="Z102" s="9" t="n"/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영업활동으로인한현금흐름</t>
        </is>
      </c>
      <c r="E103" s="18" t="n">
        <v>-9581.959999999999</v>
      </c>
      <c r="F103" s="9" t="n"/>
      <c r="G103" s="18" t="n">
        <v>-1811.77</v>
      </c>
      <c r="H103" s="18" t="n">
        <v>-14782.51</v>
      </c>
      <c r="I103" s="18" t="n">
        <v>9343.35</v>
      </c>
      <c r="J103" s="18" t="n">
        <v>-13861.77</v>
      </c>
      <c r="K103" s="37" t="n">
        <v>-21112.7</v>
      </c>
      <c r="L103" s="18" t="n">
        <v>19550.48</v>
      </c>
      <c r="M103" s="18" t="n">
        <v>-29140.26</v>
      </c>
      <c r="P103" s="9" t="n"/>
      <c r="U103" s="9" t="n"/>
      <c r="Z103" s="9" t="n"/>
      <c r="AA103" s="18" t="n">
        <v>48345.58</v>
      </c>
      <c r="AB103" s="19" t="n">
        <v>174502.68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법인세납부(CF)</t>
        </is>
      </c>
      <c r="E104" s="18" t="n">
        <v>-9.16</v>
      </c>
      <c r="F104" s="9" t="n"/>
      <c r="G104" s="18" t="n">
        <v>-6.37</v>
      </c>
      <c r="H104" s="18" t="n">
        <v>35.44</v>
      </c>
      <c r="I104" s="18" t="n">
        <v>-22.2</v>
      </c>
      <c r="J104" s="18" t="n">
        <v>-72.43000000000001</v>
      </c>
      <c r="K104" s="37" t="n">
        <v>-65.56</v>
      </c>
      <c r="L104" s="18" t="n">
        <v>-45.8</v>
      </c>
      <c r="M104" s="18" t="n">
        <v>-55.2</v>
      </c>
      <c r="P104" s="9" t="n"/>
      <c r="U104" s="9" t="n"/>
      <c r="Z104" s="9" t="n"/>
      <c r="AA104" s="18" t="n">
        <v>-1606.38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투자활동으로인한현금흐름</t>
        </is>
      </c>
      <c r="E105" s="18" t="n">
        <v>-2787.46</v>
      </c>
      <c r="F105" s="9" t="n"/>
      <c r="G105" s="18" t="n">
        <v>1473.28</v>
      </c>
      <c r="H105" s="18" t="n">
        <v>-3699.09</v>
      </c>
      <c r="I105" s="18" t="n">
        <v>-38914.88</v>
      </c>
      <c r="J105" s="18" t="n">
        <v>-13368.48</v>
      </c>
      <c r="K105" s="37" t="n">
        <v>-54509.17</v>
      </c>
      <c r="L105" s="18" t="n">
        <v>-3086.88</v>
      </c>
      <c r="M105" s="18" t="n">
        <v>-11699.19</v>
      </c>
      <c r="P105" s="9" t="n"/>
      <c r="U105" s="9" t="n"/>
      <c r="Z105" s="9" t="n"/>
      <c r="AA105" s="18" t="n">
        <v>-265353.43</v>
      </c>
      <c r="AB105" s="19" t="n">
        <v>-34521.93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유형자산의감소</t>
        </is>
      </c>
      <c r="E106" s="18" t="n">
        <v>0</v>
      </c>
      <c r="F106" s="9" t="n"/>
      <c r="I106" s="18" t="n">
        <v>3.91</v>
      </c>
      <c r="J106" s="18" t="n">
        <v>-0.01</v>
      </c>
      <c r="K106" s="9" t="n"/>
      <c r="L106" s="18" t="n">
        <v>49.22</v>
      </c>
      <c r="M106" s="18" t="n">
        <v>15.92</v>
      </c>
      <c r="P106" s="9" t="n"/>
      <c r="U106" s="9" t="n"/>
      <c r="Z106" s="9" t="n"/>
      <c r="AA106" s="18" t="n">
        <v>1.82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무형자산의감소</t>
        </is>
      </c>
      <c r="E107" s="18" t="n">
        <v>178.02</v>
      </c>
      <c r="F107" s="9" t="n"/>
      <c r="K107" s="9" t="n"/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2782.22</v>
      </c>
      <c r="F108" s="9" t="n"/>
      <c r="G108" s="18" t="n">
        <v>1716.49</v>
      </c>
      <c r="H108" s="18" t="n">
        <v>1999.55</v>
      </c>
      <c r="I108" s="18" t="n">
        <v>2897.04</v>
      </c>
      <c r="J108" s="18" t="n">
        <v>2405.25</v>
      </c>
      <c r="K108" s="37" t="n">
        <v>9018.33</v>
      </c>
      <c r="L108" s="18" t="n">
        <v>4536.04</v>
      </c>
      <c r="M108" s="18" t="n">
        <v>11065.58</v>
      </c>
      <c r="P108" s="9" t="n"/>
      <c r="U108" s="9" t="n"/>
      <c r="Z108" s="9" t="n"/>
      <c r="AA108" s="18" t="n">
        <v>23598.89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2916.22</v>
      </c>
      <c r="F109" s="9" t="n"/>
      <c r="G109" s="18" t="n">
        <v>1730.49</v>
      </c>
      <c r="H109" s="18" t="n">
        <v>2129.35</v>
      </c>
      <c r="I109" s="18" t="n">
        <v>3194.89</v>
      </c>
      <c r="J109" s="18" t="n">
        <v>2601.13</v>
      </c>
      <c r="K109" s="37" t="n">
        <v>9655.860000000001</v>
      </c>
      <c r="L109" s="18" t="n">
        <v>4539.04</v>
      </c>
      <c r="M109" s="18" t="n">
        <v>11062.58</v>
      </c>
      <c r="P109" s="9" t="n"/>
      <c r="U109" s="9" t="n"/>
      <c r="Z109" s="9" t="n"/>
      <c r="AA109" s="18" t="n">
        <v>24939.45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무형자산의증가</t>
        </is>
      </c>
      <c r="E110" s="18" t="n">
        <v>134</v>
      </c>
      <c r="F110" s="9" t="n"/>
      <c r="G110" s="18" t="n">
        <v>14</v>
      </c>
      <c r="H110" s="18" t="n">
        <v>129.8</v>
      </c>
      <c r="I110" s="18" t="n">
        <v>297.85</v>
      </c>
      <c r="J110" s="18" t="n">
        <v>195.88</v>
      </c>
      <c r="K110" s="37" t="n">
        <v>637.53</v>
      </c>
      <c r="L110" s="18" t="n">
        <v>3</v>
      </c>
      <c r="P110" s="9" t="n"/>
      <c r="U110" s="9" t="n"/>
      <c r="Z110" s="9" t="n"/>
      <c r="AA110" s="18" t="n">
        <v>1340.56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재무활동으로인한현금흐름</t>
        </is>
      </c>
      <c r="E111" s="18" t="n">
        <v>724.25</v>
      </c>
      <c r="F111" s="9" t="n"/>
      <c r="G111" s="18" t="n">
        <v>10235.29</v>
      </c>
      <c r="H111" s="18" t="n">
        <v>8981.059999999999</v>
      </c>
      <c r="I111" s="18" t="n">
        <v>65245.88</v>
      </c>
      <c r="J111" s="18" t="n">
        <v>-7709.98</v>
      </c>
      <c r="K111" s="37" t="n">
        <v>76752.25</v>
      </c>
      <c r="L111" s="18" t="n">
        <v>-4502.75</v>
      </c>
      <c r="M111" s="18" t="n">
        <v>7267.09</v>
      </c>
      <c r="P111" s="9" t="n"/>
      <c r="U111" s="9" t="n"/>
      <c r="Z111" s="9" t="n"/>
      <c r="AA111" s="18" t="n">
        <v>-968</v>
      </c>
      <c r="AB111" s="19" t="n">
        <v>-43836.32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E112" s="18" t="n">
        <v>35000</v>
      </c>
      <c r="F112" s="9" t="n"/>
      <c r="G112" s="18" t="n">
        <v>25000</v>
      </c>
      <c r="H112" s="18" t="n">
        <v>25000</v>
      </c>
      <c r="I112" s="18" t="n">
        <v>15000</v>
      </c>
      <c r="J112" s="18" t="n">
        <v>16000</v>
      </c>
      <c r="K112" s="37" t="n">
        <v>81000</v>
      </c>
      <c r="L112" s="18" t="n">
        <v>31000</v>
      </c>
      <c r="M112" s="18" t="n">
        <v>49000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장기차입금의증가</t>
        </is>
      </c>
      <c r="E113" s="18" t="n">
        <v>1082</v>
      </c>
      <c r="F113" s="9" t="n"/>
      <c r="G113" s="18" t="n">
        <v>686</v>
      </c>
      <c r="H113" s="18" t="n">
        <v>473</v>
      </c>
      <c r="I113" s="18" t="n">
        <v>0</v>
      </c>
      <c r="J113" s="18" t="n">
        <v>0</v>
      </c>
      <c r="K113" s="37" t="n">
        <v>1159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35000</v>
      </c>
      <c r="F114" s="9" t="n"/>
      <c r="G114" s="18" t="n">
        <v>15000</v>
      </c>
      <c r="H114" s="18" t="n">
        <v>15000</v>
      </c>
      <c r="I114" s="18" t="n">
        <v>35000</v>
      </c>
      <c r="J114" s="18" t="n">
        <v>19202.1</v>
      </c>
      <c r="K114" s="37" t="n">
        <v>84202.10000000001</v>
      </c>
      <c r="L114" s="18" t="n">
        <v>31000</v>
      </c>
      <c r="M114" s="18" t="n">
        <v>30100</v>
      </c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357.74</v>
      </c>
      <c r="F115" s="9" t="n"/>
      <c r="G115" s="18" t="n">
        <v>450.71</v>
      </c>
      <c r="H115" s="18" t="n">
        <v>491.94</v>
      </c>
      <c r="I115" s="18" t="n">
        <v>458.7</v>
      </c>
      <c r="J115" s="18" t="n">
        <v>485.05</v>
      </c>
      <c r="K115" s="37" t="n">
        <v>1886.4</v>
      </c>
      <c r="L115" s="18" t="n">
        <v>488.81</v>
      </c>
      <c r="M115" s="18" t="n">
        <v>517.48</v>
      </c>
      <c r="P115" s="9" t="n"/>
      <c r="U115" s="9" t="n"/>
      <c r="Z115" s="9" t="n"/>
      <c r="AA115" s="18" t="n">
        <v>588.55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현금및현금성자산의증감</t>
        </is>
      </c>
      <c r="E116" s="18" t="n">
        <v>-11818.92</v>
      </c>
      <c r="F116" s="9" t="n"/>
      <c r="G116" s="18" t="n">
        <v>9795.629999999999</v>
      </c>
      <c r="H116" s="18" t="n">
        <v>-9266.34</v>
      </c>
      <c r="I116" s="18" t="n">
        <v>36885.15</v>
      </c>
      <c r="J116" s="18" t="n">
        <v>-36927.46</v>
      </c>
      <c r="K116" s="37" t="n">
        <v>486.98</v>
      </c>
      <c r="L116" s="18" t="n">
        <v>11812.3</v>
      </c>
      <c r="M116" s="18" t="n">
        <v>-33287.89</v>
      </c>
      <c r="P116" s="9" t="n"/>
      <c r="U116" s="9" t="n"/>
      <c r="Z116" s="9" t="n"/>
      <c r="AA116" s="18" t="n">
        <v>-226710.47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기말현금및현금성자산</t>
        </is>
      </c>
      <c r="E117" s="18" t="n">
        <v>-11818.92</v>
      </c>
      <c r="F117" s="9" t="n"/>
      <c r="G117" s="18" t="n">
        <v>63867.89</v>
      </c>
      <c r="H117" s="18" t="n">
        <v>-9266.33</v>
      </c>
      <c r="I117" s="18" t="n">
        <v>36885.15</v>
      </c>
      <c r="J117" s="18" t="n">
        <v>-36927.46</v>
      </c>
      <c r="K117" s="37" t="n">
        <v>54559.25</v>
      </c>
      <c r="L117" s="18" t="n">
        <v>66371.55</v>
      </c>
      <c r="M117" s="18" t="n">
        <v>-33287.89</v>
      </c>
      <c r="P117" s="9" t="n"/>
      <c r="U117" s="9" t="n"/>
      <c r="Z117" s="9" t="n"/>
      <c r="AA117" s="18" t="n">
        <v>49997.56</v>
      </c>
      <c r="AB117" s="19" t="n">
        <v>113638.39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유동성장기부채의감소</t>
        </is>
      </c>
      <c r="F118" s="9" t="n"/>
      <c r="I118" s="18" t="n">
        <v>3514.2</v>
      </c>
      <c r="J118" s="18" t="n">
        <v>4013.93</v>
      </c>
      <c r="K118" s="9" t="n"/>
      <c r="L118" s="18" t="n">
        <v>4013.94</v>
      </c>
      <c r="M118" s="18" t="n">
        <v>51013.93</v>
      </c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배당금수취(CF)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자기주식의취득</t>
        </is>
      </c>
      <c r="F120" s="9" t="n"/>
      <c r="J120" s="18" t="n">
        <v>0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이자수취(CF)</t>
        </is>
      </c>
      <c r="F121" s="9" t="n"/>
      <c r="K121" s="9" t="n"/>
      <c r="P121" s="9" t="n"/>
      <c r="U121" s="9" t="n"/>
      <c r="Z121" s="9" t="n"/>
      <c r="AA121" s="18" t="n">
        <v>3251.68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이자지급(CF)</t>
        </is>
      </c>
      <c r="F122" s="9" t="n"/>
      <c r="K122" s="9" t="n"/>
      <c r="P122" s="9" t="n"/>
      <c r="U122" s="9" t="n"/>
      <c r="Z122" s="9" t="n"/>
      <c r="AA122" s="18" t="n">
        <v>-379.45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7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7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7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7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7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7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7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7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7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7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7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7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7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7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7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7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7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7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7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7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7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N11" s="18" t="n">
        <v>877.05</v>
      </c>
      <c r="O11" s="18" t="n">
        <v>700.7</v>
      </c>
      <c r="P11" s="37" t="n">
        <v>700.7</v>
      </c>
      <c r="R11" s="18" t="n">
        <v>530.23</v>
      </c>
      <c r="S11" s="18" t="n">
        <v>598.73</v>
      </c>
      <c r="T11" s="18" t="n">
        <v>4492.99</v>
      </c>
      <c r="U11" s="37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7" t="n">
        <v>385.46</v>
      </c>
      <c r="Q12" s="18" t="n">
        <v>83.7</v>
      </c>
      <c r="R12" s="18" t="n">
        <v>44.69</v>
      </c>
      <c r="T12" s="18" t="n">
        <v>0</v>
      </c>
      <c r="U12" s="37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7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7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7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7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7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7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7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7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7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7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7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7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7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7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7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7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7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7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7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7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7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7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7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7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7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7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7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7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7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7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7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7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7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7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7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7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7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7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7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7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7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7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7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7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7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7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7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7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7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7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7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7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7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7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7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7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7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7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7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7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7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7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7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7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7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7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7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7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7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7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7" t="n">
        <v>17055.75</v>
      </c>
      <c r="Q32" s="18" t="n">
        <v>16305.75</v>
      </c>
      <c r="T32" s="18" t="n">
        <v>0</v>
      </c>
      <c r="U32" s="37" t="n">
        <v>0</v>
      </c>
      <c r="V32" s="18" t="n">
        <v>0</v>
      </c>
      <c r="W32" s="18" t="n">
        <v>40602.7</v>
      </c>
      <c r="X32" s="18" t="n">
        <v>42000.98</v>
      </c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7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7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7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7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7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7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7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7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7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7" t="n">
        <v>2639.37</v>
      </c>
      <c r="Q37" s="18" t="n">
        <v>2375.43</v>
      </c>
      <c r="S37" s="18" t="n">
        <v>10000</v>
      </c>
      <c r="T37" s="18" t="n">
        <v>0</v>
      </c>
      <c r="U37" s="37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7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7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7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7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7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7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7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7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7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7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7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7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7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7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7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7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7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7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7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7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7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7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7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7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7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7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7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7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7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7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7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7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7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7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7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7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7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7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7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7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7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7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7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7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7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7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7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7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7" t="n">
        <v>53008.75</v>
      </c>
      <c r="AA51" s="18" t="n">
        <v>55391.85</v>
      </c>
      <c r="AB51" s="19" t="n">
        <v>10000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7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7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7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7" t="n">
        <v>-357805.28</v>
      </c>
      <c r="AA52" s="18" t="n">
        <v>-61934.3</v>
      </c>
      <c r="AB52" s="19" t="n">
        <v>-288756.94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7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7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7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7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7" t="n">
        <v>35500</v>
      </c>
      <c r="T54" s="18" t="n">
        <v>0</v>
      </c>
      <c r="U54" s="37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7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7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7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7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7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7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장기파생상품부채</t>
        </is>
      </c>
      <c r="F62" s="9" t="n"/>
      <c r="K62" s="9" t="n"/>
      <c r="P62" s="9" t="n"/>
      <c r="U62" s="9" t="n"/>
      <c r="Z62" s="9" t="n"/>
      <c r="AA62" s="18" t="n">
        <v>130714.21</v>
      </c>
      <c r="AB62" s="19" t="n">
        <v>66.34999999999999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장기금융부채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134279.17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U64" s="9" t="n"/>
      <c r="Z64" s="9" t="n"/>
      <c r="AB64" s="19" t="n">
        <v>55676.39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142045.33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비유동확정계약자산</t>
        </is>
      </c>
      <c r="F66" s="9" t="n"/>
      <c r="K66" s="9" t="n"/>
      <c r="P66" s="9" t="n"/>
      <c r="U66" s="9" t="n"/>
      <c r="Z66" s="9" t="n"/>
      <c r="AB66" s="19" t="n">
        <v>126793.08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기타유동금융부채</t>
        </is>
      </c>
      <c r="F67" s="9" t="n"/>
      <c r="K67" s="9" t="n"/>
      <c r="P67" s="9" t="n"/>
      <c r="U67" s="9" t="n"/>
      <c r="Z67" s="9" t="n"/>
      <c r="AB67" s="19" t="n">
        <v>135908.49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기타비유동금융부채</t>
        </is>
      </c>
      <c r="F68" s="9" t="n"/>
      <c r="K68" s="9" t="n"/>
      <c r="P68" s="9" t="n"/>
      <c r="U68" s="9" t="n"/>
      <c r="Z68" s="9" t="n"/>
      <c r="AB68" s="19" t="n">
        <v>134212.82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195576.55</v>
      </c>
      <c r="F69" s="9" t="n"/>
      <c r="G69" s="18" t="n">
        <v>177595.41</v>
      </c>
      <c r="H69" s="18" t="n">
        <v>186318.7</v>
      </c>
      <c r="I69" s="18" t="n">
        <v>175602.57</v>
      </c>
      <c r="J69" s="18" t="n">
        <v>224114.81</v>
      </c>
      <c r="K69" s="37" t="n">
        <v>763631.49</v>
      </c>
      <c r="L69" s="18" t="n">
        <v>199346.87</v>
      </c>
      <c r="M69" s="18" t="n">
        <v>189045.67</v>
      </c>
      <c r="N69" s="18" t="n">
        <v>187637.17</v>
      </c>
      <c r="O69" s="18" t="n">
        <v>278354.7</v>
      </c>
      <c r="P69" s="37" t="n">
        <v>854384.41</v>
      </c>
      <c r="Q69" s="18" t="n">
        <v>293365.12</v>
      </c>
      <c r="R69" s="18" t="n">
        <v>286485.26</v>
      </c>
      <c r="S69" s="18" t="n">
        <v>296086.23</v>
      </c>
      <c r="T69" s="18" t="n">
        <v>326268.1</v>
      </c>
      <c r="U69" s="37" t="n">
        <v>1202204.71</v>
      </c>
      <c r="V69" s="18" t="n">
        <v>318182</v>
      </c>
      <c r="W69" s="18" t="n">
        <v>387700.4</v>
      </c>
      <c r="X69" s="18" t="n">
        <v>297345.31</v>
      </c>
      <c r="Y69" s="18" t="n">
        <v>367829.64</v>
      </c>
      <c r="Z69" s="37" t="n">
        <v>1371057.35</v>
      </c>
      <c r="AA69" s="18" t="n">
        <v>345239.42</v>
      </c>
      <c r="AB69" s="19" t="n">
        <v>331514.92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195534.84</v>
      </c>
      <c r="F70" s="9" t="n"/>
      <c r="G70" s="18" t="n">
        <v>172687.81</v>
      </c>
      <c r="H70" s="18" t="n">
        <v>208626.18</v>
      </c>
      <c r="I70" s="18" t="n">
        <v>167616.6</v>
      </c>
      <c r="J70" s="18" t="n">
        <v>212389.46</v>
      </c>
      <c r="K70" s="37" t="n">
        <v>761320.05</v>
      </c>
      <c r="L70" s="18" t="n">
        <v>186268.23</v>
      </c>
      <c r="M70" s="18" t="n">
        <v>177428.85</v>
      </c>
      <c r="N70" s="18" t="n">
        <v>177908.13</v>
      </c>
      <c r="O70" s="18" t="n">
        <v>269314.97</v>
      </c>
      <c r="P70" s="37" t="n">
        <v>810920.1800000001</v>
      </c>
      <c r="Q70" s="18" t="n">
        <v>264197.18</v>
      </c>
      <c r="R70" s="18" t="n">
        <v>259381.71</v>
      </c>
      <c r="S70" s="18" t="n">
        <v>269527.35</v>
      </c>
      <c r="T70" s="18" t="n">
        <v>292758.12</v>
      </c>
      <c r="U70" s="37" t="n">
        <v>1085864.36</v>
      </c>
      <c r="V70" s="18" t="n">
        <v>283200.58</v>
      </c>
      <c r="W70" s="18" t="n">
        <v>341759.23</v>
      </c>
      <c r="X70" s="18" t="n">
        <v>257585.07</v>
      </c>
      <c r="Y70" s="18" t="n">
        <v>303047.2</v>
      </c>
      <c r="Z70" s="37" t="n">
        <v>1185592.08</v>
      </c>
      <c r="AA70" s="18" t="n">
        <v>279847.04</v>
      </c>
      <c r="AB70" s="19" t="n">
        <v>270443.55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41.72</v>
      </c>
      <c r="F71" s="9" t="n"/>
      <c r="G71" s="18" t="n">
        <v>4907.6</v>
      </c>
      <c r="H71" s="18" t="n">
        <v>-22307.48</v>
      </c>
      <c r="I71" s="18" t="n">
        <v>7985.97</v>
      </c>
      <c r="J71" s="18" t="n">
        <v>11725.34</v>
      </c>
      <c r="K71" s="37" t="n">
        <v>2311.43</v>
      </c>
      <c r="L71" s="18" t="n">
        <v>13078.64</v>
      </c>
      <c r="M71" s="18" t="n">
        <v>11616.82</v>
      </c>
      <c r="N71" s="18" t="n">
        <v>9729.040000000001</v>
      </c>
      <c r="O71" s="18" t="n">
        <v>9039.74</v>
      </c>
      <c r="P71" s="37" t="n">
        <v>43464.24</v>
      </c>
      <c r="Q71" s="18" t="n">
        <v>29167.94</v>
      </c>
      <c r="R71" s="18" t="n">
        <v>27103.55</v>
      </c>
      <c r="S71" s="18" t="n">
        <v>26558.88</v>
      </c>
      <c r="T71" s="18" t="n">
        <v>33509.99</v>
      </c>
      <c r="U71" s="37" t="n">
        <v>116340.36</v>
      </c>
      <c r="V71" s="18" t="n">
        <v>34981.42</v>
      </c>
      <c r="W71" s="18" t="n">
        <v>45941.17</v>
      </c>
      <c r="X71" s="18" t="n">
        <v>39760.24</v>
      </c>
      <c r="Y71" s="18" t="n">
        <v>64782.43</v>
      </c>
      <c r="Z71" s="37" t="n">
        <v>185465.26</v>
      </c>
      <c r="AA71" s="18" t="n">
        <v>65392.38</v>
      </c>
      <c r="AB71" s="19" t="n">
        <v>61071.37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7237.22</v>
      </c>
      <c r="F72" s="9" t="n"/>
      <c r="G72" s="18" t="n">
        <v>7191.89</v>
      </c>
      <c r="H72" s="18" t="n">
        <v>7343.56</v>
      </c>
      <c r="I72" s="18" t="n">
        <v>7244.46</v>
      </c>
      <c r="J72" s="18" t="n">
        <v>8528.610000000001</v>
      </c>
      <c r="K72" s="37" t="n">
        <v>30308.52</v>
      </c>
      <c r="L72" s="18" t="n">
        <v>9004.540000000001</v>
      </c>
      <c r="M72" s="18" t="n">
        <v>8143.45</v>
      </c>
      <c r="N72" s="18" t="n">
        <v>8644.690000000001</v>
      </c>
      <c r="O72" s="18" t="n">
        <v>8943</v>
      </c>
      <c r="P72" s="37" t="n">
        <v>34735.68</v>
      </c>
      <c r="Q72" s="18" t="n">
        <v>9740.75</v>
      </c>
      <c r="R72" s="18" t="n">
        <v>8480.57</v>
      </c>
      <c r="S72" s="18" t="n">
        <v>11272.32</v>
      </c>
      <c r="T72" s="18" t="n">
        <v>15314.98</v>
      </c>
      <c r="U72" s="37" t="n">
        <v>44808.62</v>
      </c>
      <c r="V72" s="18" t="n">
        <v>12669.24</v>
      </c>
      <c r="W72" s="18" t="n">
        <v>12165.78</v>
      </c>
      <c r="X72" s="18" t="n">
        <v>13129.12</v>
      </c>
      <c r="Y72" s="18" t="n">
        <v>17434.82</v>
      </c>
      <c r="Z72" s="37" t="n">
        <v>55398.96</v>
      </c>
      <c r="AA72" s="18" t="n">
        <v>13988.71</v>
      </c>
      <c r="AB72" s="19" t="n">
        <v>19314.14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-7195.51</v>
      </c>
      <c r="F73" s="9" t="n"/>
      <c r="G73" s="18" t="n">
        <v>-2284.29</v>
      </c>
      <c r="H73" s="18" t="n">
        <v>-29651.04</v>
      </c>
      <c r="I73" s="18" t="n">
        <v>741.5</v>
      </c>
      <c r="J73" s="18" t="n">
        <v>3196.74</v>
      </c>
      <c r="K73" s="37" t="n">
        <v>-27997.09</v>
      </c>
      <c r="L73" s="18" t="n">
        <v>4074.1</v>
      </c>
      <c r="M73" s="18" t="n">
        <v>3473.37</v>
      </c>
      <c r="N73" s="18" t="n">
        <v>1084.35</v>
      </c>
      <c r="O73" s="18" t="n">
        <v>96.75</v>
      </c>
      <c r="P73" s="37" t="n">
        <v>8728.57</v>
      </c>
      <c r="Q73" s="18" t="n">
        <v>19427.18</v>
      </c>
      <c r="R73" s="18" t="n">
        <v>18622.98</v>
      </c>
      <c r="S73" s="18" t="n">
        <v>15286.55</v>
      </c>
      <c r="T73" s="18" t="n">
        <v>18195.01</v>
      </c>
      <c r="U73" s="37" t="n">
        <v>71531.72</v>
      </c>
      <c r="V73" s="18" t="n">
        <v>22312.18</v>
      </c>
      <c r="W73" s="18" t="n">
        <v>33775.39</v>
      </c>
      <c r="X73" s="18" t="n">
        <v>26631.12</v>
      </c>
      <c r="Y73" s="18" t="n">
        <v>47347.61</v>
      </c>
      <c r="Z73" s="37" t="n">
        <v>130066.3</v>
      </c>
      <c r="AA73" s="18" t="n">
        <v>51403.67</v>
      </c>
      <c r="AB73" s="19" t="n">
        <v>41757.23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3482.09</v>
      </c>
      <c r="F74" s="9" t="n"/>
      <c r="G74" s="18" t="n">
        <v>15529.77</v>
      </c>
      <c r="H74" s="18" t="n">
        <v>70787.69</v>
      </c>
      <c r="I74" s="18" t="n">
        <v>144323.46</v>
      </c>
      <c r="J74" s="18" t="n">
        <v>-93568.59</v>
      </c>
      <c r="K74" s="37" t="n">
        <v>137072.33</v>
      </c>
      <c r="L74" s="18" t="n">
        <v>58707.19</v>
      </c>
      <c r="M74" s="18" t="n">
        <v>26858.49</v>
      </c>
      <c r="N74" s="18" t="n">
        <v>61435.99</v>
      </c>
      <c r="O74" s="18" t="n">
        <v>-19237.39</v>
      </c>
      <c r="P74" s="37" t="n">
        <v>127764.28</v>
      </c>
      <c r="Q74" s="18" t="n">
        <v>88953.48</v>
      </c>
      <c r="R74" s="18" t="n">
        <v>74986.23</v>
      </c>
      <c r="S74" s="18" t="n">
        <v>-37327.3</v>
      </c>
      <c r="T74" s="18" t="n">
        <v>228734.43</v>
      </c>
      <c r="U74" s="37" t="n">
        <v>355346.84</v>
      </c>
      <c r="V74" s="18" t="n">
        <v>47586.24</v>
      </c>
      <c r="W74" s="18" t="n">
        <v>150937.94</v>
      </c>
      <c r="X74" s="18" t="n">
        <v>-61311.63</v>
      </c>
      <c r="Y74" s="18" t="n">
        <v>33407.62</v>
      </c>
      <c r="Z74" s="37" t="n">
        <v>170620.17</v>
      </c>
      <c r="AA74" s="18" t="n">
        <v>211830.29</v>
      </c>
      <c r="AB74" s="19" t="n">
        <v>86126.55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5537.24</v>
      </c>
      <c r="F75" s="9" t="n"/>
      <c r="G75" s="18" t="n">
        <v>16670.62</v>
      </c>
      <c r="H75" s="18" t="n">
        <v>71209.23</v>
      </c>
      <c r="I75" s="18" t="n">
        <v>141234.09</v>
      </c>
      <c r="J75" s="18" t="n">
        <v>-82532.84</v>
      </c>
      <c r="K75" s="37" t="n">
        <v>146581.1</v>
      </c>
      <c r="L75" s="18" t="n">
        <v>61685.47</v>
      </c>
      <c r="M75" s="18" t="n">
        <v>29729.58</v>
      </c>
      <c r="N75" s="18" t="n">
        <v>64165.87</v>
      </c>
      <c r="O75" s="18" t="n">
        <v>-13665.77</v>
      </c>
      <c r="P75" s="37" t="n">
        <v>141915.15</v>
      </c>
      <c r="Q75" s="18" t="n">
        <v>89770.10000000001</v>
      </c>
      <c r="R75" s="18" t="n">
        <v>74776.42</v>
      </c>
      <c r="S75" s="18" t="n">
        <v>-32731.31</v>
      </c>
      <c r="T75" s="18" t="n">
        <v>220592.69</v>
      </c>
      <c r="U75" s="37" t="n">
        <v>352407.9</v>
      </c>
      <c r="V75" s="18" t="n">
        <v>48789.27</v>
      </c>
      <c r="W75" s="18" t="n">
        <v>168066.32</v>
      </c>
      <c r="X75" s="18" t="n">
        <v>-70764.09</v>
      </c>
      <c r="Y75" s="18" t="n">
        <v>26641.65</v>
      </c>
      <c r="Z75" s="37" t="n">
        <v>172733.15</v>
      </c>
      <c r="AA75" s="18" t="n">
        <v>192402.43</v>
      </c>
      <c r="AB75" s="19" t="n">
        <v>81643.8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3759.77</v>
      </c>
      <c r="F76" s="9" t="n"/>
      <c r="G76" s="18" t="n">
        <v>30.99</v>
      </c>
      <c r="H76" s="18" t="n">
        <v>77.48999999999999</v>
      </c>
      <c r="I76" s="18" t="n">
        <v>303.8</v>
      </c>
      <c r="J76" s="18" t="n">
        <v>7301.12</v>
      </c>
      <c r="K76" s="37" t="n">
        <v>7713.4</v>
      </c>
      <c r="L76" s="18" t="n">
        <v>6078.63</v>
      </c>
      <c r="M76" s="18" t="n">
        <v>414.88</v>
      </c>
      <c r="N76" s="18" t="n">
        <v>171.54</v>
      </c>
      <c r="O76" s="18" t="n">
        <v>1815.7</v>
      </c>
      <c r="P76" s="37" t="n">
        <v>8480.75</v>
      </c>
      <c r="Q76" s="18" t="n">
        <v>53.19</v>
      </c>
      <c r="R76" s="18" t="n">
        <v>92.31</v>
      </c>
      <c r="S76" s="18" t="n">
        <v>3241.22</v>
      </c>
      <c r="T76" s="18" t="n">
        <v>77.94</v>
      </c>
      <c r="U76" s="37" t="n">
        <v>3464.66</v>
      </c>
      <c r="V76" s="18" t="n">
        <v>201.82</v>
      </c>
      <c r="W76" s="18" t="n">
        <v>195.41</v>
      </c>
      <c r="X76" s="18" t="n">
        <v>162.16</v>
      </c>
      <c r="Y76" s="18" t="n">
        <v>2894.02</v>
      </c>
      <c r="Z76" s="37" t="n">
        <v>3453.41</v>
      </c>
      <c r="AA76" s="18" t="n">
        <v>79.09</v>
      </c>
      <c r="AB76" s="19" t="n">
        <v>146.39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9506.82</v>
      </c>
      <c r="F77" s="9" t="n"/>
      <c r="G77" s="18" t="n">
        <v>1375.55</v>
      </c>
      <c r="H77" s="18" t="n">
        <v>2565.22</v>
      </c>
      <c r="I77" s="18" t="n">
        <v>25.44</v>
      </c>
      <c r="J77" s="18" t="n">
        <v>6343.47</v>
      </c>
      <c r="K77" s="37" t="n">
        <v>10309.68</v>
      </c>
      <c r="L77" s="18" t="n">
        <v>53.68</v>
      </c>
      <c r="M77" s="18" t="n">
        <v>374.06</v>
      </c>
      <c r="N77" s="18" t="n">
        <v>1658.69</v>
      </c>
      <c r="O77" s="18" t="n">
        <v>2008.92</v>
      </c>
      <c r="P77" s="37" t="n">
        <v>4095.35</v>
      </c>
      <c r="Q77" s="18" t="n">
        <v>21.65</v>
      </c>
      <c r="R77" s="18" t="n">
        <v>435.95</v>
      </c>
      <c r="S77" s="18" t="n">
        <v>193.03</v>
      </c>
      <c r="T77" s="18" t="n">
        <v>11.34</v>
      </c>
      <c r="U77" s="37" t="n">
        <v>661.97</v>
      </c>
      <c r="V77" s="18" t="n">
        <v>1313.51</v>
      </c>
      <c r="W77" s="18" t="n">
        <v>1928.19</v>
      </c>
      <c r="X77" s="18" t="n">
        <v>4991.35</v>
      </c>
      <c r="Y77" s="18" t="n">
        <v>2519.36</v>
      </c>
      <c r="Z77" s="37" t="n">
        <v>10752.41</v>
      </c>
      <c r="AA77" s="18" t="n">
        <v>1767.01</v>
      </c>
      <c r="AB77" s="19" t="n">
        <v>5855.35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-14997.7</v>
      </c>
      <c r="F78" s="9" t="n"/>
      <c r="G78" s="18" t="n">
        <v>-4769.7</v>
      </c>
      <c r="H78" s="18" t="n">
        <v>-32560.31</v>
      </c>
      <c r="I78" s="18" t="n">
        <v>4109.24</v>
      </c>
      <c r="J78" s="18" t="n">
        <v>-6881.36</v>
      </c>
      <c r="K78" s="37" t="n">
        <v>-40102.13</v>
      </c>
      <c r="L78" s="18" t="n">
        <v>7120.78</v>
      </c>
      <c r="M78" s="18" t="n">
        <v>643.1</v>
      </c>
      <c r="N78" s="18" t="n">
        <v>-3075.32</v>
      </c>
      <c r="O78" s="18" t="n">
        <v>-5645.52</v>
      </c>
      <c r="P78" s="37" t="n">
        <v>-956.96</v>
      </c>
      <c r="Q78" s="18" t="n">
        <v>18642.11</v>
      </c>
      <c r="R78" s="18" t="n">
        <v>18538.67</v>
      </c>
      <c r="S78" s="18" t="n">
        <v>13712.13</v>
      </c>
      <c r="T78" s="18" t="n">
        <v>26461.19</v>
      </c>
      <c r="U78" s="37" t="n">
        <v>77354.10000000001</v>
      </c>
      <c r="V78" s="18" t="n">
        <v>19979.61</v>
      </c>
      <c r="W78" s="18" t="n">
        <v>15051.37</v>
      </c>
      <c r="X78" s="18" t="n">
        <v>31246.92</v>
      </c>
      <c r="Y78" s="18" t="n">
        <v>54488.24</v>
      </c>
      <c r="Z78" s="37" t="n">
        <v>120766.14</v>
      </c>
      <c r="AA78" s="18" t="n">
        <v>69143.61</v>
      </c>
      <c r="AB78" s="19" t="n">
        <v>40531.01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-2262.89</v>
      </c>
      <c r="F79" s="9" t="n"/>
      <c r="H79" s="18" t="n">
        <v>-1013.47</v>
      </c>
      <c r="I79" s="18" t="n">
        <v>1424.79</v>
      </c>
      <c r="J79" s="18" t="n">
        <v>362.74</v>
      </c>
      <c r="K79" s="9" t="n"/>
      <c r="L79" s="18" t="n">
        <v>1556.51</v>
      </c>
      <c r="M79" s="18" t="n">
        <v>183.14</v>
      </c>
      <c r="N79" s="18" t="n">
        <v>-727.9400000000001</v>
      </c>
      <c r="O79" s="18" t="n">
        <v>-1522.26</v>
      </c>
      <c r="P79" s="37" t="n">
        <v>-510.55</v>
      </c>
      <c r="Q79" s="18" t="n">
        <v>3771.62</v>
      </c>
      <c r="R79" s="18" t="n">
        <v>4230.93</v>
      </c>
      <c r="S79" s="18" t="n">
        <v>3126.51</v>
      </c>
      <c r="T79" s="18" t="n">
        <v>-12934.51</v>
      </c>
      <c r="U79" s="37" t="n">
        <v>-1805.45</v>
      </c>
      <c r="V79" s="18" t="n">
        <v>570.9</v>
      </c>
      <c r="W79" s="18" t="n">
        <v>-6505.09</v>
      </c>
      <c r="X79" s="18" t="n">
        <v>946.5700000000001</v>
      </c>
      <c r="Y79" s="18" t="n">
        <v>-47999.66</v>
      </c>
      <c r="Z79" s="37" t="n">
        <v>-52987.28</v>
      </c>
      <c r="AA79" s="18" t="n">
        <v>16265.55</v>
      </c>
      <c r="AB79" s="19" t="n">
        <v>3227.27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-12734.82</v>
      </c>
      <c r="F80" s="9" t="n"/>
      <c r="G80" s="18" t="n">
        <v>-4769.7</v>
      </c>
      <c r="H80" s="18" t="n">
        <v>-31546.84</v>
      </c>
      <c r="I80" s="18" t="n">
        <v>2684.45</v>
      </c>
      <c r="J80" s="18" t="n">
        <v>-7244.1</v>
      </c>
      <c r="K80" s="37" t="n">
        <v>-40876.19</v>
      </c>
      <c r="L80" s="18" t="n">
        <v>5564.27</v>
      </c>
      <c r="M80" s="18" t="n">
        <v>459.96</v>
      </c>
      <c r="N80" s="18" t="n">
        <v>-2347.38</v>
      </c>
      <c r="O80" s="18" t="n">
        <v>-4123.26</v>
      </c>
      <c r="P80" s="37" t="n">
        <v>-446.41</v>
      </c>
      <c r="Q80" s="18" t="n">
        <v>14870.49</v>
      </c>
      <c r="R80" s="18" t="n">
        <v>14307.74</v>
      </c>
      <c r="S80" s="18" t="n">
        <v>10585.62</v>
      </c>
      <c r="T80" s="18" t="n">
        <v>39395.7</v>
      </c>
      <c r="U80" s="37" t="n">
        <v>79159.55</v>
      </c>
      <c r="V80" s="18" t="n">
        <v>19408.71</v>
      </c>
      <c r="W80" s="18" t="n">
        <v>21556.46</v>
      </c>
      <c r="X80" s="18" t="n">
        <v>30300.35</v>
      </c>
      <c r="Y80" s="18" t="n">
        <v>102487.91</v>
      </c>
      <c r="Z80" s="37" t="n">
        <v>173753.43</v>
      </c>
      <c r="AA80" s="18" t="n">
        <v>52878.07</v>
      </c>
      <c r="AB80" s="19" t="n">
        <v>37303.74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7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7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7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7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-2055.15</v>
      </c>
      <c r="F82" s="9" t="n"/>
      <c r="G82" s="18" t="n">
        <v>-1140.85</v>
      </c>
      <c r="H82" s="18" t="n">
        <v>-421.54</v>
      </c>
      <c r="I82" s="18" t="n">
        <v>3089.37</v>
      </c>
      <c r="J82" s="18" t="n">
        <v>-11035.75</v>
      </c>
      <c r="K82" s="37" t="n">
        <v>-9508.77</v>
      </c>
      <c r="L82" s="18" t="n">
        <v>-2978.28</v>
      </c>
      <c r="M82" s="18" t="n">
        <v>-2871.09</v>
      </c>
      <c r="N82" s="18" t="n">
        <v>-2729.88</v>
      </c>
      <c r="O82" s="18" t="n">
        <v>-5571.62</v>
      </c>
      <c r="P82" s="37" t="n">
        <v>-14150.87</v>
      </c>
      <c r="Q82" s="18" t="n">
        <v>-816.62</v>
      </c>
      <c r="R82" s="18" t="n">
        <v>209.81</v>
      </c>
      <c r="S82" s="18" t="n">
        <v>-4595.99</v>
      </c>
      <c r="T82" s="18" t="n">
        <v>8141.74</v>
      </c>
      <c r="U82" s="37" t="n">
        <v>2938.94</v>
      </c>
      <c r="V82" s="18" t="n">
        <v>-1203.03</v>
      </c>
      <c r="W82" s="18" t="n">
        <v>-17128.38</v>
      </c>
      <c r="X82" s="18" t="n">
        <v>9452.459999999999</v>
      </c>
      <c r="Y82" s="18" t="n">
        <v>6765.97</v>
      </c>
      <c r="Z82" s="37" t="n">
        <v>-2112.98</v>
      </c>
      <c r="AA82" s="18" t="n">
        <v>19427.86</v>
      </c>
      <c r="AB82" s="19" t="n">
        <v>4482.75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-5747.05</v>
      </c>
      <c r="F83" s="9" t="n"/>
      <c r="G83" s="18" t="n">
        <v>-1344.56</v>
      </c>
      <c r="H83" s="18" t="n">
        <v>-2487.73</v>
      </c>
      <c r="I83" s="18" t="n">
        <v>278.36</v>
      </c>
      <c r="J83" s="18" t="n">
        <v>957.65</v>
      </c>
      <c r="K83" s="37" t="n">
        <v>-2596.28</v>
      </c>
      <c r="L83" s="18" t="n">
        <v>6024.95</v>
      </c>
      <c r="M83" s="18" t="n">
        <v>40.82</v>
      </c>
      <c r="N83" s="18" t="n">
        <v>-1487.15</v>
      </c>
      <c r="O83" s="18" t="n">
        <v>-193.22</v>
      </c>
      <c r="P83" s="37" t="n">
        <v>4385.4</v>
      </c>
      <c r="Q83" s="18" t="n">
        <v>31.54</v>
      </c>
      <c r="R83" s="18" t="n">
        <v>-343.64</v>
      </c>
      <c r="S83" s="18" t="n">
        <v>3048.19</v>
      </c>
      <c r="T83" s="18" t="n">
        <v>66.59999999999999</v>
      </c>
      <c r="U83" s="37" t="n">
        <v>2802.69</v>
      </c>
      <c r="V83" s="18" t="n">
        <v>-1111.69</v>
      </c>
      <c r="W83" s="18" t="n">
        <v>-1732.78</v>
      </c>
      <c r="X83" s="18" t="n">
        <v>-4829.19</v>
      </c>
      <c r="Y83" s="18" t="n">
        <v>374.66</v>
      </c>
      <c r="Z83" s="37" t="n">
        <v>-7299</v>
      </c>
      <c r="AA83" s="18" t="n">
        <v>-1687.92</v>
      </c>
      <c r="AB83" s="19" t="n">
        <v>-5708.96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E84" s="18" t="n">
        <v>-12734.82</v>
      </c>
      <c r="F84" s="9" t="n"/>
      <c r="G84" s="18" t="n">
        <v>-4769.7</v>
      </c>
      <c r="H84" s="18" t="n">
        <v>-31546.84</v>
      </c>
      <c r="I84" s="18" t="n">
        <v>2684.45</v>
      </c>
      <c r="J84" s="18" t="n">
        <v>-7244.1</v>
      </c>
      <c r="K84" s="37" t="n">
        <v>-40876.19</v>
      </c>
      <c r="L84" s="18" t="n">
        <v>5564.27</v>
      </c>
      <c r="M84" s="18" t="n">
        <v>459.96</v>
      </c>
      <c r="N84" s="18" t="n">
        <v>-2347.38</v>
      </c>
      <c r="O84" s="18" t="n">
        <v>-4123.26</v>
      </c>
      <c r="P84" s="37" t="n">
        <v>-446.41</v>
      </c>
      <c r="Q84" s="18" t="n">
        <v>14870.49</v>
      </c>
      <c r="R84" s="18" t="n">
        <v>14307.74</v>
      </c>
      <c r="S84" s="18" t="n">
        <v>10585.62</v>
      </c>
      <c r="T84" s="18" t="n">
        <v>39395.7</v>
      </c>
      <c r="U84" s="37" t="n">
        <v>79159.55</v>
      </c>
      <c r="V84" s="18" t="n">
        <v>19408.71</v>
      </c>
      <c r="W84" s="18" t="n">
        <v>21556.46</v>
      </c>
      <c r="X84" s="18" t="n">
        <v>30300.35</v>
      </c>
      <c r="Y84" s="18" t="n">
        <v>102487.91</v>
      </c>
      <c r="Z84" s="37" t="n">
        <v>173753.43</v>
      </c>
      <c r="AA84" s="18" t="n">
        <v>52878.07</v>
      </c>
      <c r="AB84" s="19" t="n">
        <v>37303.74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-14205.08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-3128.47</v>
      </c>
      <c r="K85" s="37" t="n">
        <v>-36760.56</v>
      </c>
      <c r="L85" s="18" t="n">
        <v>5564.27</v>
      </c>
      <c r="M85" s="18" t="n">
        <v>185.71</v>
      </c>
      <c r="N85" s="18" t="n">
        <v>-1768.92</v>
      </c>
      <c r="O85" s="18" t="n">
        <v>-1460.09</v>
      </c>
      <c r="P85" s="37" t="n">
        <v>2520.97</v>
      </c>
      <c r="Q85" s="18" t="n">
        <v>15189.25</v>
      </c>
      <c r="R85" s="18" t="n">
        <v>14319.27</v>
      </c>
      <c r="S85" s="18" t="n">
        <v>10428.5</v>
      </c>
      <c r="T85" s="18" t="n">
        <v>40519.73</v>
      </c>
      <c r="U85" s="37" t="n">
        <v>80456.75</v>
      </c>
      <c r="V85" s="18" t="n">
        <v>19507.01</v>
      </c>
      <c r="W85" s="18" t="n">
        <v>15979.08</v>
      </c>
      <c r="X85" s="18" t="n">
        <v>30796</v>
      </c>
      <c r="Y85" s="18" t="n">
        <v>93952.60000000001</v>
      </c>
      <c r="Z85" s="37" t="n">
        <v>160234.69</v>
      </c>
      <c r="AA85" s="18" t="n">
        <v>53028.24</v>
      </c>
      <c r="AB85" s="19" t="n">
        <v>36599.13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N86" s="18" t="n">
        <v>57.36</v>
      </c>
      <c r="O86" s="18" t="n">
        <v>22.59</v>
      </c>
      <c r="P86" s="9" t="n"/>
      <c r="R86" s="18" t="n">
        <v>49.53</v>
      </c>
      <c r="S86" s="18" t="n">
        <v>-26.61</v>
      </c>
      <c r="T86" s="18" t="n">
        <v>57.86</v>
      </c>
      <c r="U86" s="9" t="n"/>
      <c r="V86" s="18" t="n">
        <v>-17.84</v>
      </c>
      <c r="W86" s="18" t="n">
        <v>137.14</v>
      </c>
      <c r="X86" s="18" t="n">
        <v>-7.47</v>
      </c>
      <c r="Y86" s="18" t="n">
        <v>0</v>
      </c>
      <c r="Z86" s="37" t="n">
        <v>111.83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7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K88" s="9" t="n"/>
      <c r="P88" s="9" t="n"/>
      <c r="U88" s="9" t="n"/>
      <c r="V88" s="18" t="n">
        <v>1098.71</v>
      </c>
      <c r="W88" s="18" t="n">
        <v>2221.01</v>
      </c>
      <c r="X88" s="18" t="n">
        <v>3447.36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U89" s="9" t="n"/>
      <c r="V89" s="18" t="n">
        <v>930.34</v>
      </c>
      <c r="W89" s="18" t="n">
        <v>852.0700000000001</v>
      </c>
      <c r="X89" s="18" t="n">
        <v>761.66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U90" s="9" t="n"/>
      <c r="V90" s="18" t="n">
        <v>8268.01</v>
      </c>
      <c r="W90" s="18" t="n">
        <v>9411.639999999999</v>
      </c>
      <c r="X90" s="18" t="n">
        <v>15093.09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U91" s="9" t="n"/>
      <c r="V91" s="18" t="n">
        <v>9280.440000000001</v>
      </c>
      <c r="W91" s="18" t="n">
        <v>26079.92</v>
      </c>
      <c r="X91" s="18" t="n">
        <v>13161.58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U92" s="9" t="n"/>
      <c r="V92" s="18" t="n">
        <v>1394.36</v>
      </c>
      <c r="W92" s="18" t="n">
        <v>2068.02</v>
      </c>
      <c r="X92" s="18" t="n">
        <v>1393.4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U93" s="9" t="n"/>
      <c r="V93" s="18" t="n">
        <v>110.46</v>
      </c>
      <c r="W93" s="18" t="n">
        <v>8006.3</v>
      </c>
      <c r="X93" s="18" t="n">
        <v>-6376.12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U94" s="9" t="n"/>
      <c r="V94" s="18" t="n">
        <v>6734.65</v>
      </c>
      <c r="W94" s="18" t="n">
        <v>164986.15</v>
      </c>
      <c r="X94" s="18" t="n">
        <v>-90049.82000000001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U95" s="9" t="n"/>
      <c r="V95" s="18" t="n">
        <v>32705.85</v>
      </c>
      <c r="W95" s="18" t="n">
        <v>-24525.74</v>
      </c>
      <c r="X95" s="18" t="n">
        <v>9919.02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U96" s="9" t="n"/>
      <c r="V96" s="18" t="n">
        <v>168.37</v>
      </c>
      <c r="W96" s="18" t="n">
        <v>1368.94</v>
      </c>
      <c r="X96" s="18" t="n">
        <v>2685.7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배당금수익</t>
        </is>
      </c>
      <c r="F97" s="9" t="n"/>
      <c r="K97" s="9" t="n"/>
      <c r="P97" s="9" t="n"/>
      <c r="U97" s="9" t="n"/>
      <c r="W97" s="18" t="n">
        <v>8.960000000000001</v>
      </c>
      <c r="X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영업외손익</t>
        </is>
      </c>
      <c r="F98" s="9" t="n"/>
      <c r="K98" s="9" t="n"/>
      <c r="P98" s="9" t="n"/>
      <c r="U98" s="9" t="n"/>
      <c r="Z98" s="9" t="n"/>
      <c r="AB98" s="19" t="n">
        <v>-1226.22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7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7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7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7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7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7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7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7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7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7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7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7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7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7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7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7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7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7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7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7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7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7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7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7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7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7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7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7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7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7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7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7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7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7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7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7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7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7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7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7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7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7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7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7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7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7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7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7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7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 t="n"/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IFERROR((VLOOKUP("파생상품이익",BS별도,MATCH(V$1,BS별도H,0),0)-VLOOKUP("파생상품손실",BS별도,MATCH(V$1,BS별도H,0),0))/100,"")</f>
        <v/>
      </c>
      <c r="W14" s="18">
        <f>IFERROR((VLOOKUP("파생상품이익",BS별도,MATCH(W$1,BS별도H,0),0)-VLOOKUP("파생상품손실",BS별도,MATCH(W$1,BS별도H,0),0))/100,"")</f>
        <v/>
      </c>
      <c r="X14" s="18">
        <f>IFERROR((VLOOKUP("파생상품이익",BS별도,MATCH(X$1,BS별도H,0),0)-VLOOKUP("파생상품손실",BS별도,MATCH(X$1,BS별도H,0),0))/100,"")</f>
        <v/>
      </c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SUM(G31:J31)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7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46.714</v>
      </c>
      <c r="F32" s="28">
        <f>E32</f>
        <v/>
      </c>
      <c r="G32" s="27" t="n">
        <v>46.714</v>
      </c>
      <c r="H32" s="27" t="n">
        <v>46.714</v>
      </c>
      <c r="I32" s="27" t="n">
        <v>71.52200000000001</v>
      </c>
      <c r="J32" s="27" t="n">
        <v>71.52200000000001</v>
      </c>
      <c r="K32" s="28">
        <f>J32</f>
        <v/>
      </c>
      <c r="L32" s="27" t="n">
        <v>71.52200000000001</v>
      </c>
      <c r="M32" s="27" t="n">
        <v>71.52200000000001</v>
      </c>
      <c r="N32" s="27" t="n">
        <v>71.52200000000001</v>
      </c>
      <c r="O32" s="27" t="n">
        <v>71.52200000000001</v>
      </c>
      <c r="P32" s="28">
        <f>O32</f>
        <v/>
      </c>
      <c r="Q32" s="27" t="n">
        <v>83.426</v>
      </c>
      <c r="R32" s="27" t="n">
        <v>83.426</v>
      </c>
      <c r="S32" s="27" t="n">
        <v>83.426</v>
      </c>
      <c r="T32" s="27" t="n">
        <v>83.426</v>
      </c>
      <c r="U32" s="28">
        <f>T32</f>
        <v/>
      </c>
      <c r="V32" s="27" t="n">
        <v>83.426</v>
      </c>
      <c r="W32" s="27" t="n">
        <v>83.426</v>
      </c>
      <c r="X32" s="27" t="n">
        <v>83.426</v>
      </c>
      <c r="Y32" s="27" t="n">
        <v>83.426</v>
      </c>
      <c r="Z32" s="28">
        <f>Y32</f>
        <v/>
      </c>
      <c r="AA32" s="27" t="n">
        <v>83.426</v>
      </c>
      <c r="AB32" s="29" t="n">
        <v>83.426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7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7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7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7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7">
        <f>SUM(V38:Y38)</f>
        <v/>
      </c>
      <c r="AA38" s="18" t="n">
        <v>3452.39</v>
      </c>
      <c r="AB38" s="19" t="n">
        <v>3622.2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7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7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7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7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7">
        <f>SUM(V39:Y39)</f>
        <v/>
      </c>
      <c r="AA39" s="18" t="n">
        <v>513.79</v>
      </c>
      <c r="AB39" s="19" t="n">
        <v>379.11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1521.4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27.18</v>
      </c>
    </row>
    <row r="32">
      <c r="C32" s="2" t="inlineStr">
        <is>
          <t>pbr_now</t>
        </is>
      </c>
      <c r="D32" t="n">
        <v>5.31</v>
      </c>
    </row>
    <row r="33">
      <c r="C33" s="2" t="inlineStr">
        <is>
          <t>roe_fwd</t>
        </is>
      </c>
      <c r="D33" t="n">
        <v>0.1953</v>
      </c>
    </row>
    <row r="34">
      <c r="C34" s="2" t="inlineStr">
        <is>
          <t>fair_pbr</t>
        </is>
      </c>
      <c r="D34" t="n">
        <v>2.17</v>
      </c>
    </row>
    <row r="35">
      <c r="C35" s="2" t="inlineStr">
        <is>
          <t>fair_value_pbr</t>
        </is>
      </c>
      <c r="D35" t="n">
        <v>16900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