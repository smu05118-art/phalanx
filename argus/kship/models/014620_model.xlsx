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BS연결!$C$5:$AO$87</definedName>
    <definedName name="BS별도H">BS별도!$C$1:$AO$1</definedName>
    <definedName name="BS별도">BS별도!$C$5:$AO$80</definedName>
    <definedName name="SUBQH">subQ!$A$1:$AO$1</definedName>
    <definedName name="subQ">subQ!$A$5:$AO$39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(1+9.6%) — g=최근 4분기 합 YoY 9.6% 클립(−30~+50%), 연차별 절반 감쇠(가정)</t>
      </text>
    </comment>
    <comment ref="AD21" authorId="0" shapeId="0">
      <text>
        <t>모델값 역산(implied): v / 전년동기 − 1
전년동기 × (1+9.6%) — g=최근 4분기 합 YoY 9.6% 클립(−30~+50%), 연차별 절반 감쇠(가정)</t>
      </text>
    </comment>
    <comment ref="AF21" authorId="0" shapeId="0">
      <text>
        <t>모델값 역산(implied): v / 전년동기 − 1
전년동기 × (1+9.6%) — g=최근 4분기 합 YoY 9.6% 클립(−30~+50%), 연차별 절반 감쇠(가정)</t>
      </text>
    </comment>
    <comment ref="AG21" authorId="0" shapeId="0">
      <text>
        <t>모델값 역산(implied): v / 전년동기 − 1
전년동기 × (1+9.6%) — g=최근 4분기 합 YoY 9.6% 클립(−30~+50%), 연차별 절반 감쇠(가정)</t>
      </text>
    </comment>
    <comment ref="AH21" authorId="0" shapeId="0">
      <text>
        <t>모델값 역산(implied): v / 전년동기 − 1
전년동기 × (1+4.8%) — g=최근 4분기 합 YoY 9.6% 클립(−30~+50%), 연차별 절반 감쇠(가정)</t>
      </text>
    </comment>
    <comment ref="AI21" authorId="0" shapeId="0">
      <text>
        <t>모델값 역산(implied): v / 전년동기 − 1
전년동기 × (1+4.8%) — g=최근 4분기 합 YoY 9.6% 클립(−30~+50%), 연차별 절반 감쇠(가정)</t>
      </text>
    </comment>
    <comment ref="AK21" authorId="0" shapeId="0">
      <text>
        <t>모델값 역산(implied): v / 전년동기 − 1
전년동기 × (1+4.8%) — g=최근 4분기 합 YoY 9.6% 클립(−30~+50%), 연차별 절반 감쇠(가정)</t>
      </text>
    </comment>
    <comment ref="AL21" authorId="0" shapeId="0">
      <text>
        <t>모델값 역산(implied): v / 전년동기 − 1
전년동기 × (1+4.8%) — g=최근 4분기 합 YoY 9.6% 클립(−30~+50%), 연차별 절반 감쇠(가정)</t>
      </text>
    </comment>
    <comment ref="AM21" authorId="0" shapeId="0">
      <text>
        <t>모델값 역산(implied): v / 전년동기 − 1
전년동기 × (1+2.4%) — g=최근 4분기 합 YoY 9.6% 클립(−30~+50%), 연차별 절반 감쇠(가정)</t>
      </text>
    </comment>
    <comment ref="AN21" authorId="0" shapeId="0">
      <text>
        <t>모델값 역산(implied): v / 전년동기 − 1
전년동기 × (1+2.4%) — g=최근 4분기 합 YoY 9.6% 클립(−30~+50%), 연차별 절반 감쇠(가정)</t>
      </text>
    </comment>
    <comment ref="AC22" authorId="0" shapeId="0">
      <text>
        <t>3절 스칼라 '판관비율' 참조 — 숫자로 덮어쓰면 이 분기만 바뀐다
매출액 × 판관비율 26.00%(최근 4분기 중위)</t>
      </text>
    </comment>
    <comment ref="AD22" authorId="0" shapeId="0">
      <text>
        <t>3절 스칼라 '판관비율' 참조 — 숫자로 덮어쓰면 이 분기만 바뀐다
매출액 × 판관비율 26.00%(최근 4분기 중위)</t>
      </text>
    </comment>
    <comment ref="AF22" authorId="0" shapeId="0">
      <text>
        <t>3절 스칼라 '판관비율' 참조 — 숫자로 덮어쓰면 이 분기만 바뀐다
매출액 × 판관비율 26.00%(최근 4분기 중위)</t>
      </text>
    </comment>
    <comment ref="AG22" authorId="0" shapeId="0">
      <text>
        <t>3절 스칼라 '판관비율' 참조 — 숫자로 덮어쓰면 이 분기만 바뀐다
매출액 × 판관비율 26.00%(최근 4분기 중위)</t>
      </text>
    </comment>
    <comment ref="AH22" authorId="0" shapeId="0">
      <text>
        <t>3절 스칼라 '판관비율' 참조 — 숫자로 덮어쓰면 이 분기만 바뀐다
매출액 × 판관비율 26.00%(최근 4분기 중위)</t>
      </text>
    </comment>
    <comment ref="AI22" authorId="0" shapeId="0">
      <text>
        <t>3절 스칼라 '판관비율' 참조 — 숫자로 덮어쓰면 이 분기만 바뀐다
매출액 × 판관비율 26.00%(최근 4분기 중위)</t>
      </text>
    </comment>
    <comment ref="AK22" authorId="0" shapeId="0">
      <text>
        <t>3절 스칼라 '판관비율' 참조 — 숫자로 덮어쓰면 이 분기만 바뀐다
매출액 × 판관비율 26.00%(최근 4분기 중위)</t>
      </text>
    </comment>
    <comment ref="AL22" authorId="0" shapeId="0">
      <text>
        <t>3절 스칼라 '판관비율' 참조 — 숫자로 덮어쓰면 이 분기만 바뀐다
매출액 × 판관비율 26.00%(최근 4분기 중위)</t>
      </text>
    </comment>
    <comment ref="AM22" authorId="0" shapeId="0">
      <text>
        <t>3절 스칼라 '판관비율' 참조 — 숫자로 덮어쓰면 이 분기만 바뀐다
매출액 × 판관비율 26.00%(최근 4분기 중위)</t>
      </text>
    </comment>
    <comment ref="AN22" authorId="0" shapeId="0">
      <text>
        <t>3절 스칼라 '판관비율' 참조 — 숫자로 덮어쓰면 이 분기만 바뀐다
매출액 × 판관비율 26.00%(최근 4분기 중위)</t>
      </text>
    </comment>
    <comment ref="AC23" authorId="0" shapeId="0">
      <text>
        <t>모델값 역산(implied): v / 매출액
매출액 × OPM(최근 8분기 OPM 중위 16.2% 유지(클립 −20~40%))</t>
      </text>
    </comment>
    <comment ref="AD23" authorId="0" shapeId="0">
      <text>
        <t>모델값 역산(implied): v / 매출액
매출액 × OPM(최근 8분기 OPM 중위 16.2% 유지(클립 −20~40%))</t>
      </text>
    </comment>
    <comment ref="AF23" authorId="0" shapeId="0">
      <text>
        <t>모델값 역산(implied): v / 매출액
매출액 × OPM(최근 8분기 OPM 중위 16.2% 유지(클립 −20~40%))</t>
      </text>
    </comment>
    <comment ref="AG23" authorId="0" shapeId="0">
      <text>
        <t>모델값 역산(implied): v / 매출액
매출액 × OPM(최근 8분기 OPM 중위 16.2% 유지(클립 −20~40%))</t>
      </text>
    </comment>
    <comment ref="AH23" authorId="0" shapeId="0">
      <text>
        <t>모델값 역산(implied): v / 매출액
매출액 × OPM(최근 8분기 OPM 중위 16.2% 유지(클립 −20~40%))</t>
      </text>
    </comment>
    <comment ref="AI23" authorId="0" shapeId="0">
      <text>
        <t>모델값 역산(implied): v / 매출액
매출액 × OPM(최근 8분기 OPM 중위 16.2% 유지(클립 −20~40%))</t>
      </text>
    </comment>
    <comment ref="AK23" authorId="0" shapeId="0">
      <text>
        <t>모델값 역산(implied): v / 매출액
매출액 × OPM(최근 8분기 OPM 중위 16.2% 유지(클립 −20~40%))</t>
      </text>
    </comment>
    <comment ref="AL23" authorId="0" shapeId="0">
      <text>
        <t>모델값 역산(implied): v / 매출액
매출액 × OPM(최근 8분기 OPM 중위 16.2% 유지(클립 −20~40%))</t>
      </text>
    </comment>
    <comment ref="AM23" authorId="0" shapeId="0">
      <text>
        <t>모델값 역산(implied): v / 매출액
매출액 × OPM(최근 8분기 OPM 중위 16.2% 유지(클립 −20~40%))</t>
      </text>
    </comment>
    <comment ref="AN23" authorId="0" shapeId="0">
      <text>
        <t>모델값 역산(implied): v / 매출액
매출액 × OPM(최근 8분기 OPM 중위 16.2% 유지(클립 −20~40%))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D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F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G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H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I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K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L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M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N25" authorId="0" shapeId="0">
      <text>
        <t>3절 스칼라 '세율' 참조 — 숫자로 덮어쓰면 이 분기만 바뀐다
max(세전, 0) × 세율 22.2%(최근 12분기 유효세율 22.2%(5~27% 안 — 그대로))</t>
      </text>
    </comment>
    <comment ref="AC26" authorId="0" shapeId="0">
      <text>
        <t>3절 스칼라 '지배주주비중' 참조 — 숫자로 덮어쓰면 이 분기만 바뀐다
당기순이익 × (1 − 비지배 비중 0.0%, 최근 8분기 실측)</t>
      </text>
    </comment>
    <comment ref="AD26" authorId="0" shapeId="0">
      <text>
        <t>3절 스칼라 '지배주주비중' 참조 — 숫자로 덮어쓰면 이 분기만 바뀐다
당기순이익 × (1 − 비지배 비중 0.0%, 최근 8분기 실측)</t>
      </text>
    </comment>
    <comment ref="AF26" authorId="0" shapeId="0">
      <text>
        <t>3절 스칼라 '지배주주비중' 참조 — 숫자로 덮어쓰면 이 분기만 바뀐다
당기순이익 × (1 − 비지배 비중 0.0%, 최근 8분기 실측)</t>
      </text>
    </comment>
    <comment ref="AG26" authorId="0" shapeId="0">
      <text>
        <t>3절 스칼라 '지배주주비중' 참조 — 숫자로 덮어쓰면 이 분기만 바뀐다
당기순이익 × (1 − 비지배 비중 0.0%, 최근 8분기 실측)</t>
      </text>
    </comment>
    <comment ref="AH26" authorId="0" shapeId="0">
      <text>
        <t>3절 스칼라 '지배주주비중' 참조 — 숫자로 덮어쓰면 이 분기만 바뀐다
당기순이익 × (1 − 비지배 비중 0.0%, 최근 8분기 실측)</t>
      </text>
    </comment>
    <comment ref="AI26" authorId="0" shapeId="0">
      <text>
        <t>3절 스칼라 '지배주주비중' 참조 — 숫자로 덮어쓰면 이 분기만 바뀐다
당기순이익 × (1 − 비지배 비중 0.0%, 최근 8분기 실측)</t>
      </text>
    </comment>
    <comment ref="AK26" authorId="0" shapeId="0">
      <text>
        <t>3절 스칼라 '지배주주비중' 참조 — 숫자로 덮어쓰면 이 분기만 바뀐다
당기순이익 × (1 − 비지배 비중 0.0%, 최근 8분기 실측)</t>
      </text>
    </comment>
    <comment ref="AL26" authorId="0" shapeId="0">
      <text>
        <t>3절 스칼라 '지배주주비중' 참조 — 숫자로 덮어쓰면 이 분기만 바뀐다
당기순이익 × (1 − 비지배 비중 0.0%, 최근 8분기 실측)</t>
      </text>
    </comment>
    <comment ref="AM26" authorId="0" shapeId="0">
      <text>
        <t>3절 스칼라 '지배주주비중' 참조 — 숫자로 덮어쓰면 이 분기만 바뀐다
당기순이익 × (1 − 비지배 비중 0.0%, 최근 8분기 실측)</t>
      </text>
    </comment>
    <comment ref="AN26" authorId="0" shapeId="0">
      <text>
        <t>3절 스칼라 '지배주주비중' 참조 — 숫자로 덮어쓰면 이 분기만 바뀐다
당기순이익 × (1 − 비지배 비중 0.0%, 최근 8분기 실측)</t>
      </text>
    </comment>
    <comment ref="AC27" authorId="0" shapeId="0">
      <text>
        <t>모델값 역산(implied): v / 전분기 − 1
마지막 실적 유지(가정)</t>
      </text>
    </comment>
    <comment ref="AD27" authorId="0" shapeId="0">
      <text>
        <t>모델값 역산(implied): v / 전분기 − 1
마지막 실적 유지(가정)</t>
      </text>
    </comment>
    <comment ref="AF27" authorId="0" shapeId="0">
      <text>
        <t>모델값 역산(implied): v / 전분기 − 1
마지막 실적 유지(가정)</t>
      </text>
    </comment>
    <comment ref="AG27" authorId="0" shapeId="0">
      <text>
        <t>모델값 역산(implied): v / 전분기 − 1
마지막 실적 유지(가정)</t>
      </text>
    </comment>
    <comment ref="AH27" authorId="0" shapeId="0">
      <text>
        <t>모델값 역산(implied): v / 전분기 − 1
마지막 실적 유지(가정)</t>
      </text>
    </comment>
    <comment ref="AI27" authorId="0" shapeId="0">
      <text>
        <t>모델값 역산(implied): v / 전분기 − 1
마지막 실적 유지(가정)</t>
      </text>
    </comment>
    <comment ref="AK27" authorId="0" shapeId="0">
      <text>
        <t>모델값 역산(implied): v / 전분기 − 1
마지막 실적 유지(가정)</t>
      </text>
    </comment>
    <comment ref="AL27" authorId="0" shapeId="0">
      <text>
        <t>모델값 역산(implied): v / 전분기 − 1
마지막 실적 유지(가정)</t>
      </text>
    </comment>
    <comment ref="AM27" authorId="0" shapeId="0">
      <text>
        <t>모델값 역산(implied): v / 전분기 − 1
마지막 실적 유지(가정)</t>
      </text>
    </comment>
    <comment ref="AN27" authorId="0" shapeId="0">
      <text>
        <t>모델값 역산(implied): v / 전분기 − 1
마지막 실적 유지(가정)</t>
      </text>
    </comment>
    <comment ref="AC28" authorId="0" shapeId="0">
      <text>
        <t>모델값 역산(implied): 전분기(시트값) + 당기순이익(시트 수식값) − v
전분기 + 당기순이익 − 배당(Q2 지급 가정)</t>
      </text>
    </comment>
    <comment ref="AD28" authorId="0" shapeId="0">
      <text>
        <t>모델값 역산(implied): 전분기(시트값) + 당기순이익(시트 수식값) − v
전분기 + 당기순이익 − 배당(Q2 지급 가정)</t>
      </text>
    </comment>
    <comment ref="AF28" authorId="0" shapeId="0">
      <text>
        <t>모델값 역산(implied): 전분기(시트값) + 당기순이익(시트 수식값) − v
전분기 + 당기순이익 − 배당(Q2 지급 가정)</t>
      </text>
    </comment>
    <comment ref="AG28" authorId="0" shapeId="0">
      <text>
        <t>모델값 역산(implied): 전분기(시트값) + 당기순이익(시트 수식값) − v
전분기 + 당기순이익 − 배당(Q2 지급 가정)</t>
      </text>
    </comment>
    <comment ref="AH28" authorId="0" shapeId="0">
      <text>
        <t>모델값 역산(implied): 전분기(시트값) + 당기순이익(시트 수식값) − v
전분기 + 당기순이익 − 배당(Q2 지급 가정)</t>
      </text>
    </comment>
    <comment ref="AI28" authorId="0" shapeId="0">
      <text>
        <t>모델값 역산(implied): 전분기(시트값) + 당기순이익(시트 수식값) − v
전분기 + 당기순이익 − 배당(Q2 지급 가정)</t>
      </text>
    </comment>
    <comment ref="AK28" authorId="0" shapeId="0">
      <text>
        <t>모델값 역산(implied): 전분기(시트값) + 당기순이익(시트 수식값) − v
전분기 + 당기순이익 − 배당(Q2 지급 가정)</t>
      </text>
    </comment>
    <comment ref="AL28" authorId="0" shapeId="0">
      <text>
        <t>모델값 역산(implied): 전분기(시트값) + 당기순이익(시트 수식값) − v
전분기 + 당기순이익 − 배당(Q2 지급 가정)</t>
      </text>
    </comment>
    <comment ref="AM28" authorId="0" shapeId="0">
      <text>
        <t>모델값 역산(implied): 전분기(시트값) + 당기순이익(시트 수식값) − v
전분기 + 당기순이익 − 배당(Q2 지급 가정)</t>
      </text>
    </comment>
    <comment ref="AN28" authorId="0" shapeId="0">
      <text>
        <t>모델값 역산(implied): 전분기(시트값) + 당기순이익(시트 수식값) − v
전분기 + 당기순이익 − 배당(Q2 지급 가정)</t>
      </text>
    </comment>
    <comment ref="AC29" authorId="0" shapeId="0">
      <text>
        <t>모델값 역산(implied): 전분기(시트값) + 지배주주순이익(시트 수식값) − v
전분기 + 지배주주순이익 − 배당</t>
      </text>
    </comment>
    <comment ref="AD29" authorId="0" shapeId="0">
      <text>
        <t>모델값 역산(implied): 전분기(시트값) + 지배주주순이익(시트 수식값) − v
전분기 + 지배주주순이익 − 배당</t>
      </text>
    </comment>
    <comment ref="AF29" authorId="0" shapeId="0">
      <text>
        <t>모델값 역산(implied): 전분기(시트값) + 지배주주순이익(시트 수식값) − v
전분기 + 지배주주순이익 − 배당</t>
      </text>
    </comment>
    <comment ref="AG29" authorId="0" shapeId="0">
      <text>
        <t>모델값 역산(implied): 전분기(시트값) + 지배주주순이익(시트 수식값) − v
전분기 + 지배주주순이익 − 배당</t>
      </text>
    </comment>
    <comment ref="AH29" authorId="0" shapeId="0">
      <text>
        <t>모델값 역산(implied): 전분기(시트값) + 지배주주순이익(시트 수식값) − v
전분기 + 지배주주순이익 − 배당</t>
      </text>
    </comment>
    <comment ref="AI29" authorId="0" shapeId="0">
      <text>
        <t>모델값 역산(implied): 전분기(시트값) + 지배주주순이익(시트 수식값) − v
전분기 + 지배주주순이익 − 배당</t>
      </text>
    </comment>
    <comment ref="AK29" authorId="0" shapeId="0">
      <text>
        <t>모델값 역산(implied): 전분기(시트값) + 지배주주순이익(시트 수식값) − v
전분기 + 지배주주순이익 − 배당</t>
      </text>
    </comment>
    <comment ref="AL29" authorId="0" shapeId="0">
      <text>
        <t>모델값 역산(implied): 전분기(시트값) + 지배주주순이익(시트 수식값) − v
전분기 + 지배주주순이익 − 배당</t>
      </text>
    </comment>
    <comment ref="AM29" authorId="0" shapeId="0">
      <text>
        <t>모델값 역산(implied): 전분기(시트값) + 지배주주순이익(시트 수식값) − v
전분기 + 지배주주순이익 − 배당</t>
      </text>
    </comment>
    <comment ref="AN29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D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F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G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H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I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K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L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M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N31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C32" authorId="0" shapeId="0">
      <text>
        <t>모델값 역산(implied): v / 전분기 − 1
전분기 + FCF 근사 — 순차입금 롤과 같은 가정</t>
      </text>
    </comment>
    <comment ref="AD32" authorId="0" shapeId="0">
      <text>
        <t>모델값 역산(implied): v / 전분기 − 1
전분기 + FCF 근사 — 순차입금 롤과 같은 가정</t>
      </text>
    </comment>
    <comment ref="AF32" authorId="0" shapeId="0">
      <text>
        <t>모델값 역산(implied): v / 전분기 − 1
전분기 + FCF 근사 — 순차입금 롤과 같은 가정</t>
      </text>
    </comment>
    <comment ref="AG32" authorId="0" shapeId="0">
      <text>
        <t>모델값 역산(implied): v / 전분기 − 1
전분기 + FCF 근사 — 순차입금 롤과 같은 가정</t>
      </text>
    </comment>
    <comment ref="AH32" authorId="0" shapeId="0">
      <text>
        <t>모델값 역산(implied): v / 전분기 − 1
전분기 + FCF 근사 — 순차입금 롤과 같은 가정</t>
      </text>
    </comment>
    <comment ref="AI32" authorId="0" shapeId="0">
      <text>
        <t>모델값 역산(implied): v / 전분기 − 1
전분기 + FCF 근사 — 순차입금 롤과 같은 가정</t>
      </text>
    </comment>
    <comment ref="AK32" authorId="0" shapeId="0">
      <text>
        <t>모델값 역산(implied): v / 전분기 − 1
전분기 + FCF 근사 — 순차입금 롤과 같은 가정</t>
      </text>
    </comment>
    <comment ref="AL32" authorId="0" shapeId="0">
      <text>
        <t>모델값 역산(implied): v / 전분기 − 1
전분기 + FCF 근사 — 순차입금 롤과 같은 가정</t>
      </text>
    </comment>
    <comment ref="AM32" authorId="0" shapeId="0">
      <text>
        <t>모델값 역산(implied): v / 전분기 − 1
전분기 + FCF 근사 — 순차입금 롤과 같은 가정</t>
      </text>
    </comment>
    <comment ref="AN32" authorId="0" shapeId="0">
      <text>
        <t>모델값 역산(implied): v / 전분기 − 1
전분기 + FCF 근사 — 순차입금 롤과 같은 가정</t>
      </text>
    </comment>
    <comment ref="AC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4" authorId="0" shapeId="0">
      <text>
        <t>모델값 역산(implied): v / 전분기 − 1 (전년동기 없음 → 전분기 대비)
최근 4분기(2025Q3~2026Q2) CAPEX 중위 유지 — 순차입금 롤에 미반영(감가상각비 없음 → CAPEX≈감가 가정)</t>
      </text>
    </comment>
    <comment ref="AG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6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v / 전분기 − 1
유통주식수 유지 — fin.shares.common_outstanding(2026Q2)</t>
      </text>
    </comment>
    <comment ref="AF36" authorId="0" shapeId="0">
      <text>
        <t>모델값 역산(implied): v / 전분기 − 1
유통주식수 유지 — fin.shares.common_outstanding(2026Q2)</t>
      </text>
    </comment>
    <comment ref="AG36" authorId="0" shapeId="0">
      <text>
        <t>모델값 역산(implied): v / 전분기 − 1
유통주식수 유지 — fin.shares.common_outstanding(2026Q2)</t>
      </text>
    </comment>
    <comment ref="AH36" authorId="0" shapeId="0">
      <text>
        <t>모델값 역산(implied): v / 전분기 − 1
유통주식수 유지 — fin.shares.common_outstanding(2026Q2)</t>
      </text>
    </comment>
    <comment ref="AI36" authorId="0" shapeId="0">
      <text>
        <t>모델값 역산(implied): v / 전분기 − 1
유통주식수 유지 — fin.shares.common_outstanding(2026Q2)</t>
      </text>
    </comment>
    <comment ref="AK36" authorId="0" shapeId="0">
      <text>
        <t>모델값 역산(implied): v / 전분기 − 1
유통주식수 유지 — fin.shares.common_outstanding(2026Q2)</t>
      </text>
    </comment>
    <comment ref="AL36" authorId="0" shapeId="0">
      <text>
        <t>모델값 역산(implied): v / 전분기 − 1
유통주식수 유지 — fin.shares.common_outstanding(2026Q2)</t>
      </text>
    </comment>
    <comment ref="AM36" authorId="0" shapeId="0">
      <text>
        <t>모델값 역산(implied): v / 전분기 − 1
유통주식수 유지 — fin.shares.common_outstanding(2026Q2)</t>
      </text>
    </comment>
    <comment ref="AN36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모델 v 그대로
직전 결산 DPS 200원 유지</t>
      </text>
    </comment>
    <comment ref="AI37" authorId="0" shapeId="0">
      <text>
        <t>모델값 역산(implied): 모델 v 그대로
직전 결산 DPS 200원 유지</t>
      </text>
    </comment>
    <comment ref="AN37" authorId="0" shapeId="0">
      <text>
        <t>모델값 역산(implied): 모델 v 그대로
직전 결산 DPS 200원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(1+9.6%) — g=최근 4분기 합 YoY 9.6% 클립(−30~+50%), 연차별 절반 감쇠(가정)
[yoy]</t>
      </text>
    </comment>
    <comment ref="AD5" authorId="0" shapeId="0">
      <text>
        <t>추정: 전년동기 × (1+9.6%) — g=최근 4분기 합 YoY 9.6% 클립(−30~+50%), 연차별 절반 감쇠(가정)
[yoy]</t>
      </text>
    </comment>
    <comment ref="AF5" authorId="0" shapeId="0">
      <text>
        <t>추정: 전년동기 × (1+9.6%) — g=최근 4분기 합 YoY 9.6% 클립(−30~+50%), 연차별 절반 감쇠(가정)
[yoy]</t>
      </text>
    </comment>
    <comment ref="AG5" authorId="0" shapeId="0">
      <text>
        <t>추정: 전년동기 × (1+9.6%) — g=최근 4분기 합 YoY 9.6% 클립(−30~+50%), 연차별 절반 감쇠(가정)
[yoy]</t>
      </text>
    </comment>
    <comment ref="AH5" authorId="0" shapeId="0">
      <text>
        <t>추정: 전년동기 × (1+4.8%) — g=최근 4분기 합 YoY 9.6% 클립(−30~+50%), 연차별 절반 감쇠(가정)
[yoy]</t>
      </text>
    </comment>
    <comment ref="AI5" authorId="0" shapeId="0">
      <text>
        <t>추정: 전년동기 × (1+4.8%) — g=최근 4분기 합 YoY 9.6% 클립(−30~+50%), 연차별 절반 감쇠(가정)
[yoy]</t>
      </text>
    </comment>
    <comment ref="AK5" authorId="0" shapeId="0">
      <text>
        <t>추정: 전년동기 × (1+4.8%) — g=최근 4분기 합 YoY 9.6% 클립(−30~+50%), 연차별 절반 감쇠(가정)
[yoy]</t>
      </text>
    </comment>
    <comment ref="AL5" authorId="0" shapeId="0">
      <text>
        <t>추정: 전년동기 × (1+4.8%) — g=최근 4분기 합 YoY 9.6% 클립(−30~+50%), 연차별 절반 감쇠(가정)
[yoy]</t>
      </text>
    </comment>
    <comment ref="AM5" authorId="0" shapeId="0">
      <text>
        <t>추정: 전년동기 × (1+2.4%) — g=최근 4분기 합 YoY 9.6% 클립(−30~+50%), 연차별 절반 감쇠(가정)
[yoy]</t>
      </text>
    </comment>
    <comment ref="AN5" authorId="0" shapeId="0">
      <text>
        <t>추정: 전년동기 × (1+2.4%) — g=최근 4분기 합 YoY 9.6%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26.00%(최근 4분기 중위)
[ratio]</t>
      </text>
    </comment>
    <comment ref="AD8" authorId="0" shapeId="0">
      <text>
        <t>추정: 매출액 × 판관비율 26.00%(최근 4분기 중위)
[ratio]</t>
      </text>
    </comment>
    <comment ref="AF8" authorId="0" shapeId="0">
      <text>
        <t>추정: 매출액 × 판관비율 26.00%(최근 4분기 중위)
[ratio]</t>
      </text>
    </comment>
    <comment ref="AG8" authorId="0" shapeId="0">
      <text>
        <t>추정: 매출액 × 판관비율 26.00%(최근 4분기 중위)
[ratio]</t>
      </text>
    </comment>
    <comment ref="AH8" authorId="0" shapeId="0">
      <text>
        <t>추정: 매출액 × 판관비율 26.00%(최근 4분기 중위)
[ratio]</t>
      </text>
    </comment>
    <comment ref="AI8" authorId="0" shapeId="0">
      <text>
        <t>추정: 매출액 × 판관비율 26.00%(최근 4분기 중위)
[ratio]</t>
      </text>
    </comment>
    <comment ref="AK8" authorId="0" shapeId="0">
      <text>
        <t>추정: 매출액 × 판관비율 26.00%(최근 4분기 중위)
[ratio]</t>
      </text>
    </comment>
    <comment ref="AL8" authorId="0" shapeId="0">
      <text>
        <t>추정: 매출액 × 판관비율 26.00%(최근 4분기 중위)
[ratio]</t>
      </text>
    </comment>
    <comment ref="AM8" authorId="0" shapeId="0">
      <text>
        <t>추정: 매출액 × 판관비율 26.00%(최근 4분기 중위)
[ratio]</t>
      </text>
    </comment>
    <comment ref="AN8" authorId="0" shapeId="0">
      <text>
        <t>추정: 매출액 × 판관비율 26.00%(최근 4분기 중위)
[ratio]</t>
      </text>
    </comment>
    <comment ref="AC9" authorId="0" shapeId="0">
      <text>
        <t>추정: 매출액 × OPM(최근 8분기 OPM 중위 16.2% 유지(클립 −20~40%))
[ratio]</t>
      </text>
    </comment>
    <comment ref="AD9" authorId="0" shapeId="0">
      <text>
        <t>추정: 매출액 × OPM(최근 8분기 OPM 중위 16.2% 유지(클립 −20~40%))
[ratio]</t>
      </text>
    </comment>
    <comment ref="AF9" authorId="0" shapeId="0">
      <text>
        <t>추정: 매출액 × OPM(최근 8분기 OPM 중위 16.2% 유지(클립 −20~40%))
[ratio]</t>
      </text>
    </comment>
    <comment ref="AG9" authorId="0" shapeId="0">
      <text>
        <t>추정: 매출액 × OPM(최근 8분기 OPM 중위 16.2% 유지(클립 −20~40%))
[ratio]</t>
      </text>
    </comment>
    <comment ref="AH9" authorId="0" shapeId="0">
      <text>
        <t>추정: 매출액 × OPM(최근 8분기 OPM 중위 16.2% 유지(클립 −20~40%))
[ratio]</t>
      </text>
    </comment>
    <comment ref="AI9" authorId="0" shapeId="0">
      <text>
        <t>추정: 매출액 × OPM(최근 8분기 OPM 중위 16.2% 유지(클립 −20~40%))
[ratio]</t>
      </text>
    </comment>
    <comment ref="AK9" authorId="0" shapeId="0">
      <text>
        <t>추정: 매출액 × OPM(최근 8분기 OPM 중위 16.2% 유지(클립 −20~40%))
[ratio]</t>
      </text>
    </comment>
    <comment ref="AL9" authorId="0" shapeId="0">
      <text>
        <t>추정: 매출액 × OPM(최근 8분기 OPM 중위 16.2% 유지(클립 −20~40%))
[ratio]</t>
      </text>
    </comment>
    <comment ref="AM9" authorId="0" shapeId="0">
      <text>
        <t>추정: 매출액 × OPM(최근 8분기 OPM 중위 16.2% 유지(클립 −20~40%))
[ratio]</t>
      </text>
    </comment>
    <comment ref="AN9" authorId="0" shapeId="0">
      <text>
        <t>추정: 매출액 × OPM(최근 8분기 OPM 중위 16.2% 유지(클립 −20~40%))
[ratio]</t>
      </text>
    </comment>
    <comment ref="AC10" authorId="0" shapeId="0">
      <text>
        <t>추정: 최근 8분기 OPM 중위 16.2% 유지(클립 −20~40%)
[divide]</t>
      </text>
    </comment>
    <comment ref="AD10" authorId="0" shapeId="0">
      <text>
        <t>추정: 최근 8분기 OPM 중위 16.2% 유지(클립 −20~40%)
[divide]</t>
      </text>
    </comment>
    <comment ref="AF10" authorId="0" shapeId="0">
      <text>
        <t>추정: 최근 8분기 OPM 중위 16.2% 유지(클립 −20~40%)
[divide]</t>
      </text>
    </comment>
    <comment ref="AG10" authorId="0" shapeId="0">
      <text>
        <t>추정: 최근 8분기 OPM 중위 16.2% 유지(클립 −20~40%)
[divide]</t>
      </text>
    </comment>
    <comment ref="AH10" authorId="0" shapeId="0">
      <text>
        <t>추정: 최근 8분기 OPM 중위 16.2% 유지(클립 −20~40%)
[divide]</t>
      </text>
    </comment>
    <comment ref="AI10" authorId="0" shapeId="0">
      <text>
        <t>추정: 최근 8분기 OPM 중위 16.2% 유지(클립 −20~40%)
[divide]</t>
      </text>
    </comment>
    <comment ref="AK10" authorId="0" shapeId="0">
      <text>
        <t>추정: 최근 8분기 OPM 중위 16.2% 유지(클립 −20~40%)
[divide]</t>
      </text>
    </comment>
    <comment ref="AL10" authorId="0" shapeId="0">
      <text>
        <t>추정: 최근 8분기 OPM 중위 16.2% 유지(클립 −20~40%)
[divide]</t>
      </text>
    </comment>
    <comment ref="AM10" authorId="0" shapeId="0">
      <text>
        <t>추정: 최근 8분기 OPM 중위 16.2% 유지(클립 −20~40%)
[divide]</t>
      </text>
    </comment>
    <comment ref="AN10" authorId="0" shapeId="0">
      <text>
        <t>추정: 최근 8분기 OPM 중위 16.2%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658억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754억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844억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935억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980억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1084억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1182억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1280억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1333억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1443억 × 5.43%(주석 이자수익 ÷ 평균 이자발생자산(2025Q3~2026Q2)) − 총차입금 20억 × 2.09%(주석 이자비용 ÷ 평균 총차입금(2025Q3~2026Q2)) (연율) ÷ 4; 환율 효과는 환관련손익 행 별도
[identity]</t>
      </text>
    </comment>
    <comment ref="AC12" authorId="0" shapeId="0">
      <text>
        <t>추정: 이자발생자산 658억 × 5.43%(주석 이자수익 ÷ 평균 이자발생자산(2025Q3~2026Q2)) − 총차입금 20억 × 2.09%(주석 이자비용 ÷ 평균 총차입금(2025Q3~2026Q2)) (연율) ÷ 4
[interest]</t>
      </text>
    </comment>
    <comment ref="AD12" authorId="0" shapeId="0">
      <text>
        <t>추정: 이자발생자산 754억 × 5.43%(주석 이자수익 ÷ 평균 이자발생자산(2025Q3~2026Q2)) − 총차입금 20억 × 2.09%(주석 이자비용 ÷ 평균 총차입금(2025Q3~2026Q2)) (연율) ÷ 4
[interest]</t>
      </text>
    </comment>
    <comment ref="AF12" authorId="0" shapeId="0">
      <text>
        <t>추정: 이자발생자산 844억 × 5.43%(주석 이자수익 ÷ 평균 이자발생자산(2025Q3~2026Q2)) − 총차입금 20억 × 2.09%(주석 이자비용 ÷ 평균 총차입금(2025Q3~2026Q2)) (연율) ÷ 4
[interest]</t>
      </text>
    </comment>
    <comment ref="AG12" authorId="0" shapeId="0">
      <text>
        <t>추정: 이자발생자산 935억 × 5.43%(주석 이자수익 ÷ 평균 이자발생자산(2025Q3~2026Q2)) − 총차입금 20억 × 2.09%(주석 이자비용 ÷ 평균 총차입금(2025Q3~2026Q2)) (연율) ÷ 4
[interest]</t>
      </text>
    </comment>
    <comment ref="AH12" authorId="0" shapeId="0">
      <text>
        <t>추정: 이자발생자산 980억 × 5.43%(주석 이자수익 ÷ 평균 이자발생자산(2025Q3~2026Q2)) − 총차입금 20억 × 2.09%(주석 이자비용 ÷ 평균 총차입금(2025Q3~2026Q2)) (연율) ÷ 4
[interest]</t>
      </text>
    </comment>
    <comment ref="AI12" authorId="0" shapeId="0">
      <text>
        <t>추정: 이자발생자산 1084억 × 5.43%(주석 이자수익 ÷ 평균 이자발생자산(2025Q3~2026Q2)) − 총차입금 20억 × 2.09%(주석 이자비용 ÷ 평균 총차입금(2025Q3~2026Q2)) (연율) ÷ 4
[interest]</t>
      </text>
    </comment>
    <comment ref="AK12" authorId="0" shapeId="0">
      <text>
        <t>추정: 이자발생자산 1182억 × 5.43%(주석 이자수익 ÷ 평균 이자발생자산(2025Q3~2026Q2)) − 총차입금 20억 × 2.09%(주석 이자비용 ÷ 평균 총차입금(2025Q3~2026Q2)) (연율) ÷ 4
[interest]</t>
      </text>
    </comment>
    <comment ref="AL12" authorId="0" shapeId="0">
      <text>
        <t>추정: 이자발생자산 1280억 × 5.43%(주석 이자수익 ÷ 평균 이자발생자산(2025Q3~2026Q2)) − 총차입금 20억 × 2.09%(주석 이자비용 ÷ 평균 총차입금(2025Q3~2026Q2)) (연율) ÷ 4
[interest]</t>
      </text>
    </comment>
    <comment ref="AM12" authorId="0" shapeId="0">
      <text>
        <t>추정: 이자발생자산 1333억 × 5.43%(주석 이자수익 ÷ 평균 이자발생자산(2025Q3~2026Q2)) − 총차입금 20억 × 2.09%(주석 이자비용 ÷ 평균 총차입금(2025Q3~2026Q2)) (연율) ÷ 4
[interest]</t>
      </text>
    </comment>
    <comment ref="AN12" authorId="0" shapeId="0">
      <text>
        <t>추정: 이자발생자산 1443억 × 5.43%(주석 이자수익 ÷ 평균 이자발생자산(2025Q3~2026Q2)) − 총차입금 20억 × 2.09%(주석 이자비용 ÷ 평균 총차입금(2025Q3~2026Q2))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영업이익 + 금융손익 + 기타영업외 + 지분법 + 환관련(항등식)
[identity]</t>
      </text>
    </comment>
    <comment ref="AD14" authorId="0" shapeId="0">
      <text>
        <t>추정: 영업이익 + 금융손익 + 기타영업외 + 지분법 + 환관련(항등식)
[identity]</t>
      </text>
    </comment>
    <comment ref="AF14" authorId="0" shapeId="0">
      <text>
        <t>추정: 영업이익 + 금융손익 + 기타영업외 + 지분법 + 환관련(항등식)
[identity]</t>
      </text>
    </comment>
    <comment ref="AG14" authorId="0" shapeId="0">
      <text>
        <t>추정: 영업이익 + 금융손익 + 기타영업외 + 지분법 + 환관련(항등식)
[identity]</t>
      </text>
    </comment>
    <comment ref="AH14" authorId="0" shapeId="0">
      <text>
        <t>추정: 영업이익 + 금융손익 + 기타영업외 + 지분법 + 환관련(항등식)
[identity]</t>
      </text>
    </comment>
    <comment ref="AI14" authorId="0" shapeId="0">
      <text>
        <t>추정: 영업이익 + 금융손익 + 기타영업외 + 지분법 + 환관련(항등식)
[identity]</t>
      </text>
    </comment>
    <comment ref="AK14" authorId="0" shapeId="0">
      <text>
        <t>추정: 영업이익 + 금융손익 + 기타영업외 + 지분법 + 환관련(항등식)
[identity]</t>
      </text>
    </comment>
    <comment ref="AL14" authorId="0" shapeId="0">
      <text>
        <t>추정: 영업이익 + 금융손익 + 기타영업외 + 지분법 + 환관련(항등식)
[identity]</t>
      </text>
    </comment>
    <comment ref="AM14" authorId="0" shapeId="0">
      <text>
        <t>추정: 영업이익 + 금융손익 + 기타영업외 + 지분법 + 환관련(항등식)
[identity]</t>
      </text>
    </comment>
    <comment ref="AN14" authorId="0" shapeId="0">
      <text>
        <t>추정: 영업이익 + 금융손익 + 기타영업외 + 지분법 + 환관련(항등식)
[identity]</t>
      </text>
    </comment>
    <comment ref="AC15" authorId="0" shapeId="0">
      <text>
        <t>추정: max(세전, 0) × 세율 22.2%(최근 12분기 유효세율 22.2%(5~27% 안 — 그대로))
[tax]</t>
      </text>
    </comment>
    <comment ref="AD15" authorId="0" shapeId="0">
      <text>
        <t>추정: max(세전, 0) × 세율 22.2%(최근 12분기 유효세율 22.2%(5~27% 안 — 그대로))
[tax]</t>
      </text>
    </comment>
    <comment ref="AF15" authorId="0" shapeId="0">
      <text>
        <t>추정: max(세전, 0) × 세율 22.2%(최근 12분기 유효세율 22.2%(5~27% 안 — 그대로))
[tax]</t>
      </text>
    </comment>
    <comment ref="AG15" authorId="0" shapeId="0">
      <text>
        <t>추정: max(세전, 0) × 세율 22.2%(최근 12분기 유효세율 22.2%(5~27% 안 — 그대로))
[tax]</t>
      </text>
    </comment>
    <comment ref="AH15" authorId="0" shapeId="0">
      <text>
        <t>추정: max(세전, 0) × 세율 22.2%(최근 12분기 유효세율 22.2%(5~27% 안 — 그대로))
[tax]</t>
      </text>
    </comment>
    <comment ref="AI15" authorId="0" shapeId="0">
      <text>
        <t>추정: max(세전, 0) × 세율 22.2%(최근 12분기 유효세율 22.2%(5~27% 안 — 그대로))
[tax]</t>
      </text>
    </comment>
    <comment ref="AK15" authorId="0" shapeId="0">
      <text>
        <t>추정: max(세전, 0) × 세율 22.2%(최근 12분기 유효세율 22.2%(5~27% 안 — 그대로))
[tax]</t>
      </text>
    </comment>
    <comment ref="AL15" authorId="0" shapeId="0">
      <text>
        <t>추정: max(세전, 0) × 세율 22.2%(최근 12분기 유효세율 22.2%(5~27% 안 — 그대로))
[tax]</t>
      </text>
    </comment>
    <comment ref="AM15" authorId="0" shapeId="0">
      <text>
        <t>추정: max(세전, 0) × 세율 22.2%(최근 12분기 유효세율 22.2%(5~27% 안 — 그대로))
[tax]</t>
      </text>
    </comment>
    <comment ref="AN15" authorId="0" shapeId="0">
      <text>
        <t>추정: max(세전, 0) × 세율 22.2%(최근 12분기 유효세율 22.2%(5~27% 안 — 그대로))
[tax]</t>
      </text>
    </comment>
    <comment ref="AC16" authorId="0" shapeId="0">
      <text>
        <t>추정: 세전이익 − 법인세비용(항등식)
[identity]</t>
      </text>
    </comment>
    <comment ref="AD16" authorId="0" shapeId="0">
      <text>
        <t>추정: 세전이익 − 법인세비용(항등식)
[identity]</t>
      </text>
    </comment>
    <comment ref="AF16" authorId="0" shapeId="0">
      <text>
        <t>추정: 세전이익 − 법인세비용(항등식)
[identity]</t>
      </text>
    </comment>
    <comment ref="AG16" authorId="0" shapeId="0">
      <text>
        <t>추정: 세전이익 − 법인세비용(항등식)
[identity]</t>
      </text>
    </comment>
    <comment ref="AH16" authorId="0" shapeId="0">
      <text>
        <t>추정: 세전이익 − 법인세비용(항등식)
[identity]</t>
      </text>
    </comment>
    <comment ref="AI16" authorId="0" shapeId="0">
      <text>
        <t>추정: 세전이익 − 법인세비용(항등식)
[identity]</t>
      </text>
    </comment>
    <comment ref="AK16" authorId="0" shapeId="0">
      <text>
        <t>추정: 세전이익 − 법인세비용(항등식)
[identity]</t>
      </text>
    </comment>
    <comment ref="AL16" authorId="0" shapeId="0">
      <text>
        <t>추정: 세전이익 − 법인세비용(항등식)
[identity]</t>
      </text>
    </comment>
    <comment ref="AM16" authorId="0" shapeId="0">
      <text>
        <t>추정: 세전이익 − 법인세비용(항등식)
[identity]</t>
      </text>
    </comment>
    <comment ref="AN16" authorId="0" shapeId="0">
      <text>
        <t>추정: 세전이익 − 법인세비용(항등식)
[identity]</t>
      </text>
    </comment>
    <comment ref="AC17" authorId="0" shapeId="0">
      <text>
        <t>추정: 당기순이익 × (1 − 비지배 비중 0.0%, 최근 8분기 실측)
[ratio]</t>
      </text>
    </comment>
    <comment ref="AD17" authorId="0" shapeId="0">
      <text>
        <t>추정: 당기순이익 × (1 − 비지배 비중 0.0%, 최근 8분기 실측)
[ratio]</t>
      </text>
    </comment>
    <comment ref="AF17" authorId="0" shapeId="0">
      <text>
        <t>추정: 당기순이익 × (1 − 비지배 비중 0.0%, 최근 8분기 실측)
[ratio]</t>
      </text>
    </comment>
    <comment ref="AG17" authorId="0" shapeId="0">
      <text>
        <t>추정: 당기순이익 × (1 − 비지배 비중 0.0%, 최근 8분기 실측)
[ratio]</t>
      </text>
    </comment>
    <comment ref="AH17" authorId="0" shapeId="0">
      <text>
        <t>추정: 당기순이익 × (1 − 비지배 비중 0.0%, 최근 8분기 실측)
[ratio]</t>
      </text>
    </comment>
    <comment ref="AI17" authorId="0" shapeId="0">
      <text>
        <t>추정: 당기순이익 × (1 − 비지배 비중 0.0%, 최근 8분기 실측)
[ratio]</t>
      </text>
    </comment>
    <comment ref="AK17" authorId="0" shapeId="0">
      <text>
        <t>추정: 당기순이익 × (1 − 비지배 비중 0.0%, 최근 8분기 실측)
[ratio]</t>
      </text>
    </comment>
    <comment ref="AL17" authorId="0" shapeId="0">
      <text>
        <t>추정: 당기순이익 × (1 − 비지배 비중 0.0%, 최근 8분기 실측)
[ratio]</t>
      </text>
    </comment>
    <comment ref="AM17" authorId="0" shapeId="0">
      <text>
        <t>추정: 당기순이익 × (1 − 비지배 비중 0.0%, 최근 8분기 실측)
[ratio]</t>
      </text>
    </comment>
    <comment ref="AN17" authorId="0" shapeId="0">
      <text>
        <t>추정: 당기순이익 × (1 − 비지배 비중 0.0%, 최근 8분기 실측)
[ratio]</t>
      </text>
    </comment>
    <comment ref="AC18" authorId="0" shapeId="0">
      <text>
        <t>추정: 부채총계 + 자본총계(항등식)
[identity]</t>
      </text>
    </comment>
    <comment ref="AD18" authorId="0" shapeId="0">
      <text>
        <t>추정: 부채총계 + 자본총계(항등식)
[identity]</t>
      </text>
    </comment>
    <comment ref="AF18" authorId="0" shapeId="0">
      <text>
        <t>추정: 부채총계 + 자본총계(항등식)
[identity]</t>
      </text>
    </comment>
    <comment ref="AG18" authorId="0" shapeId="0">
      <text>
        <t>추정: 부채총계 + 자본총계(항등식)
[identity]</t>
      </text>
    </comment>
    <comment ref="AH18" authorId="0" shapeId="0">
      <text>
        <t>추정: 부채총계 + 자본총계(항등식)
[identity]</t>
      </text>
    </comment>
    <comment ref="AI18" authorId="0" shapeId="0">
      <text>
        <t>추정: 부채총계 + 자본총계(항등식)
[identity]</t>
      </text>
    </comment>
    <comment ref="AK18" authorId="0" shapeId="0">
      <text>
        <t>추정: 부채총계 + 자본총계(항등식)
[identity]</t>
      </text>
    </comment>
    <comment ref="AL18" authorId="0" shapeId="0">
      <text>
        <t>추정: 부채총계 + 자본총계(항등식)
[identity]</t>
      </text>
    </comment>
    <comment ref="AM18" authorId="0" shapeId="0">
      <text>
        <t>추정: 부채총계 + 자본총계(항등식)
[identity]</t>
      </text>
    </comment>
    <comment ref="AN18" authorId="0" shapeId="0">
      <text>
        <t>추정: 부채총계 + 자본총계(항등식)
[identity]</t>
      </text>
    </comment>
    <comment ref="AC19" authorId="0" shapeId="0">
      <text>
        <t>추정: 마지막 실적 유지(가정)
[qoq]</t>
      </text>
    </comment>
    <comment ref="AD19" authorId="0" shapeId="0">
      <text>
        <t>추정: 마지막 실적 유지(가정)
[qoq]</t>
      </text>
    </comment>
    <comment ref="AF19" authorId="0" shapeId="0">
      <text>
        <t>추정: 마지막 실적 유지(가정)
[qoq]</t>
      </text>
    </comment>
    <comment ref="AG19" authorId="0" shapeId="0">
      <text>
        <t>추정: 마지막 실적 유지(가정)
[qoq]</t>
      </text>
    </comment>
    <comment ref="AH19" authorId="0" shapeId="0">
      <text>
        <t>추정: 마지막 실적 유지(가정)
[qoq]</t>
      </text>
    </comment>
    <comment ref="AI19" authorId="0" shapeId="0">
      <text>
        <t>추정: 마지막 실적 유지(가정)
[qoq]</t>
      </text>
    </comment>
    <comment ref="AK19" authorId="0" shapeId="0">
      <text>
        <t>추정: 마지막 실적 유지(가정)
[qoq]</t>
      </text>
    </comment>
    <comment ref="AL19" authorId="0" shapeId="0">
      <text>
        <t>추정: 마지막 실적 유지(가정)
[qoq]</t>
      </text>
    </comment>
    <comment ref="AM19" authorId="0" shapeId="0">
      <text>
        <t>추정: 마지막 실적 유지(가정)
[qoq]</t>
      </text>
    </comment>
    <comment ref="AN19" authorId="0" shapeId="0">
      <text>
        <t>추정: 마지막 실적 유지(가정)
[qoq]</t>
      </text>
    </comment>
    <comment ref="AC20" authorId="0" shapeId="0">
      <text>
        <t>추정: 전분기 + 당기순이익 − 배당(Q2 지급 가정)
[roll]</t>
      </text>
    </comment>
    <comment ref="AD20" authorId="0" shapeId="0">
      <text>
        <t>추정: 전분기 + 당기순이익 − 배당(Q2 지급 가정)
[roll]</t>
      </text>
    </comment>
    <comment ref="AF20" authorId="0" shapeId="0">
      <text>
        <t>추정: 전분기 + 당기순이익 − 배당(Q2 지급 가정)
[roll]</t>
      </text>
    </comment>
    <comment ref="AG20" authorId="0" shapeId="0">
      <text>
        <t>추정: 전분기 + 당기순이익 − 배당(Q2 지급 가정)
[roll]</t>
      </text>
    </comment>
    <comment ref="AH20" authorId="0" shapeId="0">
      <text>
        <t>추정: 전분기 + 당기순이익 − 배당(Q2 지급 가정)
[roll]</t>
      </text>
    </comment>
    <comment ref="AI20" authorId="0" shapeId="0">
      <text>
        <t>추정: 전분기 + 당기순이익 − 배당(Q2 지급 가정)
[roll]</t>
      </text>
    </comment>
    <comment ref="AK20" authorId="0" shapeId="0">
      <text>
        <t>추정: 전분기 + 당기순이익 − 배당(Q2 지급 가정)
[roll]</t>
      </text>
    </comment>
    <comment ref="AL20" authorId="0" shapeId="0">
      <text>
        <t>추정: 전분기 + 당기순이익 − 배당(Q2 지급 가정)
[roll]</t>
      </text>
    </comment>
    <comment ref="AM20" authorId="0" shapeId="0">
      <text>
        <t>추정: 전분기 + 당기순이익 − 배당(Q2 지급 가정)
[roll]</t>
      </text>
    </comment>
    <comment ref="AN20" authorId="0" shapeId="0">
      <text>
        <t>추정: 전분기 + 당기순이익 − 배당(Q2 지급 가정)
[roll]</t>
      </text>
    </comment>
    <comment ref="AC21" authorId="0" shapeId="0">
      <text>
        <t>추정: 전분기 + 지배주주순이익 − 배당
[roll]</t>
      </text>
    </comment>
    <comment ref="AD21" authorId="0" shapeId="0">
      <text>
        <t>추정: 전분기 + 지배주주순이익 − 배당
[roll]</t>
      </text>
    </comment>
    <comment ref="AF21" authorId="0" shapeId="0">
      <text>
        <t>추정: 전분기 + 지배주주순이익 − 배당
[roll]</t>
      </text>
    </comment>
    <comment ref="AG21" authorId="0" shapeId="0">
      <text>
        <t>추정: 전분기 + 지배주주순이익 − 배당
[roll]</t>
      </text>
    </comment>
    <comment ref="AH21" authorId="0" shapeId="0">
      <text>
        <t>추정: 전분기 + 지배주주순이익 − 배당
[roll]</t>
      </text>
    </comment>
    <comment ref="AI21" authorId="0" shapeId="0">
      <text>
        <t>추정: 전분기 + 지배주주순이익 − 배당
[roll]</t>
      </text>
    </comment>
    <comment ref="AK21" authorId="0" shapeId="0">
      <text>
        <t>추정: 전분기 + 지배주주순이익 − 배당
[roll]</t>
      </text>
    </comment>
    <comment ref="AL21" authorId="0" shapeId="0">
      <text>
        <t>추정: 전분기 + 지배주주순이익 − 배당
[roll]</t>
      </text>
    </comment>
    <comment ref="AM21" authorId="0" shapeId="0">
      <text>
        <t>추정: 전분기 + 지배주주순이익 − 배당
[roll]</t>
      </text>
    </comment>
    <comment ref="AN21" authorId="0" shapeId="0">
      <text>
        <t>추정: 전분기 + 지배주주순이익 − 배당
[roll]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D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F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G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H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I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K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L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M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N23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C24" authorId="0" shapeId="0">
      <text>
        <t>추정: 전분기 + FCF 근사 — 순차입금 롤과 같은 가정
[qoq]</t>
      </text>
    </comment>
    <comment ref="AD24" authorId="0" shapeId="0">
      <text>
        <t>추정: 전분기 + FCF 근사 — 순차입금 롤과 같은 가정
[qoq]</t>
      </text>
    </comment>
    <comment ref="AF24" authorId="0" shapeId="0">
      <text>
        <t>추정: 전분기 + FCF 근사 — 순차입금 롤과 같은 가정
[qoq]</t>
      </text>
    </comment>
    <comment ref="AG24" authorId="0" shapeId="0">
      <text>
        <t>추정: 전분기 + FCF 근사 — 순차입금 롤과 같은 가정
[qoq]</t>
      </text>
    </comment>
    <comment ref="AH24" authorId="0" shapeId="0">
      <text>
        <t>추정: 전분기 + FCF 근사 — 순차입금 롤과 같은 가정
[qoq]</t>
      </text>
    </comment>
    <comment ref="AI24" authorId="0" shapeId="0">
      <text>
        <t>추정: 전분기 + FCF 근사 — 순차입금 롤과 같은 가정
[qoq]</t>
      </text>
    </comment>
    <comment ref="AK24" authorId="0" shapeId="0">
      <text>
        <t>추정: 전분기 + FCF 근사 — 순차입금 롤과 같은 가정
[qoq]</t>
      </text>
    </comment>
    <comment ref="AL24" authorId="0" shapeId="0">
      <text>
        <t>추정: 전분기 + FCF 근사 — 순차입금 롤과 같은 가정
[qoq]</t>
      </text>
    </comment>
    <comment ref="AM24" authorId="0" shapeId="0">
      <text>
        <t>추정: 전분기 + FCF 근사 — 순차입금 롤과 같은 가정
[qoq]</t>
      </text>
    </comment>
    <comment ref="AN24" authorId="0" shapeId="0">
      <text>
        <t>추정: 전분기 + FCF 근사 — 순차입금 롤과 같은 가정
[qoq]</t>
      </text>
    </comment>
    <comment ref="AC26" authorId="0" shapeId="0">
      <text>
        <t>추정: 최근 4분기(2025Q3~2026Q2) CAPEX 중위 유지 — 순차입금 롤에 미반영(감가상각비 없음 → CAPEX≈감가 가정)
[yoy]</t>
      </text>
    </comment>
    <comment ref="AD26" authorId="0" shapeId="0">
      <text>
        <t>추정: 최근 4분기(2025Q3~2026Q2) CAPEX 중위 유지 — 순차입금 롤에 미반영(감가상각비 없음 → CAPEX≈감가 가정)
[yoy]</t>
      </text>
    </comment>
    <comment ref="AF26" authorId="0" shapeId="0">
      <text>
        <t>추정: 최근 4분기(2025Q3~2026Q2) CAPEX 중위 유지 — 순차입금 롤에 미반영(감가상각비 없음 → CAPEX≈감가 가정)
[yoy]</t>
      </text>
    </comment>
    <comment ref="AG26" authorId="0" shapeId="0">
      <text>
        <t>추정: 최근 4분기(2025Q3~2026Q2) CAPEX 중위 유지 — 순차입금 롤에 미반영(감가상각비 없음 → CAPEX≈감가 가정)
[yoy]</t>
      </text>
    </comment>
    <comment ref="AH26" authorId="0" shapeId="0">
      <text>
        <t>추정: 최근 4분기(2025Q3~2026Q2) CAPEX 중위 유지 — 순차입금 롤에 미반영(감가상각비 없음 → CAPEX≈감가 가정)
[yoy]</t>
      </text>
    </comment>
    <comment ref="AI26" authorId="0" shapeId="0">
      <text>
        <t>추정: 최근 4분기(2025Q3~2026Q2) CAPEX 중위 유지 — 순차입금 롤에 미반영(감가상각비 없음 → CAPEX≈감가 가정)
[yoy]</t>
      </text>
    </comment>
    <comment ref="AK26" authorId="0" shapeId="0">
      <text>
        <t>추정: 최근 4분기(2025Q3~2026Q2) CAPEX 중위 유지 — 순차입금 롤에 미반영(감가상각비 없음 → CAPEX≈감가 가정)
[yoy]</t>
      </text>
    </comment>
    <comment ref="AL26" authorId="0" shapeId="0">
      <text>
        <t>추정: 최근 4분기(2025Q3~2026Q2) CAPEX 중위 유지 — 순차입금 롤에 미반영(감가상각비 없음 → CAPEX≈감가 가정)
[yoy]</t>
      </text>
    </comment>
    <comment ref="AM26" authorId="0" shapeId="0">
      <text>
        <t>추정: 최근 4분기(2025Q3~2026Q2) CAPEX 중위 유지 — 순차입금 롤에 미반영(감가상각비 없음 → CAPEX≈감가 가정)
[yoy]</t>
      </text>
    </comment>
    <comment ref="AN26" authorId="0" shapeId="0">
      <text>
        <t>추정: 최근 4분기(2025Q3~2026Q2) CAPEX 중위 유지 — 순차입금 롤에 미반영(감가상각비 없음 → CAPEX≈감가 가정)
[yoy]</t>
      </text>
    </comment>
    <comment ref="E28" authorId="0" shapeId="0">
      <text>
        <t>실측(계정 매핑 없음(파생·부문·시세 행) — 모델값 직접) — fin.shares.common_outstanding</t>
      </text>
    </comment>
    <comment ref="G28" authorId="0" shapeId="0">
      <text>
        <t>실측(계정 매핑 없음(파생·부문·시세 행) — 모델값 직접) — fin.shares.common_outstanding</t>
      </text>
    </comment>
    <comment ref="H28" authorId="0" shapeId="0">
      <text>
        <t>실측(계정 매핑 없음(파생·부문·시세 행) — 모델값 직접) — fin.shares.common_outstanding</t>
      </text>
    </comment>
    <comment ref="I28" authorId="0" shapeId="0">
      <text>
        <t>실측(계정 매핑 없음(파생·부문·시세 행) — 모델값 직접) — fin.shares.common_outstanding</t>
      </text>
    </comment>
    <comment ref="J28" authorId="0" shapeId="0">
      <text>
        <t>실측(계정 매핑 없음(파생·부문·시세 행) — 모델값 직접) — fin.shares.common_outstanding</t>
      </text>
    </comment>
    <comment ref="L28" authorId="0" shapeId="0">
      <text>
        <t>실측(계정 매핑 없음(파생·부문·시세 행) — 모델값 직접) — fin.shares.common_outstanding</t>
      </text>
    </comment>
    <comment ref="M28" authorId="0" shapeId="0">
      <text>
        <t>실측(계정 매핑 없음(파생·부문·시세 행) — 모델값 직접) — fin.shares.common_outstanding</t>
      </text>
    </comment>
    <comment ref="N28" authorId="0" shapeId="0">
      <text>
        <t>실측(계정 매핑 없음(파생·부문·시세 행) — 모델값 직접) — fin.shares.common_outstanding</t>
      </text>
    </comment>
    <comment ref="O28" authorId="0" shapeId="0">
      <text>
        <t>실측(계정 매핑 없음(파생·부문·시세 행) — 모델값 직접) — fin.shares.common_outstanding</t>
      </text>
    </comment>
    <comment ref="Q28" authorId="0" shapeId="0">
      <text>
        <t>실측(계정 매핑 없음(파생·부문·시세 행) — 모델값 직접) — fin.shares.common_outstanding</t>
      </text>
    </comment>
    <comment ref="R28" authorId="0" shapeId="0">
      <text>
        <t>실측(계정 매핑 없음(파생·부문·시세 행) — 모델값 직접) — fin.shares.common_outstanding</t>
      </text>
    </comment>
    <comment ref="S28" authorId="0" shapeId="0">
      <text>
        <t>실측(계정 매핑 없음(파생·부문·시세 행) — 모델값 직접) — fin.shares.common_outstanding</t>
      </text>
    </comment>
    <comment ref="T28" authorId="0" shapeId="0">
      <text>
        <t>실측(계정 매핑 없음(파생·부문·시세 행) — 모델값 직접) — fin.shares.common_outstanding</t>
      </text>
    </comment>
    <comment ref="V28" authorId="0" shapeId="0">
      <text>
        <t>실측(계정 매핑 없음(파생·부문·시세 행) — 모델값 직접) — fin.shares.common_outstanding</t>
      </text>
    </comment>
    <comment ref="W28" authorId="0" shapeId="0">
      <text>
        <t>실측(계정 매핑 없음(파생·부문·시세 행) — 모델값 직접) — fin.shares.common_outstanding</t>
      </text>
    </comment>
    <comment ref="X28" authorId="0" shapeId="0">
      <text>
        <t>실측(계정 매핑 없음(파생·부문·시세 행) — 모델값 직접) — fin.shares.common_outstanding</t>
      </text>
    </comment>
    <comment ref="Y28" authorId="0" shapeId="0">
      <text>
        <t>실측(계정 매핑 없음(파생·부문·시세 행) — 모델값 직접) — fin.shares.common_outstanding</t>
      </text>
    </comment>
    <comment ref="AA28" authorId="0" shapeId="0">
      <text>
        <t>실측(계정 매핑 없음(파생·부문·시세 행) — 모델값 직접) — fin.shares.common_outstanding</t>
      </text>
    </comment>
    <comment ref="AB28" authorId="0" shapeId="0">
      <text>
        <t>실측(계정 매핑 없음(파생·부문·시세 행) — 모델값 직접) — fin.shares.common_outstanding</t>
      </text>
    </comment>
    <comment ref="AC28" authorId="0" shapeId="0">
      <text>
        <t>추정: 유통주식수 유지 — fin.shares.common_outstanding(2026Q2)
[qoq]</t>
      </text>
    </comment>
    <comment ref="AD28" authorId="0" shapeId="0">
      <text>
        <t>추정: 유통주식수 유지 — fin.shares.common_outstanding(2026Q2)
[qoq]</t>
      </text>
    </comment>
    <comment ref="AF28" authorId="0" shapeId="0">
      <text>
        <t>추정: 유통주식수 유지 — fin.shares.common_outstanding(2026Q2)
[qoq]</t>
      </text>
    </comment>
    <comment ref="AG28" authorId="0" shapeId="0">
      <text>
        <t>추정: 유통주식수 유지 — fin.shares.common_outstanding(2026Q2)
[qoq]</t>
      </text>
    </comment>
    <comment ref="AH28" authorId="0" shapeId="0">
      <text>
        <t>추정: 유통주식수 유지 — fin.shares.common_outstanding(2026Q2)
[qoq]</t>
      </text>
    </comment>
    <comment ref="AI28" authorId="0" shapeId="0">
      <text>
        <t>추정: 유통주식수 유지 — fin.shares.common_outstanding(2026Q2)
[qoq]</t>
      </text>
    </comment>
    <comment ref="AK28" authorId="0" shapeId="0">
      <text>
        <t>추정: 유통주식수 유지 — fin.shares.common_outstanding(2026Q2)
[qoq]</t>
      </text>
    </comment>
    <comment ref="AL28" authorId="0" shapeId="0">
      <text>
        <t>추정: 유통주식수 유지 — fin.shares.common_outstanding(2026Q2)
[qoq]</t>
      </text>
    </comment>
    <comment ref="AM28" authorId="0" shapeId="0">
      <text>
        <t>추정: 유통주식수 유지 — fin.shares.common_outstanding(2026Q2)
[qoq]</t>
      </text>
    </comment>
    <comment ref="AN28" authorId="0" shapeId="0">
      <text>
        <t>추정: 유통주식수 유지 — fin.shares.common_outstanding(2026Q2)
[qoq]</t>
      </text>
    </comment>
    <comment ref="AC29" authorId="0" shapeId="0">
      <text>
        <t>추정: 지배주주순이익 ÷ 유통주식수
[per_share]</t>
      </text>
    </comment>
    <comment ref="AD29" authorId="0" shapeId="0">
      <text>
        <t>추정: 지배주주순이익 ÷ 유통주식수
[per_share]</t>
      </text>
    </comment>
    <comment ref="AF29" authorId="0" shapeId="0">
      <text>
        <t>추정: 지배주주순이익 ÷ 유통주식수
[per_share]</t>
      </text>
    </comment>
    <comment ref="AG29" authorId="0" shapeId="0">
      <text>
        <t>추정: 지배주주순이익 ÷ 유통주식수
[per_share]</t>
      </text>
    </comment>
    <comment ref="AH29" authorId="0" shapeId="0">
      <text>
        <t>추정: 지배주주순이익 ÷ 유통주식수
[per_share]</t>
      </text>
    </comment>
    <comment ref="AI29" authorId="0" shapeId="0">
      <text>
        <t>추정: 지배주주순이익 ÷ 유통주식수
[per_share]</t>
      </text>
    </comment>
    <comment ref="AK29" authorId="0" shapeId="0">
      <text>
        <t>추정: 지배주주순이익 ÷ 유통주식수
[per_share]</t>
      </text>
    </comment>
    <comment ref="AL29" authorId="0" shapeId="0">
      <text>
        <t>추정: 지배주주순이익 ÷ 유통주식수
[per_share]</t>
      </text>
    </comment>
    <comment ref="AM29" authorId="0" shapeId="0">
      <text>
        <t>추정: 지배주주순이익 ÷ 유통주식수
[per_share]</t>
      </text>
    </comment>
    <comment ref="AN29" authorId="0" shapeId="0">
      <text>
        <t>추정: 지배주주순이익 ÷ 유통주식수
[per_share]</t>
      </text>
    </comment>
    <comment ref="AC30" authorId="0" shapeId="0">
      <text>
        <t>추정: 지배주주지분 ÷ 유통주식수
[per_share]</t>
      </text>
    </comment>
    <comment ref="AD30" authorId="0" shapeId="0">
      <text>
        <t>추정: 지배주주지분 ÷ 유통주식수
[per_share]</t>
      </text>
    </comment>
    <comment ref="AF30" authorId="0" shapeId="0">
      <text>
        <t>추정: 지배주주지분 ÷ 유통주식수
[per_share]</t>
      </text>
    </comment>
    <comment ref="AG30" authorId="0" shapeId="0">
      <text>
        <t>추정: 지배주주지분 ÷ 유통주식수
[per_share]</t>
      </text>
    </comment>
    <comment ref="AH30" authorId="0" shapeId="0">
      <text>
        <t>추정: 지배주주지분 ÷ 유통주식수
[per_share]</t>
      </text>
    </comment>
    <comment ref="AI30" authorId="0" shapeId="0">
      <text>
        <t>추정: 지배주주지분 ÷ 유통주식수
[per_share]</t>
      </text>
    </comment>
    <comment ref="AK30" authorId="0" shapeId="0">
      <text>
        <t>추정: 지배주주지분 ÷ 유통주식수
[per_share]</t>
      </text>
    </comment>
    <comment ref="AL30" authorId="0" shapeId="0">
      <text>
        <t>추정: 지배주주지분 ÷ 유통주식수
[per_share]</t>
      </text>
    </comment>
    <comment ref="AM30" authorId="0" shapeId="0">
      <text>
        <t>추정: 지배주주지분 ÷ 유통주식수
[per_share]</t>
      </text>
    </comment>
    <comment ref="AN30" authorId="0" shapeId="0">
      <text>
        <t>추정: 지배주주지분 ÷ 유통주식수
[per_share]</t>
      </text>
    </comment>
    <comment ref="E31" authorId="0" shapeId="0">
      <text>
        <t>실측(계정 매핑 없음(파생·부문·시세 행) — 모델값 직접) — fin.dividend.dps_common(연간, Q4 에 표기)</t>
      </text>
    </comment>
    <comment ref="F31" authorId="0" shapeId="0">
      <text>
        <t>연간(actual) — 분기 미완 연도, 모델 a 값 직접</t>
      </text>
    </comment>
    <comment ref="J31" authorId="0" shapeId="0">
      <text>
        <t>실측(계정 매핑 없음(파생·부문·시세 행) — 모델값 직접) — fin.dividend.dps_common(연간, Q4 에 표기)</t>
      </text>
    </comment>
    <comment ref="O31" authorId="0" shapeId="0">
      <text>
        <t>실측(계정 매핑 없음(파생·부문·시세 행) — 모델값 직접) — fin.dividend.dps_common(연간, Q4 에 표기)</t>
      </text>
    </comment>
    <comment ref="T31" authorId="0" shapeId="0">
      <text>
        <t>실측(계정 매핑 없음(파생·부문·시세 행) — 모델값 직접) — fin.dividend.dps_common(연간, Q4 에 표기)</t>
      </text>
    </comment>
    <comment ref="Y31" authorId="0" shapeId="0">
      <text>
        <t>실측(계정 매핑 없음(파생·부문·시세 행) — 모델값 직접) — fin.dividend.dps_common(연간, Q4 에 표기)</t>
      </text>
    </comment>
    <comment ref="AD31" authorId="0" shapeId="0">
      <text>
        <t>추정: 직전 결산 DPS 200원 유지
[abs]</t>
      </text>
    </comment>
    <comment ref="AI31" authorId="0" shapeId="0">
      <text>
        <t>추정: 직전 결산 DPS 200원 유지
[abs]</t>
      </text>
    </comment>
    <comment ref="AN31" authorId="0" shapeId="0">
      <text>
        <t>추정: 직전 결산 DPS 200원 유지
[abs]</t>
      </text>
    </comment>
    <comment ref="AC32" authorId="0" shapeId="0">
      <text>
        <t>추정: 현재 종가 ÷ TTM EPS(추정 포함)
[valuation]</t>
      </text>
    </comment>
    <comment ref="AD32" authorId="0" shapeId="0">
      <text>
        <t>추정: 현재 종가 ÷ TTM EPS(추정 포함)
[valuation]</t>
      </text>
    </comment>
    <comment ref="AF32" authorId="0" shapeId="0">
      <text>
        <t>추정: 현재 종가 ÷ TTM EPS(추정 포함)
[valuation]</t>
      </text>
    </comment>
    <comment ref="AG32" authorId="0" shapeId="0">
      <text>
        <t>추정: 현재 종가 ÷ TTM EPS(추정 포함)
[valuation]</t>
      </text>
    </comment>
    <comment ref="AH32" authorId="0" shapeId="0">
      <text>
        <t>추정: 현재 종가 ÷ TTM EPS(추정 포함)
[valuation]</t>
      </text>
    </comment>
    <comment ref="AI32" authorId="0" shapeId="0">
      <text>
        <t>추정: 현재 종가 ÷ TTM EPS(추정 포함)
[valuation]</t>
      </text>
    </comment>
    <comment ref="AK32" authorId="0" shapeId="0">
      <text>
        <t>추정: 현재 종가 ÷ TTM EPS(추정 포함)
[valuation]</t>
      </text>
    </comment>
    <comment ref="AL32" authorId="0" shapeId="0">
      <text>
        <t>추정: 현재 종가 ÷ TTM EPS(추정 포함)
[valuation]</t>
      </text>
    </comment>
    <comment ref="AM32" authorId="0" shapeId="0">
      <text>
        <t>추정: 현재 종가 ÷ TTM EPS(추정 포함)
[valuation]</t>
      </text>
    </comment>
    <comment ref="AN32" authorId="0" shapeId="0">
      <text>
        <t>추정: 현재 종가 ÷ TTM EPS(추정 포함)
[valuation]</t>
      </text>
    </comment>
    <comment ref="AC33" authorId="0" shapeId="0">
      <text>
        <t>추정: 현재 종가 ÷ BPS(추정 포함)
[valuation]</t>
      </text>
    </comment>
    <comment ref="AD33" authorId="0" shapeId="0">
      <text>
        <t>추정: 현재 종가 ÷ BPS(추정 포함)
[valuation]</t>
      </text>
    </comment>
    <comment ref="AF33" authorId="0" shapeId="0">
      <text>
        <t>추정: 현재 종가 ÷ BPS(추정 포함)
[valuation]</t>
      </text>
    </comment>
    <comment ref="AG33" authorId="0" shapeId="0">
      <text>
        <t>추정: 현재 종가 ÷ BPS(추정 포함)
[valuation]</t>
      </text>
    </comment>
    <comment ref="AH33" authorId="0" shapeId="0">
      <text>
        <t>추정: 현재 종가 ÷ BPS(추정 포함)
[valuation]</t>
      </text>
    </comment>
    <comment ref="AI33" authorId="0" shapeId="0">
      <text>
        <t>추정: 현재 종가 ÷ BPS(추정 포함)
[valuation]</t>
      </text>
    </comment>
    <comment ref="AK33" authorId="0" shapeId="0">
      <text>
        <t>추정: 현재 종가 ÷ BPS(추정 포함)
[valuation]</t>
      </text>
    </comment>
    <comment ref="AL33" authorId="0" shapeId="0">
      <text>
        <t>추정: 현재 종가 ÷ BPS(추정 포함)
[valuation]</t>
      </text>
    </comment>
    <comment ref="AM33" authorId="0" shapeId="0">
      <text>
        <t>추정: 현재 종가 ÷ BPS(추정 포함)
[valuation]</t>
      </text>
    </comment>
    <comment ref="AN33" authorId="0" shapeId="0">
      <text>
        <t>추정: 현재 종가 ÷ BPS(추정 포함)
[valuation]</t>
      </text>
    </comment>
    <comment ref="E34" authorId="0" shapeId="0">
      <text>
        <t>실측(계정 매핑 없음(파생·부문·시세 행) — 모델값 직접) — = 매출액(부문 미분리)</t>
      </text>
    </comment>
    <comment ref="G34" authorId="0" shapeId="0">
      <text>
        <t>실측(계정 매핑 없음(파생·부문·시세 행) — 모델값 직접) — = 매출액(부문 미분리)</t>
      </text>
    </comment>
    <comment ref="H34" authorId="0" shapeId="0">
      <text>
        <t>실측(계정 매핑 없음(파생·부문·시세 행) — 모델값 직접) — = 매출액(부문 미분리)</t>
      </text>
    </comment>
    <comment ref="I34" authorId="0" shapeId="0">
      <text>
        <t>실측(계정 매핑 없음(파생·부문·시세 행) — 모델값 직접) — = 매출액(부문 미분리)</t>
      </text>
    </comment>
    <comment ref="J34" authorId="0" shapeId="0">
      <text>
        <t>실측(계정 매핑 없음(파생·부문·시세 행) — 모델값 직접) — = 매출액(부문 미분리)</t>
      </text>
    </comment>
    <comment ref="L34" authorId="0" shapeId="0">
      <text>
        <t>실측(계정 매핑 없음(파생·부문·시세 행) — 모델값 직접) — = 매출액(부문 미분리)</t>
      </text>
    </comment>
    <comment ref="M34" authorId="0" shapeId="0">
      <text>
        <t>실측(계정 매핑 없음(파생·부문·시세 행) — 모델값 직접) — = 매출액(부문 미분리)</t>
      </text>
    </comment>
    <comment ref="N34" authorId="0" shapeId="0">
      <text>
        <t>실측(계정 매핑 없음(파생·부문·시세 행) — 모델값 직접) — = 매출액(부문 미분리)</t>
      </text>
    </comment>
    <comment ref="O34" authorId="0" shapeId="0">
      <text>
        <t>실측(계정 매핑 없음(파생·부문·시세 행) — 모델값 직접) — = 매출액(부문 미분리)</t>
      </text>
    </comment>
    <comment ref="Q34" authorId="0" shapeId="0">
      <text>
        <t>실측(계정 매핑 없음(파생·부문·시세 행) — 모델값 직접) — = 매출액(부문 미분리)</t>
      </text>
    </comment>
    <comment ref="R34" authorId="0" shapeId="0">
      <text>
        <t>실측(계정 매핑 없음(파생·부문·시세 행) — 모델값 직접) — = 매출액(부문 미분리)</t>
      </text>
    </comment>
    <comment ref="S34" authorId="0" shapeId="0">
      <text>
        <t>실측(계정 매핑 없음(파생·부문·시세 행) — 모델값 직접) — = 매출액(부문 미분리)</t>
      </text>
    </comment>
    <comment ref="T34" authorId="0" shapeId="0">
      <text>
        <t>실측(계정 매핑 없음(파생·부문·시세 행) — 모델값 직접) — = 매출액(부문 미분리)</t>
      </text>
    </comment>
    <comment ref="V34" authorId="0" shapeId="0">
      <text>
        <t>실측(계정 매핑 없음(파생·부문·시세 행) — 모델값 직접) — = 매출액(부문 미분리)</t>
      </text>
    </comment>
    <comment ref="W34" authorId="0" shapeId="0">
      <text>
        <t>실측(계정 매핑 없음(파생·부문·시세 행) — 모델값 직접) — = 매출액(부문 미분리)</t>
      </text>
    </comment>
    <comment ref="X34" authorId="0" shapeId="0">
      <text>
        <t>실측(계정 매핑 없음(파생·부문·시세 행) — 모델값 직접) — = 매출액(부문 미분리)</t>
      </text>
    </comment>
    <comment ref="Y34" authorId="0" shapeId="0">
      <text>
        <t>실측(계정 매핑 없음(파생·부문·시세 행) — 모델값 직접) — = 매출액(부문 미분리)</t>
      </text>
    </comment>
    <comment ref="AA34" authorId="0" shapeId="0">
      <text>
        <t>실측(계정 매핑 없음(파생·부문·시세 행) — 모델값 직접) — = 매출액(부문 미분리)</t>
      </text>
    </comment>
    <comment ref="AB34" authorId="0" shapeId="0">
      <text>
        <t>실측(계정 매핑 없음(파생·부문·시세 행) — 모델값 직접) — = 매출액(부문 미분리)</t>
      </text>
    </comment>
    <comment ref="AC34" authorId="0" shapeId="0">
      <text>
        <t>추정: = 매출액 추정(부문 미분리)
[identity]</t>
      </text>
    </comment>
    <comment ref="AD34" authorId="0" shapeId="0">
      <text>
        <t>추정: = 매출액 추정(부문 미분리)
[identity]</t>
      </text>
    </comment>
    <comment ref="AF34" authorId="0" shapeId="0">
      <text>
        <t>추정: = 매출액 추정(부문 미분리)
[identity]</t>
      </text>
    </comment>
    <comment ref="AG34" authorId="0" shapeId="0">
      <text>
        <t>추정: = 매출액 추정(부문 미분리)
[identity]</t>
      </text>
    </comment>
    <comment ref="AH34" authorId="0" shapeId="0">
      <text>
        <t>추정: = 매출액 추정(부문 미분리)
[identity]</t>
      </text>
    </comment>
    <comment ref="AI34" authorId="0" shapeId="0">
      <text>
        <t>추정: = 매출액 추정(부문 미분리)
[identity]</t>
      </text>
    </comment>
    <comment ref="AK34" authorId="0" shapeId="0">
      <text>
        <t>추정: = 매출액 추정(부문 미분리)
[identity]</t>
      </text>
    </comment>
    <comment ref="AL34" authorId="0" shapeId="0">
      <text>
        <t>추정: = 매출액 추정(부문 미분리)
[identity]</t>
      </text>
    </comment>
    <comment ref="AM34" authorId="0" shapeId="0">
      <text>
        <t>추정: = 매출액 추정(부문 미분리)
[identity]</t>
      </text>
    </comment>
    <comment ref="AN34" authorId="0" shapeId="0">
      <text>
        <t>추정: = 매출액 추정(부문 미분리)
[identity]</t>
      </text>
    </comment>
    <comment ref="E35" authorId="0" shapeId="0">
      <text>
        <t>실측(계정 매핑 없음(파생·부문·시세 행) — 모델값 직접) — = 영업이익(부문 미분리)</t>
      </text>
    </comment>
    <comment ref="G35" authorId="0" shapeId="0">
      <text>
        <t>실측(계정 매핑 없음(파생·부문·시세 행) — 모델값 직접) — = 영업이익(부문 미분리)</t>
      </text>
    </comment>
    <comment ref="H35" authorId="0" shapeId="0">
      <text>
        <t>실측(계정 매핑 없음(파생·부문·시세 행) — 모델값 직접) — = 영업이익(부문 미분리)</t>
      </text>
    </comment>
    <comment ref="I35" authorId="0" shapeId="0">
      <text>
        <t>실측(계정 매핑 없음(파생·부문·시세 행) — 모델값 직접) — = 영업이익(부문 미분리)</t>
      </text>
    </comment>
    <comment ref="J35" authorId="0" shapeId="0">
      <text>
        <t>실측(계정 매핑 없음(파생·부문·시세 행) — 모델값 직접) — = 영업이익(부문 미분리)</t>
      </text>
    </comment>
    <comment ref="L35" authorId="0" shapeId="0">
      <text>
        <t>실측(계정 매핑 없음(파생·부문·시세 행) — 모델값 직접) — = 영업이익(부문 미분리)</t>
      </text>
    </comment>
    <comment ref="M35" authorId="0" shapeId="0">
      <text>
        <t>실측(계정 매핑 없음(파생·부문·시세 행) — 모델값 직접) — = 영업이익(부문 미분리)</t>
      </text>
    </comment>
    <comment ref="N35" authorId="0" shapeId="0">
      <text>
        <t>실측(계정 매핑 없음(파생·부문·시세 행) — 모델값 직접) — = 영업이익(부문 미분리)</t>
      </text>
    </comment>
    <comment ref="O35" authorId="0" shapeId="0">
      <text>
        <t>실측(계정 매핑 없음(파생·부문·시세 행) — 모델값 직접) — = 영업이익(부문 미분리)</t>
      </text>
    </comment>
    <comment ref="Q35" authorId="0" shapeId="0">
      <text>
        <t>실측(계정 매핑 없음(파생·부문·시세 행) — 모델값 직접) — = 영업이익(부문 미분리)</t>
      </text>
    </comment>
    <comment ref="R35" authorId="0" shapeId="0">
      <text>
        <t>실측(계정 매핑 없음(파생·부문·시세 행) — 모델값 직접) — = 영업이익(부문 미분리)</t>
      </text>
    </comment>
    <comment ref="S35" authorId="0" shapeId="0">
      <text>
        <t>실측(계정 매핑 없음(파생·부문·시세 행) — 모델값 직접) — = 영업이익(부문 미분리)</t>
      </text>
    </comment>
    <comment ref="T35" authorId="0" shapeId="0">
      <text>
        <t>실측(계정 매핑 없음(파생·부문·시세 행) — 모델값 직접) — = 영업이익(부문 미분리)</t>
      </text>
    </comment>
    <comment ref="V35" authorId="0" shapeId="0">
      <text>
        <t>실측(계정 매핑 없음(파생·부문·시세 행) — 모델값 직접) — = 영업이익(부문 미분리)</t>
      </text>
    </comment>
    <comment ref="W35" authorId="0" shapeId="0">
      <text>
        <t>실측(계정 매핑 없음(파생·부문·시세 행) — 모델값 직접) — = 영업이익(부문 미분리)</t>
      </text>
    </comment>
    <comment ref="X35" authorId="0" shapeId="0">
      <text>
        <t>실측(계정 매핑 없음(파생·부문·시세 행) — 모델값 직접) — = 영업이익(부문 미분리)</t>
      </text>
    </comment>
    <comment ref="Y35" authorId="0" shapeId="0">
      <text>
        <t>실측(계정 매핑 없음(파생·부문·시세 행) — 모델값 직접) — = 영업이익(부문 미분리)</t>
      </text>
    </comment>
    <comment ref="AA35" authorId="0" shapeId="0">
      <text>
        <t>실측(계정 매핑 없음(파생·부문·시세 행) — 모델값 직접) — = 영업이익(부문 미분리)</t>
      </text>
    </comment>
    <comment ref="AB35" authorId="0" shapeId="0">
      <text>
        <t>실측(계정 매핑 없음(파생·부문·시세 행) — 모델값 직접) — = 영업이익(부문 미분리)</t>
      </text>
    </comment>
    <comment ref="AC35" authorId="0" shapeId="0">
      <text>
        <t>추정: = 매출액 × OPM(부문 미분리)
[identity]</t>
      </text>
    </comment>
    <comment ref="AD35" authorId="0" shapeId="0">
      <text>
        <t>추정: = 매출액 × OPM(부문 미분리)
[identity]</t>
      </text>
    </comment>
    <comment ref="AF35" authorId="0" shapeId="0">
      <text>
        <t>추정: = 매출액 × OPM(부문 미분리)
[identity]</t>
      </text>
    </comment>
    <comment ref="AG35" authorId="0" shapeId="0">
      <text>
        <t>추정: = 매출액 × OPM(부문 미분리)
[identity]</t>
      </text>
    </comment>
    <comment ref="AH35" authorId="0" shapeId="0">
      <text>
        <t>추정: = 매출액 × OPM(부문 미분리)
[identity]</t>
      </text>
    </comment>
    <comment ref="AI35" authorId="0" shapeId="0">
      <text>
        <t>추정: = 매출액 × OPM(부문 미분리)
[identity]</t>
      </text>
    </comment>
    <comment ref="AK35" authorId="0" shapeId="0">
      <text>
        <t>추정: = 매출액 × OPM(부문 미분리)
[identity]</t>
      </text>
    </comment>
    <comment ref="AL35" authorId="0" shapeId="0">
      <text>
        <t>추정: = 매출액 × OPM(부문 미분리)
[identity]</t>
      </text>
    </comment>
    <comment ref="AM35" authorId="0" shapeId="0">
      <text>
        <t>추정: = 매출액 × OPM(부문 미분리)
[identity]</t>
      </text>
    </comment>
    <comment ref="AN35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성광벤드(014620)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22.19% — 법인세 = MAX(세전,0) × 세율, 추정 전 분기 연결(Σ법인세/Σmax(세전,0) 역산, 재현 오차 ≤ 0.05억). 모델 가정 22.19% · 근거: 최근 12분기 유효세율 22.2%(5~27% 안 — 그대로)</t>
        </is>
      </c>
    </row>
    <row r="23">
      <c r="A23" t="inlineStr">
        <is>
          <t>· 판관비율 26.00%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5.43% / 부채 2.02% — 이자손익 = (전분기 이자발생자산 × 자산이자율 − 전분기 총차입금 × 부채이자율)/4, 최소자승 역산(모델 assumptions [0.0543, 0.0209]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10.1/11.4/24.9배(hist_quarterly(분기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assets/models/014620.json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</t>
        </is>
      </c>
    </row>
    <row r="34">
      <c r="A34" t="inlineStr">
        <is>
          <t>백테스트: {"freeze": "2025Q2", "horizon": 4, "revenue_wape_pct": 16.1, "op_wape_pct": 25.2,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417.38, "rev_act": 645.61, "op_pred": 71.11, "op_act": 117.31}, {"q": "2025Q4", "rev_pred": 535.38, "rev_act": 593.01, "op_pred": 91.21, "op_act": 87.1}, {"q": "2026Q1", "rev_pred": 585.66, "rev_act": 591.37, "op_pred": 99.77, "op_act": 65.69}, {"q": "2026Q2", "rev_pred": 534.26, "rev_act": 641.32, "op_pred": 91.02, "op_act": 100.07}]}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7980</v>
      </c>
      <c r="F15" s="9" t="n"/>
      <c r="G15" s="18" t="n">
        <v>8780</v>
      </c>
      <c r="H15" s="18" t="n">
        <v>11900</v>
      </c>
      <c r="I15" s="18" t="n">
        <v>14650</v>
      </c>
      <c r="J15" s="18" t="n">
        <v>13250</v>
      </c>
      <c r="K15" s="9" t="n"/>
      <c r="L15" s="18" t="n">
        <v>12380</v>
      </c>
      <c r="M15" s="18" t="n">
        <v>14990</v>
      </c>
      <c r="N15" s="18" t="n">
        <v>14670</v>
      </c>
      <c r="O15" s="18" t="n">
        <v>12160</v>
      </c>
      <c r="P15" s="9" t="n"/>
      <c r="Q15" s="18" t="n">
        <v>11140</v>
      </c>
      <c r="R15" s="18" t="n">
        <v>11540</v>
      </c>
      <c r="S15" s="18" t="n">
        <v>13800</v>
      </c>
      <c r="T15" s="18" t="n">
        <v>23250</v>
      </c>
      <c r="U15" s="9" t="n"/>
      <c r="V15" s="18" t="n">
        <v>24350</v>
      </c>
      <c r="W15" s="18" t="n">
        <v>29850</v>
      </c>
      <c r="X15" s="18" t="n">
        <v>32800</v>
      </c>
      <c r="Y15" s="18" t="n">
        <v>25750</v>
      </c>
      <c r="Z15" s="9" t="n"/>
      <c r="AA15" s="18" t="n">
        <v>35100</v>
      </c>
      <c r="AB15" s="19" t="n">
        <v>27900</v>
      </c>
      <c r="AC15" s="20" t="n">
        <v>31550</v>
      </c>
      <c r="AD15" s="20" t="n">
        <v>28800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9440</v>
      </c>
      <c r="F16" s="9" t="n"/>
      <c r="G16" s="18" t="n">
        <v>8870</v>
      </c>
      <c r="H16" s="18" t="n">
        <v>12300</v>
      </c>
      <c r="I16" s="18" t="n">
        <v>17650</v>
      </c>
      <c r="J16" s="18" t="n">
        <v>16400</v>
      </c>
      <c r="K16" s="9" t="n"/>
      <c r="L16" s="18" t="n">
        <v>14270</v>
      </c>
      <c r="M16" s="18" t="n">
        <v>15140</v>
      </c>
      <c r="N16" s="18" t="n">
        <v>17450</v>
      </c>
      <c r="O16" s="18" t="n">
        <v>14800</v>
      </c>
      <c r="P16" s="9" t="n"/>
      <c r="Q16" s="18" t="n">
        <v>12360</v>
      </c>
      <c r="R16" s="18" t="n">
        <v>12570</v>
      </c>
      <c r="S16" s="18" t="n">
        <v>16900</v>
      </c>
      <c r="T16" s="18" t="n">
        <v>24950</v>
      </c>
      <c r="U16" s="9" t="n"/>
      <c r="V16" s="18" t="n">
        <v>32500</v>
      </c>
      <c r="W16" s="18" t="n">
        <v>36900</v>
      </c>
      <c r="X16" s="18" t="n">
        <v>38800</v>
      </c>
      <c r="Y16" s="18" t="n">
        <v>34850</v>
      </c>
      <c r="Z16" s="9" t="n"/>
      <c r="AA16" s="18" t="n">
        <v>41200</v>
      </c>
      <c r="AB16" s="19" t="n">
        <v>53300</v>
      </c>
      <c r="AC16" s="20" t="n">
        <v>36400</v>
      </c>
      <c r="AD16" s="20" t="n">
        <v>32250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7380</v>
      </c>
      <c r="F17" s="9" t="n"/>
      <c r="G17" s="18" t="n">
        <v>7340</v>
      </c>
      <c r="H17" s="18" t="n">
        <v>8390</v>
      </c>
      <c r="I17" s="18" t="n">
        <v>10000</v>
      </c>
      <c r="J17" s="18" t="n">
        <v>12300</v>
      </c>
      <c r="K17" s="9" t="n"/>
      <c r="L17" s="18" t="n">
        <v>11200</v>
      </c>
      <c r="M17" s="18" t="n">
        <v>11620</v>
      </c>
      <c r="N17" s="18" t="n">
        <v>14000</v>
      </c>
      <c r="O17" s="18" t="n">
        <v>11400</v>
      </c>
      <c r="P17" s="9" t="n"/>
      <c r="Q17" s="18" t="n">
        <v>10300</v>
      </c>
      <c r="R17" s="18" t="n">
        <v>10020</v>
      </c>
      <c r="S17" s="18" t="n">
        <v>11050</v>
      </c>
      <c r="T17" s="18" t="n">
        <v>12370</v>
      </c>
      <c r="U17" s="9" t="n"/>
      <c r="V17" s="18" t="n">
        <v>22950</v>
      </c>
      <c r="W17" s="18" t="n">
        <v>22550</v>
      </c>
      <c r="X17" s="18" t="n">
        <v>27750</v>
      </c>
      <c r="Y17" s="18" t="n">
        <v>25100</v>
      </c>
      <c r="Z17" s="9" t="n"/>
      <c r="AA17" s="18" t="n">
        <v>24950</v>
      </c>
      <c r="AB17" s="19" t="n">
        <v>24850</v>
      </c>
      <c r="AC17" s="20" t="n">
        <v>22550</v>
      </c>
      <c r="AD17" s="20" t="n">
        <v>26050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8308.700000000001</v>
      </c>
      <c r="F18" s="9" t="n"/>
      <c r="G18" s="18" t="n">
        <v>8216.799999999999</v>
      </c>
      <c r="H18" s="18" t="n">
        <v>9971.9</v>
      </c>
      <c r="I18" s="18" t="n">
        <v>13623</v>
      </c>
      <c r="J18" s="18" t="n">
        <v>14317.7</v>
      </c>
      <c r="K18" s="9" t="n"/>
      <c r="L18" s="18" t="n">
        <v>12715.6</v>
      </c>
      <c r="M18" s="18" t="n">
        <v>13286.1</v>
      </c>
      <c r="N18" s="18" t="n">
        <v>15503.9</v>
      </c>
      <c r="O18" s="18" t="n">
        <v>12954.5</v>
      </c>
      <c r="P18" s="9" t="n"/>
      <c r="Q18" s="18" t="n">
        <v>11199.5</v>
      </c>
      <c r="R18" s="18" t="n">
        <v>11261.8</v>
      </c>
      <c r="S18" s="18" t="n">
        <v>14084.5</v>
      </c>
      <c r="T18" s="18" t="n">
        <v>17576.6</v>
      </c>
      <c r="U18" s="9" t="n"/>
      <c r="V18" s="18" t="n">
        <v>27279.3</v>
      </c>
      <c r="W18" s="18" t="n">
        <v>28220.8</v>
      </c>
      <c r="X18" s="18" t="n">
        <v>31838.5</v>
      </c>
      <c r="Y18" s="18" t="n">
        <v>28730.5</v>
      </c>
      <c r="Z18" s="9" t="n"/>
      <c r="AA18" s="18" t="n">
        <v>32407.6</v>
      </c>
      <c r="AB18" s="19" t="n">
        <v>35846.7</v>
      </c>
      <c r="AC18" s="20" t="n">
        <v>28438.7</v>
      </c>
      <c r="AD18" s="20" t="n">
        <v>29206.2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0.096243606</v>
      </c>
      <c r="AD21" s="24" t="n">
        <v>0.096253591</v>
      </c>
      <c r="AE21" s="25" t="n"/>
      <c r="AF21" s="24" t="n">
        <v>0.09624218</v>
      </c>
      <c r="AG21" s="24" t="n">
        <v>0.096248959</v>
      </c>
      <c r="AH21" s="24" t="n">
        <v>0.048124338</v>
      </c>
      <c r="AI21" s="24" t="n">
        <v>0.048116415</v>
      </c>
      <c r="AJ21" s="25" t="n"/>
      <c r="AK21" s="24" t="n">
        <v>0.04812661</v>
      </c>
      <c r="AL21" s="24" t="n">
        <v>0.04811891</v>
      </c>
      <c r="AM21" s="24" t="n">
        <v>0.024062765</v>
      </c>
      <c r="AN21" s="24" t="n">
        <v>0.024069155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$D$48</f>
        <v/>
      </c>
      <c r="AD22" s="26">
        <f>$D$48</f>
        <v/>
      </c>
      <c r="AE22" s="25">
        <f>IFERROR(subQ!AE8/subQ!AE5,"")</f>
        <v/>
      </c>
      <c r="AF22" s="26">
        <f>$D$48</f>
        <v/>
      </c>
      <c r="AG22" s="26">
        <f>$D$48</f>
        <v/>
      </c>
      <c r="AH22" s="26">
        <f>$D$48</f>
        <v/>
      </c>
      <c r="AI22" s="26">
        <f>$D$48</f>
        <v/>
      </c>
      <c r="AJ22" s="25">
        <f>IFERROR(subQ!AJ8/subQ!AJ5,"")</f>
        <v/>
      </c>
      <c r="AK22" s="26">
        <f>$D$48</f>
        <v/>
      </c>
      <c r="AL22" s="26">
        <f>$D$48</f>
        <v/>
      </c>
      <c r="AM22" s="26">
        <f>$D$48</f>
        <v/>
      </c>
      <c r="AN22" s="26">
        <f>$D$48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0.16235959</v>
      </c>
      <c r="AD23" s="24" t="n">
        <v>0.162362134</v>
      </c>
      <c r="AE23" s="25">
        <f>IFERROR(subQ!AE9/subQ!AE5,"")</f>
        <v/>
      </c>
      <c r="AF23" s="24" t="n">
        <v>0.162365608</v>
      </c>
      <c r="AG23" s="24" t="n">
        <v>0.162363985</v>
      </c>
      <c r="AH23" s="24" t="n">
        <v>0.162359634</v>
      </c>
      <c r="AI23" s="24" t="n">
        <v>0.162364061</v>
      </c>
      <c r="AJ23" s="25">
        <f>IFERROR(subQ!AJ9/subQ!AJ5,"")</f>
        <v/>
      </c>
      <c r="AK23" s="24" t="n">
        <v>0.162357062</v>
      </c>
      <c r="AL23" s="24" t="n">
        <v>0.162360221</v>
      </c>
      <c r="AM23" s="24" t="n">
        <v>0.162362109</v>
      </c>
      <c r="AN23" s="24" t="n">
        <v>0.16236009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drv:법인세비용</t>
        </is>
      </c>
      <c r="B25" s="2" t="inlineStr">
        <is>
          <t>tax</t>
        </is>
      </c>
      <c r="C25" t="inlineStr">
        <is>
          <t>법인세율(/세전) — 법인세 = MAX(세전,0) × 세율</t>
        </is>
      </c>
      <c r="E25" s="21">
        <f>IFERROR(subQ!E15/subQ!E14,"")</f>
        <v/>
      </c>
      <c r="F25" s="22">
        <f>IFERROR(subQ!F15/subQ!F14,"")</f>
        <v/>
      </c>
      <c r="G25" s="21">
        <f>IFERROR(subQ!G15/subQ!G14,"")</f>
        <v/>
      </c>
      <c r="H25" s="21">
        <f>IFERROR(subQ!H15/subQ!H14,"")</f>
        <v/>
      </c>
      <c r="I25" s="21">
        <f>IFERROR(subQ!I15/subQ!I14,"")</f>
        <v/>
      </c>
      <c r="J25" s="21">
        <f>IFERROR(subQ!J15/subQ!J14,"")</f>
        <v/>
      </c>
      <c r="K25" s="22">
        <f>IFERROR(subQ!K15/subQ!K14,"")</f>
        <v/>
      </c>
      <c r="L25" s="21">
        <f>IFERROR(subQ!L15/subQ!L14,"")</f>
        <v/>
      </c>
      <c r="M25" s="21">
        <f>IFERROR(subQ!M15/subQ!M14,"")</f>
        <v/>
      </c>
      <c r="N25" s="21">
        <f>IFERROR(subQ!N15/subQ!N14,"")</f>
        <v/>
      </c>
      <c r="O25" s="21">
        <f>IFERROR(subQ!O15/subQ!O14,"")</f>
        <v/>
      </c>
      <c r="P25" s="22">
        <f>IFERROR(subQ!P15/subQ!P14,"")</f>
        <v/>
      </c>
      <c r="Q25" s="21">
        <f>IFERROR(subQ!Q15/subQ!Q14,"")</f>
        <v/>
      </c>
      <c r="R25" s="21">
        <f>IFERROR(subQ!R15/subQ!R14,"")</f>
        <v/>
      </c>
      <c r="S25" s="21">
        <f>IFERROR(subQ!S15/subQ!S14,"")</f>
        <v/>
      </c>
      <c r="T25" s="21">
        <f>IFERROR(subQ!T15/subQ!T14,"")</f>
        <v/>
      </c>
      <c r="U25" s="22">
        <f>IFERROR(subQ!U15/subQ!U14,"")</f>
        <v/>
      </c>
      <c r="V25" s="21">
        <f>IFERROR(subQ!V15/subQ!V14,"")</f>
        <v/>
      </c>
      <c r="W25" s="21">
        <f>IFERROR(subQ!W15/subQ!W14,"")</f>
        <v/>
      </c>
      <c r="X25" s="21">
        <f>IFERROR(subQ!X15/subQ!X14,"")</f>
        <v/>
      </c>
      <c r="Y25" s="21">
        <f>IFERROR(subQ!Y15/subQ!Y14,"")</f>
        <v/>
      </c>
      <c r="Z25" s="22">
        <f>IFERROR(subQ!Z15/subQ!Z14,"")</f>
        <v/>
      </c>
      <c r="AA25" s="21">
        <f>IFERROR(subQ!AA15/subQ!AA14,"")</f>
        <v/>
      </c>
      <c r="AB25" s="23">
        <f>IFERROR(subQ!AB15/subQ!AB14,"")</f>
        <v/>
      </c>
      <c r="AC25" s="26">
        <f>$D$47</f>
        <v/>
      </c>
      <c r="AD25" s="26">
        <f>$D$47</f>
        <v/>
      </c>
      <c r="AE25" s="25">
        <f>IFERROR(subQ!AE15/subQ!AE14,"")</f>
        <v/>
      </c>
      <c r="AF25" s="26">
        <f>$D$47</f>
        <v/>
      </c>
      <c r="AG25" s="26">
        <f>$D$47</f>
        <v/>
      </c>
      <c r="AH25" s="26">
        <f>$D$47</f>
        <v/>
      </c>
      <c r="AI25" s="26">
        <f>$D$47</f>
        <v/>
      </c>
      <c r="AJ25" s="25">
        <f>IFERROR(subQ!AJ15/subQ!AJ14,"")</f>
        <v/>
      </c>
      <c r="AK25" s="26">
        <f>$D$47</f>
        <v/>
      </c>
      <c r="AL25" s="26">
        <f>$D$47</f>
        <v/>
      </c>
      <c r="AM25" s="26">
        <f>$D$47</f>
        <v/>
      </c>
      <c r="AN25" s="26">
        <f>$D$47</f>
        <v/>
      </c>
      <c r="AO25" s="25">
        <f>IFERROR(subQ!AO15/subQ!AO14,"")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2">
        <f>IFERROR(subQ!F17/subQ!F16,"")</f>
        <v/>
      </c>
      <c r="G26" s="21">
        <f>IFERROR(subQ!G17/subQ!G16,"")</f>
        <v/>
      </c>
      <c r="H26" s="21">
        <f>IFERROR(subQ!H17/subQ!H16,"")</f>
        <v/>
      </c>
      <c r="I26" s="21">
        <f>IFERROR(subQ!I17/subQ!I16,"")</f>
        <v/>
      </c>
      <c r="J26" s="21">
        <f>IFERROR(subQ!J17/subQ!J16,"")</f>
        <v/>
      </c>
      <c r="K26" s="22">
        <f>IFERROR(subQ!K17/subQ!K16,"")</f>
        <v/>
      </c>
      <c r="L26" s="21">
        <f>IFERROR(subQ!L17/subQ!L16,"")</f>
        <v/>
      </c>
      <c r="M26" s="21">
        <f>IFERROR(subQ!M17/subQ!M16,"")</f>
        <v/>
      </c>
      <c r="N26" s="21">
        <f>IFERROR(subQ!N17/subQ!N16,"")</f>
        <v/>
      </c>
      <c r="O26" s="21">
        <f>IFERROR(subQ!O17/subQ!O16,"")</f>
        <v/>
      </c>
      <c r="P26" s="22">
        <f>IFERROR(subQ!P17/subQ!P16,"")</f>
        <v/>
      </c>
      <c r="Q26" s="21">
        <f>IFERROR(subQ!Q17/subQ!Q16,"")</f>
        <v/>
      </c>
      <c r="R26" s="21">
        <f>IFERROR(subQ!R17/subQ!R16,"")</f>
        <v/>
      </c>
      <c r="S26" s="21">
        <f>IFERROR(subQ!S17/subQ!S16,"")</f>
        <v/>
      </c>
      <c r="T26" s="21">
        <f>IFERROR(subQ!T17/subQ!T16,"")</f>
        <v/>
      </c>
      <c r="U26" s="22">
        <f>IFERROR(subQ!U17/subQ!U16,"")</f>
        <v/>
      </c>
      <c r="V26" s="21">
        <f>IFERROR(subQ!V17/subQ!V16,"")</f>
        <v/>
      </c>
      <c r="W26" s="21">
        <f>IFERROR(subQ!W17/subQ!W16,"")</f>
        <v/>
      </c>
      <c r="X26" s="21">
        <f>IFERROR(subQ!X17/subQ!X16,"")</f>
        <v/>
      </c>
      <c r="Y26" s="21">
        <f>IFERROR(subQ!Y17/subQ!Y16,"")</f>
        <v/>
      </c>
      <c r="Z26" s="22">
        <f>IFERROR(subQ!Z17/subQ!Z16,"")</f>
        <v/>
      </c>
      <c r="AA26" s="21">
        <f>IFERROR(subQ!AA17/subQ!AA16,"")</f>
        <v/>
      </c>
      <c r="AB26" s="23">
        <f>IFERROR(subQ!AB17/subQ!AB16,"")</f>
        <v/>
      </c>
      <c r="AC26" s="26">
        <f>$D$49</f>
        <v/>
      </c>
      <c r="AD26" s="26">
        <f>$D$49</f>
        <v/>
      </c>
      <c r="AE26" s="25">
        <f>IFERROR(subQ!AE17/subQ!AE16,"")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IFERROR(subQ!AJ17/subQ!AJ16,"")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IFERROR(subQ!AO17/subQ!AO16,"")</f>
        <v/>
      </c>
    </row>
    <row r="27">
      <c r="A27" s="12" t="inlineStr">
        <is>
          <t>drv:부채총계</t>
        </is>
      </c>
      <c r="B27" s="2" t="inlineStr">
        <is>
          <t>qoq</t>
        </is>
      </c>
      <c r="C27" t="inlineStr">
        <is>
          <t>부채총계 QoQ</t>
        </is>
      </c>
      <c r="E27" s="21" t="n"/>
      <c r="F27" s="22" t="n"/>
      <c r="G27" s="21">
        <f>IFERROR(subQ!G19/subQ!E19-1,"")</f>
        <v/>
      </c>
      <c r="H27" s="21">
        <f>IFERROR(subQ!H19/subQ!G19-1,"")</f>
        <v/>
      </c>
      <c r="I27" s="21">
        <f>IFERROR(subQ!I19/subQ!H19-1,"")</f>
        <v/>
      </c>
      <c r="J27" s="21">
        <f>IFERROR(subQ!J19/subQ!I19-1,"")</f>
        <v/>
      </c>
      <c r="K27" s="22" t="n"/>
      <c r="L27" s="21">
        <f>IFERROR(subQ!L19/subQ!J19-1,"")</f>
        <v/>
      </c>
      <c r="M27" s="21">
        <f>IFERROR(subQ!M19/subQ!L19-1,"")</f>
        <v/>
      </c>
      <c r="N27" s="21">
        <f>IFERROR(subQ!N19/subQ!M19-1,"")</f>
        <v/>
      </c>
      <c r="O27" s="21">
        <f>IFERROR(subQ!O19/subQ!N19-1,"")</f>
        <v/>
      </c>
      <c r="P27" s="22" t="n"/>
      <c r="Q27" s="21">
        <f>IFERROR(subQ!Q19/subQ!O19-1,"")</f>
        <v/>
      </c>
      <c r="R27" s="21">
        <f>IFERROR(subQ!R19/subQ!Q19-1,"")</f>
        <v/>
      </c>
      <c r="S27" s="21">
        <f>IFERROR(subQ!S19/subQ!R19-1,"")</f>
        <v/>
      </c>
      <c r="T27" s="21">
        <f>IFERROR(subQ!T19/subQ!S19-1,"")</f>
        <v/>
      </c>
      <c r="U27" s="22" t="n"/>
      <c r="V27" s="21">
        <f>IFERROR(subQ!V19/subQ!T19-1,"")</f>
        <v/>
      </c>
      <c r="W27" s="21">
        <f>IFERROR(subQ!W19/subQ!V19-1,"")</f>
        <v/>
      </c>
      <c r="X27" s="21">
        <f>IFERROR(subQ!X19/subQ!W19-1,"")</f>
        <v/>
      </c>
      <c r="Y27" s="21">
        <f>IFERROR(subQ!Y19/subQ!X19-1,"")</f>
        <v/>
      </c>
      <c r="Z27" s="22" t="n"/>
      <c r="AA27" s="21">
        <f>IFERROR(subQ!AA19/subQ!Y19-1,"")</f>
        <v/>
      </c>
      <c r="AB27" s="23">
        <f>IFERROR(subQ!AB19/subQ!AA19-1,"")</f>
        <v/>
      </c>
      <c r="AC27" s="24" t="n">
        <v>6.541e-06</v>
      </c>
      <c r="AD27" s="24" t="n">
        <v>0</v>
      </c>
      <c r="AE27" s="25" t="n"/>
      <c r="AF27" s="24" t="n">
        <v>0</v>
      </c>
      <c r="AG27" s="24" t="n">
        <v>0</v>
      </c>
      <c r="AH27" s="24" t="n">
        <v>0</v>
      </c>
      <c r="AI27" s="24" t="n">
        <v>0</v>
      </c>
      <c r="AJ27" s="25" t="n"/>
      <c r="AK27" s="24" t="n">
        <v>0</v>
      </c>
      <c r="AL27" s="24" t="n">
        <v>0</v>
      </c>
      <c r="AM27" s="24" t="n">
        <v>0</v>
      </c>
      <c r="AN27" s="24" t="n">
        <v>0</v>
      </c>
      <c r="AO27" s="25" t="n"/>
    </row>
    <row r="28">
      <c r="A28" s="12" t="inlineStr">
        <is>
          <t>drv:자본총계</t>
        </is>
      </c>
      <c r="B28" s="2" t="inlineStr">
        <is>
          <t>roll</t>
        </is>
      </c>
      <c r="C28" t="inlineStr">
        <is>
          <t>자본총계 기타변동(배당 등, 억원)</t>
        </is>
      </c>
      <c r="E28" s="27" t="n"/>
      <c r="F28" s="28" t="n"/>
      <c r="G28" s="27">
        <f>IFERROR(subQ!E20+subQ!G16-subQ!G20,"")</f>
        <v/>
      </c>
      <c r="H28" s="27">
        <f>IFERROR(subQ!G20+subQ!H16-subQ!H20,"")</f>
        <v/>
      </c>
      <c r="I28" s="27">
        <f>IFERROR(subQ!H20+subQ!I16-subQ!I20,"")</f>
        <v/>
      </c>
      <c r="J28" s="27">
        <f>IFERROR(subQ!I20+subQ!J16-subQ!J20,"")</f>
        <v/>
      </c>
      <c r="K28" s="28" t="n"/>
      <c r="L28" s="27">
        <f>IFERROR(subQ!J20+subQ!L16-subQ!L20,"")</f>
        <v/>
      </c>
      <c r="M28" s="27">
        <f>IFERROR(subQ!L20+subQ!M16-subQ!M20,"")</f>
        <v/>
      </c>
      <c r="N28" s="27">
        <f>IFERROR(subQ!M20+subQ!N16-subQ!N20,"")</f>
        <v/>
      </c>
      <c r="O28" s="27">
        <f>IFERROR(subQ!N20+subQ!O16-subQ!O20,"")</f>
        <v/>
      </c>
      <c r="P28" s="28" t="n"/>
      <c r="Q28" s="27">
        <f>IFERROR(subQ!O20+subQ!Q16-subQ!Q20,"")</f>
        <v/>
      </c>
      <c r="R28" s="27">
        <f>IFERROR(subQ!Q20+subQ!R16-subQ!R20,"")</f>
        <v/>
      </c>
      <c r="S28" s="27">
        <f>IFERROR(subQ!R20+subQ!S16-subQ!S20,"")</f>
        <v/>
      </c>
      <c r="T28" s="27">
        <f>IFERROR(subQ!S20+subQ!T16-subQ!T20,"")</f>
        <v/>
      </c>
      <c r="U28" s="28" t="n"/>
      <c r="V28" s="27">
        <f>IFERROR(subQ!T20+subQ!V16-subQ!V20,"")</f>
        <v/>
      </c>
      <c r="W28" s="27">
        <f>IFERROR(subQ!V20+subQ!W16-subQ!W20,"")</f>
        <v/>
      </c>
      <c r="X28" s="27">
        <f>IFERROR(subQ!W20+subQ!X16-subQ!X20,"")</f>
        <v/>
      </c>
      <c r="Y28" s="27">
        <f>IFERROR(subQ!X20+subQ!Y16-subQ!Y20,"")</f>
        <v/>
      </c>
      <c r="Z28" s="28" t="n"/>
      <c r="AA28" s="27">
        <f>IFERROR(subQ!Y20+subQ!AA16-subQ!AA20,"")</f>
        <v/>
      </c>
      <c r="AB28" s="29">
        <f>IFERROR(subQ!AA20+subQ!AB16-subQ!AB20,"")</f>
        <v/>
      </c>
      <c r="AC28" s="30" t="n">
        <v>0.003147069</v>
      </c>
      <c r="AD28" s="30" t="n">
        <v>0.000653682</v>
      </c>
      <c r="AE28" s="31" t="n"/>
      <c r="AF28" s="30" t="n">
        <v>0.005206909</v>
      </c>
      <c r="AG28" s="30" t="n">
        <v>53.120415091</v>
      </c>
      <c r="AH28" s="30" t="n">
        <v>-0.004941196</v>
      </c>
      <c r="AI28" s="30" t="n">
        <v>-0.000523928</v>
      </c>
      <c r="AJ28" s="31" t="n"/>
      <c r="AK28" s="30" t="n">
        <v>0.007008224</v>
      </c>
      <c r="AL28" s="30" t="n">
        <v>53.106084371</v>
      </c>
      <c r="AM28" s="30" t="n">
        <v>0.008924700000000001</v>
      </c>
      <c r="AN28" s="30" t="n">
        <v>-0.000275576</v>
      </c>
      <c r="AO28" s="31" t="n"/>
    </row>
    <row r="29">
      <c r="A29" s="12" t="inlineStr">
        <is>
          <t>drv:지배주주지분</t>
        </is>
      </c>
      <c r="B29" s="2" t="inlineStr">
        <is>
          <t>roll</t>
        </is>
      </c>
      <c r="C29" t="inlineStr">
        <is>
          <t>지배주주지분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0.003147069</v>
      </c>
      <c r="AD29" s="30" t="n">
        <v>0.000653682</v>
      </c>
      <c r="AE29" s="31" t="n"/>
      <c r="AF29" s="30" t="n">
        <v>0.005206909</v>
      </c>
      <c r="AG29" s="30" t="n">
        <v>53.120415091</v>
      </c>
      <c r="AH29" s="30" t="n">
        <v>-0.004941196</v>
      </c>
      <c r="AI29" s="30" t="n">
        <v>-0.000523928</v>
      </c>
      <c r="AJ29" s="31" t="n"/>
      <c r="AK29" s="30" t="n">
        <v>0.007008224</v>
      </c>
      <c r="AL29" s="30" t="n">
        <v>53.106084371</v>
      </c>
      <c r="AM29" s="30" t="n">
        <v>0.008924700000000001</v>
      </c>
      <c r="AN29" s="30" t="n">
        <v>-0.000275576</v>
      </c>
      <c r="AO29" s="31" t="n"/>
    </row>
    <row r="30">
      <c r="A30" s="12" t="inlineStr">
        <is>
          <t>drv:총차입금</t>
        </is>
      </c>
      <c r="B30" s="2" t="inlineStr">
        <is>
          <t>qoq</t>
        </is>
      </c>
      <c r="C30" t="inlineStr">
        <is>
          <t>총차입금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0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drv:순차입금</t>
        </is>
      </c>
      <c r="B31" s="2" t="inlineStr">
        <is>
          <t>qoq</t>
        </is>
      </c>
      <c r="C31" t="inlineStr">
        <is>
          <t>순차입금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0.150960349</v>
      </c>
      <c r="AD31" s="24" t="n">
        <v>0.122627757</v>
      </c>
      <c r="AE31" s="25" t="n"/>
      <c r="AF31" s="24" t="n">
        <v>0.110106551</v>
      </c>
      <c r="AG31" s="24" t="n">
        <v>0.049740366</v>
      </c>
      <c r="AH31" s="24" t="n">
        <v>0.108284301</v>
      </c>
      <c r="AI31" s="24" t="n">
        <v>0.091568552</v>
      </c>
      <c r="AJ31" s="25" t="n"/>
      <c r="AK31" s="24" t="n">
        <v>0.08456717900000001</v>
      </c>
      <c r="AL31" s="24" t="n">
        <v>0.04239158</v>
      </c>
      <c r="AM31" s="24" t="n">
        <v>0.083726101</v>
      </c>
      <c r="AN31" s="24" t="n">
        <v>0.07258534799999999</v>
      </c>
      <c r="AO31" s="25" t="n"/>
    </row>
    <row r="32">
      <c r="A32" s="12" t="inlineStr">
        <is>
          <t>drv:이자발생자산</t>
        </is>
      </c>
      <c r="B32" s="2" t="inlineStr">
        <is>
          <t>qoq</t>
        </is>
      </c>
      <c r="C32" t="inlineStr">
        <is>
          <t>이자발생자산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0.146370054</v>
      </c>
      <c r="AD32" s="24" t="n">
        <v>0.119375075</v>
      </c>
      <c r="AE32" s="25" t="n"/>
      <c r="AF32" s="24" t="n">
        <v>0.107497453</v>
      </c>
      <c r="AG32" s="24" t="n">
        <v>0.048676117</v>
      </c>
      <c r="AH32" s="24" t="n">
        <v>0.106074981</v>
      </c>
      <c r="AI32" s="24" t="n">
        <v>0.089879454</v>
      </c>
      <c r="AJ32" s="25" t="n"/>
      <c r="AK32" s="24" t="n">
        <v>0.083135874</v>
      </c>
      <c r="AL32" s="24" t="n">
        <v>0.041729171</v>
      </c>
      <c r="AM32" s="24" t="n">
        <v>0.082470206</v>
      </c>
      <c r="AN32" s="24" t="n">
        <v>0.071579516</v>
      </c>
      <c r="AO32" s="25" t="n"/>
    </row>
    <row r="33">
      <c r="A33" s="12" t="inlineStr">
        <is>
          <t>drv:현금및현금성자산</t>
        </is>
      </c>
      <c r="B33" s="2" t="inlineStr">
        <is>
          <t>qoq</t>
        </is>
      </c>
      <c r="C33" t="inlineStr">
        <is>
          <t>현금및현금성자산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32" t="n"/>
      <c r="AD33" s="32" t="n"/>
      <c r="AE33" s="25" t="n"/>
      <c r="AF33" s="32" t="n"/>
      <c r="AG33" s="32" t="n"/>
      <c r="AH33" s="32" t="n"/>
      <c r="AI33" s="32" t="n"/>
      <c r="AJ33" s="25" t="n"/>
      <c r="AK33" s="32" t="n"/>
      <c r="AL33" s="32" t="n"/>
      <c r="AM33" s="32" t="n"/>
      <c r="AN33" s="32" t="n"/>
      <c r="AO33" s="25" t="n"/>
    </row>
    <row r="34">
      <c r="A34" s="12" t="inlineStr">
        <is>
          <t>drv:CAPEX</t>
        </is>
      </c>
      <c r="B34" s="2" t="inlineStr">
        <is>
          <t>yoy</t>
        </is>
      </c>
      <c r="C34" t="inlineStr">
        <is>
          <t>CAPEX YoY</t>
        </is>
      </c>
      <c r="E34" s="21" t="n"/>
      <c r="F34" s="22" t="n"/>
      <c r="G34" s="21" t="n"/>
      <c r="H34" s="21" t="n"/>
      <c r="I34" s="21" t="n"/>
      <c r="J34" s="21">
        <f>IFERROR(subQ!J26/subQ!E26-1,"")</f>
        <v/>
      </c>
      <c r="K34" s="22" t="n"/>
      <c r="L34" s="21">
        <f>IFERROR(subQ!L26/subQ!G26-1,"")</f>
        <v/>
      </c>
      <c r="M34" s="21">
        <f>IFERROR(subQ!M26/subQ!H26-1,"")</f>
        <v/>
      </c>
      <c r="N34" s="21">
        <f>IFERROR(subQ!N26/subQ!I26-1,"")</f>
        <v/>
      </c>
      <c r="O34" s="21">
        <f>IFERROR(subQ!O26/subQ!J26-1,"")</f>
        <v/>
      </c>
      <c r="P34" s="22" t="n"/>
      <c r="Q34" s="21">
        <f>IFERROR(subQ!Q26/subQ!L26-1,"")</f>
        <v/>
      </c>
      <c r="R34" s="21">
        <f>IFERROR(subQ!R26/subQ!M26-1,"")</f>
        <v/>
      </c>
      <c r="S34" s="21">
        <f>IFERROR(subQ!S26/subQ!N26-1,"")</f>
        <v/>
      </c>
      <c r="T34" s="21">
        <f>IFERROR(subQ!T26/subQ!O26-1,"")</f>
        <v/>
      </c>
      <c r="U34" s="22" t="n"/>
      <c r="V34" s="21">
        <f>IFERROR(subQ!V26/subQ!Q26-1,"")</f>
        <v/>
      </c>
      <c r="W34" s="21">
        <f>IFERROR(subQ!W26/subQ!R26-1,"")</f>
        <v/>
      </c>
      <c r="X34" s="21">
        <f>IFERROR(subQ!X26/subQ!S26-1,"")</f>
        <v/>
      </c>
      <c r="Y34" s="21">
        <f>IFERROR(subQ!Y26/subQ!T26-1,"")</f>
        <v/>
      </c>
      <c r="Z34" s="22" t="n"/>
      <c r="AA34" s="21">
        <f>IFERROR(subQ!AA26/subQ!V26-1,"")</f>
        <v/>
      </c>
      <c r="AB34" s="23">
        <f>IFERROR(subQ!AB26/subQ!W26-1,"")</f>
        <v/>
      </c>
      <c r="AC34" s="24" t="n">
        <v>-0.981026747</v>
      </c>
      <c r="AD34" s="24" t="n">
        <v>0.009670079999999999</v>
      </c>
      <c r="AE34" s="25" t="n"/>
      <c r="AF34" s="24" t="n">
        <v>0</v>
      </c>
      <c r="AG34" s="24" t="n">
        <v>0.003817334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</v>
      </c>
      <c r="AD36" s="24" t="n">
        <v>0</v>
      </c>
      <c r="AE36" s="25" t="n"/>
      <c r="AF36" s="24" t="n">
        <v>0</v>
      </c>
      <c r="AG36" s="24" t="n">
        <v>0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7">
        <f>subQ!E31</f>
        <v/>
      </c>
      <c r="F37" s="28">
        <f>subQ!F31</f>
        <v/>
      </c>
      <c r="G37" s="27">
        <f>subQ!G31</f>
        <v/>
      </c>
      <c r="H37" s="27">
        <f>subQ!H31</f>
        <v/>
      </c>
      <c r="I37" s="27">
        <f>subQ!I31</f>
        <v/>
      </c>
      <c r="J37" s="27">
        <f>subQ!J31</f>
        <v/>
      </c>
      <c r="K37" s="28">
        <f>subQ!K31</f>
        <v/>
      </c>
      <c r="L37" s="27">
        <f>subQ!L31</f>
        <v/>
      </c>
      <c r="M37" s="27">
        <f>subQ!M31</f>
        <v/>
      </c>
      <c r="N37" s="27">
        <f>subQ!N31</f>
        <v/>
      </c>
      <c r="O37" s="27">
        <f>subQ!O31</f>
        <v/>
      </c>
      <c r="P37" s="28">
        <f>subQ!P31</f>
        <v/>
      </c>
      <c r="Q37" s="27">
        <f>subQ!Q31</f>
        <v/>
      </c>
      <c r="R37" s="27">
        <f>subQ!R31</f>
        <v/>
      </c>
      <c r="S37" s="27">
        <f>subQ!S31</f>
        <v/>
      </c>
      <c r="T37" s="27">
        <f>subQ!T31</f>
        <v/>
      </c>
      <c r="U37" s="28">
        <f>subQ!U31</f>
        <v/>
      </c>
      <c r="V37" s="27">
        <f>subQ!V31</f>
        <v/>
      </c>
      <c r="W37" s="27">
        <f>subQ!W31</f>
        <v/>
      </c>
      <c r="X37" s="27">
        <f>subQ!X31</f>
        <v/>
      </c>
      <c r="Y37" s="27">
        <f>subQ!Y31</f>
        <v/>
      </c>
      <c r="Z37" s="28">
        <f>subQ!Z31</f>
        <v/>
      </c>
      <c r="AA37" s="27">
        <f>subQ!AA31</f>
        <v/>
      </c>
      <c r="AB37" s="29">
        <f>subQ!AB31</f>
        <v/>
      </c>
      <c r="AC37" s="33" t="n"/>
      <c r="AD37" s="30" t="n">
        <v>200</v>
      </c>
      <c r="AE37" s="31">
        <f>subQ!AE31</f>
        <v/>
      </c>
      <c r="AF37" s="33" t="n"/>
      <c r="AG37" s="33" t="n"/>
      <c r="AH37" s="33" t="n"/>
      <c r="AI37" s="30" t="n">
        <v>200</v>
      </c>
      <c r="AJ37" s="31">
        <f>subQ!AJ31</f>
        <v/>
      </c>
      <c r="AK37" s="33" t="n"/>
      <c r="AL37" s="33" t="n"/>
      <c r="AM37" s="33" t="n"/>
      <c r="AN37" s="30" t="n">
        <v>200</v>
      </c>
      <c r="AO37" s="31">
        <f>subQ!AO31</f>
        <v/>
      </c>
    </row>
    <row r="38"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B39" s="1" t="inlineStr">
        <is>
          <t>3. 밸류에이션·스칼라</t>
        </is>
      </c>
      <c r="C39" s="2" t="inlineStr">
        <is>
          <t>노란 셀 = 가정. '연결' 표시는 추정 전 분기 수식이 이 셀을 참조한다는 뜻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sc:종가</t>
        </is>
      </c>
      <c r="C40" t="inlineStr">
        <is>
          <t>종가</t>
        </is>
      </c>
      <c r="D40" s="34" t="n">
        <v>28800</v>
      </c>
      <c r="E40" s="2" t="inlineStr">
        <is>
          <t>원 — 네이버 정규장 종가(aik 확정종가 대조 · aik 27,600원)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sc:기준일</t>
        </is>
      </c>
      <c r="C41" t="inlineStr">
        <is>
          <t>기준일</t>
        </is>
      </c>
      <c r="D41" s="35" t="inlineStr">
        <is>
          <t>20261014</t>
        </is>
      </c>
      <c r="E41" s="2" t="inlineStr">
        <is>
          <t>종가 기준일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sc:COE</t>
        </is>
      </c>
      <c r="C42" t="inlineStr">
        <is>
          <t>COE</t>
        </is>
      </c>
      <c r="D42" s="24" t="n">
        <v>0.09</v>
      </c>
      <c r="E42" s="2" t="inlineStr">
        <is>
          <t>자기자본비용(가정) — TP 적정 PBR = ROE/COE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sc:PER_lo</t>
        </is>
      </c>
      <c r="C43" t="inlineStr">
        <is>
          <t>PER_lo</t>
        </is>
      </c>
      <c r="D43" s="30" t="n">
        <v>10.1</v>
      </c>
      <c r="E43" s="2" t="inlineStr">
        <is>
          <t>PER 밴드 하단(배) — hist_quarterly(분기 평균가 ÷ TTM EPS, 16분기, 25/50/75 백분위)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sc:PER_mid</t>
        </is>
      </c>
      <c r="C44" t="inlineStr">
        <is>
          <t>PER_mid</t>
        </is>
      </c>
      <c r="D44" s="30" t="n">
        <v>11.4</v>
      </c>
      <c r="E44" s="2" t="inlineStr">
        <is>
          <t>PER 밴드 중단(배)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sc:PER_hi</t>
        </is>
      </c>
      <c r="C45" t="inlineStr">
        <is>
          <t>PER_hi</t>
        </is>
      </c>
      <c r="D45" s="30" t="n">
        <v>24.9</v>
      </c>
      <c r="E45" s="2" t="inlineStr">
        <is>
          <t>PER 밴드 상단(배)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sc:EPS_Y1가중</t>
        </is>
      </c>
      <c r="C46" t="inlineStr">
        <is>
          <t>EPS_Y1가중</t>
        </is>
      </c>
      <c r="D46" s="24" t="n">
        <v>0.5</v>
      </c>
      <c r="E46" s="2" t="inlineStr">
        <is>
          <t>12M fwd EPS = FY(last_actual연도)E × w + FY+1E × (1−w) — 기준 분기 2Q 이면 0.5(가정)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sc:세율</t>
        </is>
      </c>
      <c r="C47" t="inlineStr">
        <is>
          <t>세율</t>
        </is>
      </c>
      <c r="D47" s="36" t="n">
        <v>0.2218894657825597</v>
      </c>
      <c r="E47" s="2" t="inlineStr">
        <is>
          <t>연결 — 법인세 = MAX(세전,0) × 세율(역산, 재현 오차 ≤ 0.05억 · 모델 assumptions 0.2219) · 최근 12분기 유효세율 22.2%(5~27% 안 — 그대로)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sc:판관비율</t>
        </is>
      </c>
      <c r="C48" t="inlineStr">
        <is>
          <t>판관비율</t>
        </is>
      </c>
      <c r="D48" s="36" t="n">
        <v>0.2600140447834477</v>
      </c>
      <c r="E48" s="2" t="inlineStr">
        <is>
          <t>연결 — 판관비 = 매출액 × 판관비율(역산, 재현 오차 ≤ 0.05억 · 모델 assumptions 0.26)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sc:지배주주비중</t>
        </is>
      </c>
      <c r="C49" t="inlineStr">
        <is>
          <t>지배주주비중</t>
        </is>
      </c>
      <c r="D49" s="36" t="n">
        <v>1</v>
      </c>
      <c r="E49" s="2" t="inlineStr">
        <is>
          <t>연결 — 지배주주순이익 = 당기순이익 × 비중(역산, 재현 오차 ≤ 0.05억)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sc:이자율_자산</t>
        </is>
      </c>
      <c r="C50" t="inlineStr">
        <is>
          <t>이자율_자산</t>
        </is>
      </c>
      <c r="D50" s="36" t="n">
        <v>0.05426817893620548</v>
      </c>
      <c r="E50" s="2" t="inlineStr">
        <is>
          <t>연결 — 이자손익 = (전분기 이자발생자산 × 자산이자율 − 전분기 총차입금 × 부채이자율)/4(역산, 재현 오차 ≤ 0.05억 · 모델 assumptions 0.0543)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sc:이자율_부채</t>
        </is>
      </c>
      <c r="C51" t="inlineStr">
        <is>
          <t>이자율_부채</t>
        </is>
      </c>
      <c r="D51" s="36" t="n">
        <v>0.02023888886217404</v>
      </c>
      <c r="E51" s="2" t="inlineStr">
        <is>
          <t>연결 — 같은 수식의 부채 쪽(총차입금 행이 없으면 0)(역산, 재현 오차 ≤ 0.05억 · 모델 assumptions 0.0209)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sc:배당성향</t>
        </is>
      </c>
      <c r="C52" t="inlineStr">
        <is>
          <t>배당성향</t>
        </is>
      </c>
      <c r="D52" s="24" t="n">
        <v>0.1543</v>
      </c>
      <c r="E52" s="2" t="inlineStr">
        <is>
          <t>배당성향(참고 — 모델은 직전 DPS 유지·Q2 지급 가정)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sc:외화순노출_백만$</t>
        </is>
      </c>
      <c r="C53" t="inlineStr">
        <is>
          <t>외화순노출_백만$</t>
        </is>
      </c>
      <c r="D53" s="30" t="n"/>
      <c r="E53" s="2" t="inlineStr">
        <is>
          <t>외화 순노출 × Δ기말환율 (외화 시트 방식) — 외화 순노출 미공시(face) → 0 + 표기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sc:헤지비율</t>
        </is>
      </c>
      <c r="C54" t="inlineStr">
        <is>
          <t>헤지비율</t>
        </is>
      </c>
      <c r="D54" s="24" t="n"/>
      <c r="E54" s="2" t="inlineStr">
        <is>
          <t>sls 없음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sc:헤지환율_약정</t>
        </is>
      </c>
      <c r="C55" t="inlineStr">
        <is>
          <t>헤지환율_약정</t>
        </is>
      </c>
      <c r="D55" s="16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성광벤드(연)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223195.94</v>
      </c>
      <c r="F5" s="37" t="n">
        <v>223195.94</v>
      </c>
      <c r="G5" s="18" t="n">
        <v>247139.07</v>
      </c>
      <c r="H5" s="18" t="n">
        <v>262015.37</v>
      </c>
      <c r="I5" s="18" t="n">
        <v>278512.99</v>
      </c>
      <c r="J5" s="18" t="n">
        <v>273411.52</v>
      </c>
      <c r="K5" s="37" t="n">
        <v>273411.52</v>
      </c>
      <c r="L5" s="18" t="n">
        <v>282974.91</v>
      </c>
      <c r="M5" s="18" t="n">
        <v>285914.36</v>
      </c>
      <c r="N5" s="18" t="n">
        <v>302191.61</v>
      </c>
      <c r="O5" s="18" t="n">
        <v>293870.97</v>
      </c>
      <c r="P5" s="37" t="n">
        <v>293870.97</v>
      </c>
      <c r="Q5" s="18" t="n">
        <v>305008.26</v>
      </c>
      <c r="R5" s="18" t="n">
        <v>321549.89</v>
      </c>
      <c r="S5" s="18" t="n">
        <v>304777.07</v>
      </c>
      <c r="T5" s="18" t="n">
        <v>310361.6</v>
      </c>
      <c r="U5" s="37" t="n">
        <v>310361.6</v>
      </c>
      <c r="V5" s="18" t="n">
        <v>314887.33</v>
      </c>
      <c r="W5" s="18" t="n">
        <v>314231.17</v>
      </c>
      <c r="X5" s="18" t="n">
        <v>325749.58</v>
      </c>
      <c r="Y5" s="18" t="n">
        <v>331177.91</v>
      </c>
      <c r="Z5" s="37" t="n">
        <v>331177.91</v>
      </c>
      <c r="AA5" s="18" t="n">
        <v>339905.45</v>
      </c>
      <c r="AB5" s="19" t="n">
        <v>344168.61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34787.89</v>
      </c>
      <c r="F6" s="37" t="n">
        <v>34787.89</v>
      </c>
      <c r="G6" s="18" t="n">
        <v>39760.4</v>
      </c>
      <c r="H6" s="18" t="n">
        <v>43050.69</v>
      </c>
      <c r="I6" s="18" t="n">
        <v>56053.71</v>
      </c>
      <c r="J6" s="18" t="n">
        <v>74586.00999999999</v>
      </c>
      <c r="K6" s="37" t="n">
        <v>74586.00999999999</v>
      </c>
      <c r="L6" s="18" t="n">
        <v>87561.63</v>
      </c>
      <c r="M6" s="18" t="n">
        <v>86801.97</v>
      </c>
      <c r="N6" s="18" t="n">
        <v>102670.75</v>
      </c>
      <c r="O6" s="18" t="n">
        <v>75546.49000000001</v>
      </c>
      <c r="P6" s="37" t="n">
        <v>75546.49000000001</v>
      </c>
      <c r="Q6" s="18" t="n">
        <v>75306.58</v>
      </c>
      <c r="R6" s="18" t="n">
        <v>94255.77</v>
      </c>
      <c r="S6" s="18" t="n">
        <v>69531.19</v>
      </c>
      <c r="T6" s="18" t="n">
        <v>63589.46</v>
      </c>
      <c r="U6" s="37" t="n">
        <v>63589.46</v>
      </c>
      <c r="V6" s="18" t="n">
        <v>54892.54</v>
      </c>
      <c r="W6" s="18" t="n">
        <v>46333.97</v>
      </c>
      <c r="X6" s="18" t="n">
        <v>49615.55</v>
      </c>
      <c r="Y6" s="18" t="n">
        <v>55816.21</v>
      </c>
      <c r="Z6" s="37" t="n">
        <v>55816.21</v>
      </c>
      <c r="AA6" s="18" t="n">
        <v>63726.93</v>
      </c>
      <c r="AB6" s="19" t="n">
        <v>65773.7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15975.54</v>
      </c>
      <c r="F7" s="37" t="n">
        <v>15975.54</v>
      </c>
      <c r="G7" s="18" t="n">
        <v>19726.09</v>
      </c>
      <c r="H7" s="18" t="n">
        <v>16996.69</v>
      </c>
      <c r="I7" s="18" t="n">
        <v>10764.08</v>
      </c>
      <c r="J7" s="18" t="n">
        <v>9173.290000000001</v>
      </c>
      <c r="K7" s="37" t="n">
        <v>9173.290000000001</v>
      </c>
      <c r="L7" s="18" t="n">
        <v>6466.49</v>
      </c>
      <c r="M7" s="18" t="n">
        <v>9747.5</v>
      </c>
      <c r="N7" s="18" t="n">
        <v>8114.2</v>
      </c>
      <c r="O7" s="18" t="n">
        <v>34510.1</v>
      </c>
      <c r="P7" s="37" t="n">
        <v>34510.1</v>
      </c>
      <c r="Q7" s="18" t="n">
        <v>45899.63</v>
      </c>
      <c r="R7" s="18" t="n">
        <v>42866.45</v>
      </c>
      <c r="S7" s="18" t="n">
        <v>49057.61</v>
      </c>
      <c r="T7" s="18" t="n">
        <v>46058.93</v>
      </c>
      <c r="U7" s="37" t="n">
        <v>46058.93</v>
      </c>
      <c r="V7" s="18" t="n">
        <v>48251.02</v>
      </c>
      <c r="W7" s="18" t="n">
        <v>54061.12</v>
      </c>
      <c r="X7" s="18" t="n">
        <v>67640.25999999999</v>
      </c>
      <c r="Y7" s="18" t="n">
        <v>80965.77</v>
      </c>
      <c r="Z7" s="37" t="n">
        <v>80965.77</v>
      </c>
      <c r="AA7" s="18" t="n">
        <v>79103.5</v>
      </c>
      <c r="AB7" s="19" t="n">
        <v>74553.22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34884.95</v>
      </c>
      <c r="F8" s="37" t="n">
        <v>34884.95</v>
      </c>
      <c r="G8" s="18" t="n">
        <v>41140.48</v>
      </c>
      <c r="H8" s="18" t="n">
        <v>51625.96</v>
      </c>
      <c r="I8" s="18" t="n">
        <v>56306.37</v>
      </c>
      <c r="J8" s="18" t="n">
        <v>43193.09</v>
      </c>
      <c r="K8" s="37" t="n">
        <v>43193.09</v>
      </c>
      <c r="L8" s="18" t="n">
        <v>49319.36</v>
      </c>
      <c r="M8" s="18" t="n">
        <v>53215.64</v>
      </c>
      <c r="N8" s="18" t="n">
        <v>49260.57</v>
      </c>
      <c r="O8" s="18" t="n">
        <v>47349.28</v>
      </c>
      <c r="P8" s="37" t="n">
        <v>47349.28</v>
      </c>
      <c r="Q8" s="18" t="n">
        <v>50040.02</v>
      </c>
      <c r="R8" s="18" t="n">
        <v>49473.47</v>
      </c>
      <c r="S8" s="18" t="n">
        <v>40584.96</v>
      </c>
      <c r="T8" s="18" t="n">
        <v>48109.91</v>
      </c>
      <c r="U8" s="37" t="n">
        <v>48109.91</v>
      </c>
      <c r="V8" s="18" t="n">
        <v>59441.64</v>
      </c>
      <c r="W8" s="18" t="n">
        <v>57098.06</v>
      </c>
      <c r="X8" s="18" t="n">
        <v>58016.62</v>
      </c>
      <c r="Y8" s="18" t="n">
        <v>44178.29</v>
      </c>
      <c r="Z8" s="37" t="n">
        <v>44178.29</v>
      </c>
      <c r="AA8" s="18" t="n">
        <v>48090.1</v>
      </c>
      <c r="AB8" s="19" t="n">
        <v>53214.02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재고자산</t>
        </is>
      </c>
      <c r="E9" s="18" t="n">
        <v>135652.72</v>
      </c>
      <c r="F9" s="37" t="n">
        <v>135652.72</v>
      </c>
      <c r="G9" s="18" t="n">
        <v>143840.8</v>
      </c>
      <c r="H9" s="18" t="n">
        <v>148872.1</v>
      </c>
      <c r="I9" s="18" t="n">
        <v>154043.92</v>
      </c>
      <c r="J9" s="18" t="n">
        <v>145983.47</v>
      </c>
      <c r="K9" s="37" t="n">
        <v>145983.47</v>
      </c>
      <c r="L9" s="18" t="n">
        <v>139328.57</v>
      </c>
      <c r="M9" s="18" t="n">
        <v>135615.72</v>
      </c>
      <c r="N9" s="18" t="n">
        <v>141390.81</v>
      </c>
      <c r="O9" s="18" t="n">
        <v>135749.93</v>
      </c>
      <c r="P9" s="37" t="n">
        <v>135749.93</v>
      </c>
      <c r="Q9" s="18" t="n">
        <v>132802.52</v>
      </c>
      <c r="R9" s="18" t="n">
        <v>133236.94</v>
      </c>
      <c r="S9" s="18" t="n">
        <v>144240.93</v>
      </c>
      <c r="T9" s="18" t="n">
        <v>151714.94</v>
      </c>
      <c r="U9" s="37" t="n">
        <v>151714.94</v>
      </c>
      <c r="V9" s="18" t="n">
        <v>151827.95</v>
      </c>
      <c r="W9" s="18" t="n">
        <v>155699.65</v>
      </c>
      <c r="X9" s="18" t="n">
        <v>148954.19</v>
      </c>
      <c r="Y9" s="18" t="n">
        <v>149146.12</v>
      </c>
      <c r="Z9" s="37" t="n">
        <v>149146.12</v>
      </c>
      <c r="AA9" s="18" t="n">
        <v>147422.87</v>
      </c>
      <c r="AB9" s="19" t="n">
        <v>148532.19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1561.4</v>
      </c>
      <c r="F10" s="37" t="n">
        <v>1561.4</v>
      </c>
      <c r="G10" s="18" t="n">
        <v>2276.3</v>
      </c>
      <c r="H10" s="18" t="n">
        <v>1469.92</v>
      </c>
      <c r="I10" s="18" t="n">
        <v>1344.9</v>
      </c>
      <c r="J10" s="18" t="n">
        <v>475.67</v>
      </c>
      <c r="K10" s="37" t="n">
        <v>475.67</v>
      </c>
      <c r="L10" s="18" t="n">
        <v>298.85</v>
      </c>
      <c r="M10" s="18" t="n">
        <v>533.53</v>
      </c>
      <c r="N10" s="18" t="n">
        <v>687.98</v>
      </c>
      <c r="O10" s="18" t="n">
        <v>638.13</v>
      </c>
      <c r="P10" s="37" t="n">
        <v>638.13</v>
      </c>
      <c r="Q10" s="18" t="n">
        <v>887.95</v>
      </c>
      <c r="R10" s="18" t="n">
        <v>1717.25</v>
      </c>
      <c r="S10" s="18" t="n">
        <v>1325.55</v>
      </c>
      <c r="T10" s="18" t="n">
        <v>842.23</v>
      </c>
      <c r="U10" s="37" t="n">
        <v>842.23</v>
      </c>
      <c r="V10" s="18" t="n">
        <v>421.66</v>
      </c>
      <c r="W10" s="18" t="n">
        <v>1030.62</v>
      </c>
      <c r="X10" s="18" t="n">
        <v>1514.18</v>
      </c>
      <c r="Y10" s="18" t="n">
        <v>1071.52</v>
      </c>
      <c r="Z10" s="37" t="n">
        <v>1071.52</v>
      </c>
      <c r="AA10" s="18" t="n">
        <v>1562.06</v>
      </c>
      <c r="AB10" s="19" t="n">
        <v>2095.48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333.44</v>
      </c>
      <c r="F11" s="37" t="n">
        <v>333.44</v>
      </c>
      <c r="G11" s="18" t="n">
        <v>395</v>
      </c>
      <c r="H11" s="18" t="n">
        <v>0</v>
      </c>
      <c r="I11" s="18" t="n">
        <v>0</v>
      </c>
      <c r="J11" s="18" t="n">
        <v>0</v>
      </c>
      <c r="K11" s="37" t="n">
        <v>0</v>
      </c>
      <c r="N11" s="18" t="n">
        <v>67.31</v>
      </c>
      <c r="O11" s="18" t="n">
        <v>77.04000000000001</v>
      </c>
      <c r="P11" s="37" t="n">
        <v>77.04000000000001</v>
      </c>
      <c r="Q11" s="18" t="n">
        <v>71.56</v>
      </c>
      <c r="R11" s="18" t="n">
        <v>0</v>
      </c>
      <c r="S11" s="18" t="n">
        <v>36.84</v>
      </c>
      <c r="T11" s="18" t="n">
        <v>46.12</v>
      </c>
      <c r="U11" s="37" t="n">
        <v>46.12</v>
      </c>
      <c r="V11" s="18" t="n">
        <v>52.52</v>
      </c>
      <c r="W11" s="18" t="n">
        <v>7.74</v>
      </c>
      <c r="X11" s="18" t="n">
        <v>8.779999999999999</v>
      </c>
      <c r="Y11" s="18" t="n">
        <v>0</v>
      </c>
      <c r="Z11" s="37" t="n">
        <v>0</v>
      </c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258627.69</v>
      </c>
      <c r="F12" s="37" t="n">
        <v>258627.69</v>
      </c>
      <c r="G12" s="18" t="n">
        <v>257846.71</v>
      </c>
      <c r="H12" s="18" t="n">
        <v>257384.25</v>
      </c>
      <c r="I12" s="18" t="n">
        <v>254769.68</v>
      </c>
      <c r="J12" s="18" t="n">
        <v>253702.53</v>
      </c>
      <c r="K12" s="37" t="n">
        <v>253702.53</v>
      </c>
      <c r="L12" s="18" t="n">
        <v>253173.21</v>
      </c>
      <c r="M12" s="18" t="n">
        <v>256135.69</v>
      </c>
      <c r="N12" s="18" t="n">
        <v>255970.78</v>
      </c>
      <c r="O12" s="18" t="n">
        <v>257202.01</v>
      </c>
      <c r="P12" s="37" t="n">
        <v>257202.01</v>
      </c>
      <c r="Q12" s="18" t="n">
        <v>256352.84</v>
      </c>
      <c r="R12" s="18" t="n">
        <v>255269.14</v>
      </c>
      <c r="S12" s="18" t="n">
        <v>257521.78</v>
      </c>
      <c r="T12" s="18" t="n">
        <v>252736.58</v>
      </c>
      <c r="U12" s="37" t="n">
        <v>252736.58</v>
      </c>
      <c r="V12" s="18" t="n">
        <v>253312.91</v>
      </c>
      <c r="W12" s="18" t="n">
        <v>256078.87</v>
      </c>
      <c r="X12" s="18" t="n">
        <v>255026.73</v>
      </c>
      <c r="Y12" s="18" t="n">
        <v>259093.91</v>
      </c>
      <c r="Z12" s="37" t="n">
        <v>259093.91</v>
      </c>
      <c r="AA12" s="18" t="n">
        <v>257360.92</v>
      </c>
      <c r="AB12" s="19" t="n">
        <v>256085.72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유형자산</t>
        </is>
      </c>
      <c r="E13" s="18" t="n">
        <v>251442.07</v>
      </c>
      <c r="F13" s="37" t="n">
        <v>251442.07</v>
      </c>
      <c r="G13" s="18" t="n">
        <v>250535.22</v>
      </c>
      <c r="H13" s="18" t="n">
        <v>250456.1</v>
      </c>
      <c r="I13" s="18" t="n">
        <v>250106.25</v>
      </c>
      <c r="J13" s="18" t="n">
        <v>249562.47</v>
      </c>
      <c r="K13" s="37" t="n">
        <v>249562.47</v>
      </c>
      <c r="L13" s="18" t="n">
        <v>249005.9</v>
      </c>
      <c r="M13" s="18" t="n">
        <v>248933.53</v>
      </c>
      <c r="N13" s="18" t="n">
        <v>248666.15</v>
      </c>
      <c r="O13" s="18" t="n">
        <v>248657.89</v>
      </c>
      <c r="P13" s="37" t="n">
        <v>248657.89</v>
      </c>
      <c r="Q13" s="18" t="n">
        <v>248229.55</v>
      </c>
      <c r="R13" s="18" t="n">
        <v>247822.99</v>
      </c>
      <c r="S13" s="18" t="n">
        <v>248714.36</v>
      </c>
      <c r="T13" s="18" t="n">
        <v>247742.41</v>
      </c>
      <c r="U13" s="37" t="n">
        <v>247742.41</v>
      </c>
      <c r="V13" s="18" t="n">
        <v>247070.42</v>
      </c>
      <c r="W13" s="18" t="n">
        <v>249649.98</v>
      </c>
      <c r="X13" s="18" t="n">
        <v>248893.59</v>
      </c>
      <c r="Y13" s="18" t="n">
        <v>247991.74</v>
      </c>
      <c r="Z13" s="37" t="n">
        <v>247991.74</v>
      </c>
      <c r="AA13" s="18" t="n">
        <v>246960.43</v>
      </c>
      <c r="AB13" s="19" t="n">
        <v>246176.48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투자부동산</t>
        </is>
      </c>
      <c r="E14" s="18" t="n">
        <v>2035.47</v>
      </c>
      <c r="F14" s="37" t="n">
        <v>2035.47</v>
      </c>
      <c r="G14" s="18" t="n">
        <v>2031.08</v>
      </c>
      <c r="H14" s="18" t="n">
        <v>1414.76</v>
      </c>
      <c r="I14" s="18" t="n">
        <v>1411.44</v>
      </c>
      <c r="J14" s="18" t="n">
        <v>1408.12</v>
      </c>
      <c r="K14" s="37" t="n">
        <v>1408.12</v>
      </c>
      <c r="L14" s="18" t="n">
        <v>1404.8</v>
      </c>
      <c r="M14" s="18" t="n">
        <v>1401.48</v>
      </c>
      <c r="N14" s="18" t="n">
        <v>1398.16</v>
      </c>
      <c r="O14" s="18" t="n">
        <v>1394.84</v>
      </c>
      <c r="P14" s="37" t="n">
        <v>1394.84</v>
      </c>
      <c r="Q14" s="18" t="n">
        <v>1391.52</v>
      </c>
      <c r="R14" s="18" t="n">
        <v>1388.2</v>
      </c>
      <c r="S14" s="18" t="n">
        <v>1384.88</v>
      </c>
      <c r="T14" s="18" t="n">
        <v>1381.57</v>
      </c>
      <c r="U14" s="37" t="n">
        <v>1381.57</v>
      </c>
      <c r="V14" s="18" t="n">
        <v>1378.25</v>
      </c>
      <c r="W14" s="18" t="n">
        <v>1374.93</v>
      </c>
      <c r="X14" s="18" t="n">
        <v>1371.61</v>
      </c>
      <c r="Y14" s="18" t="n">
        <v>1368.29</v>
      </c>
      <c r="Z14" s="37" t="n">
        <v>1368.29</v>
      </c>
      <c r="AA14" s="18" t="n">
        <v>1364.97</v>
      </c>
      <c r="AB14" s="19" t="n">
        <v>1361.65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무형자산</t>
        </is>
      </c>
      <c r="E15" s="18" t="n">
        <v>583.21</v>
      </c>
      <c r="F15" s="37" t="n">
        <v>583.21</v>
      </c>
      <c r="G15" s="18" t="n">
        <v>581.6900000000001</v>
      </c>
      <c r="H15" s="18" t="n">
        <v>580.4</v>
      </c>
      <c r="I15" s="18" t="n">
        <v>579.24</v>
      </c>
      <c r="J15" s="18" t="n">
        <v>615.09</v>
      </c>
      <c r="K15" s="37" t="n">
        <v>615.09</v>
      </c>
      <c r="L15" s="18" t="n">
        <v>619.99</v>
      </c>
      <c r="M15" s="18" t="n">
        <v>617.5</v>
      </c>
      <c r="N15" s="18" t="n">
        <v>615.02</v>
      </c>
      <c r="O15" s="18" t="n">
        <v>612.53</v>
      </c>
      <c r="P15" s="37" t="n">
        <v>612.53</v>
      </c>
      <c r="Q15" s="18" t="n">
        <v>610.05</v>
      </c>
      <c r="R15" s="18" t="n">
        <v>607.71</v>
      </c>
      <c r="S15" s="18" t="n">
        <v>605.38</v>
      </c>
      <c r="T15" s="18" t="n">
        <v>603.04</v>
      </c>
      <c r="U15" s="37" t="n">
        <v>603.04</v>
      </c>
      <c r="V15" s="18" t="n">
        <v>808.11</v>
      </c>
      <c r="W15" s="18" t="n">
        <v>1474.94</v>
      </c>
      <c r="X15" s="18" t="n">
        <v>1571.31</v>
      </c>
      <c r="Y15" s="18" t="n">
        <v>2012.17</v>
      </c>
      <c r="Z15" s="37" t="n">
        <v>2012.17</v>
      </c>
      <c r="AA15" s="18" t="n">
        <v>2003.04</v>
      </c>
      <c r="AB15" s="19" t="n">
        <v>2015.17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자산총계</t>
        </is>
      </c>
      <c r="E16" s="18" t="n">
        <v>493811.56</v>
      </c>
      <c r="F16" s="37" t="n">
        <v>493811.56</v>
      </c>
      <c r="G16" s="18" t="n">
        <v>504985.78</v>
      </c>
      <c r="H16" s="18" t="n">
        <v>519399.62</v>
      </c>
      <c r="I16" s="18" t="n">
        <v>533282.67</v>
      </c>
      <c r="J16" s="18" t="n">
        <v>527114.05</v>
      </c>
      <c r="K16" s="37" t="n">
        <v>527114.05</v>
      </c>
      <c r="L16" s="18" t="n">
        <v>536148.12</v>
      </c>
      <c r="M16" s="18" t="n">
        <v>542050.0600000001</v>
      </c>
      <c r="N16" s="18" t="n">
        <v>558162.4</v>
      </c>
      <c r="O16" s="18" t="n">
        <v>551072.97</v>
      </c>
      <c r="P16" s="37" t="n">
        <v>551072.97</v>
      </c>
      <c r="Q16" s="18" t="n">
        <v>561361.09</v>
      </c>
      <c r="R16" s="18" t="n">
        <v>576819.03</v>
      </c>
      <c r="S16" s="18" t="n">
        <v>562298.86</v>
      </c>
      <c r="T16" s="18" t="n">
        <v>563098.1800000001</v>
      </c>
      <c r="U16" s="37" t="n">
        <v>563098.1800000001</v>
      </c>
      <c r="V16" s="18" t="n">
        <v>568200.24</v>
      </c>
      <c r="W16" s="18" t="n">
        <v>570310.04</v>
      </c>
      <c r="X16" s="18" t="n">
        <v>580776.3100000001</v>
      </c>
      <c r="Y16" s="18" t="n">
        <v>590271.8199999999</v>
      </c>
      <c r="Z16" s="37" t="n">
        <v>590271.8199999999</v>
      </c>
      <c r="AA16" s="18" t="n">
        <v>597266.37</v>
      </c>
      <c r="AB16" s="19" t="n">
        <v>600254.3199999999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유동부채</t>
        </is>
      </c>
      <c r="E17" s="18" t="n">
        <v>45736.51</v>
      </c>
      <c r="F17" s="37" t="n">
        <v>45736.51</v>
      </c>
      <c r="G17" s="18" t="n">
        <v>36518.62</v>
      </c>
      <c r="H17" s="18" t="n">
        <v>41976.53</v>
      </c>
      <c r="I17" s="18" t="n">
        <v>44967.46</v>
      </c>
      <c r="J17" s="18" t="n">
        <v>43060.01</v>
      </c>
      <c r="K17" s="37" t="n">
        <v>43060.01</v>
      </c>
      <c r="L17" s="18" t="n">
        <v>41642.8</v>
      </c>
      <c r="M17" s="18" t="n">
        <v>37150.1</v>
      </c>
      <c r="N17" s="18" t="n">
        <v>43261.13</v>
      </c>
      <c r="O17" s="18" t="n">
        <v>35646.45</v>
      </c>
      <c r="P17" s="37" t="n">
        <v>35646.45</v>
      </c>
      <c r="Q17" s="18" t="n">
        <v>39472.64</v>
      </c>
      <c r="R17" s="18" t="n">
        <v>36893.36</v>
      </c>
      <c r="S17" s="18" t="n">
        <v>35921.5</v>
      </c>
      <c r="T17" s="18" t="n">
        <v>34883.63</v>
      </c>
      <c r="U17" s="37" t="n">
        <v>34883.63</v>
      </c>
      <c r="V17" s="18" t="n">
        <v>37563.09</v>
      </c>
      <c r="W17" s="18" t="n">
        <v>33595.73</v>
      </c>
      <c r="X17" s="18" t="n">
        <v>32223.09</v>
      </c>
      <c r="Y17" s="18" t="n">
        <v>29708.7</v>
      </c>
      <c r="Z17" s="37" t="n">
        <v>29708.7</v>
      </c>
      <c r="AA17" s="18" t="n">
        <v>34052.26</v>
      </c>
      <c r="AB17" s="19" t="n">
        <v>27962.66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매입채무및기타채무</t>
        </is>
      </c>
      <c r="E18" s="18" t="n">
        <v>20120.29</v>
      </c>
      <c r="F18" s="37" t="n">
        <v>20120.29</v>
      </c>
      <c r="G18" s="18" t="n">
        <v>25493.69</v>
      </c>
      <c r="H18" s="18" t="n">
        <v>28607.16</v>
      </c>
      <c r="I18" s="18" t="n">
        <v>27608.99</v>
      </c>
      <c r="J18" s="18" t="n">
        <v>24812.05</v>
      </c>
      <c r="K18" s="37" t="n">
        <v>24812.05</v>
      </c>
      <c r="L18" s="18" t="n">
        <v>25462.32</v>
      </c>
      <c r="M18" s="18" t="n">
        <v>22573.63</v>
      </c>
      <c r="N18" s="18" t="n">
        <v>27679.65</v>
      </c>
      <c r="O18" s="18" t="n">
        <v>22227.9</v>
      </c>
      <c r="P18" s="37" t="n">
        <v>22227.9</v>
      </c>
      <c r="Q18" s="18" t="n">
        <v>25324.45</v>
      </c>
      <c r="R18" s="18" t="n">
        <v>23052.22</v>
      </c>
      <c r="S18" s="18" t="n">
        <v>23402.71</v>
      </c>
      <c r="T18" s="18" t="n">
        <v>23262.14</v>
      </c>
      <c r="U18" s="37" t="n">
        <v>23262.14</v>
      </c>
      <c r="V18" s="18" t="n">
        <v>27728.03</v>
      </c>
      <c r="W18" s="18" t="n">
        <v>25627.86</v>
      </c>
      <c r="X18" s="18" t="n">
        <v>21030.09</v>
      </c>
      <c r="Y18" s="18" t="n">
        <v>21222.25</v>
      </c>
      <c r="Z18" s="37" t="n">
        <v>21222.25</v>
      </c>
      <c r="AA18" s="18" t="n">
        <v>25823.69</v>
      </c>
      <c r="AB18" s="19" t="n">
        <v>18886.18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유동리스부채</t>
        </is>
      </c>
      <c r="E19" s="18" t="n">
        <v>102.08</v>
      </c>
      <c r="F19" s="37" t="n">
        <v>102.08</v>
      </c>
      <c r="G19" s="18" t="n">
        <v>31.81</v>
      </c>
      <c r="H19" s="18" t="n">
        <v>145.61</v>
      </c>
      <c r="I19" s="18" t="n">
        <v>222.58</v>
      </c>
      <c r="J19" s="18" t="n">
        <v>170.57</v>
      </c>
      <c r="K19" s="37" t="n">
        <v>170.57</v>
      </c>
      <c r="L19" s="18" t="n">
        <v>98.44</v>
      </c>
      <c r="M19" s="18" t="n">
        <v>25.35</v>
      </c>
      <c r="N19" s="18" t="n">
        <v>190.28</v>
      </c>
      <c r="O19" s="18" t="n">
        <v>170.33</v>
      </c>
      <c r="P19" s="37" t="n">
        <v>170.33</v>
      </c>
      <c r="Q19" s="18" t="n">
        <v>98.37</v>
      </c>
      <c r="R19" s="18" t="n">
        <v>25.35</v>
      </c>
      <c r="S19" s="18" t="n">
        <v>191.41</v>
      </c>
      <c r="T19" s="18" t="n">
        <v>168.64</v>
      </c>
      <c r="U19" s="37" t="n">
        <v>168.64</v>
      </c>
      <c r="V19" s="18" t="n">
        <v>95.56999999999999</v>
      </c>
      <c r="W19" s="18" t="n">
        <v>21.67</v>
      </c>
      <c r="X19" s="18" t="n">
        <v>0</v>
      </c>
      <c r="Y19" s="18" t="n">
        <v>0</v>
      </c>
      <c r="Z19" s="37" t="n">
        <v>0</v>
      </c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리스부채</t>
        </is>
      </c>
      <c r="E20" s="18" t="n">
        <v>102.08</v>
      </c>
      <c r="F20" s="37" t="n">
        <v>102.08</v>
      </c>
      <c r="G20" s="18" t="n">
        <v>31.81</v>
      </c>
      <c r="H20" s="18" t="n">
        <v>145.61</v>
      </c>
      <c r="I20" s="18" t="n">
        <v>222.58</v>
      </c>
      <c r="J20" s="18" t="n">
        <v>170.57</v>
      </c>
      <c r="K20" s="37" t="n">
        <v>170.57</v>
      </c>
      <c r="L20" s="18" t="n">
        <v>98.44</v>
      </c>
      <c r="M20" s="18" t="n">
        <v>25.35</v>
      </c>
      <c r="N20" s="18" t="n">
        <v>190.28</v>
      </c>
      <c r="O20" s="18" t="n">
        <v>170.33</v>
      </c>
      <c r="P20" s="37" t="n">
        <v>170.33</v>
      </c>
      <c r="Q20" s="18" t="n">
        <v>98.37</v>
      </c>
      <c r="R20" s="18" t="n">
        <v>25.35</v>
      </c>
      <c r="S20" s="18" t="n">
        <v>191.41</v>
      </c>
      <c r="T20" s="18" t="n">
        <v>168.64</v>
      </c>
      <c r="U20" s="37" t="n">
        <v>168.64</v>
      </c>
      <c r="V20" s="18" t="n">
        <v>95.56999999999999</v>
      </c>
      <c r="W20" s="18" t="n">
        <v>21.67</v>
      </c>
      <c r="X20" s="18" t="n">
        <v>0</v>
      </c>
      <c r="Y20" s="18" t="n">
        <v>0</v>
      </c>
      <c r="Z20" s="37" t="n">
        <v>0</v>
      </c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단기금융부채</t>
        </is>
      </c>
      <c r="E21" s="18" t="n">
        <v>102.08</v>
      </c>
      <c r="F21" s="37" t="n">
        <v>102.08</v>
      </c>
      <c r="G21" s="18" t="n">
        <v>31.81</v>
      </c>
      <c r="H21" s="18" t="n">
        <v>145.61</v>
      </c>
      <c r="I21" s="18" t="n">
        <v>222.58</v>
      </c>
      <c r="J21" s="18" t="n">
        <v>170.57</v>
      </c>
      <c r="K21" s="37" t="n">
        <v>170.57</v>
      </c>
      <c r="L21" s="18" t="n">
        <v>98.44</v>
      </c>
      <c r="M21" s="18" t="n">
        <v>25.35</v>
      </c>
      <c r="N21" s="18" t="n">
        <v>190.28</v>
      </c>
      <c r="O21" s="18" t="n">
        <v>170.33</v>
      </c>
      <c r="P21" s="37" t="n">
        <v>170.33</v>
      </c>
      <c r="Q21" s="18" t="n">
        <v>98.37</v>
      </c>
      <c r="R21" s="18" t="n">
        <v>25.35</v>
      </c>
      <c r="S21" s="18" t="n">
        <v>191.41</v>
      </c>
      <c r="T21" s="18" t="n">
        <v>168.64</v>
      </c>
      <c r="U21" s="37" t="n">
        <v>168.64</v>
      </c>
      <c r="V21" s="18" t="n">
        <v>95.56999999999999</v>
      </c>
      <c r="W21" s="18" t="n">
        <v>21.67</v>
      </c>
      <c r="X21" s="18" t="n">
        <v>0</v>
      </c>
      <c r="Y21" s="18" t="n">
        <v>0</v>
      </c>
      <c r="Z21" s="37" t="n">
        <v>0</v>
      </c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유동성장기부채</t>
        </is>
      </c>
      <c r="E22" s="18" t="n">
        <v>20000</v>
      </c>
      <c r="F22" s="37" t="n">
        <v>20000</v>
      </c>
      <c r="G22" s="18" t="n">
        <v>0</v>
      </c>
      <c r="H22" s="18" t="n">
        <v>0</v>
      </c>
      <c r="I22" s="18" t="n">
        <v>0</v>
      </c>
      <c r="J22" s="18" t="n">
        <v>0</v>
      </c>
      <c r="K22" s="37" t="n">
        <v>0</v>
      </c>
      <c r="O22" s="18" t="n">
        <v>0</v>
      </c>
      <c r="P22" s="37" t="n">
        <v>0</v>
      </c>
      <c r="U22" s="9" t="n"/>
      <c r="Z22" s="9" t="n"/>
      <c r="AB22" s="5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기타유동부채</t>
        </is>
      </c>
      <c r="E23" s="18" t="n">
        <v>5514.14</v>
      </c>
      <c r="F23" s="37" t="n">
        <v>5514.14</v>
      </c>
      <c r="G23" s="18" t="n">
        <v>8624.9</v>
      </c>
      <c r="H23" s="18" t="n">
        <v>7079.63</v>
      </c>
      <c r="I23" s="18" t="n">
        <v>7302.29</v>
      </c>
      <c r="J23" s="18" t="n">
        <v>3316.21</v>
      </c>
      <c r="K23" s="37" t="n">
        <v>3316.21</v>
      </c>
      <c r="L23" s="18" t="n">
        <v>2194.07</v>
      </c>
      <c r="M23" s="18" t="n">
        <v>2718.57</v>
      </c>
      <c r="N23" s="18" t="n">
        <v>3843.2</v>
      </c>
      <c r="O23" s="18" t="n">
        <v>3316.26</v>
      </c>
      <c r="P23" s="37" t="n">
        <v>3316.26</v>
      </c>
      <c r="Q23" s="18" t="n">
        <v>1482.59</v>
      </c>
      <c r="R23" s="18" t="n">
        <v>3331.14</v>
      </c>
      <c r="S23" s="18" t="n">
        <v>3177.78</v>
      </c>
      <c r="T23" s="18" t="n">
        <v>2703.63</v>
      </c>
      <c r="U23" s="37" t="n">
        <v>2703.63</v>
      </c>
      <c r="V23" s="18" t="n">
        <v>999.04</v>
      </c>
      <c r="W23" s="18" t="n">
        <v>1423.37</v>
      </c>
      <c r="X23" s="18" t="n">
        <v>1906.14</v>
      </c>
      <c r="Y23" s="18" t="n">
        <v>2231.51</v>
      </c>
      <c r="Z23" s="37" t="n">
        <v>2231.51</v>
      </c>
      <c r="AA23" s="18" t="n">
        <v>765.52</v>
      </c>
      <c r="AB23" s="19" t="n">
        <v>1009.22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당기법인세부채(미지급법인세)</t>
        </is>
      </c>
      <c r="E24" s="18" t="n">
        <v>0</v>
      </c>
      <c r="F24" s="37" t="n">
        <v>0</v>
      </c>
      <c r="G24" s="18" t="n">
        <v>2368.22</v>
      </c>
      <c r="H24" s="18" t="n">
        <v>6144.12</v>
      </c>
      <c r="I24" s="18" t="n">
        <v>9833.6</v>
      </c>
      <c r="J24" s="18" t="n">
        <v>8864.360000000001</v>
      </c>
      <c r="K24" s="37" t="n">
        <v>8864.360000000001</v>
      </c>
      <c r="L24" s="18" t="n">
        <v>8282.15</v>
      </c>
      <c r="M24" s="18" t="n">
        <v>5960.45</v>
      </c>
      <c r="N24" s="18" t="n">
        <v>7335.85</v>
      </c>
      <c r="O24" s="18" t="n">
        <v>5719.81</v>
      </c>
      <c r="P24" s="37" t="n">
        <v>5719.81</v>
      </c>
      <c r="Q24" s="18" t="n">
        <v>8606.51</v>
      </c>
      <c r="R24" s="18" t="n">
        <v>7860.5</v>
      </c>
      <c r="S24" s="18" t="n">
        <v>7149.59</v>
      </c>
      <c r="T24" s="18" t="n">
        <v>6749.21</v>
      </c>
      <c r="U24" s="37" t="n">
        <v>6749.21</v>
      </c>
      <c r="V24" s="18" t="n">
        <v>6740.46</v>
      </c>
      <c r="W24" s="18" t="n">
        <v>4522.84</v>
      </c>
      <c r="X24" s="18" t="n">
        <v>7286.86</v>
      </c>
      <c r="Y24" s="18" t="n">
        <v>4254.94</v>
      </c>
      <c r="Z24" s="37" t="n">
        <v>4254.94</v>
      </c>
      <c r="AA24" s="18" t="n">
        <v>5463.05</v>
      </c>
      <c r="AB24" s="19" t="n">
        <v>6067.25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비유동부채</t>
        </is>
      </c>
      <c r="E25" s="18" t="n">
        <v>13598.01</v>
      </c>
      <c r="F25" s="37" t="n">
        <v>13598.01</v>
      </c>
      <c r="G25" s="18" t="n">
        <v>17064</v>
      </c>
      <c r="H25" s="18" t="n">
        <v>16246.37</v>
      </c>
      <c r="I25" s="18" t="n">
        <v>16294.33</v>
      </c>
      <c r="J25" s="18" t="n">
        <v>12311.33</v>
      </c>
      <c r="K25" s="37" t="n">
        <v>12311.33</v>
      </c>
      <c r="L25" s="18" t="n">
        <v>12661.17</v>
      </c>
      <c r="M25" s="18" t="n">
        <v>11659.8</v>
      </c>
      <c r="N25" s="18" t="n">
        <v>12206.5</v>
      </c>
      <c r="O25" s="18" t="n">
        <v>10010.49</v>
      </c>
      <c r="P25" s="37" t="n">
        <v>10010.49</v>
      </c>
      <c r="Q25" s="18" t="n">
        <v>9366.059999999999</v>
      </c>
      <c r="R25" s="18" t="n">
        <v>9366.85</v>
      </c>
      <c r="S25" s="18" t="n">
        <v>9388.4</v>
      </c>
      <c r="T25" s="18" t="n">
        <v>9464.879999999999</v>
      </c>
      <c r="U25" s="37" t="n">
        <v>9464.879999999999</v>
      </c>
      <c r="V25" s="18" t="n">
        <v>8024.65</v>
      </c>
      <c r="W25" s="18" t="n">
        <v>7644.88</v>
      </c>
      <c r="X25" s="18" t="n">
        <v>8719.190000000001</v>
      </c>
      <c r="Y25" s="18" t="n">
        <v>11062.12</v>
      </c>
      <c r="Z25" s="37" t="n">
        <v>11062.12</v>
      </c>
      <c r="AA25" s="18" t="n">
        <v>10681.06</v>
      </c>
      <c r="AB25" s="19" t="n">
        <v>10257.09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장기차입금</t>
        </is>
      </c>
      <c r="E26" s="18" t="n">
        <v>0</v>
      </c>
      <c r="F26" s="37" t="n">
        <v>0</v>
      </c>
      <c r="J26" s="18" t="n">
        <v>0</v>
      </c>
      <c r="K26" s="37" t="n">
        <v>0</v>
      </c>
      <c r="P26" s="9" t="n"/>
      <c r="U26" s="9" t="n"/>
      <c r="Z26" s="9" t="n"/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확정급여부채</t>
        </is>
      </c>
      <c r="E27" s="18" t="n">
        <v>9020.85</v>
      </c>
      <c r="F27" s="37" t="n">
        <v>9020.85</v>
      </c>
      <c r="G27" s="18" t="n">
        <v>9534.110000000001</v>
      </c>
      <c r="H27" s="18" t="n">
        <v>9765.280000000001</v>
      </c>
      <c r="I27" s="18" t="n">
        <v>10202.75</v>
      </c>
      <c r="J27" s="18" t="n">
        <v>5019.46</v>
      </c>
      <c r="K27" s="37" t="n">
        <v>5019.46</v>
      </c>
      <c r="L27" s="18" t="n">
        <v>5276.56</v>
      </c>
      <c r="M27" s="18" t="n">
        <v>3688.73</v>
      </c>
      <c r="N27" s="18" t="n">
        <v>4242.18</v>
      </c>
      <c r="O27" s="18" t="n">
        <v>0</v>
      </c>
      <c r="P27" s="37" t="n">
        <v>0</v>
      </c>
      <c r="Q27" s="18" t="n">
        <v>603.9</v>
      </c>
      <c r="R27" s="18" t="n">
        <v>650.01</v>
      </c>
      <c r="S27" s="18" t="n">
        <v>672.78</v>
      </c>
      <c r="T27" s="18" t="n">
        <v>2722.42</v>
      </c>
      <c r="U27" s="37" t="n">
        <v>2722.42</v>
      </c>
      <c r="V27" s="18" t="n">
        <v>2279.43</v>
      </c>
      <c r="W27" s="18" t="n">
        <v>181.64</v>
      </c>
      <c r="X27" s="18" t="n">
        <v>512.05</v>
      </c>
      <c r="Y27" s="18" t="n">
        <v>0</v>
      </c>
      <c r="Z27" s="37" t="n">
        <v>0</v>
      </c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기타비유동금융부채</t>
        </is>
      </c>
      <c r="E28" s="18" t="n">
        <v>240</v>
      </c>
      <c r="F28" s="37" t="n">
        <v>240</v>
      </c>
      <c r="G28" s="18" t="n">
        <v>230</v>
      </c>
      <c r="H28" s="18" t="n">
        <v>230</v>
      </c>
      <c r="I28" s="18" t="n">
        <v>230</v>
      </c>
      <c r="J28" s="18" t="n">
        <v>230</v>
      </c>
      <c r="K28" s="37" t="n">
        <v>230</v>
      </c>
      <c r="L28" s="18" t="n">
        <v>230</v>
      </c>
      <c r="M28" s="18" t="n">
        <v>230</v>
      </c>
      <c r="N28" s="18" t="n">
        <v>230</v>
      </c>
      <c r="O28" s="18" t="n">
        <v>230</v>
      </c>
      <c r="P28" s="37" t="n">
        <v>230</v>
      </c>
      <c r="Q28" s="18" t="n">
        <v>230</v>
      </c>
      <c r="R28" s="18" t="n">
        <v>230</v>
      </c>
      <c r="S28" s="18" t="n">
        <v>230</v>
      </c>
      <c r="T28" s="18" t="n">
        <v>230</v>
      </c>
      <c r="U28" s="37" t="n">
        <v>230</v>
      </c>
      <c r="V28" s="18" t="n">
        <v>230</v>
      </c>
      <c r="W28" s="18" t="n">
        <v>230</v>
      </c>
      <c r="X28" s="18" t="n">
        <v>839.8</v>
      </c>
      <c r="Y28" s="18" t="n">
        <v>839.8</v>
      </c>
      <c r="Z28" s="37" t="n">
        <v>839.8</v>
      </c>
      <c r="AA28" s="18" t="n">
        <v>839.8</v>
      </c>
      <c r="AB28" s="19" t="n">
        <v>839.8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장기금융부채</t>
        </is>
      </c>
      <c r="E29" s="18" t="n">
        <v>240</v>
      </c>
      <c r="F29" s="37" t="n">
        <v>240</v>
      </c>
      <c r="G29" s="18" t="n">
        <v>230</v>
      </c>
      <c r="H29" s="18" t="n">
        <v>230</v>
      </c>
      <c r="I29" s="18" t="n">
        <v>230</v>
      </c>
      <c r="J29" s="18" t="n">
        <v>230</v>
      </c>
      <c r="K29" s="37" t="n">
        <v>230</v>
      </c>
      <c r="L29" s="18" t="n">
        <v>230</v>
      </c>
      <c r="M29" s="18" t="n">
        <v>230</v>
      </c>
      <c r="N29" s="18" t="n">
        <v>230</v>
      </c>
      <c r="O29" s="18" t="n">
        <v>230</v>
      </c>
      <c r="P29" s="37" t="n">
        <v>230</v>
      </c>
      <c r="Q29" s="18" t="n">
        <v>230</v>
      </c>
      <c r="R29" s="18" t="n">
        <v>230</v>
      </c>
      <c r="S29" s="18" t="n">
        <v>230</v>
      </c>
      <c r="T29" s="18" t="n">
        <v>230</v>
      </c>
      <c r="U29" s="37" t="n">
        <v>230</v>
      </c>
      <c r="V29" s="18" t="n">
        <v>230</v>
      </c>
      <c r="W29" s="18" t="n">
        <v>230</v>
      </c>
      <c r="X29" s="18" t="n">
        <v>839.8</v>
      </c>
      <c r="Y29" s="18" t="n">
        <v>839.8</v>
      </c>
      <c r="Z29" s="37" t="n">
        <v>839.8</v>
      </c>
      <c r="AA29" s="18" t="n">
        <v>839.8</v>
      </c>
      <c r="AB29" s="19" t="n">
        <v>839.8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이연법인세부채</t>
        </is>
      </c>
      <c r="E30" s="18" t="n">
        <v>3184.3</v>
      </c>
      <c r="F30" s="37" t="n">
        <v>3184.3</v>
      </c>
      <c r="G30" s="18" t="n">
        <v>6141.07</v>
      </c>
      <c r="H30" s="18" t="n">
        <v>5102.94</v>
      </c>
      <c r="I30" s="18" t="n">
        <v>4717.87</v>
      </c>
      <c r="J30" s="18" t="n">
        <v>6097.22</v>
      </c>
      <c r="K30" s="37" t="n">
        <v>6097.22</v>
      </c>
      <c r="L30" s="18" t="n">
        <v>6192.98</v>
      </c>
      <c r="M30" s="18" t="n">
        <v>6766.32</v>
      </c>
      <c r="N30" s="18" t="n">
        <v>6749.93</v>
      </c>
      <c r="O30" s="18" t="n">
        <v>8585.450000000001</v>
      </c>
      <c r="P30" s="37" t="n">
        <v>8585.450000000001</v>
      </c>
      <c r="Q30" s="18" t="n">
        <v>7311.74</v>
      </c>
      <c r="R30" s="18" t="n">
        <v>7242.92</v>
      </c>
      <c r="S30" s="18" t="n">
        <v>7207.78</v>
      </c>
      <c r="T30" s="18" t="n">
        <v>6512.46</v>
      </c>
      <c r="U30" s="37" t="n">
        <v>6512.46</v>
      </c>
      <c r="V30" s="18" t="n">
        <v>5515.22</v>
      </c>
      <c r="W30" s="18" t="n">
        <v>5055.71</v>
      </c>
      <c r="X30" s="18" t="n">
        <v>5178.1</v>
      </c>
      <c r="Y30" s="18" t="n">
        <v>6807.59</v>
      </c>
      <c r="Z30" s="37" t="n">
        <v>6807.59</v>
      </c>
      <c r="AA30" s="18" t="n">
        <v>6324.07</v>
      </c>
      <c r="AB30" s="19" t="n">
        <v>5832.1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부채총계</t>
        </is>
      </c>
      <c r="E31" s="18" t="n">
        <v>59334.52</v>
      </c>
      <c r="F31" s="37" t="n">
        <v>59334.52</v>
      </c>
      <c r="G31" s="18" t="n">
        <v>53582.62</v>
      </c>
      <c r="H31" s="18" t="n">
        <v>58222.9</v>
      </c>
      <c r="I31" s="18" t="n">
        <v>61261.78</v>
      </c>
      <c r="J31" s="18" t="n">
        <v>55371.34</v>
      </c>
      <c r="K31" s="37" t="n">
        <v>55371.34</v>
      </c>
      <c r="L31" s="18" t="n">
        <v>54303.97</v>
      </c>
      <c r="M31" s="18" t="n">
        <v>48809.9</v>
      </c>
      <c r="N31" s="18" t="n">
        <v>55467.63</v>
      </c>
      <c r="O31" s="18" t="n">
        <v>45656.94</v>
      </c>
      <c r="P31" s="37" t="n">
        <v>45656.94</v>
      </c>
      <c r="Q31" s="18" t="n">
        <v>48838.7</v>
      </c>
      <c r="R31" s="18" t="n">
        <v>46260.21</v>
      </c>
      <c r="S31" s="18" t="n">
        <v>45309.89</v>
      </c>
      <c r="T31" s="18" t="n">
        <v>44348.51</v>
      </c>
      <c r="U31" s="37" t="n">
        <v>44348.51</v>
      </c>
      <c r="V31" s="18" t="n">
        <v>45587.74</v>
      </c>
      <c r="W31" s="18" t="n">
        <v>41240.61</v>
      </c>
      <c r="X31" s="18" t="n">
        <v>40942.28</v>
      </c>
      <c r="Y31" s="18" t="n">
        <v>40770.82</v>
      </c>
      <c r="Z31" s="37" t="n">
        <v>40770.82</v>
      </c>
      <c r="AA31" s="18" t="n">
        <v>44733.33</v>
      </c>
      <c r="AB31" s="19" t="n">
        <v>38219.75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지배주주지분</t>
        </is>
      </c>
      <c r="E32" s="18" t="n">
        <v>434477.05</v>
      </c>
      <c r="F32" s="37" t="n">
        <v>434477.05</v>
      </c>
      <c r="G32" s="18" t="n">
        <v>451403.16</v>
      </c>
      <c r="H32" s="18" t="n">
        <v>461176.72</v>
      </c>
      <c r="I32" s="18" t="n">
        <v>472020.88</v>
      </c>
      <c r="J32" s="18" t="n">
        <v>471742.72</v>
      </c>
      <c r="K32" s="37" t="n">
        <v>471742.72</v>
      </c>
      <c r="L32" s="18" t="n">
        <v>481844.15</v>
      </c>
      <c r="M32" s="18" t="n">
        <v>493240.16</v>
      </c>
      <c r="N32" s="18" t="n">
        <v>502694.77</v>
      </c>
      <c r="O32" s="18" t="n">
        <v>505416.04</v>
      </c>
      <c r="P32" s="37" t="n">
        <v>505416.04</v>
      </c>
      <c r="Q32" s="18" t="n">
        <v>512522.39</v>
      </c>
      <c r="R32" s="18" t="n">
        <v>530558.8199999999</v>
      </c>
      <c r="S32" s="18" t="n">
        <v>516988.96</v>
      </c>
      <c r="T32" s="18" t="n">
        <v>518749.68</v>
      </c>
      <c r="U32" s="37" t="n">
        <v>518749.68</v>
      </c>
      <c r="V32" s="18" t="n">
        <v>522612.5</v>
      </c>
      <c r="W32" s="18" t="n">
        <v>529069.4300000001</v>
      </c>
      <c r="X32" s="18" t="n">
        <v>539834.03</v>
      </c>
      <c r="Y32" s="18" t="n">
        <v>549501</v>
      </c>
      <c r="Z32" s="37" t="n">
        <v>549501</v>
      </c>
      <c r="AA32" s="18" t="n">
        <v>552533.05</v>
      </c>
      <c r="AB32" s="19" t="n">
        <v>562034.5699999999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자본금</t>
        </is>
      </c>
      <c r="E33" s="18" t="n">
        <v>14300</v>
      </c>
      <c r="F33" s="37" t="n">
        <v>14300</v>
      </c>
      <c r="G33" s="18" t="n">
        <v>14300</v>
      </c>
      <c r="H33" s="18" t="n">
        <v>14300</v>
      </c>
      <c r="I33" s="18" t="n">
        <v>14300</v>
      </c>
      <c r="J33" s="18" t="n">
        <v>14300</v>
      </c>
      <c r="K33" s="37" t="n">
        <v>14300</v>
      </c>
      <c r="L33" s="18" t="n">
        <v>14300</v>
      </c>
      <c r="M33" s="18" t="n">
        <v>14300</v>
      </c>
      <c r="N33" s="18" t="n">
        <v>14300</v>
      </c>
      <c r="O33" s="18" t="n">
        <v>14300</v>
      </c>
      <c r="P33" s="37" t="n">
        <v>14300</v>
      </c>
      <c r="Q33" s="18" t="n">
        <v>14300</v>
      </c>
      <c r="R33" s="18" t="n">
        <v>14300</v>
      </c>
      <c r="S33" s="18" t="n">
        <v>14300</v>
      </c>
      <c r="T33" s="18" t="n">
        <v>14300</v>
      </c>
      <c r="U33" s="37" t="n">
        <v>14300</v>
      </c>
      <c r="V33" s="18" t="n">
        <v>14300</v>
      </c>
      <c r="W33" s="18" t="n">
        <v>14300</v>
      </c>
      <c r="X33" s="18" t="n">
        <v>14300</v>
      </c>
      <c r="Y33" s="18" t="n">
        <v>14300</v>
      </c>
      <c r="Z33" s="37" t="n">
        <v>14300</v>
      </c>
      <c r="AA33" s="18" t="n">
        <v>14300</v>
      </c>
      <c r="AB33" s="19" t="n">
        <v>14300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자본잉여금</t>
        </is>
      </c>
      <c r="E34" s="18" t="n">
        <v>4008.59</v>
      </c>
      <c r="F34" s="37" t="n">
        <v>4008.59</v>
      </c>
      <c r="G34" s="18" t="n">
        <v>4008.59</v>
      </c>
      <c r="H34" s="18" t="n">
        <v>4008.59</v>
      </c>
      <c r="I34" s="18" t="n">
        <v>4008.59</v>
      </c>
      <c r="J34" s="18" t="n">
        <v>4031.02</v>
      </c>
      <c r="K34" s="37" t="n">
        <v>4031.02</v>
      </c>
      <c r="L34" s="18" t="n">
        <v>4033.27</v>
      </c>
      <c r="M34" s="18" t="n">
        <v>4033.27</v>
      </c>
      <c r="N34" s="18" t="n">
        <v>4033.27</v>
      </c>
      <c r="O34" s="18" t="n">
        <v>3959.25</v>
      </c>
      <c r="P34" s="37" t="n">
        <v>3959.25</v>
      </c>
      <c r="Q34" s="18" t="n">
        <v>3959.25</v>
      </c>
      <c r="R34" s="18" t="n">
        <v>3959.25</v>
      </c>
      <c r="S34" s="18" t="n">
        <v>3959.25</v>
      </c>
      <c r="T34" s="18" t="n">
        <v>3959.25</v>
      </c>
      <c r="U34" s="37" t="n">
        <v>3959.25</v>
      </c>
      <c r="V34" s="18" t="n">
        <v>3959.25</v>
      </c>
      <c r="W34" s="18" t="n">
        <v>3959.25</v>
      </c>
      <c r="X34" s="18" t="n">
        <v>3959.25</v>
      </c>
      <c r="Y34" s="18" t="n">
        <v>3959.25</v>
      </c>
      <c r="Z34" s="37" t="n">
        <v>3959.25</v>
      </c>
      <c r="AA34" s="18" t="n">
        <v>3959.25</v>
      </c>
      <c r="AB34" s="19" t="n">
        <v>3959.25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기타자본</t>
        </is>
      </c>
      <c r="E35" s="18" t="n">
        <v>-9956.17</v>
      </c>
      <c r="F35" s="37" t="n">
        <v>-9956.17</v>
      </c>
      <c r="G35" s="18" t="n">
        <v>-9956.17</v>
      </c>
      <c r="H35" s="18" t="n">
        <v>-9956.17</v>
      </c>
      <c r="I35" s="18" t="n">
        <v>-9956.17</v>
      </c>
      <c r="J35" s="18" t="n">
        <v>-9956.17</v>
      </c>
      <c r="K35" s="37" t="n">
        <v>-9956.17</v>
      </c>
      <c r="L35" s="18" t="n">
        <v>-9956.17</v>
      </c>
      <c r="M35" s="18" t="n">
        <v>-9956.17</v>
      </c>
      <c r="N35" s="18" t="n">
        <v>-9956.17</v>
      </c>
      <c r="O35" s="18" t="n">
        <v>-9956.17</v>
      </c>
      <c r="P35" s="37" t="n">
        <v>-9956.17</v>
      </c>
      <c r="Q35" s="18" t="n">
        <v>-9956.17</v>
      </c>
      <c r="R35" s="18" t="n">
        <v>-9956.17</v>
      </c>
      <c r="S35" s="18" t="n">
        <v>-27642.78</v>
      </c>
      <c r="T35" s="18" t="n">
        <v>-20080.99</v>
      </c>
      <c r="U35" s="37" t="n">
        <v>-20080.99</v>
      </c>
      <c r="V35" s="18" t="n">
        <v>-20080.99</v>
      </c>
      <c r="W35" s="18" t="n">
        <v>0</v>
      </c>
      <c r="X35" s="18" t="n">
        <v>0</v>
      </c>
      <c r="Y35" s="18" t="n">
        <v>0</v>
      </c>
      <c r="Z35" s="37" t="n">
        <v>0</v>
      </c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이익잉여금</t>
        </is>
      </c>
      <c r="E36" s="18" t="n">
        <v>429735.3</v>
      </c>
      <c r="F36" s="37" t="n">
        <v>429735.3</v>
      </c>
      <c r="G36" s="18" t="n">
        <v>446661.41</v>
      </c>
      <c r="H36" s="18" t="n">
        <v>456434.97</v>
      </c>
      <c r="I36" s="18" t="n">
        <v>467279.14</v>
      </c>
      <c r="J36" s="18" t="n">
        <v>466978.54</v>
      </c>
      <c r="K36" s="37" t="n">
        <v>466978.54</v>
      </c>
      <c r="L36" s="18" t="n">
        <v>477077.73</v>
      </c>
      <c r="M36" s="18" t="n">
        <v>488473.74</v>
      </c>
      <c r="N36" s="18" t="n">
        <v>497928.35</v>
      </c>
      <c r="O36" s="18" t="n">
        <v>500723.64</v>
      </c>
      <c r="P36" s="37" t="n">
        <v>500723.64</v>
      </c>
      <c r="Q36" s="18" t="n">
        <v>507829.99</v>
      </c>
      <c r="R36" s="18" t="n">
        <v>525866.42</v>
      </c>
      <c r="S36" s="18" t="n">
        <v>529983.17</v>
      </c>
      <c r="T36" s="18" t="n">
        <v>525432.84</v>
      </c>
      <c r="U36" s="37" t="n">
        <v>525432.84</v>
      </c>
      <c r="V36" s="18" t="n">
        <v>529295.67</v>
      </c>
      <c r="W36" s="18" t="n">
        <v>515671.61</v>
      </c>
      <c r="X36" s="18" t="n">
        <v>526436.2</v>
      </c>
      <c r="Y36" s="18" t="n">
        <v>537126.42</v>
      </c>
      <c r="Z36" s="37" t="n">
        <v>537126.42</v>
      </c>
      <c r="AA36" s="18" t="n">
        <v>540158.46</v>
      </c>
      <c r="AB36" s="19" t="n">
        <v>549659.99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비지배주주지분</t>
        </is>
      </c>
      <c r="E37" s="18" t="n">
        <v>0</v>
      </c>
      <c r="F37" s="37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37" t="n">
        <v>0</v>
      </c>
      <c r="L37" s="18" t="n">
        <v>0</v>
      </c>
      <c r="M37" s="18" t="n">
        <v>0</v>
      </c>
      <c r="N37" s="18" t="n">
        <v>0</v>
      </c>
      <c r="O37" s="18" t="n">
        <v>0</v>
      </c>
      <c r="P37" s="37" t="n">
        <v>0</v>
      </c>
      <c r="Q37" s="18" t="n">
        <v>0</v>
      </c>
      <c r="R37" s="18" t="n">
        <v>0</v>
      </c>
      <c r="S37" s="18" t="n">
        <v>0</v>
      </c>
      <c r="U37" s="9" t="n"/>
      <c r="V37" s="18" t="n">
        <v>0</v>
      </c>
      <c r="W37" s="18" t="n">
        <v>0</v>
      </c>
      <c r="X37" s="18" t="n">
        <v>0</v>
      </c>
      <c r="Y37" s="18" t="n">
        <v>0</v>
      </c>
      <c r="Z37" s="37" t="n">
        <v>0</v>
      </c>
      <c r="AA37" s="18" t="n">
        <v>0</v>
      </c>
      <c r="AB37" s="19" t="n">
        <v>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자본총계</t>
        </is>
      </c>
      <c r="E38" s="18" t="n">
        <v>434477.05</v>
      </c>
      <c r="F38" s="37" t="n">
        <v>434477.05</v>
      </c>
      <c r="G38" s="18" t="n">
        <v>451403.16</v>
      </c>
      <c r="H38" s="18" t="n">
        <v>461176.72</v>
      </c>
      <c r="I38" s="18" t="n">
        <v>472020.88</v>
      </c>
      <c r="J38" s="18" t="n">
        <v>471742.72</v>
      </c>
      <c r="K38" s="37" t="n">
        <v>471742.72</v>
      </c>
      <c r="L38" s="18" t="n">
        <v>481844.15</v>
      </c>
      <c r="M38" s="18" t="n">
        <v>493240.16</v>
      </c>
      <c r="N38" s="18" t="n">
        <v>502694.77</v>
      </c>
      <c r="O38" s="18" t="n">
        <v>505416.04</v>
      </c>
      <c r="P38" s="37" t="n">
        <v>505416.04</v>
      </c>
      <c r="Q38" s="18" t="n">
        <v>512522.39</v>
      </c>
      <c r="R38" s="18" t="n">
        <v>530558.8199999999</v>
      </c>
      <c r="S38" s="18" t="n">
        <v>516988.96</v>
      </c>
      <c r="T38" s="18" t="n">
        <v>518749.68</v>
      </c>
      <c r="U38" s="37" t="n">
        <v>518749.68</v>
      </c>
      <c r="V38" s="18" t="n">
        <v>522612.5</v>
      </c>
      <c r="W38" s="18" t="n">
        <v>529069.4300000001</v>
      </c>
      <c r="X38" s="18" t="n">
        <v>539834.03</v>
      </c>
      <c r="Y38" s="18" t="n">
        <v>549501</v>
      </c>
      <c r="Z38" s="37" t="n">
        <v>549501</v>
      </c>
      <c r="AA38" s="18" t="n">
        <v>552533.05</v>
      </c>
      <c r="AB38" s="19" t="n">
        <v>562034.5699999999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부채와자본총계</t>
        </is>
      </c>
      <c r="E39" s="18" t="n">
        <v>493811.56</v>
      </c>
      <c r="F39" s="37" t="n">
        <v>493811.56</v>
      </c>
      <c r="G39" s="18" t="n">
        <v>504985.78</v>
      </c>
      <c r="H39" s="18" t="n">
        <v>519399.62</v>
      </c>
      <c r="I39" s="18" t="n">
        <v>533282.67</v>
      </c>
      <c r="J39" s="18" t="n">
        <v>527114.05</v>
      </c>
      <c r="K39" s="37" t="n">
        <v>527114.05</v>
      </c>
      <c r="L39" s="18" t="n">
        <v>536148.12</v>
      </c>
      <c r="M39" s="18" t="n">
        <v>542050.0600000001</v>
      </c>
      <c r="N39" s="18" t="n">
        <v>558162.4</v>
      </c>
      <c r="O39" s="18" t="n">
        <v>551072.97</v>
      </c>
      <c r="P39" s="37" t="n">
        <v>551072.97</v>
      </c>
      <c r="Q39" s="18" t="n">
        <v>561361.09</v>
      </c>
      <c r="R39" s="18" t="n">
        <v>576819.03</v>
      </c>
      <c r="S39" s="18" t="n">
        <v>562298.86</v>
      </c>
      <c r="T39" s="18" t="n">
        <v>563098.1800000001</v>
      </c>
      <c r="U39" s="37" t="n">
        <v>563098.1800000001</v>
      </c>
      <c r="V39" s="18" t="n">
        <v>568200.24</v>
      </c>
      <c r="W39" s="18" t="n">
        <v>570310.04</v>
      </c>
      <c r="X39" s="18" t="n">
        <v>580776.3100000001</v>
      </c>
      <c r="Y39" s="18" t="n">
        <v>590271.8199999999</v>
      </c>
      <c r="Z39" s="37" t="n">
        <v>590271.8199999999</v>
      </c>
      <c r="AA39" s="18" t="n">
        <v>597266.37</v>
      </c>
      <c r="AB39" s="19" t="n">
        <v>600254.3199999999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총차입금</t>
        </is>
      </c>
      <c r="E40" s="18" t="n">
        <v>20000</v>
      </c>
      <c r="F40" s="37" t="n">
        <v>20000</v>
      </c>
      <c r="G40" s="18" t="n">
        <v>0</v>
      </c>
      <c r="H40" s="18" t="n">
        <v>0</v>
      </c>
      <c r="I40" s="18" t="n">
        <v>0</v>
      </c>
      <c r="J40" s="18" t="n">
        <v>0</v>
      </c>
      <c r="K40" s="37" t="n">
        <v>0</v>
      </c>
      <c r="M40" s="18" t="n">
        <v>2000</v>
      </c>
      <c r="N40" s="18" t="n">
        <v>2000</v>
      </c>
      <c r="O40" s="18" t="n">
        <v>2000</v>
      </c>
      <c r="P40" s="37" t="n">
        <v>2000</v>
      </c>
      <c r="Q40" s="18" t="n">
        <v>2000</v>
      </c>
      <c r="R40" s="18" t="n">
        <v>2000</v>
      </c>
      <c r="S40" s="18" t="n">
        <v>2000</v>
      </c>
      <c r="T40" s="18" t="n">
        <v>2000</v>
      </c>
      <c r="U40" s="37" t="n">
        <v>2000</v>
      </c>
      <c r="V40" s="18" t="n">
        <v>2000</v>
      </c>
      <c r="W40" s="18" t="n">
        <v>2000</v>
      </c>
      <c r="X40" s="18" t="n">
        <v>2000</v>
      </c>
      <c r="Y40" s="18" t="n">
        <v>2000</v>
      </c>
      <c r="Z40" s="37" t="n">
        <v>2000</v>
      </c>
      <c r="AA40" s="18" t="n">
        <v>2000</v>
      </c>
      <c r="AB40" s="19" t="n">
        <v>2000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순차입금</t>
        </is>
      </c>
      <c r="E41" s="18" t="n">
        <v>-14787.89</v>
      </c>
      <c r="F41" s="37" t="n">
        <v>-14787.89</v>
      </c>
      <c r="G41" s="18" t="n">
        <v>-39760.4</v>
      </c>
      <c r="H41" s="18" t="n">
        <v>-43050.69</v>
      </c>
      <c r="I41" s="18" t="n">
        <v>-56053.71</v>
      </c>
      <c r="J41" s="18" t="n">
        <v>-74586.00999999999</v>
      </c>
      <c r="K41" s="37" t="n">
        <v>-74586.00999999999</v>
      </c>
      <c r="M41" s="18" t="n">
        <v>-84801.97</v>
      </c>
      <c r="N41" s="18" t="n">
        <v>-100670.75</v>
      </c>
      <c r="O41" s="18" t="n">
        <v>-73546.49000000001</v>
      </c>
      <c r="P41" s="37" t="n">
        <v>-73546.49000000001</v>
      </c>
      <c r="Q41" s="18" t="n">
        <v>-73306.58</v>
      </c>
      <c r="R41" s="18" t="n">
        <v>-92255.77</v>
      </c>
      <c r="S41" s="18" t="n">
        <v>-67531.19</v>
      </c>
      <c r="T41" s="18" t="n">
        <v>-61589.46</v>
      </c>
      <c r="U41" s="37" t="n">
        <v>-61589.46</v>
      </c>
      <c r="V41" s="18" t="n">
        <v>-52892.54</v>
      </c>
      <c r="W41" s="18" t="n">
        <v>-44333.97</v>
      </c>
      <c r="X41" s="18" t="n">
        <v>-47615.55</v>
      </c>
      <c r="Y41" s="18" t="n">
        <v>-53816.21</v>
      </c>
      <c r="Z41" s="37" t="n">
        <v>-53816.21</v>
      </c>
      <c r="AA41" s="18" t="n">
        <v>-61726.93</v>
      </c>
      <c r="AB41" s="19" t="n">
        <v>-63773.7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이자발생자산</t>
        </is>
      </c>
      <c r="E42" s="18" t="n">
        <v>34787.89</v>
      </c>
      <c r="F42" s="37" t="n">
        <v>34787.89</v>
      </c>
      <c r="G42" s="18" t="n">
        <v>39760.4</v>
      </c>
      <c r="H42" s="18" t="n">
        <v>43050.69</v>
      </c>
      <c r="I42" s="18" t="n">
        <v>56053.71</v>
      </c>
      <c r="J42" s="18" t="n">
        <v>74586.00999999999</v>
      </c>
      <c r="K42" s="37" t="n">
        <v>74586.00999999999</v>
      </c>
      <c r="L42" s="18" t="n">
        <v>87561.63</v>
      </c>
      <c r="M42" s="18" t="n">
        <v>86801.97</v>
      </c>
      <c r="N42" s="18" t="n">
        <v>102670.75</v>
      </c>
      <c r="O42" s="18" t="n">
        <v>75546.49000000001</v>
      </c>
      <c r="P42" s="37" t="n">
        <v>75546.49000000001</v>
      </c>
      <c r="Q42" s="18" t="n">
        <v>75306.58</v>
      </c>
      <c r="R42" s="18" t="n">
        <v>94255.77</v>
      </c>
      <c r="S42" s="18" t="n">
        <v>69531.19</v>
      </c>
      <c r="T42" s="18" t="n">
        <v>63589.46</v>
      </c>
      <c r="U42" s="37" t="n">
        <v>63589.46</v>
      </c>
      <c r="V42" s="18" t="n">
        <v>54892.54</v>
      </c>
      <c r="W42" s="18" t="n">
        <v>46333.97</v>
      </c>
      <c r="X42" s="18" t="n">
        <v>49615.55</v>
      </c>
      <c r="Y42" s="18" t="n">
        <v>55816.21</v>
      </c>
      <c r="Z42" s="37" t="n">
        <v>55816.21</v>
      </c>
      <c r="AA42" s="18" t="n">
        <v>63726.93</v>
      </c>
      <c r="AB42" s="19" t="n">
        <v>65773.7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단기충당부채</t>
        </is>
      </c>
      <c r="F43" s="9" t="n"/>
      <c r="J43" s="18" t="n">
        <v>5896.81</v>
      </c>
      <c r="K43" s="37" t="n">
        <v>5896.81</v>
      </c>
      <c r="L43" s="18" t="n">
        <v>5605.81</v>
      </c>
      <c r="M43" s="18" t="n">
        <v>3872.09</v>
      </c>
      <c r="N43" s="18" t="n">
        <v>2212.14</v>
      </c>
      <c r="O43" s="18" t="n">
        <v>2212.14</v>
      </c>
      <c r="P43" s="37" t="n">
        <v>2212.14</v>
      </c>
      <c r="Q43" s="18" t="n">
        <v>1960.72</v>
      </c>
      <c r="R43" s="18" t="n">
        <v>624.15</v>
      </c>
      <c r="S43" s="18" t="n">
        <v>0</v>
      </c>
      <c r="T43" s="18" t="n">
        <v>0</v>
      </c>
      <c r="U43" s="37" t="n">
        <v>0</v>
      </c>
      <c r="Y43" s="18" t="n">
        <v>0</v>
      </c>
      <c r="Z43" s="37" t="n">
        <v>0</v>
      </c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단기차입금</t>
        </is>
      </c>
      <c r="F44" s="9" t="n"/>
      <c r="K44" s="9" t="n"/>
      <c r="M44" s="18" t="n">
        <v>2000</v>
      </c>
      <c r="N44" s="18" t="n">
        <v>2000</v>
      </c>
      <c r="O44" s="18" t="n">
        <v>2000</v>
      </c>
      <c r="P44" s="37" t="n">
        <v>2000</v>
      </c>
      <c r="Q44" s="18" t="n">
        <v>2000</v>
      </c>
      <c r="R44" s="18" t="n">
        <v>2000</v>
      </c>
      <c r="S44" s="18" t="n">
        <v>2000</v>
      </c>
      <c r="T44" s="18" t="n">
        <v>2000</v>
      </c>
      <c r="U44" s="37" t="n">
        <v>2000</v>
      </c>
      <c r="V44" s="18" t="n">
        <v>2000</v>
      </c>
      <c r="W44" s="18" t="n">
        <v>2000</v>
      </c>
      <c r="X44" s="18" t="n">
        <v>2000</v>
      </c>
      <c r="Y44" s="18" t="n">
        <v>2000</v>
      </c>
      <c r="Z44" s="37" t="n">
        <v>2000</v>
      </c>
      <c r="AA44" s="18" t="n">
        <v>2000</v>
      </c>
      <c r="AB44" s="19" t="n">
        <v>2000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기타비유동자산</t>
        </is>
      </c>
      <c r="F45" s="9" t="n"/>
      <c r="K45" s="9" t="n"/>
      <c r="O45" s="18" t="n">
        <v>1423.42</v>
      </c>
      <c r="P45" s="37" t="n">
        <v>1423.42</v>
      </c>
      <c r="Q45" s="18" t="n">
        <v>1472.6</v>
      </c>
      <c r="R45" s="18" t="n">
        <v>966.02</v>
      </c>
      <c r="S45" s="18" t="n">
        <v>2446.82</v>
      </c>
      <c r="T45" s="18" t="n">
        <v>0</v>
      </c>
      <c r="U45" s="37" t="n">
        <v>0</v>
      </c>
      <c r="V45" s="18" t="n">
        <v>915.58</v>
      </c>
      <c r="W45" s="18" t="n">
        <v>318.97</v>
      </c>
      <c r="Y45" s="18" t="n">
        <v>5714.62</v>
      </c>
      <c r="Z45" s="37" t="n">
        <v>5714.62</v>
      </c>
      <c r="AA45" s="18" t="n">
        <v>5081.25</v>
      </c>
      <c r="AB45" s="19" t="n">
        <v>4508.95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이연법인세자산</t>
        </is>
      </c>
      <c r="F46" s="9" t="n"/>
      <c r="K46" s="9" t="n"/>
      <c r="O46" s="18" t="n">
        <v>672.98</v>
      </c>
      <c r="P46" s="37" t="n">
        <v>672.98</v>
      </c>
      <c r="Q46" s="18" t="n">
        <v>636.63</v>
      </c>
      <c r="R46" s="18" t="n">
        <v>464.13</v>
      </c>
      <c r="S46" s="18" t="n">
        <v>339.63</v>
      </c>
      <c r="T46" s="18" t="n">
        <v>549.47</v>
      </c>
      <c r="U46" s="37" t="n">
        <v>549.47</v>
      </c>
      <c r="V46" s="18" t="n">
        <v>672.86</v>
      </c>
      <c r="W46" s="18" t="n">
        <v>564.73</v>
      </c>
      <c r="X46" s="18" t="n">
        <v>484.29</v>
      </c>
      <c r="Y46" s="18" t="n">
        <v>693.3</v>
      </c>
      <c r="Z46" s="37" t="n">
        <v>693.3</v>
      </c>
      <c r="AA46" s="18" t="n">
        <v>600.84</v>
      </c>
      <c r="AB46" s="19" t="n">
        <v>551.79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기타포괄이익누계액</t>
        </is>
      </c>
      <c r="F47" s="9" t="n"/>
      <c r="K47" s="9" t="n"/>
      <c r="P47" s="9" t="n"/>
      <c r="U47" s="9" t="n"/>
      <c r="X47" s="18" t="n">
        <v>-1250.75</v>
      </c>
      <c r="Y47" s="18" t="n">
        <v>-2273.99</v>
      </c>
      <c r="Z47" s="37" t="n">
        <v>-2273.99</v>
      </c>
      <c r="AA47" s="18" t="n">
        <v>-2273.99</v>
      </c>
      <c r="AB47" s="19" t="n">
        <v>-2273.99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매출액(수익)</t>
        </is>
      </c>
      <c r="E48" s="18" t="n">
        <v>32676.77</v>
      </c>
      <c r="F48" s="9" t="n"/>
      <c r="G48" s="18" t="n">
        <v>45381.16</v>
      </c>
      <c r="H48" s="18" t="n">
        <v>67132.32000000001</v>
      </c>
      <c r="I48" s="18" t="n">
        <v>65255.02</v>
      </c>
      <c r="J48" s="18" t="n">
        <v>66257.03999999999</v>
      </c>
      <c r="K48" s="37" t="n">
        <v>244025.54</v>
      </c>
      <c r="L48" s="18" t="n">
        <v>68358.8</v>
      </c>
      <c r="M48" s="18" t="n">
        <v>65195.87</v>
      </c>
      <c r="N48" s="18" t="n">
        <v>57769.99</v>
      </c>
      <c r="O48" s="18" t="n">
        <v>63368.25</v>
      </c>
      <c r="P48" s="37" t="n">
        <v>254692.91</v>
      </c>
      <c r="Q48" s="18" t="n">
        <v>57168.38</v>
      </c>
      <c r="R48" s="18" t="n">
        <v>66887.37</v>
      </c>
      <c r="S48" s="18" t="n">
        <v>45396.78</v>
      </c>
      <c r="T48" s="18" t="n">
        <v>58230.59</v>
      </c>
      <c r="U48" s="37" t="n">
        <v>227683.12</v>
      </c>
      <c r="V48" s="18" t="n">
        <v>63698.89</v>
      </c>
      <c r="W48" s="18" t="n">
        <v>58108.55</v>
      </c>
      <c r="X48" s="18" t="n">
        <v>64561.38</v>
      </c>
      <c r="Y48" s="18" t="n">
        <v>59301.06</v>
      </c>
      <c r="Z48" s="37" t="n">
        <v>245669.88</v>
      </c>
      <c r="AA48" s="18" t="n">
        <v>59137.48</v>
      </c>
      <c r="AB48" s="19" t="n">
        <v>64132.33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매출원가</t>
        </is>
      </c>
      <c r="E49" s="18" t="n">
        <v>29890.15</v>
      </c>
      <c r="F49" s="9" t="n"/>
      <c r="G49" s="18" t="n">
        <v>34645.27</v>
      </c>
      <c r="H49" s="18" t="n">
        <v>49899.58</v>
      </c>
      <c r="I49" s="18" t="n">
        <v>48718.28</v>
      </c>
      <c r="J49" s="18" t="n">
        <v>50543.63</v>
      </c>
      <c r="K49" s="37" t="n">
        <v>183806.76</v>
      </c>
      <c r="L49" s="18" t="n">
        <v>46770.52</v>
      </c>
      <c r="M49" s="18" t="n">
        <v>45448.3</v>
      </c>
      <c r="N49" s="18" t="n">
        <v>40941.62</v>
      </c>
      <c r="O49" s="18" t="n">
        <v>45373.19</v>
      </c>
      <c r="P49" s="37" t="n">
        <v>178533.63</v>
      </c>
      <c r="Q49" s="18" t="n">
        <v>39486.6</v>
      </c>
      <c r="R49" s="18" t="n">
        <v>38654.17</v>
      </c>
      <c r="S49" s="18" t="n">
        <v>29756.14</v>
      </c>
      <c r="T49" s="18" t="n">
        <v>42757.68</v>
      </c>
      <c r="U49" s="37" t="n">
        <v>150654.59</v>
      </c>
      <c r="V49" s="18" t="n">
        <v>43367.41</v>
      </c>
      <c r="W49" s="18" t="n">
        <v>40787.85</v>
      </c>
      <c r="X49" s="18" t="n">
        <v>38935.5</v>
      </c>
      <c r="Y49" s="18" t="n">
        <v>35684.16</v>
      </c>
      <c r="Z49" s="37" t="n">
        <v>158774.92</v>
      </c>
      <c r="AA49" s="18" t="n">
        <v>36681.11</v>
      </c>
      <c r="AB49" s="19" t="n">
        <v>35711.99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매출총이익</t>
        </is>
      </c>
      <c r="E50" s="18" t="n">
        <v>2786.61</v>
      </c>
      <c r="F50" s="9" t="n"/>
      <c r="G50" s="18" t="n">
        <v>10735.89</v>
      </c>
      <c r="H50" s="18" t="n">
        <v>17232.74</v>
      </c>
      <c r="I50" s="18" t="n">
        <v>16536.74</v>
      </c>
      <c r="J50" s="18" t="n">
        <v>15713.41</v>
      </c>
      <c r="K50" s="37" t="n">
        <v>60218.78</v>
      </c>
      <c r="L50" s="18" t="n">
        <v>21588.28</v>
      </c>
      <c r="M50" s="18" t="n">
        <v>19747.57</v>
      </c>
      <c r="N50" s="18" t="n">
        <v>16828.37</v>
      </c>
      <c r="O50" s="18" t="n">
        <v>17995.06</v>
      </c>
      <c r="P50" s="37" t="n">
        <v>76159.28</v>
      </c>
      <c r="Q50" s="18" t="n">
        <v>17681.78</v>
      </c>
      <c r="R50" s="18" t="n">
        <v>28233.2</v>
      </c>
      <c r="S50" s="18" t="n">
        <v>15640.64</v>
      </c>
      <c r="T50" s="18" t="n">
        <v>15472.92</v>
      </c>
      <c r="U50" s="37" t="n">
        <v>77028.53999999999</v>
      </c>
      <c r="V50" s="18" t="n">
        <v>20331.47</v>
      </c>
      <c r="W50" s="18" t="n">
        <v>17320.69</v>
      </c>
      <c r="X50" s="18" t="n">
        <v>25625.88</v>
      </c>
      <c r="Y50" s="18" t="n">
        <v>23616.9</v>
      </c>
      <c r="Z50" s="37" t="n">
        <v>86894.94</v>
      </c>
      <c r="AA50" s="18" t="n">
        <v>22456.36</v>
      </c>
      <c r="AB50" s="19" t="n">
        <v>28420.35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판관비</t>
        </is>
      </c>
      <c r="E51" s="18" t="n">
        <v>6382.98</v>
      </c>
      <c r="F51" s="9" t="n"/>
      <c r="G51" s="18" t="n">
        <v>7681.93</v>
      </c>
      <c r="H51" s="18" t="n">
        <v>8514.92</v>
      </c>
      <c r="I51" s="18" t="n">
        <v>8736.25</v>
      </c>
      <c r="J51" s="18" t="n">
        <v>8525.07</v>
      </c>
      <c r="K51" s="37" t="n">
        <v>33458.17</v>
      </c>
      <c r="L51" s="18" t="n">
        <v>6789.57</v>
      </c>
      <c r="M51" s="18" t="n">
        <v>6228.01</v>
      </c>
      <c r="N51" s="18" t="n">
        <v>7446.69</v>
      </c>
      <c r="O51" s="18" t="n">
        <v>10861.57</v>
      </c>
      <c r="P51" s="37" t="n">
        <v>31325.84</v>
      </c>
      <c r="Q51" s="18" t="n">
        <v>7790.78</v>
      </c>
      <c r="R51" s="18" t="n">
        <v>7866.9</v>
      </c>
      <c r="S51" s="18" t="n">
        <v>7830.72</v>
      </c>
      <c r="T51" s="18" t="n">
        <v>11552.04</v>
      </c>
      <c r="U51" s="37" t="n">
        <v>35040.44</v>
      </c>
      <c r="V51" s="18" t="n">
        <v>9586.24</v>
      </c>
      <c r="W51" s="18" t="n">
        <v>6550.47</v>
      </c>
      <c r="X51" s="18" t="n">
        <v>13895.32</v>
      </c>
      <c r="Y51" s="18" t="n">
        <v>14907.25</v>
      </c>
      <c r="Z51" s="37" t="n">
        <v>44939.28</v>
      </c>
      <c r="AA51" s="18" t="n">
        <v>15886.95</v>
      </c>
      <c r="AB51" s="19" t="n">
        <v>18413.29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영업이익</t>
        </is>
      </c>
      <c r="E52" s="18" t="n">
        <v>-3596.37</v>
      </c>
      <c r="F52" s="9" t="n"/>
      <c r="G52" s="18" t="n">
        <v>3053.97</v>
      </c>
      <c r="H52" s="18" t="n">
        <v>8717.82</v>
      </c>
      <c r="I52" s="18" t="n">
        <v>7800.49</v>
      </c>
      <c r="J52" s="18" t="n">
        <v>7188.34</v>
      </c>
      <c r="K52" s="37" t="n">
        <v>26760.62</v>
      </c>
      <c r="L52" s="18" t="n">
        <v>14798.71</v>
      </c>
      <c r="M52" s="18" t="n">
        <v>13519.56</v>
      </c>
      <c r="N52" s="18" t="n">
        <v>9381.68</v>
      </c>
      <c r="O52" s="18" t="n">
        <v>7133.49</v>
      </c>
      <c r="P52" s="37" t="n">
        <v>44833.44</v>
      </c>
      <c r="Q52" s="18" t="n">
        <v>9890.99</v>
      </c>
      <c r="R52" s="18" t="n">
        <v>20366.3</v>
      </c>
      <c r="S52" s="18" t="n">
        <v>7809.92</v>
      </c>
      <c r="T52" s="18" t="n">
        <v>3920.88</v>
      </c>
      <c r="U52" s="37" t="n">
        <v>41988.09</v>
      </c>
      <c r="V52" s="18" t="n">
        <v>10745.23</v>
      </c>
      <c r="W52" s="18" t="n">
        <v>10770.22</v>
      </c>
      <c r="X52" s="18" t="n">
        <v>11730.56</v>
      </c>
      <c r="Y52" s="18" t="n">
        <v>8709.65</v>
      </c>
      <c r="Z52" s="37" t="n">
        <v>41955.66</v>
      </c>
      <c r="AA52" s="18" t="n">
        <v>6569.42</v>
      </c>
      <c r="AB52" s="19" t="n">
        <v>10007.06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기타영업외수익</t>
        </is>
      </c>
      <c r="E53" s="18" t="n">
        <v>396.09</v>
      </c>
      <c r="F53" s="9" t="n"/>
      <c r="G53" s="18" t="n">
        <v>22034.74</v>
      </c>
      <c r="H53" s="18" t="n">
        <v>4051.09</v>
      </c>
      <c r="I53" s="18" t="n">
        <v>6737.78</v>
      </c>
      <c r="J53" s="18" t="n">
        <v>-4830.35</v>
      </c>
      <c r="K53" s="37" t="n">
        <v>27993.26</v>
      </c>
      <c r="L53" s="18" t="n">
        <v>2337.04</v>
      </c>
      <c r="M53" s="18" t="n">
        <v>1027.31</v>
      </c>
      <c r="N53" s="18" t="n">
        <v>2429.96</v>
      </c>
      <c r="O53" s="18" t="n">
        <v>-668.5</v>
      </c>
      <c r="P53" s="37" t="n">
        <v>5125.81</v>
      </c>
      <c r="Q53" s="18" t="n">
        <v>2346.32</v>
      </c>
      <c r="R53" s="18" t="n">
        <v>2126.75</v>
      </c>
      <c r="S53" s="18" t="n">
        <v>513.48</v>
      </c>
      <c r="T53" s="18" t="n">
        <v>4214.28</v>
      </c>
      <c r="U53" s="37" t="n">
        <v>9200.83</v>
      </c>
      <c r="V53" s="18" t="n">
        <v>553.1799999999999</v>
      </c>
      <c r="W53" s="18" t="n">
        <v>469.73</v>
      </c>
      <c r="X53" s="18" t="n">
        <v>1809.24</v>
      </c>
      <c r="Y53" s="18" t="n">
        <v>1318.69</v>
      </c>
      <c r="Z53" s="37" t="n">
        <v>4150.84</v>
      </c>
      <c r="AA53" s="18" t="n">
        <v>3948.26</v>
      </c>
      <c r="AB53" s="19" t="n">
        <v>1889.91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기타영업외비용</t>
        </is>
      </c>
      <c r="E54" s="18" t="n">
        <v>105.85</v>
      </c>
      <c r="F54" s="9" t="n"/>
      <c r="G54" s="18" t="n">
        <v>110.46</v>
      </c>
      <c r="H54" s="18" t="n">
        <v>336.37</v>
      </c>
      <c r="I54" s="18" t="n">
        <v>504.4</v>
      </c>
      <c r="J54" s="18" t="n">
        <v>3726.3</v>
      </c>
      <c r="K54" s="37" t="n">
        <v>4677.53</v>
      </c>
      <c r="L54" s="18" t="n">
        <v>1307.69</v>
      </c>
      <c r="M54" s="18" t="n">
        <v>670.74</v>
      </c>
      <c r="N54" s="18" t="n">
        <v>386.51</v>
      </c>
      <c r="O54" s="18" t="n">
        <v>405.35</v>
      </c>
      <c r="P54" s="37" t="n">
        <v>2770.29</v>
      </c>
      <c r="Q54" s="18" t="n">
        <v>172.75</v>
      </c>
      <c r="R54" s="18" t="n">
        <v>294.22</v>
      </c>
      <c r="S54" s="18" t="n">
        <v>3647.72</v>
      </c>
      <c r="T54" s="18" t="n">
        <v>-32.78</v>
      </c>
      <c r="U54" s="37" t="n">
        <v>4081.91</v>
      </c>
      <c r="V54" s="18" t="n">
        <v>667.72</v>
      </c>
      <c r="W54" s="18" t="n">
        <v>3695.76</v>
      </c>
      <c r="X54" s="18" t="n">
        <v>403.65</v>
      </c>
      <c r="Y54" s="18" t="n">
        <v>-99.89</v>
      </c>
      <c r="Z54" s="37" t="n">
        <v>4667.24</v>
      </c>
      <c r="AA54" s="18" t="n">
        <v>340.48</v>
      </c>
      <c r="AB54" s="19" t="n">
        <v>325.47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금융수익</t>
        </is>
      </c>
      <c r="E55" s="18" t="n">
        <v>136.47</v>
      </c>
      <c r="F55" s="9" t="n"/>
      <c r="G55" s="18" t="n">
        <v>134.71</v>
      </c>
      <c r="H55" s="18" t="n">
        <v>156.52</v>
      </c>
      <c r="I55" s="18" t="n">
        <v>218.34</v>
      </c>
      <c r="J55" s="18" t="n">
        <v>477.49</v>
      </c>
      <c r="K55" s="37" t="n">
        <v>987.0599999999999</v>
      </c>
      <c r="L55" s="18" t="n">
        <v>699.6799999999999</v>
      </c>
      <c r="M55" s="18" t="n">
        <v>819.6</v>
      </c>
      <c r="N55" s="18" t="n">
        <v>937.59</v>
      </c>
      <c r="O55" s="18" t="n">
        <v>1077.91</v>
      </c>
      <c r="P55" s="37" t="n">
        <v>3534.78</v>
      </c>
      <c r="Q55" s="18" t="n">
        <v>1095.64</v>
      </c>
      <c r="R55" s="18" t="n">
        <v>1160.77</v>
      </c>
      <c r="S55" s="18" t="n">
        <v>1151.93</v>
      </c>
      <c r="T55" s="18" t="n">
        <v>1082.76</v>
      </c>
      <c r="U55" s="37" t="n">
        <v>4491.1</v>
      </c>
      <c r="V55" s="18" t="n">
        <v>857.13</v>
      </c>
      <c r="W55" s="18" t="n">
        <v>774.83</v>
      </c>
      <c r="X55" s="18" t="n">
        <v>735.54</v>
      </c>
      <c r="Y55" s="18" t="n">
        <v>904.03</v>
      </c>
      <c r="Z55" s="37" t="n">
        <v>3271.53</v>
      </c>
      <c r="AA55" s="18" t="n">
        <v>924.0599999999999</v>
      </c>
      <c r="AB55" s="19" t="n">
        <v>904.47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금융비용</t>
        </is>
      </c>
      <c r="E56" s="18" t="n">
        <v>80.76000000000001</v>
      </c>
      <c r="F56" s="9" t="n"/>
      <c r="G56" s="18" t="n">
        <v>53.79</v>
      </c>
      <c r="H56" s="18" t="n">
        <v>2.18</v>
      </c>
      <c r="I56" s="18" t="n">
        <v>3.08</v>
      </c>
      <c r="J56" s="18" t="n">
        <v>2.81</v>
      </c>
      <c r="K56" s="37" t="n">
        <v>61.86</v>
      </c>
      <c r="L56" s="18" t="n">
        <v>1.97</v>
      </c>
      <c r="M56" s="18" t="n">
        <v>11.16</v>
      </c>
      <c r="N56" s="18" t="n">
        <v>19.09</v>
      </c>
      <c r="O56" s="18" t="n">
        <v>18.77</v>
      </c>
      <c r="P56" s="37" t="n">
        <v>50.99</v>
      </c>
      <c r="Q56" s="18" t="n">
        <v>17.76</v>
      </c>
      <c r="R56" s="18" t="n">
        <v>14.19</v>
      </c>
      <c r="S56" s="18" t="n">
        <v>16.92</v>
      </c>
      <c r="T56" s="18" t="n">
        <v>16.97</v>
      </c>
      <c r="U56" s="37" t="n">
        <v>65.84</v>
      </c>
      <c r="V56" s="18" t="n">
        <v>15.88</v>
      </c>
      <c r="W56" s="18" t="n">
        <v>12.43</v>
      </c>
      <c r="X56" s="18" t="n">
        <v>10.37</v>
      </c>
      <c r="Y56" s="18" t="n">
        <v>10.23</v>
      </c>
      <c r="Z56" s="37" t="n">
        <v>48.91</v>
      </c>
      <c r="AA56" s="18" t="n">
        <v>10.01</v>
      </c>
      <c r="AB56" s="19" t="n">
        <v>11.22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법인세비용차감전계속사업이익</t>
        </is>
      </c>
      <c r="E57" s="18" t="n">
        <v>-3250.41</v>
      </c>
      <c r="F57" s="9" t="n"/>
      <c r="G57" s="18" t="n">
        <v>25059.17</v>
      </c>
      <c r="H57" s="18" t="n">
        <v>12586.89</v>
      </c>
      <c r="I57" s="18" t="n">
        <v>14249.14</v>
      </c>
      <c r="J57" s="18" t="n">
        <v>-893.63</v>
      </c>
      <c r="K57" s="37" t="n">
        <v>51001.57</v>
      </c>
      <c r="L57" s="18" t="n">
        <v>16525.77</v>
      </c>
      <c r="M57" s="18" t="n">
        <v>14684.57</v>
      </c>
      <c r="N57" s="18" t="n">
        <v>12343.63</v>
      </c>
      <c r="O57" s="18" t="n">
        <v>7118.78</v>
      </c>
      <c r="P57" s="37" t="n">
        <v>50672.75</v>
      </c>
      <c r="Q57" s="18" t="n">
        <v>13142.45</v>
      </c>
      <c r="R57" s="18" t="n">
        <v>23345.42</v>
      </c>
      <c r="S57" s="18" t="n">
        <v>5810.69</v>
      </c>
      <c r="T57" s="18" t="n">
        <v>9233.719999999999</v>
      </c>
      <c r="U57" s="37" t="n">
        <v>51532.28</v>
      </c>
      <c r="V57" s="18" t="n">
        <v>11471.95</v>
      </c>
      <c r="W57" s="18" t="n">
        <v>8306.58</v>
      </c>
      <c r="X57" s="18" t="n">
        <v>13861.33</v>
      </c>
      <c r="Y57" s="18" t="n">
        <v>11022.03</v>
      </c>
      <c r="Z57" s="37" t="n">
        <v>44661.89</v>
      </c>
      <c r="AA57" s="18" t="n">
        <v>11091.25</v>
      </c>
      <c r="AB57" s="19" t="n">
        <v>12464.74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법인세비용</t>
        </is>
      </c>
      <c r="E58" s="18" t="n">
        <v>-3194.09</v>
      </c>
      <c r="F58" s="9" t="n"/>
      <c r="G58" s="18" t="n">
        <v>5307.7</v>
      </c>
      <c r="H58" s="18" t="n">
        <v>2782.08</v>
      </c>
      <c r="I58" s="18" t="n">
        <v>3370.02</v>
      </c>
      <c r="J58" s="18" t="n">
        <v>297.07</v>
      </c>
      <c r="K58" s="37" t="n">
        <v>11756.87</v>
      </c>
      <c r="L58" s="18" t="n">
        <v>3658.07</v>
      </c>
      <c r="M58" s="18" t="n">
        <v>3261.14</v>
      </c>
      <c r="N58" s="18" t="n">
        <v>2872.12</v>
      </c>
      <c r="O58" s="18" t="n">
        <v>1712.29</v>
      </c>
      <c r="P58" s="37" t="n">
        <v>11503.62</v>
      </c>
      <c r="Q58" s="18" t="n">
        <v>1826.04</v>
      </c>
      <c r="R58" s="18" t="n">
        <v>5286.85</v>
      </c>
      <c r="S58" s="18" t="n">
        <v>1667.28</v>
      </c>
      <c r="T58" s="18" t="n">
        <v>1744.6</v>
      </c>
      <c r="U58" s="37" t="n">
        <v>10524.77</v>
      </c>
      <c r="V58" s="18" t="n">
        <v>2290.14</v>
      </c>
      <c r="W58" s="18" t="n">
        <v>1850.98</v>
      </c>
      <c r="X58" s="18" t="n">
        <v>3079.85</v>
      </c>
      <c r="Y58" s="18" t="n">
        <v>3008.79</v>
      </c>
      <c r="Z58" s="37" t="n">
        <v>10229.76</v>
      </c>
      <c r="AA58" s="18" t="n">
        <v>2664.42</v>
      </c>
      <c r="AB58" s="19" t="n">
        <v>2887.08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당기순이익</t>
        </is>
      </c>
      <c r="E59" s="18" t="n">
        <v>-56.31</v>
      </c>
      <c r="F59" s="9" t="n"/>
      <c r="G59" s="18" t="n">
        <v>19751.47</v>
      </c>
      <c r="H59" s="18" t="n">
        <v>9804.799999999999</v>
      </c>
      <c r="I59" s="18" t="n">
        <v>10879.12</v>
      </c>
      <c r="J59" s="18" t="n">
        <v>-1190.7</v>
      </c>
      <c r="K59" s="37" t="n">
        <v>39244.69</v>
      </c>
      <c r="L59" s="18" t="n">
        <v>12867.7</v>
      </c>
      <c r="M59" s="18" t="n">
        <v>11423.42</v>
      </c>
      <c r="N59" s="18" t="n">
        <v>9471.5</v>
      </c>
      <c r="O59" s="18" t="n">
        <v>5406.49</v>
      </c>
      <c r="P59" s="37" t="n">
        <v>39169.11</v>
      </c>
      <c r="Q59" s="18" t="n">
        <v>11316.41</v>
      </c>
      <c r="R59" s="18" t="n">
        <v>18058.57</v>
      </c>
      <c r="S59" s="18" t="n">
        <v>4143.42</v>
      </c>
      <c r="T59" s="18" t="n">
        <v>7489.13</v>
      </c>
      <c r="U59" s="37" t="n">
        <v>41007.53</v>
      </c>
      <c r="V59" s="18" t="n">
        <v>9181.809999999999</v>
      </c>
      <c r="W59" s="18" t="n">
        <v>6455.6</v>
      </c>
      <c r="X59" s="18" t="n">
        <v>10781.48</v>
      </c>
      <c r="Y59" s="18" t="n">
        <v>8013.23</v>
      </c>
      <c r="Z59" s="37" t="n">
        <v>34432.12</v>
      </c>
      <c r="AA59" s="18" t="n">
        <v>8426.83</v>
      </c>
      <c r="AB59" s="19" t="n">
        <v>9577.67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총포괄손익</t>
        </is>
      </c>
      <c r="E60" s="18" t="n">
        <v>1328.43</v>
      </c>
      <c r="F60" s="9" t="n"/>
      <c r="G60" s="18" t="n">
        <v>19718.97</v>
      </c>
      <c r="H60" s="18" t="n">
        <v>9773.559999999999</v>
      </c>
      <c r="I60" s="18" t="n">
        <v>10844.17</v>
      </c>
      <c r="J60" s="18" t="n">
        <v>-300.6</v>
      </c>
      <c r="K60" s="37" t="n">
        <v>40036.1</v>
      </c>
      <c r="L60" s="18" t="n">
        <v>12892.05</v>
      </c>
      <c r="M60" s="18" t="n">
        <v>11396</v>
      </c>
      <c r="N60" s="18" t="n">
        <v>9454.610000000001</v>
      </c>
      <c r="O60" s="18" t="n">
        <v>2795.29</v>
      </c>
      <c r="P60" s="37" t="n">
        <v>36537.95</v>
      </c>
      <c r="Q60" s="18" t="n">
        <v>11295.64</v>
      </c>
      <c r="R60" s="18" t="n">
        <v>18036.43</v>
      </c>
      <c r="S60" s="18" t="n">
        <v>4116.76</v>
      </c>
      <c r="T60" s="18" t="n">
        <v>4032.35</v>
      </c>
      <c r="U60" s="37" t="n">
        <v>37481.18</v>
      </c>
      <c r="V60" s="18" t="n">
        <v>9174.299999999999</v>
      </c>
      <c r="W60" s="18" t="n">
        <v>6456.93</v>
      </c>
      <c r="X60" s="18" t="n">
        <v>10764.59</v>
      </c>
      <c r="Y60" s="18" t="n">
        <v>9666.98</v>
      </c>
      <c r="Z60" s="37" t="n">
        <v>36062.8</v>
      </c>
      <c r="AA60" s="18" t="n">
        <v>8343.52</v>
      </c>
      <c r="AB60" s="19" t="n">
        <v>9501.530000000001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(지배주주지분)당기순이익</t>
        </is>
      </c>
      <c r="E61" s="18" t="n">
        <v>-56.31</v>
      </c>
      <c r="F61" s="9" t="n"/>
      <c r="G61" s="18" t="n">
        <v>19751.47</v>
      </c>
      <c r="H61" s="18" t="n">
        <v>9804.799999999999</v>
      </c>
      <c r="I61" s="18" t="n">
        <v>10879.12</v>
      </c>
      <c r="J61" s="18" t="n">
        <v>-1190.7</v>
      </c>
      <c r="K61" s="37" t="n">
        <v>39244.69</v>
      </c>
      <c r="L61" s="18" t="n">
        <v>12867.7</v>
      </c>
      <c r="M61" s="18" t="n">
        <v>11423.42</v>
      </c>
      <c r="N61" s="18" t="n">
        <v>9471.5</v>
      </c>
      <c r="O61" s="18" t="n">
        <v>5406.49</v>
      </c>
      <c r="P61" s="37" t="n">
        <v>39169.11</v>
      </c>
      <c r="Q61" s="18" t="n">
        <v>11316.41</v>
      </c>
      <c r="R61" s="18" t="n">
        <v>18058.57</v>
      </c>
      <c r="S61" s="18" t="n">
        <v>4143.42</v>
      </c>
      <c r="T61" s="18" t="n">
        <v>7489.13</v>
      </c>
      <c r="U61" s="37" t="n">
        <v>41007.53</v>
      </c>
      <c r="V61" s="18" t="n">
        <v>9181.809999999999</v>
      </c>
      <c r="W61" s="18" t="n">
        <v>6455.6</v>
      </c>
      <c r="X61" s="18" t="n">
        <v>10781.48</v>
      </c>
      <c r="Y61" s="18" t="n">
        <v>8013.23</v>
      </c>
      <c r="Z61" s="37" t="n">
        <v>34432.12</v>
      </c>
      <c r="AA61" s="18" t="n">
        <v>8426.83</v>
      </c>
      <c r="AB61" s="19" t="n">
        <v>9577.67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(비지배주주지분)당기순이익</t>
        </is>
      </c>
      <c r="E62" s="18" t="n">
        <v>0</v>
      </c>
      <c r="F62" s="9" t="n"/>
      <c r="G62" s="18" t="n">
        <v>0</v>
      </c>
      <c r="H62" s="18" t="n">
        <v>0</v>
      </c>
      <c r="I62" s="18" t="n">
        <v>0</v>
      </c>
      <c r="J62" s="18" t="n">
        <v>0</v>
      </c>
      <c r="K62" s="37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37" t="n">
        <v>0</v>
      </c>
      <c r="Q62" s="18" t="n">
        <v>0</v>
      </c>
      <c r="R62" s="18" t="n">
        <v>0</v>
      </c>
      <c r="S62" s="18" t="n">
        <v>0</v>
      </c>
      <c r="U62" s="9" t="n"/>
      <c r="V62" s="18" t="n">
        <v>0</v>
      </c>
      <c r="W62" s="18" t="n">
        <v>0</v>
      </c>
      <c r="X62" s="18" t="n">
        <v>0</v>
      </c>
      <c r="Y62" s="18" t="n">
        <v>0</v>
      </c>
      <c r="Z62" s="37" t="n">
        <v>0</v>
      </c>
      <c r="AA62" s="18" t="n">
        <v>0</v>
      </c>
      <c r="AB62" s="19" t="n">
        <v>0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금융손익</t>
        </is>
      </c>
      <c r="E63" s="18" t="n">
        <v>55.71</v>
      </c>
      <c r="F63" s="9" t="n"/>
      <c r="G63" s="18" t="n">
        <v>80.92</v>
      </c>
      <c r="H63" s="18" t="n">
        <v>154.34</v>
      </c>
      <c r="I63" s="18" t="n">
        <v>215.26</v>
      </c>
      <c r="J63" s="18" t="n">
        <v>474.68</v>
      </c>
      <c r="K63" s="37" t="n">
        <v>925.2</v>
      </c>
      <c r="L63" s="18" t="n">
        <v>697.71</v>
      </c>
      <c r="M63" s="18" t="n">
        <v>808.4400000000001</v>
      </c>
      <c r="N63" s="18" t="n">
        <v>918.5</v>
      </c>
      <c r="O63" s="18" t="n">
        <v>1059.14</v>
      </c>
      <c r="P63" s="37" t="n">
        <v>3483.79</v>
      </c>
      <c r="Q63" s="18" t="n">
        <v>1077.88</v>
      </c>
      <c r="R63" s="18" t="n">
        <v>1146.58</v>
      </c>
      <c r="S63" s="18" t="n">
        <v>1135.01</v>
      </c>
      <c r="T63" s="18" t="n">
        <v>1065.79</v>
      </c>
      <c r="U63" s="37" t="n">
        <v>4425.26</v>
      </c>
      <c r="V63" s="18" t="n">
        <v>841.25</v>
      </c>
      <c r="W63" s="18" t="n">
        <v>762.4</v>
      </c>
      <c r="X63" s="18" t="n">
        <v>725.17</v>
      </c>
      <c r="Y63" s="18" t="n">
        <v>893.8</v>
      </c>
      <c r="Z63" s="37" t="n">
        <v>3222.62</v>
      </c>
      <c r="AA63" s="18" t="n">
        <v>914.05</v>
      </c>
      <c r="AB63" s="19" t="n">
        <v>893.25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기타영업외손익</t>
        </is>
      </c>
      <c r="E64" s="18" t="n">
        <v>290.24</v>
      </c>
      <c r="F64" s="9" t="n"/>
      <c r="G64" s="18" t="n">
        <v>21924.28</v>
      </c>
      <c r="H64" s="18" t="n">
        <v>3714.72</v>
      </c>
      <c r="I64" s="18" t="n">
        <v>6233.38</v>
      </c>
      <c r="J64" s="18" t="n">
        <v>-8556.65</v>
      </c>
      <c r="K64" s="37" t="n">
        <v>23315.73</v>
      </c>
      <c r="L64" s="18" t="n">
        <v>1029.35</v>
      </c>
      <c r="M64" s="18" t="n">
        <v>356.57</v>
      </c>
      <c r="N64" s="18" t="n">
        <v>2043.45</v>
      </c>
      <c r="O64" s="18" t="n">
        <v>-1073.85</v>
      </c>
      <c r="P64" s="37" t="n">
        <v>2355.52</v>
      </c>
      <c r="Q64" s="18" t="n">
        <v>2173.57</v>
      </c>
      <c r="R64" s="18" t="n">
        <v>1832.53</v>
      </c>
      <c r="S64" s="18" t="n">
        <v>-3134.24</v>
      </c>
      <c r="T64" s="18" t="n">
        <v>4247.06</v>
      </c>
      <c r="U64" s="37" t="n">
        <v>5118.92</v>
      </c>
      <c r="V64" s="18" t="n">
        <v>-114.54</v>
      </c>
      <c r="W64" s="18" t="n">
        <v>-3226.03</v>
      </c>
      <c r="X64" s="18" t="n">
        <v>1405.59</v>
      </c>
      <c r="Y64" s="18" t="n">
        <v>1418.58</v>
      </c>
      <c r="Z64" s="37" t="n">
        <v>-516.4</v>
      </c>
      <c r="AA64" s="18" t="n">
        <v>3607.78</v>
      </c>
      <c r="AB64" s="19" t="n">
        <v>1564.44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계속사업이익</t>
        </is>
      </c>
      <c r="E65" s="18" t="n">
        <v>-56.31</v>
      </c>
      <c r="F65" s="9" t="n"/>
      <c r="G65" s="18" t="n">
        <v>19751.47</v>
      </c>
      <c r="H65" s="18" t="n">
        <v>9804.799999999999</v>
      </c>
      <c r="I65" s="18" t="n">
        <v>10879.12</v>
      </c>
      <c r="J65" s="18" t="n">
        <v>-1190.7</v>
      </c>
      <c r="K65" s="37" t="n">
        <v>39244.69</v>
      </c>
      <c r="L65" s="18" t="n">
        <v>12867.7</v>
      </c>
      <c r="M65" s="18" t="n">
        <v>11423.42</v>
      </c>
      <c r="N65" s="18" t="n">
        <v>9471.5</v>
      </c>
      <c r="O65" s="18" t="n">
        <v>5406.49</v>
      </c>
      <c r="P65" s="37" t="n">
        <v>39169.11</v>
      </c>
      <c r="Q65" s="18" t="n">
        <v>11316.41</v>
      </c>
      <c r="R65" s="18" t="n">
        <v>18058.57</v>
      </c>
      <c r="S65" s="18" t="n">
        <v>4143.42</v>
      </c>
      <c r="T65" s="18" t="n">
        <v>7489.13</v>
      </c>
      <c r="U65" s="37" t="n">
        <v>41007.53</v>
      </c>
      <c r="V65" s="18" t="n">
        <v>9181.809999999999</v>
      </c>
      <c r="W65" s="18" t="n">
        <v>6455.6</v>
      </c>
      <c r="X65" s="18" t="n">
        <v>10781.48</v>
      </c>
      <c r="Y65" s="18" t="n">
        <v>8013.23</v>
      </c>
      <c r="Z65" s="37" t="n">
        <v>34432.12</v>
      </c>
      <c r="AA65" s="18" t="n">
        <v>8426.83</v>
      </c>
      <c r="AB65" s="19" t="n">
        <v>9577.67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이자수익</t>
        </is>
      </c>
      <c r="F66" s="9" t="n"/>
      <c r="G66" s="18" t="n">
        <v>134.71</v>
      </c>
      <c r="H66" s="18" t="n">
        <v>156.52</v>
      </c>
      <c r="I66" s="18" t="n">
        <v>218.34</v>
      </c>
      <c r="J66" s="18" t="n">
        <v>477.49</v>
      </c>
      <c r="K66" s="37" t="n">
        <v>987.0599999999999</v>
      </c>
      <c r="L66" s="18" t="n">
        <v>699.6799999999999</v>
      </c>
      <c r="M66" s="18" t="n">
        <v>819.6</v>
      </c>
      <c r="N66" s="18" t="n">
        <v>937.59</v>
      </c>
      <c r="O66" s="18" t="n">
        <v>1077.91</v>
      </c>
      <c r="P66" s="37" t="n">
        <v>3534.78</v>
      </c>
      <c r="Q66" s="18" t="n">
        <v>1078.24</v>
      </c>
      <c r="R66" s="18" t="n">
        <v>1126.21</v>
      </c>
      <c r="S66" s="18" t="n">
        <v>1098.85</v>
      </c>
      <c r="T66" s="18" t="n">
        <v>1026.17</v>
      </c>
      <c r="U66" s="37" t="n">
        <v>4329.47</v>
      </c>
      <c r="V66" s="18" t="n">
        <v>790.34</v>
      </c>
      <c r="W66" s="18" t="n">
        <v>696.9400000000001</v>
      </c>
      <c r="X66" s="18" t="n">
        <v>675.01</v>
      </c>
      <c r="Y66" s="18" t="n">
        <v>839.49</v>
      </c>
      <c r="Z66" s="37" t="n">
        <v>3001.78</v>
      </c>
      <c r="AA66" s="18" t="n">
        <v>844.49</v>
      </c>
      <c r="AB66" s="19" t="n">
        <v>828.62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이자비용</t>
        </is>
      </c>
      <c r="F67" s="9" t="n"/>
      <c r="G67" s="18" t="n">
        <v>53.79</v>
      </c>
      <c r="H67" s="18" t="n">
        <v>2.18</v>
      </c>
      <c r="I67" s="18" t="n">
        <v>3.08</v>
      </c>
      <c r="J67" s="18" t="n">
        <v>2.81</v>
      </c>
      <c r="K67" s="37" t="n">
        <v>61.86</v>
      </c>
      <c r="L67" s="18" t="n">
        <v>1.97</v>
      </c>
      <c r="M67" s="18" t="n">
        <v>11.16</v>
      </c>
      <c r="N67" s="18" t="n">
        <v>19.09</v>
      </c>
      <c r="O67" s="18" t="n">
        <v>18.77</v>
      </c>
      <c r="P67" s="37" t="n">
        <v>50.99</v>
      </c>
      <c r="Q67" s="18" t="n">
        <v>17.76</v>
      </c>
      <c r="R67" s="18" t="n">
        <v>14.19</v>
      </c>
      <c r="S67" s="18" t="n">
        <v>16.92</v>
      </c>
      <c r="T67" s="18" t="n">
        <v>16.97</v>
      </c>
      <c r="U67" s="37" t="n">
        <v>65.84</v>
      </c>
      <c r="V67" s="18" t="n">
        <v>15.88</v>
      </c>
      <c r="W67" s="18" t="n">
        <v>12.43</v>
      </c>
      <c r="X67" s="18" t="n">
        <v>10.37</v>
      </c>
      <c r="Y67" s="18" t="n">
        <v>10.23</v>
      </c>
      <c r="Z67" s="37" t="n">
        <v>48.91</v>
      </c>
      <c r="AA67" s="18" t="n">
        <v>10.01</v>
      </c>
      <c r="AB67" s="19" t="n">
        <v>11.22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이자손익</t>
        </is>
      </c>
      <c r="F68" s="9" t="n"/>
      <c r="G68" s="18" t="n">
        <v>80.92</v>
      </c>
      <c r="H68" s="18" t="n">
        <v>154.34</v>
      </c>
      <c r="I68" s="18" t="n">
        <v>215.26</v>
      </c>
      <c r="J68" s="18" t="n">
        <v>474.68</v>
      </c>
      <c r="K68" s="37" t="n">
        <v>925.2</v>
      </c>
      <c r="L68" s="18" t="n">
        <v>697.71</v>
      </c>
      <c r="M68" s="18" t="n">
        <v>808.4400000000001</v>
      </c>
      <c r="N68" s="18" t="n">
        <v>918.5</v>
      </c>
      <c r="O68" s="18" t="n">
        <v>1059.14</v>
      </c>
      <c r="P68" s="37" t="n">
        <v>3483.79</v>
      </c>
      <c r="Q68" s="18" t="n">
        <v>1060.48</v>
      </c>
      <c r="R68" s="18" t="n">
        <v>1112.02</v>
      </c>
      <c r="S68" s="18" t="n">
        <v>1081.93</v>
      </c>
      <c r="T68" s="18" t="n">
        <v>1009.2</v>
      </c>
      <c r="U68" s="37" t="n">
        <v>4263.63</v>
      </c>
      <c r="V68" s="18" t="n">
        <v>774.46</v>
      </c>
      <c r="W68" s="18" t="n">
        <v>684.51</v>
      </c>
      <c r="X68" s="18" t="n">
        <v>664.64</v>
      </c>
      <c r="Y68" s="18" t="n">
        <v>829.26</v>
      </c>
      <c r="Z68" s="37" t="n">
        <v>2952.87</v>
      </c>
      <c r="AA68" s="18" t="n">
        <v>834.48</v>
      </c>
      <c r="AB68" s="19" t="n">
        <v>817.4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영업활동으로인한현금흐름</t>
        </is>
      </c>
      <c r="E69" s="18" t="n">
        <v>-16250.24</v>
      </c>
      <c r="F69" s="9" t="n"/>
      <c r="G69" s="18" t="n">
        <v>-5295.24</v>
      </c>
      <c r="H69" s="18" t="n">
        <v>2543.66</v>
      </c>
      <c r="I69" s="18" t="n">
        <v>2923.94</v>
      </c>
      <c r="J69" s="18" t="n">
        <v>21252.31</v>
      </c>
      <c r="K69" s="37" t="n">
        <v>21424.67</v>
      </c>
      <c r="L69" s="18" t="n">
        <v>10439.1</v>
      </c>
      <c r="M69" s="18" t="n">
        <v>8760.879999999999</v>
      </c>
      <c r="N69" s="18" t="n">
        <v>15731.5</v>
      </c>
      <c r="O69" s="18" t="n">
        <v>615.04</v>
      </c>
      <c r="P69" s="37" t="n">
        <v>35546.52</v>
      </c>
      <c r="Q69" s="18" t="n">
        <v>11011.04</v>
      </c>
      <c r="R69" s="18" t="n">
        <v>21662.2</v>
      </c>
      <c r="S69" s="18" t="n">
        <v>3151.76</v>
      </c>
      <c r="T69" s="18" t="n">
        <v>-7319.64</v>
      </c>
      <c r="U69" s="37" t="n">
        <v>28505.36</v>
      </c>
      <c r="V69" s="18" t="n">
        <v>-5965.08</v>
      </c>
      <c r="W69" s="18" t="n">
        <v>4800.69</v>
      </c>
      <c r="X69" s="18" t="n">
        <v>19575.3</v>
      </c>
      <c r="Y69" s="18" t="n">
        <v>19469.11</v>
      </c>
      <c r="Z69" s="37" t="n">
        <v>37880.02</v>
      </c>
      <c r="AA69" s="18" t="n">
        <v>4911.75</v>
      </c>
      <c r="AB69" s="19" t="n">
        <v>2577.36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이자수취(CF)</t>
        </is>
      </c>
      <c r="E70" s="18" t="n">
        <v>90.95999999999999</v>
      </c>
      <c r="F70" s="9" t="n"/>
      <c r="G70" s="18" t="n">
        <v>93.76000000000001</v>
      </c>
      <c r="H70" s="18" t="n">
        <v>103.72</v>
      </c>
      <c r="I70" s="18" t="n">
        <v>232.47</v>
      </c>
      <c r="J70" s="18" t="n">
        <v>434.78</v>
      </c>
      <c r="K70" s="37" t="n">
        <v>864.73</v>
      </c>
      <c r="L70" s="18" t="n">
        <v>675.8</v>
      </c>
      <c r="M70" s="18" t="n">
        <v>761.5599999999999</v>
      </c>
      <c r="N70" s="18" t="n">
        <v>971.26</v>
      </c>
      <c r="O70" s="18" t="n">
        <v>1026.7</v>
      </c>
      <c r="P70" s="37" t="n">
        <v>3435.32</v>
      </c>
      <c r="Q70" s="18" t="n">
        <v>798.5599999999999</v>
      </c>
      <c r="R70" s="18" t="n">
        <v>1056.19</v>
      </c>
      <c r="S70" s="18" t="n">
        <v>670.62</v>
      </c>
      <c r="T70" s="18" t="n">
        <v>1331.74</v>
      </c>
      <c r="U70" s="37" t="n">
        <v>3857.11</v>
      </c>
      <c r="V70" s="18" t="n">
        <v>1012.35</v>
      </c>
      <c r="W70" s="18" t="n">
        <v>755.9400000000001</v>
      </c>
      <c r="X70" s="18" t="n">
        <v>520.51</v>
      </c>
      <c r="Y70" s="18" t="n">
        <v>856.33</v>
      </c>
      <c r="Z70" s="37" t="n">
        <v>3145.13</v>
      </c>
      <c r="AA70" s="18" t="n">
        <v>538.3200000000001</v>
      </c>
      <c r="AB70" s="19" t="n">
        <v>806.55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법인세납부(CF)</t>
        </is>
      </c>
      <c r="E71" s="18" t="n">
        <v>-24.1</v>
      </c>
      <c r="F71" s="9" t="n"/>
      <c r="G71" s="18" t="n">
        <v>-35.1</v>
      </c>
      <c r="H71" s="18" t="n">
        <v>359.51</v>
      </c>
      <c r="I71" s="18" t="n">
        <v>-55.76</v>
      </c>
      <c r="J71" s="18" t="n">
        <v>-81.88</v>
      </c>
      <c r="K71" s="37" t="n">
        <v>186.77</v>
      </c>
      <c r="L71" s="18" t="n">
        <v>-4137.89</v>
      </c>
      <c r="M71" s="18" t="n">
        <v>-5008</v>
      </c>
      <c r="N71" s="18" t="n">
        <v>-1575.96</v>
      </c>
      <c r="O71" s="18" t="n">
        <v>-1571.86</v>
      </c>
      <c r="P71" s="37" t="n">
        <v>-12293.71</v>
      </c>
      <c r="Q71" s="18" t="n">
        <v>-165.74</v>
      </c>
      <c r="R71" s="18" t="n">
        <v>-5851.77</v>
      </c>
      <c r="S71" s="18" t="n">
        <v>-2318.62</v>
      </c>
      <c r="T71" s="18" t="n">
        <v>-2146.05</v>
      </c>
      <c r="U71" s="37" t="n">
        <v>-10482.18</v>
      </c>
      <c r="V71" s="18" t="n">
        <v>-3423.95</v>
      </c>
      <c r="W71" s="18" t="n">
        <v>-4375.55</v>
      </c>
      <c r="X71" s="18" t="n">
        <v>-109.58</v>
      </c>
      <c r="Y71" s="18" t="n">
        <v>-4926.84</v>
      </c>
      <c r="Z71" s="37" t="n">
        <v>-12835.92</v>
      </c>
      <c r="AA71" s="18" t="n">
        <v>-1820.95</v>
      </c>
      <c r="AB71" s="19" t="n">
        <v>-2701.7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투자활동으로인한현금흐름</t>
        </is>
      </c>
      <c r="E72" s="18" t="n">
        <v>2727.04</v>
      </c>
      <c r="F72" s="9" t="n"/>
      <c r="G72" s="18" t="n">
        <v>29878.6</v>
      </c>
      <c r="H72" s="18" t="n">
        <v>2454.46</v>
      </c>
      <c r="I72" s="18" t="n">
        <v>8106.79</v>
      </c>
      <c r="J72" s="18" t="n">
        <v>1651.28</v>
      </c>
      <c r="K72" s="37" t="n">
        <v>42091.13</v>
      </c>
      <c r="L72" s="18" t="n">
        <v>1923.5</v>
      </c>
      <c r="M72" s="18" t="n">
        <v>-8839.91</v>
      </c>
      <c r="N72" s="18" t="n">
        <v>-505.1</v>
      </c>
      <c r="O72" s="18" t="n">
        <v>-26554.76</v>
      </c>
      <c r="P72" s="37" t="n">
        <v>-33976.27</v>
      </c>
      <c r="Q72" s="18" t="n">
        <v>-11857.63</v>
      </c>
      <c r="R72" s="18" t="n">
        <v>922.05</v>
      </c>
      <c r="S72" s="18" t="n">
        <v>-9248.74</v>
      </c>
      <c r="T72" s="18" t="n">
        <v>2832.59</v>
      </c>
      <c r="U72" s="37" t="n">
        <v>-17351.73</v>
      </c>
      <c r="V72" s="18" t="n">
        <v>-2766.92</v>
      </c>
      <c r="W72" s="18" t="n">
        <v>-6944.64</v>
      </c>
      <c r="X72" s="18" t="n">
        <v>-17248.61</v>
      </c>
      <c r="Y72" s="18" t="n">
        <v>-13357.9</v>
      </c>
      <c r="Z72" s="37" t="n">
        <v>-40318.07</v>
      </c>
      <c r="AA72" s="18" t="n">
        <v>1398.22</v>
      </c>
      <c r="AB72" s="19" t="n">
        <v>4434.12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유형자산의감소</t>
        </is>
      </c>
      <c r="E73" s="18" t="n">
        <v>43.09</v>
      </c>
      <c r="F73" s="9" t="n"/>
      <c r="I73" s="18" t="n">
        <v>0</v>
      </c>
      <c r="J73" s="18" t="n">
        <v>14.13</v>
      </c>
      <c r="K73" s="9" t="n"/>
      <c r="L73" s="18" t="n">
        <v>12.73</v>
      </c>
      <c r="M73" s="18" t="n">
        <v>94.93000000000001</v>
      </c>
      <c r="N73" s="18" t="n">
        <v>2.88</v>
      </c>
      <c r="O73" s="18" t="n">
        <v>8.18</v>
      </c>
      <c r="P73" s="37" t="n">
        <v>118.72</v>
      </c>
      <c r="Q73" s="18" t="n">
        <v>0</v>
      </c>
      <c r="R73" s="18" t="n">
        <v>4.05</v>
      </c>
      <c r="S73" s="18" t="n">
        <v>0</v>
      </c>
      <c r="T73" s="18" t="n">
        <v>0</v>
      </c>
      <c r="U73" s="37" t="n">
        <v>4.05</v>
      </c>
      <c r="V73" s="18" t="n">
        <v>27.82</v>
      </c>
      <c r="W73" s="18" t="n">
        <v>0</v>
      </c>
      <c r="X73" s="18" t="n">
        <v>22.73</v>
      </c>
      <c r="Y73" s="18" t="n">
        <v>0</v>
      </c>
      <c r="Z73" s="37" t="n">
        <v>50.55</v>
      </c>
      <c r="AA73" s="18" t="n">
        <v>0</v>
      </c>
      <c r="AB73" s="19" t="n">
        <v>0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유형자산의증가</t>
        </is>
      </c>
      <c r="E74" s="18" t="n">
        <v>1548.66</v>
      </c>
      <c r="F74" s="9" t="n"/>
      <c r="G74" s="18" t="n">
        <v>60</v>
      </c>
      <c r="H74" s="18" t="n">
        <v>41.52</v>
      </c>
      <c r="I74" s="18" t="n">
        <v>386.04</v>
      </c>
      <c r="J74" s="18" t="n">
        <v>471.24</v>
      </c>
      <c r="K74" s="37" t="n">
        <v>958.8</v>
      </c>
      <c r="L74" s="18" t="n">
        <v>397.99</v>
      </c>
      <c r="M74" s="18" t="n">
        <v>875.83</v>
      </c>
      <c r="N74" s="18" t="n">
        <v>373.04</v>
      </c>
      <c r="O74" s="18" t="n">
        <v>1018.16</v>
      </c>
      <c r="P74" s="37" t="n">
        <v>2665.02</v>
      </c>
      <c r="Q74" s="18" t="n">
        <v>335.83</v>
      </c>
      <c r="R74" s="18" t="n">
        <v>805.54</v>
      </c>
      <c r="S74" s="18" t="n">
        <v>1590.42</v>
      </c>
      <c r="T74" s="18" t="n">
        <v>212.06</v>
      </c>
      <c r="U74" s="37" t="n">
        <v>2943.85</v>
      </c>
      <c r="V74" s="18" t="n">
        <v>449.94</v>
      </c>
      <c r="W74" s="18" t="n">
        <v>312.82</v>
      </c>
      <c r="X74" s="18" t="n">
        <v>3638.61</v>
      </c>
      <c r="Y74" s="18" t="n">
        <v>70.31999999999999</v>
      </c>
      <c r="Z74" s="37" t="n">
        <v>4471.69</v>
      </c>
      <c r="AA74" s="18" t="n">
        <v>0</v>
      </c>
      <c r="AB74" s="19" t="n">
        <v>70.73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CAPEX</t>
        </is>
      </c>
      <c r="E75" s="18" t="n">
        <v>1548.66</v>
      </c>
      <c r="F75" s="9" t="n"/>
      <c r="G75" s="18" t="n">
        <v>60</v>
      </c>
      <c r="H75" s="18" t="n">
        <v>41.52</v>
      </c>
      <c r="I75" s="18" t="n">
        <v>386.04</v>
      </c>
      <c r="J75" s="18" t="n">
        <v>509.54</v>
      </c>
      <c r="K75" s="37" t="n">
        <v>997.1</v>
      </c>
      <c r="L75" s="18" t="n">
        <v>406.39</v>
      </c>
      <c r="M75" s="18" t="n">
        <v>875.83</v>
      </c>
      <c r="N75" s="18" t="n">
        <v>373.04</v>
      </c>
      <c r="O75" s="18" t="n">
        <v>1018.16</v>
      </c>
      <c r="P75" s="37" t="n">
        <v>2673.42</v>
      </c>
      <c r="Q75" s="18" t="n">
        <v>335.83</v>
      </c>
      <c r="R75" s="18" t="n">
        <v>805.54</v>
      </c>
      <c r="S75" s="18" t="n">
        <v>1590.42</v>
      </c>
      <c r="T75" s="18" t="n">
        <v>212.06</v>
      </c>
      <c r="U75" s="37" t="n">
        <v>2943.85</v>
      </c>
      <c r="V75" s="18" t="n">
        <v>657.9400000000001</v>
      </c>
      <c r="W75" s="18" t="n">
        <v>984.8200000000001</v>
      </c>
      <c r="X75" s="18" t="n">
        <v>3742.11</v>
      </c>
      <c r="Y75" s="18" t="n">
        <v>70.31999999999999</v>
      </c>
      <c r="Z75" s="37" t="n">
        <v>5455.19</v>
      </c>
      <c r="AA75" s="18" t="n">
        <v>0</v>
      </c>
      <c r="AB75" s="19" t="n">
        <v>70.73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무형자산의감소</t>
        </is>
      </c>
      <c r="E76" s="18" t="n">
        <v>0</v>
      </c>
      <c r="F76" s="9" t="n"/>
      <c r="I76" s="18" t="n">
        <v>0</v>
      </c>
      <c r="J76" s="18" t="n">
        <v>0</v>
      </c>
      <c r="K76" s="9" t="n"/>
      <c r="P76" s="9" t="n"/>
      <c r="U76" s="9" t="n"/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재무활동으로인한현금흐름</t>
        </is>
      </c>
      <c r="E77" s="18" t="n">
        <v>-140.97</v>
      </c>
      <c r="F77" s="9" t="n"/>
      <c r="G77" s="18" t="n">
        <v>-20143.71</v>
      </c>
      <c r="H77" s="18" t="n">
        <v>-2866.12</v>
      </c>
      <c r="I77" s="18" t="n">
        <v>-72.56</v>
      </c>
      <c r="J77" s="18" t="n">
        <v>-71.97</v>
      </c>
      <c r="K77" s="37" t="n">
        <v>-23154.36</v>
      </c>
      <c r="L77" s="18" t="n">
        <v>-74.09999999999999</v>
      </c>
      <c r="M77" s="18" t="n">
        <v>-872.29</v>
      </c>
      <c r="N77" s="18" t="n">
        <v>-90.48999999999999</v>
      </c>
      <c r="O77" s="18" t="n">
        <v>-94.73999999999999</v>
      </c>
      <c r="P77" s="37" t="n">
        <v>-1131.62</v>
      </c>
      <c r="Q77" s="18" t="n">
        <v>-84.05</v>
      </c>
      <c r="R77" s="18" t="n">
        <v>-4277.07</v>
      </c>
      <c r="S77" s="18" t="n">
        <v>-17779.98</v>
      </c>
      <c r="T77" s="18" t="n">
        <v>-2360.87</v>
      </c>
      <c r="U77" s="37" t="n">
        <v>-24501.97</v>
      </c>
      <c r="V77" s="18" t="n">
        <v>-88.95</v>
      </c>
      <c r="W77" s="18" t="n">
        <v>-5397.8</v>
      </c>
      <c r="X77" s="18" t="n">
        <v>577.76</v>
      </c>
      <c r="Y77" s="18" t="n">
        <v>-10.23</v>
      </c>
      <c r="Z77" s="37" t="n">
        <v>-4919.22</v>
      </c>
      <c r="AA77" s="18" t="n">
        <v>-10.01</v>
      </c>
      <c r="AB77" s="19" t="n">
        <v>-5322.69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단기차입금의증가</t>
        </is>
      </c>
      <c r="E78" s="18" t="n">
        <v>0</v>
      </c>
      <c r="F78" s="9" t="n"/>
      <c r="G78" s="18" t="n">
        <v>5000</v>
      </c>
      <c r="H78" s="18" t="n">
        <v>0</v>
      </c>
      <c r="I78" s="18" t="n">
        <v>0</v>
      </c>
      <c r="J78" s="18" t="n">
        <v>0</v>
      </c>
      <c r="K78" s="37" t="n">
        <v>5000</v>
      </c>
      <c r="L78" s="18" t="n">
        <v>0</v>
      </c>
      <c r="M78" s="18" t="n">
        <v>2000</v>
      </c>
      <c r="N78" s="18" t="n">
        <v>124.99</v>
      </c>
      <c r="O78" s="18" t="n">
        <v>0</v>
      </c>
      <c r="P78" s="37" t="n">
        <v>2124.99</v>
      </c>
      <c r="Q78" s="18" t="n">
        <v>0.49</v>
      </c>
      <c r="R78" s="18" t="n">
        <v>2000</v>
      </c>
      <c r="S78" s="18" t="n">
        <v>0</v>
      </c>
      <c r="T78" s="18" t="n">
        <v>0</v>
      </c>
      <c r="U78" s="37" t="n">
        <v>2000.49</v>
      </c>
      <c r="V78" s="18" t="n">
        <v>0</v>
      </c>
      <c r="W78" s="18" t="n">
        <v>0</v>
      </c>
      <c r="X78" s="18" t="n">
        <v>0</v>
      </c>
      <c r="Y78" s="18" t="n">
        <v>0</v>
      </c>
      <c r="Z78" s="37" t="n">
        <v>0</v>
      </c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단기차입금의감소</t>
        </is>
      </c>
      <c r="E79" s="18" t="n">
        <v>0</v>
      </c>
      <c r="F79" s="9" t="n"/>
      <c r="G79" s="18" t="n">
        <v>5000</v>
      </c>
      <c r="H79" s="18" t="n">
        <v>0</v>
      </c>
      <c r="I79" s="18" t="n">
        <v>0</v>
      </c>
      <c r="J79" s="18" t="n">
        <v>0</v>
      </c>
      <c r="K79" s="37" t="n">
        <v>5000</v>
      </c>
      <c r="L79" s="18" t="n">
        <v>0</v>
      </c>
      <c r="M79" s="18" t="n">
        <v>0</v>
      </c>
      <c r="N79" s="18" t="n">
        <v>124.99</v>
      </c>
      <c r="O79" s="18" t="n">
        <v>0</v>
      </c>
      <c r="P79" s="37" t="n">
        <v>124.99</v>
      </c>
      <c r="Q79" s="18" t="n">
        <v>0.49</v>
      </c>
      <c r="R79" s="18" t="n">
        <v>2000</v>
      </c>
      <c r="S79" s="18" t="n">
        <v>0</v>
      </c>
      <c r="T79" s="18" t="n">
        <v>0</v>
      </c>
      <c r="U79" s="37" t="n">
        <v>2000.49</v>
      </c>
      <c r="V79" s="18" t="n">
        <v>0</v>
      </c>
      <c r="W79" s="18" t="n">
        <v>0</v>
      </c>
      <c r="X79" s="18" t="n">
        <v>0</v>
      </c>
      <c r="Y79" s="18" t="n">
        <v>0</v>
      </c>
      <c r="Z79" s="37" t="n">
        <v>0</v>
      </c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이자지급(CF)</t>
        </is>
      </c>
      <c r="E80" s="18" t="n">
        <v>-70.17</v>
      </c>
      <c r="F80" s="9" t="n"/>
      <c r="G80" s="18" t="n">
        <v>-62.91</v>
      </c>
      <c r="H80" s="18" t="n">
        <v>-2.47</v>
      </c>
      <c r="I80" s="18" t="n">
        <v>0.65</v>
      </c>
      <c r="J80" s="18" t="n">
        <v>1.82</v>
      </c>
      <c r="K80" s="37" t="n">
        <v>-62.91</v>
      </c>
      <c r="L80" s="18" t="n">
        <v>0</v>
      </c>
      <c r="M80" s="18" t="n">
        <v>-5.33</v>
      </c>
      <c r="N80" s="18" t="n">
        <v>-16.39</v>
      </c>
      <c r="O80" s="18" t="n">
        <v>-20.65</v>
      </c>
      <c r="P80" s="37" t="n">
        <v>-42.37</v>
      </c>
      <c r="Q80" s="18" t="n">
        <v>-9.949999999999999</v>
      </c>
      <c r="R80" s="18" t="n">
        <v>-13.69</v>
      </c>
      <c r="S80" s="18" t="n">
        <v>-19.27</v>
      </c>
      <c r="T80" s="18" t="n">
        <v>-14.53</v>
      </c>
      <c r="U80" s="37" t="n">
        <v>-57.44</v>
      </c>
      <c r="V80" s="18" t="n">
        <v>-14.25</v>
      </c>
      <c r="W80" s="18" t="n">
        <v>-11.63</v>
      </c>
      <c r="X80" s="18" t="n">
        <v>-10.24</v>
      </c>
      <c r="Y80" s="18" t="n">
        <v>-10.23</v>
      </c>
      <c r="Z80" s="37" t="n">
        <v>-46.35</v>
      </c>
      <c r="AA80" s="18" t="n">
        <v>-10.01</v>
      </c>
      <c r="AB80" s="19" t="n">
        <v>-11.22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배당금지급</t>
        </is>
      </c>
      <c r="E81" s="18" t="n">
        <v>0</v>
      </c>
      <c r="F81" s="9" t="n"/>
      <c r="I81" s="18" t="n">
        <v>0</v>
      </c>
      <c r="J81" s="18" t="n">
        <v>0</v>
      </c>
      <c r="K81" s="9" t="n"/>
      <c r="N81" s="18" t="n">
        <v>0</v>
      </c>
      <c r="O81" s="18" t="n">
        <v>0</v>
      </c>
      <c r="P81" s="9" t="n"/>
      <c r="S81" s="18" t="n">
        <v>0</v>
      </c>
      <c r="T81" s="18" t="n">
        <v>0</v>
      </c>
      <c r="U81" s="9" t="n"/>
      <c r="X81" s="18" t="n">
        <v>0</v>
      </c>
      <c r="Y81" s="18" t="n">
        <v>0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유동성장기부채의감소</t>
        </is>
      </c>
      <c r="F82" s="9" t="n"/>
      <c r="G82" s="18" t="n">
        <v>20000</v>
      </c>
      <c r="H82" s="18" t="n">
        <v>0</v>
      </c>
      <c r="I82" s="18" t="n">
        <v>0</v>
      </c>
      <c r="J82" s="18" t="n">
        <v>0</v>
      </c>
      <c r="K82" s="37" t="n">
        <v>20000</v>
      </c>
      <c r="L82" s="18" t="n">
        <v>0</v>
      </c>
      <c r="M82" s="18" t="n">
        <v>0</v>
      </c>
      <c r="N82" s="18" t="n">
        <v>0</v>
      </c>
      <c r="O82" s="18" t="n">
        <v>0</v>
      </c>
      <c r="P82" s="37" t="n">
        <v>0</v>
      </c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무형자산의증가</t>
        </is>
      </c>
      <c r="F83" s="9" t="n"/>
      <c r="K83" s="9" t="n"/>
      <c r="L83" s="18" t="n">
        <v>8.4</v>
      </c>
      <c r="M83" s="18" t="n">
        <v>0</v>
      </c>
      <c r="N83" s="18" t="n">
        <v>0</v>
      </c>
      <c r="O83" s="18" t="n">
        <v>0</v>
      </c>
      <c r="P83" s="37" t="n">
        <v>8.4</v>
      </c>
      <c r="Q83" s="18" t="n">
        <v>0</v>
      </c>
      <c r="R83" s="18" t="n">
        <v>0</v>
      </c>
      <c r="S83" s="18" t="n">
        <v>0</v>
      </c>
      <c r="T83" s="18" t="n">
        <v>0</v>
      </c>
      <c r="U83" s="37" t="n">
        <v>0</v>
      </c>
      <c r="V83" s="18" t="n">
        <v>208</v>
      </c>
      <c r="W83" s="18" t="n">
        <v>672</v>
      </c>
      <c r="X83" s="18" t="n">
        <v>103.5</v>
      </c>
      <c r="Y83" s="18" t="n">
        <v>0</v>
      </c>
      <c r="Z83" s="37" t="n">
        <v>983.5</v>
      </c>
      <c r="AA83" s="18" t="n">
        <v>0</v>
      </c>
      <c r="AB83" s="19" t="n">
        <v>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자기주식의취득</t>
        </is>
      </c>
      <c r="F84" s="9" t="n"/>
      <c r="K84" s="9" t="n"/>
      <c r="P84" s="9" t="n"/>
      <c r="T84" s="18" t="n">
        <v>2271.64</v>
      </c>
      <c r="U84" s="9" t="n"/>
      <c r="Y84" s="18" t="n">
        <v>0</v>
      </c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리스부채의상환</t>
        </is>
      </c>
      <c r="F85" s="9" t="n"/>
      <c r="K85" s="9" t="n"/>
      <c r="P85" s="9" t="n"/>
      <c r="U85" s="9" t="n"/>
      <c r="V85" s="18" t="n">
        <v>74.7</v>
      </c>
      <c r="W85" s="18" t="n">
        <v>74.7</v>
      </c>
      <c r="X85" s="18" t="n">
        <v>21.8</v>
      </c>
      <c r="Y85" s="18" t="n">
        <v>0</v>
      </c>
      <c r="Z85" s="37" t="n">
        <v>171.2</v>
      </c>
      <c r="AA85" s="18" t="n">
        <v>0</v>
      </c>
      <c r="AB85" s="19" t="n">
        <v>0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기말현금및현금성자산</t>
        </is>
      </c>
      <c r="F86" s="9" t="n"/>
      <c r="K86" s="9" t="n"/>
      <c r="P86" s="9" t="n"/>
      <c r="U86" s="9" t="n"/>
      <c r="V86" s="18" t="n">
        <v>54892.54</v>
      </c>
      <c r="W86" s="18" t="n">
        <v>-8558.57</v>
      </c>
      <c r="X86" s="18" t="n">
        <v>3281.58</v>
      </c>
      <c r="Y86" s="18" t="n">
        <v>6200.66</v>
      </c>
      <c r="Z86" s="37" t="n">
        <v>55816.21</v>
      </c>
      <c r="AA86" s="18" t="n">
        <v>63726.93</v>
      </c>
      <c r="AB86" s="19" t="n">
        <v>2046.77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현금및현금성자산의증감</t>
        </is>
      </c>
      <c r="F87" s="9" t="n"/>
      <c r="K87" s="9" t="n"/>
      <c r="P87" s="9" t="n"/>
      <c r="U87" s="9" t="n"/>
      <c r="X87" s="18" t="n">
        <v>2904.46</v>
      </c>
      <c r="Y87" s="18" t="n">
        <v>6100.97</v>
      </c>
      <c r="Z87" s="9" t="n"/>
      <c r="AA87" s="18" t="n">
        <v>6299.96</v>
      </c>
      <c r="AB87" s="19" t="n">
        <v>1688.79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성광벤드(별)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206634.39</v>
      </c>
      <c r="F5" s="37" t="n">
        <v>206634.39</v>
      </c>
      <c r="G5" s="18" t="n">
        <v>224215.67</v>
      </c>
      <c r="H5" s="18" t="n">
        <v>238617.18</v>
      </c>
      <c r="I5" s="18" t="n">
        <v>254767.72</v>
      </c>
      <c r="J5" s="18" t="n">
        <v>249464.04</v>
      </c>
      <c r="K5" s="37" t="n">
        <v>249464.04</v>
      </c>
      <c r="L5" s="18" t="n">
        <v>258794.71</v>
      </c>
      <c r="M5" s="18" t="n">
        <v>264652.66</v>
      </c>
      <c r="N5" s="18" t="n">
        <v>279918.92</v>
      </c>
      <c r="O5" s="18" t="n">
        <v>272264.3</v>
      </c>
      <c r="P5" s="37" t="n">
        <v>272264.3</v>
      </c>
      <c r="Q5" s="18" t="n">
        <v>282549.55</v>
      </c>
      <c r="R5" s="18" t="n">
        <v>299538.38</v>
      </c>
      <c r="S5" s="18" t="n">
        <v>285690.14</v>
      </c>
      <c r="T5" s="18" t="n">
        <v>291522.87</v>
      </c>
      <c r="U5" s="37" t="n">
        <v>291522.87</v>
      </c>
      <c r="V5" s="18" t="n">
        <v>295144.43</v>
      </c>
      <c r="W5" s="18" t="n">
        <v>314367.68</v>
      </c>
      <c r="X5" s="18" t="n">
        <v>326530.36</v>
      </c>
      <c r="Y5" s="18" t="n">
        <v>332004.31</v>
      </c>
      <c r="Z5" s="37" t="n">
        <v>332004.31</v>
      </c>
      <c r="AA5" s="18" t="n">
        <v>322550.22</v>
      </c>
      <c r="AB5" s="19" t="n">
        <v>325508.99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33039.64</v>
      </c>
      <c r="F6" s="37" t="n">
        <v>33039.64</v>
      </c>
      <c r="G6" s="18" t="n">
        <v>34079.44</v>
      </c>
      <c r="H6" s="18" t="n">
        <v>38240.46</v>
      </c>
      <c r="I6" s="18" t="n">
        <v>51489.04</v>
      </c>
      <c r="J6" s="18" t="n">
        <v>67910.25999999999</v>
      </c>
      <c r="K6" s="37" t="n">
        <v>67910.25999999999</v>
      </c>
      <c r="L6" s="18" t="n">
        <v>77614.69</v>
      </c>
      <c r="M6" s="18" t="n">
        <v>78853.03</v>
      </c>
      <c r="N6" s="18" t="n">
        <v>93309.21000000001</v>
      </c>
      <c r="O6" s="18" t="n">
        <v>66338.39999999999</v>
      </c>
      <c r="P6" s="37" t="n">
        <v>66338.39999999999</v>
      </c>
      <c r="Q6" s="18" t="n">
        <v>64687.59</v>
      </c>
      <c r="R6" s="18" t="n">
        <v>84065.16</v>
      </c>
      <c r="S6" s="18" t="n">
        <v>61965.26</v>
      </c>
      <c r="T6" s="18" t="n">
        <v>55873.99</v>
      </c>
      <c r="U6" s="37" t="n">
        <v>55873.99</v>
      </c>
      <c r="V6" s="18" t="n">
        <v>47418.79</v>
      </c>
      <c r="W6" s="18" t="n">
        <v>40090.65</v>
      </c>
      <c r="X6" s="18" t="n">
        <v>43789.42</v>
      </c>
      <c r="Y6" s="18" t="n">
        <v>49512.85</v>
      </c>
      <c r="Z6" s="37" t="n">
        <v>49512.85</v>
      </c>
      <c r="AA6" s="18" t="n">
        <v>57605.29</v>
      </c>
      <c r="AB6" s="19" t="n">
        <v>58673.07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15966.27</v>
      </c>
      <c r="F7" s="37" t="n">
        <v>15966.27</v>
      </c>
      <c r="G7" s="18" t="n">
        <v>16716.27</v>
      </c>
      <c r="H7" s="18" t="n">
        <v>13986.27</v>
      </c>
      <c r="I7" s="18" t="n">
        <v>7758.48</v>
      </c>
      <c r="J7" s="18" t="n">
        <v>6167.69</v>
      </c>
      <c r="K7" s="37" t="n">
        <v>6167.69</v>
      </c>
      <c r="L7" s="18" t="n">
        <v>6460.89</v>
      </c>
      <c r="M7" s="18" t="n">
        <v>9739.1</v>
      </c>
      <c r="N7" s="18" t="n">
        <v>8110</v>
      </c>
      <c r="O7" s="18" t="n">
        <v>34503.49</v>
      </c>
      <c r="P7" s="37" t="n">
        <v>34503.49</v>
      </c>
      <c r="Q7" s="18" t="n">
        <v>45892.03</v>
      </c>
      <c r="R7" s="18" t="n">
        <v>42862.25</v>
      </c>
      <c r="S7" s="18" t="n">
        <v>49051</v>
      </c>
      <c r="T7" s="18" t="n">
        <v>46054.73</v>
      </c>
      <c r="U7" s="37" t="n">
        <v>46054.73</v>
      </c>
      <c r="V7" s="18" t="n">
        <v>48246.82</v>
      </c>
      <c r="W7" s="18" t="n">
        <v>72056.83</v>
      </c>
      <c r="X7" s="18" t="n">
        <v>85532.82000000001</v>
      </c>
      <c r="Y7" s="18" t="n">
        <v>98644.86</v>
      </c>
      <c r="Z7" s="37" t="n">
        <v>98644.86</v>
      </c>
      <c r="AA7" s="18" t="n">
        <v>78720.45</v>
      </c>
      <c r="AB7" s="19" t="n">
        <v>73903.58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30240.16</v>
      </c>
      <c r="F8" s="37" t="n">
        <v>30240.16</v>
      </c>
      <c r="G8" s="18" t="n">
        <v>36817.28</v>
      </c>
      <c r="H8" s="18" t="n">
        <v>46316.82</v>
      </c>
      <c r="I8" s="18" t="n">
        <v>50852.35</v>
      </c>
      <c r="J8" s="18" t="n">
        <v>37996.33</v>
      </c>
      <c r="K8" s="37" t="n">
        <v>37996.33</v>
      </c>
      <c r="L8" s="18" t="n">
        <v>44071.42</v>
      </c>
      <c r="M8" s="18" t="n">
        <v>48565.5</v>
      </c>
      <c r="N8" s="18" t="n">
        <v>44874.64</v>
      </c>
      <c r="O8" s="18" t="n">
        <v>43013.34</v>
      </c>
      <c r="P8" s="37" t="n">
        <v>43013.34</v>
      </c>
      <c r="Q8" s="18" t="n">
        <v>46038.72</v>
      </c>
      <c r="R8" s="18" t="n">
        <v>45572.54</v>
      </c>
      <c r="S8" s="18" t="n">
        <v>37204.27</v>
      </c>
      <c r="T8" s="18" t="n">
        <v>44995.72</v>
      </c>
      <c r="U8" s="37" t="n">
        <v>44995.72</v>
      </c>
      <c r="V8" s="18" t="n">
        <v>56247.99</v>
      </c>
      <c r="W8" s="18" t="n">
        <v>54560.6</v>
      </c>
      <c r="X8" s="18" t="n">
        <v>55471.45</v>
      </c>
      <c r="Y8" s="18" t="n">
        <v>41909.82</v>
      </c>
      <c r="Z8" s="37" t="n">
        <v>41909.82</v>
      </c>
      <c r="AA8" s="18" t="n">
        <v>45607.01</v>
      </c>
      <c r="AB8" s="19" t="n">
        <v>50412.16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재고자산</t>
        </is>
      </c>
      <c r="E9" s="18" t="n">
        <v>125498.83</v>
      </c>
      <c r="F9" s="37" t="n">
        <v>125498.83</v>
      </c>
      <c r="G9" s="18" t="n">
        <v>133954.02</v>
      </c>
      <c r="H9" s="18" t="n">
        <v>138620.78</v>
      </c>
      <c r="I9" s="18" t="n">
        <v>143334.31</v>
      </c>
      <c r="J9" s="18" t="n">
        <v>136920.31</v>
      </c>
      <c r="K9" s="37" t="n">
        <v>136920.31</v>
      </c>
      <c r="L9" s="18" t="n">
        <v>130371.41</v>
      </c>
      <c r="M9" s="18" t="n">
        <v>126993.63</v>
      </c>
      <c r="N9" s="18" t="n">
        <v>133018.23</v>
      </c>
      <c r="O9" s="18" t="n">
        <v>127776.12</v>
      </c>
      <c r="P9" s="37" t="n">
        <v>127776.12</v>
      </c>
      <c r="Q9" s="18" t="n">
        <v>125068.57</v>
      </c>
      <c r="R9" s="18" t="n">
        <v>125406.55</v>
      </c>
      <c r="S9" s="18" t="n">
        <v>136165.35</v>
      </c>
      <c r="T9" s="18" t="n">
        <v>143761.93</v>
      </c>
      <c r="U9" s="37" t="n">
        <v>143761.93</v>
      </c>
      <c r="V9" s="18" t="n">
        <v>142833.92</v>
      </c>
      <c r="W9" s="18" t="n">
        <v>146646.95</v>
      </c>
      <c r="X9" s="18" t="n">
        <v>140282.16</v>
      </c>
      <c r="Y9" s="18" t="n">
        <v>140875.68</v>
      </c>
      <c r="Z9" s="37" t="n">
        <v>140875.68</v>
      </c>
      <c r="AA9" s="18" t="n">
        <v>139078.65</v>
      </c>
      <c r="AB9" s="19" t="n">
        <v>140507.3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1556.42</v>
      </c>
      <c r="F10" s="37" t="n">
        <v>1556.42</v>
      </c>
      <c r="G10" s="18" t="n">
        <v>2254.04</v>
      </c>
      <c r="H10" s="18" t="n">
        <v>1452.85</v>
      </c>
      <c r="I10" s="18" t="n">
        <v>1333.54</v>
      </c>
      <c r="J10" s="18" t="n">
        <v>469.45</v>
      </c>
      <c r="K10" s="37" t="n">
        <v>469.45</v>
      </c>
      <c r="L10" s="18" t="n">
        <v>276.31</v>
      </c>
      <c r="M10" s="18" t="n">
        <v>501.38</v>
      </c>
      <c r="N10" s="18" t="n">
        <v>606.84</v>
      </c>
      <c r="O10" s="18" t="n">
        <v>632.96</v>
      </c>
      <c r="P10" s="37" t="n">
        <v>632.96</v>
      </c>
      <c r="Q10" s="18" t="n">
        <v>862.64</v>
      </c>
      <c r="R10" s="18" t="n">
        <v>1631.88</v>
      </c>
      <c r="S10" s="18" t="n">
        <v>1304.26</v>
      </c>
      <c r="T10" s="18" t="n">
        <v>836.5</v>
      </c>
      <c r="U10" s="37" t="n">
        <v>836.5</v>
      </c>
      <c r="V10" s="18" t="n">
        <v>396.92</v>
      </c>
      <c r="W10" s="18" t="n">
        <v>1012.66</v>
      </c>
      <c r="X10" s="18" t="n">
        <v>1454.53</v>
      </c>
      <c r="Y10" s="18" t="n">
        <v>1061.1</v>
      </c>
      <c r="Z10" s="37" t="n">
        <v>1061.1</v>
      </c>
      <c r="AA10" s="18" t="n">
        <v>1538.82</v>
      </c>
      <c r="AB10" s="19" t="n">
        <v>2012.88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333.06</v>
      </c>
      <c r="F11" s="37" t="n">
        <v>333.06</v>
      </c>
      <c r="G11" s="18" t="n">
        <v>394.61</v>
      </c>
      <c r="H11" s="18" t="n">
        <v>0</v>
      </c>
      <c r="I11" s="18" t="n">
        <v>0</v>
      </c>
      <c r="J11" s="18" t="n">
        <v>0</v>
      </c>
      <c r="K11" s="37" t="n">
        <v>0</v>
      </c>
      <c r="O11" s="18" t="n">
        <v>0</v>
      </c>
      <c r="P11" s="37" t="n">
        <v>0</v>
      </c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254066.41</v>
      </c>
      <c r="F12" s="37" t="n">
        <v>254066.41</v>
      </c>
      <c r="G12" s="18" t="n">
        <v>252432.18</v>
      </c>
      <c r="H12" s="18" t="n">
        <v>252106.83</v>
      </c>
      <c r="I12" s="18" t="n">
        <v>249529.72</v>
      </c>
      <c r="J12" s="18" t="n">
        <v>248585.39</v>
      </c>
      <c r="K12" s="37" t="n">
        <v>248585.39</v>
      </c>
      <c r="L12" s="18" t="n">
        <v>248020.03</v>
      </c>
      <c r="M12" s="18" t="n">
        <v>251254.41</v>
      </c>
      <c r="N12" s="18" t="n">
        <v>251234.17</v>
      </c>
      <c r="O12" s="18" t="n">
        <v>252130.75</v>
      </c>
      <c r="P12" s="37" t="n">
        <v>252130.75</v>
      </c>
      <c r="Q12" s="18" t="n">
        <v>250703.21</v>
      </c>
      <c r="R12" s="18" t="n">
        <v>249339.48</v>
      </c>
      <c r="S12" s="18" t="n">
        <v>251004.72</v>
      </c>
      <c r="T12" s="18" t="n">
        <v>246177.74</v>
      </c>
      <c r="U12" s="37" t="n">
        <v>246177.74</v>
      </c>
      <c r="V12" s="18" t="n">
        <v>246702.53</v>
      </c>
      <c r="W12" s="18" t="n">
        <v>228058.34</v>
      </c>
      <c r="X12" s="18" t="n">
        <v>227290.94</v>
      </c>
      <c r="Y12" s="18" t="n">
        <v>230998.79</v>
      </c>
      <c r="Z12" s="37" t="n">
        <v>230998.79</v>
      </c>
      <c r="AA12" s="18" t="n">
        <v>247653.68</v>
      </c>
      <c r="AB12" s="19" t="n">
        <v>246693.19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종속기업및관계기업투자</t>
        </is>
      </c>
      <c r="E13" s="18" t="n">
        <v>22428.63</v>
      </c>
      <c r="F13" s="37" t="n">
        <v>22428.63</v>
      </c>
      <c r="G13" s="18" t="n">
        <v>22428.63</v>
      </c>
      <c r="H13" s="18" t="n">
        <v>22428.63</v>
      </c>
      <c r="I13" s="18" t="n">
        <v>22428.63</v>
      </c>
      <c r="J13" s="18" t="n">
        <v>22428.63</v>
      </c>
      <c r="K13" s="37" t="n">
        <v>22428.63</v>
      </c>
      <c r="L13" s="18" t="n">
        <v>22428.63</v>
      </c>
      <c r="M13" s="18" t="n">
        <v>22428.63</v>
      </c>
      <c r="N13" s="18" t="n">
        <v>22428.63</v>
      </c>
      <c r="O13" s="18" t="n">
        <v>22428.63</v>
      </c>
      <c r="P13" s="37" t="n">
        <v>22428.63</v>
      </c>
      <c r="Q13" s="18" t="n">
        <v>22428.63</v>
      </c>
      <c r="R13" s="18" t="n">
        <v>22428.63</v>
      </c>
      <c r="S13" s="18" t="n">
        <v>22428.63</v>
      </c>
      <c r="T13" s="18" t="n">
        <v>22428.63</v>
      </c>
      <c r="U13" s="37" t="n">
        <v>22428.63</v>
      </c>
      <c r="V13" s="18" t="n">
        <v>22428.63</v>
      </c>
      <c r="W13" s="18" t="n">
        <v>22428.63</v>
      </c>
      <c r="X13" s="18" t="n">
        <v>22428.63</v>
      </c>
      <c r="Y13" s="18" t="n">
        <v>22428.63</v>
      </c>
      <c r="Z13" s="37" t="n">
        <v>22428.63</v>
      </c>
      <c r="AA13" s="18" t="n">
        <v>22428.63</v>
      </c>
      <c r="AB13" s="19" t="n">
        <v>22428.63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22428.63</v>
      </c>
      <c r="F14" s="37" t="n">
        <v>22428.63</v>
      </c>
      <c r="G14" s="18" t="n">
        <v>22428.63</v>
      </c>
      <c r="H14" s="18" t="n">
        <v>22428.63</v>
      </c>
      <c r="I14" s="18" t="n">
        <v>22428.63</v>
      </c>
      <c r="J14" s="18" t="n">
        <v>22428.63</v>
      </c>
      <c r="K14" s="37" t="n">
        <v>22428.63</v>
      </c>
      <c r="L14" s="18" t="n">
        <v>22428.63</v>
      </c>
      <c r="M14" s="18" t="n">
        <v>22428.63</v>
      </c>
      <c r="N14" s="18" t="n">
        <v>22428.63</v>
      </c>
      <c r="O14" s="18" t="n">
        <v>22428.63</v>
      </c>
      <c r="P14" s="37" t="n">
        <v>22428.63</v>
      </c>
      <c r="Q14" s="18" t="n">
        <v>22428.63</v>
      </c>
      <c r="R14" s="18" t="n">
        <v>22428.63</v>
      </c>
      <c r="S14" s="18" t="n">
        <v>22428.63</v>
      </c>
      <c r="T14" s="18" t="n">
        <v>22428.63</v>
      </c>
      <c r="U14" s="37" t="n">
        <v>22428.63</v>
      </c>
      <c r="V14" s="18" t="n">
        <v>22428.63</v>
      </c>
      <c r="W14" s="18" t="n">
        <v>22428.63</v>
      </c>
      <c r="X14" s="18" t="n">
        <v>22428.63</v>
      </c>
      <c r="Y14" s="18" t="n">
        <v>22428.63</v>
      </c>
      <c r="Z14" s="37" t="n">
        <v>22428.63</v>
      </c>
      <c r="AA14" s="18" t="n">
        <v>22428.63</v>
      </c>
      <c r="AB14" s="19" t="n">
        <v>22428.63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203485.86</v>
      </c>
      <c r="F15" s="37" t="n">
        <v>203485.86</v>
      </c>
      <c r="G15" s="18" t="n">
        <v>202725.77</v>
      </c>
      <c r="H15" s="18" t="n">
        <v>202783.76</v>
      </c>
      <c r="I15" s="18" t="n">
        <v>202471.36</v>
      </c>
      <c r="J15" s="18" t="n">
        <v>202050.39</v>
      </c>
      <c r="K15" s="37" t="n">
        <v>202050.39</v>
      </c>
      <c r="L15" s="18" t="n">
        <v>201457.79</v>
      </c>
      <c r="M15" s="18" t="n">
        <v>201657.32</v>
      </c>
      <c r="N15" s="18" t="n">
        <v>201534.61</v>
      </c>
      <c r="O15" s="18" t="n">
        <v>201336.14</v>
      </c>
      <c r="P15" s="37" t="n">
        <v>201336.14</v>
      </c>
      <c r="Q15" s="18" t="n">
        <v>200820.73</v>
      </c>
      <c r="R15" s="18" t="n">
        <v>199961.62</v>
      </c>
      <c r="S15" s="18" t="n">
        <v>200141.1</v>
      </c>
      <c r="T15" s="18" t="n">
        <v>199337.21</v>
      </c>
      <c r="U15" s="37" t="n">
        <v>199337.21</v>
      </c>
      <c r="V15" s="18" t="n">
        <v>198737.06</v>
      </c>
      <c r="W15" s="18" t="n">
        <v>200018.35</v>
      </c>
      <c r="X15" s="18" t="n">
        <v>199466.27</v>
      </c>
      <c r="Y15" s="18" t="n">
        <v>198736.67</v>
      </c>
      <c r="Z15" s="37" t="n">
        <v>198736.67</v>
      </c>
      <c r="AA15" s="18" t="n">
        <v>197910.1</v>
      </c>
      <c r="AB15" s="19" t="n">
        <v>197330.32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투자부동산</t>
        </is>
      </c>
      <c r="E16" s="18" t="n">
        <v>2035.47</v>
      </c>
      <c r="F16" s="37" t="n">
        <v>2035.47</v>
      </c>
      <c r="G16" s="18" t="n">
        <v>2031.08</v>
      </c>
      <c r="H16" s="18" t="n">
        <v>1414.76</v>
      </c>
      <c r="I16" s="18" t="n">
        <v>1411.44</v>
      </c>
      <c r="J16" s="18" t="n">
        <v>1408.12</v>
      </c>
      <c r="K16" s="37" t="n">
        <v>1408.12</v>
      </c>
      <c r="L16" s="18" t="n">
        <v>1404.8</v>
      </c>
      <c r="M16" s="18" t="n">
        <v>1401.48</v>
      </c>
      <c r="N16" s="18" t="n">
        <v>1398.16</v>
      </c>
      <c r="O16" s="18" t="n">
        <v>1394.84</v>
      </c>
      <c r="P16" s="37" t="n">
        <v>1394.84</v>
      </c>
      <c r="Q16" s="18" t="n">
        <v>1391.52</v>
      </c>
      <c r="R16" s="18" t="n">
        <v>1388.2</v>
      </c>
      <c r="S16" s="18" t="n">
        <v>1384.88</v>
      </c>
      <c r="T16" s="18" t="n">
        <v>1381.57</v>
      </c>
      <c r="U16" s="37" t="n">
        <v>1381.57</v>
      </c>
      <c r="V16" s="18" t="n">
        <v>1378.25</v>
      </c>
      <c r="W16" s="18" t="n">
        <v>1374.93</v>
      </c>
      <c r="X16" s="18" t="n">
        <v>1371.61</v>
      </c>
      <c r="Y16" s="18" t="n">
        <v>1368.29</v>
      </c>
      <c r="Z16" s="37" t="n">
        <v>1368.29</v>
      </c>
      <c r="AA16" s="18" t="n">
        <v>1364.97</v>
      </c>
      <c r="AB16" s="19" t="n">
        <v>1361.65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무형자산</t>
        </is>
      </c>
      <c r="E17" s="18" t="n">
        <v>583.21</v>
      </c>
      <c r="F17" s="37" t="n">
        <v>583.21</v>
      </c>
      <c r="G17" s="18" t="n">
        <v>581.6900000000001</v>
      </c>
      <c r="H17" s="18" t="n">
        <v>580.4</v>
      </c>
      <c r="I17" s="18" t="n">
        <v>579.24</v>
      </c>
      <c r="J17" s="18" t="n">
        <v>615.09</v>
      </c>
      <c r="K17" s="37" t="n">
        <v>615.09</v>
      </c>
      <c r="L17" s="18" t="n">
        <v>619.99</v>
      </c>
      <c r="M17" s="18" t="n">
        <v>617.5</v>
      </c>
      <c r="N17" s="18" t="n">
        <v>615.02</v>
      </c>
      <c r="O17" s="18" t="n">
        <v>612.53</v>
      </c>
      <c r="P17" s="37" t="n">
        <v>612.53</v>
      </c>
      <c r="Q17" s="18" t="n">
        <v>610.05</v>
      </c>
      <c r="R17" s="18" t="n">
        <v>607.71</v>
      </c>
      <c r="S17" s="18" t="n">
        <v>605.38</v>
      </c>
      <c r="T17" s="18" t="n">
        <v>603.04</v>
      </c>
      <c r="U17" s="37" t="n">
        <v>603.04</v>
      </c>
      <c r="V17" s="18" t="n">
        <v>808.11</v>
      </c>
      <c r="W17" s="18" t="n">
        <v>1474.94</v>
      </c>
      <c r="X17" s="18" t="n">
        <v>1571.31</v>
      </c>
      <c r="Y17" s="18" t="n">
        <v>2012.17</v>
      </c>
      <c r="Z17" s="37" t="n">
        <v>2012.17</v>
      </c>
      <c r="AA17" s="18" t="n">
        <v>2003.04</v>
      </c>
      <c r="AB17" s="19" t="n">
        <v>2015.17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자산총계</t>
        </is>
      </c>
      <c r="E18" s="18" t="n">
        <v>465072.04</v>
      </c>
      <c r="F18" s="37" t="n">
        <v>465072.04</v>
      </c>
      <c r="G18" s="18" t="n">
        <v>476647.85</v>
      </c>
      <c r="H18" s="18" t="n">
        <v>490724.02</v>
      </c>
      <c r="I18" s="18" t="n">
        <v>504297.44</v>
      </c>
      <c r="J18" s="18" t="n">
        <v>498049.43</v>
      </c>
      <c r="K18" s="37" t="n">
        <v>498049.43</v>
      </c>
      <c r="L18" s="18" t="n">
        <v>506814.74</v>
      </c>
      <c r="M18" s="18" t="n">
        <v>515907.06</v>
      </c>
      <c r="N18" s="18" t="n">
        <v>531153.08</v>
      </c>
      <c r="O18" s="18" t="n">
        <v>524395.05</v>
      </c>
      <c r="P18" s="37" t="n">
        <v>524395.05</v>
      </c>
      <c r="Q18" s="18" t="n">
        <v>533252.76</v>
      </c>
      <c r="R18" s="18" t="n">
        <v>548877.86</v>
      </c>
      <c r="S18" s="18" t="n">
        <v>536694.86</v>
      </c>
      <c r="T18" s="18" t="n">
        <v>537700.61</v>
      </c>
      <c r="U18" s="37" t="n">
        <v>537700.61</v>
      </c>
      <c r="V18" s="18" t="n">
        <v>541846.96</v>
      </c>
      <c r="W18" s="18" t="n">
        <v>542426.02</v>
      </c>
      <c r="X18" s="18" t="n">
        <v>553821.3100000001</v>
      </c>
      <c r="Y18" s="18" t="n">
        <v>563003.1</v>
      </c>
      <c r="Z18" s="37" t="n">
        <v>563003.1</v>
      </c>
      <c r="AA18" s="18" t="n">
        <v>570203.9</v>
      </c>
      <c r="AB18" s="19" t="n">
        <v>572202.1800000001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유동부채</t>
        </is>
      </c>
      <c r="E19" s="18" t="n">
        <v>20993.96</v>
      </c>
      <c r="F19" s="37" t="n">
        <v>20993.96</v>
      </c>
      <c r="G19" s="18" t="n">
        <v>27524.31</v>
      </c>
      <c r="H19" s="18" t="n">
        <v>32703.44</v>
      </c>
      <c r="I19" s="18" t="n">
        <v>35695.92</v>
      </c>
      <c r="J19" s="18" t="n">
        <v>33379.09</v>
      </c>
      <c r="K19" s="37" t="n">
        <v>33379.09</v>
      </c>
      <c r="L19" s="18" t="n">
        <v>32588.24</v>
      </c>
      <c r="M19" s="18" t="n">
        <v>31991.29</v>
      </c>
      <c r="N19" s="18" t="n">
        <v>37670.44</v>
      </c>
      <c r="O19" s="18" t="n">
        <v>30980.86</v>
      </c>
      <c r="P19" s="37" t="n">
        <v>30980.86</v>
      </c>
      <c r="Q19" s="18" t="n">
        <v>34310.31</v>
      </c>
      <c r="R19" s="18" t="n">
        <v>32558.52</v>
      </c>
      <c r="S19" s="18" t="n">
        <v>33545.09</v>
      </c>
      <c r="T19" s="18" t="n">
        <v>32392.49</v>
      </c>
      <c r="U19" s="37" t="n">
        <v>32392.49</v>
      </c>
      <c r="V19" s="18" t="n">
        <v>34693.4</v>
      </c>
      <c r="W19" s="18" t="n">
        <v>29540.89</v>
      </c>
      <c r="X19" s="18" t="n">
        <v>29575.47</v>
      </c>
      <c r="Y19" s="18" t="n">
        <v>27157.54</v>
      </c>
      <c r="Z19" s="37" t="n">
        <v>27157.54</v>
      </c>
      <c r="AA19" s="18" t="n">
        <v>31991</v>
      </c>
      <c r="AB19" s="19" t="n">
        <v>25637.5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매입채무및기타채무</t>
        </is>
      </c>
      <c r="E20" s="18" t="n">
        <v>18580.26</v>
      </c>
      <c r="F20" s="37" t="n">
        <v>18580.26</v>
      </c>
      <c r="G20" s="18" t="n">
        <v>22803.74</v>
      </c>
      <c r="H20" s="18" t="n">
        <v>26183.12</v>
      </c>
      <c r="I20" s="18" t="n">
        <v>25187.33</v>
      </c>
      <c r="J20" s="18" t="n">
        <v>22822.02</v>
      </c>
      <c r="K20" s="37" t="n">
        <v>22822.02</v>
      </c>
      <c r="L20" s="18" t="n">
        <v>22521.43</v>
      </c>
      <c r="M20" s="18" t="n">
        <v>20594.57</v>
      </c>
      <c r="N20" s="18" t="n">
        <v>24011.7</v>
      </c>
      <c r="O20" s="18" t="n">
        <v>19668.63</v>
      </c>
      <c r="P20" s="37" t="n">
        <v>19668.63</v>
      </c>
      <c r="Q20" s="18" t="n">
        <v>22067.37</v>
      </c>
      <c r="R20" s="18" t="n">
        <v>19440.99</v>
      </c>
      <c r="S20" s="18" t="n">
        <v>21156.97</v>
      </c>
      <c r="T20" s="18" t="n">
        <v>21212.04</v>
      </c>
      <c r="U20" s="37" t="n">
        <v>21212.04</v>
      </c>
      <c r="V20" s="18" t="n">
        <v>25067.97</v>
      </c>
      <c r="W20" s="18" t="n">
        <v>21744.66</v>
      </c>
      <c r="X20" s="18" t="n">
        <v>18782.69</v>
      </c>
      <c r="Y20" s="18" t="n">
        <v>19134.74</v>
      </c>
      <c r="Z20" s="37" t="n">
        <v>19134.74</v>
      </c>
      <c r="AA20" s="18" t="n">
        <v>24139.51</v>
      </c>
      <c r="AB20" s="19" t="n">
        <v>17206.52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유동리스부채</t>
        </is>
      </c>
      <c r="E21" s="18" t="n">
        <v>102.08</v>
      </c>
      <c r="F21" s="37" t="n">
        <v>102.08</v>
      </c>
      <c r="G21" s="18" t="n">
        <v>31.81</v>
      </c>
      <c r="H21" s="18" t="n">
        <v>145.61</v>
      </c>
      <c r="I21" s="18" t="n">
        <v>222.58</v>
      </c>
      <c r="J21" s="18" t="n">
        <v>170.57</v>
      </c>
      <c r="K21" s="37" t="n">
        <v>170.57</v>
      </c>
      <c r="L21" s="18" t="n">
        <v>98.44</v>
      </c>
      <c r="M21" s="18" t="n">
        <v>25.35</v>
      </c>
      <c r="N21" s="18" t="n">
        <v>190.28</v>
      </c>
      <c r="O21" s="18" t="n">
        <v>170.33</v>
      </c>
      <c r="P21" s="37" t="n">
        <v>170.33</v>
      </c>
      <c r="Q21" s="18" t="n">
        <v>98.37</v>
      </c>
      <c r="R21" s="18" t="n">
        <v>25.35</v>
      </c>
      <c r="S21" s="18" t="n">
        <v>191.41</v>
      </c>
      <c r="T21" s="18" t="n">
        <v>168.64</v>
      </c>
      <c r="U21" s="37" t="n">
        <v>168.64</v>
      </c>
      <c r="V21" s="18" t="n">
        <v>95.56999999999999</v>
      </c>
      <c r="W21" s="18" t="n">
        <v>21.67</v>
      </c>
      <c r="X21" s="18" t="n">
        <v>0</v>
      </c>
      <c r="Y21" s="18" t="n">
        <v>0</v>
      </c>
      <c r="Z21" s="37" t="n">
        <v>0</v>
      </c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리스부채</t>
        </is>
      </c>
      <c r="E22" s="18" t="n">
        <v>102.08</v>
      </c>
      <c r="F22" s="37" t="n">
        <v>102.08</v>
      </c>
      <c r="G22" s="18" t="n">
        <v>31.81</v>
      </c>
      <c r="H22" s="18" t="n">
        <v>145.61</v>
      </c>
      <c r="I22" s="18" t="n">
        <v>222.58</v>
      </c>
      <c r="J22" s="18" t="n">
        <v>170.57</v>
      </c>
      <c r="K22" s="37" t="n">
        <v>170.57</v>
      </c>
      <c r="L22" s="18" t="n">
        <v>98.44</v>
      </c>
      <c r="M22" s="18" t="n">
        <v>25.35</v>
      </c>
      <c r="N22" s="18" t="n">
        <v>190.28</v>
      </c>
      <c r="O22" s="18" t="n">
        <v>170.33</v>
      </c>
      <c r="P22" s="37" t="n">
        <v>170.33</v>
      </c>
      <c r="Q22" s="18" t="n">
        <v>98.37</v>
      </c>
      <c r="R22" s="18" t="n">
        <v>25.35</v>
      </c>
      <c r="S22" s="18" t="n">
        <v>191.41</v>
      </c>
      <c r="T22" s="18" t="n">
        <v>168.64</v>
      </c>
      <c r="U22" s="37" t="n">
        <v>168.64</v>
      </c>
      <c r="V22" s="18" t="n">
        <v>95.56999999999999</v>
      </c>
      <c r="W22" s="18" t="n">
        <v>21.67</v>
      </c>
      <c r="X22" s="18" t="n">
        <v>0</v>
      </c>
      <c r="Y22" s="18" t="n">
        <v>0</v>
      </c>
      <c r="Z22" s="37" t="n">
        <v>0</v>
      </c>
      <c r="AB22" s="5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단기금융부채</t>
        </is>
      </c>
      <c r="E23" s="18" t="n">
        <v>102.08</v>
      </c>
      <c r="F23" s="37" t="n">
        <v>102.08</v>
      </c>
      <c r="G23" s="18" t="n">
        <v>31.81</v>
      </c>
      <c r="H23" s="18" t="n">
        <v>145.61</v>
      </c>
      <c r="I23" s="18" t="n">
        <v>222.58</v>
      </c>
      <c r="J23" s="18" t="n">
        <v>170.57</v>
      </c>
      <c r="K23" s="37" t="n">
        <v>170.57</v>
      </c>
      <c r="L23" s="18" t="n">
        <v>98.44</v>
      </c>
      <c r="M23" s="18" t="n">
        <v>25.35</v>
      </c>
      <c r="N23" s="18" t="n">
        <v>190.28</v>
      </c>
      <c r="O23" s="18" t="n">
        <v>170.33</v>
      </c>
      <c r="P23" s="37" t="n">
        <v>170.33</v>
      </c>
      <c r="Q23" s="18" t="n">
        <v>98.37</v>
      </c>
      <c r="R23" s="18" t="n">
        <v>25.35</v>
      </c>
      <c r="S23" s="18" t="n">
        <v>191.41</v>
      </c>
      <c r="T23" s="18" t="n">
        <v>168.64</v>
      </c>
      <c r="U23" s="37" t="n">
        <v>168.64</v>
      </c>
      <c r="V23" s="18" t="n">
        <v>95.56999999999999</v>
      </c>
      <c r="W23" s="18" t="n">
        <v>21.67</v>
      </c>
      <c r="X23" s="18" t="n">
        <v>0</v>
      </c>
      <c r="Y23" s="18" t="n">
        <v>0</v>
      </c>
      <c r="Z23" s="37" t="n">
        <v>0</v>
      </c>
      <c r="AB23" s="5" t="n"/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기타유동부채</t>
        </is>
      </c>
      <c r="E24" s="18" t="n">
        <v>2311.62</v>
      </c>
      <c r="F24" s="37" t="n">
        <v>2311.62</v>
      </c>
      <c r="G24" s="18" t="n">
        <v>4001.63</v>
      </c>
      <c r="H24" s="18" t="n">
        <v>2913.9</v>
      </c>
      <c r="I24" s="18" t="n">
        <v>3196.38</v>
      </c>
      <c r="J24" s="18" t="n">
        <v>2737.84</v>
      </c>
      <c r="K24" s="37" t="n">
        <v>2737.84</v>
      </c>
      <c r="L24" s="18" t="n">
        <v>1928.99</v>
      </c>
      <c r="M24" s="18" t="n">
        <v>2472.25</v>
      </c>
      <c r="N24" s="18" t="n">
        <v>3579.57</v>
      </c>
      <c r="O24" s="18" t="n">
        <v>2869.05</v>
      </c>
      <c r="P24" s="37" t="n">
        <v>2869.05</v>
      </c>
      <c r="Q24" s="18" t="n">
        <v>1135.74</v>
      </c>
      <c r="R24" s="18" t="n">
        <v>3108.88</v>
      </c>
      <c r="S24" s="18" t="n">
        <v>3047.12</v>
      </c>
      <c r="T24" s="18" t="n">
        <v>2262.59</v>
      </c>
      <c r="U24" s="37" t="n">
        <v>2262.59</v>
      </c>
      <c r="V24" s="18" t="n">
        <v>789.4</v>
      </c>
      <c r="W24" s="18" t="n">
        <v>1251.72</v>
      </c>
      <c r="X24" s="18" t="n">
        <v>1505.92</v>
      </c>
      <c r="Y24" s="18" t="n">
        <v>1780.98</v>
      </c>
      <c r="Z24" s="37" t="n">
        <v>1780.98</v>
      </c>
      <c r="AA24" s="18" t="n">
        <v>458.89</v>
      </c>
      <c r="AB24" s="19" t="n">
        <v>601.72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당기법인세부채(미지급법인세)</t>
        </is>
      </c>
      <c r="E25" s="18" t="n">
        <v>0</v>
      </c>
      <c r="F25" s="37" t="n">
        <v>0</v>
      </c>
      <c r="G25" s="18" t="n">
        <v>687.13</v>
      </c>
      <c r="H25" s="18" t="n">
        <v>3460.81</v>
      </c>
      <c r="I25" s="18" t="n">
        <v>7089.64</v>
      </c>
      <c r="J25" s="18" t="n">
        <v>6174.46</v>
      </c>
      <c r="K25" s="37" t="n">
        <v>6174.46</v>
      </c>
      <c r="L25" s="18" t="n">
        <v>6637.92</v>
      </c>
      <c r="M25" s="18" t="n">
        <v>5931.09</v>
      </c>
      <c r="N25" s="18" t="n">
        <v>7335.85</v>
      </c>
      <c r="O25" s="18" t="n">
        <v>5719.81</v>
      </c>
      <c r="P25" s="37" t="n">
        <v>5719.81</v>
      </c>
      <c r="Q25" s="18" t="n">
        <v>8518.65</v>
      </c>
      <c r="R25" s="18" t="n">
        <v>7827.27</v>
      </c>
      <c r="S25" s="18" t="n">
        <v>7149.59</v>
      </c>
      <c r="T25" s="18" t="n">
        <v>6749.21</v>
      </c>
      <c r="U25" s="37" t="n">
        <v>6749.21</v>
      </c>
      <c r="V25" s="18" t="n">
        <v>6740.46</v>
      </c>
      <c r="W25" s="18" t="n">
        <v>4522.84</v>
      </c>
      <c r="X25" s="18" t="n">
        <v>7286.86</v>
      </c>
      <c r="Y25" s="18" t="n">
        <v>4241.82</v>
      </c>
      <c r="Z25" s="37" t="n">
        <v>4241.82</v>
      </c>
      <c r="AA25" s="18" t="n">
        <v>5392.59</v>
      </c>
      <c r="AB25" s="19" t="n">
        <v>5829.26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비유동부채</t>
        </is>
      </c>
      <c r="E26" s="18" t="n">
        <v>14580.89</v>
      </c>
      <c r="F26" s="37" t="n">
        <v>14580.89</v>
      </c>
      <c r="G26" s="18" t="n">
        <v>15878.94</v>
      </c>
      <c r="H26" s="18" t="n">
        <v>15890.68</v>
      </c>
      <c r="I26" s="18" t="n">
        <v>15841.4</v>
      </c>
      <c r="J26" s="18" t="n">
        <v>12256.09</v>
      </c>
      <c r="K26" s="37" t="n">
        <v>12256.09</v>
      </c>
      <c r="L26" s="18" t="n">
        <v>12512.21</v>
      </c>
      <c r="M26" s="18" t="n">
        <v>11288.32</v>
      </c>
      <c r="N26" s="18" t="n">
        <v>11533.54</v>
      </c>
      <c r="O26" s="18" t="n">
        <v>10133.32</v>
      </c>
      <c r="P26" s="37" t="n">
        <v>10133.32</v>
      </c>
      <c r="Q26" s="18" t="n">
        <v>8937.870000000001</v>
      </c>
      <c r="R26" s="18" t="n">
        <v>8864.530000000001</v>
      </c>
      <c r="S26" s="18" t="n">
        <v>8851.959999999999</v>
      </c>
      <c r="T26" s="18" t="n">
        <v>9528.35</v>
      </c>
      <c r="U26" s="37" t="n">
        <v>9528.35</v>
      </c>
      <c r="V26" s="18" t="n">
        <v>7989.72</v>
      </c>
      <c r="W26" s="18" t="n">
        <v>7597.45</v>
      </c>
      <c r="X26" s="18" t="n">
        <v>8578.74</v>
      </c>
      <c r="Y26" s="18" t="n">
        <v>11186.88</v>
      </c>
      <c r="Z26" s="37" t="n">
        <v>11186.88</v>
      </c>
      <c r="AA26" s="18" t="n">
        <v>10774.95</v>
      </c>
      <c r="AB26" s="19" t="n">
        <v>10389.31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확정급여부채</t>
        </is>
      </c>
      <c r="E27" s="18" t="n">
        <v>7674.22</v>
      </c>
      <c r="F27" s="37" t="n">
        <v>7674.22</v>
      </c>
      <c r="G27" s="18" t="n">
        <v>8117.4</v>
      </c>
      <c r="H27" s="18" t="n">
        <v>8395.299999999999</v>
      </c>
      <c r="I27" s="18" t="n">
        <v>8728.74</v>
      </c>
      <c r="J27" s="18" t="n">
        <v>4144.41</v>
      </c>
      <c r="K27" s="37" t="n">
        <v>4144.41</v>
      </c>
      <c r="L27" s="18" t="n">
        <v>4326.19</v>
      </c>
      <c r="M27" s="18" t="n">
        <v>2764.64</v>
      </c>
      <c r="N27" s="18" t="n">
        <v>3233.92</v>
      </c>
      <c r="O27" s="18" t="n">
        <v>0</v>
      </c>
      <c r="P27" s="37" t="n">
        <v>0</v>
      </c>
      <c r="T27" s="18" t="n">
        <v>2659.43</v>
      </c>
      <c r="U27" s="37" t="n">
        <v>2659.43</v>
      </c>
      <c r="V27" s="18" t="n">
        <v>0</v>
      </c>
      <c r="W27" s="18" t="n">
        <v>0</v>
      </c>
      <c r="X27" s="18" t="n">
        <v>243.3</v>
      </c>
      <c r="Y27" s="18" t="n">
        <v>0</v>
      </c>
      <c r="Z27" s="37" t="n">
        <v>0</v>
      </c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기타비유동금융부채</t>
        </is>
      </c>
      <c r="E28" s="18" t="n">
        <v>240</v>
      </c>
      <c r="F28" s="37" t="n">
        <v>240</v>
      </c>
      <c r="G28" s="18" t="n">
        <v>230</v>
      </c>
      <c r="H28" s="18" t="n">
        <v>230</v>
      </c>
      <c r="I28" s="18" t="n">
        <v>230</v>
      </c>
      <c r="J28" s="18" t="n">
        <v>230</v>
      </c>
      <c r="K28" s="37" t="n">
        <v>230</v>
      </c>
      <c r="L28" s="18" t="n">
        <v>230</v>
      </c>
      <c r="M28" s="18" t="n">
        <v>230</v>
      </c>
      <c r="N28" s="18" t="n">
        <v>230</v>
      </c>
      <c r="O28" s="18" t="n">
        <v>230</v>
      </c>
      <c r="P28" s="37" t="n">
        <v>230</v>
      </c>
      <c r="Q28" s="18" t="n">
        <v>230</v>
      </c>
      <c r="R28" s="18" t="n">
        <v>230</v>
      </c>
      <c r="S28" s="18" t="n">
        <v>230</v>
      </c>
      <c r="T28" s="18" t="n">
        <v>230</v>
      </c>
      <c r="U28" s="37" t="n">
        <v>230</v>
      </c>
      <c r="V28" s="18" t="n">
        <v>230</v>
      </c>
      <c r="W28" s="18" t="n">
        <v>230</v>
      </c>
      <c r="X28" s="18" t="n">
        <v>839.8</v>
      </c>
      <c r="Y28" s="18" t="n">
        <v>839.8</v>
      </c>
      <c r="Z28" s="37" t="n">
        <v>839.8</v>
      </c>
      <c r="AA28" s="18" t="n">
        <v>839.8</v>
      </c>
      <c r="AB28" s="19" t="n">
        <v>839.8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장기금융부채</t>
        </is>
      </c>
      <c r="E29" s="18" t="n">
        <v>240</v>
      </c>
      <c r="F29" s="37" t="n">
        <v>240</v>
      </c>
      <c r="G29" s="18" t="n">
        <v>230</v>
      </c>
      <c r="H29" s="18" t="n">
        <v>230</v>
      </c>
      <c r="I29" s="18" t="n">
        <v>230</v>
      </c>
      <c r="J29" s="18" t="n">
        <v>230</v>
      </c>
      <c r="K29" s="37" t="n">
        <v>230</v>
      </c>
      <c r="L29" s="18" t="n">
        <v>230</v>
      </c>
      <c r="M29" s="18" t="n">
        <v>230</v>
      </c>
      <c r="N29" s="18" t="n">
        <v>230</v>
      </c>
      <c r="O29" s="18" t="n">
        <v>230</v>
      </c>
      <c r="P29" s="37" t="n">
        <v>230</v>
      </c>
      <c r="Q29" s="18" t="n">
        <v>230</v>
      </c>
      <c r="R29" s="18" t="n">
        <v>230</v>
      </c>
      <c r="S29" s="18" t="n">
        <v>230</v>
      </c>
      <c r="T29" s="18" t="n">
        <v>230</v>
      </c>
      <c r="U29" s="37" t="n">
        <v>230</v>
      </c>
      <c r="V29" s="18" t="n">
        <v>230</v>
      </c>
      <c r="W29" s="18" t="n">
        <v>230</v>
      </c>
      <c r="X29" s="18" t="n">
        <v>839.8</v>
      </c>
      <c r="Y29" s="18" t="n">
        <v>839.8</v>
      </c>
      <c r="Z29" s="37" t="n">
        <v>839.8</v>
      </c>
      <c r="AA29" s="18" t="n">
        <v>839.8</v>
      </c>
      <c r="AB29" s="19" t="n">
        <v>839.8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이연법인세부채</t>
        </is>
      </c>
      <c r="E30" s="18" t="n">
        <v>5513.8</v>
      </c>
      <c r="F30" s="37" t="n">
        <v>5513.8</v>
      </c>
      <c r="G30" s="18" t="n">
        <v>6372.71</v>
      </c>
      <c r="H30" s="18" t="n">
        <v>6117.23</v>
      </c>
      <c r="I30" s="18" t="n">
        <v>5738.95</v>
      </c>
      <c r="J30" s="18" t="n">
        <v>6917.04</v>
      </c>
      <c r="K30" s="37" t="n">
        <v>6917.04</v>
      </c>
      <c r="L30" s="18" t="n">
        <v>6994.39</v>
      </c>
      <c r="M30" s="18" t="n">
        <v>7318.92</v>
      </c>
      <c r="N30" s="18" t="n">
        <v>7085.24</v>
      </c>
      <c r="O30" s="18" t="n">
        <v>8708.290000000001</v>
      </c>
      <c r="P30" s="37" t="n">
        <v>8708.290000000001</v>
      </c>
      <c r="Q30" s="18" t="n">
        <v>7487.45</v>
      </c>
      <c r="R30" s="18" t="n">
        <v>7390.61</v>
      </c>
      <c r="S30" s="18" t="n">
        <v>7344.12</v>
      </c>
      <c r="T30" s="18" t="n">
        <v>6638.92</v>
      </c>
      <c r="U30" s="37" t="n">
        <v>6638.92</v>
      </c>
      <c r="V30" s="18" t="n">
        <v>5615.41</v>
      </c>
      <c r="W30" s="18" t="n">
        <v>5189.93</v>
      </c>
      <c r="X30" s="18" t="n">
        <v>5306.38</v>
      </c>
      <c r="Y30" s="18" t="n">
        <v>6932.34</v>
      </c>
      <c r="Z30" s="37" t="n">
        <v>6932.34</v>
      </c>
      <c r="AA30" s="18" t="n">
        <v>6417.96</v>
      </c>
      <c r="AB30" s="19" t="n">
        <v>5964.32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부채총계</t>
        </is>
      </c>
      <c r="E31" s="18" t="n">
        <v>35574.85</v>
      </c>
      <c r="F31" s="37" t="n">
        <v>35574.85</v>
      </c>
      <c r="G31" s="18" t="n">
        <v>43403.24</v>
      </c>
      <c r="H31" s="18" t="n">
        <v>48594.12</v>
      </c>
      <c r="I31" s="18" t="n">
        <v>51537.32</v>
      </c>
      <c r="J31" s="18" t="n">
        <v>45635.18</v>
      </c>
      <c r="K31" s="37" t="n">
        <v>45635.18</v>
      </c>
      <c r="L31" s="18" t="n">
        <v>45100.45</v>
      </c>
      <c r="M31" s="18" t="n">
        <v>43279.61</v>
      </c>
      <c r="N31" s="18" t="n">
        <v>49203.98</v>
      </c>
      <c r="O31" s="18" t="n">
        <v>41114.18</v>
      </c>
      <c r="P31" s="37" t="n">
        <v>41114.18</v>
      </c>
      <c r="Q31" s="18" t="n">
        <v>43248.18</v>
      </c>
      <c r="R31" s="18" t="n">
        <v>41423.05</v>
      </c>
      <c r="S31" s="18" t="n">
        <v>42397.05</v>
      </c>
      <c r="T31" s="18" t="n">
        <v>41920.84</v>
      </c>
      <c r="U31" s="37" t="n">
        <v>41920.84</v>
      </c>
      <c r="V31" s="18" t="n">
        <v>42683.12</v>
      </c>
      <c r="W31" s="18" t="n">
        <v>37138.33</v>
      </c>
      <c r="X31" s="18" t="n">
        <v>38154.21</v>
      </c>
      <c r="Y31" s="18" t="n">
        <v>38344.42</v>
      </c>
      <c r="Z31" s="37" t="n">
        <v>38344.42</v>
      </c>
      <c r="AA31" s="18" t="n">
        <v>42765.96</v>
      </c>
      <c r="AB31" s="19" t="n">
        <v>36026.81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자본금</t>
        </is>
      </c>
      <c r="E32" s="18" t="n">
        <v>14300</v>
      </c>
      <c r="F32" s="37" t="n">
        <v>14300</v>
      </c>
      <c r="G32" s="18" t="n">
        <v>14300</v>
      </c>
      <c r="H32" s="18" t="n">
        <v>14300</v>
      </c>
      <c r="I32" s="18" t="n">
        <v>14300</v>
      </c>
      <c r="J32" s="18" t="n">
        <v>14300</v>
      </c>
      <c r="K32" s="37" t="n">
        <v>14300</v>
      </c>
      <c r="L32" s="18" t="n">
        <v>14300</v>
      </c>
      <c r="M32" s="18" t="n">
        <v>14300</v>
      </c>
      <c r="N32" s="18" t="n">
        <v>14300</v>
      </c>
      <c r="O32" s="18" t="n">
        <v>14300</v>
      </c>
      <c r="P32" s="37" t="n">
        <v>14300</v>
      </c>
      <c r="Q32" s="18" t="n">
        <v>14300</v>
      </c>
      <c r="R32" s="18" t="n">
        <v>14300</v>
      </c>
      <c r="S32" s="18" t="n">
        <v>14300</v>
      </c>
      <c r="T32" s="18" t="n">
        <v>14300</v>
      </c>
      <c r="U32" s="37" t="n">
        <v>14300</v>
      </c>
      <c r="V32" s="18" t="n">
        <v>14300</v>
      </c>
      <c r="W32" s="18" t="n">
        <v>14300</v>
      </c>
      <c r="X32" s="18" t="n">
        <v>14300</v>
      </c>
      <c r="Y32" s="18" t="n">
        <v>14300</v>
      </c>
      <c r="Z32" s="37" t="n">
        <v>14300</v>
      </c>
      <c r="AA32" s="18" t="n">
        <v>14300</v>
      </c>
      <c r="AB32" s="19" t="n">
        <v>14300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자본잉여금</t>
        </is>
      </c>
      <c r="E33" s="18" t="n">
        <v>4008.59</v>
      </c>
      <c r="F33" s="37" t="n">
        <v>4008.59</v>
      </c>
      <c r="G33" s="18" t="n">
        <v>4008.59</v>
      </c>
      <c r="H33" s="18" t="n">
        <v>4008.59</v>
      </c>
      <c r="I33" s="18" t="n">
        <v>4008.59</v>
      </c>
      <c r="J33" s="18" t="n">
        <v>4031.02</v>
      </c>
      <c r="K33" s="37" t="n">
        <v>4031.02</v>
      </c>
      <c r="L33" s="18" t="n">
        <v>4033.27</v>
      </c>
      <c r="M33" s="18" t="n">
        <v>4033.27</v>
      </c>
      <c r="N33" s="18" t="n">
        <v>4033.27</v>
      </c>
      <c r="O33" s="18" t="n">
        <v>3959.25</v>
      </c>
      <c r="P33" s="37" t="n">
        <v>3959.25</v>
      </c>
      <c r="Q33" s="18" t="n">
        <v>3959.25</v>
      </c>
      <c r="R33" s="18" t="n">
        <v>3959.25</v>
      </c>
      <c r="S33" s="18" t="n">
        <v>3959.25</v>
      </c>
      <c r="T33" s="18" t="n">
        <v>3959.25</v>
      </c>
      <c r="U33" s="37" t="n">
        <v>3959.25</v>
      </c>
      <c r="V33" s="18" t="n">
        <v>3959.25</v>
      </c>
      <c r="W33" s="18" t="n">
        <v>3959.25</v>
      </c>
      <c r="X33" s="18" t="n">
        <v>3959.25</v>
      </c>
      <c r="Y33" s="18" t="n">
        <v>3959.25</v>
      </c>
      <c r="Z33" s="37" t="n">
        <v>3959.25</v>
      </c>
      <c r="AA33" s="18" t="n">
        <v>3959.25</v>
      </c>
      <c r="AB33" s="19" t="n">
        <v>3959.25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기타자본</t>
        </is>
      </c>
      <c r="E34" s="18" t="n">
        <v>-9956.17</v>
      </c>
      <c r="F34" s="37" t="n">
        <v>-9956.17</v>
      </c>
      <c r="G34" s="18" t="n">
        <v>-9956.17</v>
      </c>
      <c r="H34" s="18" t="n">
        <v>-9956.17</v>
      </c>
      <c r="I34" s="18" t="n">
        <v>-9956.17</v>
      </c>
      <c r="J34" s="18" t="n">
        <v>-9956.17</v>
      </c>
      <c r="K34" s="37" t="n">
        <v>-9956.17</v>
      </c>
      <c r="L34" s="18" t="n">
        <v>-9956.17</v>
      </c>
      <c r="M34" s="18" t="n">
        <v>-9956.17</v>
      </c>
      <c r="N34" s="18" t="n">
        <v>-9956.17</v>
      </c>
      <c r="O34" s="18" t="n">
        <v>-9956.17</v>
      </c>
      <c r="P34" s="37" t="n">
        <v>-9956.17</v>
      </c>
      <c r="Q34" s="18" t="n">
        <v>-9956.17</v>
      </c>
      <c r="R34" s="18" t="n">
        <v>-9956.17</v>
      </c>
      <c r="S34" s="18" t="n">
        <v>-27642.78</v>
      </c>
      <c r="T34" s="18" t="n">
        <v>-20080.99</v>
      </c>
      <c r="U34" s="37" t="n">
        <v>-20080.99</v>
      </c>
      <c r="V34" s="18" t="n">
        <v>-20080.99</v>
      </c>
      <c r="W34" s="18" t="n">
        <v>0</v>
      </c>
      <c r="X34" s="18" t="n">
        <v>0</v>
      </c>
      <c r="Y34" s="18" t="n">
        <v>0</v>
      </c>
      <c r="Z34" s="37" t="n">
        <v>0</v>
      </c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이익잉여금</t>
        </is>
      </c>
      <c r="E35" s="18" t="n">
        <v>421144.77</v>
      </c>
      <c r="F35" s="37" t="n">
        <v>421144.77</v>
      </c>
      <c r="G35" s="18" t="n">
        <v>424892.18</v>
      </c>
      <c r="H35" s="18" t="n">
        <v>433777.48</v>
      </c>
      <c r="I35" s="18" t="n">
        <v>444407.7</v>
      </c>
      <c r="J35" s="18" t="n">
        <v>444039.4</v>
      </c>
      <c r="K35" s="37" t="n">
        <v>444039.4</v>
      </c>
      <c r="L35" s="18" t="n">
        <v>453337.19</v>
      </c>
      <c r="M35" s="18" t="n">
        <v>464250.35</v>
      </c>
      <c r="N35" s="18" t="n">
        <v>473572.01</v>
      </c>
      <c r="O35" s="18" t="n">
        <v>474977.79</v>
      </c>
      <c r="P35" s="37" t="n">
        <v>474977.79</v>
      </c>
      <c r="Q35" s="18" t="n">
        <v>481701.5</v>
      </c>
      <c r="R35" s="18" t="n">
        <v>499151.73</v>
      </c>
      <c r="S35" s="18" t="n">
        <v>503681.35</v>
      </c>
      <c r="T35" s="18" t="n">
        <v>498852.25</v>
      </c>
      <c r="U35" s="37" t="n">
        <v>498852.25</v>
      </c>
      <c r="V35" s="18" t="n">
        <v>502236.33</v>
      </c>
      <c r="W35" s="18" t="n">
        <v>488279.19</v>
      </c>
      <c r="X35" s="18" t="n">
        <v>498658.6</v>
      </c>
      <c r="Y35" s="18" t="n">
        <v>508673.42</v>
      </c>
      <c r="Z35" s="37" t="n">
        <v>508673.42</v>
      </c>
      <c r="AA35" s="18" t="n">
        <v>511452.69</v>
      </c>
      <c r="AB35" s="19" t="n">
        <v>520190.11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자본총계</t>
        </is>
      </c>
      <c r="E36" s="18" t="n">
        <v>429497.19</v>
      </c>
      <c r="F36" s="37" t="n">
        <v>429497.19</v>
      </c>
      <c r="G36" s="18" t="n">
        <v>433244.6</v>
      </c>
      <c r="H36" s="18" t="n">
        <v>442129.9</v>
      </c>
      <c r="I36" s="18" t="n">
        <v>452760.12</v>
      </c>
      <c r="J36" s="18" t="n">
        <v>452414.25</v>
      </c>
      <c r="K36" s="37" t="n">
        <v>452414.25</v>
      </c>
      <c r="L36" s="18" t="n">
        <v>461714.29</v>
      </c>
      <c r="M36" s="18" t="n">
        <v>472627.45</v>
      </c>
      <c r="N36" s="18" t="n">
        <v>481949.1</v>
      </c>
      <c r="O36" s="18" t="n">
        <v>483280.87</v>
      </c>
      <c r="P36" s="37" t="n">
        <v>483280.87</v>
      </c>
      <c r="Q36" s="18" t="n">
        <v>490004.58</v>
      </c>
      <c r="R36" s="18" t="n">
        <v>507454.81</v>
      </c>
      <c r="S36" s="18" t="n">
        <v>494297.81</v>
      </c>
      <c r="T36" s="18" t="n">
        <v>495779.76</v>
      </c>
      <c r="U36" s="37" t="n">
        <v>495779.76</v>
      </c>
      <c r="V36" s="18" t="n">
        <v>499163.84</v>
      </c>
      <c r="W36" s="18" t="n">
        <v>505287.69</v>
      </c>
      <c r="X36" s="18" t="n">
        <v>515667.1</v>
      </c>
      <c r="Y36" s="18" t="n">
        <v>524658.6800000001</v>
      </c>
      <c r="Z36" s="37" t="n">
        <v>524658.6800000001</v>
      </c>
      <c r="AA36" s="18" t="n">
        <v>527437.95</v>
      </c>
      <c r="AB36" s="19" t="n">
        <v>536175.37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부채와자본총계</t>
        </is>
      </c>
      <c r="E37" s="18" t="n">
        <v>465072.04</v>
      </c>
      <c r="F37" s="37" t="n">
        <v>465072.04</v>
      </c>
      <c r="G37" s="18" t="n">
        <v>476647.85</v>
      </c>
      <c r="H37" s="18" t="n">
        <v>490724.02</v>
      </c>
      <c r="I37" s="18" t="n">
        <v>504297.44</v>
      </c>
      <c r="J37" s="18" t="n">
        <v>498049.43</v>
      </c>
      <c r="K37" s="37" t="n">
        <v>498049.43</v>
      </c>
      <c r="L37" s="18" t="n">
        <v>506814.74</v>
      </c>
      <c r="M37" s="18" t="n">
        <v>515907.06</v>
      </c>
      <c r="N37" s="18" t="n">
        <v>531153.08</v>
      </c>
      <c r="O37" s="18" t="n">
        <v>524395.05</v>
      </c>
      <c r="P37" s="37" t="n">
        <v>524395.05</v>
      </c>
      <c r="Q37" s="18" t="n">
        <v>533252.76</v>
      </c>
      <c r="R37" s="18" t="n">
        <v>548877.86</v>
      </c>
      <c r="S37" s="18" t="n">
        <v>536694.86</v>
      </c>
      <c r="T37" s="18" t="n">
        <v>537700.61</v>
      </c>
      <c r="U37" s="37" t="n">
        <v>537700.61</v>
      </c>
      <c r="V37" s="18" t="n">
        <v>541846.96</v>
      </c>
      <c r="W37" s="18" t="n">
        <v>542426.02</v>
      </c>
      <c r="X37" s="18" t="n">
        <v>553821.3100000001</v>
      </c>
      <c r="Y37" s="18" t="n">
        <v>563003.1</v>
      </c>
      <c r="Z37" s="37" t="n">
        <v>563003.1</v>
      </c>
      <c r="AA37" s="18" t="n">
        <v>570203.9</v>
      </c>
      <c r="AB37" s="19" t="n">
        <v>572202.1800000001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429497.19</v>
      </c>
      <c r="F38" s="37" t="n">
        <v>429497.19</v>
      </c>
      <c r="G38" s="18" t="n">
        <v>433244.6</v>
      </c>
      <c r="H38" s="18" t="n">
        <v>442129.9</v>
      </c>
      <c r="I38" s="18" t="n">
        <v>452760.12</v>
      </c>
      <c r="J38" s="18" t="n">
        <v>452414.25</v>
      </c>
      <c r="K38" s="37" t="n">
        <v>452414.25</v>
      </c>
      <c r="L38" s="18" t="n">
        <v>461714.29</v>
      </c>
      <c r="M38" s="18" t="n">
        <v>472627.45</v>
      </c>
      <c r="N38" s="18" t="n">
        <v>481949.1</v>
      </c>
      <c r="O38" s="18" t="n">
        <v>483280.87</v>
      </c>
      <c r="P38" s="37" t="n">
        <v>483280.87</v>
      </c>
      <c r="Q38" s="18" t="n">
        <v>490004.58</v>
      </c>
      <c r="R38" s="18" t="n">
        <v>507454.81</v>
      </c>
      <c r="S38" s="18" t="n">
        <v>494297.81</v>
      </c>
      <c r="T38" s="18" t="n">
        <v>495779.76</v>
      </c>
      <c r="U38" s="37" t="n">
        <v>495779.76</v>
      </c>
      <c r="V38" s="18" t="n">
        <v>499163.84</v>
      </c>
      <c r="W38" s="18" t="n">
        <v>505287.69</v>
      </c>
      <c r="X38" s="18" t="n">
        <v>515667.1</v>
      </c>
      <c r="Y38" s="18" t="n">
        <v>524658.6800000001</v>
      </c>
      <c r="Z38" s="37" t="n">
        <v>524658.6800000001</v>
      </c>
      <c r="AA38" s="18" t="n">
        <v>527437.95</v>
      </c>
      <c r="AB38" s="19" t="n">
        <v>536175.37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이자발생자산</t>
        </is>
      </c>
      <c r="E39" s="18" t="n">
        <v>33039.64</v>
      </c>
      <c r="F39" s="37" t="n">
        <v>33039.64</v>
      </c>
      <c r="G39" s="18" t="n">
        <v>34079.44</v>
      </c>
      <c r="H39" s="18" t="n">
        <v>38240.46</v>
      </c>
      <c r="I39" s="18" t="n">
        <v>51489.04</v>
      </c>
      <c r="J39" s="18" t="n">
        <v>67910.25999999999</v>
      </c>
      <c r="K39" s="37" t="n">
        <v>67910.25999999999</v>
      </c>
      <c r="L39" s="18" t="n">
        <v>77614.69</v>
      </c>
      <c r="M39" s="18" t="n">
        <v>78853.03</v>
      </c>
      <c r="N39" s="18" t="n">
        <v>93309.21000000001</v>
      </c>
      <c r="O39" s="18" t="n">
        <v>66338.39999999999</v>
      </c>
      <c r="P39" s="37" t="n">
        <v>66338.39999999999</v>
      </c>
      <c r="Q39" s="18" t="n">
        <v>64687.59</v>
      </c>
      <c r="R39" s="18" t="n">
        <v>84065.16</v>
      </c>
      <c r="S39" s="18" t="n">
        <v>61965.26</v>
      </c>
      <c r="T39" s="18" t="n">
        <v>55873.99</v>
      </c>
      <c r="U39" s="37" t="n">
        <v>55873.99</v>
      </c>
      <c r="V39" s="18" t="n">
        <v>47418.79</v>
      </c>
      <c r="W39" s="18" t="n">
        <v>40090.65</v>
      </c>
      <c r="X39" s="18" t="n">
        <v>43789.42</v>
      </c>
      <c r="Y39" s="18" t="n">
        <v>49512.85</v>
      </c>
      <c r="Z39" s="37" t="n">
        <v>49512.85</v>
      </c>
      <c r="AA39" s="18" t="n">
        <v>57605.29</v>
      </c>
      <c r="AB39" s="19" t="n">
        <v>58673.07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단기충당부채</t>
        </is>
      </c>
      <c r="F40" s="9" t="n"/>
      <c r="J40" s="18" t="n">
        <v>1474.2</v>
      </c>
      <c r="K40" s="37" t="n">
        <v>1474.2</v>
      </c>
      <c r="L40" s="18" t="n">
        <v>1401.45</v>
      </c>
      <c r="M40" s="18" t="n">
        <v>968.02</v>
      </c>
      <c r="N40" s="18" t="n">
        <v>553.04</v>
      </c>
      <c r="O40" s="18" t="n">
        <v>553.04</v>
      </c>
      <c r="P40" s="37" t="n">
        <v>553.04</v>
      </c>
      <c r="Q40" s="18" t="n">
        <v>490.18</v>
      </c>
      <c r="R40" s="18" t="n">
        <v>156.04</v>
      </c>
      <c r="S40" s="18" t="n">
        <v>0</v>
      </c>
      <c r="T40" s="18" t="n">
        <v>0</v>
      </c>
      <c r="U40" s="37" t="n">
        <v>0</v>
      </c>
      <c r="Y40" s="18" t="n">
        <v>0</v>
      </c>
      <c r="Z40" s="37" t="n">
        <v>0</v>
      </c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단기차입금</t>
        </is>
      </c>
      <c r="F41" s="9" t="n"/>
      <c r="K41" s="9" t="n"/>
      <c r="M41" s="18" t="n">
        <v>2000</v>
      </c>
      <c r="N41" s="18" t="n">
        <v>2000</v>
      </c>
      <c r="O41" s="18" t="n">
        <v>2000</v>
      </c>
      <c r="P41" s="37" t="n">
        <v>2000</v>
      </c>
      <c r="Q41" s="18" t="n">
        <v>2000</v>
      </c>
      <c r="R41" s="18" t="n">
        <v>2000</v>
      </c>
      <c r="S41" s="18" t="n">
        <v>2000</v>
      </c>
      <c r="T41" s="18" t="n">
        <v>2000</v>
      </c>
      <c r="U41" s="37" t="n">
        <v>2000</v>
      </c>
      <c r="V41" s="18" t="n">
        <v>2000</v>
      </c>
      <c r="W41" s="18" t="n">
        <v>2000</v>
      </c>
      <c r="X41" s="18" t="n">
        <v>2000</v>
      </c>
      <c r="Y41" s="18" t="n">
        <v>2000</v>
      </c>
      <c r="Z41" s="37" t="n">
        <v>2000</v>
      </c>
      <c r="AA41" s="18" t="n">
        <v>2000</v>
      </c>
      <c r="AB41" s="19" t="n">
        <v>2000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총차입금</t>
        </is>
      </c>
      <c r="F42" s="9" t="n"/>
      <c r="K42" s="9" t="n"/>
      <c r="M42" s="18" t="n">
        <v>2000</v>
      </c>
      <c r="N42" s="18" t="n">
        <v>2000</v>
      </c>
      <c r="O42" s="18" t="n">
        <v>2000</v>
      </c>
      <c r="P42" s="37" t="n">
        <v>2000</v>
      </c>
      <c r="Q42" s="18" t="n">
        <v>2000</v>
      </c>
      <c r="R42" s="18" t="n">
        <v>2000</v>
      </c>
      <c r="S42" s="18" t="n">
        <v>2000</v>
      </c>
      <c r="T42" s="18" t="n">
        <v>2000</v>
      </c>
      <c r="U42" s="37" t="n">
        <v>2000</v>
      </c>
      <c r="V42" s="18" t="n">
        <v>2000</v>
      </c>
      <c r="W42" s="18" t="n">
        <v>2000</v>
      </c>
      <c r="X42" s="18" t="n">
        <v>2000</v>
      </c>
      <c r="Y42" s="18" t="n">
        <v>2000</v>
      </c>
      <c r="Z42" s="37" t="n">
        <v>2000</v>
      </c>
      <c r="AA42" s="18" t="n">
        <v>2000</v>
      </c>
      <c r="AB42" s="19" t="n">
        <v>2000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순차입금</t>
        </is>
      </c>
      <c r="F43" s="9" t="n"/>
      <c r="K43" s="9" t="n"/>
      <c r="M43" s="18" t="n">
        <v>-76853.03</v>
      </c>
      <c r="N43" s="18" t="n">
        <v>-91309.21000000001</v>
      </c>
      <c r="O43" s="18" t="n">
        <v>-64338.4</v>
      </c>
      <c r="P43" s="37" t="n">
        <v>-64338.4</v>
      </c>
      <c r="Q43" s="18" t="n">
        <v>-62687.59</v>
      </c>
      <c r="R43" s="18" t="n">
        <v>-82065.16</v>
      </c>
      <c r="S43" s="18" t="n">
        <v>-59965.26</v>
      </c>
      <c r="T43" s="18" t="n">
        <v>-53873.99</v>
      </c>
      <c r="U43" s="37" t="n">
        <v>-53873.99</v>
      </c>
      <c r="V43" s="18" t="n">
        <v>-45418.79</v>
      </c>
      <c r="W43" s="18" t="n">
        <v>-38090.65</v>
      </c>
      <c r="X43" s="18" t="n">
        <v>-41789.42</v>
      </c>
      <c r="Y43" s="18" t="n">
        <v>-47512.85</v>
      </c>
      <c r="Z43" s="37" t="n">
        <v>-47512.85</v>
      </c>
      <c r="AA43" s="18" t="n">
        <v>-55605.29</v>
      </c>
      <c r="AB43" s="19" t="n">
        <v>-56673.07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기타비유동자산</t>
        </is>
      </c>
      <c r="F44" s="9" t="n"/>
      <c r="K44" s="9" t="n"/>
      <c r="O44" s="18" t="n">
        <v>1951.06</v>
      </c>
      <c r="P44" s="37" t="n">
        <v>1951.06</v>
      </c>
      <c r="Q44" s="18" t="n">
        <v>1472.6</v>
      </c>
      <c r="R44" s="18" t="n">
        <v>966.02</v>
      </c>
      <c r="S44" s="18" t="n">
        <v>2446.82</v>
      </c>
      <c r="T44" s="18" t="n">
        <v>0</v>
      </c>
      <c r="U44" s="37" t="n">
        <v>0</v>
      </c>
      <c r="V44" s="18" t="n">
        <v>915.58</v>
      </c>
      <c r="W44" s="18" t="n">
        <v>318.97</v>
      </c>
      <c r="Y44" s="18" t="n">
        <v>5392.04</v>
      </c>
      <c r="Z44" s="37" t="n">
        <v>5392.04</v>
      </c>
      <c r="AA44" s="18" t="n">
        <v>4839.35</v>
      </c>
      <c r="AB44" s="19" t="n">
        <v>4328.54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기타포괄이익누계액</t>
        </is>
      </c>
      <c r="F45" s="9" t="n"/>
      <c r="K45" s="9" t="n"/>
      <c r="P45" s="9" t="n"/>
      <c r="T45" s="18" t="n">
        <v>-1250.75</v>
      </c>
      <c r="U45" s="37" t="n">
        <v>-1250.75</v>
      </c>
      <c r="V45" s="18" t="n">
        <v>-1250.75</v>
      </c>
      <c r="W45" s="18" t="n">
        <v>-1250.75</v>
      </c>
      <c r="X45" s="18" t="n">
        <v>-1250.75</v>
      </c>
      <c r="Y45" s="18" t="n">
        <v>-2273.99</v>
      </c>
      <c r="Z45" s="37" t="n">
        <v>-2273.99</v>
      </c>
      <c r="AA45" s="18" t="n">
        <v>-2273.99</v>
      </c>
      <c r="AB45" s="19" t="n">
        <v>-2273.99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매출액(수익)</t>
        </is>
      </c>
      <c r="E46" s="18" t="n">
        <v>26520.41</v>
      </c>
      <c r="F46" s="9" t="n"/>
      <c r="G46" s="18" t="n">
        <v>39340.12</v>
      </c>
      <c r="H46" s="18" t="n">
        <v>59852.42</v>
      </c>
      <c r="I46" s="18" t="n">
        <v>58110.86</v>
      </c>
      <c r="J46" s="18" t="n">
        <v>58640.26</v>
      </c>
      <c r="K46" s="37" t="n">
        <v>215943.66</v>
      </c>
      <c r="L46" s="18" t="n">
        <v>60907.28</v>
      </c>
      <c r="M46" s="18" t="n">
        <v>58334.64</v>
      </c>
      <c r="N46" s="18" t="n">
        <v>50939.05</v>
      </c>
      <c r="O46" s="18" t="n">
        <v>55780.18</v>
      </c>
      <c r="P46" s="37" t="n">
        <v>225961.15</v>
      </c>
      <c r="Q46" s="18" t="n">
        <v>50519.88</v>
      </c>
      <c r="R46" s="18" t="n">
        <v>60275.07</v>
      </c>
      <c r="S46" s="18" t="n">
        <v>39279.52</v>
      </c>
      <c r="T46" s="18" t="n">
        <v>51661.15</v>
      </c>
      <c r="U46" s="37" t="n">
        <v>201735.62</v>
      </c>
      <c r="V46" s="18" t="n">
        <v>57912.97</v>
      </c>
      <c r="W46" s="18" t="n">
        <v>52089.56</v>
      </c>
      <c r="X46" s="18" t="n">
        <v>58386.76</v>
      </c>
      <c r="Y46" s="18" t="n">
        <v>53111.36</v>
      </c>
      <c r="Z46" s="37" t="n">
        <v>221500.65</v>
      </c>
      <c r="AA46" s="18" t="n">
        <v>53401.08</v>
      </c>
      <c r="AB46" s="19" t="n">
        <v>57251.51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매출원가</t>
        </is>
      </c>
      <c r="E47" s="18" t="n">
        <v>25273.11</v>
      </c>
      <c r="F47" s="9" t="n"/>
      <c r="G47" s="18" t="n">
        <v>29929.61</v>
      </c>
      <c r="H47" s="18" t="n">
        <v>44510.01</v>
      </c>
      <c r="I47" s="18" t="n">
        <v>43119.36</v>
      </c>
      <c r="J47" s="18" t="n">
        <v>44830.49</v>
      </c>
      <c r="K47" s="37" t="n">
        <v>162389.47</v>
      </c>
      <c r="L47" s="18" t="n">
        <v>41460.99</v>
      </c>
      <c r="M47" s="18" t="n">
        <v>40345.28</v>
      </c>
      <c r="N47" s="18" t="n">
        <v>35728.06</v>
      </c>
      <c r="O47" s="18" t="n">
        <v>40128.84</v>
      </c>
      <c r="P47" s="37" t="n">
        <v>157663.17</v>
      </c>
      <c r="Q47" s="18" t="n">
        <v>34556.22</v>
      </c>
      <c r="R47" s="18" t="n">
        <v>33947.38</v>
      </c>
      <c r="S47" s="18" t="n">
        <v>25390.91</v>
      </c>
      <c r="T47" s="18" t="n">
        <v>38047.64</v>
      </c>
      <c r="U47" s="37" t="n">
        <v>131942.15</v>
      </c>
      <c r="V47" s="18" t="n">
        <v>39253.46</v>
      </c>
      <c r="W47" s="18" t="n">
        <v>36316.85</v>
      </c>
      <c r="X47" s="18" t="n">
        <v>34573.67</v>
      </c>
      <c r="Y47" s="18" t="n">
        <v>31317.2</v>
      </c>
      <c r="Z47" s="37" t="n">
        <v>141461.18</v>
      </c>
      <c r="AA47" s="18" t="n">
        <v>32623.17</v>
      </c>
      <c r="AB47" s="19" t="n">
        <v>30978.42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매출총이익</t>
        </is>
      </c>
      <c r="E48" s="18" t="n">
        <v>1247.29</v>
      </c>
      <c r="F48" s="9" t="n"/>
      <c r="G48" s="18" t="n">
        <v>9410.51</v>
      </c>
      <c r="H48" s="18" t="n">
        <v>15342.4</v>
      </c>
      <c r="I48" s="18" t="n">
        <v>14991.5</v>
      </c>
      <c r="J48" s="18" t="n">
        <v>13809.78</v>
      </c>
      <c r="K48" s="37" t="n">
        <v>53554.19</v>
      </c>
      <c r="L48" s="18" t="n">
        <v>19446.29</v>
      </c>
      <c r="M48" s="18" t="n">
        <v>17989.37</v>
      </c>
      <c r="N48" s="18" t="n">
        <v>15211</v>
      </c>
      <c r="O48" s="18" t="n">
        <v>15651.34</v>
      </c>
      <c r="P48" s="37" t="n">
        <v>68298</v>
      </c>
      <c r="Q48" s="18" t="n">
        <v>15963.66</v>
      </c>
      <c r="R48" s="18" t="n">
        <v>26327.68</v>
      </c>
      <c r="S48" s="18" t="n">
        <v>13888.61</v>
      </c>
      <c r="T48" s="18" t="n">
        <v>13613.51</v>
      </c>
      <c r="U48" s="37" t="n">
        <v>69793.46000000001</v>
      </c>
      <c r="V48" s="18" t="n">
        <v>18659.51</v>
      </c>
      <c r="W48" s="18" t="n">
        <v>15772.7</v>
      </c>
      <c r="X48" s="18" t="n">
        <v>23813.09</v>
      </c>
      <c r="Y48" s="18" t="n">
        <v>21794.16</v>
      </c>
      <c r="Z48" s="37" t="n">
        <v>80039.46000000001</v>
      </c>
      <c r="AA48" s="18" t="n">
        <v>20777.91</v>
      </c>
      <c r="AB48" s="19" t="n">
        <v>26273.09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판관비</t>
        </is>
      </c>
      <c r="E49" s="18" t="n">
        <v>5243.21</v>
      </c>
      <c r="F49" s="9" t="n"/>
      <c r="G49" s="18" t="n">
        <v>6565.99</v>
      </c>
      <c r="H49" s="18" t="n">
        <v>7484.86</v>
      </c>
      <c r="I49" s="18" t="n">
        <v>7436.82</v>
      </c>
      <c r="J49" s="18" t="n">
        <v>7365.07</v>
      </c>
      <c r="K49" s="37" t="n">
        <v>28852.74</v>
      </c>
      <c r="L49" s="18" t="n">
        <v>5641</v>
      </c>
      <c r="M49" s="18" t="n">
        <v>5157.77</v>
      </c>
      <c r="N49" s="18" t="n">
        <v>6208.3</v>
      </c>
      <c r="O49" s="18" t="n">
        <v>9517.98</v>
      </c>
      <c r="P49" s="37" t="n">
        <v>26525.05</v>
      </c>
      <c r="Q49" s="18" t="n">
        <v>6612.33</v>
      </c>
      <c r="R49" s="18" t="n">
        <v>6755</v>
      </c>
      <c r="S49" s="18" t="n">
        <v>6495.46</v>
      </c>
      <c r="T49" s="18" t="n">
        <v>10188.68</v>
      </c>
      <c r="U49" s="37" t="n">
        <v>30051.47</v>
      </c>
      <c r="V49" s="18" t="n">
        <v>8378.459999999999</v>
      </c>
      <c r="W49" s="18" t="n">
        <v>5482.94</v>
      </c>
      <c r="X49" s="18" t="n">
        <v>12619.11</v>
      </c>
      <c r="Y49" s="18" t="n">
        <v>13561.71</v>
      </c>
      <c r="Z49" s="37" t="n">
        <v>40042.22</v>
      </c>
      <c r="AA49" s="18" t="n">
        <v>14660.96</v>
      </c>
      <c r="AB49" s="19" t="n">
        <v>17249.14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영업이익</t>
        </is>
      </c>
      <c r="E50" s="18" t="n">
        <v>-3995.91</v>
      </c>
      <c r="F50" s="9" t="n"/>
      <c r="G50" s="18" t="n">
        <v>2844.52</v>
      </c>
      <c r="H50" s="18" t="n">
        <v>7857.55</v>
      </c>
      <c r="I50" s="18" t="n">
        <v>7554.67</v>
      </c>
      <c r="J50" s="18" t="n">
        <v>6444.71</v>
      </c>
      <c r="K50" s="37" t="n">
        <v>24701.45</v>
      </c>
      <c r="L50" s="18" t="n">
        <v>13805.3</v>
      </c>
      <c r="M50" s="18" t="n">
        <v>12831.6</v>
      </c>
      <c r="N50" s="18" t="n">
        <v>9002.700000000001</v>
      </c>
      <c r="O50" s="18" t="n">
        <v>6133.38</v>
      </c>
      <c r="P50" s="37" t="n">
        <v>41772.98</v>
      </c>
      <c r="Q50" s="18" t="n">
        <v>9351.33</v>
      </c>
      <c r="R50" s="18" t="n">
        <v>19572.68</v>
      </c>
      <c r="S50" s="18" t="n">
        <v>7393.15</v>
      </c>
      <c r="T50" s="18" t="n">
        <v>3424.83</v>
      </c>
      <c r="U50" s="37" t="n">
        <v>39741.99</v>
      </c>
      <c r="V50" s="18" t="n">
        <v>10281.06</v>
      </c>
      <c r="W50" s="18" t="n">
        <v>10289.76</v>
      </c>
      <c r="X50" s="18" t="n">
        <v>11193.98</v>
      </c>
      <c r="Y50" s="18" t="n">
        <v>8232.450000000001</v>
      </c>
      <c r="Z50" s="37" t="n">
        <v>39997.25</v>
      </c>
      <c r="AA50" s="18" t="n">
        <v>6116.95</v>
      </c>
      <c r="AB50" s="19" t="n">
        <v>9023.959999999999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기타영업외수익</t>
        </is>
      </c>
      <c r="E51" s="18" t="n">
        <v>373.41</v>
      </c>
      <c r="F51" s="9" t="n"/>
      <c r="G51" s="18" t="n">
        <v>5200.52</v>
      </c>
      <c r="H51" s="18" t="n">
        <v>3731.79</v>
      </c>
      <c r="I51" s="18" t="n">
        <v>6649.02</v>
      </c>
      <c r="J51" s="18" t="n">
        <v>-4246.68</v>
      </c>
      <c r="K51" s="37" t="n">
        <v>11334.65</v>
      </c>
      <c r="L51" s="18" t="n">
        <v>2331.37</v>
      </c>
      <c r="M51" s="18" t="n">
        <v>984.35</v>
      </c>
      <c r="N51" s="18" t="n">
        <v>2411.6</v>
      </c>
      <c r="O51" s="18" t="n">
        <v>-676.97</v>
      </c>
      <c r="P51" s="37" t="n">
        <v>5050.35</v>
      </c>
      <c r="Q51" s="18" t="n">
        <v>2336.06</v>
      </c>
      <c r="R51" s="18" t="n">
        <v>2110.89</v>
      </c>
      <c r="S51" s="18" t="n">
        <v>502.91</v>
      </c>
      <c r="T51" s="18" t="n">
        <v>4174.39</v>
      </c>
      <c r="U51" s="37" t="n">
        <v>9124.25</v>
      </c>
      <c r="V51" s="18" t="n">
        <v>531.63</v>
      </c>
      <c r="W51" s="18" t="n">
        <v>440.58</v>
      </c>
      <c r="X51" s="18" t="n">
        <v>1786.96</v>
      </c>
      <c r="Y51" s="18" t="n">
        <v>1283.3</v>
      </c>
      <c r="Z51" s="37" t="n">
        <v>4042.47</v>
      </c>
      <c r="AA51" s="18" t="n">
        <v>3880.54</v>
      </c>
      <c r="AB51" s="19" t="n">
        <v>1843.49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기타영업외비용</t>
        </is>
      </c>
      <c r="E52" s="18" t="n">
        <v>95.55</v>
      </c>
      <c r="F52" s="9" t="n"/>
      <c r="G52" s="18" t="n">
        <v>104.69</v>
      </c>
      <c r="H52" s="18" t="n">
        <v>312.59</v>
      </c>
      <c r="I52" s="18" t="n">
        <v>486.66</v>
      </c>
      <c r="J52" s="18" t="n">
        <v>3680.25</v>
      </c>
      <c r="K52" s="37" t="n">
        <v>4584.19</v>
      </c>
      <c r="L52" s="18" t="n">
        <v>1305.33</v>
      </c>
      <c r="M52" s="18" t="n">
        <v>605.59</v>
      </c>
      <c r="N52" s="18" t="n">
        <v>377.44</v>
      </c>
      <c r="O52" s="18" t="n">
        <v>388.18</v>
      </c>
      <c r="P52" s="37" t="n">
        <v>2676.54</v>
      </c>
      <c r="Q52" s="18" t="n">
        <v>168.8</v>
      </c>
      <c r="R52" s="18" t="n">
        <v>292.7</v>
      </c>
      <c r="S52" s="18" t="n">
        <v>2963.78</v>
      </c>
      <c r="T52" s="18" t="n">
        <v>-34.16</v>
      </c>
      <c r="U52" s="37" t="n">
        <v>3391.12</v>
      </c>
      <c r="V52" s="18" t="n">
        <v>650.96</v>
      </c>
      <c r="W52" s="18" t="n">
        <v>3664.23</v>
      </c>
      <c r="X52" s="18" t="n">
        <v>396.16</v>
      </c>
      <c r="Y52" s="18" t="n">
        <v>-108.75</v>
      </c>
      <c r="Z52" s="37" t="n">
        <v>4602.6</v>
      </c>
      <c r="AA52" s="18" t="n">
        <v>336.22</v>
      </c>
      <c r="AB52" s="19" t="n">
        <v>320.97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금융수익</t>
        </is>
      </c>
      <c r="E53" s="18" t="n">
        <v>218.87</v>
      </c>
      <c r="F53" s="9" t="n"/>
      <c r="G53" s="18" t="n">
        <v>162.84</v>
      </c>
      <c r="H53" s="18" t="n">
        <v>198.33</v>
      </c>
      <c r="I53" s="18" t="n">
        <v>255.35</v>
      </c>
      <c r="J53" s="18" t="n">
        <v>491.56</v>
      </c>
      <c r="K53" s="37" t="n">
        <v>1108.08</v>
      </c>
      <c r="L53" s="18" t="n">
        <v>681.21</v>
      </c>
      <c r="M53" s="18" t="n">
        <v>881.1</v>
      </c>
      <c r="N53" s="18" t="n">
        <v>1027.6</v>
      </c>
      <c r="O53" s="18" t="n">
        <v>1160.39</v>
      </c>
      <c r="P53" s="37" t="n">
        <v>3750.3</v>
      </c>
      <c r="Q53" s="18" t="n">
        <v>1171.94</v>
      </c>
      <c r="R53" s="18" t="n">
        <v>1225.68</v>
      </c>
      <c r="S53" s="18" t="n">
        <v>1225.11</v>
      </c>
      <c r="T53" s="18" t="n">
        <v>1167.5</v>
      </c>
      <c r="U53" s="37" t="n">
        <v>4790.23</v>
      </c>
      <c r="V53" s="18" t="n">
        <v>945.8</v>
      </c>
      <c r="W53" s="18" t="n">
        <v>841.59</v>
      </c>
      <c r="X53" s="18" t="n">
        <v>798.15</v>
      </c>
      <c r="Y53" s="18" t="n">
        <v>963.67</v>
      </c>
      <c r="Z53" s="37" t="n">
        <v>3549.21</v>
      </c>
      <c r="AA53" s="18" t="n">
        <v>982.11</v>
      </c>
      <c r="AB53" s="19" t="n">
        <v>971.86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금융비용</t>
        </is>
      </c>
      <c r="E54" s="18" t="n">
        <v>0.98</v>
      </c>
      <c r="F54" s="9" t="n"/>
      <c r="G54" s="18" t="n">
        <v>6.69</v>
      </c>
      <c r="H54" s="18" t="n">
        <v>2.18</v>
      </c>
      <c r="I54" s="18" t="n">
        <v>3.08</v>
      </c>
      <c r="J54" s="18" t="n">
        <v>2.81</v>
      </c>
      <c r="K54" s="37" t="n">
        <v>14.76</v>
      </c>
      <c r="L54" s="18" t="n">
        <v>1.97</v>
      </c>
      <c r="M54" s="18" t="n">
        <v>11.16</v>
      </c>
      <c r="N54" s="18" t="n">
        <v>19.09</v>
      </c>
      <c r="O54" s="18" t="n">
        <v>18.77</v>
      </c>
      <c r="P54" s="37" t="n">
        <v>50.99</v>
      </c>
      <c r="Q54" s="18" t="n">
        <v>17.76</v>
      </c>
      <c r="R54" s="18" t="n">
        <v>14.19</v>
      </c>
      <c r="S54" s="18" t="n">
        <v>16.92</v>
      </c>
      <c r="T54" s="18" t="n">
        <v>16.97</v>
      </c>
      <c r="U54" s="37" t="n">
        <v>65.84</v>
      </c>
      <c r="V54" s="18" t="n">
        <v>15.88</v>
      </c>
      <c r="W54" s="18" t="n">
        <v>12.43</v>
      </c>
      <c r="X54" s="18" t="n">
        <v>10.37</v>
      </c>
      <c r="Y54" s="18" t="n">
        <v>10.23</v>
      </c>
      <c r="Z54" s="37" t="n">
        <v>48.91</v>
      </c>
      <c r="AA54" s="18" t="n">
        <v>10.01</v>
      </c>
      <c r="AB54" s="19" t="n">
        <v>11.22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법인세비용차감전계속사업이익</t>
        </is>
      </c>
      <c r="E55" s="18" t="n">
        <v>-3500.16</v>
      </c>
      <c r="F55" s="9" t="n"/>
      <c r="G55" s="18" t="n">
        <v>8096.52</v>
      </c>
      <c r="H55" s="18" t="n">
        <v>11472.89</v>
      </c>
      <c r="I55" s="18" t="n">
        <v>13969.3</v>
      </c>
      <c r="J55" s="18" t="n">
        <v>-993.47</v>
      </c>
      <c r="K55" s="37" t="n">
        <v>32545.24</v>
      </c>
      <c r="L55" s="18" t="n">
        <v>15510.57</v>
      </c>
      <c r="M55" s="18" t="n">
        <v>14080.29</v>
      </c>
      <c r="N55" s="18" t="n">
        <v>12045.38</v>
      </c>
      <c r="O55" s="18" t="n">
        <v>6209.84</v>
      </c>
      <c r="P55" s="37" t="n">
        <v>47846.08</v>
      </c>
      <c r="Q55" s="18" t="n">
        <v>12672.77</v>
      </c>
      <c r="R55" s="18" t="n">
        <v>22602.36</v>
      </c>
      <c r="S55" s="18" t="n">
        <v>6140.48</v>
      </c>
      <c r="T55" s="18" t="n">
        <v>8783.889999999999</v>
      </c>
      <c r="U55" s="37" t="n">
        <v>50199.5</v>
      </c>
      <c r="V55" s="18" t="n">
        <v>11091.65</v>
      </c>
      <c r="W55" s="18" t="n">
        <v>7895.27</v>
      </c>
      <c r="X55" s="18" t="n">
        <v>13372.57</v>
      </c>
      <c r="Y55" s="18" t="n">
        <v>10577.94</v>
      </c>
      <c r="Z55" s="37" t="n">
        <v>42937.43</v>
      </c>
      <c r="AA55" s="18" t="n">
        <v>10633.36</v>
      </c>
      <c r="AB55" s="19" t="n">
        <v>11507.11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법인세비용</t>
        </is>
      </c>
      <c r="E56" s="18" t="n">
        <v>-782.35</v>
      </c>
      <c r="F56" s="9" t="n"/>
      <c r="G56" s="18" t="n">
        <v>1526.65</v>
      </c>
      <c r="H56" s="18" t="n">
        <v>2559.42</v>
      </c>
      <c r="I56" s="18" t="n">
        <v>3311.58</v>
      </c>
      <c r="J56" s="18" t="n">
        <v>170.09</v>
      </c>
      <c r="K56" s="37" t="n">
        <v>7567.74</v>
      </c>
      <c r="L56" s="18" t="n">
        <v>3438.75</v>
      </c>
      <c r="M56" s="18" t="n">
        <v>3145.04</v>
      </c>
      <c r="N56" s="18" t="n">
        <v>2712.9</v>
      </c>
      <c r="O56" s="18" t="n">
        <v>2175.56</v>
      </c>
      <c r="P56" s="37" t="n">
        <v>11472.25</v>
      </c>
      <c r="Q56" s="18" t="n">
        <v>1737.17</v>
      </c>
      <c r="R56" s="18" t="n">
        <v>5128.31</v>
      </c>
      <c r="S56" s="18" t="n">
        <v>1589.03</v>
      </c>
      <c r="T56" s="18" t="n">
        <v>1866.99</v>
      </c>
      <c r="U56" s="37" t="n">
        <v>10321.5</v>
      </c>
      <c r="V56" s="18" t="n">
        <v>2385.8</v>
      </c>
      <c r="W56" s="18" t="n">
        <v>1770.59</v>
      </c>
      <c r="X56" s="18" t="n">
        <v>2982.86</v>
      </c>
      <c r="Y56" s="18" t="n">
        <v>3196.45</v>
      </c>
      <c r="Z56" s="37" t="n">
        <v>10335.7</v>
      </c>
      <c r="AA56" s="18" t="n">
        <v>2464.7</v>
      </c>
      <c r="AB56" s="19" t="n">
        <v>2699.09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당기순이익</t>
        </is>
      </c>
      <c r="E57" s="18" t="n">
        <v>-2717.81</v>
      </c>
      <c r="F57" s="9" t="n"/>
      <c r="G57" s="18" t="n">
        <v>6569.86</v>
      </c>
      <c r="H57" s="18" t="n">
        <v>8913.469999999999</v>
      </c>
      <c r="I57" s="18" t="n">
        <v>10657.72</v>
      </c>
      <c r="J57" s="18" t="n">
        <v>-1163.56</v>
      </c>
      <c r="K57" s="37" t="n">
        <v>24977.49</v>
      </c>
      <c r="L57" s="18" t="n">
        <v>12071.82</v>
      </c>
      <c r="M57" s="18" t="n">
        <v>10935.26</v>
      </c>
      <c r="N57" s="18" t="n">
        <v>9332.48</v>
      </c>
      <c r="O57" s="18" t="n">
        <v>4034.28</v>
      </c>
      <c r="P57" s="37" t="n">
        <v>36373.84</v>
      </c>
      <c r="Q57" s="18" t="n">
        <v>10935.6</v>
      </c>
      <c r="R57" s="18" t="n">
        <v>17474.05</v>
      </c>
      <c r="S57" s="18" t="n">
        <v>4551.45</v>
      </c>
      <c r="T57" s="18" t="n">
        <v>6916.89</v>
      </c>
      <c r="U57" s="37" t="n">
        <v>39877.99</v>
      </c>
      <c r="V57" s="18" t="n">
        <v>8705.85</v>
      </c>
      <c r="W57" s="18" t="n">
        <v>6124.69</v>
      </c>
      <c r="X57" s="18" t="n">
        <v>10389.7</v>
      </c>
      <c r="Y57" s="18" t="n">
        <v>7381.49</v>
      </c>
      <c r="Z57" s="37" t="n">
        <v>32601.73</v>
      </c>
      <c r="AA57" s="18" t="n">
        <v>8168.66</v>
      </c>
      <c r="AB57" s="19" t="n">
        <v>8808.02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총포괄손익</t>
        </is>
      </c>
      <c r="E58" s="18" t="n">
        <v>-1370.23</v>
      </c>
      <c r="F58" s="9" t="n"/>
      <c r="G58" s="18" t="n">
        <v>6540.26</v>
      </c>
      <c r="H58" s="18" t="n">
        <v>8885.299999999999</v>
      </c>
      <c r="I58" s="18" t="n">
        <v>10630.22</v>
      </c>
      <c r="J58" s="18" t="n">
        <v>-368.3</v>
      </c>
      <c r="K58" s="37" t="n">
        <v>25687.48</v>
      </c>
      <c r="L58" s="18" t="n">
        <v>12090.65</v>
      </c>
      <c r="M58" s="18" t="n">
        <v>10913.16</v>
      </c>
      <c r="N58" s="18" t="n">
        <v>9321.65</v>
      </c>
      <c r="O58" s="18" t="n">
        <v>1405.78</v>
      </c>
      <c r="P58" s="37" t="n">
        <v>33731.24</v>
      </c>
      <c r="Q58" s="18" t="n">
        <v>10913</v>
      </c>
      <c r="R58" s="18" t="n">
        <v>17450.23</v>
      </c>
      <c r="S58" s="18" t="n">
        <v>4529.62</v>
      </c>
      <c r="T58" s="18" t="n">
        <v>3753.59</v>
      </c>
      <c r="U58" s="37" t="n">
        <v>36646.44</v>
      </c>
      <c r="V58" s="18" t="n">
        <v>8695.549999999999</v>
      </c>
      <c r="W58" s="18" t="n">
        <v>6123.84</v>
      </c>
      <c r="X58" s="18" t="n">
        <v>10379.41</v>
      </c>
      <c r="Y58" s="18" t="n">
        <v>8991.58</v>
      </c>
      <c r="Z58" s="37" t="n">
        <v>34190.38</v>
      </c>
      <c r="AA58" s="18" t="n">
        <v>8090.74</v>
      </c>
      <c r="AB58" s="19" t="n">
        <v>8737.43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금융손익</t>
        </is>
      </c>
      <c r="E59" s="18" t="n">
        <v>217.89</v>
      </c>
      <c r="F59" s="9" t="n"/>
      <c r="G59" s="18" t="n">
        <v>156.15</v>
      </c>
      <c r="H59" s="18" t="n">
        <v>196.15</v>
      </c>
      <c r="I59" s="18" t="n">
        <v>252.27</v>
      </c>
      <c r="J59" s="18" t="n">
        <v>488.75</v>
      </c>
      <c r="K59" s="37" t="n">
        <v>1093.32</v>
      </c>
      <c r="L59" s="18" t="n">
        <v>679.24</v>
      </c>
      <c r="M59" s="18" t="n">
        <v>869.9400000000001</v>
      </c>
      <c r="N59" s="18" t="n">
        <v>1008.51</v>
      </c>
      <c r="O59" s="18" t="n">
        <v>1141.62</v>
      </c>
      <c r="P59" s="37" t="n">
        <v>3699.31</v>
      </c>
      <c r="Q59" s="18" t="n">
        <v>1154.18</v>
      </c>
      <c r="R59" s="18" t="n">
        <v>1211.49</v>
      </c>
      <c r="S59" s="18" t="n">
        <v>1208.19</v>
      </c>
      <c r="T59" s="18" t="n">
        <v>1150.53</v>
      </c>
      <c r="U59" s="37" t="n">
        <v>4724.39</v>
      </c>
      <c r="V59" s="18" t="n">
        <v>929.92</v>
      </c>
      <c r="W59" s="18" t="n">
        <v>829.16</v>
      </c>
      <c r="X59" s="18" t="n">
        <v>787.78</v>
      </c>
      <c r="Y59" s="18" t="n">
        <v>953.4400000000001</v>
      </c>
      <c r="Z59" s="37" t="n">
        <v>3500.3</v>
      </c>
      <c r="AA59" s="18" t="n">
        <v>972.1</v>
      </c>
      <c r="AB59" s="19" t="n">
        <v>960.64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기타영업외손익</t>
        </is>
      </c>
      <c r="E60" s="18" t="n">
        <v>277.86</v>
      </c>
      <c r="F60" s="9" t="n"/>
      <c r="G60" s="18" t="n">
        <v>5095.83</v>
      </c>
      <c r="H60" s="18" t="n">
        <v>3419.2</v>
      </c>
      <c r="I60" s="18" t="n">
        <v>6162.36</v>
      </c>
      <c r="J60" s="18" t="n">
        <v>-7926.93</v>
      </c>
      <c r="K60" s="37" t="n">
        <v>6750.46</v>
      </c>
      <c r="L60" s="18" t="n">
        <v>1026.04</v>
      </c>
      <c r="M60" s="18" t="n">
        <v>378.76</v>
      </c>
      <c r="N60" s="18" t="n">
        <v>2034.16</v>
      </c>
      <c r="O60" s="18" t="n">
        <v>-1065.15</v>
      </c>
      <c r="P60" s="37" t="n">
        <v>2373.81</v>
      </c>
      <c r="Q60" s="18" t="n">
        <v>2167.26</v>
      </c>
      <c r="R60" s="18" t="n">
        <v>1818.19</v>
      </c>
      <c r="S60" s="18" t="n">
        <v>-2460.87</v>
      </c>
      <c r="T60" s="18" t="n">
        <v>4208.55</v>
      </c>
      <c r="U60" s="37" t="n">
        <v>5733.13</v>
      </c>
      <c r="V60" s="18" t="n">
        <v>-119.33</v>
      </c>
      <c r="W60" s="18" t="n">
        <v>-3223.65</v>
      </c>
      <c r="X60" s="18" t="n">
        <v>1390.8</v>
      </c>
      <c r="Y60" s="18" t="n">
        <v>1392.05</v>
      </c>
      <c r="Z60" s="37" t="n">
        <v>-560.13</v>
      </c>
      <c r="AA60" s="18" t="n">
        <v>3544.32</v>
      </c>
      <c r="AB60" s="19" t="n">
        <v>1522.52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(지배주주지분)당기순이익</t>
        </is>
      </c>
      <c r="E61" s="18" t="n">
        <v>-2717.81</v>
      </c>
      <c r="F61" s="9" t="n"/>
      <c r="G61" s="18" t="n">
        <v>6569.86</v>
      </c>
      <c r="H61" s="18" t="n">
        <v>8913.469999999999</v>
      </c>
      <c r="I61" s="18" t="n">
        <v>10657.72</v>
      </c>
      <c r="J61" s="18" t="n">
        <v>-1163.56</v>
      </c>
      <c r="K61" s="37" t="n">
        <v>24977.49</v>
      </c>
      <c r="L61" s="18" t="n">
        <v>12071.82</v>
      </c>
      <c r="M61" s="18" t="n">
        <v>10935.26</v>
      </c>
      <c r="N61" s="18" t="n">
        <v>9332.48</v>
      </c>
      <c r="O61" s="18" t="n">
        <v>4034.28</v>
      </c>
      <c r="P61" s="37" t="n">
        <v>36373.84</v>
      </c>
      <c r="Q61" s="18" t="n">
        <v>10935.6</v>
      </c>
      <c r="R61" s="18" t="n">
        <v>17474.05</v>
      </c>
      <c r="S61" s="18" t="n">
        <v>4551.45</v>
      </c>
      <c r="T61" s="18" t="n">
        <v>6916.89</v>
      </c>
      <c r="U61" s="37" t="n">
        <v>39877.99</v>
      </c>
      <c r="V61" s="18" t="n">
        <v>8705.85</v>
      </c>
      <c r="W61" s="18" t="n">
        <v>6124.69</v>
      </c>
      <c r="X61" s="18" t="n">
        <v>10389.7</v>
      </c>
      <c r="Y61" s="18" t="n">
        <v>7381.49</v>
      </c>
      <c r="Z61" s="37" t="n">
        <v>32601.73</v>
      </c>
      <c r="AA61" s="18" t="n">
        <v>8168.66</v>
      </c>
      <c r="AB61" s="19" t="n">
        <v>8808.02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계속사업이익</t>
        </is>
      </c>
      <c r="E62" s="18" t="n">
        <v>-2717.81</v>
      </c>
      <c r="F62" s="9" t="n"/>
      <c r="G62" s="18" t="n">
        <v>6569.86</v>
      </c>
      <c r="H62" s="18" t="n">
        <v>8913.469999999999</v>
      </c>
      <c r="I62" s="18" t="n">
        <v>10657.72</v>
      </c>
      <c r="J62" s="18" t="n">
        <v>-1163.56</v>
      </c>
      <c r="K62" s="37" t="n">
        <v>24977.49</v>
      </c>
      <c r="L62" s="18" t="n">
        <v>12071.82</v>
      </c>
      <c r="M62" s="18" t="n">
        <v>10935.26</v>
      </c>
      <c r="N62" s="18" t="n">
        <v>9332.48</v>
      </c>
      <c r="O62" s="18" t="n">
        <v>4034.28</v>
      </c>
      <c r="P62" s="37" t="n">
        <v>36373.84</v>
      </c>
      <c r="Q62" s="18" t="n">
        <v>10935.6</v>
      </c>
      <c r="R62" s="18" t="n">
        <v>17474.05</v>
      </c>
      <c r="S62" s="18" t="n">
        <v>4551.45</v>
      </c>
      <c r="T62" s="18" t="n">
        <v>6916.89</v>
      </c>
      <c r="U62" s="37" t="n">
        <v>39877.99</v>
      </c>
      <c r="V62" s="18" t="n">
        <v>8705.85</v>
      </c>
      <c r="W62" s="18" t="n">
        <v>6124.69</v>
      </c>
      <c r="X62" s="18" t="n">
        <v>10389.7</v>
      </c>
      <c r="Y62" s="18" t="n">
        <v>7381.49</v>
      </c>
      <c r="Z62" s="37" t="n">
        <v>32601.73</v>
      </c>
      <c r="AA62" s="18" t="n">
        <v>8168.66</v>
      </c>
      <c r="AB62" s="19" t="n">
        <v>8808.02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영업활동으로인한현금흐름</t>
        </is>
      </c>
      <c r="E63" s="18" t="n">
        <v>-15156.87</v>
      </c>
      <c r="F63" s="9" t="n"/>
      <c r="G63" s="18" t="n">
        <v>-7637.45</v>
      </c>
      <c r="H63" s="18" t="n">
        <v>3421.15</v>
      </c>
      <c r="I63" s="18" t="n">
        <v>3030.69</v>
      </c>
      <c r="J63" s="18" t="n">
        <v>19125.55</v>
      </c>
      <c r="K63" s="37" t="n">
        <v>17939.94</v>
      </c>
      <c r="L63" s="18" t="n">
        <v>9746.639999999999</v>
      </c>
      <c r="M63" s="18" t="n">
        <v>9516.48</v>
      </c>
      <c r="N63" s="18" t="n">
        <v>13067.57</v>
      </c>
      <c r="O63" s="18" t="n">
        <v>430.71</v>
      </c>
      <c r="P63" s="37" t="n">
        <v>32761.4</v>
      </c>
      <c r="Q63" s="18" t="n">
        <v>9314.32</v>
      </c>
      <c r="R63" s="18" t="n">
        <v>20338.45</v>
      </c>
      <c r="S63" s="18" t="n">
        <v>3918.6</v>
      </c>
      <c r="T63" s="18" t="n">
        <v>-7644.44</v>
      </c>
      <c r="U63" s="37" t="n">
        <v>25926.93</v>
      </c>
      <c r="V63" s="18" t="n">
        <v>-5838.7</v>
      </c>
      <c r="W63" s="18" t="n">
        <v>3797.47</v>
      </c>
      <c r="X63" s="18" t="n">
        <v>18425.84</v>
      </c>
      <c r="Y63" s="18" t="n">
        <v>18733.95</v>
      </c>
      <c r="Z63" s="37" t="n">
        <v>35118.56</v>
      </c>
      <c r="AA63" s="18" t="n">
        <v>5078.69</v>
      </c>
      <c r="AB63" s="19" t="n">
        <v>1332.75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이자수취(CF)</t>
        </is>
      </c>
      <c r="E64" s="18" t="n">
        <v>144.81</v>
      </c>
      <c r="F64" s="9" t="n"/>
      <c r="G64" s="18" t="n">
        <v>161.52</v>
      </c>
      <c r="H64" s="18" t="n">
        <v>159.37</v>
      </c>
      <c r="I64" s="18" t="n">
        <v>290.59</v>
      </c>
      <c r="J64" s="18" t="n">
        <v>464.44</v>
      </c>
      <c r="K64" s="37" t="n">
        <v>1075.92</v>
      </c>
      <c r="L64" s="18" t="n">
        <v>626.51</v>
      </c>
      <c r="M64" s="18" t="n">
        <v>812.37</v>
      </c>
      <c r="N64" s="18" t="n">
        <v>1062.65</v>
      </c>
      <c r="O64" s="18" t="n">
        <v>1110.22</v>
      </c>
      <c r="P64" s="37" t="n">
        <v>3611.75</v>
      </c>
      <c r="Q64" s="18" t="n">
        <v>873.27</v>
      </c>
      <c r="R64" s="18" t="n">
        <v>1119.37</v>
      </c>
      <c r="S64" s="18" t="n">
        <v>743.1</v>
      </c>
      <c r="T64" s="18" t="n">
        <v>1416.31</v>
      </c>
      <c r="U64" s="37" t="n">
        <v>4152.05</v>
      </c>
      <c r="V64" s="18" t="n">
        <v>1099.04</v>
      </c>
      <c r="W64" s="18" t="n">
        <v>810.42</v>
      </c>
      <c r="X64" s="18" t="n">
        <v>583.09</v>
      </c>
      <c r="Y64" s="18" t="n">
        <v>916.55</v>
      </c>
      <c r="Z64" s="37" t="n">
        <v>3409.1</v>
      </c>
      <c r="AA64" s="18" t="n">
        <v>596.38</v>
      </c>
      <c r="AB64" s="19" t="n">
        <v>873.88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법인세납부(CF)</t>
        </is>
      </c>
      <c r="E65" s="18" t="n">
        <v>-23.91</v>
      </c>
      <c r="F65" s="9" t="n"/>
      <c r="G65" s="18" t="n">
        <v>-33.82</v>
      </c>
      <c r="H65" s="18" t="n">
        <v>361.33</v>
      </c>
      <c r="I65" s="18" t="n">
        <v>-53.28</v>
      </c>
      <c r="J65" s="18" t="n">
        <v>-75.36</v>
      </c>
      <c r="K65" s="37" t="n">
        <v>198.87</v>
      </c>
      <c r="L65" s="18" t="n">
        <v>-2897.33</v>
      </c>
      <c r="M65" s="18" t="n">
        <v>-3521.5</v>
      </c>
      <c r="N65" s="18" t="n">
        <v>-1538.97</v>
      </c>
      <c r="O65" s="18" t="n">
        <v>-1560.34</v>
      </c>
      <c r="P65" s="37" t="n">
        <v>-9518.139999999999</v>
      </c>
      <c r="Q65" s="18" t="n">
        <v>-153.2</v>
      </c>
      <c r="R65" s="18" t="n">
        <v>-5910.23</v>
      </c>
      <c r="S65" s="18" t="n">
        <v>-2307.42</v>
      </c>
      <c r="T65" s="18" t="n">
        <v>-2136.77</v>
      </c>
      <c r="U65" s="37" t="n">
        <v>-10507.62</v>
      </c>
      <c r="V65" s="18" t="n">
        <v>-3415.35</v>
      </c>
      <c r="W65" s="18" t="n">
        <v>-4413.46</v>
      </c>
      <c r="X65" s="18" t="n">
        <v>-99.67</v>
      </c>
      <c r="Y65" s="18" t="n">
        <v>-4921.93</v>
      </c>
      <c r="Z65" s="37" t="n">
        <v>-12850.41</v>
      </c>
      <c r="AA65" s="18" t="n">
        <v>-1803.44</v>
      </c>
      <c r="AB65" s="19" t="n">
        <v>-2693.53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투자활동으로인한현금흐름</t>
        </is>
      </c>
      <c r="E66" s="18" t="n">
        <v>670.42</v>
      </c>
      <c r="F66" s="9" t="n"/>
      <c r="G66" s="18" t="n">
        <v>8233.9</v>
      </c>
      <c r="H66" s="18" t="n">
        <v>2459.66</v>
      </c>
      <c r="I66" s="18" t="n">
        <v>8230.620000000001</v>
      </c>
      <c r="J66" s="18" t="n">
        <v>1661.21</v>
      </c>
      <c r="K66" s="37" t="n">
        <v>20585.39</v>
      </c>
      <c r="L66" s="18" t="n">
        <v>-653.21</v>
      </c>
      <c r="M66" s="18" t="n">
        <v>-7599.53</v>
      </c>
      <c r="N66" s="18" t="n">
        <v>747.52</v>
      </c>
      <c r="O66" s="18" t="n">
        <v>-26219.82</v>
      </c>
      <c r="P66" s="37" t="n">
        <v>-33725.04</v>
      </c>
      <c r="Q66" s="18" t="n">
        <v>-11571.58</v>
      </c>
      <c r="R66" s="18" t="n">
        <v>2675.24</v>
      </c>
      <c r="S66" s="18" t="n">
        <v>-7392.8</v>
      </c>
      <c r="T66" s="18" t="n">
        <v>3008.54</v>
      </c>
      <c r="U66" s="37" t="n">
        <v>-13280.6</v>
      </c>
      <c r="V66" s="18" t="n">
        <v>-2651.58</v>
      </c>
      <c r="W66" s="18" t="n">
        <v>-4715.97</v>
      </c>
      <c r="X66" s="18" t="n">
        <v>-15671.63</v>
      </c>
      <c r="Y66" s="18" t="n">
        <v>-13111.67</v>
      </c>
      <c r="Z66" s="37" t="n">
        <v>-36150.85</v>
      </c>
      <c r="AA66" s="18" t="n">
        <v>1450.36</v>
      </c>
      <c r="AB66" s="19" t="n">
        <v>4700.71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유형자산의감소</t>
        </is>
      </c>
      <c r="E67" s="18" t="n">
        <v>32.09</v>
      </c>
      <c r="F67" s="9" t="n"/>
      <c r="I67" s="18" t="n">
        <v>0</v>
      </c>
      <c r="J67" s="18" t="n">
        <v>13.63</v>
      </c>
      <c r="K67" s="9" t="n"/>
      <c r="L67" s="18" t="n">
        <v>12.73</v>
      </c>
      <c r="M67" s="18" t="n">
        <v>20.63</v>
      </c>
      <c r="N67" s="18" t="n">
        <v>0.28</v>
      </c>
      <c r="O67" s="18" t="n">
        <v>8.18</v>
      </c>
      <c r="P67" s="37" t="n">
        <v>41.82</v>
      </c>
      <c r="Q67" s="18" t="n">
        <v>0</v>
      </c>
      <c r="R67" s="18" t="n">
        <v>4.05</v>
      </c>
      <c r="S67" s="18" t="n">
        <v>0</v>
      </c>
      <c r="T67" s="18" t="n">
        <v>0</v>
      </c>
      <c r="U67" s="37" t="n">
        <v>4.05</v>
      </c>
      <c r="V67" s="18" t="n">
        <v>21.82</v>
      </c>
      <c r="W67" s="18" t="n">
        <v>0</v>
      </c>
      <c r="X67" s="18" t="n">
        <v>22.73</v>
      </c>
      <c r="Y67" s="18" t="n">
        <v>0</v>
      </c>
      <c r="Z67" s="37" t="n">
        <v>44.55</v>
      </c>
      <c r="AA67" s="18" t="n">
        <v>0</v>
      </c>
      <c r="AB67" s="19" t="n">
        <v>0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유형자산의증가</t>
        </is>
      </c>
      <c r="E68" s="18" t="n">
        <v>1546.42</v>
      </c>
      <c r="F68" s="9" t="n"/>
      <c r="G68" s="18" t="n">
        <v>60</v>
      </c>
      <c r="H68" s="18" t="n">
        <v>36.92</v>
      </c>
      <c r="I68" s="18" t="n">
        <v>257.39</v>
      </c>
      <c r="J68" s="18" t="n">
        <v>460.82</v>
      </c>
      <c r="K68" s="37" t="n">
        <v>815.13</v>
      </c>
      <c r="L68" s="18" t="n">
        <v>208.31</v>
      </c>
      <c r="M68" s="18" t="n">
        <v>867.89</v>
      </c>
      <c r="N68" s="18" t="n">
        <v>358.58</v>
      </c>
      <c r="O68" s="18" t="n">
        <v>684.72</v>
      </c>
      <c r="P68" s="37" t="n">
        <v>2119.5</v>
      </c>
      <c r="Q68" s="18" t="n">
        <v>252.42</v>
      </c>
      <c r="R68" s="18" t="n">
        <v>51.38</v>
      </c>
      <c r="S68" s="18" t="n">
        <v>869.12</v>
      </c>
      <c r="T68" s="18" t="n">
        <v>33.7</v>
      </c>
      <c r="U68" s="37" t="n">
        <v>1206.62</v>
      </c>
      <c r="V68" s="18" t="n">
        <v>332.48</v>
      </c>
      <c r="W68" s="18" t="n">
        <v>304.24</v>
      </c>
      <c r="X68" s="18" t="n">
        <v>2164.78</v>
      </c>
      <c r="Y68" s="18" t="n">
        <v>37.55</v>
      </c>
      <c r="Z68" s="37" t="n">
        <v>2839.05</v>
      </c>
      <c r="AA68" s="18" t="n">
        <v>0</v>
      </c>
      <c r="AB68" s="19" t="n">
        <v>70.73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CAPEX</t>
        </is>
      </c>
      <c r="E69" s="18" t="n">
        <v>1546.42</v>
      </c>
      <c r="F69" s="9" t="n"/>
      <c r="G69" s="18" t="n">
        <v>60</v>
      </c>
      <c r="H69" s="18" t="n">
        <v>36.92</v>
      </c>
      <c r="I69" s="18" t="n">
        <v>257.39</v>
      </c>
      <c r="J69" s="18" t="n">
        <v>499.12</v>
      </c>
      <c r="K69" s="37" t="n">
        <v>853.4299999999999</v>
      </c>
      <c r="L69" s="18" t="n">
        <v>216.71</v>
      </c>
      <c r="M69" s="18" t="n">
        <v>867.89</v>
      </c>
      <c r="N69" s="18" t="n">
        <v>358.58</v>
      </c>
      <c r="O69" s="18" t="n">
        <v>684.72</v>
      </c>
      <c r="P69" s="37" t="n">
        <v>2127.9</v>
      </c>
      <c r="Q69" s="18" t="n">
        <v>252.42</v>
      </c>
      <c r="R69" s="18" t="n">
        <v>51.38</v>
      </c>
      <c r="S69" s="18" t="n">
        <v>869.12</v>
      </c>
      <c r="T69" s="18" t="n">
        <v>33.7</v>
      </c>
      <c r="U69" s="37" t="n">
        <v>1206.62</v>
      </c>
      <c r="V69" s="18" t="n">
        <v>540.48</v>
      </c>
      <c r="W69" s="18" t="n">
        <v>976.24</v>
      </c>
      <c r="X69" s="18" t="n">
        <v>2268.28</v>
      </c>
      <c r="Y69" s="18" t="n">
        <v>37.55</v>
      </c>
      <c r="Z69" s="37" t="n">
        <v>3822.55</v>
      </c>
      <c r="AA69" s="18" t="n">
        <v>0</v>
      </c>
      <c r="AB69" s="19" t="n">
        <v>70.73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무형자산의감소</t>
        </is>
      </c>
      <c r="E70" s="18" t="n">
        <v>0</v>
      </c>
      <c r="F70" s="9" t="n"/>
      <c r="I70" s="18" t="n">
        <v>0</v>
      </c>
      <c r="J70" s="18" t="n">
        <v>0</v>
      </c>
      <c r="K70" s="9" t="n"/>
      <c r="P70" s="9" t="n"/>
      <c r="U70" s="9" t="n"/>
      <c r="Z70" s="9" t="n"/>
      <c r="AB70" s="5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재무활동으로인한현금흐름</t>
        </is>
      </c>
      <c r="E71" s="18" t="n">
        <v>-70.8</v>
      </c>
      <c r="F71" s="9" t="n"/>
      <c r="G71" s="18" t="n">
        <v>-86.95999999999999</v>
      </c>
      <c r="H71" s="18" t="n">
        <v>-2863.65</v>
      </c>
      <c r="I71" s="18" t="n">
        <v>-73.2</v>
      </c>
      <c r="J71" s="18" t="n">
        <v>-73.8</v>
      </c>
      <c r="K71" s="37" t="n">
        <v>-3097.61</v>
      </c>
      <c r="L71" s="18" t="n">
        <v>-74.09999999999999</v>
      </c>
      <c r="M71" s="18" t="n">
        <v>-872.29</v>
      </c>
      <c r="N71" s="18" t="n">
        <v>-90.48999999999999</v>
      </c>
      <c r="O71" s="18" t="n">
        <v>-94.73999999999999</v>
      </c>
      <c r="P71" s="37" t="n">
        <v>-1131.62</v>
      </c>
      <c r="Q71" s="18" t="n">
        <v>-84.05</v>
      </c>
      <c r="R71" s="18" t="n">
        <v>-4277.07</v>
      </c>
      <c r="S71" s="18" t="n">
        <v>-17779.98</v>
      </c>
      <c r="T71" s="18" t="n">
        <v>-2360.87</v>
      </c>
      <c r="U71" s="37" t="n">
        <v>-24501.97</v>
      </c>
      <c r="V71" s="18" t="n">
        <v>-88.95</v>
      </c>
      <c r="W71" s="18" t="n">
        <v>-5397.8</v>
      </c>
      <c r="X71" s="18" t="n">
        <v>577.76</v>
      </c>
      <c r="Y71" s="18" t="n">
        <v>-10.23</v>
      </c>
      <c r="Z71" s="37" t="n">
        <v>-4919.22</v>
      </c>
      <c r="AA71" s="18" t="n">
        <v>-10.01</v>
      </c>
      <c r="AB71" s="19" t="n">
        <v>-5322.69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단기차입금의증가</t>
        </is>
      </c>
      <c r="E72" s="18" t="n">
        <v>0</v>
      </c>
      <c r="F72" s="9" t="n"/>
      <c r="G72" s="18" t="n">
        <v>5000</v>
      </c>
      <c r="H72" s="18" t="n">
        <v>0</v>
      </c>
      <c r="I72" s="18" t="n">
        <v>0</v>
      </c>
      <c r="J72" s="18" t="n">
        <v>0</v>
      </c>
      <c r="K72" s="37" t="n">
        <v>5000</v>
      </c>
      <c r="L72" s="18" t="n">
        <v>0</v>
      </c>
      <c r="M72" s="18" t="n">
        <v>2000</v>
      </c>
      <c r="N72" s="18" t="n">
        <v>124.99</v>
      </c>
      <c r="O72" s="18" t="n">
        <v>0</v>
      </c>
      <c r="P72" s="37" t="n">
        <v>2124.99</v>
      </c>
      <c r="Q72" s="18" t="n">
        <v>0.49</v>
      </c>
      <c r="R72" s="18" t="n">
        <v>2000</v>
      </c>
      <c r="S72" s="18" t="n">
        <v>0</v>
      </c>
      <c r="T72" s="18" t="n">
        <v>0</v>
      </c>
      <c r="U72" s="37" t="n">
        <v>2000.49</v>
      </c>
      <c r="V72" s="18" t="n">
        <v>0</v>
      </c>
      <c r="W72" s="18" t="n">
        <v>0</v>
      </c>
      <c r="X72" s="18" t="n">
        <v>0</v>
      </c>
      <c r="Y72" s="18" t="n">
        <v>0</v>
      </c>
      <c r="Z72" s="37" t="n">
        <v>0</v>
      </c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단기차입금의감소</t>
        </is>
      </c>
      <c r="E73" s="18" t="n">
        <v>0</v>
      </c>
      <c r="F73" s="9" t="n"/>
      <c r="G73" s="18" t="n">
        <v>5000</v>
      </c>
      <c r="H73" s="18" t="n">
        <v>0</v>
      </c>
      <c r="I73" s="18" t="n">
        <v>0</v>
      </c>
      <c r="J73" s="18" t="n">
        <v>0</v>
      </c>
      <c r="K73" s="37" t="n">
        <v>5000</v>
      </c>
      <c r="L73" s="18" t="n">
        <v>0</v>
      </c>
      <c r="M73" s="18" t="n">
        <v>0</v>
      </c>
      <c r="N73" s="18" t="n">
        <v>124.99</v>
      </c>
      <c r="O73" s="18" t="n">
        <v>0</v>
      </c>
      <c r="P73" s="37" t="n">
        <v>124.99</v>
      </c>
      <c r="Q73" s="18" t="n">
        <v>0.49</v>
      </c>
      <c r="R73" s="18" t="n">
        <v>2000</v>
      </c>
      <c r="S73" s="18" t="n">
        <v>0</v>
      </c>
      <c r="T73" s="18" t="n">
        <v>0</v>
      </c>
      <c r="U73" s="37" t="n">
        <v>2000.49</v>
      </c>
      <c r="V73" s="18" t="n">
        <v>0</v>
      </c>
      <c r="W73" s="18" t="n">
        <v>0</v>
      </c>
      <c r="X73" s="18" t="n">
        <v>0</v>
      </c>
      <c r="Y73" s="18" t="n">
        <v>0</v>
      </c>
      <c r="Z73" s="37" t="n">
        <v>0</v>
      </c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이자지급(CF)</t>
        </is>
      </c>
      <c r="E74" s="18" t="n">
        <v>0</v>
      </c>
      <c r="F74" s="9" t="n"/>
      <c r="G74" s="18" t="n">
        <v>-6.16</v>
      </c>
      <c r="H74" s="18" t="n">
        <v>0</v>
      </c>
      <c r="I74" s="18" t="n">
        <v>0</v>
      </c>
      <c r="J74" s="18" t="n">
        <v>0</v>
      </c>
      <c r="K74" s="37" t="n">
        <v>-6.16</v>
      </c>
      <c r="L74" s="18" t="n">
        <v>0</v>
      </c>
      <c r="M74" s="18" t="n">
        <v>-5.33</v>
      </c>
      <c r="N74" s="18" t="n">
        <v>-16.39</v>
      </c>
      <c r="O74" s="18" t="n">
        <v>-20.65</v>
      </c>
      <c r="P74" s="37" t="n">
        <v>-42.37</v>
      </c>
      <c r="Q74" s="18" t="n">
        <v>-9.949999999999999</v>
      </c>
      <c r="R74" s="18" t="n">
        <v>-13.69</v>
      </c>
      <c r="S74" s="18" t="n">
        <v>-19.27</v>
      </c>
      <c r="T74" s="18" t="n">
        <v>-14.53</v>
      </c>
      <c r="U74" s="37" t="n">
        <v>-57.44</v>
      </c>
      <c r="V74" s="18" t="n">
        <v>-14.25</v>
      </c>
      <c r="W74" s="18" t="n">
        <v>-11.63</v>
      </c>
      <c r="X74" s="18" t="n">
        <v>-10.24</v>
      </c>
      <c r="Y74" s="18" t="n">
        <v>-10.23</v>
      </c>
      <c r="Z74" s="37" t="n">
        <v>-46.35</v>
      </c>
      <c r="AA74" s="18" t="n">
        <v>-10.01</v>
      </c>
      <c r="AB74" s="19" t="n">
        <v>-11.22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배당금지급</t>
        </is>
      </c>
      <c r="E75" s="18" t="n">
        <v>0</v>
      </c>
      <c r="F75" s="9" t="n"/>
      <c r="I75" s="18" t="n">
        <v>0</v>
      </c>
      <c r="J75" s="18" t="n">
        <v>0</v>
      </c>
      <c r="K75" s="9" t="n"/>
      <c r="N75" s="18" t="n">
        <v>0</v>
      </c>
      <c r="O75" s="18" t="n">
        <v>0</v>
      </c>
      <c r="P75" s="9" t="n"/>
      <c r="S75" s="18" t="n">
        <v>0</v>
      </c>
      <c r="T75" s="18" t="n">
        <v>0</v>
      </c>
      <c r="U75" s="9" t="n"/>
      <c r="X75" s="18" t="n">
        <v>0</v>
      </c>
      <c r="Y75" s="18" t="n">
        <v>0</v>
      </c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무형자산의증가</t>
        </is>
      </c>
      <c r="F76" s="9" t="n"/>
      <c r="K76" s="9" t="n"/>
      <c r="L76" s="18" t="n">
        <v>8.4</v>
      </c>
      <c r="M76" s="18" t="n">
        <v>0</v>
      </c>
      <c r="N76" s="18" t="n">
        <v>0</v>
      </c>
      <c r="O76" s="18" t="n">
        <v>0</v>
      </c>
      <c r="P76" s="37" t="n">
        <v>8.4</v>
      </c>
      <c r="Q76" s="18" t="n">
        <v>0</v>
      </c>
      <c r="R76" s="18" t="n">
        <v>0</v>
      </c>
      <c r="S76" s="18" t="n">
        <v>0</v>
      </c>
      <c r="T76" s="18" t="n">
        <v>0</v>
      </c>
      <c r="U76" s="37" t="n">
        <v>0</v>
      </c>
      <c r="V76" s="18" t="n">
        <v>208</v>
      </c>
      <c r="W76" s="18" t="n">
        <v>672</v>
      </c>
      <c r="X76" s="18" t="n">
        <v>103.5</v>
      </c>
      <c r="Y76" s="18" t="n">
        <v>0</v>
      </c>
      <c r="Z76" s="37" t="n">
        <v>983.5</v>
      </c>
      <c r="AA76" s="18" t="n">
        <v>0</v>
      </c>
      <c r="AB76" s="19" t="n">
        <v>0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자기주식의취득</t>
        </is>
      </c>
      <c r="F77" s="9" t="n"/>
      <c r="K77" s="9" t="n"/>
      <c r="P77" s="9" t="n"/>
      <c r="T77" s="18" t="n">
        <v>2271.64</v>
      </c>
      <c r="U77" s="9" t="n"/>
      <c r="Y77" s="18" t="n">
        <v>0</v>
      </c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리스부채의상환</t>
        </is>
      </c>
      <c r="F78" s="9" t="n"/>
      <c r="K78" s="9" t="n"/>
      <c r="P78" s="9" t="n"/>
      <c r="U78" s="9" t="n"/>
      <c r="V78" s="18" t="n">
        <v>74.7</v>
      </c>
      <c r="W78" s="18" t="n">
        <v>74.7</v>
      </c>
      <c r="X78" s="18" t="n">
        <v>21.8</v>
      </c>
      <c r="Y78" s="18" t="n">
        <v>0</v>
      </c>
      <c r="Z78" s="37" t="n">
        <v>171.2</v>
      </c>
      <c r="AA78" s="18" t="n">
        <v>0</v>
      </c>
      <c r="AB78" s="19" t="n">
        <v>0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기말현금및현금성자산</t>
        </is>
      </c>
      <c r="F79" s="9" t="n"/>
      <c r="K79" s="9" t="n"/>
      <c r="P79" s="9" t="n"/>
      <c r="U79" s="9" t="n"/>
      <c r="V79" s="18" t="n">
        <v>47418.79</v>
      </c>
      <c r="W79" s="18" t="n">
        <v>-7328.14</v>
      </c>
      <c r="X79" s="18" t="n">
        <v>3698.77</v>
      </c>
      <c r="Y79" s="18" t="n">
        <v>5723.43</v>
      </c>
      <c r="Z79" s="37" t="n">
        <v>49512.85</v>
      </c>
      <c r="AA79" s="18" t="n">
        <v>57605.29</v>
      </c>
      <c r="AB79" s="19" t="n">
        <v>1067.78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현금및현금성자산의증감</t>
        </is>
      </c>
      <c r="F80" s="9" t="n"/>
      <c r="K80" s="9" t="n"/>
      <c r="P80" s="9" t="n"/>
      <c r="U80" s="9" t="n"/>
      <c r="X80" s="18" t="n">
        <v>3331.97</v>
      </c>
      <c r="Y80" s="18" t="n">
        <v>5612.06</v>
      </c>
      <c r="Z80" s="9" t="n"/>
      <c r="AA80" s="18" t="n">
        <v>6519.04</v>
      </c>
      <c r="AB80" s="19" t="n">
        <v>710.77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SUM(L8:O8)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SUM(V8:Y8)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IFERROR((AB24*변수!$D$50-AB22*변수!$D$51)/4,"")</f>
        <v/>
      </c>
      <c r="AD12" s="20">
        <f>IFERROR((AC24*변수!$D$50-AC22*변수!$D$51)/4,"")</f>
        <v/>
      </c>
      <c r="AE12" s="38">
        <f>SUM(AA12:AD12)</f>
        <v/>
      </c>
      <c r="AF12" s="20">
        <f>IFERROR((AD24*변수!$D$50-AD22*변수!$D$51)/4,"")</f>
        <v/>
      </c>
      <c r="AG12" s="20">
        <f>IFERROR((AF24*변수!$D$50-AF22*변수!$D$51)/4,"")</f>
        <v/>
      </c>
      <c r="AH12" s="20">
        <f>IFERROR((AG24*변수!$D$50-AG22*변수!$D$51)/4,"")</f>
        <v/>
      </c>
      <c r="AI12" s="20">
        <f>IFERROR((AH24*변수!$D$50-AH22*변수!$D$51)/4,"")</f>
        <v/>
      </c>
      <c r="AJ12" s="38">
        <f>SUM(AF12:AI12)</f>
        <v/>
      </c>
      <c r="AK12" s="20">
        <f>IFERROR((AI24*변수!$D$50-AI22*변수!$D$51)/4,"")</f>
        <v/>
      </c>
      <c r="AL12" s="20">
        <f>IFERROR((AK24*변수!$D$50-AK22*변수!$D$51)/4,"")</f>
        <v/>
      </c>
      <c r="AM12" s="20">
        <f>IFERROR((AL24*변수!$D$50-AL22*변수!$D$51)/4,"")</f>
        <v/>
      </c>
      <c r="AN12" s="20">
        <f>IFERROR((AM24*변수!$D$50-AM22*변수!$D$51)/4,"")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SUM(L14:O14)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IFERROR(AC9+AC11+AC13,"")</f>
        <v/>
      </c>
      <c r="AD14" s="20">
        <f>IFERROR(AD9+AD11+AD13,"")</f>
        <v/>
      </c>
      <c r="AE14" s="38">
        <f>SUM(AA14:AD14)</f>
        <v/>
      </c>
      <c r="AF14" s="20">
        <f>IFERROR(AF9+AF11+AF13,"")</f>
        <v/>
      </c>
      <c r="AG14" s="20">
        <f>IFERROR(AG9+AG11+AG13,"")</f>
        <v/>
      </c>
      <c r="AH14" s="20">
        <f>IFERROR(AH9+AH11+AH13,"")</f>
        <v/>
      </c>
      <c r="AI14" s="20">
        <f>IFERROR(AI9+AI11+AI13,"")</f>
        <v/>
      </c>
      <c r="AJ14" s="38">
        <f>SUM(AF14:AI14)</f>
        <v/>
      </c>
      <c r="AK14" s="20">
        <f>IFERROR(AK9+AK11+AK13,"")</f>
        <v/>
      </c>
      <c r="AL14" s="20">
        <f>IFERROR(AL9+AL11+AL13,"")</f>
        <v/>
      </c>
      <c r="AM14" s="20">
        <f>IFERROR(AM9+AM11+AM13,"")</f>
        <v/>
      </c>
      <c r="AN14" s="20">
        <f>IFERROR(AN9+AN11+AN13,"")</f>
        <v/>
      </c>
      <c r="AO14" s="38">
        <f>SUM(AK14:AN14)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IFERROR(MAX(AC14,0)*변수!AC25,"")</f>
        <v/>
      </c>
      <c r="AD15" s="20">
        <f>IFERROR(MAX(AD14,0)*변수!AD25,"")</f>
        <v/>
      </c>
      <c r="AE15" s="38">
        <f>SUM(AA15:AD15)</f>
        <v/>
      </c>
      <c r="AF15" s="20">
        <f>IFERROR(MAX(AF14,0)*변수!AF25,"")</f>
        <v/>
      </c>
      <c r="AG15" s="20">
        <f>IFERROR(MAX(AG14,0)*변수!AG25,"")</f>
        <v/>
      </c>
      <c r="AH15" s="20">
        <f>IFERROR(MAX(AH14,0)*변수!AH25,"")</f>
        <v/>
      </c>
      <c r="AI15" s="20">
        <f>IFERROR(MAX(AI14,0)*변수!AI25,"")</f>
        <v/>
      </c>
      <c r="AJ15" s="38">
        <f>SUM(AF15:AI15)</f>
        <v/>
      </c>
      <c r="AK15" s="20">
        <f>IFERROR(MAX(AK14,0)*변수!AK25,"")</f>
        <v/>
      </c>
      <c r="AL15" s="20">
        <f>IFERROR(MAX(AL14,0)*변수!AL25,"")</f>
        <v/>
      </c>
      <c r="AM15" s="20">
        <f>IFERROR(MAX(AM14,0)*변수!AM25,"")</f>
        <v/>
      </c>
      <c r="AN15" s="20">
        <f>IFERROR(MAX(AN14,0)*변수!AN25,"")</f>
        <v/>
      </c>
      <c r="AO15" s="38">
        <f>SUM(AK15:AN15)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IFERROR(AC14-AC15,"")</f>
        <v/>
      </c>
      <c r="AD16" s="20">
        <f>IFERROR(AD14-AD15,"")</f>
        <v/>
      </c>
      <c r="AE16" s="38">
        <f>SUM(AA16:AD16)</f>
        <v/>
      </c>
      <c r="AF16" s="20">
        <f>IFERROR(AF14-AF15,"")</f>
        <v/>
      </c>
      <c r="AG16" s="20">
        <f>IFERROR(AG14-AG15,"")</f>
        <v/>
      </c>
      <c r="AH16" s="20">
        <f>IFERROR(AH14-AH15,"")</f>
        <v/>
      </c>
      <c r="AI16" s="20">
        <f>IFERROR(AI14-AI15,"")</f>
        <v/>
      </c>
      <c r="AJ16" s="38">
        <f>SUM(AF16:AI16)</f>
        <v/>
      </c>
      <c r="AK16" s="20">
        <f>IFERROR(AK14-AK15,"")</f>
        <v/>
      </c>
      <c r="AL16" s="20">
        <f>IFERROR(AL14-AL15,"")</f>
        <v/>
      </c>
      <c r="AM16" s="20">
        <f>IFERROR(AM14-AM15,"")</f>
        <v/>
      </c>
      <c r="AN16" s="20">
        <f>IFERROR(AN14-AN15,"")</f>
        <v/>
      </c>
      <c r="AO16" s="38">
        <f>SUM(AK16:AN16)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IFERROR(AC16*변수!AC26,"")</f>
        <v/>
      </c>
      <c r="AD17" s="20">
        <f>IFERROR(AD16*변수!AD26,"")</f>
        <v/>
      </c>
      <c r="AE17" s="38">
        <f>SUM(AA17:AD17)</f>
        <v/>
      </c>
      <c r="AF17" s="20">
        <f>IFERROR(AF16*변수!AF26,"")</f>
        <v/>
      </c>
      <c r="AG17" s="20">
        <f>IFERROR(AG16*변수!AG26,"")</f>
        <v/>
      </c>
      <c r="AH17" s="20">
        <f>IFERROR(AH16*변수!AH26,"")</f>
        <v/>
      </c>
      <c r="AI17" s="20">
        <f>IFERROR(AI16*변수!AI26,"")</f>
        <v/>
      </c>
      <c r="AJ17" s="38">
        <f>SUM(AF17:AI17)</f>
        <v/>
      </c>
      <c r="AK17" s="20">
        <f>IFERROR(AK16*변수!AK26,"")</f>
        <v/>
      </c>
      <c r="AL17" s="20">
        <f>IFERROR(AL16*변수!AL26,"")</f>
        <v/>
      </c>
      <c r="AM17" s="20">
        <f>IFERROR(AM16*변수!AM26,"")</f>
        <v/>
      </c>
      <c r="AN17" s="20">
        <f>IFERROR(AN16*변수!AN26,"")</f>
        <v/>
      </c>
      <c r="AO17" s="38">
        <f>SUM(AK17:AN17)</f>
        <v/>
      </c>
    </row>
    <row r="18">
      <c r="A18" s="12" t="inlineStr">
        <is>
          <t>자산총계</t>
        </is>
      </c>
      <c r="B18" t="inlineStr">
        <is>
          <t>재무상태</t>
        </is>
      </c>
      <c r="C18" t="inlineStr">
        <is>
          <t>억원</t>
        </is>
      </c>
      <c r="D18" t="inlineStr">
        <is>
          <t>자산총계</t>
        </is>
      </c>
      <c r="E18" s="18">
        <f>IFERROR(VLOOKUP($D18,BS연결,MATCH(E$1,BS연결H,0),0)/100,"")</f>
        <v/>
      </c>
      <c r="F18" s="37">
        <f>IFERROR(VLOOKUP($D18,BS연결,MATCH(F$1,BS연결H,0),0)/100,"")</f>
        <v/>
      </c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IFERROR(AC19+AC20,"")</f>
        <v/>
      </c>
      <c r="AD18" s="20">
        <f>IFERROR(AD19+AD20,"")</f>
        <v/>
      </c>
      <c r="AE18" s="38">
        <f>AD18</f>
        <v/>
      </c>
      <c r="AF18" s="20">
        <f>IFERROR(AF19+AF20,"")</f>
        <v/>
      </c>
      <c r="AG18" s="20">
        <f>IFERROR(AG19+AG20,"")</f>
        <v/>
      </c>
      <c r="AH18" s="20">
        <f>IFERROR(AH19+AH20,"")</f>
        <v/>
      </c>
      <c r="AI18" s="20">
        <f>IFERROR(AI19+AI20,"")</f>
        <v/>
      </c>
      <c r="AJ18" s="38">
        <f>AI18</f>
        <v/>
      </c>
      <c r="AK18" s="20">
        <f>IFERROR(AK19+AK20,"")</f>
        <v/>
      </c>
      <c r="AL18" s="20">
        <f>IFERROR(AL19+AL20,"")</f>
        <v/>
      </c>
      <c r="AM18" s="20">
        <f>IFERROR(AM19+AM20,"")</f>
        <v/>
      </c>
      <c r="AN18" s="20">
        <f>IFERROR(AN19+AN20,"")</f>
        <v/>
      </c>
      <c r="AO18" s="38">
        <f>AN18</f>
        <v/>
      </c>
    </row>
    <row r="19">
      <c r="A19" s="12" t="inlineStr">
        <is>
          <t>부채총계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부채총계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IFERROR(AB19*(1+변수!AC27),"")</f>
        <v/>
      </c>
      <c r="AD19" s="20">
        <f>IFERROR(AC19*(1+변수!AD27),"")</f>
        <v/>
      </c>
      <c r="AE19" s="38">
        <f>AD19</f>
        <v/>
      </c>
      <c r="AF19" s="20">
        <f>IFERROR(AD19*(1+변수!AF27),"")</f>
        <v/>
      </c>
      <c r="AG19" s="20">
        <f>IFERROR(AF19*(1+변수!AG27),"")</f>
        <v/>
      </c>
      <c r="AH19" s="20">
        <f>IFERROR(AG19*(1+변수!AH27),"")</f>
        <v/>
      </c>
      <c r="AI19" s="20">
        <f>IFERROR(AH19*(1+변수!AI27),"")</f>
        <v/>
      </c>
      <c r="AJ19" s="38">
        <f>AI19</f>
        <v/>
      </c>
      <c r="AK19" s="20">
        <f>IFERROR(AI19*(1+변수!AK27),"")</f>
        <v/>
      </c>
      <c r="AL19" s="20">
        <f>IFERROR(AK19*(1+변수!AL27),"")</f>
        <v/>
      </c>
      <c r="AM19" s="20">
        <f>IFERROR(AL19*(1+변수!AM27),"")</f>
        <v/>
      </c>
      <c r="AN19" s="20">
        <f>IFERROR(AM19*(1+변수!AN27),"")</f>
        <v/>
      </c>
      <c r="AO19" s="38">
        <f>AN19</f>
        <v/>
      </c>
    </row>
    <row r="20">
      <c r="A20" s="12" t="inlineStr">
        <is>
          <t>자본총계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자본총계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IFERROR(AB20+AC16-변수!AC28,"")</f>
        <v/>
      </c>
      <c r="AD20" s="20">
        <f>IFERROR(AC20+AD16-변수!AD28,"")</f>
        <v/>
      </c>
      <c r="AE20" s="38">
        <f>AD20</f>
        <v/>
      </c>
      <c r="AF20" s="20">
        <f>IFERROR(AD20+AF16-변수!AF28,"")</f>
        <v/>
      </c>
      <c r="AG20" s="20">
        <f>IFERROR(AF20+AG16-변수!AG28,"")</f>
        <v/>
      </c>
      <c r="AH20" s="20">
        <f>IFERROR(AG20+AH16-변수!AH28,"")</f>
        <v/>
      </c>
      <c r="AI20" s="20">
        <f>IFERROR(AH20+AI16-변수!AI28,"")</f>
        <v/>
      </c>
      <c r="AJ20" s="38">
        <f>AI20</f>
        <v/>
      </c>
      <c r="AK20" s="20">
        <f>IFERROR(AI20+AK16-변수!AK28,"")</f>
        <v/>
      </c>
      <c r="AL20" s="20">
        <f>IFERROR(AK20+AL16-변수!AL28,"")</f>
        <v/>
      </c>
      <c r="AM20" s="20">
        <f>IFERROR(AL20+AM16-변수!AM28,"")</f>
        <v/>
      </c>
      <c r="AN20" s="20">
        <f>IFERROR(AM20+AN16-변수!AN28,"")</f>
        <v/>
      </c>
      <c r="AO20" s="38">
        <f>AN20</f>
        <v/>
      </c>
    </row>
    <row r="21">
      <c r="A21" s="12" t="inlineStr">
        <is>
          <t>지배주주지분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지배주주지분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총차입금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총차입금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 t="n"/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순차입금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순차입금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 t="n"/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이자발생자산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이자발생자산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현금및현금성자산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현금및현금성자산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CAPEX</t>
        </is>
      </c>
      <c r="B26" t="inlineStr">
        <is>
          <t>현금흐름</t>
        </is>
      </c>
      <c r="C26" t="inlineStr">
        <is>
          <t>억원</t>
        </is>
      </c>
      <c r="D26" t="inlineStr">
        <is>
          <t>CAPEX</t>
        </is>
      </c>
      <c r="E26" s="18">
        <f>IFERROR(VLOOKUP($D26,BS연결,MATCH(E$1,BS연결H,0),0)/100,"")</f>
        <v/>
      </c>
      <c r="F26" s="37" t="n"/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IFERROR(X26*(1+변수!AC34),"")</f>
        <v/>
      </c>
      <c r="AD26" s="20">
        <f>IFERROR(Y26*(1+변수!AD34),"")</f>
        <v/>
      </c>
      <c r="AE26" s="38">
        <f>SUM(AA26:AD26)</f>
        <v/>
      </c>
      <c r="AF26" s="20">
        <f>IFERROR(AD26*(1+변수!AF34),"")</f>
        <v/>
      </c>
      <c r="AG26" s="20">
        <f>IFERROR(AB26*(1+변수!AG34),"")</f>
        <v/>
      </c>
      <c r="AH26" s="20">
        <f>IFERROR(AC26*(1+변수!AH34),"")</f>
        <v/>
      </c>
      <c r="AI26" s="20">
        <f>IFERROR(AD26*(1+변수!AI34),"")</f>
        <v/>
      </c>
      <c r="AJ26" s="38">
        <f>SUM(AF26:AI26)</f>
        <v/>
      </c>
      <c r="AK26" s="20">
        <f>IFERROR(AF26*(1+변수!AK34),"")</f>
        <v/>
      </c>
      <c r="AL26" s="20">
        <f>IFERROR(AG26*(1+변수!AL34),"")</f>
        <v/>
      </c>
      <c r="AM26" s="20">
        <f>IFERROR(AH26*(1+변수!AM34),"")</f>
        <v/>
      </c>
      <c r="AN26" s="20">
        <f>IFERROR(AI26*(1+변수!AN34),"")</f>
        <v/>
      </c>
      <c r="AO26" s="38">
        <f>SUM(AK26:AN26)</f>
        <v/>
      </c>
    </row>
    <row r="27">
      <c r="A27" s="12" t="inlineStr">
        <is>
          <t>영업활동현금흐름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영업활동으로인한현금흐름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SUM(AA27:AD27)</f>
        <v/>
      </c>
      <c r="AF27" s="20" t="n"/>
      <c r="AG27" s="20" t="n"/>
      <c r="AH27" s="20" t="n"/>
      <c r="AI27" s="20" t="n"/>
      <c r="AJ27" s="38">
        <f>SUM(AF27:AI27)</f>
        <v/>
      </c>
      <c r="AK27" s="20" t="n"/>
      <c r="AL27" s="20" t="n"/>
      <c r="AM27" s="20" t="n"/>
      <c r="AN27" s="20" t="n"/>
      <c r="AO27" s="38">
        <f>SUM(AK27:AN27)</f>
        <v/>
      </c>
    </row>
    <row r="28">
      <c r="A28" s="12" t="inlineStr">
        <is>
          <t>주식수</t>
        </is>
      </c>
      <c r="B28" t="inlineStr">
        <is>
          <t>주당</t>
        </is>
      </c>
      <c r="C28" t="inlineStr">
        <is>
          <t>백만주</t>
        </is>
      </c>
      <c r="D28" t="inlineStr">
        <is>
          <t>유통주식수</t>
        </is>
      </c>
      <c r="E28" s="27" t="n">
        <v>27.929</v>
      </c>
      <c r="F28" s="28">
        <f>E28</f>
        <v/>
      </c>
      <c r="G28" s="27" t="n">
        <v>27.929</v>
      </c>
      <c r="H28" s="27" t="n">
        <v>27.929</v>
      </c>
      <c r="I28" s="27" t="n">
        <v>27.929</v>
      </c>
      <c r="J28" s="27" t="n">
        <v>27.929</v>
      </c>
      <c r="K28" s="28">
        <f>J28</f>
        <v/>
      </c>
      <c r="L28" s="27" t="n">
        <v>27.929</v>
      </c>
      <c r="M28" s="27" t="n">
        <v>27.929</v>
      </c>
      <c r="N28" s="27" t="n">
        <v>27.929</v>
      </c>
      <c r="O28" s="27" t="n">
        <v>27.929</v>
      </c>
      <c r="P28" s="28">
        <f>O28</f>
        <v/>
      </c>
      <c r="Q28" s="27" t="n">
        <v>27.929</v>
      </c>
      <c r="R28" s="27" t="n">
        <v>27.929</v>
      </c>
      <c r="S28" s="27" t="n">
        <v>26.773</v>
      </c>
      <c r="T28" s="27" t="n">
        <v>26.557</v>
      </c>
      <c r="U28" s="28">
        <f>T28</f>
        <v/>
      </c>
      <c r="V28" s="27" t="n">
        <v>26.557</v>
      </c>
      <c r="W28" s="27" t="n">
        <v>26.557</v>
      </c>
      <c r="X28" s="27" t="n">
        <v>26.557</v>
      </c>
      <c r="Y28" s="27" t="n">
        <v>26.557</v>
      </c>
      <c r="Z28" s="28">
        <f>Y28</f>
        <v/>
      </c>
      <c r="AA28" s="27" t="n">
        <v>26.557</v>
      </c>
      <c r="AB28" s="29" t="n">
        <v>26.557</v>
      </c>
      <c r="AC28" s="33">
        <f>IFERROR(AB28*(1+변수!AC36),"")</f>
        <v/>
      </c>
      <c r="AD28" s="33">
        <f>IFERROR(AC28*(1+변수!AD36),"")</f>
        <v/>
      </c>
      <c r="AE28" s="31">
        <f>AD28</f>
        <v/>
      </c>
      <c r="AF28" s="33">
        <f>IFERROR(AD28*(1+변수!AF36),"")</f>
        <v/>
      </c>
      <c r="AG28" s="33">
        <f>IFERROR(AF28*(1+변수!AG36),"")</f>
        <v/>
      </c>
      <c r="AH28" s="33">
        <f>IFERROR(AG28*(1+변수!AH36),"")</f>
        <v/>
      </c>
      <c r="AI28" s="33">
        <f>IFERROR(AH28*(1+변수!AI36),"")</f>
        <v/>
      </c>
      <c r="AJ28" s="31">
        <f>AI28</f>
        <v/>
      </c>
      <c r="AK28" s="33">
        <f>IFERROR(AI28*(1+변수!AK36),"")</f>
        <v/>
      </c>
      <c r="AL28" s="33">
        <f>IFERROR(AK28*(1+변수!AL36),"")</f>
        <v/>
      </c>
      <c r="AM28" s="33">
        <f>IFERROR(AL28*(1+변수!AM36),"")</f>
        <v/>
      </c>
      <c r="AN28" s="33">
        <f>IFERROR(AM28*(1+변수!AN36),"")</f>
        <v/>
      </c>
      <c r="AO28" s="31">
        <f>AN28</f>
        <v/>
      </c>
    </row>
    <row r="29">
      <c r="A29" s="12" t="inlineStr">
        <is>
          <t>EPS</t>
        </is>
      </c>
      <c r="B29" t="inlineStr">
        <is>
          <t>주당</t>
        </is>
      </c>
      <c r="C29" t="inlineStr">
        <is>
          <t>원</t>
        </is>
      </c>
      <c r="D29" t="inlineStr">
        <is>
          <t>EPS</t>
        </is>
      </c>
      <c r="E29" s="18">
        <f>IFERROR(E17*100/E28,"")</f>
        <v/>
      </c>
      <c r="F29" s="37" t="n"/>
      <c r="G29" s="18">
        <f>IFERROR(G17*100/G28,"")</f>
        <v/>
      </c>
      <c r="H29" s="18">
        <f>IFERROR(H17*100/H28,"")</f>
        <v/>
      </c>
      <c r="I29" s="18">
        <f>IFERROR(I17*100/I28,"")</f>
        <v/>
      </c>
      <c r="J29" s="18">
        <f>IFERROR(J17*100/J28,"")</f>
        <v/>
      </c>
      <c r="K29" s="37">
        <f>SUM(G29:J29)</f>
        <v/>
      </c>
      <c r="L29" s="18">
        <f>IFERROR(L17*100/L28,"")</f>
        <v/>
      </c>
      <c r="M29" s="18">
        <f>IFERROR(M17*100/M28,"")</f>
        <v/>
      </c>
      <c r="N29" s="18">
        <f>IFERROR(N17*100/N28,"")</f>
        <v/>
      </c>
      <c r="O29" s="18">
        <f>IFERROR(O17*100/O28,"")</f>
        <v/>
      </c>
      <c r="P29" s="37">
        <f>SUM(L29:O29)</f>
        <v/>
      </c>
      <c r="Q29" s="18">
        <f>IFERROR(Q17*100/Q28,"")</f>
        <v/>
      </c>
      <c r="R29" s="18">
        <f>IFERROR(R17*100/R28,"")</f>
        <v/>
      </c>
      <c r="S29" s="18">
        <f>IFERROR(S17*100/S28,"")</f>
        <v/>
      </c>
      <c r="T29" s="18">
        <f>IFERROR(T17*100/T28,"")</f>
        <v/>
      </c>
      <c r="U29" s="37">
        <f>SUM(Q29:T29)</f>
        <v/>
      </c>
      <c r="V29" s="18">
        <f>IFERROR(V17*100/V28,"")</f>
        <v/>
      </c>
      <c r="W29" s="18">
        <f>IFERROR(W17*100/W28,"")</f>
        <v/>
      </c>
      <c r="X29" s="18">
        <f>IFERROR(X17*100/X28,"")</f>
        <v/>
      </c>
      <c r="Y29" s="18">
        <f>IFERROR(Y17*100/Y28,"")</f>
        <v/>
      </c>
      <c r="Z29" s="37">
        <f>SUM(V29:Y29)</f>
        <v/>
      </c>
      <c r="AA29" s="18">
        <f>IFERROR(AA17*100/AA28,"")</f>
        <v/>
      </c>
      <c r="AB29" s="19">
        <f>IFERROR(AB17*100/AB28,"")</f>
        <v/>
      </c>
      <c r="AC29" s="20">
        <f>IFERROR(AC17*100/AC28,"")</f>
        <v/>
      </c>
      <c r="AD29" s="20">
        <f>IFERROR(AD17*100/AD28,"")</f>
        <v/>
      </c>
      <c r="AE29" s="38">
        <f>SUM(AA29:AD29)</f>
        <v/>
      </c>
      <c r="AF29" s="20">
        <f>IFERROR(AF17*100/AF28,"")</f>
        <v/>
      </c>
      <c r="AG29" s="20">
        <f>IFERROR(AG17*100/AG28,"")</f>
        <v/>
      </c>
      <c r="AH29" s="20">
        <f>IFERROR(AH17*100/AH28,"")</f>
        <v/>
      </c>
      <c r="AI29" s="20">
        <f>IFERROR(AI17*100/AI28,"")</f>
        <v/>
      </c>
      <c r="AJ29" s="38">
        <f>SUM(AF29:AI29)</f>
        <v/>
      </c>
      <c r="AK29" s="20">
        <f>IFERROR(AK17*100/AK28,"")</f>
        <v/>
      </c>
      <c r="AL29" s="20">
        <f>IFERROR(AL17*100/AL28,"")</f>
        <v/>
      </c>
      <c r="AM29" s="20">
        <f>IFERROR(AM17*100/AM28,"")</f>
        <v/>
      </c>
      <c r="AN29" s="20">
        <f>IFERROR(AN17*100/AN28,"")</f>
        <v/>
      </c>
      <c r="AO29" s="38">
        <f>SUM(AK29:AN29)</f>
        <v/>
      </c>
    </row>
    <row r="30">
      <c r="A30" s="12" t="inlineStr">
        <is>
          <t>BPS</t>
        </is>
      </c>
      <c r="B30" t="inlineStr">
        <is>
          <t>주당</t>
        </is>
      </c>
      <c r="C30" t="inlineStr">
        <is>
          <t>원</t>
        </is>
      </c>
      <c r="D30" t="inlineStr">
        <is>
          <t>BPS</t>
        </is>
      </c>
      <c r="E30" s="18">
        <f>IFERROR(E21*100/E28,"")</f>
        <v/>
      </c>
      <c r="F30" s="37">
        <f>E30</f>
        <v/>
      </c>
      <c r="G30" s="18">
        <f>IFERROR(G21*100/G28,"")</f>
        <v/>
      </c>
      <c r="H30" s="18">
        <f>IFERROR(H21*100/H28,"")</f>
        <v/>
      </c>
      <c r="I30" s="18">
        <f>IFERROR(I21*100/I28,"")</f>
        <v/>
      </c>
      <c r="J30" s="18">
        <f>IFERROR(J21*100/J28,"")</f>
        <v/>
      </c>
      <c r="K30" s="37">
        <f>J30</f>
        <v/>
      </c>
      <c r="L30" s="18">
        <f>IFERROR(L21*100/L28,"")</f>
        <v/>
      </c>
      <c r="M30" s="18">
        <f>IFERROR(M21*100/M28,"")</f>
        <v/>
      </c>
      <c r="N30" s="18">
        <f>IFERROR(N21*100/N28,"")</f>
        <v/>
      </c>
      <c r="O30" s="18">
        <f>IFERROR(O21*100/O28,"")</f>
        <v/>
      </c>
      <c r="P30" s="37">
        <f>O30</f>
        <v/>
      </c>
      <c r="Q30" s="18">
        <f>IFERROR(Q21*100/Q28,"")</f>
        <v/>
      </c>
      <c r="R30" s="18">
        <f>IFERROR(R21*100/R28,"")</f>
        <v/>
      </c>
      <c r="S30" s="18">
        <f>IFERROR(S21*100/S28,"")</f>
        <v/>
      </c>
      <c r="T30" s="18">
        <f>IFERROR(T21*100/T28,"")</f>
        <v/>
      </c>
      <c r="U30" s="37">
        <f>T30</f>
        <v/>
      </c>
      <c r="V30" s="18">
        <f>IFERROR(V21*100/V28,"")</f>
        <v/>
      </c>
      <c r="W30" s="18">
        <f>IFERROR(W21*100/W28,"")</f>
        <v/>
      </c>
      <c r="X30" s="18">
        <f>IFERROR(X21*100/X28,"")</f>
        <v/>
      </c>
      <c r="Y30" s="18">
        <f>IFERROR(Y21*100/Y28,"")</f>
        <v/>
      </c>
      <c r="Z30" s="37">
        <f>Y30</f>
        <v/>
      </c>
      <c r="AA30" s="18">
        <f>IFERROR(AA21*100/AA28,"")</f>
        <v/>
      </c>
      <c r="AB30" s="19">
        <f>IFERROR(AB21*100/AB28,"")</f>
        <v/>
      </c>
      <c r="AC30" s="20">
        <f>IFERROR(AC21*100/AC28,"")</f>
        <v/>
      </c>
      <c r="AD30" s="20">
        <f>IFERROR(AD21*100/AD28,"")</f>
        <v/>
      </c>
      <c r="AE30" s="38">
        <f>AD30</f>
        <v/>
      </c>
      <c r="AF30" s="20">
        <f>IFERROR(AF21*100/AF28,"")</f>
        <v/>
      </c>
      <c r="AG30" s="20">
        <f>IFERROR(AG21*100/AG28,"")</f>
        <v/>
      </c>
      <c r="AH30" s="20">
        <f>IFERROR(AH21*100/AH28,"")</f>
        <v/>
      </c>
      <c r="AI30" s="20">
        <f>IFERROR(AI21*100/AI28,"")</f>
        <v/>
      </c>
      <c r="AJ30" s="38">
        <f>AI30</f>
        <v/>
      </c>
      <c r="AK30" s="20">
        <f>IFERROR(AK21*100/AK28,"")</f>
        <v/>
      </c>
      <c r="AL30" s="20">
        <f>IFERROR(AL21*100/AL28,"")</f>
        <v/>
      </c>
      <c r="AM30" s="20">
        <f>IFERROR(AM21*100/AM28,"")</f>
        <v/>
      </c>
      <c r="AN30" s="20">
        <f>IFERROR(AN21*100/AN28,"")</f>
        <v/>
      </c>
      <c r="AO30" s="38">
        <f>AN30</f>
        <v/>
      </c>
    </row>
    <row r="31">
      <c r="A31" s="12" t="inlineStr">
        <is>
          <t>DPS</t>
        </is>
      </c>
      <c r="B31" t="inlineStr">
        <is>
          <t>주당</t>
        </is>
      </c>
      <c r="C31" t="inlineStr">
        <is>
          <t>원</t>
        </is>
      </c>
      <c r="D31" t="inlineStr">
        <is>
          <t>DPS(보통주)</t>
        </is>
      </c>
      <c r="E31" s="18" t="n">
        <v>100</v>
      </c>
      <c r="F31" s="37" t="n">
        <v>100</v>
      </c>
      <c r="G31" s="18" t="n"/>
      <c r="H31" s="18" t="n"/>
      <c r="I31" s="18" t="n"/>
      <c r="J31" s="18" t="n">
        <v>100</v>
      </c>
      <c r="K31" s="37">
        <f>SUM(G31:J31)</f>
        <v/>
      </c>
      <c r="L31" s="18" t="n"/>
      <c r="M31" s="18" t="n"/>
      <c r="N31" s="18" t="n"/>
      <c r="O31" s="18" t="n">
        <v>150</v>
      </c>
      <c r="P31" s="37">
        <f>SUM(L31:O31)</f>
        <v/>
      </c>
      <c r="Q31" s="18" t="n"/>
      <c r="R31" s="18" t="n"/>
      <c r="S31" s="18" t="n"/>
      <c r="T31" s="18" t="n">
        <v>200</v>
      </c>
      <c r="U31" s="37">
        <f>SUM(Q31:T31)</f>
        <v/>
      </c>
      <c r="V31" s="18" t="n"/>
      <c r="W31" s="18" t="n"/>
      <c r="X31" s="18" t="n"/>
      <c r="Y31" s="18" t="n">
        <v>200</v>
      </c>
      <c r="Z31" s="37">
        <f>SUM(V31:Y31)</f>
        <v/>
      </c>
      <c r="AA31" s="18" t="n"/>
      <c r="AB31" s="19" t="n"/>
      <c r="AC31" s="20" t="n"/>
      <c r="AD31" s="20">
        <f>변수!AD37</f>
        <v/>
      </c>
      <c r="AE31" s="38">
        <f>SUM(AA31:AD31)</f>
        <v/>
      </c>
      <c r="AF31" s="20" t="n"/>
      <c r="AG31" s="20" t="n"/>
      <c r="AH31" s="20" t="n"/>
      <c r="AI31" s="20">
        <f>변수!AI37</f>
        <v/>
      </c>
      <c r="AJ31" s="38">
        <f>SUM(AF31:AI31)</f>
        <v/>
      </c>
      <c r="AK31" s="20" t="n"/>
      <c r="AL31" s="20" t="n"/>
      <c r="AM31" s="20" t="n"/>
      <c r="AN31" s="20">
        <f>변수!AN37</f>
        <v/>
      </c>
      <c r="AO31" s="38">
        <f>SUM(AK31:AN31)</f>
        <v/>
      </c>
    </row>
    <row r="32">
      <c r="A32" s="12" t="inlineStr">
        <is>
          <t>PER</t>
        </is>
      </c>
      <c r="B32" t="inlineStr">
        <is>
          <t>주당</t>
        </is>
      </c>
      <c r="C32" t="inlineStr">
        <is>
          <t>배</t>
        </is>
      </c>
      <c r="D32" t="inlineStr">
        <is>
          <t>PER</t>
        </is>
      </c>
      <c r="E32" s="13" t="n"/>
      <c r="F32" s="14">
        <f>E32</f>
        <v/>
      </c>
      <c r="G32" s="13" t="n"/>
      <c r="H32" s="13" t="n"/>
      <c r="I32" s="13">
        <f>IFERROR(변수!I18/(E29+G29+H29+I29),"")</f>
        <v/>
      </c>
      <c r="J32" s="13">
        <f>IFERROR(변수!J18/(G29+H29+I29+J29),"")</f>
        <v/>
      </c>
      <c r="K32" s="14">
        <f>J32</f>
        <v/>
      </c>
      <c r="L32" s="13">
        <f>IFERROR(변수!L18/(H29+I29+J29+L29),"")</f>
        <v/>
      </c>
      <c r="M32" s="13">
        <f>IFERROR(변수!M18/(I29+J29+L29+M29),"")</f>
        <v/>
      </c>
      <c r="N32" s="13">
        <f>IFERROR(변수!N18/(J29+L29+M29+N29),"")</f>
        <v/>
      </c>
      <c r="O32" s="13">
        <f>IFERROR(변수!O18/(L29+M29+N29+O29),"")</f>
        <v/>
      </c>
      <c r="P32" s="14">
        <f>O32</f>
        <v/>
      </c>
      <c r="Q32" s="13">
        <f>IFERROR(변수!Q18/(M29+N29+O29+Q29),"")</f>
        <v/>
      </c>
      <c r="R32" s="13">
        <f>IFERROR(변수!R18/(N29+O29+Q29+R29),"")</f>
        <v/>
      </c>
      <c r="S32" s="13">
        <f>IFERROR(변수!S18/(O29+Q29+R29+S29),"")</f>
        <v/>
      </c>
      <c r="T32" s="13">
        <f>IFERROR(변수!T18/(Q29+R29+S29+T29),"")</f>
        <v/>
      </c>
      <c r="U32" s="14">
        <f>T32</f>
        <v/>
      </c>
      <c r="V32" s="13">
        <f>IFERROR(변수!V18/(R29+S29+T29+V29),"")</f>
        <v/>
      </c>
      <c r="W32" s="13">
        <f>IFERROR(변수!W18/(S29+T29+V29+W29),"")</f>
        <v/>
      </c>
      <c r="X32" s="13">
        <f>IFERROR(변수!X18/(T29+V29+W29+X29),"")</f>
        <v/>
      </c>
      <c r="Y32" s="13">
        <f>IFERROR(변수!Y18/(V29+W29+X29+Y29),"")</f>
        <v/>
      </c>
      <c r="Z32" s="14">
        <f>Y32</f>
        <v/>
      </c>
      <c r="AA32" s="13">
        <f>IFERROR(변수!AA18/(W29+X29+Y29+AA29),"")</f>
        <v/>
      </c>
      <c r="AB32" s="15">
        <f>IFERROR(변수!AB18/(X29+Y29+AA29+AB29),"")</f>
        <v/>
      </c>
      <c r="AC32" s="39">
        <f>IFERROR(변수!$D$40/(Y29+AA29+AB29+AC29),"")</f>
        <v/>
      </c>
      <c r="AD32" s="39">
        <f>IFERROR(변수!$D$40/(AA29+AB29+AC29+AD29),"")</f>
        <v/>
      </c>
      <c r="AE32" s="40">
        <f>AD32</f>
        <v/>
      </c>
      <c r="AF32" s="39">
        <f>IFERROR(변수!$D$40/(AB29+AC29+AD29+AF29),"")</f>
        <v/>
      </c>
      <c r="AG32" s="39">
        <f>IFERROR(변수!$D$40/(AC29+AD29+AF29+AG29),"")</f>
        <v/>
      </c>
      <c r="AH32" s="39">
        <f>IFERROR(변수!$D$40/(AD29+AF29+AG29+AH29),"")</f>
        <v/>
      </c>
      <c r="AI32" s="39">
        <f>IFERROR(변수!$D$40/(AF29+AG29+AH29+AI29),"")</f>
        <v/>
      </c>
      <c r="AJ32" s="40">
        <f>AI32</f>
        <v/>
      </c>
      <c r="AK32" s="39">
        <f>IFERROR(변수!$D$40/(AG29+AH29+AI29+AK29),"")</f>
        <v/>
      </c>
      <c r="AL32" s="39">
        <f>IFERROR(변수!$D$40/(AH29+AI29+AK29+AL29),"")</f>
        <v/>
      </c>
      <c r="AM32" s="39">
        <f>IFERROR(변수!$D$40/(AI29+AK29+AL29+AM29),"")</f>
        <v/>
      </c>
      <c r="AN32" s="39">
        <f>IFERROR(변수!$D$40/(AK29+AL29+AM29+AN29),"")</f>
        <v/>
      </c>
      <c r="AO32" s="40">
        <f>AN32</f>
        <v/>
      </c>
    </row>
    <row r="33">
      <c r="A33" s="12" t="inlineStr">
        <is>
          <t>PBR</t>
        </is>
      </c>
      <c r="B33" t="inlineStr">
        <is>
          <t>주당</t>
        </is>
      </c>
      <c r="C33" t="inlineStr">
        <is>
          <t>배</t>
        </is>
      </c>
      <c r="D33" t="inlineStr">
        <is>
          <t>PBR</t>
        </is>
      </c>
      <c r="E33" s="13">
        <f>IFERROR(변수!E18/E30,"")</f>
        <v/>
      </c>
      <c r="F33" s="14">
        <f>E33</f>
        <v/>
      </c>
      <c r="G33" s="13">
        <f>IFERROR(변수!G18/G30,"")</f>
        <v/>
      </c>
      <c r="H33" s="13">
        <f>IFERROR(변수!H18/H30,"")</f>
        <v/>
      </c>
      <c r="I33" s="13">
        <f>IFERROR(변수!I18/I30,"")</f>
        <v/>
      </c>
      <c r="J33" s="13">
        <f>IFERROR(변수!J18/J30,"")</f>
        <v/>
      </c>
      <c r="K33" s="14">
        <f>J33</f>
        <v/>
      </c>
      <c r="L33" s="13">
        <f>IFERROR(변수!L18/L30,"")</f>
        <v/>
      </c>
      <c r="M33" s="13">
        <f>IFERROR(변수!M18/M30,"")</f>
        <v/>
      </c>
      <c r="N33" s="13">
        <f>IFERROR(변수!N18/N30,"")</f>
        <v/>
      </c>
      <c r="O33" s="13">
        <f>IFERROR(변수!O18/O30,"")</f>
        <v/>
      </c>
      <c r="P33" s="14">
        <f>O33</f>
        <v/>
      </c>
      <c r="Q33" s="13">
        <f>IFERROR(변수!Q18/Q30,"")</f>
        <v/>
      </c>
      <c r="R33" s="13">
        <f>IFERROR(변수!R18/R30,"")</f>
        <v/>
      </c>
      <c r="S33" s="13">
        <f>IFERROR(변수!S18/S30,"")</f>
        <v/>
      </c>
      <c r="T33" s="13">
        <f>IFERROR(변수!T18/T30,"")</f>
        <v/>
      </c>
      <c r="U33" s="14">
        <f>T33</f>
        <v/>
      </c>
      <c r="V33" s="13">
        <f>IFERROR(변수!V18/V30,"")</f>
        <v/>
      </c>
      <c r="W33" s="13">
        <f>IFERROR(변수!W18/W30,"")</f>
        <v/>
      </c>
      <c r="X33" s="13">
        <f>IFERROR(변수!X18/X30,"")</f>
        <v/>
      </c>
      <c r="Y33" s="13">
        <f>IFERROR(변수!Y18/Y30,"")</f>
        <v/>
      </c>
      <c r="Z33" s="14">
        <f>Y33</f>
        <v/>
      </c>
      <c r="AA33" s="13">
        <f>IFERROR(변수!AA18/AA30,"")</f>
        <v/>
      </c>
      <c r="AB33" s="15">
        <f>IFERROR(변수!AB18/AB30,"")</f>
        <v/>
      </c>
      <c r="AC33" s="39">
        <f>IFERROR(변수!$D$40/AC30,"")</f>
        <v/>
      </c>
      <c r="AD33" s="39">
        <f>IFERROR(변수!$D$40/AD30,"")</f>
        <v/>
      </c>
      <c r="AE33" s="40">
        <f>AD33</f>
        <v/>
      </c>
      <c r="AF33" s="39">
        <f>IFERROR(변수!$D$40/AF30,"")</f>
        <v/>
      </c>
      <c r="AG33" s="39">
        <f>IFERROR(변수!$D$40/AG30,"")</f>
        <v/>
      </c>
      <c r="AH33" s="39">
        <f>IFERROR(변수!$D$40/AH30,"")</f>
        <v/>
      </c>
      <c r="AI33" s="39">
        <f>IFERROR(변수!$D$40/AI30,"")</f>
        <v/>
      </c>
      <c r="AJ33" s="40">
        <f>AI33</f>
        <v/>
      </c>
      <c r="AK33" s="39">
        <f>IFERROR(변수!$D$40/AK30,"")</f>
        <v/>
      </c>
      <c r="AL33" s="39">
        <f>IFERROR(변수!$D$40/AL30,"")</f>
        <v/>
      </c>
      <c r="AM33" s="39">
        <f>IFERROR(변수!$D$40/AM30,"")</f>
        <v/>
      </c>
      <c r="AN33" s="39">
        <f>IFERROR(변수!$D$40/AN30,"")</f>
        <v/>
      </c>
      <c r="AO33" s="40">
        <f>AN33</f>
        <v/>
      </c>
    </row>
    <row r="34">
      <c r="A34" s="12" t="inlineStr">
        <is>
          <t>매출전사</t>
        </is>
      </c>
      <c r="B34" t="inlineStr">
        <is>
          <t>사업부</t>
        </is>
      </c>
      <c r="C34" t="inlineStr">
        <is>
          <t>억원</t>
        </is>
      </c>
      <c r="D34" t="inlineStr">
        <is>
          <t>매출 전사(부문 미분리)</t>
        </is>
      </c>
      <c r="E34" s="18" t="n">
        <v>326.77</v>
      </c>
      <c r="F34" s="37" t="n"/>
      <c r="G34" s="18" t="n">
        <v>453.81</v>
      </c>
      <c r="H34" s="18" t="n">
        <v>671.3200000000001</v>
      </c>
      <c r="I34" s="18" t="n">
        <v>652.55</v>
      </c>
      <c r="J34" s="18" t="n">
        <v>662.5700000000001</v>
      </c>
      <c r="K34" s="37">
        <f>SUM(G34:J34)</f>
        <v/>
      </c>
      <c r="L34" s="18" t="n">
        <v>683.59</v>
      </c>
      <c r="M34" s="18" t="n">
        <v>651.96</v>
      </c>
      <c r="N34" s="18" t="n">
        <v>577.7</v>
      </c>
      <c r="O34" s="18" t="n">
        <v>633.6799999999999</v>
      </c>
      <c r="P34" s="37">
        <f>SUM(L34:O34)</f>
        <v/>
      </c>
      <c r="Q34" s="18" t="n">
        <v>571.6799999999999</v>
      </c>
      <c r="R34" s="18" t="n">
        <v>668.87</v>
      </c>
      <c r="S34" s="18" t="n">
        <v>453.97</v>
      </c>
      <c r="T34" s="18" t="n">
        <v>582.3099999999999</v>
      </c>
      <c r="U34" s="37">
        <f>SUM(Q34:T34)</f>
        <v/>
      </c>
      <c r="V34" s="18" t="n">
        <v>636.99</v>
      </c>
      <c r="W34" s="18" t="n">
        <v>581.09</v>
      </c>
      <c r="X34" s="18" t="n">
        <v>645.61</v>
      </c>
      <c r="Y34" s="18" t="n">
        <v>593.01</v>
      </c>
      <c r="Z34" s="37">
        <f>SUM(V34:Y34)</f>
        <v/>
      </c>
      <c r="AA34" s="18" t="n">
        <v>591.37</v>
      </c>
      <c r="AB34" s="19" t="n">
        <v>641.3200000000001</v>
      </c>
      <c r="AC34" s="20">
        <f>IFERROR(AC5,"")</f>
        <v/>
      </c>
      <c r="AD34" s="20">
        <f>IFERROR(AD5,"")</f>
        <v/>
      </c>
      <c r="AE34" s="38">
        <f>SUM(AA34:AD34)</f>
        <v/>
      </c>
      <c r="AF34" s="20">
        <f>IFERROR(AF5,"")</f>
        <v/>
      </c>
      <c r="AG34" s="20">
        <f>IFERROR(AG5,"")</f>
        <v/>
      </c>
      <c r="AH34" s="20">
        <f>IFERROR(AH5,"")</f>
        <v/>
      </c>
      <c r="AI34" s="20">
        <f>IFERROR(AI5,"")</f>
        <v/>
      </c>
      <c r="AJ34" s="38">
        <f>SUM(AF34:AI34)</f>
        <v/>
      </c>
      <c r="AK34" s="20">
        <f>IFERROR(AK5,"")</f>
        <v/>
      </c>
      <c r="AL34" s="20">
        <f>IFERROR(AL5,"")</f>
        <v/>
      </c>
      <c r="AM34" s="20">
        <f>IFERROR(AM5,"")</f>
        <v/>
      </c>
      <c r="AN34" s="20">
        <f>IFERROR(AN5,"")</f>
        <v/>
      </c>
      <c r="AO34" s="38">
        <f>SUM(AK34:AN34)</f>
        <v/>
      </c>
    </row>
    <row r="35">
      <c r="A35" s="12" t="inlineStr">
        <is>
          <t>OP전사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OP 전사(부문 미분리)</t>
        </is>
      </c>
      <c r="E35" s="18" t="n">
        <v>-35.96</v>
      </c>
      <c r="F35" s="37" t="n"/>
      <c r="G35" s="18" t="n">
        <v>30.54</v>
      </c>
      <c r="H35" s="18" t="n">
        <v>87.18000000000001</v>
      </c>
      <c r="I35" s="18" t="n">
        <v>78</v>
      </c>
      <c r="J35" s="18" t="n">
        <v>71.88</v>
      </c>
      <c r="K35" s="37">
        <f>SUM(G35:J35)</f>
        <v/>
      </c>
      <c r="L35" s="18" t="n">
        <v>147.99</v>
      </c>
      <c r="M35" s="18" t="n">
        <v>135.2</v>
      </c>
      <c r="N35" s="18" t="n">
        <v>93.81999999999999</v>
      </c>
      <c r="O35" s="18" t="n">
        <v>71.33</v>
      </c>
      <c r="P35" s="37">
        <f>SUM(L35:O35)</f>
        <v/>
      </c>
      <c r="Q35" s="18" t="n">
        <v>98.91</v>
      </c>
      <c r="R35" s="18" t="n">
        <v>203.66</v>
      </c>
      <c r="S35" s="18" t="n">
        <v>78.09999999999999</v>
      </c>
      <c r="T35" s="18" t="n">
        <v>39.21</v>
      </c>
      <c r="U35" s="37">
        <f>SUM(Q35:T35)</f>
        <v/>
      </c>
      <c r="V35" s="18" t="n">
        <v>107.45</v>
      </c>
      <c r="W35" s="18" t="n">
        <v>107.7</v>
      </c>
      <c r="X35" s="18" t="n">
        <v>117.31</v>
      </c>
      <c r="Y35" s="18" t="n">
        <v>87.09999999999999</v>
      </c>
      <c r="Z35" s="37">
        <f>SUM(V35:Y35)</f>
        <v/>
      </c>
      <c r="AA35" s="18" t="n">
        <v>65.69</v>
      </c>
      <c r="AB35" s="19" t="n">
        <v>100.07</v>
      </c>
      <c r="AC35" s="20">
        <f>IFERROR(AC9,"")</f>
        <v/>
      </c>
      <c r="AD35" s="20">
        <f>IFERROR(AD9,"")</f>
        <v/>
      </c>
      <c r="AE35" s="38">
        <f>SUM(AA35:AD35)</f>
        <v/>
      </c>
      <c r="AF35" s="20">
        <f>IFERROR(AF9,"")</f>
        <v/>
      </c>
      <c r="AG35" s="20">
        <f>IFERROR(AG9,"")</f>
        <v/>
      </c>
      <c r="AH35" s="20">
        <f>IFERROR(AH9,"")</f>
        <v/>
      </c>
      <c r="AI35" s="20">
        <f>IFERROR(AI9,"")</f>
        <v/>
      </c>
      <c r="AJ35" s="38">
        <f>SUM(AF35:AI35)</f>
        <v/>
      </c>
      <c r="AK35" s="20">
        <f>IFERROR(AK9,"")</f>
        <v/>
      </c>
      <c r="AL35" s="20">
        <f>IFERROR(AL9,"")</f>
        <v/>
      </c>
      <c r="AM35" s="20">
        <f>IFERROR(AM9,"")</f>
        <v/>
      </c>
      <c r="AN35" s="20">
        <f>IFERROR(AN9,"")</f>
        <v/>
      </c>
      <c r="AO35" s="38">
        <f>SUM(AK35:AN35)</f>
        <v/>
      </c>
    </row>
    <row r="36">
      <c r="B36" s="2" t="inlineStr">
        <is>
          <t>비율(참고)</t>
        </is>
      </c>
      <c r="F36" s="9" t="n"/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s="12" t="inlineStr">
        <is>
          <t>NPM</t>
        </is>
      </c>
      <c r="C37" t="inlineStr">
        <is>
          <t>%</t>
        </is>
      </c>
      <c r="D37" t="inlineStr">
        <is>
          <t>지배주주순이익 / 매출액</t>
        </is>
      </c>
      <c r="E37" s="21">
        <f>IFERROR(E17/E5,"")</f>
        <v/>
      </c>
      <c r="F37" s="22">
        <f>IFERROR(F17/F5,"")</f>
        <v/>
      </c>
      <c r="G37" s="21">
        <f>IFERROR(G17/G5,"")</f>
        <v/>
      </c>
      <c r="H37" s="21">
        <f>IFERROR(H17/H5,"")</f>
        <v/>
      </c>
      <c r="I37" s="21">
        <f>IFERROR(I17/I5,"")</f>
        <v/>
      </c>
      <c r="J37" s="21">
        <f>IFERROR(J17/J5,"")</f>
        <v/>
      </c>
      <c r="K37" s="22">
        <f>IFERROR(K17/K5,"")</f>
        <v/>
      </c>
      <c r="L37" s="21">
        <f>IFERROR(L17/L5,"")</f>
        <v/>
      </c>
      <c r="M37" s="21">
        <f>IFERROR(M17/M5,"")</f>
        <v/>
      </c>
      <c r="N37" s="21">
        <f>IFERROR(N17/N5,"")</f>
        <v/>
      </c>
      <c r="O37" s="21">
        <f>IFERROR(O17/O5,"")</f>
        <v/>
      </c>
      <c r="P37" s="22">
        <f>IFERROR(P17/P5,"")</f>
        <v/>
      </c>
      <c r="Q37" s="21">
        <f>IFERROR(Q17/Q5,"")</f>
        <v/>
      </c>
      <c r="R37" s="21">
        <f>IFERROR(R17/R5,"")</f>
        <v/>
      </c>
      <c r="S37" s="21">
        <f>IFERROR(S17/S5,"")</f>
        <v/>
      </c>
      <c r="T37" s="21">
        <f>IFERROR(T17/T5,"")</f>
        <v/>
      </c>
      <c r="U37" s="22">
        <f>IFERROR(U17/U5,"")</f>
        <v/>
      </c>
      <c r="V37" s="21">
        <f>IFERROR(V17/V5,"")</f>
        <v/>
      </c>
      <c r="W37" s="21">
        <f>IFERROR(W17/W5,"")</f>
        <v/>
      </c>
      <c r="X37" s="21">
        <f>IFERROR(X17/X5,"")</f>
        <v/>
      </c>
      <c r="Y37" s="21">
        <f>IFERROR(Y17/Y5,"")</f>
        <v/>
      </c>
      <c r="Z37" s="22">
        <f>IFERROR(Z17/Z5,"")</f>
        <v/>
      </c>
      <c r="AA37" s="21">
        <f>IFERROR(AA17/AA5,"")</f>
        <v/>
      </c>
      <c r="AB37" s="23">
        <f>IFERROR(AB17/AB5,"")</f>
        <v/>
      </c>
      <c r="AC37" s="32">
        <f>IFERROR(AC17/AC5,"")</f>
        <v/>
      </c>
      <c r="AD37" s="32">
        <f>IFERROR(AD17/AD5,"")</f>
        <v/>
      </c>
      <c r="AE37" s="25">
        <f>IFERROR(AE17/AE5,"")</f>
        <v/>
      </c>
      <c r="AF37" s="32">
        <f>IFERROR(AF17/AF5,"")</f>
        <v/>
      </c>
      <c r="AG37" s="32">
        <f>IFERROR(AG17/AG5,"")</f>
        <v/>
      </c>
      <c r="AH37" s="32">
        <f>IFERROR(AH17/AH5,"")</f>
        <v/>
      </c>
      <c r="AI37" s="32">
        <f>IFERROR(AI17/AI5,"")</f>
        <v/>
      </c>
      <c r="AJ37" s="25">
        <f>IFERROR(AJ17/AJ5,"")</f>
        <v/>
      </c>
      <c r="AK37" s="32">
        <f>IFERROR(AK17/AK5,"")</f>
        <v/>
      </c>
      <c r="AL37" s="32">
        <f>IFERROR(AL17/AL5,"")</f>
        <v/>
      </c>
      <c r="AM37" s="32">
        <f>IFERROR(AM17/AM5,"")</f>
        <v/>
      </c>
      <c r="AN37" s="32">
        <f>IFERROR(AN17/AN5,"")</f>
        <v/>
      </c>
      <c r="AO37" s="25">
        <f>IFERROR(AO17/AO5,"")</f>
        <v/>
      </c>
    </row>
    <row r="38">
      <c r="A38" s="12" t="inlineStr">
        <is>
          <t>매출원가율</t>
        </is>
      </c>
      <c r="C38" t="inlineStr">
        <is>
          <t>%</t>
        </is>
      </c>
      <c r="D38" t="inlineStr">
        <is>
          <t>매출원가 / 매출액</t>
        </is>
      </c>
      <c r="E38" s="21">
        <f>IFERROR(E6/E5,"")</f>
        <v/>
      </c>
      <c r="F38" s="22">
        <f>IFERROR(F6/F5,"")</f>
        <v/>
      </c>
      <c r="G38" s="21">
        <f>IFERROR(G6/G5,"")</f>
        <v/>
      </c>
      <c r="H38" s="21">
        <f>IFERROR(H6/H5,"")</f>
        <v/>
      </c>
      <c r="I38" s="21">
        <f>IFERROR(I6/I5,"")</f>
        <v/>
      </c>
      <c r="J38" s="21">
        <f>IFERROR(J6/J5,"")</f>
        <v/>
      </c>
      <c r="K38" s="22">
        <f>IFERROR(K6/K5,"")</f>
        <v/>
      </c>
      <c r="L38" s="21">
        <f>IFERROR(L6/L5,"")</f>
        <v/>
      </c>
      <c r="M38" s="21">
        <f>IFERROR(M6/M5,"")</f>
        <v/>
      </c>
      <c r="N38" s="21">
        <f>IFERROR(N6/N5,"")</f>
        <v/>
      </c>
      <c r="O38" s="21">
        <f>IFERROR(O6/O5,"")</f>
        <v/>
      </c>
      <c r="P38" s="22">
        <f>IFERROR(P6/P5,"")</f>
        <v/>
      </c>
      <c r="Q38" s="21">
        <f>IFERROR(Q6/Q5,"")</f>
        <v/>
      </c>
      <c r="R38" s="21">
        <f>IFERROR(R6/R5,"")</f>
        <v/>
      </c>
      <c r="S38" s="21">
        <f>IFERROR(S6/S5,"")</f>
        <v/>
      </c>
      <c r="T38" s="21">
        <f>IFERROR(T6/T5,"")</f>
        <v/>
      </c>
      <c r="U38" s="22">
        <f>IFERROR(U6/U5,"")</f>
        <v/>
      </c>
      <c r="V38" s="21">
        <f>IFERROR(V6/V5,"")</f>
        <v/>
      </c>
      <c r="W38" s="21">
        <f>IFERROR(W6/W5,"")</f>
        <v/>
      </c>
      <c r="X38" s="21">
        <f>IFERROR(X6/X5,"")</f>
        <v/>
      </c>
      <c r="Y38" s="21">
        <f>IFERROR(Y6/Y5,"")</f>
        <v/>
      </c>
      <c r="Z38" s="22">
        <f>IFERROR(Z6/Z5,"")</f>
        <v/>
      </c>
      <c r="AA38" s="21">
        <f>IFERROR(AA6/AA5,"")</f>
        <v/>
      </c>
      <c r="AB38" s="23">
        <f>IFERROR(AB6/AB5,"")</f>
        <v/>
      </c>
      <c r="AC38" s="32">
        <f>IFERROR(AC6/AC5,"")</f>
        <v/>
      </c>
      <c r="AD38" s="32">
        <f>IFERROR(AD6/AD5,"")</f>
        <v/>
      </c>
      <c r="AE38" s="25">
        <f>IFERROR(AE6/AE5,"")</f>
        <v/>
      </c>
      <c r="AF38" s="32">
        <f>IFERROR(AF6/AF5,"")</f>
        <v/>
      </c>
      <c r="AG38" s="32">
        <f>IFERROR(AG6/AG5,"")</f>
        <v/>
      </c>
      <c r="AH38" s="32">
        <f>IFERROR(AH6/AH5,"")</f>
        <v/>
      </c>
      <c r="AI38" s="32">
        <f>IFERROR(AI6/AI5,"")</f>
        <v/>
      </c>
      <c r="AJ38" s="25">
        <f>IFERROR(AJ6/AJ5,"")</f>
        <v/>
      </c>
      <c r="AK38" s="32">
        <f>IFERROR(AK6/AK5,"")</f>
        <v/>
      </c>
      <c r="AL38" s="32">
        <f>IFERROR(AL6/AL5,"")</f>
        <v/>
      </c>
      <c r="AM38" s="32">
        <f>IFERROR(AM6/AM5,"")</f>
        <v/>
      </c>
      <c r="AN38" s="32">
        <f>IFERROR(AN6/AN5,"")</f>
        <v/>
      </c>
      <c r="AO38" s="25">
        <f>IFERROR(AO6/AO5,"")</f>
        <v/>
      </c>
    </row>
    <row r="39">
      <c r="A39" s="12" t="inlineStr">
        <is>
          <t>판관비율</t>
        </is>
      </c>
      <c r="C39" t="inlineStr">
        <is>
          <t>%</t>
        </is>
      </c>
      <c r="D39" t="inlineStr">
        <is>
          <t>판관비 / 매출액</t>
        </is>
      </c>
      <c r="E39" s="21">
        <f>IFERROR(E8/E5,"")</f>
        <v/>
      </c>
      <c r="F39" s="22">
        <f>IFERROR(F8/F5,"")</f>
        <v/>
      </c>
      <c r="G39" s="21">
        <f>IFERROR(G8/G5,"")</f>
        <v/>
      </c>
      <c r="H39" s="21">
        <f>IFERROR(H8/H5,"")</f>
        <v/>
      </c>
      <c r="I39" s="21">
        <f>IFERROR(I8/I5,"")</f>
        <v/>
      </c>
      <c r="J39" s="21">
        <f>IFERROR(J8/J5,"")</f>
        <v/>
      </c>
      <c r="K39" s="22">
        <f>IFERROR(K8/K5,"")</f>
        <v/>
      </c>
      <c r="L39" s="21">
        <f>IFERROR(L8/L5,"")</f>
        <v/>
      </c>
      <c r="M39" s="21">
        <f>IFERROR(M8/M5,"")</f>
        <v/>
      </c>
      <c r="N39" s="21">
        <f>IFERROR(N8/N5,"")</f>
        <v/>
      </c>
      <c r="O39" s="21">
        <f>IFERROR(O8/O5,"")</f>
        <v/>
      </c>
      <c r="P39" s="22">
        <f>IFERROR(P8/P5,"")</f>
        <v/>
      </c>
      <c r="Q39" s="21">
        <f>IFERROR(Q8/Q5,"")</f>
        <v/>
      </c>
      <c r="R39" s="21">
        <f>IFERROR(R8/R5,"")</f>
        <v/>
      </c>
      <c r="S39" s="21">
        <f>IFERROR(S8/S5,"")</f>
        <v/>
      </c>
      <c r="T39" s="21">
        <f>IFERROR(T8/T5,"")</f>
        <v/>
      </c>
      <c r="U39" s="22">
        <f>IFERROR(U8/U5,"")</f>
        <v/>
      </c>
      <c r="V39" s="21">
        <f>IFERROR(V8/V5,"")</f>
        <v/>
      </c>
      <c r="W39" s="21">
        <f>IFERROR(W8/W5,"")</f>
        <v/>
      </c>
      <c r="X39" s="21">
        <f>IFERROR(X8/X5,"")</f>
        <v/>
      </c>
      <c r="Y39" s="21">
        <f>IFERROR(Y8/Y5,"")</f>
        <v/>
      </c>
      <c r="Z39" s="22">
        <f>IFERROR(Z8/Z5,"")</f>
        <v/>
      </c>
      <c r="AA39" s="21">
        <f>IFERROR(AA8/AA5,"")</f>
        <v/>
      </c>
      <c r="AB39" s="23">
        <f>IFERROR(AB8/AB5,"")</f>
        <v/>
      </c>
      <c r="AC39" s="32">
        <f>IFERROR(AC8/AC5,"")</f>
        <v/>
      </c>
      <c r="AD39" s="32">
        <f>IFERROR(AD8/AD5,"")</f>
        <v/>
      </c>
      <c r="AE39" s="25">
        <f>IFERROR(AE8/AE5,"")</f>
        <v/>
      </c>
      <c r="AF39" s="32">
        <f>IFERROR(AF8/AF5,"")</f>
        <v/>
      </c>
      <c r="AG39" s="32">
        <f>IFERROR(AG8/AG5,"")</f>
        <v/>
      </c>
      <c r="AH39" s="32">
        <f>IFERROR(AH8/AH5,"")</f>
        <v/>
      </c>
      <c r="AI39" s="32">
        <f>IFERROR(AI8/AI5,"")</f>
        <v/>
      </c>
      <c r="AJ39" s="25">
        <f>IFERROR(AJ8/AJ5,"")</f>
        <v/>
      </c>
      <c r="AK39" s="32">
        <f>IFERROR(AK8/AK5,"")</f>
        <v/>
      </c>
      <c r="AL39" s="32">
        <f>IFERROR(AL8/AL5,"")</f>
        <v/>
      </c>
      <c r="AM39" s="32">
        <f>IFERROR(AM8/AM5,"")</f>
        <v/>
      </c>
      <c r="AN39" s="32">
        <f>IFERROR(AN8/AN5,"")</f>
        <v/>
      </c>
      <c r="AO39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변수!D40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27">
        <f>IFERROR(VLOOKUP($A28,subQ,MATCH(I$1,SUBQH,0),0),"")</f>
        <v/>
      </c>
      <c r="J28" s="27">
        <f>IFERROR(VLOOKUP($A28,subQ,MATCH(J$1,SUBQH,0),0),"")</f>
        <v/>
      </c>
      <c r="K28" s="27">
        <f>IFERROR(VLOOKUP($A28,subQ,MATCH(K$1,SUBQH,0),0),"")</f>
        <v/>
      </c>
      <c r="L28" s="27">
        <f>IFERROR(VLOOKUP($A28,subQ,MATCH(L$1,SUBQH,0),0),"")</f>
        <v/>
      </c>
      <c r="M28" s="27">
        <f>IFERROR(VLOOKUP($A28,subQ,MATCH(M$1,SUBQH,0),0),"")</f>
        <v/>
      </c>
      <c r="N28" s="27">
        <f>IFERROR(VLOOKUP($A28,subQ,MATCH(N$1,SUBQH,0),0),"")</f>
        <v/>
      </c>
      <c r="O28" s="27">
        <f>IFERROR(VLOOKUP($A28,subQ,MATCH(O$1,SUBQH,0),0),"")</f>
        <v/>
      </c>
      <c r="P28" s="27">
        <f>IFERROR(VLOOKUP($A28,subQ,MATCH(P$1,SUBQH,0),0),"")</f>
        <v/>
      </c>
      <c r="Q28" s="27">
        <f>IFERROR(VLOOKUP($A28,subQ,MATCH(Q$1,SUBQH,0),0),"")</f>
        <v/>
      </c>
      <c r="R28" s="27">
        <f>IFERROR(VLOOKUP($A28,subQ,MATCH(R$1,SUBQH,0),0),"")</f>
        <v/>
      </c>
      <c r="S28" s="27">
        <f>IFERROR(VLOOKUP($A28,subQ,MATCH(S$1,SUBQH,0),0),"")</f>
        <v/>
      </c>
      <c r="T28" s="27">
        <f>IFERROR(VLOOKUP($A28,subQ,MATCH(T$1,SUBQH,0),0),"")</f>
        <v/>
      </c>
      <c r="U28" s="27">
        <f>IFERROR(VLOOKUP($A28,subQ,MATCH(U$1,SUBQH,0),0),"")</f>
        <v/>
      </c>
      <c r="V28" s="27">
        <f>IFERROR(VLOOKUP($A28,subQ,MATCH(V$1,SUBQH,0),0),"")</f>
        <v/>
      </c>
      <c r="W28" s="47">
        <f>IFERROR(VLOOKUP($A28,subQ,MATCH(W$1,SUBQH,0),0),"")</f>
        <v/>
      </c>
      <c r="X28" s="33">
        <f>IFERROR(VLOOKUP($A28,subQ,MATCH(X$1,SUBQH,0),0),"")</f>
        <v/>
      </c>
      <c r="Y28" s="33">
        <f>IFERROR(VLOOKUP($A28,subQ,MATCH(Y$1,SUBQH,0),0),"")</f>
        <v/>
      </c>
      <c r="Z28" s="33">
        <f>IFERROR(VLOOKUP($A28,subQ,MATCH(Z$1,SUBQH,0),0),"")</f>
        <v/>
      </c>
      <c r="AA28" s="33">
        <f>IFERROR(VLOOKUP($A28,subQ,MATCH(AA$1,SUBQH,0),0),"")</f>
        <v/>
      </c>
      <c r="AB28" s="33">
        <f>IFERROR(VLOOKUP($A28,subQ,MATCH(AB$1,SUBQH,0),0),"")</f>
        <v/>
      </c>
      <c r="AC28" s="33">
        <f>IFERROR(VLOOKUP($A28,subQ,MATCH(AC$1,SUBQH,0),0),"")</f>
        <v/>
      </c>
      <c r="AD28" s="33">
        <f>IFERROR(VLOOKUP($A28,subQ,MATCH(AD$1,SUBQH,0),0),"")</f>
        <v/>
      </c>
      <c r="AE28" s="33">
        <f>IFERROR(VLOOKUP($A28,subQ,MATCH(AE$1,SUBQH,0),0),"")</f>
        <v/>
      </c>
      <c r="AF28" s="33">
        <f>IFERROR(VLOOKUP($A28,subQ,MATCH(AF$1,SUBQH,0),0),"")</f>
        <v/>
      </c>
      <c r="AG28" s="33">
        <f>IFERROR(VLOOKUP($A28,subQ,MATCH(AG$1,SUBQH,0),0),"")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13">
        <f>IFERROR(VLOOKUP($A32,subQ,MATCH(I$1,SUBQH,0),0),"")</f>
        <v/>
      </c>
      <c r="J32" s="13">
        <f>IFERROR(VLOOKUP($A32,subQ,MATCH(J$1,SUBQH,0),0),"")</f>
        <v/>
      </c>
      <c r="K32" s="13">
        <f>IFERROR(VLOOKUP($A32,subQ,MATCH(K$1,SUBQH,0),0),"")</f>
        <v/>
      </c>
      <c r="L32" s="13">
        <f>IFERROR(VLOOKUP($A32,subQ,MATCH(L$1,SUBQH,0),0),"")</f>
        <v/>
      </c>
      <c r="M32" s="13">
        <f>IFERROR(VLOOKUP($A32,subQ,MATCH(M$1,SUBQH,0),0),"")</f>
        <v/>
      </c>
      <c r="N32" s="13">
        <f>IFERROR(VLOOKUP($A32,subQ,MATCH(N$1,SUBQH,0),0),"")</f>
        <v/>
      </c>
      <c r="O32" s="13">
        <f>IFERROR(VLOOKUP($A32,subQ,MATCH(O$1,SUBQH,0),0),"")</f>
        <v/>
      </c>
      <c r="P32" s="13">
        <f>IFERROR(VLOOKUP($A32,subQ,MATCH(P$1,SUBQH,0),0),"")</f>
        <v/>
      </c>
      <c r="Q32" s="13">
        <f>IFERROR(VLOOKUP($A32,subQ,MATCH(Q$1,SUBQH,0),0),"")</f>
        <v/>
      </c>
      <c r="R32" s="13">
        <f>IFERROR(VLOOKUP($A32,subQ,MATCH(R$1,SUBQH,0),0),"")</f>
        <v/>
      </c>
      <c r="S32" s="13">
        <f>IFERROR(VLOOKUP($A32,subQ,MATCH(S$1,SUBQH,0),0),"")</f>
        <v/>
      </c>
      <c r="T32" s="13">
        <f>IFERROR(VLOOKUP($A32,subQ,MATCH(T$1,SUBQH,0),0),"")</f>
        <v/>
      </c>
      <c r="U32" s="13">
        <f>IFERROR(VLOOKUP($A32,subQ,MATCH(U$1,SUBQH,0),0),"")</f>
        <v/>
      </c>
      <c r="V32" s="13">
        <f>IFERROR(VLOOKUP($A32,subQ,MATCH(V$1,SUBQH,0),0),"")</f>
        <v/>
      </c>
      <c r="W32" s="48">
        <f>IFERROR(VLOOKUP($A32,subQ,MATCH(W$1,SUBQH,0),0),"")</f>
        <v/>
      </c>
      <c r="X32" s="39">
        <f>IFERROR(VLOOKUP($A32,subQ,MATCH(X$1,SUBQH,0),0),"")</f>
        <v/>
      </c>
      <c r="Y32" s="39">
        <f>IFERROR(VLOOKUP($A32,subQ,MATCH(Y$1,SUBQH,0),0),"")</f>
        <v/>
      </c>
      <c r="Z32" s="39">
        <f>IFERROR(VLOOKUP($A32,subQ,MATCH(Z$1,SUBQH,0),0),"")</f>
        <v/>
      </c>
      <c r="AA32" s="39">
        <f>IFERROR(VLOOKUP($A32,subQ,MATCH(AA$1,SUBQH,0),0),"")</f>
        <v/>
      </c>
      <c r="AB32" s="39">
        <f>IFERROR(VLOOKUP($A32,subQ,MATCH(AB$1,SUBQH,0),0),"")</f>
        <v/>
      </c>
      <c r="AC32" s="39">
        <f>IFERROR(VLOOKUP($A32,subQ,MATCH(AC$1,SUBQH,0),0),"")</f>
        <v/>
      </c>
      <c r="AD32" s="39">
        <f>IFERROR(VLOOKUP($A32,subQ,MATCH(AD$1,SUBQH,0),0),"")</f>
        <v/>
      </c>
      <c r="AE32" s="39">
        <f>IFERROR(VLOOKUP($A32,subQ,MATCH(AE$1,SUBQH,0),0),"")</f>
        <v/>
      </c>
      <c r="AF32" s="39">
        <f>IFERROR(VLOOKUP($A32,subQ,MATCH(AF$1,SUBQH,0),0),"")</f>
        <v/>
      </c>
      <c r="AG32" s="39">
        <f>IFERROR(VLOOKUP($A32,subQ,MATCH(AG$1,SUBQH,0),0),"")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21">
        <f>IFERROR(VLOOKUP($A36,subQ,MATCH(I$1,SUBQH,0),0),"")</f>
        <v/>
      </c>
      <c r="J36" s="21">
        <f>IFERROR(VLOOKUP($A36,subQ,MATCH(J$1,SUBQH,0),0),"")</f>
        <v/>
      </c>
      <c r="K36" s="21">
        <f>IFERROR(VLOOKUP($A36,subQ,MATCH(K$1,SUBQH,0),0),"")</f>
        <v/>
      </c>
      <c r="L36" s="21">
        <f>IFERROR(VLOOKUP($A36,subQ,MATCH(L$1,SUBQH,0),0),"")</f>
        <v/>
      </c>
      <c r="M36" s="21">
        <f>IFERROR(VLOOKUP($A36,subQ,MATCH(M$1,SUBQH,0),0),"")</f>
        <v/>
      </c>
      <c r="N36" s="21">
        <f>IFERROR(VLOOKUP($A36,subQ,MATCH(N$1,SUBQH,0),0),"")</f>
        <v/>
      </c>
      <c r="O36" s="21">
        <f>IFERROR(VLOOKUP($A36,subQ,MATCH(O$1,SUBQH,0),0),"")</f>
        <v/>
      </c>
      <c r="P36" s="21">
        <f>IFERROR(VLOOKUP($A36,subQ,MATCH(P$1,SUBQH,0),0),"")</f>
        <v/>
      </c>
      <c r="Q36" s="21">
        <f>IFERROR(VLOOKUP($A36,subQ,MATCH(Q$1,SUBQH,0),0),"")</f>
        <v/>
      </c>
      <c r="R36" s="21">
        <f>IFERROR(VLOOKUP($A36,subQ,MATCH(R$1,SUBQH,0),0),"")</f>
        <v/>
      </c>
      <c r="S36" s="21">
        <f>IFERROR(VLOOKUP($A36,subQ,MATCH(S$1,SUBQH,0),0),"")</f>
        <v/>
      </c>
      <c r="T36" s="21">
        <f>IFERROR(VLOOKUP($A36,subQ,MATCH(T$1,SUBQH,0),0),"")</f>
        <v/>
      </c>
      <c r="U36" s="21">
        <f>IFERROR(VLOOKUP($A36,subQ,MATCH(U$1,SUBQH,0),0),"")</f>
        <v/>
      </c>
      <c r="V36" s="21">
        <f>IFERROR(VLOOKUP($A36,subQ,MATCH(V$1,SUBQH,0),0),"")</f>
        <v/>
      </c>
      <c r="W36" s="46">
        <f>IFERROR(VLOOKUP($A36,subQ,MATCH(W$1,SUBQH,0),0),"")</f>
        <v/>
      </c>
      <c r="X36" s="32">
        <f>IFERROR(VLOOKUP($A36,subQ,MATCH(X$1,SUBQH,0),0),"")</f>
        <v/>
      </c>
      <c r="Y36" s="32">
        <f>IFERROR(VLOOKUP($A36,subQ,MATCH(Y$1,SUBQH,0),0),"")</f>
        <v/>
      </c>
      <c r="Z36" s="32">
        <f>IFERROR(VLOOKUP($A36,subQ,MATCH(Z$1,SUBQH,0),0),"")</f>
        <v/>
      </c>
      <c r="AA36" s="32">
        <f>IFERROR(VLOOKUP($A36,subQ,MATCH(AA$1,SUBQH,0),0),"")</f>
        <v/>
      </c>
      <c r="AB36" s="32">
        <f>IFERROR(VLOOKUP($A36,subQ,MATCH(AB$1,SUBQH,0),0),"")</f>
        <v/>
      </c>
      <c r="AC36" s="32">
        <f>IFERROR(VLOOKUP($A36,subQ,MATCH(AC$1,SUBQH,0),0),"")</f>
        <v/>
      </c>
      <c r="AD36" s="32">
        <f>IFERROR(VLOOKUP($A36,subQ,MATCH(AD$1,SUBQH,0),0),"")</f>
        <v/>
      </c>
      <c r="AE36" s="32">
        <f>IFERROR(VLOOKUP($A36,subQ,MATCH(AE$1,SUBQH,0),0),"")</f>
        <v/>
      </c>
      <c r="AF36" s="32">
        <f>IFERROR(VLOOKUP($A36,subQ,MATCH(AF$1,SUBQH,0),0),"")</f>
        <v/>
      </c>
      <c r="AG36" s="32">
        <f>IFERROR(VLOOKUP($A36,subQ,MATCH(AG$1,SUBQH,0),0),"")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I37" s="21">
        <f>IFERROR(I5/E5-1,"")</f>
        <v/>
      </c>
      <c r="J37" s="21">
        <f>IFERROR(J5/F5-1,"")</f>
        <v/>
      </c>
      <c r="K37" s="21">
        <f>IFERROR(K5/G5-1,"")</f>
        <v/>
      </c>
      <c r="L37" s="21">
        <f>IFERROR(L5/H5-1,"")</f>
        <v/>
      </c>
      <c r="M37" s="21">
        <f>IFERROR(M5/I5-1,"")</f>
        <v/>
      </c>
      <c r="N37" s="21">
        <f>IFERROR(N5/J5-1,"")</f>
        <v/>
      </c>
      <c r="O37" s="21">
        <f>IFERROR(O5/K5-1,"")</f>
        <v/>
      </c>
      <c r="P37" s="21">
        <f>IFERROR(P5/L5-1,"")</f>
        <v/>
      </c>
      <c r="Q37" s="21">
        <f>IFERROR(Q5/M5-1,"")</f>
        <v/>
      </c>
      <c r="R37" s="21">
        <f>IFERROR(R5/N5-1,"")</f>
        <v/>
      </c>
      <c r="S37" s="21">
        <f>IFERROR(S5/O5-1,"")</f>
        <v/>
      </c>
      <c r="T37" s="21">
        <f>IFERROR(T5/P5-1,"")</f>
        <v/>
      </c>
      <c r="U37" s="21">
        <f>IFERROR(U5/Q5-1,"")</f>
        <v/>
      </c>
      <c r="V37" s="21">
        <f>IFERROR(V5/R5-1,"")</f>
        <v/>
      </c>
      <c r="W37" s="46">
        <f>IFERROR(W5/S5-1,"")</f>
        <v/>
      </c>
      <c r="X37" s="32">
        <f>IFERROR(X5/T5-1,"")</f>
        <v/>
      </c>
      <c r="Y37" s="32">
        <f>IFERROR(Y5/U5-1,"")</f>
        <v/>
      </c>
      <c r="Z37" s="32">
        <f>IFERROR(Z5/V5-1,"")</f>
        <v/>
      </c>
      <c r="AA37" s="32">
        <f>IFERROR(AA5/W5-1,"")</f>
        <v/>
      </c>
      <c r="AB37" s="32">
        <f>IFERROR(AB5/X5-1,"")</f>
        <v/>
      </c>
      <c r="AC37" s="32">
        <f>IFERROR(AC5/Y5-1,"")</f>
        <v/>
      </c>
      <c r="AD37" s="32">
        <f>IFERROR(AD5/Z5-1,"")</f>
        <v/>
      </c>
      <c r="AE37" s="32">
        <f>IFERROR(AE5/AA5-1,"")</f>
        <v/>
      </c>
      <c r="AF37" s="32">
        <f>IFERROR(AF5/AB5-1,"")</f>
        <v/>
      </c>
      <c r="AG37" s="32">
        <f>IFERROR(AG5/AC5-1,"")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I38" s="21">
        <f>IFERROR(I9/E9-1,"")</f>
        <v/>
      </c>
      <c r="J38" s="21">
        <f>IFERROR(J9/F9-1,"")</f>
        <v/>
      </c>
      <c r="K38" s="21">
        <f>IFERROR(K9/G9-1,"")</f>
        <v/>
      </c>
      <c r="L38" s="21">
        <f>IFERROR(L9/H9-1,"")</f>
        <v/>
      </c>
      <c r="M38" s="21">
        <f>IFERROR(M9/I9-1,"")</f>
        <v/>
      </c>
      <c r="N38" s="21">
        <f>IFERROR(N9/J9-1,"")</f>
        <v/>
      </c>
      <c r="O38" s="21">
        <f>IFERROR(O9/K9-1,"")</f>
        <v/>
      </c>
      <c r="P38" s="21">
        <f>IFERROR(P9/L9-1,"")</f>
        <v/>
      </c>
      <c r="Q38" s="21">
        <f>IFERROR(Q9/M9-1,"")</f>
        <v/>
      </c>
      <c r="R38" s="21">
        <f>IFERROR(R9/N9-1,"")</f>
        <v/>
      </c>
      <c r="S38" s="21">
        <f>IFERROR(S9/O9-1,"")</f>
        <v/>
      </c>
      <c r="T38" s="21">
        <f>IFERROR(T9/P9-1,"")</f>
        <v/>
      </c>
      <c r="U38" s="21">
        <f>IFERROR(U9/Q9-1,"")</f>
        <v/>
      </c>
      <c r="V38" s="21">
        <f>IFERROR(V9/R9-1,"")</f>
        <v/>
      </c>
      <c r="W38" s="46">
        <f>IFERROR(W9/S9-1,"")</f>
        <v/>
      </c>
      <c r="X38" s="32">
        <f>IFERROR(X9/T9-1,"")</f>
        <v/>
      </c>
      <c r="Y38" s="32">
        <f>IFERROR(Y9/U9-1,"")</f>
        <v/>
      </c>
      <c r="Z38" s="32">
        <f>IFERROR(Z9/V9-1,"")</f>
        <v/>
      </c>
      <c r="AA38" s="32">
        <f>IFERROR(AA9/W9-1,"")</f>
        <v/>
      </c>
      <c r="AB38" s="32">
        <f>IFERROR(AB9/X9-1,"")</f>
        <v/>
      </c>
      <c r="AC38" s="32">
        <f>IFERROR(AC9/Y9-1,"")</f>
        <v/>
      </c>
      <c r="AD38" s="32">
        <f>IFERROR(AD9/Z9-1,"")</f>
        <v/>
      </c>
      <c r="AE38" s="32">
        <f>IFERROR(AE9/AA9-1,"")</f>
        <v/>
      </c>
      <c r="AF38" s="32">
        <f>IFERROR(AF9/AB9-1,"")</f>
        <v/>
      </c>
      <c r="AG38" s="32">
        <f>IFERROR(AG9/AC9-1,"")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I39" s="21">
        <f>IFERROR(I17/E17-1,"")</f>
        <v/>
      </c>
      <c r="J39" s="21">
        <f>IFERROR(J17/F17-1,"")</f>
        <v/>
      </c>
      <c r="K39" s="21">
        <f>IFERROR(K17/G17-1,"")</f>
        <v/>
      </c>
      <c r="L39" s="21">
        <f>IFERROR(L17/H17-1,"")</f>
        <v/>
      </c>
      <c r="M39" s="21">
        <f>IFERROR(M17/I17-1,"")</f>
        <v/>
      </c>
      <c r="N39" s="21">
        <f>IFERROR(N17/J17-1,"")</f>
        <v/>
      </c>
      <c r="O39" s="21">
        <f>IFERROR(O17/K17-1,"")</f>
        <v/>
      </c>
      <c r="P39" s="21">
        <f>IFERROR(P17/L17-1,"")</f>
        <v/>
      </c>
      <c r="Q39" s="21">
        <f>IFERROR(Q17/M17-1,"")</f>
        <v/>
      </c>
      <c r="R39" s="21">
        <f>IFERROR(R17/N17-1,"")</f>
        <v/>
      </c>
      <c r="S39" s="21">
        <f>IFERROR(S17/O17-1,"")</f>
        <v/>
      </c>
      <c r="T39" s="21">
        <f>IFERROR(T17/P17-1,"")</f>
        <v/>
      </c>
      <c r="U39" s="21">
        <f>IFERROR(U17/Q17-1,"")</f>
        <v/>
      </c>
      <c r="V39" s="21">
        <f>IFERROR(V17/R17-1,"")</f>
        <v/>
      </c>
      <c r="W39" s="46">
        <f>IFERROR(W17/S17-1,"")</f>
        <v/>
      </c>
      <c r="X39" s="32">
        <f>IFERROR(X17/T17-1,"")</f>
        <v/>
      </c>
      <c r="Y39" s="32">
        <f>IFERROR(Y17/U17-1,"")</f>
        <v/>
      </c>
      <c r="Z39" s="32">
        <f>IFERROR(Z17/V17-1,"")</f>
        <v/>
      </c>
      <c r="AA39" s="32">
        <f>IFERROR(AA17/W17-1,"")</f>
        <v/>
      </c>
      <c r="AB39" s="32">
        <f>IFERROR(AB17/X17-1,"")</f>
        <v/>
      </c>
      <c r="AC39" s="32">
        <f>IFERROR(AC17/Y17-1,"")</f>
        <v/>
      </c>
      <c r="AD39" s="32">
        <f>IFERROR(AD17/Z17-1,"")</f>
        <v/>
      </c>
      <c r="AE39" s="32">
        <f>IFERROR(AE17/AA17-1,"")</f>
        <v/>
      </c>
      <c r="AF39" s="32">
        <f>IFERROR(AF17/AB17-1,"")</f>
        <v/>
      </c>
      <c r="AG39" s="32">
        <f>IFERROR(AG17/AC17-1,"")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변수!D40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47">
        <f>IFERROR(VLOOKUP($A28,subQ,MATCH(I$1,SUBQH,0),0),"")</f>
        <v/>
      </c>
      <c r="J28" s="33">
        <f>IFERROR(VLOOKUP($A28,subQ,MATCH(J$1,SUBQH,0),0),"")</f>
        <v/>
      </c>
      <c r="K28" s="33">
        <f>IFERROR(VLOOKUP($A28,subQ,MATCH(K$1,SUBQH,0),0),"")</f>
        <v/>
      </c>
      <c r="L28" s="33">
        <f>IFERROR(VLOOKUP($A28,subQ,MATCH(L$1,SUBQH,0),0),"")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48">
        <f>IFERROR(VLOOKUP($A32,subQ,MATCH(I$1,SUBQH,0),0),"")</f>
        <v/>
      </c>
      <c r="J32" s="39">
        <f>IFERROR(VLOOKUP($A32,subQ,MATCH(J$1,SUBQH,0),0),"")</f>
        <v/>
      </c>
      <c r="K32" s="39">
        <f>IFERROR(VLOOKUP($A32,subQ,MATCH(K$1,SUBQH,0),0),"")</f>
        <v/>
      </c>
      <c r="L32" s="39">
        <f>IFERROR(VLOOKUP($A32,subQ,MATCH(L$1,SUBQH,0),0),"")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46">
        <f>IFERROR(VLOOKUP($A36,subQ,MATCH(I$1,SUBQH,0),0),"")</f>
        <v/>
      </c>
      <c r="J36" s="32">
        <f>IFERROR(VLOOKUP($A36,subQ,MATCH(J$1,SUBQH,0),0),"")</f>
        <v/>
      </c>
      <c r="K36" s="32">
        <f>IFERROR(VLOOKUP($A36,subQ,MATCH(K$1,SUBQH,0),0),"")</f>
        <v/>
      </c>
      <c r="L36" s="32">
        <f>IFERROR(VLOOKUP($A36,subQ,MATCH(L$1,SUBQH,0),0),"")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F37" s="21">
        <f>IFERROR(F5/E5-1,"")</f>
        <v/>
      </c>
      <c r="G37" s="21">
        <f>IFERROR(G5/F5-1,"")</f>
        <v/>
      </c>
      <c r="H37" s="21">
        <f>IFERROR(H5/G5-1,"")</f>
        <v/>
      </c>
      <c r="I37" s="46">
        <f>IFERROR(I5/H5-1,"")</f>
        <v/>
      </c>
      <c r="J37" s="32">
        <f>IFERROR(J5/I5-1,"")</f>
        <v/>
      </c>
      <c r="K37" s="32">
        <f>IFERROR(K5/J5-1,"")</f>
        <v/>
      </c>
      <c r="L37" s="32">
        <f>IFERROR(L5/K5-1,"")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F38" s="21">
        <f>IFERROR(F9/E9-1,"")</f>
        <v/>
      </c>
      <c r="G38" s="21">
        <f>IFERROR(G9/F9-1,"")</f>
        <v/>
      </c>
      <c r="H38" s="21">
        <f>IFERROR(H9/G9-1,"")</f>
        <v/>
      </c>
      <c r="I38" s="46">
        <f>IFERROR(I9/H9-1,"")</f>
        <v/>
      </c>
      <c r="J38" s="32">
        <f>IFERROR(J9/I9-1,"")</f>
        <v/>
      </c>
      <c r="K38" s="32">
        <f>IFERROR(K9/J9-1,"")</f>
        <v/>
      </c>
      <c r="L38" s="32">
        <f>IFERROR(L9/K9-1,"")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F39" s="21">
        <f>IFERROR(F17/E17-1,"")</f>
        <v/>
      </c>
      <c r="G39" s="21">
        <f>IFERROR(G17/F17-1,"")</f>
        <v/>
      </c>
      <c r="H39" s="21">
        <f>IFERROR(H17/G17-1,"")</f>
        <v/>
      </c>
      <c r="I39" s="46">
        <f>IFERROR(I17/H17-1,"")</f>
        <v/>
      </c>
      <c r="J39" s="32">
        <f>IFERROR(J17/I17-1,"")</f>
        <v/>
      </c>
      <c r="K39" s="32">
        <f>IFERROR(K17/J17-1,"")</f>
        <v/>
      </c>
      <c r="L39" s="32">
        <f>IFERROR(L17/K17-1,"")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변수!D40</f>
        <v/>
      </c>
    </row>
    <row r="2">
      <c r="B2" s="1" t="inlineStr">
        <is>
          <t>기준일</t>
        </is>
      </c>
      <c r="C2">
        <f>변수!D41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IFERROR(E7*변수!D46+F7*(1-변수!D46),"")</f>
        <v/>
      </c>
    </row>
    <row r="15">
      <c r="C15" t="inlineStr">
        <is>
          <t>적정가치 @PER_lo</t>
        </is>
      </c>
      <c r="D15" s="27">
        <f>변수!D43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변수!D44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변수!D45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변수!D42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1414.3</v>
      </c>
    </row>
    <row r="30">
      <c r="C30" s="2" t="inlineStr">
        <is>
          <t>bps_latest</t>
        </is>
      </c>
      <c r="D30" t="n">
        <v>21163</v>
      </c>
    </row>
    <row r="31">
      <c r="C31" s="2" t="inlineStr">
        <is>
          <t>per_now</t>
        </is>
      </c>
      <c r="D31" t="n">
        <v>20.36</v>
      </c>
    </row>
    <row r="32">
      <c r="C32" s="2" t="inlineStr">
        <is>
          <t>pbr_now</t>
        </is>
      </c>
      <c r="D32" t="n">
        <v>1.36</v>
      </c>
    </row>
    <row r="33">
      <c r="C33" s="2" t="inlineStr">
        <is>
          <t>roe_fwd</t>
        </is>
      </c>
      <c r="D33" t="n">
        <v>0.0668</v>
      </c>
    </row>
    <row r="34">
      <c r="C34" s="2" t="inlineStr">
        <is>
          <t>fair_pbr</t>
        </is>
      </c>
      <c r="D34" t="n">
        <v>0.74</v>
      </c>
    </row>
    <row r="35">
      <c r="C35" s="2" t="inlineStr">
        <is>
          <t>fair_value_pbr</t>
        </is>
      </c>
      <c r="D35" t="n">
        <v>15700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변수!D53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