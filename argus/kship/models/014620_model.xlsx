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BS별도!$C$5:$AO$78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모델값 역산(implied): v / 매출액
매출액 × 판관비율 26.00%(최근 4분기 중위)</t>
      </text>
    </comment>
    <comment ref="AD22" authorId="0" shapeId="0">
      <text>
        <t>모델값 역산(implied): v / 매출액
매출액 × 판관비율 26.00%(최근 4분기 중위)</t>
      </text>
    </comment>
    <comment ref="AF22" authorId="0" shapeId="0">
      <text>
        <t>모델값 역산(implied): v / 매출액
매출액 × 판관비율 26.00%(최근 4분기 중위)</t>
      </text>
    </comment>
    <comment ref="AG22" authorId="0" shapeId="0">
      <text>
        <t>모델값 역산(implied): v / 매출액
매출액 × 판관비율 26.00%(최근 4분기 중위)</t>
      </text>
    </comment>
    <comment ref="AH22" authorId="0" shapeId="0">
      <text>
        <t>모델값 역산(implied): v / 매출액
매출액 × 판관비율 26.00%(최근 4분기 중위)</t>
      </text>
    </comment>
    <comment ref="AI22" authorId="0" shapeId="0">
      <text>
        <t>모델값 역산(implied): v / 매출액
매출액 × 판관비율 26.00%(최근 4분기 중위)</t>
      </text>
    </comment>
    <comment ref="AK22" authorId="0" shapeId="0">
      <text>
        <t>모델값 역산(implied): v / 매출액
매출액 × 판관비율 26.00%(최근 4분기 중위)</t>
      </text>
    </comment>
    <comment ref="AL22" authorId="0" shapeId="0">
      <text>
        <t>모델값 역산(implied): v / 매출액
매출액 × 판관비율 26.00%(최근 4분기 중위)</t>
      </text>
    </comment>
    <comment ref="AM22" authorId="0" shapeId="0">
      <text>
        <t>모델값 역산(implied): v / 매출액
매출액 × 판관비율 26.00%(최근 4분기 중위)</t>
      </text>
    </comment>
    <comment ref="AN22" authorId="0" shapeId="0">
      <text>
        <t>모델값 역산(implied): v / 매출액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v / 전년동기 − 1
최근 8분기 OPM 중위 16.2% 유지(클립 −20~40%)</t>
      </text>
    </comment>
    <comment ref="AD24" authorId="0" shapeId="0">
      <text>
        <t>모델값 역산(implied): v / 전년동기 − 1
최근 8분기 OPM 중위 16.2% 유지(클립 −20~40%)</t>
      </text>
    </comment>
    <comment ref="AF24" authorId="0" shapeId="0">
      <text>
        <t>모델값 역산(implied): v / 전년동기 − 1
최근 8분기 OPM 중위 16.2% 유지(클립 −20~40%)</t>
      </text>
    </comment>
    <comment ref="AG24" authorId="0" shapeId="0">
      <text>
        <t>모델값 역산(implied): v / 전년동기 − 1
최근 8분기 OPM 중위 16.2% 유지(클립 −20~40%)</t>
      </text>
    </comment>
    <comment ref="AH24" authorId="0" shapeId="0">
      <text>
        <t>모델값 역산(implied): v / 전년동기 − 1
최근 8분기 OPM 중위 16.2% 유지(클립 −20~40%)</t>
      </text>
    </comment>
    <comment ref="AI24" authorId="0" shapeId="0">
      <text>
        <t>모델값 역산(implied): v / 전년동기 − 1
최근 8분기 OPM 중위 16.2% 유지(클립 −20~40%)</t>
      </text>
    </comment>
    <comment ref="AK24" authorId="0" shapeId="0">
      <text>
        <t>모델값 역산(implied): v / 전년동기 − 1
최근 8분기 OPM 중위 16.2% 유지(클립 −20~40%)</t>
      </text>
    </comment>
    <comment ref="AL24" authorId="0" shapeId="0">
      <text>
        <t>모델값 역산(implied): v / 전년동기 − 1
최근 8분기 OPM 중위 16.2% 유지(클립 −20~40%)</t>
      </text>
    </comment>
    <comment ref="AM24" authorId="0" shapeId="0">
      <text>
        <t>모델값 역산(implied): v / 전년동기 − 1
최근 8분기 OPM 중위 16.2% 유지(클립 −20~40%)</t>
      </text>
    </comment>
    <comment ref="AN24" authorId="0" shapeId="0">
      <text>
        <t>모델값 역산(implied): v / 전년동기 − 1
최근 8분기 OPM 중위 16.2%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658억 × 5.43%(주석 이자수익 ÷ 평균 이자발생자산(2025Q3~2026Q2)) − 총차입금 20억 × 2.09%(주석 이자비용 ÷ 평균 총차입금(2025Q3~2026Q2)) (연율) ÷ 4</t>
      </text>
    </comment>
    <comment ref="AD26" authorId="0" shapeId="0">
      <text>
        <t>모델값 역산(implied): 모델 v 그대로
이자발생자산 754억 × 5.43%(주석 이자수익 ÷ 평균 이자발생자산(2025Q3~2026Q2)) − 총차입금 20억 × 2.09%(주석 이자비용 ÷ 평균 총차입금(2025Q3~2026Q2)) (연율) ÷ 4</t>
      </text>
    </comment>
    <comment ref="AF26" authorId="0" shapeId="0">
      <text>
        <t>모델값 역산(implied): 모델 v 그대로
이자발생자산 844억 × 5.43%(주석 이자수익 ÷ 평균 이자발생자산(2025Q3~2026Q2)) − 총차입금 20억 × 2.09%(주석 이자비용 ÷ 평균 총차입금(2025Q3~2026Q2)) (연율) ÷ 4</t>
      </text>
    </comment>
    <comment ref="AG26" authorId="0" shapeId="0">
      <text>
        <t>모델값 역산(implied): 모델 v 그대로
이자발생자산 935억 × 5.43%(주석 이자수익 ÷ 평균 이자발생자산(2025Q3~2026Q2)) − 총차입금 20억 × 2.09%(주석 이자비용 ÷ 평균 총차입금(2025Q3~2026Q2)) (연율) ÷ 4</t>
      </text>
    </comment>
    <comment ref="AH26" authorId="0" shapeId="0">
      <text>
        <t>모델값 역산(implied): 모델 v 그대로
이자발생자산 980억 × 5.43%(주석 이자수익 ÷ 평균 이자발생자산(2025Q3~2026Q2)) − 총차입금 20억 × 2.09%(주석 이자비용 ÷ 평균 총차입금(2025Q3~2026Q2)) (연율) ÷ 4</t>
      </text>
    </comment>
    <comment ref="AI26" authorId="0" shapeId="0">
      <text>
        <t>모델값 역산(implied): 모델 v 그대로
이자발생자산 1084억 × 5.43%(주석 이자수익 ÷ 평균 이자발생자산(2025Q3~2026Q2)) − 총차입금 20억 × 2.09%(주석 이자비용 ÷ 평균 총차입금(2025Q3~2026Q2)) (연율) ÷ 4</t>
      </text>
    </comment>
    <comment ref="AK26" authorId="0" shapeId="0">
      <text>
        <t>모델값 역산(implied): 모델 v 그대로
이자발생자산 1182억 × 5.43%(주석 이자수익 ÷ 평균 이자발생자산(2025Q3~2026Q2)) − 총차입금 20억 × 2.09%(주석 이자비용 ÷ 평균 총차입금(2025Q3~2026Q2)) (연율) ÷ 4</t>
      </text>
    </comment>
    <comment ref="AL26" authorId="0" shapeId="0">
      <text>
        <t>모델값 역산(implied): 모델 v 그대로
이자발생자산 1280억 × 5.43%(주석 이자수익 ÷ 평균 이자발생자산(2025Q3~2026Q2)) − 총차입금 20억 × 2.09%(주석 이자비용 ÷ 평균 총차입금(2025Q3~2026Q2)) (연율) ÷ 4</t>
      </text>
    </comment>
    <comment ref="AM26" authorId="0" shapeId="0">
      <text>
        <t>모델값 역산(implied): 모델 v 그대로
이자발생자산 1333억 × 5.43%(주석 이자수익 ÷ 평균 이자발생자산(2025Q3~2026Q2)) − 총차입금 20억 × 2.09%(주석 이자비용 ÷ 평균 총차입금(2025Q3~2026Q2)) (연율) ÷ 4</t>
      </text>
    </comment>
    <comment ref="AN26" authorId="0" shapeId="0">
      <text>
        <t>모델값 역산(implied): 모델 v 그대로
이자발생자산 1443억 × 5.43%(주석 이자수익 ÷ 평균 이자발생자산(2025Q3~2026Q2)) − 총차입금 20억 × 2.09%(주석 이자비용 ÷ 평균 총차입금(2025Q3~2026Q2))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22.2%(최근 12분기 유효세율 22.2%(5~27% 안 — 그대로))</t>
      </text>
    </comment>
    <comment ref="AD28" authorId="0" shapeId="0">
      <text>
        <t>모델값 역산(implied): v / 세전이익
max(세전, 0) × 세율 22.2%(최근 12분기 유효세율 22.2%(5~27% 안 — 그대로))</t>
      </text>
    </comment>
    <comment ref="AF28" authorId="0" shapeId="0">
      <text>
        <t>모델값 역산(implied): v / 세전이익
max(세전, 0) × 세율 22.2%(최근 12분기 유효세율 22.2%(5~27% 안 — 그대로))</t>
      </text>
    </comment>
    <comment ref="AG28" authorId="0" shapeId="0">
      <text>
        <t>모델값 역산(implied): v / 세전이익
max(세전, 0) × 세율 22.2%(최근 12분기 유효세율 22.2%(5~27% 안 — 그대로))</t>
      </text>
    </comment>
    <comment ref="AH28" authorId="0" shapeId="0">
      <text>
        <t>모델값 역산(implied): v / 세전이익
max(세전, 0) × 세율 22.2%(최근 12분기 유효세율 22.2%(5~27% 안 — 그대로))</t>
      </text>
    </comment>
    <comment ref="AI28" authorId="0" shapeId="0">
      <text>
        <t>모델값 역산(implied): v / 세전이익
max(세전, 0) × 세율 22.2%(최근 12분기 유효세율 22.2%(5~27% 안 — 그대로))</t>
      </text>
    </comment>
    <comment ref="AK28" authorId="0" shapeId="0">
      <text>
        <t>모델값 역산(implied): v / 세전이익
max(세전, 0) × 세율 22.2%(최근 12분기 유효세율 22.2%(5~27% 안 — 그대로))</t>
      </text>
    </comment>
    <comment ref="AL28" authorId="0" shapeId="0">
      <text>
        <t>모델값 역산(implied): v / 세전이익
max(세전, 0) × 세율 22.2%(최근 12분기 유효세율 22.2%(5~27% 안 — 그대로))</t>
      </text>
    </comment>
    <comment ref="AM28" authorId="0" shapeId="0">
      <text>
        <t>모델값 역산(implied): v / 세전이익
max(세전, 0) × 세율 22.2%(최근 12분기 유효세율 22.2%(5~27% 안 — 그대로))</t>
      </text>
    </comment>
    <comment ref="AN28" authorId="0" shapeId="0">
      <text>
        <t>모델값 역산(implied): v / 세전이익
max(세전, 0) × 세율 22.2%(최근 12분기 유효세율 22.2%(5~27% 안 — 그대로))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200원 유지</t>
      </text>
    </comment>
    <comment ref="AI40" authorId="0" shapeId="0">
      <text>
        <t>모델값 역산(implied): v / 전년동기 − 1
직전 결산 DPS 200원 유지</t>
      </text>
    </comment>
    <comment ref="AN40" authorId="0" shapeId="0">
      <text>
        <t>모델값 역산(implied): v / 전년동기 − 1
직전 결산 DPS 200원 유지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16.2% 유지(클립 −20~40%)
[yoy]</t>
      </text>
    </comment>
    <comment ref="AD10" authorId="0" shapeId="0">
      <text>
        <t>추정: 최근 8분기 OPM 중위 16.2% 유지(클립 −20~40%)
[yoy]</t>
      </text>
    </comment>
    <comment ref="AF10" authorId="0" shapeId="0">
      <text>
        <t>추정: 최근 8분기 OPM 중위 16.2% 유지(클립 −20~40%)
[yoy]</t>
      </text>
    </comment>
    <comment ref="AG10" authorId="0" shapeId="0">
      <text>
        <t>추정: 최근 8분기 OPM 중위 16.2% 유지(클립 −20~40%)
[yoy]</t>
      </text>
    </comment>
    <comment ref="AH10" authorId="0" shapeId="0">
      <text>
        <t>추정: 최근 8분기 OPM 중위 16.2% 유지(클립 −20~40%)
[yoy]</t>
      </text>
    </comment>
    <comment ref="AI10" authorId="0" shapeId="0">
      <text>
        <t>추정: 최근 8분기 OPM 중위 16.2% 유지(클립 −20~40%)
[yoy]</t>
      </text>
    </comment>
    <comment ref="AK10" authorId="0" shapeId="0">
      <text>
        <t>추정: 최근 8분기 OPM 중위 16.2% 유지(클립 −20~40%)
[yoy]</t>
      </text>
    </comment>
    <comment ref="AL10" authorId="0" shapeId="0">
      <text>
        <t>추정: 최근 8분기 OPM 중위 16.2% 유지(클립 −20~40%)
[yoy]</t>
      </text>
    </comment>
    <comment ref="AM10" authorId="0" shapeId="0">
      <text>
        <t>추정: 최근 8분기 OPM 중위 16.2% 유지(클립 −20~40%)
[yoy]</t>
      </text>
    </comment>
    <comment ref="AN10" authorId="0" shapeId="0">
      <text>
        <t>추정: 최근 8분기 OPM 중위 16.2%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[abs]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[abs]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[abs]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[abs]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[abs]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[abs]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[abs]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[abs]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[abs]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[abs]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[ratio]</t>
      </text>
    </comment>
    <comment ref="AD15" authorId="0" shapeId="0">
      <text>
        <t>추정: max(세전, 0) × 세율 22.2%(최근 12분기 유효세율 22.2%(5~27% 안 — 그대로))
[ratio]</t>
      </text>
    </comment>
    <comment ref="AF15" authorId="0" shapeId="0">
      <text>
        <t>추정: max(세전, 0) × 세율 22.2%(최근 12분기 유효세율 22.2%(5~27% 안 — 그대로))
[ratio]</t>
      </text>
    </comment>
    <comment ref="AG15" authorId="0" shapeId="0">
      <text>
        <t>추정: max(세전, 0) × 세율 22.2%(최근 12분기 유효세율 22.2%(5~27% 안 — 그대로))
[ratio]</t>
      </text>
    </comment>
    <comment ref="AH15" authorId="0" shapeId="0">
      <text>
        <t>추정: max(세전, 0) × 세율 22.2%(최근 12분기 유효세율 22.2%(5~27% 안 — 그대로))
[ratio]</t>
      </text>
    </comment>
    <comment ref="AI15" authorId="0" shapeId="0">
      <text>
        <t>추정: max(세전, 0) × 세율 22.2%(최근 12분기 유효세율 22.2%(5~27% 안 — 그대로))
[ratio]</t>
      </text>
    </comment>
    <comment ref="AK15" authorId="0" shapeId="0">
      <text>
        <t>추정: max(세전, 0) × 세율 22.2%(최근 12분기 유효세율 22.2%(5~27% 안 — 그대로))
[ratio]</t>
      </text>
    </comment>
    <comment ref="AL15" authorId="0" shapeId="0">
      <text>
        <t>추정: max(세전, 0) × 세율 22.2%(최근 12분기 유효세율 22.2%(5~27% 안 — 그대로))
[ratio]</t>
      </text>
    </comment>
    <comment ref="AM15" authorId="0" shapeId="0">
      <text>
        <t>추정: max(세전, 0) × 세율 22.2%(최근 12분기 유효세율 22.2%(5~27% 안 — 그대로))
[ratio]</t>
      </text>
    </comment>
    <comment ref="AN15" authorId="0" shapeId="0">
      <text>
        <t>추정: max(세전, 0) × 세율 22.2%(최근 12분기 유효세율 22.2%(5~27% 안 — 그대로))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200원 유지
[yoy]</t>
      </text>
    </comment>
    <comment ref="AI31" authorId="0" shapeId="0">
      <text>
        <t>추정: 직전 결산 DPS 200원 유지
[yoy]</t>
      </text>
    </comment>
    <comment ref="AN31" authorId="0" shapeId="0">
      <text>
        <t>추정: 직전 결산 DPS 200원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assets/models/014620.json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24400</v>
      </c>
      <c r="W15" s="18" t="n">
        <v>30000</v>
      </c>
      <c r="X15" s="18" t="n">
        <v>32800</v>
      </c>
      <c r="Y15" s="18" t="n">
        <v>25750</v>
      </c>
      <c r="Z15" s="9" t="n"/>
      <c r="AA15" s="18" t="n">
        <v>35800</v>
      </c>
      <c r="AB15" s="19" t="n">
        <v>27800</v>
      </c>
      <c r="AC15" s="20" t="n">
        <v>31550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37400</v>
      </c>
      <c r="X16" s="18" t="n">
        <v>38800</v>
      </c>
      <c r="Y16" s="18" t="n">
        <v>36500</v>
      </c>
      <c r="Z16" s="9" t="n"/>
      <c r="AA16" s="18" t="n">
        <v>42000</v>
      </c>
      <c r="AB16" s="19" t="n">
        <v>53300</v>
      </c>
      <c r="AC16" s="20" t="n">
        <v>36400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17210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24700</v>
      </c>
      <c r="AC17" s="20" t="n">
        <v>22550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27280.2</v>
      </c>
      <c r="W18" s="18" t="n">
        <v>28259.2</v>
      </c>
      <c r="X18" s="18" t="n">
        <v>31940.8</v>
      </c>
      <c r="Y18" s="18" t="n">
        <v>28810.2</v>
      </c>
      <c r="Z18" s="9" t="n"/>
      <c r="AA18" s="18" t="n">
        <v>32423.7</v>
      </c>
      <c r="AB18" s="19" t="n">
        <v>35918.9</v>
      </c>
      <c r="AC18" s="20" t="n">
        <v>28456.5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0.096244</v>
      </c>
      <c r="AD21" s="24" t="n">
        <v>0.09625400000000001</v>
      </c>
      <c r="AE21" s="25" t="n"/>
      <c r="AF21" s="24" t="n">
        <v>0.09624199999999999</v>
      </c>
      <c r="AG21" s="24" t="n">
        <v>0.096249</v>
      </c>
      <c r="AH21" s="24" t="n">
        <v>0.048124</v>
      </c>
      <c r="AI21" s="24" t="n">
        <v>0.048116</v>
      </c>
      <c r="AJ21" s="25" t="n"/>
      <c r="AK21" s="24" t="n">
        <v>0.048127</v>
      </c>
      <c r="AL21" s="24" t="n">
        <v>0.048119</v>
      </c>
      <c r="AM21" s="24" t="n">
        <v>0.024063</v>
      </c>
      <c r="AN21" s="24" t="n">
        <v>0.024069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0.260021</v>
      </c>
      <c r="AD22" s="24" t="n">
        <v>0.26001</v>
      </c>
      <c r="AE22" s="25">
        <f>IFERROR(subQ!AE8/subQ!AE5,"")</f>
        <v/>
      </c>
      <c r="AF22" s="24" t="n">
        <v>0.260007</v>
      </c>
      <c r="AG22" s="24" t="n">
        <v>0.26001</v>
      </c>
      <c r="AH22" s="24" t="n">
        <v>0.260013</v>
      </c>
      <c r="AI22" s="24" t="n">
        <v>0.26002</v>
      </c>
      <c r="AJ22" s="25">
        <f>IFERROR(subQ!AJ8/subQ!AJ5,"")</f>
        <v/>
      </c>
      <c r="AK22" s="24" t="n">
        <v>0.260019</v>
      </c>
      <c r="AL22" s="24" t="n">
        <v>0.260015</v>
      </c>
      <c r="AM22" s="24" t="n">
        <v>0.260011</v>
      </c>
      <c r="AN22" s="24" t="n">
        <v>0.260014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0.16236</v>
      </c>
      <c r="AD23" s="24" t="n">
        <v>0.162362</v>
      </c>
      <c r="AE23" s="25">
        <f>IFERROR(subQ!AE9/subQ!AE5,"")</f>
        <v/>
      </c>
      <c r="AF23" s="24" t="n">
        <v>0.162366</v>
      </c>
      <c r="AG23" s="24" t="n">
        <v>0.162364</v>
      </c>
      <c r="AH23" s="24" t="n">
        <v>0.16236</v>
      </c>
      <c r="AI23" s="24" t="n">
        <v>0.162364</v>
      </c>
      <c r="AJ23" s="25">
        <f>IFERROR(subQ!AJ9/subQ!AJ5,"")</f>
        <v/>
      </c>
      <c r="AK23" s="24" t="n">
        <v>0.162357</v>
      </c>
      <c r="AL23" s="24" t="n">
        <v>0.16236</v>
      </c>
      <c r="AM23" s="24" t="n">
        <v>0.162362</v>
      </c>
      <c r="AN23" s="24" t="n">
        <v>0.16236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-0.106219</v>
      </c>
      <c r="AD24" s="24" t="n">
        <v>0.105514</v>
      </c>
      <c r="AE24" s="25" t="n"/>
      <c r="AF24" s="24" t="n">
        <v>0.461746</v>
      </c>
      <c r="AG24" s="24" t="n">
        <v>0.041026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8.82</v>
      </c>
      <c r="AD25" s="29" t="n">
        <v>10.13</v>
      </c>
      <c r="AE25" s="30">
        <f>subQ!AE11</f>
        <v/>
      </c>
      <c r="AF25" s="29" t="n">
        <v>11.35</v>
      </c>
      <c r="AG25" s="29" t="n">
        <v>12.58</v>
      </c>
      <c r="AH25" s="29" t="n">
        <v>13.2</v>
      </c>
      <c r="AI25" s="29" t="n">
        <v>14.61</v>
      </c>
      <c r="AJ25" s="30">
        <f>subQ!AJ11</f>
        <v/>
      </c>
      <c r="AK25" s="29" t="n">
        <v>15.93</v>
      </c>
      <c r="AL25" s="29" t="n">
        <v>17.26</v>
      </c>
      <c r="AM25" s="29" t="n">
        <v>17.99</v>
      </c>
      <c r="AN25" s="29" t="n">
        <v>19.48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8.82</v>
      </c>
      <c r="AD26" s="29" t="n">
        <v>10.13</v>
      </c>
      <c r="AE26" s="30">
        <f>subQ!AE12</f>
        <v/>
      </c>
      <c r="AF26" s="29" t="n">
        <v>11.35</v>
      </c>
      <c r="AG26" s="29" t="n">
        <v>12.58</v>
      </c>
      <c r="AH26" s="29" t="n">
        <v>13.2</v>
      </c>
      <c r="AI26" s="29" t="n">
        <v>14.61</v>
      </c>
      <c r="AJ26" s="30">
        <f>subQ!AJ12</f>
        <v/>
      </c>
      <c r="AK26" s="29" t="n">
        <v>15.93</v>
      </c>
      <c r="AL26" s="29" t="n">
        <v>17.26</v>
      </c>
      <c r="AM26" s="29" t="n">
        <v>17.99</v>
      </c>
      <c r="AN26" s="29" t="n">
        <v>19.48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0.221935</v>
      </c>
      <c r="AD28" s="24" t="n">
        <v>0.221905</v>
      </c>
      <c r="AE28" s="25">
        <f>IFERROR(subQ!AE15/subQ!AE14,"")</f>
        <v/>
      </c>
      <c r="AF28" s="24" t="n">
        <v>0.221851</v>
      </c>
      <c r="AG28" s="24" t="n">
        <v>0.221889</v>
      </c>
      <c r="AH28" s="24" t="n">
        <v>0.221865</v>
      </c>
      <c r="AI28" s="24" t="n">
        <v>0.221894</v>
      </c>
      <c r="AJ28" s="25">
        <f>IFERROR(subQ!AJ15/subQ!AJ14,"")</f>
        <v/>
      </c>
      <c r="AK28" s="24" t="n">
        <v>0.221861</v>
      </c>
      <c r="AL28" s="24" t="n">
        <v>0.221914</v>
      </c>
      <c r="AM28" s="24" t="n">
        <v>0.221892</v>
      </c>
      <c r="AN28" s="24" t="n">
        <v>0.221887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0.0057</v>
      </c>
      <c r="AD31" s="29" t="n">
        <v>0</v>
      </c>
      <c r="AE31" s="30" t="n"/>
      <c r="AF31" s="29" t="n">
        <v>0</v>
      </c>
      <c r="AG31" s="29" t="n">
        <v>53.12</v>
      </c>
      <c r="AH31" s="29" t="n">
        <v>-0.01</v>
      </c>
      <c r="AI31" s="29" t="n">
        <v>0</v>
      </c>
      <c r="AJ31" s="30" t="n"/>
      <c r="AK31" s="29" t="n">
        <v>0.01</v>
      </c>
      <c r="AL31" s="29" t="n">
        <v>53.11</v>
      </c>
      <c r="AM31" s="29" t="n">
        <v>0.01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0.0057</v>
      </c>
      <c r="AD32" s="29" t="n">
        <v>0</v>
      </c>
      <c r="AE32" s="30" t="n"/>
      <c r="AF32" s="29" t="n">
        <v>0</v>
      </c>
      <c r="AG32" s="29" t="n">
        <v>53.12</v>
      </c>
      <c r="AH32" s="29" t="n">
        <v>-0.01</v>
      </c>
      <c r="AI32" s="29" t="n">
        <v>0</v>
      </c>
      <c r="AJ32" s="30" t="n"/>
      <c r="AK32" s="29" t="n">
        <v>0.01</v>
      </c>
      <c r="AL32" s="29" t="n">
        <v>53.11</v>
      </c>
      <c r="AM32" s="29" t="n">
        <v>0.01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0.15096</v>
      </c>
      <c r="AD34" s="24" t="n">
        <v>0.122628</v>
      </c>
      <c r="AE34" s="25" t="n"/>
      <c r="AF34" s="24" t="n">
        <v>0.110107</v>
      </c>
      <c r="AG34" s="24" t="n">
        <v>0.04974</v>
      </c>
      <c r="AH34" s="24" t="n">
        <v>0.108284</v>
      </c>
      <c r="AI34" s="24" t="n">
        <v>0.091569</v>
      </c>
      <c r="AJ34" s="25" t="n"/>
      <c r="AK34" s="24" t="n">
        <v>0.084567</v>
      </c>
      <c r="AL34" s="24" t="n">
        <v>0.042392</v>
      </c>
      <c r="AM34" s="24" t="n">
        <v>0.08372599999999999</v>
      </c>
      <c r="AN34" s="24" t="n">
        <v>0.072585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0.14637</v>
      </c>
      <c r="AD35" s="24" t="n">
        <v>0.119375</v>
      </c>
      <c r="AE35" s="25" t="n"/>
      <c r="AF35" s="24" t="n">
        <v>0.107497</v>
      </c>
      <c r="AG35" s="24" t="n">
        <v>0.048676</v>
      </c>
      <c r="AH35" s="24" t="n">
        <v>0.106075</v>
      </c>
      <c r="AI35" s="24" t="n">
        <v>0.089879</v>
      </c>
      <c r="AJ35" s="25" t="n"/>
      <c r="AK35" s="24" t="n">
        <v>0.083136</v>
      </c>
      <c r="AL35" s="24" t="n">
        <v>0.041729</v>
      </c>
      <c r="AM35" s="24" t="n">
        <v>0.08247</v>
      </c>
      <c r="AN35" s="24" t="n">
        <v>0.07158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-0.08713</v>
      </c>
      <c r="AD41" s="24" t="n">
        <v>0</v>
      </c>
      <c r="AE41" s="25" t="n"/>
      <c r="AF41" s="24" t="n">
        <v>-0.145874</v>
      </c>
      <c r="AG41" s="24" t="n">
        <v>-0.163966</v>
      </c>
      <c r="AH41" s="24" t="n">
        <v>-0.070053</v>
      </c>
      <c r="AI41" s="24" t="n">
        <v>-0.062556</v>
      </c>
      <c r="AJ41" s="25" t="n"/>
      <c r="AK41" s="24" t="n">
        <v>-0.06410299999999999</v>
      </c>
      <c r="AL41" s="24" t="n">
        <v>-0.07521899999999999</v>
      </c>
      <c r="AM41" s="24" t="n">
        <v>-0.07015100000000001</v>
      </c>
      <c r="AN41" s="24" t="n">
        <v>-0.06529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-0.095541</v>
      </c>
      <c r="AD42" s="24" t="n">
        <v>0.007194</v>
      </c>
      <c r="AE42" s="25" t="n"/>
      <c r="AF42" s="24" t="n">
        <v>-0.115385</v>
      </c>
      <c r="AG42" s="24" t="n">
        <v>-0.194118</v>
      </c>
      <c r="AH42" s="24" t="n">
        <v>-0.049296</v>
      </c>
      <c r="AI42" s="24" t="n">
        <v>-0.057143</v>
      </c>
      <c r="AJ42" s="25" t="n"/>
      <c r="AK42" s="24" t="n">
        <v>-0.057971</v>
      </c>
      <c r="AL42" s="24" t="n">
        <v>-0.058394</v>
      </c>
      <c r="AM42" s="24" t="n">
        <v>-0.059259</v>
      </c>
      <c r="AN42" s="24" t="n">
        <v>-0.05303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0.16236</v>
      </c>
      <c r="AD44" s="24" t="n">
        <v>0.162362</v>
      </c>
      <c r="AE44" s="25">
        <f>IFERROR(subQ!AE35/subQ!AE34,"")</f>
        <v/>
      </c>
      <c r="AF44" s="24" t="n">
        <v>0.162366</v>
      </c>
      <c r="AG44" s="24" t="n">
        <v>0.162364</v>
      </c>
      <c r="AH44" s="24" t="n">
        <v>0.16236</v>
      </c>
      <c r="AI44" s="24" t="n">
        <v>0.162364</v>
      </c>
      <c r="AJ44" s="25">
        <f>IFERROR(subQ!AJ35/subQ!AJ34,"")</f>
        <v/>
      </c>
      <c r="AK44" s="24" t="n">
        <v>0.162357</v>
      </c>
      <c r="AL44" s="24" t="n">
        <v>0.16236</v>
      </c>
      <c r="AM44" s="24" t="n">
        <v>0.162362</v>
      </c>
      <c r="AN44" s="24" t="n">
        <v>0.16236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30650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10.1</v>
      </c>
      <c r="E50" s="2" t="inlineStr">
        <is>
          <t>PER 밴드 하단(배) — hist_quarterly(분기 평균가 ÷ TTM EPS, 16분기,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11.4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25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0.2219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0.26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0.1543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4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4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4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4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4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4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4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4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4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4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4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4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4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4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4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4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4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4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4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4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4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4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4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4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4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4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4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4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4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4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4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4" t="n">
        <v>0</v>
      </c>
      <c r="N11" s="18" t="n">
        <v>67.31</v>
      </c>
      <c r="O11" s="18" t="n">
        <v>77.04000000000001</v>
      </c>
      <c r="P11" s="34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4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4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4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4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4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4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4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4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4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4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4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4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4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4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4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4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4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4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4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4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4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4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4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4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4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4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4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4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4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4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4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4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4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4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4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4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4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4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4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4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4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4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4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4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4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4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4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4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4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4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4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4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4" t="n">
        <v>0</v>
      </c>
      <c r="O22" s="18" t="n">
        <v>0</v>
      </c>
      <c r="P22" s="34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4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4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4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4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4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4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4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4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4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4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4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4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4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4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4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4" t="n">
        <v>0</v>
      </c>
      <c r="J26" s="18" t="n">
        <v>0</v>
      </c>
      <c r="K26" s="34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4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4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4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4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4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3184.3</v>
      </c>
      <c r="F28" s="34" t="n">
        <v>3184.3</v>
      </c>
      <c r="G28" s="18" t="n">
        <v>6141.07</v>
      </c>
      <c r="H28" s="18" t="n">
        <v>5102.94</v>
      </c>
      <c r="I28" s="18" t="n">
        <v>4717.87</v>
      </c>
      <c r="J28" s="18" t="n">
        <v>6097.22</v>
      </c>
      <c r="K28" s="34" t="n">
        <v>6097.22</v>
      </c>
      <c r="L28" s="18" t="n">
        <v>6192.98</v>
      </c>
      <c r="M28" s="18" t="n">
        <v>6766.32</v>
      </c>
      <c r="N28" s="18" t="n">
        <v>6749.93</v>
      </c>
      <c r="O28" s="18" t="n">
        <v>8585.450000000001</v>
      </c>
      <c r="P28" s="34" t="n">
        <v>8585.450000000001</v>
      </c>
      <c r="Q28" s="18" t="n">
        <v>7311.74</v>
      </c>
      <c r="R28" s="18" t="n">
        <v>7242.92</v>
      </c>
      <c r="S28" s="18" t="n">
        <v>7207.78</v>
      </c>
      <c r="T28" s="18" t="n">
        <v>6512.46</v>
      </c>
      <c r="U28" s="34" t="n">
        <v>6512.46</v>
      </c>
      <c r="V28" s="18" t="n">
        <v>5515.22</v>
      </c>
      <c r="W28" s="18" t="n">
        <v>5055.71</v>
      </c>
      <c r="X28" s="18" t="n">
        <v>5178.1</v>
      </c>
      <c r="Y28" s="18" t="n">
        <v>6807.59</v>
      </c>
      <c r="Z28" s="34" t="n">
        <v>6807.59</v>
      </c>
      <c r="AA28" s="18" t="n">
        <v>6324.07</v>
      </c>
      <c r="AB28" s="19" t="n">
        <v>5832.1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59334.52</v>
      </c>
      <c r="F29" s="34" t="n">
        <v>59334.52</v>
      </c>
      <c r="G29" s="18" t="n">
        <v>53582.62</v>
      </c>
      <c r="H29" s="18" t="n">
        <v>58222.9</v>
      </c>
      <c r="I29" s="18" t="n">
        <v>61261.78</v>
      </c>
      <c r="J29" s="18" t="n">
        <v>55371.34</v>
      </c>
      <c r="K29" s="34" t="n">
        <v>55371.34</v>
      </c>
      <c r="L29" s="18" t="n">
        <v>54303.97</v>
      </c>
      <c r="M29" s="18" t="n">
        <v>48809.9</v>
      </c>
      <c r="N29" s="18" t="n">
        <v>55467.63</v>
      </c>
      <c r="O29" s="18" t="n">
        <v>45656.94</v>
      </c>
      <c r="P29" s="34" t="n">
        <v>45656.94</v>
      </c>
      <c r="Q29" s="18" t="n">
        <v>48838.7</v>
      </c>
      <c r="R29" s="18" t="n">
        <v>46260.21</v>
      </c>
      <c r="S29" s="18" t="n">
        <v>45309.89</v>
      </c>
      <c r="T29" s="18" t="n">
        <v>44348.51</v>
      </c>
      <c r="U29" s="34" t="n">
        <v>44348.51</v>
      </c>
      <c r="V29" s="18" t="n">
        <v>45587.74</v>
      </c>
      <c r="W29" s="18" t="n">
        <v>41240.61</v>
      </c>
      <c r="X29" s="18" t="n">
        <v>40942.28</v>
      </c>
      <c r="Y29" s="18" t="n">
        <v>40770.82</v>
      </c>
      <c r="Z29" s="34" t="n">
        <v>40770.82</v>
      </c>
      <c r="AA29" s="18" t="n">
        <v>44733.33</v>
      </c>
      <c r="AB29" s="19" t="n">
        <v>38219.75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지배주주지분</t>
        </is>
      </c>
      <c r="E30" s="18" t="n">
        <v>434477.05</v>
      </c>
      <c r="F30" s="34" t="n">
        <v>434477.05</v>
      </c>
      <c r="G30" s="18" t="n">
        <v>451403.16</v>
      </c>
      <c r="H30" s="18" t="n">
        <v>461176.72</v>
      </c>
      <c r="I30" s="18" t="n">
        <v>472020.88</v>
      </c>
      <c r="J30" s="18" t="n">
        <v>471742.72</v>
      </c>
      <c r="K30" s="34" t="n">
        <v>471742.72</v>
      </c>
      <c r="L30" s="18" t="n">
        <v>481844.15</v>
      </c>
      <c r="M30" s="18" t="n">
        <v>493240.16</v>
      </c>
      <c r="N30" s="18" t="n">
        <v>502694.77</v>
      </c>
      <c r="O30" s="18" t="n">
        <v>505416.04</v>
      </c>
      <c r="P30" s="34" t="n">
        <v>505416.04</v>
      </c>
      <c r="Q30" s="18" t="n">
        <v>512522.39</v>
      </c>
      <c r="R30" s="18" t="n">
        <v>530558.8199999999</v>
      </c>
      <c r="S30" s="18" t="n">
        <v>516988.96</v>
      </c>
      <c r="T30" s="18" t="n">
        <v>518749.68</v>
      </c>
      <c r="U30" s="34" t="n">
        <v>518749.68</v>
      </c>
      <c r="V30" s="18" t="n">
        <v>522612.5</v>
      </c>
      <c r="W30" s="18" t="n">
        <v>529069.4300000001</v>
      </c>
      <c r="X30" s="18" t="n">
        <v>539834.03</v>
      </c>
      <c r="Y30" s="18" t="n">
        <v>549501</v>
      </c>
      <c r="Z30" s="34" t="n">
        <v>549501</v>
      </c>
      <c r="AA30" s="18" t="n">
        <v>552533.05</v>
      </c>
      <c r="AB30" s="19" t="n">
        <v>562034.5699999999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14300</v>
      </c>
      <c r="F31" s="34" t="n">
        <v>14300</v>
      </c>
      <c r="G31" s="18" t="n">
        <v>14300</v>
      </c>
      <c r="H31" s="18" t="n">
        <v>14300</v>
      </c>
      <c r="I31" s="18" t="n">
        <v>14300</v>
      </c>
      <c r="J31" s="18" t="n">
        <v>14300</v>
      </c>
      <c r="K31" s="34" t="n">
        <v>14300</v>
      </c>
      <c r="L31" s="18" t="n">
        <v>14300</v>
      </c>
      <c r="M31" s="18" t="n">
        <v>14300</v>
      </c>
      <c r="N31" s="18" t="n">
        <v>14300</v>
      </c>
      <c r="O31" s="18" t="n">
        <v>14300</v>
      </c>
      <c r="P31" s="34" t="n">
        <v>14300</v>
      </c>
      <c r="Q31" s="18" t="n">
        <v>14300</v>
      </c>
      <c r="R31" s="18" t="n">
        <v>14300</v>
      </c>
      <c r="S31" s="18" t="n">
        <v>14300</v>
      </c>
      <c r="T31" s="18" t="n">
        <v>14300</v>
      </c>
      <c r="U31" s="34" t="n">
        <v>14300</v>
      </c>
      <c r="V31" s="18" t="n">
        <v>14300</v>
      </c>
      <c r="W31" s="18" t="n">
        <v>14300</v>
      </c>
      <c r="X31" s="18" t="n">
        <v>14300</v>
      </c>
      <c r="Y31" s="18" t="n">
        <v>14300</v>
      </c>
      <c r="Z31" s="34" t="n">
        <v>14300</v>
      </c>
      <c r="AA31" s="18" t="n">
        <v>14300</v>
      </c>
      <c r="AB31" s="19" t="n">
        <v>14300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4008.59</v>
      </c>
      <c r="F32" s="34" t="n">
        <v>4008.59</v>
      </c>
      <c r="G32" s="18" t="n">
        <v>4008.59</v>
      </c>
      <c r="H32" s="18" t="n">
        <v>4008.59</v>
      </c>
      <c r="I32" s="18" t="n">
        <v>4008.59</v>
      </c>
      <c r="J32" s="18" t="n">
        <v>4031.02</v>
      </c>
      <c r="K32" s="34" t="n">
        <v>4031.02</v>
      </c>
      <c r="L32" s="18" t="n">
        <v>4033.27</v>
      </c>
      <c r="M32" s="18" t="n">
        <v>4033.27</v>
      </c>
      <c r="N32" s="18" t="n">
        <v>4033.27</v>
      </c>
      <c r="O32" s="18" t="n">
        <v>3959.25</v>
      </c>
      <c r="P32" s="34" t="n">
        <v>3959.25</v>
      </c>
      <c r="Q32" s="18" t="n">
        <v>3959.25</v>
      </c>
      <c r="R32" s="18" t="n">
        <v>3959.25</v>
      </c>
      <c r="S32" s="18" t="n">
        <v>3959.25</v>
      </c>
      <c r="T32" s="18" t="n">
        <v>3959.25</v>
      </c>
      <c r="U32" s="34" t="n">
        <v>3959.25</v>
      </c>
      <c r="V32" s="18" t="n">
        <v>3959.25</v>
      </c>
      <c r="W32" s="18" t="n">
        <v>3959.25</v>
      </c>
      <c r="X32" s="18" t="n">
        <v>3959.25</v>
      </c>
      <c r="Y32" s="18" t="n">
        <v>3959.25</v>
      </c>
      <c r="Z32" s="34" t="n">
        <v>3959.25</v>
      </c>
      <c r="AA32" s="18" t="n">
        <v>3959.25</v>
      </c>
      <c r="AB32" s="19" t="n">
        <v>3959.25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-9956.17</v>
      </c>
      <c r="F33" s="34" t="n">
        <v>-9956.17</v>
      </c>
      <c r="G33" s="18" t="n">
        <v>-9956.17</v>
      </c>
      <c r="H33" s="18" t="n">
        <v>-9956.17</v>
      </c>
      <c r="I33" s="18" t="n">
        <v>-9956.17</v>
      </c>
      <c r="J33" s="18" t="n">
        <v>-9956.17</v>
      </c>
      <c r="K33" s="34" t="n">
        <v>-9956.17</v>
      </c>
      <c r="L33" s="18" t="n">
        <v>-9956.17</v>
      </c>
      <c r="M33" s="18" t="n">
        <v>-9956.17</v>
      </c>
      <c r="N33" s="18" t="n">
        <v>-9956.17</v>
      </c>
      <c r="O33" s="18" t="n">
        <v>-9956.17</v>
      </c>
      <c r="P33" s="34" t="n">
        <v>-9956.17</v>
      </c>
      <c r="Q33" s="18" t="n">
        <v>-9956.17</v>
      </c>
      <c r="R33" s="18" t="n">
        <v>-9956.17</v>
      </c>
      <c r="S33" s="18" t="n">
        <v>-27642.78</v>
      </c>
      <c r="T33" s="18" t="n">
        <v>-20080.99</v>
      </c>
      <c r="U33" s="34" t="n">
        <v>-20080.99</v>
      </c>
      <c r="V33" s="18" t="n">
        <v>-20080.99</v>
      </c>
      <c r="W33" s="18" t="n">
        <v>0</v>
      </c>
      <c r="X33" s="18" t="n">
        <v>0</v>
      </c>
      <c r="Y33" s="18" t="n">
        <v>0</v>
      </c>
      <c r="Z33" s="34" t="n">
        <v>0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429735.3</v>
      </c>
      <c r="F34" s="34" t="n">
        <v>429735.3</v>
      </c>
      <c r="G34" s="18" t="n">
        <v>446661.41</v>
      </c>
      <c r="H34" s="18" t="n">
        <v>456434.97</v>
      </c>
      <c r="I34" s="18" t="n">
        <v>467279.14</v>
      </c>
      <c r="J34" s="18" t="n">
        <v>466978.54</v>
      </c>
      <c r="K34" s="34" t="n">
        <v>466978.54</v>
      </c>
      <c r="L34" s="18" t="n">
        <v>477077.73</v>
      </c>
      <c r="M34" s="18" t="n">
        <v>488473.74</v>
      </c>
      <c r="N34" s="18" t="n">
        <v>497928.35</v>
      </c>
      <c r="O34" s="18" t="n">
        <v>500723.64</v>
      </c>
      <c r="P34" s="34" t="n">
        <v>500723.64</v>
      </c>
      <c r="Q34" s="18" t="n">
        <v>507829.99</v>
      </c>
      <c r="R34" s="18" t="n">
        <v>525866.42</v>
      </c>
      <c r="S34" s="18" t="n">
        <v>529983.17</v>
      </c>
      <c r="T34" s="18" t="n">
        <v>525432.84</v>
      </c>
      <c r="U34" s="34" t="n">
        <v>525432.84</v>
      </c>
      <c r="V34" s="18" t="n">
        <v>529295.67</v>
      </c>
      <c r="W34" s="18" t="n">
        <v>515671.61</v>
      </c>
      <c r="X34" s="18" t="n">
        <v>526436.2</v>
      </c>
      <c r="Y34" s="18" t="n">
        <v>537126.42</v>
      </c>
      <c r="Z34" s="34" t="n">
        <v>537126.42</v>
      </c>
      <c r="AA34" s="18" t="n">
        <v>540158.46</v>
      </c>
      <c r="AB34" s="19" t="n">
        <v>549659.99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비지배주주지분</t>
        </is>
      </c>
      <c r="E35" s="18" t="n">
        <v>0</v>
      </c>
      <c r="F35" s="34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0</v>
      </c>
      <c r="R35" s="18" t="n">
        <v>0</v>
      </c>
      <c r="S35" s="18" t="n">
        <v>0</v>
      </c>
      <c r="U35" s="9" t="n"/>
      <c r="V35" s="18" t="n">
        <v>0</v>
      </c>
      <c r="W35" s="18" t="n">
        <v>0</v>
      </c>
      <c r="X35" s="18" t="n">
        <v>0</v>
      </c>
      <c r="Y35" s="18" t="n">
        <v>0</v>
      </c>
      <c r="Z35" s="34" t="n">
        <v>0</v>
      </c>
      <c r="AA35" s="18" t="n">
        <v>0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434477.05</v>
      </c>
      <c r="F36" s="34" t="n">
        <v>434477.05</v>
      </c>
      <c r="G36" s="18" t="n">
        <v>451403.16</v>
      </c>
      <c r="H36" s="18" t="n">
        <v>461176.72</v>
      </c>
      <c r="I36" s="18" t="n">
        <v>472020.88</v>
      </c>
      <c r="J36" s="18" t="n">
        <v>471742.72</v>
      </c>
      <c r="K36" s="34" t="n">
        <v>471742.72</v>
      </c>
      <c r="L36" s="18" t="n">
        <v>481844.15</v>
      </c>
      <c r="M36" s="18" t="n">
        <v>493240.16</v>
      </c>
      <c r="N36" s="18" t="n">
        <v>502694.77</v>
      </c>
      <c r="O36" s="18" t="n">
        <v>505416.04</v>
      </c>
      <c r="P36" s="34" t="n">
        <v>505416.04</v>
      </c>
      <c r="Q36" s="18" t="n">
        <v>512522.39</v>
      </c>
      <c r="R36" s="18" t="n">
        <v>530558.8199999999</v>
      </c>
      <c r="S36" s="18" t="n">
        <v>516988.96</v>
      </c>
      <c r="T36" s="18" t="n">
        <v>518749.68</v>
      </c>
      <c r="U36" s="34" t="n">
        <v>518749.68</v>
      </c>
      <c r="V36" s="18" t="n">
        <v>522612.5</v>
      </c>
      <c r="W36" s="18" t="n">
        <v>529069.4300000001</v>
      </c>
      <c r="X36" s="18" t="n">
        <v>539834.03</v>
      </c>
      <c r="Y36" s="18" t="n">
        <v>549501</v>
      </c>
      <c r="Z36" s="34" t="n">
        <v>549501</v>
      </c>
      <c r="AA36" s="18" t="n">
        <v>552533.05</v>
      </c>
      <c r="AB36" s="19" t="n">
        <v>562034.5699999999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493811.56</v>
      </c>
      <c r="F37" s="34" t="n">
        <v>493811.56</v>
      </c>
      <c r="G37" s="18" t="n">
        <v>504985.78</v>
      </c>
      <c r="H37" s="18" t="n">
        <v>519399.62</v>
      </c>
      <c r="I37" s="18" t="n">
        <v>533282.67</v>
      </c>
      <c r="J37" s="18" t="n">
        <v>527114.05</v>
      </c>
      <c r="K37" s="34" t="n">
        <v>527114.05</v>
      </c>
      <c r="L37" s="18" t="n">
        <v>536148.12</v>
      </c>
      <c r="M37" s="18" t="n">
        <v>542050.0600000001</v>
      </c>
      <c r="N37" s="18" t="n">
        <v>558162.4</v>
      </c>
      <c r="O37" s="18" t="n">
        <v>551072.97</v>
      </c>
      <c r="P37" s="34" t="n">
        <v>551072.97</v>
      </c>
      <c r="Q37" s="18" t="n">
        <v>561361.09</v>
      </c>
      <c r="R37" s="18" t="n">
        <v>576819.03</v>
      </c>
      <c r="S37" s="18" t="n">
        <v>562298.86</v>
      </c>
      <c r="T37" s="18" t="n">
        <v>563098.1800000001</v>
      </c>
      <c r="U37" s="34" t="n">
        <v>563098.1800000001</v>
      </c>
      <c r="V37" s="18" t="n">
        <v>568200.24</v>
      </c>
      <c r="W37" s="18" t="n">
        <v>570310.04</v>
      </c>
      <c r="X37" s="18" t="n">
        <v>580776.3100000001</v>
      </c>
      <c r="Y37" s="18" t="n">
        <v>590271.8199999999</v>
      </c>
      <c r="Z37" s="34" t="n">
        <v>590271.8199999999</v>
      </c>
      <c r="AA37" s="18" t="n">
        <v>597266.37</v>
      </c>
      <c r="AB37" s="19" t="n">
        <v>600254.3199999999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20000</v>
      </c>
      <c r="F38" s="34" t="n">
        <v>20000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M38" s="18" t="n">
        <v>2000</v>
      </c>
      <c r="N38" s="18" t="n">
        <v>2000</v>
      </c>
      <c r="O38" s="18" t="n">
        <v>2000</v>
      </c>
      <c r="P38" s="34" t="n">
        <v>2000</v>
      </c>
      <c r="Q38" s="18" t="n">
        <v>2000</v>
      </c>
      <c r="R38" s="18" t="n">
        <v>2000</v>
      </c>
      <c r="S38" s="18" t="n">
        <v>2000</v>
      </c>
      <c r="T38" s="18" t="n">
        <v>2000</v>
      </c>
      <c r="U38" s="34" t="n">
        <v>2000</v>
      </c>
      <c r="V38" s="18" t="n">
        <v>2000</v>
      </c>
      <c r="W38" s="18" t="n">
        <v>2000</v>
      </c>
      <c r="X38" s="18" t="n">
        <v>2000</v>
      </c>
      <c r="Y38" s="18" t="n">
        <v>2000</v>
      </c>
      <c r="Z38" s="34" t="n">
        <v>2000</v>
      </c>
      <c r="AA38" s="18" t="n">
        <v>2000</v>
      </c>
      <c r="AB38" s="19" t="n">
        <v>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-14787.89</v>
      </c>
      <c r="F39" s="34" t="n">
        <v>-14787.89</v>
      </c>
      <c r="G39" s="18" t="n">
        <v>-39760.4</v>
      </c>
      <c r="H39" s="18" t="n">
        <v>-43050.69</v>
      </c>
      <c r="I39" s="18" t="n">
        <v>-56053.71</v>
      </c>
      <c r="J39" s="18" t="n">
        <v>-74586.00999999999</v>
      </c>
      <c r="K39" s="34" t="n">
        <v>-74586.00999999999</v>
      </c>
      <c r="M39" s="18" t="n">
        <v>-84801.97</v>
      </c>
      <c r="N39" s="18" t="n">
        <v>-100670.75</v>
      </c>
      <c r="O39" s="18" t="n">
        <v>-73546.49000000001</v>
      </c>
      <c r="P39" s="34" t="n">
        <v>-73546.49000000001</v>
      </c>
      <c r="Q39" s="18" t="n">
        <v>-73306.58</v>
      </c>
      <c r="R39" s="18" t="n">
        <v>-92255.77</v>
      </c>
      <c r="S39" s="18" t="n">
        <v>-67531.19</v>
      </c>
      <c r="T39" s="18" t="n">
        <v>-61589.46</v>
      </c>
      <c r="U39" s="34" t="n">
        <v>-61589.46</v>
      </c>
      <c r="V39" s="18" t="n">
        <v>-52892.54</v>
      </c>
      <c r="W39" s="18" t="n">
        <v>-44333.97</v>
      </c>
      <c r="X39" s="18" t="n">
        <v>-47615.55</v>
      </c>
      <c r="Y39" s="18" t="n">
        <v>-53816.21</v>
      </c>
      <c r="Z39" s="34" t="n">
        <v>-53816.21</v>
      </c>
      <c r="AA39" s="18" t="n">
        <v>-61726.93</v>
      </c>
      <c r="AB39" s="19" t="n">
        <v>-63773.7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34787.89</v>
      </c>
      <c r="F40" s="34" t="n">
        <v>34787.89</v>
      </c>
      <c r="G40" s="18" t="n">
        <v>39760.4</v>
      </c>
      <c r="H40" s="18" t="n">
        <v>43050.69</v>
      </c>
      <c r="I40" s="18" t="n">
        <v>56053.71</v>
      </c>
      <c r="J40" s="18" t="n">
        <v>74586.00999999999</v>
      </c>
      <c r="K40" s="34" t="n">
        <v>74586.00999999999</v>
      </c>
      <c r="L40" s="18" t="n">
        <v>87561.63</v>
      </c>
      <c r="M40" s="18" t="n">
        <v>86801.97</v>
      </c>
      <c r="N40" s="18" t="n">
        <v>102670.75</v>
      </c>
      <c r="O40" s="18" t="n">
        <v>75546.49000000001</v>
      </c>
      <c r="P40" s="34" t="n">
        <v>75546.49000000001</v>
      </c>
      <c r="Q40" s="18" t="n">
        <v>75306.58</v>
      </c>
      <c r="R40" s="18" t="n">
        <v>94255.77</v>
      </c>
      <c r="S40" s="18" t="n">
        <v>69531.19</v>
      </c>
      <c r="T40" s="18" t="n">
        <v>63589.46</v>
      </c>
      <c r="U40" s="34" t="n">
        <v>63589.46</v>
      </c>
      <c r="V40" s="18" t="n">
        <v>54892.54</v>
      </c>
      <c r="W40" s="18" t="n">
        <v>46333.97</v>
      </c>
      <c r="X40" s="18" t="n">
        <v>49615.55</v>
      </c>
      <c r="Y40" s="18" t="n">
        <v>55816.21</v>
      </c>
      <c r="Z40" s="34" t="n">
        <v>55816.21</v>
      </c>
      <c r="AA40" s="18" t="n">
        <v>63726.93</v>
      </c>
      <c r="AB40" s="19" t="n">
        <v>65773.7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F41" s="9" t="n"/>
      <c r="J41" s="18" t="n">
        <v>5896.81</v>
      </c>
      <c r="K41" s="34" t="n">
        <v>5896.81</v>
      </c>
      <c r="L41" s="18" t="n">
        <v>5605.81</v>
      </c>
      <c r="M41" s="18" t="n">
        <v>3872.09</v>
      </c>
      <c r="N41" s="18" t="n">
        <v>2212.14</v>
      </c>
      <c r="O41" s="18" t="n">
        <v>2212.14</v>
      </c>
      <c r="P41" s="34" t="n">
        <v>2212.14</v>
      </c>
      <c r="Q41" s="18" t="n">
        <v>1960.72</v>
      </c>
      <c r="R41" s="18" t="n">
        <v>624.15</v>
      </c>
      <c r="S41" s="18" t="n">
        <v>0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4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4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4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O43" s="18" t="n">
        <v>1423.42</v>
      </c>
      <c r="P43" s="34" t="n">
        <v>1423.42</v>
      </c>
      <c r="Q43" s="18" t="n">
        <v>1472.6</v>
      </c>
      <c r="R43" s="18" t="n">
        <v>966.02</v>
      </c>
      <c r="S43" s="18" t="n">
        <v>2446.82</v>
      </c>
      <c r="T43" s="18" t="n">
        <v>0</v>
      </c>
      <c r="U43" s="34" t="n">
        <v>0</v>
      </c>
      <c r="V43" s="18" t="n">
        <v>915.58</v>
      </c>
      <c r="W43" s="18" t="n">
        <v>318.97</v>
      </c>
      <c r="Y43" s="18" t="n">
        <v>5714.62</v>
      </c>
      <c r="Z43" s="34" t="n">
        <v>5714.62</v>
      </c>
      <c r="AA43" s="18" t="n">
        <v>5081.25</v>
      </c>
      <c r="AB43" s="19" t="n">
        <v>4508.95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이연법인세자산</t>
        </is>
      </c>
      <c r="F44" s="9" t="n"/>
      <c r="K44" s="9" t="n"/>
      <c r="O44" s="18" t="n">
        <v>672.98</v>
      </c>
      <c r="P44" s="34" t="n">
        <v>672.98</v>
      </c>
      <c r="Q44" s="18" t="n">
        <v>636.63</v>
      </c>
      <c r="R44" s="18" t="n">
        <v>464.13</v>
      </c>
      <c r="S44" s="18" t="n">
        <v>339.63</v>
      </c>
      <c r="T44" s="18" t="n">
        <v>549.47</v>
      </c>
      <c r="U44" s="34" t="n">
        <v>549.47</v>
      </c>
      <c r="V44" s="18" t="n">
        <v>672.86</v>
      </c>
      <c r="W44" s="18" t="n">
        <v>564.73</v>
      </c>
      <c r="X44" s="18" t="n">
        <v>484.29</v>
      </c>
      <c r="Y44" s="18" t="n">
        <v>693.3</v>
      </c>
      <c r="Z44" s="34" t="n">
        <v>693.3</v>
      </c>
      <c r="AA44" s="18" t="n">
        <v>600.84</v>
      </c>
      <c r="AB44" s="19" t="n">
        <v>551.79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U45" s="9" t="n"/>
      <c r="X45" s="18" t="n">
        <v>-1250.75</v>
      </c>
      <c r="Y45" s="18" t="n">
        <v>-2273.99</v>
      </c>
      <c r="Z45" s="34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32676.77</v>
      </c>
      <c r="F46" s="9" t="n"/>
      <c r="G46" s="18" t="n">
        <v>45381.16</v>
      </c>
      <c r="H46" s="18" t="n">
        <v>67132.32000000001</v>
      </c>
      <c r="I46" s="18" t="n">
        <v>65255.02</v>
      </c>
      <c r="J46" s="18" t="n">
        <v>66257.03999999999</v>
      </c>
      <c r="K46" s="34" t="n">
        <v>244025.54</v>
      </c>
      <c r="L46" s="18" t="n">
        <v>68358.8</v>
      </c>
      <c r="M46" s="18" t="n">
        <v>65195.87</v>
      </c>
      <c r="N46" s="18" t="n">
        <v>57769.99</v>
      </c>
      <c r="O46" s="18" t="n">
        <v>63368.25</v>
      </c>
      <c r="P46" s="34" t="n">
        <v>254692.91</v>
      </c>
      <c r="Q46" s="18" t="n">
        <v>57168.38</v>
      </c>
      <c r="R46" s="18" t="n">
        <v>66887.37</v>
      </c>
      <c r="S46" s="18" t="n">
        <v>45396.78</v>
      </c>
      <c r="T46" s="18" t="n">
        <v>58230.59</v>
      </c>
      <c r="U46" s="34" t="n">
        <v>227683.12</v>
      </c>
      <c r="V46" s="18" t="n">
        <v>63698.89</v>
      </c>
      <c r="W46" s="18" t="n">
        <v>58108.55</v>
      </c>
      <c r="X46" s="18" t="n">
        <v>64561.38</v>
      </c>
      <c r="Y46" s="18" t="n">
        <v>59301.06</v>
      </c>
      <c r="Z46" s="34" t="n">
        <v>245669.88</v>
      </c>
      <c r="AA46" s="18" t="n">
        <v>59137.48</v>
      </c>
      <c r="AB46" s="19" t="n">
        <v>64132.33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29890.15</v>
      </c>
      <c r="F47" s="9" t="n"/>
      <c r="G47" s="18" t="n">
        <v>34645.27</v>
      </c>
      <c r="H47" s="18" t="n">
        <v>49899.58</v>
      </c>
      <c r="I47" s="18" t="n">
        <v>48718.28</v>
      </c>
      <c r="J47" s="18" t="n">
        <v>50543.63</v>
      </c>
      <c r="K47" s="34" t="n">
        <v>183806.76</v>
      </c>
      <c r="L47" s="18" t="n">
        <v>46770.52</v>
      </c>
      <c r="M47" s="18" t="n">
        <v>45448.3</v>
      </c>
      <c r="N47" s="18" t="n">
        <v>40941.62</v>
      </c>
      <c r="O47" s="18" t="n">
        <v>45373.19</v>
      </c>
      <c r="P47" s="34" t="n">
        <v>178533.63</v>
      </c>
      <c r="Q47" s="18" t="n">
        <v>39486.6</v>
      </c>
      <c r="R47" s="18" t="n">
        <v>38654.17</v>
      </c>
      <c r="S47" s="18" t="n">
        <v>29756.14</v>
      </c>
      <c r="T47" s="18" t="n">
        <v>42757.68</v>
      </c>
      <c r="U47" s="34" t="n">
        <v>150654.59</v>
      </c>
      <c r="V47" s="18" t="n">
        <v>43367.41</v>
      </c>
      <c r="W47" s="18" t="n">
        <v>40787.85</v>
      </c>
      <c r="X47" s="18" t="n">
        <v>38935.5</v>
      </c>
      <c r="Y47" s="18" t="n">
        <v>35684.16</v>
      </c>
      <c r="Z47" s="34" t="n">
        <v>158774.92</v>
      </c>
      <c r="AA47" s="18" t="n">
        <v>36681.11</v>
      </c>
      <c r="AB47" s="19" t="n">
        <v>35711.99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2786.61</v>
      </c>
      <c r="F48" s="9" t="n"/>
      <c r="G48" s="18" t="n">
        <v>10735.89</v>
      </c>
      <c r="H48" s="18" t="n">
        <v>17232.74</v>
      </c>
      <c r="I48" s="18" t="n">
        <v>16536.74</v>
      </c>
      <c r="J48" s="18" t="n">
        <v>15713.41</v>
      </c>
      <c r="K48" s="34" t="n">
        <v>60218.78</v>
      </c>
      <c r="L48" s="18" t="n">
        <v>21588.28</v>
      </c>
      <c r="M48" s="18" t="n">
        <v>19747.57</v>
      </c>
      <c r="N48" s="18" t="n">
        <v>16828.37</v>
      </c>
      <c r="O48" s="18" t="n">
        <v>17995.06</v>
      </c>
      <c r="P48" s="34" t="n">
        <v>76159.28</v>
      </c>
      <c r="Q48" s="18" t="n">
        <v>17681.78</v>
      </c>
      <c r="R48" s="18" t="n">
        <v>28233.2</v>
      </c>
      <c r="S48" s="18" t="n">
        <v>15640.64</v>
      </c>
      <c r="T48" s="18" t="n">
        <v>15472.92</v>
      </c>
      <c r="U48" s="34" t="n">
        <v>77028.53999999999</v>
      </c>
      <c r="V48" s="18" t="n">
        <v>20331.47</v>
      </c>
      <c r="W48" s="18" t="n">
        <v>17320.69</v>
      </c>
      <c r="X48" s="18" t="n">
        <v>25625.88</v>
      </c>
      <c r="Y48" s="18" t="n">
        <v>23616.9</v>
      </c>
      <c r="Z48" s="34" t="n">
        <v>86894.94</v>
      </c>
      <c r="AA48" s="18" t="n">
        <v>22456.36</v>
      </c>
      <c r="AB48" s="19" t="n">
        <v>28420.35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6382.98</v>
      </c>
      <c r="F49" s="9" t="n"/>
      <c r="G49" s="18" t="n">
        <v>7681.93</v>
      </c>
      <c r="H49" s="18" t="n">
        <v>8514.92</v>
      </c>
      <c r="I49" s="18" t="n">
        <v>8736.25</v>
      </c>
      <c r="J49" s="18" t="n">
        <v>8525.07</v>
      </c>
      <c r="K49" s="34" t="n">
        <v>33458.17</v>
      </c>
      <c r="L49" s="18" t="n">
        <v>6789.57</v>
      </c>
      <c r="M49" s="18" t="n">
        <v>6228.01</v>
      </c>
      <c r="N49" s="18" t="n">
        <v>7446.69</v>
      </c>
      <c r="O49" s="18" t="n">
        <v>10861.57</v>
      </c>
      <c r="P49" s="34" t="n">
        <v>31325.84</v>
      </c>
      <c r="Q49" s="18" t="n">
        <v>7790.78</v>
      </c>
      <c r="R49" s="18" t="n">
        <v>7866.9</v>
      </c>
      <c r="S49" s="18" t="n">
        <v>7830.72</v>
      </c>
      <c r="T49" s="18" t="n">
        <v>11552.04</v>
      </c>
      <c r="U49" s="34" t="n">
        <v>35040.44</v>
      </c>
      <c r="V49" s="18" t="n">
        <v>9586.24</v>
      </c>
      <c r="W49" s="18" t="n">
        <v>6550.47</v>
      </c>
      <c r="X49" s="18" t="n">
        <v>13895.32</v>
      </c>
      <c r="Y49" s="18" t="n">
        <v>14907.25</v>
      </c>
      <c r="Z49" s="34" t="n">
        <v>44939.28</v>
      </c>
      <c r="AA49" s="18" t="n">
        <v>15886.95</v>
      </c>
      <c r="AB49" s="19" t="n">
        <v>18413.29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-3596.37</v>
      </c>
      <c r="F50" s="9" t="n"/>
      <c r="G50" s="18" t="n">
        <v>3053.97</v>
      </c>
      <c r="H50" s="18" t="n">
        <v>8717.82</v>
      </c>
      <c r="I50" s="18" t="n">
        <v>7800.49</v>
      </c>
      <c r="J50" s="18" t="n">
        <v>7188.34</v>
      </c>
      <c r="K50" s="34" t="n">
        <v>26760.62</v>
      </c>
      <c r="L50" s="18" t="n">
        <v>14798.71</v>
      </c>
      <c r="M50" s="18" t="n">
        <v>13519.56</v>
      </c>
      <c r="N50" s="18" t="n">
        <v>9381.68</v>
      </c>
      <c r="O50" s="18" t="n">
        <v>7133.49</v>
      </c>
      <c r="P50" s="34" t="n">
        <v>44833.44</v>
      </c>
      <c r="Q50" s="18" t="n">
        <v>9890.99</v>
      </c>
      <c r="R50" s="18" t="n">
        <v>20366.3</v>
      </c>
      <c r="S50" s="18" t="n">
        <v>7809.92</v>
      </c>
      <c r="T50" s="18" t="n">
        <v>3920.88</v>
      </c>
      <c r="U50" s="34" t="n">
        <v>41988.09</v>
      </c>
      <c r="V50" s="18" t="n">
        <v>10745.23</v>
      </c>
      <c r="W50" s="18" t="n">
        <v>10770.22</v>
      </c>
      <c r="X50" s="18" t="n">
        <v>11730.56</v>
      </c>
      <c r="Y50" s="18" t="n">
        <v>8709.65</v>
      </c>
      <c r="Z50" s="34" t="n">
        <v>41955.66</v>
      </c>
      <c r="AA50" s="18" t="n">
        <v>6569.42</v>
      </c>
      <c r="AB50" s="19" t="n">
        <v>10007.06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396.09</v>
      </c>
      <c r="F51" s="9" t="n"/>
      <c r="G51" s="18" t="n">
        <v>22034.74</v>
      </c>
      <c r="H51" s="18" t="n">
        <v>4051.09</v>
      </c>
      <c r="I51" s="18" t="n">
        <v>6737.78</v>
      </c>
      <c r="J51" s="18" t="n">
        <v>-4830.35</v>
      </c>
      <c r="K51" s="34" t="n">
        <v>27993.26</v>
      </c>
      <c r="L51" s="18" t="n">
        <v>2337.04</v>
      </c>
      <c r="M51" s="18" t="n">
        <v>1027.31</v>
      </c>
      <c r="N51" s="18" t="n">
        <v>2429.96</v>
      </c>
      <c r="O51" s="18" t="n">
        <v>-668.5</v>
      </c>
      <c r="P51" s="34" t="n">
        <v>5125.81</v>
      </c>
      <c r="Q51" s="18" t="n">
        <v>2346.32</v>
      </c>
      <c r="R51" s="18" t="n">
        <v>2126.75</v>
      </c>
      <c r="S51" s="18" t="n">
        <v>513.48</v>
      </c>
      <c r="T51" s="18" t="n">
        <v>4214.28</v>
      </c>
      <c r="U51" s="34" t="n">
        <v>9200.83</v>
      </c>
      <c r="V51" s="18" t="n">
        <v>553.1799999999999</v>
      </c>
      <c r="W51" s="18" t="n">
        <v>469.73</v>
      </c>
      <c r="X51" s="18" t="n">
        <v>1809.24</v>
      </c>
      <c r="Y51" s="18" t="n">
        <v>1318.69</v>
      </c>
      <c r="Z51" s="34" t="n">
        <v>4150.84</v>
      </c>
      <c r="AA51" s="18" t="n">
        <v>3948.26</v>
      </c>
      <c r="AB51" s="19" t="n">
        <v>1889.91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105.85</v>
      </c>
      <c r="F52" s="9" t="n"/>
      <c r="G52" s="18" t="n">
        <v>110.46</v>
      </c>
      <c r="H52" s="18" t="n">
        <v>336.37</v>
      </c>
      <c r="I52" s="18" t="n">
        <v>504.4</v>
      </c>
      <c r="J52" s="18" t="n">
        <v>3726.3</v>
      </c>
      <c r="K52" s="34" t="n">
        <v>4677.53</v>
      </c>
      <c r="L52" s="18" t="n">
        <v>1307.69</v>
      </c>
      <c r="M52" s="18" t="n">
        <v>670.74</v>
      </c>
      <c r="N52" s="18" t="n">
        <v>386.51</v>
      </c>
      <c r="O52" s="18" t="n">
        <v>405.35</v>
      </c>
      <c r="P52" s="34" t="n">
        <v>2770.29</v>
      </c>
      <c r="Q52" s="18" t="n">
        <v>172.75</v>
      </c>
      <c r="R52" s="18" t="n">
        <v>294.22</v>
      </c>
      <c r="S52" s="18" t="n">
        <v>3647.72</v>
      </c>
      <c r="T52" s="18" t="n">
        <v>-32.78</v>
      </c>
      <c r="U52" s="34" t="n">
        <v>4081.91</v>
      </c>
      <c r="V52" s="18" t="n">
        <v>667.72</v>
      </c>
      <c r="W52" s="18" t="n">
        <v>3695.76</v>
      </c>
      <c r="X52" s="18" t="n">
        <v>403.65</v>
      </c>
      <c r="Y52" s="18" t="n">
        <v>-99.89</v>
      </c>
      <c r="Z52" s="34" t="n">
        <v>4667.24</v>
      </c>
      <c r="AA52" s="18" t="n">
        <v>340.48</v>
      </c>
      <c r="AB52" s="19" t="n">
        <v>325.47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136.47</v>
      </c>
      <c r="F53" s="9" t="n"/>
      <c r="G53" s="18" t="n">
        <v>134.71</v>
      </c>
      <c r="H53" s="18" t="n">
        <v>156.52</v>
      </c>
      <c r="I53" s="18" t="n">
        <v>218.34</v>
      </c>
      <c r="J53" s="18" t="n">
        <v>477.49</v>
      </c>
      <c r="K53" s="34" t="n">
        <v>987.0599999999999</v>
      </c>
      <c r="L53" s="18" t="n">
        <v>699.6799999999999</v>
      </c>
      <c r="M53" s="18" t="n">
        <v>819.6</v>
      </c>
      <c r="N53" s="18" t="n">
        <v>937.59</v>
      </c>
      <c r="O53" s="18" t="n">
        <v>1077.91</v>
      </c>
      <c r="P53" s="34" t="n">
        <v>3534.78</v>
      </c>
      <c r="Q53" s="18" t="n">
        <v>1095.64</v>
      </c>
      <c r="R53" s="18" t="n">
        <v>1160.77</v>
      </c>
      <c r="S53" s="18" t="n">
        <v>1151.93</v>
      </c>
      <c r="T53" s="18" t="n">
        <v>1082.76</v>
      </c>
      <c r="U53" s="34" t="n">
        <v>4491.1</v>
      </c>
      <c r="V53" s="18" t="n">
        <v>857.13</v>
      </c>
      <c r="W53" s="18" t="n">
        <v>774.83</v>
      </c>
      <c r="X53" s="18" t="n">
        <v>735.54</v>
      </c>
      <c r="Y53" s="18" t="n">
        <v>904.03</v>
      </c>
      <c r="Z53" s="34" t="n">
        <v>3271.53</v>
      </c>
      <c r="AA53" s="18" t="n">
        <v>924.0599999999999</v>
      </c>
      <c r="AB53" s="19" t="n">
        <v>904.47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80.76000000000001</v>
      </c>
      <c r="F54" s="9" t="n"/>
      <c r="G54" s="18" t="n">
        <v>53.79</v>
      </c>
      <c r="H54" s="18" t="n">
        <v>2.18</v>
      </c>
      <c r="I54" s="18" t="n">
        <v>3.08</v>
      </c>
      <c r="J54" s="18" t="n">
        <v>2.81</v>
      </c>
      <c r="K54" s="34" t="n">
        <v>61.86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4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4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4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-3250.41</v>
      </c>
      <c r="F55" s="9" t="n"/>
      <c r="G55" s="18" t="n">
        <v>25059.17</v>
      </c>
      <c r="H55" s="18" t="n">
        <v>12586.89</v>
      </c>
      <c r="I55" s="18" t="n">
        <v>14249.14</v>
      </c>
      <c r="J55" s="18" t="n">
        <v>-893.63</v>
      </c>
      <c r="K55" s="34" t="n">
        <v>51001.57</v>
      </c>
      <c r="L55" s="18" t="n">
        <v>16525.77</v>
      </c>
      <c r="M55" s="18" t="n">
        <v>14684.57</v>
      </c>
      <c r="N55" s="18" t="n">
        <v>12343.63</v>
      </c>
      <c r="O55" s="18" t="n">
        <v>7118.78</v>
      </c>
      <c r="P55" s="34" t="n">
        <v>50672.75</v>
      </c>
      <c r="Q55" s="18" t="n">
        <v>13142.45</v>
      </c>
      <c r="R55" s="18" t="n">
        <v>23345.42</v>
      </c>
      <c r="S55" s="18" t="n">
        <v>5810.69</v>
      </c>
      <c r="T55" s="18" t="n">
        <v>9233.719999999999</v>
      </c>
      <c r="U55" s="34" t="n">
        <v>51532.28</v>
      </c>
      <c r="V55" s="18" t="n">
        <v>11471.95</v>
      </c>
      <c r="W55" s="18" t="n">
        <v>8306.58</v>
      </c>
      <c r="X55" s="18" t="n">
        <v>13861.33</v>
      </c>
      <c r="Y55" s="18" t="n">
        <v>11022.03</v>
      </c>
      <c r="Z55" s="34" t="n">
        <v>44661.89</v>
      </c>
      <c r="AA55" s="18" t="n">
        <v>11091.25</v>
      </c>
      <c r="AB55" s="19" t="n">
        <v>12464.74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-3194.09</v>
      </c>
      <c r="F56" s="9" t="n"/>
      <c r="G56" s="18" t="n">
        <v>5307.7</v>
      </c>
      <c r="H56" s="18" t="n">
        <v>2782.08</v>
      </c>
      <c r="I56" s="18" t="n">
        <v>3370.02</v>
      </c>
      <c r="J56" s="18" t="n">
        <v>297.07</v>
      </c>
      <c r="K56" s="34" t="n">
        <v>11756.87</v>
      </c>
      <c r="L56" s="18" t="n">
        <v>3658.07</v>
      </c>
      <c r="M56" s="18" t="n">
        <v>3261.14</v>
      </c>
      <c r="N56" s="18" t="n">
        <v>2872.12</v>
      </c>
      <c r="O56" s="18" t="n">
        <v>1712.29</v>
      </c>
      <c r="P56" s="34" t="n">
        <v>11503.62</v>
      </c>
      <c r="Q56" s="18" t="n">
        <v>1826.04</v>
      </c>
      <c r="R56" s="18" t="n">
        <v>5286.85</v>
      </c>
      <c r="S56" s="18" t="n">
        <v>1667.28</v>
      </c>
      <c r="T56" s="18" t="n">
        <v>1744.6</v>
      </c>
      <c r="U56" s="34" t="n">
        <v>10524.77</v>
      </c>
      <c r="V56" s="18" t="n">
        <v>2290.14</v>
      </c>
      <c r="W56" s="18" t="n">
        <v>1850.98</v>
      </c>
      <c r="X56" s="18" t="n">
        <v>3079.85</v>
      </c>
      <c r="Y56" s="18" t="n">
        <v>3008.79</v>
      </c>
      <c r="Z56" s="34" t="n">
        <v>10229.76</v>
      </c>
      <c r="AA56" s="18" t="n">
        <v>2664.42</v>
      </c>
      <c r="AB56" s="19" t="n">
        <v>2887.08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-56.31</v>
      </c>
      <c r="F57" s="9" t="n"/>
      <c r="G57" s="18" t="n">
        <v>19751.47</v>
      </c>
      <c r="H57" s="18" t="n">
        <v>9804.799999999999</v>
      </c>
      <c r="I57" s="18" t="n">
        <v>10879.12</v>
      </c>
      <c r="J57" s="18" t="n">
        <v>-1190.7</v>
      </c>
      <c r="K57" s="34" t="n">
        <v>39244.69</v>
      </c>
      <c r="L57" s="18" t="n">
        <v>12867.7</v>
      </c>
      <c r="M57" s="18" t="n">
        <v>11423.42</v>
      </c>
      <c r="N57" s="18" t="n">
        <v>9471.5</v>
      </c>
      <c r="O57" s="18" t="n">
        <v>5406.49</v>
      </c>
      <c r="P57" s="34" t="n">
        <v>39169.11</v>
      </c>
      <c r="Q57" s="18" t="n">
        <v>11316.41</v>
      </c>
      <c r="R57" s="18" t="n">
        <v>18058.57</v>
      </c>
      <c r="S57" s="18" t="n">
        <v>4143.42</v>
      </c>
      <c r="T57" s="18" t="n">
        <v>7489.13</v>
      </c>
      <c r="U57" s="34" t="n">
        <v>41007.53</v>
      </c>
      <c r="V57" s="18" t="n">
        <v>9181.809999999999</v>
      </c>
      <c r="W57" s="18" t="n">
        <v>6455.6</v>
      </c>
      <c r="X57" s="18" t="n">
        <v>10781.48</v>
      </c>
      <c r="Y57" s="18" t="n">
        <v>8013.23</v>
      </c>
      <c r="Z57" s="34" t="n">
        <v>34432.12</v>
      </c>
      <c r="AA57" s="18" t="n">
        <v>8426.83</v>
      </c>
      <c r="AB57" s="19" t="n">
        <v>9577.67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1328.43</v>
      </c>
      <c r="F58" s="9" t="n"/>
      <c r="G58" s="18" t="n">
        <v>19718.97</v>
      </c>
      <c r="H58" s="18" t="n">
        <v>9773.559999999999</v>
      </c>
      <c r="I58" s="18" t="n">
        <v>10844.17</v>
      </c>
      <c r="J58" s="18" t="n">
        <v>-300.6</v>
      </c>
      <c r="K58" s="34" t="n">
        <v>40036.1</v>
      </c>
      <c r="L58" s="18" t="n">
        <v>12892.05</v>
      </c>
      <c r="M58" s="18" t="n">
        <v>11396</v>
      </c>
      <c r="N58" s="18" t="n">
        <v>9454.610000000001</v>
      </c>
      <c r="O58" s="18" t="n">
        <v>2795.29</v>
      </c>
      <c r="P58" s="34" t="n">
        <v>36537.95</v>
      </c>
      <c r="Q58" s="18" t="n">
        <v>11295.64</v>
      </c>
      <c r="R58" s="18" t="n">
        <v>18036.43</v>
      </c>
      <c r="S58" s="18" t="n">
        <v>4116.76</v>
      </c>
      <c r="T58" s="18" t="n">
        <v>4032.35</v>
      </c>
      <c r="U58" s="34" t="n">
        <v>37481.18</v>
      </c>
      <c r="V58" s="18" t="n">
        <v>9174.299999999999</v>
      </c>
      <c r="W58" s="18" t="n">
        <v>6456.93</v>
      </c>
      <c r="X58" s="18" t="n">
        <v>10764.59</v>
      </c>
      <c r="Y58" s="18" t="n">
        <v>9666.98</v>
      </c>
      <c r="Z58" s="34" t="n">
        <v>36062.8</v>
      </c>
      <c r="AA58" s="18" t="n">
        <v>8343.52</v>
      </c>
      <c r="AB58" s="19" t="n">
        <v>9501.530000000001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(지배주주지분)당기순이익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4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4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4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4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(비지배주주지분)당기순이익</t>
        </is>
      </c>
      <c r="E60" s="18" t="n">
        <v>0</v>
      </c>
      <c r="F60" s="9" t="n"/>
      <c r="G60" s="18" t="n">
        <v>0</v>
      </c>
      <c r="H60" s="18" t="n">
        <v>0</v>
      </c>
      <c r="I60" s="18" t="n">
        <v>0</v>
      </c>
      <c r="J60" s="18" t="n">
        <v>0</v>
      </c>
      <c r="K60" s="34" t="n">
        <v>0</v>
      </c>
      <c r="L60" s="18" t="n">
        <v>0</v>
      </c>
      <c r="M60" s="18" t="n">
        <v>0</v>
      </c>
      <c r="N60" s="18" t="n">
        <v>0</v>
      </c>
      <c r="O60" s="18" t="n">
        <v>0</v>
      </c>
      <c r="P60" s="34" t="n">
        <v>0</v>
      </c>
      <c r="Q60" s="18" t="n">
        <v>0</v>
      </c>
      <c r="R60" s="18" t="n">
        <v>0</v>
      </c>
      <c r="S60" s="18" t="n">
        <v>0</v>
      </c>
      <c r="U60" s="9" t="n"/>
      <c r="V60" s="18" t="n">
        <v>0</v>
      </c>
      <c r="W60" s="18" t="n">
        <v>0</v>
      </c>
      <c r="X60" s="18" t="n">
        <v>0</v>
      </c>
      <c r="Y60" s="18" t="n">
        <v>0</v>
      </c>
      <c r="Z60" s="34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55.71</v>
      </c>
      <c r="F61" s="9" t="n"/>
      <c r="G61" s="18" t="n">
        <v>80.92</v>
      </c>
      <c r="H61" s="18" t="n">
        <v>154.34</v>
      </c>
      <c r="I61" s="18" t="n">
        <v>215.26</v>
      </c>
      <c r="J61" s="18" t="n">
        <v>474.68</v>
      </c>
      <c r="K61" s="34" t="n">
        <v>925.2</v>
      </c>
      <c r="L61" s="18" t="n">
        <v>697.71</v>
      </c>
      <c r="M61" s="18" t="n">
        <v>808.4400000000001</v>
      </c>
      <c r="N61" s="18" t="n">
        <v>918.5</v>
      </c>
      <c r="O61" s="18" t="n">
        <v>1059.14</v>
      </c>
      <c r="P61" s="34" t="n">
        <v>3483.79</v>
      </c>
      <c r="Q61" s="18" t="n">
        <v>1077.88</v>
      </c>
      <c r="R61" s="18" t="n">
        <v>1146.58</v>
      </c>
      <c r="S61" s="18" t="n">
        <v>1135.01</v>
      </c>
      <c r="T61" s="18" t="n">
        <v>1065.79</v>
      </c>
      <c r="U61" s="34" t="n">
        <v>4425.26</v>
      </c>
      <c r="V61" s="18" t="n">
        <v>841.25</v>
      </c>
      <c r="W61" s="18" t="n">
        <v>762.4</v>
      </c>
      <c r="X61" s="18" t="n">
        <v>725.17</v>
      </c>
      <c r="Y61" s="18" t="n">
        <v>893.8</v>
      </c>
      <c r="Z61" s="34" t="n">
        <v>3222.62</v>
      </c>
      <c r="AA61" s="18" t="n">
        <v>914.05</v>
      </c>
      <c r="AB61" s="19" t="n">
        <v>893.25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290.24</v>
      </c>
      <c r="F62" s="9" t="n"/>
      <c r="G62" s="18" t="n">
        <v>21924.28</v>
      </c>
      <c r="H62" s="18" t="n">
        <v>3714.72</v>
      </c>
      <c r="I62" s="18" t="n">
        <v>6233.38</v>
      </c>
      <c r="J62" s="18" t="n">
        <v>-8556.65</v>
      </c>
      <c r="K62" s="34" t="n">
        <v>23315.73</v>
      </c>
      <c r="L62" s="18" t="n">
        <v>1029.35</v>
      </c>
      <c r="M62" s="18" t="n">
        <v>356.57</v>
      </c>
      <c r="N62" s="18" t="n">
        <v>2043.45</v>
      </c>
      <c r="O62" s="18" t="n">
        <v>-1073.85</v>
      </c>
      <c r="P62" s="34" t="n">
        <v>2355.52</v>
      </c>
      <c r="Q62" s="18" t="n">
        <v>2173.57</v>
      </c>
      <c r="R62" s="18" t="n">
        <v>1832.53</v>
      </c>
      <c r="S62" s="18" t="n">
        <v>-3134.24</v>
      </c>
      <c r="T62" s="18" t="n">
        <v>4247.06</v>
      </c>
      <c r="U62" s="34" t="n">
        <v>5118.92</v>
      </c>
      <c r="V62" s="18" t="n">
        <v>-114.54</v>
      </c>
      <c r="W62" s="18" t="n">
        <v>-3226.03</v>
      </c>
      <c r="X62" s="18" t="n">
        <v>1405.59</v>
      </c>
      <c r="Y62" s="18" t="n">
        <v>1418.58</v>
      </c>
      <c r="Z62" s="34" t="n">
        <v>-516.4</v>
      </c>
      <c r="AA62" s="18" t="n">
        <v>3607.78</v>
      </c>
      <c r="AB62" s="19" t="n">
        <v>1564.44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-56.31</v>
      </c>
      <c r="F63" s="9" t="n"/>
      <c r="G63" s="18" t="n">
        <v>19751.47</v>
      </c>
      <c r="H63" s="18" t="n">
        <v>9804.799999999999</v>
      </c>
      <c r="I63" s="18" t="n">
        <v>10879.12</v>
      </c>
      <c r="J63" s="18" t="n">
        <v>-1190.7</v>
      </c>
      <c r="K63" s="34" t="n">
        <v>39244.69</v>
      </c>
      <c r="L63" s="18" t="n">
        <v>12867.7</v>
      </c>
      <c r="M63" s="18" t="n">
        <v>11423.42</v>
      </c>
      <c r="N63" s="18" t="n">
        <v>9471.5</v>
      </c>
      <c r="O63" s="18" t="n">
        <v>5406.49</v>
      </c>
      <c r="P63" s="34" t="n">
        <v>39169.11</v>
      </c>
      <c r="Q63" s="18" t="n">
        <v>11316.41</v>
      </c>
      <c r="R63" s="18" t="n">
        <v>18058.57</v>
      </c>
      <c r="S63" s="18" t="n">
        <v>4143.42</v>
      </c>
      <c r="T63" s="18" t="n">
        <v>7489.13</v>
      </c>
      <c r="U63" s="34" t="n">
        <v>41007.53</v>
      </c>
      <c r="V63" s="18" t="n">
        <v>9181.809999999999</v>
      </c>
      <c r="W63" s="18" t="n">
        <v>6455.6</v>
      </c>
      <c r="X63" s="18" t="n">
        <v>10781.48</v>
      </c>
      <c r="Y63" s="18" t="n">
        <v>8013.23</v>
      </c>
      <c r="Z63" s="34" t="n">
        <v>34432.12</v>
      </c>
      <c r="AA63" s="18" t="n">
        <v>8426.83</v>
      </c>
      <c r="AB63" s="19" t="n">
        <v>9577.67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이자수익</t>
        </is>
      </c>
      <c r="F64" s="9" t="n"/>
      <c r="G64" s="18" t="n">
        <v>134.71</v>
      </c>
      <c r="H64" s="18" t="n">
        <v>156.52</v>
      </c>
      <c r="I64" s="18" t="n">
        <v>218.34</v>
      </c>
      <c r="J64" s="18" t="n">
        <v>477.49</v>
      </c>
      <c r="K64" s="34" t="n">
        <v>987.0599999999999</v>
      </c>
      <c r="L64" s="18" t="n">
        <v>699.6799999999999</v>
      </c>
      <c r="M64" s="18" t="n">
        <v>819.6</v>
      </c>
      <c r="N64" s="18" t="n">
        <v>937.59</v>
      </c>
      <c r="O64" s="18" t="n">
        <v>1077.91</v>
      </c>
      <c r="P64" s="34" t="n">
        <v>3534.78</v>
      </c>
      <c r="Q64" s="18" t="n">
        <v>1078.24</v>
      </c>
      <c r="R64" s="18" t="n">
        <v>1126.21</v>
      </c>
      <c r="S64" s="18" t="n">
        <v>1098.85</v>
      </c>
      <c r="T64" s="18" t="n">
        <v>1026.17</v>
      </c>
      <c r="U64" s="34" t="n">
        <v>4329.47</v>
      </c>
      <c r="V64" s="18" t="n">
        <v>790.34</v>
      </c>
      <c r="W64" s="18" t="n">
        <v>696.9400000000001</v>
      </c>
      <c r="X64" s="18" t="n">
        <v>675.01</v>
      </c>
      <c r="Y64" s="18" t="n">
        <v>839.49</v>
      </c>
      <c r="Z64" s="34" t="n">
        <v>3001.78</v>
      </c>
      <c r="AA64" s="18" t="n">
        <v>844.49</v>
      </c>
      <c r="AB64" s="19" t="n">
        <v>828.62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이자비용</t>
        </is>
      </c>
      <c r="F65" s="9" t="n"/>
      <c r="G65" s="18" t="n">
        <v>53.79</v>
      </c>
      <c r="H65" s="18" t="n">
        <v>2.18</v>
      </c>
      <c r="I65" s="18" t="n">
        <v>3.08</v>
      </c>
      <c r="J65" s="18" t="n">
        <v>2.81</v>
      </c>
      <c r="K65" s="34" t="n">
        <v>61.86</v>
      </c>
      <c r="L65" s="18" t="n">
        <v>1.97</v>
      </c>
      <c r="M65" s="18" t="n">
        <v>11.16</v>
      </c>
      <c r="N65" s="18" t="n">
        <v>19.09</v>
      </c>
      <c r="O65" s="18" t="n">
        <v>18.77</v>
      </c>
      <c r="P65" s="34" t="n">
        <v>50.99</v>
      </c>
      <c r="Q65" s="18" t="n">
        <v>17.76</v>
      </c>
      <c r="R65" s="18" t="n">
        <v>14.19</v>
      </c>
      <c r="S65" s="18" t="n">
        <v>16.92</v>
      </c>
      <c r="T65" s="18" t="n">
        <v>16.97</v>
      </c>
      <c r="U65" s="34" t="n">
        <v>65.84</v>
      </c>
      <c r="V65" s="18" t="n">
        <v>15.88</v>
      </c>
      <c r="W65" s="18" t="n">
        <v>12.43</v>
      </c>
      <c r="X65" s="18" t="n">
        <v>10.37</v>
      </c>
      <c r="Y65" s="18" t="n">
        <v>10.23</v>
      </c>
      <c r="Z65" s="34" t="n">
        <v>48.91</v>
      </c>
      <c r="AA65" s="18" t="n">
        <v>10.01</v>
      </c>
      <c r="AB65" s="19" t="n">
        <v>11.22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이자손익</t>
        </is>
      </c>
      <c r="F66" s="9" t="n"/>
      <c r="G66" s="18" t="n">
        <v>80.92</v>
      </c>
      <c r="H66" s="18" t="n">
        <v>154.34</v>
      </c>
      <c r="I66" s="18" t="n">
        <v>215.26</v>
      </c>
      <c r="J66" s="18" t="n">
        <v>474.68</v>
      </c>
      <c r="K66" s="34" t="n">
        <v>925.2</v>
      </c>
      <c r="L66" s="18" t="n">
        <v>697.71</v>
      </c>
      <c r="M66" s="18" t="n">
        <v>808.4400000000001</v>
      </c>
      <c r="N66" s="18" t="n">
        <v>918.5</v>
      </c>
      <c r="O66" s="18" t="n">
        <v>1059.14</v>
      </c>
      <c r="P66" s="34" t="n">
        <v>3483.79</v>
      </c>
      <c r="Q66" s="18" t="n">
        <v>1060.48</v>
      </c>
      <c r="R66" s="18" t="n">
        <v>1112.02</v>
      </c>
      <c r="S66" s="18" t="n">
        <v>1081.93</v>
      </c>
      <c r="T66" s="18" t="n">
        <v>1009.2</v>
      </c>
      <c r="U66" s="34" t="n">
        <v>4263.63</v>
      </c>
      <c r="V66" s="18" t="n">
        <v>774.46</v>
      </c>
      <c r="W66" s="18" t="n">
        <v>684.51</v>
      </c>
      <c r="X66" s="18" t="n">
        <v>664.64</v>
      </c>
      <c r="Y66" s="18" t="n">
        <v>829.26</v>
      </c>
      <c r="Z66" s="34" t="n">
        <v>2952.87</v>
      </c>
      <c r="AA66" s="18" t="n">
        <v>834.48</v>
      </c>
      <c r="AB66" s="19" t="n">
        <v>817.4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-16250.24</v>
      </c>
      <c r="F67" s="9" t="n"/>
      <c r="G67" s="18" t="n">
        <v>-5295.24</v>
      </c>
      <c r="H67" s="18" t="n">
        <v>2543.66</v>
      </c>
      <c r="I67" s="18" t="n">
        <v>2923.94</v>
      </c>
      <c r="J67" s="18" t="n">
        <v>21252.31</v>
      </c>
      <c r="K67" s="34" t="n">
        <v>21424.67</v>
      </c>
      <c r="L67" s="18" t="n">
        <v>10439.1</v>
      </c>
      <c r="M67" s="18" t="n">
        <v>8760.879999999999</v>
      </c>
      <c r="N67" s="18" t="n">
        <v>15731.5</v>
      </c>
      <c r="O67" s="18" t="n">
        <v>615.04</v>
      </c>
      <c r="P67" s="34" t="n">
        <v>35546.52</v>
      </c>
      <c r="Q67" s="18" t="n">
        <v>11011.04</v>
      </c>
      <c r="R67" s="18" t="n">
        <v>21662.2</v>
      </c>
      <c r="S67" s="18" t="n">
        <v>3151.76</v>
      </c>
      <c r="T67" s="18" t="n">
        <v>-7319.64</v>
      </c>
      <c r="U67" s="34" t="n">
        <v>28505.36</v>
      </c>
      <c r="V67" s="18" t="n">
        <v>-5965.08</v>
      </c>
      <c r="W67" s="18" t="n">
        <v>4800.69</v>
      </c>
      <c r="X67" s="18" t="n">
        <v>19575.3</v>
      </c>
      <c r="Y67" s="18" t="n">
        <v>19469.11</v>
      </c>
      <c r="Z67" s="34" t="n">
        <v>37880.02</v>
      </c>
      <c r="AA67" s="18" t="n">
        <v>4911.75</v>
      </c>
      <c r="AB67" s="19" t="n">
        <v>2577.36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이자수취(CF)</t>
        </is>
      </c>
      <c r="E68" s="18" t="n">
        <v>90.95999999999999</v>
      </c>
      <c r="F68" s="9" t="n"/>
      <c r="G68" s="18" t="n">
        <v>93.76000000000001</v>
      </c>
      <c r="H68" s="18" t="n">
        <v>103.72</v>
      </c>
      <c r="I68" s="18" t="n">
        <v>232.47</v>
      </c>
      <c r="J68" s="18" t="n">
        <v>434.78</v>
      </c>
      <c r="K68" s="34" t="n">
        <v>864.73</v>
      </c>
      <c r="L68" s="18" t="n">
        <v>675.8</v>
      </c>
      <c r="M68" s="18" t="n">
        <v>761.5599999999999</v>
      </c>
      <c r="N68" s="18" t="n">
        <v>971.26</v>
      </c>
      <c r="O68" s="18" t="n">
        <v>1026.7</v>
      </c>
      <c r="P68" s="34" t="n">
        <v>3435.32</v>
      </c>
      <c r="Q68" s="18" t="n">
        <v>798.5599999999999</v>
      </c>
      <c r="R68" s="18" t="n">
        <v>1056.19</v>
      </c>
      <c r="S68" s="18" t="n">
        <v>670.62</v>
      </c>
      <c r="T68" s="18" t="n">
        <v>1331.74</v>
      </c>
      <c r="U68" s="34" t="n">
        <v>3857.11</v>
      </c>
      <c r="V68" s="18" t="n">
        <v>1012.35</v>
      </c>
      <c r="W68" s="18" t="n">
        <v>755.9400000000001</v>
      </c>
      <c r="X68" s="18" t="n">
        <v>520.51</v>
      </c>
      <c r="Y68" s="18" t="n">
        <v>856.33</v>
      </c>
      <c r="Z68" s="34" t="n">
        <v>3145.13</v>
      </c>
      <c r="AA68" s="18" t="n">
        <v>538.3200000000001</v>
      </c>
      <c r="AB68" s="19" t="n">
        <v>806.55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법인세납부(CF)</t>
        </is>
      </c>
      <c r="E69" s="18" t="n">
        <v>-24.1</v>
      </c>
      <c r="F69" s="9" t="n"/>
      <c r="G69" s="18" t="n">
        <v>-35.1</v>
      </c>
      <c r="H69" s="18" t="n">
        <v>359.51</v>
      </c>
      <c r="I69" s="18" t="n">
        <v>-55.76</v>
      </c>
      <c r="J69" s="18" t="n">
        <v>-81.88</v>
      </c>
      <c r="K69" s="34" t="n">
        <v>186.77</v>
      </c>
      <c r="L69" s="18" t="n">
        <v>-4137.89</v>
      </c>
      <c r="M69" s="18" t="n">
        <v>-5008</v>
      </c>
      <c r="N69" s="18" t="n">
        <v>-1575.96</v>
      </c>
      <c r="O69" s="18" t="n">
        <v>-1571.86</v>
      </c>
      <c r="P69" s="34" t="n">
        <v>-12293.71</v>
      </c>
      <c r="Q69" s="18" t="n">
        <v>-165.74</v>
      </c>
      <c r="R69" s="18" t="n">
        <v>-5851.77</v>
      </c>
      <c r="S69" s="18" t="n">
        <v>-2318.62</v>
      </c>
      <c r="T69" s="18" t="n">
        <v>-2146.05</v>
      </c>
      <c r="U69" s="34" t="n">
        <v>-10482.18</v>
      </c>
      <c r="V69" s="18" t="n">
        <v>-3423.95</v>
      </c>
      <c r="W69" s="18" t="n">
        <v>-4375.55</v>
      </c>
      <c r="X69" s="18" t="n">
        <v>-109.58</v>
      </c>
      <c r="Y69" s="18" t="n">
        <v>-4926.84</v>
      </c>
      <c r="Z69" s="34" t="n">
        <v>-12835.92</v>
      </c>
      <c r="AA69" s="18" t="n">
        <v>-1820.95</v>
      </c>
      <c r="AB69" s="19" t="n">
        <v>-2701.7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2727.04</v>
      </c>
      <c r="F70" s="9" t="n"/>
      <c r="G70" s="18" t="n">
        <v>29878.6</v>
      </c>
      <c r="H70" s="18" t="n">
        <v>2454.46</v>
      </c>
      <c r="I70" s="18" t="n">
        <v>8106.79</v>
      </c>
      <c r="J70" s="18" t="n">
        <v>1651.28</v>
      </c>
      <c r="K70" s="34" t="n">
        <v>42091.13</v>
      </c>
      <c r="L70" s="18" t="n">
        <v>1923.5</v>
      </c>
      <c r="M70" s="18" t="n">
        <v>-8839.91</v>
      </c>
      <c r="N70" s="18" t="n">
        <v>-505.1</v>
      </c>
      <c r="O70" s="18" t="n">
        <v>-26554.76</v>
      </c>
      <c r="P70" s="34" t="n">
        <v>-33976.27</v>
      </c>
      <c r="Q70" s="18" t="n">
        <v>-11857.63</v>
      </c>
      <c r="R70" s="18" t="n">
        <v>922.05</v>
      </c>
      <c r="S70" s="18" t="n">
        <v>-9248.74</v>
      </c>
      <c r="T70" s="18" t="n">
        <v>2832.59</v>
      </c>
      <c r="U70" s="34" t="n">
        <v>-17351.73</v>
      </c>
      <c r="V70" s="18" t="n">
        <v>-2766.92</v>
      </c>
      <c r="W70" s="18" t="n">
        <v>-6944.64</v>
      </c>
      <c r="X70" s="18" t="n">
        <v>-17248.61</v>
      </c>
      <c r="Y70" s="18" t="n">
        <v>-13357.9</v>
      </c>
      <c r="Z70" s="34" t="n">
        <v>-40318.07</v>
      </c>
      <c r="AA70" s="18" t="n">
        <v>1398.22</v>
      </c>
      <c r="AB70" s="19" t="n">
        <v>4434.12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E71" s="18" t="n">
        <v>43.09</v>
      </c>
      <c r="F71" s="9" t="n"/>
      <c r="I71" s="18" t="n">
        <v>0</v>
      </c>
      <c r="J71" s="18" t="n">
        <v>14.13</v>
      </c>
      <c r="K71" s="9" t="n"/>
      <c r="L71" s="18" t="n">
        <v>12.73</v>
      </c>
      <c r="M71" s="18" t="n">
        <v>94.93000000000001</v>
      </c>
      <c r="N71" s="18" t="n">
        <v>2.88</v>
      </c>
      <c r="O71" s="18" t="n">
        <v>8.18</v>
      </c>
      <c r="P71" s="34" t="n">
        <v>118.72</v>
      </c>
      <c r="Q71" s="18" t="n">
        <v>0</v>
      </c>
      <c r="R71" s="18" t="n">
        <v>4.05</v>
      </c>
      <c r="S71" s="18" t="n">
        <v>0</v>
      </c>
      <c r="T71" s="18" t="n">
        <v>0</v>
      </c>
      <c r="U71" s="34" t="n">
        <v>4.05</v>
      </c>
      <c r="V71" s="18" t="n">
        <v>27.82</v>
      </c>
      <c r="W71" s="18" t="n">
        <v>0</v>
      </c>
      <c r="X71" s="18" t="n">
        <v>22.73</v>
      </c>
      <c r="Y71" s="18" t="n">
        <v>0</v>
      </c>
      <c r="Z71" s="34" t="n">
        <v>50.55</v>
      </c>
      <c r="AA71" s="18" t="n">
        <v>0</v>
      </c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1548.66</v>
      </c>
      <c r="F72" s="9" t="n"/>
      <c r="G72" s="18" t="n">
        <v>60</v>
      </c>
      <c r="H72" s="18" t="n">
        <v>41.52</v>
      </c>
      <c r="I72" s="18" t="n">
        <v>386.04</v>
      </c>
      <c r="J72" s="18" t="n">
        <v>471.24</v>
      </c>
      <c r="K72" s="34" t="n">
        <v>958.8</v>
      </c>
      <c r="L72" s="18" t="n">
        <v>397.99</v>
      </c>
      <c r="M72" s="18" t="n">
        <v>875.83</v>
      </c>
      <c r="N72" s="18" t="n">
        <v>373.04</v>
      </c>
      <c r="O72" s="18" t="n">
        <v>1018.16</v>
      </c>
      <c r="P72" s="34" t="n">
        <v>2665.02</v>
      </c>
      <c r="Q72" s="18" t="n">
        <v>335.83</v>
      </c>
      <c r="R72" s="18" t="n">
        <v>805.54</v>
      </c>
      <c r="S72" s="18" t="n">
        <v>1590.42</v>
      </c>
      <c r="T72" s="18" t="n">
        <v>212.06</v>
      </c>
      <c r="U72" s="34" t="n">
        <v>2943.85</v>
      </c>
      <c r="V72" s="18" t="n">
        <v>449.94</v>
      </c>
      <c r="W72" s="18" t="n">
        <v>312.82</v>
      </c>
      <c r="X72" s="18" t="n">
        <v>3638.61</v>
      </c>
      <c r="Y72" s="18" t="n">
        <v>70.31999999999999</v>
      </c>
      <c r="Z72" s="34" t="n">
        <v>4471.69</v>
      </c>
      <c r="AA72" s="18" t="n">
        <v>0</v>
      </c>
      <c r="AB72" s="19" t="n">
        <v>70.73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1548.66</v>
      </c>
      <c r="F73" s="9" t="n"/>
      <c r="G73" s="18" t="n">
        <v>60</v>
      </c>
      <c r="H73" s="18" t="n">
        <v>41.52</v>
      </c>
      <c r="I73" s="18" t="n">
        <v>386.04</v>
      </c>
      <c r="J73" s="18" t="n">
        <v>509.54</v>
      </c>
      <c r="K73" s="34" t="n">
        <v>997.1</v>
      </c>
      <c r="L73" s="18" t="n">
        <v>406.39</v>
      </c>
      <c r="M73" s="18" t="n">
        <v>875.83</v>
      </c>
      <c r="N73" s="18" t="n">
        <v>373.04</v>
      </c>
      <c r="O73" s="18" t="n">
        <v>1018.16</v>
      </c>
      <c r="P73" s="34" t="n">
        <v>2673.42</v>
      </c>
      <c r="Q73" s="18" t="n">
        <v>335.83</v>
      </c>
      <c r="R73" s="18" t="n">
        <v>805.54</v>
      </c>
      <c r="S73" s="18" t="n">
        <v>1590.42</v>
      </c>
      <c r="T73" s="18" t="n">
        <v>212.06</v>
      </c>
      <c r="U73" s="34" t="n">
        <v>2943.85</v>
      </c>
      <c r="V73" s="18" t="n">
        <v>657.9400000000001</v>
      </c>
      <c r="W73" s="18" t="n">
        <v>984.8200000000001</v>
      </c>
      <c r="X73" s="18" t="n">
        <v>3742.11</v>
      </c>
      <c r="Y73" s="18" t="n">
        <v>70.31999999999999</v>
      </c>
      <c r="Z73" s="34" t="n">
        <v>5455.19</v>
      </c>
      <c r="AA73" s="18" t="n">
        <v>0</v>
      </c>
      <c r="AB73" s="19" t="n">
        <v>70.73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0</v>
      </c>
      <c r="F74" s="9" t="n"/>
      <c r="I74" s="18" t="n">
        <v>0</v>
      </c>
      <c r="J74" s="18" t="n">
        <v>0</v>
      </c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-140.97</v>
      </c>
      <c r="F75" s="9" t="n"/>
      <c r="G75" s="18" t="n">
        <v>-20143.71</v>
      </c>
      <c r="H75" s="18" t="n">
        <v>-2866.12</v>
      </c>
      <c r="I75" s="18" t="n">
        <v>-72.56</v>
      </c>
      <c r="J75" s="18" t="n">
        <v>-71.97</v>
      </c>
      <c r="K75" s="34" t="n">
        <v>-23154.36</v>
      </c>
      <c r="L75" s="18" t="n">
        <v>-74.09999999999999</v>
      </c>
      <c r="M75" s="18" t="n">
        <v>-872.29</v>
      </c>
      <c r="N75" s="18" t="n">
        <v>-90.48999999999999</v>
      </c>
      <c r="O75" s="18" t="n">
        <v>-94.73999999999999</v>
      </c>
      <c r="P75" s="34" t="n">
        <v>-1131.62</v>
      </c>
      <c r="Q75" s="18" t="n">
        <v>-84.05</v>
      </c>
      <c r="R75" s="18" t="n">
        <v>-4277.07</v>
      </c>
      <c r="S75" s="18" t="n">
        <v>-17779.98</v>
      </c>
      <c r="T75" s="18" t="n">
        <v>-2360.87</v>
      </c>
      <c r="U75" s="34" t="n">
        <v>-24501.97</v>
      </c>
      <c r="V75" s="18" t="n">
        <v>-88.95</v>
      </c>
      <c r="W75" s="18" t="n">
        <v>-5397.8</v>
      </c>
      <c r="X75" s="18" t="n">
        <v>577.76</v>
      </c>
      <c r="Y75" s="18" t="n">
        <v>-10.23</v>
      </c>
      <c r="Z75" s="34" t="n">
        <v>-4919.22</v>
      </c>
      <c r="AA75" s="18" t="n">
        <v>-10.01</v>
      </c>
      <c r="AB75" s="19" t="n">
        <v>-5322.69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0</v>
      </c>
      <c r="F76" s="9" t="n"/>
      <c r="G76" s="18" t="n">
        <v>5000</v>
      </c>
      <c r="H76" s="18" t="n">
        <v>0</v>
      </c>
      <c r="I76" s="18" t="n">
        <v>0</v>
      </c>
      <c r="J76" s="18" t="n">
        <v>0</v>
      </c>
      <c r="K76" s="34" t="n">
        <v>5000</v>
      </c>
      <c r="L76" s="18" t="n">
        <v>0</v>
      </c>
      <c r="M76" s="18" t="n">
        <v>2000</v>
      </c>
      <c r="N76" s="18" t="n">
        <v>124.99</v>
      </c>
      <c r="O76" s="18" t="n">
        <v>0</v>
      </c>
      <c r="P76" s="34" t="n">
        <v>2124.99</v>
      </c>
      <c r="Q76" s="18" t="n">
        <v>0.49</v>
      </c>
      <c r="R76" s="18" t="n">
        <v>2000</v>
      </c>
      <c r="S76" s="18" t="n">
        <v>0</v>
      </c>
      <c r="T76" s="18" t="n">
        <v>0</v>
      </c>
      <c r="U76" s="34" t="n">
        <v>2000.49</v>
      </c>
      <c r="V76" s="18" t="n">
        <v>0</v>
      </c>
      <c r="W76" s="18" t="n">
        <v>0</v>
      </c>
      <c r="X76" s="18" t="n">
        <v>0</v>
      </c>
      <c r="Y76" s="18" t="n">
        <v>0</v>
      </c>
      <c r="Z76" s="34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단기차입금의감소</t>
        </is>
      </c>
      <c r="E77" s="18" t="n">
        <v>0</v>
      </c>
      <c r="F77" s="9" t="n"/>
      <c r="G77" s="18" t="n">
        <v>5000</v>
      </c>
      <c r="H77" s="18" t="n">
        <v>0</v>
      </c>
      <c r="I77" s="18" t="n">
        <v>0</v>
      </c>
      <c r="J77" s="18" t="n">
        <v>0</v>
      </c>
      <c r="K77" s="34" t="n">
        <v>5000</v>
      </c>
      <c r="L77" s="18" t="n">
        <v>0</v>
      </c>
      <c r="M77" s="18" t="n">
        <v>0</v>
      </c>
      <c r="N77" s="18" t="n">
        <v>124.99</v>
      </c>
      <c r="O77" s="18" t="n">
        <v>0</v>
      </c>
      <c r="P77" s="34" t="n">
        <v>124.99</v>
      </c>
      <c r="Q77" s="18" t="n">
        <v>0.49</v>
      </c>
      <c r="R77" s="18" t="n">
        <v>2000</v>
      </c>
      <c r="S77" s="18" t="n">
        <v>0</v>
      </c>
      <c r="T77" s="18" t="n">
        <v>0</v>
      </c>
      <c r="U77" s="34" t="n">
        <v>2000.49</v>
      </c>
      <c r="V77" s="18" t="n">
        <v>0</v>
      </c>
      <c r="W77" s="18" t="n">
        <v>0</v>
      </c>
      <c r="X77" s="18" t="n">
        <v>0</v>
      </c>
      <c r="Y77" s="18" t="n">
        <v>0</v>
      </c>
      <c r="Z77" s="34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-70.17</v>
      </c>
      <c r="F78" s="9" t="n"/>
      <c r="G78" s="18" t="n">
        <v>-62.91</v>
      </c>
      <c r="H78" s="18" t="n">
        <v>-2.47</v>
      </c>
      <c r="I78" s="18" t="n">
        <v>0.65</v>
      </c>
      <c r="J78" s="18" t="n">
        <v>1.82</v>
      </c>
      <c r="K78" s="34" t="n">
        <v>-62.91</v>
      </c>
      <c r="L78" s="18" t="n">
        <v>0</v>
      </c>
      <c r="M78" s="18" t="n">
        <v>-5.33</v>
      </c>
      <c r="N78" s="18" t="n">
        <v>-16.39</v>
      </c>
      <c r="O78" s="18" t="n">
        <v>-20.65</v>
      </c>
      <c r="P78" s="34" t="n">
        <v>-42.37</v>
      </c>
      <c r="Q78" s="18" t="n">
        <v>-9.949999999999999</v>
      </c>
      <c r="R78" s="18" t="n">
        <v>-13.69</v>
      </c>
      <c r="S78" s="18" t="n">
        <v>-19.27</v>
      </c>
      <c r="T78" s="18" t="n">
        <v>-14.53</v>
      </c>
      <c r="U78" s="34" t="n">
        <v>-57.44</v>
      </c>
      <c r="V78" s="18" t="n">
        <v>-14.25</v>
      </c>
      <c r="W78" s="18" t="n">
        <v>-11.63</v>
      </c>
      <c r="X78" s="18" t="n">
        <v>-10.24</v>
      </c>
      <c r="Y78" s="18" t="n">
        <v>-10.23</v>
      </c>
      <c r="Z78" s="34" t="n">
        <v>-46.35</v>
      </c>
      <c r="AA78" s="18" t="n">
        <v>-10.01</v>
      </c>
      <c r="AB78" s="19" t="n">
        <v>-11.22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I79" s="18" t="n">
        <v>0</v>
      </c>
      <c r="J79" s="18" t="n">
        <v>0</v>
      </c>
      <c r="K79" s="9" t="n"/>
      <c r="N79" s="18" t="n">
        <v>0</v>
      </c>
      <c r="O79" s="18" t="n">
        <v>0</v>
      </c>
      <c r="P79" s="9" t="n"/>
      <c r="S79" s="18" t="n">
        <v>0</v>
      </c>
      <c r="T79" s="18" t="n">
        <v>0</v>
      </c>
      <c r="U79" s="9" t="n"/>
      <c r="X79" s="18" t="n">
        <v>0</v>
      </c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F80" s="9" t="n"/>
      <c r="G80" s="18" t="n">
        <v>20000</v>
      </c>
      <c r="H80" s="18" t="n">
        <v>0</v>
      </c>
      <c r="I80" s="18" t="n">
        <v>0</v>
      </c>
      <c r="J80" s="18" t="n">
        <v>0</v>
      </c>
      <c r="K80" s="34" t="n">
        <v>20000</v>
      </c>
      <c r="L80" s="18" t="n">
        <v>0</v>
      </c>
      <c r="M80" s="18" t="n">
        <v>0</v>
      </c>
      <c r="N80" s="18" t="n">
        <v>0</v>
      </c>
      <c r="O80" s="18" t="n">
        <v>0</v>
      </c>
      <c r="P80" s="34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F81" s="9" t="n"/>
      <c r="K81" s="9" t="n"/>
      <c r="L81" s="18" t="n">
        <v>8.4</v>
      </c>
      <c r="M81" s="18" t="n">
        <v>0</v>
      </c>
      <c r="N81" s="18" t="n">
        <v>0</v>
      </c>
      <c r="O81" s="18" t="n">
        <v>0</v>
      </c>
      <c r="P81" s="34" t="n">
        <v>8.4</v>
      </c>
      <c r="Q81" s="18" t="n">
        <v>0</v>
      </c>
      <c r="R81" s="18" t="n">
        <v>0</v>
      </c>
      <c r="S81" s="18" t="n">
        <v>0</v>
      </c>
      <c r="T81" s="18" t="n">
        <v>0</v>
      </c>
      <c r="U81" s="34" t="n">
        <v>0</v>
      </c>
      <c r="V81" s="18" t="n">
        <v>208</v>
      </c>
      <c r="W81" s="18" t="n">
        <v>672</v>
      </c>
      <c r="X81" s="18" t="n">
        <v>103.5</v>
      </c>
      <c r="Y81" s="18" t="n">
        <v>0</v>
      </c>
      <c r="Z81" s="34" t="n">
        <v>983.5</v>
      </c>
      <c r="AA81" s="18" t="n">
        <v>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자기주식의취득</t>
        </is>
      </c>
      <c r="F82" s="9" t="n"/>
      <c r="K82" s="9" t="n"/>
      <c r="P82" s="9" t="n"/>
      <c r="T82" s="18" t="n">
        <v>2271.64</v>
      </c>
      <c r="U82" s="9" t="n"/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리스부채의상환</t>
        </is>
      </c>
      <c r="F83" s="9" t="n"/>
      <c r="K83" s="9" t="n"/>
      <c r="P83" s="9" t="n"/>
      <c r="U83" s="9" t="n"/>
      <c r="V83" s="18" t="n">
        <v>74.7</v>
      </c>
      <c r="W83" s="18" t="n">
        <v>74.7</v>
      </c>
      <c r="X83" s="18" t="n">
        <v>21.8</v>
      </c>
      <c r="Y83" s="18" t="n">
        <v>0</v>
      </c>
      <c r="Z83" s="34" t="n">
        <v>171.2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V84" s="18" t="n">
        <v>54892.54</v>
      </c>
      <c r="W84" s="18" t="n">
        <v>-8558.57</v>
      </c>
      <c r="X84" s="18" t="n">
        <v>3281.58</v>
      </c>
      <c r="Y84" s="18" t="n">
        <v>6200.66</v>
      </c>
      <c r="Z84" s="34" t="n">
        <v>55816.21</v>
      </c>
      <c r="AA84" s="18" t="n">
        <v>63726.93</v>
      </c>
      <c r="AB84" s="19" t="n">
        <v>2046.77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F85" s="9" t="n"/>
      <c r="K85" s="9" t="n"/>
      <c r="P85" s="9" t="n"/>
      <c r="U85" s="9" t="n"/>
      <c r="X85" s="18" t="n">
        <v>2904.46</v>
      </c>
      <c r="Y85" s="18" t="n">
        <v>6100.97</v>
      </c>
      <c r="Z85" s="9" t="n"/>
      <c r="AA85" s="18" t="n">
        <v>6299.96</v>
      </c>
      <c r="AB85" s="19" t="n">
        <v>1688.79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4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4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4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4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4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4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4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4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4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4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4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4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4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4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4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4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4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4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4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4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4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4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4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4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4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4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4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4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4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4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4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4" t="n">
        <v>0</v>
      </c>
      <c r="O11" s="18" t="n">
        <v>0</v>
      </c>
      <c r="P11" s="34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4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4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4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4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4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4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4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4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4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4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4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4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4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4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4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4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4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4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4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4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4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4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4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4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4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4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4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4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4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4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4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4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4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4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4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4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4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4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4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4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4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4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4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4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4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4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4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4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4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4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4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4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4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4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4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4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4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4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4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4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4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4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4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4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4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4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4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4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4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4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4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4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4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4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4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4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4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4" t="n">
        <v>0</v>
      </c>
      <c r="T27" s="18" t="n">
        <v>2659.43</v>
      </c>
      <c r="U27" s="34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4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5513.8</v>
      </c>
      <c r="F28" s="34" t="n">
        <v>5513.8</v>
      </c>
      <c r="G28" s="18" t="n">
        <v>6372.71</v>
      </c>
      <c r="H28" s="18" t="n">
        <v>6117.23</v>
      </c>
      <c r="I28" s="18" t="n">
        <v>5738.95</v>
      </c>
      <c r="J28" s="18" t="n">
        <v>6917.04</v>
      </c>
      <c r="K28" s="34" t="n">
        <v>6917.04</v>
      </c>
      <c r="L28" s="18" t="n">
        <v>6994.39</v>
      </c>
      <c r="M28" s="18" t="n">
        <v>7318.92</v>
      </c>
      <c r="N28" s="18" t="n">
        <v>7085.24</v>
      </c>
      <c r="O28" s="18" t="n">
        <v>8708.290000000001</v>
      </c>
      <c r="P28" s="34" t="n">
        <v>8708.290000000001</v>
      </c>
      <c r="Q28" s="18" t="n">
        <v>7487.45</v>
      </c>
      <c r="R28" s="18" t="n">
        <v>7390.61</v>
      </c>
      <c r="S28" s="18" t="n">
        <v>7344.12</v>
      </c>
      <c r="T28" s="18" t="n">
        <v>6638.92</v>
      </c>
      <c r="U28" s="34" t="n">
        <v>6638.92</v>
      </c>
      <c r="V28" s="18" t="n">
        <v>5615.41</v>
      </c>
      <c r="W28" s="18" t="n">
        <v>5189.93</v>
      </c>
      <c r="X28" s="18" t="n">
        <v>5306.38</v>
      </c>
      <c r="Y28" s="18" t="n">
        <v>6932.34</v>
      </c>
      <c r="Z28" s="34" t="n">
        <v>6932.34</v>
      </c>
      <c r="AA28" s="18" t="n">
        <v>6417.96</v>
      </c>
      <c r="AB28" s="19" t="n">
        <v>5964.32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35574.85</v>
      </c>
      <c r="F29" s="34" t="n">
        <v>35574.85</v>
      </c>
      <c r="G29" s="18" t="n">
        <v>43403.24</v>
      </c>
      <c r="H29" s="18" t="n">
        <v>48594.12</v>
      </c>
      <c r="I29" s="18" t="n">
        <v>51537.32</v>
      </c>
      <c r="J29" s="18" t="n">
        <v>45635.18</v>
      </c>
      <c r="K29" s="34" t="n">
        <v>45635.18</v>
      </c>
      <c r="L29" s="18" t="n">
        <v>45100.45</v>
      </c>
      <c r="M29" s="18" t="n">
        <v>43279.61</v>
      </c>
      <c r="N29" s="18" t="n">
        <v>49203.98</v>
      </c>
      <c r="O29" s="18" t="n">
        <v>41114.18</v>
      </c>
      <c r="P29" s="34" t="n">
        <v>41114.18</v>
      </c>
      <c r="Q29" s="18" t="n">
        <v>43248.18</v>
      </c>
      <c r="R29" s="18" t="n">
        <v>41423.05</v>
      </c>
      <c r="S29" s="18" t="n">
        <v>42397.05</v>
      </c>
      <c r="T29" s="18" t="n">
        <v>41920.84</v>
      </c>
      <c r="U29" s="34" t="n">
        <v>41920.84</v>
      </c>
      <c r="V29" s="18" t="n">
        <v>42683.12</v>
      </c>
      <c r="W29" s="18" t="n">
        <v>37138.33</v>
      </c>
      <c r="X29" s="18" t="n">
        <v>38154.21</v>
      </c>
      <c r="Y29" s="18" t="n">
        <v>38344.42</v>
      </c>
      <c r="Z29" s="34" t="n">
        <v>38344.42</v>
      </c>
      <c r="AA29" s="18" t="n">
        <v>42765.96</v>
      </c>
      <c r="AB29" s="19" t="n">
        <v>36026.81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14300</v>
      </c>
      <c r="F30" s="34" t="n">
        <v>14300</v>
      </c>
      <c r="G30" s="18" t="n">
        <v>14300</v>
      </c>
      <c r="H30" s="18" t="n">
        <v>14300</v>
      </c>
      <c r="I30" s="18" t="n">
        <v>14300</v>
      </c>
      <c r="J30" s="18" t="n">
        <v>14300</v>
      </c>
      <c r="K30" s="34" t="n">
        <v>14300</v>
      </c>
      <c r="L30" s="18" t="n">
        <v>14300</v>
      </c>
      <c r="M30" s="18" t="n">
        <v>14300</v>
      </c>
      <c r="N30" s="18" t="n">
        <v>14300</v>
      </c>
      <c r="O30" s="18" t="n">
        <v>14300</v>
      </c>
      <c r="P30" s="34" t="n">
        <v>14300</v>
      </c>
      <c r="Q30" s="18" t="n">
        <v>14300</v>
      </c>
      <c r="R30" s="18" t="n">
        <v>14300</v>
      </c>
      <c r="S30" s="18" t="n">
        <v>14300</v>
      </c>
      <c r="T30" s="18" t="n">
        <v>14300</v>
      </c>
      <c r="U30" s="34" t="n">
        <v>14300</v>
      </c>
      <c r="V30" s="18" t="n">
        <v>14300</v>
      </c>
      <c r="W30" s="18" t="n">
        <v>14300</v>
      </c>
      <c r="X30" s="18" t="n">
        <v>14300</v>
      </c>
      <c r="Y30" s="18" t="n">
        <v>14300</v>
      </c>
      <c r="Z30" s="34" t="n">
        <v>14300</v>
      </c>
      <c r="AA30" s="18" t="n">
        <v>14300</v>
      </c>
      <c r="AB30" s="19" t="n">
        <v>14300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4008.59</v>
      </c>
      <c r="F31" s="34" t="n">
        <v>4008.59</v>
      </c>
      <c r="G31" s="18" t="n">
        <v>4008.59</v>
      </c>
      <c r="H31" s="18" t="n">
        <v>4008.59</v>
      </c>
      <c r="I31" s="18" t="n">
        <v>4008.59</v>
      </c>
      <c r="J31" s="18" t="n">
        <v>4031.02</v>
      </c>
      <c r="K31" s="34" t="n">
        <v>4031.02</v>
      </c>
      <c r="L31" s="18" t="n">
        <v>4033.27</v>
      </c>
      <c r="M31" s="18" t="n">
        <v>4033.27</v>
      </c>
      <c r="N31" s="18" t="n">
        <v>4033.27</v>
      </c>
      <c r="O31" s="18" t="n">
        <v>3959.25</v>
      </c>
      <c r="P31" s="34" t="n">
        <v>3959.25</v>
      </c>
      <c r="Q31" s="18" t="n">
        <v>3959.25</v>
      </c>
      <c r="R31" s="18" t="n">
        <v>3959.25</v>
      </c>
      <c r="S31" s="18" t="n">
        <v>3959.25</v>
      </c>
      <c r="T31" s="18" t="n">
        <v>3959.25</v>
      </c>
      <c r="U31" s="34" t="n">
        <v>3959.25</v>
      </c>
      <c r="V31" s="18" t="n">
        <v>3959.25</v>
      </c>
      <c r="W31" s="18" t="n">
        <v>3959.25</v>
      </c>
      <c r="X31" s="18" t="n">
        <v>3959.25</v>
      </c>
      <c r="Y31" s="18" t="n">
        <v>3959.25</v>
      </c>
      <c r="Z31" s="34" t="n">
        <v>3959.25</v>
      </c>
      <c r="AA31" s="18" t="n">
        <v>3959.25</v>
      </c>
      <c r="AB31" s="19" t="n">
        <v>3959.25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-9956.17</v>
      </c>
      <c r="F32" s="34" t="n">
        <v>-9956.17</v>
      </c>
      <c r="G32" s="18" t="n">
        <v>-9956.17</v>
      </c>
      <c r="H32" s="18" t="n">
        <v>-9956.17</v>
      </c>
      <c r="I32" s="18" t="n">
        <v>-9956.17</v>
      </c>
      <c r="J32" s="18" t="n">
        <v>-9956.17</v>
      </c>
      <c r="K32" s="34" t="n">
        <v>-9956.17</v>
      </c>
      <c r="L32" s="18" t="n">
        <v>-9956.17</v>
      </c>
      <c r="M32" s="18" t="n">
        <v>-9956.17</v>
      </c>
      <c r="N32" s="18" t="n">
        <v>-9956.17</v>
      </c>
      <c r="O32" s="18" t="n">
        <v>-9956.17</v>
      </c>
      <c r="P32" s="34" t="n">
        <v>-9956.17</v>
      </c>
      <c r="Q32" s="18" t="n">
        <v>-9956.17</v>
      </c>
      <c r="R32" s="18" t="n">
        <v>-9956.17</v>
      </c>
      <c r="S32" s="18" t="n">
        <v>-27642.78</v>
      </c>
      <c r="T32" s="18" t="n">
        <v>-20080.99</v>
      </c>
      <c r="U32" s="34" t="n">
        <v>-20080.99</v>
      </c>
      <c r="V32" s="18" t="n">
        <v>-20080.99</v>
      </c>
      <c r="W32" s="18" t="n">
        <v>0</v>
      </c>
      <c r="X32" s="18" t="n">
        <v>0</v>
      </c>
      <c r="Y32" s="18" t="n">
        <v>0</v>
      </c>
      <c r="Z32" s="34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이익잉여금</t>
        </is>
      </c>
      <c r="E33" s="18" t="n">
        <v>421144.77</v>
      </c>
      <c r="F33" s="34" t="n">
        <v>421144.77</v>
      </c>
      <c r="G33" s="18" t="n">
        <v>424892.18</v>
      </c>
      <c r="H33" s="18" t="n">
        <v>433777.48</v>
      </c>
      <c r="I33" s="18" t="n">
        <v>444407.7</v>
      </c>
      <c r="J33" s="18" t="n">
        <v>444039.4</v>
      </c>
      <c r="K33" s="34" t="n">
        <v>444039.4</v>
      </c>
      <c r="L33" s="18" t="n">
        <v>453337.19</v>
      </c>
      <c r="M33" s="18" t="n">
        <v>464250.35</v>
      </c>
      <c r="N33" s="18" t="n">
        <v>473572.01</v>
      </c>
      <c r="O33" s="18" t="n">
        <v>474977.79</v>
      </c>
      <c r="P33" s="34" t="n">
        <v>474977.79</v>
      </c>
      <c r="Q33" s="18" t="n">
        <v>481701.5</v>
      </c>
      <c r="R33" s="18" t="n">
        <v>499151.73</v>
      </c>
      <c r="S33" s="18" t="n">
        <v>503681.35</v>
      </c>
      <c r="T33" s="18" t="n">
        <v>498852.25</v>
      </c>
      <c r="U33" s="34" t="n">
        <v>498852.25</v>
      </c>
      <c r="V33" s="18" t="n">
        <v>502236.33</v>
      </c>
      <c r="W33" s="18" t="n">
        <v>488279.19</v>
      </c>
      <c r="X33" s="18" t="n">
        <v>498658.6</v>
      </c>
      <c r="Y33" s="18" t="n">
        <v>508673.42</v>
      </c>
      <c r="Z33" s="34" t="n">
        <v>508673.42</v>
      </c>
      <c r="AA33" s="18" t="n">
        <v>511452.69</v>
      </c>
      <c r="AB33" s="19" t="n">
        <v>520190.11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429497.19</v>
      </c>
      <c r="F34" s="34" t="n">
        <v>429497.19</v>
      </c>
      <c r="G34" s="18" t="n">
        <v>433244.6</v>
      </c>
      <c r="H34" s="18" t="n">
        <v>442129.9</v>
      </c>
      <c r="I34" s="18" t="n">
        <v>452760.12</v>
      </c>
      <c r="J34" s="18" t="n">
        <v>452414.25</v>
      </c>
      <c r="K34" s="34" t="n">
        <v>452414.25</v>
      </c>
      <c r="L34" s="18" t="n">
        <v>461714.29</v>
      </c>
      <c r="M34" s="18" t="n">
        <v>472627.45</v>
      </c>
      <c r="N34" s="18" t="n">
        <v>481949.1</v>
      </c>
      <c r="O34" s="18" t="n">
        <v>483280.87</v>
      </c>
      <c r="P34" s="34" t="n">
        <v>483280.87</v>
      </c>
      <c r="Q34" s="18" t="n">
        <v>490004.58</v>
      </c>
      <c r="R34" s="18" t="n">
        <v>507454.81</v>
      </c>
      <c r="S34" s="18" t="n">
        <v>494297.81</v>
      </c>
      <c r="T34" s="18" t="n">
        <v>495779.76</v>
      </c>
      <c r="U34" s="34" t="n">
        <v>495779.76</v>
      </c>
      <c r="V34" s="18" t="n">
        <v>499163.84</v>
      </c>
      <c r="W34" s="18" t="n">
        <v>505287.69</v>
      </c>
      <c r="X34" s="18" t="n">
        <v>515667.1</v>
      </c>
      <c r="Y34" s="18" t="n">
        <v>524658.6800000001</v>
      </c>
      <c r="Z34" s="34" t="n">
        <v>524658.6800000001</v>
      </c>
      <c r="AA34" s="18" t="n">
        <v>527437.95</v>
      </c>
      <c r="AB34" s="19" t="n">
        <v>536175.37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465072.04</v>
      </c>
      <c r="F35" s="34" t="n">
        <v>465072.04</v>
      </c>
      <c r="G35" s="18" t="n">
        <v>476647.85</v>
      </c>
      <c r="H35" s="18" t="n">
        <v>490724.02</v>
      </c>
      <c r="I35" s="18" t="n">
        <v>504297.44</v>
      </c>
      <c r="J35" s="18" t="n">
        <v>498049.43</v>
      </c>
      <c r="K35" s="34" t="n">
        <v>498049.43</v>
      </c>
      <c r="L35" s="18" t="n">
        <v>506814.74</v>
      </c>
      <c r="M35" s="18" t="n">
        <v>515907.06</v>
      </c>
      <c r="N35" s="18" t="n">
        <v>531153.08</v>
      </c>
      <c r="O35" s="18" t="n">
        <v>524395.05</v>
      </c>
      <c r="P35" s="34" t="n">
        <v>524395.05</v>
      </c>
      <c r="Q35" s="18" t="n">
        <v>533252.76</v>
      </c>
      <c r="R35" s="18" t="n">
        <v>548877.86</v>
      </c>
      <c r="S35" s="18" t="n">
        <v>536694.86</v>
      </c>
      <c r="T35" s="18" t="n">
        <v>537700.61</v>
      </c>
      <c r="U35" s="34" t="n">
        <v>537700.61</v>
      </c>
      <c r="V35" s="18" t="n">
        <v>541846.96</v>
      </c>
      <c r="W35" s="18" t="n">
        <v>542426.02</v>
      </c>
      <c r="X35" s="18" t="n">
        <v>553821.3100000001</v>
      </c>
      <c r="Y35" s="18" t="n">
        <v>563003.1</v>
      </c>
      <c r="Z35" s="34" t="n">
        <v>563003.1</v>
      </c>
      <c r="AA35" s="18" t="n">
        <v>570203.9</v>
      </c>
      <c r="AB35" s="19" t="n">
        <v>572202.1800000001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E36" s="18" t="n">
        <v>429497.19</v>
      </c>
      <c r="F36" s="34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4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4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4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4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33039.64</v>
      </c>
      <c r="F37" s="34" t="n">
        <v>33039.64</v>
      </c>
      <c r="G37" s="18" t="n">
        <v>34079.44</v>
      </c>
      <c r="H37" s="18" t="n">
        <v>38240.46</v>
      </c>
      <c r="I37" s="18" t="n">
        <v>51489.04</v>
      </c>
      <c r="J37" s="18" t="n">
        <v>67910.25999999999</v>
      </c>
      <c r="K37" s="34" t="n">
        <v>67910.25999999999</v>
      </c>
      <c r="L37" s="18" t="n">
        <v>77614.69</v>
      </c>
      <c r="M37" s="18" t="n">
        <v>78853.03</v>
      </c>
      <c r="N37" s="18" t="n">
        <v>93309.21000000001</v>
      </c>
      <c r="O37" s="18" t="n">
        <v>66338.39999999999</v>
      </c>
      <c r="P37" s="34" t="n">
        <v>66338.39999999999</v>
      </c>
      <c r="Q37" s="18" t="n">
        <v>64687.59</v>
      </c>
      <c r="R37" s="18" t="n">
        <v>84065.16</v>
      </c>
      <c r="S37" s="18" t="n">
        <v>61965.26</v>
      </c>
      <c r="T37" s="18" t="n">
        <v>55873.99</v>
      </c>
      <c r="U37" s="34" t="n">
        <v>55873.99</v>
      </c>
      <c r="V37" s="18" t="n">
        <v>47418.79</v>
      </c>
      <c r="W37" s="18" t="n">
        <v>40090.65</v>
      </c>
      <c r="X37" s="18" t="n">
        <v>43789.42</v>
      </c>
      <c r="Y37" s="18" t="n">
        <v>49512.85</v>
      </c>
      <c r="Z37" s="34" t="n">
        <v>49512.85</v>
      </c>
      <c r="AA37" s="18" t="n">
        <v>57605.29</v>
      </c>
      <c r="AB37" s="19" t="n">
        <v>58673.07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F38" s="9" t="n"/>
      <c r="J38" s="18" t="n">
        <v>1474.2</v>
      </c>
      <c r="K38" s="34" t="n">
        <v>1474.2</v>
      </c>
      <c r="L38" s="18" t="n">
        <v>1401.45</v>
      </c>
      <c r="M38" s="18" t="n">
        <v>968.02</v>
      </c>
      <c r="N38" s="18" t="n">
        <v>553.04</v>
      </c>
      <c r="O38" s="18" t="n">
        <v>553.04</v>
      </c>
      <c r="P38" s="34" t="n">
        <v>553.04</v>
      </c>
      <c r="Q38" s="18" t="n">
        <v>490.18</v>
      </c>
      <c r="R38" s="18" t="n">
        <v>156.04</v>
      </c>
      <c r="S38" s="18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단기차입금</t>
        </is>
      </c>
      <c r="F39" s="9" t="n"/>
      <c r="K39" s="9" t="n"/>
      <c r="M39" s="18" t="n">
        <v>2000</v>
      </c>
      <c r="N39" s="18" t="n">
        <v>2000</v>
      </c>
      <c r="O39" s="18" t="n">
        <v>2000</v>
      </c>
      <c r="P39" s="34" t="n">
        <v>2000</v>
      </c>
      <c r="Q39" s="18" t="n">
        <v>2000</v>
      </c>
      <c r="R39" s="18" t="n">
        <v>2000</v>
      </c>
      <c r="S39" s="18" t="n">
        <v>2000</v>
      </c>
      <c r="T39" s="18" t="n">
        <v>2000</v>
      </c>
      <c r="U39" s="34" t="n">
        <v>2000</v>
      </c>
      <c r="V39" s="18" t="n">
        <v>2000</v>
      </c>
      <c r="W39" s="18" t="n">
        <v>2000</v>
      </c>
      <c r="X39" s="18" t="n">
        <v>2000</v>
      </c>
      <c r="Y39" s="18" t="n">
        <v>2000</v>
      </c>
      <c r="Z39" s="34" t="n">
        <v>2000</v>
      </c>
      <c r="AA39" s="18" t="n">
        <v>2000</v>
      </c>
      <c r="AB39" s="19" t="n">
        <v>2000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F40" s="9" t="n"/>
      <c r="K40" s="9" t="n"/>
      <c r="M40" s="18" t="n">
        <v>2000</v>
      </c>
      <c r="N40" s="18" t="n">
        <v>2000</v>
      </c>
      <c r="O40" s="18" t="n">
        <v>2000</v>
      </c>
      <c r="P40" s="34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4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4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F41" s="9" t="n"/>
      <c r="K41" s="9" t="n"/>
      <c r="M41" s="18" t="n">
        <v>-76853.03</v>
      </c>
      <c r="N41" s="18" t="n">
        <v>-91309.21000000001</v>
      </c>
      <c r="O41" s="18" t="n">
        <v>-64338.4</v>
      </c>
      <c r="P41" s="34" t="n">
        <v>-64338.4</v>
      </c>
      <c r="Q41" s="18" t="n">
        <v>-62687.59</v>
      </c>
      <c r="R41" s="18" t="n">
        <v>-82065.16</v>
      </c>
      <c r="S41" s="18" t="n">
        <v>-59965.26</v>
      </c>
      <c r="T41" s="18" t="n">
        <v>-53873.99</v>
      </c>
      <c r="U41" s="34" t="n">
        <v>-53873.99</v>
      </c>
      <c r="V41" s="18" t="n">
        <v>-45418.79</v>
      </c>
      <c r="W41" s="18" t="n">
        <v>-38090.65</v>
      </c>
      <c r="X41" s="18" t="n">
        <v>-41789.42</v>
      </c>
      <c r="Y41" s="18" t="n">
        <v>-47512.85</v>
      </c>
      <c r="Z41" s="34" t="n">
        <v>-47512.85</v>
      </c>
      <c r="AA41" s="18" t="n">
        <v>-55605.29</v>
      </c>
      <c r="AB41" s="19" t="n">
        <v>-56673.07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기타비유동자산</t>
        </is>
      </c>
      <c r="F42" s="9" t="n"/>
      <c r="K42" s="9" t="n"/>
      <c r="O42" s="18" t="n">
        <v>1951.06</v>
      </c>
      <c r="P42" s="34" t="n">
        <v>1951.06</v>
      </c>
      <c r="Q42" s="18" t="n">
        <v>1472.6</v>
      </c>
      <c r="R42" s="18" t="n">
        <v>966.02</v>
      </c>
      <c r="S42" s="18" t="n">
        <v>2446.82</v>
      </c>
      <c r="T42" s="18" t="n">
        <v>0</v>
      </c>
      <c r="U42" s="34" t="n">
        <v>0</v>
      </c>
      <c r="V42" s="18" t="n">
        <v>915.58</v>
      </c>
      <c r="W42" s="18" t="n">
        <v>318.97</v>
      </c>
      <c r="Y42" s="18" t="n">
        <v>5392.04</v>
      </c>
      <c r="Z42" s="34" t="n">
        <v>5392.04</v>
      </c>
      <c r="AA42" s="18" t="n">
        <v>4839.35</v>
      </c>
      <c r="AB42" s="19" t="n">
        <v>4328.54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F43" s="9" t="n"/>
      <c r="K43" s="9" t="n"/>
      <c r="P43" s="9" t="n"/>
      <c r="T43" s="18" t="n">
        <v>-1250.75</v>
      </c>
      <c r="U43" s="34" t="n">
        <v>-1250.75</v>
      </c>
      <c r="V43" s="18" t="n">
        <v>-1250.75</v>
      </c>
      <c r="W43" s="18" t="n">
        <v>-1250.75</v>
      </c>
      <c r="X43" s="18" t="n">
        <v>-1250.75</v>
      </c>
      <c r="Y43" s="18" t="n">
        <v>-2273.99</v>
      </c>
      <c r="Z43" s="34" t="n">
        <v>-2273.99</v>
      </c>
      <c r="AA43" s="18" t="n">
        <v>-2273.99</v>
      </c>
      <c r="AB43" s="19" t="n">
        <v>-2273.99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매출액(수익)</t>
        </is>
      </c>
      <c r="E44" s="18" t="n">
        <v>26520.41</v>
      </c>
      <c r="F44" s="9" t="n"/>
      <c r="G44" s="18" t="n">
        <v>39340.12</v>
      </c>
      <c r="H44" s="18" t="n">
        <v>59852.42</v>
      </c>
      <c r="I44" s="18" t="n">
        <v>58110.86</v>
      </c>
      <c r="J44" s="18" t="n">
        <v>58640.26</v>
      </c>
      <c r="K44" s="34" t="n">
        <v>215943.66</v>
      </c>
      <c r="L44" s="18" t="n">
        <v>60907.28</v>
      </c>
      <c r="M44" s="18" t="n">
        <v>58334.64</v>
      </c>
      <c r="N44" s="18" t="n">
        <v>50939.05</v>
      </c>
      <c r="O44" s="18" t="n">
        <v>55780.18</v>
      </c>
      <c r="P44" s="34" t="n">
        <v>225961.15</v>
      </c>
      <c r="Q44" s="18" t="n">
        <v>50519.88</v>
      </c>
      <c r="R44" s="18" t="n">
        <v>60275.07</v>
      </c>
      <c r="S44" s="18" t="n">
        <v>39279.52</v>
      </c>
      <c r="T44" s="18" t="n">
        <v>51661.15</v>
      </c>
      <c r="U44" s="34" t="n">
        <v>201735.62</v>
      </c>
      <c r="V44" s="18" t="n">
        <v>57912.97</v>
      </c>
      <c r="W44" s="18" t="n">
        <v>52089.56</v>
      </c>
      <c r="X44" s="18" t="n">
        <v>58386.76</v>
      </c>
      <c r="Y44" s="18" t="n">
        <v>53111.36</v>
      </c>
      <c r="Z44" s="34" t="n">
        <v>221500.65</v>
      </c>
      <c r="AA44" s="18" t="n">
        <v>53401.08</v>
      </c>
      <c r="AB44" s="19" t="n">
        <v>57251.51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매출원가</t>
        </is>
      </c>
      <c r="E45" s="18" t="n">
        <v>25273.11</v>
      </c>
      <c r="F45" s="9" t="n"/>
      <c r="G45" s="18" t="n">
        <v>29929.61</v>
      </c>
      <c r="H45" s="18" t="n">
        <v>44510.01</v>
      </c>
      <c r="I45" s="18" t="n">
        <v>43119.36</v>
      </c>
      <c r="J45" s="18" t="n">
        <v>44830.49</v>
      </c>
      <c r="K45" s="34" t="n">
        <v>162389.47</v>
      </c>
      <c r="L45" s="18" t="n">
        <v>41460.99</v>
      </c>
      <c r="M45" s="18" t="n">
        <v>40345.28</v>
      </c>
      <c r="N45" s="18" t="n">
        <v>35728.06</v>
      </c>
      <c r="O45" s="18" t="n">
        <v>40128.84</v>
      </c>
      <c r="P45" s="34" t="n">
        <v>157663.17</v>
      </c>
      <c r="Q45" s="18" t="n">
        <v>34556.22</v>
      </c>
      <c r="R45" s="18" t="n">
        <v>33947.38</v>
      </c>
      <c r="S45" s="18" t="n">
        <v>25390.91</v>
      </c>
      <c r="T45" s="18" t="n">
        <v>38047.64</v>
      </c>
      <c r="U45" s="34" t="n">
        <v>131942.15</v>
      </c>
      <c r="V45" s="18" t="n">
        <v>39253.46</v>
      </c>
      <c r="W45" s="18" t="n">
        <v>36316.85</v>
      </c>
      <c r="X45" s="18" t="n">
        <v>34573.67</v>
      </c>
      <c r="Y45" s="18" t="n">
        <v>31317.2</v>
      </c>
      <c r="Z45" s="34" t="n">
        <v>141461.18</v>
      </c>
      <c r="AA45" s="18" t="n">
        <v>32623.17</v>
      </c>
      <c r="AB45" s="19" t="n">
        <v>30978.42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매출총이익</t>
        </is>
      </c>
      <c r="E46" s="18" t="n">
        <v>1247.29</v>
      </c>
      <c r="F46" s="9" t="n"/>
      <c r="G46" s="18" t="n">
        <v>9410.51</v>
      </c>
      <c r="H46" s="18" t="n">
        <v>15342.4</v>
      </c>
      <c r="I46" s="18" t="n">
        <v>14991.5</v>
      </c>
      <c r="J46" s="18" t="n">
        <v>13809.78</v>
      </c>
      <c r="K46" s="34" t="n">
        <v>53554.19</v>
      </c>
      <c r="L46" s="18" t="n">
        <v>19446.29</v>
      </c>
      <c r="M46" s="18" t="n">
        <v>17989.37</v>
      </c>
      <c r="N46" s="18" t="n">
        <v>15211</v>
      </c>
      <c r="O46" s="18" t="n">
        <v>15651.34</v>
      </c>
      <c r="P46" s="34" t="n">
        <v>68298</v>
      </c>
      <c r="Q46" s="18" t="n">
        <v>15963.66</v>
      </c>
      <c r="R46" s="18" t="n">
        <v>26327.68</v>
      </c>
      <c r="S46" s="18" t="n">
        <v>13888.61</v>
      </c>
      <c r="T46" s="18" t="n">
        <v>13613.51</v>
      </c>
      <c r="U46" s="34" t="n">
        <v>69793.46000000001</v>
      </c>
      <c r="V46" s="18" t="n">
        <v>18659.51</v>
      </c>
      <c r="W46" s="18" t="n">
        <v>15772.7</v>
      </c>
      <c r="X46" s="18" t="n">
        <v>23813.09</v>
      </c>
      <c r="Y46" s="18" t="n">
        <v>21794.16</v>
      </c>
      <c r="Z46" s="34" t="n">
        <v>80039.46000000001</v>
      </c>
      <c r="AA46" s="18" t="n">
        <v>20777.91</v>
      </c>
      <c r="AB46" s="19" t="n">
        <v>26273.09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판관비</t>
        </is>
      </c>
      <c r="E47" s="18" t="n">
        <v>5243.21</v>
      </c>
      <c r="F47" s="9" t="n"/>
      <c r="G47" s="18" t="n">
        <v>6565.99</v>
      </c>
      <c r="H47" s="18" t="n">
        <v>7484.86</v>
      </c>
      <c r="I47" s="18" t="n">
        <v>7436.82</v>
      </c>
      <c r="J47" s="18" t="n">
        <v>7365.07</v>
      </c>
      <c r="K47" s="34" t="n">
        <v>28852.74</v>
      </c>
      <c r="L47" s="18" t="n">
        <v>5641</v>
      </c>
      <c r="M47" s="18" t="n">
        <v>5157.77</v>
      </c>
      <c r="N47" s="18" t="n">
        <v>6208.3</v>
      </c>
      <c r="O47" s="18" t="n">
        <v>9517.98</v>
      </c>
      <c r="P47" s="34" t="n">
        <v>26525.05</v>
      </c>
      <c r="Q47" s="18" t="n">
        <v>6612.33</v>
      </c>
      <c r="R47" s="18" t="n">
        <v>6755</v>
      </c>
      <c r="S47" s="18" t="n">
        <v>6495.46</v>
      </c>
      <c r="T47" s="18" t="n">
        <v>10188.68</v>
      </c>
      <c r="U47" s="34" t="n">
        <v>30051.47</v>
      </c>
      <c r="V47" s="18" t="n">
        <v>8378.459999999999</v>
      </c>
      <c r="W47" s="18" t="n">
        <v>5482.94</v>
      </c>
      <c r="X47" s="18" t="n">
        <v>12619.11</v>
      </c>
      <c r="Y47" s="18" t="n">
        <v>13561.71</v>
      </c>
      <c r="Z47" s="34" t="n">
        <v>40042.22</v>
      </c>
      <c r="AA47" s="18" t="n">
        <v>14660.96</v>
      </c>
      <c r="AB47" s="19" t="n">
        <v>17249.14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영업이익</t>
        </is>
      </c>
      <c r="E48" s="18" t="n">
        <v>-3995.91</v>
      </c>
      <c r="F48" s="9" t="n"/>
      <c r="G48" s="18" t="n">
        <v>2844.52</v>
      </c>
      <c r="H48" s="18" t="n">
        <v>7857.55</v>
      </c>
      <c r="I48" s="18" t="n">
        <v>7554.67</v>
      </c>
      <c r="J48" s="18" t="n">
        <v>6444.71</v>
      </c>
      <c r="K48" s="34" t="n">
        <v>24701.45</v>
      </c>
      <c r="L48" s="18" t="n">
        <v>13805.3</v>
      </c>
      <c r="M48" s="18" t="n">
        <v>12831.6</v>
      </c>
      <c r="N48" s="18" t="n">
        <v>9002.700000000001</v>
      </c>
      <c r="O48" s="18" t="n">
        <v>6133.38</v>
      </c>
      <c r="P48" s="34" t="n">
        <v>41772.98</v>
      </c>
      <c r="Q48" s="18" t="n">
        <v>9351.33</v>
      </c>
      <c r="R48" s="18" t="n">
        <v>19572.68</v>
      </c>
      <c r="S48" s="18" t="n">
        <v>7393.15</v>
      </c>
      <c r="T48" s="18" t="n">
        <v>3424.83</v>
      </c>
      <c r="U48" s="34" t="n">
        <v>39741.99</v>
      </c>
      <c r="V48" s="18" t="n">
        <v>10281.06</v>
      </c>
      <c r="W48" s="18" t="n">
        <v>10289.76</v>
      </c>
      <c r="X48" s="18" t="n">
        <v>11193.98</v>
      </c>
      <c r="Y48" s="18" t="n">
        <v>8232.450000000001</v>
      </c>
      <c r="Z48" s="34" t="n">
        <v>39997.25</v>
      </c>
      <c r="AA48" s="18" t="n">
        <v>6116.95</v>
      </c>
      <c r="AB48" s="19" t="n">
        <v>9023.959999999999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기타영업외수익</t>
        </is>
      </c>
      <c r="E49" s="18" t="n">
        <v>373.41</v>
      </c>
      <c r="F49" s="9" t="n"/>
      <c r="G49" s="18" t="n">
        <v>5200.52</v>
      </c>
      <c r="H49" s="18" t="n">
        <v>3731.79</v>
      </c>
      <c r="I49" s="18" t="n">
        <v>6649.02</v>
      </c>
      <c r="J49" s="18" t="n">
        <v>-4246.68</v>
      </c>
      <c r="K49" s="34" t="n">
        <v>11334.65</v>
      </c>
      <c r="L49" s="18" t="n">
        <v>2331.37</v>
      </c>
      <c r="M49" s="18" t="n">
        <v>984.35</v>
      </c>
      <c r="N49" s="18" t="n">
        <v>2411.6</v>
      </c>
      <c r="O49" s="18" t="n">
        <v>-676.97</v>
      </c>
      <c r="P49" s="34" t="n">
        <v>5050.35</v>
      </c>
      <c r="Q49" s="18" t="n">
        <v>2336.06</v>
      </c>
      <c r="R49" s="18" t="n">
        <v>2110.89</v>
      </c>
      <c r="S49" s="18" t="n">
        <v>502.91</v>
      </c>
      <c r="T49" s="18" t="n">
        <v>4174.39</v>
      </c>
      <c r="U49" s="34" t="n">
        <v>9124.25</v>
      </c>
      <c r="V49" s="18" t="n">
        <v>531.63</v>
      </c>
      <c r="W49" s="18" t="n">
        <v>440.58</v>
      </c>
      <c r="X49" s="18" t="n">
        <v>1786.96</v>
      </c>
      <c r="Y49" s="18" t="n">
        <v>1283.3</v>
      </c>
      <c r="Z49" s="34" t="n">
        <v>4042.47</v>
      </c>
      <c r="AA49" s="18" t="n">
        <v>3880.54</v>
      </c>
      <c r="AB49" s="19" t="n">
        <v>1843.49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기타영업외비용</t>
        </is>
      </c>
      <c r="E50" s="18" t="n">
        <v>95.55</v>
      </c>
      <c r="F50" s="9" t="n"/>
      <c r="G50" s="18" t="n">
        <v>104.69</v>
      </c>
      <c r="H50" s="18" t="n">
        <v>312.59</v>
      </c>
      <c r="I50" s="18" t="n">
        <v>486.66</v>
      </c>
      <c r="J50" s="18" t="n">
        <v>3680.25</v>
      </c>
      <c r="K50" s="34" t="n">
        <v>4584.19</v>
      </c>
      <c r="L50" s="18" t="n">
        <v>1305.33</v>
      </c>
      <c r="M50" s="18" t="n">
        <v>605.59</v>
      </c>
      <c r="N50" s="18" t="n">
        <v>377.44</v>
      </c>
      <c r="O50" s="18" t="n">
        <v>388.18</v>
      </c>
      <c r="P50" s="34" t="n">
        <v>2676.54</v>
      </c>
      <c r="Q50" s="18" t="n">
        <v>168.8</v>
      </c>
      <c r="R50" s="18" t="n">
        <v>292.7</v>
      </c>
      <c r="S50" s="18" t="n">
        <v>2963.78</v>
      </c>
      <c r="T50" s="18" t="n">
        <v>-34.16</v>
      </c>
      <c r="U50" s="34" t="n">
        <v>3391.12</v>
      </c>
      <c r="V50" s="18" t="n">
        <v>650.96</v>
      </c>
      <c r="W50" s="18" t="n">
        <v>3664.23</v>
      </c>
      <c r="X50" s="18" t="n">
        <v>396.16</v>
      </c>
      <c r="Y50" s="18" t="n">
        <v>-108.75</v>
      </c>
      <c r="Z50" s="34" t="n">
        <v>4602.6</v>
      </c>
      <c r="AA50" s="18" t="n">
        <v>336.22</v>
      </c>
      <c r="AB50" s="19" t="n">
        <v>320.97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금융수익</t>
        </is>
      </c>
      <c r="E51" s="18" t="n">
        <v>218.87</v>
      </c>
      <c r="F51" s="9" t="n"/>
      <c r="G51" s="18" t="n">
        <v>162.84</v>
      </c>
      <c r="H51" s="18" t="n">
        <v>198.33</v>
      </c>
      <c r="I51" s="18" t="n">
        <v>255.35</v>
      </c>
      <c r="J51" s="18" t="n">
        <v>491.56</v>
      </c>
      <c r="K51" s="34" t="n">
        <v>1108.08</v>
      </c>
      <c r="L51" s="18" t="n">
        <v>681.21</v>
      </c>
      <c r="M51" s="18" t="n">
        <v>881.1</v>
      </c>
      <c r="N51" s="18" t="n">
        <v>1027.6</v>
      </c>
      <c r="O51" s="18" t="n">
        <v>1160.39</v>
      </c>
      <c r="P51" s="34" t="n">
        <v>3750.3</v>
      </c>
      <c r="Q51" s="18" t="n">
        <v>1171.94</v>
      </c>
      <c r="R51" s="18" t="n">
        <v>1225.68</v>
      </c>
      <c r="S51" s="18" t="n">
        <v>1225.11</v>
      </c>
      <c r="T51" s="18" t="n">
        <v>1167.5</v>
      </c>
      <c r="U51" s="34" t="n">
        <v>4790.23</v>
      </c>
      <c r="V51" s="18" t="n">
        <v>945.8</v>
      </c>
      <c r="W51" s="18" t="n">
        <v>841.59</v>
      </c>
      <c r="X51" s="18" t="n">
        <v>798.15</v>
      </c>
      <c r="Y51" s="18" t="n">
        <v>963.67</v>
      </c>
      <c r="Z51" s="34" t="n">
        <v>3549.21</v>
      </c>
      <c r="AA51" s="18" t="n">
        <v>982.11</v>
      </c>
      <c r="AB51" s="19" t="n">
        <v>971.86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금융비용</t>
        </is>
      </c>
      <c r="E52" s="18" t="n">
        <v>0.98</v>
      </c>
      <c r="F52" s="9" t="n"/>
      <c r="G52" s="18" t="n">
        <v>6.69</v>
      </c>
      <c r="H52" s="18" t="n">
        <v>2.18</v>
      </c>
      <c r="I52" s="18" t="n">
        <v>3.08</v>
      </c>
      <c r="J52" s="18" t="n">
        <v>2.81</v>
      </c>
      <c r="K52" s="34" t="n">
        <v>14.76</v>
      </c>
      <c r="L52" s="18" t="n">
        <v>1.97</v>
      </c>
      <c r="M52" s="18" t="n">
        <v>11.16</v>
      </c>
      <c r="N52" s="18" t="n">
        <v>19.09</v>
      </c>
      <c r="O52" s="18" t="n">
        <v>18.77</v>
      </c>
      <c r="P52" s="34" t="n">
        <v>50.99</v>
      </c>
      <c r="Q52" s="18" t="n">
        <v>17.76</v>
      </c>
      <c r="R52" s="18" t="n">
        <v>14.19</v>
      </c>
      <c r="S52" s="18" t="n">
        <v>16.92</v>
      </c>
      <c r="T52" s="18" t="n">
        <v>16.97</v>
      </c>
      <c r="U52" s="34" t="n">
        <v>65.84</v>
      </c>
      <c r="V52" s="18" t="n">
        <v>15.88</v>
      </c>
      <c r="W52" s="18" t="n">
        <v>12.43</v>
      </c>
      <c r="X52" s="18" t="n">
        <v>10.37</v>
      </c>
      <c r="Y52" s="18" t="n">
        <v>10.23</v>
      </c>
      <c r="Z52" s="34" t="n">
        <v>48.91</v>
      </c>
      <c r="AA52" s="18" t="n">
        <v>10.01</v>
      </c>
      <c r="AB52" s="19" t="n">
        <v>11.22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법인세비용차감전계속사업이익</t>
        </is>
      </c>
      <c r="E53" s="18" t="n">
        <v>-3500.16</v>
      </c>
      <c r="F53" s="9" t="n"/>
      <c r="G53" s="18" t="n">
        <v>8096.52</v>
      </c>
      <c r="H53" s="18" t="n">
        <v>11472.89</v>
      </c>
      <c r="I53" s="18" t="n">
        <v>13969.3</v>
      </c>
      <c r="J53" s="18" t="n">
        <v>-993.47</v>
      </c>
      <c r="K53" s="34" t="n">
        <v>32545.24</v>
      </c>
      <c r="L53" s="18" t="n">
        <v>15510.57</v>
      </c>
      <c r="M53" s="18" t="n">
        <v>14080.29</v>
      </c>
      <c r="N53" s="18" t="n">
        <v>12045.38</v>
      </c>
      <c r="O53" s="18" t="n">
        <v>6209.84</v>
      </c>
      <c r="P53" s="34" t="n">
        <v>47846.08</v>
      </c>
      <c r="Q53" s="18" t="n">
        <v>12672.77</v>
      </c>
      <c r="R53" s="18" t="n">
        <v>22602.36</v>
      </c>
      <c r="S53" s="18" t="n">
        <v>6140.48</v>
      </c>
      <c r="T53" s="18" t="n">
        <v>8783.889999999999</v>
      </c>
      <c r="U53" s="34" t="n">
        <v>50199.5</v>
      </c>
      <c r="V53" s="18" t="n">
        <v>11091.65</v>
      </c>
      <c r="W53" s="18" t="n">
        <v>7895.27</v>
      </c>
      <c r="X53" s="18" t="n">
        <v>13372.57</v>
      </c>
      <c r="Y53" s="18" t="n">
        <v>10577.94</v>
      </c>
      <c r="Z53" s="34" t="n">
        <v>42937.43</v>
      </c>
      <c r="AA53" s="18" t="n">
        <v>10633.36</v>
      </c>
      <c r="AB53" s="19" t="n">
        <v>11507.11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법인세비용</t>
        </is>
      </c>
      <c r="E54" s="18" t="n">
        <v>-782.35</v>
      </c>
      <c r="F54" s="9" t="n"/>
      <c r="G54" s="18" t="n">
        <v>1526.65</v>
      </c>
      <c r="H54" s="18" t="n">
        <v>2559.42</v>
      </c>
      <c r="I54" s="18" t="n">
        <v>3311.58</v>
      </c>
      <c r="J54" s="18" t="n">
        <v>170.09</v>
      </c>
      <c r="K54" s="34" t="n">
        <v>7567.74</v>
      </c>
      <c r="L54" s="18" t="n">
        <v>3438.75</v>
      </c>
      <c r="M54" s="18" t="n">
        <v>3145.04</v>
      </c>
      <c r="N54" s="18" t="n">
        <v>2712.9</v>
      </c>
      <c r="O54" s="18" t="n">
        <v>2175.56</v>
      </c>
      <c r="P54" s="34" t="n">
        <v>11472.25</v>
      </c>
      <c r="Q54" s="18" t="n">
        <v>1737.17</v>
      </c>
      <c r="R54" s="18" t="n">
        <v>5128.31</v>
      </c>
      <c r="S54" s="18" t="n">
        <v>1589.03</v>
      </c>
      <c r="T54" s="18" t="n">
        <v>1866.99</v>
      </c>
      <c r="U54" s="34" t="n">
        <v>10321.5</v>
      </c>
      <c r="V54" s="18" t="n">
        <v>2385.8</v>
      </c>
      <c r="W54" s="18" t="n">
        <v>1770.59</v>
      </c>
      <c r="X54" s="18" t="n">
        <v>2982.86</v>
      </c>
      <c r="Y54" s="18" t="n">
        <v>3196.45</v>
      </c>
      <c r="Z54" s="34" t="n">
        <v>10335.7</v>
      </c>
      <c r="AA54" s="18" t="n">
        <v>2464.7</v>
      </c>
      <c r="AB54" s="19" t="n">
        <v>2699.09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당기순이익</t>
        </is>
      </c>
      <c r="E55" s="18" t="n">
        <v>-2717.81</v>
      </c>
      <c r="F55" s="9" t="n"/>
      <c r="G55" s="18" t="n">
        <v>6569.86</v>
      </c>
      <c r="H55" s="18" t="n">
        <v>8913.469999999999</v>
      </c>
      <c r="I55" s="18" t="n">
        <v>10657.72</v>
      </c>
      <c r="J55" s="18" t="n">
        <v>-1163.56</v>
      </c>
      <c r="K55" s="34" t="n">
        <v>24977.49</v>
      </c>
      <c r="L55" s="18" t="n">
        <v>12071.82</v>
      </c>
      <c r="M55" s="18" t="n">
        <v>10935.26</v>
      </c>
      <c r="N55" s="18" t="n">
        <v>9332.48</v>
      </c>
      <c r="O55" s="18" t="n">
        <v>4034.28</v>
      </c>
      <c r="P55" s="34" t="n">
        <v>36373.84</v>
      </c>
      <c r="Q55" s="18" t="n">
        <v>10935.6</v>
      </c>
      <c r="R55" s="18" t="n">
        <v>17474.05</v>
      </c>
      <c r="S55" s="18" t="n">
        <v>4551.45</v>
      </c>
      <c r="T55" s="18" t="n">
        <v>6916.89</v>
      </c>
      <c r="U55" s="34" t="n">
        <v>39877.99</v>
      </c>
      <c r="V55" s="18" t="n">
        <v>8705.85</v>
      </c>
      <c r="W55" s="18" t="n">
        <v>6124.69</v>
      </c>
      <c r="X55" s="18" t="n">
        <v>10389.7</v>
      </c>
      <c r="Y55" s="18" t="n">
        <v>7381.49</v>
      </c>
      <c r="Z55" s="34" t="n">
        <v>32601.73</v>
      </c>
      <c r="AA55" s="18" t="n">
        <v>8168.66</v>
      </c>
      <c r="AB55" s="19" t="n">
        <v>8808.02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총포괄손익</t>
        </is>
      </c>
      <c r="E56" s="18" t="n">
        <v>-1370.23</v>
      </c>
      <c r="F56" s="9" t="n"/>
      <c r="G56" s="18" t="n">
        <v>6540.26</v>
      </c>
      <c r="H56" s="18" t="n">
        <v>8885.299999999999</v>
      </c>
      <c r="I56" s="18" t="n">
        <v>10630.22</v>
      </c>
      <c r="J56" s="18" t="n">
        <v>-368.3</v>
      </c>
      <c r="K56" s="34" t="n">
        <v>25687.48</v>
      </c>
      <c r="L56" s="18" t="n">
        <v>12090.65</v>
      </c>
      <c r="M56" s="18" t="n">
        <v>10913.16</v>
      </c>
      <c r="N56" s="18" t="n">
        <v>9321.65</v>
      </c>
      <c r="O56" s="18" t="n">
        <v>1405.78</v>
      </c>
      <c r="P56" s="34" t="n">
        <v>33731.24</v>
      </c>
      <c r="Q56" s="18" t="n">
        <v>10913</v>
      </c>
      <c r="R56" s="18" t="n">
        <v>17450.23</v>
      </c>
      <c r="S56" s="18" t="n">
        <v>4529.62</v>
      </c>
      <c r="T56" s="18" t="n">
        <v>3753.59</v>
      </c>
      <c r="U56" s="34" t="n">
        <v>36646.44</v>
      </c>
      <c r="V56" s="18" t="n">
        <v>8695.549999999999</v>
      </c>
      <c r="W56" s="18" t="n">
        <v>6123.84</v>
      </c>
      <c r="X56" s="18" t="n">
        <v>10379.41</v>
      </c>
      <c r="Y56" s="18" t="n">
        <v>8991.58</v>
      </c>
      <c r="Z56" s="34" t="n">
        <v>34190.38</v>
      </c>
      <c r="AA56" s="18" t="n">
        <v>8090.74</v>
      </c>
      <c r="AB56" s="19" t="n">
        <v>8737.43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금융손익</t>
        </is>
      </c>
      <c r="E57" s="18" t="n">
        <v>217.89</v>
      </c>
      <c r="F57" s="9" t="n"/>
      <c r="G57" s="18" t="n">
        <v>156.15</v>
      </c>
      <c r="H57" s="18" t="n">
        <v>196.15</v>
      </c>
      <c r="I57" s="18" t="n">
        <v>252.27</v>
      </c>
      <c r="J57" s="18" t="n">
        <v>488.75</v>
      </c>
      <c r="K57" s="34" t="n">
        <v>1093.32</v>
      </c>
      <c r="L57" s="18" t="n">
        <v>679.24</v>
      </c>
      <c r="M57" s="18" t="n">
        <v>869.9400000000001</v>
      </c>
      <c r="N57" s="18" t="n">
        <v>1008.51</v>
      </c>
      <c r="O57" s="18" t="n">
        <v>1141.62</v>
      </c>
      <c r="P57" s="34" t="n">
        <v>3699.31</v>
      </c>
      <c r="Q57" s="18" t="n">
        <v>1154.18</v>
      </c>
      <c r="R57" s="18" t="n">
        <v>1211.49</v>
      </c>
      <c r="S57" s="18" t="n">
        <v>1208.19</v>
      </c>
      <c r="T57" s="18" t="n">
        <v>1150.53</v>
      </c>
      <c r="U57" s="34" t="n">
        <v>4724.39</v>
      </c>
      <c r="V57" s="18" t="n">
        <v>929.92</v>
      </c>
      <c r="W57" s="18" t="n">
        <v>829.16</v>
      </c>
      <c r="X57" s="18" t="n">
        <v>787.78</v>
      </c>
      <c r="Y57" s="18" t="n">
        <v>953.4400000000001</v>
      </c>
      <c r="Z57" s="34" t="n">
        <v>3500.3</v>
      </c>
      <c r="AA57" s="18" t="n">
        <v>972.1</v>
      </c>
      <c r="AB57" s="19" t="n">
        <v>960.64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기타영업외손익</t>
        </is>
      </c>
      <c r="E58" s="18" t="n">
        <v>277.86</v>
      </c>
      <c r="F58" s="9" t="n"/>
      <c r="G58" s="18" t="n">
        <v>5095.83</v>
      </c>
      <c r="H58" s="18" t="n">
        <v>3419.2</v>
      </c>
      <c r="I58" s="18" t="n">
        <v>6162.36</v>
      </c>
      <c r="J58" s="18" t="n">
        <v>-7926.93</v>
      </c>
      <c r="K58" s="34" t="n">
        <v>6750.46</v>
      </c>
      <c r="L58" s="18" t="n">
        <v>1026.04</v>
      </c>
      <c r="M58" s="18" t="n">
        <v>378.76</v>
      </c>
      <c r="N58" s="18" t="n">
        <v>2034.16</v>
      </c>
      <c r="O58" s="18" t="n">
        <v>-1065.15</v>
      </c>
      <c r="P58" s="34" t="n">
        <v>2373.81</v>
      </c>
      <c r="Q58" s="18" t="n">
        <v>2167.26</v>
      </c>
      <c r="R58" s="18" t="n">
        <v>1818.19</v>
      </c>
      <c r="S58" s="18" t="n">
        <v>-2460.87</v>
      </c>
      <c r="T58" s="18" t="n">
        <v>4208.55</v>
      </c>
      <c r="U58" s="34" t="n">
        <v>5733.13</v>
      </c>
      <c r="V58" s="18" t="n">
        <v>-119.33</v>
      </c>
      <c r="W58" s="18" t="n">
        <v>-3223.65</v>
      </c>
      <c r="X58" s="18" t="n">
        <v>1390.8</v>
      </c>
      <c r="Y58" s="18" t="n">
        <v>1392.05</v>
      </c>
      <c r="Z58" s="34" t="n">
        <v>-560.13</v>
      </c>
      <c r="AA58" s="18" t="n">
        <v>3544.32</v>
      </c>
      <c r="AB58" s="19" t="n">
        <v>1522.52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(지배주주지분)당기순이익</t>
        </is>
      </c>
      <c r="E59" s="18" t="n">
        <v>-2717.81</v>
      </c>
      <c r="F59" s="9" t="n"/>
      <c r="G59" s="18" t="n">
        <v>6569.86</v>
      </c>
      <c r="H59" s="18" t="n">
        <v>8913.469999999999</v>
      </c>
      <c r="I59" s="18" t="n">
        <v>10657.72</v>
      </c>
      <c r="J59" s="18" t="n">
        <v>-1163.56</v>
      </c>
      <c r="K59" s="34" t="n">
        <v>24977.49</v>
      </c>
      <c r="L59" s="18" t="n">
        <v>12071.82</v>
      </c>
      <c r="M59" s="18" t="n">
        <v>10935.26</v>
      </c>
      <c r="N59" s="18" t="n">
        <v>9332.48</v>
      </c>
      <c r="O59" s="18" t="n">
        <v>4034.28</v>
      </c>
      <c r="P59" s="34" t="n">
        <v>36373.84</v>
      </c>
      <c r="Q59" s="18" t="n">
        <v>10935.6</v>
      </c>
      <c r="R59" s="18" t="n">
        <v>17474.05</v>
      </c>
      <c r="S59" s="18" t="n">
        <v>4551.45</v>
      </c>
      <c r="T59" s="18" t="n">
        <v>6916.89</v>
      </c>
      <c r="U59" s="34" t="n">
        <v>39877.99</v>
      </c>
      <c r="V59" s="18" t="n">
        <v>8705.85</v>
      </c>
      <c r="W59" s="18" t="n">
        <v>6124.69</v>
      </c>
      <c r="X59" s="18" t="n">
        <v>10389.7</v>
      </c>
      <c r="Y59" s="18" t="n">
        <v>7381.49</v>
      </c>
      <c r="Z59" s="34" t="n">
        <v>32601.73</v>
      </c>
      <c r="AA59" s="18" t="n">
        <v>8168.66</v>
      </c>
      <c r="AB59" s="19" t="n">
        <v>8808.02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계속사업이익</t>
        </is>
      </c>
      <c r="E60" s="18" t="n">
        <v>-2717.81</v>
      </c>
      <c r="F60" s="9" t="n"/>
      <c r="G60" s="18" t="n">
        <v>6569.86</v>
      </c>
      <c r="H60" s="18" t="n">
        <v>8913.469999999999</v>
      </c>
      <c r="I60" s="18" t="n">
        <v>10657.72</v>
      </c>
      <c r="J60" s="18" t="n">
        <v>-1163.56</v>
      </c>
      <c r="K60" s="34" t="n">
        <v>24977.49</v>
      </c>
      <c r="L60" s="18" t="n">
        <v>12071.82</v>
      </c>
      <c r="M60" s="18" t="n">
        <v>10935.26</v>
      </c>
      <c r="N60" s="18" t="n">
        <v>9332.48</v>
      </c>
      <c r="O60" s="18" t="n">
        <v>4034.28</v>
      </c>
      <c r="P60" s="34" t="n">
        <v>36373.84</v>
      </c>
      <c r="Q60" s="18" t="n">
        <v>10935.6</v>
      </c>
      <c r="R60" s="18" t="n">
        <v>17474.05</v>
      </c>
      <c r="S60" s="18" t="n">
        <v>4551.45</v>
      </c>
      <c r="T60" s="18" t="n">
        <v>6916.89</v>
      </c>
      <c r="U60" s="34" t="n">
        <v>39877.99</v>
      </c>
      <c r="V60" s="18" t="n">
        <v>8705.85</v>
      </c>
      <c r="W60" s="18" t="n">
        <v>6124.69</v>
      </c>
      <c r="X60" s="18" t="n">
        <v>10389.7</v>
      </c>
      <c r="Y60" s="18" t="n">
        <v>7381.49</v>
      </c>
      <c r="Z60" s="34" t="n">
        <v>32601.73</v>
      </c>
      <c r="AA60" s="18" t="n">
        <v>8168.66</v>
      </c>
      <c r="AB60" s="19" t="n">
        <v>8808.02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영업활동으로인한현금흐름</t>
        </is>
      </c>
      <c r="E61" s="18" t="n">
        <v>-15156.87</v>
      </c>
      <c r="F61" s="9" t="n"/>
      <c r="G61" s="18" t="n">
        <v>-7637.45</v>
      </c>
      <c r="H61" s="18" t="n">
        <v>3421.15</v>
      </c>
      <c r="I61" s="18" t="n">
        <v>3030.69</v>
      </c>
      <c r="J61" s="18" t="n">
        <v>19125.55</v>
      </c>
      <c r="K61" s="34" t="n">
        <v>17939.94</v>
      </c>
      <c r="L61" s="18" t="n">
        <v>9746.639999999999</v>
      </c>
      <c r="M61" s="18" t="n">
        <v>9516.48</v>
      </c>
      <c r="N61" s="18" t="n">
        <v>13067.57</v>
      </c>
      <c r="O61" s="18" t="n">
        <v>430.71</v>
      </c>
      <c r="P61" s="34" t="n">
        <v>32761.4</v>
      </c>
      <c r="Q61" s="18" t="n">
        <v>9314.32</v>
      </c>
      <c r="R61" s="18" t="n">
        <v>20338.45</v>
      </c>
      <c r="S61" s="18" t="n">
        <v>3918.6</v>
      </c>
      <c r="T61" s="18" t="n">
        <v>-7644.44</v>
      </c>
      <c r="U61" s="34" t="n">
        <v>25926.93</v>
      </c>
      <c r="V61" s="18" t="n">
        <v>-5838.7</v>
      </c>
      <c r="W61" s="18" t="n">
        <v>3797.47</v>
      </c>
      <c r="X61" s="18" t="n">
        <v>18425.84</v>
      </c>
      <c r="Y61" s="18" t="n">
        <v>18733.95</v>
      </c>
      <c r="Z61" s="34" t="n">
        <v>35118.56</v>
      </c>
      <c r="AA61" s="18" t="n">
        <v>5078.69</v>
      </c>
      <c r="AB61" s="19" t="n">
        <v>1332.75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이자수취(CF)</t>
        </is>
      </c>
      <c r="E62" s="18" t="n">
        <v>144.81</v>
      </c>
      <c r="F62" s="9" t="n"/>
      <c r="G62" s="18" t="n">
        <v>161.52</v>
      </c>
      <c r="H62" s="18" t="n">
        <v>159.37</v>
      </c>
      <c r="I62" s="18" t="n">
        <v>290.59</v>
      </c>
      <c r="J62" s="18" t="n">
        <v>464.44</v>
      </c>
      <c r="K62" s="34" t="n">
        <v>1075.92</v>
      </c>
      <c r="L62" s="18" t="n">
        <v>626.51</v>
      </c>
      <c r="M62" s="18" t="n">
        <v>812.37</v>
      </c>
      <c r="N62" s="18" t="n">
        <v>1062.65</v>
      </c>
      <c r="O62" s="18" t="n">
        <v>1110.22</v>
      </c>
      <c r="P62" s="34" t="n">
        <v>3611.75</v>
      </c>
      <c r="Q62" s="18" t="n">
        <v>873.27</v>
      </c>
      <c r="R62" s="18" t="n">
        <v>1119.37</v>
      </c>
      <c r="S62" s="18" t="n">
        <v>743.1</v>
      </c>
      <c r="T62" s="18" t="n">
        <v>1416.31</v>
      </c>
      <c r="U62" s="34" t="n">
        <v>4152.05</v>
      </c>
      <c r="V62" s="18" t="n">
        <v>1099.04</v>
      </c>
      <c r="W62" s="18" t="n">
        <v>810.42</v>
      </c>
      <c r="X62" s="18" t="n">
        <v>583.09</v>
      </c>
      <c r="Y62" s="18" t="n">
        <v>916.55</v>
      </c>
      <c r="Z62" s="34" t="n">
        <v>3409.1</v>
      </c>
      <c r="AA62" s="18" t="n">
        <v>596.38</v>
      </c>
      <c r="AB62" s="19" t="n">
        <v>873.88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법인세납부(CF)</t>
        </is>
      </c>
      <c r="E63" s="18" t="n">
        <v>-23.91</v>
      </c>
      <c r="F63" s="9" t="n"/>
      <c r="G63" s="18" t="n">
        <v>-33.82</v>
      </c>
      <c r="H63" s="18" t="n">
        <v>361.33</v>
      </c>
      <c r="I63" s="18" t="n">
        <v>-53.28</v>
      </c>
      <c r="J63" s="18" t="n">
        <v>-75.36</v>
      </c>
      <c r="K63" s="34" t="n">
        <v>198.87</v>
      </c>
      <c r="L63" s="18" t="n">
        <v>-2897.33</v>
      </c>
      <c r="M63" s="18" t="n">
        <v>-3521.5</v>
      </c>
      <c r="N63" s="18" t="n">
        <v>-1538.97</v>
      </c>
      <c r="O63" s="18" t="n">
        <v>-1560.34</v>
      </c>
      <c r="P63" s="34" t="n">
        <v>-9518.139999999999</v>
      </c>
      <c r="Q63" s="18" t="n">
        <v>-153.2</v>
      </c>
      <c r="R63" s="18" t="n">
        <v>-5910.23</v>
      </c>
      <c r="S63" s="18" t="n">
        <v>-2307.42</v>
      </c>
      <c r="T63" s="18" t="n">
        <v>-2136.77</v>
      </c>
      <c r="U63" s="34" t="n">
        <v>-10507.62</v>
      </c>
      <c r="V63" s="18" t="n">
        <v>-3415.35</v>
      </c>
      <c r="W63" s="18" t="n">
        <v>-4413.46</v>
      </c>
      <c r="X63" s="18" t="n">
        <v>-99.67</v>
      </c>
      <c r="Y63" s="18" t="n">
        <v>-4921.93</v>
      </c>
      <c r="Z63" s="34" t="n">
        <v>-12850.41</v>
      </c>
      <c r="AA63" s="18" t="n">
        <v>-1803.44</v>
      </c>
      <c r="AB63" s="19" t="n">
        <v>-2693.53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투자활동으로인한현금흐름</t>
        </is>
      </c>
      <c r="E64" s="18" t="n">
        <v>670.42</v>
      </c>
      <c r="F64" s="9" t="n"/>
      <c r="G64" s="18" t="n">
        <v>8233.9</v>
      </c>
      <c r="H64" s="18" t="n">
        <v>2459.66</v>
      </c>
      <c r="I64" s="18" t="n">
        <v>8230.620000000001</v>
      </c>
      <c r="J64" s="18" t="n">
        <v>1661.21</v>
      </c>
      <c r="K64" s="34" t="n">
        <v>20585.39</v>
      </c>
      <c r="L64" s="18" t="n">
        <v>-653.21</v>
      </c>
      <c r="M64" s="18" t="n">
        <v>-7599.53</v>
      </c>
      <c r="N64" s="18" t="n">
        <v>747.52</v>
      </c>
      <c r="O64" s="18" t="n">
        <v>-26219.82</v>
      </c>
      <c r="P64" s="34" t="n">
        <v>-33725.04</v>
      </c>
      <c r="Q64" s="18" t="n">
        <v>-11571.58</v>
      </c>
      <c r="R64" s="18" t="n">
        <v>2675.24</v>
      </c>
      <c r="S64" s="18" t="n">
        <v>-7392.8</v>
      </c>
      <c r="T64" s="18" t="n">
        <v>3008.54</v>
      </c>
      <c r="U64" s="34" t="n">
        <v>-13280.6</v>
      </c>
      <c r="V64" s="18" t="n">
        <v>-2651.58</v>
      </c>
      <c r="W64" s="18" t="n">
        <v>-4715.97</v>
      </c>
      <c r="X64" s="18" t="n">
        <v>-15671.63</v>
      </c>
      <c r="Y64" s="18" t="n">
        <v>-13111.67</v>
      </c>
      <c r="Z64" s="34" t="n">
        <v>-36150.85</v>
      </c>
      <c r="AA64" s="18" t="n">
        <v>1450.36</v>
      </c>
      <c r="AB64" s="19" t="n">
        <v>4700.71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E65" s="18" t="n">
        <v>32.09</v>
      </c>
      <c r="F65" s="9" t="n"/>
      <c r="I65" s="18" t="n">
        <v>0</v>
      </c>
      <c r="J65" s="18" t="n">
        <v>13.63</v>
      </c>
      <c r="K65" s="9" t="n"/>
      <c r="L65" s="18" t="n">
        <v>12.73</v>
      </c>
      <c r="M65" s="18" t="n">
        <v>20.63</v>
      </c>
      <c r="N65" s="18" t="n">
        <v>0.28</v>
      </c>
      <c r="O65" s="18" t="n">
        <v>8.18</v>
      </c>
      <c r="P65" s="34" t="n">
        <v>41.82</v>
      </c>
      <c r="Q65" s="18" t="n">
        <v>0</v>
      </c>
      <c r="R65" s="18" t="n">
        <v>4.05</v>
      </c>
      <c r="S65" s="18" t="n">
        <v>0</v>
      </c>
      <c r="T65" s="18" t="n">
        <v>0</v>
      </c>
      <c r="U65" s="34" t="n">
        <v>4.05</v>
      </c>
      <c r="V65" s="18" t="n">
        <v>21.82</v>
      </c>
      <c r="W65" s="18" t="n">
        <v>0</v>
      </c>
      <c r="X65" s="18" t="n">
        <v>22.73</v>
      </c>
      <c r="Y65" s="18" t="n">
        <v>0</v>
      </c>
      <c r="Z65" s="34" t="n">
        <v>44.55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유형자산의증가</t>
        </is>
      </c>
      <c r="E66" s="18" t="n">
        <v>1546.42</v>
      </c>
      <c r="F66" s="9" t="n"/>
      <c r="G66" s="18" t="n">
        <v>60</v>
      </c>
      <c r="H66" s="18" t="n">
        <v>36.92</v>
      </c>
      <c r="I66" s="18" t="n">
        <v>257.39</v>
      </c>
      <c r="J66" s="18" t="n">
        <v>460.82</v>
      </c>
      <c r="K66" s="34" t="n">
        <v>815.13</v>
      </c>
      <c r="L66" s="18" t="n">
        <v>208.31</v>
      </c>
      <c r="M66" s="18" t="n">
        <v>867.89</v>
      </c>
      <c r="N66" s="18" t="n">
        <v>358.58</v>
      </c>
      <c r="O66" s="18" t="n">
        <v>684.72</v>
      </c>
      <c r="P66" s="34" t="n">
        <v>2119.5</v>
      </c>
      <c r="Q66" s="18" t="n">
        <v>252.42</v>
      </c>
      <c r="R66" s="18" t="n">
        <v>51.38</v>
      </c>
      <c r="S66" s="18" t="n">
        <v>869.12</v>
      </c>
      <c r="T66" s="18" t="n">
        <v>33.7</v>
      </c>
      <c r="U66" s="34" t="n">
        <v>1206.62</v>
      </c>
      <c r="V66" s="18" t="n">
        <v>332.48</v>
      </c>
      <c r="W66" s="18" t="n">
        <v>304.24</v>
      </c>
      <c r="X66" s="18" t="n">
        <v>2164.78</v>
      </c>
      <c r="Y66" s="18" t="n">
        <v>37.55</v>
      </c>
      <c r="Z66" s="34" t="n">
        <v>2839.05</v>
      </c>
      <c r="AA66" s="18" t="n">
        <v>0</v>
      </c>
      <c r="AB66" s="19" t="n">
        <v>70.73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CAPEX</t>
        </is>
      </c>
      <c r="E67" s="18" t="n">
        <v>1546.42</v>
      </c>
      <c r="F67" s="9" t="n"/>
      <c r="G67" s="18" t="n">
        <v>60</v>
      </c>
      <c r="H67" s="18" t="n">
        <v>36.92</v>
      </c>
      <c r="I67" s="18" t="n">
        <v>257.39</v>
      </c>
      <c r="J67" s="18" t="n">
        <v>499.12</v>
      </c>
      <c r="K67" s="34" t="n">
        <v>853.4299999999999</v>
      </c>
      <c r="L67" s="18" t="n">
        <v>216.71</v>
      </c>
      <c r="M67" s="18" t="n">
        <v>867.89</v>
      </c>
      <c r="N67" s="18" t="n">
        <v>358.58</v>
      </c>
      <c r="O67" s="18" t="n">
        <v>684.72</v>
      </c>
      <c r="P67" s="34" t="n">
        <v>2127.9</v>
      </c>
      <c r="Q67" s="18" t="n">
        <v>252.42</v>
      </c>
      <c r="R67" s="18" t="n">
        <v>51.38</v>
      </c>
      <c r="S67" s="18" t="n">
        <v>869.12</v>
      </c>
      <c r="T67" s="18" t="n">
        <v>33.7</v>
      </c>
      <c r="U67" s="34" t="n">
        <v>1206.62</v>
      </c>
      <c r="V67" s="18" t="n">
        <v>540.48</v>
      </c>
      <c r="W67" s="18" t="n">
        <v>976.24</v>
      </c>
      <c r="X67" s="18" t="n">
        <v>2268.28</v>
      </c>
      <c r="Y67" s="18" t="n">
        <v>37.55</v>
      </c>
      <c r="Z67" s="34" t="n">
        <v>3822.55</v>
      </c>
      <c r="AA67" s="18" t="n">
        <v>0</v>
      </c>
      <c r="AB67" s="19" t="n">
        <v>70.73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무형자산의감소</t>
        </is>
      </c>
      <c r="E68" s="18" t="n">
        <v>0</v>
      </c>
      <c r="F68" s="9" t="n"/>
      <c r="I68" s="18" t="n">
        <v>0</v>
      </c>
      <c r="J68" s="18" t="n">
        <v>0</v>
      </c>
      <c r="K68" s="9" t="n"/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재무활동으로인한현금흐름</t>
        </is>
      </c>
      <c r="E69" s="18" t="n">
        <v>-70.8</v>
      </c>
      <c r="F69" s="9" t="n"/>
      <c r="G69" s="18" t="n">
        <v>-86.95999999999999</v>
      </c>
      <c r="H69" s="18" t="n">
        <v>-2863.65</v>
      </c>
      <c r="I69" s="18" t="n">
        <v>-73.2</v>
      </c>
      <c r="J69" s="18" t="n">
        <v>-73.8</v>
      </c>
      <c r="K69" s="34" t="n">
        <v>-3097.61</v>
      </c>
      <c r="L69" s="18" t="n">
        <v>-74.09999999999999</v>
      </c>
      <c r="M69" s="18" t="n">
        <v>-872.29</v>
      </c>
      <c r="N69" s="18" t="n">
        <v>-90.48999999999999</v>
      </c>
      <c r="O69" s="18" t="n">
        <v>-94.73999999999999</v>
      </c>
      <c r="P69" s="34" t="n">
        <v>-1131.62</v>
      </c>
      <c r="Q69" s="18" t="n">
        <v>-84.05</v>
      </c>
      <c r="R69" s="18" t="n">
        <v>-4277.07</v>
      </c>
      <c r="S69" s="18" t="n">
        <v>-17779.98</v>
      </c>
      <c r="T69" s="18" t="n">
        <v>-2360.87</v>
      </c>
      <c r="U69" s="34" t="n">
        <v>-24501.97</v>
      </c>
      <c r="V69" s="18" t="n">
        <v>-88.95</v>
      </c>
      <c r="W69" s="18" t="n">
        <v>-5397.8</v>
      </c>
      <c r="X69" s="18" t="n">
        <v>577.76</v>
      </c>
      <c r="Y69" s="18" t="n">
        <v>-10.23</v>
      </c>
      <c r="Z69" s="34" t="n">
        <v>-4919.22</v>
      </c>
      <c r="AA69" s="18" t="n">
        <v>-10.01</v>
      </c>
      <c r="AB69" s="19" t="n">
        <v>-5322.69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단기차입금의증가</t>
        </is>
      </c>
      <c r="E70" s="18" t="n">
        <v>0</v>
      </c>
      <c r="F70" s="9" t="n"/>
      <c r="G70" s="18" t="n">
        <v>5000</v>
      </c>
      <c r="H70" s="18" t="n">
        <v>0</v>
      </c>
      <c r="I70" s="18" t="n">
        <v>0</v>
      </c>
      <c r="J70" s="18" t="n">
        <v>0</v>
      </c>
      <c r="K70" s="34" t="n">
        <v>5000</v>
      </c>
      <c r="L70" s="18" t="n">
        <v>0</v>
      </c>
      <c r="M70" s="18" t="n">
        <v>2000</v>
      </c>
      <c r="N70" s="18" t="n">
        <v>124.99</v>
      </c>
      <c r="O70" s="18" t="n">
        <v>0</v>
      </c>
      <c r="P70" s="34" t="n">
        <v>2124.99</v>
      </c>
      <c r="Q70" s="18" t="n">
        <v>0.49</v>
      </c>
      <c r="R70" s="18" t="n">
        <v>2000</v>
      </c>
      <c r="S70" s="18" t="n">
        <v>0</v>
      </c>
      <c r="T70" s="18" t="n">
        <v>0</v>
      </c>
      <c r="U70" s="34" t="n">
        <v>2000.49</v>
      </c>
      <c r="V70" s="18" t="n">
        <v>0</v>
      </c>
      <c r="W70" s="18" t="n">
        <v>0</v>
      </c>
      <c r="X70" s="18" t="n">
        <v>0</v>
      </c>
      <c r="Y70" s="18" t="n">
        <v>0</v>
      </c>
      <c r="Z70" s="34" t="n">
        <v>0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단기차입금의감소</t>
        </is>
      </c>
      <c r="E71" s="18" t="n">
        <v>0</v>
      </c>
      <c r="F71" s="9" t="n"/>
      <c r="G71" s="18" t="n">
        <v>5000</v>
      </c>
      <c r="H71" s="18" t="n">
        <v>0</v>
      </c>
      <c r="I71" s="18" t="n">
        <v>0</v>
      </c>
      <c r="J71" s="18" t="n">
        <v>0</v>
      </c>
      <c r="K71" s="34" t="n">
        <v>5000</v>
      </c>
      <c r="L71" s="18" t="n">
        <v>0</v>
      </c>
      <c r="M71" s="18" t="n">
        <v>0</v>
      </c>
      <c r="N71" s="18" t="n">
        <v>124.99</v>
      </c>
      <c r="O71" s="18" t="n">
        <v>0</v>
      </c>
      <c r="P71" s="34" t="n">
        <v>124.99</v>
      </c>
      <c r="Q71" s="18" t="n">
        <v>0.49</v>
      </c>
      <c r="R71" s="18" t="n">
        <v>2000</v>
      </c>
      <c r="S71" s="18" t="n">
        <v>0</v>
      </c>
      <c r="T71" s="18" t="n">
        <v>0</v>
      </c>
      <c r="U71" s="34" t="n">
        <v>2000.49</v>
      </c>
      <c r="V71" s="18" t="n">
        <v>0</v>
      </c>
      <c r="W71" s="18" t="n">
        <v>0</v>
      </c>
      <c r="X71" s="18" t="n">
        <v>0</v>
      </c>
      <c r="Y71" s="18" t="n">
        <v>0</v>
      </c>
      <c r="Z71" s="34" t="n">
        <v>0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0</v>
      </c>
      <c r="F72" s="9" t="n"/>
      <c r="G72" s="18" t="n">
        <v>-6.16</v>
      </c>
      <c r="H72" s="18" t="n">
        <v>0</v>
      </c>
      <c r="I72" s="18" t="n">
        <v>0</v>
      </c>
      <c r="J72" s="18" t="n">
        <v>0</v>
      </c>
      <c r="K72" s="34" t="n">
        <v>-6.16</v>
      </c>
      <c r="L72" s="18" t="n">
        <v>0</v>
      </c>
      <c r="M72" s="18" t="n">
        <v>-5.33</v>
      </c>
      <c r="N72" s="18" t="n">
        <v>-16.39</v>
      </c>
      <c r="O72" s="18" t="n">
        <v>-20.65</v>
      </c>
      <c r="P72" s="34" t="n">
        <v>-42.37</v>
      </c>
      <c r="Q72" s="18" t="n">
        <v>-9.949999999999999</v>
      </c>
      <c r="R72" s="18" t="n">
        <v>-13.69</v>
      </c>
      <c r="S72" s="18" t="n">
        <v>-19.27</v>
      </c>
      <c r="T72" s="18" t="n">
        <v>-14.53</v>
      </c>
      <c r="U72" s="34" t="n">
        <v>-57.44</v>
      </c>
      <c r="V72" s="18" t="n">
        <v>-14.25</v>
      </c>
      <c r="W72" s="18" t="n">
        <v>-11.63</v>
      </c>
      <c r="X72" s="18" t="n">
        <v>-10.24</v>
      </c>
      <c r="Y72" s="18" t="n">
        <v>-10.23</v>
      </c>
      <c r="Z72" s="34" t="n">
        <v>-46.35</v>
      </c>
      <c r="AA72" s="18" t="n">
        <v>-10.01</v>
      </c>
      <c r="AB72" s="19" t="n">
        <v>-11.22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배당금지급</t>
        </is>
      </c>
      <c r="E73" s="18" t="n">
        <v>0</v>
      </c>
      <c r="F73" s="9" t="n"/>
      <c r="I73" s="18" t="n">
        <v>0</v>
      </c>
      <c r="J73" s="18" t="n">
        <v>0</v>
      </c>
      <c r="K73" s="9" t="n"/>
      <c r="N73" s="18" t="n">
        <v>0</v>
      </c>
      <c r="O73" s="18" t="n">
        <v>0</v>
      </c>
      <c r="P73" s="9" t="n"/>
      <c r="S73" s="18" t="n">
        <v>0</v>
      </c>
      <c r="T73" s="18" t="n">
        <v>0</v>
      </c>
      <c r="U73" s="9" t="n"/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무형자산의증가</t>
        </is>
      </c>
      <c r="F74" s="9" t="n"/>
      <c r="K74" s="9" t="n"/>
      <c r="L74" s="18" t="n">
        <v>8.4</v>
      </c>
      <c r="M74" s="18" t="n">
        <v>0</v>
      </c>
      <c r="N74" s="18" t="n">
        <v>0</v>
      </c>
      <c r="O74" s="18" t="n">
        <v>0</v>
      </c>
      <c r="P74" s="34" t="n">
        <v>8.4</v>
      </c>
      <c r="Q74" s="18" t="n">
        <v>0</v>
      </c>
      <c r="R74" s="18" t="n">
        <v>0</v>
      </c>
      <c r="S74" s="18" t="n">
        <v>0</v>
      </c>
      <c r="T74" s="18" t="n">
        <v>0</v>
      </c>
      <c r="U74" s="34" t="n">
        <v>0</v>
      </c>
      <c r="V74" s="18" t="n">
        <v>208</v>
      </c>
      <c r="W74" s="18" t="n">
        <v>672</v>
      </c>
      <c r="X74" s="18" t="n">
        <v>103.5</v>
      </c>
      <c r="Y74" s="18" t="n">
        <v>0</v>
      </c>
      <c r="Z74" s="34" t="n">
        <v>983.5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F75" s="9" t="n"/>
      <c r="K75" s="9" t="n"/>
      <c r="P75" s="9" t="n"/>
      <c r="T75" s="18" t="n">
        <v>2271.64</v>
      </c>
      <c r="U75" s="9" t="n"/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F76" s="9" t="n"/>
      <c r="K76" s="9" t="n"/>
      <c r="P76" s="9" t="n"/>
      <c r="U76" s="9" t="n"/>
      <c r="V76" s="18" t="n">
        <v>74.7</v>
      </c>
      <c r="W76" s="18" t="n">
        <v>74.7</v>
      </c>
      <c r="X76" s="18" t="n">
        <v>21.8</v>
      </c>
      <c r="Y76" s="18" t="n">
        <v>0</v>
      </c>
      <c r="Z76" s="34" t="n">
        <v>171.2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기말현금및현금성자산</t>
        </is>
      </c>
      <c r="F77" s="9" t="n"/>
      <c r="K77" s="9" t="n"/>
      <c r="P77" s="9" t="n"/>
      <c r="U77" s="9" t="n"/>
      <c r="V77" s="18" t="n">
        <v>47418.79</v>
      </c>
      <c r="W77" s="18" t="n">
        <v>-7328.14</v>
      </c>
      <c r="X77" s="18" t="n">
        <v>3698.77</v>
      </c>
      <c r="Y77" s="18" t="n">
        <v>5723.43</v>
      </c>
      <c r="Z77" s="34" t="n">
        <v>49512.85</v>
      </c>
      <c r="AA77" s="18" t="n">
        <v>57605.29</v>
      </c>
      <c r="AB77" s="19" t="n">
        <v>1067.78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F78" s="9" t="n"/>
      <c r="K78" s="9" t="n"/>
      <c r="P78" s="9" t="n"/>
      <c r="U78" s="9" t="n"/>
      <c r="X78" s="18" t="n">
        <v>3331.97</v>
      </c>
      <c r="Y78" s="18" t="n">
        <v>5612.06</v>
      </c>
      <c r="Z78" s="9" t="n"/>
      <c r="AA78" s="18" t="n">
        <v>6519.04</v>
      </c>
      <c r="AB78" s="19" t="n">
        <v>710.77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-0.1101</v>
      </c>
      <c r="F10" s="34" t="n"/>
      <c r="G10" s="18" t="n">
        <v>0.0673</v>
      </c>
      <c r="H10" s="18" t="n">
        <v>0.1299</v>
      </c>
      <c r="I10" s="18" t="n">
        <v>0.1195</v>
      </c>
      <c r="J10" s="18" t="n">
        <v>0.1085</v>
      </c>
      <c r="K10" s="34">
        <f>SUM(G10:J10)</f>
        <v/>
      </c>
      <c r="L10" s="18" t="n">
        <v>0.2165</v>
      </c>
      <c r="M10" s="18" t="n">
        <v>0.2074</v>
      </c>
      <c r="N10" s="18" t="n">
        <v>0.1624</v>
      </c>
      <c r="O10" s="18" t="n">
        <v>0.1126</v>
      </c>
      <c r="P10" s="34">
        <f>SUM(L10:O10)</f>
        <v/>
      </c>
      <c r="Q10" s="18" t="n">
        <v>0.173</v>
      </c>
      <c r="R10" s="18" t="n">
        <v>0.3045</v>
      </c>
      <c r="S10" s="18" t="n">
        <v>0.172</v>
      </c>
      <c r="T10" s="18" t="n">
        <v>0.0673</v>
      </c>
      <c r="U10" s="34">
        <f>SUM(Q10:T10)</f>
        <v/>
      </c>
      <c r="V10" s="18" t="n">
        <v>0.1687</v>
      </c>
      <c r="W10" s="18" t="n">
        <v>0.1853</v>
      </c>
      <c r="X10" s="18" t="n">
        <v>0.1817</v>
      </c>
      <c r="Y10" s="18" t="n">
        <v>0.1469</v>
      </c>
      <c r="Z10" s="34">
        <f>SUM(V10:Y10)</f>
        <v/>
      </c>
      <c r="AA10" s="18" t="n">
        <v>0.1111</v>
      </c>
      <c r="AB10" s="19" t="n">
        <v>0.156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5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5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-162.5</v>
      </c>
      <c r="F27" s="34" t="n"/>
      <c r="G27" s="18" t="n">
        <v>-52.95</v>
      </c>
      <c r="H27" s="18" t="n">
        <v>25.44</v>
      </c>
      <c r="I27" s="18" t="n">
        <v>29.24</v>
      </c>
      <c r="J27" s="18" t="n">
        <v>212.52</v>
      </c>
      <c r="K27" s="34">
        <f>SUM(G27:J27)</f>
        <v/>
      </c>
      <c r="L27" s="18" t="n">
        <v>104.39</v>
      </c>
      <c r="M27" s="18" t="n">
        <v>87.61</v>
      </c>
      <c r="N27" s="18" t="n">
        <v>157.31</v>
      </c>
      <c r="O27" s="18" t="n">
        <v>6.15</v>
      </c>
      <c r="P27" s="34">
        <f>SUM(L27:O27)</f>
        <v/>
      </c>
      <c r="Q27" s="18" t="n">
        <v>110.11</v>
      </c>
      <c r="R27" s="18" t="n">
        <v>216.62</v>
      </c>
      <c r="S27" s="18" t="n">
        <v>31.52</v>
      </c>
      <c r="T27" s="18" t="n">
        <v>-73.2</v>
      </c>
      <c r="U27" s="34">
        <f>SUM(Q27:T27)</f>
        <v/>
      </c>
      <c r="V27" s="18" t="n">
        <v>-59.65</v>
      </c>
      <c r="W27" s="18" t="n">
        <v>48.01</v>
      </c>
      <c r="X27" s="18" t="n">
        <v>195.75</v>
      </c>
      <c r="Y27" s="18" t="n">
        <v>194.69</v>
      </c>
      <c r="Z27" s="34">
        <f>SUM(V27:Y27)</f>
        <v/>
      </c>
      <c r="AA27" s="18" t="n">
        <v>49.12</v>
      </c>
      <c r="AB27" s="19" t="n">
        <v>25.77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27.929</v>
      </c>
      <c r="F28" s="27">
        <f>E28</f>
        <v/>
      </c>
      <c r="G28" s="26" t="n">
        <v>27.929</v>
      </c>
      <c r="H28" s="26" t="n">
        <v>27.929</v>
      </c>
      <c r="I28" s="26" t="n">
        <v>27.929</v>
      </c>
      <c r="J28" s="26" t="n">
        <v>27.929</v>
      </c>
      <c r="K28" s="27">
        <f>J28</f>
        <v/>
      </c>
      <c r="L28" s="26" t="n">
        <v>27.929</v>
      </c>
      <c r="M28" s="26" t="n">
        <v>27.929</v>
      </c>
      <c r="N28" s="26" t="n">
        <v>27.929</v>
      </c>
      <c r="O28" s="26" t="n">
        <v>27.929</v>
      </c>
      <c r="P28" s="27">
        <f>O28</f>
        <v/>
      </c>
      <c r="Q28" s="26" t="n">
        <v>27.929</v>
      </c>
      <c r="R28" s="26" t="n">
        <v>27.929</v>
      </c>
      <c r="S28" s="26" t="n">
        <v>26.773</v>
      </c>
      <c r="T28" s="26" t="n">
        <v>26.557</v>
      </c>
      <c r="U28" s="27">
        <f>T28</f>
        <v/>
      </c>
      <c r="V28" s="26" t="n">
        <v>26.557</v>
      </c>
      <c r="W28" s="26" t="n">
        <v>26.557</v>
      </c>
      <c r="X28" s="26" t="n">
        <v>26.557</v>
      </c>
      <c r="Y28" s="26" t="n">
        <v>26.557</v>
      </c>
      <c r="Z28" s="27">
        <f>Y28</f>
        <v/>
      </c>
      <c r="AA28" s="26" t="n">
        <v>26.557</v>
      </c>
      <c r="AB28" s="28" t="n">
        <v>26.557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4" t="n">
        <v>100</v>
      </c>
      <c r="G31" s="18" t="n"/>
      <c r="H31" s="18" t="n"/>
      <c r="I31" s="18" t="n"/>
      <c r="J31" s="18" t="n">
        <v>100</v>
      </c>
      <c r="K31" s="34">
        <f>SUM(G31:J31)</f>
        <v/>
      </c>
      <c r="L31" s="18" t="n"/>
      <c r="M31" s="18" t="n"/>
      <c r="N31" s="18" t="n"/>
      <c r="O31" s="18" t="n">
        <v>150</v>
      </c>
      <c r="P31" s="34">
        <f>SUM(L31:O31)</f>
        <v/>
      </c>
      <c r="Q31" s="18" t="n"/>
      <c r="R31" s="18" t="n"/>
      <c r="S31" s="18" t="n"/>
      <c r="T31" s="18" t="n">
        <v>200</v>
      </c>
      <c r="U31" s="34">
        <f>SUM(Q31:T31)</f>
        <v/>
      </c>
      <c r="V31" s="18" t="n"/>
      <c r="W31" s="18" t="n"/>
      <c r="X31" s="18" t="n"/>
      <c r="Y31" s="18" t="n">
        <v>200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9.42</v>
      </c>
      <c r="J32" s="18" t="n">
        <v>10.19</v>
      </c>
      <c r="K32" s="34">
        <f>SUM(G32:J32)</f>
        <v/>
      </c>
      <c r="L32" s="18" t="n">
        <v>10.97</v>
      </c>
      <c r="M32" s="18" t="n">
        <v>10.92</v>
      </c>
      <c r="N32" s="18" t="n">
        <v>13.29</v>
      </c>
      <c r="O32" s="18" t="n">
        <v>9.24</v>
      </c>
      <c r="P32" s="34">
        <f>SUM(L32:O32)</f>
        <v/>
      </c>
      <c r="Q32" s="18" t="n">
        <v>8.32</v>
      </c>
      <c r="R32" s="18" t="n">
        <v>7.11</v>
      </c>
      <c r="S32" s="18" t="n">
        <v>10.06</v>
      </c>
      <c r="T32" s="18" t="n">
        <v>11.81</v>
      </c>
      <c r="U32" s="34">
        <f>SUM(Q32:T32)</f>
        <v/>
      </c>
      <c r="V32" s="18" t="n">
        <v>19.09</v>
      </c>
      <c r="W32" s="18" t="n">
        <v>27.55</v>
      </c>
      <c r="X32" s="18" t="n">
        <v>25.02</v>
      </c>
      <c r="Y32" s="18" t="n">
        <v>22.22</v>
      </c>
      <c r="Z32" s="34">
        <f>SUM(V32:Y32)</f>
        <v/>
      </c>
      <c r="AA32" s="18" t="n">
        <v>25.57</v>
      </c>
      <c r="AB32" s="19" t="n">
        <v>25.92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0.53</v>
      </c>
      <c r="F33" s="34" t="n">
        <v>0.51</v>
      </c>
      <c r="G33" s="18" t="n">
        <v>0.51</v>
      </c>
      <c r="H33" s="18" t="n">
        <v>0.6</v>
      </c>
      <c r="I33" s="18" t="n">
        <v>0.8100000000000001</v>
      </c>
      <c r="J33" s="18" t="n">
        <v>0.85</v>
      </c>
      <c r="K33" s="34">
        <f>SUM(G33:J33)</f>
        <v/>
      </c>
      <c r="L33" s="18" t="n">
        <v>0.74</v>
      </c>
      <c r="M33" s="18" t="n">
        <v>0.75</v>
      </c>
      <c r="N33" s="18" t="n">
        <v>0.86</v>
      </c>
      <c r="O33" s="18" t="n">
        <v>0.72</v>
      </c>
      <c r="P33" s="34">
        <f>SUM(L33:O33)</f>
        <v/>
      </c>
      <c r="Q33" s="18" t="n">
        <v>0.61</v>
      </c>
      <c r="R33" s="18" t="n">
        <v>0.59</v>
      </c>
      <c r="S33" s="18" t="n">
        <v>0.73</v>
      </c>
      <c r="T33" s="18" t="n">
        <v>0.9</v>
      </c>
      <c r="U33" s="34">
        <f>SUM(Q33:T33)</f>
        <v/>
      </c>
      <c r="V33" s="18" t="n">
        <v>1.39</v>
      </c>
      <c r="W33" s="18" t="n">
        <v>1.42</v>
      </c>
      <c r="X33" s="18" t="n">
        <v>1.57</v>
      </c>
      <c r="Y33" s="18" t="n">
        <v>1.39</v>
      </c>
      <c r="Z33" s="34">
        <f>SUM(V33:Y33)</f>
        <v/>
      </c>
      <c r="AA33" s="18" t="n">
        <v>1.56</v>
      </c>
      <c r="AB33" s="19" t="n">
        <v>1.7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4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4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4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4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4">
        <f>SUM(V34:Y34)</f>
        <v/>
      </c>
      <c r="AA34" s="18" t="n">
        <v>591.37</v>
      </c>
      <c r="AB34" s="19" t="n">
        <v>641.3200000000001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4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4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4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4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4">
        <f>SUM(V35:Y35)</f>
        <v/>
      </c>
      <c r="AA35" s="18" t="n">
        <v>65.69</v>
      </c>
      <c r="AB35" s="19" t="n">
        <v>100.07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21.67</v>
      </c>
    </row>
    <row r="32">
      <c r="C32" s="2" t="inlineStr">
        <is>
          <t>pbr_now</t>
        </is>
      </c>
      <c r="D32" t="n">
        <v>1.45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