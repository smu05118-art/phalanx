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BS연결!$C$5:$AO$107</definedName>
    <definedName name="BS별도H">BS별도!$C$1:$AO$1</definedName>
    <definedName name="BS별도">BS별도!$C$5:$AO$95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(1+7.3%) — g=최근 4분기 합 YoY 7.3% 클립(−30~+50%), 연차별 절반 감쇠(가정)</t>
      </text>
    </comment>
    <comment ref="AD21" authorId="0" shapeId="0">
      <text>
        <t>모델값 역산(implied): v / 전년동기 − 1
전년동기 × (1+7.3%) — g=최근 4분기 합 YoY 7.3% 클립(−30~+50%), 연차별 절반 감쇠(가정)</t>
      </text>
    </comment>
    <comment ref="AF21" authorId="0" shapeId="0">
      <text>
        <t>모델값 역산(implied): v / 전년동기 − 1
전년동기 × (1+7.3%) — g=최근 4분기 합 YoY 7.3% 클립(−30~+50%), 연차별 절반 감쇠(가정)</t>
      </text>
    </comment>
    <comment ref="AG21" authorId="0" shapeId="0">
      <text>
        <t>모델값 역산(implied): v / 전년동기 − 1
전년동기 × (1+7.3%) — g=최근 4분기 합 YoY 7.3% 클립(−30~+50%), 연차별 절반 감쇠(가정)</t>
      </text>
    </comment>
    <comment ref="AH21" authorId="0" shapeId="0">
      <text>
        <t>모델값 역산(implied): v / 전년동기 − 1
전년동기 × (1+3.6%) — g=최근 4분기 합 YoY 7.3% 클립(−30~+50%), 연차별 절반 감쇠(가정)</t>
      </text>
    </comment>
    <comment ref="AI21" authorId="0" shapeId="0">
      <text>
        <t>모델값 역산(implied): v / 전년동기 − 1
전년동기 × (1+3.6%) — g=최근 4분기 합 YoY 7.3% 클립(−30~+50%), 연차별 절반 감쇠(가정)</t>
      </text>
    </comment>
    <comment ref="AK21" authorId="0" shapeId="0">
      <text>
        <t>모델값 역산(implied): v / 전년동기 − 1
전년동기 × (1+3.6%) — g=최근 4분기 합 YoY 7.3% 클립(−30~+50%), 연차별 절반 감쇠(가정)</t>
      </text>
    </comment>
    <comment ref="AL21" authorId="0" shapeId="0">
      <text>
        <t>모델값 역산(implied): v / 전년동기 − 1
전년동기 × (1+3.6%) — g=최근 4분기 합 YoY 7.3% 클립(−30~+50%), 연차별 절반 감쇠(가정)</t>
      </text>
    </comment>
    <comment ref="AM21" authorId="0" shapeId="0">
      <text>
        <t>모델값 역산(implied): v / 전년동기 − 1
전년동기 × (1+1.8%) — g=최근 4분기 합 YoY 7.3% 클립(−30~+50%), 연차별 절반 감쇠(가정)</t>
      </text>
    </comment>
    <comment ref="AN21" authorId="0" shapeId="0">
      <text>
        <t>모델값 역산(implied): v / 전년동기 − 1
전년동기 × (1+1.8%) — g=최근 4분기 합 YoY 7.3% 클립(−30~+50%), 연차별 절반 감쇠(가정)</t>
      </text>
    </comment>
    <comment ref="AC22" authorId="0" shapeId="0">
      <text>
        <t>3절 스칼라 '판관비율' 참조 — 숫자로 덮어쓰면 이 분기만 바뀐다
매출액 × 판관비율 14.42%(최근 4분기 중위)</t>
      </text>
    </comment>
    <comment ref="AD22" authorId="0" shapeId="0">
      <text>
        <t>3절 스칼라 '판관비율' 참조 — 숫자로 덮어쓰면 이 분기만 바뀐다
매출액 × 판관비율 14.42%(최근 4분기 중위)</t>
      </text>
    </comment>
    <comment ref="AF22" authorId="0" shapeId="0">
      <text>
        <t>3절 스칼라 '판관비율' 참조 — 숫자로 덮어쓰면 이 분기만 바뀐다
매출액 × 판관비율 14.42%(최근 4분기 중위)</t>
      </text>
    </comment>
    <comment ref="AG22" authorId="0" shapeId="0">
      <text>
        <t>3절 스칼라 '판관비율' 참조 — 숫자로 덮어쓰면 이 분기만 바뀐다
매출액 × 판관비율 14.42%(최근 4분기 중위)</t>
      </text>
    </comment>
    <comment ref="AH22" authorId="0" shapeId="0">
      <text>
        <t>3절 스칼라 '판관비율' 참조 — 숫자로 덮어쓰면 이 분기만 바뀐다
매출액 × 판관비율 14.42%(최근 4분기 중위)</t>
      </text>
    </comment>
    <comment ref="AI22" authorId="0" shapeId="0">
      <text>
        <t>3절 스칼라 '판관비율' 참조 — 숫자로 덮어쓰면 이 분기만 바뀐다
매출액 × 판관비율 14.42%(최근 4분기 중위)</t>
      </text>
    </comment>
    <comment ref="AK22" authorId="0" shapeId="0">
      <text>
        <t>3절 스칼라 '판관비율' 참조 — 숫자로 덮어쓰면 이 분기만 바뀐다
매출액 × 판관비율 14.42%(최근 4분기 중위)</t>
      </text>
    </comment>
    <comment ref="AL22" authorId="0" shapeId="0">
      <text>
        <t>3절 스칼라 '판관비율' 참조 — 숫자로 덮어쓰면 이 분기만 바뀐다
매출액 × 판관비율 14.42%(최근 4분기 중위)</t>
      </text>
    </comment>
    <comment ref="AM22" authorId="0" shapeId="0">
      <text>
        <t>3절 스칼라 '판관비율' 참조 — 숫자로 덮어쓰면 이 분기만 바뀐다
매출액 × 판관비율 14.42%(최근 4분기 중위)</t>
      </text>
    </comment>
    <comment ref="AN22" authorId="0" shapeId="0">
      <text>
        <t>3절 스칼라 '판관비율' 참조 — 숫자로 덮어쓰면 이 분기만 바뀐다
매출액 × 판관비율 14.42%(최근 4분기 중위)</t>
      </text>
    </comment>
    <comment ref="AC23" authorId="0" shapeId="0">
      <text>
        <t>모델값 역산(implied): v / 매출액
매출액 × OPM(최근 8분기 OPM 중위 8.1% 유지(클립 −20~40%))</t>
      </text>
    </comment>
    <comment ref="AD23" authorId="0" shapeId="0">
      <text>
        <t>모델값 역산(implied): v / 매출액
매출액 × OPM(최근 8분기 OPM 중위 8.1% 유지(클립 −20~40%))</t>
      </text>
    </comment>
    <comment ref="AF23" authorId="0" shapeId="0">
      <text>
        <t>모델값 역산(implied): v / 매출액
매출액 × OPM(최근 8분기 OPM 중위 8.1% 유지(클립 −20~40%))</t>
      </text>
    </comment>
    <comment ref="AG23" authorId="0" shapeId="0">
      <text>
        <t>모델값 역산(implied): v / 매출액
매출액 × OPM(최근 8분기 OPM 중위 8.1% 유지(클립 −20~40%))</t>
      </text>
    </comment>
    <comment ref="AH23" authorId="0" shapeId="0">
      <text>
        <t>모델값 역산(implied): v / 매출액
매출액 × OPM(최근 8분기 OPM 중위 8.1% 유지(클립 −20~40%))</t>
      </text>
    </comment>
    <comment ref="AI23" authorId="0" shapeId="0">
      <text>
        <t>모델값 역산(implied): v / 매출액
매출액 × OPM(최근 8분기 OPM 중위 8.1% 유지(클립 −20~40%))</t>
      </text>
    </comment>
    <comment ref="AK23" authorId="0" shapeId="0">
      <text>
        <t>모델값 역산(implied): v / 매출액
매출액 × OPM(최근 8분기 OPM 중위 8.1% 유지(클립 −20~40%))</t>
      </text>
    </comment>
    <comment ref="AL23" authorId="0" shapeId="0">
      <text>
        <t>모델값 역산(implied): v / 매출액
매출액 × OPM(최근 8분기 OPM 중위 8.1% 유지(클립 −20~40%))</t>
      </text>
    </comment>
    <comment ref="AM23" authorId="0" shapeId="0">
      <text>
        <t>모델값 역산(implied): v / 매출액
매출액 × OPM(최근 8분기 OPM 중위 8.1% 유지(클립 −20~40%))</t>
      </text>
    </comment>
    <comment ref="AN23" authorId="0" shapeId="0">
      <text>
        <t>모델값 역산(implied): v / 매출액
매출액 × OPM(최근 8분기 OPM 중위 8.1%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1분기 &lt; 4 → 0</t>
      </text>
    </comment>
    <comment ref="AD26" authorId="0" shapeId="0">
      <text>
        <t>모델값 역산(implied): 모델 v 그대로
잔차 실측 1분기 &lt; 4 → 0</t>
      </text>
    </comment>
    <comment ref="AF26" authorId="0" shapeId="0">
      <text>
        <t>모델값 역산(implied): 모델 v 그대로
잔차 실측 1분기 &lt; 4 → 0</t>
      </text>
    </comment>
    <comment ref="AG26" authorId="0" shapeId="0">
      <text>
        <t>모델값 역산(implied): 모델 v 그대로
잔차 실측 1분기 &lt; 4 → 0</t>
      </text>
    </comment>
    <comment ref="AH26" authorId="0" shapeId="0">
      <text>
        <t>모델값 역산(implied): 모델 v 그대로
잔차 실측 1분기 &lt; 4 → 0</t>
      </text>
    </comment>
    <comment ref="AI26" authorId="0" shapeId="0">
      <text>
        <t>모델값 역산(implied): 모델 v 그대로
잔차 실측 1분기 &lt; 4 → 0</t>
      </text>
    </comment>
    <comment ref="AK26" authorId="0" shapeId="0">
      <text>
        <t>모델값 역산(implied): 모델 v 그대로
잔차 실측 1분기 &lt; 4 → 0</t>
      </text>
    </comment>
    <comment ref="AL26" authorId="0" shapeId="0">
      <text>
        <t>모델값 역산(implied): 모델 v 그대로
잔차 실측 1분기 &lt; 4 → 0</t>
      </text>
    </comment>
    <comment ref="AM26" authorId="0" shapeId="0">
      <text>
        <t>모델값 역산(implied): 모델 v 그대로
잔차 실측 1분기 &lt; 4 → 0</t>
      </text>
    </comment>
    <comment ref="AN26" authorId="0" shapeId="0">
      <text>
        <t>모델값 역산(implied): 모델 v 그대로
잔차 실측 1분기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D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F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G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H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I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K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L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M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N28" authorId="0" shapeId="0">
      <text>
        <t>3절 스칼라 '세율' 참조 — 숫자로 덮어쓰면 이 분기만 바뀐다
max(세전, 0) × 세율 17.3%(최근 12분기 유효세율 17.3%(5~27% 안 — 그대로))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D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F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G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H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I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K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L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M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N34" authorId="0" shapeId="0">
      <text>
        <t>모델값 역산(implied): v / 전분기 − 1
전분기 − FCF 근사[순이익 − 배당(감가상각비 없음 → CAPEX≈감가 가정, CAPEX 중위 65억은 행에만)]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600원 유지</t>
      </text>
    </comment>
    <comment ref="AI40" authorId="0" shapeId="0">
      <text>
        <t>모델값 역산(implied): 모델 v 그대로
직전 결산 DPS 600원 유지</t>
      </text>
    </comment>
    <comment ref="AN40" authorId="0" shapeId="0">
      <text>
        <t>모델값 역산(implied): 모델 v 그대로
직전 결산 DPS 600원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(1+7.3%) — g=최근 4분기 합 YoY 7.3% 클립(−30~+50%), 연차별 절반 감쇠(가정)
[yoy]</t>
      </text>
    </comment>
    <comment ref="AD5" authorId="0" shapeId="0">
      <text>
        <t>추정: 전년동기 × (1+7.3%) — g=최근 4분기 합 YoY 7.3% 클립(−30~+50%), 연차별 절반 감쇠(가정)
[yoy]</t>
      </text>
    </comment>
    <comment ref="AF5" authorId="0" shapeId="0">
      <text>
        <t>추정: 전년동기 × (1+7.3%) — g=최근 4분기 합 YoY 7.3% 클립(−30~+50%), 연차별 절반 감쇠(가정)
[yoy]</t>
      </text>
    </comment>
    <comment ref="AG5" authorId="0" shapeId="0">
      <text>
        <t>추정: 전년동기 × (1+7.3%) — g=최근 4분기 합 YoY 7.3% 클립(−30~+50%), 연차별 절반 감쇠(가정)
[yoy]</t>
      </text>
    </comment>
    <comment ref="AH5" authorId="0" shapeId="0">
      <text>
        <t>추정: 전년동기 × (1+3.6%) — g=최근 4분기 합 YoY 7.3% 클립(−30~+50%), 연차별 절반 감쇠(가정)
[yoy]</t>
      </text>
    </comment>
    <comment ref="AI5" authorId="0" shapeId="0">
      <text>
        <t>추정: 전년동기 × (1+3.6%) — g=최근 4분기 합 YoY 7.3% 클립(−30~+50%), 연차별 절반 감쇠(가정)
[yoy]</t>
      </text>
    </comment>
    <comment ref="AK5" authorId="0" shapeId="0">
      <text>
        <t>추정: 전년동기 × (1+3.6%) — g=최근 4분기 합 YoY 7.3% 클립(−30~+50%), 연차별 절반 감쇠(가정)
[yoy]</t>
      </text>
    </comment>
    <comment ref="AL5" authorId="0" shapeId="0">
      <text>
        <t>추정: 전년동기 × (1+3.6%) — g=최근 4분기 합 YoY 7.3% 클립(−30~+50%), 연차별 절반 감쇠(가정)
[yoy]</t>
      </text>
    </comment>
    <comment ref="AM5" authorId="0" shapeId="0">
      <text>
        <t>추정: 전년동기 × (1+1.8%) — g=최근 4분기 합 YoY 7.3% 클립(−30~+50%), 연차별 절반 감쇠(가정)
[yoy]</t>
      </text>
    </comment>
    <comment ref="AN5" authorId="0" shapeId="0">
      <text>
        <t>추정: 전년동기 × (1+1.8%) — g=최근 4분기 합 YoY 7.3%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14.42%(최근 4분기 중위)
[ratio]</t>
      </text>
    </comment>
    <comment ref="AD8" authorId="0" shapeId="0">
      <text>
        <t>추정: 매출액 × 판관비율 14.42%(최근 4분기 중위)
[ratio]</t>
      </text>
    </comment>
    <comment ref="AF8" authorId="0" shapeId="0">
      <text>
        <t>추정: 매출액 × 판관비율 14.42%(최근 4분기 중위)
[ratio]</t>
      </text>
    </comment>
    <comment ref="AG8" authorId="0" shapeId="0">
      <text>
        <t>추정: 매출액 × 판관비율 14.42%(최근 4분기 중위)
[ratio]</t>
      </text>
    </comment>
    <comment ref="AH8" authorId="0" shapeId="0">
      <text>
        <t>추정: 매출액 × 판관비율 14.42%(최근 4분기 중위)
[ratio]</t>
      </text>
    </comment>
    <comment ref="AI8" authorId="0" shapeId="0">
      <text>
        <t>추정: 매출액 × 판관비율 14.42%(최근 4분기 중위)
[ratio]</t>
      </text>
    </comment>
    <comment ref="AK8" authorId="0" shapeId="0">
      <text>
        <t>추정: 매출액 × 판관비율 14.42%(최근 4분기 중위)
[ratio]</t>
      </text>
    </comment>
    <comment ref="AL8" authorId="0" shapeId="0">
      <text>
        <t>추정: 매출액 × 판관비율 14.42%(최근 4분기 중위)
[ratio]</t>
      </text>
    </comment>
    <comment ref="AM8" authorId="0" shapeId="0">
      <text>
        <t>추정: 매출액 × 판관비율 14.42%(최근 4분기 중위)
[ratio]</t>
      </text>
    </comment>
    <comment ref="AN8" authorId="0" shapeId="0">
      <text>
        <t>추정: 매출액 × 판관비율 14.42%(최근 4분기 중위)
[ratio]</t>
      </text>
    </comment>
    <comment ref="AC9" authorId="0" shapeId="0">
      <text>
        <t>추정: 매출액 × OPM(최근 8분기 OPM 중위 8.1% 유지(클립 −20~40%))
[ratio]</t>
      </text>
    </comment>
    <comment ref="AD9" authorId="0" shapeId="0">
      <text>
        <t>추정: 매출액 × OPM(최근 8분기 OPM 중위 8.1% 유지(클립 −20~40%))
[ratio]</t>
      </text>
    </comment>
    <comment ref="AF9" authorId="0" shapeId="0">
      <text>
        <t>추정: 매출액 × OPM(최근 8분기 OPM 중위 8.1% 유지(클립 −20~40%))
[ratio]</t>
      </text>
    </comment>
    <comment ref="AG9" authorId="0" shapeId="0">
      <text>
        <t>추정: 매출액 × OPM(최근 8분기 OPM 중위 8.1% 유지(클립 −20~40%))
[ratio]</t>
      </text>
    </comment>
    <comment ref="AH9" authorId="0" shapeId="0">
      <text>
        <t>추정: 매출액 × OPM(최근 8분기 OPM 중위 8.1% 유지(클립 −20~40%))
[ratio]</t>
      </text>
    </comment>
    <comment ref="AI9" authorId="0" shapeId="0">
      <text>
        <t>추정: 매출액 × OPM(최근 8분기 OPM 중위 8.1% 유지(클립 −20~40%))
[ratio]</t>
      </text>
    </comment>
    <comment ref="AK9" authorId="0" shapeId="0">
      <text>
        <t>추정: 매출액 × OPM(최근 8분기 OPM 중위 8.1% 유지(클립 −20~40%))
[ratio]</t>
      </text>
    </comment>
    <comment ref="AL9" authorId="0" shapeId="0">
      <text>
        <t>추정: 매출액 × OPM(최근 8분기 OPM 중위 8.1% 유지(클립 −20~40%))
[ratio]</t>
      </text>
    </comment>
    <comment ref="AM9" authorId="0" shapeId="0">
      <text>
        <t>추정: 매출액 × OPM(최근 8분기 OPM 중위 8.1% 유지(클립 −20~40%))
[ratio]</t>
      </text>
    </comment>
    <comment ref="AN9" authorId="0" shapeId="0">
      <text>
        <t>추정: 매출액 × OPM(최근 8분기 OPM 중위 8.1% 유지(클립 −20~40%))
[ratio]</t>
      </text>
    </comment>
    <comment ref="AC10" authorId="0" shapeId="0">
      <text>
        <t>추정: 최근 8분기 OPM 중위 8.1% 유지(클립 −20~40%)
[divide]</t>
      </text>
    </comment>
    <comment ref="AD10" authorId="0" shapeId="0">
      <text>
        <t>추정: 최근 8분기 OPM 중위 8.1% 유지(클립 −20~40%)
[divide]</t>
      </text>
    </comment>
    <comment ref="AF10" authorId="0" shapeId="0">
      <text>
        <t>추정: 최근 8분기 OPM 중위 8.1% 유지(클립 −20~40%)
[divide]</t>
      </text>
    </comment>
    <comment ref="AG10" authorId="0" shapeId="0">
      <text>
        <t>추정: 최근 8분기 OPM 중위 8.1% 유지(클립 −20~40%)
[divide]</t>
      </text>
    </comment>
    <comment ref="AH10" authorId="0" shapeId="0">
      <text>
        <t>추정: 최근 8분기 OPM 중위 8.1% 유지(클립 −20~40%)
[divide]</t>
      </text>
    </comment>
    <comment ref="AI10" authorId="0" shapeId="0">
      <text>
        <t>추정: 최근 8분기 OPM 중위 8.1% 유지(클립 −20~40%)
[divide]</t>
      </text>
    </comment>
    <comment ref="AK10" authorId="0" shapeId="0">
      <text>
        <t>추정: 최근 8분기 OPM 중위 8.1% 유지(클립 −20~40%)
[divide]</t>
      </text>
    </comment>
    <comment ref="AL10" authorId="0" shapeId="0">
      <text>
        <t>추정: 최근 8분기 OPM 중위 8.1% 유지(클립 −20~40%)
[divide]</t>
      </text>
    </comment>
    <comment ref="AM10" authorId="0" shapeId="0">
      <text>
        <t>추정: 최근 8분기 OPM 중위 8.1% 유지(클립 −20~40%)
[divide]</t>
      </text>
    </comment>
    <comment ref="AN10" authorId="0" shapeId="0">
      <text>
        <t>추정: 최근 8분기 OPM 중위 8.1% 유지(클립 −20~40%)
[divide]</t>
      </text>
    </comment>
    <comment ref="AC11" authorId="0" shapeId="0">
      <text>
        <t>추정: 이자손익 + 외환손익 0 + 파생상품손익 0 + 기타금융손익 +0.00억(잔차 실측 1분기 &lt; 4 → 0) (항등식); 이자손익 = 이자발생자산 166억 × 2.53%(CF 이자수취 ÷ 평균 이자발생자산(2025Q3~2026Q2; 주석 이자수익 2분기 &lt; 4)) − 총차입금 938억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1분기 &lt; 4 → 0) (항등식); 이자손익 = 이자발생자산 194억 × 2.53%(CF 이자수취 ÷ 평균 이자발생자산(2025Q3~2026Q2; 주석 이자수익 2분기 &lt; 4)) − 총차입금 938억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1분기 &lt; 4 → 0) (항등식); 이자손익 = 이자발생자산 219억 × 2.53%(CF 이자수취 ÷ 평균 이자발생자산(2025Q3~2026Q2; 주석 이자수익 2분기 &lt; 4)) − 총차입금 938억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1분기 &lt; 4 → 0) (항등식); 이자손익 = 이자발생자산 246억 × 2.53%(CF 이자수취 ÷ 평균 이자발생자산(2025Q3~2026Q2; 주석 이자수익 2분기 &lt; 4)) − 총차입금 938억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1분기 &lt; 4 → 0) (항등식); 이자손익 = 이자발생자산 223억 × 2.53%(CF 이자수취 ÷ 평균 이자발생자산(2025Q3~2026Q2; 주석 이자수익 2분기 &lt; 4)) − 총차입금 938억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1분기 &lt; 4 → 0) (항등식); 이자손익 = 이자발생자산 252억 × 2.53%(CF 이자수취 ÷ 평균 이자발생자산(2025Q3~2026Q2; 주석 이자수익 2분기 &lt; 4)) − 총차입금 938억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1분기 &lt; 4 → 0) (항등식); 이자손익 = 이자발생자산 278억 × 2.53%(CF 이자수취 ÷ 평균 이자발생자산(2025Q3~2026Q2; 주석 이자수익 2분기 &lt; 4)) − 총차입금 938억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1분기 &lt; 4 → 0) (항등식); 이자손익 = 이자발생자산 307억 × 2.53%(CF 이자수취 ÷ 평균 이자발생자산(2025Q3~2026Q2; 주석 이자수익 2분기 &lt; 4)) − 총차입금 938억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1분기 &lt; 4 → 0) (항등식); 이자손익 = 이자발생자산 285억 × 2.53%(CF 이자수취 ÷ 평균 이자발생자산(2025Q3~2026Q2; 주석 이자수익 2분기 &lt; 4)) − 총차입금 938억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1분기 &lt; 4 → 0) (항등식); 이자손익 = 이자발생자산 315억 × 2.53%(CF 이자수취 ÷ 평균 이자발생자산(2025Q3~2026Q2; 주석 이자수익 2분기 &lt; 4)) − 총차입금 938억 × 0.00%(없음) (연율) ÷ 4; 환율 효과는 환관련손익 행 별도
[identity]</t>
      </text>
    </comment>
    <comment ref="AC12" authorId="0" shapeId="0">
      <text>
        <t>추정: 이자발생자산 166억 × 2.53%(CF 이자수취 ÷ 평균 이자발생자산(2025Q3~2026Q2; 주석 이자수익 2분기 &lt; 4)) − 총차입금 938억 × 0.00%(없음) (연율) ÷ 4
[interest]</t>
      </text>
    </comment>
    <comment ref="AD12" authorId="0" shapeId="0">
      <text>
        <t>추정: 이자발생자산 194억 × 2.53%(CF 이자수취 ÷ 평균 이자발생자산(2025Q3~2026Q2; 주석 이자수익 2분기 &lt; 4)) − 총차입금 938억 × 0.00%(없음) (연율) ÷ 4
[interest]</t>
      </text>
    </comment>
    <comment ref="AF12" authorId="0" shapeId="0">
      <text>
        <t>추정: 이자발생자산 219억 × 2.53%(CF 이자수취 ÷ 평균 이자발생자산(2025Q3~2026Q2; 주석 이자수익 2분기 &lt; 4)) − 총차입금 938억 × 0.00%(없음) (연율) ÷ 4
[interest]</t>
      </text>
    </comment>
    <comment ref="AG12" authorId="0" shapeId="0">
      <text>
        <t>추정: 이자발생자산 246억 × 2.53%(CF 이자수취 ÷ 평균 이자발생자산(2025Q3~2026Q2; 주석 이자수익 2분기 &lt; 4)) − 총차입금 938억 × 0.00%(없음) (연율) ÷ 4
[interest]</t>
      </text>
    </comment>
    <comment ref="AH12" authorId="0" shapeId="0">
      <text>
        <t>추정: 이자발생자산 223억 × 2.53%(CF 이자수취 ÷ 평균 이자발생자산(2025Q3~2026Q2; 주석 이자수익 2분기 &lt; 4)) − 총차입금 938억 × 0.00%(없음) (연율) ÷ 4
[interest]</t>
      </text>
    </comment>
    <comment ref="AI12" authorId="0" shapeId="0">
      <text>
        <t>추정: 이자발생자산 252억 × 2.53%(CF 이자수취 ÷ 평균 이자발생자산(2025Q3~2026Q2; 주석 이자수익 2분기 &lt; 4)) − 총차입금 938억 × 0.00%(없음) (연율) ÷ 4
[interest]</t>
      </text>
    </comment>
    <comment ref="AK12" authorId="0" shapeId="0">
      <text>
        <t>추정: 이자발생자산 278억 × 2.53%(CF 이자수취 ÷ 평균 이자발생자산(2025Q3~2026Q2; 주석 이자수익 2분기 &lt; 4)) − 총차입금 938억 × 0.00%(없음) (연율) ÷ 4
[interest]</t>
      </text>
    </comment>
    <comment ref="AL12" authorId="0" shapeId="0">
      <text>
        <t>추정: 이자발생자산 307억 × 2.53%(CF 이자수취 ÷ 평균 이자발생자산(2025Q3~2026Q2; 주석 이자수익 2분기 &lt; 4)) − 총차입금 938억 × 0.00%(없음) (연율) ÷ 4
[interest]</t>
      </text>
    </comment>
    <comment ref="AM12" authorId="0" shapeId="0">
      <text>
        <t>추정: 이자발생자산 285억 × 2.53%(CF 이자수취 ÷ 평균 이자발생자산(2025Q3~2026Q2; 주석 이자수익 2분기 &lt; 4)) − 총차입금 938억 × 0.00%(없음) (연율) ÷ 4
[interest]</t>
      </text>
    </comment>
    <comment ref="AN12" authorId="0" shapeId="0">
      <text>
        <t>추정: 이자발생자산 315억 × 2.53%(CF 이자수취 ÷ 평균 이자발생자산(2025Q3~2026Q2; 주석 이자수익 2분기 &lt; 4)) − 총차입금 938억 × 0.00%(없음) (연율) ÷ 4
[interest]</t>
      </text>
    </comment>
    <comment ref="G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1분기 &lt; 4 → 0
[abs]</t>
      </text>
    </comment>
    <comment ref="AD15" authorId="0" shapeId="0">
      <text>
        <t>추정: 잔차 실측 1분기 &lt; 4 → 0
[abs]</t>
      </text>
    </comment>
    <comment ref="AF15" authorId="0" shapeId="0">
      <text>
        <t>추정: 잔차 실측 1분기 &lt; 4 → 0
[abs]</t>
      </text>
    </comment>
    <comment ref="AG15" authorId="0" shapeId="0">
      <text>
        <t>추정: 잔차 실측 1분기 &lt; 4 → 0
[abs]</t>
      </text>
    </comment>
    <comment ref="AH15" authorId="0" shapeId="0">
      <text>
        <t>추정: 잔차 실측 1분기 &lt; 4 → 0
[abs]</t>
      </text>
    </comment>
    <comment ref="AI15" authorId="0" shapeId="0">
      <text>
        <t>추정: 잔차 실측 1분기 &lt; 4 → 0
[abs]</t>
      </text>
    </comment>
    <comment ref="AK15" authorId="0" shapeId="0">
      <text>
        <t>추정: 잔차 실측 1분기 &lt; 4 → 0
[abs]</t>
      </text>
    </comment>
    <comment ref="AL15" authorId="0" shapeId="0">
      <text>
        <t>추정: 잔차 실측 1분기 &lt; 4 → 0
[abs]</t>
      </text>
    </comment>
    <comment ref="AM15" authorId="0" shapeId="0">
      <text>
        <t>추정: 잔차 실측 1분기 &lt; 4 → 0
[abs]</t>
      </text>
    </comment>
    <comment ref="AN15" authorId="0" shapeId="0">
      <text>
        <t>추정: 잔차 실측 1분기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17.3%(최근 12분기 유효세율 17.3%(5~27% 안 — 그대로))
[tax]</t>
      </text>
    </comment>
    <comment ref="AD18" authorId="0" shapeId="0">
      <text>
        <t>추정: max(세전, 0) × 세율 17.3%(최근 12분기 유효세율 17.3%(5~27% 안 — 그대로))
[tax]</t>
      </text>
    </comment>
    <comment ref="AF18" authorId="0" shapeId="0">
      <text>
        <t>추정: max(세전, 0) × 세율 17.3%(최근 12분기 유효세율 17.3%(5~27% 안 — 그대로))
[tax]</t>
      </text>
    </comment>
    <comment ref="AG18" authorId="0" shapeId="0">
      <text>
        <t>추정: max(세전, 0) × 세율 17.3%(최근 12분기 유효세율 17.3%(5~27% 안 — 그대로))
[tax]</t>
      </text>
    </comment>
    <comment ref="AH18" authorId="0" shapeId="0">
      <text>
        <t>추정: max(세전, 0) × 세율 17.3%(최근 12분기 유효세율 17.3%(5~27% 안 — 그대로))
[tax]</t>
      </text>
    </comment>
    <comment ref="AI18" authorId="0" shapeId="0">
      <text>
        <t>추정: max(세전, 0) × 세율 17.3%(최근 12분기 유효세율 17.3%(5~27% 안 — 그대로))
[tax]</t>
      </text>
    </comment>
    <comment ref="AK18" authorId="0" shapeId="0">
      <text>
        <t>추정: max(세전, 0) × 세율 17.3%(최근 12분기 유효세율 17.3%(5~27% 안 — 그대로))
[tax]</t>
      </text>
    </comment>
    <comment ref="AL18" authorId="0" shapeId="0">
      <text>
        <t>추정: max(세전, 0) × 세율 17.3%(최근 12분기 유효세율 17.3%(5~27% 안 — 그대로))
[tax]</t>
      </text>
    </comment>
    <comment ref="AM18" authorId="0" shapeId="0">
      <text>
        <t>추정: max(세전, 0) × 세율 17.3%(최근 12분기 유효세율 17.3%(5~27% 안 — 그대로))
[tax]</t>
      </text>
    </comment>
    <comment ref="AN18" authorId="0" shapeId="0">
      <text>
        <t>추정: max(세전, 0) × 세율 17.3%(최근 12분기 유효세율 17.3%(5~27% 안 — 그대로))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65억은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600원 유지
[abs]</t>
      </text>
    </comment>
    <comment ref="AI34" authorId="0" shapeId="0">
      <text>
        <t>추정: 직전 결산 DPS 600원 유지
[abs]</t>
      </text>
    </comment>
    <comment ref="AN34" authorId="0" shapeId="0">
      <text>
        <t>추정: 직전 결산 DPS 600원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비엠티(086670)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17.28% — 법인세 = MAX(세전,0) × 세율, 추정 전 분기 연결(Σ법인세/Σmax(세전,0) 역산, 재현 오차 ≤ 0.05억). 모델 가정 17.28% · 근거: 최근 12분기 유효세율 17.3%(5~27% 안 — 그대로)</t>
        </is>
      </c>
    </row>
    <row r="23">
      <c r="A23" t="inlineStr">
        <is>
          <t>· 판관비율 14.42%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2.53% / 부채 0.00% — 이자손익 = (전분기 이자발생자산 × 자산이자율 − 전분기 총차입금 × 부채이자율)/4, 최소자승 역산(모델 assumptions [0.0253, None] 는 4자리 반올림이라 그대로 쓰면 ±1억 어긋남) · 출처: {"asset": "CF 이자수취 ÷ 평균 이자발생자산(2025Q3~2026Q2; 주석 이자수익 2분기 &lt; 4)",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6.8/8.1/14.8배(hist_quarterly(분기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assets/models/086670.json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OOS 기각 — 동결 2025Q2 이후 4분기 매출 WAPE 연동 15.7% &gt; 추세 11.6% × 1.10 (suppliers_mentions·시차 1·4분기 이동합·창 8, r=0.91 유의)): 전년동기 × (1+g) 추세 / 감가상각비가 face·CF 에 없음(주석 미파싱) → EBITDA·EV/EBITDA 미산출 / 금융손익 실적→추정 단절: 최근 4분기 실적 +7/+5/+24/+4(중위 +6억) → 추정 2026Q3 +1억(차 -5억, -82%)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11.6, "op_wape_pct": 52.5,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359.49, "rev_act": 374.64, "op_pred": 21.1, "op_act": 58.13}, {"q": "2025Q4", "rev_pred": 399.64, "rev_act": 336.61, "op_pred": 23.45, "op_act": 33.07}, {"q": "2026Q1", "rev_pred": 402.89, "rev_act": 355.69, "op_pred": 23.64, "op_act": 17.72}, {"q": "2026Q2", "rev_pred": 432.3, "rev_act": 486.47, "op_pred": 25.37, "op_act": 62.96}]}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11600</v>
      </c>
      <c r="F15" s="9" t="n"/>
      <c r="G15" s="18" t="n">
        <v>12000</v>
      </c>
      <c r="H15" s="18" t="n">
        <v>12200</v>
      </c>
      <c r="I15" s="18" t="n">
        <v>13600</v>
      </c>
      <c r="J15" s="18" t="n">
        <v>14900</v>
      </c>
      <c r="K15" s="9" t="n"/>
      <c r="L15" s="18" t="n">
        <v>14070</v>
      </c>
      <c r="M15" s="18" t="n">
        <v>15830</v>
      </c>
      <c r="N15" s="18" t="n">
        <v>13680</v>
      </c>
      <c r="O15" s="18" t="n">
        <v>13460</v>
      </c>
      <c r="P15" s="9" t="n"/>
      <c r="Q15" s="18" t="n">
        <v>11470</v>
      </c>
      <c r="R15" s="18" t="n">
        <v>12350</v>
      </c>
      <c r="S15" s="18" t="n">
        <v>9840</v>
      </c>
      <c r="T15" s="18" t="n">
        <v>7310</v>
      </c>
      <c r="U15" s="9" t="n"/>
      <c r="V15" s="18" t="n">
        <v>8800</v>
      </c>
      <c r="W15" s="18" t="n">
        <v>9690</v>
      </c>
      <c r="X15" s="18" t="n">
        <v>11860</v>
      </c>
      <c r="Y15" s="18" t="n">
        <v>11650</v>
      </c>
      <c r="Z15" s="9" t="n"/>
      <c r="AA15" s="18" t="n">
        <v>14860</v>
      </c>
      <c r="AB15" s="19" t="n">
        <v>15990</v>
      </c>
      <c r="AC15" s="20" t="n">
        <v>19100</v>
      </c>
      <c r="AD15" s="20" t="n">
        <v>17320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13600</v>
      </c>
      <c r="F16" s="9" t="n"/>
      <c r="G16" s="18" t="n">
        <v>13800</v>
      </c>
      <c r="H16" s="18" t="n">
        <v>13300</v>
      </c>
      <c r="I16" s="18" t="n">
        <v>18950</v>
      </c>
      <c r="J16" s="18" t="n">
        <v>17850</v>
      </c>
      <c r="K16" s="9" t="n"/>
      <c r="L16" s="18" t="n">
        <v>16080</v>
      </c>
      <c r="M16" s="18" t="n">
        <v>16150</v>
      </c>
      <c r="N16" s="18" t="n">
        <v>17290</v>
      </c>
      <c r="O16" s="18" t="n">
        <v>14110</v>
      </c>
      <c r="P16" s="9" t="n"/>
      <c r="Q16" s="18" t="n">
        <v>14060</v>
      </c>
      <c r="R16" s="18" t="n">
        <v>14400</v>
      </c>
      <c r="S16" s="18" t="n">
        <v>13650</v>
      </c>
      <c r="T16" s="18" t="n">
        <v>9840</v>
      </c>
      <c r="U16" s="9" t="n"/>
      <c r="V16" s="18" t="n">
        <v>10240</v>
      </c>
      <c r="W16" s="18" t="n">
        <v>10120</v>
      </c>
      <c r="X16" s="18" t="n">
        <v>13060</v>
      </c>
      <c r="Y16" s="18" t="n">
        <v>13750</v>
      </c>
      <c r="Z16" s="9" t="n"/>
      <c r="AA16" s="18" t="n">
        <v>16000</v>
      </c>
      <c r="AB16" s="19" t="n">
        <v>22200</v>
      </c>
      <c r="AC16" s="20" t="n">
        <v>19740</v>
      </c>
      <c r="AD16" s="20" t="n">
        <v>19820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10300</v>
      </c>
      <c r="F17" s="9" t="n"/>
      <c r="G17" s="18" t="n">
        <v>10200</v>
      </c>
      <c r="H17" s="18" t="n">
        <v>10650</v>
      </c>
      <c r="I17" s="18" t="n">
        <v>11000</v>
      </c>
      <c r="J17" s="18" t="n">
        <v>11900</v>
      </c>
      <c r="K17" s="9" t="n"/>
      <c r="L17" s="18" t="n">
        <v>12580</v>
      </c>
      <c r="M17" s="18" t="n">
        <v>13330</v>
      </c>
      <c r="N17" s="18" t="n">
        <v>13140</v>
      </c>
      <c r="O17" s="18" t="n">
        <v>12520</v>
      </c>
      <c r="P17" s="9" t="n"/>
      <c r="Q17" s="18" t="n">
        <v>11200</v>
      </c>
      <c r="R17" s="18" t="n">
        <v>11440</v>
      </c>
      <c r="S17" s="18" t="n">
        <v>8970</v>
      </c>
      <c r="T17" s="18" t="n">
        <v>6900</v>
      </c>
      <c r="U17" s="9" t="n"/>
      <c r="V17" s="18" t="n">
        <v>7050</v>
      </c>
      <c r="W17" s="18" t="n">
        <v>7990</v>
      </c>
      <c r="X17" s="18" t="n">
        <v>9390</v>
      </c>
      <c r="Y17" s="18" t="n">
        <v>10610</v>
      </c>
      <c r="Z17" s="9" t="n"/>
      <c r="AA17" s="18" t="n">
        <v>11200</v>
      </c>
      <c r="AB17" s="19" t="n">
        <v>13200</v>
      </c>
      <c r="AC17" s="20" t="n">
        <v>13000</v>
      </c>
      <c r="AD17" s="20" t="n">
        <v>17030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11523</v>
      </c>
      <c r="F18" s="9" t="n"/>
      <c r="G18" s="18" t="n">
        <v>11608.5</v>
      </c>
      <c r="H18" s="18" t="n">
        <v>12299.2</v>
      </c>
      <c r="I18" s="18" t="n">
        <v>14554</v>
      </c>
      <c r="J18" s="18" t="n">
        <v>14521</v>
      </c>
      <c r="K18" s="9" t="n"/>
      <c r="L18" s="18" t="n">
        <v>14542.7</v>
      </c>
      <c r="M18" s="18" t="n">
        <v>14628.9</v>
      </c>
      <c r="N18" s="18" t="n">
        <v>15046</v>
      </c>
      <c r="O18" s="18" t="n">
        <v>13403</v>
      </c>
      <c r="P18" s="9" t="n"/>
      <c r="Q18" s="18" t="n">
        <v>12682.3</v>
      </c>
      <c r="R18" s="18" t="n">
        <v>12953.8</v>
      </c>
      <c r="S18" s="18" t="n">
        <v>10953.7</v>
      </c>
      <c r="T18" s="18" t="n">
        <v>8426.1</v>
      </c>
      <c r="U18" s="9" t="n"/>
      <c r="V18" s="18" t="n">
        <v>8462.200000000001</v>
      </c>
      <c r="W18" s="18" t="n">
        <v>9225.700000000001</v>
      </c>
      <c r="X18" s="18" t="n">
        <v>10814.2</v>
      </c>
      <c r="Y18" s="18" t="n">
        <v>12338.1</v>
      </c>
      <c r="Z18" s="9" t="n"/>
      <c r="AA18" s="18" t="n">
        <v>12970.2</v>
      </c>
      <c r="AB18" s="19" t="n">
        <v>15803</v>
      </c>
      <c r="AC18" s="20" t="n">
        <v>16264.5</v>
      </c>
      <c r="AD18" s="20" t="n">
        <v>18648.8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0.07261477099999999</v>
      </c>
      <c r="AD21" s="24" t="n">
        <v>0.072604368</v>
      </c>
      <c r="AE21" s="25" t="n"/>
      <c r="AF21" s="24" t="n">
        <v>0.072612782</v>
      </c>
      <c r="AG21" s="24" t="n">
        <v>0.07262281399999999</v>
      </c>
      <c r="AH21" s="24" t="n">
        <v>0.036307983</v>
      </c>
      <c r="AI21" s="24" t="n">
        <v>0.03631076</v>
      </c>
      <c r="AJ21" s="25" t="n"/>
      <c r="AK21" s="24" t="n">
        <v>0.03630216</v>
      </c>
      <c r="AL21" s="24" t="n">
        <v>0.036297432</v>
      </c>
      <c r="AM21" s="24" t="n">
        <v>0.018154312</v>
      </c>
      <c r="AN21" s="24" t="n">
        <v>0.018174043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0.081450328</v>
      </c>
      <c r="AD23" s="24" t="n">
        <v>0.081456862</v>
      </c>
      <c r="AE23" s="25">
        <f>IFERROR(subQ!AE9/subQ!AE5,"")</f>
        <v/>
      </c>
      <c r="AF23" s="24" t="n">
        <v>0.081437408</v>
      </c>
      <c r="AG23" s="24" t="n">
        <v>0.081448831</v>
      </c>
      <c r="AH23" s="24" t="n">
        <v>0.081454266</v>
      </c>
      <c r="AI23" s="24" t="n">
        <v>0.081435749</v>
      </c>
      <c r="AJ23" s="25">
        <f>IFERROR(subQ!AJ9/subQ!AJ5,"")</f>
        <v/>
      </c>
      <c r="AK23" s="24" t="n">
        <v>0.08144269899999999</v>
      </c>
      <c r="AL23" s="24" t="n">
        <v>0.081443947</v>
      </c>
      <c r="AM23" s="24" t="n">
        <v>0.0814406</v>
      </c>
      <c r="AN23" s="24" t="n">
        <v>0.081452121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$D$50</f>
        <v/>
      </c>
      <c r="AD28" s="26">
        <f>$D$50</f>
        <v/>
      </c>
      <c r="AE28" s="25">
        <f>IFERROR(subQ!AE18/subQ!AE17,"")</f>
        <v/>
      </c>
      <c r="AF28" s="26">
        <f>$D$50</f>
        <v/>
      </c>
      <c r="AG28" s="26">
        <f>$D$50</f>
        <v/>
      </c>
      <c r="AH28" s="26">
        <f>$D$50</f>
        <v/>
      </c>
      <c r="AI28" s="26">
        <f>$D$50</f>
        <v/>
      </c>
      <c r="AJ28" s="25">
        <f>IFERROR(subQ!AJ18/subQ!AJ17,"")</f>
        <v/>
      </c>
      <c r="AK28" s="26">
        <f>$D$50</f>
        <v/>
      </c>
      <c r="AL28" s="26">
        <f>$D$50</f>
        <v/>
      </c>
      <c r="AM28" s="26">
        <f>$D$50</f>
        <v/>
      </c>
      <c r="AN28" s="26">
        <f>$D$50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1.483e-06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-0.000361512</v>
      </c>
      <c r="AD31" s="30" t="n">
        <v>0.001152911</v>
      </c>
      <c r="AE31" s="31" t="n"/>
      <c r="AF31" s="30" t="n">
        <v>0.006899988</v>
      </c>
      <c r="AG31" s="30" t="n">
        <v>59.552204268</v>
      </c>
      <c r="AH31" s="30" t="n">
        <v>0.003966356</v>
      </c>
      <c r="AI31" s="30" t="n">
        <v>-0.006927007</v>
      </c>
      <c r="AJ31" s="31" t="n"/>
      <c r="AK31" s="30" t="n">
        <v>0.002898817</v>
      </c>
      <c r="AL31" s="30" t="n">
        <v>59.553892803</v>
      </c>
      <c r="AM31" s="30" t="n">
        <v>-0.005311662</v>
      </c>
      <c r="AN31" s="30" t="n">
        <v>0.006779145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-0.001361512</v>
      </c>
      <c r="AD32" s="30" t="n">
        <v>0.011152911</v>
      </c>
      <c r="AE32" s="31" t="n"/>
      <c r="AF32" s="30" t="n">
        <v>-0.003100012</v>
      </c>
      <c r="AG32" s="30" t="n">
        <v>59.552204268</v>
      </c>
      <c r="AH32" s="30" t="n">
        <v>0.003966356</v>
      </c>
      <c r="AI32" s="30" t="n">
        <v>-0.006927007</v>
      </c>
      <c r="AJ32" s="31" t="n"/>
      <c r="AK32" s="30" t="n">
        <v>0.002898817</v>
      </c>
      <c r="AL32" s="30" t="n">
        <v>59.553892803</v>
      </c>
      <c r="AM32" s="30" t="n">
        <v>-0.005311662</v>
      </c>
      <c r="AN32" s="30" t="n">
        <v>0.006779145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4.265e-06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-0.034568061</v>
      </c>
      <c r="AD34" s="24" t="n">
        <v>-0.032478019</v>
      </c>
      <c r="AE34" s="25" t="n"/>
      <c r="AF34" s="24" t="n">
        <v>-0.035568567</v>
      </c>
      <c r="AG34" s="24" t="n">
        <v>0.031743197</v>
      </c>
      <c r="AH34" s="24" t="n">
        <v>-0.038900871</v>
      </c>
      <c r="AI34" s="24" t="n">
        <v>-0.036735372</v>
      </c>
      <c r="AJ34" s="25" t="n"/>
      <c r="AK34" s="24" t="n">
        <v>-0.040408398</v>
      </c>
      <c r="AL34" s="24" t="n">
        <v>0.032249363</v>
      </c>
      <c r="AM34" s="24" t="n">
        <v>-0.04362533</v>
      </c>
      <c r="AN34" s="24" t="n">
        <v>-0.041471227</v>
      </c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0.168558852</v>
      </c>
      <c r="AD35" s="24" t="n">
        <v>0.130847878</v>
      </c>
      <c r="AE35" s="25" t="n"/>
      <c r="AF35" s="24" t="n">
        <v>0.12260274</v>
      </c>
      <c r="AG35" s="24" t="n">
        <v>-0.09400040699999999</v>
      </c>
      <c r="AH35" s="24" t="n">
        <v>0.13118434</v>
      </c>
      <c r="AI35" s="24" t="n">
        <v>0.105254802</v>
      </c>
      <c r="AJ35" s="25" t="n"/>
      <c r="AK35" s="24" t="n">
        <v>0.100904912</v>
      </c>
      <c r="AL35" s="24" t="n">
        <v>-0.07019375</v>
      </c>
      <c r="AM35" s="24" t="n">
        <v>0.105416404</v>
      </c>
      <c r="AN35" s="24" t="n">
        <v>0.08669988300000001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2.659179107</v>
      </c>
      <c r="AD37" s="24" t="n">
        <v>-0.183180525</v>
      </c>
      <c r="AE37" s="25" t="n"/>
      <c r="AF37" s="24" t="n">
        <v>0.289067178</v>
      </c>
      <c r="AG37" s="24" t="n">
        <v>-0.400472827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subQ!E34</f>
        <v/>
      </c>
      <c r="F40" s="28">
        <f>subQ!F34</f>
        <v/>
      </c>
      <c r="G40" s="27">
        <f>subQ!G34</f>
        <v/>
      </c>
      <c r="H40" s="27">
        <f>subQ!H34</f>
        <v/>
      </c>
      <c r="I40" s="27">
        <f>subQ!I34</f>
        <v/>
      </c>
      <c r="J40" s="27">
        <f>subQ!J34</f>
        <v/>
      </c>
      <c r="K40" s="28">
        <f>subQ!K34</f>
        <v/>
      </c>
      <c r="L40" s="27">
        <f>subQ!L34</f>
        <v/>
      </c>
      <c r="M40" s="27">
        <f>subQ!M34</f>
        <v/>
      </c>
      <c r="N40" s="27">
        <f>subQ!N34</f>
        <v/>
      </c>
      <c r="O40" s="27">
        <f>subQ!O34</f>
        <v/>
      </c>
      <c r="P40" s="28">
        <f>subQ!P34</f>
        <v/>
      </c>
      <c r="Q40" s="27">
        <f>subQ!Q34</f>
        <v/>
      </c>
      <c r="R40" s="27">
        <f>subQ!R34</f>
        <v/>
      </c>
      <c r="S40" s="27">
        <f>subQ!S34</f>
        <v/>
      </c>
      <c r="T40" s="27">
        <f>subQ!T34</f>
        <v/>
      </c>
      <c r="U40" s="28">
        <f>subQ!U34</f>
        <v/>
      </c>
      <c r="V40" s="27">
        <f>subQ!V34</f>
        <v/>
      </c>
      <c r="W40" s="27">
        <f>subQ!W34</f>
        <v/>
      </c>
      <c r="X40" s="27">
        <f>subQ!X34</f>
        <v/>
      </c>
      <c r="Y40" s="27">
        <f>subQ!Y34</f>
        <v/>
      </c>
      <c r="Z40" s="28">
        <f>subQ!Z34</f>
        <v/>
      </c>
      <c r="AA40" s="27">
        <f>subQ!AA34</f>
        <v/>
      </c>
      <c r="AB40" s="29">
        <f>subQ!AB34</f>
        <v/>
      </c>
      <c r="AC40" s="33" t="n"/>
      <c r="AD40" s="30" t="n">
        <v>600</v>
      </c>
      <c r="AE40" s="31">
        <f>subQ!AE34</f>
        <v/>
      </c>
      <c r="AF40" s="33" t="n"/>
      <c r="AG40" s="33" t="n"/>
      <c r="AH40" s="33" t="n"/>
      <c r="AI40" s="30" t="n">
        <v>600</v>
      </c>
      <c r="AJ40" s="31">
        <f>subQ!AJ34</f>
        <v/>
      </c>
      <c r="AK40" s="33" t="n"/>
      <c r="AL40" s="33" t="n"/>
      <c r="AM40" s="33" t="n"/>
      <c r="AN40" s="30" t="n">
        <v>600</v>
      </c>
      <c r="AO40" s="31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17320</v>
      </c>
      <c r="E43" s="2" t="inlineStr">
        <is>
          <t>원 — 네이버 정규장 종가(aik 확정종가 대조 · aik 18,440원)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20261014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6.8</v>
      </c>
      <c r="E46" s="2" t="inlineStr">
        <is>
          <t>PER 밴드 하단(배) — hist_quarterly(분기 평균가 ÷ TTM EPS, 16분기, 25/50/75 백분위)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8.1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14.8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0.1728091270063195</v>
      </c>
      <c r="E50" s="2" t="inlineStr">
        <is>
          <t>연결 — 법인세 = MAX(세전,0) × 세율(역산, 재현 오차 ≤ 0.05억 · 모델 assumptions 0.1728) · 최근 12분기 유효세율 17.3%(5~27% 안 — 그대로)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0.1441615489797183</v>
      </c>
      <c r="E51" s="2" t="inlineStr">
        <is>
          <t>연결 — 판관비 = 매출액 × 판관비율(역산, 재현 오차 ≤ 0.05억 · 모델 assumptions 0.1442)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0.02530608356313368</v>
      </c>
      <c r="E53" s="2" t="inlineStr">
        <is>
          <t>연결 — 이자손익 = (전분기 이자발생자산 × 자산이자율 − 전분기 총차입금 × 부채이자율)/4(역산, 재현 오차 ≤ 0.05억 · 모델 assumptions 0.0253)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</v>
      </c>
      <c r="E54" s="2" t="inlineStr">
        <is>
          <t>연결 — 같은 수식의 부채 쪽(총차입금 행이 없으면 0)(역산,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0.3133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비엠티(연)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100364</v>
      </c>
      <c r="F5" s="37" t="n">
        <v>100364</v>
      </c>
      <c r="G5" s="18" t="n">
        <v>110686.4</v>
      </c>
      <c r="H5" s="18" t="n">
        <v>120060.79</v>
      </c>
      <c r="I5" s="18" t="n">
        <v>128647.77</v>
      </c>
      <c r="J5" s="18" t="n">
        <v>124648.91</v>
      </c>
      <c r="K5" s="37" t="n">
        <v>124648.91</v>
      </c>
      <c r="L5" s="18" t="n">
        <v>133380.88</v>
      </c>
      <c r="M5" s="18" t="n">
        <v>137473.31</v>
      </c>
      <c r="N5" s="18" t="n">
        <v>127997.78</v>
      </c>
      <c r="O5" s="18" t="n">
        <v>122633.36</v>
      </c>
      <c r="P5" s="37" t="n">
        <v>122633.36</v>
      </c>
      <c r="Q5" s="18" t="n">
        <v>125888.62</v>
      </c>
      <c r="R5" s="18" t="n">
        <v>128525.21</v>
      </c>
      <c r="S5" s="18" t="n">
        <v>132806.74</v>
      </c>
      <c r="T5" s="18" t="n">
        <v>137308.03</v>
      </c>
      <c r="U5" s="37" t="n">
        <v>137308.03</v>
      </c>
      <c r="V5" s="18" t="n">
        <v>133388.8</v>
      </c>
      <c r="W5" s="18" t="n">
        <v>130729.31</v>
      </c>
      <c r="X5" s="18" t="n">
        <v>136454.53</v>
      </c>
      <c r="Y5" s="18" t="n">
        <v>145964.48</v>
      </c>
      <c r="Z5" s="37" t="n">
        <v>145964.48</v>
      </c>
      <c r="AA5" s="18" t="n">
        <v>152842.38</v>
      </c>
      <c r="AB5" s="19" t="n">
        <v>142684.19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20472.68</v>
      </c>
      <c r="F6" s="37" t="n">
        <v>20472.68</v>
      </c>
      <c r="G6" s="18" t="n">
        <v>16817.78</v>
      </c>
      <c r="H6" s="18" t="n">
        <v>16091.73</v>
      </c>
      <c r="I6" s="18" t="n">
        <v>13863.87</v>
      </c>
      <c r="J6" s="18" t="n">
        <v>2852.08</v>
      </c>
      <c r="K6" s="37" t="n">
        <v>2852.08</v>
      </c>
      <c r="L6" s="18" t="n">
        <v>5967.36</v>
      </c>
      <c r="M6" s="18" t="n">
        <v>12003.04</v>
      </c>
      <c r="N6" s="18" t="n">
        <v>4354.01</v>
      </c>
      <c r="O6" s="18" t="n">
        <v>8554.5</v>
      </c>
      <c r="P6" s="37" t="n">
        <v>8554.5</v>
      </c>
      <c r="Q6" s="18" t="n">
        <v>4767.75</v>
      </c>
      <c r="R6" s="18" t="n">
        <v>3436.08</v>
      </c>
      <c r="S6" s="18" t="n">
        <v>14637.55</v>
      </c>
      <c r="T6" s="18" t="n">
        <v>1931.26</v>
      </c>
      <c r="U6" s="37" t="n">
        <v>1931.26</v>
      </c>
      <c r="V6" s="18" t="n">
        <v>4099.77</v>
      </c>
      <c r="W6" s="18" t="n">
        <v>10253.96</v>
      </c>
      <c r="X6" s="18" t="n">
        <v>15534.84</v>
      </c>
      <c r="Y6" s="18" t="n">
        <v>29703.46</v>
      </c>
      <c r="Z6" s="37" t="n">
        <v>29703.46</v>
      </c>
      <c r="AA6" s="18" t="n">
        <v>15786.65</v>
      </c>
      <c r="AB6" s="19" t="n">
        <v>2425.4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6681.84</v>
      </c>
      <c r="F7" s="37" t="n">
        <v>6681.84</v>
      </c>
      <c r="G7" s="18" t="n">
        <v>12692.92</v>
      </c>
      <c r="H7" s="18" t="n">
        <v>12842.47</v>
      </c>
      <c r="I7" s="18" t="n">
        <v>11155.03</v>
      </c>
      <c r="J7" s="18" t="n">
        <v>16426.48</v>
      </c>
      <c r="K7" s="37" t="n">
        <v>16426.48</v>
      </c>
      <c r="L7" s="18" t="n">
        <v>15820.56</v>
      </c>
      <c r="M7" s="18" t="n">
        <v>4191.19</v>
      </c>
      <c r="N7" s="18" t="n">
        <v>6897.63</v>
      </c>
      <c r="O7" s="18" t="n">
        <v>1730.85</v>
      </c>
      <c r="P7" s="37" t="n">
        <v>1730.85</v>
      </c>
      <c r="Q7" s="18" t="n">
        <v>7159.17</v>
      </c>
      <c r="R7" s="18" t="n">
        <v>9275.559999999999</v>
      </c>
      <c r="S7" s="18" t="n">
        <v>4706.07</v>
      </c>
      <c r="T7" s="18" t="n">
        <v>15551.15</v>
      </c>
      <c r="U7" s="37" t="n">
        <v>15551.15</v>
      </c>
      <c r="V7" s="18" t="n">
        <v>17189.06</v>
      </c>
      <c r="W7" s="18" t="n">
        <v>763.61</v>
      </c>
      <c r="X7" s="18" t="n">
        <v>14279.67</v>
      </c>
      <c r="Y7" s="18" t="n">
        <v>10574.83</v>
      </c>
      <c r="Z7" s="37" t="n">
        <v>10574.83</v>
      </c>
      <c r="AA7" s="18" t="n">
        <v>23940.29</v>
      </c>
      <c r="AB7" s="19" t="n">
        <v>10549.56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8493.84</v>
      </c>
      <c r="F8" s="37" t="n">
        <v>8493.84</v>
      </c>
      <c r="G8" s="18" t="n">
        <v>14628.92</v>
      </c>
      <c r="H8" s="18" t="n">
        <v>14838.47</v>
      </c>
      <c r="I8" s="18" t="n">
        <v>13301.53</v>
      </c>
      <c r="J8" s="18" t="n">
        <v>16544.54</v>
      </c>
      <c r="K8" s="37" t="n">
        <v>16544.54</v>
      </c>
      <c r="L8" s="18" t="n">
        <v>15910.19</v>
      </c>
      <c r="M8" s="18" t="n">
        <v>4422.88</v>
      </c>
      <c r="N8" s="18" t="n">
        <v>7034.72</v>
      </c>
      <c r="O8" s="18" t="n">
        <v>2002.88</v>
      </c>
      <c r="P8" s="37" t="n">
        <v>2002.88</v>
      </c>
      <c r="Q8" s="18" t="n">
        <v>7503.32</v>
      </c>
      <c r="R8" s="18" t="n">
        <v>9275.559999999999</v>
      </c>
      <c r="S8" s="18" t="n">
        <v>5119.3</v>
      </c>
      <c r="T8" s="18" t="n">
        <v>15707.73</v>
      </c>
      <c r="U8" s="37" t="n">
        <v>15707.73</v>
      </c>
      <c r="V8" s="18" t="n">
        <v>17248.93</v>
      </c>
      <c r="W8" s="18" t="n">
        <v>763.61</v>
      </c>
      <c r="X8" s="18" t="n">
        <v>14279.67</v>
      </c>
      <c r="Y8" s="18" t="n">
        <v>10574.83</v>
      </c>
      <c r="Z8" s="37" t="n">
        <v>10574.83</v>
      </c>
      <c r="AA8" s="18" t="n">
        <v>23940.29</v>
      </c>
      <c r="AB8" s="19" t="n">
        <v>10549.56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유동파생상품자산</t>
        </is>
      </c>
      <c r="E9" s="18" t="n">
        <v>1812</v>
      </c>
      <c r="F9" s="37" t="n">
        <v>1812</v>
      </c>
      <c r="G9" s="18" t="n">
        <v>1936</v>
      </c>
      <c r="H9" s="18" t="n">
        <v>1996</v>
      </c>
      <c r="I9" s="18" t="n">
        <v>2146.5</v>
      </c>
      <c r="J9" s="18" t="n">
        <v>118.06</v>
      </c>
      <c r="K9" s="37" t="n">
        <v>118.06</v>
      </c>
      <c r="L9" s="18" t="n">
        <v>89.63</v>
      </c>
      <c r="M9" s="18" t="n">
        <v>231.69</v>
      </c>
      <c r="N9" s="18" t="n">
        <v>137.09</v>
      </c>
      <c r="O9" s="18" t="n">
        <v>272.03</v>
      </c>
      <c r="P9" s="37" t="n">
        <v>272.03</v>
      </c>
      <c r="Q9" s="18" t="n">
        <v>344.15</v>
      </c>
      <c r="S9" s="18" t="n">
        <v>413.23</v>
      </c>
      <c r="T9" s="18" t="n">
        <v>156.58</v>
      </c>
      <c r="U9" s="37" t="n">
        <v>156.58</v>
      </c>
      <c r="V9" s="18" t="n">
        <v>59.87</v>
      </c>
      <c r="W9" s="18" t="n">
        <v>0</v>
      </c>
      <c r="X9" s="18" t="n">
        <v>0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23785.27</v>
      </c>
      <c r="F10" s="37" t="n">
        <v>23785.27</v>
      </c>
      <c r="G10" s="18" t="n">
        <v>21833.6</v>
      </c>
      <c r="H10" s="18" t="n">
        <v>29321.63</v>
      </c>
      <c r="I10" s="18" t="n">
        <v>33424.07</v>
      </c>
      <c r="J10" s="18" t="n">
        <v>34447.55</v>
      </c>
      <c r="K10" s="37" t="n">
        <v>34447.55</v>
      </c>
      <c r="L10" s="18" t="n">
        <v>32485.15</v>
      </c>
      <c r="M10" s="18" t="n">
        <v>37563.38</v>
      </c>
      <c r="N10" s="18" t="n">
        <v>24155.79</v>
      </c>
      <c r="O10" s="18" t="n">
        <v>27587.69</v>
      </c>
      <c r="P10" s="37" t="n">
        <v>27587.69</v>
      </c>
      <c r="Q10" s="18" t="n">
        <v>29099.45</v>
      </c>
      <c r="R10" s="18" t="n">
        <v>30667.5</v>
      </c>
      <c r="S10" s="18" t="n">
        <v>28426.73</v>
      </c>
      <c r="T10" s="18" t="n">
        <v>27422.63</v>
      </c>
      <c r="U10" s="37" t="n">
        <v>27422.63</v>
      </c>
      <c r="V10" s="18" t="n">
        <v>28672.19</v>
      </c>
      <c r="W10" s="18" t="n">
        <v>35976.75</v>
      </c>
      <c r="X10" s="18" t="n">
        <v>32356.27</v>
      </c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44277.68</v>
      </c>
      <c r="F11" s="37" t="n">
        <v>44277.68</v>
      </c>
      <c r="G11" s="18" t="n">
        <v>53077.66</v>
      </c>
      <c r="H11" s="18" t="n">
        <v>56998.71</v>
      </c>
      <c r="I11" s="18" t="n">
        <v>62788.02</v>
      </c>
      <c r="J11" s="18" t="n">
        <v>66525.81</v>
      </c>
      <c r="K11" s="37" t="n">
        <v>66525.81</v>
      </c>
      <c r="L11" s="18" t="n">
        <v>72915.08</v>
      </c>
      <c r="M11" s="18" t="n">
        <v>66277.28</v>
      </c>
      <c r="N11" s="18" t="n">
        <v>74837.33</v>
      </c>
      <c r="O11" s="18" t="n">
        <v>68243.03</v>
      </c>
      <c r="P11" s="37" t="n">
        <v>68243.03</v>
      </c>
      <c r="Q11" s="18" t="n">
        <v>68238.39</v>
      </c>
      <c r="R11" s="18" t="n">
        <v>67884.55</v>
      </c>
      <c r="S11" s="18" t="n">
        <v>67470.10000000001</v>
      </c>
      <c r="T11" s="18" t="n">
        <v>67147.50999999999</v>
      </c>
      <c r="U11" s="37" t="n">
        <v>67147.50999999999</v>
      </c>
      <c r="V11" s="18" t="n">
        <v>67588.52</v>
      </c>
      <c r="W11" s="18" t="n">
        <v>67574.11</v>
      </c>
      <c r="X11" s="18" t="n">
        <v>69054.71000000001</v>
      </c>
      <c r="Y11" s="18" t="n">
        <v>72194.71000000001</v>
      </c>
      <c r="Z11" s="37" t="n">
        <v>72194.71000000001</v>
      </c>
      <c r="AA11" s="18" t="n">
        <v>77926.78</v>
      </c>
      <c r="AB11" s="19" t="n">
        <v>83665.28999999999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3334.54</v>
      </c>
      <c r="F12" s="37" t="n">
        <v>3334.54</v>
      </c>
      <c r="G12" s="18" t="n">
        <v>3102.29</v>
      </c>
      <c r="H12" s="18" t="n">
        <v>1888.16</v>
      </c>
      <c r="I12" s="18" t="n">
        <v>4235.97</v>
      </c>
      <c r="J12" s="18" t="n">
        <v>3598.92</v>
      </c>
      <c r="K12" s="37" t="n">
        <v>3598.92</v>
      </c>
      <c r="L12" s="18" t="n">
        <v>3393.88</v>
      </c>
      <c r="M12" s="18" t="n">
        <v>3003.93</v>
      </c>
      <c r="N12" s="18" t="n">
        <v>2742.95</v>
      </c>
      <c r="O12" s="18" t="n">
        <v>1581.01</v>
      </c>
      <c r="P12" s="37" t="n">
        <v>1581.01</v>
      </c>
      <c r="Q12" s="18" t="n">
        <v>1360.32</v>
      </c>
      <c r="R12" s="18" t="n">
        <v>2279.57</v>
      </c>
      <c r="S12" s="18" t="n">
        <v>2593.82</v>
      </c>
      <c r="T12" s="18" t="n">
        <v>1884.82</v>
      </c>
      <c r="U12" s="37" t="n">
        <v>1884.82</v>
      </c>
      <c r="V12" s="18" t="n">
        <v>1595.14</v>
      </c>
      <c r="W12" s="18" t="n">
        <v>1986.23</v>
      </c>
      <c r="X12" s="18" t="n">
        <v>4023.9</v>
      </c>
      <c r="Y12" s="18" t="n">
        <v>3238.93</v>
      </c>
      <c r="Z12" s="37" t="n">
        <v>3238.93</v>
      </c>
      <c r="AA12" s="18" t="n">
        <v>3620.34</v>
      </c>
      <c r="AB12" s="19" t="n">
        <v>3301.52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85946.41</v>
      </c>
      <c r="F13" s="37" t="n">
        <v>85946.41</v>
      </c>
      <c r="G13" s="18" t="n">
        <v>89780.75</v>
      </c>
      <c r="H13" s="18" t="n">
        <v>97391.52</v>
      </c>
      <c r="I13" s="18" t="n">
        <v>106780.26</v>
      </c>
      <c r="J13" s="18" t="n">
        <v>113253.43</v>
      </c>
      <c r="K13" s="37" t="n">
        <v>113253.43</v>
      </c>
      <c r="L13" s="18" t="n">
        <v>123763.38</v>
      </c>
      <c r="M13" s="18" t="n">
        <v>121153.52</v>
      </c>
      <c r="N13" s="18" t="n">
        <v>126092.44</v>
      </c>
      <c r="O13" s="18" t="n">
        <v>126699.06</v>
      </c>
      <c r="P13" s="37" t="n">
        <v>126699.06</v>
      </c>
      <c r="Q13" s="18" t="n">
        <v>126561.23</v>
      </c>
      <c r="R13" s="18" t="n">
        <v>122825.37</v>
      </c>
      <c r="S13" s="18" t="n">
        <v>121162.76</v>
      </c>
      <c r="T13" s="18" t="n">
        <v>112363.37</v>
      </c>
      <c r="U13" s="37" t="n">
        <v>112363.37</v>
      </c>
      <c r="V13" s="18" t="n">
        <v>112071.36</v>
      </c>
      <c r="W13" s="18" t="n">
        <v>111530.71</v>
      </c>
      <c r="X13" s="18" t="n">
        <v>112353.78</v>
      </c>
      <c r="Y13" s="18" t="n">
        <v>116675.88</v>
      </c>
      <c r="Z13" s="37" t="n">
        <v>116675.88</v>
      </c>
      <c r="AA13" s="18" t="n">
        <v>121745.5</v>
      </c>
      <c r="AB13" s="19" t="n">
        <v>130722.47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4107.27</v>
      </c>
      <c r="F14" s="37" t="n">
        <v>4107.27</v>
      </c>
      <c r="G14" s="18" t="n">
        <v>4713.55</v>
      </c>
      <c r="H14" s="18" t="n">
        <v>4542.99</v>
      </c>
      <c r="I14" s="18" t="n">
        <v>4505.4</v>
      </c>
      <c r="J14" s="18" t="n">
        <v>4905.41</v>
      </c>
      <c r="K14" s="37" t="n">
        <v>4905.41</v>
      </c>
      <c r="L14" s="18" t="n">
        <v>5081.29</v>
      </c>
      <c r="M14" s="18" t="n">
        <v>3393.5</v>
      </c>
      <c r="N14" s="18" t="n">
        <v>3764.24</v>
      </c>
      <c r="O14" s="18" t="n">
        <v>3492.3</v>
      </c>
      <c r="P14" s="37" t="n">
        <v>3492.3</v>
      </c>
      <c r="Q14" s="18" t="n">
        <v>3938.53</v>
      </c>
      <c r="R14" s="18" t="n">
        <v>1819.92</v>
      </c>
      <c r="S14" s="18" t="n">
        <v>1816.55</v>
      </c>
      <c r="T14" s="18" t="n">
        <v>1742.83</v>
      </c>
      <c r="U14" s="37" t="n">
        <v>1742.83</v>
      </c>
      <c r="V14" s="18" t="n">
        <v>2153.17</v>
      </c>
      <c r="W14" s="18" t="n">
        <v>2163.98</v>
      </c>
      <c r="X14" s="18" t="n">
        <v>2344.86</v>
      </c>
      <c r="Y14" s="18" t="n">
        <v>2474.36</v>
      </c>
      <c r="Z14" s="37" t="n">
        <v>2474.36</v>
      </c>
      <c r="AA14" s="18" t="n">
        <v>2747.91</v>
      </c>
      <c r="AB14" s="19" t="n">
        <v>3597.59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4561.59</v>
      </c>
      <c r="F15" s="37" t="n">
        <v>4561.59</v>
      </c>
      <c r="G15" s="18" t="n">
        <v>5544.13</v>
      </c>
      <c r="H15" s="18" t="n">
        <v>5640.02</v>
      </c>
      <c r="I15" s="18" t="n">
        <v>5775.08</v>
      </c>
      <c r="J15" s="18" t="n">
        <v>6007.72</v>
      </c>
      <c r="K15" s="37" t="n">
        <v>6007.72</v>
      </c>
      <c r="L15" s="18" t="n">
        <v>5905.37</v>
      </c>
      <c r="M15" s="18" t="n">
        <v>4312.06</v>
      </c>
      <c r="N15" s="18" t="n">
        <v>4762.46</v>
      </c>
      <c r="O15" s="18" t="n">
        <v>4023.14</v>
      </c>
      <c r="P15" s="37" t="n">
        <v>4023.14</v>
      </c>
      <c r="Q15" s="18" t="n">
        <v>4393.82</v>
      </c>
      <c r="R15" s="18" t="n">
        <v>1824.98</v>
      </c>
      <c r="S15" s="18" t="n">
        <v>1816.55</v>
      </c>
      <c r="T15" s="18" t="n">
        <v>1742.83</v>
      </c>
      <c r="U15" s="37" t="n">
        <v>1742.83</v>
      </c>
      <c r="V15" s="18" t="n">
        <v>2153.17</v>
      </c>
      <c r="W15" s="18" t="n">
        <v>2163.98</v>
      </c>
      <c r="X15" s="18" t="n">
        <v>2344.86</v>
      </c>
      <c r="Y15" s="18" t="n">
        <v>2474.36</v>
      </c>
      <c r="Z15" s="37" t="n">
        <v>2474.36</v>
      </c>
      <c r="AA15" s="18" t="n">
        <v>2747.91</v>
      </c>
      <c r="AB15" s="19" t="n">
        <v>3597.59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비유동파생상품자산</t>
        </is>
      </c>
      <c r="E16" s="18" t="n">
        <v>454.32</v>
      </c>
      <c r="F16" s="37" t="n">
        <v>454.32</v>
      </c>
      <c r="G16" s="18" t="n">
        <v>830.58</v>
      </c>
      <c r="H16" s="18" t="n">
        <v>1097.03</v>
      </c>
      <c r="I16" s="18" t="n">
        <v>1269.68</v>
      </c>
      <c r="J16" s="18" t="n">
        <v>1102.31</v>
      </c>
      <c r="K16" s="37" t="n">
        <v>1102.31</v>
      </c>
      <c r="L16" s="18" t="n">
        <v>824.08</v>
      </c>
      <c r="M16" s="18" t="n">
        <v>918.5599999999999</v>
      </c>
      <c r="N16" s="18" t="n">
        <v>998.22</v>
      </c>
      <c r="O16" s="18" t="n">
        <v>530.84</v>
      </c>
      <c r="P16" s="37" t="n">
        <v>530.84</v>
      </c>
      <c r="Q16" s="18" t="n">
        <v>455.29</v>
      </c>
      <c r="R16" s="18" t="n">
        <v>5.06</v>
      </c>
      <c r="S16" s="18" t="n">
        <v>0</v>
      </c>
      <c r="T16" s="18" t="n">
        <v>0</v>
      </c>
      <c r="U16" s="37" t="n">
        <v>0</v>
      </c>
      <c r="V16" s="18" t="n">
        <v>0</v>
      </c>
      <c r="W16" s="18" t="n">
        <v>0</v>
      </c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3203.57</v>
      </c>
      <c r="F17" s="37" t="n">
        <v>3203.57</v>
      </c>
      <c r="G17" s="18" t="n">
        <v>3186.55</v>
      </c>
      <c r="H17" s="18" t="n">
        <v>3169.34</v>
      </c>
      <c r="I17" s="18" t="n">
        <v>3151.94</v>
      </c>
      <c r="J17" s="18" t="n">
        <v>0</v>
      </c>
      <c r="K17" s="37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37" t="n">
        <v>0</v>
      </c>
      <c r="R17" s="18" t="n">
        <v>7682.97</v>
      </c>
      <c r="S17" s="18" t="n">
        <v>7650.77</v>
      </c>
      <c r="U17" s="9" t="n"/>
      <c r="Z17" s="9" t="n"/>
      <c r="AB17" s="19" t="n">
        <v>3667.62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73830.33</v>
      </c>
      <c r="F18" s="37" t="n">
        <v>73830.33</v>
      </c>
      <c r="G18" s="18" t="n">
        <v>77473.21000000001</v>
      </c>
      <c r="H18" s="18" t="n">
        <v>84793.07000000001</v>
      </c>
      <c r="I18" s="18" t="n">
        <v>94113.23</v>
      </c>
      <c r="J18" s="18" t="n">
        <v>102819.46</v>
      </c>
      <c r="K18" s="37" t="n">
        <v>102819.46</v>
      </c>
      <c r="L18" s="18" t="n">
        <v>113709.02</v>
      </c>
      <c r="M18" s="18" t="n">
        <v>112075.32</v>
      </c>
      <c r="N18" s="18" t="n">
        <v>117072.42</v>
      </c>
      <c r="O18" s="18" t="n">
        <v>117929.47</v>
      </c>
      <c r="P18" s="37" t="n">
        <v>117929.47</v>
      </c>
      <c r="Q18" s="18" t="n">
        <v>117451.47</v>
      </c>
      <c r="R18" s="18" t="n">
        <v>107957.82</v>
      </c>
      <c r="S18" s="18" t="n">
        <v>106302.26</v>
      </c>
      <c r="T18" s="18" t="n">
        <v>104691.3</v>
      </c>
      <c r="U18" s="37" t="n">
        <v>104691.3</v>
      </c>
      <c r="V18" s="18" t="n">
        <v>103862.13</v>
      </c>
      <c r="W18" s="18" t="n">
        <v>103414.33</v>
      </c>
      <c r="X18" s="18" t="n">
        <v>103744.39</v>
      </c>
      <c r="Y18" s="18" t="n">
        <v>109206.89</v>
      </c>
      <c r="Z18" s="37" t="n">
        <v>109206.89</v>
      </c>
      <c r="AA18" s="18" t="n">
        <v>114047.54</v>
      </c>
      <c r="AB18" s="19" t="n">
        <v>118564.73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876.1900000000001</v>
      </c>
      <c r="F19" s="37" t="n">
        <v>876.1900000000001</v>
      </c>
      <c r="G19" s="18" t="n">
        <v>822.11</v>
      </c>
      <c r="H19" s="18" t="n">
        <v>772.8099999999999</v>
      </c>
      <c r="I19" s="18" t="n">
        <v>713.38</v>
      </c>
      <c r="J19" s="18" t="n">
        <v>890.8099999999999</v>
      </c>
      <c r="K19" s="37" t="n">
        <v>890.8099999999999</v>
      </c>
      <c r="L19" s="18" t="n">
        <v>594.9299999999999</v>
      </c>
      <c r="M19" s="18" t="n">
        <v>1137.41</v>
      </c>
      <c r="N19" s="18" t="n">
        <v>1097.47</v>
      </c>
      <c r="O19" s="18" t="n">
        <v>1226.92</v>
      </c>
      <c r="P19" s="37" t="n">
        <v>1226.92</v>
      </c>
      <c r="Q19" s="18" t="n">
        <v>1196.41</v>
      </c>
      <c r="S19" s="18" t="n">
        <v>1363.65</v>
      </c>
      <c r="T19" s="18" t="n">
        <v>1314.64</v>
      </c>
      <c r="U19" s="37" t="n">
        <v>1314.64</v>
      </c>
      <c r="V19" s="18" t="n">
        <v>1340.9</v>
      </c>
      <c r="W19" s="18" t="n">
        <v>1273.83</v>
      </c>
      <c r="X19" s="18" t="n">
        <v>1230.24</v>
      </c>
      <c r="Y19" s="18" t="n">
        <v>1174.12</v>
      </c>
      <c r="Z19" s="37" t="n">
        <v>1174.12</v>
      </c>
      <c r="AA19" s="18" t="n">
        <v>1129.55</v>
      </c>
      <c r="AB19" s="19" t="n">
        <v>1087.97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2182.08</v>
      </c>
      <c r="F20" s="37" t="n">
        <v>2182.08</v>
      </c>
      <c r="I20" s="18" t="n">
        <v>2457.32</v>
      </c>
      <c r="J20" s="18" t="n">
        <v>2978.27</v>
      </c>
      <c r="K20" s="37" t="n">
        <v>2978.27</v>
      </c>
      <c r="L20" s="18" t="n">
        <v>2978.27</v>
      </c>
      <c r="M20" s="18" t="n">
        <v>3126.44</v>
      </c>
      <c r="N20" s="18" t="n">
        <v>3126.44</v>
      </c>
      <c r="O20" s="18" t="n">
        <v>3485.89</v>
      </c>
      <c r="P20" s="37" t="n">
        <v>3485.89</v>
      </c>
      <c r="Q20" s="18" t="n">
        <v>3485.89</v>
      </c>
      <c r="R20" s="18" t="n">
        <v>3607.63</v>
      </c>
      <c r="S20" s="18" t="n">
        <v>3485.89</v>
      </c>
      <c r="T20" s="18" t="n">
        <v>4070.96</v>
      </c>
      <c r="U20" s="37" t="n">
        <v>4070.96</v>
      </c>
      <c r="V20" s="18" t="n">
        <v>4070.96</v>
      </c>
      <c r="W20" s="18" t="n">
        <v>3734.3</v>
      </c>
      <c r="X20" s="18" t="n">
        <v>4070.96</v>
      </c>
      <c r="Y20" s="18" t="n">
        <v>3786.86</v>
      </c>
      <c r="Z20" s="37" t="n">
        <v>3786.86</v>
      </c>
      <c r="AA20" s="18" t="n">
        <v>3786.86</v>
      </c>
      <c r="AB20" s="19" t="n">
        <v>3770.92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947.75</v>
      </c>
      <c r="F21" s="37" t="n">
        <v>947.75</v>
      </c>
      <c r="G21" s="18" t="n">
        <v>2388.01</v>
      </c>
      <c r="H21" s="18" t="n">
        <v>2663.25</v>
      </c>
      <c r="I21" s="18" t="n">
        <v>205.93</v>
      </c>
      <c r="J21" s="18" t="n">
        <v>205.93</v>
      </c>
      <c r="K21" s="37" t="n">
        <v>205.93</v>
      </c>
      <c r="L21" s="18" t="n">
        <v>205.93</v>
      </c>
      <c r="M21" s="18" t="n">
        <v>144.15</v>
      </c>
      <c r="N21" s="18" t="n">
        <v>33.64</v>
      </c>
      <c r="O21" s="18" t="n">
        <v>33.64</v>
      </c>
      <c r="P21" s="37" t="n">
        <v>33.64</v>
      </c>
      <c r="Q21" s="18" t="n">
        <v>33.64</v>
      </c>
      <c r="R21" s="18" t="n">
        <v>33.64</v>
      </c>
      <c r="S21" s="18" t="n">
        <v>33.64</v>
      </c>
      <c r="T21" s="18" t="n">
        <v>33.64</v>
      </c>
      <c r="U21" s="37" t="n">
        <v>33.64</v>
      </c>
      <c r="V21" s="18" t="n">
        <v>33.64</v>
      </c>
      <c r="W21" s="18" t="n">
        <v>33.64</v>
      </c>
      <c r="X21" s="18" t="n">
        <v>33.64</v>
      </c>
      <c r="Y21" s="18" t="n">
        <v>33.64</v>
      </c>
      <c r="Z21" s="37" t="n">
        <v>33.64</v>
      </c>
      <c r="AA21" s="18" t="n">
        <v>33.64</v>
      </c>
      <c r="AB21" s="19" t="n">
        <v>33.64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186310.42</v>
      </c>
      <c r="F22" s="37" t="n">
        <v>186310.42</v>
      </c>
      <c r="G22" s="18" t="n">
        <v>200467.15</v>
      </c>
      <c r="H22" s="18" t="n">
        <v>217452.3</v>
      </c>
      <c r="I22" s="18" t="n">
        <v>235428.03</v>
      </c>
      <c r="J22" s="18" t="n">
        <v>237902.34</v>
      </c>
      <c r="K22" s="37" t="n">
        <v>237902.34</v>
      </c>
      <c r="L22" s="18" t="n">
        <v>257144.26</v>
      </c>
      <c r="M22" s="18" t="n">
        <v>258626.83</v>
      </c>
      <c r="N22" s="18" t="n">
        <v>254090.22</v>
      </c>
      <c r="O22" s="18" t="n">
        <v>249332.43</v>
      </c>
      <c r="P22" s="37" t="n">
        <v>249332.43</v>
      </c>
      <c r="Q22" s="18" t="n">
        <v>252449.86</v>
      </c>
      <c r="R22" s="18" t="n">
        <v>251350.58</v>
      </c>
      <c r="S22" s="18" t="n">
        <v>253969.5</v>
      </c>
      <c r="T22" s="18" t="n">
        <v>249671.4</v>
      </c>
      <c r="U22" s="37" t="n">
        <v>249671.4</v>
      </c>
      <c r="V22" s="18" t="n">
        <v>245460.16</v>
      </c>
      <c r="W22" s="18" t="n">
        <v>242260.02</v>
      </c>
      <c r="X22" s="18" t="n">
        <v>248808.3</v>
      </c>
      <c r="Y22" s="18" t="n">
        <v>262640.35</v>
      </c>
      <c r="Z22" s="37" t="n">
        <v>262640.35</v>
      </c>
      <c r="AA22" s="18" t="n">
        <v>274587.88</v>
      </c>
      <c r="AB22" s="19" t="n">
        <v>273406.67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60637.03</v>
      </c>
      <c r="F23" s="37" t="n">
        <v>60637.03</v>
      </c>
      <c r="G23" s="18" t="n">
        <v>73027.89999999999</v>
      </c>
      <c r="H23" s="18" t="n">
        <v>74225.06</v>
      </c>
      <c r="I23" s="18" t="n">
        <v>79043.86</v>
      </c>
      <c r="J23" s="18" t="n">
        <v>79490.87</v>
      </c>
      <c r="K23" s="37" t="n">
        <v>79490.87</v>
      </c>
      <c r="L23" s="18" t="n">
        <v>90118.38</v>
      </c>
      <c r="M23" s="18" t="n">
        <v>94360.21000000001</v>
      </c>
      <c r="N23" s="18" t="n">
        <v>93116.25999999999</v>
      </c>
      <c r="O23" s="18" t="n">
        <v>87276.21000000001</v>
      </c>
      <c r="P23" s="37" t="n">
        <v>87276.21000000001</v>
      </c>
      <c r="Q23" s="18" t="n">
        <v>94029.55</v>
      </c>
      <c r="R23" s="18" t="n">
        <v>125365.01</v>
      </c>
      <c r="S23" s="18" t="n">
        <v>133573.2</v>
      </c>
      <c r="T23" s="18" t="n">
        <v>124867.39</v>
      </c>
      <c r="U23" s="37" t="n">
        <v>124867.39</v>
      </c>
      <c r="V23" s="18" t="n">
        <v>121302.83</v>
      </c>
      <c r="W23" s="18" t="n">
        <v>117155.38</v>
      </c>
      <c r="X23" s="18" t="n">
        <v>101473.92</v>
      </c>
      <c r="Y23" s="18" t="n">
        <v>107571.84</v>
      </c>
      <c r="Z23" s="37" t="n">
        <v>107571.84</v>
      </c>
      <c r="AA23" s="18" t="n">
        <v>119165.11</v>
      </c>
      <c r="AB23" s="19" t="n">
        <v>110802.5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9635.120000000001</v>
      </c>
      <c r="F24" s="37" t="n">
        <v>9635.120000000001</v>
      </c>
      <c r="G24" s="18" t="n">
        <v>18996.52</v>
      </c>
      <c r="H24" s="18" t="n">
        <v>19098.71</v>
      </c>
      <c r="I24" s="18" t="n">
        <v>18100.48</v>
      </c>
      <c r="J24" s="18" t="n">
        <v>17769.34</v>
      </c>
      <c r="K24" s="37" t="n">
        <v>17769.34</v>
      </c>
      <c r="L24" s="18" t="n">
        <v>17650.51</v>
      </c>
      <c r="M24" s="18" t="n">
        <v>14426.37</v>
      </c>
      <c r="N24" s="18" t="n">
        <v>12608.51</v>
      </c>
      <c r="O24" s="18" t="n">
        <v>10588.8</v>
      </c>
      <c r="P24" s="37" t="n">
        <v>10588.8</v>
      </c>
      <c r="R24" s="18" t="n">
        <v>11475.18</v>
      </c>
      <c r="S24" s="18" t="n">
        <v>9997.48</v>
      </c>
      <c r="T24" s="18" t="n">
        <v>11569.97</v>
      </c>
      <c r="U24" s="37" t="n">
        <v>11569.97</v>
      </c>
      <c r="V24" s="18" t="n">
        <v>14097.8</v>
      </c>
      <c r="W24" s="18" t="n">
        <v>12659</v>
      </c>
      <c r="X24" s="18" t="n">
        <v>13739.19</v>
      </c>
      <c r="Y24" s="18" t="n">
        <v>11563.97</v>
      </c>
      <c r="Z24" s="37" t="n">
        <v>11563.97</v>
      </c>
      <c r="AA24" s="18" t="n">
        <v>19277.5</v>
      </c>
      <c r="AB24" s="19" t="n">
        <v>20879.14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44420</v>
      </c>
      <c r="F25" s="37" t="n">
        <v>44420</v>
      </c>
      <c r="G25" s="18" t="n">
        <v>45920</v>
      </c>
      <c r="H25" s="18" t="n">
        <v>45860</v>
      </c>
      <c r="I25" s="18" t="n">
        <v>50133.4</v>
      </c>
      <c r="J25" s="18" t="n">
        <v>52240.06</v>
      </c>
      <c r="K25" s="37" t="n">
        <v>52240.06</v>
      </c>
      <c r="L25" s="18" t="n">
        <v>57366.72</v>
      </c>
      <c r="M25" s="18" t="n">
        <v>56806.64</v>
      </c>
      <c r="N25" s="18" t="n">
        <v>63946.64</v>
      </c>
      <c r="O25" s="18" t="n">
        <v>64393.27</v>
      </c>
      <c r="P25" s="37" t="n">
        <v>64393.27</v>
      </c>
      <c r="Q25" s="18" t="n">
        <v>69146.64</v>
      </c>
      <c r="R25" s="18" t="n">
        <v>100246.64</v>
      </c>
      <c r="S25" s="18" t="n">
        <v>111146.64</v>
      </c>
      <c r="T25" s="18" t="n">
        <v>100146.64</v>
      </c>
      <c r="U25" s="37" t="n">
        <v>100146.64</v>
      </c>
      <c r="V25" s="18" t="n">
        <v>87846.64</v>
      </c>
      <c r="W25" s="18" t="n">
        <v>87279.98</v>
      </c>
      <c r="X25" s="18" t="n">
        <v>82113.32000000001</v>
      </c>
      <c r="Y25" s="18" t="n">
        <v>88946.66</v>
      </c>
      <c r="Z25" s="37" t="n">
        <v>88946.66</v>
      </c>
      <c r="AA25" s="18" t="n">
        <v>88780</v>
      </c>
      <c r="AB25" s="19" t="n">
        <v>84780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단기금융부채(face)</t>
        </is>
      </c>
      <c r="E26" s="18" t="n">
        <v>44420</v>
      </c>
      <c r="F26" s="37" t="n">
        <v>44420</v>
      </c>
      <c r="G26" s="18" t="n">
        <v>45920</v>
      </c>
      <c r="H26" s="18" t="n">
        <v>45860</v>
      </c>
      <c r="I26" s="18" t="n">
        <v>50133.4</v>
      </c>
      <c r="J26" s="18" t="n">
        <v>52240.06</v>
      </c>
      <c r="K26" s="37" t="n">
        <v>52240.06</v>
      </c>
      <c r="L26" s="18" t="n">
        <v>57366.72</v>
      </c>
      <c r="M26" s="18" t="n">
        <v>56806.64</v>
      </c>
      <c r="N26" s="18" t="n">
        <v>63946.64</v>
      </c>
      <c r="O26" s="18" t="n">
        <v>64393.27</v>
      </c>
      <c r="P26" s="37" t="n">
        <v>64393.27</v>
      </c>
      <c r="Q26" s="18" t="n">
        <v>69146.64</v>
      </c>
      <c r="R26" s="18" t="n">
        <v>100246.64</v>
      </c>
      <c r="S26" s="18" t="n">
        <v>111146.64</v>
      </c>
      <c r="T26" s="18" t="n">
        <v>100146.64</v>
      </c>
      <c r="U26" s="37" t="n">
        <v>100146.64</v>
      </c>
      <c r="V26" s="18" t="n">
        <v>87846.64</v>
      </c>
      <c r="W26" s="18" t="n">
        <v>87279.98</v>
      </c>
      <c r="X26" s="18" t="n">
        <v>82113.32000000001</v>
      </c>
      <c r="Y26" s="18" t="n">
        <v>88946.66</v>
      </c>
      <c r="Z26" s="37" t="n">
        <v>88946.66</v>
      </c>
      <c r="AA26" s="18" t="n">
        <v>88780</v>
      </c>
      <c r="AB26" s="19" t="n">
        <v>84780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2377.99</v>
      </c>
      <c r="F27" s="37" t="n">
        <v>2377.99</v>
      </c>
      <c r="G27" s="18" t="n">
        <v>2106.03</v>
      </c>
      <c r="H27" s="18" t="n">
        <v>3687.12</v>
      </c>
      <c r="I27" s="18" t="n">
        <v>5060.59</v>
      </c>
      <c r="J27" s="18" t="n">
        <v>3711.68</v>
      </c>
      <c r="K27" s="37" t="n">
        <v>3711.68</v>
      </c>
      <c r="L27" s="18" t="n">
        <v>5124.23</v>
      </c>
      <c r="M27" s="18" t="n">
        <v>5759.33</v>
      </c>
      <c r="N27" s="18" t="n">
        <v>3304.27</v>
      </c>
      <c r="O27" s="18" t="n">
        <v>849.71</v>
      </c>
      <c r="P27" s="37" t="n">
        <v>849.71</v>
      </c>
      <c r="Q27" s="18" t="n">
        <v>1184.52</v>
      </c>
      <c r="R27" s="18" t="n">
        <v>1358.28</v>
      </c>
      <c r="S27" s="18" t="n">
        <v>3</v>
      </c>
      <c r="T27" s="18" t="n">
        <v>106.91</v>
      </c>
      <c r="U27" s="37" t="n">
        <v>106.91</v>
      </c>
      <c r="V27" s="18" t="n">
        <v>905.78</v>
      </c>
      <c r="W27" s="18" t="n">
        <v>1098.97</v>
      </c>
      <c r="X27" s="18" t="n">
        <v>2390.14</v>
      </c>
      <c r="Y27" s="18" t="n">
        <v>4086.65</v>
      </c>
      <c r="Z27" s="37" t="n">
        <v>4086.65</v>
      </c>
      <c r="AA27" s="18" t="n">
        <v>2740.85</v>
      </c>
      <c r="AB27" s="19" t="n">
        <v>2757.11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4203.92</v>
      </c>
      <c r="F28" s="37" t="n">
        <v>4203.92</v>
      </c>
      <c r="G28" s="18" t="n">
        <v>5945.35</v>
      </c>
      <c r="H28" s="18" t="n">
        <v>5491.31</v>
      </c>
      <c r="I28" s="18" t="n">
        <v>5653.8</v>
      </c>
      <c r="J28" s="18" t="n">
        <v>5669.05</v>
      </c>
      <c r="K28" s="37" t="n">
        <v>5669.05</v>
      </c>
      <c r="L28" s="18" t="n">
        <v>9868.620000000001</v>
      </c>
      <c r="M28" s="18" t="n">
        <v>8717.6</v>
      </c>
      <c r="N28" s="18" t="n">
        <v>4470.23</v>
      </c>
      <c r="O28" s="18" t="n">
        <v>2684.39</v>
      </c>
      <c r="P28" s="37" t="n">
        <v>2684.39</v>
      </c>
      <c r="Q28" s="18" t="n">
        <v>4477.88</v>
      </c>
      <c r="R28" s="18" t="n">
        <v>2494.97</v>
      </c>
      <c r="S28" s="18" t="n">
        <v>2757.21</v>
      </c>
      <c r="T28" s="18" t="n">
        <v>3530.32</v>
      </c>
      <c r="U28" s="37" t="n">
        <v>3530.32</v>
      </c>
      <c r="V28" s="18" t="n">
        <v>9033.16</v>
      </c>
      <c r="W28" s="18" t="n">
        <v>6733.97</v>
      </c>
      <c r="X28" s="18" t="n">
        <v>3090.97</v>
      </c>
      <c r="Y28" s="18" t="n">
        <v>2835.27</v>
      </c>
      <c r="Z28" s="37" t="n">
        <v>2835.27</v>
      </c>
      <c r="AA28" s="18" t="n">
        <v>8229.92</v>
      </c>
      <c r="AB28" s="19" t="n">
        <v>2264.67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E29" s="18" t="n">
        <v>44656.36</v>
      </c>
      <c r="F29" s="37" t="n">
        <v>44656.36</v>
      </c>
      <c r="G29" s="18" t="n">
        <v>43805.76</v>
      </c>
      <c r="H29" s="18" t="n">
        <v>52193.29</v>
      </c>
      <c r="I29" s="18" t="n">
        <v>54345.72</v>
      </c>
      <c r="J29" s="18" t="n">
        <v>52047.99</v>
      </c>
      <c r="K29" s="37" t="n">
        <v>52047.99</v>
      </c>
      <c r="L29" s="18" t="n">
        <v>56962.36</v>
      </c>
      <c r="M29" s="18" t="n">
        <v>47996.96</v>
      </c>
      <c r="N29" s="18" t="n">
        <v>41169.17</v>
      </c>
      <c r="O29" s="18" t="n">
        <v>40789.05</v>
      </c>
      <c r="P29" s="37" t="n">
        <v>40789.05</v>
      </c>
      <c r="Q29" s="18" t="n">
        <v>36882.69</v>
      </c>
      <c r="R29" s="18" t="n">
        <v>5714.01</v>
      </c>
      <c r="S29" s="18" t="n">
        <v>1642.63</v>
      </c>
      <c r="T29" s="18" t="n">
        <v>1772.95</v>
      </c>
      <c r="U29" s="37" t="n">
        <v>1772.95</v>
      </c>
      <c r="V29" s="18" t="n">
        <v>1591.44</v>
      </c>
      <c r="W29" s="18" t="n">
        <v>1668.04</v>
      </c>
      <c r="X29" s="18" t="n">
        <v>2181.09</v>
      </c>
      <c r="Y29" s="18" t="n">
        <v>5629.33</v>
      </c>
      <c r="Z29" s="37" t="n">
        <v>5629.33</v>
      </c>
      <c r="AA29" s="18" t="n">
        <v>8268.84</v>
      </c>
      <c r="AB29" s="19" t="n">
        <v>10559.32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장기매입채무및기타채무</t>
        </is>
      </c>
      <c r="E30" s="18" t="n">
        <v>610.6</v>
      </c>
      <c r="F30" s="37" t="n">
        <v>610.6</v>
      </c>
      <c r="G30" s="18" t="n">
        <v>622.29</v>
      </c>
      <c r="H30" s="18" t="n">
        <v>628.91</v>
      </c>
      <c r="I30" s="18" t="n">
        <v>642.3</v>
      </c>
      <c r="J30" s="18" t="n">
        <v>790.34</v>
      </c>
      <c r="K30" s="37" t="n">
        <v>790.34</v>
      </c>
      <c r="L30" s="18" t="n">
        <v>835.84</v>
      </c>
      <c r="M30" s="18" t="n">
        <v>842.52</v>
      </c>
      <c r="N30" s="18" t="n">
        <v>894.0599999999999</v>
      </c>
      <c r="O30" s="18" t="n">
        <v>993.4299999999999</v>
      </c>
      <c r="P30" s="37" t="n">
        <v>993.4299999999999</v>
      </c>
      <c r="Q30" s="18" t="n">
        <v>1037.42</v>
      </c>
      <c r="R30" s="18" t="n">
        <v>1148.59</v>
      </c>
      <c r="S30" s="18" t="n">
        <v>1157.23</v>
      </c>
      <c r="T30" s="18" t="n">
        <v>1103.67</v>
      </c>
      <c r="U30" s="37" t="n">
        <v>1103.67</v>
      </c>
      <c r="V30" s="18" t="n">
        <v>1107.82</v>
      </c>
      <c r="W30" s="18" t="n">
        <v>1107.94</v>
      </c>
      <c r="X30" s="18" t="n">
        <v>1122.91</v>
      </c>
      <c r="Y30" s="18" t="n">
        <v>1136.67</v>
      </c>
      <c r="Z30" s="37" t="n">
        <v>1136.67</v>
      </c>
      <c r="AA30" s="18" t="n">
        <v>1121.79</v>
      </c>
      <c r="AB30" s="19" t="n">
        <v>1124.57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26560</v>
      </c>
      <c r="F31" s="37" t="n">
        <v>26560</v>
      </c>
      <c r="G31" s="18" t="n">
        <v>25000</v>
      </c>
      <c r="H31" s="18" t="n">
        <v>32887.6</v>
      </c>
      <c r="I31" s="18" t="n">
        <v>39178.46</v>
      </c>
      <c r="J31" s="18" t="n">
        <v>42311.8</v>
      </c>
      <c r="K31" s="37" t="n">
        <v>42311.8</v>
      </c>
      <c r="L31" s="18" t="n">
        <v>47103.96</v>
      </c>
      <c r="M31" s="18" t="n">
        <v>46937.3</v>
      </c>
      <c r="N31" s="18" t="n">
        <v>40070.64</v>
      </c>
      <c r="O31" s="18" t="n">
        <v>39603.98</v>
      </c>
      <c r="P31" s="37" t="n">
        <v>39603.98</v>
      </c>
      <c r="Q31" s="18" t="n">
        <v>35666.64</v>
      </c>
      <c r="R31" s="18" t="n">
        <v>4399.98</v>
      </c>
      <c r="S31" s="18" t="n">
        <v>333.32</v>
      </c>
      <c r="T31" s="18" t="n">
        <v>166.66</v>
      </c>
      <c r="U31" s="37" t="n">
        <v>166.66</v>
      </c>
      <c r="V31" s="18" t="n">
        <v>0</v>
      </c>
      <c r="W31" s="18" t="n">
        <v>100</v>
      </c>
      <c r="X31" s="18" t="n">
        <v>617.6</v>
      </c>
      <c r="Y31" s="18" t="n">
        <v>4037.6</v>
      </c>
      <c r="Z31" s="37" t="n">
        <v>4037.6</v>
      </c>
      <c r="AA31" s="18" t="n">
        <v>6710.6</v>
      </c>
      <c r="AB31" s="19" t="n">
        <v>9010.6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장기금융부채(face)</t>
        </is>
      </c>
      <c r="E32" s="18" t="n">
        <v>26560</v>
      </c>
      <c r="F32" s="37" t="n">
        <v>26560</v>
      </c>
      <c r="G32" s="18" t="n">
        <v>25000</v>
      </c>
      <c r="H32" s="18" t="n">
        <v>32887.6</v>
      </c>
      <c r="I32" s="18" t="n">
        <v>39178.46</v>
      </c>
      <c r="J32" s="18" t="n">
        <v>42311.8</v>
      </c>
      <c r="K32" s="37" t="n">
        <v>42311.8</v>
      </c>
      <c r="L32" s="18" t="n">
        <v>47103.96</v>
      </c>
      <c r="M32" s="18" t="n">
        <v>46937.3</v>
      </c>
      <c r="N32" s="18" t="n">
        <v>40070.64</v>
      </c>
      <c r="P32" s="9" t="n"/>
      <c r="S32" s="18" t="n">
        <v>333.32</v>
      </c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사채</t>
        </is>
      </c>
      <c r="E33" s="18" t="n">
        <v>20000</v>
      </c>
      <c r="F33" s="37" t="n">
        <v>20000</v>
      </c>
      <c r="G33" s="18" t="n">
        <v>15449.47</v>
      </c>
      <c r="H33" s="18" t="n">
        <v>15689.21</v>
      </c>
      <c r="I33" s="18" t="n">
        <v>11955.94</v>
      </c>
      <c r="J33" s="18" t="n">
        <v>7286.98</v>
      </c>
      <c r="K33" s="37" t="n">
        <v>7286.98</v>
      </c>
      <c r="L33" s="18" t="n">
        <v>7397.94</v>
      </c>
      <c r="M33" s="18" t="n">
        <v>0</v>
      </c>
      <c r="N33" s="18" t="n">
        <v>0</v>
      </c>
      <c r="O33" s="18" t="n">
        <v>0</v>
      </c>
      <c r="P33" s="37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37" t="n">
        <v>0</v>
      </c>
      <c r="V33" s="18" t="n">
        <v>0</v>
      </c>
      <c r="W33" s="18" t="n">
        <v>0</v>
      </c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장기파생상품부채</t>
        </is>
      </c>
      <c r="E34" s="18" t="n">
        <v>2198</v>
      </c>
      <c r="F34" s="37" t="n">
        <v>2198</v>
      </c>
      <c r="G34" s="18" t="n">
        <v>2664</v>
      </c>
      <c r="H34" s="18" t="n">
        <v>2796</v>
      </c>
      <c r="I34" s="18" t="n">
        <v>2362.5</v>
      </c>
      <c r="J34" s="18" t="n">
        <v>1440.9</v>
      </c>
      <c r="K34" s="37" t="n">
        <v>1440.9</v>
      </c>
      <c r="L34" s="18" t="n">
        <v>1395</v>
      </c>
      <c r="M34" s="18" t="n">
        <v>0</v>
      </c>
      <c r="N34" s="18" t="n">
        <v>0</v>
      </c>
      <c r="O34" s="18" t="n">
        <v>0</v>
      </c>
      <c r="P34" s="37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37" t="n">
        <v>0</v>
      </c>
      <c r="V34" s="18" t="n">
        <v>0</v>
      </c>
      <c r="W34" s="18" t="n">
        <v>0</v>
      </c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장기금융부채</t>
        </is>
      </c>
      <c r="E35" s="18" t="n">
        <v>2198</v>
      </c>
      <c r="F35" s="37" t="n">
        <v>2198</v>
      </c>
      <c r="G35" s="18" t="n">
        <v>2664</v>
      </c>
      <c r="H35" s="18" t="n">
        <v>2987.58</v>
      </c>
      <c r="I35" s="18" t="n">
        <v>2569.02</v>
      </c>
      <c r="J35" s="18" t="n">
        <v>1658.87</v>
      </c>
      <c r="K35" s="37" t="n">
        <v>1658.87</v>
      </c>
      <c r="L35" s="18" t="n">
        <v>1624.62</v>
      </c>
      <c r="M35" s="18" t="n">
        <v>217.13</v>
      </c>
      <c r="N35" s="18" t="n">
        <v>204.47</v>
      </c>
      <c r="O35" s="18" t="n">
        <v>191.64</v>
      </c>
      <c r="P35" s="37" t="n">
        <v>191.64</v>
      </c>
      <c r="Q35" s="18" t="n">
        <v>178.63</v>
      </c>
      <c r="R35" s="18" t="n">
        <v>165.44</v>
      </c>
      <c r="S35" s="18" t="n">
        <v>152.08</v>
      </c>
      <c r="T35" s="18" t="n">
        <v>254.1</v>
      </c>
      <c r="U35" s="37" t="n">
        <v>254.1</v>
      </c>
      <c r="V35" s="18" t="n">
        <v>235.1</v>
      </c>
      <c r="W35" s="18" t="n">
        <v>211.58</v>
      </c>
      <c r="X35" s="18" t="n">
        <v>192.06</v>
      </c>
      <c r="Y35" s="18" t="n">
        <v>172.29</v>
      </c>
      <c r="Z35" s="37" t="n">
        <v>172.29</v>
      </c>
      <c r="AA35" s="18" t="n">
        <v>153.67</v>
      </c>
      <c r="AB35" s="19" t="n">
        <v>141.38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기타비유동부채</t>
        </is>
      </c>
      <c r="E36" s="18" t="n">
        <v>70</v>
      </c>
      <c r="F36" s="37" t="n">
        <v>70</v>
      </c>
      <c r="G36" s="18" t="n">
        <v>70</v>
      </c>
      <c r="H36" s="18" t="n">
        <v>0</v>
      </c>
      <c r="I36" s="18" t="n">
        <v>0</v>
      </c>
      <c r="J36" s="18" t="n">
        <v>0</v>
      </c>
      <c r="K36" s="37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R36" s="18" t="n">
        <v>0</v>
      </c>
      <c r="S36" s="18" t="n">
        <v>0</v>
      </c>
      <c r="T36" s="18" t="n">
        <v>248.52</v>
      </c>
      <c r="U36" s="37" t="n">
        <v>248.52</v>
      </c>
      <c r="V36" s="18" t="n">
        <v>248.52</v>
      </c>
      <c r="W36" s="18" t="n">
        <v>248.52</v>
      </c>
      <c r="X36" s="18" t="n">
        <v>248.52</v>
      </c>
      <c r="Y36" s="18" t="n">
        <v>282.78</v>
      </c>
      <c r="Z36" s="37" t="n">
        <v>282.78</v>
      </c>
      <c r="AA36" s="18" t="n">
        <v>282.78</v>
      </c>
      <c r="AB36" s="19" t="n">
        <v>282.78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105293.39</v>
      </c>
      <c r="F37" s="37" t="n">
        <v>105293.39</v>
      </c>
      <c r="G37" s="18" t="n">
        <v>116833.66</v>
      </c>
      <c r="H37" s="18" t="n">
        <v>126418.35</v>
      </c>
      <c r="I37" s="18" t="n">
        <v>133389.59</v>
      </c>
      <c r="J37" s="18" t="n">
        <v>131538.86</v>
      </c>
      <c r="K37" s="37" t="n">
        <v>131538.86</v>
      </c>
      <c r="L37" s="18" t="n">
        <v>147080.74</v>
      </c>
      <c r="M37" s="18" t="n">
        <v>142357.17</v>
      </c>
      <c r="N37" s="18" t="n">
        <v>134285.43</v>
      </c>
      <c r="O37" s="18" t="n">
        <v>128065.26</v>
      </c>
      <c r="P37" s="37" t="n">
        <v>128065.26</v>
      </c>
      <c r="Q37" s="18" t="n">
        <v>130912.25</v>
      </c>
      <c r="R37" s="18" t="n">
        <v>131079.02</v>
      </c>
      <c r="S37" s="18" t="n">
        <v>135215.83</v>
      </c>
      <c r="T37" s="18" t="n">
        <v>126640.34</v>
      </c>
      <c r="U37" s="37" t="n">
        <v>126640.34</v>
      </c>
      <c r="V37" s="18" t="n">
        <v>122894.27</v>
      </c>
      <c r="W37" s="18" t="n">
        <v>118823.42</v>
      </c>
      <c r="X37" s="18" t="n">
        <v>103655.01</v>
      </c>
      <c r="Y37" s="18" t="n">
        <v>113201.17</v>
      </c>
      <c r="Z37" s="37" t="n">
        <v>113201.17</v>
      </c>
      <c r="AA37" s="18" t="n">
        <v>127433.95</v>
      </c>
      <c r="AB37" s="19" t="n">
        <v>121361.82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80984.33</v>
      </c>
      <c r="F38" s="37" t="n">
        <v>80984.33</v>
      </c>
      <c r="G38" s="18" t="n">
        <v>83359.67999999999</v>
      </c>
      <c r="H38" s="18" t="n">
        <v>90778.92</v>
      </c>
      <c r="I38" s="18" t="n">
        <v>101802.77</v>
      </c>
      <c r="J38" s="18" t="n">
        <v>106162.04</v>
      </c>
      <c r="K38" s="37" t="n">
        <v>106162.04</v>
      </c>
      <c r="L38" s="18" t="n">
        <v>109891.58</v>
      </c>
      <c r="M38" s="18" t="n">
        <v>116133.41</v>
      </c>
      <c r="N38" s="18" t="n">
        <v>119700.87</v>
      </c>
      <c r="O38" s="18" t="n">
        <v>121187.99</v>
      </c>
      <c r="P38" s="37" t="n">
        <v>121187.99</v>
      </c>
      <c r="Q38" s="18" t="n">
        <v>121487.92</v>
      </c>
      <c r="R38" s="18" t="n">
        <v>120241.52</v>
      </c>
      <c r="S38" s="18" t="n">
        <v>118658</v>
      </c>
      <c r="T38" s="18" t="n">
        <v>122950.85</v>
      </c>
      <c r="U38" s="37" t="n">
        <v>122950.85</v>
      </c>
      <c r="V38" s="18" t="n">
        <v>122505</v>
      </c>
      <c r="W38" s="18" t="n">
        <v>123394.59</v>
      </c>
      <c r="X38" s="18" t="n">
        <v>145123.67</v>
      </c>
      <c r="Y38" s="18" t="n">
        <v>149378.6</v>
      </c>
      <c r="Z38" s="37" t="n">
        <v>149378.6</v>
      </c>
      <c r="AA38" s="18" t="n">
        <v>147119.02</v>
      </c>
      <c r="AB38" s="19" t="n">
        <v>152025.74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4073.26</v>
      </c>
      <c r="F39" s="37" t="n">
        <v>4073.26</v>
      </c>
      <c r="G39" s="18" t="n">
        <v>4073.26</v>
      </c>
      <c r="H39" s="18" t="n">
        <v>4073.26</v>
      </c>
      <c r="I39" s="18" t="n">
        <v>4295.68</v>
      </c>
      <c r="J39" s="18" t="n">
        <v>4562.59</v>
      </c>
      <c r="K39" s="37" t="n">
        <v>4562.59</v>
      </c>
      <c r="L39" s="18" t="n">
        <v>4562.59</v>
      </c>
      <c r="M39" s="18" t="n">
        <v>4562.59</v>
      </c>
      <c r="N39" s="18" t="n">
        <v>4562.59</v>
      </c>
      <c r="O39" s="18" t="n">
        <v>4562.59</v>
      </c>
      <c r="P39" s="37" t="n">
        <v>4562.59</v>
      </c>
      <c r="Q39" s="18" t="n">
        <v>4562.59</v>
      </c>
      <c r="R39" s="18" t="n">
        <v>4562.59</v>
      </c>
      <c r="S39" s="18" t="n">
        <v>4562.59</v>
      </c>
      <c r="T39" s="18" t="n">
        <v>4562.59</v>
      </c>
      <c r="U39" s="37" t="n">
        <v>4562.59</v>
      </c>
      <c r="V39" s="18" t="n">
        <v>4562.59</v>
      </c>
      <c r="W39" s="18" t="n">
        <v>4562.59</v>
      </c>
      <c r="X39" s="18" t="n">
        <v>4962.94</v>
      </c>
      <c r="Y39" s="18" t="n">
        <v>4962.94</v>
      </c>
      <c r="Z39" s="37" t="n">
        <v>4962.94</v>
      </c>
      <c r="AA39" s="18" t="n">
        <v>4962.94</v>
      </c>
      <c r="AB39" s="19" t="n">
        <v>4962.94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27255.96</v>
      </c>
      <c r="F40" s="37" t="n">
        <v>27255.96</v>
      </c>
      <c r="G40" s="18" t="n">
        <v>27255.96</v>
      </c>
      <c r="H40" s="18" t="n">
        <v>27255.96</v>
      </c>
      <c r="I40" s="18" t="n">
        <v>31707.01</v>
      </c>
      <c r="J40" s="18" t="n">
        <v>38164.64</v>
      </c>
      <c r="K40" s="37" t="n">
        <v>38164.64</v>
      </c>
      <c r="L40" s="18" t="n">
        <v>38164.64</v>
      </c>
      <c r="M40" s="18" t="n">
        <v>38164.64</v>
      </c>
      <c r="N40" s="18" t="n">
        <v>38164.64</v>
      </c>
      <c r="O40" s="18" t="n">
        <v>38164.64</v>
      </c>
      <c r="P40" s="37" t="n">
        <v>38164.64</v>
      </c>
      <c r="Q40" s="18" t="n">
        <v>38164.64</v>
      </c>
      <c r="R40" s="18" t="n">
        <v>38164.64</v>
      </c>
      <c r="S40" s="18" t="n">
        <v>38164.64</v>
      </c>
      <c r="T40" s="18" t="n">
        <v>38164.64</v>
      </c>
      <c r="U40" s="37" t="n">
        <v>38164.64</v>
      </c>
      <c r="V40" s="18" t="n">
        <v>38164.64</v>
      </c>
      <c r="W40" s="18" t="n">
        <v>38164.64</v>
      </c>
      <c r="X40" s="18" t="n">
        <v>16937.6</v>
      </c>
      <c r="Y40" s="18" t="n">
        <v>17498.47</v>
      </c>
      <c r="Z40" s="37" t="n">
        <v>17498.47</v>
      </c>
      <c r="AA40" s="18" t="n">
        <v>17498.47</v>
      </c>
      <c r="AB40" s="19" t="n">
        <v>17498.47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-1252.56</v>
      </c>
      <c r="F41" s="37" t="n">
        <v>-1252.56</v>
      </c>
      <c r="G41" s="18" t="n">
        <v>-1252.56</v>
      </c>
      <c r="H41" s="18" t="n">
        <v>-1252.56</v>
      </c>
      <c r="I41" s="18" t="n">
        <v>-1252.56</v>
      </c>
      <c r="J41" s="18" t="n">
        <v>-1252.56</v>
      </c>
      <c r="K41" s="37" t="n">
        <v>-1252.56</v>
      </c>
      <c r="L41" s="18" t="n">
        <v>-1252.56</v>
      </c>
      <c r="M41" s="18" t="n">
        <v>-1252.56</v>
      </c>
      <c r="N41" s="18" t="n">
        <v>-1252.56</v>
      </c>
      <c r="O41" s="18" t="n">
        <v>-1252.56</v>
      </c>
      <c r="P41" s="37" t="n">
        <v>-1252.56</v>
      </c>
      <c r="Q41" s="18" t="n">
        <v>-1252.56</v>
      </c>
      <c r="R41" s="18" t="n">
        <v>-1252.56</v>
      </c>
      <c r="S41" s="18" t="n">
        <v>-1326.74</v>
      </c>
      <c r="T41" s="18" t="n">
        <v>-1326.74</v>
      </c>
      <c r="U41" s="37" t="n">
        <v>-1326.74</v>
      </c>
      <c r="V41" s="18" t="n">
        <v>-3098.64</v>
      </c>
      <c r="W41" s="18" t="n">
        <v>-3322.91</v>
      </c>
      <c r="X41" s="18" t="n">
        <v>-3322.91</v>
      </c>
      <c r="Y41" s="18" t="n">
        <v>-1379.21</v>
      </c>
      <c r="Z41" s="37" t="n">
        <v>-1379.21</v>
      </c>
      <c r="AA41" s="18" t="n">
        <v>-1379.21</v>
      </c>
      <c r="AB41" s="19" t="n">
        <v>-1379.21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-7.96</v>
      </c>
      <c r="F42" s="37" t="n">
        <v>-7.96</v>
      </c>
      <c r="G42" s="18" t="n">
        <v>-7.96</v>
      </c>
      <c r="H42" s="18" t="n">
        <v>-9.51</v>
      </c>
      <c r="I42" s="18" t="n">
        <v>-9.51</v>
      </c>
      <c r="J42" s="18" t="n">
        <v>-3.83</v>
      </c>
      <c r="K42" s="37" t="n">
        <v>-3.83</v>
      </c>
      <c r="L42" s="18" t="n">
        <v>0.5</v>
      </c>
      <c r="M42" s="18" t="n">
        <v>0</v>
      </c>
      <c r="N42" s="18" t="n">
        <v>0</v>
      </c>
      <c r="O42" s="18" t="n">
        <v>0</v>
      </c>
      <c r="P42" s="37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37" t="n">
        <v>0</v>
      </c>
      <c r="V42" s="18" t="n">
        <v>0</v>
      </c>
      <c r="W42" s="18" t="n">
        <v>0</v>
      </c>
      <c r="X42" s="18" t="n">
        <v>2.24</v>
      </c>
      <c r="Y42" s="18" t="n">
        <v>17.65</v>
      </c>
      <c r="Z42" s="37" t="n">
        <v>17.65</v>
      </c>
      <c r="AA42" s="18" t="n">
        <v>45.09</v>
      </c>
      <c r="AB42" s="19" t="n">
        <v>53.01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50915.64</v>
      </c>
      <c r="F43" s="37" t="n">
        <v>50915.64</v>
      </c>
      <c r="G43" s="18" t="n">
        <v>53290.99</v>
      </c>
      <c r="H43" s="18" t="n">
        <v>60711.77</v>
      </c>
      <c r="I43" s="18" t="n">
        <v>67062.14999999999</v>
      </c>
      <c r="J43" s="18" t="n">
        <v>64691.21</v>
      </c>
      <c r="K43" s="37" t="n">
        <v>64691.21</v>
      </c>
      <c r="L43" s="18" t="n">
        <v>68416.41</v>
      </c>
      <c r="M43" s="18" t="n">
        <v>74658.75</v>
      </c>
      <c r="N43" s="18" t="n">
        <v>78226.2</v>
      </c>
      <c r="O43" s="18" t="n">
        <v>79713.32000000001</v>
      </c>
      <c r="P43" s="37" t="n">
        <v>79713.32000000001</v>
      </c>
      <c r="Q43" s="18" t="n">
        <v>80013.25</v>
      </c>
      <c r="R43" s="18" t="n">
        <v>78766.86</v>
      </c>
      <c r="S43" s="18" t="n">
        <v>77257.52</v>
      </c>
      <c r="T43" s="18" t="n">
        <v>81550.36</v>
      </c>
      <c r="U43" s="37" t="n">
        <v>81550.36</v>
      </c>
      <c r="V43" s="18" t="n">
        <v>82876.41</v>
      </c>
      <c r="W43" s="18" t="n">
        <v>83990.27</v>
      </c>
      <c r="X43" s="18" t="n">
        <v>126543.8</v>
      </c>
      <c r="Y43" s="18" t="n">
        <v>128278.74</v>
      </c>
      <c r="Z43" s="37" t="n">
        <v>128278.74</v>
      </c>
      <c r="AA43" s="18" t="n">
        <v>125991.73</v>
      </c>
      <c r="AB43" s="19" t="n">
        <v>130890.52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32.69</v>
      </c>
      <c r="F44" s="37" t="n">
        <v>32.69</v>
      </c>
      <c r="G44" s="18" t="n">
        <v>273.81</v>
      </c>
      <c r="H44" s="18" t="n">
        <v>255.03</v>
      </c>
      <c r="I44" s="18" t="n">
        <v>235.67</v>
      </c>
      <c r="J44" s="18" t="n">
        <v>201.44</v>
      </c>
      <c r="K44" s="37" t="n">
        <v>201.44</v>
      </c>
      <c r="L44" s="18" t="n">
        <v>171.94</v>
      </c>
      <c r="M44" s="18" t="n">
        <v>136.25</v>
      </c>
      <c r="N44" s="18" t="n">
        <v>103.93</v>
      </c>
      <c r="O44" s="18" t="n">
        <v>79.18000000000001</v>
      </c>
      <c r="P44" s="37" t="n">
        <v>79.18000000000001</v>
      </c>
      <c r="Q44" s="18" t="n">
        <v>49.7</v>
      </c>
      <c r="R44" s="18" t="n">
        <v>30.04</v>
      </c>
      <c r="S44" s="18" t="n">
        <v>95.67</v>
      </c>
      <c r="T44" s="18" t="n">
        <v>80.20999999999999</v>
      </c>
      <c r="U44" s="37" t="n">
        <v>80.20999999999999</v>
      </c>
      <c r="V44" s="18" t="n">
        <v>60.89</v>
      </c>
      <c r="W44" s="18" t="n">
        <v>42.01</v>
      </c>
      <c r="X44" s="18" t="n">
        <v>29.62</v>
      </c>
      <c r="Y44" s="18" t="n">
        <v>60.59</v>
      </c>
      <c r="Z44" s="37" t="n">
        <v>60.59</v>
      </c>
      <c r="AA44" s="18" t="n">
        <v>34.91</v>
      </c>
      <c r="AB44" s="19" t="n">
        <v>19.11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81017.03</v>
      </c>
      <c r="F45" s="37" t="n">
        <v>81017.03</v>
      </c>
      <c r="G45" s="18" t="n">
        <v>83633.49000000001</v>
      </c>
      <c r="H45" s="18" t="n">
        <v>91033.95</v>
      </c>
      <c r="I45" s="18" t="n">
        <v>102038.44</v>
      </c>
      <c r="J45" s="18" t="n">
        <v>106363.48</v>
      </c>
      <c r="K45" s="37" t="n">
        <v>106363.48</v>
      </c>
      <c r="L45" s="18" t="n">
        <v>110063.52</v>
      </c>
      <c r="M45" s="18" t="n">
        <v>116269.66</v>
      </c>
      <c r="N45" s="18" t="n">
        <v>119804.79</v>
      </c>
      <c r="O45" s="18" t="n">
        <v>121267.17</v>
      </c>
      <c r="P45" s="37" t="n">
        <v>121267.17</v>
      </c>
      <c r="Q45" s="18" t="n">
        <v>121537.61</v>
      </c>
      <c r="R45" s="18" t="n">
        <v>120271.56</v>
      </c>
      <c r="S45" s="18" t="n">
        <v>118753.67</v>
      </c>
      <c r="T45" s="18" t="n">
        <v>123031.06</v>
      </c>
      <c r="U45" s="37" t="n">
        <v>123031.06</v>
      </c>
      <c r="V45" s="18" t="n">
        <v>122565.89</v>
      </c>
      <c r="W45" s="18" t="n">
        <v>123436.6</v>
      </c>
      <c r="X45" s="18" t="n">
        <v>145153.29</v>
      </c>
      <c r="Y45" s="18" t="n">
        <v>149439.18</v>
      </c>
      <c r="Z45" s="37" t="n">
        <v>149439.18</v>
      </c>
      <c r="AA45" s="18" t="n">
        <v>147153.93</v>
      </c>
      <c r="AB45" s="19" t="n">
        <v>152044.84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186310.42</v>
      </c>
      <c r="F46" s="37" t="n">
        <v>186310.42</v>
      </c>
      <c r="G46" s="18" t="n">
        <v>200467.15</v>
      </c>
      <c r="H46" s="18" t="n">
        <v>217452.3</v>
      </c>
      <c r="I46" s="18" t="n">
        <v>235428.03</v>
      </c>
      <c r="J46" s="18" t="n">
        <v>237902.34</v>
      </c>
      <c r="K46" s="37" t="n">
        <v>237902.34</v>
      </c>
      <c r="L46" s="18" t="n">
        <v>257144.26</v>
      </c>
      <c r="M46" s="18" t="n">
        <v>258626.83</v>
      </c>
      <c r="N46" s="18" t="n">
        <v>254090.22</v>
      </c>
      <c r="O46" s="18" t="n">
        <v>249332.43</v>
      </c>
      <c r="P46" s="37" t="n">
        <v>249332.43</v>
      </c>
      <c r="Q46" s="18" t="n">
        <v>252449.86</v>
      </c>
      <c r="R46" s="18" t="n">
        <v>251350.58</v>
      </c>
      <c r="S46" s="18" t="n">
        <v>253969.5</v>
      </c>
      <c r="T46" s="18" t="n">
        <v>249671.4</v>
      </c>
      <c r="U46" s="37" t="n">
        <v>249671.4</v>
      </c>
      <c r="V46" s="18" t="n">
        <v>245460.16</v>
      </c>
      <c r="W46" s="18" t="n">
        <v>242260.02</v>
      </c>
      <c r="X46" s="18" t="n">
        <v>248808.3</v>
      </c>
      <c r="Y46" s="18" t="n">
        <v>262640.35</v>
      </c>
      <c r="Z46" s="37" t="n">
        <v>262640.35</v>
      </c>
      <c r="AA46" s="18" t="n">
        <v>274587.88</v>
      </c>
      <c r="AB46" s="19" t="n">
        <v>273406.67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90980</v>
      </c>
      <c r="F47" s="37" t="n">
        <v>90980</v>
      </c>
      <c r="G47" s="18" t="n">
        <v>86369.47</v>
      </c>
      <c r="H47" s="18" t="n">
        <v>94436.81</v>
      </c>
      <c r="I47" s="18" t="n">
        <v>101267.8</v>
      </c>
      <c r="J47" s="18" t="n">
        <v>101838.84</v>
      </c>
      <c r="K47" s="37" t="n">
        <v>101838.84</v>
      </c>
      <c r="L47" s="18" t="n">
        <v>111868.62</v>
      </c>
      <c r="M47" s="18" t="n">
        <v>111256.56</v>
      </c>
      <c r="N47" s="18" t="n">
        <v>111650.26</v>
      </c>
      <c r="O47" s="18" t="n">
        <v>111750.59</v>
      </c>
      <c r="P47" s="37" t="n">
        <v>111750.59</v>
      </c>
      <c r="Q47" s="18" t="n">
        <v>112685.68</v>
      </c>
      <c r="R47" s="18" t="n">
        <v>112640.97</v>
      </c>
      <c r="S47" s="18" t="n">
        <v>119602.73</v>
      </c>
      <c r="T47" s="18" t="n">
        <v>108564.5</v>
      </c>
      <c r="U47" s="37" t="n">
        <v>108564.5</v>
      </c>
      <c r="V47" s="18" t="n">
        <v>96223.48</v>
      </c>
      <c r="W47" s="18" t="n">
        <v>95886.81</v>
      </c>
      <c r="X47" s="18" t="n">
        <v>82730.92</v>
      </c>
      <c r="Y47" s="18" t="n">
        <v>92984.25999999999</v>
      </c>
      <c r="Z47" s="37" t="n">
        <v>92984.25999999999</v>
      </c>
      <c r="AA47" s="18" t="n">
        <v>95490.60000000001</v>
      </c>
      <c r="AB47" s="19" t="n">
        <v>93790.60000000001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62013.48</v>
      </c>
      <c r="F48" s="37" t="n">
        <v>62013.48</v>
      </c>
      <c r="G48" s="18" t="n">
        <v>54922.77</v>
      </c>
      <c r="H48" s="18" t="n">
        <v>63506.61</v>
      </c>
      <c r="I48" s="18" t="n">
        <v>74102.39999999999</v>
      </c>
      <c r="J48" s="18" t="n">
        <v>82442.22</v>
      </c>
      <c r="K48" s="37" t="n">
        <v>82442.22</v>
      </c>
      <c r="L48" s="18" t="n">
        <v>89991.07000000001</v>
      </c>
      <c r="M48" s="18" t="n">
        <v>94830.64</v>
      </c>
      <c r="N48" s="18" t="n">
        <v>100261.53</v>
      </c>
      <c r="O48" s="18" t="n">
        <v>101193.21</v>
      </c>
      <c r="P48" s="37" t="n">
        <v>101193.21</v>
      </c>
      <c r="Q48" s="18" t="n">
        <v>100414.61</v>
      </c>
      <c r="R48" s="18" t="n">
        <v>99929.33</v>
      </c>
      <c r="S48" s="18" t="n">
        <v>99845.88</v>
      </c>
      <c r="T48" s="18" t="n">
        <v>90925.50999999999</v>
      </c>
      <c r="U48" s="37" t="n">
        <v>90925.50999999999</v>
      </c>
      <c r="V48" s="18" t="n">
        <v>74874.78</v>
      </c>
      <c r="W48" s="18" t="n">
        <v>84869.24000000001</v>
      </c>
      <c r="X48" s="18" t="n">
        <v>52916.41</v>
      </c>
      <c r="Y48" s="18" t="n">
        <v>52705.97</v>
      </c>
      <c r="Z48" s="37" t="n">
        <v>52705.97</v>
      </c>
      <c r="AA48" s="18" t="n">
        <v>55763.66</v>
      </c>
      <c r="AB48" s="19" t="n">
        <v>80815.64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33073.79</v>
      </c>
      <c r="F49" s="37" t="n">
        <v>33073.79</v>
      </c>
      <c r="G49" s="18" t="n">
        <v>36160.25</v>
      </c>
      <c r="H49" s="18" t="n">
        <v>35473.19</v>
      </c>
      <c r="I49" s="18" t="n">
        <v>31670.8</v>
      </c>
      <c r="J49" s="18" t="n">
        <v>24302.03</v>
      </c>
      <c r="K49" s="37" t="n">
        <v>24302.03</v>
      </c>
      <c r="L49" s="18" t="n">
        <v>26958.84</v>
      </c>
      <c r="M49" s="18" t="n">
        <v>19819.42</v>
      </c>
      <c r="N49" s="18" t="n">
        <v>15152.97</v>
      </c>
      <c r="O49" s="18" t="n">
        <v>14049.68</v>
      </c>
      <c r="P49" s="37" t="n">
        <v>14049.68</v>
      </c>
      <c r="Q49" s="18" t="n">
        <v>16209.6</v>
      </c>
      <c r="R49" s="18" t="n">
        <v>14531.56</v>
      </c>
      <c r="S49" s="18" t="n">
        <v>21573.4</v>
      </c>
      <c r="T49" s="18" t="n">
        <v>19381.82</v>
      </c>
      <c r="U49" s="37" t="n">
        <v>19381.82</v>
      </c>
      <c r="V49" s="18" t="n">
        <v>23501.87</v>
      </c>
      <c r="W49" s="18" t="n">
        <v>13181.55</v>
      </c>
      <c r="X49" s="18" t="n">
        <v>32159.37</v>
      </c>
      <c r="Y49" s="18" t="n">
        <v>42752.65</v>
      </c>
      <c r="Z49" s="37" t="n">
        <v>42752.65</v>
      </c>
      <c r="AA49" s="18" t="n">
        <v>42474.85</v>
      </c>
      <c r="AB49" s="19" t="n">
        <v>16572.55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기타유동금융자산</t>
        </is>
      </c>
      <c r="F50" s="9" t="n"/>
      <c r="G50" s="18" t="n">
        <v>1226.16</v>
      </c>
      <c r="H50" s="18" t="n">
        <v>922.09</v>
      </c>
      <c r="I50" s="18" t="n">
        <v>1032.02</v>
      </c>
      <c r="J50" s="18" t="n">
        <v>675.74</v>
      </c>
      <c r="K50" s="37" t="n">
        <v>675.74</v>
      </c>
      <c r="L50" s="18" t="n">
        <v>2703.12</v>
      </c>
      <c r="M50" s="18" t="n">
        <v>453.17</v>
      </c>
      <c r="N50" s="18" t="n">
        <v>1003.87</v>
      </c>
      <c r="O50" s="18" t="n">
        <v>794.3</v>
      </c>
      <c r="P50" s="37" t="n">
        <v>794.3</v>
      </c>
      <c r="Q50" s="18" t="n">
        <v>1048.94</v>
      </c>
      <c r="R50" s="18" t="n">
        <v>524.61</v>
      </c>
      <c r="S50" s="18" t="n">
        <v>693.71</v>
      </c>
      <c r="T50" s="18" t="n">
        <v>385.08</v>
      </c>
      <c r="U50" s="37" t="n">
        <v>385.08</v>
      </c>
      <c r="V50" s="18" t="n">
        <v>316.9</v>
      </c>
      <c r="W50" s="18" t="n">
        <v>307.04</v>
      </c>
      <c r="X50" s="18" t="n">
        <v>1203.92</v>
      </c>
      <c r="Y50" s="18" t="n">
        <v>1319.06</v>
      </c>
      <c r="Z50" s="37" t="n">
        <v>1319.06</v>
      </c>
      <c r="AA50" s="18" t="n">
        <v>1363.88</v>
      </c>
      <c r="AB50" s="19" t="n">
        <v>4256.08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기타유동금융부채</t>
        </is>
      </c>
      <c r="F51" s="9" t="n"/>
      <c r="G51" s="18" t="n">
        <v>60</v>
      </c>
      <c r="H51" s="18" t="n">
        <v>87.92</v>
      </c>
      <c r="I51" s="18" t="n">
        <v>95.59</v>
      </c>
      <c r="J51" s="18" t="n">
        <v>100.74</v>
      </c>
      <c r="K51" s="37" t="n">
        <v>100.74</v>
      </c>
      <c r="L51" s="18" t="n">
        <v>108.29</v>
      </c>
      <c r="M51" s="18" t="n">
        <v>108.95</v>
      </c>
      <c r="N51" s="18" t="n">
        <v>109.62</v>
      </c>
      <c r="O51" s="18" t="n">
        <v>110.3</v>
      </c>
      <c r="P51" s="37" t="n">
        <v>110.3</v>
      </c>
      <c r="Q51" s="18" t="n">
        <v>110.99</v>
      </c>
      <c r="R51" s="18" t="n">
        <v>111.69</v>
      </c>
      <c r="S51" s="18" t="n">
        <v>112.4</v>
      </c>
      <c r="T51" s="18" t="n">
        <v>139.14</v>
      </c>
      <c r="U51" s="37" t="n">
        <v>139.14</v>
      </c>
      <c r="V51" s="18" t="n">
        <v>138.11</v>
      </c>
      <c r="W51" s="18" t="n">
        <v>141.34</v>
      </c>
      <c r="X51" s="18" t="n">
        <v>140.3</v>
      </c>
      <c r="Y51" s="18" t="n">
        <v>139.28</v>
      </c>
      <c r="Z51" s="37" t="n">
        <v>139.28</v>
      </c>
      <c r="AA51" s="18" t="n">
        <v>136.85</v>
      </c>
      <c r="AB51" s="19" t="n">
        <v>121.58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단기금융부채</t>
        </is>
      </c>
      <c r="F52" s="9" t="n"/>
      <c r="G52" s="18" t="n">
        <v>60</v>
      </c>
      <c r="H52" s="18" t="n">
        <v>87.92</v>
      </c>
      <c r="I52" s="18" t="n">
        <v>95.59</v>
      </c>
      <c r="J52" s="18" t="n">
        <v>100.74</v>
      </c>
      <c r="K52" s="37" t="n">
        <v>100.74</v>
      </c>
      <c r="L52" s="18" t="n">
        <v>108.29</v>
      </c>
      <c r="M52" s="18" t="n">
        <v>1137.65</v>
      </c>
      <c r="N52" s="18" t="n">
        <v>1153.62</v>
      </c>
      <c r="O52" s="18" t="n">
        <v>1006.7</v>
      </c>
      <c r="P52" s="37" t="n">
        <v>1006.7</v>
      </c>
      <c r="Q52" s="18" t="n">
        <v>920.99</v>
      </c>
      <c r="R52" s="18" t="n">
        <v>1795.59</v>
      </c>
      <c r="S52" s="18" t="n">
        <v>1546.1</v>
      </c>
      <c r="T52" s="18" t="n">
        <v>1262.34</v>
      </c>
      <c r="U52" s="37" t="n">
        <v>1262.34</v>
      </c>
      <c r="V52" s="18" t="n">
        <v>1042.61</v>
      </c>
      <c r="W52" s="18" t="n">
        <v>876.64</v>
      </c>
      <c r="X52" s="18" t="n">
        <v>140.3</v>
      </c>
      <c r="Y52" s="18" t="n">
        <v>139.28</v>
      </c>
      <c r="Z52" s="37" t="n">
        <v>139.28</v>
      </c>
      <c r="AA52" s="18" t="n">
        <v>136.85</v>
      </c>
      <c r="AB52" s="19" t="n">
        <v>121.58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종속기업및관계기업투자</t>
        </is>
      </c>
      <c r="F53" s="9" t="n"/>
      <c r="H53" s="18" t="n">
        <v>0</v>
      </c>
      <c r="I53" s="18" t="n">
        <v>0</v>
      </c>
      <c r="J53" s="18" t="n">
        <v>0</v>
      </c>
      <c r="K53" s="37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37" t="n">
        <v>0</v>
      </c>
      <c r="Q53" s="18" t="n">
        <v>0</v>
      </c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기타비유동금융부채</t>
        </is>
      </c>
      <c r="F54" s="9" t="n"/>
      <c r="H54" s="18" t="n">
        <v>191.58</v>
      </c>
      <c r="I54" s="18" t="n">
        <v>206.52</v>
      </c>
      <c r="J54" s="18" t="n">
        <v>217.97</v>
      </c>
      <c r="K54" s="37" t="n">
        <v>217.97</v>
      </c>
      <c r="L54" s="18" t="n">
        <v>229.62</v>
      </c>
      <c r="M54" s="18" t="n">
        <v>217.13</v>
      </c>
      <c r="N54" s="18" t="n">
        <v>204.47</v>
      </c>
      <c r="O54" s="18" t="n">
        <v>191.64</v>
      </c>
      <c r="P54" s="37" t="n">
        <v>191.64</v>
      </c>
      <c r="Q54" s="18" t="n">
        <v>178.63</v>
      </c>
      <c r="R54" s="18" t="n">
        <v>165.44</v>
      </c>
      <c r="S54" s="18" t="n">
        <v>152.08</v>
      </c>
      <c r="T54" s="18" t="n">
        <v>254.1</v>
      </c>
      <c r="U54" s="37" t="n">
        <v>254.1</v>
      </c>
      <c r="V54" s="18" t="n">
        <v>235.1</v>
      </c>
      <c r="W54" s="18" t="n">
        <v>211.58</v>
      </c>
      <c r="X54" s="18" t="n">
        <v>192.06</v>
      </c>
      <c r="Y54" s="18" t="n">
        <v>172.29</v>
      </c>
      <c r="Z54" s="37" t="n">
        <v>172.29</v>
      </c>
      <c r="AA54" s="18" t="n">
        <v>153.67</v>
      </c>
      <c r="AB54" s="19" t="n">
        <v>141.38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당기법인세자산(선급법인세)</t>
        </is>
      </c>
      <c r="F55" s="9" t="n"/>
      <c r="I55" s="18" t="n">
        <v>2.29</v>
      </c>
      <c r="J55" s="18" t="n">
        <v>4.27</v>
      </c>
      <c r="K55" s="37" t="n">
        <v>4.27</v>
      </c>
      <c r="L55" s="18" t="n">
        <v>6.11</v>
      </c>
      <c r="M55" s="18" t="n">
        <v>3.38</v>
      </c>
      <c r="N55" s="18" t="n">
        <v>4.54</v>
      </c>
      <c r="O55" s="18" t="n">
        <v>5.39</v>
      </c>
      <c r="P55" s="37" t="n">
        <v>5.39</v>
      </c>
      <c r="Q55" s="18" t="n">
        <v>5.87</v>
      </c>
      <c r="R55" s="18" t="n">
        <v>5.4</v>
      </c>
      <c r="S55" s="18" t="n">
        <v>0.97</v>
      </c>
      <c r="T55" s="18" t="n">
        <v>1.89</v>
      </c>
      <c r="U55" s="37" t="n">
        <v>1.89</v>
      </c>
      <c r="V55" s="18" t="n">
        <v>2.79</v>
      </c>
      <c r="W55" s="18" t="n">
        <v>3.05</v>
      </c>
      <c r="X55" s="18" t="n">
        <v>1.23</v>
      </c>
      <c r="Y55" s="18" t="n">
        <v>1.75</v>
      </c>
      <c r="Z55" s="37" t="n">
        <v>1.75</v>
      </c>
      <c r="AA55" s="18" t="n">
        <v>2.32</v>
      </c>
      <c r="AB55" s="19" t="n">
        <v>0.9399999999999999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매각예정비유동자산및처분자산</t>
        </is>
      </c>
      <c r="F56" s="9" t="n"/>
      <c r="K56" s="9" t="n"/>
      <c r="M56" s="18" t="n">
        <v>13746.27</v>
      </c>
      <c r="N56" s="18" t="n">
        <v>13864.56</v>
      </c>
      <c r="P56" s="9" t="n"/>
      <c r="U56" s="9" t="n"/>
      <c r="V56" s="18" t="n">
        <v>13864.56</v>
      </c>
      <c r="W56" s="18" t="n">
        <v>13864.56</v>
      </c>
      <c r="X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유동성장기부채</t>
        </is>
      </c>
      <c r="F57" s="9" t="n"/>
      <c r="K57" s="9" t="n"/>
      <c r="M57" s="18" t="n">
        <v>7512.62</v>
      </c>
      <c r="N57" s="18" t="n">
        <v>7632.98</v>
      </c>
      <c r="O57" s="18" t="n">
        <v>7753.34</v>
      </c>
      <c r="P57" s="37" t="n">
        <v>7753.34</v>
      </c>
      <c r="Q57" s="18" t="n">
        <v>7872.4</v>
      </c>
      <c r="R57" s="18" t="n">
        <v>7994.35</v>
      </c>
      <c r="S57" s="18" t="n">
        <v>8122.77</v>
      </c>
      <c r="T57" s="18" t="n">
        <v>8251.200000000001</v>
      </c>
      <c r="U57" s="37" t="n">
        <v>8251.200000000001</v>
      </c>
      <c r="V57" s="18" t="n">
        <v>8376.84</v>
      </c>
      <c r="W57" s="18" t="n">
        <v>8506.83</v>
      </c>
      <c r="X57" s="18" t="n">
        <v>0</v>
      </c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단기파생상품부채</t>
        </is>
      </c>
      <c r="F58" s="9" t="n"/>
      <c r="K58" s="9" t="n"/>
      <c r="M58" s="18" t="n">
        <v>1028.7</v>
      </c>
      <c r="N58" s="18" t="n">
        <v>1044</v>
      </c>
      <c r="O58" s="18" t="n">
        <v>896.4</v>
      </c>
      <c r="P58" s="37" t="n">
        <v>896.4</v>
      </c>
      <c r="Q58" s="18" t="n">
        <v>810</v>
      </c>
      <c r="R58" s="18" t="n">
        <v>1683.9</v>
      </c>
      <c r="S58" s="18" t="n">
        <v>1433.7</v>
      </c>
      <c r="T58" s="18" t="n">
        <v>1123.2</v>
      </c>
      <c r="U58" s="37" t="n">
        <v>1123.2</v>
      </c>
      <c r="V58" s="18" t="n">
        <v>904.5</v>
      </c>
      <c r="W58" s="18" t="n">
        <v>735.3</v>
      </c>
      <c r="X58" s="18" t="n">
        <v>0</v>
      </c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단기투자자산(공정가치)</t>
        </is>
      </c>
      <c r="F59" s="9" t="n"/>
      <c r="K59" s="9" t="n"/>
      <c r="N59" s="18" t="n">
        <v>0</v>
      </c>
      <c r="O59" s="18" t="n">
        <v>0</v>
      </c>
      <c r="P59" s="37" t="n">
        <v>0</v>
      </c>
      <c r="Q59" s="18" t="n">
        <v>0</v>
      </c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30987.87</v>
      </c>
      <c r="F60" s="9" t="n"/>
      <c r="G60" s="18" t="n">
        <v>25053.44</v>
      </c>
      <c r="H60" s="18" t="n">
        <v>38439.67</v>
      </c>
      <c r="I60" s="18" t="n">
        <v>37562.16</v>
      </c>
      <c r="J60" s="18" t="n">
        <v>41034.42</v>
      </c>
      <c r="K60" s="37" t="n">
        <v>142089.69</v>
      </c>
      <c r="L60" s="18" t="n">
        <v>38478.15</v>
      </c>
      <c r="M60" s="18" t="n">
        <v>43424.93</v>
      </c>
      <c r="N60" s="18" t="n">
        <v>27761.89</v>
      </c>
      <c r="O60" s="18" t="n">
        <v>39940.91</v>
      </c>
      <c r="P60" s="37" t="n">
        <v>149605.88</v>
      </c>
      <c r="Q60" s="18" t="n">
        <v>31285.42</v>
      </c>
      <c r="R60" s="18" t="n">
        <v>32566.32</v>
      </c>
      <c r="S60" s="18" t="n">
        <v>32655.14</v>
      </c>
      <c r="T60" s="18" t="n">
        <v>36302.47</v>
      </c>
      <c r="U60" s="37" t="n">
        <v>132809.35</v>
      </c>
      <c r="V60" s="18" t="n">
        <v>36597.57</v>
      </c>
      <c r="W60" s="18" t="n">
        <v>39269.12</v>
      </c>
      <c r="X60" s="18" t="n">
        <v>37463.59</v>
      </c>
      <c r="Y60" s="18" t="n">
        <v>33661.06</v>
      </c>
      <c r="Z60" s="37" t="n">
        <v>146991.34</v>
      </c>
      <c r="AA60" s="18" t="n">
        <v>35569.22</v>
      </c>
      <c r="AB60" s="19" t="n">
        <v>48647.11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24861.79</v>
      </c>
      <c r="F61" s="9" t="n"/>
      <c r="G61" s="18" t="n">
        <v>17505.63</v>
      </c>
      <c r="H61" s="18" t="n">
        <v>27025.97</v>
      </c>
      <c r="I61" s="18" t="n">
        <v>25618.69</v>
      </c>
      <c r="J61" s="18" t="n">
        <v>31821.48</v>
      </c>
      <c r="K61" s="37" t="n">
        <v>101971.77</v>
      </c>
      <c r="L61" s="18" t="n">
        <v>28125.53</v>
      </c>
      <c r="M61" s="18" t="n">
        <v>28760.77</v>
      </c>
      <c r="N61" s="18" t="n">
        <v>21305.42</v>
      </c>
      <c r="O61" s="18" t="n">
        <v>33756.83</v>
      </c>
      <c r="P61" s="37" t="n">
        <v>111948.55</v>
      </c>
      <c r="Q61" s="18" t="n">
        <v>23814.06</v>
      </c>
      <c r="R61" s="18" t="n">
        <v>23676.11</v>
      </c>
      <c r="S61" s="18" t="n">
        <v>25198.22</v>
      </c>
      <c r="T61" s="18" t="n">
        <v>27742.33</v>
      </c>
      <c r="U61" s="37" t="n">
        <v>100430.72</v>
      </c>
      <c r="V61" s="18" t="n">
        <v>28715.07</v>
      </c>
      <c r="W61" s="18" t="n">
        <v>31064.45</v>
      </c>
      <c r="X61" s="18" t="n">
        <v>26503.54</v>
      </c>
      <c r="Y61" s="18" t="n">
        <v>24228.36</v>
      </c>
      <c r="Z61" s="37" t="n">
        <v>110511.42</v>
      </c>
      <c r="AA61" s="18" t="n">
        <v>28429.11</v>
      </c>
      <c r="AB61" s="19" t="n">
        <v>35872.43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6126.08</v>
      </c>
      <c r="F62" s="9" t="n"/>
      <c r="G62" s="18" t="n">
        <v>7547.81</v>
      </c>
      <c r="H62" s="18" t="n">
        <v>11413.7</v>
      </c>
      <c r="I62" s="18" t="n">
        <v>11943.47</v>
      </c>
      <c r="J62" s="18" t="n">
        <v>9212.940000000001</v>
      </c>
      <c r="K62" s="37" t="n">
        <v>40117.92</v>
      </c>
      <c r="L62" s="18" t="n">
        <v>10352.62</v>
      </c>
      <c r="M62" s="18" t="n">
        <v>14664.16</v>
      </c>
      <c r="N62" s="18" t="n">
        <v>6456.46</v>
      </c>
      <c r="O62" s="18" t="n">
        <v>6184.07</v>
      </c>
      <c r="P62" s="37" t="n">
        <v>37657.31</v>
      </c>
      <c r="Q62" s="18" t="n">
        <v>7471.36</v>
      </c>
      <c r="R62" s="18" t="n">
        <v>8890.219999999999</v>
      </c>
      <c r="S62" s="18" t="n">
        <v>7456.92</v>
      </c>
      <c r="T62" s="18" t="n">
        <v>8560.15</v>
      </c>
      <c r="U62" s="37" t="n">
        <v>32378.65</v>
      </c>
      <c r="V62" s="18" t="n">
        <v>7882.5</v>
      </c>
      <c r="W62" s="18" t="n">
        <v>8204.67</v>
      </c>
      <c r="X62" s="18" t="n">
        <v>10960.05</v>
      </c>
      <c r="Y62" s="18" t="n">
        <v>9432.700000000001</v>
      </c>
      <c r="Z62" s="37" t="n">
        <v>36479.92</v>
      </c>
      <c r="AA62" s="18" t="n">
        <v>7140.11</v>
      </c>
      <c r="AB62" s="19" t="n">
        <v>12774.67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4430.51</v>
      </c>
      <c r="F63" s="9" t="n"/>
      <c r="G63" s="18" t="n">
        <v>3466.73</v>
      </c>
      <c r="H63" s="18" t="n">
        <v>2720.46</v>
      </c>
      <c r="I63" s="18" t="n">
        <v>4807.68</v>
      </c>
      <c r="J63" s="18" t="n">
        <v>6120.32</v>
      </c>
      <c r="K63" s="37" t="n">
        <v>17115.19</v>
      </c>
      <c r="L63" s="18" t="n">
        <v>3696.52</v>
      </c>
      <c r="M63" s="18" t="n">
        <v>6393.93</v>
      </c>
      <c r="N63" s="18" t="n">
        <v>4976.66</v>
      </c>
      <c r="O63" s="18" t="n">
        <v>5157.78</v>
      </c>
      <c r="P63" s="37" t="n">
        <v>20224.89</v>
      </c>
      <c r="Q63" s="18" t="n">
        <v>4708.92</v>
      </c>
      <c r="R63" s="18" t="n">
        <v>7505.89</v>
      </c>
      <c r="S63" s="18" t="n">
        <v>7463.59</v>
      </c>
      <c r="T63" s="18" t="n">
        <v>6234.47</v>
      </c>
      <c r="U63" s="37" t="n">
        <v>25912.87</v>
      </c>
      <c r="V63" s="18" t="n">
        <v>5105.7</v>
      </c>
      <c r="W63" s="18" t="n">
        <v>4787.67</v>
      </c>
      <c r="X63" s="18" t="n">
        <v>5147.47</v>
      </c>
      <c r="Y63" s="18" t="n">
        <v>6125.47</v>
      </c>
      <c r="Z63" s="37" t="n">
        <v>21166.31</v>
      </c>
      <c r="AA63" s="18" t="n">
        <v>5368.44</v>
      </c>
      <c r="AB63" s="19" t="n">
        <v>6478.9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1695.58</v>
      </c>
      <c r="F64" s="9" t="n"/>
      <c r="G64" s="18" t="n">
        <v>4081.07</v>
      </c>
      <c r="H64" s="18" t="n">
        <v>8693.23</v>
      </c>
      <c r="I64" s="18" t="n">
        <v>7135.79</v>
      </c>
      <c r="J64" s="18" t="n">
        <v>3092.62</v>
      </c>
      <c r="K64" s="37" t="n">
        <v>23002.71</v>
      </c>
      <c r="L64" s="18" t="n">
        <v>6656.1</v>
      </c>
      <c r="M64" s="18" t="n">
        <v>8270.24</v>
      </c>
      <c r="N64" s="18" t="n">
        <v>1479.8</v>
      </c>
      <c r="O64" s="18" t="n">
        <v>1026.29</v>
      </c>
      <c r="P64" s="37" t="n">
        <v>17432.43</v>
      </c>
      <c r="Q64" s="18" t="n">
        <v>2762.44</v>
      </c>
      <c r="R64" s="18" t="n">
        <v>1384.33</v>
      </c>
      <c r="S64" s="18" t="n">
        <v>-6.67</v>
      </c>
      <c r="T64" s="18" t="n">
        <v>2325.69</v>
      </c>
      <c r="U64" s="37" t="n">
        <v>6465.79</v>
      </c>
      <c r="V64" s="18" t="n">
        <v>2776.81</v>
      </c>
      <c r="W64" s="18" t="n">
        <v>3417</v>
      </c>
      <c r="X64" s="18" t="n">
        <v>5812.58</v>
      </c>
      <c r="Y64" s="18" t="n">
        <v>3307.21</v>
      </c>
      <c r="Z64" s="37" t="n">
        <v>15313.6</v>
      </c>
      <c r="AA64" s="18" t="n">
        <v>1771.66</v>
      </c>
      <c r="AB64" s="19" t="n">
        <v>6295.77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48.57</v>
      </c>
      <c r="F65" s="9" t="n"/>
      <c r="G65" s="18" t="n">
        <v>452.6</v>
      </c>
      <c r="H65" s="18" t="n">
        <v>47.13</v>
      </c>
      <c r="I65" s="18" t="n">
        <v>35.81</v>
      </c>
      <c r="J65" s="18" t="n">
        <v>49.86</v>
      </c>
      <c r="K65" s="37" t="n">
        <v>585.4</v>
      </c>
      <c r="L65" s="18" t="n">
        <v>79.34999999999999</v>
      </c>
      <c r="M65" s="18" t="n">
        <v>139.68</v>
      </c>
      <c r="N65" s="18" t="n">
        <v>3318.16</v>
      </c>
      <c r="O65" s="18" t="n">
        <v>151.6</v>
      </c>
      <c r="P65" s="37" t="n">
        <v>3688.79</v>
      </c>
      <c r="Q65" s="18" t="n">
        <v>214.01</v>
      </c>
      <c r="R65" s="18" t="n">
        <v>126.82</v>
      </c>
      <c r="S65" s="18" t="n">
        <v>67.7</v>
      </c>
      <c r="T65" s="18" t="n">
        <v>60.2</v>
      </c>
      <c r="U65" s="37" t="n">
        <v>468.73</v>
      </c>
      <c r="V65" s="18" t="n">
        <v>2380.26</v>
      </c>
      <c r="W65" s="18" t="n">
        <v>108.76</v>
      </c>
      <c r="X65" s="18" t="n">
        <v>7485.6</v>
      </c>
      <c r="Y65" s="18" t="n">
        <v>176.21</v>
      </c>
      <c r="Z65" s="37" t="n">
        <v>10150.83</v>
      </c>
      <c r="AA65" s="18" t="n">
        <v>153.86</v>
      </c>
      <c r="AB65" s="19" t="n">
        <v>464.65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242.46</v>
      </c>
      <c r="F66" s="9" t="n"/>
      <c r="G66" s="18" t="n">
        <v>3.66</v>
      </c>
      <c r="H66" s="18" t="n">
        <v>5.51</v>
      </c>
      <c r="I66" s="18" t="n">
        <v>14.29</v>
      </c>
      <c r="J66" s="18" t="n">
        <v>104.19</v>
      </c>
      <c r="K66" s="37" t="n">
        <v>127.65</v>
      </c>
      <c r="L66" s="18" t="n">
        <v>29.48</v>
      </c>
      <c r="M66" s="18" t="n">
        <v>73.02</v>
      </c>
      <c r="N66" s="18" t="n">
        <v>7.76</v>
      </c>
      <c r="O66" s="18" t="n">
        <v>34.39</v>
      </c>
      <c r="P66" s="37" t="n">
        <v>144.65</v>
      </c>
      <c r="Q66" s="18" t="n">
        <v>28.83</v>
      </c>
      <c r="R66" s="18" t="n">
        <v>117.94</v>
      </c>
      <c r="S66" s="18" t="n">
        <v>19.15</v>
      </c>
      <c r="T66" s="18" t="n">
        <v>221.25</v>
      </c>
      <c r="U66" s="37" t="n">
        <v>387.17</v>
      </c>
      <c r="V66" s="18" t="n">
        <v>223.83</v>
      </c>
      <c r="W66" s="18" t="n">
        <v>-194.3</v>
      </c>
      <c r="X66" s="18" t="n">
        <v>87.15000000000001</v>
      </c>
      <c r="Y66" s="18" t="n">
        <v>423.53</v>
      </c>
      <c r="Z66" s="37" t="n">
        <v>540.21</v>
      </c>
      <c r="AA66" s="18" t="n">
        <v>88.01000000000001</v>
      </c>
      <c r="AB66" s="19" t="n">
        <v>64.59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871.39</v>
      </c>
      <c r="F67" s="9" t="n"/>
      <c r="G67" s="18" t="n">
        <v>1190.34</v>
      </c>
      <c r="H67" s="18" t="n">
        <v>2301.14</v>
      </c>
      <c r="I67" s="18" t="n">
        <v>2056.6</v>
      </c>
      <c r="J67" s="18" t="n">
        <v>-225.73</v>
      </c>
      <c r="K67" s="37" t="n">
        <v>5322.35</v>
      </c>
      <c r="L67" s="18" t="n">
        <v>1623.38</v>
      </c>
      <c r="M67" s="18" t="n">
        <v>1250.51</v>
      </c>
      <c r="N67" s="18" t="n">
        <v>880.26</v>
      </c>
      <c r="O67" s="18" t="n">
        <v>760.12</v>
      </c>
      <c r="P67" s="37" t="n">
        <v>4514.27</v>
      </c>
      <c r="Q67" s="18" t="n">
        <v>1324.48</v>
      </c>
      <c r="R67" s="18" t="n">
        <v>886.4299999999999</v>
      </c>
      <c r="S67" s="18" t="n">
        <v>527.51</v>
      </c>
      <c r="T67" s="18" t="n">
        <v>2605.92</v>
      </c>
      <c r="U67" s="37" t="n">
        <v>5344.34</v>
      </c>
      <c r="V67" s="18" t="n">
        <v>1002.22</v>
      </c>
      <c r="W67" s="18" t="n">
        <v>775.33</v>
      </c>
      <c r="X67" s="18" t="n">
        <v>1058.57</v>
      </c>
      <c r="Y67" s="18" t="n">
        <v>1674.21</v>
      </c>
      <c r="Z67" s="37" t="n">
        <v>4510.33</v>
      </c>
      <c r="AA67" s="18" t="n">
        <v>3770.04</v>
      </c>
      <c r="AB67" s="19" t="n">
        <v>1442.88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777.23</v>
      </c>
      <c r="F68" s="9" t="n"/>
      <c r="G68" s="18" t="n">
        <v>1258.92</v>
      </c>
      <c r="H68" s="18" t="n">
        <v>1102.05</v>
      </c>
      <c r="I68" s="18" t="n">
        <v>956.62</v>
      </c>
      <c r="J68" s="18" t="n">
        <v>5582.02</v>
      </c>
      <c r="K68" s="37" t="n">
        <v>8899.610000000001</v>
      </c>
      <c r="L68" s="18" t="n">
        <v>1643.15</v>
      </c>
      <c r="M68" s="18" t="n">
        <v>1274.95</v>
      </c>
      <c r="N68" s="18" t="n">
        <v>1433.49</v>
      </c>
      <c r="O68" s="18" t="n">
        <v>2220.88</v>
      </c>
      <c r="P68" s="37" t="n">
        <v>6572.47</v>
      </c>
      <c r="Q68" s="18" t="n">
        <v>1377.66</v>
      </c>
      <c r="R68" s="18" t="n">
        <v>2184.29</v>
      </c>
      <c r="S68" s="18" t="n">
        <v>2524.86</v>
      </c>
      <c r="T68" s="18" t="n">
        <v>438.2</v>
      </c>
      <c r="U68" s="37" t="n">
        <v>6525.01</v>
      </c>
      <c r="V68" s="18" t="n">
        <v>1526.15</v>
      </c>
      <c r="W68" s="18" t="n">
        <v>2781.28</v>
      </c>
      <c r="X68" s="18" t="n">
        <v>392.8</v>
      </c>
      <c r="Y68" s="18" t="n">
        <v>1171.66</v>
      </c>
      <c r="Z68" s="37" t="n">
        <v>5871.89</v>
      </c>
      <c r="AA68" s="18" t="n">
        <v>1409.86</v>
      </c>
      <c r="AB68" s="19" t="n">
        <v>1052.32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1595.85</v>
      </c>
      <c r="F69" s="9" t="n"/>
      <c r="G69" s="18" t="n">
        <v>4461.43</v>
      </c>
      <c r="H69" s="18" t="n">
        <v>9933.950000000001</v>
      </c>
      <c r="I69" s="18" t="n">
        <v>8257.280000000001</v>
      </c>
      <c r="J69" s="18" t="n">
        <v>-2769.45</v>
      </c>
      <c r="K69" s="37" t="n">
        <v>19883.21</v>
      </c>
      <c r="L69" s="18" t="n">
        <v>6686.2</v>
      </c>
      <c r="M69" s="18" t="n">
        <v>8312.440000000001</v>
      </c>
      <c r="N69" s="18" t="n">
        <v>4236.98</v>
      </c>
      <c r="O69" s="18" t="n">
        <v>-317.26</v>
      </c>
      <c r="P69" s="37" t="n">
        <v>18918.36</v>
      </c>
      <c r="Q69" s="18" t="n">
        <v>2894.45</v>
      </c>
      <c r="R69" s="18" t="n">
        <v>95.34999999999999</v>
      </c>
      <c r="S69" s="18" t="n">
        <v>-1955.47</v>
      </c>
      <c r="T69" s="18" t="n">
        <v>4332.34</v>
      </c>
      <c r="U69" s="37" t="n">
        <v>5366.67</v>
      </c>
      <c r="V69" s="18" t="n">
        <v>4409.31</v>
      </c>
      <c r="W69" s="18" t="n">
        <v>1714.1</v>
      </c>
      <c r="X69" s="18" t="n">
        <v>13876.81</v>
      </c>
      <c r="Y69" s="18" t="n">
        <v>3562.45</v>
      </c>
      <c r="Z69" s="37" t="n">
        <v>23562.67</v>
      </c>
      <c r="AA69" s="18" t="n">
        <v>4197.69</v>
      </c>
      <c r="AB69" s="19" t="n">
        <v>7086.4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-46.73</v>
      </c>
      <c r="F70" s="9" t="n"/>
      <c r="G70" s="18" t="n">
        <v>873.09</v>
      </c>
      <c r="H70" s="18" t="n">
        <v>2560.67</v>
      </c>
      <c r="I70" s="18" t="n">
        <v>1926.26</v>
      </c>
      <c r="J70" s="18" t="n">
        <v>-364.28</v>
      </c>
      <c r="K70" s="37" t="n">
        <v>4995.74</v>
      </c>
      <c r="L70" s="18" t="n">
        <v>1165.46</v>
      </c>
      <c r="M70" s="18" t="n">
        <v>2105.8</v>
      </c>
      <c r="N70" s="18" t="n">
        <v>701.84</v>
      </c>
      <c r="O70" s="18" t="n">
        <v>-1779.63</v>
      </c>
      <c r="P70" s="37" t="n">
        <v>2193.47</v>
      </c>
      <c r="Q70" s="18" t="n">
        <v>342.71</v>
      </c>
      <c r="R70" s="18" t="n">
        <v>1361.41</v>
      </c>
      <c r="S70" s="18" t="n">
        <v>-437.59</v>
      </c>
      <c r="T70" s="18" t="n">
        <v>54.95</v>
      </c>
      <c r="U70" s="37" t="n">
        <v>1321.48</v>
      </c>
      <c r="V70" s="18" t="n">
        <v>821.29</v>
      </c>
      <c r="W70" s="18" t="n">
        <v>619.12</v>
      </c>
      <c r="X70" s="18" t="n">
        <v>1335.67</v>
      </c>
      <c r="Y70" s="18" t="n">
        <v>1849</v>
      </c>
      <c r="Z70" s="37" t="n">
        <v>4625.08</v>
      </c>
      <c r="AA70" s="18" t="n">
        <v>554.85</v>
      </c>
      <c r="AB70" s="19" t="n">
        <v>2203.41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1642.58</v>
      </c>
      <c r="F71" s="9" t="n"/>
      <c r="G71" s="18" t="n">
        <v>3588.34</v>
      </c>
      <c r="H71" s="18" t="n">
        <v>7373.28</v>
      </c>
      <c r="I71" s="18" t="n">
        <v>6331.02</v>
      </c>
      <c r="J71" s="18" t="n">
        <v>-2405.17</v>
      </c>
      <c r="K71" s="37" t="n">
        <v>14887.47</v>
      </c>
      <c r="L71" s="18" t="n">
        <v>5520.74</v>
      </c>
      <c r="M71" s="18" t="n">
        <v>6206.65</v>
      </c>
      <c r="N71" s="18" t="n">
        <v>3535.13</v>
      </c>
      <c r="O71" s="18" t="n">
        <v>1462.38</v>
      </c>
      <c r="P71" s="37" t="n">
        <v>16724.9</v>
      </c>
      <c r="Q71" s="18" t="n">
        <v>2551.74</v>
      </c>
      <c r="R71" s="18" t="n">
        <v>-1266.06</v>
      </c>
      <c r="S71" s="18" t="n">
        <v>-1517.89</v>
      </c>
      <c r="T71" s="18" t="n">
        <v>4277.39</v>
      </c>
      <c r="U71" s="37" t="n">
        <v>4045.18</v>
      </c>
      <c r="V71" s="18" t="n">
        <v>3588.02</v>
      </c>
      <c r="W71" s="18" t="n">
        <v>1094.98</v>
      </c>
      <c r="X71" s="18" t="n">
        <v>12541.14</v>
      </c>
      <c r="Y71" s="18" t="n">
        <v>1713.44</v>
      </c>
      <c r="Z71" s="37" t="n">
        <v>18937.58</v>
      </c>
      <c r="AA71" s="18" t="n">
        <v>3642.84</v>
      </c>
      <c r="AB71" s="19" t="n">
        <v>4882.99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1665.52</v>
      </c>
      <c r="F72" s="9" t="n"/>
      <c r="G72" s="18" t="n">
        <v>3597.33</v>
      </c>
      <c r="H72" s="18" t="n">
        <v>7392.06</v>
      </c>
      <c r="I72" s="18" t="n">
        <v>6350.38</v>
      </c>
      <c r="J72" s="18" t="n">
        <v>-2370.94</v>
      </c>
      <c r="K72" s="37" t="n">
        <v>14968.83</v>
      </c>
      <c r="L72" s="18" t="n">
        <v>5550.24</v>
      </c>
      <c r="M72" s="18" t="n">
        <v>6242.33</v>
      </c>
      <c r="N72" s="18" t="n">
        <v>3567.46</v>
      </c>
      <c r="O72" s="18" t="n">
        <v>1487.12</v>
      </c>
      <c r="P72" s="37" t="n">
        <v>16847.15</v>
      </c>
      <c r="Q72" s="18" t="n">
        <v>2581.22</v>
      </c>
      <c r="R72" s="18" t="n">
        <v>-1246.4</v>
      </c>
      <c r="S72" s="18" t="n">
        <v>-1509.34</v>
      </c>
      <c r="T72" s="18" t="n">
        <v>4292.84</v>
      </c>
      <c r="U72" s="37" t="n">
        <v>4118.32</v>
      </c>
      <c r="V72" s="18" t="n">
        <v>3607.34</v>
      </c>
      <c r="W72" s="18" t="n">
        <v>1113.86</v>
      </c>
      <c r="X72" s="18" t="n">
        <v>12553.53</v>
      </c>
      <c r="Y72" s="18" t="n">
        <v>1734.95</v>
      </c>
      <c r="Z72" s="37" t="n">
        <v>19009.68</v>
      </c>
      <c r="AA72" s="18" t="n">
        <v>3668.51</v>
      </c>
      <c r="AB72" s="19" t="n">
        <v>4898.79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(비지배주주지분)당기순이익</t>
        </is>
      </c>
      <c r="E73" s="18" t="n">
        <v>-22.94</v>
      </c>
      <c r="F73" s="9" t="n"/>
      <c r="G73" s="18" t="n">
        <v>-8.99</v>
      </c>
      <c r="H73" s="18" t="n">
        <v>-18.78</v>
      </c>
      <c r="I73" s="18" t="n">
        <v>-19.36</v>
      </c>
      <c r="J73" s="18" t="n">
        <v>-34.24</v>
      </c>
      <c r="K73" s="37" t="n">
        <v>-81.37</v>
      </c>
      <c r="L73" s="18" t="n">
        <v>-29.5</v>
      </c>
      <c r="M73" s="18" t="n">
        <v>-35.68</v>
      </c>
      <c r="N73" s="18" t="n">
        <v>32.33</v>
      </c>
      <c r="O73" s="18" t="n">
        <v>-24.74</v>
      </c>
      <c r="P73" s="37" t="n">
        <v>-57.59</v>
      </c>
      <c r="Q73" s="18" t="n">
        <v>-29.49</v>
      </c>
      <c r="R73" s="18" t="n">
        <v>-19.66</v>
      </c>
      <c r="S73" s="18" t="n">
        <v>-8.550000000000001</v>
      </c>
      <c r="T73" s="18" t="n">
        <v>-15.46</v>
      </c>
      <c r="U73" s="37" t="n">
        <v>-73.16</v>
      </c>
      <c r="V73" s="18" t="n">
        <v>-19.32</v>
      </c>
      <c r="W73" s="18" t="n">
        <v>-18.88</v>
      </c>
      <c r="X73" s="18" t="n">
        <v>-12.39</v>
      </c>
      <c r="Y73" s="18" t="n">
        <v>-21.5</v>
      </c>
      <c r="Z73" s="37" t="n">
        <v>-72.09</v>
      </c>
      <c r="AA73" s="18" t="n">
        <v>-25.68</v>
      </c>
      <c r="AB73" s="19" t="n">
        <v>-15.81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94.16</v>
      </c>
      <c r="F74" s="9" t="n"/>
      <c r="G74" s="18" t="n">
        <v>-68.58</v>
      </c>
      <c r="H74" s="18" t="n">
        <v>1199.09</v>
      </c>
      <c r="I74" s="18" t="n">
        <v>1099.98</v>
      </c>
      <c r="J74" s="18" t="n">
        <v>-5807.75</v>
      </c>
      <c r="K74" s="37" t="n">
        <v>-3577.26</v>
      </c>
      <c r="L74" s="18" t="n">
        <v>-19.77</v>
      </c>
      <c r="M74" s="18" t="n">
        <v>-24.44</v>
      </c>
      <c r="N74" s="18" t="n">
        <v>-553.23</v>
      </c>
      <c r="O74" s="18" t="n">
        <v>-1460.76</v>
      </c>
      <c r="P74" s="37" t="n">
        <v>-2058.2</v>
      </c>
      <c r="Q74" s="18" t="n">
        <v>-53.18</v>
      </c>
      <c r="R74" s="18" t="n">
        <v>-1297.86</v>
      </c>
      <c r="S74" s="18" t="n">
        <v>-1997.35</v>
      </c>
      <c r="T74" s="18" t="n">
        <v>2167.72</v>
      </c>
      <c r="U74" s="37" t="n">
        <v>-1180.67</v>
      </c>
      <c r="V74" s="18" t="n">
        <v>-523.9299999999999</v>
      </c>
      <c r="W74" s="18" t="n">
        <v>-2005.95</v>
      </c>
      <c r="X74" s="18" t="n">
        <v>665.77</v>
      </c>
      <c r="Y74" s="18" t="n">
        <v>502.55</v>
      </c>
      <c r="Z74" s="37" t="n">
        <v>-1361.56</v>
      </c>
      <c r="AA74" s="18" t="n">
        <v>2360.18</v>
      </c>
      <c r="AB74" s="19" t="n">
        <v>390.56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-193.89</v>
      </c>
      <c r="F75" s="9" t="n"/>
      <c r="G75" s="18" t="n">
        <v>448.94</v>
      </c>
      <c r="H75" s="18" t="n">
        <v>41.62</v>
      </c>
      <c r="I75" s="18" t="n">
        <v>21.52</v>
      </c>
      <c r="J75" s="18" t="n">
        <v>-54.33</v>
      </c>
      <c r="K75" s="37" t="n">
        <v>457.75</v>
      </c>
      <c r="L75" s="18" t="n">
        <v>49.87</v>
      </c>
      <c r="M75" s="18" t="n">
        <v>66.66</v>
      </c>
      <c r="N75" s="18" t="n">
        <v>3310.4</v>
      </c>
      <c r="O75" s="18" t="n">
        <v>117.21</v>
      </c>
      <c r="P75" s="37" t="n">
        <v>3544.14</v>
      </c>
      <c r="Q75" s="18" t="n">
        <v>185.18</v>
      </c>
      <c r="R75" s="18" t="n">
        <v>8.880000000000001</v>
      </c>
      <c r="S75" s="18" t="n">
        <v>48.55</v>
      </c>
      <c r="T75" s="18" t="n">
        <v>-161.05</v>
      </c>
      <c r="U75" s="37" t="n">
        <v>81.56</v>
      </c>
      <c r="V75" s="18" t="n">
        <v>2156.43</v>
      </c>
      <c r="W75" s="18" t="n">
        <v>303.06</v>
      </c>
      <c r="X75" s="18" t="n">
        <v>7398.45</v>
      </c>
      <c r="Y75" s="18" t="n">
        <v>-247.32</v>
      </c>
      <c r="Z75" s="37" t="n">
        <v>9610.620000000001</v>
      </c>
      <c r="AA75" s="18" t="n">
        <v>65.84999999999999</v>
      </c>
      <c r="AB75" s="19" t="n">
        <v>400.06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1642.58</v>
      </c>
      <c r="F76" s="9" t="n"/>
      <c r="G76" s="18" t="n">
        <v>3588.34</v>
      </c>
      <c r="H76" s="18" t="n">
        <v>7373.28</v>
      </c>
      <c r="I76" s="18" t="n">
        <v>6331.02</v>
      </c>
      <c r="J76" s="18" t="n">
        <v>-2405.17</v>
      </c>
      <c r="K76" s="37" t="n">
        <v>14887.47</v>
      </c>
      <c r="L76" s="18" t="n">
        <v>5520.74</v>
      </c>
      <c r="M76" s="18" t="n">
        <v>6206.65</v>
      </c>
      <c r="N76" s="18" t="n">
        <v>3535.13</v>
      </c>
      <c r="O76" s="18" t="n">
        <v>1462.38</v>
      </c>
      <c r="P76" s="37" t="n">
        <v>16724.9</v>
      </c>
      <c r="Q76" s="18" t="n">
        <v>2551.74</v>
      </c>
      <c r="R76" s="18" t="n">
        <v>-1266.06</v>
      </c>
      <c r="S76" s="18" t="n">
        <v>-1517.89</v>
      </c>
      <c r="T76" s="18" t="n">
        <v>4277.39</v>
      </c>
      <c r="U76" s="37" t="n">
        <v>4045.18</v>
      </c>
      <c r="V76" s="18" t="n">
        <v>3588.02</v>
      </c>
      <c r="W76" s="18" t="n">
        <v>1094.98</v>
      </c>
      <c r="X76" s="18" t="n">
        <v>12541.14</v>
      </c>
      <c r="Y76" s="18" t="n">
        <v>1713.44</v>
      </c>
      <c r="Z76" s="37" t="n">
        <v>18937.58</v>
      </c>
      <c r="AA76" s="18" t="n">
        <v>3642.84</v>
      </c>
      <c r="AB76" s="19" t="n">
        <v>4882.99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67.8</v>
      </c>
      <c r="K77" s="9" t="n"/>
      <c r="P77" s="9" t="n"/>
      <c r="Q77" s="18" t="n">
        <v>53.45</v>
      </c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609.6900000000001</v>
      </c>
      <c r="K78" s="9" t="n"/>
      <c r="P78" s="9" t="n"/>
      <c r="Q78" s="18" t="n">
        <v>1211.99</v>
      </c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외환차익</t>
        </is>
      </c>
      <c r="F79" s="9" t="n"/>
      <c r="G79" s="18" t="n">
        <v>461.67</v>
      </c>
      <c r="K79" s="9" t="n"/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G80" s="18" t="n">
        <v>10.14</v>
      </c>
      <c r="K80" s="9" t="n"/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외화환산이익</t>
        </is>
      </c>
      <c r="F81" s="9" t="n"/>
      <c r="G81" s="18" t="n">
        <v>257.59</v>
      </c>
      <c r="K81" s="9" t="n"/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외화환산손실</t>
        </is>
      </c>
      <c r="F82" s="9" t="n"/>
      <c r="G82" s="18" t="n">
        <v>113.42</v>
      </c>
      <c r="K82" s="9" t="n"/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파생상품이익</t>
        </is>
      </c>
      <c r="F83" s="9" t="n"/>
      <c r="G83" s="18" t="n">
        <v>376.27</v>
      </c>
      <c r="K83" s="9" t="n"/>
      <c r="P83" s="9" t="n"/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파생상품손실</t>
        </is>
      </c>
      <c r="F84" s="9" t="n"/>
      <c r="G84" s="18" t="n">
        <v>342</v>
      </c>
      <c r="K84" s="9" t="n"/>
      <c r="P84" s="9" t="n"/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이자손익</t>
        </is>
      </c>
      <c r="F85" s="9" t="n"/>
      <c r="G85" s="18" t="n">
        <v>-541.89</v>
      </c>
      <c r="K85" s="9" t="n"/>
      <c r="P85" s="9" t="n"/>
      <c r="Q85" s="18" t="n">
        <v>-1158.54</v>
      </c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총포괄손익</t>
        </is>
      </c>
      <c r="F86" s="9" t="n"/>
      <c r="H86" s="18" t="n">
        <v>7379.71</v>
      </c>
      <c r="I86" s="18" t="n">
        <v>6331.02</v>
      </c>
      <c r="J86" s="18" t="n">
        <v>-2399.49</v>
      </c>
      <c r="K86" s="9" t="n"/>
      <c r="L86" s="18" t="n">
        <v>5525.07</v>
      </c>
      <c r="M86" s="18" t="n">
        <v>6206.14</v>
      </c>
      <c r="N86" s="18" t="n">
        <v>3531.3</v>
      </c>
      <c r="O86" s="18" t="n">
        <v>1466.21</v>
      </c>
      <c r="P86" s="37" t="n">
        <v>16728.72</v>
      </c>
      <c r="Q86" s="18" t="n">
        <v>2551.74</v>
      </c>
      <c r="R86" s="18" t="n">
        <v>-1266.06</v>
      </c>
      <c r="S86" s="18" t="n">
        <v>-1517.89</v>
      </c>
      <c r="T86" s="18" t="n">
        <v>4277.39</v>
      </c>
      <c r="U86" s="37" t="n">
        <v>4045.18</v>
      </c>
      <c r="V86" s="18" t="n">
        <v>3588.02</v>
      </c>
      <c r="W86" s="18" t="n">
        <v>1094.98</v>
      </c>
      <c r="X86" s="18" t="n">
        <v>12543.38</v>
      </c>
      <c r="Y86" s="18" t="n">
        <v>1728.85</v>
      </c>
      <c r="Z86" s="37" t="n">
        <v>18955.23</v>
      </c>
      <c r="AA86" s="18" t="n">
        <v>3670.28</v>
      </c>
      <c r="AB86" s="19" t="n">
        <v>4890.91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영업활동으로인한현금흐름</t>
        </is>
      </c>
      <c r="E87" s="18" t="n">
        <v>229.99</v>
      </c>
      <c r="F87" s="9" t="n"/>
      <c r="G87" s="18" t="n">
        <v>6918.5</v>
      </c>
      <c r="H87" s="18" t="n">
        <v>-3510.56</v>
      </c>
      <c r="I87" s="18" t="n">
        <v>-3478.74</v>
      </c>
      <c r="J87" s="18" t="n">
        <v>-2114.67</v>
      </c>
      <c r="K87" s="37" t="n">
        <v>-2185.47</v>
      </c>
      <c r="L87" s="18" t="n">
        <v>3728.83</v>
      </c>
      <c r="M87" s="18" t="n">
        <v>5969.47</v>
      </c>
      <c r="N87" s="18" t="n">
        <v>6341.17</v>
      </c>
      <c r="O87" s="18" t="n">
        <v>-1556.15</v>
      </c>
      <c r="P87" s="37" t="n">
        <v>14483.32</v>
      </c>
      <c r="Q87" s="18" t="n">
        <v>1900.61</v>
      </c>
      <c r="R87" s="18" t="n">
        <v>507.98</v>
      </c>
      <c r="S87" s="18" t="n">
        <v>490.41</v>
      </c>
      <c r="T87" s="18" t="n">
        <v>8965.99</v>
      </c>
      <c r="U87" s="37" t="n">
        <v>11864.99</v>
      </c>
      <c r="V87" s="18" t="n">
        <v>7671.94</v>
      </c>
      <c r="W87" s="18" t="n">
        <v>-6390.59</v>
      </c>
      <c r="X87" s="18" t="n">
        <v>4899.78</v>
      </c>
      <c r="Y87" s="18" t="n">
        <v>3968.51</v>
      </c>
      <c r="Z87" s="37" t="n">
        <v>10149.64</v>
      </c>
      <c r="AA87" s="18" t="n">
        <v>1233.8</v>
      </c>
      <c r="AB87" s="19" t="n">
        <v>-7631.37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법인세납부(CF)</t>
        </is>
      </c>
      <c r="E88" s="18" t="n">
        <v>-16.33</v>
      </c>
      <c r="F88" s="9" t="n"/>
      <c r="G88" s="18" t="n">
        <v>-1145.08</v>
      </c>
      <c r="H88" s="18" t="n">
        <v>-1254.35</v>
      </c>
      <c r="I88" s="18" t="n">
        <v>-555.02</v>
      </c>
      <c r="J88" s="18" t="n">
        <v>-556.79</v>
      </c>
      <c r="K88" s="37" t="n">
        <v>-3511.24</v>
      </c>
      <c r="L88" s="18" t="n">
        <v>245.25</v>
      </c>
      <c r="M88" s="18" t="n">
        <v>-1616.13</v>
      </c>
      <c r="N88" s="18" t="n">
        <v>-3158.06</v>
      </c>
      <c r="O88" s="18" t="n">
        <v>-1034.14</v>
      </c>
      <c r="P88" s="37" t="n">
        <v>-5563.08</v>
      </c>
      <c r="Q88" s="18" t="n">
        <v>-8.380000000000001</v>
      </c>
      <c r="R88" s="18" t="n">
        <v>-1285.75</v>
      </c>
      <c r="S88" s="18" t="n">
        <v>-773.71</v>
      </c>
      <c r="T88" s="18" t="n">
        <v>-578.02</v>
      </c>
      <c r="U88" s="37" t="n">
        <v>-2645.86</v>
      </c>
      <c r="V88" s="18" t="n">
        <v>-0.9</v>
      </c>
      <c r="W88" s="18" t="n">
        <v>-74.67</v>
      </c>
      <c r="X88" s="18" t="n">
        <v>-356.26</v>
      </c>
      <c r="Y88" s="18" t="n">
        <v>-0.52</v>
      </c>
      <c r="Z88" s="37" t="n">
        <v>-432.35</v>
      </c>
      <c r="AA88" s="18" t="n">
        <v>-1860.2</v>
      </c>
      <c r="AB88" s="19" t="n">
        <v>-2146.31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투자활동으로인한현금흐름</t>
        </is>
      </c>
      <c r="E89" s="18" t="n">
        <v>9413.129999999999</v>
      </c>
      <c r="F89" s="9" t="n"/>
      <c r="G89" s="18" t="n">
        <v>-14175.73</v>
      </c>
      <c r="H89" s="18" t="n">
        <v>-3913.12</v>
      </c>
      <c r="I89" s="18" t="n">
        <v>-9281.01</v>
      </c>
      <c r="J89" s="18" t="n">
        <v>-10625.6</v>
      </c>
      <c r="K89" s="37" t="n">
        <v>-37995.46</v>
      </c>
      <c r="L89" s="18" t="n">
        <v>-10549.47</v>
      </c>
      <c r="M89" s="18" t="n">
        <v>2704.07</v>
      </c>
      <c r="N89" s="18" t="n">
        <v>-14851.11</v>
      </c>
      <c r="O89" s="18" t="n">
        <v>6349.69</v>
      </c>
      <c r="P89" s="37" t="n">
        <v>-16346.82</v>
      </c>
      <c r="Q89" s="18" t="n">
        <v>-6450.27</v>
      </c>
      <c r="R89" s="18" t="n">
        <v>-77.11</v>
      </c>
      <c r="S89" s="18" t="n">
        <v>4755.88</v>
      </c>
      <c r="T89" s="18" t="n">
        <v>-11396.67</v>
      </c>
      <c r="U89" s="37" t="n">
        <v>-13168.17</v>
      </c>
      <c r="V89" s="18" t="n">
        <v>8701.700000000001</v>
      </c>
      <c r="W89" s="18" t="n">
        <v>15660.12</v>
      </c>
      <c r="X89" s="18" t="n">
        <v>4841.05</v>
      </c>
      <c r="Y89" s="18" t="n">
        <v>-2479.74</v>
      </c>
      <c r="Z89" s="37" t="n">
        <v>26723.13</v>
      </c>
      <c r="AA89" s="18" t="n">
        <v>-18195.08</v>
      </c>
      <c r="AB89" s="19" t="n">
        <v>2502.91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유형자산의증가</t>
        </is>
      </c>
      <c r="E90" s="18" t="n">
        <v>5800.01</v>
      </c>
      <c r="F90" s="9" t="n"/>
      <c r="G90" s="18" t="n">
        <v>7829.42</v>
      </c>
      <c r="H90" s="18" t="n">
        <v>4768.93</v>
      </c>
      <c r="I90" s="18" t="n">
        <v>10157.53</v>
      </c>
      <c r="J90" s="18" t="n">
        <v>8910.959999999999</v>
      </c>
      <c r="K90" s="37" t="n">
        <v>31666.84</v>
      </c>
      <c r="L90" s="18" t="n">
        <v>11558.57</v>
      </c>
      <c r="M90" s="18" t="n">
        <v>10039.57</v>
      </c>
      <c r="N90" s="18" t="n">
        <v>12175.21</v>
      </c>
      <c r="P90" s="9" t="n"/>
      <c r="Q90" s="18" t="n">
        <v>955.49</v>
      </c>
      <c r="R90" s="18" t="n">
        <v>451.11</v>
      </c>
      <c r="T90" s="18" t="n">
        <v>3439.11</v>
      </c>
      <c r="U90" s="9" t="n"/>
      <c r="V90" s="18" t="n">
        <v>670.55</v>
      </c>
      <c r="W90" s="18" t="n">
        <v>589.49</v>
      </c>
      <c r="X90" s="18" t="n">
        <v>1750.01</v>
      </c>
      <c r="Y90" s="18" t="n">
        <v>7902.05</v>
      </c>
      <c r="Z90" s="37" t="n">
        <v>10912.1</v>
      </c>
      <c r="AA90" s="18" t="n">
        <v>5008.8</v>
      </c>
      <c r="AB90" s="19" t="n">
        <v>10773.49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CAPEX</t>
        </is>
      </c>
      <c r="E91" s="18" t="n">
        <v>5773.01</v>
      </c>
      <c r="F91" s="9" t="n"/>
      <c r="G91" s="18" t="n">
        <v>7833.96</v>
      </c>
      <c r="H91" s="18" t="n">
        <v>4775.96</v>
      </c>
      <c r="I91" s="18" t="n">
        <v>10157.53</v>
      </c>
      <c r="J91" s="18" t="n">
        <v>8911.459999999999</v>
      </c>
      <c r="K91" s="37" t="n">
        <v>31678.91</v>
      </c>
      <c r="L91" s="18" t="n">
        <v>11558.57</v>
      </c>
      <c r="M91" s="18" t="n">
        <v>10648.27</v>
      </c>
      <c r="N91" s="18" t="n">
        <v>12172.71</v>
      </c>
      <c r="O91" s="18" t="n">
        <v>35.81</v>
      </c>
      <c r="P91" s="37" t="n">
        <v>34415.36</v>
      </c>
      <c r="Q91" s="18" t="n">
        <v>964.55</v>
      </c>
      <c r="R91" s="18" t="n">
        <v>468.49</v>
      </c>
      <c r="T91" s="18" t="n">
        <v>3609.11</v>
      </c>
      <c r="U91" s="9" t="n"/>
      <c r="V91" s="18" t="n">
        <v>678.98</v>
      </c>
      <c r="W91" s="18" t="n">
        <v>632.59</v>
      </c>
      <c r="X91" s="18" t="n">
        <v>1765.15</v>
      </c>
      <c r="Y91" s="18" t="n">
        <v>7907.5</v>
      </c>
      <c r="Z91" s="37" t="n">
        <v>10984.22</v>
      </c>
      <c r="AA91" s="18" t="n">
        <v>5010.6</v>
      </c>
      <c r="AB91" s="19" t="n">
        <v>10773.49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무형자산의감소</t>
        </is>
      </c>
      <c r="E92" s="18" t="n">
        <v>0</v>
      </c>
      <c r="F92" s="9" t="n"/>
      <c r="G92" s="18" t="n">
        <v>0</v>
      </c>
      <c r="H92" s="18" t="n">
        <v>0</v>
      </c>
      <c r="I92" s="18" t="n">
        <v>0</v>
      </c>
      <c r="J92" s="18" t="n">
        <v>0</v>
      </c>
      <c r="K92" s="37" t="n">
        <v>0</v>
      </c>
      <c r="L92" s="18" t="n">
        <v>214.02</v>
      </c>
      <c r="M92" s="18" t="n">
        <v>13.25</v>
      </c>
      <c r="O92" s="18" t="n">
        <v>13.25</v>
      </c>
      <c r="P92" s="9" t="n"/>
      <c r="Q92" s="18" t="n">
        <v>0</v>
      </c>
      <c r="R92" s="18" t="n">
        <v>0</v>
      </c>
      <c r="S92" s="18" t="n">
        <v>62.97</v>
      </c>
      <c r="U92" s="9" t="n"/>
      <c r="V92" s="18" t="n">
        <v>0</v>
      </c>
      <c r="W92" s="18" t="n">
        <v>0</v>
      </c>
      <c r="X92" s="18" t="n">
        <v>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재무활동으로인한현금흐름</t>
        </is>
      </c>
      <c r="E93" s="18" t="n">
        <v>-282.64</v>
      </c>
      <c r="F93" s="9" t="n"/>
      <c r="G93" s="18" t="n">
        <v>3687.06</v>
      </c>
      <c r="H93" s="18" t="n">
        <v>6601.11</v>
      </c>
      <c r="I93" s="18" t="n">
        <v>10543.68</v>
      </c>
      <c r="J93" s="18" t="n">
        <v>1737.72</v>
      </c>
      <c r="K93" s="37" t="n">
        <v>22569.57</v>
      </c>
      <c r="L93" s="18" t="n">
        <v>9907.360000000001</v>
      </c>
      <c r="M93" s="18" t="n">
        <v>-2563.94</v>
      </c>
      <c r="N93" s="18" t="n">
        <v>874.14</v>
      </c>
      <c r="O93" s="18" t="n">
        <v>-644.28</v>
      </c>
      <c r="P93" s="37" t="n">
        <v>7573.28</v>
      </c>
      <c r="Q93" s="18" t="n">
        <v>803.71</v>
      </c>
      <c r="R93" s="18" t="n">
        <v>-1753.81</v>
      </c>
      <c r="S93" s="18" t="n">
        <v>6114.04</v>
      </c>
      <c r="T93" s="18" t="n">
        <v>-10482.87</v>
      </c>
      <c r="U93" s="37" t="n">
        <v>-5318.93</v>
      </c>
      <c r="V93" s="18" t="n">
        <v>-14258.59</v>
      </c>
      <c r="W93" s="18" t="n">
        <v>-2992.51</v>
      </c>
      <c r="X93" s="18" t="n">
        <v>-4669.61</v>
      </c>
      <c r="Y93" s="18" t="n">
        <v>12945.4</v>
      </c>
      <c r="Z93" s="37" t="n">
        <v>-8975.309999999999</v>
      </c>
      <c r="AA93" s="18" t="n">
        <v>2485.29</v>
      </c>
      <c r="AB93" s="19" t="n">
        <v>-7676.42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단기차입금의증가</t>
        </is>
      </c>
      <c r="E94" s="18" t="n">
        <v>0</v>
      </c>
      <c r="F94" s="9" t="n"/>
      <c r="G94" s="18" t="n">
        <v>10780</v>
      </c>
      <c r="I94" s="18" t="n">
        <v>31280</v>
      </c>
      <c r="J94" s="18" t="n">
        <v>32900</v>
      </c>
      <c r="K94" s="9" t="n"/>
      <c r="L94" s="18" t="n">
        <v>28500</v>
      </c>
      <c r="N94" s="18" t="n">
        <v>90540</v>
      </c>
      <c r="O94" s="18" t="n">
        <v>48406.63</v>
      </c>
      <c r="P94" s="9" t="n"/>
      <c r="Q94" s="18" t="n">
        <v>48620</v>
      </c>
      <c r="R94" s="18" t="n">
        <v>47300</v>
      </c>
      <c r="S94" s="18" t="n">
        <v>41000</v>
      </c>
      <c r="U94" s="9" t="n"/>
      <c r="V94" s="18" t="n">
        <v>44000</v>
      </c>
      <c r="W94" s="18" t="n">
        <v>43800</v>
      </c>
      <c r="X94" s="18" t="n">
        <v>18500</v>
      </c>
      <c r="Y94" s="18" t="n">
        <v>36500</v>
      </c>
      <c r="Z94" s="37" t="n">
        <v>142800</v>
      </c>
      <c r="AA94" s="18" t="n">
        <v>16000</v>
      </c>
      <c r="AB94" s="19" t="n">
        <v>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배당금지급</t>
        </is>
      </c>
      <c r="E95" s="18" t="n">
        <v>0</v>
      </c>
      <c r="F95" s="9" t="n"/>
      <c r="G95" s="18" t="n">
        <v>0</v>
      </c>
      <c r="H95" s="18" t="n">
        <v>1221.98</v>
      </c>
      <c r="I95" s="18" t="n">
        <v>0</v>
      </c>
      <c r="J95" s="18" t="n">
        <v>0</v>
      </c>
      <c r="K95" s="37" t="n">
        <v>1221.98</v>
      </c>
      <c r="L95" s="18" t="n">
        <v>0</v>
      </c>
      <c r="M95" s="18" t="n">
        <v>1825.03</v>
      </c>
      <c r="N95" s="18" t="n">
        <v>0</v>
      </c>
      <c r="O95" s="18" t="n">
        <v>0</v>
      </c>
      <c r="P95" s="37" t="n">
        <v>1825.03</v>
      </c>
      <c r="Q95" s="18" t="n">
        <v>0</v>
      </c>
      <c r="R95" s="18" t="n">
        <v>2281.29</v>
      </c>
      <c r="S95" s="18" t="n">
        <v>0</v>
      </c>
      <c r="T95" s="18" t="n">
        <v>0</v>
      </c>
      <c r="U95" s="37" t="n">
        <v>2281.29</v>
      </c>
      <c r="V95" s="18" t="n">
        <v>0</v>
      </c>
      <c r="W95" s="18" t="n">
        <v>2281.29</v>
      </c>
      <c r="X95" s="18" t="n">
        <v>0</v>
      </c>
      <c r="Y95" s="18" t="n">
        <v>0</v>
      </c>
      <c r="Z95" s="37" t="n">
        <v>2281.29</v>
      </c>
      <c r="AA95" s="18" t="n">
        <v>0</v>
      </c>
      <c r="AB95" s="19" t="n">
        <v>5955.53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현금및현금성자산의증감</t>
        </is>
      </c>
      <c r="E96" s="18" t="n">
        <v>9345.99</v>
      </c>
      <c r="F96" s="9" t="n"/>
      <c r="G96" s="18" t="n">
        <v>-3570.17</v>
      </c>
      <c r="H96" s="18" t="n">
        <v>-810.78</v>
      </c>
      <c r="I96" s="18" t="n">
        <v>-2227.85</v>
      </c>
      <c r="J96" s="18" t="n">
        <v>-11011.79</v>
      </c>
      <c r="K96" s="37" t="n">
        <v>-17620.59</v>
      </c>
      <c r="L96" s="18" t="n">
        <v>3115.27</v>
      </c>
      <c r="M96" s="18" t="n">
        <v>6035.68</v>
      </c>
      <c r="N96" s="18" t="n">
        <v>-7649.02</v>
      </c>
      <c r="O96" s="18" t="n">
        <v>4200.49</v>
      </c>
      <c r="P96" s="37" t="n">
        <v>5702.42</v>
      </c>
      <c r="Q96" s="18" t="n">
        <v>-3786.75</v>
      </c>
      <c r="R96" s="18" t="n">
        <v>-1331.67</v>
      </c>
      <c r="S96" s="18" t="n">
        <v>11201.47</v>
      </c>
      <c r="T96" s="18" t="n">
        <v>-12706.29</v>
      </c>
      <c r="U96" s="37" t="n">
        <v>-6623.24</v>
      </c>
      <c r="V96" s="18" t="n">
        <v>2168.51</v>
      </c>
      <c r="W96" s="18" t="n">
        <v>6154.19</v>
      </c>
      <c r="X96" s="18" t="n">
        <v>5280.88</v>
      </c>
      <c r="Y96" s="18" t="n">
        <v>14168.62</v>
      </c>
      <c r="Z96" s="37" t="n">
        <v>27772.2</v>
      </c>
      <c r="AA96" s="18" t="n">
        <v>-13916.81</v>
      </c>
      <c r="AB96" s="19" t="n">
        <v>-13361.25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기말현금및현금성자산</t>
        </is>
      </c>
      <c r="E97" s="18" t="n">
        <v>9339.41</v>
      </c>
      <c r="F97" s="9" t="n"/>
      <c r="G97" s="18" t="n">
        <v>16817.78</v>
      </c>
      <c r="H97" s="18" t="n">
        <v>-726.05</v>
      </c>
      <c r="I97" s="18" t="n">
        <v>-2227.86</v>
      </c>
      <c r="J97" s="18" t="n">
        <v>-11011.79</v>
      </c>
      <c r="K97" s="37" t="n">
        <v>2852.08</v>
      </c>
      <c r="L97" s="18" t="n">
        <v>5967.36</v>
      </c>
      <c r="M97" s="18" t="n">
        <v>6035.68</v>
      </c>
      <c r="N97" s="18" t="n">
        <v>-7649.03</v>
      </c>
      <c r="O97" s="18" t="n">
        <v>4200.49</v>
      </c>
      <c r="P97" s="37" t="n">
        <v>8554.5</v>
      </c>
      <c r="Q97" s="18" t="n">
        <v>4767.75</v>
      </c>
      <c r="R97" s="18" t="n">
        <v>-1331.67</v>
      </c>
      <c r="S97" s="18" t="n">
        <v>11201.47</v>
      </c>
      <c r="T97" s="18" t="n">
        <v>-12706.29</v>
      </c>
      <c r="U97" s="37" t="n">
        <v>1931.26</v>
      </c>
      <c r="V97" s="18" t="n">
        <v>4099.77</v>
      </c>
      <c r="W97" s="18" t="n">
        <v>6154.19</v>
      </c>
      <c r="X97" s="18" t="n">
        <v>5280.88</v>
      </c>
      <c r="Y97" s="18" t="n">
        <v>14168.62</v>
      </c>
      <c r="Z97" s="37" t="n">
        <v>29703.46</v>
      </c>
      <c r="AA97" s="18" t="n">
        <v>15786.65</v>
      </c>
      <c r="AB97" s="19" t="n">
        <v>-13361.25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유형자산의감소</t>
        </is>
      </c>
      <c r="F98" s="9" t="n"/>
      <c r="G98" s="18" t="n">
        <v>0</v>
      </c>
      <c r="H98" s="18" t="n">
        <v>21.82</v>
      </c>
      <c r="I98" s="18" t="n">
        <v>6.5</v>
      </c>
      <c r="J98" s="18" t="n">
        <v>0</v>
      </c>
      <c r="K98" s="37" t="n">
        <v>28.32</v>
      </c>
      <c r="L98" s="18" t="n">
        <v>3.64</v>
      </c>
      <c r="M98" s="18" t="n">
        <v>0</v>
      </c>
      <c r="N98" s="18" t="n">
        <v>0.27</v>
      </c>
      <c r="O98" s="18" t="n">
        <v>0</v>
      </c>
      <c r="P98" s="37" t="n">
        <v>3.91</v>
      </c>
      <c r="Q98" s="18" t="n">
        <v>0</v>
      </c>
      <c r="R98" s="18" t="n">
        <v>0</v>
      </c>
      <c r="S98" s="18" t="n">
        <v>2218.18</v>
      </c>
      <c r="U98" s="9" t="n"/>
      <c r="V98" s="18" t="n">
        <v>7.41</v>
      </c>
      <c r="W98" s="18" t="n">
        <v>8.18</v>
      </c>
      <c r="X98" s="18" t="n">
        <v>0</v>
      </c>
      <c r="Y98" s="18" t="n">
        <v>0</v>
      </c>
      <c r="Z98" s="37" t="n">
        <v>15.59</v>
      </c>
      <c r="AA98" s="18" t="n">
        <v>0</v>
      </c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무형자산의증가</t>
        </is>
      </c>
      <c r="F99" s="9" t="n"/>
      <c r="G99" s="18" t="n">
        <v>4.54</v>
      </c>
      <c r="H99" s="18" t="n">
        <v>7.03</v>
      </c>
      <c r="I99" s="18" t="n">
        <v>0</v>
      </c>
      <c r="J99" s="18" t="n">
        <v>0.5</v>
      </c>
      <c r="K99" s="37" t="n">
        <v>12.07</v>
      </c>
      <c r="L99" s="18" t="n">
        <v>0</v>
      </c>
      <c r="M99" s="18" t="n">
        <v>608.7</v>
      </c>
      <c r="O99" s="18" t="n">
        <v>35.81</v>
      </c>
      <c r="P99" s="9" t="n"/>
      <c r="Q99" s="18" t="n">
        <v>9.06</v>
      </c>
      <c r="R99" s="18" t="n">
        <v>17.38</v>
      </c>
      <c r="T99" s="18" t="n">
        <v>170</v>
      </c>
      <c r="U99" s="9" t="n"/>
      <c r="V99" s="18" t="n">
        <v>8.43</v>
      </c>
      <c r="W99" s="18" t="n">
        <v>43.1</v>
      </c>
      <c r="X99" s="18" t="n">
        <v>15.14</v>
      </c>
      <c r="Y99" s="18" t="n">
        <v>5.45</v>
      </c>
      <c r="Z99" s="37" t="n">
        <v>72.12</v>
      </c>
      <c r="AA99" s="18" t="n">
        <v>1.8</v>
      </c>
      <c r="AB99" s="19" t="n">
        <v>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차입금의감소</t>
        </is>
      </c>
      <c r="F100" s="9" t="n"/>
      <c r="G100" s="18" t="n">
        <v>7500</v>
      </c>
      <c r="K100" s="9" t="n"/>
      <c r="O100" s="18" t="n">
        <v>166.66</v>
      </c>
      <c r="P100" s="9" t="n"/>
      <c r="Q100" s="18" t="n">
        <v>2166.66</v>
      </c>
      <c r="R100" s="18" t="n">
        <v>166.66</v>
      </c>
      <c r="S100" s="18" t="n">
        <v>3966.66</v>
      </c>
      <c r="T100" s="18" t="n">
        <v>166.66</v>
      </c>
      <c r="U100" s="37" t="n">
        <v>6466.64</v>
      </c>
      <c r="V100" s="18" t="n">
        <v>20166.66</v>
      </c>
      <c r="W100" s="18" t="n">
        <v>15166.66</v>
      </c>
      <c r="X100" s="18" t="n">
        <v>166.66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장기차입금의증가</t>
        </is>
      </c>
      <c r="F101" s="9" t="n"/>
      <c r="G101" s="18" t="n">
        <v>0</v>
      </c>
      <c r="H101" s="18" t="n">
        <v>7887.6</v>
      </c>
      <c r="I101" s="18" t="n">
        <v>7624.26</v>
      </c>
      <c r="J101" s="18" t="n">
        <v>6080.06</v>
      </c>
      <c r="K101" s="37" t="n">
        <v>21591.92</v>
      </c>
      <c r="L101" s="18" t="n">
        <v>4958.82</v>
      </c>
      <c r="M101" s="18" t="n">
        <v>0</v>
      </c>
      <c r="N101" s="18" t="n">
        <v>0</v>
      </c>
      <c r="O101" s="18" t="n">
        <v>0</v>
      </c>
      <c r="P101" s="37" t="n">
        <v>4958.82</v>
      </c>
      <c r="Q101" s="18" t="n">
        <v>0</v>
      </c>
      <c r="R101" s="18" t="n">
        <v>1200</v>
      </c>
      <c r="T101" s="18" t="n">
        <v>0</v>
      </c>
      <c r="U101" s="9" t="n"/>
      <c r="V101" s="18" t="n">
        <v>0</v>
      </c>
      <c r="W101" s="18" t="n">
        <v>100</v>
      </c>
      <c r="X101" s="18" t="n">
        <v>517.6</v>
      </c>
      <c r="Y101" s="18" t="n">
        <v>3420</v>
      </c>
      <c r="Z101" s="37" t="n">
        <v>4037.6</v>
      </c>
      <c r="AA101" s="18" t="n">
        <v>2673</v>
      </c>
      <c r="AB101" s="19" t="n">
        <v>2300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장기차입금의감소</t>
        </is>
      </c>
      <c r="F102" s="9" t="n"/>
      <c r="G102" s="18" t="n">
        <v>3340</v>
      </c>
      <c r="J102" s="18" t="n">
        <v>1500.06</v>
      </c>
      <c r="K102" s="9" t="n"/>
      <c r="L102" s="18" t="n">
        <v>0</v>
      </c>
      <c r="O102" s="18" t="n">
        <v>0</v>
      </c>
      <c r="P102" s="9" t="n"/>
      <c r="Q102" s="18" t="n">
        <v>3770.68</v>
      </c>
      <c r="R102" s="18" t="n">
        <v>0</v>
      </c>
      <c r="S102" s="18" t="n">
        <v>0</v>
      </c>
      <c r="T102" s="18" t="n">
        <v>0</v>
      </c>
      <c r="U102" s="37" t="n">
        <v>3770.68</v>
      </c>
      <c r="V102" s="18" t="n">
        <v>0</v>
      </c>
      <c r="W102" s="18" t="n">
        <v>0</v>
      </c>
      <c r="X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유동성장기부채의감소</t>
        </is>
      </c>
      <c r="F103" s="9" t="n"/>
      <c r="I103" s="18" t="n">
        <v>2060</v>
      </c>
      <c r="K103" s="9" t="n"/>
      <c r="P103" s="9" t="n"/>
      <c r="U103" s="9" t="n"/>
      <c r="Z103" s="9" t="n"/>
      <c r="AA103" s="18" t="n">
        <v>166.66</v>
      </c>
      <c r="AB103" s="19" t="n">
        <v>0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단기차입금의감소</t>
        </is>
      </c>
      <c r="F104" s="9" t="n"/>
      <c r="J104" s="18" t="n">
        <v>30900</v>
      </c>
      <c r="K104" s="9" t="n"/>
      <c r="L104" s="18" t="n">
        <v>23500</v>
      </c>
      <c r="N104" s="18" t="n">
        <v>87640</v>
      </c>
      <c r="O104" s="18" t="n">
        <v>48260</v>
      </c>
      <c r="P104" s="9" t="n"/>
      <c r="Q104" s="18" t="n">
        <v>41866.63</v>
      </c>
      <c r="R104" s="18" t="n">
        <v>47793.37</v>
      </c>
      <c r="S104" s="18" t="n">
        <v>29706.63</v>
      </c>
      <c r="U104" s="9" t="n"/>
      <c r="V104" s="18" t="n">
        <v>36300</v>
      </c>
      <c r="W104" s="18" t="n">
        <v>29200</v>
      </c>
      <c r="X104" s="18" t="n">
        <v>23500</v>
      </c>
      <c r="Y104" s="18" t="n">
        <v>29500</v>
      </c>
      <c r="Z104" s="37" t="n">
        <v>118500</v>
      </c>
      <c r="AA104" s="18" t="n">
        <v>16000</v>
      </c>
      <c r="AB104" s="19" t="n">
        <v>4000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이자수취(CF)</t>
        </is>
      </c>
      <c r="F105" s="9" t="n"/>
      <c r="K105" s="9" t="n"/>
      <c r="O105" s="18" t="n">
        <v>84.37</v>
      </c>
      <c r="P105" s="9" t="n"/>
      <c r="Q105" s="18" t="n">
        <v>27.74</v>
      </c>
      <c r="R105" s="18" t="n">
        <v>98.76000000000001</v>
      </c>
      <c r="S105" s="18" t="n">
        <v>141.6</v>
      </c>
      <c r="T105" s="18" t="n">
        <v>26.22</v>
      </c>
      <c r="U105" s="37" t="n">
        <v>294.32</v>
      </c>
      <c r="V105" s="18" t="n">
        <v>152.64</v>
      </c>
      <c r="W105" s="18" t="n">
        <v>95.68000000000001</v>
      </c>
      <c r="X105" s="18" t="n">
        <v>149.89</v>
      </c>
      <c r="Y105" s="18" t="n">
        <v>242.9</v>
      </c>
      <c r="Z105" s="37" t="n">
        <v>641.11</v>
      </c>
      <c r="AA105" s="18" t="n">
        <v>270.18</v>
      </c>
      <c r="AB105" s="19" t="n">
        <v>184.82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리스부채의상환</t>
        </is>
      </c>
      <c r="F106" s="9" t="n"/>
      <c r="K106" s="9" t="n"/>
      <c r="P106" s="9" t="n"/>
      <c r="U106" s="9" t="n"/>
      <c r="Z106" s="9" t="n"/>
      <c r="AA106" s="18" t="n">
        <v>21.05</v>
      </c>
      <c r="AB106" s="19" t="n">
        <v>20.89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자기주식의취득</t>
        </is>
      </c>
      <c r="F107" s="9" t="n"/>
      <c r="K107" s="9" t="n"/>
      <c r="P107" s="9" t="n"/>
      <c r="U107" s="9" t="n"/>
      <c r="Z107" s="9" t="n"/>
      <c r="AA107" s="18" t="n">
        <v>0</v>
      </c>
      <c r="AB107" s="5" t="n"/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비엠티(별)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98568.06</v>
      </c>
      <c r="F5" s="37" t="n">
        <v>98568.06</v>
      </c>
      <c r="G5" s="18" t="n">
        <v>106839.44</v>
      </c>
      <c r="H5" s="18" t="n">
        <v>116573.22</v>
      </c>
      <c r="I5" s="18" t="n">
        <v>125329.02</v>
      </c>
      <c r="J5" s="18" t="n">
        <v>122278.19</v>
      </c>
      <c r="K5" s="37" t="n">
        <v>122278.19</v>
      </c>
      <c r="L5" s="18" t="n">
        <v>131505.45</v>
      </c>
      <c r="M5" s="18" t="n">
        <v>135301.63</v>
      </c>
      <c r="N5" s="18" t="n">
        <v>126175.4</v>
      </c>
      <c r="O5" s="18" t="n">
        <v>120868.54</v>
      </c>
      <c r="P5" s="37" t="n">
        <v>120868.54</v>
      </c>
      <c r="Q5" s="18" t="n">
        <v>123897</v>
      </c>
      <c r="R5" s="18" t="n">
        <v>126213.85</v>
      </c>
      <c r="S5" s="18" t="n">
        <v>129095.45</v>
      </c>
      <c r="T5" s="18" t="n">
        <v>133970.38</v>
      </c>
      <c r="U5" s="37" t="n">
        <v>133970.38</v>
      </c>
      <c r="V5" s="18" t="n">
        <v>130103.62</v>
      </c>
      <c r="W5" s="18" t="n">
        <v>127867.61</v>
      </c>
      <c r="X5" s="18" t="n">
        <v>133108.32</v>
      </c>
      <c r="Y5" s="18" t="n">
        <v>142384.4</v>
      </c>
      <c r="Z5" s="37" t="n">
        <v>142384.4</v>
      </c>
      <c r="AA5" s="18" t="n">
        <v>148827.95</v>
      </c>
      <c r="AB5" s="19" t="n">
        <v>134708.45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20192.18</v>
      </c>
      <c r="F6" s="37" t="n">
        <v>20192.18</v>
      </c>
      <c r="G6" s="18" t="n">
        <v>14495.43</v>
      </c>
      <c r="H6" s="18" t="n">
        <v>15653.37</v>
      </c>
      <c r="I6" s="18" t="n">
        <v>13375.74</v>
      </c>
      <c r="J6" s="18" t="n">
        <v>2570.4</v>
      </c>
      <c r="K6" s="37" t="n">
        <v>2570.4</v>
      </c>
      <c r="L6" s="18" t="n">
        <v>5674.26</v>
      </c>
      <c r="M6" s="18" t="n">
        <v>11437</v>
      </c>
      <c r="N6" s="18" t="n">
        <v>3689.25</v>
      </c>
      <c r="O6" s="18" t="n">
        <v>7889.48</v>
      </c>
      <c r="P6" s="37" t="n">
        <v>7889.48</v>
      </c>
      <c r="Q6" s="18" t="n">
        <v>4390.71</v>
      </c>
      <c r="R6" s="18" t="n">
        <v>3264.86</v>
      </c>
      <c r="S6" s="18" t="n">
        <v>13106.88</v>
      </c>
      <c r="T6" s="18" t="n">
        <v>1170.86</v>
      </c>
      <c r="U6" s="37" t="n">
        <v>1170.86</v>
      </c>
      <c r="V6" s="18" t="n">
        <v>3307.6</v>
      </c>
      <c r="W6" s="18" t="n">
        <v>9714.9</v>
      </c>
      <c r="X6" s="18" t="n">
        <v>14464.72</v>
      </c>
      <c r="Y6" s="18" t="n">
        <v>27902.29</v>
      </c>
      <c r="Z6" s="37" t="n">
        <v>27902.29</v>
      </c>
      <c r="AA6" s="18" t="n">
        <v>14448.59</v>
      </c>
      <c r="AB6" s="19" t="n">
        <v>973.51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6681.84</v>
      </c>
      <c r="F7" s="37" t="n">
        <v>6681.84</v>
      </c>
      <c r="G7" s="18" t="n">
        <v>12692.92</v>
      </c>
      <c r="H7" s="18" t="n">
        <v>11039.11</v>
      </c>
      <c r="I7" s="18" t="n">
        <v>9343.01</v>
      </c>
      <c r="J7" s="18" t="n">
        <v>14803.69</v>
      </c>
      <c r="K7" s="37" t="n">
        <v>14803.69</v>
      </c>
      <c r="L7" s="18" t="n">
        <v>14637.69</v>
      </c>
      <c r="M7" s="18" t="n">
        <v>3200</v>
      </c>
      <c r="N7" s="18" t="n">
        <v>6100.19</v>
      </c>
      <c r="O7" s="18" t="n">
        <v>1328.87</v>
      </c>
      <c r="P7" s="37" t="n">
        <v>1328.87</v>
      </c>
      <c r="Q7" s="18" t="n">
        <v>6954.63</v>
      </c>
      <c r="R7" s="18" t="n">
        <v>9275.559999999999</v>
      </c>
      <c r="S7" s="18" t="n">
        <v>4706.07</v>
      </c>
      <c r="T7" s="18" t="n">
        <v>15551.15</v>
      </c>
      <c r="U7" s="37" t="n">
        <v>15551.15</v>
      </c>
      <c r="V7" s="18" t="n">
        <v>17189.06</v>
      </c>
      <c r="W7" s="18" t="n">
        <v>763.61</v>
      </c>
      <c r="X7" s="18" t="n">
        <v>14279.67</v>
      </c>
      <c r="Y7" s="18" t="n">
        <v>10574.83</v>
      </c>
      <c r="Z7" s="37" t="n">
        <v>10574.83</v>
      </c>
      <c r="AA7" s="18" t="n">
        <v>23940.29</v>
      </c>
      <c r="AB7" s="19" t="n">
        <v>10549.56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8493.84</v>
      </c>
      <c r="F8" s="37" t="n">
        <v>8493.84</v>
      </c>
      <c r="G8" s="18" t="n">
        <v>14628.92</v>
      </c>
      <c r="H8" s="18" t="n">
        <v>13035.11</v>
      </c>
      <c r="I8" s="18" t="n">
        <v>11489.51</v>
      </c>
      <c r="J8" s="18" t="n">
        <v>14921.75</v>
      </c>
      <c r="K8" s="37" t="n">
        <v>14921.75</v>
      </c>
      <c r="L8" s="18" t="n">
        <v>14727.32</v>
      </c>
      <c r="M8" s="18" t="n">
        <v>3431.69</v>
      </c>
      <c r="N8" s="18" t="n">
        <v>6237.28</v>
      </c>
      <c r="O8" s="18" t="n">
        <v>1600.9</v>
      </c>
      <c r="P8" s="37" t="n">
        <v>1600.9</v>
      </c>
      <c r="Q8" s="18" t="n">
        <v>7298.78</v>
      </c>
      <c r="R8" s="18" t="n">
        <v>9275.559999999999</v>
      </c>
      <c r="S8" s="18" t="n">
        <v>5119.3</v>
      </c>
      <c r="T8" s="18" t="n">
        <v>15707.73</v>
      </c>
      <c r="U8" s="37" t="n">
        <v>15707.73</v>
      </c>
      <c r="V8" s="18" t="n">
        <v>17248.93</v>
      </c>
      <c r="W8" s="18" t="n">
        <v>763.61</v>
      </c>
      <c r="X8" s="18" t="n">
        <v>14279.67</v>
      </c>
      <c r="Y8" s="18" t="n">
        <v>10574.83</v>
      </c>
      <c r="Z8" s="37" t="n">
        <v>10574.83</v>
      </c>
      <c r="AA8" s="18" t="n">
        <v>23940.29</v>
      </c>
      <c r="AB8" s="19" t="n">
        <v>10549.56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유동파생상품자산</t>
        </is>
      </c>
      <c r="E9" s="18" t="n">
        <v>1812</v>
      </c>
      <c r="F9" s="37" t="n">
        <v>1812</v>
      </c>
      <c r="G9" s="18" t="n">
        <v>1936</v>
      </c>
      <c r="H9" s="18" t="n">
        <v>1996</v>
      </c>
      <c r="I9" s="18" t="n">
        <v>2146.5</v>
      </c>
      <c r="J9" s="18" t="n">
        <v>118.06</v>
      </c>
      <c r="K9" s="37" t="n">
        <v>118.06</v>
      </c>
      <c r="L9" s="18" t="n">
        <v>89.63</v>
      </c>
      <c r="M9" s="18" t="n">
        <v>231.69</v>
      </c>
      <c r="N9" s="18" t="n">
        <v>137.09</v>
      </c>
      <c r="O9" s="18" t="n">
        <v>272.03</v>
      </c>
      <c r="P9" s="37" t="n">
        <v>272.03</v>
      </c>
      <c r="Q9" s="18" t="n">
        <v>344.15</v>
      </c>
      <c r="S9" s="18" t="n">
        <v>413.23</v>
      </c>
      <c r="T9" s="18" t="n">
        <v>156.58</v>
      </c>
      <c r="U9" s="37" t="n">
        <v>156.58</v>
      </c>
      <c r="V9" s="18" t="n">
        <v>59.87</v>
      </c>
      <c r="W9" s="18" t="n">
        <v>0</v>
      </c>
      <c r="X9" s="18" t="n">
        <v>0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23785.09</v>
      </c>
      <c r="F10" s="37" t="n">
        <v>23785.09</v>
      </c>
      <c r="G10" s="18" t="n">
        <v>21831.21</v>
      </c>
      <c r="H10" s="18" t="n">
        <v>28994.31</v>
      </c>
      <c r="I10" s="18" t="n">
        <v>33201.89</v>
      </c>
      <c r="J10" s="18" t="n">
        <v>34231.73</v>
      </c>
      <c r="K10" s="37" t="n">
        <v>34231.73</v>
      </c>
      <c r="L10" s="18" t="n">
        <v>32376.67</v>
      </c>
      <c r="M10" s="18" t="n">
        <v>37075.56</v>
      </c>
      <c r="N10" s="18" t="n">
        <v>23873.94</v>
      </c>
      <c r="O10" s="18" t="n">
        <v>27501.79</v>
      </c>
      <c r="P10" s="37" t="n">
        <v>27501.79</v>
      </c>
      <c r="Q10" s="18" t="n">
        <v>29089.15</v>
      </c>
      <c r="R10" s="18" t="n">
        <v>30380.03</v>
      </c>
      <c r="S10" s="18" t="n">
        <v>28258.81</v>
      </c>
      <c r="T10" s="18" t="n">
        <v>27314.73</v>
      </c>
      <c r="U10" s="37" t="n">
        <v>27314.73</v>
      </c>
      <c r="V10" s="18" t="n">
        <v>28565.97</v>
      </c>
      <c r="W10" s="18" t="n">
        <v>35870.89</v>
      </c>
      <c r="X10" s="18" t="n">
        <v>32117.12</v>
      </c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42801.75</v>
      </c>
      <c r="F11" s="37" t="n">
        <v>42801.75</v>
      </c>
      <c r="G11" s="18" t="n">
        <v>51605.59</v>
      </c>
      <c r="H11" s="18" t="n">
        <v>55951.44</v>
      </c>
      <c r="I11" s="18" t="n">
        <v>61844.87</v>
      </c>
      <c r="J11" s="18" t="n">
        <v>66106.87</v>
      </c>
      <c r="K11" s="37" t="n">
        <v>66106.87</v>
      </c>
      <c r="L11" s="18" t="n">
        <v>72496.75</v>
      </c>
      <c r="M11" s="18" t="n">
        <v>66201.22</v>
      </c>
      <c r="N11" s="18" t="n">
        <v>74784.00999999999</v>
      </c>
      <c r="O11" s="18" t="n">
        <v>67708.03</v>
      </c>
      <c r="P11" s="37" t="n">
        <v>67708.03</v>
      </c>
      <c r="Q11" s="18" t="n">
        <v>67137.08</v>
      </c>
      <c r="R11" s="18" t="n">
        <v>66598.8</v>
      </c>
      <c r="S11" s="18" t="n">
        <v>65885.17999999999</v>
      </c>
      <c r="T11" s="18" t="n">
        <v>65169.11</v>
      </c>
      <c r="U11" s="37" t="n">
        <v>65169.11</v>
      </c>
      <c r="V11" s="18" t="n">
        <v>65602.73</v>
      </c>
      <c r="W11" s="18" t="n">
        <v>65771.47</v>
      </c>
      <c r="X11" s="18" t="n">
        <v>67044.52</v>
      </c>
      <c r="Y11" s="18" t="n">
        <v>70569.85000000001</v>
      </c>
      <c r="Z11" s="37" t="n">
        <v>70569.85000000001</v>
      </c>
      <c r="AA11" s="18" t="n">
        <v>76592.67</v>
      </c>
      <c r="AB11" s="19" t="n">
        <v>81502.64999999999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3295.2</v>
      </c>
      <c r="F12" s="37" t="n">
        <v>3295.2</v>
      </c>
      <c r="G12" s="18" t="n">
        <v>3057.06</v>
      </c>
      <c r="H12" s="18" t="n">
        <v>1819.15</v>
      </c>
      <c r="I12" s="18" t="n">
        <v>4186.25</v>
      </c>
      <c r="J12" s="18" t="n">
        <v>3571.7</v>
      </c>
      <c r="K12" s="37" t="n">
        <v>3571.7</v>
      </c>
      <c r="L12" s="18" t="n">
        <v>3344.72</v>
      </c>
      <c r="M12" s="18" t="n">
        <v>2964.14</v>
      </c>
      <c r="N12" s="18" t="n">
        <v>2723.2</v>
      </c>
      <c r="O12" s="18" t="n">
        <v>1509.47</v>
      </c>
      <c r="P12" s="37" t="n">
        <v>1509.47</v>
      </c>
      <c r="Q12" s="18" t="n">
        <v>1087.58</v>
      </c>
      <c r="R12" s="18" t="n">
        <v>1723.81</v>
      </c>
      <c r="S12" s="18" t="n">
        <v>2179.98</v>
      </c>
      <c r="T12" s="18" t="n">
        <v>1400.77</v>
      </c>
      <c r="U12" s="37" t="n">
        <v>1400.77</v>
      </c>
      <c r="V12" s="18" t="n">
        <v>1195.57</v>
      </c>
      <c r="W12" s="18" t="n">
        <v>1570.65</v>
      </c>
      <c r="X12" s="18" t="n">
        <v>3992.99</v>
      </c>
      <c r="Y12" s="18" t="n">
        <v>3114.52</v>
      </c>
      <c r="Z12" s="37" t="n">
        <v>3114.52</v>
      </c>
      <c r="AA12" s="18" t="n">
        <v>2294.61</v>
      </c>
      <c r="AB12" s="19" t="n">
        <v>2614.1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83745.16</v>
      </c>
      <c r="F13" s="37" t="n">
        <v>83745.16</v>
      </c>
      <c r="G13" s="18" t="n">
        <v>89568.75999999999</v>
      </c>
      <c r="H13" s="18" t="n">
        <v>97190.08</v>
      </c>
      <c r="I13" s="18" t="n">
        <v>106551.88</v>
      </c>
      <c r="J13" s="18" t="n">
        <v>112347.37</v>
      </c>
      <c r="K13" s="37" t="n">
        <v>112347.37</v>
      </c>
      <c r="L13" s="18" t="n">
        <v>122812.03</v>
      </c>
      <c r="M13" s="18" t="n">
        <v>120431.22</v>
      </c>
      <c r="N13" s="18" t="n">
        <v>125382.48</v>
      </c>
      <c r="O13" s="18" t="n">
        <v>125515.85</v>
      </c>
      <c r="P13" s="37" t="n">
        <v>125515.85</v>
      </c>
      <c r="Q13" s="18" t="n">
        <v>125879.45</v>
      </c>
      <c r="R13" s="18" t="n">
        <v>121633.03</v>
      </c>
      <c r="S13" s="18" t="n">
        <v>121497.04</v>
      </c>
      <c r="T13" s="18" t="n">
        <v>112200.07</v>
      </c>
      <c r="U13" s="37" t="n">
        <v>112200.07</v>
      </c>
      <c r="V13" s="18" t="n">
        <v>116934.33</v>
      </c>
      <c r="W13" s="18" t="n">
        <v>116373.56</v>
      </c>
      <c r="X13" s="18" t="n">
        <v>117926.97</v>
      </c>
      <c r="Y13" s="18" t="n">
        <v>121266.79</v>
      </c>
      <c r="Z13" s="37" t="n">
        <v>121266.79</v>
      </c>
      <c r="AA13" s="18" t="n">
        <v>126939.01</v>
      </c>
      <c r="AB13" s="19" t="n">
        <v>140704.4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4107.27</v>
      </c>
      <c r="F14" s="37" t="n">
        <v>4107.27</v>
      </c>
      <c r="G14" s="18" t="n">
        <v>5013.55</v>
      </c>
      <c r="H14" s="18" t="n">
        <v>4842.99</v>
      </c>
      <c r="I14" s="18" t="n">
        <v>4805.4</v>
      </c>
      <c r="J14" s="18" t="n">
        <v>5205.41</v>
      </c>
      <c r="K14" s="37" t="n">
        <v>5205.41</v>
      </c>
      <c r="L14" s="18" t="n">
        <v>5381.29</v>
      </c>
      <c r="M14" s="18" t="n">
        <v>3893.5</v>
      </c>
      <c r="N14" s="18" t="n">
        <v>4264.24</v>
      </c>
      <c r="O14" s="18" t="n">
        <v>3492.3</v>
      </c>
      <c r="P14" s="37" t="n">
        <v>3492.3</v>
      </c>
      <c r="Q14" s="18" t="n">
        <v>4438.53</v>
      </c>
      <c r="R14" s="18" t="n">
        <v>1819.92</v>
      </c>
      <c r="S14" s="18" t="n">
        <v>2316.55</v>
      </c>
      <c r="T14" s="18" t="n">
        <v>1742.83</v>
      </c>
      <c r="U14" s="37" t="n">
        <v>1742.83</v>
      </c>
      <c r="V14" s="18" t="n">
        <v>2953.17</v>
      </c>
      <c r="W14" s="18" t="n">
        <v>2963.98</v>
      </c>
      <c r="X14" s="18" t="n">
        <v>3244.86</v>
      </c>
      <c r="Y14" s="18" t="n">
        <v>3374.36</v>
      </c>
      <c r="Z14" s="37" t="n">
        <v>3374.36</v>
      </c>
      <c r="AA14" s="18" t="n">
        <v>4247.91</v>
      </c>
      <c r="AB14" s="19" t="n">
        <v>9876.26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5267.09</v>
      </c>
      <c r="F15" s="37" t="n">
        <v>5267.09</v>
      </c>
      <c r="G15" s="18" t="n">
        <v>8541.49</v>
      </c>
      <c r="H15" s="18" t="n">
        <v>8635.559999999999</v>
      </c>
      <c r="I15" s="18" t="n">
        <v>8770.67</v>
      </c>
      <c r="J15" s="18" t="n">
        <v>8301.129999999999</v>
      </c>
      <c r="K15" s="37" t="n">
        <v>8301.129999999999</v>
      </c>
      <c r="L15" s="18" t="n">
        <v>8205.370000000001</v>
      </c>
      <c r="M15" s="18" t="n">
        <v>6812.06</v>
      </c>
      <c r="N15" s="18" t="n">
        <v>7262.46</v>
      </c>
      <c r="O15" s="18" t="n">
        <v>6023.14</v>
      </c>
      <c r="P15" s="37" t="n">
        <v>6023.14</v>
      </c>
      <c r="Q15" s="18" t="n">
        <v>6893.82</v>
      </c>
      <c r="R15" s="18" t="n">
        <v>3824.98</v>
      </c>
      <c r="S15" s="18" t="n">
        <v>5316.55</v>
      </c>
      <c r="T15" s="18" t="n">
        <v>4742.83</v>
      </c>
      <c r="U15" s="37" t="n">
        <v>4742.83</v>
      </c>
      <c r="V15" s="18" t="n">
        <v>5953.17</v>
      </c>
      <c r="W15" s="18" t="n">
        <v>5963.98</v>
      </c>
      <c r="X15" s="18" t="n">
        <v>6914.28</v>
      </c>
      <c r="Y15" s="18" t="n">
        <v>6043.78</v>
      </c>
      <c r="Z15" s="37" t="n">
        <v>6043.78</v>
      </c>
      <c r="AA15" s="18" t="n">
        <v>6917.33</v>
      </c>
      <c r="AB15" s="19" t="n">
        <v>9876.26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비유동파생상품자산</t>
        </is>
      </c>
      <c r="E16" s="18" t="n">
        <v>452.09</v>
      </c>
      <c r="F16" s="37" t="n">
        <v>452.09</v>
      </c>
      <c r="G16" s="18" t="n">
        <v>820.21</v>
      </c>
      <c r="H16" s="18" t="n">
        <v>1084.84</v>
      </c>
      <c r="I16" s="18" t="n">
        <v>1257.54</v>
      </c>
      <c r="J16" s="18" t="n">
        <v>1095.72</v>
      </c>
      <c r="K16" s="37" t="n">
        <v>1095.72</v>
      </c>
      <c r="L16" s="18" t="n">
        <v>824.08</v>
      </c>
      <c r="M16" s="18" t="n">
        <v>918.5599999999999</v>
      </c>
      <c r="N16" s="18" t="n">
        <v>998.22</v>
      </c>
      <c r="O16" s="18" t="n">
        <v>530.84</v>
      </c>
      <c r="P16" s="37" t="n">
        <v>530.84</v>
      </c>
      <c r="Q16" s="18" t="n">
        <v>455.29</v>
      </c>
      <c r="R16" s="18" t="n">
        <v>5.06</v>
      </c>
      <c r="S16" s="18" t="n">
        <v>0</v>
      </c>
      <c r="T16" s="18" t="n">
        <v>0</v>
      </c>
      <c r="U16" s="37" t="n">
        <v>0</v>
      </c>
      <c r="V16" s="18" t="n">
        <v>0</v>
      </c>
      <c r="W16" s="18" t="n">
        <v>0</v>
      </c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707.73</v>
      </c>
      <c r="F17" s="37" t="n">
        <v>707.73</v>
      </c>
      <c r="G17" s="18" t="n">
        <v>2707.73</v>
      </c>
      <c r="H17" s="18" t="n">
        <v>2707.73</v>
      </c>
      <c r="I17" s="18" t="n">
        <v>2707.73</v>
      </c>
      <c r="J17" s="18" t="n">
        <v>2000</v>
      </c>
      <c r="K17" s="37" t="n">
        <v>2000</v>
      </c>
      <c r="L17" s="18" t="n">
        <v>2000</v>
      </c>
      <c r="M17" s="18" t="n">
        <v>2000</v>
      </c>
      <c r="N17" s="18" t="n">
        <v>2000</v>
      </c>
      <c r="O17" s="18" t="n">
        <v>2000</v>
      </c>
      <c r="P17" s="37" t="n">
        <v>2000</v>
      </c>
      <c r="Q17" s="18" t="n">
        <v>2000</v>
      </c>
      <c r="R17" s="18" t="n">
        <v>2000</v>
      </c>
      <c r="S17" s="18" t="n">
        <v>3000</v>
      </c>
      <c r="T17" s="18" t="n">
        <v>3000</v>
      </c>
      <c r="U17" s="37" t="n">
        <v>3000</v>
      </c>
      <c r="V17" s="18" t="n">
        <v>3000</v>
      </c>
      <c r="W17" s="18" t="n">
        <v>3000</v>
      </c>
      <c r="X17" s="18" t="n">
        <v>3669.42</v>
      </c>
      <c r="Y17" s="18" t="n">
        <v>2669.42</v>
      </c>
      <c r="Z17" s="37" t="n">
        <v>2669.42</v>
      </c>
      <c r="AA17" s="18" t="n">
        <v>2669.42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73830.33</v>
      </c>
      <c r="F18" s="37" t="n">
        <v>73830.33</v>
      </c>
      <c r="G18" s="18" t="n">
        <v>77458.03</v>
      </c>
      <c r="H18" s="18" t="n">
        <v>84773.19</v>
      </c>
      <c r="I18" s="18" t="n">
        <v>94048.62</v>
      </c>
      <c r="J18" s="18" t="n">
        <v>99627.08</v>
      </c>
      <c r="K18" s="37" t="n">
        <v>99627.08</v>
      </c>
      <c r="L18" s="18" t="n">
        <v>110464.44</v>
      </c>
      <c r="M18" s="18" t="n">
        <v>108859.45</v>
      </c>
      <c r="N18" s="18" t="n">
        <v>113871.31</v>
      </c>
      <c r="O18" s="18" t="n">
        <v>114754.7</v>
      </c>
      <c r="P18" s="37" t="n">
        <v>114754.7</v>
      </c>
      <c r="Q18" s="18" t="n">
        <v>114277.73</v>
      </c>
      <c r="R18" s="18" t="n">
        <v>103405.79</v>
      </c>
      <c r="S18" s="18" t="n">
        <v>101788.12</v>
      </c>
      <c r="T18" s="18" t="n">
        <v>101534.82</v>
      </c>
      <c r="U18" s="37" t="n">
        <v>101534.82</v>
      </c>
      <c r="V18" s="18" t="n">
        <v>104931.53</v>
      </c>
      <c r="W18" s="18" t="n">
        <v>104463.21</v>
      </c>
      <c r="X18" s="18" t="n">
        <v>104753.79</v>
      </c>
      <c r="Y18" s="18" t="n">
        <v>110236.35</v>
      </c>
      <c r="Z18" s="37" t="n">
        <v>110236.35</v>
      </c>
      <c r="AA18" s="18" t="n">
        <v>115079.12</v>
      </c>
      <c r="AB18" s="19" t="n">
        <v>119605.59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873</v>
      </c>
      <c r="F19" s="37" t="n">
        <v>873</v>
      </c>
      <c r="G19" s="18" t="n">
        <v>814.49</v>
      </c>
      <c r="H19" s="18" t="n">
        <v>765.05</v>
      </c>
      <c r="I19" s="18" t="n">
        <v>705.96</v>
      </c>
      <c r="J19" s="18" t="n">
        <v>883.73</v>
      </c>
      <c r="K19" s="37" t="n">
        <v>883.73</v>
      </c>
      <c r="L19" s="18" t="n">
        <v>588.17</v>
      </c>
      <c r="M19" s="18" t="n">
        <v>1130.98</v>
      </c>
      <c r="N19" s="18" t="n">
        <v>1088.63</v>
      </c>
      <c r="O19" s="18" t="n">
        <v>1218.48</v>
      </c>
      <c r="P19" s="37" t="n">
        <v>1218.48</v>
      </c>
      <c r="Q19" s="18" t="n">
        <v>1188.37</v>
      </c>
      <c r="S19" s="18" t="n">
        <v>1356.42</v>
      </c>
      <c r="T19" s="18" t="n">
        <v>1307.81</v>
      </c>
      <c r="U19" s="37" t="n">
        <v>1307.81</v>
      </c>
      <c r="V19" s="18" t="n">
        <v>1334.47</v>
      </c>
      <c r="W19" s="18" t="n">
        <v>1267.8</v>
      </c>
      <c r="X19" s="18" t="n">
        <v>1224.61</v>
      </c>
      <c r="Y19" s="18" t="n">
        <v>1166.16</v>
      </c>
      <c r="Z19" s="37" t="n">
        <v>1166.16</v>
      </c>
      <c r="AA19" s="18" t="n">
        <v>1122.06</v>
      </c>
      <c r="AB19" s="19" t="n">
        <v>1080.94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2182.08</v>
      </c>
      <c r="F20" s="37" t="n">
        <v>2182.08</v>
      </c>
      <c r="J20" s="18" t="n">
        <v>2978.27</v>
      </c>
      <c r="K20" s="37" t="n">
        <v>2978.27</v>
      </c>
      <c r="L20" s="18" t="n">
        <v>2978.27</v>
      </c>
      <c r="M20" s="18" t="n">
        <v>3126.44</v>
      </c>
      <c r="N20" s="18" t="n">
        <v>3126.44</v>
      </c>
      <c r="O20" s="18" t="n">
        <v>3485.89</v>
      </c>
      <c r="P20" s="37" t="n">
        <v>3485.89</v>
      </c>
      <c r="Q20" s="18" t="n">
        <v>3485.89</v>
      </c>
      <c r="R20" s="18" t="n">
        <v>3607.63</v>
      </c>
      <c r="S20" s="18" t="n">
        <v>3485.89</v>
      </c>
      <c r="T20" s="18" t="n">
        <v>4070.96</v>
      </c>
      <c r="U20" s="37" t="n">
        <v>4070.96</v>
      </c>
      <c r="V20" s="18" t="n">
        <v>4070.96</v>
      </c>
      <c r="W20" s="18" t="n">
        <v>3734.3</v>
      </c>
      <c r="X20" s="18" t="n">
        <v>4070.96</v>
      </c>
      <c r="Y20" s="18" t="n">
        <v>3786.86</v>
      </c>
      <c r="Z20" s="37" t="n">
        <v>3786.86</v>
      </c>
      <c r="AA20" s="18" t="n">
        <v>3786.86</v>
      </c>
      <c r="AB20" s="19" t="n">
        <v>3770.92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1247.75</v>
      </c>
      <c r="F21" s="37" t="n">
        <v>1247.75</v>
      </c>
      <c r="G21" s="18" t="n">
        <v>2388.01</v>
      </c>
      <c r="H21" s="18" t="n">
        <v>2663.25</v>
      </c>
      <c r="I21" s="18" t="n">
        <v>2663.25</v>
      </c>
      <c r="J21" s="18" t="n">
        <v>205.93</v>
      </c>
      <c r="K21" s="37" t="n">
        <v>205.93</v>
      </c>
      <c r="L21" s="18" t="n">
        <v>205.93</v>
      </c>
      <c r="M21" s="18" t="n">
        <v>144.15</v>
      </c>
      <c r="N21" s="18" t="n">
        <v>33.64</v>
      </c>
      <c r="O21" s="18" t="n">
        <v>33.64</v>
      </c>
      <c r="P21" s="37" t="n">
        <v>33.64</v>
      </c>
      <c r="Q21" s="18" t="n">
        <v>33.64</v>
      </c>
      <c r="R21" s="18" t="n">
        <v>33.64</v>
      </c>
      <c r="S21" s="18" t="n">
        <v>33.64</v>
      </c>
      <c r="T21" s="18" t="n">
        <v>33.64</v>
      </c>
      <c r="U21" s="37" t="n">
        <v>33.64</v>
      </c>
      <c r="V21" s="18" t="n">
        <v>33.64</v>
      </c>
      <c r="W21" s="18" t="n">
        <v>33.64</v>
      </c>
      <c r="X21" s="18" t="n">
        <v>33.64</v>
      </c>
      <c r="Y21" s="18" t="n">
        <v>33.64</v>
      </c>
      <c r="Z21" s="37" t="n">
        <v>33.64</v>
      </c>
      <c r="AA21" s="18" t="n">
        <v>33.64</v>
      </c>
      <c r="AB21" s="19" t="n">
        <v>33.64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182313.21</v>
      </c>
      <c r="F22" s="37" t="n">
        <v>182313.21</v>
      </c>
      <c r="G22" s="18" t="n">
        <v>196408.2</v>
      </c>
      <c r="H22" s="18" t="n">
        <v>213763.3</v>
      </c>
      <c r="I22" s="18" t="n">
        <v>231880.9</v>
      </c>
      <c r="J22" s="18" t="n">
        <v>234625.56</v>
      </c>
      <c r="K22" s="37" t="n">
        <v>234625.56</v>
      </c>
      <c r="L22" s="18" t="n">
        <v>254317.48</v>
      </c>
      <c r="M22" s="18" t="n">
        <v>255732.86</v>
      </c>
      <c r="N22" s="18" t="n">
        <v>251557.89</v>
      </c>
      <c r="O22" s="18" t="n">
        <v>246384.39</v>
      </c>
      <c r="P22" s="37" t="n">
        <v>246384.39</v>
      </c>
      <c r="Q22" s="18" t="n">
        <v>249776.45</v>
      </c>
      <c r="R22" s="18" t="n">
        <v>247846.88</v>
      </c>
      <c r="S22" s="18" t="n">
        <v>250592.48</v>
      </c>
      <c r="T22" s="18" t="n">
        <v>246170.45</v>
      </c>
      <c r="U22" s="37" t="n">
        <v>246170.45</v>
      </c>
      <c r="V22" s="18" t="n">
        <v>247037.95</v>
      </c>
      <c r="W22" s="18" t="n">
        <v>244241.17</v>
      </c>
      <c r="X22" s="18" t="n">
        <v>251035.29</v>
      </c>
      <c r="Y22" s="18" t="n">
        <v>263651.19</v>
      </c>
      <c r="Z22" s="37" t="n">
        <v>263651.19</v>
      </c>
      <c r="AA22" s="18" t="n">
        <v>275766.96</v>
      </c>
      <c r="AB22" s="19" t="n">
        <v>275412.86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59351.33</v>
      </c>
      <c r="F23" s="37" t="n">
        <v>59351.33</v>
      </c>
      <c r="G23" s="18" t="n">
        <v>70206.49000000001</v>
      </c>
      <c r="H23" s="18" t="n">
        <v>71404.58</v>
      </c>
      <c r="I23" s="18" t="n">
        <v>76255.95</v>
      </c>
      <c r="J23" s="18" t="n">
        <v>76767.66</v>
      </c>
      <c r="K23" s="37" t="n">
        <v>76767.66</v>
      </c>
      <c r="L23" s="18" t="n">
        <v>87375.22</v>
      </c>
      <c r="M23" s="18" t="n">
        <v>91676.67999999999</v>
      </c>
      <c r="N23" s="18" t="n">
        <v>90784.14999999999</v>
      </c>
      <c r="O23" s="18" t="n">
        <v>84540.8</v>
      </c>
      <c r="P23" s="37" t="n">
        <v>84540.8</v>
      </c>
      <c r="Q23" s="18" t="n">
        <v>91360.47</v>
      </c>
      <c r="R23" s="18" t="n">
        <v>122700.1</v>
      </c>
      <c r="S23" s="18" t="n">
        <v>130993.31</v>
      </c>
      <c r="T23" s="18" t="n">
        <v>122385.94</v>
      </c>
      <c r="U23" s="37" t="n">
        <v>122385.94</v>
      </c>
      <c r="V23" s="18" t="n">
        <v>120904.17</v>
      </c>
      <c r="W23" s="18" t="n">
        <v>116673.7</v>
      </c>
      <c r="X23" s="18" t="n">
        <v>101065.88</v>
      </c>
      <c r="Y23" s="18" t="n">
        <v>107162.25</v>
      </c>
      <c r="Z23" s="37" t="n">
        <v>107162.25</v>
      </c>
      <c r="AA23" s="18" t="n">
        <v>118146.02</v>
      </c>
      <c r="AB23" s="19" t="n">
        <v>110311.56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9596.879999999999</v>
      </c>
      <c r="F24" s="37" t="n">
        <v>9596.879999999999</v>
      </c>
      <c r="G24" s="18" t="n">
        <v>18923</v>
      </c>
      <c r="H24" s="18" t="n">
        <v>18994.53</v>
      </c>
      <c r="I24" s="18" t="n">
        <v>17979.9</v>
      </c>
      <c r="J24" s="18" t="n">
        <v>17637.66</v>
      </c>
      <c r="K24" s="37" t="n">
        <v>17637.66</v>
      </c>
      <c r="L24" s="18" t="n">
        <v>17465.28</v>
      </c>
      <c r="M24" s="18" t="n">
        <v>14286.34</v>
      </c>
      <c r="N24" s="18" t="n">
        <v>12452.25</v>
      </c>
      <c r="O24" s="18" t="n">
        <v>10238.65</v>
      </c>
      <c r="P24" s="37" t="n">
        <v>10238.65</v>
      </c>
      <c r="R24" s="18" t="n">
        <v>11132.46</v>
      </c>
      <c r="S24" s="18" t="n">
        <v>9755.09</v>
      </c>
      <c r="T24" s="18" t="n">
        <v>11417.79</v>
      </c>
      <c r="U24" s="37" t="n">
        <v>11417.79</v>
      </c>
      <c r="V24" s="18" t="n">
        <v>13935.93</v>
      </c>
      <c r="W24" s="18" t="n">
        <v>12442.12</v>
      </c>
      <c r="X24" s="18" t="n">
        <v>13406.81</v>
      </c>
      <c r="Y24" s="18" t="n">
        <v>11222.2</v>
      </c>
      <c r="Z24" s="37" t="n">
        <v>11222.2</v>
      </c>
      <c r="AA24" s="18" t="n">
        <v>18812.13</v>
      </c>
      <c r="AB24" s="19" t="n">
        <v>20443.77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43180</v>
      </c>
      <c r="F25" s="37" t="n">
        <v>43180</v>
      </c>
      <c r="G25" s="18" t="n">
        <v>43180</v>
      </c>
      <c r="H25" s="18" t="n">
        <v>43180</v>
      </c>
      <c r="I25" s="18" t="n">
        <v>47513.4</v>
      </c>
      <c r="J25" s="18" t="n">
        <v>49680.06</v>
      </c>
      <c r="K25" s="37" t="n">
        <v>49680.06</v>
      </c>
      <c r="L25" s="18" t="n">
        <v>54846.72</v>
      </c>
      <c r="M25" s="18" t="n">
        <v>54346.64</v>
      </c>
      <c r="N25" s="18" t="n">
        <v>61846.64</v>
      </c>
      <c r="O25" s="18" t="n">
        <v>62053.27</v>
      </c>
      <c r="P25" s="37" t="n">
        <v>62053.27</v>
      </c>
      <c r="Q25" s="18" t="n">
        <v>66846.64</v>
      </c>
      <c r="R25" s="18" t="n">
        <v>97946.64</v>
      </c>
      <c r="S25" s="18" t="n">
        <v>108846.64</v>
      </c>
      <c r="T25" s="18" t="n">
        <v>97846.64</v>
      </c>
      <c r="U25" s="37" t="n">
        <v>97846.64</v>
      </c>
      <c r="V25" s="18" t="n">
        <v>87846.64</v>
      </c>
      <c r="W25" s="18" t="n">
        <v>87279.98</v>
      </c>
      <c r="X25" s="18" t="n">
        <v>82113.32000000001</v>
      </c>
      <c r="Y25" s="18" t="n">
        <v>88946.66</v>
      </c>
      <c r="Z25" s="37" t="n">
        <v>88946.66</v>
      </c>
      <c r="AA25" s="18" t="n">
        <v>88780</v>
      </c>
      <c r="AB25" s="19" t="n">
        <v>84780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단기금융부채(face)</t>
        </is>
      </c>
      <c r="E26" s="18" t="n">
        <v>43180</v>
      </c>
      <c r="F26" s="37" t="n">
        <v>43180</v>
      </c>
      <c r="G26" s="18" t="n">
        <v>43180</v>
      </c>
      <c r="H26" s="18" t="n">
        <v>43180</v>
      </c>
      <c r="I26" s="18" t="n">
        <v>47513.4</v>
      </c>
      <c r="J26" s="18" t="n">
        <v>49680.06</v>
      </c>
      <c r="K26" s="37" t="n">
        <v>49680.06</v>
      </c>
      <c r="L26" s="18" t="n">
        <v>54846.72</v>
      </c>
      <c r="M26" s="18" t="n">
        <v>54346.64</v>
      </c>
      <c r="N26" s="18" t="n">
        <v>61846.64</v>
      </c>
      <c r="O26" s="18" t="n">
        <v>62053.27</v>
      </c>
      <c r="P26" s="37" t="n">
        <v>62053.27</v>
      </c>
      <c r="Q26" s="18" t="n">
        <v>66846.64</v>
      </c>
      <c r="R26" s="18" t="n">
        <v>97946.64</v>
      </c>
      <c r="S26" s="18" t="n">
        <v>108846.64</v>
      </c>
      <c r="T26" s="18" t="n">
        <v>97846.64</v>
      </c>
      <c r="U26" s="37" t="n">
        <v>97846.64</v>
      </c>
      <c r="V26" s="18" t="n">
        <v>87846.64</v>
      </c>
      <c r="W26" s="18" t="n">
        <v>87279.98</v>
      </c>
      <c r="X26" s="18" t="n">
        <v>82113.32000000001</v>
      </c>
      <c r="Y26" s="18" t="n">
        <v>88946.66</v>
      </c>
      <c r="Z26" s="37" t="n">
        <v>88946.66</v>
      </c>
      <c r="AA26" s="18" t="n">
        <v>88780</v>
      </c>
      <c r="AB26" s="19" t="n">
        <v>84780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2377.99</v>
      </c>
      <c r="F27" s="37" t="n">
        <v>2377.99</v>
      </c>
      <c r="G27" s="18" t="n">
        <v>2106.03</v>
      </c>
      <c r="H27" s="18" t="n">
        <v>3687.12</v>
      </c>
      <c r="I27" s="18" t="n">
        <v>5060.59</v>
      </c>
      <c r="J27" s="18" t="n">
        <v>3711.68</v>
      </c>
      <c r="K27" s="37" t="n">
        <v>3711.68</v>
      </c>
      <c r="L27" s="18" t="n">
        <v>5124.23</v>
      </c>
      <c r="M27" s="18" t="n">
        <v>5759.33</v>
      </c>
      <c r="N27" s="18" t="n">
        <v>3304.27</v>
      </c>
      <c r="O27" s="18" t="n">
        <v>849.71</v>
      </c>
      <c r="P27" s="37" t="n">
        <v>849.71</v>
      </c>
      <c r="Q27" s="18" t="n">
        <v>1184.52</v>
      </c>
      <c r="R27" s="18" t="n">
        <v>1358.28</v>
      </c>
      <c r="S27" s="18" t="n">
        <v>3</v>
      </c>
      <c r="T27" s="18" t="n">
        <v>106.91</v>
      </c>
      <c r="U27" s="37" t="n">
        <v>106.91</v>
      </c>
      <c r="V27" s="18" t="n">
        <v>905.78</v>
      </c>
      <c r="W27" s="18" t="n">
        <v>1098.97</v>
      </c>
      <c r="X27" s="18" t="n">
        <v>2390.14</v>
      </c>
      <c r="Y27" s="18" t="n">
        <v>4086.65</v>
      </c>
      <c r="Z27" s="37" t="n">
        <v>4086.65</v>
      </c>
      <c r="AA27" s="18" t="n">
        <v>2740.85</v>
      </c>
      <c r="AB27" s="19" t="n">
        <v>2757.11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4196.46</v>
      </c>
      <c r="F28" s="37" t="n">
        <v>4196.46</v>
      </c>
      <c r="G28" s="18" t="n">
        <v>5937.45</v>
      </c>
      <c r="H28" s="18" t="n">
        <v>5455</v>
      </c>
      <c r="I28" s="18" t="n">
        <v>5613.77</v>
      </c>
      <c r="J28" s="18" t="n">
        <v>5643.94</v>
      </c>
      <c r="K28" s="37" t="n">
        <v>5643.94</v>
      </c>
      <c r="L28" s="18" t="n">
        <v>9838.190000000001</v>
      </c>
      <c r="M28" s="18" t="n">
        <v>8641.690000000001</v>
      </c>
      <c r="N28" s="18" t="n">
        <v>4402.07</v>
      </c>
      <c r="O28" s="18" t="n">
        <v>2646.91</v>
      </c>
      <c r="P28" s="37" t="n">
        <v>2646.91</v>
      </c>
      <c r="Q28" s="18" t="n">
        <v>4446.68</v>
      </c>
      <c r="R28" s="18" t="n">
        <v>2480.78</v>
      </c>
      <c r="S28" s="18" t="n">
        <v>2727.81</v>
      </c>
      <c r="T28" s="18" t="n">
        <v>3509.28</v>
      </c>
      <c r="U28" s="37" t="n">
        <v>3509.28</v>
      </c>
      <c r="V28" s="18" t="n">
        <v>8802.57</v>
      </c>
      <c r="W28" s="18" t="n">
        <v>6477.6</v>
      </c>
      <c r="X28" s="18" t="n">
        <v>3021.69</v>
      </c>
      <c r="Y28" s="18" t="n">
        <v>2771.79</v>
      </c>
      <c r="Z28" s="37" t="n">
        <v>2771.79</v>
      </c>
      <c r="AA28" s="18" t="n">
        <v>7678.49</v>
      </c>
      <c r="AB28" s="19" t="n">
        <v>2209.11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E29" s="18" t="n">
        <v>43096.36</v>
      </c>
      <c r="F29" s="37" t="n">
        <v>43096.36</v>
      </c>
      <c r="G29" s="18" t="n">
        <v>43805.76</v>
      </c>
      <c r="H29" s="18" t="n">
        <v>52193.29</v>
      </c>
      <c r="I29" s="18" t="n">
        <v>54323.57</v>
      </c>
      <c r="J29" s="18" t="n">
        <v>52027.72</v>
      </c>
      <c r="K29" s="37" t="n">
        <v>52027.72</v>
      </c>
      <c r="L29" s="18" t="n">
        <v>56944</v>
      </c>
      <c r="M29" s="18" t="n">
        <v>47980.53</v>
      </c>
      <c r="N29" s="18" t="n">
        <v>40854.7</v>
      </c>
      <c r="O29" s="18" t="n">
        <v>40776.57</v>
      </c>
      <c r="P29" s="37" t="n">
        <v>40776.57</v>
      </c>
      <c r="Q29" s="18" t="n">
        <v>36872.23</v>
      </c>
      <c r="R29" s="18" t="n">
        <v>5705.58</v>
      </c>
      <c r="S29" s="18" t="n">
        <v>1636.27</v>
      </c>
      <c r="T29" s="18" t="n">
        <v>1768.68</v>
      </c>
      <c r="U29" s="37" t="n">
        <v>1768.68</v>
      </c>
      <c r="V29" s="18" t="n">
        <v>1587.17</v>
      </c>
      <c r="W29" s="18" t="n">
        <v>1668.04</v>
      </c>
      <c r="X29" s="18" t="n">
        <v>2181.09</v>
      </c>
      <c r="Y29" s="18" t="n">
        <v>5629.33</v>
      </c>
      <c r="Z29" s="37" t="n">
        <v>5629.33</v>
      </c>
      <c r="AA29" s="18" t="n">
        <v>8268.84</v>
      </c>
      <c r="AB29" s="19" t="n">
        <v>10559.32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장기매입채무및기타채무</t>
        </is>
      </c>
      <c r="E30" s="18" t="n">
        <v>610.6</v>
      </c>
      <c r="F30" s="37" t="n">
        <v>610.6</v>
      </c>
      <c r="G30" s="18" t="n">
        <v>622.29</v>
      </c>
      <c r="H30" s="18" t="n">
        <v>628.91</v>
      </c>
      <c r="I30" s="18" t="n">
        <v>642.3</v>
      </c>
      <c r="J30" s="18" t="n">
        <v>790.34</v>
      </c>
      <c r="K30" s="37" t="n">
        <v>790.34</v>
      </c>
      <c r="L30" s="18" t="n">
        <v>835.84</v>
      </c>
      <c r="M30" s="18" t="n">
        <v>842.52</v>
      </c>
      <c r="N30" s="18" t="n">
        <v>894.0599999999999</v>
      </c>
      <c r="O30" s="18" t="n">
        <v>993.4299999999999</v>
      </c>
      <c r="P30" s="37" t="n">
        <v>993.4299999999999</v>
      </c>
      <c r="Q30" s="18" t="n">
        <v>1037.42</v>
      </c>
      <c r="R30" s="18" t="n">
        <v>1148.59</v>
      </c>
      <c r="S30" s="18" t="n">
        <v>1157.23</v>
      </c>
      <c r="T30" s="18" t="n">
        <v>1103.67</v>
      </c>
      <c r="U30" s="37" t="n">
        <v>1103.67</v>
      </c>
      <c r="V30" s="18" t="n">
        <v>1107.82</v>
      </c>
      <c r="W30" s="18" t="n">
        <v>1107.94</v>
      </c>
      <c r="X30" s="18" t="n">
        <v>1122.91</v>
      </c>
      <c r="Y30" s="18" t="n">
        <v>1136.67</v>
      </c>
      <c r="Z30" s="37" t="n">
        <v>1136.67</v>
      </c>
      <c r="AA30" s="18" t="n">
        <v>1121.79</v>
      </c>
      <c r="AB30" s="19" t="n">
        <v>1124.57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25000</v>
      </c>
      <c r="F31" s="37" t="n">
        <v>25000</v>
      </c>
      <c r="G31" s="18" t="n">
        <v>25000</v>
      </c>
      <c r="H31" s="18" t="n">
        <v>32887.6</v>
      </c>
      <c r="I31" s="18" t="n">
        <v>39178.46</v>
      </c>
      <c r="J31" s="18" t="n">
        <v>42311.8</v>
      </c>
      <c r="K31" s="37" t="n">
        <v>42311.8</v>
      </c>
      <c r="L31" s="18" t="n">
        <v>47103.96</v>
      </c>
      <c r="M31" s="18" t="n">
        <v>46937.3</v>
      </c>
      <c r="N31" s="18" t="n">
        <v>39770.64</v>
      </c>
      <c r="O31" s="18" t="n">
        <v>39603.98</v>
      </c>
      <c r="P31" s="37" t="n">
        <v>39603.98</v>
      </c>
      <c r="Q31" s="18" t="n">
        <v>35666.64</v>
      </c>
      <c r="R31" s="18" t="n">
        <v>4399.98</v>
      </c>
      <c r="S31" s="18" t="n">
        <v>333.32</v>
      </c>
      <c r="T31" s="18" t="n">
        <v>166.66</v>
      </c>
      <c r="U31" s="37" t="n">
        <v>166.66</v>
      </c>
      <c r="V31" s="18" t="n">
        <v>0</v>
      </c>
      <c r="W31" s="18" t="n">
        <v>100</v>
      </c>
      <c r="X31" s="18" t="n">
        <v>617.6</v>
      </c>
      <c r="Y31" s="18" t="n">
        <v>4037.6</v>
      </c>
      <c r="Z31" s="37" t="n">
        <v>4037.6</v>
      </c>
      <c r="AA31" s="18" t="n">
        <v>6710.6</v>
      </c>
      <c r="AB31" s="19" t="n">
        <v>9010.6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장기금융부채(face)</t>
        </is>
      </c>
      <c r="E32" s="18" t="n">
        <v>25000</v>
      </c>
      <c r="F32" s="37" t="n">
        <v>25000</v>
      </c>
      <c r="G32" s="18" t="n">
        <v>25000</v>
      </c>
      <c r="H32" s="18" t="n">
        <v>32887.6</v>
      </c>
      <c r="I32" s="18" t="n">
        <v>39178.46</v>
      </c>
      <c r="J32" s="18" t="n">
        <v>42311.8</v>
      </c>
      <c r="K32" s="37" t="n">
        <v>42311.8</v>
      </c>
      <c r="L32" s="18" t="n">
        <v>47103.96</v>
      </c>
      <c r="M32" s="18" t="n">
        <v>46937.3</v>
      </c>
      <c r="N32" s="18" t="n">
        <v>39770.64</v>
      </c>
      <c r="P32" s="9" t="n"/>
      <c r="S32" s="18" t="n">
        <v>333.32</v>
      </c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사채</t>
        </is>
      </c>
      <c r="E33" s="18" t="n">
        <v>20000</v>
      </c>
      <c r="F33" s="37" t="n">
        <v>20000</v>
      </c>
      <c r="G33" s="18" t="n">
        <v>15449.47</v>
      </c>
      <c r="H33" s="18" t="n">
        <v>15689.21</v>
      </c>
      <c r="I33" s="18" t="n">
        <v>11955.94</v>
      </c>
      <c r="J33" s="18" t="n">
        <v>7286.98</v>
      </c>
      <c r="K33" s="37" t="n">
        <v>7286.98</v>
      </c>
      <c r="L33" s="18" t="n">
        <v>7397.94</v>
      </c>
      <c r="M33" s="18" t="n">
        <v>0</v>
      </c>
      <c r="N33" s="18" t="n">
        <v>0</v>
      </c>
      <c r="O33" s="18" t="n">
        <v>0</v>
      </c>
      <c r="P33" s="37" t="n">
        <v>0</v>
      </c>
      <c r="Q33" s="18" t="n">
        <v>0</v>
      </c>
      <c r="S33" s="18" t="n">
        <v>0</v>
      </c>
      <c r="T33" s="18" t="n">
        <v>0</v>
      </c>
      <c r="U33" s="37" t="n">
        <v>0</v>
      </c>
      <c r="V33" s="18" t="n">
        <v>0</v>
      </c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장기파생상품부채</t>
        </is>
      </c>
      <c r="E34" s="18" t="n">
        <v>2198</v>
      </c>
      <c r="F34" s="37" t="n">
        <v>2198</v>
      </c>
      <c r="G34" s="18" t="n">
        <v>2664</v>
      </c>
      <c r="H34" s="18" t="n">
        <v>2796</v>
      </c>
      <c r="I34" s="18" t="n">
        <v>2362.5</v>
      </c>
      <c r="J34" s="18" t="n">
        <v>1440.9</v>
      </c>
      <c r="K34" s="37" t="n">
        <v>1440.9</v>
      </c>
      <c r="L34" s="18" t="n">
        <v>1395</v>
      </c>
      <c r="M34" s="18" t="n">
        <v>0</v>
      </c>
      <c r="N34" s="18" t="n">
        <v>0</v>
      </c>
      <c r="O34" s="18" t="n">
        <v>0</v>
      </c>
      <c r="P34" s="37" t="n">
        <v>0</v>
      </c>
      <c r="Q34" s="18" t="n">
        <v>0</v>
      </c>
      <c r="S34" s="18" t="n">
        <v>0</v>
      </c>
      <c r="T34" s="18" t="n">
        <v>0</v>
      </c>
      <c r="U34" s="37" t="n">
        <v>0</v>
      </c>
      <c r="V34" s="18" t="n">
        <v>0</v>
      </c>
      <c r="W34" s="18" t="n">
        <v>0</v>
      </c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장기금융부채</t>
        </is>
      </c>
      <c r="E35" s="18" t="n">
        <v>2198</v>
      </c>
      <c r="F35" s="37" t="n">
        <v>2198</v>
      </c>
      <c r="G35" s="18" t="n">
        <v>2664</v>
      </c>
      <c r="H35" s="18" t="n">
        <v>2987.58</v>
      </c>
      <c r="I35" s="18" t="n">
        <v>2546.87</v>
      </c>
      <c r="J35" s="18" t="n">
        <v>1638.6</v>
      </c>
      <c r="K35" s="37" t="n">
        <v>1638.6</v>
      </c>
      <c r="L35" s="18" t="n">
        <v>1606.26</v>
      </c>
      <c r="M35" s="18" t="n">
        <v>200.71</v>
      </c>
      <c r="N35" s="18" t="n">
        <v>190.01</v>
      </c>
      <c r="O35" s="18" t="n">
        <v>179.16</v>
      </c>
      <c r="P35" s="37" t="n">
        <v>179.16</v>
      </c>
      <c r="Q35" s="18" t="n">
        <v>168.16</v>
      </c>
      <c r="R35" s="18" t="n">
        <v>157.02</v>
      </c>
      <c r="S35" s="18" t="n">
        <v>145.71</v>
      </c>
      <c r="T35" s="18" t="n">
        <v>249.83</v>
      </c>
      <c r="U35" s="37" t="n">
        <v>249.83</v>
      </c>
      <c r="V35" s="18" t="n">
        <v>230.83</v>
      </c>
      <c r="W35" s="18" t="n">
        <v>211.58</v>
      </c>
      <c r="X35" s="18" t="n">
        <v>192.06</v>
      </c>
      <c r="Y35" s="18" t="n">
        <v>172.29</v>
      </c>
      <c r="Z35" s="37" t="n">
        <v>172.29</v>
      </c>
      <c r="AA35" s="18" t="n">
        <v>153.67</v>
      </c>
      <c r="AB35" s="19" t="n">
        <v>141.38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기타비유동부채</t>
        </is>
      </c>
      <c r="E36" s="18" t="n">
        <v>70</v>
      </c>
      <c r="F36" s="37" t="n">
        <v>70</v>
      </c>
      <c r="G36" s="18" t="n">
        <v>70</v>
      </c>
      <c r="H36" s="18" t="n">
        <v>0</v>
      </c>
      <c r="I36" s="18" t="n">
        <v>0</v>
      </c>
      <c r="J36" s="18" t="n">
        <v>0</v>
      </c>
      <c r="K36" s="37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S36" s="18" t="n">
        <v>0</v>
      </c>
      <c r="T36" s="18" t="n">
        <v>248.52</v>
      </c>
      <c r="U36" s="37" t="n">
        <v>248.52</v>
      </c>
      <c r="V36" s="18" t="n">
        <v>248.52</v>
      </c>
      <c r="W36" s="18" t="n">
        <v>248.52</v>
      </c>
      <c r="X36" s="18" t="n">
        <v>248.52</v>
      </c>
      <c r="Y36" s="18" t="n">
        <v>282.78</v>
      </c>
      <c r="Z36" s="37" t="n">
        <v>282.78</v>
      </c>
      <c r="AA36" s="18" t="n">
        <v>282.78</v>
      </c>
      <c r="AB36" s="19" t="n">
        <v>282.78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102447.69</v>
      </c>
      <c r="F37" s="37" t="n">
        <v>102447.69</v>
      </c>
      <c r="G37" s="18" t="n">
        <v>114012.25</v>
      </c>
      <c r="H37" s="18" t="n">
        <v>123597.87</v>
      </c>
      <c r="I37" s="18" t="n">
        <v>130579.51</v>
      </c>
      <c r="J37" s="18" t="n">
        <v>128795.38</v>
      </c>
      <c r="K37" s="37" t="n">
        <v>128795.38</v>
      </c>
      <c r="L37" s="18" t="n">
        <v>144319.22</v>
      </c>
      <c r="M37" s="18" t="n">
        <v>139657.22</v>
      </c>
      <c r="N37" s="18" t="n">
        <v>131638.85</v>
      </c>
      <c r="O37" s="18" t="n">
        <v>125317.37</v>
      </c>
      <c r="P37" s="37" t="n">
        <v>125317.37</v>
      </c>
      <c r="Q37" s="18" t="n">
        <v>128232.7</v>
      </c>
      <c r="R37" s="18" t="n">
        <v>128405.68</v>
      </c>
      <c r="S37" s="18" t="n">
        <v>132629.58</v>
      </c>
      <c r="T37" s="18" t="n">
        <v>124154.63</v>
      </c>
      <c r="U37" s="37" t="n">
        <v>124154.63</v>
      </c>
      <c r="V37" s="18" t="n">
        <v>122491.34</v>
      </c>
      <c r="W37" s="18" t="n">
        <v>118341.74</v>
      </c>
      <c r="X37" s="18" t="n">
        <v>103246.97</v>
      </c>
      <c r="Y37" s="18" t="n">
        <v>112791.58</v>
      </c>
      <c r="Z37" s="37" t="n">
        <v>112791.58</v>
      </c>
      <c r="AA37" s="18" t="n">
        <v>126414.86</v>
      </c>
      <c r="AB37" s="19" t="n">
        <v>120870.89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4073.26</v>
      </c>
      <c r="F38" s="37" t="n">
        <v>4073.26</v>
      </c>
      <c r="G38" s="18" t="n">
        <v>4073.26</v>
      </c>
      <c r="H38" s="18" t="n">
        <v>4073.26</v>
      </c>
      <c r="I38" s="18" t="n">
        <v>4295.68</v>
      </c>
      <c r="J38" s="18" t="n">
        <v>4562.59</v>
      </c>
      <c r="K38" s="37" t="n">
        <v>4562.59</v>
      </c>
      <c r="L38" s="18" t="n">
        <v>4562.59</v>
      </c>
      <c r="M38" s="18" t="n">
        <v>4562.59</v>
      </c>
      <c r="N38" s="18" t="n">
        <v>4562.59</v>
      </c>
      <c r="O38" s="18" t="n">
        <v>4562.59</v>
      </c>
      <c r="P38" s="37" t="n">
        <v>4562.59</v>
      </c>
      <c r="Q38" s="18" t="n">
        <v>4562.59</v>
      </c>
      <c r="R38" s="18" t="n">
        <v>4562.59</v>
      </c>
      <c r="S38" s="18" t="n">
        <v>4562.59</v>
      </c>
      <c r="T38" s="18" t="n">
        <v>4562.59</v>
      </c>
      <c r="U38" s="37" t="n">
        <v>4562.59</v>
      </c>
      <c r="V38" s="18" t="n">
        <v>4562.59</v>
      </c>
      <c r="W38" s="18" t="n">
        <v>4562.59</v>
      </c>
      <c r="X38" s="18" t="n">
        <v>4962.94</v>
      </c>
      <c r="Y38" s="18" t="n">
        <v>4962.94</v>
      </c>
      <c r="Z38" s="37" t="n">
        <v>4962.94</v>
      </c>
      <c r="AA38" s="18" t="n">
        <v>4962.94</v>
      </c>
      <c r="AB38" s="19" t="n">
        <v>4962.94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27034.36</v>
      </c>
      <c r="F39" s="37" t="n">
        <v>27034.36</v>
      </c>
      <c r="G39" s="18" t="n">
        <v>27034.36</v>
      </c>
      <c r="H39" s="18" t="n">
        <v>27034.36</v>
      </c>
      <c r="I39" s="18" t="n">
        <v>31485.41</v>
      </c>
      <c r="J39" s="18" t="n">
        <v>37943.04</v>
      </c>
      <c r="K39" s="37" t="n">
        <v>37943.04</v>
      </c>
      <c r="L39" s="18" t="n">
        <v>37943.04</v>
      </c>
      <c r="M39" s="18" t="n">
        <v>37943.04</v>
      </c>
      <c r="N39" s="18" t="n">
        <v>37943.04</v>
      </c>
      <c r="O39" s="18" t="n">
        <v>37943.04</v>
      </c>
      <c r="P39" s="37" t="n">
        <v>37943.04</v>
      </c>
      <c r="Q39" s="18" t="n">
        <v>37943.04</v>
      </c>
      <c r="R39" s="18" t="n">
        <v>37943.04</v>
      </c>
      <c r="S39" s="18" t="n">
        <v>37943.04</v>
      </c>
      <c r="T39" s="18" t="n">
        <v>37943.04</v>
      </c>
      <c r="U39" s="37" t="n">
        <v>37943.04</v>
      </c>
      <c r="V39" s="18" t="n">
        <v>37943.04</v>
      </c>
      <c r="W39" s="18" t="n">
        <v>37943.04</v>
      </c>
      <c r="X39" s="18" t="n">
        <v>16716</v>
      </c>
      <c r="Y39" s="18" t="n">
        <v>17276.87</v>
      </c>
      <c r="Z39" s="37" t="n">
        <v>17276.87</v>
      </c>
      <c r="AA39" s="18" t="n">
        <v>17276.87</v>
      </c>
      <c r="AB39" s="19" t="n">
        <v>17276.87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기타자본</t>
        </is>
      </c>
      <c r="E40" s="18" t="n">
        <v>0</v>
      </c>
      <c r="F40" s="37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37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37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37" t="n">
        <v>0</v>
      </c>
      <c r="V40" s="18" t="n">
        <v>-1771.9</v>
      </c>
      <c r="W40" s="18" t="n">
        <v>-1996.16</v>
      </c>
      <c r="X40" s="18" t="n">
        <v>-1996.16</v>
      </c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기타포괄이익누계액</t>
        </is>
      </c>
      <c r="E41" s="18" t="n">
        <v>-7.96</v>
      </c>
      <c r="F41" s="37" t="n">
        <v>-7.96</v>
      </c>
      <c r="G41" s="18" t="n">
        <v>-7.96</v>
      </c>
      <c r="H41" s="18" t="n">
        <v>-9.51</v>
      </c>
      <c r="I41" s="18" t="n">
        <v>-9.51</v>
      </c>
      <c r="J41" s="18" t="n">
        <v>-3.83</v>
      </c>
      <c r="K41" s="37" t="n">
        <v>-3.83</v>
      </c>
      <c r="L41" s="18" t="n">
        <v>0.5</v>
      </c>
      <c r="M41" s="18" t="n">
        <v>0</v>
      </c>
      <c r="N41" s="18" t="n">
        <v>0</v>
      </c>
      <c r="O41" s="18" t="n">
        <v>0</v>
      </c>
      <c r="P41" s="37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37" t="n">
        <v>0</v>
      </c>
      <c r="V41" s="18" t="n">
        <v>0</v>
      </c>
      <c r="W41" s="18" t="n">
        <v>0</v>
      </c>
      <c r="X41" s="18" t="n">
        <v>0</v>
      </c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48765.87</v>
      </c>
      <c r="F42" s="37" t="n">
        <v>48765.87</v>
      </c>
      <c r="G42" s="18" t="n">
        <v>51296.29</v>
      </c>
      <c r="H42" s="18" t="n">
        <v>59067.32</v>
      </c>
      <c r="I42" s="18" t="n">
        <v>65529.8</v>
      </c>
      <c r="J42" s="18" t="n">
        <v>63328.38</v>
      </c>
      <c r="K42" s="37" t="n">
        <v>63328.38</v>
      </c>
      <c r="L42" s="18" t="n">
        <v>67492.13</v>
      </c>
      <c r="M42" s="18" t="n">
        <v>73570.00999999999</v>
      </c>
      <c r="N42" s="18" t="n">
        <v>77413.41</v>
      </c>
      <c r="O42" s="18" t="n">
        <v>78561.39</v>
      </c>
      <c r="P42" s="37" t="n">
        <v>78561.39</v>
      </c>
      <c r="Q42" s="18" t="n">
        <v>79038.12</v>
      </c>
      <c r="R42" s="18" t="n">
        <v>76935.57000000001</v>
      </c>
      <c r="S42" s="18" t="n">
        <v>75457.28</v>
      </c>
      <c r="T42" s="18" t="n">
        <v>79510.2</v>
      </c>
      <c r="U42" s="37" t="n">
        <v>79510.2</v>
      </c>
      <c r="V42" s="18" t="n">
        <v>83812.88</v>
      </c>
      <c r="W42" s="18" t="n">
        <v>85389.96000000001</v>
      </c>
      <c r="X42" s="18" t="n">
        <v>128105.54</v>
      </c>
      <c r="Y42" s="18" t="n">
        <v>128619.79</v>
      </c>
      <c r="Z42" s="37" t="n">
        <v>128619.79</v>
      </c>
      <c r="AA42" s="18" t="n">
        <v>127112.28</v>
      </c>
      <c r="AB42" s="19" t="n">
        <v>132302.15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자본총계</t>
        </is>
      </c>
      <c r="E43" s="18" t="n">
        <v>79865.53</v>
      </c>
      <c r="F43" s="37" t="n">
        <v>79865.53</v>
      </c>
      <c r="G43" s="18" t="n">
        <v>82395.95</v>
      </c>
      <c r="H43" s="18" t="n">
        <v>90165.44</v>
      </c>
      <c r="I43" s="18" t="n">
        <v>101301.39</v>
      </c>
      <c r="J43" s="18" t="n">
        <v>105830.18</v>
      </c>
      <c r="K43" s="37" t="n">
        <v>105830.18</v>
      </c>
      <c r="L43" s="18" t="n">
        <v>109998.26</v>
      </c>
      <c r="M43" s="18" t="n">
        <v>116075.64</v>
      </c>
      <c r="N43" s="18" t="n">
        <v>119919.04</v>
      </c>
      <c r="O43" s="18" t="n">
        <v>121067.02</v>
      </c>
      <c r="P43" s="37" t="n">
        <v>121067.02</v>
      </c>
      <c r="Q43" s="18" t="n">
        <v>121543.75</v>
      </c>
      <c r="R43" s="18" t="n">
        <v>119441.2</v>
      </c>
      <c r="S43" s="18" t="n">
        <v>117962.91</v>
      </c>
      <c r="T43" s="18" t="n">
        <v>122015.83</v>
      </c>
      <c r="U43" s="37" t="n">
        <v>122015.83</v>
      </c>
      <c r="V43" s="18" t="n">
        <v>124546.61</v>
      </c>
      <c r="W43" s="18" t="n">
        <v>125899.43</v>
      </c>
      <c r="X43" s="18" t="n">
        <v>147788.32</v>
      </c>
      <c r="Y43" s="18" t="n">
        <v>150859.61</v>
      </c>
      <c r="Z43" s="37" t="n">
        <v>150859.61</v>
      </c>
      <c r="AA43" s="18" t="n">
        <v>149352.1</v>
      </c>
      <c r="AB43" s="19" t="n">
        <v>154541.97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부채와자본총계</t>
        </is>
      </c>
      <c r="E44" s="18" t="n">
        <v>182313.21</v>
      </c>
      <c r="F44" s="37" t="n">
        <v>182313.21</v>
      </c>
      <c r="G44" s="18" t="n">
        <v>196408.2</v>
      </c>
      <c r="H44" s="18" t="n">
        <v>213763.3</v>
      </c>
      <c r="I44" s="18" t="n">
        <v>231880.9</v>
      </c>
      <c r="J44" s="18" t="n">
        <v>234625.56</v>
      </c>
      <c r="K44" s="37" t="n">
        <v>234625.56</v>
      </c>
      <c r="L44" s="18" t="n">
        <v>254317.48</v>
      </c>
      <c r="M44" s="18" t="n">
        <v>255732.86</v>
      </c>
      <c r="N44" s="18" t="n">
        <v>251557.89</v>
      </c>
      <c r="O44" s="18" t="n">
        <v>246384.39</v>
      </c>
      <c r="P44" s="37" t="n">
        <v>246384.39</v>
      </c>
      <c r="Q44" s="18" t="n">
        <v>249776.45</v>
      </c>
      <c r="R44" s="18" t="n">
        <v>247846.88</v>
      </c>
      <c r="S44" s="18" t="n">
        <v>250592.48</v>
      </c>
      <c r="T44" s="18" t="n">
        <v>246170.45</v>
      </c>
      <c r="U44" s="37" t="n">
        <v>246170.45</v>
      </c>
      <c r="V44" s="18" t="n">
        <v>247037.95</v>
      </c>
      <c r="W44" s="18" t="n">
        <v>244241.17</v>
      </c>
      <c r="X44" s="18" t="n">
        <v>251035.29</v>
      </c>
      <c r="Y44" s="18" t="n">
        <v>263651.19</v>
      </c>
      <c r="Z44" s="37" t="n">
        <v>263651.19</v>
      </c>
      <c r="AA44" s="18" t="n">
        <v>275766.96</v>
      </c>
      <c r="AB44" s="19" t="n">
        <v>275412.86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지배주주지분</t>
        </is>
      </c>
      <c r="E45" s="18" t="n">
        <v>79865.53</v>
      </c>
      <c r="F45" s="37" t="n">
        <v>79865.53</v>
      </c>
      <c r="G45" s="18" t="n">
        <v>82395.95</v>
      </c>
      <c r="H45" s="18" t="n">
        <v>90165.44</v>
      </c>
      <c r="I45" s="18" t="n">
        <v>101301.39</v>
      </c>
      <c r="J45" s="18" t="n">
        <v>105830.18</v>
      </c>
      <c r="K45" s="37" t="n">
        <v>105830.18</v>
      </c>
      <c r="L45" s="18" t="n">
        <v>109998.26</v>
      </c>
      <c r="M45" s="18" t="n">
        <v>116075.64</v>
      </c>
      <c r="N45" s="18" t="n">
        <v>119919.04</v>
      </c>
      <c r="O45" s="18" t="n">
        <v>121067.02</v>
      </c>
      <c r="P45" s="37" t="n">
        <v>121067.02</v>
      </c>
      <c r="Q45" s="18" t="n">
        <v>121543.75</v>
      </c>
      <c r="R45" s="18" t="n">
        <v>119441.2</v>
      </c>
      <c r="S45" s="18" t="n">
        <v>117962.91</v>
      </c>
      <c r="T45" s="18" t="n">
        <v>122015.83</v>
      </c>
      <c r="U45" s="37" t="n">
        <v>122015.83</v>
      </c>
      <c r="V45" s="18" t="n">
        <v>124546.61</v>
      </c>
      <c r="W45" s="18" t="n">
        <v>125899.43</v>
      </c>
      <c r="X45" s="18" t="n">
        <v>147788.32</v>
      </c>
      <c r="Y45" s="18" t="n">
        <v>150859.61</v>
      </c>
      <c r="Z45" s="37" t="n">
        <v>150859.61</v>
      </c>
      <c r="AA45" s="18" t="n">
        <v>149352.1</v>
      </c>
      <c r="AB45" s="19" t="n">
        <v>154541.97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88180</v>
      </c>
      <c r="F46" s="37" t="n">
        <v>88180</v>
      </c>
      <c r="G46" s="18" t="n">
        <v>83629.47</v>
      </c>
      <c r="H46" s="18" t="n">
        <v>91756.81</v>
      </c>
      <c r="I46" s="18" t="n">
        <v>98647.8</v>
      </c>
      <c r="J46" s="18" t="n">
        <v>99278.84</v>
      </c>
      <c r="K46" s="37" t="n">
        <v>99278.84</v>
      </c>
      <c r="L46" s="18" t="n">
        <v>109348.62</v>
      </c>
      <c r="M46" s="18" t="n">
        <v>108796.56</v>
      </c>
      <c r="N46" s="18" t="n">
        <v>109250.26</v>
      </c>
      <c r="O46" s="18" t="n">
        <v>109410.59</v>
      </c>
      <c r="P46" s="37" t="n">
        <v>109410.59</v>
      </c>
      <c r="Q46" s="18" t="n">
        <v>110385.68</v>
      </c>
      <c r="R46" s="18" t="n">
        <v>110340.97</v>
      </c>
      <c r="S46" s="18" t="n">
        <v>117302.73</v>
      </c>
      <c r="T46" s="18" t="n">
        <v>106264.5</v>
      </c>
      <c r="U46" s="37" t="n">
        <v>106264.5</v>
      </c>
      <c r="V46" s="18" t="n">
        <v>96223.48</v>
      </c>
      <c r="W46" s="18" t="n">
        <v>95886.81</v>
      </c>
      <c r="X46" s="18" t="n">
        <v>82730.92</v>
      </c>
      <c r="Y46" s="18" t="n">
        <v>92984.25999999999</v>
      </c>
      <c r="Z46" s="37" t="n">
        <v>92984.25999999999</v>
      </c>
      <c r="AA46" s="18" t="n">
        <v>95490.60000000001</v>
      </c>
      <c r="AB46" s="19" t="n">
        <v>93790.60000000001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59493.98</v>
      </c>
      <c r="F47" s="37" t="n">
        <v>59493.98</v>
      </c>
      <c r="G47" s="18" t="n">
        <v>54505.12</v>
      </c>
      <c r="H47" s="18" t="n">
        <v>63068.33</v>
      </c>
      <c r="I47" s="18" t="n">
        <v>73782.55</v>
      </c>
      <c r="J47" s="18" t="n">
        <v>81786.69</v>
      </c>
      <c r="K47" s="37" t="n">
        <v>81786.69</v>
      </c>
      <c r="L47" s="18" t="n">
        <v>88947.03999999999</v>
      </c>
      <c r="M47" s="18" t="n">
        <v>93927.87</v>
      </c>
      <c r="N47" s="18" t="n">
        <v>99323.73</v>
      </c>
      <c r="O47" s="18" t="n">
        <v>99920.21000000001</v>
      </c>
      <c r="P47" s="37" t="n">
        <v>99920.21000000001</v>
      </c>
      <c r="Q47" s="18" t="n">
        <v>98696.19</v>
      </c>
      <c r="R47" s="18" t="n">
        <v>97800.55</v>
      </c>
      <c r="S47" s="18" t="n">
        <v>99076.55</v>
      </c>
      <c r="T47" s="18" t="n">
        <v>89385.91</v>
      </c>
      <c r="U47" s="37" t="n">
        <v>89385.91</v>
      </c>
      <c r="V47" s="18" t="n">
        <v>75666.95</v>
      </c>
      <c r="W47" s="18" t="n">
        <v>85408.3</v>
      </c>
      <c r="X47" s="18" t="n">
        <v>53986.53</v>
      </c>
      <c r="Y47" s="18" t="n">
        <v>54507.14</v>
      </c>
      <c r="Z47" s="37" t="n">
        <v>54507.14</v>
      </c>
      <c r="AA47" s="18" t="n">
        <v>57101.72</v>
      </c>
      <c r="AB47" s="19" t="n">
        <v>82267.53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32793.29</v>
      </c>
      <c r="F48" s="37" t="n">
        <v>32793.29</v>
      </c>
      <c r="G48" s="18" t="n">
        <v>34137.9</v>
      </c>
      <c r="H48" s="18" t="n">
        <v>33531.47</v>
      </c>
      <c r="I48" s="18" t="n">
        <v>29670.65</v>
      </c>
      <c r="J48" s="18" t="n">
        <v>22697.56</v>
      </c>
      <c r="K48" s="37" t="n">
        <v>22697.56</v>
      </c>
      <c r="L48" s="18" t="n">
        <v>25782.87</v>
      </c>
      <c r="M48" s="18" t="n">
        <v>18762.19</v>
      </c>
      <c r="N48" s="18" t="n">
        <v>14190.77</v>
      </c>
      <c r="O48" s="18" t="n">
        <v>12982.68</v>
      </c>
      <c r="P48" s="37" t="n">
        <v>12982.68</v>
      </c>
      <c r="Q48" s="18" t="n">
        <v>16128.02</v>
      </c>
      <c r="R48" s="18" t="n">
        <v>14360.34</v>
      </c>
      <c r="S48" s="18" t="n">
        <v>20542.73</v>
      </c>
      <c r="T48" s="18" t="n">
        <v>18621.42</v>
      </c>
      <c r="U48" s="37" t="n">
        <v>18621.42</v>
      </c>
      <c r="V48" s="18" t="n">
        <v>23509.7</v>
      </c>
      <c r="W48" s="18" t="n">
        <v>13442.49</v>
      </c>
      <c r="X48" s="18" t="n">
        <v>31989.25</v>
      </c>
      <c r="Y48" s="18" t="n">
        <v>41851.48</v>
      </c>
      <c r="Z48" s="37" t="n">
        <v>41851.48</v>
      </c>
      <c r="AA48" s="18" t="n">
        <v>42636.79</v>
      </c>
      <c r="AB48" s="19" t="n">
        <v>21399.33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기타유동금융자산</t>
        </is>
      </c>
      <c r="F49" s="9" t="n"/>
      <c r="G49" s="18" t="n">
        <v>1221.22</v>
      </c>
      <c r="H49" s="18" t="n">
        <v>1119.84</v>
      </c>
      <c r="I49" s="18" t="n">
        <v>1230.76</v>
      </c>
      <c r="J49" s="18" t="n">
        <v>875.74</v>
      </c>
      <c r="K49" s="37" t="n">
        <v>875.74</v>
      </c>
      <c r="L49" s="18" t="n">
        <v>2885.72</v>
      </c>
      <c r="M49" s="18" t="n">
        <v>445.76</v>
      </c>
      <c r="N49" s="18" t="n">
        <v>1003.16</v>
      </c>
      <c r="O49" s="18" t="n">
        <v>794.3</v>
      </c>
      <c r="P49" s="37" t="n">
        <v>794.3</v>
      </c>
      <c r="Q49" s="18" t="n">
        <v>1029.13</v>
      </c>
      <c r="R49" s="18" t="n">
        <v>518.85</v>
      </c>
      <c r="S49" s="18" t="n">
        <v>680.72</v>
      </c>
      <c r="T49" s="18" t="n">
        <v>380.07</v>
      </c>
      <c r="U49" s="37" t="n">
        <v>380.07</v>
      </c>
      <c r="V49" s="18" t="n">
        <v>318.26</v>
      </c>
      <c r="W49" s="18" t="n">
        <v>311.52</v>
      </c>
      <c r="X49" s="18" t="n">
        <v>1209.31</v>
      </c>
      <c r="Y49" s="18" t="n">
        <v>1324.24</v>
      </c>
      <c r="Z49" s="37" t="n">
        <v>1324.24</v>
      </c>
      <c r="AA49" s="18" t="n">
        <v>1367.94</v>
      </c>
      <c r="AB49" s="19" t="n">
        <v>1182.5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기타유동금융부채</t>
        </is>
      </c>
      <c r="F50" s="9" t="n"/>
      <c r="G50" s="18" t="n">
        <v>60</v>
      </c>
      <c r="H50" s="18" t="n">
        <v>87.92</v>
      </c>
      <c r="I50" s="18" t="n">
        <v>88.29000000000001</v>
      </c>
      <c r="J50" s="18" t="n">
        <v>94.31999999999999</v>
      </c>
      <c r="K50" s="37" t="n">
        <v>94.31999999999999</v>
      </c>
      <c r="L50" s="18" t="n">
        <v>100.8</v>
      </c>
      <c r="M50" s="18" t="n">
        <v>101.36</v>
      </c>
      <c r="N50" s="18" t="n">
        <v>101.93</v>
      </c>
      <c r="O50" s="18" t="n">
        <v>102.51</v>
      </c>
      <c r="P50" s="37" t="n">
        <v>102.51</v>
      </c>
      <c r="Q50" s="18" t="n">
        <v>103.1</v>
      </c>
      <c r="R50" s="18" t="n">
        <v>103.69</v>
      </c>
      <c r="S50" s="18" t="n">
        <v>104.29</v>
      </c>
      <c r="T50" s="18" t="n">
        <v>130.93</v>
      </c>
      <c r="U50" s="37" t="n">
        <v>130.93</v>
      </c>
      <c r="V50" s="18" t="n">
        <v>131.91</v>
      </c>
      <c r="W50" s="18" t="n">
        <v>132.91</v>
      </c>
      <c r="X50" s="18" t="n">
        <v>133.92</v>
      </c>
      <c r="Y50" s="18" t="n">
        <v>134.95</v>
      </c>
      <c r="Z50" s="37" t="n">
        <v>134.95</v>
      </c>
      <c r="AA50" s="18" t="n">
        <v>134.56</v>
      </c>
      <c r="AB50" s="19" t="n">
        <v>121.58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단기금융부채</t>
        </is>
      </c>
      <c r="F51" s="9" t="n"/>
      <c r="G51" s="18" t="n">
        <v>60</v>
      </c>
      <c r="H51" s="18" t="n">
        <v>87.92</v>
      </c>
      <c r="I51" s="18" t="n">
        <v>88.29000000000001</v>
      </c>
      <c r="J51" s="18" t="n">
        <v>94.31999999999999</v>
      </c>
      <c r="K51" s="37" t="n">
        <v>94.31999999999999</v>
      </c>
      <c r="L51" s="18" t="n">
        <v>100.8</v>
      </c>
      <c r="M51" s="18" t="n">
        <v>1130.06</v>
      </c>
      <c r="N51" s="18" t="n">
        <v>1145.93</v>
      </c>
      <c r="O51" s="18" t="n">
        <v>998.91</v>
      </c>
      <c r="P51" s="37" t="n">
        <v>998.91</v>
      </c>
      <c r="Q51" s="18" t="n">
        <v>913.1</v>
      </c>
      <c r="R51" s="18" t="n">
        <v>1787.59</v>
      </c>
      <c r="S51" s="18" t="n">
        <v>1537.99</v>
      </c>
      <c r="T51" s="18" t="n">
        <v>1254.13</v>
      </c>
      <c r="U51" s="37" t="n">
        <v>1254.13</v>
      </c>
      <c r="V51" s="18" t="n">
        <v>1036.41</v>
      </c>
      <c r="W51" s="18" t="n">
        <v>868.21</v>
      </c>
      <c r="X51" s="18" t="n">
        <v>133.92</v>
      </c>
      <c r="Y51" s="18" t="n">
        <v>134.95</v>
      </c>
      <c r="Z51" s="37" t="n">
        <v>134.95</v>
      </c>
      <c r="AA51" s="18" t="n">
        <v>134.56</v>
      </c>
      <c r="AB51" s="19" t="n">
        <v>121.58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기타비유동금융부채</t>
        </is>
      </c>
      <c r="F52" s="9" t="n"/>
      <c r="H52" s="18" t="n">
        <v>191.58</v>
      </c>
      <c r="I52" s="18" t="n">
        <v>184.37</v>
      </c>
      <c r="J52" s="18" t="n">
        <v>197.7</v>
      </c>
      <c r="K52" s="37" t="n">
        <v>197.7</v>
      </c>
      <c r="L52" s="18" t="n">
        <v>211.26</v>
      </c>
      <c r="M52" s="18" t="n">
        <v>200.71</v>
      </c>
      <c r="N52" s="18" t="n">
        <v>190.01</v>
      </c>
      <c r="O52" s="18" t="n">
        <v>179.16</v>
      </c>
      <c r="P52" s="37" t="n">
        <v>179.16</v>
      </c>
      <c r="Q52" s="18" t="n">
        <v>168.16</v>
      </c>
      <c r="R52" s="18" t="n">
        <v>157.02</v>
      </c>
      <c r="S52" s="18" t="n">
        <v>145.71</v>
      </c>
      <c r="T52" s="18" t="n">
        <v>249.83</v>
      </c>
      <c r="U52" s="37" t="n">
        <v>249.83</v>
      </c>
      <c r="V52" s="18" t="n">
        <v>230.83</v>
      </c>
      <c r="W52" s="18" t="n">
        <v>211.58</v>
      </c>
      <c r="X52" s="18" t="n">
        <v>192.06</v>
      </c>
      <c r="Y52" s="18" t="n">
        <v>172.29</v>
      </c>
      <c r="Z52" s="37" t="n">
        <v>172.29</v>
      </c>
      <c r="AA52" s="18" t="n">
        <v>153.67</v>
      </c>
      <c r="AB52" s="19" t="n">
        <v>141.38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매각예정비유동자산및처분자산</t>
        </is>
      </c>
      <c r="F53" s="9" t="n"/>
      <c r="K53" s="9" t="n"/>
      <c r="M53" s="18" t="n">
        <v>13746.27</v>
      </c>
      <c r="N53" s="18" t="n">
        <v>13864.56</v>
      </c>
      <c r="P53" s="9" t="n"/>
      <c r="U53" s="9" t="n"/>
      <c r="V53" s="18" t="n">
        <v>13864.56</v>
      </c>
      <c r="W53" s="18" t="n">
        <v>13864.56</v>
      </c>
      <c r="X53" s="18" t="n">
        <v>0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유동성장기부채</t>
        </is>
      </c>
      <c r="F54" s="9" t="n"/>
      <c r="K54" s="9" t="n"/>
      <c r="M54" s="18" t="n">
        <v>7512.62</v>
      </c>
      <c r="N54" s="18" t="n">
        <v>7632.98</v>
      </c>
      <c r="O54" s="18" t="n">
        <v>7753.34</v>
      </c>
      <c r="P54" s="37" t="n">
        <v>7753.34</v>
      </c>
      <c r="Q54" s="18" t="n">
        <v>7872.4</v>
      </c>
      <c r="R54" s="18" t="n">
        <v>7994.35</v>
      </c>
      <c r="S54" s="18" t="n">
        <v>8122.77</v>
      </c>
      <c r="T54" s="18" t="n">
        <v>8251.200000000001</v>
      </c>
      <c r="U54" s="37" t="n">
        <v>8251.200000000001</v>
      </c>
      <c r="V54" s="18" t="n">
        <v>8376.84</v>
      </c>
      <c r="W54" s="18" t="n">
        <v>8506.83</v>
      </c>
      <c r="X54" s="18" t="n">
        <v>0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단기파생상품부채</t>
        </is>
      </c>
      <c r="F55" s="9" t="n"/>
      <c r="K55" s="9" t="n"/>
      <c r="M55" s="18" t="n">
        <v>1028.7</v>
      </c>
      <c r="N55" s="18" t="n">
        <v>1044</v>
      </c>
      <c r="O55" s="18" t="n">
        <v>896.4</v>
      </c>
      <c r="P55" s="37" t="n">
        <v>896.4</v>
      </c>
      <c r="Q55" s="18" t="n">
        <v>810</v>
      </c>
      <c r="R55" s="18" t="n">
        <v>1683.9</v>
      </c>
      <c r="S55" s="18" t="n">
        <v>1433.7</v>
      </c>
      <c r="T55" s="18" t="n">
        <v>1123.2</v>
      </c>
      <c r="U55" s="37" t="n">
        <v>1123.2</v>
      </c>
      <c r="V55" s="18" t="n">
        <v>904.5</v>
      </c>
      <c r="W55" s="18" t="n">
        <v>735.3</v>
      </c>
      <c r="X55" s="18" t="n">
        <v>0</v>
      </c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단기투자자산(공정가치)</t>
        </is>
      </c>
      <c r="F56" s="9" t="n"/>
      <c r="K56" s="9" t="n"/>
      <c r="N56" s="18" t="n">
        <v>0</v>
      </c>
      <c r="O56" s="18" t="n">
        <v>0</v>
      </c>
      <c r="P56" s="37" t="n">
        <v>0</v>
      </c>
      <c r="Q56" s="18" t="n">
        <v>0</v>
      </c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투자부동산</t>
        </is>
      </c>
      <c r="F57" s="9" t="n"/>
      <c r="K57" s="9" t="n"/>
      <c r="P57" s="9" t="n"/>
      <c r="R57" s="18" t="n">
        <v>9050.309999999999</v>
      </c>
      <c r="S57" s="18" t="n">
        <v>9006.42</v>
      </c>
      <c r="U57" s="9" t="n"/>
      <c r="Z57" s="9" t="n"/>
      <c r="AB57" s="19" t="n">
        <v>3667.62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30978.28</v>
      </c>
      <c r="F58" s="9" t="n"/>
      <c r="G58" s="18" t="n">
        <v>25045.73</v>
      </c>
      <c r="H58" s="18" t="n">
        <v>38120.26</v>
      </c>
      <c r="I58" s="18" t="n">
        <v>37212.1</v>
      </c>
      <c r="J58" s="18" t="n">
        <v>41063.39</v>
      </c>
      <c r="K58" s="37" t="n">
        <v>141441.48</v>
      </c>
      <c r="L58" s="18" t="n">
        <v>38454.86</v>
      </c>
      <c r="M58" s="18" t="n">
        <v>42968.3</v>
      </c>
      <c r="N58" s="18" t="n">
        <v>27522.53</v>
      </c>
      <c r="O58" s="18" t="n">
        <v>39909.39</v>
      </c>
      <c r="P58" s="37" t="n">
        <v>148855.08</v>
      </c>
      <c r="Q58" s="18" t="n">
        <v>31283.18</v>
      </c>
      <c r="R58" s="18" t="n">
        <v>32240.9</v>
      </c>
      <c r="S58" s="18" t="n">
        <v>32315.2</v>
      </c>
      <c r="T58" s="18" t="n">
        <v>36299.04</v>
      </c>
      <c r="U58" s="37" t="n">
        <v>132138.32</v>
      </c>
      <c r="V58" s="18" t="n">
        <v>36596.29</v>
      </c>
      <c r="W58" s="18" t="n">
        <v>39024.43</v>
      </c>
      <c r="X58" s="18" t="n">
        <v>36810.39</v>
      </c>
      <c r="Y58" s="18" t="n">
        <v>33648.84</v>
      </c>
      <c r="Z58" s="37" t="n">
        <v>146079.95</v>
      </c>
      <c r="AA58" s="18" t="n">
        <v>35560.48</v>
      </c>
      <c r="AB58" s="19" t="n">
        <v>47163.16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23807.57</v>
      </c>
      <c r="F59" s="9" t="n"/>
      <c r="G59" s="18" t="n">
        <v>17495.96</v>
      </c>
      <c r="H59" s="18" t="n">
        <v>26567.5</v>
      </c>
      <c r="I59" s="18" t="n">
        <v>25438.69</v>
      </c>
      <c r="J59" s="18" t="n">
        <v>31255.79</v>
      </c>
      <c r="K59" s="37" t="n">
        <v>100757.94</v>
      </c>
      <c r="L59" s="18" t="n">
        <v>28070.86</v>
      </c>
      <c r="M59" s="18" t="n">
        <v>28341.17</v>
      </c>
      <c r="N59" s="18" t="n">
        <v>21219.27</v>
      </c>
      <c r="O59" s="18" t="n">
        <v>33753.17</v>
      </c>
      <c r="P59" s="37" t="n">
        <v>111384.47</v>
      </c>
      <c r="Q59" s="18" t="n">
        <v>23975.1</v>
      </c>
      <c r="R59" s="18" t="n">
        <v>23478.29</v>
      </c>
      <c r="S59" s="18" t="n">
        <v>25110.78</v>
      </c>
      <c r="T59" s="18" t="n">
        <v>27854.7</v>
      </c>
      <c r="U59" s="37" t="n">
        <v>100418.87</v>
      </c>
      <c r="V59" s="18" t="n">
        <v>28653.2</v>
      </c>
      <c r="W59" s="18" t="n">
        <v>30734.57</v>
      </c>
      <c r="X59" s="18" t="n">
        <v>26137.14</v>
      </c>
      <c r="Y59" s="18" t="n">
        <v>23927.62</v>
      </c>
      <c r="Z59" s="37" t="n">
        <v>109452.53</v>
      </c>
      <c r="AA59" s="18" t="n">
        <v>28053.99</v>
      </c>
      <c r="AB59" s="19" t="n">
        <v>34564.74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7170.71</v>
      </c>
      <c r="F60" s="9" t="n"/>
      <c r="G60" s="18" t="n">
        <v>7549.77</v>
      </c>
      <c r="H60" s="18" t="n">
        <v>11552.76</v>
      </c>
      <c r="I60" s="18" t="n">
        <v>11773.41</v>
      </c>
      <c r="J60" s="18" t="n">
        <v>9807.59</v>
      </c>
      <c r="K60" s="37" t="n">
        <v>40683.53</v>
      </c>
      <c r="L60" s="18" t="n">
        <v>10384</v>
      </c>
      <c r="M60" s="18" t="n">
        <v>14627.14</v>
      </c>
      <c r="N60" s="18" t="n">
        <v>6303.26</v>
      </c>
      <c r="O60" s="18" t="n">
        <v>6156.22</v>
      </c>
      <c r="P60" s="37" t="n">
        <v>37470.62</v>
      </c>
      <c r="Q60" s="18" t="n">
        <v>7308.08</v>
      </c>
      <c r="R60" s="18" t="n">
        <v>8762.610000000001</v>
      </c>
      <c r="S60" s="18" t="n">
        <v>7204.42</v>
      </c>
      <c r="T60" s="18" t="n">
        <v>8444.35</v>
      </c>
      <c r="U60" s="37" t="n">
        <v>31719.46</v>
      </c>
      <c r="V60" s="18" t="n">
        <v>7943.09</v>
      </c>
      <c r="W60" s="18" t="n">
        <v>8289.870000000001</v>
      </c>
      <c r="X60" s="18" t="n">
        <v>10673.25</v>
      </c>
      <c r="Y60" s="18" t="n">
        <v>9721.219999999999</v>
      </c>
      <c r="Z60" s="37" t="n">
        <v>36627.43</v>
      </c>
      <c r="AA60" s="18" t="n">
        <v>7506.49</v>
      </c>
      <c r="AB60" s="19" t="n">
        <v>12598.42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4320.2</v>
      </c>
      <c r="F61" s="9" t="n"/>
      <c r="G61" s="18" t="n">
        <v>3316.66</v>
      </c>
      <c r="H61" s="18" t="n">
        <v>2505.12</v>
      </c>
      <c r="I61" s="18" t="n">
        <v>5459.96</v>
      </c>
      <c r="J61" s="18" t="n">
        <v>5821.17</v>
      </c>
      <c r="K61" s="37" t="n">
        <v>17102.91</v>
      </c>
      <c r="L61" s="18" t="n">
        <v>3283</v>
      </c>
      <c r="M61" s="18" t="n">
        <v>6009.71</v>
      </c>
      <c r="N61" s="18" t="n">
        <v>4540.11</v>
      </c>
      <c r="O61" s="18" t="n">
        <v>4981.21</v>
      </c>
      <c r="P61" s="37" t="n">
        <v>18814.03</v>
      </c>
      <c r="Q61" s="18" t="n">
        <v>4367.5</v>
      </c>
      <c r="R61" s="18" t="n">
        <v>7243.01</v>
      </c>
      <c r="S61" s="18" t="n">
        <v>7197.22</v>
      </c>
      <c r="T61" s="18" t="n">
        <v>5964</v>
      </c>
      <c r="U61" s="37" t="n">
        <v>24771.73</v>
      </c>
      <c r="V61" s="18" t="n">
        <v>4890.74</v>
      </c>
      <c r="W61" s="18" t="n">
        <v>4190.65</v>
      </c>
      <c r="X61" s="18" t="n">
        <v>4735.22</v>
      </c>
      <c r="Y61" s="18" t="n">
        <v>5655.43</v>
      </c>
      <c r="Z61" s="37" t="n">
        <v>19472.04</v>
      </c>
      <c r="AA61" s="18" t="n">
        <v>4936.87</v>
      </c>
      <c r="AB61" s="19" t="n">
        <v>6008.61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2850.51</v>
      </c>
      <c r="F62" s="9" t="n"/>
      <c r="G62" s="18" t="n">
        <v>4233.11</v>
      </c>
      <c r="H62" s="18" t="n">
        <v>9047.639999999999</v>
      </c>
      <c r="I62" s="18" t="n">
        <v>6313.45</v>
      </c>
      <c r="J62" s="18" t="n">
        <v>3986.43</v>
      </c>
      <c r="K62" s="37" t="n">
        <v>23580.63</v>
      </c>
      <c r="L62" s="18" t="n">
        <v>7101</v>
      </c>
      <c r="M62" s="18" t="n">
        <v>8617.43</v>
      </c>
      <c r="N62" s="18" t="n">
        <v>1763.16</v>
      </c>
      <c r="O62" s="18" t="n">
        <v>1175.01</v>
      </c>
      <c r="P62" s="37" t="n">
        <v>18656.6</v>
      </c>
      <c r="Q62" s="18" t="n">
        <v>2940.58</v>
      </c>
      <c r="R62" s="18" t="n">
        <v>1519.6</v>
      </c>
      <c r="S62" s="18" t="n">
        <v>7.2</v>
      </c>
      <c r="T62" s="18" t="n">
        <v>2480.35</v>
      </c>
      <c r="U62" s="37" t="n">
        <v>6947.73</v>
      </c>
      <c r="V62" s="18" t="n">
        <v>3052.36</v>
      </c>
      <c r="W62" s="18" t="n">
        <v>4099.22</v>
      </c>
      <c r="X62" s="18" t="n">
        <v>5938.03</v>
      </c>
      <c r="Y62" s="18" t="n">
        <v>4065.79</v>
      </c>
      <c r="Z62" s="37" t="n">
        <v>17155.4</v>
      </c>
      <c r="AA62" s="18" t="n">
        <v>2569.62</v>
      </c>
      <c r="AB62" s="19" t="n">
        <v>6589.8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47.09</v>
      </c>
      <c r="F63" s="9" t="n"/>
      <c r="G63" s="18" t="n">
        <v>452.59</v>
      </c>
      <c r="H63" s="18" t="n">
        <v>46.99</v>
      </c>
      <c r="I63" s="18" t="n">
        <v>35.35</v>
      </c>
      <c r="J63" s="18" t="n">
        <v>49.86</v>
      </c>
      <c r="K63" s="37" t="n">
        <v>584.79</v>
      </c>
      <c r="L63" s="18" t="n">
        <v>79.33</v>
      </c>
      <c r="M63" s="18" t="n">
        <v>140.65</v>
      </c>
      <c r="N63" s="18" t="n">
        <v>3317.86</v>
      </c>
      <c r="O63" s="18" t="n">
        <v>150.44</v>
      </c>
      <c r="P63" s="37" t="n">
        <v>3688.28</v>
      </c>
      <c r="Q63" s="18" t="n">
        <v>213.79</v>
      </c>
      <c r="R63" s="18" t="n">
        <v>126.77</v>
      </c>
      <c r="S63" s="18" t="n">
        <v>67.66</v>
      </c>
      <c r="T63" s="18" t="n">
        <v>58.91</v>
      </c>
      <c r="U63" s="37" t="n">
        <v>467.13</v>
      </c>
      <c r="V63" s="18" t="n">
        <v>4885.23</v>
      </c>
      <c r="W63" s="18" t="n">
        <v>112.53</v>
      </c>
      <c r="X63" s="18" t="n">
        <v>7495.45</v>
      </c>
      <c r="Y63" s="18" t="n">
        <v>188.81</v>
      </c>
      <c r="Z63" s="37" t="n">
        <v>12682.02</v>
      </c>
      <c r="AA63" s="18" t="n">
        <v>166.81</v>
      </c>
      <c r="AB63" s="19" t="n">
        <v>479.55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3000</v>
      </c>
      <c r="F64" s="9" t="n"/>
      <c r="G64" s="18" t="n">
        <v>3.66</v>
      </c>
      <c r="H64" s="18" t="n">
        <v>5.5</v>
      </c>
      <c r="I64" s="18" t="n">
        <v>14.29</v>
      </c>
      <c r="J64" s="18" t="n">
        <v>812.83</v>
      </c>
      <c r="K64" s="37" t="n">
        <v>836.28</v>
      </c>
      <c r="L64" s="18" t="n">
        <v>29.45</v>
      </c>
      <c r="M64" s="18" t="n">
        <v>573.02</v>
      </c>
      <c r="N64" s="18" t="n">
        <v>7.72</v>
      </c>
      <c r="O64" s="18" t="n">
        <v>523.14</v>
      </c>
      <c r="P64" s="37" t="n">
        <v>1133.33</v>
      </c>
      <c r="Q64" s="18" t="n">
        <v>28.81</v>
      </c>
      <c r="R64" s="18" t="n">
        <v>1117.94</v>
      </c>
      <c r="S64" s="18" t="n">
        <v>19.13</v>
      </c>
      <c r="T64" s="18" t="n">
        <v>620.3099999999999</v>
      </c>
      <c r="U64" s="37" t="n">
        <v>1786.19</v>
      </c>
      <c r="V64" s="18" t="n">
        <v>20.45</v>
      </c>
      <c r="W64" s="18" t="n">
        <v>7.66</v>
      </c>
      <c r="X64" s="18" t="n">
        <v>48.06</v>
      </c>
      <c r="Y64" s="18" t="n">
        <v>2391.49</v>
      </c>
      <c r="Z64" s="37" t="n">
        <v>2467.66</v>
      </c>
      <c r="AA64" s="18" t="n">
        <v>88.01000000000001</v>
      </c>
      <c r="AB64" s="19" t="n">
        <v>64.59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909.6</v>
      </c>
      <c r="F65" s="9" t="n"/>
      <c r="G65" s="18" t="n">
        <v>1182.02</v>
      </c>
      <c r="H65" s="18" t="n">
        <v>2294.94</v>
      </c>
      <c r="I65" s="18" t="n">
        <v>2046.3</v>
      </c>
      <c r="J65" s="18" t="n">
        <v>-233.23</v>
      </c>
      <c r="K65" s="37" t="n">
        <v>5290.03</v>
      </c>
      <c r="L65" s="18" t="n">
        <v>1611.22</v>
      </c>
      <c r="M65" s="18" t="n">
        <v>1240.4</v>
      </c>
      <c r="N65" s="18" t="n">
        <v>872.61</v>
      </c>
      <c r="O65" s="18" t="n">
        <v>747.9</v>
      </c>
      <c r="P65" s="37" t="n">
        <v>4472.13</v>
      </c>
      <c r="Q65" s="18" t="n">
        <v>1321.31</v>
      </c>
      <c r="R65" s="18" t="n">
        <v>885.97</v>
      </c>
      <c r="S65" s="18" t="n">
        <v>524.8200000000001</v>
      </c>
      <c r="T65" s="18" t="n">
        <v>2599.9</v>
      </c>
      <c r="U65" s="37" t="n">
        <v>5332</v>
      </c>
      <c r="V65" s="18" t="n">
        <v>996.38</v>
      </c>
      <c r="W65" s="18" t="n">
        <v>773.27</v>
      </c>
      <c r="X65" s="18" t="n">
        <v>1058.51</v>
      </c>
      <c r="Y65" s="18" t="n">
        <v>1670.84</v>
      </c>
      <c r="Z65" s="37" t="n">
        <v>4499</v>
      </c>
      <c r="AA65" s="18" t="n">
        <v>3764.21</v>
      </c>
      <c r="AB65" s="19" t="n">
        <v>1440.72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799.25</v>
      </c>
      <c r="F66" s="9" t="n"/>
      <c r="G66" s="18" t="n">
        <v>1238.57</v>
      </c>
      <c r="H66" s="18" t="n">
        <v>1081.1</v>
      </c>
      <c r="I66" s="18" t="n">
        <v>933.95</v>
      </c>
      <c r="J66" s="18" t="n">
        <v>5555.92</v>
      </c>
      <c r="K66" s="37" t="n">
        <v>8809.540000000001</v>
      </c>
      <c r="L66" s="18" t="n">
        <v>1607.87</v>
      </c>
      <c r="M66" s="18" t="n">
        <v>1241.78</v>
      </c>
      <c r="N66" s="18" t="n">
        <v>1400.66</v>
      </c>
      <c r="O66" s="18" t="n">
        <v>2181.85</v>
      </c>
      <c r="P66" s="37" t="n">
        <v>6432.16</v>
      </c>
      <c r="Q66" s="18" t="n">
        <v>1346.13</v>
      </c>
      <c r="R66" s="18" t="n">
        <v>2155.55</v>
      </c>
      <c r="S66" s="18" t="n">
        <v>2496.42</v>
      </c>
      <c r="T66" s="18" t="n">
        <v>410.97</v>
      </c>
      <c r="U66" s="37" t="n">
        <v>6409.07</v>
      </c>
      <c r="V66" s="18" t="n">
        <v>1508.25</v>
      </c>
      <c r="W66" s="18" t="n">
        <v>2781.16</v>
      </c>
      <c r="X66" s="18" t="n">
        <v>392.68</v>
      </c>
      <c r="Y66" s="18" t="n">
        <v>1170.7</v>
      </c>
      <c r="Z66" s="37" t="n">
        <v>5852.79</v>
      </c>
      <c r="AA66" s="18" t="n">
        <v>1409.75</v>
      </c>
      <c r="AB66" s="19" t="n">
        <v>1052.2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7.96</v>
      </c>
      <c r="F67" s="9" t="n"/>
      <c r="G67" s="18" t="n">
        <v>4625.49</v>
      </c>
      <c r="H67" s="18" t="n">
        <v>10302.98</v>
      </c>
      <c r="I67" s="18" t="n">
        <v>7446.86</v>
      </c>
      <c r="J67" s="18" t="n">
        <v>-2565.69</v>
      </c>
      <c r="K67" s="37" t="n">
        <v>19809.64</v>
      </c>
      <c r="L67" s="18" t="n">
        <v>7154.24</v>
      </c>
      <c r="M67" s="18" t="n">
        <v>8183.68</v>
      </c>
      <c r="N67" s="18" t="n">
        <v>4545.24</v>
      </c>
      <c r="O67" s="18" t="n">
        <v>-631.64</v>
      </c>
      <c r="P67" s="37" t="n">
        <v>19251.52</v>
      </c>
      <c r="Q67" s="18" t="n">
        <v>3100.73</v>
      </c>
      <c r="R67" s="18" t="n">
        <v>-741.15</v>
      </c>
      <c r="S67" s="18" t="n">
        <v>-1915.88</v>
      </c>
      <c r="T67" s="18" t="n">
        <v>4107.87</v>
      </c>
      <c r="U67" s="37" t="n">
        <v>4551.57</v>
      </c>
      <c r="V67" s="18" t="n">
        <v>7405.27</v>
      </c>
      <c r="W67" s="18" t="n">
        <v>2196.21</v>
      </c>
      <c r="X67" s="18" t="n">
        <v>14051.25</v>
      </c>
      <c r="Y67" s="18" t="n">
        <v>2363.25</v>
      </c>
      <c r="Z67" s="37" t="n">
        <v>26015.98</v>
      </c>
      <c r="AA67" s="18" t="n">
        <v>5002.87</v>
      </c>
      <c r="AB67" s="19" t="n">
        <v>7393.28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</t>
        </is>
      </c>
      <c r="E68" s="18" t="n">
        <v>-46.73</v>
      </c>
      <c r="F68" s="9" t="n"/>
      <c r="G68" s="18" t="n">
        <v>873.09</v>
      </c>
      <c r="H68" s="18" t="n">
        <v>2560.67</v>
      </c>
      <c r="I68" s="18" t="n">
        <v>1926.26</v>
      </c>
      <c r="J68" s="18" t="n">
        <v>-364.28</v>
      </c>
      <c r="K68" s="37" t="n">
        <v>4995.74</v>
      </c>
      <c r="L68" s="18" t="n">
        <v>1165.46</v>
      </c>
      <c r="M68" s="18" t="n">
        <v>2105.8</v>
      </c>
      <c r="N68" s="18" t="n">
        <v>701.84</v>
      </c>
      <c r="O68" s="18" t="n">
        <v>-1779.63</v>
      </c>
      <c r="P68" s="37" t="n">
        <v>2193.47</v>
      </c>
      <c r="Q68" s="18" t="n">
        <v>342.71</v>
      </c>
      <c r="R68" s="18" t="n">
        <v>1361.41</v>
      </c>
      <c r="S68" s="18" t="n">
        <v>-437.59</v>
      </c>
      <c r="T68" s="18" t="n">
        <v>54.95</v>
      </c>
      <c r="U68" s="37" t="n">
        <v>1321.48</v>
      </c>
      <c r="V68" s="18" t="n">
        <v>821.29</v>
      </c>
      <c r="W68" s="18" t="n">
        <v>619.12</v>
      </c>
      <c r="X68" s="18" t="n">
        <v>1335.67</v>
      </c>
      <c r="Y68" s="18" t="n">
        <v>1849</v>
      </c>
      <c r="Z68" s="37" t="n">
        <v>4625.08</v>
      </c>
      <c r="AA68" s="18" t="n">
        <v>554.85</v>
      </c>
      <c r="AB68" s="19" t="n">
        <v>2203.41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54.69</v>
      </c>
      <c r="F69" s="9" t="n"/>
      <c r="G69" s="18" t="n">
        <v>3752.4</v>
      </c>
      <c r="H69" s="18" t="n">
        <v>7742.31</v>
      </c>
      <c r="I69" s="18" t="n">
        <v>5520.6</v>
      </c>
      <c r="J69" s="18" t="n">
        <v>-2201.42</v>
      </c>
      <c r="K69" s="37" t="n">
        <v>14813.89</v>
      </c>
      <c r="L69" s="18" t="n">
        <v>5988.78</v>
      </c>
      <c r="M69" s="18" t="n">
        <v>6077.88</v>
      </c>
      <c r="N69" s="18" t="n">
        <v>3843.4</v>
      </c>
      <c r="O69" s="18" t="n">
        <v>1147.99</v>
      </c>
      <c r="P69" s="37" t="n">
        <v>17058.05</v>
      </c>
      <c r="Q69" s="18" t="n">
        <v>2758.02</v>
      </c>
      <c r="R69" s="18" t="n">
        <v>-2102.55</v>
      </c>
      <c r="S69" s="18" t="n">
        <v>-1478.29</v>
      </c>
      <c r="T69" s="18" t="n">
        <v>4052.92</v>
      </c>
      <c r="U69" s="37" t="n">
        <v>3230.1</v>
      </c>
      <c r="V69" s="18" t="n">
        <v>6583.97</v>
      </c>
      <c r="W69" s="18" t="n">
        <v>1577.08</v>
      </c>
      <c r="X69" s="18" t="n">
        <v>12715.58</v>
      </c>
      <c r="Y69" s="18" t="n">
        <v>514.25</v>
      </c>
      <c r="Z69" s="37" t="n">
        <v>21390.88</v>
      </c>
      <c r="AA69" s="18" t="n">
        <v>4448.02</v>
      </c>
      <c r="AB69" s="19" t="n">
        <v>5189.87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46.72</v>
      </c>
      <c r="F70" s="9" t="n"/>
      <c r="G70" s="18" t="n">
        <v>3744.44</v>
      </c>
      <c r="H70" s="18" t="n">
        <v>7748.73</v>
      </c>
      <c r="I70" s="18" t="n">
        <v>5520.6</v>
      </c>
      <c r="J70" s="18" t="n">
        <v>-2195.75</v>
      </c>
      <c r="K70" s="37" t="n">
        <v>14818.02</v>
      </c>
      <c r="L70" s="18" t="n">
        <v>5993.12</v>
      </c>
      <c r="M70" s="18" t="n">
        <v>6077.38</v>
      </c>
      <c r="N70" s="18" t="n">
        <v>3839.56</v>
      </c>
      <c r="O70" s="18" t="n">
        <v>1151.82</v>
      </c>
      <c r="P70" s="37" t="n">
        <v>17061.88</v>
      </c>
      <c r="Q70" s="18" t="n">
        <v>2758.02</v>
      </c>
      <c r="R70" s="18" t="n">
        <v>-2102.55</v>
      </c>
      <c r="S70" s="18" t="n">
        <v>-1478.29</v>
      </c>
      <c r="T70" s="18" t="n">
        <v>4052.92</v>
      </c>
      <c r="U70" s="37" t="n">
        <v>3230.1</v>
      </c>
      <c r="V70" s="18" t="n">
        <v>6583.97</v>
      </c>
      <c r="W70" s="18" t="n">
        <v>1577.08</v>
      </c>
      <c r="X70" s="18" t="n">
        <v>12715.58</v>
      </c>
      <c r="Y70" s="18" t="n">
        <v>514.25</v>
      </c>
      <c r="Z70" s="37" t="n">
        <v>21390.88</v>
      </c>
      <c r="AA70" s="18" t="n">
        <v>4448.02</v>
      </c>
      <c r="AB70" s="19" t="n">
        <v>5189.87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110.35</v>
      </c>
      <c r="F71" s="9" t="n"/>
      <c r="G71" s="18" t="n">
        <v>-56.55</v>
      </c>
      <c r="H71" s="18" t="n">
        <v>1213.84</v>
      </c>
      <c r="I71" s="18" t="n">
        <v>1112.35</v>
      </c>
      <c r="J71" s="18" t="n">
        <v>-5789.15</v>
      </c>
      <c r="K71" s="37" t="n">
        <v>-3519.51</v>
      </c>
      <c r="L71" s="18" t="n">
        <v>3.35</v>
      </c>
      <c r="M71" s="18" t="n">
        <v>-1.38</v>
      </c>
      <c r="N71" s="18" t="n">
        <v>-528.05</v>
      </c>
      <c r="O71" s="18" t="n">
        <v>-1433.95</v>
      </c>
      <c r="P71" s="37" t="n">
        <v>-1960.03</v>
      </c>
      <c r="Q71" s="18" t="n">
        <v>-24.82</v>
      </c>
      <c r="R71" s="18" t="n">
        <v>-1269.58</v>
      </c>
      <c r="S71" s="18" t="n">
        <v>-1971.6</v>
      </c>
      <c r="T71" s="18" t="n">
        <v>2188.93</v>
      </c>
      <c r="U71" s="37" t="n">
        <v>-1077.07</v>
      </c>
      <c r="V71" s="18" t="n">
        <v>-511.87</v>
      </c>
      <c r="W71" s="18" t="n">
        <v>-2007.89</v>
      </c>
      <c r="X71" s="18" t="n">
        <v>665.83</v>
      </c>
      <c r="Y71" s="18" t="n">
        <v>500.14</v>
      </c>
      <c r="Z71" s="37" t="n">
        <v>-1353.79</v>
      </c>
      <c r="AA71" s="18" t="n">
        <v>2354.46</v>
      </c>
      <c r="AB71" s="19" t="n">
        <v>388.52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기타영업외손익</t>
        </is>
      </c>
      <c r="E72" s="18" t="n">
        <v>-2952.91</v>
      </c>
      <c r="F72" s="9" t="n"/>
      <c r="G72" s="18" t="n">
        <v>448.93</v>
      </c>
      <c r="H72" s="18" t="n">
        <v>41.49</v>
      </c>
      <c r="I72" s="18" t="n">
        <v>21.06</v>
      </c>
      <c r="J72" s="18" t="n">
        <v>-762.97</v>
      </c>
      <c r="K72" s="37" t="n">
        <v>-251.49</v>
      </c>
      <c r="L72" s="18" t="n">
        <v>49.88</v>
      </c>
      <c r="M72" s="18" t="n">
        <v>-432.37</v>
      </c>
      <c r="N72" s="18" t="n">
        <v>3310.14</v>
      </c>
      <c r="O72" s="18" t="n">
        <v>-372.7</v>
      </c>
      <c r="P72" s="37" t="n">
        <v>2554.95</v>
      </c>
      <c r="Q72" s="18" t="n">
        <v>184.98</v>
      </c>
      <c r="R72" s="18" t="n">
        <v>-991.17</v>
      </c>
      <c r="S72" s="18" t="n">
        <v>48.53</v>
      </c>
      <c r="T72" s="18" t="n">
        <v>-561.4</v>
      </c>
      <c r="U72" s="37" t="n">
        <v>-1319.06</v>
      </c>
      <c r="V72" s="18" t="n">
        <v>4864.78</v>
      </c>
      <c r="W72" s="18" t="n">
        <v>104.87</v>
      </c>
      <c r="X72" s="18" t="n">
        <v>7447.39</v>
      </c>
      <c r="Y72" s="18" t="n">
        <v>-2202.68</v>
      </c>
      <c r="Z72" s="37" t="n">
        <v>10214.36</v>
      </c>
      <c r="AA72" s="18" t="n">
        <v>78.8</v>
      </c>
      <c r="AB72" s="19" t="n">
        <v>414.96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54.69</v>
      </c>
      <c r="F73" s="9" t="n"/>
      <c r="G73" s="18" t="n">
        <v>3752.4</v>
      </c>
      <c r="H73" s="18" t="n">
        <v>7742.31</v>
      </c>
      <c r="I73" s="18" t="n">
        <v>5520.6</v>
      </c>
      <c r="J73" s="18" t="n">
        <v>-2201.42</v>
      </c>
      <c r="K73" s="37" t="n">
        <v>14813.89</v>
      </c>
      <c r="L73" s="18" t="n">
        <v>5988.78</v>
      </c>
      <c r="M73" s="18" t="n">
        <v>6077.88</v>
      </c>
      <c r="N73" s="18" t="n">
        <v>3843.4</v>
      </c>
      <c r="O73" s="18" t="n">
        <v>1147.99</v>
      </c>
      <c r="P73" s="37" t="n">
        <v>17058.05</v>
      </c>
      <c r="Q73" s="18" t="n">
        <v>2758.02</v>
      </c>
      <c r="R73" s="18" t="n">
        <v>-2102.55</v>
      </c>
      <c r="S73" s="18" t="n">
        <v>-1478.29</v>
      </c>
      <c r="T73" s="18" t="n">
        <v>4052.92</v>
      </c>
      <c r="U73" s="37" t="n">
        <v>3230.1</v>
      </c>
      <c r="V73" s="18" t="n">
        <v>6583.97</v>
      </c>
      <c r="W73" s="18" t="n">
        <v>1577.08</v>
      </c>
      <c r="X73" s="18" t="n">
        <v>12715.58</v>
      </c>
      <c r="Y73" s="18" t="n">
        <v>514.25</v>
      </c>
      <c r="Z73" s="37" t="n">
        <v>21390.88</v>
      </c>
      <c r="AA73" s="18" t="n">
        <v>4448.02</v>
      </c>
      <c r="AB73" s="19" t="n">
        <v>5189.87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54.69</v>
      </c>
      <c r="F74" s="9" t="n"/>
      <c r="G74" s="18" t="n">
        <v>3752.4</v>
      </c>
      <c r="H74" s="18" t="n">
        <v>7742.31</v>
      </c>
      <c r="I74" s="18" t="n">
        <v>5520.6</v>
      </c>
      <c r="J74" s="18" t="n">
        <v>-2201.42</v>
      </c>
      <c r="K74" s="37" t="n">
        <v>14813.89</v>
      </c>
      <c r="L74" s="18" t="n">
        <v>5988.78</v>
      </c>
      <c r="M74" s="18" t="n">
        <v>6077.88</v>
      </c>
      <c r="N74" s="18" t="n">
        <v>3843.4</v>
      </c>
      <c r="O74" s="18" t="n">
        <v>1147.99</v>
      </c>
      <c r="P74" s="37" t="n">
        <v>17058.05</v>
      </c>
      <c r="Q74" s="18" t="n">
        <v>2758.02</v>
      </c>
      <c r="R74" s="18" t="n">
        <v>-2102.55</v>
      </c>
      <c r="S74" s="18" t="n">
        <v>-1478.29</v>
      </c>
      <c r="T74" s="18" t="n">
        <v>4052.92</v>
      </c>
      <c r="U74" s="37" t="n">
        <v>3230.1</v>
      </c>
      <c r="V74" s="18" t="n">
        <v>6583.97</v>
      </c>
      <c r="W74" s="18" t="n">
        <v>1577.08</v>
      </c>
      <c r="X74" s="18" t="n">
        <v>12715.58</v>
      </c>
      <c r="Y74" s="18" t="n">
        <v>514.25</v>
      </c>
      <c r="Z74" s="37" t="n">
        <v>21390.88</v>
      </c>
      <c r="AA74" s="18" t="n">
        <v>4448.02</v>
      </c>
      <c r="AB74" s="19" t="n">
        <v>5189.87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347.37</v>
      </c>
      <c r="F75" s="9" t="n"/>
      <c r="G75" s="18" t="n">
        <v>7046.91</v>
      </c>
      <c r="H75" s="18" t="n">
        <v>-3291.96</v>
      </c>
      <c r="I75" s="18" t="n">
        <v>-3605.76</v>
      </c>
      <c r="J75" s="18" t="n">
        <v>-1765.3</v>
      </c>
      <c r="K75" s="37" t="n">
        <v>-1616.11</v>
      </c>
      <c r="L75" s="18" t="n">
        <v>4054.26</v>
      </c>
      <c r="M75" s="18" t="n">
        <v>6347.17</v>
      </c>
      <c r="N75" s="18" t="n">
        <v>6363.41</v>
      </c>
      <c r="O75" s="18" t="n">
        <v>-1255.37</v>
      </c>
      <c r="P75" s="37" t="n">
        <v>15509.47</v>
      </c>
      <c r="Q75" s="18" t="n">
        <v>2823.49</v>
      </c>
      <c r="R75" s="18" t="n">
        <v>1379.96</v>
      </c>
      <c r="S75" s="18" t="n">
        <v>628.35</v>
      </c>
      <c r="T75" s="18" t="n">
        <v>9709.280000000001</v>
      </c>
      <c r="U75" s="37" t="n">
        <v>14541.08</v>
      </c>
      <c r="V75" s="18" t="n">
        <v>7661.98</v>
      </c>
      <c r="W75" s="18" t="n">
        <v>-5992.03</v>
      </c>
      <c r="X75" s="18" t="n">
        <v>5077.22</v>
      </c>
      <c r="Y75" s="18" t="n">
        <v>4244.67</v>
      </c>
      <c r="Z75" s="37" t="n">
        <v>10991.84</v>
      </c>
      <c r="AA75" s="18" t="n">
        <v>2306.99</v>
      </c>
      <c r="AB75" s="19" t="n">
        <v>-2979.06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-15.57</v>
      </c>
      <c r="F76" s="9" t="n"/>
      <c r="G76" s="18" t="n">
        <v>-1145.05</v>
      </c>
      <c r="H76" s="18" t="n">
        <v>-1254.38</v>
      </c>
      <c r="I76" s="18" t="n">
        <v>-552.79</v>
      </c>
      <c r="J76" s="18" t="n">
        <v>-559.02</v>
      </c>
      <c r="K76" s="37" t="n">
        <v>-3511.24</v>
      </c>
      <c r="L76" s="18" t="n">
        <v>247.09</v>
      </c>
      <c r="M76" s="18" t="n">
        <v>-1618.86</v>
      </c>
      <c r="N76" s="18" t="n">
        <v>-3156.9</v>
      </c>
      <c r="O76" s="18" t="n">
        <v>-1034.39</v>
      </c>
      <c r="P76" s="37" t="n">
        <v>-5563.06</v>
      </c>
      <c r="Q76" s="18" t="n">
        <v>-7.9</v>
      </c>
      <c r="R76" s="18" t="n">
        <v>-1286.22</v>
      </c>
      <c r="S76" s="18" t="n">
        <v>-778.14</v>
      </c>
      <c r="T76" s="18" t="n">
        <v>-577.09</v>
      </c>
      <c r="U76" s="37" t="n">
        <v>-2649.35</v>
      </c>
      <c r="V76" s="18" t="n">
        <v>0</v>
      </c>
      <c r="W76" s="18" t="n">
        <v>-74.41</v>
      </c>
      <c r="X76" s="18" t="n">
        <v>-358.09</v>
      </c>
      <c r="Y76" s="18" t="n">
        <v>0</v>
      </c>
      <c r="Z76" s="37" t="n">
        <v>-432.5</v>
      </c>
      <c r="AA76" s="18" t="n">
        <v>-1859.62</v>
      </c>
      <c r="AB76" s="19" t="n">
        <v>-2147.69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9113.129999999999</v>
      </c>
      <c r="F77" s="9" t="n"/>
      <c r="G77" s="18" t="n">
        <v>-16155.89</v>
      </c>
      <c r="H77" s="18" t="n">
        <v>-2307.72</v>
      </c>
      <c r="I77" s="18" t="n">
        <v>-9265.540000000001</v>
      </c>
      <c r="J77" s="18" t="n">
        <v>-10831</v>
      </c>
      <c r="K77" s="37" t="n">
        <v>-38560.15</v>
      </c>
      <c r="L77" s="18" t="n">
        <v>-10928.47</v>
      </c>
      <c r="M77" s="18" t="n">
        <v>1991.26</v>
      </c>
      <c r="N77" s="18" t="n">
        <v>-15033.26</v>
      </c>
      <c r="O77" s="18" t="n">
        <v>5986.77</v>
      </c>
      <c r="P77" s="37" t="n">
        <v>-17983.7</v>
      </c>
      <c r="Q77" s="18" t="n">
        <v>-7127.07</v>
      </c>
      <c r="R77" s="18" t="n">
        <v>-745.22</v>
      </c>
      <c r="S77" s="18" t="n">
        <v>4256.53</v>
      </c>
      <c r="T77" s="18" t="n">
        <v>-12371.66</v>
      </c>
      <c r="U77" s="37" t="n">
        <v>-15987.42</v>
      </c>
      <c r="V77" s="18" t="n">
        <v>6377.87</v>
      </c>
      <c r="W77" s="18" t="n">
        <v>15512.64</v>
      </c>
      <c r="X77" s="18" t="n">
        <v>4134.07</v>
      </c>
      <c r="Y77" s="18" t="n">
        <v>-3475.5</v>
      </c>
      <c r="Z77" s="37" t="n">
        <v>22549.08</v>
      </c>
      <c r="AA77" s="18" t="n">
        <v>-18775.57</v>
      </c>
      <c r="AB77" s="19" t="n">
        <v>-2297.72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유형자산의증가</t>
        </is>
      </c>
      <c r="E78" s="18" t="n">
        <v>5800.01</v>
      </c>
      <c r="F78" s="9" t="n"/>
      <c r="G78" s="18" t="n">
        <v>7814.11</v>
      </c>
      <c r="H78" s="18" t="n">
        <v>4763.39</v>
      </c>
      <c r="I78" s="18" t="n">
        <v>10140.48</v>
      </c>
      <c r="J78" s="18" t="n">
        <v>8914.18</v>
      </c>
      <c r="K78" s="37" t="n">
        <v>31632.16</v>
      </c>
      <c r="L78" s="18" t="n">
        <v>11485.57</v>
      </c>
      <c r="M78" s="18" t="n">
        <v>10044.14</v>
      </c>
      <c r="N78" s="18" t="n">
        <v>12165.21</v>
      </c>
      <c r="P78" s="9" t="n"/>
      <c r="Q78" s="18" t="n">
        <v>931.79</v>
      </c>
      <c r="R78" s="18" t="n">
        <v>394.3</v>
      </c>
      <c r="S78" s="18" t="n">
        <v>892.09</v>
      </c>
      <c r="T78" s="18" t="n">
        <v>1314.73</v>
      </c>
      <c r="U78" s="37" t="n">
        <v>3532.91</v>
      </c>
      <c r="V78" s="18" t="n">
        <v>4694.38</v>
      </c>
      <c r="W78" s="18" t="n">
        <v>731.52</v>
      </c>
      <c r="X78" s="18" t="n">
        <v>1687.57</v>
      </c>
      <c r="Y78" s="18" t="n">
        <v>7900.93</v>
      </c>
      <c r="Z78" s="37" t="n">
        <v>15014.4</v>
      </c>
      <c r="AA78" s="18" t="n">
        <v>4989.3</v>
      </c>
      <c r="AB78" s="19" t="n">
        <v>10761.27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CAPEX</t>
        </is>
      </c>
      <c r="E79" s="18" t="n">
        <v>5773.01</v>
      </c>
      <c r="F79" s="9" t="n"/>
      <c r="G79" s="18" t="n">
        <v>7814.11</v>
      </c>
      <c r="H79" s="18" t="n">
        <v>4769.97</v>
      </c>
      <c r="I79" s="18" t="n">
        <v>10140.48</v>
      </c>
      <c r="J79" s="18" t="n">
        <v>8914.68</v>
      </c>
      <c r="K79" s="37" t="n">
        <v>31639.24</v>
      </c>
      <c r="L79" s="18" t="n">
        <v>11485.57</v>
      </c>
      <c r="M79" s="18" t="n">
        <v>10652.84</v>
      </c>
      <c r="N79" s="18" t="n">
        <v>12159.93</v>
      </c>
      <c r="O79" s="18" t="n">
        <v>35.81</v>
      </c>
      <c r="P79" s="37" t="n">
        <v>34334.15</v>
      </c>
      <c r="Q79" s="18" t="n">
        <v>940.85</v>
      </c>
      <c r="R79" s="18" t="n">
        <v>411.68</v>
      </c>
      <c r="S79" s="18" t="n">
        <v>928.62</v>
      </c>
      <c r="T79" s="18" t="n">
        <v>1421.76</v>
      </c>
      <c r="U79" s="37" t="n">
        <v>3702.91</v>
      </c>
      <c r="V79" s="18" t="n">
        <v>4702.81</v>
      </c>
      <c r="W79" s="18" t="n">
        <v>774.62</v>
      </c>
      <c r="X79" s="18" t="n">
        <v>1702.71</v>
      </c>
      <c r="Y79" s="18" t="n">
        <v>7903.58</v>
      </c>
      <c r="Z79" s="37" t="n">
        <v>15083.72</v>
      </c>
      <c r="AA79" s="18" t="n">
        <v>4991.1</v>
      </c>
      <c r="AB79" s="19" t="n">
        <v>10759.47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무형자산의감소</t>
        </is>
      </c>
      <c r="E80" s="18" t="n">
        <v>0</v>
      </c>
      <c r="F80" s="9" t="n"/>
      <c r="G80" s="18" t="n">
        <v>0</v>
      </c>
      <c r="H80" s="18" t="n">
        <v>0</v>
      </c>
      <c r="I80" s="18" t="n">
        <v>0</v>
      </c>
      <c r="J80" s="18" t="n">
        <v>0</v>
      </c>
      <c r="K80" s="37" t="n">
        <v>0</v>
      </c>
      <c r="L80" s="18" t="n">
        <v>214.02</v>
      </c>
      <c r="M80" s="18" t="n">
        <v>13.25</v>
      </c>
      <c r="O80" s="18" t="n">
        <v>13.25</v>
      </c>
      <c r="P80" s="9" t="n"/>
      <c r="Q80" s="18" t="n">
        <v>0</v>
      </c>
      <c r="R80" s="18" t="n">
        <v>0</v>
      </c>
      <c r="S80" s="18" t="n">
        <v>0</v>
      </c>
      <c r="T80" s="18" t="n">
        <v>0</v>
      </c>
      <c r="U80" s="37" t="n">
        <v>0</v>
      </c>
      <c r="V80" s="18" t="n">
        <v>0</v>
      </c>
      <c r="W80" s="18" t="n">
        <v>0</v>
      </c>
      <c r="X80" s="18" t="n">
        <v>0</v>
      </c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재무활동으로인한현금흐름</t>
        </is>
      </c>
      <c r="E81" s="18" t="n">
        <v>77.36</v>
      </c>
      <c r="F81" s="9" t="n"/>
      <c r="G81" s="18" t="n">
        <v>3496.96</v>
      </c>
      <c r="H81" s="18" t="n">
        <v>6661.11</v>
      </c>
      <c r="I81" s="18" t="n">
        <v>10605.45</v>
      </c>
      <c r="J81" s="18" t="n">
        <v>1800.19</v>
      </c>
      <c r="K81" s="37" t="n">
        <v>22563.71</v>
      </c>
      <c r="L81" s="18" t="n">
        <v>9949.52</v>
      </c>
      <c r="M81" s="18" t="n">
        <v>-2501.76</v>
      </c>
      <c r="N81" s="18" t="n">
        <v>935.3099999999999</v>
      </c>
      <c r="O81" s="18" t="n">
        <v>-582.4</v>
      </c>
      <c r="P81" s="37" t="n">
        <v>7800.67</v>
      </c>
      <c r="Q81" s="18" t="n">
        <v>845.62</v>
      </c>
      <c r="R81" s="18" t="n">
        <v>-1751.88</v>
      </c>
      <c r="S81" s="18" t="n">
        <v>5116.01</v>
      </c>
      <c r="T81" s="18" t="n">
        <v>-9480.889999999999</v>
      </c>
      <c r="U81" s="37" t="n">
        <v>-5271.14</v>
      </c>
      <c r="V81" s="18" t="n">
        <v>-11956.57</v>
      </c>
      <c r="W81" s="18" t="n">
        <v>-2990.48</v>
      </c>
      <c r="X81" s="18" t="n">
        <v>-4667.56</v>
      </c>
      <c r="Y81" s="18" t="n">
        <v>12947.97</v>
      </c>
      <c r="Z81" s="37" t="n">
        <v>-6666.64</v>
      </c>
      <c r="AA81" s="18" t="n">
        <v>2487.34</v>
      </c>
      <c r="AB81" s="19" t="n">
        <v>-7674.14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단기차입금의증가</t>
        </is>
      </c>
      <c r="E82" s="18" t="n">
        <v>0</v>
      </c>
      <c r="F82" s="9" t="n"/>
      <c r="G82" s="18" t="n">
        <v>10780</v>
      </c>
      <c r="I82" s="18" t="n">
        <v>31280</v>
      </c>
      <c r="J82" s="18" t="n">
        <v>32900</v>
      </c>
      <c r="K82" s="9" t="n"/>
      <c r="L82" s="18" t="n">
        <v>28500</v>
      </c>
      <c r="N82" s="18" t="n">
        <v>89000</v>
      </c>
      <c r="O82" s="18" t="n">
        <v>48606.63</v>
      </c>
      <c r="P82" s="9" t="n"/>
      <c r="Q82" s="18" t="n">
        <v>45000</v>
      </c>
      <c r="R82" s="18" t="n">
        <v>47300</v>
      </c>
      <c r="S82" s="18" t="n">
        <v>41000</v>
      </c>
      <c r="U82" s="9" t="n"/>
      <c r="V82" s="18" t="n">
        <v>44000</v>
      </c>
      <c r="W82" s="18" t="n">
        <v>43800</v>
      </c>
      <c r="X82" s="18" t="n">
        <v>18500</v>
      </c>
      <c r="Y82" s="18" t="n">
        <v>36500</v>
      </c>
      <c r="Z82" s="37" t="n">
        <v>142800</v>
      </c>
      <c r="AA82" s="18" t="n">
        <v>16000</v>
      </c>
      <c r="AB82" s="19" t="n">
        <v>0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장기차입금의증가</t>
        </is>
      </c>
      <c r="E83" s="18" t="n">
        <v>0</v>
      </c>
      <c r="F83" s="9" t="n"/>
      <c r="G83" s="18" t="n">
        <v>0</v>
      </c>
      <c r="H83" s="18" t="n">
        <v>7887.6</v>
      </c>
      <c r="I83" s="18" t="n">
        <v>7624.26</v>
      </c>
      <c r="J83" s="18" t="n">
        <v>6080.06</v>
      </c>
      <c r="K83" s="37" t="n">
        <v>21591.92</v>
      </c>
      <c r="L83" s="18" t="n">
        <v>4958.82</v>
      </c>
      <c r="M83" s="18" t="n">
        <v>0</v>
      </c>
      <c r="N83" s="18" t="n">
        <v>0</v>
      </c>
      <c r="O83" s="18" t="n">
        <v>0</v>
      </c>
      <c r="P83" s="37" t="n">
        <v>4958.82</v>
      </c>
      <c r="Q83" s="18" t="n">
        <v>0</v>
      </c>
      <c r="R83" s="18" t="n">
        <v>1200</v>
      </c>
      <c r="T83" s="18" t="n">
        <v>0</v>
      </c>
      <c r="U83" s="9" t="n"/>
      <c r="V83" s="18" t="n">
        <v>0</v>
      </c>
      <c r="W83" s="18" t="n">
        <v>100</v>
      </c>
      <c r="X83" s="18" t="n">
        <v>517.6</v>
      </c>
      <c r="Y83" s="18" t="n">
        <v>3420</v>
      </c>
      <c r="Z83" s="37" t="n">
        <v>4037.6</v>
      </c>
      <c r="AA83" s="18" t="n">
        <v>2673</v>
      </c>
      <c r="AB83" s="19" t="n">
        <v>2300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배당금지급</t>
        </is>
      </c>
      <c r="E84" s="18" t="n">
        <v>0</v>
      </c>
      <c r="F84" s="9" t="n"/>
      <c r="G84" s="18" t="n">
        <v>0</v>
      </c>
      <c r="H84" s="18" t="n">
        <v>1221.98</v>
      </c>
      <c r="I84" s="18" t="n">
        <v>0</v>
      </c>
      <c r="J84" s="18" t="n">
        <v>0</v>
      </c>
      <c r="K84" s="37" t="n">
        <v>1221.98</v>
      </c>
      <c r="L84" s="18" t="n">
        <v>0</v>
      </c>
      <c r="M84" s="18" t="n">
        <v>1825.03</v>
      </c>
      <c r="N84" s="18" t="n">
        <v>0</v>
      </c>
      <c r="O84" s="18" t="n">
        <v>0</v>
      </c>
      <c r="P84" s="37" t="n">
        <v>1825.03</v>
      </c>
      <c r="Q84" s="18" t="n">
        <v>0</v>
      </c>
      <c r="R84" s="18" t="n">
        <v>2281.29</v>
      </c>
      <c r="S84" s="18" t="n">
        <v>0</v>
      </c>
      <c r="T84" s="18" t="n">
        <v>0</v>
      </c>
      <c r="U84" s="37" t="n">
        <v>2281.29</v>
      </c>
      <c r="V84" s="18" t="n">
        <v>0</v>
      </c>
      <c r="W84" s="18" t="n">
        <v>2281.29</v>
      </c>
      <c r="X84" s="18" t="n">
        <v>0</v>
      </c>
      <c r="Y84" s="18" t="n">
        <v>0</v>
      </c>
      <c r="Z84" s="37" t="n">
        <v>2281.29</v>
      </c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현금및현금성자산의증감</t>
        </is>
      </c>
      <c r="E85" s="18" t="n">
        <v>9523.360000000001</v>
      </c>
      <c r="F85" s="9" t="n"/>
      <c r="G85" s="18" t="n">
        <v>-5612.02</v>
      </c>
      <c r="H85" s="18" t="n">
        <v>1073.21</v>
      </c>
      <c r="I85" s="18" t="n">
        <v>-2277.63</v>
      </c>
      <c r="J85" s="18" t="n">
        <v>-10805.34</v>
      </c>
      <c r="K85" s="37" t="n">
        <v>-17621.78</v>
      </c>
      <c r="L85" s="18" t="n">
        <v>3103.87</v>
      </c>
      <c r="M85" s="18" t="n">
        <v>5762.74</v>
      </c>
      <c r="N85" s="18" t="n">
        <v>-7747.76</v>
      </c>
      <c r="O85" s="18" t="n">
        <v>4200.23</v>
      </c>
      <c r="P85" s="37" t="n">
        <v>5319.08</v>
      </c>
      <c r="Q85" s="18" t="n">
        <v>-3498.77</v>
      </c>
      <c r="R85" s="18" t="n">
        <v>-1125.85</v>
      </c>
      <c r="S85" s="18" t="n">
        <v>9842.02</v>
      </c>
      <c r="T85" s="18" t="n">
        <v>-11936.02</v>
      </c>
      <c r="U85" s="37" t="n">
        <v>-6718.62</v>
      </c>
      <c r="V85" s="18" t="n">
        <v>2136.74</v>
      </c>
      <c r="W85" s="18" t="n">
        <v>6407.3</v>
      </c>
      <c r="X85" s="18" t="n">
        <v>4749.81</v>
      </c>
      <c r="Y85" s="18" t="n">
        <v>13437.57</v>
      </c>
      <c r="Z85" s="37" t="n">
        <v>26731.42</v>
      </c>
      <c r="AA85" s="18" t="n">
        <v>-13453.7</v>
      </c>
      <c r="AB85" s="19" t="n">
        <v>-13475.08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기말현금및현금성자산</t>
        </is>
      </c>
      <c r="E86" s="18" t="n">
        <v>9516.780000000001</v>
      </c>
      <c r="F86" s="9" t="n"/>
      <c r="G86" s="18" t="n">
        <v>21778.47</v>
      </c>
      <c r="H86" s="18" t="n">
        <v>-6125.1</v>
      </c>
      <c r="I86" s="18" t="n">
        <v>-2277.63</v>
      </c>
      <c r="J86" s="18" t="n">
        <v>-10805.34</v>
      </c>
      <c r="K86" s="37" t="n">
        <v>2570.4</v>
      </c>
      <c r="L86" s="18" t="n">
        <v>5674.26</v>
      </c>
      <c r="M86" s="18" t="n">
        <v>5762.74</v>
      </c>
      <c r="N86" s="18" t="n">
        <v>-7747.75</v>
      </c>
      <c r="O86" s="18" t="n">
        <v>4200.23</v>
      </c>
      <c r="P86" s="37" t="n">
        <v>7889.48</v>
      </c>
      <c r="Q86" s="18" t="n">
        <v>4390.71</v>
      </c>
      <c r="R86" s="18" t="n">
        <v>-1125.85</v>
      </c>
      <c r="S86" s="18" t="n">
        <v>9842.02</v>
      </c>
      <c r="T86" s="18" t="n">
        <v>-11936.02</v>
      </c>
      <c r="U86" s="37" t="n">
        <v>1170.86</v>
      </c>
      <c r="V86" s="18" t="n">
        <v>3307.6</v>
      </c>
      <c r="W86" s="18" t="n">
        <v>6407.3</v>
      </c>
      <c r="X86" s="18" t="n">
        <v>4749.82</v>
      </c>
      <c r="Y86" s="18" t="n">
        <v>13437.57</v>
      </c>
      <c r="Z86" s="37" t="n">
        <v>27902.29</v>
      </c>
      <c r="AA86" s="18" t="n">
        <v>14448.59</v>
      </c>
      <c r="AB86" s="19" t="n">
        <v>-13475.08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유형자산의감소</t>
        </is>
      </c>
      <c r="F87" s="9" t="n"/>
      <c r="G87" s="18" t="n">
        <v>0</v>
      </c>
      <c r="H87" s="18" t="n">
        <v>21.82</v>
      </c>
      <c r="I87" s="18" t="n">
        <v>6.5</v>
      </c>
      <c r="J87" s="18" t="n">
        <v>0</v>
      </c>
      <c r="K87" s="37" t="n">
        <v>28.32</v>
      </c>
      <c r="L87" s="18" t="n">
        <v>3.64</v>
      </c>
      <c r="M87" s="18" t="n">
        <v>0</v>
      </c>
      <c r="N87" s="18" t="n">
        <v>0</v>
      </c>
      <c r="O87" s="18" t="n">
        <v>0</v>
      </c>
      <c r="P87" s="37" t="n">
        <v>3.64</v>
      </c>
      <c r="Q87" s="18" t="n">
        <v>0</v>
      </c>
      <c r="R87" s="18" t="n">
        <v>0</v>
      </c>
      <c r="S87" s="18" t="n">
        <v>0</v>
      </c>
      <c r="T87" s="18" t="n">
        <v>10.86</v>
      </c>
      <c r="U87" s="37" t="n">
        <v>10.86</v>
      </c>
      <c r="V87" s="18" t="n">
        <v>7.41</v>
      </c>
      <c r="W87" s="18" t="n">
        <v>2.72</v>
      </c>
      <c r="X87" s="18" t="n">
        <v>0</v>
      </c>
      <c r="Y87" s="18" t="n">
        <v>0</v>
      </c>
      <c r="Z87" s="37" t="n">
        <v>10.13</v>
      </c>
      <c r="AA87" s="18" t="n">
        <v>0</v>
      </c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무형자산의증가</t>
        </is>
      </c>
      <c r="F88" s="9" t="n"/>
      <c r="G88" s="18" t="n">
        <v>0</v>
      </c>
      <c r="H88" s="18" t="n">
        <v>6.58</v>
      </c>
      <c r="I88" s="18" t="n">
        <v>0</v>
      </c>
      <c r="J88" s="18" t="n">
        <v>0.5</v>
      </c>
      <c r="K88" s="37" t="n">
        <v>7.08</v>
      </c>
      <c r="L88" s="18" t="n">
        <v>0</v>
      </c>
      <c r="M88" s="18" t="n">
        <v>608.7</v>
      </c>
      <c r="O88" s="18" t="n">
        <v>35.81</v>
      </c>
      <c r="P88" s="9" t="n"/>
      <c r="Q88" s="18" t="n">
        <v>9.06</v>
      </c>
      <c r="R88" s="18" t="n">
        <v>17.38</v>
      </c>
      <c r="S88" s="18" t="n">
        <v>36.53</v>
      </c>
      <c r="T88" s="18" t="n">
        <v>107.03</v>
      </c>
      <c r="U88" s="37" t="n">
        <v>170</v>
      </c>
      <c r="V88" s="18" t="n">
        <v>8.43</v>
      </c>
      <c r="W88" s="18" t="n">
        <v>43.1</v>
      </c>
      <c r="X88" s="18" t="n">
        <v>15.14</v>
      </c>
      <c r="Y88" s="18" t="n">
        <v>2.65</v>
      </c>
      <c r="Z88" s="37" t="n">
        <v>69.31999999999999</v>
      </c>
      <c r="AA88" s="18" t="n">
        <v>1.8</v>
      </c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차입금의감소</t>
        </is>
      </c>
      <c r="F89" s="9" t="n"/>
      <c r="G89" s="18" t="n">
        <v>10780</v>
      </c>
      <c r="K89" s="9" t="n"/>
      <c r="O89" s="18" t="n">
        <v>166.66</v>
      </c>
      <c r="P89" s="9" t="n"/>
      <c r="Q89" s="18" t="n">
        <v>2166.66</v>
      </c>
      <c r="R89" s="18" t="n">
        <v>166.66</v>
      </c>
      <c r="S89" s="18" t="n">
        <v>3966.66</v>
      </c>
      <c r="T89" s="18" t="n">
        <v>166.66</v>
      </c>
      <c r="U89" s="37" t="n">
        <v>6466.64</v>
      </c>
      <c r="V89" s="18" t="n">
        <v>20166.66</v>
      </c>
      <c r="W89" s="18" t="n">
        <v>15166.66</v>
      </c>
      <c r="X89" s="18" t="n">
        <v>166.66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장기차입금의감소</t>
        </is>
      </c>
      <c r="F90" s="9" t="n"/>
      <c r="G90" s="18" t="n">
        <v>0</v>
      </c>
      <c r="H90" s="18" t="n">
        <v>0</v>
      </c>
      <c r="I90" s="18" t="n">
        <v>0</v>
      </c>
      <c r="J90" s="18" t="n">
        <v>1500.06</v>
      </c>
      <c r="K90" s="37" t="n">
        <v>1500.06</v>
      </c>
      <c r="L90" s="18" t="n">
        <v>0</v>
      </c>
      <c r="M90" s="18" t="n">
        <v>0</v>
      </c>
      <c r="N90" s="18" t="n">
        <v>0</v>
      </c>
      <c r="O90" s="18" t="n">
        <v>0</v>
      </c>
      <c r="P90" s="37" t="n">
        <v>0</v>
      </c>
      <c r="Q90" s="18" t="n">
        <v>3770.68</v>
      </c>
      <c r="R90" s="18" t="n">
        <v>0</v>
      </c>
      <c r="S90" s="18" t="n">
        <v>0</v>
      </c>
      <c r="T90" s="18" t="n">
        <v>0</v>
      </c>
      <c r="U90" s="37" t="n">
        <v>3770.68</v>
      </c>
      <c r="V90" s="18" t="n">
        <v>0</v>
      </c>
      <c r="W90" s="18" t="n">
        <v>0</v>
      </c>
      <c r="X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단기차입금의감소</t>
        </is>
      </c>
      <c r="F91" s="9" t="n"/>
      <c r="I91" s="18" t="n">
        <v>26280</v>
      </c>
      <c r="J91" s="18" t="n">
        <v>30900</v>
      </c>
      <c r="K91" s="9" t="n"/>
      <c r="L91" s="18" t="n">
        <v>23500</v>
      </c>
      <c r="N91" s="18" t="n">
        <v>87500</v>
      </c>
      <c r="O91" s="18" t="n">
        <v>48400</v>
      </c>
      <c r="P91" s="9" t="n"/>
      <c r="Q91" s="18" t="n">
        <v>38206.63</v>
      </c>
      <c r="R91" s="18" t="n">
        <v>47793.37</v>
      </c>
      <c r="S91" s="18" t="n">
        <v>29706.63</v>
      </c>
      <c r="U91" s="9" t="n"/>
      <c r="V91" s="18" t="n">
        <v>34000</v>
      </c>
      <c r="W91" s="18" t="n">
        <v>29200</v>
      </c>
      <c r="X91" s="18" t="n">
        <v>23500</v>
      </c>
      <c r="Y91" s="18" t="n">
        <v>29500</v>
      </c>
      <c r="Z91" s="37" t="n">
        <v>116200</v>
      </c>
      <c r="AA91" s="18" t="n">
        <v>16000</v>
      </c>
      <c r="AB91" s="19" t="n">
        <v>4000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유동성장기부채의감소</t>
        </is>
      </c>
      <c r="F92" s="9" t="n"/>
      <c r="I92" s="18" t="n">
        <v>2000</v>
      </c>
      <c r="K92" s="9" t="n"/>
      <c r="P92" s="9" t="n"/>
      <c r="U92" s="9" t="n"/>
      <c r="Z92" s="9" t="n"/>
      <c r="AA92" s="18" t="n">
        <v>166.66</v>
      </c>
      <c r="AB92" s="19" t="n">
        <v>0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이자수취(CF)</t>
        </is>
      </c>
      <c r="F93" s="9" t="n"/>
      <c r="K93" s="9" t="n"/>
      <c r="O93" s="18" t="n">
        <v>49.22</v>
      </c>
      <c r="P93" s="9" t="n"/>
      <c r="Q93" s="18" t="n">
        <v>27.63</v>
      </c>
      <c r="R93" s="18" t="n">
        <v>98.67</v>
      </c>
      <c r="S93" s="18" t="n">
        <v>138.9</v>
      </c>
      <c r="T93" s="18" t="n">
        <v>20.2</v>
      </c>
      <c r="U93" s="37" t="n">
        <v>285.4</v>
      </c>
      <c r="V93" s="18" t="n">
        <v>146.8</v>
      </c>
      <c r="W93" s="18" t="n">
        <v>93.63</v>
      </c>
      <c r="X93" s="18" t="n">
        <v>149.82</v>
      </c>
      <c r="Y93" s="18" t="n">
        <v>239.52</v>
      </c>
      <c r="Z93" s="37" t="n">
        <v>629.77</v>
      </c>
      <c r="AA93" s="18" t="n">
        <v>266.44</v>
      </c>
      <c r="AB93" s="19" t="n">
        <v>182.65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리스부채의상환</t>
        </is>
      </c>
      <c r="F94" s="9" t="n"/>
      <c r="K94" s="9" t="n"/>
      <c r="P94" s="9" t="n"/>
      <c r="U94" s="9" t="n"/>
      <c r="Z94" s="9" t="n"/>
      <c r="AA94" s="18" t="n">
        <v>19</v>
      </c>
      <c r="AB94" s="19" t="n">
        <v>18.61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자기주식의취득</t>
        </is>
      </c>
      <c r="F95" s="9" t="n"/>
      <c r="K95" s="9" t="n"/>
      <c r="P95" s="9" t="n"/>
      <c r="U95" s="9" t="n"/>
      <c r="Z95" s="9" t="n"/>
      <c r="AA95" s="18" t="n">
        <v>0</v>
      </c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SUM(Q5:T5)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>
        <f>IFERROR(VLOOKUP($D12,BS연결,MATCH(Q$1,BS연결H,0),0)/100,"")</f>
        <v/>
      </c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 t="n"/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SUM(G16:J16)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SUM(L20:O20)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 t="n"/>
      <c r="T29" s="18">
        <f>IFERROR(VLOOKUP($D29,BS연결,MATCH(T$1,BS연결H,0),0)/100,"")</f>
        <v/>
      </c>
      <c r="U29" s="37">
        <f>SUM(Q29:T29)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IFERROR(X29*(1+변수!AC37),"")</f>
        <v/>
      </c>
      <c r="AD29" s="20">
        <f>IFERROR(Y29*(1+변수!AD37),"")</f>
        <v/>
      </c>
      <c r="AE29" s="38">
        <f>SUM(AA29:AD29)</f>
        <v/>
      </c>
      <c r="AF29" s="20">
        <f>IFERROR(AA29*(1+변수!AF37),"")</f>
        <v/>
      </c>
      <c r="AG29" s="20">
        <f>IFERROR(AB29*(1+변수!AG37),"")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8.147</v>
      </c>
      <c r="F31" s="28">
        <f>E31</f>
        <v/>
      </c>
      <c r="G31" s="27" t="n">
        <v>8.147</v>
      </c>
      <c r="H31" s="27" t="n">
        <v>8.147</v>
      </c>
      <c r="I31" s="27" t="n">
        <v>8.590999999999999</v>
      </c>
      <c r="J31" s="27" t="n">
        <v>9.125</v>
      </c>
      <c r="K31" s="28">
        <f>J31</f>
        <v/>
      </c>
      <c r="L31" s="27" t="n">
        <v>9.125</v>
      </c>
      <c r="M31" s="27" t="n">
        <v>9.125</v>
      </c>
      <c r="N31" s="27" t="n">
        <v>9.125</v>
      </c>
      <c r="O31" s="27" t="n">
        <v>9.125</v>
      </c>
      <c r="P31" s="28">
        <f>O31</f>
        <v/>
      </c>
      <c r="Q31" s="27" t="n">
        <v>9.125</v>
      </c>
      <c r="R31" s="27" t="n">
        <v>9.125</v>
      </c>
      <c r="S31" s="27" t="n">
        <v>9.125</v>
      </c>
      <c r="T31" s="27" t="n">
        <v>9.125</v>
      </c>
      <c r="U31" s="28">
        <f>T31</f>
        <v/>
      </c>
      <c r="V31" s="27" t="n">
        <v>8.93</v>
      </c>
      <c r="W31" s="27" t="n">
        <v>8.904</v>
      </c>
      <c r="X31" s="27" t="n">
        <v>9.704000000000001</v>
      </c>
      <c r="Y31" s="27" t="n">
        <v>9.926</v>
      </c>
      <c r="Z31" s="28">
        <f>Y31</f>
        <v/>
      </c>
      <c r="AA31" s="27" t="n">
        <v>9.926</v>
      </c>
      <c r="AB31" s="29" t="n">
        <v>9.926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150</v>
      </c>
      <c r="F34" s="37" t="n">
        <v>150</v>
      </c>
      <c r="G34" s="18" t="n"/>
      <c r="H34" s="18" t="n"/>
      <c r="I34" s="18" t="n"/>
      <c r="J34" s="18" t="n">
        <v>200</v>
      </c>
      <c r="K34" s="37">
        <f>SUM(G34:J34)</f>
        <v/>
      </c>
      <c r="L34" s="18" t="n"/>
      <c r="M34" s="18" t="n"/>
      <c r="N34" s="18" t="n"/>
      <c r="O34" s="18" t="n">
        <v>250</v>
      </c>
      <c r="P34" s="37">
        <f>SUM(L34:O34)</f>
        <v/>
      </c>
      <c r="Q34" s="18" t="n"/>
      <c r="R34" s="18" t="n"/>
      <c r="S34" s="18" t="n"/>
      <c r="T34" s="18" t="n">
        <v>250</v>
      </c>
      <c r="U34" s="37">
        <f>SUM(Q34:T34)</f>
        <v/>
      </c>
      <c r="V34" s="18" t="n"/>
      <c r="W34" s="18" t="n"/>
      <c r="X34" s="18" t="n"/>
      <c r="Y34" s="18" t="n">
        <v>600</v>
      </c>
      <c r="Z34" s="37">
        <f>SUM(V34:Y34)</f>
        <v/>
      </c>
      <c r="AA34" s="18" t="n"/>
      <c r="AB34" s="19" t="n"/>
      <c r="AC34" s="20" t="n"/>
      <c r="AD34" s="20">
        <f>변수!AD40</f>
        <v/>
      </c>
      <c r="AE34" s="38">
        <f>SUM(AA34:AD34)</f>
        <v/>
      </c>
      <c r="AF34" s="20" t="n"/>
      <c r="AG34" s="20" t="n"/>
      <c r="AH34" s="20" t="n"/>
      <c r="AI34" s="20">
        <f>변수!AI40</f>
        <v/>
      </c>
      <c r="AJ34" s="38">
        <f>SUM(AF34:AI34)</f>
        <v/>
      </c>
      <c r="AK34" s="20" t="n"/>
      <c r="AL34" s="20" t="n"/>
      <c r="AM34" s="20" t="n"/>
      <c r="AN34" s="20">
        <f>변수!AN40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IFERROR(변수!$D$43/(Y32+AA32+AB32+AC32),"")</f>
        <v/>
      </c>
      <c r="AD35" s="39">
        <f>IFERROR(변수!$D$43/(AA32+AB32+AC32+AD32),"")</f>
        <v/>
      </c>
      <c r="AE35" s="40">
        <f>AD35</f>
        <v/>
      </c>
      <c r="AF35" s="39">
        <f>IFERROR(변수!$D$43/(AB32+AC32+AD32+AF32),"")</f>
        <v/>
      </c>
      <c r="AG35" s="39">
        <f>IFERROR(변수!$D$43/(AC32+AD32+AF32+AG32),"")</f>
        <v/>
      </c>
      <c r="AH35" s="39">
        <f>IFERROR(변수!$D$43/(AD32+AF32+AG32+AH32),"")</f>
        <v/>
      </c>
      <c r="AI35" s="39">
        <f>IFERROR(변수!$D$43/(AF32+AG32+AH32+AI32),"")</f>
        <v/>
      </c>
      <c r="AJ35" s="40">
        <f>AI35</f>
        <v/>
      </c>
      <c r="AK35" s="39">
        <f>IFERROR(변수!$D$43/(AG32+AH32+AI32+AK32),"")</f>
        <v/>
      </c>
      <c r="AL35" s="39">
        <f>IFERROR(변수!$D$43/(AH32+AI32+AK32+AL32),"")</f>
        <v/>
      </c>
      <c r="AM35" s="39">
        <f>IFERROR(변수!$D$43/(AI32+AK32+AL32+AM32),"")</f>
        <v/>
      </c>
      <c r="AN35" s="39">
        <f>IFERROR(변수!$D$43/(AK32+AL32+AM32+AN32),"")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IFERROR(변수!$D$43/AC33,"")</f>
        <v/>
      </c>
      <c r="AD36" s="39">
        <f>IFERROR(변수!$D$43/AD33,"")</f>
        <v/>
      </c>
      <c r="AE36" s="40">
        <f>AD36</f>
        <v/>
      </c>
      <c r="AF36" s="39">
        <f>IFERROR(변수!$D$43/AF33,"")</f>
        <v/>
      </c>
      <c r="AG36" s="39">
        <f>IFERROR(변수!$D$43/AG33,"")</f>
        <v/>
      </c>
      <c r="AH36" s="39">
        <f>IFERROR(변수!$D$43/AH33,"")</f>
        <v/>
      </c>
      <c r="AI36" s="39">
        <f>IFERROR(변수!$D$43/AI33,"")</f>
        <v/>
      </c>
      <c r="AJ36" s="40">
        <f>AI36</f>
        <v/>
      </c>
      <c r="AK36" s="39">
        <f>IFERROR(변수!$D$43/AK33,"")</f>
        <v/>
      </c>
      <c r="AL36" s="39">
        <f>IFERROR(변수!$D$43/AL33,"")</f>
        <v/>
      </c>
      <c r="AM36" s="39">
        <f>IFERROR(변수!$D$43/AM33,"")</f>
        <v/>
      </c>
      <c r="AN36" s="39">
        <f>IFERROR(변수!$D$43/AN33,"")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309.88</v>
      </c>
      <c r="F37" s="37" t="n"/>
      <c r="G37" s="18" t="n">
        <v>250.53</v>
      </c>
      <c r="H37" s="18" t="n">
        <v>384.4</v>
      </c>
      <c r="I37" s="18" t="n">
        <v>375.62</v>
      </c>
      <c r="J37" s="18" t="n">
        <v>410.34</v>
      </c>
      <c r="K37" s="37">
        <f>SUM(G37:J37)</f>
        <v/>
      </c>
      <c r="L37" s="18" t="n">
        <v>384.78</v>
      </c>
      <c r="M37" s="18" t="n">
        <v>434.25</v>
      </c>
      <c r="N37" s="18" t="n">
        <v>277.62</v>
      </c>
      <c r="O37" s="18" t="n">
        <v>399.41</v>
      </c>
      <c r="P37" s="37">
        <f>SUM(L37:O37)</f>
        <v/>
      </c>
      <c r="Q37" s="18" t="n">
        <v>312.85</v>
      </c>
      <c r="R37" s="18" t="n">
        <v>325.66</v>
      </c>
      <c r="S37" s="18" t="n">
        <v>326.55</v>
      </c>
      <c r="T37" s="18" t="n">
        <v>363.02</v>
      </c>
      <c r="U37" s="37">
        <f>SUM(Q37:T37)</f>
        <v/>
      </c>
      <c r="V37" s="18" t="n">
        <v>365.98</v>
      </c>
      <c r="W37" s="18" t="n">
        <v>392.69</v>
      </c>
      <c r="X37" s="18" t="n">
        <v>374.64</v>
      </c>
      <c r="Y37" s="18" t="n">
        <v>336.61</v>
      </c>
      <c r="Z37" s="37">
        <f>SUM(V37:Y37)</f>
        <v/>
      </c>
      <c r="AA37" s="18" t="n">
        <v>355.69</v>
      </c>
      <c r="AB37" s="19" t="n">
        <v>486.47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16.96</v>
      </c>
      <c r="F38" s="37" t="n"/>
      <c r="G38" s="18" t="n">
        <v>40.81</v>
      </c>
      <c r="H38" s="18" t="n">
        <v>86.93000000000001</v>
      </c>
      <c r="I38" s="18" t="n">
        <v>71.36</v>
      </c>
      <c r="J38" s="18" t="n">
        <v>30.93</v>
      </c>
      <c r="K38" s="37">
        <f>SUM(G38:J38)</f>
        <v/>
      </c>
      <c r="L38" s="18" t="n">
        <v>66.56</v>
      </c>
      <c r="M38" s="18" t="n">
        <v>82.7</v>
      </c>
      <c r="N38" s="18" t="n">
        <v>14.8</v>
      </c>
      <c r="O38" s="18" t="n">
        <v>10.26</v>
      </c>
      <c r="P38" s="37">
        <f>SUM(L38:O38)</f>
        <v/>
      </c>
      <c r="Q38" s="18" t="n">
        <v>27.62</v>
      </c>
      <c r="R38" s="18" t="n">
        <v>13.84</v>
      </c>
      <c r="S38" s="18" t="n">
        <v>-0.07000000000000001</v>
      </c>
      <c r="T38" s="18" t="n">
        <v>23.26</v>
      </c>
      <c r="U38" s="37">
        <f>SUM(Q38:T38)</f>
        <v/>
      </c>
      <c r="V38" s="18" t="n">
        <v>27.77</v>
      </c>
      <c r="W38" s="18" t="n">
        <v>34.17</v>
      </c>
      <c r="X38" s="18" t="n">
        <v>58.13</v>
      </c>
      <c r="Y38" s="18" t="n">
        <v>33.07</v>
      </c>
      <c r="Z38" s="37">
        <f>SUM(V38:Y38)</f>
        <v/>
      </c>
      <c r="AA38" s="18" t="n">
        <v>17.72</v>
      </c>
      <c r="AB38" s="19" t="n">
        <v>62.96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IFERROR(E20/E5,"")</f>
        <v/>
      </c>
      <c r="F40" s="22">
        <f>IFERROR(F20/F5,"")</f>
        <v/>
      </c>
      <c r="G40" s="21">
        <f>IFERROR(G20/G5,"")</f>
        <v/>
      </c>
      <c r="H40" s="21">
        <f>IFERROR(H20/H5,"")</f>
        <v/>
      </c>
      <c r="I40" s="21">
        <f>IFERROR(I20/I5,"")</f>
        <v/>
      </c>
      <c r="J40" s="21">
        <f>IFERROR(J20/J5,"")</f>
        <v/>
      </c>
      <c r="K40" s="22">
        <f>IFERROR(K20/K5,"")</f>
        <v/>
      </c>
      <c r="L40" s="21">
        <f>IFERROR(L20/L5,"")</f>
        <v/>
      </c>
      <c r="M40" s="21">
        <f>IFERROR(M20/M5,"")</f>
        <v/>
      </c>
      <c r="N40" s="21">
        <f>IFERROR(N20/N5,"")</f>
        <v/>
      </c>
      <c r="O40" s="21">
        <f>IFERROR(O20/O5,"")</f>
        <v/>
      </c>
      <c r="P40" s="22">
        <f>IFERROR(P20/P5,"")</f>
        <v/>
      </c>
      <c r="Q40" s="21">
        <f>IFERROR(Q20/Q5,"")</f>
        <v/>
      </c>
      <c r="R40" s="21">
        <f>IFERROR(R20/R5,"")</f>
        <v/>
      </c>
      <c r="S40" s="21">
        <f>IFERROR(S20/S5,"")</f>
        <v/>
      </c>
      <c r="T40" s="21">
        <f>IFERROR(T20/T5,"")</f>
        <v/>
      </c>
      <c r="U40" s="22">
        <f>IFERROR(U20/U5,"")</f>
        <v/>
      </c>
      <c r="V40" s="21">
        <f>IFERROR(V20/V5,"")</f>
        <v/>
      </c>
      <c r="W40" s="21">
        <f>IFERROR(W20/W5,"")</f>
        <v/>
      </c>
      <c r="X40" s="21">
        <f>IFERROR(X20/X5,"")</f>
        <v/>
      </c>
      <c r="Y40" s="21">
        <f>IFERROR(Y20/Y5,"")</f>
        <v/>
      </c>
      <c r="Z40" s="22">
        <f>IFERROR(Z20/Z5,"")</f>
        <v/>
      </c>
      <c r="AA40" s="21">
        <f>IFERROR(AA20/AA5,"")</f>
        <v/>
      </c>
      <c r="AB40" s="23">
        <f>IFERROR(AB20/AB5,"")</f>
        <v/>
      </c>
      <c r="AC40" s="32">
        <f>IFERROR(AC20/AC5,"")</f>
        <v/>
      </c>
      <c r="AD40" s="32">
        <f>IFERROR(AD20/AD5,"")</f>
        <v/>
      </c>
      <c r="AE40" s="25">
        <f>IFERROR(AE20/AE5,"")</f>
        <v/>
      </c>
      <c r="AF40" s="32">
        <f>IFERROR(AF20/AF5,"")</f>
        <v/>
      </c>
      <c r="AG40" s="32">
        <f>IFERROR(AG20/AG5,"")</f>
        <v/>
      </c>
      <c r="AH40" s="32">
        <f>IFERROR(AH20/AH5,"")</f>
        <v/>
      </c>
      <c r="AI40" s="32">
        <f>IFERROR(AI20/AI5,"")</f>
        <v/>
      </c>
      <c r="AJ40" s="25">
        <f>IFERROR(AJ20/AJ5,"")</f>
        <v/>
      </c>
      <c r="AK40" s="32">
        <f>IFERROR(AK20/AK5,"")</f>
        <v/>
      </c>
      <c r="AL40" s="32">
        <f>IFERROR(AL20/AL5,"")</f>
        <v/>
      </c>
      <c r="AM40" s="32">
        <f>IFERROR(AM20/AM5,"")</f>
        <v/>
      </c>
      <c r="AN40" s="32">
        <f>IFERROR(AN20/AN5,"")</f>
        <v/>
      </c>
      <c r="AO40" s="25">
        <f>IFERROR(AO20/AO5,"")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IFERROR(I20/E20-1,"")</f>
        <v/>
      </c>
      <c r="J42" s="21">
        <f>IFERROR(J20/F20-1,"")</f>
        <v/>
      </c>
      <c r="K42" s="21">
        <f>IFERROR(K20/G20-1,"")</f>
        <v/>
      </c>
      <c r="L42" s="21">
        <f>IFERROR(L20/H20-1,"")</f>
        <v/>
      </c>
      <c r="M42" s="21">
        <f>IFERROR(M20/I20-1,"")</f>
        <v/>
      </c>
      <c r="N42" s="21">
        <f>IFERROR(N20/J20-1,"")</f>
        <v/>
      </c>
      <c r="O42" s="21">
        <f>IFERROR(O20/K20-1,"")</f>
        <v/>
      </c>
      <c r="P42" s="21">
        <f>IFERROR(P20/L20-1,"")</f>
        <v/>
      </c>
      <c r="Q42" s="21">
        <f>IFERROR(Q20/M20-1,"")</f>
        <v/>
      </c>
      <c r="R42" s="21">
        <f>IFERROR(R20/N20-1,"")</f>
        <v/>
      </c>
      <c r="S42" s="21">
        <f>IFERROR(S20/O20-1,"")</f>
        <v/>
      </c>
      <c r="T42" s="21">
        <f>IFERROR(T20/P20-1,"")</f>
        <v/>
      </c>
      <c r="U42" s="21">
        <f>IFERROR(U20/Q20-1,"")</f>
        <v/>
      </c>
      <c r="V42" s="21">
        <f>IFERROR(V20/R20-1,"")</f>
        <v/>
      </c>
      <c r="W42" s="46">
        <f>IFERROR(W20/S20-1,"")</f>
        <v/>
      </c>
      <c r="X42" s="32">
        <f>IFERROR(X20/T20-1,"")</f>
        <v/>
      </c>
      <c r="Y42" s="32">
        <f>IFERROR(Y20/U20-1,"")</f>
        <v/>
      </c>
      <c r="Z42" s="32">
        <f>IFERROR(Z20/V20-1,"")</f>
        <v/>
      </c>
      <c r="AA42" s="32">
        <f>IFERROR(AA20/W20-1,"")</f>
        <v/>
      </c>
      <c r="AB42" s="32">
        <f>IFERROR(AB20/X20-1,"")</f>
        <v/>
      </c>
      <c r="AC42" s="32">
        <f>IFERROR(AC20/Y20-1,"")</f>
        <v/>
      </c>
      <c r="AD42" s="32">
        <f>IFERROR(AD20/Z20-1,"")</f>
        <v/>
      </c>
      <c r="AE42" s="32">
        <f>IFERROR(AE20/AA20-1,"")</f>
        <v/>
      </c>
      <c r="AF42" s="32">
        <f>IFERROR(AF20/AB20-1,"")</f>
        <v/>
      </c>
      <c r="AG42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IFERROR(F20/E20-1,"")</f>
        <v/>
      </c>
      <c r="G42" s="21">
        <f>IFERROR(G20/F20-1,"")</f>
        <v/>
      </c>
      <c r="H42" s="21">
        <f>IFERROR(H20/G20-1,"")</f>
        <v/>
      </c>
      <c r="I42" s="46">
        <f>IFERROR(I20/H20-1,"")</f>
        <v/>
      </c>
      <c r="J42" s="32">
        <f>IFERROR(J20/I20-1,"")</f>
        <v/>
      </c>
      <c r="K42" s="32">
        <f>IFERROR(K20/J20-1,"")</f>
        <v/>
      </c>
      <c r="L42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1174.4</v>
      </c>
    </row>
    <row r="30">
      <c r="C30" s="2" t="inlineStr">
        <is>
          <t>bps_latest</t>
        </is>
      </c>
      <c r="D30" t="n">
        <v>15316.1</v>
      </c>
    </row>
    <row r="31">
      <c r="C31" s="2" t="inlineStr">
        <is>
          <t>per_now</t>
        </is>
      </c>
      <c r="D31" t="n">
        <v>14.75</v>
      </c>
    </row>
    <row r="32">
      <c r="C32" s="2" t="inlineStr">
        <is>
          <t>pbr_now</t>
        </is>
      </c>
      <c r="D32" t="n">
        <v>1.13</v>
      </c>
    </row>
    <row r="33">
      <c r="C33" s="2" t="inlineStr">
        <is>
          <t>roe_fwd</t>
        </is>
      </c>
      <c r="D33" t="n">
        <v>0.0767</v>
      </c>
    </row>
    <row r="34">
      <c r="C34" s="2" t="inlineStr">
        <is>
          <t>fair_pbr</t>
        </is>
      </c>
      <c r="D34" t="n">
        <v>0.85</v>
      </c>
    </row>
    <row r="35">
      <c r="C35" s="2" t="inlineStr">
        <is>
          <t>fair_value_pbr</t>
        </is>
      </c>
      <c r="D35" t="n">
        <v>13000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