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(1+7.3%) — g=최근 4분기 합 YoY 7.3% 클립(−30~+50%), 연차별 절반 감쇠(가정)</t>
      </text>
    </comment>
    <comment ref="AD21" authorId="0" shapeId="0">
      <text>
        <t>모델값 역산(implied): v / 전년동기 − 1
전년동기 × (1+7.3%) — g=최근 4분기 합 YoY 7.3% 클립(−30~+50%), 연차별 절반 감쇠(가정)</t>
      </text>
    </comment>
    <comment ref="AF21" authorId="0" shapeId="0">
      <text>
        <t>모델값 역산(implied): v / 전년동기 − 1
전년동기 × (1+7.3%) — g=최근 4분기 합 YoY 7.3% 클립(−30~+50%), 연차별 절반 감쇠(가정)</t>
      </text>
    </comment>
    <comment ref="AG21" authorId="0" shapeId="0">
      <text>
        <t>모델값 역산(implied): v / 전년동기 − 1
전년동기 × (1+7.3%) — g=최근 4분기 합 YoY 7.3% 클립(−30~+50%), 연차별 절반 감쇠(가정)</t>
      </text>
    </comment>
    <comment ref="AH21" authorId="0" shapeId="0">
      <text>
        <t>모델값 역산(implied): v / 전년동기 − 1
전년동기 × (1+3.6%) — g=최근 4분기 합 YoY 7.3% 클립(−30~+50%), 연차별 절반 감쇠(가정)</t>
      </text>
    </comment>
    <comment ref="AI21" authorId="0" shapeId="0">
      <text>
        <t>모델값 역산(implied): v / 전년동기 − 1
전년동기 × (1+3.6%) — g=최근 4분기 합 YoY 7.3% 클립(−30~+50%), 연차별 절반 감쇠(가정)</t>
      </text>
    </comment>
    <comment ref="AK21" authorId="0" shapeId="0">
      <text>
        <t>모델값 역산(implied): v / 전년동기 − 1
전년동기 × (1+3.6%) — g=최근 4분기 합 YoY 7.3% 클립(−30~+50%), 연차별 절반 감쇠(가정)</t>
      </text>
    </comment>
    <comment ref="AL21" authorId="0" shapeId="0">
      <text>
        <t>모델값 역산(implied): v / 전년동기 − 1
전년동기 × (1+3.6%) — g=최근 4분기 합 YoY 7.3% 클립(−30~+50%), 연차별 절반 감쇠(가정)</t>
      </text>
    </comment>
    <comment ref="AM21" authorId="0" shapeId="0">
      <text>
        <t>모델값 역산(implied): v / 전년동기 − 1
전년동기 × (1+1.8%) — g=최근 4분기 합 YoY 7.3% 클립(−30~+50%), 연차별 절반 감쇠(가정)</t>
      </text>
    </comment>
    <comment ref="AN21" authorId="0" shapeId="0">
      <text>
        <t>모델값 역산(implied): v / 전년동기 − 1
전년동기 × (1+1.8%) — g=최근 4분기 합 YoY 7.3% 클립(−30~+50%), 연차별 절반 감쇠(가정)</t>
      </text>
    </comment>
    <comment ref="AC22" authorId="0" shapeId="0">
      <text>
        <t>3절 스칼라 '판관비율' 참조 — 숫자로 덮어쓰면 이 분기만 바뀐다
매출액 × 판관비율 14.42%(최근 4분기 중위)</t>
      </text>
    </comment>
    <comment ref="AD22" authorId="0" shapeId="0">
      <text>
        <t>3절 스칼라 '판관비율' 참조 — 숫자로 덮어쓰면 이 분기만 바뀐다
매출액 × 판관비율 14.42%(최근 4분기 중위)</t>
      </text>
    </comment>
    <comment ref="AF22" authorId="0" shapeId="0">
      <text>
        <t>3절 스칼라 '판관비율' 참조 — 숫자로 덮어쓰면 이 분기만 바뀐다
매출액 × 판관비율 14.42%(최근 4분기 중위)</t>
      </text>
    </comment>
    <comment ref="AG22" authorId="0" shapeId="0">
      <text>
        <t>3절 스칼라 '판관비율' 참조 — 숫자로 덮어쓰면 이 분기만 바뀐다
매출액 × 판관비율 14.42%(최근 4분기 중위)</t>
      </text>
    </comment>
    <comment ref="AH22" authorId="0" shapeId="0">
      <text>
        <t>3절 스칼라 '판관비율' 참조 — 숫자로 덮어쓰면 이 분기만 바뀐다
매출액 × 판관비율 14.42%(최근 4분기 중위)</t>
      </text>
    </comment>
    <comment ref="AI22" authorId="0" shapeId="0">
      <text>
        <t>3절 스칼라 '판관비율' 참조 — 숫자로 덮어쓰면 이 분기만 바뀐다
매출액 × 판관비율 14.42%(최근 4분기 중위)</t>
      </text>
    </comment>
    <comment ref="AK22" authorId="0" shapeId="0">
      <text>
        <t>3절 스칼라 '판관비율' 참조 — 숫자로 덮어쓰면 이 분기만 바뀐다
매출액 × 판관비율 14.42%(최근 4분기 중위)</t>
      </text>
    </comment>
    <comment ref="AL22" authorId="0" shapeId="0">
      <text>
        <t>3절 스칼라 '판관비율' 참조 — 숫자로 덮어쓰면 이 분기만 바뀐다
매출액 × 판관비율 14.42%(최근 4분기 중위)</t>
      </text>
    </comment>
    <comment ref="AM22" authorId="0" shapeId="0">
      <text>
        <t>3절 스칼라 '판관비율' 참조 — 숫자로 덮어쓰면 이 분기만 바뀐다
매출액 × 판관비율 14.42%(최근 4분기 중위)</t>
      </text>
    </comment>
    <comment ref="AN22" authorId="0" shapeId="0">
      <text>
        <t>3절 스칼라 '판관비율' 참조 — 숫자로 덮어쓰면 이 분기만 바뀐다
매출액 × 판관비율 14.42%(최근 4분기 중위)</t>
      </text>
    </comment>
    <comment ref="AC23" authorId="0" shapeId="0">
      <text>
        <t>모델값 역산(implied): v / 매출액
매출액 × OPM(최근 8분기 OPM 중위 8.1% 유지(클립 −20~40%))</t>
      </text>
    </comment>
    <comment ref="AD23" authorId="0" shapeId="0">
      <text>
        <t>모델값 역산(implied): v / 매출액
매출액 × OPM(최근 8분기 OPM 중위 8.1% 유지(클립 −20~40%))</t>
      </text>
    </comment>
    <comment ref="AF23" authorId="0" shapeId="0">
      <text>
        <t>모델값 역산(implied): v / 매출액
매출액 × OPM(최근 8분기 OPM 중위 8.1% 유지(클립 −20~40%))</t>
      </text>
    </comment>
    <comment ref="AG23" authorId="0" shapeId="0">
      <text>
        <t>모델값 역산(implied): v / 매출액
매출액 × OPM(최근 8분기 OPM 중위 8.1% 유지(클립 −20~40%))</t>
      </text>
    </comment>
    <comment ref="AH23" authorId="0" shapeId="0">
      <text>
        <t>모델값 역산(implied): v / 매출액
매출액 × OPM(최근 8분기 OPM 중위 8.1% 유지(클립 −20~40%))</t>
      </text>
    </comment>
    <comment ref="AI23" authorId="0" shapeId="0">
      <text>
        <t>모델값 역산(implied): v / 매출액
매출액 × OPM(최근 8분기 OPM 중위 8.1% 유지(클립 −20~40%))</t>
      </text>
    </comment>
    <comment ref="AK23" authorId="0" shapeId="0">
      <text>
        <t>모델값 역산(implied): v / 매출액
매출액 × OPM(최근 8분기 OPM 중위 8.1% 유지(클립 −20~40%))</t>
      </text>
    </comment>
    <comment ref="AL23" authorId="0" shapeId="0">
      <text>
        <t>모델값 역산(implied): v / 매출액
매출액 × OPM(최근 8분기 OPM 중위 8.1% 유지(클립 −20~40%))</t>
      </text>
    </comment>
    <comment ref="AM23" authorId="0" shapeId="0">
      <text>
        <t>모델값 역산(implied): v / 매출액
매출액 × OPM(최근 8분기 OPM 중위 8.1% 유지(클립 −20~40%))</t>
      </text>
    </comment>
    <comment ref="AN23" authorId="0" shapeId="0">
      <text>
        <t>모델값 역산(implied): v / 매출액
매출액 × OPM(최근 8분기 OPM 중위 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D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F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G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H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I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K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L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M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N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600원 유지</t>
      </text>
    </comment>
    <comment ref="AI40" authorId="0" shapeId="0">
      <text>
        <t>모델값 역산(implied): 모델 v 그대로
직전 결산 DPS 600원 유지</t>
      </text>
    </comment>
    <comment ref="AN40" authorId="0" shapeId="0">
      <text>
        <t>모델값 역산(implied): 모델 v 그대로
직전 결산 DPS 600원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(1+7.3%) — g=최근 4분기 합 YoY 7.3% 클립(−30~+50%), 연차별 절반 감쇠(가정)
[yoy]</t>
      </text>
    </comment>
    <comment ref="AD5" authorId="0" shapeId="0">
      <text>
        <t>추정: 전년동기 × (1+7.3%) — g=최근 4분기 합 YoY 7.3% 클립(−30~+50%), 연차별 절반 감쇠(가정)
[yoy]</t>
      </text>
    </comment>
    <comment ref="AF5" authorId="0" shapeId="0">
      <text>
        <t>추정: 전년동기 × (1+7.3%) — g=최근 4분기 합 YoY 7.3% 클립(−30~+50%), 연차별 절반 감쇠(가정)
[yoy]</t>
      </text>
    </comment>
    <comment ref="AG5" authorId="0" shapeId="0">
      <text>
        <t>추정: 전년동기 × (1+7.3%) — g=최근 4분기 합 YoY 7.3% 클립(−30~+50%), 연차별 절반 감쇠(가정)
[yoy]</t>
      </text>
    </comment>
    <comment ref="AH5" authorId="0" shapeId="0">
      <text>
        <t>추정: 전년동기 × (1+3.6%) — g=최근 4분기 합 YoY 7.3% 클립(−30~+50%), 연차별 절반 감쇠(가정)
[yoy]</t>
      </text>
    </comment>
    <comment ref="AI5" authorId="0" shapeId="0">
      <text>
        <t>추정: 전년동기 × (1+3.6%) — g=최근 4분기 합 YoY 7.3% 클립(−30~+50%), 연차별 절반 감쇠(가정)
[yoy]</t>
      </text>
    </comment>
    <comment ref="AK5" authorId="0" shapeId="0">
      <text>
        <t>추정: 전년동기 × (1+3.6%) — g=최근 4분기 합 YoY 7.3% 클립(−30~+50%), 연차별 절반 감쇠(가정)
[yoy]</t>
      </text>
    </comment>
    <comment ref="AL5" authorId="0" shapeId="0">
      <text>
        <t>추정: 전년동기 × (1+3.6%) — g=최근 4분기 합 YoY 7.3% 클립(−30~+50%), 연차별 절반 감쇠(가정)
[yoy]</t>
      </text>
    </comment>
    <comment ref="AM5" authorId="0" shapeId="0">
      <text>
        <t>추정: 전년동기 × (1+1.8%) — g=최근 4분기 합 YoY 7.3% 클립(−30~+50%), 연차별 절반 감쇠(가정)
[yoy]</t>
      </text>
    </comment>
    <comment ref="AN5" authorId="0" shapeId="0">
      <text>
        <t>추정: 전년동기 × (1+1.8%) — g=최근 4분기 합 YoY 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유지(클립 −20~40%))
[ratio]</t>
      </text>
    </comment>
    <comment ref="AD9" authorId="0" shapeId="0">
      <text>
        <t>추정: 매출액 × OPM(최근 8분기 OPM 중위 8.1% 유지(클립 −20~40%))
[ratio]</t>
      </text>
    </comment>
    <comment ref="AF9" authorId="0" shapeId="0">
      <text>
        <t>추정: 매출액 × OPM(최근 8분기 OPM 중위 8.1% 유지(클립 −20~40%))
[ratio]</t>
      </text>
    </comment>
    <comment ref="AG9" authorId="0" shapeId="0">
      <text>
        <t>추정: 매출액 × OPM(최근 8분기 OPM 중위 8.1% 유지(클립 −20~40%))
[ratio]</t>
      </text>
    </comment>
    <comment ref="AH9" authorId="0" shapeId="0">
      <text>
        <t>추정: 매출액 × OPM(최근 8분기 OPM 중위 8.1% 유지(클립 −20~40%))
[ratio]</t>
      </text>
    </comment>
    <comment ref="AI9" authorId="0" shapeId="0">
      <text>
        <t>추정: 매출액 × OPM(최근 8분기 OPM 중위 8.1% 유지(클립 −20~40%))
[ratio]</t>
      </text>
    </comment>
    <comment ref="AK9" authorId="0" shapeId="0">
      <text>
        <t>추정: 매출액 × OPM(최근 8분기 OPM 중위 8.1% 유지(클립 −20~40%))
[ratio]</t>
      </text>
    </comment>
    <comment ref="AL9" authorId="0" shapeId="0">
      <text>
        <t>추정: 매출액 × OPM(최근 8분기 OPM 중위 8.1% 유지(클립 −20~40%))
[ratio]</t>
      </text>
    </comment>
    <comment ref="AM9" authorId="0" shapeId="0">
      <text>
        <t>추정: 매출액 × OPM(최근 8분기 OPM 중위 8.1% 유지(클립 −20~40%))
[ratio]</t>
      </text>
    </comment>
    <comment ref="AN9" authorId="0" shapeId="0">
      <text>
        <t>추정: 매출액 × OPM(최근 8분기 OPM 중위 8.1% 유지(클립 −20~40%))
[ratio]</t>
      </text>
    </comment>
    <comment ref="AC10" authorId="0" shapeId="0">
      <text>
        <t>추정: 최근 8분기 OPM 중위 8.1% 유지(클립 −20~40%)
[divide]</t>
      </text>
    </comment>
    <comment ref="AD10" authorId="0" shapeId="0">
      <text>
        <t>추정: 최근 8분기 OPM 중위 8.1% 유지(클립 −20~40%)
[divide]</t>
      </text>
    </comment>
    <comment ref="AF10" authorId="0" shapeId="0">
      <text>
        <t>추정: 최근 8분기 OPM 중위 8.1% 유지(클립 −20~40%)
[divide]</t>
      </text>
    </comment>
    <comment ref="AG10" authorId="0" shapeId="0">
      <text>
        <t>추정: 최근 8분기 OPM 중위 8.1% 유지(클립 −20~40%)
[divide]</t>
      </text>
    </comment>
    <comment ref="AH10" authorId="0" shapeId="0">
      <text>
        <t>추정: 최근 8분기 OPM 중위 8.1% 유지(클립 −20~40%)
[divide]</t>
      </text>
    </comment>
    <comment ref="AI10" authorId="0" shapeId="0">
      <text>
        <t>추정: 최근 8분기 OPM 중위 8.1% 유지(클립 −20~40%)
[divide]</t>
      </text>
    </comment>
    <comment ref="AK10" authorId="0" shapeId="0">
      <text>
        <t>추정: 최근 8분기 OPM 중위 8.1% 유지(클립 −20~40%)
[divide]</t>
      </text>
    </comment>
    <comment ref="AL10" authorId="0" shapeId="0">
      <text>
        <t>추정: 최근 8분기 OPM 중위 8.1% 유지(클립 −20~40%)
[divide]</t>
      </text>
    </comment>
    <comment ref="AM10" authorId="0" shapeId="0">
      <text>
        <t>추정: 최근 8분기 OPM 중위 8.1% 유지(클립 −20~40%)
[divide]</t>
      </text>
    </comment>
    <comment ref="AN10" authorId="0" shapeId="0">
      <text>
        <t>추정: 최근 8분기 OPM 중위 8.1%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166억 × 2.53%(CF 이자수취 ÷ 평균 이자발생자산(2025Q3~2026Q2; 주석 이자수익 2분기 &lt; 4)) − 총차입금 938억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194억 × 2.53%(CF 이자수취 ÷ 평균 이자발생자산(2025Q3~2026Q2; 주석 이자수익 2분기 &lt; 4)) − 총차입금 938억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219억 × 2.53%(CF 이자수취 ÷ 평균 이자발생자산(2025Q3~2026Q2; 주석 이자수익 2분기 &lt; 4)) − 총차입금 938억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246억 × 2.53%(CF 이자수취 ÷ 평균 이자발생자산(2025Q3~2026Q2; 주석 이자수익 2분기 &lt; 4)) − 총차입금 938억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223억 × 2.53%(CF 이자수취 ÷ 평균 이자발생자산(2025Q3~2026Q2; 주석 이자수익 2분기 &lt; 4)) − 총차입금 938억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252억 × 2.53%(CF 이자수취 ÷ 평균 이자발생자산(2025Q3~2026Q2; 주석 이자수익 2분기 &lt; 4)) − 총차입금 938억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278억 × 2.53%(CF 이자수취 ÷ 평균 이자발생자산(2025Q3~2026Q2; 주석 이자수익 2분기 &lt; 4)) − 총차입금 938억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307억 × 2.53%(CF 이자수취 ÷ 평균 이자발생자산(2025Q3~2026Q2; 주석 이자수익 2분기 &lt; 4)) − 총차입금 938억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285억 × 2.53%(CF 이자수취 ÷ 평균 이자발생자산(2025Q3~2026Q2; 주석 이자수익 2분기 &lt; 4)) − 총차입금 938억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315억 × 2.53%(CF 이자수취 ÷ 평균 이자발생자산(2025Q3~2026Q2; 주석 이자수익 2분기 &lt; 4)) − 총차입금 938억 × 0.00%(없음) (연율) ÷ 4; 환율 효과는 환관련손익 행 별도
[identity]</t>
      </text>
    </comment>
    <comment ref="AC12" authorId="0" shapeId="0">
      <text>
        <t>추정: 이자발생자산 166억 × 2.53%(CF 이자수취 ÷ 평균 이자발생자산(2025Q3~2026Q2; 주석 이자수익 2분기 &lt; 4)) − 총차입금 938억 × 0.00%(없음) (연율) ÷ 4
[interest]</t>
      </text>
    </comment>
    <comment ref="AD12" authorId="0" shapeId="0">
      <text>
        <t>추정: 이자발생자산 194억 × 2.53%(CF 이자수취 ÷ 평균 이자발생자산(2025Q3~2026Q2; 주석 이자수익 2분기 &lt; 4)) − 총차입금 938억 × 0.00%(없음) (연율) ÷ 4
[interest]</t>
      </text>
    </comment>
    <comment ref="AF12" authorId="0" shapeId="0">
      <text>
        <t>추정: 이자발생자산 219억 × 2.53%(CF 이자수취 ÷ 평균 이자발생자산(2025Q3~2026Q2; 주석 이자수익 2분기 &lt; 4)) − 총차입금 938억 × 0.00%(없음) (연율) ÷ 4
[interest]</t>
      </text>
    </comment>
    <comment ref="AG12" authorId="0" shapeId="0">
      <text>
        <t>추정: 이자발생자산 246억 × 2.53%(CF 이자수취 ÷ 평균 이자발생자산(2025Q3~2026Q2; 주석 이자수익 2분기 &lt; 4)) − 총차입금 938억 × 0.00%(없음) (연율) ÷ 4
[interest]</t>
      </text>
    </comment>
    <comment ref="AH12" authorId="0" shapeId="0">
      <text>
        <t>추정: 이자발생자산 223억 × 2.53%(CF 이자수취 ÷ 평균 이자발생자산(2025Q3~2026Q2; 주석 이자수익 2분기 &lt; 4)) − 총차입금 938억 × 0.00%(없음) (연율) ÷ 4
[interest]</t>
      </text>
    </comment>
    <comment ref="AI12" authorId="0" shapeId="0">
      <text>
        <t>추정: 이자발생자산 252억 × 2.53%(CF 이자수취 ÷ 평균 이자발생자산(2025Q3~2026Q2; 주석 이자수익 2분기 &lt; 4)) − 총차입금 938억 × 0.00%(없음) (연율) ÷ 4
[interest]</t>
      </text>
    </comment>
    <comment ref="AK12" authorId="0" shapeId="0">
      <text>
        <t>추정: 이자발생자산 278억 × 2.53%(CF 이자수취 ÷ 평균 이자발생자산(2025Q3~2026Q2; 주석 이자수익 2분기 &lt; 4)) − 총차입금 938억 × 0.00%(없음) (연율) ÷ 4
[interest]</t>
      </text>
    </comment>
    <comment ref="AL12" authorId="0" shapeId="0">
      <text>
        <t>추정: 이자발생자산 307억 × 2.53%(CF 이자수취 ÷ 평균 이자발생자산(2025Q3~2026Q2; 주석 이자수익 2분기 &lt; 4)) − 총차입금 938억 × 0.00%(없음) (연율) ÷ 4
[interest]</t>
      </text>
    </comment>
    <comment ref="AM12" authorId="0" shapeId="0">
      <text>
        <t>추정: 이자발생자산 285억 × 2.53%(CF 이자수취 ÷ 평균 이자발생자산(2025Q3~2026Q2; 주석 이자수익 2분기 &lt; 4)) − 총차입금 938억 × 0.00%(없음) (연율) ÷ 4
[interest]</t>
      </text>
    </comment>
    <comment ref="AN12" authorId="0" shapeId="0">
      <text>
        <t>추정: 이자발생자산 315억 × 2.53%(CF 이자수취 ÷ 평균 이자발생자산(2025Q3~2026Q2; 주석 이자수익 2분기 &lt; 4)) − 총차입금 938억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17.3%(최근 12분기 유효세율 17.3%(5~27% 안 — 그대로))
[tax]</t>
      </text>
    </comment>
    <comment ref="AD18" authorId="0" shapeId="0">
      <text>
        <t>추정: max(세전, 0) × 세율 17.3%(최근 12분기 유효세율 17.3%(5~27% 안 — 그대로))
[tax]</t>
      </text>
    </comment>
    <comment ref="AF18" authorId="0" shapeId="0">
      <text>
        <t>추정: max(세전, 0) × 세율 17.3%(최근 12분기 유효세율 17.3%(5~27% 안 — 그대로))
[tax]</t>
      </text>
    </comment>
    <comment ref="AG18" authorId="0" shapeId="0">
      <text>
        <t>추정: max(세전, 0) × 세율 17.3%(최근 12분기 유효세율 17.3%(5~27% 안 — 그대로))
[tax]</t>
      </text>
    </comment>
    <comment ref="AH18" authorId="0" shapeId="0">
      <text>
        <t>추정: max(세전, 0) × 세율 17.3%(최근 12분기 유효세율 17.3%(5~27% 안 — 그대로))
[tax]</t>
      </text>
    </comment>
    <comment ref="AI18" authorId="0" shapeId="0">
      <text>
        <t>추정: max(세전, 0) × 세율 17.3%(최근 12분기 유효세율 17.3%(5~27% 안 — 그대로))
[tax]</t>
      </text>
    </comment>
    <comment ref="AK18" authorId="0" shapeId="0">
      <text>
        <t>추정: max(세전, 0) × 세율 17.3%(최근 12분기 유효세율 17.3%(5~27% 안 — 그대로))
[tax]</t>
      </text>
    </comment>
    <comment ref="AL18" authorId="0" shapeId="0">
      <text>
        <t>추정: max(세전, 0) × 세율 17.3%(최근 12분기 유효세율 17.3%(5~27% 안 — 그대로))
[tax]</t>
      </text>
    </comment>
    <comment ref="AM18" authorId="0" shapeId="0">
      <text>
        <t>추정: max(세전, 0) × 세율 17.3%(최근 12분기 유효세율 17.3%(5~27% 안 — 그대로))
[tax]</t>
      </text>
    </comment>
    <comment ref="AN18" authorId="0" shapeId="0">
      <text>
        <t>추정: max(세전, 0) × 세율 17.3%(최근 12분기 유효세율 17.3%(5~27%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600원 유지
[abs]</t>
      </text>
    </comment>
    <comment ref="AI34" authorId="0" shapeId="0">
      <text>
        <t>추정: 직전 결산 DPS 600원 유지
[abs]</t>
      </text>
    </comment>
    <comment ref="AN34" authorId="0" shapeId="0">
      <text>
        <t>추정: 직전 결산 DPS 600원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17.28% — 법인세 = MAX(세전,0) × 세율, 추정 전 분기 연결(Σ법인세/Σmax(세전,0) 역산, 재현 오차 ≤ 0.05억). 모델 가정 17.28% · 근거: 최근 12분기 유효세율 17.3%(5~27% 안 — 그대로)</t>
        </is>
      </c>
    </row>
    <row r="23">
      <c r="A23" t="inlineStr">
        <is>
          <t>· 판관비율 14.42%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2.53% / 부채 0.00% — 이자손익 = (전분기 이자발생자산 × 자산이자율 − 전분기 총차입금 × 부채이자율)/4, 최소자승 역산(모델 assumptions [0.0253, None] 는 4자리 반올림이라 그대로 쓰면 ±1억 어긋남) · 출처: {"asset": "CF 이자수취 ÷ 평균 이자발생자산(2025Q3~2026Q2; 주석 이자수익 2분기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6.8/8.1/14.8배(hist_quarterly(분기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assets/models/086670.json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15.7% &gt; 추세 11.6% × 1.10 (suppliers_mentions·시차 1·4분기 이동합·창 8, r=0.91 유의)): 전년동기 × (1+g) 추세 / 감가상각비가 face·CF 에 없음(주석 미파싱) → EBITDA·EV/EBITDA 미산출 / 금융손익 실적→추정 단절: 최근 4분기 실적 +7/+5/+24/+4(중위 +6억) → 추정 2026Q3 +1억(차 -5억, -82%)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11.6, "op_wape_pct": 52.5,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20" t="n">
        <v>18820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20" t="n">
        <v>19820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20" t="n">
        <v>18670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20" t="n">
        <v>19088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0.07261477099999999</v>
      </c>
      <c r="AD21" s="24" t="n">
        <v>0.072604368</v>
      </c>
      <c r="AE21" s="25" t="n"/>
      <c r="AF21" s="24" t="n">
        <v>0.072612782</v>
      </c>
      <c r="AG21" s="24" t="n">
        <v>0.07262281399999999</v>
      </c>
      <c r="AH21" s="24" t="n">
        <v>0.036307983</v>
      </c>
      <c r="AI21" s="24" t="n">
        <v>0.03631076</v>
      </c>
      <c r="AJ21" s="25" t="n"/>
      <c r="AK21" s="24" t="n">
        <v>0.03630216</v>
      </c>
      <c r="AL21" s="24" t="n">
        <v>0.036297432</v>
      </c>
      <c r="AM21" s="24" t="n">
        <v>0.018154312</v>
      </c>
      <c r="AN21" s="24" t="n">
        <v>0.018174043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0.081450328</v>
      </c>
      <c r="AD23" s="24" t="n">
        <v>0.081456862</v>
      </c>
      <c r="AE23" s="25">
        <f>IFERROR(subQ!AE9/subQ!AE5,"")</f>
        <v/>
      </c>
      <c r="AF23" s="24" t="n">
        <v>0.081437408</v>
      </c>
      <c r="AG23" s="24" t="n">
        <v>0.081448831</v>
      </c>
      <c r="AH23" s="24" t="n">
        <v>0.081454266</v>
      </c>
      <c r="AI23" s="24" t="n">
        <v>0.081435749</v>
      </c>
      <c r="AJ23" s="25">
        <f>IFERROR(subQ!AJ9/subQ!AJ5,"")</f>
        <v/>
      </c>
      <c r="AK23" s="24" t="n">
        <v>0.08144269899999999</v>
      </c>
      <c r="AL23" s="24" t="n">
        <v>0.081443947</v>
      </c>
      <c r="AM23" s="24" t="n">
        <v>0.0814406</v>
      </c>
      <c r="AN23" s="24" t="n">
        <v>0.081452121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1.483e-06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-0.000361512</v>
      </c>
      <c r="AD31" s="30" t="n">
        <v>0.001152911</v>
      </c>
      <c r="AE31" s="31" t="n"/>
      <c r="AF31" s="30" t="n">
        <v>0.006899988</v>
      </c>
      <c r="AG31" s="30" t="n">
        <v>59.552204268</v>
      </c>
      <c r="AH31" s="30" t="n">
        <v>0.003966356</v>
      </c>
      <c r="AI31" s="30" t="n">
        <v>-0.006927007</v>
      </c>
      <c r="AJ31" s="31" t="n"/>
      <c r="AK31" s="30" t="n">
        <v>0.002898817</v>
      </c>
      <c r="AL31" s="30" t="n">
        <v>59.553892803</v>
      </c>
      <c r="AM31" s="30" t="n">
        <v>-0.005311662</v>
      </c>
      <c r="AN31" s="30" t="n">
        <v>0.006779145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-0.001361512</v>
      </c>
      <c r="AD32" s="30" t="n">
        <v>0.011152911</v>
      </c>
      <c r="AE32" s="31" t="n"/>
      <c r="AF32" s="30" t="n">
        <v>-0.003100012</v>
      </c>
      <c r="AG32" s="30" t="n">
        <v>59.552204268</v>
      </c>
      <c r="AH32" s="30" t="n">
        <v>0.003966356</v>
      </c>
      <c r="AI32" s="30" t="n">
        <v>-0.006927007</v>
      </c>
      <c r="AJ32" s="31" t="n"/>
      <c r="AK32" s="30" t="n">
        <v>0.002898817</v>
      </c>
      <c r="AL32" s="30" t="n">
        <v>59.553892803</v>
      </c>
      <c r="AM32" s="30" t="n">
        <v>-0.005311662</v>
      </c>
      <c r="AN32" s="30" t="n">
        <v>0.006779145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4.265e-06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-0.034568061</v>
      </c>
      <c r="AD34" s="24" t="n">
        <v>-0.032478019</v>
      </c>
      <c r="AE34" s="25" t="n"/>
      <c r="AF34" s="24" t="n">
        <v>-0.035568567</v>
      </c>
      <c r="AG34" s="24" t="n">
        <v>0.031743197</v>
      </c>
      <c r="AH34" s="24" t="n">
        <v>-0.038900871</v>
      </c>
      <c r="AI34" s="24" t="n">
        <v>-0.036735372</v>
      </c>
      <c r="AJ34" s="25" t="n"/>
      <c r="AK34" s="24" t="n">
        <v>-0.040408398</v>
      </c>
      <c r="AL34" s="24" t="n">
        <v>0.032249363</v>
      </c>
      <c r="AM34" s="24" t="n">
        <v>-0.04362533</v>
      </c>
      <c r="AN34" s="24" t="n">
        <v>-0.041471227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0.168558852</v>
      </c>
      <c r="AD35" s="24" t="n">
        <v>0.130847878</v>
      </c>
      <c r="AE35" s="25" t="n"/>
      <c r="AF35" s="24" t="n">
        <v>0.12260274</v>
      </c>
      <c r="AG35" s="24" t="n">
        <v>-0.09400040699999999</v>
      </c>
      <c r="AH35" s="24" t="n">
        <v>0.13118434</v>
      </c>
      <c r="AI35" s="24" t="n">
        <v>0.105254802</v>
      </c>
      <c r="AJ35" s="25" t="n"/>
      <c r="AK35" s="24" t="n">
        <v>0.100904912</v>
      </c>
      <c r="AL35" s="24" t="n">
        <v>-0.07019375</v>
      </c>
      <c r="AM35" s="24" t="n">
        <v>0.105416404</v>
      </c>
      <c r="AN35" s="24" t="n">
        <v>0.08669988300000001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2.659179107</v>
      </c>
      <c r="AD37" s="24" t="n">
        <v>-0.183180525</v>
      </c>
      <c r="AE37" s="25" t="n"/>
      <c r="AF37" s="24" t="n">
        <v>0.289067178</v>
      </c>
      <c r="AG37" s="24" t="n">
        <v>-0.400472827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600</v>
      </c>
      <c r="AE40" s="31">
        <f>subQ!AE34</f>
        <v/>
      </c>
      <c r="AF40" s="33" t="n"/>
      <c r="AG40" s="33" t="n"/>
      <c r="AH40" s="33" t="n"/>
      <c r="AI40" s="30" t="n">
        <v>600</v>
      </c>
      <c r="AJ40" s="31">
        <f>subQ!AJ34</f>
        <v/>
      </c>
      <c r="AK40" s="33" t="n"/>
      <c r="AL40" s="33" t="n"/>
      <c r="AM40" s="33" t="n"/>
      <c r="AN40" s="30" t="n">
        <v>600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18820</v>
      </c>
      <c r="E43" s="2" t="inlineStr">
        <is>
          <t>원 — 네이버 정규장 종가(aik 확정종가 대조 · aik 19,530원)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6.8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14.8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0.1728091270063195</v>
      </c>
      <c r="E50" s="2" t="inlineStr">
        <is>
          <t>연결 — 법인세 = MAX(세전,0) × 세율(역산, 재현 오차 ≤ 0.05억 · 모델 assumptions 0.1728) · 최근 12분기 유효세율 17.3%(5~27%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0.1441615489797183</v>
      </c>
      <c r="E51" s="2" t="inlineStr">
        <is>
          <t>연결 — 판관비 = 매출액 × 판관비율(역산, 재현 오차 ≤ 0.05억 · 모델 assumptions 0.1442)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0.02530608356313368</v>
      </c>
      <c r="E53" s="2" t="inlineStr">
        <is>
          <t>연결 — 이자손익 = (전분기 이자발생자산 × 자산이자율 − 전분기 총차입금 × 부채이자율)/4(역산, 재현 오차 ≤ 0.05억 · 모델 assumptions 0.0253)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7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7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7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7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7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7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7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7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7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7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7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7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7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7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7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7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7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7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7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7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7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7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7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7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7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7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7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7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7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7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7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7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7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7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3492.3</v>
      </c>
      <c r="P14" s="37" t="n">
        <v>3492.3</v>
      </c>
      <c r="Q14" s="18" t="n">
        <v>3938.53</v>
      </c>
      <c r="R14" s="18" t="n">
        <v>1819.92</v>
      </c>
      <c r="S14" s="18" t="n">
        <v>1816.55</v>
      </c>
      <c r="T14" s="18" t="n">
        <v>1742.83</v>
      </c>
      <c r="U14" s="37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7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7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7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4023.14</v>
      </c>
      <c r="P15" s="37" t="n">
        <v>4023.14</v>
      </c>
      <c r="Q15" s="18" t="n">
        <v>4393.82</v>
      </c>
      <c r="R15" s="18" t="n">
        <v>1824.98</v>
      </c>
      <c r="S15" s="18" t="n">
        <v>1816.55</v>
      </c>
      <c r="T15" s="18" t="n">
        <v>1742.83</v>
      </c>
      <c r="U15" s="37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7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7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7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7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7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7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7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7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7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7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7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7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7" t="n">
        <v>1226.92</v>
      </c>
      <c r="Q19" s="18" t="n">
        <v>1196.41</v>
      </c>
      <c r="S19" s="18" t="n">
        <v>1363.65</v>
      </c>
      <c r="T19" s="18" t="n">
        <v>1314.64</v>
      </c>
      <c r="U19" s="37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7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I20" s="18" t="n">
        <v>2457.32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7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7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7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7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7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7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7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7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7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7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7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7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7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7" t="n">
        <v>10588.8</v>
      </c>
      <c r="R24" s="18" t="n">
        <v>11475.18</v>
      </c>
      <c r="S24" s="18" t="n">
        <v>9997.48</v>
      </c>
      <c r="T24" s="18" t="n">
        <v>11569.97</v>
      </c>
      <c r="U24" s="37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7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7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7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7" t="n">
        <v>64393.27</v>
      </c>
      <c r="Q25" s="18" t="n">
        <v>69146.64</v>
      </c>
      <c r="R25" s="18" t="n">
        <v>100246.64</v>
      </c>
      <c r="S25" s="18" t="n">
        <v>111146.64</v>
      </c>
      <c r="T25" s="18" t="n">
        <v>100146.64</v>
      </c>
      <c r="U25" s="37" t="n">
        <v>100146.64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7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7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7" t="n">
        <v>64393.27</v>
      </c>
      <c r="Q26" s="18" t="n">
        <v>69146.64</v>
      </c>
      <c r="R26" s="18" t="n">
        <v>100246.64</v>
      </c>
      <c r="S26" s="18" t="n">
        <v>111146.64</v>
      </c>
      <c r="T26" s="18" t="n">
        <v>100146.64</v>
      </c>
      <c r="U26" s="37" t="n">
        <v>100146.64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7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7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7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7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7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7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7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7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7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7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7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7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7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7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7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7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7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7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7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7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7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7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7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7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7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7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7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7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7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7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7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7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7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7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7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7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7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7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7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7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7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7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7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7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7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7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7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7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7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7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7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7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7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7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7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7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7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7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7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7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7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7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7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7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7" t="n">
        <v>111750.59</v>
      </c>
      <c r="Q47" s="18" t="n">
        <v>112685.68</v>
      </c>
      <c r="R47" s="18" t="n">
        <v>112640.97</v>
      </c>
      <c r="S47" s="18" t="n">
        <v>119602.73</v>
      </c>
      <c r="T47" s="18" t="n">
        <v>108564.5</v>
      </c>
      <c r="U47" s="37" t="n">
        <v>108564.5</v>
      </c>
      <c r="V47" s="18" t="n">
        <v>96223.48</v>
      </c>
      <c r="W47" s="18" t="n">
        <v>95886.81</v>
      </c>
      <c r="X47" s="18" t="n">
        <v>82730.92</v>
      </c>
      <c r="Y47" s="18" t="n">
        <v>92984.25999999999</v>
      </c>
      <c r="Z47" s="37" t="n">
        <v>92984.25999999999</v>
      </c>
      <c r="AA47" s="18" t="n">
        <v>95490.60000000001</v>
      </c>
      <c r="AB47" s="19" t="n">
        <v>93790.60000000001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7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7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7" t="n">
        <v>101193.21</v>
      </c>
      <c r="Q48" s="18" t="n">
        <v>100414.61</v>
      </c>
      <c r="R48" s="18" t="n">
        <v>99929.33</v>
      </c>
      <c r="S48" s="18" t="n">
        <v>99845.88</v>
      </c>
      <c r="T48" s="18" t="n">
        <v>90925.50999999999</v>
      </c>
      <c r="U48" s="37" t="n">
        <v>90925.50999999999</v>
      </c>
      <c r="V48" s="18" t="n">
        <v>74874.78</v>
      </c>
      <c r="W48" s="18" t="n">
        <v>84869.24000000001</v>
      </c>
      <c r="X48" s="18" t="n">
        <v>52916.41</v>
      </c>
      <c r="Y48" s="18" t="n">
        <v>52705.97</v>
      </c>
      <c r="Z48" s="37" t="n">
        <v>52705.97</v>
      </c>
      <c r="AA48" s="18" t="n">
        <v>55763.66</v>
      </c>
      <c r="AB48" s="19" t="n">
        <v>80815.64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7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7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14049.68</v>
      </c>
      <c r="P49" s="37" t="n">
        <v>14049.68</v>
      </c>
      <c r="Q49" s="18" t="n">
        <v>16209.6</v>
      </c>
      <c r="R49" s="18" t="n">
        <v>14531.56</v>
      </c>
      <c r="S49" s="18" t="n">
        <v>21573.4</v>
      </c>
      <c r="T49" s="18" t="n">
        <v>19381.82</v>
      </c>
      <c r="U49" s="37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7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7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7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7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7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7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7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7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7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7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7" t="n">
        <v>1006.7</v>
      </c>
      <c r="Q52" s="18" t="n">
        <v>920.99</v>
      </c>
      <c r="R52" s="18" t="n">
        <v>1795.59</v>
      </c>
      <c r="S52" s="18" t="n">
        <v>1546.1</v>
      </c>
      <c r="T52" s="18" t="n">
        <v>1262.34</v>
      </c>
      <c r="U52" s="37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7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7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7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7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7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7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7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7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7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7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7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7" t="n">
        <v>7753.34</v>
      </c>
      <c r="Q57" s="18" t="n">
        <v>7872.4</v>
      </c>
      <c r="R57" s="18" t="n">
        <v>7994.35</v>
      </c>
      <c r="S57" s="18" t="n">
        <v>8122.77</v>
      </c>
      <c r="T57" s="18" t="n">
        <v>8251.200000000001</v>
      </c>
      <c r="U57" s="37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7" t="n">
        <v>896.4</v>
      </c>
      <c r="Q58" s="18" t="n">
        <v>810</v>
      </c>
      <c r="R58" s="18" t="n">
        <v>1683.9</v>
      </c>
      <c r="S58" s="18" t="n">
        <v>1433.7</v>
      </c>
      <c r="T58" s="18" t="n">
        <v>1123.2</v>
      </c>
      <c r="U58" s="37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O59" s="18" t="n">
        <v>0</v>
      </c>
      <c r="P59" s="37" t="n">
        <v>0</v>
      </c>
      <c r="Q59" s="18" t="n">
        <v>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7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7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7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7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7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7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7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7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7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7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7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7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7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7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7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7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7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7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7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7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7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7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7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7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7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7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7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7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7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7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7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7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7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7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7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7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7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7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7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7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7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7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7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7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7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7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7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7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7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7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7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7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7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7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7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7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7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7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7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7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7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7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7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7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7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7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7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7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67.8</v>
      </c>
      <c r="K77" s="9" t="n"/>
      <c r="P77" s="9" t="n"/>
      <c r="Q77" s="18" t="n">
        <v>53.45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609.6900000000001</v>
      </c>
      <c r="K78" s="9" t="n"/>
      <c r="P78" s="9" t="n"/>
      <c r="Q78" s="18" t="n">
        <v>1211.99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461.67</v>
      </c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10.14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257.59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113.42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376.27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342</v>
      </c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-541.89</v>
      </c>
      <c r="K85" s="9" t="n"/>
      <c r="P85" s="9" t="n"/>
      <c r="Q85" s="18" t="n">
        <v>-1158.54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F86" s="9" t="n"/>
      <c r="H86" s="18" t="n">
        <v>7379.71</v>
      </c>
      <c r="I86" s="18" t="n">
        <v>6331.02</v>
      </c>
      <c r="J86" s="18" t="n">
        <v>-2399.49</v>
      </c>
      <c r="K86" s="9" t="n"/>
      <c r="L86" s="18" t="n">
        <v>5525.07</v>
      </c>
      <c r="M86" s="18" t="n">
        <v>6206.14</v>
      </c>
      <c r="N86" s="18" t="n">
        <v>3531.3</v>
      </c>
      <c r="O86" s="18" t="n">
        <v>1466.21</v>
      </c>
      <c r="P86" s="37" t="n">
        <v>16728.72</v>
      </c>
      <c r="Q86" s="18" t="n">
        <v>2551.74</v>
      </c>
      <c r="R86" s="18" t="n">
        <v>-1266.06</v>
      </c>
      <c r="S86" s="18" t="n">
        <v>-1517.89</v>
      </c>
      <c r="T86" s="18" t="n">
        <v>4277.39</v>
      </c>
      <c r="U86" s="37" t="n">
        <v>4045.18</v>
      </c>
      <c r="V86" s="18" t="n">
        <v>3588.02</v>
      </c>
      <c r="W86" s="18" t="n">
        <v>1094.98</v>
      </c>
      <c r="X86" s="18" t="n">
        <v>12543.38</v>
      </c>
      <c r="Y86" s="18" t="n">
        <v>1728.85</v>
      </c>
      <c r="Z86" s="37" t="n">
        <v>18955.23</v>
      </c>
      <c r="AA86" s="18" t="n">
        <v>3670.28</v>
      </c>
      <c r="AB86" s="19" t="n">
        <v>4890.91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229.99</v>
      </c>
      <c r="F87" s="9" t="n"/>
      <c r="G87" s="18" t="n">
        <v>6918.5</v>
      </c>
      <c r="H87" s="18" t="n">
        <v>-3510.56</v>
      </c>
      <c r="I87" s="18" t="n">
        <v>-3478.74</v>
      </c>
      <c r="J87" s="18" t="n">
        <v>-2114.67</v>
      </c>
      <c r="K87" s="37" t="n">
        <v>-2185.47</v>
      </c>
      <c r="L87" s="18" t="n">
        <v>3728.83</v>
      </c>
      <c r="M87" s="18" t="n">
        <v>5969.47</v>
      </c>
      <c r="N87" s="18" t="n">
        <v>6341.17</v>
      </c>
      <c r="O87" s="18" t="n">
        <v>-1556.15</v>
      </c>
      <c r="P87" s="37" t="n">
        <v>14483.32</v>
      </c>
      <c r="Q87" s="18" t="n">
        <v>1900.61</v>
      </c>
      <c r="R87" s="18" t="n">
        <v>507.98</v>
      </c>
      <c r="S87" s="18" t="n">
        <v>490.41</v>
      </c>
      <c r="T87" s="18" t="n">
        <v>8965.99</v>
      </c>
      <c r="U87" s="37" t="n">
        <v>11864.99</v>
      </c>
      <c r="V87" s="18" t="n">
        <v>7671.94</v>
      </c>
      <c r="W87" s="18" t="n">
        <v>-6390.59</v>
      </c>
      <c r="X87" s="18" t="n">
        <v>4899.78</v>
      </c>
      <c r="Y87" s="18" t="n">
        <v>3968.51</v>
      </c>
      <c r="Z87" s="37" t="n">
        <v>10149.64</v>
      </c>
      <c r="AA87" s="18" t="n">
        <v>1233.8</v>
      </c>
      <c r="AB87" s="19" t="n">
        <v>-7631.37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-16.33</v>
      </c>
      <c r="F88" s="9" t="n"/>
      <c r="G88" s="18" t="n">
        <v>-1145.08</v>
      </c>
      <c r="H88" s="18" t="n">
        <v>-1254.35</v>
      </c>
      <c r="I88" s="18" t="n">
        <v>-555.02</v>
      </c>
      <c r="J88" s="18" t="n">
        <v>-556.79</v>
      </c>
      <c r="K88" s="37" t="n">
        <v>-3511.24</v>
      </c>
      <c r="L88" s="18" t="n">
        <v>245.25</v>
      </c>
      <c r="M88" s="18" t="n">
        <v>-1616.13</v>
      </c>
      <c r="N88" s="18" t="n">
        <v>-3158.06</v>
      </c>
      <c r="O88" s="18" t="n">
        <v>-1034.14</v>
      </c>
      <c r="P88" s="37" t="n">
        <v>-5563.08</v>
      </c>
      <c r="Q88" s="18" t="n">
        <v>-8.380000000000001</v>
      </c>
      <c r="R88" s="18" t="n">
        <v>-1285.75</v>
      </c>
      <c r="S88" s="18" t="n">
        <v>-773.71</v>
      </c>
      <c r="T88" s="18" t="n">
        <v>-578.02</v>
      </c>
      <c r="U88" s="37" t="n">
        <v>-2645.86</v>
      </c>
      <c r="V88" s="18" t="n">
        <v>-0.9</v>
      </c>
      <c r="W88" s="18" t="n">
        <v>-74.67</v>
      </c>
      <c r="X88" s="18" t="n">
        <v>-356.26</v>
      </c>
      <c r="Y88" s="18" t="n">
        <v>-0.52</v>
      </c>
      <c r="Z88" s="37" t="n">
        <v>-432.35</v>
      </c>
      <c r="AA88" s="18" t="n">
        <v>-1860.2</v>
      </c>
      <c r="AB88" s="19" t="n">
        <v>-2146.31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9413.129999999999</v>
      </c>
      <c r="F89" s="9" t="n"/>
      <c r="G89" s="18" t="n">
        <v>-14175.73</v>
      </c>
      <c r="H89" s="18" t="n">
        <v>-3913.12</v>
      </c>
      <c r="I89" s="18" t="n">
        <v>-9281.01</v>
      </c>
      <c r="J89" s="18" t="n">
        <v>-10625.6</v>
      </c>
      <c r="K89" s="37" t="n">
        <v>-37995.46</v>
      </c>
      <c r="L89" s="18" t="n">
        <v>-10549.47</v>
      </c>
      <c r="M89" s="18" t="n">
        <v>2704.07</v>
      </c>
      <c r="N89" s="18" t="n">
        <v>-14851.11</v>
      </c>
      <c r="O89" s="18" t="n">
        <v>6349.69</v>
      </c>
      <c r="P89" s="37" t="n">
        <v>-16346.82</v>
      </c>
      <c r="Q89" s="18" t="n">
        <v>-6450.27</v>
      </c>
      <c r="R89" s="18" t="n">
        <v>-77.11</v>
      </c>
      <c r="S89" s="18" t="n">
        <v>4755.88</v>
      </c>
      <c r="T89" s="18" t="n">
        <v>-11396.67</v>
      </c>
      <c r="U89" s="37" t="n">
        <v>-13168.17</v>
      </c>
      <c r="V89" s="18" t="n">
        <v>8701.700000000001</v>
      </c>
      <c r="W89" s="18" t="n">
        <v>15660.12</v>
      </c>
      <c r="X89" s="18" t="n">
        <v>4841.05</v>
      </c>
      <c r="Y89" s="18" t="n">
        <v>-2479.74</v>
      </c>
      <c r="Z89" s="37" t="n">
        <v>26723.13</v>
      </c>
      <c r="AA89" s="18" t="n">
        <v>-18195.08</v>
      </c>
      <c r="AB89" s="19" t="n">
        <v>2502.91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5800.01</v>
      </c>
      <c r="F90" s="9" t="n"/>
      <c r="G90" s="18" t="n">
        <v>7829.42</v>
      </c>
      <c r="H90" s="18" t="n">
        <v>4768.93</v>
      </c>
      <c r="I90" s="18" t="n">
        <v>10157.53</v>
      </c>
      <c r="J90" s="18" t="n">
        <v>8910.959999999999</v>
      </c>
      <c r="K90" s="37" t="n">
        <v>31666.84</v>
      </c>
      <c r="L90" s="18" t="n">
        <v>11558.57</v>
      </c>
      <c r="M90" s="18" t="n">
        <v>10039.57</v>
      </c>
      <c r="N90" s="18" t="n">
        <v>12175.21</v>
      </c>
      <c r="P90" s="9" t="n"/>
      <c r="Q90" s="18" t="n">
        <v>955.49</v>
      </c>
      <c r="R90" s="18" t="n">
        <v>451.11</v>
      </c>
      <c r="T90" s="18" t="n">
        <v>3439.11</v>
      </c>
      <c r="U90" s="9" t="n"/>
      <c r="V90" s="18" t="n">
        <v>670.55</v>
      </c>
      <c r="W90" s="18" t="n">
        <v>589.49</v>
      </c>
      <c r="X90" s="18" t="n">
        <v>1750.01</v>
      </c>
      <c r="Y90" s="18" t="n">
        <v>7902.05</v>
      </c>
      <c r="Z90" s="37" t="n">
        <v>10912.1</v>
      </c>
      <c r="AA90" s="18" t="n">
        <v>5008.8</v>
      </c>
      <c r="AB90" s="19" t="n">
        <v>10773.49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5773.01</v>
      </c>
      <c r="F91" s="9" t="n"/>
      <c r="G91" s="18" t="n">
        <v>7833.96</v>
      </c>
      <c r="H91" s="18" t="n">
        <v>4775.96</v>
      </c>
      <c r="I91" s="18" t="n">
        <v>10157.53</v>
      </c>
      <c r="J91" s="18" t="n">
        <v>8911.459999999999</v>
      </c>
      <c r="K91" s="37" t="n">
        <v>31678.91</v>
      </c>
      <c r="L91" s="18" t="n">
        <v>11558.57</v>
      </c>
      <c r="M91" s="18" t="n">
        <v>10648.27</v>
      </c>
      <c r="N91" s="18" t="n">
        <v>12172.71</v>
      </c>
      <c r="O91" s="18" t="n">
        <v>35.81</v>
      </c>
      <c r="P91" s="37" t="n">
        <v>34415.36</v>
      </c>
      <c r="Q91" s="18" t="n">
        <v>964.55</v>
      </c>
      <c r="R91" s="18" t="n">
        <v>468.49</v>
      </c>
      <c r="T91" s="18" t="n">
        <v>3609.11</v>
      </c>
      <c r="U91" s="9" t="n"/>
      <c r="V91" s="18" t="n">
        <v>678.98</v>
      </c>
      <c r="W91" s="18" t="n">
        <v>632.59</v>
      </c>
      <c r="X91" s="18" t="n">
        <v>1765.15</v>
      </c>
      <c r="Y91" s="18" t="n">
        <v>7907.5</v>
      </c>
      <c r="Z91" s="37" t="n">
        <v>10984.22</v>
      </c>
      <c r="AA91" s="18" t="n">
        <v>5010.6</v>
      </c>
      <c r="AB91" s="19" t="n">
        <v>10773.49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214.02</v>
      </c>
      <c r="M92" s="18" t="n">
        <v>13.25</v>
      </c>
      <c r="O92" s="18" t="n">
        <v>13.25</v>
      </c>
      <c r="P92" s="9" t="n"/>
      <c r="Q92" s="18" t="n">
        <v>0</v>
      </c>
      <c r="R92" s="18" t="n">
        <v>0</v>
      </c>
      <c r="S92" s="18" t="n">
        <v>62.97</v>
      </c>
      <c r="U92" s="9" t="n"/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-282.64</v>
      </c>
      <c r="F93" s="9" t="n"/>
      <c r="G93" s="18" t="n">
        <v>3687.06</v>
      </c>
      <c r="H93" s="18" t="n">
        <v>6601.11</v>
      </c>
      <c r="I93" s="18" t="n">
        <v>10543.68</v>
      </c>
      <c r="J93" s="18" t="n">
        <v>1737.72</v>
      </c>
      <c r="K93" s="37" t="n">
        <v>22569.57</v>
      </c>
      <c r="L93" s="18" t="n">
        <v>9907.360000000001</v>
      </c>
      <c r="M93" s="18" t="n">
        <v>-2563.94</v>
      </c>
      <c r="N93" s="18" t="n">
        <v>874.14</v>
      </c>
      <c r="O93" s="18" t="n">
        <v>-644.28</v>
      </c>
      <c r="P93" s="37" t="n">
        <v>7573.28</v>
      </c>
      <c r="Q93" s="18" t="n">
        <v>803.71</v>
      </c>
      <c r="R93" s="18" t="n">
        <v>-1753.81</v>
      </c>
      <c r="S93" s="18" t="n">
        <v>6114.04</v>
      </c>
      <c r="T93" s="18" t="n">
        <v>-10482.87</v>
      </c>
      <c r="U93" s="37" t="n">
        <v>-5318.93</v>
      </c>
      <c r="V93" s="18" t="n">
        <v>-14258.59</v>
      </c>
      <c r="W93" s="18" t="n">
        <v>-2992.51</v>
      </c>
      <c r="X93" s="18" t="n">
        <v>-4669.61</v>
      </c>
      <c r="Y93" s="18" t="n">
        <v>12945.4</v>
      </c>
      <c r="Z93" s="37" t="n">
        <v>-8975.309999999999</v>
      </c>
      <c r="AA93" s="18" t="n">
        <v>2485.29</v>
      </c>
      <c r="AB93" s="19" t="n">
        <v>-7676.42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0</v>
      </c>
      <c r="F94" s="9" t="n"/>
      <c r="G94" s="18" t="n">
        <v>10780</v>
      </c>
      <c r="I94" s="18" t="n">
        <v>31280</v>
      </c>
      <c r="J94" s="18" t="n">
        <v>32900</v>
      </c>
      <c r="K94" s="9" t="n"/>
      <c r="L94" s="18" t="n">
        <v>28500</v>
      </c>
      <c r="N94" s="18" t="n">
        <v>90540</v>
      </c>
      <c r="O94" s="18" t="n">
        <v>48406.63</v>
      </c>
      <c r="P94" s="9" t="n"/>
      <c r="Q94" s="18" t="n">
        <v>48620</v>
      </c>
      <c r="R94" s="18" t="n">
        <v>47300</v>
      </c>
      <c r="S94" s="18" t="n">
        <v>41000</v>
      </c>
      <c r="U94" s="9" t="n"/>
      <c r="V94" s="18" t="n">
        <v>44000</v>
      </c>
      <c r="W94" s="18" t="n">
        <v>43800</v>
      </c>
      <c r="X94" s="18" t="n">
        <v>18500</v>
      </c>
      <c r="Y94" s="18" t="n">
        <v>36500</v>
      </c>
      <c r="Z94" s="37" t="n">
        <v>142800</v>
      </c>
      <c r="AA94" s="18" t="n">
        <v>16000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0</v>
      </c>
      <c r="H95" s="18" t="n">
        <v>1221.98</v>
      </c>
      <c r="I95" s="18" t="n">
        <v>0</v>
      </c>
      <c r="J95" s="18" t="n">
        <v>0</v>
      </c>
      <c r="K95" s="37" t="n">
        <v>1221.98</v>
      </c>
      <c r="L95" s="18" t="n">
        <v>0</v>
      </c>
      <c r="M95" s="18" t="n">
        <v>1825.03</v>
      </c>
      <c r="N95" s="18" t="n">
        <v>0</v>
      </c>
      <c r="O95" s="18" t="n">
        <v>0</v>
      </c>
      <c r="P95" s="37" t="n">
        <v>1825.03</v>
      </c>
      <c r="Q95" s="18" t="n">
        <v>0</v>
      </c>
      <c r="R95" s="18" t="n">
        <v>2281.29</v>
      </c>
      <c r="S95" s="18" t="n">
        <v>0</v>
      </c>
      <c r="T95" s="18" t="n">
        <v>0</v>
      </c>
      <c r="U95" s="37" t="n">
        <v>2281.29</v>
      </c>
      <c r="V95" s="18" t="n">
        <v>0</v>
      </c>
      <c r="W95" s="18" t="n">
        <v>2281.29</v>
      </c>
      <c r="X95" s="18" t="n">
        <v>0</v>
      </c>
      <c r="Y95" s="18" t="n">
        <v>0</v>
      </c>
      <c r="Z95" s="37" t="n">
        <v>2281.29</v>
      </c>
      <c r="AA95" s="18" t="n">
        <v>0</v>
      </c>
      <c r="AB95" s="19" t="n">
        <v>5955.53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9345.99</v>
      </c>
      <c r="F96" s="9" t="n"/>
      <c r="G96" s="18" t="n">
        <v>-3570.17</v>
      </c>
      <c r="H96" s="18" t="n">
        <v>-810.78</v>
      </c>
      <c r="I96" s="18" t="n">
        <v>-2227.85</v>
      </c>
      <c r="J96" s="18" t="n">
        <v>-11011.79</v>
      </c>
      <c r="K96" s="37" t="n">
        <v>-17620.59</v>
      </c>
      <c r="L96" s="18" t="n">
        <v>3115.27</v>
      </c>
      <c r="M96" s="18" t="n">
        <v>6035.68</v>
      </c>
      <c r="N96" s="18" t="n">
        <v>-7649.02</v>
      </c>
      <c r="O96" s="18" t="n">
        <v>4200.49</v>
      </c>
      <c r="P96" s="37" t="n">
        <v>5702.42</v>
      </c>
      <c r="Q96" s="18" t="n">
        <v>-3786.75</v>
      </c>
      <c r="R96" s="18" t="n">
        <v>-1331.67</v>
      </c>
      <c r="S96" s="18" t="n">
        <v>11201.47</v>
      </c>
      <c r="T96" s="18" t="n">
        <v>-12706.29</v>
      </c>
      <c r="U96" s="37" t="n">
        <v>-6623.24</v>
      </c>
      <c r="V96" s="18" t="n">
        <v>2168.51</v>
      </c>
      <c r="W96" s="18" t="n">
        <v>6154.19</v>
      </c>
      <c r="X96" s="18" t="n">
        <v>5280.88</v>
      </c>
      <c r="Y96" s="18" t="n">
        <v>14168.62</v>
      </c>
      <c r="Z96" s="37" t="n">
        <v>27772.2</v>
      </c>
      <c r="AA96" s="18" t="n">
        <v>-13916.81</v>
      </c>
      <c r="AB96" s="19" t="n">
        <v>-13361.25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9339.41</v>
      </c>
      <c r="F97" s="9" t="n"/>
      <c r="G97" s="18" t="n">
        <v>16817.78</v>
      </c>
      <c r="H97" s="18" t="n">
        <v>-726.05</v>
      </c>
      <c r="I97" s="18" t="n">
        <v>-2227.86</v>
      </c>
      <c r="J97" s="18" t="n">
        <v>-11011.79</v>
      </c>
      <c r="K97" s="37" t="n">
        <v>2852.08</v>
      </c>
      <c r="L97" s="18" t="n">
        <v>5967.36</v>
      </c>
      <c r="M97" s="18" t="n">
        <v>6035.68</v>
      </c>
      <c r="N97" s="18" t="n">
        <v>-7649.03</v>
      </c>
      <c r="O97" s="18" t="n">
        <v>4200.49</v>
      </c>
      <c r="P97" s="37" t="n">
        <v>8554.5</v>
      </c>
      <c r="Q97" s="18" t="n">
        <v>4767.75</v>
      </c>
      <c r="R97" s="18" t="n">
        <v>-1331.67</v>
      </c>
      <c r="S97" s="18" t="n">
        <v>11201.47</v>
      </c>
      <c r="T97" s="18" t="n">
        <v>-12706.29</v>
      </c>
      <c r="U97" s="37" t="n">
        <v>1931.26</v>
      </c>
      <c r="V97" s="18" t="n">
        <v>4099.77</v>
      </c>
      <c r="W97" s="18" t="n">
        <v>6154.19</v>
      </c>
      <c r="X97" s="18" t="n">
        <v>5280.88</v>
      </c>
      <c r="Y97" s="18" t="n">
        <v>14168.62</v>
      </c>
      <c r="Z97" s="37" t="n">
        <v>29703.46</v>
      </c>
      <c r="AA97" s="18" t="n">
        <v>15786.65</v>
      </c>
      <c r="AB97" s="19" t="n">
        <v>-13361.25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0</v>
      </c>
      <c r="H98" s="18" t="n">
        <v>21.82</v>
      </c>
      <c r="I98" s="18" t="n">
        <v>6.5</v>
      </c>
      <c r="J98" s="18" t="n">
        <v>0</v>
      </c>
      <c r="K98" s="37" t="n">
        <v>28.32</v>
      </c>
      <c r="L98" s="18" t="n">
        <v>3.64</v>
      </c>
      <c r="M98" s="18" t="n">
        <v>0</v>
      </c>
      <c r="N98" s="18" t="n">
        <v>0.27</v>
      </c>
      <c r="O98" s="18" t="n">
        <v>0</v>
      </c>
      <c r="P98" s="37" t="n">
        <v>3.91</v>
      </c>
      <c r="Q98" s="18" t="n">
        <v>0</v>
      </c>
      <c r="R98" s="18" t="n">
        <v>0</v>
      </c>
      <c r="S98" s="18" t="n">
        <v>2218.18</v>
      </c>
      <c r="U98" s="9" t="n"/>
      <c r="V98" s="18" t="n">
        <v>7.41</v>
      </c>
      <c r="W98" s="18" t="n">
        <v>8.18</v>
      </c>
      <c r="X98" s="18" t="n">
        <v>0</v>
      </c>
      <c r="Y98" s="18" t="n">
        <v>0</v>
      </c>
      <c r="Z98" s="37" t="n">
        <v>15.59</v>
      </c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G99" s="18" t="n">
        <v>4.54</v>
      </c>
      <c r="H99" s="18" t="n">
        <v>7.03</v>
      </c>
      <c r="I99" s="18" t="n">
        <v>0</v>
      </c>
      <c r="J99" s="18" t="n">
        <v>0.5</v>
      </c>
      <c r="K99" s="37" t="n">
        <v>12.07</v>
      </c>
      <c r="L99" s="18" t="n">
        <v>0</v>
      </c>
      <c r="M99" s="18" t="n">
        <v>608.7</v>
      </c>
      <c r="O99" s="18" t="n">
        <v>35.81</v>
      </c>
      <c r="P99" s="9" t="n"/>
      <c r="Q99" s="18" t="n">
        <v>9.06</v>
      </c>
      <c r="R99" s="18" t="n">
        <v>17.38</v>
      </c>
      <c r="T99" s="18" t="n">
        <v>170</v>
      </c>
      <c r="U99" s="9" t="n"/>
      <c r="V99" s="18" t="n">
        <v>8.43</v>
      </c>
      <c r="W99" s="18" t="n">
        <v>43.1</v>
      </c>
      <c r="X99" s="18" t="n">
        <v>15.14</v>
      </c>
      <c r="Y99" s="18" t="n">
        <v>5.45</v>
      </c>
      <c r="Z99" s="37" t="n">
        <v>72.12</v>
      </c>
      <c r="AA99" s="18" t="n">
        <v>1.8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차입금의감소</t>
        </is>
      </c>
      <c r="F100" s="9" t="n"/>
      <c r="G100" s="18" t="n">
        <v>7500</v>
      </c>
      <c r="K100" s="9" t="n"/>
      <c r="O100" s="18" t="n">
        <v>166.66</v>
      </c>
      <c r="P100" s="9" t="n"/>
      <c r="Q100" s="18" t="n">
        <v>2166.66</v>
      </c>
      <c r="R100" s="18" t="n">
        <v>166.66</v>
      </c>
      <c r="S100" s="18" t="n">
        <v>3966.66</v>
      </c>
      <c r="T100" s="18" t="n">
        <v>166.66</v>
      </c>
      <c r="U100" s="37" t="n">
        <v>6466.64</v>
      </c>
      <c r="V100" s="18" t="n">
        <v>20166.66</v>
      </c>
      <c r="W100" s="18" t="n">
        <v>15166.66</v>
      </c>
      <c r="X100" s="18" t="n">
        <v>166.66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F101" s="9" t="n"/>
      <c r="G101" s="18" t="n">
        <v>0</v>
      </c>
      <c r="H101" s="18" t="n">
        <v>7887.6</v>
      </c>
      <c r="I101" s="18" t="n">
        <v>7624.26</v>
      </c>
      <c r="J101" s="18" t="n">
        <v>6080.06</v>
      </c>
      <c r="K101" s="37" t="n">
        <v>21591.92</v>
      </c>
      <c r="L101" s="18" t="n">
        <v>4958.82</v>
      </c>
      <c r="M101" s="18" t="n">
        <v>0</v>
      </c>
      <c r="N101" s="18" t="n">
        <v>0</v>
      </c>
      <c r="O101" s="18" t="n">
        <v>0</v>
      </c>
      <c r="P101" s="37" t="n">
        <v>4958.82</v>
      </c>
      <c r="Q101" s="18" t="n">
        <v>0</v>
      </c>
      <c r="R101" s="18" t="n">
        <v>1200</v>
      </c>
      <c r="T101" s="18" t="n">
        <v>0</v>
      </c>
      <c r="U101" s="9" t="n"/>
      <c r="V101" s="18" t="n">
        <v>0</v>
      </c>
      <c r="W101" s="18" t="n">
        <v>100</v>
      </c>
      <c r="X101" s="18" t="n">
        <v>517.6</v>
      </c>
      <c r="Y101" s="18" t="n">
        <v>3420</v>
      </c>
      <c r="Z101" s="37" t="n">
        <v>4037.6</v>
      </c>
      <c r="AA101" s="18" t="n">
        <v>2673</v>
      </c>
      <c r="AB101" s="19" t="n">
        <v>2300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F102" s="9" t="n"/>
      <c r="G102" s="18" t="n">
        <v>3340</v>
      </c>
      <c r="J102" s="18" t="n">
        <v>1500.06</v>
      </c>
      <c r="K102" s="9" t="n"/>
      <c r="L102" s="18" t="n">
        <v>0</v>
      </c>
      <c r="O102" s="18" t="n">
        <v>0</v>
      </c>
      <c r="P102" s="9" t="n"/>
      <c r="Q102" s="18" t="n">
        <v>3770.68</v>
      </c>
      <c r="R102" s="18" t="n">
        <v>0</v>
      </c>
      <c r="S102" s="18" t="n">
        <v>0</v>
      </c>
      <c r="T102" s="18" t="n">
        <v>0</v>
      </c>
      <c r="U102" s="37" t="n">
        <v>3770.68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I103" s="18" t="n">
        <v>2060</v>
      </c>
      <c r="K103" s="9" t="n"/>
      <c r="P103" s="9" t="n"/>
      <c r="U103" s="9" t="n"/>
      <c r="Z103" s="9" t="n"/>
      <c r="AA103" s="18" t="n">
        <v>166.66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단기차입금의감소</t>
        </is>
      </c>
      <c r="F104" s="9" t="n"/>
      <c r="J104" s="18" t="n">
        <v>30900</v>
      </c>
      <c r="K104" s="9" t="n"/>
      <c r="L104" s="18" t="n">
        <v>23500</v>
      </c>
      <c r="N104" s="18" t="n">
        <v>87640</v>
      </c>
      <c r="O104" s="18" t="n">
        <v>48260</v>
      </c>
      <c r="P104" s="9" t="n"/>
      <c r="Q104" s="18" t="n">
        <v>41866.63</v>
      </c>
      <c r="R104" s="18" t="n">
        <v>47793.37</v>
      </c>
      <c r="S104" s="18" t="n">
        <v>29706.63</v>
      </c>
      <c r="U104" s="9" t="n"/>
      <c r="V104" s="18" t="n">
        <v>36300</v>
      </c>
      <c r="W104" s="18" t="n">
        <v>29200</v>
      </c>
      <c r="X104" s="18" t="n">
        <v>23500</v>
      </c>
      <c r="Y104" s="18" t="n">
        <v>29500</v>
      </c>
      <c r="Z104" s="37" t="n">
        <v>118500</v>
      </c>
      <c r="AA104" s="18" t="n">
        <v>16000</v>
      </c>
      <c r="AB104" s="19" t="n">
        <v>4000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84.37</v>
      </c>
      <c r="P105" s="9" t="n"/>
      <c r="Q105" s="18" t="n">
        <v>27.74</v>
      </c>
      <c r="R105" s="18" t="n">
        <v>98.76000000000001</v>
      </c>
      <c r="S105" s="18" t="n">
        <v>141.6</v>
      </c>
      <c r="T105" s="18" t="n">
        <v>26.22</v>
      </c>
      <c r="U105" s="37" t="n">
        <v>294.32</v>
      </c>
      <c r="V105" s="18" t="n">
        <v>152.64</v>
      </c>
      <c r="W105" s="18" t="n">
        <v>95.68000000000001</v>
      </c>
      <c r="X105" s="18" t="n">
        <v>149.89</v>
      </c>
      <c r="Y105" s="18" t="n">
        <v>242.9</v>
      </c>
      <c r="Z105" s="37" t="n">
        <v>641.11</v>
      </c>
      <c r="AA105" s="18" t="n">
        <v>270.18</v>
      </c>
      <c r="AB105" s="19" t="n">
        <v>184.82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K106" s="9" t="n"/>
      <c r="P106" s="9" t="n"/>
      <c r="U106" s="9" t="n"/>
      <c r="Z106" s="9" t="n"/>
      <c r="AA106" s="18" t="n">
        <v>21.05</v>
      </c>
      <c r="AB106" s="19" t="n">
        <v>20.89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자기주식의취득</t>
        </is>
      </c>
      <c r="F107" s="9" t="n"/>
      <c r="K107" s="9" t="n"/>
      <c r="P107" s="9" t="n"/>
      <c r="U107" s="9" t="n"/>
      <c r="Z107" s="9" t="n"/>
      <c r="AA107" s="18" t="n">
        <v>0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7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7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7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7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7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7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7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7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7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7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7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7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7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7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7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7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7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7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7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7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7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7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7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7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7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7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7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7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7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7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7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7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7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7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3492.3</v>
      </c>
      <c r="P14" s="37" t="n">
        <v>3492.3</v>
      </c>
      <c r="Q14" s="18" t="n">
        <v>4438.53</v>
      </c>
      <c r="R14" s="18" t="n">
        <v>1819.92</v>
      </c>
      <c r="S14" s="18" t="n">
        <v>2316.55</v>
      </c>
      <c r="T14" s="18" t="n">
        <v>1742.83</v>
      </c>
      <c r="U14" s="37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7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7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7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6023.14</v>
      </c>
      <c r="P15" s="37" t="n">
        <v>6023.14</v>
      </c>
      <c r="Q15" s="18" t="n">
        <v>6893.82</v>
      </c>
      <c r="R15" s="18" t="n">
        <v>3824.98</v>
      </c>
      <c r="S15" s="18" t="n">
        <v>5316.55</v>
      </c>
      <c r="T15" s="18" t="n">
        <v>4742.83</v>
      </c>
      <c r="U15" s="37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7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7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7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7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7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7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7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7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7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7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7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7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7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7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7" t="n">
        <v>1218.48</v>
      </c>
      <c r="Q19" s="18" t="n">
        <v>1188.37</v>
      </c>
      <c r="S19" s="18" t="n">
        <v>1356.42</v>
      </c>
      <c r="T19" s="18" t="n">
        <v>1307.81</v>
      </c>
      <c r="U19" s="37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7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7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7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7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7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7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7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7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7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7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7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7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7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7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7" t="n">
        <v>10238.65</v>
      </c>
      <c r="R24" s="18" t="n">
        <v>11132.46</v>
      </c>
      <c r="S24" s="18" t="n">
        <v>9755.09</v>
      </c>
      <c r="T24" s="18" t="n">
        <v>11417.79</v>
      </c>
      <c r="U24" s="37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7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7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7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7" t="n">
        <v>62053.27</v>
      </c>
      <c r="Q25" s="18" t="n">
        <v>66846.64</v>
      </c>
      <c r="R25" s="18" t="n">
        <v>97946.64</v>
      </c>
      <c r="S25" s="18" t="n">
        <v>108846.64</v>
      </c>
      <c r="T25" s="18" t="n">
        <v>97846.64</v>
      </c>
      <c r="U25" s="37" t="n">
        <v>97846.64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7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7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7" t="n">
        <v>62053.27</v>
      </c>
      <c r="Q26" s="18" t="n">
        <v>66846.64</v>
      </c>
      <c r="R26" s="18" t="n">
        <v>97946.64</v>
      </c>
      <c r="S26" s="18" t="n">
        <v>108846.64</v>
      </c>
      <c r="T26" s="18" t="n">
        <v>97846.64</v>
      </c>
      <c r="U26" s="37" t="n">
        <v>97846.64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7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7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7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7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7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7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7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7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7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7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7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7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7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7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7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7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7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7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7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7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7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7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7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7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7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7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7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7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7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7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7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7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7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7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7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7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7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7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7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7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7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7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7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7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7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7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7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7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7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7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7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7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7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7" t="n">
        <v>109410.59</v>
      </c>
      <c r="Q46" s="18" t="n">
        <v>110385.68</v>
      </c>
      <c r="R46" s="18" t="n">
        <v>110340.97</v>
      </c>
      <c r="S46" s="18" t="n">
        <v>117302.73</v>
      </c>
      <c r="T46" s="18" t="n">
        <v>106264.5</v>
      </c>
      <c r="U46" s="37" t="n">
        <v>106264.5</v>
      </c>
      <c r="V46" s="18" t="n">
        <v>96223.48</v>
      </c>
      <c r="W46" s="18" t="n">
        <v>95886.81</v>
      </c>
      <c r="X46" s="18" t="n">
        <v>82730.92</v>
      </c>
      <c r="Y46" s="18" t="n">
        <v>92984.25999999999</v>
      </c>
      <c r="Z46" s="37" t="n">
        <v>92984.25999999999</v>
      </c>
      <c r="AA46" s="18" t="n">
        <v>95490.60000000001</v>
      </c>
      <c r="AB46" s="19" t="n">
        <v>93790.60000000001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7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7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7" t="n">
        <v>99920.21000000001</v>
      </c>
      <c r="Q47" s="18" t="n">
        <v>98696.19</v>
      </c>
      <c r="R47" s="18" t="n">
        <v>97800.55</v>
      </c>
      <c r="S47" s="18" t="n">
        <v>99076.55</v>
      </c>
      <c r="T47" s="18" t="n">
        <v>89385.91</v>
      </c>
      <c r="U47" s="37" t="n">
        <v>89385.91</v>
      </c>
      <c r="V47" s="18" t="n">
        <v>75666.95</v>
      </c>
      <c r="W47" s="18" t="n">
        <v>85408.3</v>
      </c>
      <c r="X47" s="18" t="n">
        <v>53986.53</v>
      </c>
      <c r="Y47" s="18" t="n">
        <v>54507.14</v>
      </c>
      <c r="Z47" s="37" t="n">
        <v>54507.14</v>
      </c>
      <c r="AA47" s="18" t="n">
        <v>57101.72</v>
      </c>
      <c r="AB47" s="19" t="n">
        <v>82267.53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7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7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12982.68</v>
      </c>
      <c r="P48" s="37" t="n">
        <v>12982.68</v>
      </c>
      <c r="Q48" s="18" t="n">
        <v>16128.02</v>
      </c>
      <c r="R48" s="18" t="n">
        <v>14360.34</v>
      </c>
      <c r="S48" s="18" t="n">
        <v>20542.73</v>
      </c>
      <c r="T48" s="18" t="n">
        <v>18621.42</v>
      </c>
      <c r="U48" s="37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7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7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7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7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7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7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7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7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7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7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7" t="n">
        <v>998.91</v>
      </c>
      <c r="Q51" s="18" t="n">
        <v>913.1</v>
      </c>
      <c r="R51" s="18" t="n">
        <v>1787.59</v>
      </c>
      <c r="S51" s="18" t="n">
        <v>1537.99</v>
      </c>
      <c r="T51" s="18" t="n">
        <v>1254.13</v>
      </c>
      <c r="U51" s="37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7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7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7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7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7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7" t="n">
        <v>7753.34</v>
      </c>
      <c r="Q54" s="18" t="n">
        <v>7872.4</v>
      </c>
      <c r="R54" s="18" t="n">
        <v>7994.35</v>
      </c>
      <c r="S54" s="18" t="n">
        <v>8122.77</v>
      </c>
      <c r="T54" s="18" t="n">
        <v>8251.200000000001</v>
      </c>
      <c r="U54" s="37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7" t="n">
        <v>896.4</v>
      </c>
      <c r="Q55" s="18" t="n">
        <v>810</v>
      </c>
      <c r="R55" s="18" t="n">
        <v>1683.9</v>
      </c>
      <c r="S55" s="18" t="n">
        <v>1433.7</v>
      </c>
      <c r="T55" s="18" t="n">
        <v>1123.2</v>
      </c>
      <c r="U55" s="37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O56" s="18" t="n">
        <v>0</v>
      </c>
      <c r="P56" s="37" t="n">
        <v>0</v>
      </c>
      <c r="Q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7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7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7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7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7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7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7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7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7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7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7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7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7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7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7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7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7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7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7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7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7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7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7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7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7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7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7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7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7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7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7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7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7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7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7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7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7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7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7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7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7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7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7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7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7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7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7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7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7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7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7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7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7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7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7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7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7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7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7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7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7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7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7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7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7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7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7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7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7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7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7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7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7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7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7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7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7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7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7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7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7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7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7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7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7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7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7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7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7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7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7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7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7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7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7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7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7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7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7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7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7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7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7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7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7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7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7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7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7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7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7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7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7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7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7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7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7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7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7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7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 t="n"/>
      <c r="T29" s="18">
        <f>IFERROR(VLOOKUP($D29,BS연결,MATCH(T$1,BS연결H,0),0)/100,"")</f>
        <v/>
      </c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8.147</v>
      </c>
      <c r="F31" s="28">
        <f>E31</f>
        <v/>
      </c>
      <c r="G31" s="27" t="n">
        <v>8.147</v>
      </c>
      <c r="H31" s="27" t="n">
        <v>8.147</v>
      </c>
      <c r="I31" s="27" t="n">
        <v>8.590999999999999</v>
      </c>
      <c r="J31" s="27" t="n">
        <v>9.125</v>
      </c>
      <c r="K31" s="28">
        <f>J31</f>
        <v/>
      </c>
      <c r="L31" s="27" t="n">
        <v>9.125</v>
      </c>
      <c r="M31" s="27" t="n">
        <v>9.125</v>
      </c>
      <c r="N31" s="27" t="n">
        <v>9.125</v>
      </c>
      <c r="O31" s="27" t="n">
        <v>9.125</v>
      </c>
      <c r="P31" s="28">
        <f>O31</f>
        <v/>
      </c>
      <c r="Q31" s="27" t="n">
        <v>9.125</v>
      </c>
      <c r="R31" s="27" t="n">
        <v>9.125</v>
      </c>
      <c r="S31" s="27" t="n">
        <v>9.125</v>
      </c>
      <c r="T31" s="27" t="n">
        <v>9.125</v>
      </c>
      <c r="U31" s="28">
        <f>T31</f>
        <v/>
      </c>
      <c r="V31" s="27" t="n">
        <v>8.93</v>
      </c>
      <c r="W31" s="27" t="n">
        <v>8.904</v>
      </c>
      <c r="X31" s="27" t="n">
        <v>9.704000000000001</v>
      </c>
      <c r="Y31" s="27" t="n">
        <v>9.926</v>
      </c>
      <c r="Z31" s="28">
        <f>Y31</f>
        <v/>
      </c>
      <c r="AA31" s="27" t="n">
        <v>9.926</v>
      </c>
      <c r="AB31" s="29" t="n">
        <v>9.926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200</v>
      </c>
      <c r="K34" s="37">
        <f>SUM(G34:J34)</f>
        <v/>
      </c>
      <c r="L34" s="18" t="n"/>
      <c r="M34" s="18" t="n"/>
      <c r="N34" s="18" t="n"/>
      <c r="O34" s="18" t="n">
        <v>250</v>
      </c>
      <c r="P34" s="37">
        <f>SUM(L34:O34)</f>
        <v/>
      </c>
      <c r="Q34" s="18" t="n"/>
      <c r="R34" s="18" t="n"/>
      <c r="S34" s="18" t="n"/>
      <c r="T34" s="18" t="n">
        <v>250</v>
      </c>
      <c r="U34" s="37">
        <f>SUM(Q34:T34)</f>
        <v/>
      </c>
      <c r="V34" s="18" t="n"/>
      <c r="W34" s="18" t="n"/>
      <c r="X34" s="18" t="n"/>
      <c r="Y34" s="18" t="n">
        <v>600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309.88</v>
      </c>
      <c r="F37" s="37" t="n"/>
      <c r="G37" s="18" t="n">
        <v>250.53</v>
      </c>
      <c r="H37" s="18" t="n">
        <v>384.4</v>
      </c>
      <c r="I37" s="18" t="n">
        <v>375.62</v>
      </c>
      <c r="J37" s="18" t="n">
        <v>410.34</v>
      </c>
      <c r="K37" s="37">
        <f>SUM(G37:J37)</f>
        <v/>
      </c>
      <c r="L37" s="18" t="n">
        <v>384.78</v>
      </c>
      <c r="M37" s="18" t="n">
        <v>434.25</v>
      </c>
      <c r="N37" s="18" t="n">
        <v>277.62</v>
      </c>
      <c r="O37" s="18" t="n">
        <v>399.41</v>
      </c>
      <c r="P37" s="37">
        <f>SUM(L37:O37)</f>
        <v/>
      </c>
      <c r="Q37" s="18" t="n">
        <v>312.85</v>
      </c>
      <c r="R37" s="18" t="n">
        <v>325.66</v>
      </c>
      <c r="S37" s="18" t="n">
        <v>326.55</v>
      </c>
      <c r="T37" s="18" t="n">
        <v>363.02</v>
      </c>
      <c r="U37" s="37">
        <f>SUM(Q37:T37)</f>
        <v/>
      </c>
      <c r="V37" s="18" t="n">
        <v>365.98</v>
      </c>
      <c r="W37" s="18" t="n">
        <v>392.69</v>
      </c>
      <c r="X37" s="18" t="n">
        <v>374.64</v>
      </c>
      <c r="Y37" s="18" t="n">
        <v>336.61</v>
      </c>
      <c r="Z37" s="37">
        <f>SUM(V37:Y37)</f>
        <v/>
      </c>
      <c r="AA37" s="18" t="n">
        <v>355.69</v>
      </c>
      <c r="AB37" s="19" t="n">
        <v>486.47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16.96</v>
      </c>
      <c r="F38" s="37" t="n"/>
      <c r="G38" s="18" t="n">
        <v>40.81</v>
      </c>
      <c r="H38" s="18" t="n">
        <v>86.93000000000001</v>
      </c>
      <c r="I38" s="18" t="n">
        <v>71.36</v>
      </c>
      <c r="J38" s="18" t="n">
        <v>30.93</v>
      </c>
      <c r="K38" s="37">
        <f>SUM(G38:J38)</f>
        <v/>
      </c>
      <c r="L38" s="18" t="n">
        <v>66.56</v>
      </c>
      <c r="M38" s="18" t="n">
        <v>82.7</v>
      </c>
      <c r="N38" s="18" t="n">
        <v>14.8</v>
      </c>
      <c r="O38" s="18" t="n">
        <v>10.26</v>
      </c>
      <c r="P38" s="37">
        <f>SUM(L38:O38)</f>
        <v/>
      </c>
      <c r="Q38" s="18" t="n">
        <v>27.62</v>
      </c>
      <c r="R38" s="18" t="n">
        <v>13.84</v>
      </c>
      <c r="S38" s="18" t="n">
        <v>-0.07000000000000001</v>
      </c>
      <c r="T38" s="18" t="n">
        <v>23.26</v>
      </c>
      <c r="U38" s="37">
        <f>SUM(Q38:T38)</f>
        <v/>
      </c>
      <c r="V38" s="18" t="n">
        <v>27.77</v>
      </c>
      <c r="W38" s="18" t="n">
        <v>34.17</v>
      </c>
      <c r="X38" s="18" t="n">
        <v>58.13</v>
      </c>
      <c r="Y38" s="18" t="n">
        <v>33.07</v>
      </c>
      <c r="Z38" s="37">
        <f>SUM(V38:Y38)</f>
        <v/>
      </c>
      <c r="AA38" s="18" t="n">
        <v>17.72</v>
      </c>
      <c r="AB38" s="19" t="n">
        <v>62.96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1174.4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16.03</v>
      </c>
    </row>
    <row r="32">
      <c r="C32" s="2" t="inlineStr">
        <is>
          <t>pbr_now</t>
        </is>
      </c>
      <c r="D32" t="n">
        <v>1.23</v>
      </c>
    </row>
    <row r="33">
      <c r="C33" s="2" t="inlineStr">
        <is>
          <t>roe_fwd</t>
        </is>
      </c>
      <c r="D33" t="n">
        <v>0.0767</v>
      </c>
    </row>
    <row r="34">
      <c r="C34" s="2" t="inlineStr">
        <is>
          <t>fair_pbr</t>
        </is>
      </c>
      <c r="D34" t="n">
        <v>0.85</v>
      </c>
    </row>
    <row r="35">
      <c r="C35" s="2" t="inlineStr">
        <is>
          <t>fair_value_pbr</t>
        </is>
      </c>
      <c r="D35" t="n">
        <v>13000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