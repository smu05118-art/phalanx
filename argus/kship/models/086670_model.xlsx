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모델값 역산(implied): v / 매출액
매출액 × 판관비율 14.42%(최근 4분기 중위)</t>
      </text>
    </comment>
    <comment ref="AD22" authorId="0" shapeId="0">
      <text>
        <t>모델값 역산(implied): v / 매출액
매출액 × 판관비율 14.42%(최근 4분기 중위)</t>
      </text>
    </comment>
    <comment ref="AF22" authorId="0" shapeId="0">
      <text>
        <t>모델값 역산(implied): v / 매출액
매출액 × 판관비율 14.42%(최근 4분기 중위)</t>
      </text>
    </comment>
    <comment ref="AG22" authorId="0" shapeId="0">
      <text>
        <t>모델값 역산(implied): v / 매출액
매출액 × 판관비율 14.42%(최근 4분기 중위)</t>
      </text>
    </comment>
    <comment ref="AH22" authorId="0" shapeId="0">
      <text>
        <t>모델값 역산(implied): v / 매출액
매출액 × 판관비율 14.42%(최근 4분기 중위)</t>
      </text>
    </comment>
    <comment ref="AI22" authorId="0" shapeId="0">
      <text>
        <t>모델값 역산(implied): v / 매출액
매출액 × 판관비율 14.42%(최근 4분기 중위)</t>
      </text>
    </comment>
    <comment ref="AK22" authorId="0" shapeId="0">
      <text>
        <t>모델값 역산(implied): v / 매출액
매출액 × 판관비율 14.42%(최근 4분기 중위)</t>
      </text>
    </comment>
    <comment ref="AL22" authorId="0" shapeId="0">
      <text>
        <t>모델값 역산(implied): v / 매출액
매출액 × 판관비율 14.42%(최근 4분기 중위)</t>
      </text>
    </comment>
    <comment ref="AM22" authorId="0" shapeId="0">
      <text>
        <t>모델값 역산(implied): v / 매출액
매출액 × 판관비율 14.42%(최근 4분기 중위)</t>
      </text>
    </comment>
    <comment ref="AN22" authorId="0" shapeId="0">
      <text>
        <t>모델값 역산(implied): v / 매출액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v / 전년동기 − 1
최근 8분기 OPM 중위 8.1% 유지(클립 −20~40%)</t>
      </text>
    </comment>
    <comment ref="AD24" authorId="0" shapeId="0">
      <text>
        <t>모델값 역산(implied): v / 전년동기 − 1
최근 8분기 OPM 중위 8.1% 유지(클립 −20~40%)</t>
      </text>
    </comment>
    <comment ref="AF24" authorId="0" shapeId="0">
      <text>
        <t>모델값 역산(implied): v / 전년동기 − 1
최근 8분기 OPM 중위 8.1% 유지(클립 −20~40%)</t>
      </text>
    </comment>
    <comment ref="AG24" authorId="0" shapeId="0">
      <text>
        <t>모델값 역산(implied): v / 전년동기 − 1
최근 8분기 OPM 중위 8.1% 유지(클립 −20~40%)</t>
      </text>
    </comment>
    <comment ref="AH24" authorId="0" shapeId="0">
      <text>
        <t>모델값 역산(implied): v / 전년동기 − 1
최근 8분기 OPM 중위 8.1% 유지(클립 −20~40%)</t>
      </text>
    </comment>
    <comment ref="AI24" authorId="0" shapeId="0">
      <text>
        <t>모델값 역산(implied): v / 전년동기 − 1
최근 8분기 OPM 중위 8.1% 유지(클립 −20~40%)</t>
      </text>
    </comment>
    <comment ref="AK24" authorId="0" shapeId="0">
      <text>
        <t>모델값 역산(implied): v / 전년동기 − 1
최근 8분기 OPM 중위 8.1% 유지(클립 −20~40%)</t>
      </text>
    </comment>
    <comment ref="AL24" authorId="0" shapeId="0">
      <text>
        <t>모델값 역산(implied): v / 전년동기 − 1
최근 8분기 OPM 중위 8.1% 유지(클립 −20~40%)</t>
      </text>
    </comment>
    <comment ref="AM24" authorId="0" shapeId="0">
      <text>
        <t>모델값 역산(implied): v / 전년동기 − 1
최근 8분기 OPM 중위 8.1% 유지(클립 −20~40%)</t>
      </text>
    </comment>
    <comment ref="AN24" authorId="0" shapeId="0">
      <text>
        <t>모델값 역산(implied): v / 전년동기 − 1
최근 8분기 OPM 중위 8.1% 유지(클립 −20~40%)</t>
      </text>
    </comment>
    <comment ref="AC25" authorId="0" shapeId="0">
      <text>
        <t>모델값 역산(implied): 모델 v 그대로
이자손익 = 이자발생자산 166억 × 2.53% − 총차입금 0억 × 0.00% (연율, CF 실측) ÷ 4; 환·평가손익 0 가정</t>
      </text>
    </comment>
    <comment ref="AD25" authorId="0" shapeId="0">
      <text>
        <t>모델값 역산(implied): 모델 v 그대로
이자손익 = 이자발생자산 194억 × 2.53% − 총차입금 0억 × 0.00% (연율, CF 실측) ÷ 4; 환·평가손익 0 가정</t>
      </text>
    </comment>
    <comment ref="AF25" authorId="0" shapeId="0">
      <text>
        <t>모델값 역산(implied): 모델 v 그대로
이자손익 = 이자발생자산 219억 × 2.53% − 총차입금 0억 × 0.00% (연율, CF 실측) ÷ 4; 환·평가손익 0 가정</t>
      </text>
    </comment>
    <comment ref="AG25" authorId="0" shapeId="0">
      <text>
        <t>모델값 역산(implied): 모델 v 그대로
이자손익 = 이자발생자산 246억 × 2.53% − 총차입금 0억 × 0.00% (연율, CF 실측) ÷ 4; 환·평가손익 0 가정</t>
      </text>
    </comment>
    <comment ref="AH25" authorId="0" shapeId="0">
      <text>
        <t>모델값 역산(implied): 모델 v 그대로
이자손익 = 이자발생자산 223억 × 2.53% − 총차입금 0억 × 0.00% (연율, CF 실측) ÷ 4; 환·평가손익 0 가정</t>
      </text>
    </comment>
    <comment ref="AI25" authorId="0" shapeId="0">
      <text>
        <t>모델값 역산(implied): 모델 v 그대로
이자손익 = 이자발생자산 252억 × 2.53% − 총차입금 0억 × 0.00% (연율, CF 실측) ÷ 4; 환·평가손익 0 가정</t>
      </text>
    </comment>
    <comment ref="AK25" authorId="0" shapeId="0">
      <text>
        <t>모델값 역산(implied): 모델 v 그대로
이자손익 = 이자발생자산 278억 × 2.53% − 총차입금 0억 × 0.00% (연율, CF 실측) ÷ 4; 환·평가손익 0 가정</t>
      </text>
    </comment>
    <comment ref="AL25" authorId="0" shapeId="0">
      <text>
        <t>모델값 역산(implied): 모델 v 그대로
이자손익 = 이자발생자산 307억 × 2.53% − 총차입금 0억 × 0.00% (연율, CF 실측) ÷ 4; 환·평가손익 0 가정</t>
      </text>
    </comment>
    <comment ref="AM25" authorId="0" shapeId="0">
      <text>
        <t>모델값 역산(implied): 모델 v 그대로
이자손익 = 이자발생자산 285억 × 2.53% − 총차입금 0억 × 0.00% (연율, CF 실측) ÷ 4; 환·평가손익 0 가정</t>
      </text>
    </comment>
    <comment ref="AN25" authorId="0" shapeId="0">
      <text>
        <t>모델값 역산(implied): 모델 v 그대로
이자손익 = 이자발생자산 315억 × 2.53%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17.3%(최근 12분기 유효세율 17.3% → 5~27% 클립)</t>
      </text>
    </comment>
    <comment ref="AD27" authorId="0" shapeId="0">
      <text>
        <t>모델값 역산(implied): v / 세전이익
max(세전, 0) × 세율 17.3%(최근 12분기 유효세율 17.3% → 5~27% 클립)</t>
      </text>
    </comment>
    <comment ref="AF27" authorId="0" shapeId="0">
      <text>
        <t>모델값 역산(implied): v / 세전이익
max(세전, 0) × 세율 17.3%(최근 12분기 유효세율 17.3% → 5~27% 클립)</t>
      </text>
    </comment>
    <comment ref="AG27" authorId="0" shapeId="0">
      <text>
        <t>모델값 역산(implied): v / 세전이익
max(세전, 0) × 세율 17.3%(최근 12분기 유효세율 17.3% → 5~27% 클립)</t>
      </text>
    </comment>
    <comment ref="AH27" authorId="0" shapeId="0">
      <text>
        <t>모델값 역산(implied): v / 세전이익
max(세전, 0) × 세율 17.3%(최근 12분기 유효세율 17.3% → 5~27% 클립)</t>
      </text>
    </comment>
    <comment ref="AI27" authorId="0" shapeId="0">
      <text>
        <t>모델값 역산(implied): v / 세전이익
max(세전, 0) × 세율 17.3%(최근 12분기 유효세율 17.3% → 5~27% 클립)</t>
      </text>
    </comment>
    <comment ref="AK27" authorId="0" shapeId="0">
      <text>
        <t>모델값 역산(implied): v / 세전이익
max(세전, 0) × 세율 17.3%(최근 12분기 유효세율 17.3% → 5~27% 클립)</t>
      </text>
    </comment>
    <comment ref="AL27" authorId="0" shapeId="0">
      <text>
        <t>모델값 역산(implied): v / 세전이익
max(세전, 0) × 세율 17.3%(최근 12분기 유효세율 17.3% → 5~27% 클립)</t>
      </text>
    </comment>
    <comment ref="AM27" authorId="0" shapeId="0">
      <text>
        <t>모델값 역산(implied): v / 세전이익
max(세전, 0) × 세율 17.3%(최근 12분기 유효세율 17.3% → 5~27% 클립)</t>
      </text>
    </comment>
    <comment ref="AN27" authorId="0" shapeId="0">
      <text>
        <t>모델값 역산(implied): v / 세전이익
max(세전, 0) × 세율 17.3%(최근 12분기 유효세율 17.3%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600원 유지</t>
      </text>
    </comment>
    <comment ref="AI39" authorId="0" shapeId="0">
      <text>
        <t>모델값 역산(implied): v / 전년동기 − 1
직전 결산 DPS 600원 유지</t>
      </text>
    </comment>
    <comment ref="AN39" authorId="0" shapeId="0">
      <text>
        <t>모델값 역산(implied): v / 전년동기 − 1
직전 결산 DPS 600원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8.1% 유지(클립 −20~40%)
[yoy]</t>
      </text>
    </comment>
    <comment ref="AD10" authorId="0" shapeId="0">
      <text>
        <t>추정: 최근 8분기 OPM 중위 8.1% 유지(클립 −20~40%)
[yoy]</t>
      </text>
    </comment>
    <comment ref="AF10" authorId="0" shapeId="0">
      <text>
        <t>추정: 최근 8분기 OPM 중위 8.1% 유지(클립 −20~40%)
[yoy]</t>
      </text>
    </comment>
    <comment ref="AG10" authorId="0" shapeId="0">
      <text>
        <t>추정: 최근 8분기 OPM 중위 8.1% 유지(클립 −20~40%)
[yoy]</t>
      </text>
    </comment>
    <comment ref="AH10" authorId="0" shapeId="0">
      <text>
        <t>추정: 최근 8분기 OPM 중위 8.1% 유지(클립 −20~40%)
[yoy]</t>
      </text>
    </comment>
    <comment ref="AI10" authorId="0" shapeId="0">
      <text>
        <t>추정: 최근 8분기 OPM 중위 8.1% 유지(클립 −20~40%)
[yoy]</t>
      </text>
    </comment>
    <comment ref="AK10" authorId="0" shapeId="0">
      <text>
        <t>추정: 최근 8분기 OPM 중위 8.1% 유지(클립 −20~40%)
[yoy]</t>
      </text>
    </comment>
    <comment ref="AL10" authorId="0" shapeId="0">
      <text>
        <t>추정: 최근 8분기 OPM 중위 8.1% 유지(클립 −20~40%)
[yoy]</t>
      </text>
    </comment>
    <comment ref="AM10" authorId="0" shapeId="0">
      <text>
        <t>추정: 최근 8분기 OPM 중위 8.1% 유지(클립 −20~40%)
[yoy]</t>
      </text>
    </comment>
    <comment ref="AN10" authorId="0" shapeId="0">
      <text>
        <t>추정: 최근 8분기 OPM 중위 8.1% 유지(클립 −20~40%)
[yoy]</t>
      </text>
    </comment>
    <comment ref="AC11" authorId="0" shapeId="0">
      <text>
        <t>추정: 이자손익 = 이자발생자산 166억 × 2.53% − 총차입금 0억 × 0.00% (연율, CF 실측) ÷ 4; 환·평가손익 0 가정
[abs]</t>
      </text>
    </comment>
    <comment ref="AD11" authorId="0" shapeId="0">
      <text>
        <t>추정: 이자손익 = 이자발생자산 194억 × 2.53% − 총차입금 0억 × 0.00% (연율, CF 실측) ÷ 4; 환·평가손익 0 가정
[abs]</t>
      </text>
    </comment>
    <comment ref="AF11" authorId="0" shapeId="0">
      <text>
        <t>추정: 이자손익 = 이자발생자산 219억 × 2.53% − 총차입금 0억 × 0.00% (연율, CF 실측) ÷ 4; 환·평가손익 0 가정
[abs]</t>
      </text>
    </comment>
    <comment ref="AG11" authorId="0" shapeId="0">
      <text>
        <t>추정: 이자손익 = 이자발생자산 246억 × 2.53% − 총차입금 0억 × 0.00% (연율, CF 실측) ÷ 4; 환·평가손익 0 가정
[abs]</t>
      </text>
    </comment>
    <comment ref="AH11" authorId="0" shapeId="0">
      <text>
        <t>추정: 이자손익 = 이자발생자산 223억 × 2.53% − 총차입금 0억 × 0.00% (연율, CF 실측) ÷ 4; 환·평가손익 0 가정
[abs]</t>
      </text>
    </comment>
    <comment ref="AI11" authorId="0" shapeId="0">
      <text>
        <t>추정: 이자손익 = 이자발생자산 252억 × 2.53% − 총차입금 0억 × 0.00% (연율, CF 실측) ÷ 4; 환·평가손익 0 가정
[abs]</t>
      </text>
    </comment>
    <comment ref="AK11" authorId="0" shapeId="0">
      <text>
        <t>추정: 이자손익 = 이자발생자산 278억 × 2.53% − 총차입금 0억 × 0.00% (연율, CF 실측) ÷ 4; 환·평가손익 0 가정
[abs]</t>
      </text>
    </comment>
    <comment ref="AL11" authorId="0" shapeId="0">
      <text>
        <t>추정: 이자손익 = 이자발생자산 307억 × 2.53% − 총차입금 0억 × 0.00% (연율, CF 실측) ÷ 4; 환·평가손익 0 가정
[abs]</t>
      </text>
    </comment>
    <comment ref="AM11" authorId="0" shapeId="0">
      <text>
        <t>추정: 이자손익 = 이자발생자산 285억 × 2.53% − 총차입금 0억 × 0.00% (연율, CF 실측) ÷ 4; 환·평가손익 0 가정
[abs]</t>
      </text>
    </comment>
    <comment ref="AN11" authorId="0" shapeId="0">
      <text>
        <t>추정: 이자손익 = 이자발생자산 315억 × 2.53%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17.3%(최근 12분기 유효세율 17.3% → 5~27% 클립)
[ratio]</t>
      </text>
    </comment>
    <comment ref="AD14" authorId="0" shapeId="0">
      <text>
        <t>추정: max(세전, 0) × 세율 17.3%(최근 12분기 유효세율 17.3% → 5~27% 클립)
[ratio]</t>
      </text>
    </comment>
    <comment ref="AF14" authorId="0" shapeId="0">
      <text>
        <t>추정: max(세전, 0) × 세율 17.3%(최근 12분기 유효세율 17.3% → 5~27% 클립)
[ratio]</t>
      </text>
    </comment>
    <comment ref="AG14" authorId="0" shapeId="0">
      <text>
        <t>추정: max(세전, 0) × 세율 17.3%(최근 12분기 유효세율 17.3% → 5~27% 클립)
[ratio]</t>
      </text>
    </comment>
    <comment ref="AH14" authorId="0" shapeId="0">
      <text>
        <t>추정: max(세전, 0) × 세율 17.3%(최근 12분기 유효세율 17.3% → 5~27% 클립)
[ratio]</t>
      </text>
    </comment>
    <comment ref="AI14" authorId="0" shapeId="0">
      <text>
        <t>추정: max(세전, 0) × 세율 17.3%(최근 12분기 유효세율 17.3% → 5~27% 클립)
[ratio]</t>
      </text>
    </comment>
    <comment ref="AK14" authorId="0" shapeId="0">
      <text>
        <t>추정: max(세전, 0) × 세율 17.3%(최근 12분기 유효세율 17.3% → 5~27% 클립)
[ratio]</t>
      </text>
    </comment>
    <comment ref="AL14" authorId="0" shapeId="0">
      <text>
        <t>추정: max(세전, 0) × 세율 17.3%(최근 12분기 유효세율 17.3% → 5~27% 클립)
[ratio]</t>
      </text>
    </comment>
    <comment ref="AM14" authorId="0" shapeId="0">
      <text>
        <t>추정: max(세전, 0) × 세율 17.3%(최근 12분기 유효세율 17.3% → 5~27% 클립)
[ratio]</t>
      </text>
    </comment>
    <comment ref="AN14" authorId="0" shapeId="0">
      <text>
        <t>추정: max(세전, 0) × 세율 17.3%(최근 12분기 유효세율 17.3%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600원 유지
[yoy]</t>
      </text>
    </comment>
    <comment ref="AI30" authorId="0" shapeId="0">
      <text>
        <t>추정: 직전 결산 DPS 600원 유지
[yoy]</t>
      </text>
    </comment>
    <comment ref="AN30" authorId="0" shapeId="0">
      <text>
        <t>추정: 직전 결산 DPS 600원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assets/models/086670.json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14.7% &gt; 추세 11.6% × 1.10 (suppliers_mentions·시차 1·4분기 이동합·창 8, r=0.91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0.072615</v>
      </c>
      <c r="AD21" s="24" t="n">
        <v>0.072604</v>
      </c>
      <c r="AE21" s="25" t="n"/>
      <c r="AF21" s="24" t="n">
        <v>0.072613</v>
      </c>
      <c r="AG21" s="24" t="n">
        <v>0.07262299999999999</v>
      </c>
      <c r="AH21" s="24" t="n">
        <v>0.036308</v>
      </c>
      <c r="AI21" s="24" t="n">
        <v>0.036311</v>
      </c>
      <c r="AJ21" s="25" t="n"/>
      <c r="AK21" s="24" t="n">
        <v>0.036302</v>
      </c>
      <c r="AL21" s="24" t="n">
        <v>0.036297</v>
      </c>
      <c r="AM21" s="24" t="n">
        <v>0.018154</v>
      </c>
      <c r="AN21" s="24" t="n">
        <v>0.018174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0.144162</v>
      </c>
      <c r="AD22" s="24" t="n">
        <v>0.144163</v>
      </c>
      <c r="AE22" s="25">
        <f>IFERROR(subQ!AE8/subQ!AE5,"")</f>
        <v/>
      </c>
      <c r="AF22" s="24" t="n">
        <v>0.14416</v>
      </c>
      <c r="AG22" s="24" t="n">
        <v>0.144155</v>
      </c>
      <c r="AH22" s="24" t="n">
        <v>0.144154</v>
      </c>
      <c r="AI22" s="24" t="n">
        <v>0.144163</v>
      </c>
      <c r="AJ22" s="25">
        <f>IFERROR(subQ!AJ8/subQ!AJ5,"")</f>
        <v/>
      </c>
      <c r="AK22" s="24" t="n">
        <v>0.144169</v>
      </c>
      <c r="AL22" s="24" t="n">
        <v>0.144173</v>
      </c>
      <c r="AM22" s="24" t="n">
        <v>0.144154</v>
      </c>
      <c r="AN22" s="24" t="n">
        <v>0.144162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0.08144999999999999</v>
      </c>
      <c r="AD23" s="24" t="n">
        <v>0.081457</v>
      </c>
      <c r="AE23" s="25">
        <f>IFERROR(subQ!AE9/subQ!AE5,"")</f>
        <v/>
      </c>
      <c r="AF23" s="24" t="n">
        <v>0.081437</v>
      </c>
      <c r="AG23" s="24" t="n">
        <v>0.08144899999999999</v>
      </c>
      <c r="AH23" s="24" t="n">
        <v>0.081454</v>
      </c>
      <c r="AI23" s="24" t="n">
        <v>0.08143599999999999</v>
      </c>
      <c r="AJ23" s="25">
        <f>IFERROR(subQ!AJ9/subQ!AJ5,"")</f>
        <v/>
      </c>
      <c r="AK23" s="24" t="n">
        <v>0.081443</v>
      </c>
      <c r="AL23" s="24" t="n">
        <v>0.081444</v>
      </c>
      <c r="AM23" s="24" t="n">
        <v>0.081441</v>
      </c>
      <c r="AN23" s="24" t="n">
        <v>0.081452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-0.475515</v>
      </c>
      <c r="AD24" s="24" t="n">
        <v>-0.171923</v>
      </c>
      <c r="AE24" s="25" t="n"/>
      <c r="AF24" s="24" t="n">
        <v>0.634538</v>
      </c>
      <c r="AG24" s="24" t="n">
        <v>-0.370943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1.05</v>
      </c>
      <c r="AD25" s="29" t="n">
        <v>1.23</v>
      </c>
      <c r="AE25" s="30">
        <f>subQ!AE11</f>
        <v/>
      </c>
      <c r="AF25" s="29" t="n">
        <v>1.39</v>
      </c>
      <c r="AG25" s="29" t="n">
        <v>1.56</v>
      </c>
      <c r="AH25" s="29" t="n">
        <v>1.41</v>
      </c>
      <c r="AI25" s="29" t="n">
        <v>1.59</v>
      </c>
      <c r="AJ25" s="30">
        <f>subQ!AJ11</f>
        <v/>
      </c>
      <c r="AK25" s="29" t="n">
        <v>1.76</v>
      </c>
      <c r="AL25" s="29" t="n">
        <v>1.94</v>
      </c>
      <c r="AM25" s="29" t="n">
        <v>1.8</v>
      </c>
      <c r="AN25" s="29" t="n">
        <v>1.99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0.172883</v>
      </c>
      <c r="AD27" s="24" t="n">
        <v>0.172706</v>
      </c>
      <c r="AE27" s="25">
        <f>IFERROR(subQ!AE14/subQ!AE13,"")</f>
        <v/>
      </c>
      <c r="AF27" s="24" t="n">
        <v>0.172828</v>
      </c>
      <c r="AG27" s="24" t="n">
        <v>0.172758</v>
      </c>
      <c r="AH27" s="24" t="n">
        <v>0.172658</v>
      </c>
      <c r="AI27" s="24" t="n">
        <v>0.172747</v>
      </c>
      <c r="AJ27" s="25">
        <f>IFERROR(subQ!AJ14/subQ!AJ13,"")</f>
        <v/>
      </c>
      <c r="AK27" s="24" t="n">
        <v>0.17285</v>
      </c>
      <c r="AL27" s="24" t="n">
        <v>0.172901</v>
      </c>
      <c r="AM27" s="24" t="n">
        <v>0.172812</v>
      </c>
      <c r="AN27" s="24" t="n">
        <v>0.172925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-0.0016</v>
      </c>
      <c r="AD30" s="29" t="n">
        <v>0</v>
      </c>
      <c r="AE30" s="30" t="n"/>
      <c r="AF30" s="29" t="n">
        <v>0.01</v>
      </c>
      <c r="AG30" s="29" t="n">
        <v>59.55</v>
      </c>
      <c r="AH30" s="29" t="n">
        <v>0</v>
      </c>
      <c r="AI30" s="29" t="n">
        <v>0</v>
      </c>
      <c r="AJ30" s="30" t="n"/>
      <c r="AK30" s="29" t="n">
        <v>0</v>
      </c>
      <c r="AL30" s="29" t="n">
        <v>59.55</v>
      </c>
      <c r="AM30" s="29" t="n">
        <v>0</v>
      </c>
      <c r="AN30" s="29" t="n">
        <v>-0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-0.0026</v>
      </c>
      <c r="AD31" s="29" t="n">
        <v>0.01</v>
      </c>
      <c r="AE31" s="30" t="n"/>
      <c r="AF31" s="29" t="n">
        <v>-0</v>
      </c>
      <c r="AG31" s="29" t="n">
        <v>59.55</v>
      </c>
      <c r="AH31" s="29" t="n">
        <v>0</v>
      </c>
      <c r="AI31" s="29" t="n">
        <v>0</v>
      </c>
      <c r="AJ31" s="30" t="n"/>
      <c r="AK31" s="29" t="n">
        <v>0</v>
      </c>
      <c r="AL31" s="29" t="n">
        <v>59.55</v>
      </c>
      <c r="AM31" s="29" t="n">
        <v>-0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0.168559</v>
      </c>
      <c r="AD34" s="24" t="n">
        <v>0.130848</v>
      </c>
      <c r="AE34" s="25" t="n"/>
      <c r="AF34" s="24" t="n">
        <v>0.122603</v>
      </c>
      <c r="AG34" s="24" t="n">
        <v>-0.094</v>
      </c>
      <c r="AH34" s="24" t="n">
        <v>0.131184</v>
      </c>
      <c r="AI34" s="24" t="n">
        <v>0.105255</v>
      </c>
      <c r="AJ34" s="25" t="n"/>
      <c r="AK34" s="24" t="n">
        <v>0.100905</v>
      </c>
      <c r="AL34" s="24" t="n">
        <v>-0.07019400000000001</v>
      </c>
      <c r="AM34" s="24" t="n">
        <v>0.105416</v>
      </c>
      <c r="AN34" s="24" t="n">
        <v>0.0867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2.135593</v>
      </c>
      <c r="AD40" s="24" t="n">
        <v>1.257282</v>
      </c>
      <c r="AE40" s="25" t="n"/>
      <c r="AF40" s="24" t="n">
        <v>1.270802</v>
      </c>
      <c r="AG40" s="24" t="n">
        <v>1.452802</v>
      </c>
      <c r="AH40" s="24" t="n">
        <v>0.111486</v>
      </c>
      <c r="AI40" s="24" t="n">
        <v>0.167742</v>
      </c>
      <c r="AJ40" s="25" t="n"/>
      <c r="AK40" s="24" t="n">
        <v>0.073951</v>
      </c>
      <c r="AL40" s="24" t="n">
        <v>-0.043295</v>
      </c>
      <c r="AM40" s="24" t="n">
        <v>-0.039514</v>
      </c>
      <c r="AN40" s="24" t="n">
        <v>-0.036219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0.736111</v>
      </c>
      <c r="AD41" s="24" t="n">
        <v>0.5</v>
      </c>
      <c r="AE41" s="25" t="n"/>
      <c r="AF41" s="24" t="n">
        <v>0.375</v>
      </c>
      <c r="AG41" s="24" t="n">
        <v>0.194175</v>
      </c>
      <c r="AH41" s="24" t="n">
        <v>-0.032</v>
      </c>
      <c r="AI41" s="24" t="n">
        <v>-0.03252</v>
      </c>
      <c r="AJ41" s="25" t="n"/>
      <c r="AK41" s="24" t="n">
        <v>-0.033058</v>
      </c>
      <c r="AL41" s="24" t="n">
        <v>-0.04065</v>
      </c>
      <c r="AM41" s="24" t="n">
        <v>-0.041322</v>
      </c>
      <c r="AN41" s="24" t="n">
        <v>-0.042017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0.08144999999999999</v>
      </c>
      <c r="AD43" s="24" t="n">
        <v>0.081457</v>
      </c>
      <c r="AE43" s="25">
        <f>IFERROR(subQ!AE34/subQ!AE33,"")</f>
        <v/>
      </c>
      <c r="AF43" s="24" t="n">
        <v>0.081437</v>
      </c>
      <c r="AG43" s="24" t="n">
        <v>0.08144899999999999</v>
      </c>
      <c r="AH43" s="24" t="n">
        <v>0.081454</v>
      </c>
      <c r="AI43" s="24" t="n">
        <v>0.08143599999999999</v>
      </c>
      <c r="AJ43" s="25">
        <f>IFERROR(subQ!AJ34/subQ!AJ33,"")</f>
        <v/>
      </c>
      <c r="AK43" s="24" t="n">
        <v>0.081443</v>
      </c>
      <c r="AL43" s="24" t="n">
        <v>0.081444</v>
      </c>
      <c r="AM43" s="24" t="n">
        <v>0.081441</v>
      </c>
      <c r="AN43" s="24" t="n">
        <v>0.081452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19530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6.8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8.1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14.8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0.1728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0.1442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4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4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4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4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4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4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4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4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4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4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4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4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4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4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4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4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4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4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4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4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4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4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4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4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4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4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4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4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4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4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4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4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4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4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3092.55</v>
      </c>
      <c r="P14" s="34" t="n">
        <v>3092.55</v>
      </c>
      <c r="Q14" s="18" t="n">
        <v>3450.29</v>
      </c>
      <c r="R14" s="18" t="n">
        <v>1819.92</v>
      </c>
      <c r="S14" s="18" t="n">
        <v>1816.55</v>
      </c>
      <c r="T14" s="18" t="n">
        <v>1742.83</v>
      </c>
      <c r="U14" s="34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4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4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4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3623.39</v>
      </c>
      <c r="P15" s="34" t="n">
        <v>3623.39</v>
      </c>
      <c r="Q15" s="18" t="n">
        <v>3905.58</v>
      </c>
      <c r="R15" s="18" t="n">
        <v>1824.98</v>
      </c>
      <c r="S15" s="18" t="n">
        <v>1816.55</v>
      </c>
      <c r="T15" s="18" t="n">
        <v>1742.83</v>
      </c>
      <c r="U15" s="34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4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4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4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4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4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4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4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4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4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4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4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4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4" t="n">
        <v>1226.92</v>
      </c>
      <c r="Q19" s="18" t="n">
        <v>1196.41</v>
      </c>
      <c r="S19" s="18" t="n">
        <v>1363.65</v>
      </c>
      <c r="T19" s="18" t="n">
        <v>1314.64</v>
      </c>
      <c r="U19" s="34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4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I20" s="18" t="n">
        <v>2457.32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4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4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4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4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4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4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4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4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4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4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4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4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4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4" t="n">
        <v>10588.8</v>
      </c>
      <c r="R24" s="18" t="n">
        <v>11475.18</v>
      </c>
      <c r="S24" s="18" t="n">
        <v>9997.48</v>
      </c>
      <c r="T24" s="18" t="n">
        <v>11569.97</v>
      </c>
      <c r="U24" s="34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4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4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4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4" t="n">
        <v>64393.27</v>
      </c>
      <c r="Q25" s="18" t="n">
        <v>69146.64</v>
      </c>
      <c r="R25" s="18" t="n">
        <v>100246.64</v>
      </c>
      <c r="S25" s="18" t="n">
        <v>111146.64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4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4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4" t="n">
        <v>64393.27</v>
      </c>
      <c r="Q26" s="18" t="n">
        <v>69146.64</v>
      </c>
      <c r="R26" s="18" t="n">
        <v>100246.64</v>
      </c>
      <c r="S26" s="18" t="n">
        <v>111146.64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4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4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4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4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4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4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4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4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4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4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4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4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4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4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4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4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4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4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4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4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4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4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4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4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4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4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4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4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4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4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4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4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4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4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4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4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4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4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4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4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4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4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4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4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4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4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4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4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4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4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4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4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4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4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4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4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4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4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4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4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4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4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4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4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4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4" t="n">
        <v>111750.59</v>
      </c>
      <c r="Q47" s="18" t="n">
        <v>112685.68</v>
      </c>
      <c r="R47" s="18" t="n">
        <v>104646.62</v>
      </c>
      <c r="S47" s="18" t="n">
        <v>111479.96</v>
      </c>
      <c r="T47" s="18" t="n">
        <v>8251.200000000001</v>
      </c>
      <c r="U47" s="34" t="n">
        <v>8251.200000000001</v>
      </c>
      <c r="V47" s="18" t="n">
        <v>8376.84</v>
      </c>
      <c r="W47" s="18" t="n">
        <v>8506.83</v>
      </c>
      <c r="X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4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4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4" t="n">
        <v>101193.21</v>
      </c>
      <c r="Q48" s="18" t="n">
        <v>100414.61</v>
      </c>
      <c r="R48" s="18" t="n">
        <v>91934.98</v>
      </c>
      <c r="S48" s="18" t="n">
        <v>91723.11</v>
      </c>
      <c r="T48" s="18" t="n">
        <v>-9387.790000000001</v>
      </c>
      <c r="U48" s="34" t="n">
        <v>-9387.790000000001</v>
      </c>
      <c r="V48" s="18" t="n">
        <v>-12971.86</v>
      </c>
      <c r="W48" s="18" t="n">
        <v>-2510.74</v>
      </c>
      <c r="X48" s="18" t="n">
        <v>-29814.51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4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4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13649.93</v>
      </c>
      <c r="P49" s="34" t="n">
        <v>13649.93</v>
      </c>
      <c r="Q49" s="18" t="n">
        <v>15721.36</v>
      </c>
      <c r="R49" s="18" t="n">
        <v>14531.56</v>
      </c>
      <c r="S49" s="18" t="n">
        <v>21573.4</v>
      </c>
      <c r="T49" s="18" t="n">
        <v>19381.82</v>
      </c>
      <c r="U49" s="34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4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4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4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4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4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4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4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4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4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4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4" t="n">
        <v>1006.7</v>
      </c>
      <c r="Q52" s="18" t="n">
        <v>920.99</v>
      </c>
      <c r="R52" s="18" t="n">
        <v>111.69</v>
      </c>
      <c r="S52" s="18" t="n">
        <v>1546.1</v>
      </c>
      <c r="T52" s="18" t="n">
        <v>1262.34</v>
      </c>
      <c r="U52" s="34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4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4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4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4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4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4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4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4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4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4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4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4" t="n">
        <v>7753.34</v>
      </c>
      <c r="Q57" s="18" t="n">
        <v>7872.4</v>
      </c>
      <c r="T57" s="18" t="n">
        <v>8251.200000000001</v>
      </c>
      <c r="U57" s="34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4" t="n">
        <v>896.4</v>
      </c>
      <c r="Q58" s="18" t="n">
        <v>810</v>
      </c>
      <c r="S58" s="18" t="n">
        <v>1433.7</v>
      </c>
      <c r="T58" s="18" t="n">
        <v>1123.2</v>
      </c>
      <c r="U58" s="34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4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4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4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4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4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4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4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4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4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4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4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4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4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4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4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4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4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4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4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4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4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4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4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4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4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4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4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4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4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4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4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4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4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4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4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4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4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4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4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4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4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4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4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4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4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4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4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4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4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4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4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4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4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4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4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4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4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4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4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4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4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4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4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4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4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4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4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4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H77" s="18" t="n">
        <v>7379.71</v>
      </c>
      <c r="I77" s="18" t="n">
        <v>6331.02</v>
      </c>
      <c r="J77" s="18" t="n">
        <v>-2399.49</v>
      </c>
      <c r="K77" s="9" t="n"/>
      <c r="L77" s="18" t="n">
        <v>5525.07</v>
      </c>
      <c r="M77" s="18" t="n">
        <v>6206.14</v>
      </c>
      <c r="N77" s="18" t="n">
        <v>3531.3</v>
      </c>
      <c r="O77" s="18" t="n">
        <v>1466.21</v>
      </c>
      <c r="P77" s="34" t="n">
        <v>16728.72</v>
      </c>
      <c r="Q77" s="18" t="n">
        <v>2551.74</v>
      </c>
      <c r="R77" s="18" t="n">
        <v>-1266.06</v>
      </c>
      <c r="S77" s="18" t="n">
        <v>-1517.89</v>
      </c>
      <c r="T77" s="18" t="n">
        <v>4277.39</v>
      </c>
      <c r="U77" s="34" t="n">
        <v>4045.18</v>
      </c>
      <c r="V77" s="18" t="n">
        <v>3588.02</v>
      </c>
      <c r="W77" s="18" t="n">
        <v>1094.98</v>
      </c>
      <c r="X77" s="18" t="n">
        <v>12543.38</v>
      </c>
      <c r="Y77" s="18" t="n">
        <v>1728.85</v>
      </c>
      <c r="Z77" s="34" t="n">
        <v>18955.23</v>
      </c>
      <c r="AA77" s="18" t="n">
        <v>3670.28</v>
      </c>
      <c r="AB77" s="19" t="n">
        <v>4890.91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229.99</v>
      </c>
      <c r="F78" s="9" t="n"/>
      <c r="G78" s="18" t="n">
        <v>6918.5</v>
      </c>
      <c r="H78" s="18" t="n">
        <v>-3510.56</v>
      </c>
      <c r="I78" s="18" t="n">
        <v>-3478.74</v>
      </c>
      <c r="J78" s="18" t="n">
        <v>-2114.67</v>
      </c>
      <c r="K78" s="34" t="n">
        <v>-2185.47</v>
      </c>
      <c r="L78" s="18" t="n">
        <v>3728.83</v>
      </c>
      <c r="M78" s="18" t="n">
        <v>5969.47</v>
      </c>
      <c r="N78" s="18" t="n">
        <v>6341.17</v>
      </c>
      <c r="O78" s="18" t="n">
        <v>-1556.15</v>
      </c>
      <c r="P78" s="34" t="n">
        <v>14483.32</v>
      </c>
      <c r="Q78" s="18" t="n">
        <v>1900.61</v>
      </c>
      <c r="R78" s="18" t="n">
        <v>507.98</v>
      </c>
      <c r="S78" s="18" t="n">
        <v>490.41</v>
      </c>
      <c r="T78" s="18" t="n">
        <v>8965.99</v>
      </c>
      <c r="U78" s="34" t="n">
        <v>11864.99</v>
      </c>
      <c r="V78" s="18" t="n">
        <v>7671.94</v>
      </c>
      <c r="W78" s="18" t="n">
        <v>-6390.59</v>
      </c>
      <c r="X78" s="18" t="n">
        <v>4899.78</v>
      </c>
      <c r="Y78" s="18" t="n">
        <v>3968.51</v>
      </c>
      <c r="Z78" s="34" t="n">
        <v>10149.64</v>
      </c>
      <c r="AA78" s="18" t="n">
        <v>1233.8</v>
      </c>
      <c r="AB78" s="19" t="n">
        <v>-7631.37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-16.33</v>
      </c>
      <c r="F79" s="9" t="n"/>
      <c r="G79" s="18" t="n">
        <v>-1145.08</v>
      </c>
      <c r="H79" s="18" t="n">
        <v>-1254.35</v>
      </c>
      <c r="I79" s="18" t="n">
        <v>-555.02</v>
      </c>
      <c r="J79" s="18" t="n">
        <v>-556.79</v>
      </c>
      <c r="K79" s="34" t="n">
        <v>-3511.24</v>
      </c>
      <c r="L79" s="18" t="n">
        <v>245.25</v>
      </c>
      <c r="M79" s="18" t="n">
        <v>-1616.13</v>
      </c>
      <c r="N79" s="18" t="n">
        <v>-3158.06</v>
      </c>
      <c r="O79" s="18" t="n">
        <v>-1034.14</v>
      </c>
      <c r="P79" s="34" t="n">
        <v>-5563.08</v>
      </c>
      <c r="Q79" s="18" t="n">
        <v>-8.380000000000001</v>
      </c>
      <c r="R79" s="18" t="n">
        <v>-1285.75</v>
      </c>
      <c r="S79" s="18" t="n">
        <v>-773.71</v>
      </c>
      <c r="T79" s="18" t="n">
        <v>-578.02</v>
      </c>
      <c r="U79" s="34" t="n">
        <v>-2645.86</v>
      </c>
      <c r="V79" s="18" t="n">
        <v>-0.9</v>
      </c>
      <c r="W79" s="18" t="n">
        <v>-74.67</v>
      </c>
      <c r="X79" s="18" t="n">
        <v>-356.26</v>
      </c>
      <c r="Y79" s="18" t="n">
        <v>-0.52</v>
      </c>
      <c r="Z79" s="34" t="n">
        <v>-432.35</v>
      </c>
      <c r="AA79" s="18" t="n">
        <v>-1860.2</v>
      </c>
      <c r="AB79" s="19" t="n">
        <v>-2146.31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9413.129999999999</v>
      </c>
      <c r="F80" s="9" t="n"/>
      <c r="G80" s="18" t="n">
        <v>-14175.73</v>
      </c>
      <c r="H80" s="18" t="n">
        <v>-3913.12</v>
      </c>
      <c r="I80" s="18" t="n">
        <v>-9281.01</v>
      </c>
      <c r="J80" s="18" t="n">
        <v>-10625.6</v>
      </c>
      <c r="K80" s="34" t="n">
        <v>-37995.46</v>
      </c>
      <c r="L80" s="18" t="n">
        <v>-10549.47</v>
      </c>
      <c r="M80" s="18" t="n">
        <v>2704.07</v>
      </c>
      <c r="N80" s="18" t="n">
        <v>-14851.11</v>
      </c>
      <c r="O80" s="18" t="n">
        <v>6349.69</v>
      </c>
      <c r="P80" s="34" t="n">
        <v>-16346.82</v>
      </c>
      <c r="Q80" s="18" t="n">
        <v>-6450.27</v>
      </c>
      <c r="R80" s="18" t="n">
        <v>-77.11</v>
      </c>
      <c r="S80" s="18" t="n">
        <v>4755.88</v>
      </c>
      <c r="T80" s="18" t="n">
        <v>-11396.67</v>
      </c>
      <c r="U80" s="34" t="n">
        <v>-13168.17</v>
      </c>
      <c r="V80" s="18" t="n">
        <v>8701.700000000001</v>
      </c>
      <c r="W80" s="18" t="n">
        <v>15660.12</v>
      </c>
      <c r="X80" s="18" t="n">
        <v>4841.05</v>
      </c>
      <c r="Y80" s="18" t="n">
        <v>-2479.74</v>
      </c>
      <c r="Z80" s="34" t="n">
        <v>26723.13</v>
      </c>
      <c r="AA80" s="18" t="n">
        <v>-18195.08</v>
      </c>
      <c r="AB80" s="19" t="n">
        <v>2502.91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5800.01</v>
      </c>
      <c r="F81" s="9" t="n"/>
      <c r="G81" s="18" t="n">
        <v>7829.42</v>
      </c>
      <c r="H81" s="18" t="n">
        <v>4768.93</v>
      </c>
      <c r="I81" s="18" t="n">
        <v>10157.53</v>
      </c>
      <c r="J81" s="18" t="n">
        <v>8910.959999999999</v>
      </c>
      <c r="K81" s="34" t="n">
        <v>31666.84</v>
      </c>
      <c r="L81" s="18" t="n">
        <v>11558.57</v>
      </c>
      <c r="M81" s="18" t="n">
        <v>10039.57</v>
      </c>
      <c r="N81" s="18" t="n">
        <v>12175.21</v>
      </c>
      <c r="P81" s="9" t="n"/>
      <c r="Q81" s="18" t="n">
        <v>955.49</v>
      </c>
      <c r="R81" s="18" t="n">
        <v>451.11</v>
      </c>
      <c r="T81" s="18" t="n">
        <v>3439.11</v>
      </c>
      <c r="U81" s="9" t="n"/>
      <c r="V81" s="18" t="n">
        <v>670.55</v>
      </c>
      <c r="W81" s="18" t="n">
        <v>589.49</v>
      </c>
      <c r="X81" s="18" t="n">
        <v>1750.01</v>
      </c>
      <c r="Y81" s="18" t="n">
        <v>7902.05</v>
      </c>
      <c r="Z81" s="34" t="n">
        <v>10912.1</v>
      </c>
      <c r="AA81" s="18" t="n">
        <v>5008.8</v>
      </c>
      <c r="AB81" s="19" t="n">
        <v>10773.49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5773.01</v>
      </c>
      <c r="F82" s="9" t="n"/>
      <c r="G82" s="18" t="n">
        <v>7833.96</v>
      </c>
      <c r="H82" s="18" t="n">
        <v>4775.96</v>
      </c>
      <c r="I82" s="18" t="n">
        <v>10157.53</v>
      </c>
      <c r="J82" s="18" t="n">
        <v>8911.459999999999</v>
      </c>
      <c r="K82" s="34" t="n">
        <v>31678.91</v>
      </c>
      <c r="L82" s="18" t="n">
        <v>11558.57</v>
      </c>
      <c r="M82" s="18" t="n">
        <v>10648.27</v>
      </c>
      <c r="N82" s="18" t="n">
        <v>12172.71</v>
      </c>
      <c r="O82" s="18" t="n">
        <v>35.81</v>
      </c>
      <c r="P82" s="34" t="n">
        <v>34415.36</v>
      </c>
      <c r="Q82" s="18" t="n">
        <v>964.55</v>
      </c>
      <c r="R82" s="18" t="n">
        <v>468.49</v>
      </c>
      <c r="T82" s="18" t="n">
        <v>3609.11</v>
      </c>
      <c r="U82" s="9" t="n"/>
      <c r="V82" s="18" t="n">
        <v>678.98</v>
      </c>
      <c r="W82" s="18" t="n">
        <v>632.59</v>
      </c>
      <c r="X82" s="18" t="n">
        <v>1765.15</v>
      </c>
      <c r="Y82" s="18" t="n">
        <v>7907.5</v>
      </c>
      <c r="Z82" s="34" t="n">
        <v>10984.22</v>
      </c>
      <c r="AA82" s="18" t="n">
        <v>5010.6</v>
      </c>
      <c r="AB82" s="19" t="n">
        <v>10773.49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214.02</v>
      </c>
      <c r="M83" s="18" t="n">
        <v>13.25</v>
      </c>
      <c r="O83" s="18" t="n">
        <v>13.25</v>
      </c>
      <c r="P83" s="9" t="n"/>
      <c r="Q83" s="18" t="n">
        <v>0</v>
      </c>
      <c r="R83" s="18" t="n">
        <v>0</v>
      </c>
      <c r="S83" s="18" t="n">
        <v>62.97</v>
      </c>
      <c r="U83" s="9" t="n"/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-282.64</v>
      </c>
      <c r="F84" s="9" t="n"/>
      <c r="G84" s="18" t="n">
        <v>3687.06</v>
      </c>
      <c r="H84" s="18" t="n">
        <v>6601.11</v>
      </c>
      <c r="I84" s="18" t="n">
        <v>10543.68</v>
      </c>
      <c r="J84" s="18" t="n">
        <v>1737.72</v>
      </c>
      <c r="K84" s="34" t="n">
        <v>22569.57</v>
      </c>
      <c r="L84" s="18" t="n">
        <v>9907.360000000001</v>
      </c>
      <c r="M84" s="18" t="n">
        <v>-2563.94</v>
      </c>
      <c r="N84" s="18" t="n">
        <v>874.14</v>
      </c>
      <c r="O84" s="18" t="n">
        <v>-644.28</v>
      </c>
      <c r="P84" s="34" t="n">
        <v>7573.28</v>
      </c>
      <c r="Q84" s="18" t="n">
        <v>803.71</v>
      </c>
      <c r="R84" s="18" t="n">
        <v>-1753.81</v>
      </c>
      <c r="S84" s="18" t="n">
        <v>6114.04</v>
      </c>
      <c r="T84" s="18" t="n">
        <v>-10482.87</v>
      </c>
      <c r="U84" s="34" t="n">
        <v>-5318.93</v>
      </c>
      <c r="V84" s="18" t="n">
        <v>-14258.59</v>
      </c>
      <c r="W84" s="18" t="n">
        <v>-2992.51</v>
      </c>
      <c r="X84" s="18" t="n">
        <v>-4669.61</v>
      </c>
      <c r="Y84" s="18" t="n">
        <v>12945.4</v>
      </c>
      <c r="Z84" s="34" t="n">
        <v>-8975.309999999999</v>
      </c>
      <c r="AA84" s="18" t="n">
        <v>2485.29</v>
      </c>
      <c r="AB84" s="19" t="n">
        <v>-7676.42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10780</v>
      </c>
      <c r="I85" s="18" t="n">
        <v>31280</v>
      </c>
      <c r="J85" s="18" t="n">
        <v>32900</v>
      </c>
      <c r="K85" s="9" t="n"/>
      <c r="L85" s="18" t="n">
        <v>28500</v>
      </c>
      <c r="N85" s="18" t="n">
        <v>90540</v>
      </c>
      <c r="O85" s="18" t="n">
        <v>48406.63</v>
      </c>
      <c r="P85" s="9" t="n"/>
      <c r="Q85" s="18" t="n">
        <v>48620</v>
      </c>
      <c r="R85" s="18" t="n">
        <v>47300</v>
      </c>
      <c r="S85" s="18" t="n">
        <v>41000</v>
      </c>
      <c r="U85" s="9" t="n"/>
      <c r="V85" s="18" t="n">
        <v>44000</v>
      </c>
      <c r="W85" s="18" t="n">
        <v>43800</v>
      </c>
      <c r="X85" s="18" t="n">
        <v>18500</v>
      </c>
      <c r="Y85" s="18" t="n">
        <v>36500</v>
      </c>
      <c r="Z85" s="34" t="n">
        <v>142800</v>
      </c>
      <c r="AA85" s="18" t="n">
        <v>16000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G86" s="18" t="n">
        <v>0</v>
      </c>
      <c r="H86" s="18" t="n">
        <v>1221.98</v>
      </c>
      <c r="I86" s="18" t="n">
        <v>0</v>
      </c>
      <c r="J86" s="18" t="n">
        <v>0</v>
      </c>
      <c r="K86" s="34" t="n">
        <v>1221.98</v>
      </c>
      <c r="L86" s="18" t="n">
        <v>0</v>
      </c>
      <c r="M86" s="18" t="n">
        <v>1825.03</v>
      </c>
      <c r="N86" s="18" t="n">
        <v>0</v>
      </c>
      <c r="O86" s="18" t="n">
        <v>0</v>
      </c>
      <c r="P86" s="34" t="n">
        <v>1825.03</v>
      </c>
      <c r="Q86" s="18" t="n">
        <v>0</v>
      </c>
      <c r="R86" s="18" t="n">
        <v>2281.29</v>
      </c>
      <c r="S86" s="18" t="n">
        <v>0</v>
      </c>
      <c r="T86" s="18" t="n">
        <v>0</v>
      </c>
      <c r="U86" s="34" t="n">
        <v>2281.29</v>
      </c>
      <c r="V86" s="18" t="n">
        <v>0</v>
      </c>
      <c r="W86" s="18" t="n">
        <v>2281.29</v>
      </c>
      <c r="X86" s="18" t="n">
        <v>0</v>
      </c>
      <c r="Y86" s="18" t="n">
        <v>0</v>
      </c>
      <c r="Z86" s="34" t="n">
        <v>2281.29</v>
      </c>
      <c r="AA86" s="18" t="n">
        <v>0</v>
      </c>
      <c r="AB86" s="19" t="n">
        <v>5955.53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9345.99</v>
      </c>
      <c r="F87" s="9" t="n"/>
      <c r="G87" s="18" t="n">
        <v>-3570.17</v>
      </c>
      <c r="H87" s="18" t="n">
        <v>-810.78</v>
      </c>
      <c r="I87" s="18" t="n">
        <v>-2227.85</v>
      </c>
      <c r="J87" s="18" t="n">
        <v>-11011.79</v>
      </c>
      <c r="K87" s="34" t="n">
        <v>-17620.59</v>
      </c>
      <c r="L87" s="18" t="n">
        <v>3115.27</v>
      </c>
      <c r="M87" s="18" t="n">
        <v>6035.68</v>
      </c>
      <c r="N87" s="18" t="n">
        <v>-7649.02</v>
      </c>
      <c r="O87" s="18" t="n">
        <v>4200.49</v>
      </c>
      <c r="P87" s="34" t="n">
        <v>5702.42</v>
      </c>
      <c r="Q87" s="18" t="n">
        <v>-3786.75</v>
      </c>
      <c r="R87" s="18" t="n">
        <v>-1331.67</v>
      </c>
      <c r="S87" s="18" t="n">
        <v>11201.47</v>
      </c>
      <c r="T87" s="18" t="n">
        <v>-12706.29</v>
      </c>
      <c r="U87" s="34" t="n">
        <v>-6623.24</v>
      </c>
      <c r="V87" s="18" t="n">
        <v>2168.51</v>
      </c>
      <c r="W87" s="18" t="n">
        <v>6154.19</v>
      </c>
      <c r="X87" s="18" t="n">
        <v>5280.88</v>
      </c>
      <c r="Y87" s="18" t="n">
        <v>14168.62</v>
      </c>
      <c r="Z87" s="34" t="n">
        <v>27772.2</v>
      </c>
      <c r="AA87" s="18" t="n">
        <v>-13916.81</v>
      </c>
      <c r="AB87" s="19" t="n">
        <v>-13361.25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9339.41</v>
      </c>
      <c r="F88" s="9" t="n"/>
      <c r="G88" s="18" t="n">
        <v>16817.78</v>
      </c>
      <c r="H88" s="18" t="n">
        <v>-726.05</v>
      </c>
      <c r="I88" s="18" t="n">
        <v>-2227.86</v>
      </c>
      <c r="J88" s="18" t="n">
        <v>-11011.79</v>
      </c>
      <c r="K88" s="34" t="n">
        <v>2852.08</v>
      </c>
      <c r="L88" s="18" t="n">
        <v>5967.36</v>
      </c>
      <c r="M88" s="18" t="n">
        <v>6035.68</v>
      </c>
      <c r="N88" s="18" t="n">
        <v>-7649.03</v>
      </c>
      <c r="O88" s="18" t="n">
        <v>4200.49</v>
      </c>
      <c r="P88" s="34" t="n">
        <v>8554.5</v>
      </c>
      <c r="Q88" s="18" t="n">
        <v>4767.75</v>
      </c>
      <c r="R88" s="18" t="n">
        <v>-1331.67</v>
      </c>
      <c r="S88" s="18" t="n">
        <v>11201.47</v>
      </c>
      <c r="T88" s="18" t="n">
        <v>-12706.29</v>
      </c>
      <c r="U88" s="34" t="n">
        <v>1931.26</v>
      </c>
      <c r="V88" s="18" t="n">
        <v>4099.77</v>
      </c>
      <c r="W88" s="18" t="n">
        <v>6154.19</v>
      </c>
      <c r="X88" s="18" t="n">
        <v>5280.88</v>
      </c>
      <c r="Y88" s="18" t="n">
        <v>14168.62</v>
      </c>
      <c r="Z88" s="34" t="n">
        <v>29703.46</v>
      </c>
      <c r="AA88" s="18" t="n">
        <v>15786.65</v>
      </c>
      <c r="AB88" s="19" t="n">
        <v>-13361.25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0</v>
      </c>
      <c r="H89" s="18" t="n">
        <v>21.82</v>
      </c>
      <c r="I89" s="18" t="n">
        <v>6.5</v>
      </c>
      <c r="J89" s="18" t="n">
        <v>0</v>
      </c>
      <c r="K89" s="34" t="n">
        <v>28.32</v>
      </c>
      <c r="L89" s="18" t="n">
        <v>3.64</v>
      </c>
      <c r="M89" s="18" t="n">
        <v>0</v>
      </c>
      <c r="N89" s="18" t="n">
        <v>0.27</v>
      </c>
      <c r="O89" s="18" t="n">
        <v>0</v>
      </c>
      <c r="P89" s="34" t="n">
        <v>3.91</v>
      </c>
      <c r="Q89" s="18" t="n">
        <v>0</v>
      </c>
      <c r="R89" s="18" t="n">
        <v>0</v>
      </c>
      <c r="S89" s="18" t="n">
        <v>2218.18</v>
      </c>
      <c r="U89" s="9" t="n"/>
      <c r="V89" s="18" t="n">
        <v>7.41</v>
      </c>
      <c r="W89" s="18" t="n">
        <v>8.18</v>
      </c>
      <c r="X89" s="18" t="n">
        <v>0</v>
      </c>
      <c r="Y89" s="18" t="n">
        <v>0</v>
      </c>
      <c r="Z89" s="34" t="n">
        <v>15.59</v>
      </c>
      <c r="AA89" s="18" t="n">
        <v>0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G90" s="18" t="n">
        <v>4.54</v>
      </c>
      <c r="H90" s="18" t="n">
        <v>7.03</v>
      </c>
      <c r="I90" s="18" t="n">
        <v>0</v>
      </c>
      <c r="J90" s="18" t="n">
        <v>0.5</v>
      </c>
      <c r="K90" s="34" t="n">
        <v>12.07</v>
      </c>
      <c r="L90" s="18" t="n">
        <v>0</v>
      </c>
      <c r="M90" s="18" t="n">
        <v>608.7</v>
      </c>
      <c r="O90" s="18" t="n">
        <v>35.81</v>
      </c>
      <c r="P90" s="9" t="n"/>
      <c r="Q90" s="18" t="n">
        <v>9.06</v>
      </c>
      <c r="R90" s="18" t="n">
        <v>17.38</v>
      </c>
      <c r="T90" s="18" t="n">
        <v>170</v>
      </c>
      <c r="U90" s="9" t="n"/>
      <c r="V90" s="18" t="n">
        <v>8.43</v>
      </c>
      <c r="W90" s="18" t="n">
        <v>43.1</v>
      </c>
      <c r="X90" s="18" t="n">
        <v>15.14</v>
      </c>
      <c r="Y90" s="18" t="n">
        <v>5.45</v>
      </c>
      <c r="Z90" s="34" t="n">
        <v>72.12</v>
      </c>
      <c r="AA90" s="18" t="n">
        <v>1.8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F91" s="9" t="n"/>
      <c r="G91" s="18" t="n">
        <v>7500</v>
      </c>
      <c r="K91" s="9" t="n"/>
      <c r="O91" s="18" t="n">
        <v>166.66</v>
      </c>
      <c r="P91" s="9" t="n"/>
      <c r="Q91" s="18" t="n">
        <v>2166.66</v>
      </c>
      <c r="R91" s="18" t="n">
        <v>166.66</v>
      </c>
      <c r="S91" s="18" t="n">
        <v>3966.66</v>
      </c>
      <c r="T91" s="18" t="n">
        <v>166.66</v>
      </c>
      <c r="U91" s="34" t="n">
        <v>6466.64</v>
      </c>
      <c r="V91" s="18" t="n">
        <v>20166.66</v>
      </c>
      <c r="W91" s="18" t="n">
        <v>15166.66</v>
      </c>
      <c r="X91" s="18" t="n">
        <v>166.66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G92" s="18" t="n">
        <v>0</v>
      </c>
      <c r="H92" s="18" t="n">
        <v>7887.6</v>
      </c>
      <c r="I92" s="18" t="n">
        <v>7624.26</v>
      </c>
      <c r="J92" s="18" t="n">
        <v>6080.06</v>
      </c>
      <c r="K92" s="34" t="n">
        <v>21591.92</v>
      </c>
      <c r="L92" s="18" t="n">
        <v>4958.82</v>
      </c>
      <c r="M92" s="18" t="n">
        <v>0</v>
      </c>
      <c r="N92" s="18" t="n">
        <v>0</v>
      </c>
      <c r="O92" s="18" t="n">
        <v>0</v>
      </c>
      <c r="P92" s="34" t="n">
        <v>4958.82</v>
      </c>
      <c r="Q92" s="18" t="n">
        <v>0</v>
      </c>
      <c r="R92" s="18" t="n">
        <v>1200</v>
      </c>
      <c r="T92" s="18" t="n">
        <v>0</v>
      </c>
      <c r="U92" s="9" t="n"/>
      <c r="V92" s="18" t="n">
        <v>0</v>
      </c>
      <c r="W92" s="18" t="n">
        <v>100</v>
      </c>
      <c r="X92" s="18" t="n">
        <v>517.6</v>
      </c>
      <c r="Y92" s="18" t="n">
        <v>3420</v>
      </c>
      <c r="Z92" s="34" t="n">
        <v>4037.6</v>
      </c>
      <c r="AA92" s="18" t="n">
        <v>2673</v>
      </c>
      <c r="AB92" s="19" t="n">
        <v>2300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F93" s="9" t="n"/>
      <c r="G93" s="18" t="n">
        <v>3340</v>
      </c>
      <c r="J93" s="18" t="n">
        <v>1500.06</v>
      </c>
      <c r="K93" s="9" t="n"/>
      <c r="L93" s="18" t="n">
        <v>0</v>
      </c>
      <c r="O93" s="18" t="n">
        <v>0</v>
      </c>
      <c r="P93" s="9" t="n"/>
      <c r="Q93" s="18" t="n">
        <v>3770.68</v>
      </c>
      <c r="R93" s="18" t="n">
        <v>0</v>
      </c>
      <c r="S93" s="18" t="n">
        <v>0</v>
      </c>
      <c r="T93" s="18" t="n">
        <v>0</v>
      </c>
      <c r="U93" s="34" t="n">
        <v>3770.68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I94" s="18" t="n">
        <v>2060</v>
      </c>
      <c r="K94" s="9" t="n"/>
      <c r="P94" s="9" t="n"/>
      <c r="U94" s="9" t="n"/>
      <c r="Z94" s="9" t="n"/>
      <c r="AA94" s="18" t="n">
        <v>166.66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F95" s="9" t="n"/>
      <c r="J95" s="18" t="n">
        <v>30900</v>
      </c>
      <c r="K95" s="9" t="n"/>
      <c r="L95" s="18" t="n">
        <v>23500</v>
      </c>
      <c r="N95" s="18" t="n">
        <v>87640</v>
      </c>
      <c r="O95" s="18" t="n">
        <v>48260</v>
      </c>
      <c r="P95" s="9" t="n"/>
      <c r="Q95" s="18" t="n">
        <v>41866.63</v>
      </c>
      <c r="R95" s="18" t="n">
        <v>47793.37</v>
      </c>
      <c r="S95" s="18" t="n">
        <v>29706.63</v>
      </c>
      <c r="U95" s="9" t="n"/>
      <c r="V95" s="18" t="n">
        <v>36300</v>
      </c>
      <c r="W95" s="18" t="n">
        <v>29200</v>
      </c>
      <c r="X95" s="18" t="n">
        <v>23500</v>
      </c>
      <c r="Y95" s="18" t="n">
        <v>29500</v>
      </c>
      <c r="Z95" s="34" t="n">
        <v>118500</v>
      </c>
      <c r="AA95" s="18" t="n">
        <v>16000</v>
      </c>
      <c r="AB95" s="19" t="n">
        <v>4000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84.37</v>
      </c>
      <c r="P96" s="9" t="n"/>
      <c r="Q96" s="18" t="n">
        <v>27.74</v>
      </c>
      <c r="R96" s="18" t="n">
        <v>98.76000000000001</v>
      </c>
      <c r="S96" s="18" t="n">
        <v>141.6</v>
      </c>
      <c r="T96" s="18" t="n">
        <v>26.22</v>
      </c>
      <c r="U96" s="34" t="n">
        <v>294.32</v>
      </c>
      <c r="V96" s="18" t="n">
        <v>152.64</v>
      </c>
      <c r="W96" s="18" t="n">
        <v>95.68000000000001</v>
      </c>
      <c r="X96" s="18" t="n">
        <v>149.89</v>
      </c>
      <c r="Y96" s="18" t="n">
        <v>242.9</v>
      </c>
      <c r="Z96" s="34" t="n">
        <v>641.11</v>
      </c>
      <c r="AA96" s="18" t="n">
        <v>270.18</v>
      </c>
      <c r="AB96" s="19" t="n">
        <v>184.82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K97" s="9" t="n"/>
      <c r="P97" s="9" t="n"/>
      <c r="U97" s="9" t="n"/>
      <c r="Z97" s="9" t="n"/>
      <c r="AA97" s="18" t="n">
        <v>21.05</v>
      </c>
      <c r="AB97" s="19" t="n">
        <v>20.89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4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4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4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4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4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4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4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4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4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4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4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4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4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4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4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4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4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4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4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4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4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4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4" t="n">
        <v>272.03</v>
      </c>
      <c r="Q9" s="18" t="n">
        <v>344.15</v>
      </c>
      <c r="S9" s="18" t="n">
        <v>413.23</v>
      </c>
      <c r="T9" s="18" t="n">
        <v>156.58</v>
      </c>
      <c r="U9" s="34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4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4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4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4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4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4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4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4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4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4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4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4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4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4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4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4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4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4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4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4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4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3092.55</v>
      </c>
      <c r="P14" s="34" t="n">
        <v>3092.55</v>
      </c>
      <c r="Q14" s="18" t="n">
        <v>3950.29</v>
      </c>
      <c r="R14" s="18" t="n">
        <v>1819.92</v>
      </c>
      <c r="S14" s="18" t="n">
        <v>2316.55</v>
      </c>
      <c r="T14" s="18" t="n">
        <v>1742.83</v>
      </c>
      <c r="U14" s="34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4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4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4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5623.39</v>
      </c>
      <c r="P15" s="34" t="n">
        <v>5623.39</v>
      </c>
      <c r="Q15" s="18" t="n">
        <v>6405.58</v>
      </c>
      <c r="R15" s="18" t="n">
        <v>3824.98</v>
      </c>
      <c r="S15" s="18" t="n">
        <v>5316.55</v>
      </c>
      <c r="T15" s="18" t="n">
        <v>4742.83</v>
      </c>
      <c r="U15" s="34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4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4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4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4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4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4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4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4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4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4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4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4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4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4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4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4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4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4" t="n">
        <v>1218.48</v>
      </c>
      <c r="Q19" s="18" t="n">
        <v>1188.37</v>
      </c>
      <c r="S19" s="18" t="n">
        <v>1356.42</v>
      </c>
      <c r="T19" s="18" t="n">
        <v>1307.81</v>
      </c>
      <c r="U19" s="34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4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4" t="n">
        <v>2182.08</v>
      </c>
      <c r="J20" s="18" t="n">
        <v>2978.27</v>
      </c>
      <c r="K20" s="34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4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4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4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4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4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4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4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4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4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4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4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4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4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4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4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4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4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4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4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4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4" t="n">
        <v>10238.65</v>
      </c>
      <c r="R24" s="18" t="n">
        <v>11132.46</v>
      </c>
      <c r="S24" s="18" t="n">
        <v>9755.09</v>
      </c>
      <c r="T24" s="18" t="n">
        <v>11417.79</v>
      </c>
      <c r="U24" s="34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4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4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4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4" t="n">
        <v>62053.27</v>
      </c>
      <c r="Q25" s="18" t="n">
        <v>66846.64</v>
      </c>
      <c r="R25" s="18" t="n">
        <v>97946.64</v>
      </c>
      <c r="S25" s="18" t="n">
        <v>108846.64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4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4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4" t="n">
        <v>62053.27</v>
      </c>
      <c r="Q26" s="18" t="n">
        <v>66846.64</v>
      </c>
      <c r="R26" s="18" t="n">
        <v>97946.64</v>
      </c>
      <c r="S26" s="18" t="n">
        <v>108846.64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4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4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4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4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4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4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4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4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4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4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4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4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4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4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4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4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4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4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4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4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4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4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4" t="n">
        <v>39603.98</v>
      </c>
      <c r="Q31" s="18" t="n">
        <v>35666.64</v>
      </c>
      <c r="R31" s="18" t="n">
        <v>4399.98</v>
      </c>
      <c r="S31" s="18" t="n">
        <v>333.32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4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4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4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4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T33" s="18" t="n">
        <v>0</v>
      </c>
      <c r="U33" s="34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4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4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4" t="n">
        <v>0</v>
      </c>
      <c r="Q34" s="18" t="n">
        <v>0</v>
      </c>
      <c r="S34" s="18" t="n">
        <v>0</v>
      </c>
      <c r="T34" s="18" t="n">
        <v>0</v>
      </c>
      <c r="U34" s="34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4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4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4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4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4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4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S36" s="18" t="n">
        <v>0</v>
      </c>
      <c r="T36" s="18" t="n">
        <v>248.52</v>
      </c>
      <c r="U36" s="34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4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4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4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4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4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4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4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4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4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4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4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4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4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4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4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4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4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4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4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4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4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4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4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4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4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4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4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4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4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4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4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4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4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4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4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4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4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4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4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4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4" t="n">
        <v>109410.59</v>
      </c>
      <c r="Q46" s="18" t="n">
        <v>110385.68</v>
      </c>
      <c r="R46" s="18" t="n">
        <v>102346.62</v>
      </c>
      <c r="S46" s="18" t="n">
        <v>109179.96</v>
      </c>
      <c r="T46" s="18" t="n">
        <v>8251.200000000001</v>
      </c>
      <c r="U46" s="34" t="n">
        <v>8251.200000000001</v>
      </c>
      <c r="V46" s="18" t="n">
        <v>8376.84</v>
      </c>
      <c r="W46" s="18" t="n">
        <v>8506.83</v>
      </c>
      <c r="X46" s="18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4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4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4" t="n">
        <v>99920.21000000001</v>
      </c>
      <c r="Q47" s="18" t="n">
        <v>98696.19</v>
      </c>
      <c r="R47" s="18" t="n">
        <v>89806.2</v>
      </c>
      <c r="S47" s="18" t="n">
        <v>90953.78</v>
      </c>
      <c r="T47" s="18" t="n">
        <v>-8627.389999999999</v>
      </c>
      <c r="U47" s="34" t="n">
        <v>-8627.389999999999</v>
      </c>
      <c r="V47" s="18" t="n">
        <v>-12179.69</v>
      </c>
      <c r="W47" s="18" t="n">
        <v>-1971.68</v>
      </c>
      <c r="X47" s="18" t="n">
        <v>-28744.39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4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4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12582.93</v>
      </c>
      <c r="P48" s="34" t="n">
        <v>12582.93</v>
      </c>
      <c r="Q48" s="18" t="n">
        <v>15639.78</v>
      </c>
      <c r="R48" s="18" t="n">
        <v>14360.34</v>
      </c>
      <c r="S48" s="18" t="n">
        <v>20542.73</v>
      </c>
      <c r="T48" s="18" t="n">
        <v>18621.42</v>
      </c>
      <c r="U48" s="34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4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4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4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4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4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4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4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4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4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4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4" t="n">
        <v>998.91</v>
      </c>
      <c r="Q51" s="18" t="n">
        <v>913.1</v>
      </c>
      <c r="R51" s="18" t="n">
        <v>103.69</v>
      </c>
      <c r="S51" s="18" t="n">
        <v>1537.99</v>
      </c>
      <c r="T51" s="18" t="n">
        <v>1254.13</v>
      </c>
      <c r="U51" s="34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4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4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4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4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4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4" t="n">
        <v>7753.34</v>
      </c>
      <c r="Q54" s="18" t="n">
        <v>7872.4</v>
      </c>
      <c r="T54" s="18" t="n">
        <v>8251.200000000001</v>
      </c>
      <c r="U54" s="34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4" t="n">
        <v>896.4</v>
      </c>
      <c r="Q55" s="18" t="n">
        <v>810</v>
      </c>
      <c r="S55" s="18" t="n">
        <v>1433.7</v>
      </c>
      <c r="T55" s="18" t="n">
        <v>1123.2</v>
      </c>
      <c r="U55" s="34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4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4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4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4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4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4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4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4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4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4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4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4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4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4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4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4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4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4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4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4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4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4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4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4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4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4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4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4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4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4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4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4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4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4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4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4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4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4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4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4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4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4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4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4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4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4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4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4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4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4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4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4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4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4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4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4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4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4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4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4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4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4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4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4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4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4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4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4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4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4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4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4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4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4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4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4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4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4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4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4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4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4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4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4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4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4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4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4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4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4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4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4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4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4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4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4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4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4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4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4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4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4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4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4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4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4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4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4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4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4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4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4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4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4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4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4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4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4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4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4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0.0547</v>
      </c>
      <c r="F10" s="34" t="n"/>
      <c r="G10" s="18" t="n">
        <v>0.1629</v>
      </c>
      <c r="H10" s="18" t="n">
        <v>0.2262</v>
      </c>
      <c r="I10" s="18" t="n">
        <v>0.19</v>
      </c>
      <c r="J10" s="18" t="n">
        <v>0.07539999999999999</v>
      </c>
      <c r="K10" s="34">
        <f>SUM(G10:J10)</f>
        <v/>
      </c>
      <c r="L10" s="18" t="n">
        <v>0.173</v>
      </c>
      <c r="M10" s="18" t="n">
        <v>0.1904</v>
      </c>
      <c r="N10" s="18" t="n">
        <v>0.0533</v>
      </c>
      <c r="O10" s="18" t="n">
        <v>0.0257</v>
      </c>
      <c r="P10" s="34">
        <f>SUM(L10:O10)</f>
        <v/>
      </c>
      <c r="Q10" s="18" t="n">
        <v>0.0883</v>
      </c>
      <c r="R10" s="18" t="n">
        <v>0.0425</v>
      </c>
      <c r="S10" s="18" t="n">
        <v>-0.0002</v>
      </c>
      <c r="T10" s="18" t="n">
        <v>0.0641</v>
      </c>
      <c r="U10" s="34">
        <f>SUM(Q10:T10)</f>
        <v/>
      </c>
      <c r="V10" s="18" t="n">
        <v>0.0759</v>
      </c>
      <c r="W10" s="18" t="n">
        <v>0.08699999999999999</v>
      </c>
      <c r="X10" s="18" t="n">
        <v>0.1552</v>
      </c>
      <c r="Y10" s="18" t="n">
        <v>0.0983</v>
      </c>
      <c r="Z10" s="34">
        <f>SUM(V10:Y10)</f>
        <v/>
      </c>
      <c r="AA10" s="18" t="n">
        <v>0.0498</v>
      </c>
      <c r="AB10" s="19" t="n">
        <v>0.1294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 t="n"/>
      <c r="T25" s="18">
        <f>IFERROR(VLOOKUP($D25,BS연결,MATCH(T$1,BS연결H,0),0)/100,"")</f>
        <v/>
      </c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2.3</v>
      </c>
      <c r="F26" s="34" t="n"/>
      <c r="G26" s="18" t="n">
        <v>69.19</v>
      </c>
      <c r="H26" s="18" t="n">
        <v>-35.11</v>
      </c>
      <c r="I26" s="18" t="n">
        <v>-34.79</v>
      </c>
      <c r="J26" s="18" t="n">
        <v>-21.15</v>
      </c>
      <c r="K26" s="34">
        <f>SUM(G26:J26)</f>
        <v/>
      </c>
      <c r="L26" s="18" t="n">
        <v>37.29</v>
      </c>
      <c r="M26" s="18" t="n">
        <v>59.69</v>
      </c>
      <c r="N26" s="18" t="n">
        <v>63.41</v>
      </c>
      <c r="O26" s="18" t="n">
        <v>-15.56</v>
      </c>
      <c r="P26" s="34">
        <f>SUM(L26:O26)</f>
        <v/>
      </c>
      <c r="Q26" s="18" t="n">
        <v>19.01</v>
      </c>
      <c r="R26" s="18" t="n">
        <v>5.08</v>
      </c>
      <c r="S26" s="18" t="n">
        <v>4.9</v>
      </c>
      <c r="T26" s="18" t="n">
        <v>89.66</v>
      </c>
      <c r="U26" s="34">
        <f>SUM(Q26:T26)</f>
        <v/>
      </c>
      <c r="V26" s="18" t="n">
        <v>76.72</v>
      </c>
      <c r="W26" s="18" t="n">
        <v>-63.91</v>
      </c>
      <c r="X26" s="18" t="n">
        <v>49</v>
      </c>
      <c r="Y26" s="18" t="n">
        <v>39.69</v>
      </c>
      <c r="Z26" s="34">
        <f>SUM(V26:Y26)</f>
        <v/>
      </c>
      <c r="AA26" s="18" t="n">
        <v>12.34</v>
      </c>
      <c r="AB26" s="19" t="n">
        <v>-76.31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8.147</v>
      </c>
      <c r="F27" s="27">
        <f>E27</f>
        <v/>
      </c>
      <c r="G27" s="26" t="n">
        <v>8.147</v>
      </c>
      <c r="H27" s="26" t="n">
        <v>8.147</v>
      </c>
      <c r="I27" s="26" t="n">
        <v>8.590999999999999</v>
      </c>
      <c r="J27" s="26" t="n">
        <v>9.125</v>
      </c>
      <c r="K27" s="27">
        <f>J27</f>
        <v/>
      </c>
      <c r="L27" s="26" t="n">
        <v>9.125</v>
      </c>
      <c r="M27" s="26" t="n">
        <v>9.125</v>
      </c>
      <c r="N27" s="26" t="n">
        <v>9.125</v>
      </c>
      <c r="O27" s="26" t="n">
        <v>9.125</v>
      </c>
      <c r="P27" s="27">
        <f>O27</f>
        <v/>
      </c>
      <c r="Q27" s="26" t="n">
        <v>9.125</v>
      </c>
      <c r="R27" s="26" t="n">
        <v>9.125</v>
      </c>
      <c r="S27" s="26" t="n">
        <v>9.125</v>
      </c>
      <c r="T27" s="26" t="n">
        <v>9.125</v>
      </c>
      <c r="U27" s="27">
        <f>T27</f>
        <v/>
      </c>
      <c r="V27" s="26" t="n">
        <v>8.93</v>
      </c>
      <c r="W27" s="26" t="n">
        <v>8.904</v>
      </c>
      <c r="X27" s="26" t="n">
        <v>9.704000000000001</v>
      </c>
      <c r="Y27" s="26" t="n">
        <v>9.926</v>
      </c>
      <c r="Z27" s="27">
        <f>Y27</f>
        <v/>
      </c>
      <c r="AA27" s="26" t="n">
        <v>9.926</v>
      </c>
      <c r="AB27" s="28" t="n">
        <v>9.926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150</v>
      </c>
      <c r="F30" s="34" t="n">
        <v>150</v>
      </c>
      <c r="G30" s="18" t="n"/>
      <c r="H30" s="18" t="n"/>
      <c r="I30" s="18" t="n"/>
      <c r="J30" s="18" t="n">
        <v>200</v>
      </c>
      <c r="K30" s="34">
        <f>SUM(G30:J30)</f>
        <v/>
      </c>
      <c r="L30" s="18" t="n"/>
      <c r="M30" s="18" t="n"/>
      <c r="N30" s="18" t="n"/>
      <c r="O30" s="18" t="n">
        <v>250</v>
      </c>
      <c r="P30" s="34">
        <f>SUM(L30:O30)</f>
        <v/>
      </c>
      <c r="Q30" s="18" t="n"/>
      <c r="R30" s="18" t="n"/>
      <c r="S30" s="18" t="n"/>
      <c r="T30" s="18" t="n">
        <v>250</v>
      </c>
      <c r="U30" s="34">
        <f>SUM(Q30:T30)</f>
        <v/>
      </c>
      <c r="V30" s="18" t="n"/>
      <c r="W30" s="18" t="n"/>
      <c r="X30" s="18" t="n"/>
      <c r="Y30" s="18" t="n">
        <v>600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6.35</v>
      </c>
      <c r="J31" s="18" t="n">
        <v>7.94</v>
      </c>
      <c r="K31" s="34">
        <f>SUM(G31:J31)</f>
        <v/>
      </c>
      <c r="L31" s="18" t="n">
        <v>7.29</v>
      </c>
      <c r="M31" s="18" t="n">
        <v>8.26</v>
      </c>
      <c r="N31" s="18" t="n">
        <v>10.57</v>
      </c>
      <c r="O31" s="18" t="n">
        <v>7.26</v>
      </c>
      <c r="P31" s="34">
        <f>SUM(L31:O31)</f>
        <v/>
      </c>
      <c r="Q31" s="18" t="n">
        <v>8.34</v>
      </c>
      <c r="R31" s="18" t="n">
        <v>18.5</v>
      </c>
      <c r="S31" s="18" t="n">
        <v>76.12</v>
      </c>
      <c r="T31" s="18" t="n">
        <v>18.67</v>
      </c>
      <c r="U31" s="34">
        <f>SUM(Q31:T31)</f>
        <v/>
      </c>
      <c r="V31" s="18" t="n">
        <v>14.79</v>
      </c>
      <c r="W31" s="18" t="n">
        <v>11.06</v>
      </c>
      <c r="X31" s="18" t="n">
        <v>4.72</v>
      </c>
      <c r="Y31" s="18" t="n">
        <v>6.18</v>
      </c>
      <c r="Z31" s="34">
        <f>SUM(V31:Y31)</f>
        <v/>
      </c>
      <c r="AA31" s="18" t="n">
        <v>6.61</v>
      </c>
      <c r="AB31" s="19" t="n">
        <v>6.78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1.16</v>
      </c>
      <c r="F32" s="34" t="n">
        <v>1.17</v>
      </c>
      <c r="G32" s="18" t="n">
        <v>1.13</v>
      </c>
      <c r="H32" s="18" t="n">
        <v>1.1</v>
      </c>
      <c r="I32" s="18" t="n">
        <v>1.23</v>
      </c>
      <c r="J32" s="18" t="n">
        <v>1.25</v>
      </c>
      <c r="K32" s="34">
        <f>SUM(G32:J32)</f>
        <v/>
      </c>
      <c r="L32" s="18" t="n">
        <v>1.21</v>
      </c>
      <c r="M32" s="18" t="n">
        <v>1.15</v>
      </c>
      <c r="N32" s="18" t="n">
        <v>1.15</v>
      </c>
      <c r="O32" s="18" t="n">
        <v>1.01</v>
      </c>
      <c r="P32" s="34">
        <f>SUM(L32:O32)</f>
        <v/>
      </c>
      <c r="Q32" s="18" t="n">
        <v>0.95</v>
      </c>
      <c r="R32" s="18" t="n">
        <v>0.98</v>
      </c>
      <c r="S32" s="18" t="n">
        <v>0.84</v>
      </c>
      <c r="T32" s="18" t="n">
        <v>0.63</v>
      </c>
      <c r="U32" s="34">
        <f>SUM(Q32:T32)</f>
        <v/>
      </c>
      <c r="V32" s="18" t="n">
        <v>0.62</v>
      </c>
      <c r="W32" s="18" t="n">
        <v>0.67</v>
      </c>
      <c r="X32" s="18" t="n">
        <v>0.72</v>
      </c>
      <c r="Y32" s="18" t="n">
        <v>0.82</v>
      </c>
      <c r="Z32" s="34">
        <f>SUM(V32:Y32)</f>
        <v/>
      </c>
      <c r="AA32" s="18" t="n">
        <v>0.88</v>
      </c>
      <c r="AB32" s="19" t="n">
        <v>1.03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309.88</v>
      </c>
      <c r="F33" s="34" t="n"/>
      <c r="G33" s="18" t="n">
        <v>250.53</v>
      </c>
      <c r="H33" s="18" t="n">
        <v>384.4</v>
      </c>
      <c r="I33" s="18" t="n">
        <v>375.62</v>
      </c>
      <c r="J33" s="18" t="n">
        <v>410.34</v>
      </c>
      <c r="K33" s="34">
        <f>SUM(G33:J33)</f>
        <v/>
      </c>
      <c r="L33" s="18" t="n">
        <v>384.78</v>
      </c>
      <c r="M33" s="18" t="n">
        <v>434.25</v>
      </c>
      <c r="N33" s="18" t="n">
        <v>277.62</v>
      </c>
      <c r="O33" s="18" t="n">
        <v>399.41</v>
      </c>
      <c r="P33" s="34">
        <f>SUM(L33:O33)</f>
        <v/>
      </c>
      <c r="Q33" s="18" t="n">
        <v>312.85</v>
      </c>
      <c r="R33" s="18" t="n">
        <v>325.66</v>
      </c>
      <c r="S33" s="18" t="n">
        <v>326.55</v>
      </c>
      <c r="T33" s="18" t="n">
        <v>363.02</v>
      </c>
      <c r="U33" s="34">
        <f>SUM(Q33:T33)</f>
        <v/>
      </c>
      <c r="V33" s="18" t="n">
        <v>365.98</v>
      </c>
      <c r="W33" s="18" t="n">
        <v>392.69</v>
      </c>
      <c r="X33" s="18" t="n">
        <v>374.64</v>
      </c>
      <c r="Y33" s="18" t="n">
        <v>336.61</v>
      </c>
      <c r="Z33" s="34">
        <f>SUM(V33:Y33)</f>
        <v/>
      </c>
      <c r="AA33" s="18" t="n">
        <v>355.69</v>
      </c>
      <c r="AB33" s="19" t="n">
        <v>486.47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16.96</v>
      </c>
      <c r="F34" s="34" t="n"/>
      <c r="G34" s="18" t="n">
        <v>40.81</v>
      </c>
      <c r="H34" s="18" t="n">
        <v>86.93000000000001</v>
      </c>
      <c r="I34" s="18" t="n">
        <v>71.36</v>
      </c>
      <c r="J34" s="18" t="n">
        <v>30.93</v>
      </c>
      <c r="K34" s="34">
        <f>SUM(G34:J34)</f>
        <v/>
      </c>
      <c r="L34" s="18" t="n">
        <v>66.56</v>
      </c>
      <c r="M34" s="18" t="n">
        <v>82.7</v>
      </c>
      <c r="N34" s="18" t="n">
        <v>14.8</v>
      </c>
      <c r="O34" s="18" t="n">
        <v>10.26</v>
      </c>
      <c r="P34" s="34">
        <f>SUM(L34:O34)</f>
        <v/>
      </c>
      <c r="Q34" s="18" t="n">
        <v>27.62</v>
      </c>
      <c r="R34" s="18" t="n">
        <v>13.84</v>
      </c>
      <c r="S34" s="18" t="n">
        <v>-0.07000000000000001</v>
      </c>
      <c r="T34" s="18" t="n">
        <v>23.26</v>
      </c>
      <c r="U34" s="34">
        <f>SUM(Q34:T34)</f>
        <v/>
      </c>
      <c r="V34" s="18" t="n">
        <v>27.77</v>
      </c>
      <c r="W34" s="18" t="n">
        <v>34.17</v>
      </c>
      <c r="X34" s="18" t="n">
        <v>58.13</v>
      </c>
      <c r="Y34" s="18" t="n">
        <v>33.07</v>
      </c>
      <c r="Z34" s="34">
        <f>SUM(V34:Y34)</f>
        <v/>
      </c>
      <c r="AA34" s="18" t="n">
        <v>17.72</v>
      </c>
      <c r="AB34" s="19" t="n">
        <v>62.96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16.63</v>
      </c>
    </row>
    <row r="32">
      <c r="C32" s="2" t="inlineStr">
        <is>
          <t>pbr_now</t>
        </is>
      </c>
      <c r="D32" t="n">
        <v>1.28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