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모델값 역산(implied): v / 매출액
매출액 × 판관비율 14.42%(최근 4분기 중위)</t>
      </text>
    </comment>
    <comment ref="AD22" authorId="0" shapeId="0">
      <text>
        <t>모델값 역산(implied): v / 매출액
매출액 × 판관비율 14.42%(최근 4분기 중위)</t>
      </text>
    </comment>
    <comment ref="AF22" authorId="0" shapeId="0">
      <text>
        <t>모델값 역산(implied): v / 매출액
매출액 × 판관비율 14.42%(최근 4분기 중위)</t>
      </text>
    </comment>
    <comment ref="AG22" authorId="0" shapeId="0">
      <text>
        <t>모델값 역산(implied): v / 매출액
매출액 × 판관비율 14.42%(최근 4분기 중위)</t>
      </text>
    </comment>
    <comment ref="AH22" authorId="0" shapeId="0">
      <text>
        <t>모델값 역산(implied): v / 매출액
매출액 × 판관비율 14.42%(최근 4분기 중위)</t>
      </text>
    </comment>
    <comment ref="AI22" authorId="0" shapeId="0">
      <text>
        <t>모델값 역산(implied): v / 매출액
매출액 × 판관비율 14.42%(최근 4분기 중위)</t>
      </text>
    </comment>
    <comment ref="AK22" authorId="0" shapeId="0">
      <text>
        <t>모델값 역산(implied): v / 매출액
매출액 × 판관비율 14.42%(최근 4분기 중위)</t>
      </text>
    </comment>
    <comment ref="AL22" authorId="0" shapeId="0">
      <text>
        <t>모델값 역산(implied): v / 매출액
매출액 × 판관비율 14.42%(최근 4분기 중위)</t>
      </text>
    </comment>
    <comment ref="AM22" authorId="0" shapeId="0">
      <text>
        <t>모델값 역산(implied): v / 매출액
매출액 × 판관비율 14.42%(최근 4분기 중위)</t>
      </text>
    </comment>
    <comment ref="AN22" authorId="0" shapeId="0">
      <text>
        <t>모델값 역산(implied): v / 매출액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v / 전년동기 − 1
최근 8분기 OPM 중위 8.1% 유지(클립 −20~40%)</t>
      </text>
    </comment>
    <comment ref="AD24" authorId="0" shapeId="0">
      <text>
        <t>모델값 역산(implied): v / 전년동기 − 1
최근 8분기 OPM 중위 8.1% 유지(클립 −20~40%)</t>
      </text>
    </comment>
    <comment ref="AF24" authorId="0" shapeId="0">
      <text>
        <t>모델값 역산(implied): v / 전년동기 − 1
최근 8분기 OPM 중위 8.1% 유지(클립 −20~40%)</t>
      </text>
    </comment>
    <comment ref="AG24" authorId="0" shapeId="0">
      <text>
        <t>모델값 역산(implied): v / 전년동기 − 1
최근 8분기 OPM 중위 8.1% 유지(클립 −20~40%)</t>
      </text>
    </comment>
    <comment ref="AH24" authorId="0" shapeId="0">
      <text>
        <t>모델값 역산(implied): v / 전년동기 − 1
최근 8분기 OPM 중위 8.1% 유지(클립 −20~40%)</t>
      </text>
    </comment>
    <comment ref="AI24" authorId="0" shapeId="0">
      <text>
        <t>모델값 역산(implied): v / 전년동기 − 1
최근 8분기 OPM 중위 8.1% 유지(클립 −20~40%)</t>
      </text>
    </comment>
    <comment ref="AK24" authorId="0" shapeId="0">
      <text>
        <t>모델값 역산(implied): v / 전년동기 − 1
최근 8분기 OPM 중위 8.1% 유지(클립 −20~40%)</t>
      </text>
    </comment>
    <comment ref="AL24" authorId="0" shapeId="0">
      <text>
        <t>모델값 역산(implied): v / 전년동기 − 1
최근 8분기 OPM 중위 8.1% 유지(클립 −20~40%)</t>
      </text>
    </comment>
    <comment ref="AM24" authorId="0" shapeId="0">
      <text>
        <t>모델값 역산(implied): v / 전년동기 − 1
최근 8분기 OPM 중위 8.1% 유지(클립 −20~40%)</t>
      </text>
    </comment>
    <comment ref="AN24" authorId="0" shapeId="0">
      <text>
        <t>모델값 역산(implied): v / 전년동기 − 1
최근 8분기 OPM 중위 8.1% 유지(클립 −20~40%)</t>
      </text>
    </comment>
    <comment ref="AC25" authorId="0" shapeId="0">
      <text>
        <t>모델값 역산(implied): 모델 v 그대로
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0억 × 0.00%(없음) (연율) ÷ 4; 환율 효과는 환관련손익 행 별도</t>
      </text>
    </comment>
    <comment ref="AC26" authorId="0" shapeId="0">
      <text>
        <t>모델값 역산(implied): 모델 v 그대로
이자발생자산 166억 × 2.53%(CF 이자수취 ÷ 평균 이자발생자산(2025Q3~2026Q2; 주석 이자수익 2분기 &lt; 4)) − 총차입금 0억 × 0.00%(없음) (연율) ÷ 4</t>
      </text>
    </comment>
    <comment ref="AD26" authorId="0" shapeId="0">
      <text>
        <t>모델값 역산(implied): 모델 v 그대로
이자발생자산 194억 × 2.53%(CF 이자수취 ÷ 평균 이자발생자산(2025Q3~2026Q2; 주석 이자수익 2분기 &lt; 4)) − 총차입금 0억 × 0.00%(없음) (연율) ÷ 4</t>
      </text>
    </comment>
    <comment ref="AF26" authorId="0" shapeId="0">
      <text>
        <t>모델값 역산(implied): 모델 v 그대로
이자발생자산 219억 × 2.53%(CF 이자수취 ÷ 평균 이자발생자산(2025Q3~2026Q2; 주석 이자수익 2분기 &lt; 4)) − 총차입금 0억 × 0.00%(없음) (연율) ÷ 4</t>
      </text>
    </comment>
    <comment ref="AG26" authorId="0" shapeId="0">
      <text>
        <t>모델값 역산(implied): 모델 v 그대로
이자발생자산 246억 × 2.53%(CF 이자수취 ÷ 평균 이자발생자산(2025Q3~2026Q2; 주석 이자수익 2분기 &lt; 4)) − 총차입금 0억 × 0.00%(없음) (연율) ÷ 4</t>
      </text>
    </comment>
    <comment ref="AH26" authorId="0" shapeId="0">
      <text>
        <t>모델값 역산(implied): 모델 v 그대로
이자발생자산 223억 × 2.53%(CF 이자수취 ÷ 평균 이자발생자산(2025Q3~2026Q2; 주석 이자수익 2분기 &lt; 4)) − 총차입금 0억 × 0.00%(없음) (연율) ÷ 4</t>
      </text>
    </comment>
    <comment ref="AI26" authorId="0" shapeId="0">
      <text>
        <t>모델값 역산(implied): 모델 v 그대로
이자발생자산 252억 × 2.53%(CF 이자수취 ÷ 평균 이자발생자산(2025Q3~2026Q2; 주석 이자수익 2분기 &lt; 4)) − 총차입금 0억 × 0.00%(없음) (연율) ÷ 4</t>
      </text>
    </comment>
    <comment ref="AK26" authorId="0" shapeId="0">
      <text>
        <t>모델값 역산(implied): 모델 v 그대로
이자발생자산 278억 × 2.53%(CF 이자수취 ÷ 평균 이자발생자산(2025Q3~2026Q2; 주석 이자수익 2분기 &lt; 4)) − 총차입금 0억 × 0.00%(없음) (연율) ÷ 4</t>
      </text>
    </comment>
    <comment ref="AL26" authorId="0" shapeId="0">
      <text>
        <t>모델값 역산(implied): 모델 v 그대로
이자발생자산 307억 × 2.53%(CF 이자수취 ÷ 평균 이자발생자산(2025Q3~2026Q2; 주석 이자수익 2분기 &lt; 4)) − 총차입금 0억 × 0.00%(없음) (연율) ÷ 4</t>
      </text>
    </comment>
    <comment ref="AM26" authorId="0" shapeId="0">
      <text>
        <t>모델값 역산(implied): 모델 v 그대로
이자발생자산 285억 × 2.53%(CF 이자수취 ÷ 평균 이자발생자산(2025Q3~2026Q2; 주석 이자수익 2분기 &lt; 4)) − 총차입금 0억 × 0.00%(없음) (연율) ÷ 4</t>
      </text>
    </comment>
    <comment ref="AN26" authorId="0" shapeId="0">
      <text>
        <t>모델값 역산(implied): 모델 v 그대로
이자발생자산 315억 × 2.53%(CF 이자수취 ÷ 평균 이자발생자산(2025Q3~2026Q2; 주석 이자수익 2분기 &lt; 4)) − 총차입금 0억 × 0.00%(없음) (연율) ÷ 4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17.3%(최근 12분기 유효세율 17.3%(5~27% 안 — 그대로))</t>
      </text>
    </comment>
    <comment ref="AD31" authorId="0" shapeId="0">
      <text>
        <t>모델값 역산(implied): v / 세전이익
max(세전, 0) × 세율 17.3%(최근 12분기 유효세율 17.3%(5~27% 안 — 그대로))</t>
      </text>
    </comment>
    <comment ref="AF31" authorId="0" shapeId="0">
      <text>
        <t>모델값 역산(implied): v / 세전이익
max(세전, 0) × 세율 17.3%(최근 12분기 유효세율 17.3%(5~27% 안 — 그대로))</t>
      </text>
    </comment>
    <comment ref="AG31" authorId="0" shapeId="0">
      <text>
        <t>모델값 역산(implied): v / 세전이익
max(세전, 0) × 세율 17.3%(최근 12분기 유효세율 17.3%(5~27% 안 — 그대로))</t>
      </text>
    </comment>
    <comment ref="AH31" authorId="0" shapeId="0">
      <text>
        <t>모델값 역산(implied): v / 세전이익
max(세전, 0) × 세율 17.3%(최근 12분기 유효세율 17.3%(5~27% 안 — 그대로))</t>
      </text>
    </comment>
    <comment ref="AI31" authorId="0" shapeId="0">
      <text>
        <t>모델값 역산(implied): v / 세전이익
max(세전, 0) × 세율 17.3%(최근 12분기 유효세율 17.3%(5~27% 안 — 그대로))</t>
      </text>
    </comment>
    <comment ref="AK31" authorId="0" shapeId="0">
      <text>
        <t>모델값 역산(implied): v / 세전이익
max(세전, 0) × 세율 17.3%(최근 12분기 유효세율 17.3%(5~27% 안 — 그대로))</t>
      </text>
    </comment>
    <comment ref="AL31" authorId="0" shapeId="0">
      <text>
        <t>모델값 역산(implied): v / 세전이익
max(세전, 0) × 세율 17.3%(최근 12분기 유효세율 17.3%(5~27% 안 — 그대로))</t>
      </text>
    </comment>
    <comment ref="AM31" authorId="0" shapeId="0">
      <text>
        <t>모델값 역산(implied): v / 세전이익
max(세전, 0) × 세율 17.3%(최근 12분기 유효세율 17.3%(5~27% 안 — 그대로))</t>
      </text>
    </comment>
    <comment ref="AN31" authorId="0" shapeId="0">
      <text>
        <t>모델값 역산(implied): v / 세전이익
max(세전, 0) × 세율 17.3%(최근 12분기 유효세율 17.3%(5~27% 안 — 그대로))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AF32" authorId="0" shapeId="0">
      <text>
        <t>모델값 역산(implied): v / 당기순이익
당기순이익 × (1 − 비지배 비중 0.0%, 최근 8분기 실측)</t>
      </text>
    </comment>
    <comment ref="AG32" authorId="0" shapeId="0">
      <text>
        <t>모델값 역산(implied): v / 당기순이익
당기순이익 × (1 − 비지배 비중 0.0%, 최근 8분기 실측)</t>
      </text>
    </comment>
    <comment ref="AH32" authorId="0" shapeId="0">
      <text>
        <t>모델값 역산(implied): v / 당기순이익
당기순이익 × (1 − 비지배 비중 0.0%, 최근 8분기 실측)</t>
      </text>
    </comment>
    <comment ref="AI32" authorId="0" shapeId="0">
      <text>
        <t>모델값 역산(implied): v / 당기순이익
당기순이익 × (1 − 비지배 비중 0.0%, 최근 8분기 실측)</t>
      </text>
    </comment>
    <comment ref="AK32" authorId="0" shapeId="0">
      <text>
        <t>모델값 역산(implied): v / 당기순이익
당기순이익 × (1 − 비지배 비중 0.0%, 최근 8분기 실측)</t>
      </text>
    </comment>
    <comment ref="AL32" authorId="0" shapeId="0">
      <text>
        <t>모델값 역산(implied): v / 당기순이익
당기순이익 × (1 − 비지배 비중 0.0%, 최근 8분기 실측)</t>
      </text>
    </comment>
    <comment ref="AM32" authorId="0" shapeId="0">
      <text>
        <t>모델값 역산(implied): v / 당기순이익
당기순이익 × (1 − 비지배 비중 0.0%, 최근 8분기 실측)</t>
      </text>
    </comment>
    <comment ref="AN32" authorId="0" shapeId="0">
      <text>
        <t>모델값 역산(implied): v / 당기순이익
당기순이익 × (1 − 비지배 비중 0.0%,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600원 유지</t>
      </text>
    </comment>
    <comment ref="AI43" authorId="0" shapeId="0">
      <text>
        <t>모델값 역산(implied): v / 전년동기 − 1
직전 결산 DPS 600원 유지</t>
      </text>
    </comment>
    <comment ref="AN43" authorId="0" shapeId="0">
      <text>
        <t>모델값 역산(implied): v / 전년동기 − 1
직전 결산 DPS 600원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8.1% 유지(클립 −20~40%)
[yoy]</t>
      </text>
    </comment>
    <comment ref="AD10" authorId="0" shapeId="0">
      <text>
        <t>추정: 최근 8분기 OPM 중위 8.1% 유지(클립 −20~40%)
[yoy]</t>
      </text>
    </comment>
    <comment ref="AF10" authorId="0" shapeId="0">
      <text>
        <t>추정: 최근 8분기 OPM 중위 8.1% 유지(클립 −20~40%)
[yoy]</t>
      </text>
    </comment>
    <comment ref="AG10" authorId="0" shapeId="0">
      <text>
        <t>추정: 최근 8분기 OPM 중위 8.1% 유지(클립 −20~40%)
[yoy]</t>
      </text>
    </comment>
    <comment ref="AH10" authorId="0" shapeId="0">
      <text>
        <t>추정: 최근 8분기 OPM 중위 8.1% 유지(클립 −20~40%)
[yoy]</t>
      </text>
    </comment>
    <comment ref="AI10" authorId="0" shapeId="0">
      <text>
        <t>추정: 최근 8분기 OPM 중위 8.1% 유지(클립 −20~40%)
[yoy]</t>
      </text>
    </comment>
    <comment ref="AK10" authorId="0" shapeId="0">
      <text>
        <t>추정: 최근 8분기 OPM 중위 8.1% 유지(클립 −20~40%)
[yoy]</t>
      </text>
    </comment>
    <comment ref="AL10" authorId="0" shapeId="0">
      <text>
        <t>추정: 최근 8분기 OPM 중위 8.1% 유지(클립 −20~40%)
[yoy]</t>
      </text>
    </comment>
    <comment ref="AM10" authorId="0" shapeId="0">
      <text>
        <t>추정: 최근 8분기 OPM 중위 8.1% 유지(클립 −20~40%)
[yoy]</t>
      </text>
    </comment>
    <comment ref="AN10" authorId="0" shapeId="0">
      <text>
        <t>추정: 최근 8분기 OPM 중위 8.1% 유지(클립 −20~40%)
[yoy]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0억 × 0.00%(없음) (연율) ÷ 4; 환율 효과는 환관련손익 행 별도
[abs]</t>
      </text>
    </comment>
    <comment ref="AC12" authorId="0" shapeId="0">
      <text>
        <t>추정: 이자발생자산 166억 × 2.53%(CF 이자수취 ÷ 평균 이자발생자산(2025Q3~2026Q2; 주석 이자수익 2분기 &lt; 4)) − 총차입금 0억 × 0.00%(없음) (연율) ÷ 4
[abs]</t>
      </text>
    </comment>
    <comment ref="AD12" authorId="0" shapeId="0">
      <text>
        <t>추정: 이자발생자산 194억 × 2.53%(CF 이자수취 ÷ 평균 이자발생자산(2025Q3~2026Q2; 주석 이자수익 2분기 &lt; 4)) − 총차입금 0억 × 0.00%(없음) (연율) ÷ 4
[abs]</t>
      </text>
    </comment>
    <comment ref="AF12" authorId="0" shapeId="0">
      <text>
        <t>추정: 이자발생자산 219억 × 2.53%(CF 이자수취 ÷ 평균 이자발생자산(2025Q3~2026Q2; 주석 이자수익 2분기 &lt; 4)) − 총차입금 0억 × 0.00%(없음) (연율) ÷ 4
[abs]</t>
      </text>
    </comment>
    <comment ref="AG12" authorId="0" shapeId="0">
      <text>
        <t>추정: 이자발생자산 246억 × 2.53%(CF 이자수취 ÷ 평균 이자발생자산(2025Q3~2026Q2; 주석 이자수익 2분기 &lt; 4)) − 총차입금 0억 × 0.00%(없음) (연율) ÷ 4
[abs]</t>
      </text>
    </comment>
    <comment ref="AH12" authorId="0" shapeId="0">
      <text>
        <t>추정: 이자발생자산 223억 × 2.53%(CF 이자수취 ÷ 평균 이자발생자산(2025Q3~2026Q2; 주석 이자수익 2분기 &lt; 4)) − 총차입금 0억 × 0.00%(없음) (연율) ÷ 4
[abs]</t>
      </text>
    </comment>
    <comment ref="AI12" authorId="0" shapeId="0">
      <text>
        <t>추정: 이자발생자산 252억 × 2.53%(CF 이자수취 ÷ 평균 이자발생자산(2025Q3~2026Q2; 주석 이자수익 2분기 &lt; 4)) − 총차입금 0억 × 0.00%(없음) (연율) ÷ 4
[abs]</t>
      </text>
    </comment>
    <comment ref="AK12" authorId="0" shapeId="0">
      <text>
        <t>추정: 이자발생자산 278억 × 2.53%(CF 이자수취 ÷ 평균 이자발생자산(2025Q3~2026Q2; 주석 이자수익 2분기 &lt; 4)) − 총차입금 0억 × 0.00%(없음) (연율) ÷ 4
[abs]</t>
      </text>
    </comment>
    <comment ref="AL12" authorId="0" shapeId="0">
      <text>
        <t>추정: 이자발생자산 307억 × 2.53%(CF 이자수취 ÷ 평균 이자발생자산(2025Q3~2026Q2; 주석 이자수익 2분기 &lt; 4)) − 총차입금 0억 × 0.00%(없음) (연율) ÷ 4
[abs]</t>
      </text>
    </comment>
    <comment ref="AM12" authorId="0" shapeId="0">
      <text>
        <t>추정: 이자발생자산 285억 × 2.53%(CF 이자수취 ÷ 평균 이자발생자산(2025Q3~2026Q2; 주석 이자수익 2분기 &lt; 4)) − 총차입금 0억 × 0.00%(없음) (연율) ÷ 4
[abs]</t>
      </text>
    </comment>
    <comment ref="AN12" authorId="0" shapeId="0">
      <text>
        <t>추정: 이자발생자산 315억 × 2.53%(CF 이자수취 ÷ 평균 이자발생자산(2025Q3~2026Q2; 주석 이자수익 2분기 &lt; 4)) − 총차입금 0억 × 0.00%(없음)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잔차 실측 1분기 &lt; 4 → 0</t>
      </text>
    </comment>
    <comment ref="AD15" authorId="0" shapeId="0">
      <text>
        <t>추정(가정 셀 참조 불가 — 기준값 없음, 모델값 직접): 잔차 실측 1분기 &lt; 4 → 0</t>
      </text>
    </comment>
    <comment ref="AF15" authorId="0" shapeId="0">
      <text>
        <t>추정(가정 셀 참조 불가 — 기준값 없음, 모델값 직접): 잔차 실측 1분기 &lt; 4 → 0</t>
      </text>
    </comment>
    <comment ref="AG15" authorId="0" shapeId="0">
      <text>
        <t>추정(가정 셀 참조 불가 — 기준값 없음, 모델값 직접): 잔차 실측 1분기 &lt; 4 → 0</t>
      </text>
    </comment>
    <comment ref="AH15" authorId="0" shapeId="0">
      <text>
        <t>추정(가정 셀 참조 불가 — 기준값 없음, 모델값 직접): 잔차 실측 1분기 &lt; 4 → 0</t>
      </text>
    </comment>
    <comment ref="AI15" authorId="0" shapeId="0">
      <text>
        <t>추정(가정 셀 참조 불가 — 기준값 없음, 모델값 직접): 잔차 실측 1분기 &lt; 4 → 0</t>
      </text>
    </comment>
    <comment ref="AK15" authorId="0" shapeId="0">
      <text>
        <t>추정(가정 셀 참조 불가 — 기준값 없음, 모델값 직접): 잔차 실측 1분기 &lt; 4 → 0</t>
      </text>
    </comment>
    <comment ref="AL15" authorId="0" shapeId="0">
      <text>
        <t>추정(가정 셀 참조 불가 — 기준값 없음, 모델값 직접): 잔차 실측 1분기 &lt; 4 → 0</t>
      </text>
    </comment>
    <comment ref="AM15" authorId="0" shapeId="0">
      <text>
        <t>추정(가정 셀 참조 불가 — 기준값 없음, 모델값 직접): 잔차 실측 1분기 &lt; 4 → 0</t>
      </text>
    </comment>
    <comment ref="AN15" authorId="0" shapeId="0">
      <text>
        <t>추정(가정 셀 참조 불가 — 기준값 없음, 모델값 직접): 잔차 실측 1분기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[ratio]</t>
      </text>
    </comment>
    <comment ref="AD18" authorId="0" shapeId="0">
      <text>
        <t>추정: max(세전, 0) × 세율 17.3%(최근 12분기 유효세율 17.3%(5~27% 안 — 그대로))
[ratio]</t>
      </text>
    </comment>
    <comment ref="AF18" authorId="0" shapeId="0">
      <text>
        <t>추정: max(세전, 0) × 세율 17.3%(최근 12분기 유효세율 17.3%(5~27% 안 — 그대로))
[ratio]</t>
      </text>
    </comment>
    <comment ref="AG18" authorId="0" shapeId="0">
      <text>
        <t>추정: max(세전, 0) × 세율 17.3%(최근 12분기 유효세율 17.3%(5~27% 안 — 그대로))
[ratio]</t>
      </text>
    </comment>
    <comment ref="AH18" authorId="0" shapeId="0">
      <text>
        <t>추정: max(세전, 0) × 세율 17.3%(최근 12분기 유효세율 17.3%(5~27% 안 — 그대로))
[ratio]</t>
      </text>
    </comment>
    <comment ref="AI18" authorId="0" shapeId="0">
      <text>
        <t>추정: max(세전, 0) × 세율 17.3%(최근 12분기 유효세율 17.3%(5~27% 안 — 그대로))
[ratio]</t>
      </text>
    </comment>
    <comment ref="AK18" authorId="0" shapeId="0">
      <text>
        <t>추정: max(세전, 0) × 세율 17.3%(최근 12분기 유효세율 17.3%(5~27% 안 — 그대로))
[ratio]</t>
      </text>
    </comment>
    <comment ref="AL18" authorId="0" shapeId="0">
      <text>
        <t>추정: max(세전, 0) × 세율 17.3%(최근 12분기 유효세율 17.3%(5~27% 안 — 그대로))
[ratio]</t>
      </text>
    </comment>
    <comment ref="AM18" authorId="0" shapeId="0">
      <text>
        <t>추정: max(세전, 0) × 세율 17.3%(최근 12분기 유효세율 17.3%(5~27% 안 — 그대로))
[ratio]</t>
      </text>
    </comment>
    <comment ref="AN18" authorId="0" shapeId="0">
      <text>
        <t>추정: max(세전, 0) × 세율 17.3%(최근 12분기 유효세율 17.3%(5~27% 안 — 그대로))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600원 유지
[yoy]</t>
      </text>
    </comment>
    <comment ref="AI34" authorId="0" shapeId="0">
      <text>
        <t>추정: 직전 결산 DPS 600원 유지
[yoy]</t>
      </text>
    </comment>
    <comment ref="AN34" authorId="0" shapeId="0">
      <text>
        <t>추정: 직전 결산 DPS 600원 유지
[yoy]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assets/models/086670.json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0.072615</v>
      </c>
      <c r="AD21" s="24" t="n">
        <v>0.072604</v>
      </c>
      <c r="AE21" s="25" t="n"/>
      <c r="AF21" s="24" t="n">
        <v>0.072613</v>
      </c>
      <c r="AG21" s="24" t="n">
        <v>0.07262299999999999</v>
      </c>
      <c r="AH21" s="24" t="n">
        <v>0.036308</v>
      </c>
      <c r="AI21" s="24" t="n">
        <v>0.036311</v>
      </c>
      <c r="AJ21" s="25" t="n"/>
      <c r="AK21" s="24" t="n">
        <v>0.036302</v>
      </c>
      <c r="AL21" s="24" t="n">
        <v>0.036297</v>
      </c>
      <c r="AM21" s="24" t="n">
        <v>0.018154</v>
      </c>
      <c r="AN21" s="24" t="n">
        <v>0.018174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0.144162</v>
      </c>
      <c r="AD22" s="24" t="n">
        <v>0.144163</v>
      </c>
      <c r="AE22" s="25">
        <f>IFERROR(subQ!AE8/subQ!AE5,"")</f>
        <v/>
      </c>
      <c r="AF22" s="24" t="n">
        <v>0.14416</v>
      </c>
      <c r="AG22" s="24" t="n">
        <v>0.144155</v>
      </c>
      <c r="AH22" s="24" t="n">
        <v>0.144154</v>
      </c>
      <c r="AI22" s="24" t="n">
        <v>0.144163</v>
      </c>
      <c r="AJ22" s="25">
        <f>IFERROR(subQ!AJ8/subQ!AJ5,"")</f>
        <v/>
      </c>
      <c r="AK22" s="24" t="n">
        <v>0.144169</v>
      </c>
      <c r="AL22" s="24" t="n">
        <v>0.144173</v>
      </c>
      <c r="AM22" s="24" t="n">
        <v>0.144154</v>
      </c>
      <c r="AN22" s="24" t="n">
        <v>0.144162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0.08144999999999999</v>
      </c>
      <c r="AD23" s="24" t="n">
        <v>0.081457</v>
      </c>
      <c r="AE23" s="25">
        <f>IFERROR(subQ!AE9/subQ!AE5,"")</f>
        <v/>
      </c>
      <c r="AF23" s="24" t="n">
        <v>0.081437</v>
      </c>
      <c r="AG23" s="24" t="n">
        <v>0.08144899999999999</v>
      </c>
      <c r="AH23" s="24" t="n">
        <v>0.081454</v>
      </c>
      <c r="AI23" s="24" t="n">
        <v>0.08143599999999999</v>
      </c>
      <c r="AJ23" s="25">
        <f>IFERROR(subQ!AJ9/subQ!AJ5,"")</f>
        <v/>
      </c>
      <c r="AK23" s="24" t="n">
        <v>0.081443</v>
      </c>
      <c r="AL23" s="24" t="n">
        <v>0.081444</v>
      </c>
      <c r="AM23" s="24" t="n">
        <v>0.081441</v>
      </c>
      <c r="AN23" s="24" t="n">
        <v>0.081452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-0.475515</v>
      </c>
      <c r="AD24" s="24" t="n">
        <v>-0.171923</v>
      </c>
      <c r="AE24" s="25" t="n"/>
      <c r="AF24" s="24" t="n">
        <v>0.634538</v>
      </c>
      <c r="AG24" s="24" t="n">
        <v>-0.370943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1.05</v>
      </c>
      <c r="AD25" s="29" t="n">
        <v>1.23</v>
      </c>
      <c r="AE25" s="30">
        <f>subQ!AE11</f>
        <v/>
      </c>
      <c r="AF25" s="29" t="n">
        <v>1.39</v>
      </c>
      <c r="AG25" s="29" t="n">
        <v>1.56</v>
      </c>
      <c r="AH25" s="29" t="n">
        <v>1.41</v>
      </c>
      <c r="AI25" s="29" t="n">
        <v>1.59</v>
      </c>
      <c r="AJ25" s="30">
        <f>subQ!AJ11</f>
        <v/>
      </c>
      <c r="AK25" s="29" t="n">
        <v>1.76</v>
      </c>
      <c r="AL25" s="29" t="n">
        <v>1.94</v>
      </c>
      <c r="AM25" s="29" t="n">
        <v>1.8</v>
      </c>
      <c r="AN25" s="29" t="n">
        <v>1.99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1.05</v>
      </c>
      <c r="AD26" s="29" t="n">
        <v>1.23</v>
      </c>
      <c r="AE26" s="30">
        <f>subQ!AE12</f>
        <v/>
      </c>
      <c r="AF26" s="29" t="n">
        <v>1.39</v>
      </c>
      <c r="AG26" s="29" t="n">
        <v>1.56</v>
      </c>
      <c r="AH26" s="29" t="n">
        <v>1.41</v>
      </c>
      <c r="AI26" s="29" t="n">
        <v>1.59</v>
      </c>
      <c r="AJ26" s="30">
        <f>subQ!AJ12</f>
        <v/>
      </c>
      <c r="AK26" s="29" t="n">
        <v>1.76</v>
      </c>
      <c r="AL26" s="29" t="n">
        <v>1.94</v>
      </c>
      <c r="AM26" s="29" t="n">
        <v>1.8</v>
      </c>
      <c r="AN26" s="29" t="n">
        <v>1.99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31" t="n"/>
      <c r="AD27" s="31" t="n"/>
      <c r="AE27" s="25" t="n"/>
      <c r="AF27" s="31" t="n"/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0.172883</v>
      </c>
      <c r="AD31" s="24" t="n">
        <v>0.172706</v>
      </c>
      <c r="AE31" s="25">
        <f>IFERROR(subQ!AE18/subQ!AE17,"")</f>
        <v/>
      </c>
      <c r="AF31" s="24" t="n">
        <v>0.172828</v>
      </c>
      <c r="AG31" s="24" t="n">
        <v>0.172758</v>
      </c>
      <c r="AH31" s="24" t="n">
        <v>0.172658</v>
      </c>
      <c r="AI31" s="24" t="n">
        <v>0.172747</v>
      </c>
      <c r="AJ31" s="25">
        <f>IFERROR(subQ!AJ18/subQ!AJ17,"")</f>
        <v/>
      </c>
      <c r="AK31" s="24" t="n">
        <v>0.17285</v>
      </c>
      <c r="AL31" s="24" t="n">
        <v>0.172901</v>
      </c>
      <c r="AM31" s="24" t="n">
        <v>0.172812</v>
      </c>
      <c r="AN31" s="24" t="n">
        <v>0.172925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1</v>
      </c>
      <c r="AD32" s="24" t="n">
        <v>1</v>
      </c>
      <c r="AE32" s="25">
        <f>IFERROR(subQ!AE20/subQ!AE19,"")</f>
        <v/>
      </c>
      <c r="AF32" s="24" t="n">
        <v>1</v>
      </c>
      <c r="AG32" s="24" t="n">
        <v>1</v>
      </c>
      <c r="AH32" s="24" t="n">
        <v>1</v>
      </c>
      <c r="AI32" s="24" t="n">
        <v>1</v>
      </c>
      <c r="AJ32" s="25">
        <f>IFERROR(subQ!AJ20/subQ!AJ19,"")</f>
        <v/>
      </c>
      <c r="AK32" s="24" t="n">
        <v>1</v>
      </c>
      <c r="AL32" s="24" t="n">
        <v>1</v>
      </c>
      <c r="AM32" s="24" t="n">
        <v>1</v>
      </c>
      <c r="AN32" s="24" t="n">
        <v>1</v>
      </c>
      <c r="AO32" s="25">
        <f>IFERROR(subQ!AO20/subQ!AO19,"")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1e-06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-0.0016</v>
      </c>
      <c r="AD34" s="29" t="n">
        <v>0</v>
      </c>
      <c r="AE34" s="30" t="n"/>
      <c r="AF34" s="29" t="n">
        <v>0.01</v>
      </c>
      <c r="AG34" s="29" t="n">
        <v>59.55</v>
      </c>
      <c r="AH34" s="29" t="n">
        <v>0</v>
      </c>
      <c r="AI34" s="29" t="n">
        <v>0</v>
      </c>
      <c r="AJ34" s="30" t="n"/>
      <c r="AK34" s="29" t="n">
        <v>0</v>
      </c>
      <c r="AL34" s="29" t="n">
        <v>59.55</v>
      </c>
      <c r="AM34" s="29" t="n">
        <v>0</v>
      </c>
      <c r="AN34" s="29" t="n">
        <v>-0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-0.0026</v>
      </c>
      <c r="AD35" s="29" t="n">
        <v>0.01</v>
      </c>
      <c r="AE35" s="30" t="n"/>
      <c r="AF35" s="29" t="n">
        <v>-0</v>
      </c>
      <c r="AG35" s="29" t="n">
        <v>59.55</v>
      </c>
      <c r="AH35" s="29" t="n">
        <v>0</v>
      </c>
      <c r="AI35" s="29" t="n">
        <v>0</v>
      </c>
      <c r="AJ35" s="30" t="n"/>
      <c r="AK35" s="29" t="n">
        <v>0</v>
      </c>
      <c r="AL35" s="29" t="n">
        <v>59.55</v>
      </c>
      <c r="AM35" s="29" t="n">
        <v>-0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0.168559</v>
      </c>
      <c r="AD38" s="24" t="n">
        <v>0.130848</v>
      </c>
      <c r="AE38" s="25" t="n"/>
      <c r="AF38" s="24" t="n">
        <v>0.122603</v>
      </c>
      <c r="AG38" s="24" t="n">
        <v>-0.094</v>
      </c>
      <c r="AH38" s="24" t="n">
        <v>0.131184</v>
      </c>
      <c r="AI38" s="24" t="n">
        <v>0.105255</v>
      </c>
      <c r="AJ38" s="25" t="n"/>
      <c r="AK38" s="24" t="n">
        <v>0.100905</v>
      </c>
      <c r="AL38" s="24" t="n">
        <v>-0.07019400000000001</v>
      </c>
      <c r="AM38" s="24" t="n">
        <v>0.105416</v>
      </c>
      <c r="AN38" s="24" t="n">
        <v>0.0867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2.135593</v>
      </c>
      <c r="AD44" s="24" t="n">
        <v>1.257282</v>
      </c>
      <c r="AE44" s="25" t="n"/>
      <c r="AF44" s="24" t="n">
        <v>1.270802</v>
      </c>
      <c r="AG44" s="24" t="n">
        <v>1.452802</v>
      </c>
      <c r="AH44" s="24" t="n">
        <v>0.111486</v>
      </c>
      <c r="AI44" s="24" t="n">
        <v>0.167742</v>
      </c>
      <c r="AJ44" s="25" t="n"/>
      <c r="AK44" s="24" t="n">
        <v>0.073951</v>
      </c>
      <c r="AL44" s="24" t="n">
        <v>-0.043295</v>
      </c>
      <c r="AM44" s="24" t="n">
        <v>-0.039514</v>
      </c>
      <c r="AN44" s="24" t="n">
        <v>-0.036219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0.736111</v>
      </c>
      <c r="AD45" s="24" t="n">
        <v>0.5</v>
      </c>
      <c r="AE45" s="25" t="n"/>
      <c r="AF45" s="24" t="n">
        <v>0.375</v>
      </c>
      <c r="AG45" s="24" t="n">
        <v>0.194175</v>
      </c>
      <c r="AH45" s="24" t="n">
        <v>-0.032</v>
      </c>
      <c r="AI45" s="24" t="n">
        <v>-0.03252</v>
      </c>
      <c r="AJ45" s="25" t="n"/>
      <c r="AK45" s="24" t="n">
        <v>-0.033058</v>
      </c>
      <c r="AL45" s="24" t="n">
        <v>-0.04065</v>
      </c>
      <c r="AM45" s="24" t="n">
        <v>-0.041322</v>
      </c>
      <c r="AN45" s="24" t="n">
        <v>-0.042017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0.08144999999999999</v>
      </c>
      <c r="AD47" s="24" t="n">
        <v>0.081457</v>
      </c>
      <c r="AE47" s="25">
        <f>IFERROR(subQ!AE38/subQ!AE37,"")</f>
        <v/>
      </c>
      <c r="AF47" s="24" t="n">
        <v>0.081437</v>
      </c>
      <c r="AG47" s="24" t="n">
        <v>0.08144899999999999</v>
      </c>
      <c r="AH47" s="24" t="n">
        <v>0.081454</v>
      </c>
      <c r="AI47" s="24" t="n">
        <v>0.08143599999999999</v>
      </c>
      <c r="AJ47" s="25">
        <f>IFERROR(subQ!AJ38/subQ!AJ37,"")</f>
        <v/>
      </c>
      <c r="AK47" s="24" t="n">
        <v>0.081443</v>
      </c>
      <c r="AL47" s="24" t="n">
        <v>0.081444</v>
      </c>
      <c r="AM47" s="24" t="n">
        <v>0.081441</v>
      </c>
      <c r="AN47" s="24" t="n">
        <v>0.081452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19530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6.8</v>
      </c>
      <c r="E53" s="2" t="inlineStr">
        <is>
          <t>PER 밴드 하단(배) — hist_quarterly(분기 평균가 ÷ TTM EPS, 16분기,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8.1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14.8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0.1728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0.1442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0.3133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4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4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4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4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4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4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4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4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4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4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4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4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4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4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4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4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4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4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4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4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4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4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4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4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4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4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4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4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4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4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4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4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4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4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3092.55</v>
      </c>
      <c r="P14" s="34" t="n">
        <v>3092.55</v>
      </c>
      <c r="Q14" s="18" t="n">
        <v>3450.29</v>
      </c>
      <c r="R14" s="18" t="n">
        <v>1819.92</v>
      </c>
      <c r="S14" s="18" t="n">
        <v>1816.55</v>
      </c>
      <c r="T14" s="18" t="n">
        <v>1742.83</v>
      </c>
      <c r="U14" s="34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4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4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4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3623.39</v>
      </c>
      <c r="P15" s="34" t="n">
        <v>3623.39</v>
      </c>
      <c r="Q15" s="18" t="n">
        <v>3905.58</v>
      </c>
      <c r="R15" s="18" t="n">
        <v>1824.98</v>
      </c>
      <c r="S15" s="18" t="n">
        <v>1816.55</v>
      </c>
      <c r="T15" s="18" t="n">
        <v>1742.83</v>
      </c>
      <c r="U15" s="34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4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4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4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4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4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4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4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4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4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4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4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4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4" t="n">
        <v>1226.92</v>
      </c>
      <c r="Q19" s="18" t="n">
        <v>1196.41</v>
      </c>
      <c r="S19" s="18" t="n">
        <v>1363.65</v>
      </c>
      <c r="T19" s="18" t="n">
        <v>1314.64</v>
      </c>
      <c r="U19" s="34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4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I20" s="18" t="n">
        <v>2457.32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4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4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4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4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4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4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4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4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4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4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4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4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4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4" t="n">
        <v>10588.8</v>
      </c>
      <c r="R24" s="18" t="n">
        <v>11475.18</v>
      </c>
      <c r="S24" s="18" t="n">
        <v>9997.48</v>
      </c>
      <c r="T24" s="18" t="n">
        <v>11569.97</v>
      </c>
      <c r="U24" s="34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4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4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4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4" t="n">
        <v>64393.27</v>
      </c>
      <c r="Q25" s="18" t="n">
        <v>69146.64</v>
      </c>
      <c r="R25" s="18" t="n">
        <v>100246.64</v>
      </c>
      <c r="S25" s="18" t="n">
        <v>111146.64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4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4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4" t="n">
        <v>64393.27</v>
      </c>
      <c r="Q26" s="18" t="n">
        <v>69146.64</v>
      </c>
      <c r="R26" s="18" t="n">
        <v>100246.64</v>
      </c>
      <c r="S26" s="18" t="n">
        <v>111146.64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4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4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4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4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4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4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4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4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4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4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4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4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4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4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4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4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4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4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4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4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4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4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4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4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4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4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4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4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4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4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4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4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4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4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4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4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4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4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4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4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4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4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4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4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4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4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4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4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4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4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4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4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4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4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4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4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4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4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4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4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4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4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4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4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4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4" t="n">
        <v>111750.59</v>
      </c>
      <c r="Q47" s="18" t="n">
        <v>112685.68</v>
      </c>
      <c r="R47" s="18" t="n">
        <v>104646.62</v>
      </c>
      <c r="S47" s="18" t="n">
        <v>111479.96</v>
      </c>
      <c r="T47" s="18" t="n">
        <v>8251.200000000001</v>
      </c>
      <c r="U47" s="34" t="n">
        <v>8251.200000000001</v>
      </c>
      <c r="V47" s="18" t="n">
        <v>8376.84</v>
      </c>
      <c r="W47" s="18" t="n">
        <v>8506.83</v>
      </c>
      <c r="X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4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4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4" t="n">
        <v>101193.21</v>
      </c>
      <c r="Q48" s="18" t="n">
        <v>100414.61</v>
      </c>
      <c r="R48" s="18" t="n">
        <v>91934.98</v>
      </c>
      <c r="S48" s="18" t="n">
        <v>91723.11</v>
      </c>
      <c r="T48" s="18" t="n">
        <v>-9387.790000000001</v>
      </c>
      <c r="U48" s="34" t="n">
        <v>-9387.790000000001</v>
      </c>
      <c r="V48" s="18" t="n">
        <v>-12971.86</v>
      </c>
      <c r="W48" s="18" t="n">
        <v>-2510.74</v>
      </c>
      <c r="X48" s="18" t="n">
        <v>-29814.51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4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4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13649.93</v>
      </c>
      <c r="P49" s="34" t="n">
        <v>13649.93</v>
      </c>
      <c r="Q49" s="18" t="n">
        <v>15721.36</v>
      </c>
      <c r="R49" s="18" t="n">
        <v>14531.56</v>
      </c>
      <c r="S49" s="18" t="n">
        <v>21573.4</v>
      </c>
      <c r="T49" s="18" t="n">
        <v>19381.82</v>
      </c>
      <c r="U49" s="34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4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4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4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4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4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4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4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4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4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4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4" t="n">
        <v>1006.7</v>
      </c>
      <c r="Q52" s="18" t="n">
        <v>920.99</v>
      </c>
      <c r="R52" s="18" t="n">
        <v>111.69</v>
      </c>
      <c r="S52" s="18" t="n">
        <v>1546.1</v>
      </c>
      <c r="T52" s="18" t="n">
        <v>1262.34</v>
      </c>
      <c r="U52" s="34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4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4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4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4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4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4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4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4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4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4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4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4" t="n">
        <v>7753.34</v>
      </c>
      <c r="Q57" s="18" t="n">
        <v>7872.4</v>
      </c>
      <c r="T57" s="18" t="n">
        <v>8251.200000000001</v>
      </c>
      <c r="U57" s="34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4" t="n">
        <v>896.4</v>
      </c>
      <c r="Q58" s="18" t="n">
        <v>810</v>
      </c>
      <c r="S58" s="18" t="n">
        <v>1433.7</v>
      </c>
      <c r="T58" s="18" t="n">
        <v>1123.2</v>
      </c>
      <c r="U58" s="34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4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4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4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4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4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4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4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4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4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4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4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4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4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4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4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4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4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4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4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4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4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4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4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4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4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4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4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4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4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4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4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4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4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4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4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4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4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4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4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4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4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4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4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4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4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4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4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4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4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4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4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4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4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4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4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4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4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4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4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4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4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4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4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4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4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4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4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4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4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4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4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4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4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4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4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4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4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4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4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4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4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4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4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4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4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4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4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4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4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4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4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4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4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4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4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4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4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4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4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4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4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4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4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4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4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4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4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4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4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4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4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4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4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4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4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4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4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4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4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4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4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4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4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4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4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4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4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4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4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4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4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4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4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4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4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4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4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4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4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4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4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4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4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4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4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4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4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4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4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4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4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4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4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3092.55</v>
      </c>
      <c r="P14" s="34" t="n">
        <v>3092.55</v>
      </c>
      <c r="Q14" s="18" t="n">
        <v>3950.29</v>
      </c>
      <c r="R14" s="18" t="n">
        <v>1819.92</v>
      </c>
      <c r="S14" s="18" t="n">
        <v>2316.55</v>
      </c>
      <c r="T14" s="18" t="n">
        <v>1742.83</v>
      </c>
      <c r="U14" s="34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4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4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4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5623.39</v>
      </c>
      <c r="P15" s="34" t="n">
        <v>5623.39</v>
      </c>
      <c r="Q15" s="18" t="n">
        <v>6405.58</v>
      </c>
      <c r="R15" s="18" t="n">
        <v>3824.98</v>
      </c>
      <c r="S15" s="18" t="n">
        <v>5316.55</v>
      </c>
      <c r="T15" s="18" t="n">
        <v>4742.83</v>
      </c>
      <c r="U15" s="34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4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4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4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4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4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4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4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4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4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4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4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4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4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4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4" t="n">
        <v>1218.48</v>
      </c>
      <c r="Q19" s="18" t="n">
        <v>1188.37</v>
      </c>
      <c r="S19" s="18" t="n">
        <v>1356.42</v>
      </c>
      <c r="T19" s="18" t="n">
        <v>1307.81</v>
      </c>
      <c r="U19" s="34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4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4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4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4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4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4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4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4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4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4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4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4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4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4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4" t="n">
        <v>10238.65</v>
      </c>
      <c r="R24" s="18" t="n">
        <v>11132.46</v>
      </c>
      <c r="S24" s="18" t="n">
        <v>9755.09</v>
      </c>
      <c r="T24" s="18" t="n">
        <v>11417.79</v>
      </c>
      <c r="U24" s="34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4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4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4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4" t="n">
        <v>62053.27</v>
      </c>
      <c r="Q25" s="18" t="n">
        <v>66846.64</v>
      </c>
      <c r="R25" s="18" t="n">
        <v>97946.64</v>
      </c>
      <c r="S25" s="18" t="n">
        <v>108846.64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4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4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4" t="n">
        <v>62053.27</v>
      </c>
      <c r="Q26" s="18" t="n">
        <v>66846.64</v>
      </c>
      <c r="R26" s="18" t="n">
        <v>97946.64</v>
      </c>
      <c r="S26" s="18" t="n">
        <v>108846.64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4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4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4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4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4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4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4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4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4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4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4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4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4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4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4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4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4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4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4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4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4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4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4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4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4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4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4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4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4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4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4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4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4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4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4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4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4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4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4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4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4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4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4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4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4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4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4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4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4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4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4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4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4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4" t="n">
        <v>109410.59</v>
      </c>
      <c r="Q46" s="18" t="n">
        <v>110385.68</v>
      </c>
      <c r="R46" s="18" t="n">
        <v>102346.62</v>
      </c>
      <c r="S46" s="18" t="n">
        <v>109179.96</v>
      </c>
      <c r="T46" s="18" t="n">
        <v>8251.200000000001</v>
      </c>
      <c r="U46" s="34" t="n">
        <v>8251.200000000001</v>
      </c>
      <c r="V46" s="18" t="n">
        <v>8376.84</v>
      </c>
      <c r="W46" s="18" t="n">
        <v>8506.83</v>
      </c>
      <c r="X46" s="18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4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4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4" t="n">
        <v>99920.21000000001</v>
      </c>
      <c r="Q47" s="18" t="n">
        <v>98696.19</v>
      </c>
      <c r="R47" s="18" t="n">
        <v>89806.2</v>
      </c>
      <c r="S47" s="18" t="n">
        <v>90953.78</v>
      </c>
      <c r="T47" s="18" t="n">
        <v>-8627.389999999999</v>
      </c>
      <c r="U47" s="34" t="n">
        <v>-8627.389999999999</v>
      </c>
      <c r="V47" s="18" t="n">
        <v>-12179.69</v>
      </c>
      <c r="W47" s="18" t="n">
        <v>-1971.68</v>
      </c>
      <c r="X47" s="18" t="n">
        <v>-28744.39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4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4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12582.93</v>
      </c>
      <c r="P48" s="34" t="n">
        <v>12582.93</v>
      </c>
      <c r="Q48" s="18" t="n">
        <v>15639.78</v>
      </c>
      <c r="R48" s="18" t="n">
        <v>14360.34</v>
      </c>
      <c r="S48" s="18" t="n">
        <v>20542.73</v>
      </c>
      <c r="T48" s="18" t="n">
        <v>18621.42</v>
      </c>
      <c r="U48" s="34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4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4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4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4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4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4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4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4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4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4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4" t="n">
        <v>998.91</v>
      </c>
      <c r="Q51" s="18" t="n">
        <v>913.1</v>
      </c>
      <c r="R51" s="18" t="n">
        <v>103.69</v>
      </c>
      <c r="S51" s="18" t="n">
        <v>1537.99</v>
      </c>
      <c r="T51" s="18" t="n">
        <v>1254.13</v>
      </c>
      <c r="U51" s="34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4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4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4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4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4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4" t="n">
        <v>7753.34</v>
      </c>
      <c r="Q54" s="18" t="n">
        <v>7872.4</v>
      </c>
      <c r="T54" s="18" t="n">
        <v>8251.200000000001</v>
      </c>
      <c r="U54" s="34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4" t="n">
        <v>896.4</v>
      </c>
      <c r="Q55" s="18" t="n">
        <v>810</v>
      </c>
      <c r="S55" s="18" t="n">
        <v>1433.7</v>
      </c>
      <c r="T55" s="18" t="n">
        <v>1123.2</v>
      </c>
      <c r="U55" s="34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4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4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4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4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4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4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4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4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4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4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4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4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4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4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4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4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4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4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4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4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4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4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4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4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4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4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4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4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4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4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4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4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4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4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4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4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4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4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4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4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4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4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4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4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4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4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4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4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4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4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4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4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4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4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4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4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4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4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4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4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4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4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4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4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4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4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4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4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4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4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4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4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4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4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4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4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4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4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4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4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4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4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4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4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4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4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4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4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4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4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4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4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4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4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4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4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4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4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4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4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4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4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4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4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4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4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4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4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4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4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4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4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4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4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4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4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4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4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4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4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0.0547</v>
      </c>
      <c r="F10" s="34" t="n"/>
      <c r="G10" s="18" t="n">
        <v>0.1629</v>
      </c>
      <c r="H10" s="18" t="n">
        <v>0.2262</v>
      </c>
      <c r="I10" s="18" t="n">
        <v>0.19</v>
      </c>
      <c r="J10" s="18" t="n">
        <v>0.07539999999999999</v>
      </c>
      <c r="K10" s="34">
        <f>SUM(G10:J10)</f>
        <v/>
      </c>
      <c r="L10" s="18" t="n">
        <v>0.173</v>
      </c>
      <c r="M10" s="18" t="n">
        <v>0.1904</v>
      </c>
      <c r="N10" s="18" t="n">
        <v>0.0533</v>
      </c>
      <c r="O10" s="18" t="n">
        <v>0.0257</v>
      </c>
      <c r="P10" s="34">
        <f>SUM(L10:O10)</f>
        <v/>
      </c>
      <c r="Q10" s="18" t="n">
        <v>0.0883</v>
      </c>
      <c r="R10" s="18" t="n">
        <v>0.0425</v>
      </c>
      <c r="S10" s="18" t="n">
        <v>-0.0002</v>
      </c>
      <c r="T10" s="18" t="n">
        <v>0.0641</v>
      </c>
      <c r="U10" s="34">
        <f>SUM(Q10:T10)</f>
        <v/>
      </c>
      <c r="V10" s="18" t="n">
        <v>0.0759</v>
      </c>
      <c r="W10" s="18" t="n">
        <v>0.08699999999999999</v>
      </c>
      <c r="X10" s="18" t="n">
        <v>0.1552</v>
      </c>
      <c r="Y10" s="18" t="n">
        <v>0.0983</v>
      </c>
      <c r="Z10" s="34">
        <f>SUM(V10:Y10)</f>
        <v/>
      </c>
      <c r="AA10" s="18" t="n">
        <v>0.0498</v>
      </c>
      <c r="AB10" s="19" t="n">
        <v>0.1294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5.96</v>
      </c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 t="n">
        <v>0</v>
      </c>
      <c r="AD13" s="20" t="n">
        <v>0</v>
      </c>
      <c r="AE13" s="35">
        <f>SUM(AA13:AD13)</f>
        <v/>
      </c>
      <c r="AF13" s="20" t="n">
        <v>0</v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0.34</v>
      </c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-1.57</v>
      </c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 t="n">
        <v>0</v>
      </c>
      <c r="AD15" s="20" t="n">
        <v>0</v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 t="n"/>
      <c r="Z25" s="34">
        <f>Y25</f>
        <v/>
      </c>
      <c r="AA25" s="18" t="n"/>
      <c r="AB25" s="19" t="n"/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 t="n"/>
      <c r="Z26" s="34">
        <f>Y26</f>
        <v/>
      </c>
      <c r="AA26" s="18" t="n"/>
      <c r="AB26" s="19" t="n"/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4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2.3</v>
      </c>
      <c r="F30" s="34" t="n"/>
      <c r="G30" s="18" t="n">
        <v>69.19</v>
      </c>
      <c r="H30" s="18" t="n">
        <v>-35.11</v>
      </c>
      <c r="I30" s="18" t="n">
        <v>-34.79</v>
      </c>
      <c r="J30" s="18" t="n">
        <v>-21.15</v>
      </c>
      <c r="K30" s="34">
        <f>SUM(G30:J30)</f>
        <v/>
      </c>
      <c r="L30" s="18" t="n">
        <v>37.29</v>
      </c>
      <c r="M30" s="18" t="n">
        <v>59.69</v>
      </c>
      <c r="N30" s="18" t="n">
        <v>63.41</v>
      </c>
      <c r="O30" s="18" t="n">
        <v>-15.56</v>
      </c>
      <c r="P30" s="34">
        <f>SUM(L30:O30)</f>
        <v/>
      </c>
      <c r="Q30" s="18" t="n">
        <v>19.01</v>
      </c>
      <c r="R30" s="18" t="n">
        <v>5.08</v>
      </c>
      <c r="S30" s="18" t="n">
        <v>4.9</v>
      </c>
      <c r="T30" s="18" t="n">
        <v>89.66</v>
      </c>
      <c r="U30" s="34">
        <f>SUM(Q30:T30)</f>
        <v/>
      </c>
      <c r="V30" s="18" t="n">
        <v>76.72</v>
      </c>
      <c r="W30" s="18" t="n">
        <v>-63.91</v>
      </c>
      <c r="X30" s="18" t="n">
        <v>49</v>
      </c>
      <c r="Y30" s="18" t="n">
        <v>39.69</v>
      </c>
      <c r="Z30" s="34">
        <f>SUM(V30:Y30)</f>
        <v/>
      </c>
      <c r="AA30" s="18" t="n">
        <v>12.34</v>
      </c>
      <c r="AB30" s="19" t="n">
        <v>-76.31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8.147</v>
      </c>
      <c r="F31" s="27">
        <f>E31</f>
        <v/>
      </c>
      <c r="G31" s="26" t="n">
        <v>8.147</v>
      </c>
      <c r="H31" s="26" t="n">
        <v>8.147</v>
      </c>
      <c r="I31" s="26" t="n">
        <v>8.590999999999999</v>
      </c>
      <c r="J31" s="26" t="n">
        <v>9.125</v>
      </c>
      <c r="K31" s="27">
        <f>J31</f>
        <v/>
      </c>
      <c r="L31" s="26" t="n">
        <v>9.125</v>
      </c>
      <c r="M31" s="26" t="n">
        <v>9.125</v>
      </c>
      <c r="N31" s="26" t="n">
        <v>9.125</v>
      </c>
      <c r="O31" s="26" t="n">
        <v>9.125</v>
      </c>
      <c r="P31" s="27">
        <f>O31</f>
        <v/>
      </c>
      <c r="Q31" s="26" t="n">
        <v>9.125</v>
      </c>
      <c r="R31" s="26" t="n">
        <v>9.125</v>
      </c>
      <c r="S31" s="26" t="n">
        <v>9.125</v>
      </c>
      <c r="T31" s="26" t="n">
        <v>9.125</v>
      </c>
      <c r="U31" s="27">
        <f>T31</f>
        <v/>
      </c>
      <c r="V31" s="26" t="n">
        <v>8.93</v>
      </c>
      <c r="W31" s="26" t="n">
        <v>8.904</v>
      </c>
      <c r="X31" s="26" t="n">
        <v>9.704000000000001</v>
      </c>
      <c r="Y31" s="26" t="n">
        <v>9.926</v>
      </c>
      <c r="Z31" s="27">
        <f>Y31</f>
        <v/>
      </c>
      <c r="AA31" s="26" t="n">
        <v>9.926</v>
      </c>
      <c r="AB31" s="28" t="n">
        <v>9.926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4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4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4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4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4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5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5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4" t="n">
        <v>150</v>
      </c>
      <c r="G34" s="18" t="n"/>
      <c r="H34" s="18" t="n"/>
      <c r="I34" s="18" t="n"/>
      <c r="J34" s="18" t="n">
        <v>200</v>
      </c>
      <c r="K34" s="34">
        <f>SUM(G34:J34)</f>
        <v/>
      </c>
      <c r="L34" s="18" t="n"/>
      <c r="M34" s="18" t="n"/>
      <c r="N34" s="18" t="n"/>
      <c r="O34" s="18" t="n">
        <v>250</v>
      </c>
      <c r="P34" s="34">
        <f>SUM(L34:O34)</f>
        <v/>
      </c>
      <c r="Q34" s="18" t="n"/>
      <c r="R34" s="18" t="n"/>
      <c r="S34" s="18" t="n"/>
      <c r="T34" s="18" t="n">
        <v>250</v>
      </c>
      <c r="U34" s="34">
        <f>SUM(Q34:T34)</f>
        <v/>
      </c>
      <c r="V34" s="18" t="n"/>
      <c r="W34" s="18" t="n"/>
      <c r="X34" s="18" t="n"/>
      <c r="Y34" s="18" t="n">
        <v>600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6.35</v>
      </c>
      <c r="J35" s="18" t="n">
        <v>7.94</v>
      </c>
      <c r="K35" s="34">
        <f>SUM(G35:J35)</f>
        <v/>
      </c>
      <c r="L35" s="18" t="n">
        <v>7.29</v>
      </c>
      <c r="M35" s="18" t="n">
        <v>8.26</v>
      </c>
      <c r="N35" s="18" t="n">
        <v>10.57</v>
      </c>
      <c r="O35" s="18" t="n">
        <v>7.26</v>
      </c>
      <c r="P35" s="34">
        <f>SUM(L35:O35)</f>
        <v/>
      </c>
      <c r="Q35" s="18" t="n">
        <v>8.34</v>
      </c>
      <c r="R35" s="18" t="n">
        <v>18.5</v>
      </c>
      <c r="S35" s="18" t="n">
        <v>76.12</v>
      </c>
      <c r="T35" s="18" t="n">
        <v>18.67</v>
      </c>
      <c r="U35" s="34">
        <f>SUM(Q35:T35)</f>
        <v/>
      </c>
      <c r="V35" s="18" t="n">
        <v>14.79</v>
      </c>
      <c r="W35" s="18" t="n">
        <v>11.06</v>
      </c>
      <c r="X35" s="18" t="n">
        <v>4.72</v>
      </c>
      <c r="Y35" s="18" t="n">
        <v>6.18</v>
      </c>
      <c r="Z35" s="34">
        <f>SUM(V35:Y35)</f>
        <v/>
      </c>
      <c r="AA35" s="18" t="n">
        <v>6.61</v>
      </c>
      <c r="AB35" s="19" t="n">
        <v>6.78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1.16</v>
      </c>
      <c r="F36" s="34" t="n">
        <v>1.17</v>
      </c>
      <c r="G36" s="18" t="n">
        <v>1.13</v>
      </c>
      <c r="H36" s="18" t="n">
        <v>1.1</v>
      </c>
      <c r="I36" s="18" t="n">
        <v>1.23</v>
      </c>
      <c r="J36" s="18" t="n">
        <v>1.25</v>
      </c>
      <c r="K36" s="34">
        <f>SUM(G36:J36)</f>
        <v/>
      </c>
      <c r="L36" s="18" t="n">
        <v>1.21</v>
      </c>
      <c r="M36" s="18" t="n">
        <v>1.15</v>
      </c>
      <c r="N36" s="18" t="n">
        <v>1.15</v>
      </c>
      <c r="O36" s="18" t="n">
        <v>1.01</v>
      </c>
      <c r="P36" s="34">
        <f>SUM(L36:O36)</f>
        <v/>
      </c>
      <c r="Q36" s="18" t="n">
        <v>0.95</v>
      </c>
      <c r="R36" s="18" t="n">
        <v>0.98</v>
      </c>
      <c r="S36" s="18" t="n">
        <v>0.84</v>
      </c>
      <c r="T36" s="18" t="n">
        <v>0.63</v>
      </c>
      <c r="U36" s="34">
        <f>SUM(Q36:T36)</f>
        <v/>
      </c>
      <c r="V36" s="18" t="n">
        <v>0.62</v>
      </c>
      <c r="W36" s="18" t="n">
        <v>0.67</v>
      </c>
      <c r="X36" s="18" t="n">
        <v>0.72</v>
      </c>
      <c r="Y36" s="18" t="n">
        <v>0.82</v>
      </c>
      <c r="Z36" s="34">
        <f>SUM(V36:Y36)</f>
        <v/>
      </c>
      <c r="AA36" s="18" t="n">
        <v>0.88</v>
      </c>
      <c r="AB36" s="19" t="n">
        <v>1.03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4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4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4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4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4">
        <f>SUM(V37:Y37)</f>
        <v/>
      </c>
      <c r="AA37" s="18" t="n">
        <v>355.69</v>
      </c>
      <c r="AB37" s="19" t="n">
        <v>486.47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4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4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4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4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4">
        <f>SUM(V38:Y38)</f>
        <v/>
      </c>
      <c r="AA38" s="18" t="n">
        <v>17.72</v>
      </c>
      <c r="AB38" s="19" t="n">
        <v>62.96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1">
        <f>IFERROR(AC20/AC5,"")</f>
        <v/>
      </c>
      <c r="AD41" s="31">
        <f>IFERROR(AD20/AD5,"")</f>
        <v/>
      </c>
      <c r="AE41" s="25">
        <f>IFERROR(AE20/AE5,"")</f>
        <v/>
      </c>
      <c r="AF41" s="31">
        <f>IFERROR(AF20/AF5,"")</f>
        <v/>
      </c>
      <c r="AG41" s="31">
        <f>IFERROR(AG20/AG5,"")</f>
        <v/>
      </c>
      <c r="AH41" s="31">
        <f>IFERROR(AH20/AH5,"")</f>
        <v/>
      </c>
      <c r="AI41" s="31">
        <f>IFERROR(AI20/AI5,"")</f>
        <v/>
      </c>
      <c r="AJ41" s="25">
        <f>IFERROR(AJ20/AJ5,"")</f>
        <v/>
      </c>
      <c r="AK41" s="31">
        <f>IFERROR(AK20/AK5,"")</f>
        <v/>
      </c>
      <c r="AL41" s="31">
        <f>IFERROR(AL20/AL5,"")</f>
        <v/>
      </c>
      <c r="AM41" s="31">
        <f>IFERROR(AM20/AM5,"")</f>
        <v/>
      </c>
      <c r="AN41" s="31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2">
        <f>IFERROR(W20/S20-1,"")</f>
        <v/>
      </c>
      <c r="X43" s="31">
        <f>IFERROR(X20/T20-1,"")</f>
        <v/>
      </c>
      <c r="Y43" s="31">
        <f>IFERROR(Y20/U20-1,"")</f>
        <v/>
      </c>
      <c r="Z43" s="31">
        <f>IFERROR(Z20/V20-1,"")</f>
        <v/>
      </c>
      <c r="AA43" s="31">
        <f>IFERROR(AA20/W20-1,"")</f>
        <v/>
      </c>
      <c r="AB43" s="31">
        <f>IFERROR(AB20/X20-1,"")</f>
        <v/>
      </c>
      <c r="AC43" s="31">
        <f>IFERROR(AC20/Y20-1,"")</f>
        <v/>
      </c>
      <c r="AD43" s="31">
        <f>IFERROR(AD20/Z20-1,"")</f>
        <v/>
      </c>
      <c r="AE43" s="31">
        <f>IFERROR(AE20/AA20-1,"")</f>
        <v/>
      </c>
      <c r="AF43" s="31">
        <f>IFERROR(AF20/AB20-1,"")</f>
        <v/>
      </c>
      <c r="AG43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2">
        <f>IFERROR(I20/H20-1,"")</f>
        <v/>
      </c>
      <c r="J43" s="31">
        <f>IFERROR(J20/I20-1,"")</f>
        <v/>
      </c>
      <c r="K43" s="31">
        <f>IFERROR(K20/J20-1,"")</f>
        <v/>
      </c>
      <c r="L43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16.63</v>
      </c>
    </row>
    <row r="32">
      <c r="C32" s="2" t="inlineStr">
        <is>
          <t>pbr_now</t>
        </is>
      </c>
      <c r="D32" t="n">
        <v>1.28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