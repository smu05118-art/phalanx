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66789억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68537억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72084억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76066억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80855억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85856억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91113억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95308억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66789억 × 비례계수 0.0137(원점회귀; 격자 lag0~4×창8/12/19×수준·YoY·4Q합 중 최대 r=0.93, n=8, 창 8)
[yoy]</t>
      </text>
    </comment>
    <comment ref="AG5" authorId="0" shapeId="0">
      <text>
        <t>추정: 고객 매출 가중지수(t−1) 68537억 × 비례계수 0.0137(원점회귀; 격자 lag0~4×창8/12/19×수준·YoY·4Q합 중 최대 r=0.93, n=8, 창 8)
[yoy]</t>
      </text>
    </comment>
    <comment ref="AH5" authorId="0" shapeId="0">
      <text>
        <t>추정: 고객 매출 가중지수(t−1) 72084억 × 비례계수 0.0137(원점회귀; 격자 lag0~4×창8/12/19×수준·YoY·4Q합 중 최대 r=0.93, n=8, 창 8)
[yoy]</t>
      </text>
    </comment>
    <comment ref="AI5" authorId="0" shapeId="0">
      <text>
        <t>추정: 고객 매출 가중지수(t−1) 76066억 × 비례계수 0.0137(원점회귀; 격자 lag0~4×창8/12/19×수준·YoY·4Q합 중 최대 r=0.93, n=8, 창 8)
[yoy]</t>
      </text>
    </comment>
    <comment ref="AK5" authorId="0" shapeId="0">
      <text>
        <t>추정: 고객 매출 가중지수(t−1) 80855억 × 비례계수 0.0137(원점회귀; 격자 lag0~4×창8/12/19×수준·YoY·4Q합 중 최대 r=0.93, n=8, 창 8)
[yoy]</t>
      </text>
    </comment>
    <comment ref="AL5" authorId="0" shapeId="0">
      <text>
        <t>추정: 고객 매출 가중지수(t−1) 85856억 × 비례계수 0.0137(원점회귀; 격자 lag0~4×창8/12/19×수준·YoY·4Q합 중 최대 r=0.93, n=8, 창 8)
[yoy]</t>
      </text>
    </comment>
    <comment ref="AM5" authorId="0" shapeId="0">
      <text>
        <t>추정: 고객 매출 가중지수(t−1) 91113억 × 비례계수 0.0137(원점회귀; 격자 lag0~4×창8/12/19×수준·YoY·4Q합 중 최대 r=0.93, n=8, 창 8)
[yoy]</t>
      </text>
    </comment>
    <comment ref="AN5" authorId="0" shapeId="0">
      <text>
        <t>추정: 고객 매출 가중지수(t−1) 95308억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1000억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1000억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1065억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1355억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7036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-0.301037814</v>
      </c>
      <c r="AG21" s="24" t="n">
        <v>-0.285388818</v>
      </c>
      <c r="AH21" s="24" t="n">
        <v>0.138373045</v>
      </c>
      <c r="AI21" s="24" t="n">
        <v>0.153401733</v>
      </c>
      <c r="AJ21" s="25" t="n"/>
      <c r="AK21" s="24" t="n">
        <v>0.210598791</v>
      </c>
      <c r="AL21" s="24" t="n">
        <v>0.252697162</v>
      </c>
      <c r="AM21" s="24" t="n">
        <v>0.263986634</v>
      </c>
      <c r="AN21" s="24" t="n">
        <v>0.252957941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0.089255855</v>
      </c>
      <c r="AG23" s="24" t="n">
        <v>0.089259279</v>
      </c>
      <c r="AH23" s="24" t="n">
        <v>0.089261303</v>
      </c>
      <c r="AI23" s="24" t="n">
        <v>0.08926120999999999</v>
      </c>
      <c r="AJ23" s="25">
        <f>IFERROR(subQ!AJ9/subQ!AJ5,"")</f>
        <v/>
      </c>
      <c r="AK23" s="24" t="n">
        <v>0.089256213</v>
      </c>
      <c r="AL23" s="24" t="n">
        <v>0.089260512</v>
      </c>
      <c r="AM23" s="24" t="n">
        <v>0.089260965</v>
      </c>
      <c r="AN23" s="24" t="n">
        <v>0.089253439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-0.007330743</v>
      </c>
      <c r="AD31" s="30" t="n">
        <v>0.002684832</v>
      </c>
      <c r="AE31" s="31" t="n"/>
      <c r="AF31" s="30" t="n">
        <v>0.002550687</v>
      </c>
      <c r="AG31" s="30" t="n">
        <v>21.446243074</v>
      </c>
      <c r="AH31" s="30" t="n">
        <v>-0.001202619</v>
      </c>
      <c r="AI31" s="30" t="n">
        <v>-0.004803738</v>
      </c>
      <c r="AJ31" s="31" t="n"/>
      <c r="AK31" s="30" t="n">
        <v>0.003342605</v>
      </c>
      <c r="AL31" s="30" t="n">
        <v>21.443670064</v>
      </c>
      <c r="AM31" s="30" t="n">
        <v>0.000849031</v>
      </c>
      <c r="AN31" s="30" t="n">
        <v>-0.006215851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-0.004046783</v>
      </c>
      <c r="AD32" s="30" t="n">
        <v>-0.000106951</v>
      </c>
      <c r="AE32" s="31" t="n"/>
      <c r="AF32" s="30" t="n">
        <v>-0.002995979</v>
      </c>
      <c r="AG32" s="30" t="n">
        <v>21.450090733</v>
      </c>
      <c r="AH32" s="30" t="n">
        <v>-0.003836866</v>
      </c>
      <c r="AI32" s="30" t="n">
        <v>-0.000233978</v>
      </c>
      <c r="AJ32" s="31" t="n"/>
      <c r="AK32" s="30" t="n">
        <v>-0.006792382</v>
      </c>
      <c r="AL32" s="30" t="n">
        <v>21.452986622</v>
      </c>
      <c r="AM32" s="30" t="n">
        <v>-0.000677417</v>
      </c>
      <c r="AN32" s="30" t="n">
        <v>-0.01129232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-0.048227337</v>
      </c>
      <c r="AG34" s="24" t="n">
        <v>-0.033992095</v>
      </c>
      <c r="AH34" s="24" t="n">
        <v>-0.058128451</v>
      </c>
      <c r="AI34" s="24" t="n">
        <v>-0.066184193</v>
      </c>
      <c r="AJ34" s="25" t="n"/>
      <c r="AK34" s="24" t="n">
        <v>-0.07659039300000001</v>
      </c>
      <c r="AL34" s="24" t="n">
        <v>-0.06567015399999999</v>
      </c>
      <c r="AM34" s="24" t="n">
        <v>-0.102839401</v>
      </c>
      <c r="AN34" s="24" t="n">
        <v>-0.12129818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0.064637309</v>
      </c>
      <c r="AG35" s="24" t="n">
        <v>0.040728597</v>
      </c>
      <c r="AH35" s="24" t="n">
        <v>0.064647758</v>
      </c>
      <c r="AI35" s="24" t="n">
        <v>0.065118551</v>
      </c>
      <c r="AJ35" s="25" t="n"/>
      <c r="AK35" s="24" t="n">
        <v>0.066067523</v>
      </c>
      <c r="AL35" s="24" t="n">
        <v>0.049067218</v>
      </c>
      <c r="AM35" s="24" t="n">
        <v>0.068435248</v>
      </c>
      <c r="AN35" s="24" t="n">
        <v>0.067779221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6850</v>
      </c>
      <c r="E43" s="2" t="inlineStr">
        <is>
          <t>원 — 네이버 정규장 종가(aik 확정종가 대조 · aik 7,070원)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0.1194758349308849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0.0979591214329419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0.9417898475994042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0.02798783232875744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0.03438364272643215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1665.6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4.11</v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0.2295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