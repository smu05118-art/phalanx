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67139억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68778억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72100억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75903억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80562억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85477억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90701억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94918억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67139억 × 비례계수 0.0137(원점회귀; 격자 lag0~4×창8/12/19×수준·YoY·4Q합 중 최대 r=0.93, n=8, 창 8)
[yoy]</t>
      </text>
    </comment>
    <comment ref="AG5" authorId="0" shapeId="0">
      <text>
        <t>추정: 고객 매출 가중지수(t−1) 68778억 × 비례계수 0.0137(원점회귀; 격자 lag0~4×창8/12/19×수준·YoY·4Q합 중 최대 r=0.93, n=8, 창 8)
[yoy]</t>
      </text>
    </comment>
    <comment ref="AH5" authorId="0" shapeId="0">
      <text>
        <t>추정: 고객 매출 가중지수(t−1) 72100억 × 비례계수 0.0137(원점회귀; 격자 lag0~4×창8/12/19×수준·YoY·4Q합 중 최대 r=0.93, n=8, 창 8)
[yoy]</t>
      </text>
    </comment>
    <comment ref="AI5" authorId="0" shapeId="0">
      <text>
        <t>추정: 고객 매출 가중지수(t−1) 75903억 × 비례계수 0.0137(원점회귀; 격자 lag0~4×창8/12/19×수준·YoY·4Q합 중 최대 r=0.93, n=8, 창 8)
[yoy]</t>
      </text>
    </comment>
    <comment ref="AK5" authorId="0" shapeId="0">
      <text>
        <t>추정: 고객 매출 가중지수(t−1) 80562억 × 비례계수 0.0137(원점회귀; 격자 lag0~4×창8/12/19×수준·YoY·4Q합 중 최대 r=0.93, n=8, 창 8)
[yoy]</t>
      </text>
    </comment>
    <comment ref="AL5" authorId="0" shapeId="0">
      <text>
        <t>추정: 고객 매출 가중지수(t−1) 85477억 × 비례계수 0.0137(원점회귀; 격자 lag0~4×창8/12/19×수준·YoY·4Q합 중 최대 r=0.93, n=8, 창 8)
[yoy]</t>
      </text>
    </comment>
    <comment ref="AM5" authorId="0" shapeId="0">
      <text>
        <t>추정: 고객 매출 가중지수(t−1) 90701억 × 비례계수 0.0137(원점회귀; 격자 lag0~4×창8/12/19×수준·YoY·4Q합 중 최대 r=0.93, n=8, 창 8)
[yoy]</t>
      </text>
    </comment>
    <comment ref="AN5" authorId="0" shapeId="0">
      <text>
        <t>추정: 고객 매출 가중지수(t−1) 94918억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1001억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1065억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1354억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11.94%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5970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5410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6481.8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-0.297371167</v>
      </c>
      <c r="AG21" s="24" t="n">
        <v>-0.28286966</v>
      </c>
      <c r="AH21" s="24" t="n">
        <v>0.138615117</v>
      </c>
      <c r="AI21" s="24" t="n">
        <v>0.150933581</v>
      </c>
      <c r="AJ21" s="25" t="n"/>
      <c r="AK21" s="24" t="n">
        <v>0.199921723</v>
      </c>
      <c r="AL21" s="24" t="n">
        <v>0.242799227</v>
      </c>
      <c r="AM21" s="24" t="n">
        <v>0.258008018</v>
      </c>
      <c r="AN21" s="24" t="n">
        <v>0.250500058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0.089257564</v>
      </c>
      <c r="AG23" s="24" t="n">
        <v>0.089253497</v>
      </c>
      <c r="AH23" s="24" t="n">
        <v>0.08925245</v>
      </c>
      <c r="AI23" s="24" t="n">
        <v>0.089260299</v>
      </c>
      <c r="AJ23" s="25">
        <f>IFERROR(subQ!AJ9/subQ!AJ5,"")</f>
        <v/>
      </c>
      <c r="AK23" s="24" t="n">
        <v>0.08925432599999999</v>
      </c>
      <c r="AL23" s="24" t="n">
        <v>0.089253996</v>
      </c>
      <c r="AM23" s="24" t="n">
        <v>0.08925568</v>
      </c>
      <c r="AN23" s="24" t="n">
        <v>0.089259211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-0.004750784</v>
      </c>
      <c r="AD31" s="30" t="n">
        <v>0.00517938</v>
      </c>
      <c r="AE31" s="31" t="n"/>
      <c r="AF31" s="30" t="n">
        <v>0.003526157</v>
      </c>
      <c r="AG31" s="30" t="n">
        <v>21.446151769</v>
      </c>
      <c r="AH31" s="30" t="n">
        <v>-0.006254014</v>
      </c>
      <c r="AI31" s="30" t="n">
        <v>0.005277549</v>
      </c>
      <c r="AJ31" s="31" t="n"/>
      <c r="AK31" s="30" t="n">
        <v>-0.008574032000000001</v>
      </c>
      <c r="AL31" s="30" t="n">
        <v>21.442910658</v>
      </c>
      <c r="AM31" s="30" t="n">
        <v>-0.007670643</v>
      </c>
      <c r="AN31" s="30" t="n">
        <v>0.007575415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-0.001155312</v>
      </c>
      <c r="AD32" s="30" t="n">
        <v>0.002731201</v>
      </c>
      <c r="AE32" s="31" t="n"/>
      <c r="AF32" s="30" t="n">
        <v>0.006305607</v>
      </c>
      <c r="AG32" s="30" t="n">
        <v>21.445391035</v>
      </c>
      <c r="AH32" s="30" t="n">
        <v>-0.009204799</v>
      </c>
      <c r="AI32" s="30" t="n">
        <v>0.000330471</v>
      </c>
      <c r="AJ32" s="31" t="n"/>
      <c r="AK32" s="30" t="n">
        <v>8.6411e-05</v>
      </c>
      <c r="AL32" s="30" t="n">
        <v>21.44682555</v>
      </c>
      <c r="AM32" s="30" t="n">
        <v>-0.01234944</v>
      </c>
      <c r="AN32" s="30" t="n">
        <v>0.00750923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-0.048541522</v>
      </c>
      <c r="AG34" s="24" t="n">
        <v>-0.034229255</v>
      </c>
      <c r="AH34" s="24" t="n">
        <v>-0.05817992</v>
      </c>
      <c r="AI34" s="24" t="n">
        <v>-0.066063513</v>
      </c>
      <c r="AJ34" s="25" t="n"/>
      <c r="AK34" s="24" t="n">
        <v>-0.076311671</v>
      </c>
      <c r="AL34" s="24" t="n">
        <v>-0.06522918799999999</v>
      </c>
      <c r="AM34" s="24" t="n">
        <v>-0.102278247</v>
      </c>
      <c r="AN34" s="24" t="n">
        <v>-0.120635046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0.065058399</v>
      </c>
      <c r="AG35" s="24" t="n">
        <v>0.04098301</v>
      </c>
      <c r="AH35" s="24" t="n">
        <v>0.064626394</v>
      </c>
      <c r="AI35" s="24" t="n">
        <v>0.064918605</v>
      </c>
      <c r="AJ35" s="25" t="n"/>
      <c r="AK35" s="24" t="n">
        <v>0.065765694</v>
      </c>
      <c r="AL35" s="24" t="n">
        <v>0.04872077</v>
      </c>
      <c r="AM35" s="24" t="n">
        <v>0.06809272500000001</v>
      </c>
      <c r="AN35" s="24" t="n">
        <v>0.067503102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5970</v>
      </c>
      <c r="E43" s="2" t="inlineStr">
        <is>
          <t>원 — 네이버 정규장 종가(aik 확정종가 대조 · aik 5,590원)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0.1194482340457784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0.09795723604159012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0.9417984104668177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0.02797226961571281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0.03437538861665136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1670.3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3.57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0.2301</v>
      </c>
    </row>
    <row r="34">
      <c r="C34" s="2" t="inlineStr">
        <is>
          <t>fair_pbr</t>
        </is>
      </c>
      <c r="D34" t="n">
        <v>2.56</v>
      </c>
    </row>
    <row r="35">
      <c r="C35" s="2" t="inlineStr">
        <is>
          <t>fair_value_pbr</t>
        </is>
      </c>
      <c r="D35" t="n">
        <v>18600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