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65394억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66101억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68341억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72257억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76505억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81467억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86550억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91777억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95826억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65394억 × 비례계수 0.0137(원점회귀; 격자 lag0~4×창8/12/19×수준·YoY·4Q합 중 최대 r=0.93, n=8, 창 8)
[yoy]</t>
      </text>
    </comment>
    <comment ref="AF5" authorId="0" shapeId="0">
      <text>
        <t>추정: 고객 매출 가중지수(t−1) 66101억 × 비례계수 0.0137(원점회귀; 격자 lag0~4×창8/12/19×수준·YoY·4Q합 중 최대 r=0.93, n=8, 창 8)
[yoy]</t>
      </text>
    </comment>
    <comment ref="AG5" authorId="0" shapeId="0">
      <text>
        <t>추정: 고객 매출 가중지수(t−1) 68341억 × 비례계수 0.0137(원점회귀; 격자 lag0~4×창8/12/19×수준·YoY·4Q합 중 최대 r=0.93, n=8, 창 8)
[yoy]</t>
      </text>
    </comment>
    <comment ref="AH5" authorId="0" shapeId="0">
      <text>
        <t>추정: 고객 매출 가중지수(t−1) 72257억 × 비례계수 0.0137(원점회귀; 격자 lag0~4×창8/12/19×수준·YoY·4Q합 중 최대 r=0.93, n=8, 창 8)
[yoy]</t>
      </text>
    </comment>
    <comment ref="AI5" authorId="0" shapeId="0">
      <text>
        <t>추정: 고객 매출 가중지수(t−1) 76505억 × 비례계수 0.0137(원점회귀; 격자 lag0~4×창8/12/19×수준·YoY·4Q합 중 최대 r=0.93, n=8, 창 8)
[yoy]</t>
      </text>
    </comment>
    <comment ref="AK5" authorId="0" shapeId="0">
      <text>
        <t>추정: 고객 매출 가중지수(t−1) 81467억 × 비례계수 0.0137(원점회귀; 격자 lag0~4×창8/12/19×수준·YoY·4Q합 중 최대 r=0.93, n=8, 창 8)
[yoy]</t>
      </text>
    </comment>
    <comment ref="AL5" authorId="0" shapeId="0">
      <text>
        <t>추정: 고객 매출 가중지수(t−1) 86550억 × 비례계수 0.0137(원점회귀; 격자 lag0~4×창8/12/19×수준·YoY·4Q합 중 최대 r=0.93, n=8, 창 8)
[yoy]</t>
      </text>
    </comment>
    <comment ref="AM5" authorId="0" shapeId="0">
      <text>
        <t>추정: 고객 매출 가중지수(t−1) 91777억 × 비례계수 0.0137(원점회귀; 격자 lag0~4×창8/12/19×수준·YoY·4Q합 중 최대 r=0.93, n=8, 창 8)
[yoy]</t>
      </text>
    </comment>
    <comment ref="AN5" authorId="0" shapeId="0">
      <text>
        <t>추정: 고객 매출 가중지수(t−1) 95826억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959억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998억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1356억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959억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998억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1063억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1133억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1208억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1269억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1356억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7180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6700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7070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1.713144137</v>
      </c>
      <c r="AE21" s="25" t="n"/>
      <c r="AF21" s="24" t="n">
        <v>-0.308241247</v>
      </c>
      <c r="AG21" s="24" t="n">
        <v>-0.287428498</v>
      </c>
      <c r="AH21" s="24" t="n">
        <v>0.141105002</v>
      </c>
      <c r="AI21" s="24" t="n">
        <v>0.169896194</v>
      </c>
      <c r="AJ21" s="25" t="n"/>
      <c r="AK21" s="24" t="n">
        <v>0.232469798</v>
      </c>
      <c r="AL21" s="24" t="n">
        <v>0.266450917</v>
      </c>
      <c r="AM21" s="24" t="n">
        <v>0.270143042</v>
      </c>
      <c r="AN21" s="24" t="n">
        <v>0.252559369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0.089262194</v>
      </c>
      <c r="AE23" s="25">
        <f>IFERROR(subQ!AE9/subQ!AE5,"")</f>
        <v/>
      </c>
      <c r="AF23" s="24" t="n">
        <v>0.089257713</v>
      </c>
      <c r="AG23" s="24" t="n">
        <v>0.08925843999999999</v>
      </c>
      <c r="AH23" s="24" t="n">
        <v>0.08925973800000001</v>
      </c>
      <c r="AI23" s="24" t="n">
        <v>0.089255899</v>
      </c>
      <c r="AJ23" s="25">
        <f>IFERROR(subQ!AJ9/subQ!AJ5,"")</f>
        <v/>
      </c>
      <c r="AK23" s="24" t="n">
        <v>0.089257235</v>
      </c>
      <c r="AL23" s="24" t="n">
        <v>0.089260715</v>
      </c>
      <c r="AM23" s="24" t="n">
        <v>0.08925986599999999</v>
      </c>
      <c r="AN23" s="24" t="n">
        <v>0.089258238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-0.007846054999999999</v>
      </c>
      <c r="AD31" s="30" t="n">
        <v>0.00355188</v>
      </c>
      <c r="AE31" s="31" t="n"/>
      <c r="AF31" s="30" t="n">
        <v>-0.001040441</v>
      </c>
      <c r="AG31" s="30" t="n">
        <v>21.446555694</v>
      </c>
      <c r="AH31" s="30" t="n">
        <v>-0.005871282</v>
      </c>
      <c r="AI31" s="30" t="n">
        <v>0.003537428</v>
      </c>
      <c r="AJ31" s="31" t="n"/>
      <c r="AK31" s="30" t="n">
        <v>-0.011490513</v>
      </c>
      <c r="AL31" s="30" t="n">
        <v>21.451122917</v>
      </c>
      <c r="AM31" s="30" t="n">
        <v>-0.002098732</v>
      </c>
      <c r="AN31" s="30" t="n">
        <v>0.005756806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-0.003573087</v>
      </c>
      <c r="AD32" s="30" t="n">
        <v>0.006640421</v>
      </c>
      <c r="AE32" s="31" t="n"/>
      <c r="AF32" s="30" t="n">
        <v>-0.002278186</v>
      </c>
      <c r="AG32" s="30" t="n">
        <v>21.444264985</v>
      </c>
      <c r="AH32" s="30" t="n">
        <v>0.002441292</v>
      </c>
      <c r="AI32" s="30" t="n">
        <v>-0.007331642</v>
      </c>
      <c r="AJ32" s="31" t="n"/>
      <c r="AK32" s="30" t="n">
        <v>0.001581136</v>
      </c>
      <c r="AL32" s="30" t="n">
        <v>21.448379837</v>
      </c>
      <c r="AM32" s="30" t="n">
        <v>-0.003808525</v>
      </c>
      <c r="AN32" s="30" t="n">
        <v>-0.000970784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-0.044600772</v>
      </c>
      <c r="AE34" s="25" t="n"/>
      <c r="AF34" s="24" t="n">
        <v>-0.047591895</v>
      </c>
      <c r="AG34" s="24" t="n">
        <v>-0.033761681</v>
      </c>
      <c r="AH34" s="24" t="n">
        <v>-0.05819968</v>
      </c>
      <c r="AI34" s="24" t="n">
        <v>-0.066544619</v>
      </c>
      <c r="AJ34" s="25" t="n"/>
      <c r="AK34" s="24" t="n">
        <v>-0.077182373</v>
      </c>
      <c r="AL34" s="24" t="n">
        <v>-0.066469638</v>
      </c>
      <c r="AM34" s="24" t="n">
        <v>-0.10375043</v>
      </c>
      <c r="AN34" s="24" t="n">
        <v>-0.122243243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0.066825973</v>
      </c>
      <c r="AE35" s="25" t="n"/>
      <c r="AF35" s="24" t="n">
        <v>0.06385975000000001</v>
      </c>
      <c r="AG35" s="24" t="n">
        <v>0.040556175</v>
      </c>
      <c r="AH35" s="24" t="n">
        <v>0.064919064</v>
      </c>
      <c r="AI35" s="24" t="n">
        <v>0.065645782</v>
      </c>
      <c r="AJ35" s="25" t="n"/>
      <c r="AK35" s="24" t="n">
        <v>0.066694912</v>
      </c>
      <c r="AL35" s="24" t="n">
        <v>0.049698795</v>
      </c>
      <c r="AM35" s="24" t="n">
        <v>0.068969051</v>
      </c>
      <c r="AN35" s="24" t="n">
        <v>0.068140085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7180</v>
      </c>
      <c r="E43" s="2" t="inlineStr">
        <is>
          <t>원 — 네이버 정규장 종가(aik 확정종가 대조 · aik 6,950원)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0.1194630703619369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0.09795830642806809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0.9418076351583039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0.02799638787134373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0.0343900315948308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1654.3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4.34</v>
      </c>
    </row>
    <row r="32">
      <c r="C32" s="2" t="inlineStr">
        <is>
          <t>pbr_now</t>
        </is>
      </c>
      <c r="D32" t="n">
        <v>0.99</v>
      </c>
    </row>
    <row r="33">
      <c r="C33" s="2" t="inlineStr">
        <is>
          <t>roe_fwd</t>
        </is>
      </c>
      <c r="D33" t="n">
        <v>0.2279</v>
      </c>
    </row>
    <row r="34">
      <c r="C34" s="2" t="inlineStr">
        <is>
          <t>fair_pbr</t>
        </is>
      </c>
      <c r="D34" t="n">
        <v>2.53</v>
      </c>
    </row>
    <row r="35">
      <c r="C35" s="2" t="inlineStr">
        <is>
          <t>fair_value_pbr</t>
        </is>
      </c>
      <c r="D35" t="n">
        <v>18400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