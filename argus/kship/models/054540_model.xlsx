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65950억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67417억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69011억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72162억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75834억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80393억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85242억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90441억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94674억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65950억 × 비례계수 0.0137(원점회귀; 격자 lag0~4×창8/12/19×수준·YoY·4Q합 중 최대 r=0.93, n=8, 창 8)
[yoy]</t>
      </text>
    </comment>
    <comment ref="AF5" authorId="0" shapeId="0">
      <text>
        <t>추정: 고객 매출 가중지수(t−1) 67417억 × 비례계수 0.0137(원점회귀; 격자 lag0~4×창8/12/19×수준·YoY·4Q합 중 최대 r=0.93, n=8, 창 8)
[yoy]</t>
      </text>
    </comment>
    <comment ref="AG5" authorId="0" shapeId="0">
      <text>
        <t>추정: 고객 매출 가중지수(t−1) 69011억 × 비례계수 0.0137(원점회귀; 격자 lag0~4×창8/12/19×수준·YoY·4Q합 중 최대 r=0.93, n=8, 창 8)
[yoy]</t>
      </text>
    </comment>
    <comment ref="AH5" authorId="0" shapeId="0">
      <text>
        <t>추정: 고객 매출 가중지수(t−1) 72162억 × 비례계수 0.0137(원점회귀; 격자 lag0~4×창8/12/19×수준·YoY·4Q합 중 최대 r=0.93, n=8, 창 8)
[yoy]</t>
      </text>
    </comment>
    <comment ref="AI5" authorId="0" shapeId="0">
      <text>
        <t>추정: 고객 매출 가중지수(t−1) 75834억 × 비례계수 0.0137(원점회귀; 격자 lag0~4×창8/12/19×수준·YoY·4Q합 중 최대 r=0.93, n=8, 창 8)
[yoy]</t>
      </text>
    </comment>
    <comment ref="AK5" authorId="0" shapeId="0">
      <text>
        <t>추정: 고객 매출 가중지수(t−1) 80393억 × 비례계수 0.0137(원점회귀; 격자 lag0~4×창8/12/19×수준·YoY·4Q합 중 최대 r=0.93, n=8, 창 8)
[yoy]</t>
      </text>
    </comment>
    <comment ref="AL5" authorId="0" shapeId="0">
      <text>
        <t>추정: 고객 매출 가중지수(t−1) 85242억 × 비례계수 0.0137(원점회귀; 격자 lag0~4×창8/12/19×수준·YoY·4Q합 중 최대 r=0.93, n=8, 창 8)
[yoy]</t>
      </text>
    </comment>
    <comment ref="AM5" authorId="0" shapeId="0">
      <text>
        <t>추정: 고객 매출 가중지수(t−1) 90441억 × 비례계수 0.0137(원점회귀; 격자 lag0~4×창8/12/19×수준·YoY·4Q합 중 최대 r=0.93, n=8, 창 8)
[yoy]</t>
      </text>
    </comment>
    <comment ref="AN5" authorId="0" shapeId="0">
      <text>
        <t>추정: 고객 매출 가중지수(t−1) 94674억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961억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1001억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1066억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1354억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961억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1001억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1066억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1135억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1209억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1354억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5180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5140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6167.5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1.736190266</v>
      </c>
      <c r="AE21" s="25" t="n"/>
      <c r="AF21" s="24" t="n">
        <v>-0.294460766</v>
      </c>
      <c r="AG21" s="24" t="n">
        <v>-0.280434221</v>
      </c>
      <c r="AH21" s="24" t="n">
        <v>0.13960646</v>
      </c>
      <c r="AI21" s="24" t="n">
        <v>0.149871058</v>
      </c>
      <c r="AJ21" s="25" t="n"/>
      <c r="AK21" s="24" t="n">
        <v>0.192460103</v>
      </c>
      <c r="AL21" s="24" t="n">
        <v>0.235176528</v>
      </c>
      <c r="AM21" s="24" t="n">
        <v>0.253302583</v>
      </c>
      <c r="AN21" s="24" t="n">
        <v>0.248440688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0.089262985</v>
      </c>
      <c r="AE23" s="25">
        <f>IFERROR(subQ!AE9/subQ!AE5,"")</f>
        <v/>
      </c>
      <c r="AF23" s="24" t="n">
        <v>0.089257487</v>
      </c>
      <c r="AG23" s="24" t="n">
        <v>0.089258139</v>
      </c>
      <c r="AH23" s="24" t="n">
        <v>0.08925573000000001</v>
      </c>
      <c r="AI23" s="24" t="n">
        <v>0.08925615100000001</v>
      </c>
      <c r="AJ23" s="25">
        <f>IFERROR(subQ!AJ9/subQ!AJ5,"")</f>
        <v/>
      </c>
      <c r="AK23" s="24" t="n">
        <v>0.089260746</v>
      </c>
      <c r="AL23" s="24" t="n">
        <v>0.089261096</v>
      </c>
      <c r="AM23" s="24" t="n">
        <v>0.089254584</v>
      </c>
      <c r="AN23" s="24" t="n">
        <v>0.089257766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-0.007062595</v>
      </c>
      <c r="AD31" s="30" t="n">
        <v>0.002615613</v>
      </c>
      <c r="AE31" s="31" t="n"/>
      <c r="AF31" s="30" t="n">
        <v>0.000144225</v>
      </c>
      <c r="AG31" s="30" t="n">
        <v>21.45037274</v>
      </c>
      <c r="AH31" s="30" t="n">
        <v>-0.005650602</v>
      </c>
      <c r="AI31" s="30" t="n">
        <v>-0.013706972</v>
      </c>
      <c r="AJ31" s="31" t="n"/>
      <c r="AK31" s="30" t="n">
        <v>0.004833971</v>
      </c>
      <c r="AL31" s="30" t="n">
        <v>21.44430113</v>
      </c>
      <c r="AM31" s="30" t="n">
        <v>-0.013424359</v>
      </c>
      <c r="AN31" s="30" t="n">
        <v>-0.002632907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-0.002947664</v>
      </c>
      <c r="AD32" s="30" t="n">
        <v>0.000724168</v>
      </c>
      <c r="AE32" s="31" t="n"/>
      <c r="AF32" s="30" t="n">
        <v>-0.003918686</v>
      </c>
      <c r="AG32" s="30" t="n">
        <v>21.455252071</v>
      </c>
      <c r="AH32" s="30" t="n">
        <v>-0.012248544</v>
      </c>
      <c r="AI32" s="30" t="n">
        <v>-0.003563882</v>
      </c>
      <c r="AJ32" s="31" t="n"/>
      <c r="AK32" s="30" t="n">
        <v>0.004303604</v>
      </c>
      <c r="AL32" s="30" t="n">
        <v>21.443257294</v>
      </c>
      <c r="AM32" s="30" t="n">
        <v>-0.01085754</v>
      </c>
      <c r="AN32" s="30" t="n">
        <v>-0.006321898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-0.045074493</v>
      </c>
      <c r="AE34" s="25" t="n"/>
      <c r="AF34" s="24" t="n">
        <v>-0.048789562</v>
      </c>
      <c r="AG34" s="24" t="n">
        <v>-0.034455483</v>
      </c>
      <c r="AH34" s="24" t="n">
        <v>-0.058271743</v>
      </c>
      <c r="AI34" s="24" t="n">
        <v>-0.066035752</v>
      </c>
      <c r="AJ34" s="25" t="n"/>
      <c r="AK34" s="24" t="n">
        <v>-0.076170396</v>
      </c>
      <c r="AL34" s="24" t="n">
        <v>-0.06497894999999999</v>
      </c>
      <c r="AM34" s="24" t="n">
        <v>-0.101961017</v>
      </c>
      <c r="AN34" s="24" t="n">
        <v>-0.120266526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0.067535755</v>
      </c>
      <c r="AE35" s="25" t="n"/>
      <c r="AF35" s="24" t="n">
        <v>0.06539083800000001</v>
      </c>
      <c r="AG35" s="24" t="n">
        <v>0.041230251</v>
      </c>
      <c r="AH35" s="24" t="n">
        <v>0.064660813</v>
      </c>
      <c r="AI35" s="24" t="n">
        <v>0.064824545</v>
      </c>
      <c r="AJ35" s="25" t="n"/>
      <c r="AK35" s="24" t="n">
        <v>0.06556582599999999</v>
      </c>
      <c r="AL35" s="24" t="n">
        <v>0.048499132</v>
      </c>
      <c r="AM35" s="24" t="n">
        <v>0.067873339</v>
      </c>
      <c r="AN35" s="24" t="n">
        <v>0.067311172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5180</v>
      </c>
      <c r="E43" s="2" t="inlineStr">
        <is>
          <t>원 — 네이버 정규장 종가(aik 확정종가 대조 · aik 5,470원)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20261026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0.1194858052936269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0.09795758576898472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0.9418055495743796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0.0279624266373544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0.03437148398268128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1674.2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3.09</v>
      </c>
    </row>
    <row r="32">
      <c r="C32" s="2" t="inlineStr">
        <is>
          <t>pbr_now</t>
        </is>
      </c>
      <c r="D32" t="n">
        <v>0.71</v>
      </c>
    </row>
    <row r="33">
      <c r="C33" s="2" t="inlineStr">
        <is>
          <t>roe_fwd</t>
        </is>
      </c>
      <c r="D33" t="n">
        <v>0.2307</v>
      </c>
    </row>
    <row r="34">
      <c r="C34" s="2" t="inlineStr">
        <is>
          <t>fair_pbr</t>
        </is>
      </c>
      <c r="D34" t="n">
        <v>2.56</v>
      </c>
    </row>
    <row r="35">
      <c r="C35" s="2" t="inlineStr">
        <is>
          <t>fair_value_pbr</t>
        </is>
      </c>
      <c r="D35" t="n">
        <v>18600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