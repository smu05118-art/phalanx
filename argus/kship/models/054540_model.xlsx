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65950억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66782억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68498억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72044억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76023억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80813억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85815억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91074억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95271억 × 비례계수 0.0137(원점회귀; 격자 lag0~4×창8/12/19×수준·YoY·4Q합 중 최대 r=0.93, n=8, 창 8)</t>
      </text>
    </comment>
    <comment ref="AC22" authorId="0" shapeId="0">
      <text>
        <t>3절 스칼라 '판관비율' 참조 — 숫자로 덮어쓰면 이 분기만 바뀐다
매출액 × 판관비율 9.80%(최근 4분기 중위)</t>
      </text>
    </comment>
    <comment ref="AD22" authorId="0" shapeId="0">
      <text>
        <t>3절 스칼라 '판관비율' 참조 — 숫자로 덮어쓰면 이 분기만 바뀐다
매출액 × 판관비율 9.80%(최근 4분기 중위)</t>
      </text>
    </comment>
    <comment ref="AF22" authorId="0" shapeId="0">
      <text>
        <t>3절 스칼라 '판관비율' 참조 — 숫자로 덮어쓰면 이 분기만 바뀐다
매출액 × 판관비율 9.80%(최근 4분기 중위)</t>
      </text>
    </comment>
    <comment ref="AG22" authorId="0" shapeId="0">
      <text>
        <t>3절 스칼라 '판관비율' 참조 — 숫자로 덮어쓰면 이 분기만 바뀐다
매출액 × 판관비율 9.80%(최근 4분기 중위)</t>
      </text>
    </comment>
    <comment ref="AH22" authorId="0" shapeId="0">
      <text>
        <t>3절 스칼라 '판관비율' 참조 — 숫자로 덮어쓰면 이 분기만 바뀐다
매출액 × 판관비율 9.80%(최근 4분기 중위)</t>
      </text>
    </comment>
    <comment ref="AI22" authorId="0" shapeId="0">
      <text>
        <t>3절 스칼라 '판관비율' 참조 — 숫자로 덮어쓰면 이 분기만 바뀐다
매출액 × 판관비율 9.80%(최근 4분기 중위)</t>
      </text>
    </comment>
    <comment ref="AK22" authorId="0" shapeId="0">
      <text>
        <t>3절 스칼라 '판관비율' 참조 — 숫자로 덮어쓰면 이 분기만 바뀐다
매출액 × 판관비율 9.80%(최근 4분기 중위)</t>
      </text>
    </comment>
    <comment ref="AL22" authorId="0" shapeId="0">
      <text>
        <t>3절 스칼라 '판관비율' 참조 — 숫자로 덮어쓰면 이 분기만 바뀐다
매출액 × 판관비율 9.80%(최근 4분기 중위)</t>
      </text>
    </comment>
    <comment ref="AM22" authorId="0" shapeId="0">
      <text>
        <t>3절 스칼라 '판관비율' 참조 — 숫자로 덮어쓰면 이 분기만 바뀐다
매출액 × 판관비율 9.80%(최근 4분기 중위)</t>
      </text>
    </comment>
    <comment ref="AN22" authorId="0" shapeId="0">
      <text>
        <t>3절 스칼라 '판관비율' 참조 — 숫자로 덮어쓰면 이 분기만 바뀐다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D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F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G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H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I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K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L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M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N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C29" authorId="0" shapeId="0">
      <text>
        <t>3절 스칼라 '지배주주비중' 참조 — 숫자로 덮어쓰면 이 분기만 바뀐다
당기순이익 × (1 − 비지배 비중 5.8%, 최근 8분기 실측)</t>
      </text>
    </comment>
    <comment ref="AD29" authorId="0" shapeId="0">
      <text>
        <t>3절 스칼라 '지배주주비중' 참조 — 숫자로 덮어쓰면 이 분기만 바뀐다
당기순이익 × (1 − 비지배 비중 5.8%, 최근 8분기 실측)</t>
      </text>
    </comment>
    <comment ref="AF29" authorId="0" shapeId="0">
      <text>
        <t>3절 스칼라 '지배주주비중' 참조 — 숫자로 덮어쓰면 이 분기만 바뀐다
당기순이익 × (1 − 비지배 비중 5.8%, 최근 8분기 실측)</t>
      </text>
    </comment>
    <comment ref="AG29" authorId="0" shapeId="0">
      <text>
        <t>3절 스칼라 '지배주주비중' 참조 — 숫자로 덮어쓰면 이 분기만 바뀐다
당기순이익 × (1 − 비지배 비중 5.8%, 최근 8분기 실측)</t>
      </text>
    </comment>
    <comment ref="AH29" authorId="0" shapeId="0">
      <text>
        <t>3절 스칼라 '지배주주비중' 참조 — 숫자로 덮어쓰면 이 분기만 바뀐다
당기순이익 × (1 − 비지배 비중 5.8%, 최근 8분기 실측)</t>
      </text>
    </comment>
    <comment ref="AI29" authorId="0" shapeId="0">
      <text>
        <t>3절 스칼라 '지배주주비중' 참조 — 숫자로 덮어쓰면 이 분기만 바뀐다
당기순이익 × (1 − 비지배 비중 5.8%, 최근 8분기 실측)</t>
      </text>
    </comment>
    <comment ref="AK29" authorId="0" shapeId="0">
      <text>
        <t>3절 스칼라 '지배주주비중' 참조 — 숫자로 덮어쓰면 이 분기만 바뀐다
당기순이익 × (1 − 비지배 비중 5.8%, 최근 8분기 실측)</t>
      </text>
    </comment>
    <comment ref="AL29" authorId="0" shapeId="0">
      <text>
        <t>3절 스칼라 '지배주주비중' 참조 — 숫자로 덮어쓰면 이 분기만 바뀐다
당기순이익 × (1 − 비지배 비중 5.8%, 최근 8분기 실측)</t>
      </text>
    </comment>
    <comment ref="AM29" authorId="0" shapeId="0">
      <text>
        <t>3절 스칼라 '지배주주비중' 참조 — 숫자로 덮어쓰면 이 분기만 바뀐다
당기순이익 × (1 − 비지배 비중 5.8%, 최근 8분기 실측)</t>
      </text>
    </comment>
    <comment ref="AN29" authorId="0" shapeId="0">
      <text>
        <t>3절 스칼라 '지배주주비중' 참조 — 숫자로 덮어쓰면 이 분기만 바뀐다
당기순이익 × (1 − 비지배 비중 5.8%,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D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F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H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I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K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L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M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N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165원 유지</t>
      </text>
    </comment>
    <comment ref="AI40" authorId="0" shapeId="0">
      <text>
        <t>모델값 역산(implied): 모델 v 그대로
직전 결산 DPS 165원 유지</t>
      </text>
    </comment>
    <comment ref="AN40" authorId="0" shapeId="0">
      <text>
        <t>모델값 역산(implied): 모델 v 그대로
직전 결산 DPS 165원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65950억 × 비례계수 0.0137(원점회귀; 격자 lag0~4×창8/12/19×수준·YoY·4Q합 중 최대 r=0.93, n=8, 창 8)
[yoy]</t>
      </text>
    </comment>
    <comment ref="AF5" authorId="0" shapeId="0">
      <text>
        <t>추정: 고객 매출 가중지수(t−1) 66782억 × 비례계수 0.0137(원점회귀; 격자 lag0~4×창8/12/19×수준·YoY·4Q합 중 최대 r=0.93, n=8, 창 8)
[yoy]</t>
      </text>
    </comment>
    <comment ref="AG5" authorId="0" shapeId="0">
      <text>
        <t>추정: 고객 매출 가중지수(t−1) 68498억 × 비례계수 0.0137(원점회귀; 격자 lag0~4×창8/12/19×수준·YoY·4Q합 중 최대 r=0.93, n=8, 창 8)
[yoy]</t>
      </text>
    </comment>
    <comment ref="AH5" authorId="0" shapeId="0">
      <text>
        <t>추정: 고객 매출 가중지수(t−1) 72044억 × 비례계수 0.0137(원점회귀; 격자 lag0~4×창8/12/19×수준·YoY·4Q합 중 최대 r=0.93, n=8, 창 8)
[yoy]</t>
      </text>
    </comment>
    <comment ref="AI5" authorId="0" shapeId="0">
      <text>
        <t>추정: 고객 매출 가중지수(t−1) 76023억 × 비례계수 0.0137(원점회귀; 격자 lag0~4×창8/12/19×수준·YoY·4Q합 중 최대 r=0.93, n=8, 창 8)
[yoy]</t>
      </text>
    </comment>
    <comment ref="AK5" authorId="0" shapeId="0">
      <text>
        <t>추정: 고객 매출 가중지수(t−1) 80813억 × 비례계수 0.0137(원점회귀; 격자 lag0~4×창8/12/19×수준·YoY·4Q합 중 최대 r=0.93, n=8, 창 8)
[yoy]</t>
      </text>
    </comment>
    <comment ref="AL5" authorId="0" shapeId="0">
      <text>
        <t>추정: 고객 매출 가중지수(t−1) 85815억 × 비례계수 0.0137(원점회귀; 격자 lag0~4×창8/12/19×수준·YoY·4Q합 중 최대 r=0.93, n=8, 창 8)
[yoy]</t>
      </text>
    </comment>
    <comment ref="AM5" authorId="0" shapeId="0">
      <text>
        <t>추정: 고객 매출 가중지수(t−1) 91074억 × 비례계수 0.0137(원점회귀; 격자 lag0~4×창8/12/19×수준·YoY·4Q합 중 최대 r=0.93, n=8, 창 8)
[yoy]</t>
      </text>
    </comment>
    <comment ref="AN5" authorId="0" shapeId="0">
      <text>
        <t>추정: 고객 매출 가중지수(t−1) 95271억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AC10" authorId="0" shapeId="0">
      <text>
        <t>추정: 최근 8분기 OPM 중위 8.9% 유지
[divide]</t>
      </text>
    </comment>
    <comment ref="AD10" authorId="0" shapeId="0">
      <text>
        <t>추정: 최근 8분기 OPM 중위 8.9% 유지
[divide]</t>
      </text>
    </comment>
    <comment ref="AF10" authorId="0" shapeId="0">
      <text>
        <t>추정: 최근 8분기 OPM 중위 8.9% 유지
[divide]</t>
      </text>
    </comment>
    <comment ref="AG10" authorId="0" shapeId="0">
      <text>
        <t>추정: 최근 8분기 OPM 중위 8.9% 유지
[divide]</t>
      </text>
    </comment>
    <comment ref="AH10" authorId="0" shapeId="0">
      <text>
        <t>추정: 최근 8분기 OPM 중위 8.9% 유지
[divide]</t>
      </text>
    </comment>
    <comment ref="AI10" authorId="0" shapeId="0">
      <text>
        <t>추정: 최근 8분기 OPM 중위 8.9% 유지
[divide]</t>
      </text>
    </comment>
    <comment ref="AK10" authorId="0" shapeId="0">
      <text>
        <t>추정: 최근 8분기 OPM 중위 8.9% 유지
[divide]</t>
      </text>
    </comment>
    <comment ref="AL10" authorId="0" shapeId="0">
      <text>
        <t>추정: 최근 8분기 OPM 중위 8.9% 유지
[divide]</t>
      </text>
    </comment>
    <comment ref="AM10" authorId="0" shapeId="0">
      <text>
        <t>추정: 최근 8분기 OPM 중위 8.9% 유지
[divide]</t>
      </text>
    </comment>
    <comment ref="AN10" authorId="0" shapeId="0">
      <text>
        <t>추정: 최근 8분기 OPM 중위 8.9% 유지
[divide]</t>
      </text>
    </comment>
    <comment ref="AC11" authorId="0" shapeId="0">
      <text>
        <t>추정: 이자손익 + 외환손익 0 + 파생상품손익 0 + 기타금융손익 -4.70억(최근 4분기(2025Q3~2026Q2) 잔차 중위) (항등식); 이자손익 = 이자발생자산 791억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-4.70억(최근 4분기(2025Q3~2026Q2) 잔차 중위) (항등식); 이자손익 = 이자발생자산 845억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-4.70억(최근 4분기(2025Q3~2026Q2) 잔차 중위) (항등식); 이자손익 = 이자발생자산 902억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-4.70억(최근 4분기(2025Q3~2026Q2) 잔차 중위) (항등식); 이자손익 = 이자발생자산 961억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-4.70억(최근 4분기(2025Q3~2026Q2) 잔차 중위) (항등식); 이자손익 = 이자발생자산 1000억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-4.70억(최근 4분기(2025Q3~2026Q2) 잔차 중위) (항등식); 이자손익 = 이자발생자산 1064억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-4.70억(최근 4분기(2025Q3~2026Q2) 잔차 중위) (항등식); 이자손익 = 이자발생자산 1134억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-4.70억(최근 4분기(2025Q3~2026Q2) 잔차 중위) (항등식); 이자손익 = 이자발생자산 1209억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-4.70억(최근 4분기(2025Q3~2026Q2) 잔차 중위) (항등식); 이자손익 = 이자발생자산 1268억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-4.70억(최근 4분기(2025Q3~2026Q2) 잔차 중위) (항등식); 이자손익 = 이자발생자산 1355억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C12" authorId="0" shapeId="0">
      <text>
        <t>추정: 이자발생자산 791억 × 2.80%(주석 이자수익 ÷ 평균 이자발생자산(2025Q3~2026Q2)) − 총차입금 1982억 × 3.44%(주석 이자비용 ÷ 평균 총차입금(2025Q3~2026Q2)) (연율) ÷ 4
[interest]</t>
      </text>
    </comment>
    <comment ref="AD12" authorId="0" shapeId="0">
      <text>
        <t>추정: 이자발생자산 845억 × 2.80%(주석 이자수익 ÷ 평균 이자발생자산(2025Q3~2026Q2)) − 총차입금 1982억 × 3.44%(주석 이자비용 ÷ 평균 총차입금(2025Q3~2026Q2)) (연율) ÷ 4
[interest]</t>
      </text>
    </comment>
    <comment ref="AF12" authorId="0" shapeId="0">
      <text>
        <t>추정: 이자발생자산 902억 × 2.80%(주석 이자수익 ÷ 평균 이자발생자산(2025Q3~2026Q2)) − 총차입금 1982억 × 3.44%(주석 이자비용 ÷ 평균 총차입금(2025Q3~2026Q2)) (연율) ÷ 4
[interest]</t>
      </text>
    </comment>
    <comment ref="AG12" authorId="0" shapeId="0">
      <text>
        <t>추정: 이자발생자산 961억 × 2.80%(주석 이자수익 ÷ 평균 이자발생자산(2025Q3~2026Q2)) − 총차입금 1982억 × 3.44%(주석 이자비용 ÷ 평균 총차입금(2025Q3~2026Q2)) (연율) ÷ 4
[interest]</t>
      </text>
    </comment>
    <comment ref="AH12" authorId="0" shapeId="0">
      <text>
        <t>추정: 이자발생자산 1000억 × 2.80%(주석 이자수익 ÷ 평균 이자발생자산(2025Q3~2026Q2)) − 총차입금 1982억 × 3.44%(주석 이자비용 ÷ 평균 총차입금(2025Q3~2026Q2)) (연율) ÷ 4
[interest]</t>
      </text>
    </comment>
    <comment ref="AI12" authorId="0" shapeId="0">
      <text>
        <t>추정: 이자발생자산 1064억 × 2.80%(주석 이자수익 ÷ 평균 이자발생자산(2025Q3~2026Q2)) − 총차입금 1982억 × 3.44%(주석 이자비용 ÷ 평균 총차입금(2025Q3~2026Q2)) (연율) ÷ 4
[interest]</t>
      </text>
    </comment>
    <comment ref="AK12" authorId="0" shapeId="0">
      <text>
        <t>추정: 이자발생자산 1134억 × 2.80%(주석 이자수익 ÷ 평균 이자발생자산(2025Q3~2026Q2)) − 총차입금 1982억 × 3.44%(주석 이자비용 ÷ 평균 총차입금(2025Q3~2026Q2)) (연율) ÷ 4
[interest]</t>
      </text>
    </comment>
    <comment ref="AL12" authorId="0" shapeId="0">
      <text>
        <t>추정: 이자발생자산 1209억 × 2.80%(주석 이자수익 ÷ 평균 이자발생자산(2025Q3~2026Q2)) − 총차입금 1982억 × 3.44%(주석 이자비용 ÷ 평균 총차입금(2025Q3~2026Q2)) (연율) ÷ 4
[interest]</t>
      </text>
    </comment>
    <comment ref="AM12" authorId="0" shapeId="0">
      <text>
        <t>추정: 이자발생자산 1268억 × 2.80%(주석 이자수익 ÷ 평균 이자발생자산(2025Q3~2026Q2)) − 총차입금 1982억 × 3.44%(주석 이자비용 ÷ 평균 총차입금(2025Q3~2026Q2)) (연율) ÷ 4
[interest]</t>
      </text>
    </comment>
    <comment ref="AN12" authorId="0" shapeId="0">
      <text>
        <t>추정: 이자발생자산 1355억 × 2.80%(주석 이자수익 ÷ 평균 이자발생자산(2025Q3~2026Q2)) − 총차입금 1982억 × 3.44%(주석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11.9%(최근 12분기 유효세율 11.9%(5~27% 안 — 그대로))
[tax]</t>
      </text>
    </comment>
    <comment ref="AD18" authorId="0" shapeId="0">
      <text>
        <t>추정: max(세전, 0) × 세율 11.9%(최근 12분기 유효세율 11.9%(5~27% 안 — 그대로))
[tax]</t>
      </text>
    </comment>
    <comment ref="AF18" authorId="0" shapeId="0">
      <text>
        <t>추정: max(세전, 0) × 세율 11.9%(최근 12분기 유효세율 11.9%(5~27% 안 — 그대로))
[tax]</t>
      </text>
    </comment>
    <comment ref="AG18" authorId="0" shapeId="0">
      <text>
        <t>추정: max(세전, 0) × 세율 11.9%(최근 12분기 유효세율 11.9%(5~27% 안 — 그대로))
[tax]</t>
      </text>
    </comment>
    <comment ref="AH18" authorId="0" shapeId="0">
      <text>
        <t>추정: max(세전, 0) × 세율 11.9%(최근 12분기 유효세율 11.9%(5~27% 안 — 그대로))
[tax]</t>
      </text>
    </comment>
    <comment ref="AI18" authorId="0" shapeId="0">
      <text>
        <t>추정: max(세전, 0) × 세율 11.9%(최근 12분기 유효세율 11.9%(5~27% 안 — 그대로))
[tax]</t>
      </text>
    </comment>
    <comment ref="AK18" authorId="0" shapeId="0">
      <text>
        <t>추정: max(세전, 0) × 세율 11.9%(최근 12분기 유효세율 11.9%(5~27% 안 — 그대로))
[tax]</t>
      </text>
    </comment>
    <comment ref="AL18" authorId="0" shapeId="0">
      <text>
        <t>추정: max(세전, 0) × 세율 11.9%(최근 12분기 유효세율 11.9%(5~27% 안 — 그대로))
[tax]</t>
      </text>
    </comment>
    <comment ref="AM18" authorId="0" shapeId="0">
      <text>
        <t>추정: max(세전, 0) × 세율 11.9%(최근 12분기 유효세율 11.9%(5~27% 안 — 그대로))
[tax]</t>
      </text>
    </comment>
    <comment ref="AN18" authorId="0" shapeId="0">
      <text>
        <t>추정: max(세전, 0) × 세율 11.9%(최근 12분기 유효세율 11.9%(5~27%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5.8%, 최근 8분기 실측)
[ratio]</t>
      </text>
    </comment>
    <comment ref="AD20" authorId="0" shapeId="0">
      <text>
        <t>추정: 당기순이익 × (1 − 비지배 비중 5.8%, 최근 8분기 실측)
[ratio]</t>
      </text>
    </comment>
    <comment ref="AF20" authorId="0" shapeId="0">
      <text>
        <t>추정: 당기순이익 × (1 − 비지배 비중 5.8%, 최근 8분기 실측)
[ratio]</t>
      </text>
    </comment>
    <comment ref="AG20" authorId="0" shapeId="0">
      <text>
        <t>추정: 당기순이익 × (1 − 비지배 비중 5.8%, 최근 8분기 실측)
[ratio]</t>
      </text>
    </comment>
    <comment ref="AH20" authorId="0" shapeId="0">
      <text>
        <t>추정: 당기순이익 × (1 − 비지배 비중 5.8%, 최근 8분기 실측)
[ratio]</t>
      </text>
    </comment>
    <comment ref="AI20" authorId="0" shapeId="0">
      <text>
        <t>추정: 당기순이익 × (1 − 비지배 비중 5.8%, 최근 8분기 실측)
[ratio]</t>
      </text>
    </comment>
    <comment ref="AK20" authorId="0" shapeId="0">
      <text>
        <t>추정: 당기순이익 × (1 − 비지배 비중 5.8%, 최근 8분기 실측)
[ratio]</t>
      </text>
    </comment>
    <comment ref="AL20" authorId="0" shapeId="0">
      <text>
        <t>추정: 당기순이익 × (1 − 비지배 비중 5.8%, 최근 8분기 실측)
[ratio]</t>
      </text>
    </comment>
    <comment ref="AM20" authorId="0" shapeId="0">
      <text>
        <t>추정: 당기순이익 × (1 − 비지배 비중 5.8%, 최근 8분기 실측)
[ratio]</t>
      </text>
    </comment>
    <comment ref="AN20" authorId="0" shapeId="0">
      <text>
        <t>추정: 당기순이익 × (1 − 비지배 비중 5.8%,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3분기(2025Q1~2025Q3) CAPEX 중위 유지 — 순차입금 롤에 미반영(감가상각비 없음 → CAPEX≈감가 가정)
[yoy]</t>
      </text>
    </comment>
    <comment ref="AD29" authorId="0" shapeId="0">
      <text>
        <t>추정: 최근 3분기(2025Q1~2025Q3) CAPEX 중위 유지 — 순차입금 롤에 미반영(감가상각비 없음 → CAPEX≈감가 가정)
[yoy]</t>
      </text>
    </comment>
    <comment ref="AF29" authorId="0" shapeId="0">
      <text>
        <t>추정: 최근 3분기(2025Q1~2025Q3) CAPEX 중위 유지 — 순차입금 롤에 미반영(감가상각비 없음 → CAPEX≈감가 가정)
[yoy]</t>
      </text>
    </comment>
    <comment ref="AG29" authorId="0" shapeId="0">
      <text>
        <t>추정: 최근 3분기(2025Q1~2025Q3) CAPEX 중위 유지 — 순차입금 롤에 미반영(감가상각비 없음 → CAPEX≈감가 가정)
[yoy]</t>
      </text>
    </comment>
    <comment ref="AH29" authorId="0" shapeId="0">
      <text>
        <t>추정: 최근 3분기(2025Q1~2025Q3) CAPEX 중위 유지 — 순차입금 롤에 미반영(감가상각비 없음 → CAPEX≈감가 가정)
[yoy]</t>
      </text>
    </comment>
    <comment ref="AI29" authorId="0" shapeId="0">
      <text>
        <t>추정: 최근 3분기(2025Q1~2025Q3) CAPEX 중위 유지 — 순차입금 롤에 미반영(감가상각비 없음 → CAPEX≈감가 가정)
[yoy]</t>
      </text>
    </comment>
    <comment ref="AK29" authorId="0" shapeId="0">
      <text>
        <t>추정: 최근 3분기(2025Q1~2025Q3) CAPEX 중위 유지 — 순차입금 롤에 미반영(감가상각비 없음 → CAPEX≈감가 가정)
[yoy]</t>
      </text>
    </comment>
    <comment ref="AL29" authorId="0" shapeId="0">
      <text>
        <t>추정: 최근 3분기(2025Q1~2025Q3) CAPEX 중위 유지 — 순차입금 롤에 미반영(감가상각비 없음 → CAPEX≈감가 가정)
[yoy]</t>
      </text>
    </comment>
    <comment ref="AM29" authorId="0" shapeId="0">
      <text>
        <t>추정: 최근 3분기(2025Q1~2025Q3) CAPEX 중위 유지 — 순차입금 롤에 미반영(감가상각비 없음 → CAPEX≈감가 가정)
[yoy]</t>
      </text>
    </comment>
    <comment ref="AN29" authorId="0" shapeId="0">
      <text>
        <t>추정: 최근 3분기(2025Q1~2025Q3)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165원 유지
[abs]</t>
      </text>
    </comment>
    <comment ref="AI34" authorId="0" shapeId="0">
      <text>
        <t>추정: 직전 결산 DPS 165원 유지
[abs]</t>
      </text>
    </comment>
    <comment ref="AN34" authorId="0" shapeId="0">
      <text>
        <t>추정: 직전 결산 DPS 165원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11.95% — 법인세 = MAX(세전,0) × 세율, 추정 전 분기 연결(Σ법인세/Σmax(세전,0) 역산, 재현 오차 ≤ 0.05억). 모델 가정 11.95% · 근거: 최근 12분기 유효세율 11.9%(5~27% 안 — 그대로)</t>
        </is>
      </c>
    </row>
    <row r="23">
      <c r="A23" t="inlineStr">
        <is>
          <t>· 판관비율 9.80% — 판관비 = 매출액 × 판관비율, 추정 전 분기 연결</t>
        </is>
      </c>
    </row>
    <row r="24">
      <c r="A24" t="inlineStr">
        <is>
          <t>· 지배주주 비중 94.2% — 지배주주순이익 = 당기순이익 × 비중, 추정 전 분기 연결</t>
        </is>
      </c>
    </row>
    <row r="25">
      <c r="A25" t="inlineStr">
        <is>
          <t>· 이자율 자산 2.80% / 부채 3.44% — 이자손익 = (전분기 이자발생자산 × 자산이자율 − 전분기 총차입금 × 부채이자율)/4, 최소자승 역산(모델 assumptions [0.028, 0.0344]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8.2/9.0/11.4배(hist_quarterly(분기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assets/models/054540.json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62.3, "op_wape_pct": 35.9, "n": 4, "note": "단일 회사 4분기 — 통계 아님", "driver_at_freeze": "customer_yard_revenue_weighted", "selection_oos_at_freeze": {"freeze": "2024Q2", "n": 4, "wape_link": 5.6, "wape_trend": 19.9,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20" t="n">
        <v>6060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20" t="n">
        <v>7470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20" t="n">
        <v>5840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20" t="n">
        <v>6787.1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1.943788373</v>
      </c>
      <c r="AD21" s="24" t="n">
        <v>1.736190266</v>
      </c>
      <c r="AE21" s="25" t="n"/>
      <c r="AF21" s="24" t="n">
        <v>-0.301114202</v>
      </c>
      <c r="AG21" s="24" t="n">
        <v>-0.285784576</v>
      </c>
      <c r="AH21" s="24" t="n">
        <v>0.137739046</v>
      </c>
      <c r="AI21" s="24" t="n">
        <v>0.152737656</v>
      </c>
      <c r="AJ21" s="25" t="n"/>
      <c r="AK21" s="24" t="n">
        <v>0.210097168</v>
      </c>
      <c r="AL21" s="24" t="n">
        <v>0.252805217</v>
      </c>
      <c r="AM21" s="24" t="n">
        <v>0.26414387</v>
      </c>
      <c r="AN21" s="24" t="n">
        <v>0.25319008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0.089255455</v>
      </c>
      <c r="AD23" s="24" t="n">
        <v>0.089262985</v>
      </c>
      <c r="AE23" s="25">
        <f>IFERROR(subQ!AE9/subQ!AE5,"")</f>
        <v/>
      </c>
      <c r="AF23" s="24" t="n">
        <v>0.089254681</v>
      </c>
      <c r="AG23" s="24" t="n">
        <v>0.089255459</v>
      </c>
      <c r="AH23" s="24" t="n">
        <v>0.089260385</v>
      </c>
      <c r="AI23" s="24" t="n">
        <v>0.089255024</v>
      </c>
      <c r="AJ23" s="25">
        <f>IFERROR(subQ!AJ9/subQ!AJ5,"")</f>
        <v/>
      </c>
      <c r="AK23" s="24" t="n">
        <v>0.08925781100000001</v>
      </c>
      <c r="AL23" s="24" t="n">
        <v>0.089259741</v>
      </c>
      <c r="AM23" s="24" t="n">
        <v>0.08925952299999999</v>
      </c>
      <c r="AN23" s="24" t="n">
        <v>0.089257667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-4.7</v>
      </c>
      <c r="AD26" s="30" t="n">
        <v>-4.7</v>
      </c>
      <c r="AE26" s="31">
        <f>subQ!AE15</f>
        <v/>
      </c>
      <c r="AF26" s="30" t="n">
        <v>-4.7</v>
      </c>
      <c r="AG26" s="30" t="n">
        <v>-4.7</v>
      </c>
      <c r="AH26" s="30" t="n">
        <v>-4.7</v>
      </c>
      <c r="AI26" s="30" t="n">
        <v>-4.7</v>
      </c>
      <c r="AJ26" s="31">
        <f>subQ!AJ15</f>
        <v/>
      </c>
      <c r="AK26" s="30" t="n">
        <v>-4.7</v>
      </c>
      <c r="AL26" s="30" t="n">
        <v>-4.7</v>
      </c>
      <c r="AM26" s="30" t="n">
        <v>-4.7</v>
      </c>
      <c r="AN26" s="30" t="n">
        <v>-4.7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2.14e-07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-0.005788187</v>
      </c>
      <c r="AD31" s="30" t="n">
        <v>0.004042901</v>
      </c>
      <c r="AE31" s="31" t="n"/>
      <c r="AF31" s="30" t="n">
        <v>-0.005146587</v>
      </c>
      <c r="AG31" s="30" t="n">
        <v>21.453032011</v>
      </c>
      <c r="AH31" s="30" t="n">
        <v>-0.004748142</v>
      </c>
      <c r="AI31" s="30" t="n">
        <v>-0.007598758</v>
      </c>
      <c r="AJ31" s="31" t="n"/>
      <c r="AK31" s="30" t="n">
        <v>-0.001152557</v>
      </c>
      <c r="AL31" s="30" t="n">
        <v>21.448709801</v>
      </c>
      <c r="AM31" s="30" t="n">
        <v>-0.004556277</v>
      </c>
      <c r="AN31" s="30" t="n">
        <v>-0.003422424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-0.003215599</v>
      </c>
      <c r="AD32" s="30" t="n">
        <v>0.000513972</v>
      </c>
      <c r="AE32" s="31" t="n"/>
      <c r="AF32" s="30" t="n">
        <v>-0.000917589</v>
      </c>
      <c r="AG32" s="30" t="n">
        <v>21.438697139</v>
      </c>
      <c r="AH32" s="30" t="n">
        <v>0.004407718</v>
      </c>
      <c r="AI32" s="30" t="n">
        <v>-0.010754397</v>
      </c>
      <c r="AJ32" s="31" t="n"/>
      <c r="AK32" s="30" t="n">
        <v>0.000439517</v>
      </c>
      <c r="AL32" s="30" t="n">
        <v>21.449713055</v>
      </c>
      <c r="AM32" s="30" t="n">
        <v>-0.004439602</v>
      </c>
      <c r="AN32" s="30" t="n">
        <v>-0.007391253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2.422e-06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-0.040829623</v>
      </c>
      <c r="AD34" s="24" t="n">
        <v>-0.045074493</v>
      </c>
      <c r="AE34" s="25" t="n"/>
      <c r="AF34" s="24" t="n">
        <v>-0.048219069</v>
      </c>
      <c r="AG34" s="24" t="n">
        <v>-0.033957052</v>
      </c>
      <c r="AH34" s="24" t="n">
        <v>-0.058089868</v>
      </c>
      <c r="AI34" s="24" t="n">
        <v>-0.066130772</v>
      </c>
      <c r="AJ34" s="25" t="n"/>
      <c r="AK34" s="24" t="n">
        <v>-0.07653854</v>
      </c>
      <c r="AL34" s="24" t="n">
        <v>-0.065601718</v>
      </c>
      <c r="AM34" s="24" t="n">
        <v>-0.102752141</v>
      </c>
      <c r="AN34" s="24" t="n">
        <v>-0.121200518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0.06812360000000001</v>
      </c>
      <c r="AD35" s="24" t="n">
        <v>0.067535755</v>
      </c>
      <c r="AE35" s="25" t="n"/>
      <c r="AF35" s="24" t="n">
        <v>0.06462622699999999</v>
      </c>
      <c r="AG35" s="24" t="n">
        <v>0.040687387</v>
      </c>
      <c r="AH35" s="24" t="n">
        <v>0.064610984</v>
      </c>
      <c r="AI35" s="24" t="n">
        <v>0.06507708399999999</v>
      </c>
      <c r="AJ35" s="25" t="n"/>
      <c r="AK35" s="24" t="n">
        <v>0.066040399</v>
      </c>
      <c r="AL35" s="24" t="n">
        <v>0.049033155</v>
      </c>
      <c r="AM35" s="24" t="n">
        <v>0.068408225</v>
      </c>
      <c r="AN35" s="24" t="n">
        <v>0.067763702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0.063829787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165</v>
      </c>
      <c r="AE40" s="31">
        <f>subQ!AE34</f>
        <v/>
      </c>
      <c r="AF40" s="33" t="n"/>
      <c r="AG40" s="33" t="n"/>
      <c r="AH40" s="33" t="n"/>
      <c r="AI40" s="30" t="n">
        <v>165</v>
      </c>
      <c r="AJ40" s="31">
        <f>subQ!AJ34</f>
        <v/>
      </c>
      <c r="AK40" s="33" t="n"/>
      <c r="AL40" s="33" t="n"/>
      <c r="AM40" s="33" t="n"/>
      <c r="AN40" s="30" t="n">
        <v>165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6060</v>
      </c>
      <c r="E43" s="2" t="inlineStr">
        <is>
          <t>원 — 네이버 정규장 종가(aik 확정종가 대조 · aik 6,800원)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20261013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8.199999999999999</v>
      </c>
      <c r="E46" s="2" t="inlineStr">
        <is>
          <t>PER 밴드 하단(배) — hist_quarterly(분기 평균가 ÷ TTM EPS, 12분기,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11.4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0.1194528913731972</v>
      </c>
      <c r="E50" s="2" t="inlineStr">
        <is>
          <t>연결 — 법인세 = MAX(세전,0) × 세율(역산, 재현 오차 ≤ 0.05억 · 모델 assumptions 0.1195) · 최근 12분기 유효세율 11.9%(5~27%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0.09795787613015668</v>
      </c>
      <c r="E51" s="2" t="inlineStr">
        <is>
          <t>연결 — 판관비 = 매출액 × 판관비율(역산, 재현 오차 ≤ 0.05억 · 모델 assumptions 0.098)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0.9417783191230207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0.02796533324843576</v>
      </c>
      <c r="E53" s="2" t="inlineStr">
        <is>
          <t>연결 — 이자손익 = (전분기 이자발생자산 × 자산이자율 − 전분기 총차입금 × 부채이자율)/4(역산, 재현 오차 ≤ 0.05억 · 모델 assumptions 0.028)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0.03437434294483063</v>
      </c>
      <c r="E54" s="2" t="inlineStr">
        <is>
          <t>연결 — 같은 수식의 부채 쪽(총차입금 행이 없으면 0)(역산, 재현 오차 ≤ 0.05억 · 모델 assumptions 0.0344)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0.1663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7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7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7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7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7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7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7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7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7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7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7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7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7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7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7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7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7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7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7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7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7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7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7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7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7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7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7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7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7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7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7" t="n">
        <v>0</v>
      </c>
      <c r="I12" s="18" t="n">
        <v>74.03</v>
      </c>
      <c r="J12" s="18" t="n">
        <v>74.16</v>
      </c>
      <c r="K12" s="37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7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Y12" s="18" t="n">
        <v>2010.88</v>
      </c>
      <c r="Z12" s="37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7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7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7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7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7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7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7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7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7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7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7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7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7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7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7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7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7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7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7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7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7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7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7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7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7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7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7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7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7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7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7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7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7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7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7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7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7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7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7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7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7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7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7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7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7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7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7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7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7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7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7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7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7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7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7" t="n">
        <v>23790.97</v>
      </c>
      <c r="L27" s="18" t="n">
        <v>25177.48</v>
      </c>
      <c r="M27" s="18" t="n">
        <v>25735.19</v>
      </c>
      <c r="N27" s="18" t="n">
        <v>27311.76</v>
      </c>
      <c r="O27" s="18" t="n">
        <v>27150.91</v>
      </c>
      <c r="P27" s="37" t="n">
        <v>27150.91</v>
      </c>
      <c r="Q27" s="18" t="n">
        <v>21311.19</v>
      </c>
      <c r="R27" s="18" t="n">
        <v>16927.92</v>
      </c>
      <c r="S27" s="18" t="n">
        <v>19298.83</v>
      </c>
      <c r="T27" s="18" t="n">
        <v>19859.48</v>
      </c>
      <c r="U27" s="37" t="n">
        <v>19859.48</v>
      </c>
      <c r="V27" s="18" t="n">
        <v>26868.3</v>
      </c>
      <c r="W27" s="18" t="n">
        <v>18399.76</v>
      </c>
      <c r="X27" s="18" t="n">
        <v>42341</v>
      </c>
      <c r="Y27" s="18" t="n">
        <v>140129.43</v>
      </c>
      <c r="Z27" s="37" t="n">
        <v>140129.43</v>
      </c>
      <c r="AA27" s="18" t="n">
        <v>148952.62</v>
      </c>
      <c r="AB27" s="19" t="n">
        <v>130647.56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A28" s="18" t="n">
        <v>0</v>
      </c>
      <c r="AB28" s="19" t="n">
        <v>1083.35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7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7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7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7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7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7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7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7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7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7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7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7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7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7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7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7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7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7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7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7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7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7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7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7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7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7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7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7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7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7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7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7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7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7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7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7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7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7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7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7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7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7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7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7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7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34007.91</v>
      </c>
      <c r="Z38" s="37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7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7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7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7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7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7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7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7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7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7" t="n">
        <v>0</v>
      </c>
      <c r="I41" s="18" t="n">
        <v>0</v>
      </c>
      <c r="J41" s="18" t="n">
        <v>0</v>
      </c>
      <c r="K41" s="37" t="n">
        <v>0</v>
      </c>
      <c r="P41" s="9" t="n"/>
      <c r="U41" s="9" t="n"/>
      <c r="Y41" s="18" t="n">
        <v>29183.12</v>
      </c>
      <c r="Z41" s="37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7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7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7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7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7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7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7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7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7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7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7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7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7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7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7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7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7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7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7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7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7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7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7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7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7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7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7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7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7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7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7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7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7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7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7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7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7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7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7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7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7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7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7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7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7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7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7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7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7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7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7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7" t="n">
        <v>25790.97</v>
      </c>
      <c r="L54" s="18" t="n">
        <v>27177.48</v>
      </c>
      <c r="M54" s="18" t="n">
        <v>27735.19</v>
      </c>
      <c r="N54" s="18" t="n">
        <v>27811.76</v>
      </c>
      <c r="O54" s="18" t="n">
        <v>27650.91</v>
      </c>
      <c r="P54" s="37" t="n">
        <v>27650.91</v>
      </c>
      <c r="Q54" s="18" t="n">
        <v>21811.19</v>
      </c>
      <c r="R54" s="18" t="n">
        <v>17427.92</v>
      </c>
      <c r="S54" s="18" t="n">
        <v>19798.83</v>
      </c>
      <c r="T54" s="18" t="n">
        <v>20359.48</v>
      </c>
      <c r="U54" s="37" t="n">
        <v>20359.48</v>
      </c>
      <c r="V54" s="18" t="n">
        <v>27868.3</v>
      </c>
      <c r="W54" s="18" t="n">
        <v>20399.76</v>
      </c>
      <c r="X54" s="18" t="n">
        <v>44341</v>
      </c>
      <c r="Y54" s="18" t="n">
        <v>181724.97</v>
      </c>
      <c r="Z54" s="37" t="n">
        <v>181724.97</v>
      </c>
      <c r="AA54" s="18" t="n">
        <v>191625.09</v>
      </c>
      <c r="AB54" s="19" t="n">
        <v>198194.52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7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7" t="n">
        <v>897.97</v>
      </c>
      <c r="L55" s="18" t="n">
        <v>2862.1</v>
      </c>
      <c r="M55" s="18" t="n">
        <v>5683.48</v>
      </c>
      <c r="N55" s="18" t="n">
        <v>2956.51</v>
      </c>
      <c r="O55" s="18" t="n">
        <v>3788.36</v>
      </c>
      <c r="P55" s="37" t="n">
        <v>3788.36</v>
      </c>
      <c r="Q55" s="18" t="n">
        <v>2931.24</v>
      </c>
      <c r="R55" s="18" t="n">
        <v>4044.71</v>
      </c>
      <c r="S55" s="18" t="n">
        <v>-4259.07</v>
      </c>
      <c r="T55" s="18" t="n">
        <v>542.09</v>
      </c>
      <c r="U55" s="37" t="n">
        <v>542.09</v>
      </c>
      <c r="V55" s="18" t="n">
        <v>5568.28</v>
      </c>
      <c r="W55" s="18" t="n">
        <v>35.46</v>
      </c>
      <c r="X55" s="18" t="n">
        <v>-1801.49</v>
      </c>
      <c r="Y55" s="18" t="n">
        <v>116621.87</v>
      </c>
      <c r="Z55" s="37" t="n">
        <v>116621.87</v>
      </c>
      <c r="AA55" s="18" t="n">
        <v>121413.95</v>
      </c>
      <c r="AB55" s="19" t="n">
        <v>132048.49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7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7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7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7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7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7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7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7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16559.94</v>
      </c>
      <c r="F61" s="9" t="n"/>
      <c r="G61" s="18" t="n">
        <v>20316.73</v>
      </c>
      <c r="H61" s="18" t="n">
        <v>22798.47</v>
      </c>
      <c r="I61" s="18" t="n">
        <v>23829.65</v>
      </c>
      <c r="J61" s="18" t="n">
        <v>23732.09</v>
      </c>
      <c r="K61" s="37" t="n">
        <v>90676.94</v>
      </c>
      <c r="L61" s="18" t="n">
        <v>20984.76</v>
      </c>
      <c r="M61" s="18" t="n">
        <v>23488.54</v>
      </c>
      <c r="N61" s="18" t="n">
        <v>26379.77</v>
      </c>
      <c r="O61" s="18" t="n">
        <v>24896.4</v>
      </c>
      <c r="P61" s="37" t="n">
        <v>95749.47</v>
      </c>
      <c r="Q61" s="18" t="n">
        <v>26521.26</v>
      </c>
      <c r="R61" s="18" t="n">
        <v>34057.66</v>
      </c>
      <c r="S61" s="18" t="n">
        <v>28580.76</v>
      </c>
      <c r="T61" s="18" t="n">
        <v>28861.09</v>
      </c>
      <c r="U61" s="37" t="n">
        <v>118020.77</v>
      </c>
      <c r="V61" s="18" t="n">
        <v>26340.53</v>
      </c>
      <c r="W61" s="18" t="n">
        <v>29631.69</v>
      </c>
      <c r="X61" s="18" t="n">
        <v>29469.17</v>
      </c>
      <c r="Y61" s="18" t="n">
        <v>33020.73</v>
      </c>
      <c r="Z61" s="37" t="n">
        <v>118462.12</v>
      </c>
      <c r="AA61" s="18" t="n">
        <v>130909.8</v>
      </c>
      <c r="AB61" s="19" t="n">
        <v>131393.13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14980.7</v>
      </c>
      <c r="F62" s="9" t="n"/>
      <c r="G62" s="18" t="n">
        <v>17989.9</v>
      </c>
      <c r="H62" s="18" t="n">
        <v>22007.81</v>
      </c>
      <c r="I62" s="18" t="n">
        <v>19898.12</v>
      </c>
      <c r="J62" s="18" t="n">
        <v>20215.1</v>
      </c>
      <c r="K62" s="37" t="n">
        <v>80110.92999999999</v>
      </c>
      <c r="L62" s="18" t="n">
        <v>18214.23</v>
      </c>
      <c r="M62" s="18" t="n">
        <v>19292.66</v>
      </c>
      <c r="N62" s="18" t="n">
        <v>21146.92</v>
      </c>
      <c r="O62" s="18" t="n">
        <v>21252.76</v>
      </c>
      <c r="P62" s="37" t="n">
        <v>79906.57000000001</v>
      </c>
      <c r="Q62" s="18" t="n">
        <v>20366.37</v>
      </c>
      <c r="R62" s="18" t="n">
        <v>27879.31</v>
      </c>
      <c r="S62" s="18" t="n">
        <v>23321.52</v>
      </c>
      <c r="T62" s="18" t="n">
        <v>22884.83</v>
      </c>
      <c r="U62" s="37" t="n">
        <v>94452.03</v>
      </c>
      <c r="V62" s="18" t="n">
        <v>20466.64</v>
      </c>
      <c r="W62" s="18" t="n">
        <v>23578.67</v>
      </c>
      <c r="X62" s="18" t="n">
        <v>23311.42</v>
      </c>
      <c r="Y62" s="18" t="n">
        <v>27786.29</v>
      </c>
      <c r="Z62" s="37" t="n">
        <v>95143.02</v>
      </c>
      <c r="AA62" s="18" t="n">
        <v>112820.43</v>
      </c>
      <c r="AB62" s="19" t="n">
        <v>115001.75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1579.24</v>
      </c>
      <c r="F63" s="9" t="n"/>
      <c r="G63" s="18" t="n">
        <v>2326.83</v>
      </c>
      <c r="H63" s="18" t="n">
        <v>790.66</v>
      </c>
      <c r="I63" s="18" t="n">
        <v>3931.53</v>
      </c>
      <c r="J63" s="18" t="n">
        <v>3516.99</v>
      </c>
      <c r="K63" s="37" t="n">
        <v>10566.01</v>
      </c>
      <c r="L63" s="18" t="n">
        <v>2770.52</v>
      </c>
      <c r="M63" s="18" t="n">
        <v>4195.88</v>
      </c>
      <c r="N63" s="18" t="n">
        <v>5232.85</v>
      </c>
      <c r="O63" s="18" t="n">
        <v>3643.64</v>
      </c>
      <c r="P63" s="37" t="n">
        <v>15842.89</v>
      </c>
      <c r="Q63" s="18" t="n">
        <v>6154.89</v>
      </c>
      <c r="R63" s="18" t="n">
        <v>6178.35</v>
      </c>
      <c r="S63" s="18" t="n">
        <v>5259.24</v>
      </c>
      <c r="T63" s="18" t="n">
        <v>5976.26</v>
      </c>
      <c r="U63" s="37" t="n">
        <v>23568.74</v>
      </c>
      <c r="V63" s="18" t="n">
        <v>5873.88</v>
      </c>
      <c r="W63" s="18" t="n">
        <v>6053.03</v>
      </c>
      <c r="X63" s="18" t="n">
        <v>6157.75</v>
      </c>
      <c r="Y63" s="18" t="n">
        <v>5234.44</v>
      </c>
      <c r="Z63" s="37" t="n">
        <v>23319.1</v>
      </c>
      <c r="AA63" s="18" t="n">
        <v>18089.37</v>
      </c>
      <c r="AB63" s="19" t="n">
        <v>16391.38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2268.48</v>
      </c>
      <c r="F64" s="9" t="n"/>
      <c r="G64" s="18" t="n">
        <v>2144.14</v>
      </c>
      <c r="H64" s="18" t="n">
        <v>2102.23</v>
      </c>
      <c r="I64" s="18" t="n">
        <v>7219.01</v>
      </c>
      <c r="J64" s="18" t="n">
        <v>2281.72</v>
      </c>
      <c r="K64" s="37" t="n">
        <v>13747.1</v>
      </c>
      <c r="L64" s="18" t="n">
        <v>1986.11</v>
      </c>
      <c r="M64" s="18" t="n">
        <v>2788.87</v>
      </c>
      <c r="N64" s="18" t="n">
        <v>2509.57</v>
      </c>
      <c r="O64" s="18" t="n">
        <v>2564.7</v>
      </c>
      <c r="P64" s="37" t="n">
        <v>9849.25</v>
      </c>
      <c r="Q64" s="18" t="n">
        <v>3458.97</v>
      </c>
      <c r="R64" s="18" t="n">
        <v>4750.37</v>
      </c>
      <c r="S64" s="18" t="n">
        <v>2509.08</v>
      </c>
      <c r="T64" s="18" t="n">
        <v>2553.44</v>
      </c>
      <c r="U64" s="37" t="n">
        <v>13271.86</v>
      </c>
      <c r="V64" s="18" t="n">
        <v>3006.09</v>
      </c>
      <c r="W64" s="18" t="n">
        <v>3614.63</v>
      </c>
      <c r="X64" s="18" t="n">
        <v>2747.21</v>
      </c>
      <c r="Y64" s="18" t="n">
        <v>3732.57</v>
      </c>
      <c r="Z64" s="37" t="n">
        <v>13100.5</v>
      </c>
      <c r="AA64" s="18" t="n">
        <v>12480.74</v>
      </c>
      <c r="AB64" s="19" t="n">
        <v>13215.19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-689.24</v>
      </c>
      <c r="F65" s="9" t="n"/>
      <c r="G65" s="18" t="n">
        <v>182.7</v>
      </c>
      <c r="H65" s="18" t="n">
        <v>-1311.57</v>
      </c>
      <c r="I65" s="18" t="n">
        <v>-3287.48</v>
      </c>
      <c r="J65" s="18" t="n">
        <v>1235.26</v>
      </c>
      <c r="K65" s="37" t="n">
        <v>-3181.09</v>
      </c>
      <c r="L65" s="18" t="n">
        <v>784.42</v>
      </c>
      <c r="M65" s="18" t="n">
        <v>1407.01</v>
      </c>
      <c r="N65" s="18" t="n">
        <v>2723.28</v>
      </c>
      <c r="O65" s="18" t="n">
        <v>1078.94</v>
      </c>
      <c r="P65" s="37" t="n">
        <v>5993.65</v>
      </c>
      <c r="Q65" s="18" t="n">
        <v>2695.92</v>
      </c>
      <c r="R65" s="18" t="n">
        <v>1427.98</v>
      </c>
      <c r="S65" s="18" t="n">
        <v>2750.16</v>
      </c>
      <c r="T65" s="18" t="n">
        <v>3422.82</v>
      </c>
      <c r="U65" s="37" t="n">
        <v>10296.88</v>
      </c>
      <c r="V65" s="18" t="n">
        <v>2867.79</v>
      </c>
      <c r="W65" s="18" t="n">
        <v>2438.4</v>
      </c>
      <c r="X65" s="18" t="n">
        <v>3410.54</v>
      </c>
      <c r="Y65" s="18" t="n">
        <v>1501.87</v>
      </c>
      <c r="Z65" s="37" t="n">
        <v>10218.6</v>
      </c>
      <c r="AA65" s="18" t="n">
        <v>5608.63</v>
      </c>
      <c r="AB65" s="19" t="n">
        <v>3176.2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207.72</v>
      </c>
      <c r="F66" s="9" t="n"/>
      <c r="G66" s="18" t="n">
        <v>223.95</v>
      </c>
      <c r="H66" s="18" t="n">
        <v>388.48</v>
      </c>
      <c r="I66" s="18" t="n">
        <v>-68.23999999999999</v>
      </c>
      <c r="J66" s="18" t="n">
        <v>170.1</v>
      </c>
      <c r="K66" s="37" t="n">
        <v>714.29</v>
      </c>
      <c r="L66" s="18" t="n">
        <v>348.86</v>
      </c>
      <c r="M66" s="18" t="n">
        <v>130.26</v>
      </c>
      <c r="N66" s="18" t="n">
        <v>105.39</v>
      </c>
      <c r="O66" s="18" t="n">
        <v>146.59</v>
      </c>
      <c r="P66" s="37" t="n">
        <v>731.1</v>
      </c>
      <c r="Q66" s="18" t="n">
        <v>195.62</v>
      </c>
      <c r="R66" s="18" t="n">
        <v>164.35</v>
      </c>
      <c r="S66" s="18" t="n">
        <v>129.24</v>
      </c>
      <c r="T66" s="18" t="n">
        <v>151.31</v>
      </c>
      <c r="U66" s="37" t="n">
        <v>640.52</v>
      </c>
      <c r="V66" s="18" t="n">
        <v>168.28</v>
      </c>
      <c r="W66" s="18" t="n">
        <v>128.7</v>
      </c>
      <c r="X66" s="18" t="n">
        <v>288.24</v>
      </c>
      <c r="Y66" s="18" t="n">
        <v>5100.75</v>
      </c>
      <c r="Z66" s="37" t="n">
        <v>5685.97</v>
      </c>
      <c r="AA66" s="18" t="n">
        <v>2082.46</v>
      </c>
      <c r="AB66" s="19" t="n">
        <v>1572.72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9113.870000000001</v>
      </c>
      <c r="F67" s="9" t="n"/>
      <c r="G67" s="18" t="n">
        <v>18.34</v>
      </c>
      <c r="H67" s="18" t="n">
        <v>8.65</v>
      </c>
      <c r="I67" s="18" t="n">
        <v>24.14</v>
      </c>
      <c r="J67" s="18" t="n">
        <v>4487.35</v>
      </c>
      <c r="K67" s="37" t="n">
        <v>4538.48</v>
      </c>
      <c r="L67" s="18" t="n">
        <v>8.640000000000001</v>
      </c>
      <c r="M67" s="18" t="n">
        <v>28.3</v>
      </c>
      <c r="N67" s="18" t="n">
        <v>8.43</v>
      </c>
      <c r="O67" s="18" t="n">
        <v>22.25</v>
      </c>
      <c r="P67" s="37" t="n">
        <v>67.62</v>
      </c>
      <c r="Q67" s="18" t="n">
        <v>58.63</v>
      </c>
      <c r="R67" s="18" t="n">
        <v>8.630000000000001</v>
      </c>
      <c r="S67" s="18" t="n">
        <v>9.18</v>
      </c>
      <c r="T67" s="18" t="n">
        <v>139.03</v>
      </c>
      <c r="U67" s="37" t="n">
        <v>215.47</v>
      </c>
      <c r="V67" s="18" t="n">
        <v>40.95</v>
      </c>
      <c r="W67" s="18" t="n">
        <v>58.46</v>
      </c>
      <c r="X67" s="18" t="n">
        <v>68.95</v>
      </c>
      <c r="Y67" s="18" t="n">
        <v>34.39</v>
      </c>
      <c r="Z67" s="37" t="n">
        <v>202.75</v>
      </c>
      <c r="AA67" s="18" t="n">
        <v>316.32</v>
      </c>
      <c r="AB67" s="19" t="n">
        <v>1989.21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-450.45</v>
      </c>
      <c r="F68" s="9" t="n"/>
      <c r="G68" s="18" t="n">
        <v>458.95</v>
      </c>
      <c r="H68" s="18" t="n">
        <v>567.85</v>
      </c>
      <c r="I68" s="18" t="n">
        <v>984.66</v>
      </c>
      <c r="J68" s="18" t="n">
        <v>-3.6</v>
      </c>
      <c r="K68" s="37" t="n">
        <v>2007.86</v>
      </c>
      <c r="L68" s="18" t="n">
        <v>2323.14</v>
      </c>
      <c r="M68" s="18" t="n">
        <v>290.38</v>
      </c>
      <c r="N68" s="18" t="n">
        <v>-768.08</v>
      </c>
      <c r="O68" s="18" t="n">
        <v>673.92</v>
      </c>
      <c r="P68" s="37" t="n">
        <v>2519.36</v>
      </c>
      <c r="Q68" s="18" t="n">
        <v>380.68</v>
      </c>
      <c r="R68" s="18" t="n">
        <v>394.05</v>
      </c>
      <c r="S68" s="18" t="n">
        <v>578.1</v>
      </c>
      <c r="T68" s="18" t="n">
        <v>379.63</v>
      </c>
      <c r="U68" s="37" t="n">
        <v>1732.46</v>
      </c>
      <c r="V68" s="18" t="n">
        <v>844.6</v>
      </c>
      <c r="W68" s="18" t="n">
        <v>643.03</v>
      </c>
      <c r="X68" s="18" t="n">
        <v>368.82</v>
      </c>
      <c r="Y68" s="18" t="n">
        <v>732.5700000000001</v>
      </c>
      <c r="Z68" s="37" t="n">
        <v>2589.02</v>
      </c>
      <c r="AA68" s="18" t="n">
        <v>5220.17</v>
      </c>
      <c r="AB68" s="19" t="n">
        <v>6449.85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138.85</v>
      </c>
      <c r="F69" s="9" t="n"/>
      <c r="G69" s="18" t="n">
        <v>710.95</v>
      </c>
      <c r="H69" s="18" t="n">
        <v>3322.32</v>
      </c>
      <c r="I69" s="18" t="n">
        <v>719.84</v>
      </c>
      <c r="J69" s="18" t="n">
        <v>833.86</v>
      </c>
      <c r="K69" s="37" t="n">
        <v>5586.97</v>
      </c>
      <c r="L69" s="18" t="n">
        <v>722.23</v>
      </c>
      <c r="M69" s="18" t="n">
        <v>671.52</v>
      </c>
      <c r="N69" s="18" t="n">
        <v>803.51</v>
      </c>
      <c r="O69" s="18" t="n">
        <v>496.15</v>
      </c>
      <c r="P69" s="37" t="n">
        <v>2693.41</v>
      </c>
      <c r="Q69" s="18" t="n">
        <v>1563.94</v>
      </c>
      <c r="R69" s="18" t="n">
        <v>1322.75</v>
      </c>
      <c r="S69" s="18" t="n">
        <v>133.42</v>
      </c>
      <c r="T69" s="18" t="n">
        <v>2490.4</v>
      </c>
      <c r="U69" s="37" t="n">
        <v>5510.51</v>
      </c>
      <c r="V69" s="18" t="n">
        <v>680.23</v>
      </c>
      <c r="W69" s="18" t="n">
        <v>223.03</v>
      </c>
      <c r="X69" s="18" t="n">
        <v>840.67</v>
      </c>
      <c r="Y69" s="18" t="n">
        <v>2479.39</v>
      </c>
      <c r="Z69" s="37" t="n">
        <v>4223.32</v>
      </c>
      <c r="AA69" s="18" t="n">
        <v>7448.95</v>
      </c>
      <c r="AB69" s="19" t="n">
        <v>6384.8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-10184.69</v>
      </c>
      <c r="F70" s="9" t="n"/>
      <c r="G70" s="18" t="n">
        <v>136.3</v>
      </c>
      <c r="H70" s="18" t="n">
        <v>-3686.21</v>
      </c>
      <c r="I70" s="18" t="n">
        <v>-3115.04</v>
      </c>
      <c r="J70" s="18" t="n">
        <v>-3919.45</v>
      </c>
      <c r="K70" s="37" t="n">
        <v>-10584.4</v>
      </c>
      <c r="L70" s="18" t="n">
        <v>2725.55</v>
      </c>
      <c r="M70" s="18" t="n">
        <v>1127.83</v>
      </c>
      <c r="N70" s="18" t="n">
        <v>1248.64</v>
      </c>
      <c r="O70" s="18" t="n">
        <v>1381.06</v>
      </c>
      <c r="P70" s="37" t="n">
        <v>6483.08</v>
      </c>
      <c r="Q70" s="18" t="n">
        <v>1649.66</v>
      </c>
      <c r="R70" s="18" t="n">
        <v>655</v>
      </c>
      <c r="S70" s="18" t="n">
        <v>3314.9</v>
      </c>
      <c r="T70" s="18" t="n">
        <v>1324.33</v>
      </c>
      <c r="U70" s="37" t="n">
        <v>6943.89</v>
      </c>
      <c r="V70" s="18" t="n">
        <v>3159.49</v>
      </c>
      <c r="W70" s="18" t="n">
        <v>2928.63</v>
      </c>
      <c r="X70" s="18" t="n">
        <v>3157.97</v>
      </c>
      <c r="Y70" s="18" t="n">
        <v>4821.41</v>
      </c>
      <c r="Z70" s="37" t="n">
        <v>14067.5</v>
      </c>
      <c r="AA70" s="18" t="n">
        <v>5145.99</v>
      </c>
      <c r="AB70" s="19" t="n">
        <v>2824.76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7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7" t="n">
        <v>271.44</v>
      </c>
      <c r="Q71" s="18" t="n">
        <v>248.42</v>
      </c>
      <c r="R71" s="18" t="n">
        <v>173.51</v>
      </c>
      <c r="S71" s="18" t="n">
        <v>391.63</v>
      </c>
      <c r="T71" s="18" t="n">
        <v>88.34999999999999</v>
      </c>
      <c r="U71" s="37" t="n">
        <v>901.91</v>
      </c>
      <c r="V71" s="18" t="n">
        <v>499.14</v>
      </c>
      <c r="W71" s="18" t="n">
        <v>694.27</v>
      </c>
      <c r="X71" s="18" t="n">
        <v>512.03</v>
      </c>
      <c r="Y71" s="18" t="n">
        <v>-762.79</v>
      </c>
      <c r="Z71" s="37" t="n">
        <v>942.65</v>
      </c>
      <c r="AA71" s="18" t="n">
        <v>923.4400000000001</v>
      </c>
      <c r="AB71" s="19" t="n">
        <v>1364.83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7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7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7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7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-9462.959999999999</v>
      </c>
      <c r="F73" s="9" t="n"/>
      <c r="G73" s="18" t="n">
        <v>204.45</v>
      </c>
      <c r="H73" s="18" t="n">
        <v>-2941.66</v>
      </c>
      <c r="I73" s="18" t="n">
        <v>-1906.73</v>
      </c>
      <c r="J73" s="18" t="n">
        <v>-4079.23</v>
      </c>
      <c r="K73" s="37" t="n">
        <v>-8723.17</v>
      </c>
      <c r="L73" s="18" t="n">
        <v>2326.87</v>
      </c>
      <c r="M73" s="18" t="n">
        <v>898.96</v>
      </c>
      <c r="N73" s="18" t="n">
        <v>1093.25</v>
      </c>
      <c r="O73" s="18" t="n">
        <v>1892.54</v>
      </c>
      <c r="P73" s="37" t="n">
        <v>6211.62</v>
      </c>
      <c r="Q73" s="18" t="n">
        <v>1401.24</v>
      </c>
      <c r="R73" s="18" t="n">
        <v>481.49</v>
      </c>
      <c r="S73" s="18" t="n">
        <v>2923.27</v>
      </c>
      <c r="T73" s="18" t="n">
        <v>1235.99</v>
      </c>
      <c r="U73" s="37" t="n">
        <v>6041.99</v>
      </c>
      <c r="V73" s="18" t="n">
        <v>2660.35</v>
      </c>
      <c r="W73" s="18" t="n">
        <v>2234.36</v>
      </c>
      <c r="X73" s="18" t="n">
        <v>2645.94</v>
      </c>
      <c r="Y73" s="18" t="n">
        <v>5584.18</v>
      </c>
      <c r="Z73" s="37" t="n">
        <v>13124.83</v>
      </c>
      <c r="AA73" s="18" t="n">
        <v>4222.56</v>
      </c>
      <c r="AB73" s="19" t="n">
        <v>1459.94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-9388.85</v>
      </c>
      <c r="F74" s="9" t="n"/>
      <c r="G74" s="18" t="n">
        <v>482.45</v>
      </c>
      <c r="H74" s="18" t="n">
        <v>-2741.31</v>
      </c>
      <c r="I74" s="18" t="n">
        <v>-1392.95</v>
      </c>
      <c r="J74" s="18" t="n">
        <v>-5104.12</v>
      </c>
      <c r="K74" s="37" t="n">
        <v>-8755.93</v>
      </c>
      <c r="L74" s="18" t="n">
        <v>2727.48</v>
      </c>
      <c r="M74" s="18" t="n">
        <v>451.17</v>
      </c>
      <c r="N74" s="18" t="n">
        <v>1278.61</v>
      </c>
      <c r="O74" s="18" t="n">
        <v>1084.96</v>
      </c>
      <c r="P74" s="37" t="n">
        <v>5542.22</v>
      </c>
      <c r="Q74" s="18" t="n">
        <v>1694.52</v>
      </c>
      <c r="R74" s="18" t="n">
        <v>759.45</v>
      </c>
      <c r="S74" s="18" t="n">
        <v>2823.8</v>
      </c>
      <c r="T74" s="18" t="n">
        <v>1792.71</v>
      </c>
      <c r="U74" s="37" t="n">
        <v>7070.48</v>
      </c>
      <c r="V74" s="18" t="n">
        <v>2700.82</v>
      </c>
      <c r="W74" s="18" t="n">
        <v>1395.05</v>
      </c>
      <c r="X74" s="18" t="n">
        <v>3183.46</v>
      </c>
      <c r="Y74" s="18" t="n">
        <v>6193.52</v>
      </c>
      <c r="Z74" s="37" t="n">
        <v>13472.85</v>
      </c>
      <c r="AA74" s="18" t="n">
        <v>9205.99</v>
      </c>
      <c r="AB74" s="19" t="n">
        <v>4647.01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-8516.5</v>
      </c>
      <c r="F75" s="9" t="n"/>
      <c r="G75" s="18" t="n">
        <v>171.63</v>
      </c>
      <c r="H75" s="18" t="n">
        <v>-2906.31</v>
      </c>
      <c r="I75" s="18" t="n">
        <v>-1916.61</v>
      </c>
      <c r="J75" s="18" t="n">
        <v>-3582.4</v>
      </c>
      <c r="K75" s="37" t="n">
        <v>-8233.690000000001</v>
      </c>
      <c r="L75" s="18" t="n">
        <v>2231.84</v>
      </c>
      <c r="M75" s="18" t="n">
        <v>900.78</v>
      </c>
      <c r="N75" s="18" t="n">
        <v>1034.62</v>
      </c>
      <c r="O75" s="18" t="n">
        <v>1863.88</v>
      </c>
      <c r="P75" s="37" t="n">
        <v>6031.12</v>
      </c>
      <c r="Q75" s="18" t="n">
        <v>1351.61</v>
      </c>
      <c r="R75" s="18" t="n">
        <v>508.1</v>
      </c>
      <c r="S75" s="18" t="n">
        <v>2863.32</v>
      </c>
      <c r="T75" s="18" t="n">
        <v>1253.96</v>
      </c>
      <c r="U75" s="37" t="n">
        <v>5976.99</v>
      </c>
      <c r="V75" s="18" t="n">
        <v>2532.85</v>
      </c>
      <c r="W75" s="18" t="n">
        <v>2238.62</v>
      </c>
      <c r="X75" s="18" t="n">
        <v>2540.41</v>
      </c>
      <c r="Y75" s="18" t="n">
        <v>5584.16</v>
      </c>
      <c r="Z75" s="37" t="n">
        <v>12896.04</v>
      </c>
      <c r="AA75" s="18" t="n">
        <v>6634.27</v>
      </c>
      <c r="AB75" s="19" t="n">
        <v>2965.64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-946.45</v>
      </c>
      <c r="F76" s="9" t="n"/>
      <c r="G76" s="18" t="n">
        <v>32.82</v>
      </c>
      <c r="H76" s="18" t="n">
        <v>-35.35</v>
      </c>
      <c r="I76" s="18" t="n">
        <v>9.890000000000001</v>
      </c>
      <c r="J76" s="18" t="n">
        <v>-496.83</v>
      </c>
      <c r="K76" s="37" t="n">
        <v>-489.47</v>
      </c>
      <c r="L76" s="18" t="n">
        <v>95.03</v>
      </c>
      <c r="M76" s="18" t="n">
        <v>-1.82</v>
      </c>
      <c r="N76" s="18" t="n">
        <v>58.63</v>
      </c>
      <c r="O76" s="18" t="n">
        <v>28.66</v>
      </c>
      <c r="P76" s="37" t="n">
        <v>180.5</v>
      </c>
      <c r="Q76" s="18" t="n">
        <v>49.63</v>
      </c>
      <c r="R76" s="18" t="n">
        <v>-26.61</v>
      </c>
      <c r="S76" s="18" t="n">
        <v>59.94</v>
      </c>
      <c r="T76" s="18" t="n">
        <v>-17.99</v>
      </c>
      <c r="U76" s="37" t="n">
        <v>64.97</v>
      </c>
      <c r="V76" s="18" t="n">
        <v>127.49</v>
      </c>
      <c r="W76" s="18" t="n">
        <v>-4.26</v>
      </c>
      <c r="X76" s="18" t="n">
        <v>105.54</v>
      </c>
      <c r="Y76" s="18" t="n">
        <v>0.04</v>
      </c>
      <c r="Z76" s="37" t="n">
        <v>228.81</v>
      </c>
      <c r="AA76" s="18" t="n">
        <v>2571.72</v>
      </c>
      <c r="AB76" s="19" t="n">
        <v>-1505.71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-589.3</v>
      </c>
      <c r="F77" s="9" t="n"/>
      <c r="G77" s="18" t="n">
        <v>-252</v>
      </c>
      <c r="H77" s="18" t="n">
        <v>-2754.47</v>
      </c>
      <c r="I77" s="18" t="n">
        <v>264.82</v>
      </c>
      <c r="J77" s="18" t="n">
        <v>-837.46</v>
      </c>
      <c r="K77" s="37" t="n">
        <v>-3579.11</v>
      </c>
      <c r="L77" s="18" t="n">
        <v>1600.91</v>
      </c>
      <c r="M77" s="18" t="n">
        <v>-381.14</v>
      </c>
      <c r="N77" s="18" t="n">
        <v>-1571.59</v>
      </c>
      <c r="O77" s="18" t="n">
        <v>177.77</v>
      </c>
      <c r="P77" s="37" t="n">
        <v>-174.05</v>
      </c>
      <c r="Q77" s="18" t="n">
        <v>-1183.26</v>
      </c>
      <c r="R77" s="18" t="n">
        <v>-928.7</v>
      </c>
      <c r="S77" s="18" t="n">
        <v>444.68</v>
      </c>
      <c r="T77" s="18" t="n">
        <v>-2110.77</v>
      </c>
      <c r="U77" s="37" t="n">
        <v>-3778.05</v>
      </c>
      <c r="V77" s="18" t="n">
        <v>164.37</v>
      </c>
      <c r="W77" s="18" t="n">
        <v>420</v>
      </c>
      <c r="X77" s="18" t="n">
        <v>-471.85</v>
      </c>
      <c r="Y77" s="18" t="n">
        <v>-1746.82</v>
      </c>
      <c r="Z77" s="37" t="n">
        <v>-1634.3</v>
      </c>
      <c r="AA77" s="18" t="n">
        <v>-2228.78</v>
      </c>
      <c r="AB77" s="19" t="n">
        <v>65.05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-8906.15</v>
      </c>
      <c r="F78" s="9" t="n"/>
      <c r="G78" s="18" t="n">
        <v>205.61</v>
      </c>
      <c r="H78" s="18" t="n">
        <v>379.83</v>
      </c>
      <c r="I78" s="18" t="n">
        <v>-92.38</v>
      </c>
      <c r="J78" s="18" t="n">
        <v>-4317.25</v>
      </c>
      <c r="K78" s="37" t="n">
        <v>-3824.19</v>
      </c>
      <c r="L78" s="18" t="n">
        <v>340.22</v>
      </c>
      <c r="M78" s="18" t="n">
        <v>101.96</v>
      </c>
      <c r="N78" s="18" t="n">
        <v>96.95999999999999</v>
      </c>
      <c r="O78" s="18" t="n">
        <v>124.34</v>
      </c>
      <c r="P78" s="37" t="n">
        <v>663.48</v>
      </c>
      <c r="Q78" s="18" t="n">
        <v>136.99</v>
      </c>
      <c r="R78" s="18" t="n">
        <v>155.72</v>
      </c>
      <c r="S78" s="18" t="n">
        <v>120.06</v>
      </c>
      <c r="T78" s="18" t="n">
        <v>12.28</v>
      </c>
      <c r="U78" s="37" t="n">
        <v>425.05</v>
      </c>
      <c r="V78" s="18" t="n">
        <v>127.33</v>
      </c>
      <c r="W78" s="18" t="n">
        <v>70.23999999999999</v>
      </c>
      <c r="X78" s="18" t="n">
        <v>219.29</v>
      </c>
      <c r="Y78" s="18" t="n">
        <v>5066.36</v>
      </c>
      <c r="Z78" s="37" t="n">
        <v>5483.22</v>
      </c>
      <c r="AA78" s="18" t="n">
        <v>1766.14</v>
      </c>
      <c r="AB78" s="19" t="n">
        <v>-416.49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145.35</v>
      </c>
      <c r="H79" s="18" t="n">
        <v>144.33</v>
      </c>
      <c r="I79" s="18" t="n">
        <v>226.25</v>
      </c>
      <c r="J79" s="18" t="n">
        <v>237.17</v>
      </c>
      <c r="K79" s="37" t="n">
        <v>753.1</v>
      </c>
      <c r="L79" s="18" t="n">
        <v>350.12</v>
      </c>
      <c r="M79" s="18" t="n">
        <v>289.95</v>
      </c>
      <c r="N79" s="18" t="n">
        <v>322.16</v>
      </c>
      <c r="O79" s="18" t="n">
        <v>298.99</v>
      </c>
      <c r="P79" s="37" t="n">
        <v>1261.22</v>
      </c>
      <c r="Q79" s="18" t="n">
        <v>310.6</v>
      </c>
      <c r="R79" s="18" t="n">
        <v>200.63</v>
      </c>
      <c r="S79" s="18" t="n">
        <v>267.57</v>
      </c>
      <c r="T79" s="18" t="n">
        <v>283.02</v>
      </c>
      <c r="U79" s="37" t="n">
        <v>1061.82</v>
      </c>
      <c r="V79" s="18" t="n">
        <v>277.3</v>
      </c>
      <c r="W79" s="18" t="n">
        <v>271.94</v>
      </c>
      <c r="X79" s="18" t="n">
        <v>147.28</v>
      </c>
      <c r="Y79" s="18" t="n">
        <v>515.7</v>
      </c>
      <c r="Z79" s="37" t="n">
        <v>1212.22</v>
      </c>
      <c r="AA79" s="18" t="n">
        <v>755.01</v>
      </c>
      <c r="AB79" s="19" t="n">
        <v>692.62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M80" s="18" t="n">
        <v>68.61</v>
      </c>
      <c r="N80" s="18" t="n">
        <v>0</v>
      </c>
      <c r="O80" s="18" t="n">
        <v>0</v>
      </c>
      <c r="P80" s="9" t="n"/>
      <c r="R80" s="18" t="n">
        <v>76.16</v>
      </c>
      <c r="S80" s="18" t="n">
        <v>0</v>
      </c>
      <c r="T80" s="18" t="n">
        <v>0</v>
      </c>
      <c r="U80" s="9" t="n"/>
      <c r="W80" s="18" t="n">
        <v>89.83</v>
      </c>
      <c r="X80" s="18" t="n">
        <v>0</v>
      </c>
      <c r="Y80" s="18" t="n">
        <v>0</v>
      </c>
      <c r="Z80" s="9" t="n"/>
      <c r="AA80" s="18" t="n">
        <v>156.7</v>
      </c>
      <c r="AB80" s="19" t="n">
        <v>-48.21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98.93000000000001</v>
      </c>
      <c r="H81" s="18" t="n">
        <v>135.14</v>
      </c>
      <c r="I81" s="18" t="n">
        <v>181.09</v>
      </c>
      <c r="J81" s="18" t="n">
        <v>238.35</v>
      </c>
      <c r="K81" s="37" t="n">
        <v>653.51</v>
      </c>
      <c r="L81" s="18" t="n">
        <v>310.46</v>
      </c>
      <c r="M81" s="18" t="n">
        <v>328.85</v>
      </c>
      <c r="N81" s="18" t="n">
        <v>333.57</v>
      </c>
      <c r="O81" s="18" t="n">
        <v>332.11</v>
      </c>
      <c r="P81" s="37" t="n">
        <v>1304.99</v>
      </c>
      <c r="Q81" s="18" t="n">
        <v>319.09</v>
      </c>
      <c r="R81" s="18" t="n">
        <v>217.7</v>
      </c>
      <c r="S81" s="18" t="n">
        <v>212.31</v>
      </c>
      <c r="T81" s="18" t="n">
        <v>221.83</v>
      </c>
      <c r="U81" s="37" t="n">
        <v>970.9299999999999</v>
      </c>
      <c r="V81" s="18" t="n">
        <v>276.49</v>
      </c>
      <c r="W81" s="18" t="n">
        <v>226.23</v>
      </c>
      <c r="X81" s="18" t="n">
        <v>207.87</v>
      </c>
      <c r="Y81" s="18" t="n">
        <v>682.11</v>
      </c>
      <c r="Z81" s="37" t="n">
        <v>1392.7</v>
      </c>
      <c r="AA81" s="18" t="n">
        <v>2235.88</v>
      </c>
      <c r="AB81" s="19" t="n">
        <v>2169.92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155.96</v>
      </c>
      <c r="H82" s="18" t="n">
        <v>158.22</v>
      </c>
      <c r="I82" s="18" t="n">
        <v>157.9</v>
      </c>
      <c r="J82" s="18" t="n">
        <v>611.39</v>
      </c>
      <c r="K82" s="37" t="n">
        <v>1083.47</v>
      </c>
      <c r="L82" s="18" t="n">
        <v>257.74</v>
      </c>
      <c r="M82" s="18" t="n">
        <v>187.9</v>
      </c>
      <c r="N82" s="18" t="n">
        <v>118.89</v>
      </c>
      <c r="O82" s="18" t="n">
        <v>131.97</v>
      </c>
      <c r="P82" s="37" t="n">
        <v>696.5</v>
      </c>
      <c r="Q82" s="18" t="n">
        <v>52.81</v>
      </c>
      <c r="R82" s="18" t="n">
        <v>89.34999999999999</v>
      </c>
      <c r="S82" s="18" t="n">
        <v>120.51</v>
      </c>
      <c r="T82" s="18" t="n">
        <v>128.37</v>
      </c>
      <c r="U82" s="37" t="n">
        <v>391.04</v>
      </c>
      <c r="V82" s="18" t="n">
        <v>44.48</v>
      </c>
      <c r="W82" s="18" t="n">
        <v>124.26</v>
      </c>
      <c r="X82" s="18" t="n">
        <v>72.79000000000001</v>
      </c>
      <c r="Y82" s="18" t="n">
        <v>264.85</v>
      </c>
      <c r="Z82" s="37" t="n">
        <v>506.38</v>
      </c>
      <c r="AA82" s="18" t="n">
        <v>898.65</v>
      </c>
      <c r="AB82" s="19" t="n">
        <v>1051.98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18" t="n">
        <v>58.7</v>
      </c>
      <c r="H83" s="18" t="n">
        <v>87.55</v>
      </c>
      <c r="I83" s="18" t="n">
        <v>-30.1</v>
      </c>
      <c r="J83" s="18" t="n">
        <v>698.4</v>
      </c>
      <c r="K83" s="37" t="n">
        <v>814.55</v>
      </c>
      <c r="L83" s="18" t="n">
        <v>137.63</v>
      </c>
      <c r="M83" s="18" t="n">
        <v>80.69</v>
      </c>
      <c r="N83" s="18" t="n">
        <v>127.76</v>
      </c>
      <c r="O83" s="18" t="n">
        <v>194.51</v>
      </c>
      <c r="P83" s="37" t="n">
        <v>540.59</v>
      </c>
      <c r="Q83" s="18" t="n">
        <v>37.24</v>
      </c>
      <c r="R83" s="18" t="n">
        <v>45.43</v>
      </c>
      <c r="S83" s="18" t="n">
        <v>113.16</v>
      </c>
      <c r="T83" s="18" t="n">
        <v>123.32</v>
      </c>
      <c r="U83" s="37" t="n">
        <v>319.15</v>
      </c>
      <c r="V83" s="18" t="n">
        <v>53.63</v>
      </c>
      <c r="W83" s="18" t="n">
        <v>158.12</v>
      </c>
      <c r="X83" s="18" t="n">
        <v>35.99</v>
      </c>
      <c r="Y83" s="18" t="n">
        <v>93.01000000000001</v>
      </c>
      <c r="Z83" s="37" t="n">
        <v>340.75</v>
      </c>
      <c r="AA83" s="18" t="n">
        <v>918.73</v>
      </c>
      <c r="AB83" s="19" t="n">
        <v>96.15000000000001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18" t="n">
        <v>140.83</v>
      </c>
      <c r="H84" s="18" t="n">
        <v>171.09</v>
      </c>
      <c r="I84" s="18" t="n">
        <v>583.84</v>
      </c>
      <c r="J84" s="18" t="n">
        <v>-870.0599999999999</v>
      </c>
      <c r="K84" s="37" t="n">
        <v>25.7</v>
      </c>
      <c r="L84" s="18" t="n">
        <v>170.69</v>
      </c>
      <c r="M84" s="18" t="n">
        <v>-87.56</v>
      </c>
      <c r="N84" s="18" t="n">
        <v>-28.74</v>
      </c>
      <c r="O84" s="18" t="n">
        <v>-38.82</v>
      </c>
      <c r="P84" s="37" t="n">
        <v>15.57</v>
      </c>
      <c r="Q84" s="18" t="n">
        <v>13.59</v>
      </c>
      <c r="R84" s="18" t="n">
        <v>10.42</v>
      </c>
      <c r="S84" s="18" t="n">
        <v>34.39</v>
      </c>
      <c r="T84" s="18" t="n">
        <v>-39.21</v>
      </c>
      <c r="U84" s="37" t="n">
        <v>19.19</v>
      </c>
      <c r="V84" s="18" t="n">
        <v>38.36</v>
      </c>
      <c r="W84" s="18" t="n">
        <v>7.15</v>
      </c>
      <c r="X84" s="18" t="n">
        <v>76.95</v>
      </c>
      <c r="Y84" s="18" t="n">
        <v>-64.89</v>
      </c>
      <c r="Z84" s="37" t="n">
        <v>57.57</v>
      </c>
      <c r="AA84" s="18" t="n">
        <v>3296.41</v>
      </c>
      <c r="AB84" s="19" t="n">
        <v>1517.44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18" t="n">
        <v>83.34</v>
      </c>
      <c r="H85" s="18" t="n">
        <v>317.07</v>
      </c>
      <c r="I85" s="18" t="n">
        <v>165.34</v>
      </c>
      <c r="J85" s="18" t="n">
        <v>11.31</v>
      </c>
      <c r="K85" s="37" t="n">
        <v>577.0599999999999</v>
      </c>
      <c r="L85" s="18" t="n">
        <v>11.15</v>
      </c>
      <c r="M85" s="18" t="n">
        <v>175.28</v>
      </c>
      <c r="N85" s="18" t="n">
        <v>44.67</v>
      </c>
      <c r="O85" s="18" t="n">
        <v>-130.28</v>
      </c>
      <c r="P85" s="37" t="n">
        <v>100.82</v>
      </c>
      <c r="Q85" s="18" t="n">
        <v>35.49</v>
      </c>
      <c r="R85" s="18" t="n">
        <v>36.86</v>
      </c>
      <c r="S85" s="18" t="n">
        <v>-54.07</v>
      </c>
      <c r="T85" s="18" t="n">
        <v>50.93</v>
      </c>
      <c r="U85" s="37" t="n">
        <v>69.20999999999999</v>
      </c>
      <c r="V85" s="18" t="n">
        <v>1.92</v>
      </c>
      <c r="W85" s="18" t="n">
        <v>39.86</v>
      </c>
      <c r="X85" s="18" t="n">
        <v>-29.01</v>
      </c>
      <c r="Y85" s="18" t="n">
        <v>56.34</v>
      </c>
      <c r="Z85" s="37" t="n">
        <v>69.11</v>
      </c>
      <c r="AA85" s="18" t="n">
        <v>2157.55</v>
      </c>
      <c r="AB85" s="19" t="n">
        <v>-293.5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G86" s="18" t="n">
        <v>82.09999999999999</v>
      </c>
      <c r="H86" s="18" t="n">
        <v>290.81</v>
      </c>
      <c r="I86" s="18" t="n">
        <v>72.81999999999999</v>
      </c>
      <c r="J86" s="18" t="n">
        <v>0</v>
      </c>
      <c r="K86" s="37" t="n">
        <v>445.73</v>
      </c>
      <c r="L86" s="18" t="n">
        <v>240.4</v>
      </c>
      <c r="M86" s="18" t="n">
        <v>86.23</v>
      </c>
      <c r="N86" s="18" t="n">
        <v>61.11</v>
      </c>
      <c r="O86" s="18" t="n">
        <v>21.51</v>
      </c>
      <c r="P86" s="37" t="n">
        <v>409.25</v>
      </c>
      <c r="Q86" s="18" t="n">
        <v>432.88</v>
      </c>
      <c r="R86" s="18" t="n">
        <v>458.24</v>
      </c>
      <c r="S86" s="18" t="n">
        <v>-281.79</v>
      </c>
      <c r="T86" s="18" t="n">
        <v>788.58</v>
      </c>
      <c r="U86" s="37" t="n">
        <v>1397.91</v>
      </c>
      <c r="V86" s="18" t="n">
        <v>260.34</v>
      </c>
      <c r="W86" s="18" t="n">
        <v>-160.96</v>
      </c>
      <c r="X86" s="18" t="n">
        <v>535.52</v>
      </c>
      <c r="Y86" s="18" t="n">
        <v>728.35</v>
      </c>
      <c r="Z86" s="37" t="n">
        <v>1363.25</v>
      </c>
      <c r="AA86" s="18" t="n">
        <v>660.6900000000001</v>
      </c>
      <c r="AB86" s="19" t="n">
        <v>1762.2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46.42</v>
      </c>
      <c r="H87" s="18" t="n">
        <v>9.19</v>
      </c>
      <c r="I87" s="18" t="n">
        <v>45.16</v>
      </c>
      <c r="J87" s="18" t="n">
        <v>-1.18</v>
      </c>
      <c r="K87" s="37" t="n">
        <v>99.59</v>
      </c>
      <c r="L87" s="18" t="n">
        <v>39.66</v>
      </c>
      <c r="M87" s="18" t="n">
        <v>-38.9</v>
      </c>
      <c r="N87" s="18" t="n">
        <v>-11.41</v>
      </c>
      <c r="O87" s="18" t="n">
        <v>-33.12</v>
      </c>
      <c r="P87" s="37" t="n">
        <v>-43.77</v>
      </c>
      <c r="Q87" s="18" t="n">
        <v>-8.49</v>
      </c>
      <c r="R87" s="18" t="n">
        <v>-17.07</v>
      </c>
      <c r="S87" s="18" t="n">
        <v>55.26</v>
      </c>
      <c r="T87" s="18" t="n">
        <v>61.19</v>
      </c>
      <c r="U87" s="37" t="n">
        <v>90.89</v>
      </c>
      <c r="V87" s="18" t="n">
        <v>0.8100000000000001</v>
      </c>
      <c r="W87" s="18" t="n">
        <v>45.71</v>
      </c>
      <c r="X87" s="18" t="n">
        <v>-60.59</v>
      </c>
      <c r="Y87" s="18" t="n">
        <v>-166.41</v>
      </c>
      <c r="Z87" s="37" t="n">
        <v>-180.48</v>
      </c>
      <c r="AA87" s="18" t="n">
        <v>-1480.87</v>
      </c>
      <c r="AB87" s="19" t="n">
        <v>-1477.3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H88" s="18" t="n">
        <v>35.23</v>
      </c>
      <c r="I88" s="18" t="n">
        <v>0</v>
      </c>
      <c r="J88" s="18" t="n">
        <v>0</v>
      </c>
      <c r="K88" s="9" t="n"/>
      <c r="L88" s="18" t="n">
        <v>5.25</v>
      </c>
      <c r="M88" s="18" t="n">
        <v>20.98</v>
      </c>
      <c r="N88" s="18" t="n">
        <v>17.14</v>
      </c>
      <c r="O88" s="18" t="n">
        <v>82</v>
      </c>
      <c r="P88" s="37" t="n">
        <v>125.37</v>
      </c>
      <c r="S88" s="18" t="n">
        <v>33.14</v>
      </c>
      <c r="T88" s="18" t="n">
        <v>-20.96</v>
      </c>
      <c r="U88" s="9" t="n"/>
      <c r="V88" s="18" t="n">
        <v>48.58</v>
      </c>
      <c r="W88" s="18" t="n">
        <v>262.33</v>
      </c>
      <c r="X88" s="18" t="n">
        <v>-121.99</v>
      </c>
      <c r="Y88" s="18" t="n">
        <v>139.67</v>
      </c>
      <c r="Z88" s="37" t="n">
        <v>328.59</v>
      </c>
      <c r="AA88" s="18" t="n">
        <v>8.140000000000001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-6645.05</v>
      </c>
      <c r="F89" s="9" t="n"/>
      <c r="G89" s="18" t="n">
        <v>-4187.12</v>
      </c>
      <c r="H89" s="18" t="n">
        <v>3626.11</v>
      </c>
      <c r="I89" s="18" t="n">
        <v>-4561.52</v>
      </c>
      <c r="J89" s="18" t="n">
        <v>7686.54</v>
      </c>
      <c r="K89" s="37" t="n">
        <v>2564.01</v>
      </c>
      <c r="L89" s="18" t="n">
        <v>-1323.36</v>
      </c>
      <c r="M89" s="18" t="n">
        <v>-980.88</v>
      </c>
      <c r="N89" s="18" t="n">
        <v>3924.14</v>
      </c>
      <c r="O89" s="18" t="n">
        <v>1793.55</v>
      </c>
      <c r="P89" s="37" t="n">
        <v>3413.45</v>
      </c>
      <c r="Q89" s="18" t="n">
        <v>2497.93</v>
      </c>
      <c r="R89" s="18" t="n">
        <v>2426.17</v>
      </c>
      <c r="S89" s="18" t="n">
        <v>7869.93</v>
      </c>
      <c r="T89" s="18" t="n">
        <v>-1881.52</v>
      </c>
      <c r="U89" s="37" t="n">
        <v>10912.51</v>
      </c>
      <c r="V89" s="18" t="n">
        <v>-49</v>
      </c>
      <c r="W89" s="18" t="n">
        <v>5706.65</v>
      </c>
      <c r="X89" s="18" t="n">
        <v>1848.18</v>
      </c>
      <c r="Y89" s="18" t="n">
        <v>-17303.59</v>
      </c>
      <c r="Z89" s="37" t="n">
        <v>-9797.76</v>
      </c>
      <c r="AA89" s="18" t="n">
        <v>2594.22</v>
      </c>
      <c r="AB89" s="19" t="n">
        <v>-3358.15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4.47</v>
      </c>
      <c r="H90" s="18" t="n">
        <v>60.91</v>
      </c>
      <c r="I90" s="18" t="n">
        <v>0</v>
      </c>
      <c r="J90" s="18" t="n">
        <v>0</v>
      </c>
      <c r="K90" s="37" t="n">
        <v>65.38</v>
      </c>
      <c r="L90" s="18" t="n">
        <v>0</v>
      </c>
      <c r="M90" s="18" t="n">
        <v>68.61</v>
      </c>
      <c r="N90" s="18" t="n">
        <v>0</v>
      </c>
      <c r="O90" s="18" t="n">
        <v>0</v>
      </c>
      <c r="P90" s="37" t="n">
        <v>68.61</v>
      </c>
      <c r="Q90" s="18" t="n">
        <v>0</v>
      </c>
      <c r="R90" s="18" t="n">
        <v>76.16</v>
      </c>
      <c r="S90" s="18" t="n">
        <v>0</v>
      </c>
      <c r="T90" s="18" t="n">
        <v>0</v>
      </c>
      <c r="U90" s="37" t="n">
        <v>76.16</v>
      </c>
      <c r="X90" s="18" t="n">
        <v>0</v>
      </c>
      <c r="Y90" s="18" t="n">
        <v>0</v>
      </c>
      <c r="Z90" s="9" t="n"/>
      <c r="AA90" s="18" t="n">
        <v>156.7</v>
      </c>
      <c r="AB90" s="19" t="n">
        <v>-48.21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-22.91</v>
      </c>
      <c r="F91" s="9" t="n"/>
      <c r="G91" s="18" t="n">
        <v>-35.72</v>
      </c>
      <c r="H91" s="18" t="n">
        <v>-43.55</v>
      </c>
      <c r="I91" s="18" t="n">
        <v>-60.84</v>
      </c>
      <c r="J91" s="18" t="n">
        <v>-31.04</v>
      </c>
      <c r="K91" s="37" t="n">
        <v>-171.15</v>
      </c>
      <c r="L91" s="18" t="n">
        <v>-39.72</v>
      </c>
      <c r="M91" s="18" t="n">
        <v>19.96</v>
      </c>
      <c r="N91" s="18" t="n">
        <v>-40.89</v>
      </c>
      <c r="O91" s="18" t="n">
        <v>-58.79</v>
      </c>
      <c r="P91" s="37" t="n">
        <v>-119.44</v>
      </c>
      <c r="Q91" s="18" t="n">
        <v>-49.16</v>
      </c>
      <c r="R91" s="18" t="n">
        <v>53.55</v>
      </c>
      <c r="S91" s="18" t="n">
        <v>-48.2</v>
      </c>
      <c r="T91" s="18" t="n">
        <v>-257.13</v>
      </c>
      <c r="U91" s="37" t="n">
        <v>-300.94</v>
      </c>
      <c r="V91" s="18" t="n">
        <v>-66.48999999999999</v>
      </c>
      <c r="W91" s="18" t="n">
        <v>-121.06</v>
      </c>
      <c r="X91" s="18" t="n">
        <v>-27.45</v>
      </c>
      <c r="Y91" s="18" t="n">
        <v>-138.14</v>
      </c>
      <c r="Z91" s="37" t="n">
        <v>-353.14</v>
      </c>
      <c r="AA91" s="18" t="n">
        <v>-620.17</v>
      </c>
      <c r="AB91" s="19" t="n">
        <v>-1535.09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5378.32</v>
      </c>
      <c r="F92" s="9" t="n"/>
      <c r="G92" s="18" t="n">
        <v>6234.19</v>
      </c>
      <c r="H92" s="18" t="n">
        <v>-1307.8</v>
      </c>
      <c r="I92" s="18" t="n">
        <v>-392.99</v>
      </c>
      <c r="J92" s="18" t="n">
        <v>-4208.17</v>
      </c>
      <c r="K92" s="37" t="n">
        <v>325.23</v>
      </c>
      <c r="L92" s="18" t="n">
        <v>-1496.27</v>
      </c>
      <c r="M92" s="18" t="n">
        <v>-689.79</v>
      </c>
      <c r="N92" s="18" t="n">
        <v>-2978.31</v>
      </c>
      <c r="O92" s="18" t="n">
        <v>-3784.56</v>
      </c>
      <c r="P92" s="37" t="n">
        <v>-8948.93</v>
      </c>
      <c r="Q92" s="18" t="n">
        <v>1578.71</v>
      </c>
      <c r="R92" s="18" t="n">
        <v>8834.889999999999</v>
      </c>
      <c r="S92" s="18" t="n">
        <v>-13565.3</v>
      </c>
      <c r="T92" s="18" t="n">
        <v>1913.79</v>
      </c>
      <c r="U92" s="37" t="n">
        <v>-1237.91</v>
      </c>
      <c r="V92" s="18" t="n">
        <v>-8906.370000000001</v>
      </c>
      <c r="W92" s="18" t="n">
        <v>6721.84</v>
      </c>
      <c r="X92" s="18" t="n">
        <v>-12305.08</v>
      </c>
      <c r="Y92" s="18" t="n">
        <v>-66259.10000000001</v>
      </c>
      <c r="Z92" s="37" t="n">
        <v>-80748.71000000001</v>
      </c>
      <c r="AA92" s="18" t="n">
        <v>-11333.34</v>
      </c>
      <c r="AB92" s="19" t="n">
        <v>-9279.08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2950.44</v>
      </c>
      <c r="F93" s="9" t="n"/>
      <c r="G93" s="18" t="n">
        <v>-548.23</v>
      </c>
      <c r="H93" s="18" t="n">
        <v>-777.72</v>
      </c>
      <c r="I93" s="18" t="n">
        <v>-54.66</v>
      </c>
      <c r="J93" s="18" t="n">
        <v>-943.5</v>
      </c>
      <c r="K93" s="37" t="n">
        <v>-2324.11</v>
      </c>
      <c r="L93" s="18" t="n">
        <v>1237.65</v>
      </c>
      <c r="M93" s="18" t="n">
        <v>-70.97</v>
      </c>
      <c r="N93" s="18" t="n">
        <v>-52.14</v>
      </c>
      <c r="O93" s="18" t="n">
        <v>-38.25</v>
      </c>
      <c r="P93" s="37" t="n">
        <v>1076.29</v>
      </c>
      <c r="Q93" s="18" t="n">
        <v>-6020.79</v>
      </c>
      <c r="R93" s="18" t="n">
        <v>-5795.75</v>
      </c>
      <c r="S93" s="18" t="n">
        <v>2487.59</v>
      </c>
      <c r="T93" s="18" t="n">
        <v>7.11</v>
      </c>
      <c r="U93" s="37" t="n">
        <v>-9321.84</v>
      </c>
      <c r="V93" s="18" t="n">
        <v>7465.85</v>
      </c>
      <c r="W93" s="18" t="n">
        <v>-8831.059999999999</v>
      </c>
      <c r="X93" s="18" t="n">
        <v>23609.27</v>
      </c>
      <c r="Y93" s="18" t="n">
        <v>90619.38</v>
      </c>
      <c r="Z93" s="37" t="n">
        <v>112863.44</v>
      </c>
      <c r="AA93" s="18" t="n">
        <v>5957.42</v>
      </c>
      <c r="AB93" s="19" t="n">
        <v>142.26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3000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1292.12</v>
      </c>
      <c r="M94" s="18" t="n">
        <v>575.88</v>
      </c>
      <c r="P94" s="9" t="n"/>
      <c r="Q94" s="18" t="n">
        <v>0</v>
      </c>
      <c r="R94" s="18" t="n">
        <v>2800.95</v>
      </c>
      <c r="S94" s="18" t="n">
        <v>2512.6</v>
      </c>
      <c r="T94" s="18" t="n">
        <v>24.45</v>
      </c>
      <c r="U94" s="37" t="n">
        <v>5338</v>
      </c>
      <c r="V94" s="18" t="n">
        <v>9000</v>
      </c>
      <c r="W94" s="18" t="n">
        <v>1500</v>
      </c>
      <c r="X94" s="18" t="n">
        <v>27843.2</v>
      </c>
      <c r="Y94" s="18" t="n">
        <v>48219.16</v>
      </c>
      <c r="Z94" s="37" t="n">
        <v>86562.36</v>
      </c>
      <c r="AA94" s="18" t="n">
        <v>58358.34</v>
      </c>
      <c r="AB94" s="19" t="n">
        <v>20501.13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V95" s="18" t="n">
        <v>1000</v>
      </c>
      <c r="W95" s="18" t="n">
        <v>1000</v>
      </c>
      <c r="X95" s="18" t="n">
        <v>0</v>
      </c>
      <c r="Y95" s="18" t="n">
        <v>30000</v>
      </c>
      <c r="Z95" s="37" t="n">
        <v>32000</v>
      </c>
      <c r="AA95" s="18" t="n">
        <v>0</v>
      </c>
      <c r="AB95" s="19" t="n">
        <v>25000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0</v>
      </c>
      <c r="F96" s="9" t="n"/>
      <c r="J96" s="18" t="n">
        <v>1221.39</v>
      </c>
      <c r="K96" s="9" t="n"/>
      <c r="O96" s="18" t="n">
        <v>0</v>
      </c>
      <c r="P96" s="9" t="n"/>
      <c r="Q96" s="18" t="n">
        <v>6000</v>
      </c>
      <c r="R96" s="18" t="n">
        <v>7367.3</v>
      </c>
      <c r="S96" s="18" t="n">
        <v>8.4</v>
      </c>
      <c r="T96" s="18" t="n">
        <v>16.3</v>
      </c>
      <c r="U96" s="37" t="n">
        <v>13392</v>
      </c>
      <c r="V96" s="18" t="n">
        <v>2000</v>
      </c>
      <c r="W96" s="18" t="n">
        <v>9500</v>
      </c>
      <c r="X96" s="18" t="n">
        <v>4216.43</v>
      </c>
      <c r="Y96" s="18" t="n">
        <v>11015.44</v>
      </c>
      <c r="Z96" s="37" t="n">
        <v>26731.87</v>
      </c>
      <c r="AA96" s="18" t="n">
        <v>52366.12</v>
      </c>
      <c r="AB96" s="19" t="n">
        <v>40893.1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0</v>
      </c>
      <c r="O97" s="18" t="n">
        <v>0</v>
      </c>
      <c r="P97" s="9" t="n"/>
      <c r="S97" s="18" t="n">
        <v>0</v>
      </c>
      <c r="T97" s="18" t="n">
        <v>0</v>
      </c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4353.32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장기차입금의감소</t>
        </is>
      </c>
      <c r="E98" s="18" t="n">
        <v>3.38</v>
      </c>
      <c r="F98" s="9" t="n"/>
      <c r="G98" s="18" t="n">
        <v>503.38</v>
      </c>
      <c r="H98" s="18" t="n">
        <v>383.46</v>
      </c>
      <c r="I98" s="18" t="n">
        <v>6.98</v>
      </c>
      <c r="K98" s="9" t="n"/>
      <c r="L98" s="18" t="n">
        <v>0</v>
      </c>
      <c r="M98" s="18" t="n">
        <v>0</v>
      </c>
      <c r="N98" s="18" t="n">
        <v>0</v>
      </c>
      <c r="O98" s="18" t="n">
        <v>0</v>
      </c>
      <c r="P98" s="37" t="n">
        <v>0</v>
      </c>
      <c r="Q98" s="18" t="n">
        <v>0</v>
      </c>
      <c r="R98" s="18" t="n">
        <v>0</v>
      </c>
      <c r="U98" s="9" t="n"/>
      <c r="Z98" s="9" t="n"/>
      <c r="AA98" s="18" t="n">
        <v>15.39</v>
      </c>
      <c r="AB98" s="19" t="n">
        <v>15.55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J99" s="18" t="n">
        <v>0</v>
      </c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1683.71</v>
      </c>
      <c r="F100" s="9" t="n"/>
      <c r="G100" s="18" t="n">
        <v>1498.84</v>
      </c>
      <c r="H100" s="18" t="n">
        <v>1540.59</v>
      </c>
      <c r="I100" s="18" t="n">
        <v>-5009.18</v>
      </c>
      <c r="J100" s="18" t="n">
        <v>2534.88</v>
      </c>
      <c r="K100" s="37" t="n">
        <v>565.13</v>
      </c>
      <c r="L100" s="18" t="n">
        <v>-1581.99</v>
      </c>
      <c r="M100" s="18" t="n">
        <v>-1741.63</v>
      </c>
      <c r="N100" s="18" t="n">
        <v>893.6799999999999</v>
      </c>
      <c r="O100" s="18" t="n">
        <v>-2029.25</v>
      </c>
      <c r="P100" s="37" t="n">
        <v>-4459.19</v>
      </c>
      <c r="Q100" s="18" t="n">
        <v>-1944.15</v>
      </c>
      <c r="R100" s="18" t="n">
        <v>5465.31</v>
      </c>
      <c r="S100" s="18" t="n">
        <v>-3207.78</v>
      </c>
      <c r="T100" s="18" t="n">
        <v>39.38</v>
      </c>
      <c r="U100" s="37" t="n">
        <v>352.76</v>
      </c>
      <c r="V100" s="18" t="n">
        <v>-1489.52</v>
      </c>
      <c r="W100" s="18" t="n">
        <v>3597.42</v>
      </c>
      <c r="X100" s="18" t="n">
        <v>13152.38</v>
      </c>
      <c r="Y100" s="18" t="n">
        <v>26652.21</v>
      </c>
      <c r="Z100" s="37" t="n">
        <v>41912.49</v>
      </c>
      <c r="AA100" s="18" t="n">
        <v>-7970.15</v>
      </c>
      <c r="AB100" s="19" t="n">
        <v>-5778.66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1653.96</v>
      </c>
      <c r="F101" s="9" t="n"/>
      <c r="G101" s="18" t="n">
        <v>9845.85</v>
      </c>
      <c r="H101" s="18" t="n">
        <v>1594.84</v>
      </c>
      <c r="I101" s="18" t="n">
        <v>-4844</v>
      </c>
      <c r="J101" s="18" t="n">
        <v>2171.43</v>
      </c>
      <c r="K101" s="37" t="n">
        <v>8768.120000000001</v>
      </c>
      <c r="L101" s="18" t="n">
        <v>7219.26</v>
      </c>
      <c r="M101" s="18" t="n">
        <v>-1805.78</v>
      </c>
      <c r="N101" s="18" t="n">
        <v>900.38</v>
      </c>
      <c r="O101" s="18" t="n">
        <v>-2006.45</v>
      </c>
      <c r="P101" s="37" t="n">
        <v>4307.41</v>
      </c>
      <c r="Q101" s="18" t="n">
        <v>6830.32</v>
      </c>
      <c r="R101" s="18" t="n">
        <v>1027.04</v>
      </c>
      <c r="S101" s="18" t="n">
        <v>-3200.96</v>
      </c>
      <c r="T101" s="18" t="n">
        <v>55.88</v>
      </c>
      <c r="U101" s="37" t="n">
        <v>4712.28</v>
      </c>
      <c r="V101" s="18" t="n">
        <v>3231.07</v>
      </c>
      <c r="W101" s="18" t="n">
        <v>3550.79</v>
      </c>
      <c r="X101" s="18" t="n">
        <v>13205</v>
      </c>
      <c r="Y101" s="18" t="n">
        <v>26675.16</v>
      </c>
      <c r="Z101" s="37" t="n">
        <v>46662.02</v>
      </c>
      <c r="AA101" s="18" t="n">
        <v>40278.7</v>
      </c>
      <c r="AB101" s="19" t="n">
        <v>-5240.67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278.77</v>
      </c>
      <c r="P102" s="9" t="n"/>
      <c r="Q102" s="18" t="n">
        <v>336.33</v>
      </c>
      <c r="R102" s="18" t="n">
        <v>258.33</v>
      </c>
      <c r="S102" s="18" t="n">
        <v>231.38</v>
      </c>
      <c r="T102" s="18" t="n">
        <v>301.04</v>
      </c>
      <c r="U102" s="37" t="n">
        <v>1127.08</v>
      </c>
      <c r="V102" s="18" t="n">
        <v>216.58</v>
      </c>
      <c r="W102" s="18" t="n">
        <v>341.04</v>
      </c>
      <c r="X102" s="18" t="n">
        <v>209.98</v>
      </c>
      <c r="Y102" s="18" t="n">
        <v>522.76</v>
      </c>
      <c r="Z102" s="37" t="n">
        <v>1290.36</v>
      </c>
      <c r="AA102" s="18" t="n">
        <v>742.96</v>
      </c>
      <c r="AB102" s="19" t="n">
        <v>688.46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A103" s="18" t="n">
        <v>0</v>
      </c>
      <c r="AB103" s="19" t="n">
        <v>399.09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F104" s="9" t="n"/>
      <c r="K104" s="9" t="n"/>
      <c r="P104" s="9" t="n"/>
      <c r="U104" s="9" t="n"/>
      <c r="V104" s="18" t="n">
        <v>1.73</v>
      </c>
      <c r="W104" s="18" t="n">
        <v>23.14</v>
      </c>
      <c r="X104" s="18" t="n">
        <v>5.64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F105" s="9" t="n"/>
      <c r="K105" s="9" t="n"/>
      <c r="P105" s="9" t="n"/>
      <c r="U105" s="9" t="n"/>
      <c r="V105" s="18" t="n">
        <v>1.73</v>
      </c>
      <c r="W105" s="18" t="n">
        <v>23.14</v>
      </c>
      <c r="X105" s="18" t="n">
        <v>5.64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차입금의감소</t>
        </is>
      </c>
      <c r="F106" s="9" t="n"/>
      <c r="K106" s="9" t="n"/>
      <c r="P106" s="9" t="n"/>
      <c r="U106" s="9" t="n"/>
      <c r="V106" s="18" t="n">
        <v>500</v>
      </c>
      <c r="W106" s="18" t="n">
        <v>0</v>
      </c>
      <c r="X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7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7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7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7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7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7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7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7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7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7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7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7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7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7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7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7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7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7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7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7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7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7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7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7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7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7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7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7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7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7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7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7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7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7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7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7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7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7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7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7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7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7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7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7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7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7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7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7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7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7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7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7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7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7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7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7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7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7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7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7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7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7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7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7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7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7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7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7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7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7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7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7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7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7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7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7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7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7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7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7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7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7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7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7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7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7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7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7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7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7" t="n">
        <v>21500</v>
      </c>
      <c r="Q27" s="18" t="n">
        <v>15500</v>
      </c>
      <c r="R27" s="18" t="n">
        <v>10000</v>
      </c>
      <c r="S27" s="18" t="n">
        <v>12500</v>
      </c>
      <c r="T27" s="18" t="n">
        <v>12500</v>
      </c>
      <c r="U27" s="37" t="n">
        <v>12500</v>
      </c>
      <c r="V27" s="18" t="n">
        <v>19500</v>
      </c>
      <c r="W27" s="18" t="n">
        <v>11500</v>
      </c>
      <c r="X27" s="18" t="n">
        <v>32500</v>
      </c>
      <c r="Y27" s="18" t="n">
        <v>47640.06</v>
      </c>
      <c r="Z27" s="37" t="n">
        <v>47640.06</v>
      </c>
      <c r="AA27" s="18" t="n">
        <v>52506.33</v>
      </c>
      <c r="AB27" s="19" t="n">
        <v>54380.26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P28" s="9" t="n"/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X28" s="18" t="n">
        <v>0</v>
      </c>
      <c r="Z28" s="9" t="n"/>
      <c r="AA28" s="18" t="n">
        <v>0</v>
      </c>
      <c r="AB28" s="19" t="n">
        <v>1000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7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7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7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7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7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7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7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7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7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7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7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7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7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7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7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7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7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7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7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7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7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7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7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7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7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7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7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7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7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7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7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7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7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7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7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7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7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7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7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7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7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7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7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7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7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7000</v>
      </c>
      <c r="Z38" s="37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7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7" t="n">
        <v>0</v>
      </c>
      <c r="M39" s="18" t="n">
        <v>609.25</v>
      </c>
      <c r="N39" s="18" t="n">
        <v>773.27</v>
      </c>
      <c r="O39" s="18" t="n">
        <v>0</v>
      </c>
      <c r="P39" s="37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7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7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7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7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7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7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7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7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7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I42" s="18" t="n">
        <v>0</v>
      </c>
      <c r="J42" s="18" t="n">
        <v>0</v>
      </c>
      <c r="K42" s="37" t="n">
        <v>0</v>
      </c>
      <c r="N42" s="18" t="n">
        <v>0</v>
      </c>
      <c r="O42" s="18" t="n">
        <v>0</v>
      </c>
      <c r="P42" s="37" t="n">
        <v>0</v>
      </c>
      <c r="T42" s="18" t="n">
        <v>0</v>
      </c>
      <c r="U42" s="37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7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7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7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7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7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7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7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7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7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7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7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7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7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7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7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7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7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7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7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7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7" t="n">
        <v>0</v>
      </c>
      <c r="G49" s="18" t="n">
        <v>0</v>
      </c>
      <c r="H49" s="18" t="n">
        <v>0</v>
      </c>
      <c r="J49" s="18" t="n">
        <v>0</v>
      </c>
      <c r="K49" s="37" t="n">
        <v>0</v>
      </c>
      <c r="M49" s="18" t="n">
        <v>0</v>
      </c>
      <c r="O49" s="18" t="n">
        <v>0</v>
      </c>
      <c r="P49" s="37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7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7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7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7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7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7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7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7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7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7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7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7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7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7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7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7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7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7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7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7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7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7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7" t="n">
        <v>22000</v>
      </c>
      <c r="Q54" s="18" t="n">
        <v>16000</v>
      </c>
      <c r="R54" s="18" t="n">
        <v>10500</v>
      </c>
      <c r="S54" s="18" t="n">
        <v>13000</v>
      </c>
      <c r="T54" s="18" t="n">
        <v>13000</v>
      </c>
      <c r="U54" s="37" t="n">
        <v>13000</v>
      </c>
      <c r="V54" s="18" t="n">
        <v>20500</v>
      </c>
      <c r="W54" s="18" t="n">
        <v>13500</v>
      </c>
      <c r="X54" s="18" t="n">
        <v>34500</v>
      </c>
      <c r="Y54" s="18" t="n">
        <v>62227.69</v>
      </c>
      <c r="Z54" s="37" t="n">
        <v>62227.69</v>
      </c>
      <c r="AA54" s="18" t="n">
        <v>67351.86</v>
      </c>
      <c r="AB54" s="19" t="n">
        <v>69486.55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7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7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7" t="n">
        <v>-931.27</v>
      </c>
      <c r="Q55" s="18" t="n">
        <v>-2349.21</v>
      </c>
      <c r="R55" s="18" t="n">
        <v>-304.05</v>
      </c>
      <c r="S55" s="18" t="n">
        <v>-8451.35</v>
      </c>
      <c r="T55" s="18" t="n">
        <v>-6033.95</v>
      </c>
      <c r="U55" s="37" t="n">
        <v>-6033.95</v>
      </c>
      <c r="V55" s="18" t="n">
        <v>-847.51</v>
      </c>
      <c r="W55" s="18" t="n">
        <v>-5886.92</v>
      </c>
      <c r="X55" s="18" t="n">
        <v>-10720.52</v>
      </c>
      <c r="Y55" s="18" t="n">
        <v>57049.03</v>
      </c>
      <c r="Z55" s="37" t="n">
        <v>57049.03</v>
      </c>
      <c r="AA55" s="18" t="n">
        <v>59590.45</v>
      </c>
      <c r="AB55" s="19" t="n">
        <v>65206.31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7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7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7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7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7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7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7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7" t="n">
        <v>0</v>
      </c>
      <c r="Y57" s="18" t="n">
        <v>0</v>
      </c>
      <c r="Z57" s="37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7" t="n">
        <v>21500</v>
      </c>
      <c r="Q58" s="18" t="n">
        <v>15500</v>
      </c>
      <c r="R58" s="18" t="n">
        <v>10000</v>
      </c>
      <c r="S58" s="18" t="n">
        <v>12500</v>
      </c>
      <c r="T58" s="18" t="n">
        <v>12500</v>
      </c>
      <c r="U58" s="37" t="n">
        <v>12500</v>
      </c>
      <c r="V58" s="18" t="n">
        <v>19500</v>
      </c>
      <c r="W58" s="18" t="n">
        <v>11500</v>
      </c>
      <c r="X58" s="18" t="n">
        <v>32500</v>
      </c>
      <c r="Y58" s="18" t="n">
        <v>47640.06</v>
      </c>
      <c r="Z58" s="37" t="n">
        <v>47640.06</v>
      </c>
      <c r="AA58" s="18" t="n">
        <v>52506.33</v>
      </c>
      <c r="AB58" s="19" t="n">
        <v>54380.26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0</v>
      </c>
      <c r="T59" s="18" t="n">
        <v>0</v>
      </c>
      <c r="U59" s="37" t="n">
        <v>0</v>
      </c>
      <c r="V59" s="18" t="n">
        <v>1000</v>
      </c>
      <c r="W59" s="18" t="n">
        <v>2000</v>
      </c>
      <c r="X59" s="18" t="n">
        <v>2000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P60" s="9" t="n"/>
      <c r="U60" s="9" t="n"/>
      <c r="Y60" s="18" t="n">
        <v>7587.63</v>
      </c>
      <c r="Z60" s="37" t="n">
        <v>7587.63</v>
      </c>
      <c r="AA60" s="18" t="n">
        <v>7845.53</v>
      </c>
      <c r="AB60" s="19" t="n">
        <v>8106.29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Y61" s="18" t="n">
        <v>2632.77</v>
      </c>
      <c r="Z61" s="37" t="n">
        <v>2632.77</v>
      </c>
      <c r="AA61" s="18" t="n">
        <v>2632.77</v>
      </c>
      <c r="AB61" s="19" t="n">
        <v>3675.42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12592.2</v>
      </c>
      <c r="F62" s="9" t="n"/>
      <c r="G62" s="18" t="n">
        <v>16351.31</v>
      </c>
      <c r="H62" s="18" t="n">
        <v>18893.8</v>
      </c>
      <c r="I62" s="18" t="n">
        <v>19806.51</v>
      </c>
      <c r="J62" s="18" t="n">
        <v>20133</v>
      </c>
      <c r="K62" s="37" t="n">
        <v>75184.62</v>
      </c>
      <c r="L62" s="18" t="n">
        <v>15853.74</v>
      </c>
      <c r="M62" s="18" t="n">
        <v>19359.46</v>
      </c>
      <c r="N62" s="18" t="n">
        <v>22667.71</v>
      </c>
      <c r="O62" s="18" t="n">
        <v>19221.79</v>
      </c>
      <c r="P62" s="37" t="n">
        <v>77102.7</v>
      </c>
      <c r="Q62" s="18" t="n">
        <v>21966.57</v>
      </c>
      <c r="R62" s="18" t="n">
        <v>28602.2</v>
      </c>
      <c r="S62" s="18" t="n">
        <v>23528.73</v>
      </c>
      <c r="T62" s="18" t="n">
        <v>23289.28</v>
      </c>
      <c r="U62" s="37" t="n">
        <v>97386.78</v>
      </c>
      <c r="V62" s="18" t="n">
        <v>19251.53</v>
      </c>
      <c r="W62" s="18" t="n">
        <v>23767.26</v>
      </c>
      <c r="X62" s="18" t="n">
        <v>23691.57</v>
      </c>
      <c r="Y62" s="18" t="n">
        <v>26246.19</v>
      </c>
      <c r="Z62" s="37" t="n">
        <v>92956.55</v>
      </c>
      <c r="AA62" s="18" t="n">
        <v>28094.81</v>
      </c>
      <c r="AB62" s="19" t="n">
        <v>21552.34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11859.21</v>
      </c>
      <c r="F63" s="9" t="n"/>
      <c r="G63" s="18" t="n">
        <v>14896.61</v>
      </c>
      <c r="H63" s="18" t="n">
        <v>18471.73</v>
      </c>
      <c r="I63" s="18" t="n">
        <v>16816.11</v>
      </c>
      <c r="J63" s="18" t="n">
        <v>16990.81</v>
      </c>
      <c r="K63" s="37" t="n">
        <v>67175.25999999999</v>
      </c>
      <c r="L63" s="18" t="n">
        <v>14071.67</v>
      </c>
      <c r="M63" s="18" t="n">
        <v>15952.25</v>
      </c>
      <c r="N63" s="18" t="n">
        <v>18380.82</v>
      </c>
      <c r="O63" s="18" t="n">
        <v>16609.85</v>
      </c>
      <c r="P63" s="37" t="n">
        <v>65014.59</v>
      </c>
      <c r="Q63" s="18" t="n">
        <v>16680.64</v>
      </c>
      <c r="R63" s="18" t="n">
        <v>23000.81</v>
      </c>
      <c r="S63" s="18" t="n">
        <v>19280.15</v>
      </c>
      <c r="T63" s="18" t="n">
        <v>18491.12</v>
      </c>
      <c r="U63" s="37" t="n">
        <v>77452.72</v>
      </c>
      <c r="V63" s="18" t="n">
        <v>15316.89</v>
      </c>
      <c r="W63" s="18" t="n">
        <v>19379.88</v>
      </c>
      <c r="X63" s="18" t="n">
        <v>18967.33</v>
      </c>
      <c r="Y63" s="18" t="n">
        <v>21752.48</v>
      </c>
      <c r="Z63" s="37" t="n">
        <v>75416.58</v>
      </c>
      <c r="AA63" s="18" t="n">
        <v>23407.98</v>
      </c>
      <c r="AB63" s="19" t="n">
        <v>17844.5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732.99</v>
      </c>
      <c r="F64" s="9" t="n"/>
      <c r="G64" s="18" t="n">
        <v>1454.7</v>
      </c>
      <c r="H64" s="18" t="n">
        <v>422.07</v>
      </c>
      <c r="I64" s="18" t="n">
        <v>2990.4</v>
      </c>
      <c r="J64" s="18" t="n">
        <v>3142.19</v>
      </c>
      <c r="K64" s="37" t="n">
        <v>8009.36</v>
      </c>
      <c r="L64" s="18" t="n">
        <v>1782.07</v>
      </c>
      <c r="M64" s="18" t="n">
        <v>3407.21</v>
      </c>
      <c r="N64" s="18" t="n">
        <v>4286.89</v>
      </c>
      <c r="O64" s="18" t="n">
        <v>2611.93</v>
      </c>
      <c r="P64" s="37" t="n">
        <v>12088.1</v>
      </c>
      <c r="Q64" s="18" t="n">
        <v>5285.93</v>
      </c>
      <c r="R64" s="18" t="n">
        <v>5601.39</v>
      </c>
      <c r="S64" s="18" t="n">
        <v>4248.58</v>
      </c>
      <c r="T64" s="18" t="n">
        <v>4798.16</v>
      </c>
      <c r="U64" s="37" t="n">
        <v>19934.06</v>
      </c>
      <c r="V64" s="18" t="n">
        <v>3934.64</v>
      </c>
      <c r="W64" s="18" t="n">
        <v>4387.38</v>
      </c>
      <c r="X64" s="18" t="n">
        <v>4724.24</v>
      </c>
      <c r="Y64" s="18" t="n">
        <v>4493.71</v>
      </c>
      <c r="Z64" s="37" t="n">
        <v>17539.97</v>
      </c>
      <c r="AA64" s="18" t="n">
        <v>4686.84</v>
      </c>
      <c r="AB64" s="19" t="n">
        <v>3707.84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1774.25</v>
      </c>
      <c r="F65" s="9" t="n"/>
      <c r="G65" s="18" t="n">
        <v>1824.95</v>
      </c>
      <c r="H65" s="18" t="n">
        <v>1663.45</v>
      </c>
      <c r="I65" s="18" t="n">
        <v>6846.78</v>
      </c>
      <c r="J65" s="18" t="n">
        <v>1893.62</v>
      </c>
      <c r="K65" s="37" t="n">
        <v>12228.8</v>
      </c>
      <c r="L65" s="18" t="n">
        <v>1717.5</v>
      </c>
      <c r="M65" s="18" t="n">
        <v>2427.28</v>
      </c>
      <c r="N65" s="18" t="n">
        <v>2195.93</v>
      </c>
      <c r="O65" s="18" t="n">
        <v>2016.14</v>
      </c>
      <c r="P65" s="37" t="n">
        <v>8356.85</v>
      </c>
      <c r="Q65" s="18" t="n">
        <v>3129.66</v>
      </c>
      <c r="R65" s="18" t="n">
        <v>4308.96</v>
      </c>
      <c r="S65" s="18" t="n">
        <v>2025.76</v>
      </c>
      <c r="T65" s="18" t="n">
        <v>1717.93</v>
      </c>
      <c r="U65" s="37" t="n">
        <v>11182.31</v>
      </c>
      <c r="V65" s="18" t="n">
        <v>2342.36</v>
      </c>
      <c r="W65" s="18" t="n">
        <v>2320.1</v>
      </c>
      <c r="X65" s="18" t="n">
        <v>2296.21</v>
      </c>
      <c r="Y65" s="18" t="n">
        <v>2882.12</v>
      </c>
      <c r="Z65" s="37" t="n">
        <v>9840.790000000001</v>
      </c>
      <c r="AA65" s="18" t="n">
        <v>2031.98</v>
      </c>
      <c r="AB65" s="19" t="n">
        <v>1890.16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-1041.26</v>
      </c>
      <c r="F66" s="9" t="n"/>
      <c r="G66" s="18" t="n">
        <v>-370.25</v>
      </c>
      <c r="H66" s="18" t="n">
        <v>-1241.38</v>
      </c>
      <c r="I66" s="18" t="n">
        <v>-3856.38</v>
      </c>
      <c r="J66" s="18" t="n">
        <v>1248.57</v>
      </c>
      <c r="K66" s="37" t="n">
        <v>-4219.44</v>
      </c>
      <c r="L66" s="18" t="n">
        <v>64.56</v>
      </c>
      <c r="M66" s="18" t="n">
        <v>979.9299999999999</v>
      </c>
      <c r="N66" s="18" t="n">
        <v>2090.97</v>
      </c>
      <c r="O66" s="18" t="n">
        <v>595.79</v>
      </c>
      <c r="P66" s="37" t="n">
        <v>3731.25</v>
      </c>
      <c r="Q66" s="18" t="n">
        <v>2156.27</v>
      </c>
      <c r="R66" s="18" t="n">
        <v>1292.43</v>
      </c>
      <c r="S66" s="18" t="n">
        <v>2222.81</v>
      </c>
      <c r="T66" s="18" t="n">
        <v>3080.22</v>
      </c>
      <c r="U66" s="37" t="n">
        <v>8751.73</v>
      </c>
      <c r="V66" s="18" t="n">
        <v>1592.28</v>
      </c>
      <c r="W66" s="18" t="n">
        <v>2067.28</v>
      </c>
      <c r="X66" s="18" t="n">
        <v>2428.02</v>
      </c>
      <c r="Y66" s="18" t="n">
        <v>1611.59</v>
      </c>
      <c r="Z66" s="37" t="n">
        <v>7699.17</v>
      </c>
      <c r="AA66" s="18" t="n">
        <v>2654.85</v>
      </c>
      <c r="AB66" s="19" t="n">
        <v>1817.68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381.27</v>
      </c>
      <c r="F67" s="9" t="n"/>
      <c r="G67" s="18" t="n">
        <v>220.68</v>
      </c>
      <c r="H67" s="18" t="n">
        <v>376.55</v>
      </c>
      <c r="I67" s="18" t="n">
        <v>146.65</v>
      </c>
      <c r="J67" s="18" t="n">
        <v>350.51</v>
      </c>
      <c r="K67" s="37" t="n">
        <v>1094.39</v>
      </c>
      <c r="L67" s="18" t="n">
        <v>219.66</v>
      </c>
      <c r="M67" s="18" t="n">
        <v>317.24</v>
      </c>
      <c r="N67" s="18" t="n">
        <v>105.14</v>
      </c>
      <c r="O67" s="18" t="n">
        <v>368.43</v>
      </c>
      <c r="P67" s="37" t="n">
        <v>1010.47</v>
      </c>
      <c r="Q67" s="18" t="n">
        <v>162.32</v>
      </c>
      <c r="R67" s="18" t="n">
        <v>446.14</v>
      </c>
      <c r="S67" s="18" t="n">
        <v>107.82</v>
      </c>
      <c r="T67" s="18" t="n">
        <v>447.81</v>
      </c>
      <c r="U67" s="37" t="n">
        <v>1164.09</v>
      </c>
      <c r="V67" s="18" t="n">
        <v>167</v>
      </c>
      <c r="W67" s="18" t="n">
        <v>428.11</v>
      </c>
      <c r="X67" s="18" t="n">
        <v>220.84</v>
      </c>
      <c r="Y67" s="18" t="n">
        <v>490.11</v>
      </c>
      <c r="Z67" s="37" t="n">
        <v>1306.06</v>
      </c>
      <c r="AA67" s="18" t="n">
        <v>501.61</v>
      </c>
      <c r="AB67" s="19" t="n">
        <v>659.0599999999999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12700.99</v>
      </c>
      <c r="F68" s="9" t="n"/>
      <c r="G68" s="18" t="n">
        <v>8.630000000000001</v>
      </c>
      <c r="H68" s="18" t="n">
        <v>8.630000000000001</v>
      </c>
      <c r="I68" s="18" t="n">
        <v>8.630000000000001</v>
      </c>
      <c r="J68" s="18" t="n">
        <v>7069.43</v>
      </c>
      <c r="K68" s="37" t="n">
        <v>7095.32</v>
      </c>
      <c r="L68" s="18" t="n">
        <v>8.640000000000001</v>
      </c>
      <c r="M68" s="18" t="n">
        <v>9.6</v>
      </c>
      <c r="N68" s="18" t="n">
        <v>8.630000000000001</v>
      </c>
      <c r="O68" s="18" t="n">
        <v>10.63</v>
      </c>
      <c r="P68" s="37" t="n">
        <v>37.5</v>
      </c>
      <c r="Q68" s="18" t="n">
        <v>58.63</v>
      </c>
      <c r="R68" s="18" t="n">
        <v>8.630000000000001</v>
      </c>
      <c r="S68" s="18" t="n">
        <v>9.18</v>
      </c>
      <c r="T68" s="18" t="n">
        <v>134.06</v>
      </c>
      <c r="U68" s="37" t="n">
        <v>210.5</v>
      </c>
      <c r="V68" s="18" t="n">
        <v>21.01</v>
      </c>
      <c r="W68" s="18" t="n">
        <v>9.529999999999999</v>
      </c>
      <c r="X68" s="18" t="n">
        <v>69.17</v>
      </c>
      <c r="Y68" s="18" t="n">
        <v>25.63</v>
      </c>
      <c r="Z68" s="37" t="n">
        <v>125.34</v>
      </c>
      <c r="AA68" s="18" t="n">
        <v>142.64</v>
      </c>
      <c r="AB68" s="19" t="n">
        <v>8.630000000000001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-460.43</v>
      </c>
      <c r="F69" s="9" t="n"/>
      <c r="G69" s="18" t="n">
        <v>470.77</v>
      </c>
      <c r="H69" s="18" t="n">
        <v>593.55</v>
      </c>
      <c r="I69" s="18" t="n">
        <v>970.8200000000001</v>
      </c>
      <c r="J69" s="18" t="n">
        <v>-139.84</v>
      </c>
      <c r="K69" s="37" t="n">
        <v>1895.3</v>
      </c>
      <c r="L69" s="18" t="n">
        <v>2135.08</v>
      </c>
      <c r="M69" s="18" t="n">
        <v>287.73</v>
      </c>
      <c r="N69" s="18" t="n">
        <v>-825.6</v>
      </c>
      <c r="O69" s="18" t="n">
        <v>581.0599999999999</v>
      </c>
      <c r="P69" s="37" t="n">
        <v>2178.27</v>
      </c>
      <c r="Q69" s="18" t="n">
        <v>373.47</v>
      </c>
      <c r="R69" s="18" t="n">
        <v>372.97</v>
      </c>
      <c r="S69" s="18" t="n">
        <v>477.13</v>
      </c>
      <c r="T69" s="18" t="n">
        <v>375.88</v>
      </c>
      <c r="U69" s="37" t="n">
        <v>1599.45</v>
      </c>
      <c r="V69" s="18" t="n">
        <v>819.7</v>
      </c>
      <c r="W69" s="18" t="n">
        <v>603.89</v>
      </c>
      <c r="X69" s="18" t="n">
        <v>358.14</v>
      </c>
      <c r="Y69" s="18" t="n">
        <v>663.1</v>
      </c>
      <c r="Z69" s="37" t="n">
        <v>2444.83</v>
      </c>
      <c r="AA69" s="18" t="n">
        <v>313.24</v>
      </c>
      <c r="AB69" s="19" t="n">
        <v>3539.2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107.23</v>
      </c>
      <c r="F70" s="9" t="n"/>
      <c r="G70" s="18" t="n">
        <v>664.9299999999999</v>
      </c>
      <c r="H70" s="18" t="n">
        <v>3079.02</v>
      </c>
      <c r="I70" s="18" t="n">
        <v>459.01</v>
      </c>
      <c r="J70" s="18" t="n">
        <v>764.4</v>
      </c>
      <c r="K70" s="37" t="n">
        <v>4967.36</v>
      </c>
      <c r="L70" s="18" t="n">
        <v>565.01</v>
      </c>
      <c r="M70" s="18" t="n">
        <v>429.29</v>
      </c>
      <c r="N70" s="18" t="n">
        <v>657.4</v>
      </c>
      <c r="O70" s="18" t="n">
        <v>417.44</v>
      </c>
      <c r="P70" s="37" t="n">
        <v>2069.14</v>
      </c>
      <c r="Q70" s="18" t="n">
        <v>1444.85</v>
      </c>
      <c r="R70" s="18" t="n">
        <v>1201.53</v>
      </c>
      <c r="S70" s="18" t="n">
        <v>40.06</v>
      </c>
      <c r="T70" s="18" t="n">
        <v>2280.94</v>
      </c>
      <c r="U70" s="37" t="n">
        <v>4967.38</v>
      </c>
      <c r="V70" s="18" t="n">
        <v>579.29</v>
      </c>
      <c r="W70" s="18" t="n">
        <v>121.91</v>
      </c>
      <c r="X70" s="18" t="n">
        <v>757.05</v>
      </c>
      <c r="Y70" s="18" t="n">
        <v>2195.51</v>
      </c>
      <c r="Z70" s="37" t="n">
        <v>3653.76</v>
      </c>
      <c r="AA70" s="18" t="n">
        <v>2144.94</v>
      </c>
      <c r="AB70" s="19" t="n">
        <v>3855.61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-13928.62</v>
      </c>
      <c r="F71" s="9" t="n"/>
      <c r="G71" s="18" t="n">
        <v>-352.36</v>
      </c>
      <c r="H71" s="18" t="n">
        <v>-3358.92</v>
      </c>
      <c r="I71" s="18" t="n">
        <v>-3206.56</v>
      </c>
      <c r="J71" s="18" t="n">
        <v>-6374.58</v>
      </c>
      <c r="K71" s="37" t="n">
        <v>-13292.42</v>
      </c>
      <c r="L71" s="18" t="n">
        <v>1845.66</v>
      </c>
      <c r="M71" s="18" t="n">
        <v>1146.01</v>
      </c>
      <c r="N71" s="18" t="n">
        <v>704.47</v>
      </c>
      <c r="O71" s="18" t="n">
        <v>1117.22</v>
      </c>
      <c r="P71" s="37" t="n">
        <v>4813.36</v>
      </c>
      <c r="Q71" s="18" t="n">
        <v>1188.59</v>
      </c>
      <c r="R71" s="18" t="n">
        <v>901.38</v>
      </c>
      <c r="S71" s="18" t="n">
        <v>2758.51</v>
      </c>
      <c r="T71" s="18" t="n">
        <v>1488.91</v>
      </c>
      <c r="U71" s="37" t="n">
        <v>6337.39</v>
      </c>
      <c r="V71" s="18" t="n">
        <v>1978.68</v>
      </c>
      <c r="W71" s="18" t="n">
        <v>2967.84</v>
      </c>
      <c r="X71" s="18" t="n">
        <v>2180.79</v>
      </c>
      <c r="Y71" s="18" t="n">
        <v>543.66</v>
      </c>
      <c r="Z71" s="37" t="n">
        <v>7670.97</v>
      </c>
      <c r="AA71" s="18" t="n">
        <v>1182.12</v>
      </c>
      <c r="AB71" s="19" t="n">
        <v>2151.7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18" t="n">
        <v>-721.72</v>
      </c>
      <c r="F72" s="9" t="n"/>
      <c r="G72" s="18" t="n">
        <v>-68.15000000000001</v>
      </c>
      <c r="H72" s="18" t="n">
        <v>-744.55</v>
      </c>
      <c r="I72" s="18" t="n">
        <v>-1208.32</v>
      </c>
      <c r="J72" s="18" t="n">
        <v>159.78</v>
      </c>
      <c r="K72" s="37" t="n">
        <v>-1861.24</v>
      </c>
      <c r="L72" s="18" t="n">
        <v>398.67</v>
      </c>
      <c r="M72" s="18" t="n">
        <v>228.87</v>
      </c>
      <c r="N72" s="18" t="n">
        <v>155.39</v>
      </c>
      <c r="O72" s="18" t="n">
        <v>-511.49</v>
      </c>
      <c r="P72" s="37" t="n">
        <v>271.44</v>
      </c>
      <c r="Q72" s="18" t="n">
        <v>248.42</v>
      </c>
      <c r="R72" s="18" t="n">
        <v>173.51</v>
      </c>
      <c r="S72" s="18" t="n">
        <v>391.26</v>
      </c>
      <c r="T72" s="18" t="n">
        <v>86.41</v>
      </c>
      <c r="U72" s="37" t="n">
        <v>899.6</v>
      </c>
      <c r="V72" s="18" t="n">
        <v>498.83</v>
      </c>
      <c r="W72" s="18" t="n">
        <v>694.04</v>
      </c>
      <c r="X72" s="18" t="n">
        <v>512.03</v>
      </c>
      <c r="Y72" s="18" t="n">
        <v>-762.78</v>
      </c>
      <c r="Z72" s="37" t="n">
        <v>942.12</v>
      </c>
      <c r="AA72" s="18" t="n">
        <v>276.16</v>
      </c>
      <c r="AB72" s="19" t="n">
        <v>441.27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-13206.9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-6534.36</v>
      </c>
      <c r="K73" s="37" t="n">
        <v>-11431.19</v>
      </c>
      <c r="L73" s="18" t="n">
        <v>1446.99</v>
      </c>
      <c r="M73" s="18" t="n">
        <v>917.13</v>
      </c>
      <c r="N73" s="18" t="n">
        <v>549.08</v>
      </c>
      <c r="O73" s="18" t="n">
        <v>1628.7</v>
      </c>
      <c r="P73" s="37" t="n">
        <v>4541.9</v>
      </c>
      <c r="Q73" s="18" t="n">
        <v>940.17</v>
      </c>
      <c r="R73" s="18" t="n">
        <v>727.87</v>
      </c>
      <c r="S73" s="18" t="n">
        <v>2367.26</v>
      </c>
      <c r="T73" s="18" t="n">
        <v>1402.5</v>
      </c>
      <c r="U73" s="37" t="n">
        <v>5437.8</v>
      </c>
      <c r="V73" s="18" t="n">
        <v>1479.86</v>
      </c>
      <c r="W73" s="18" t="n">
        <v>2273.8</v>
      </c>
      <c r="X73" s="18" t="n">
        <v>1668.76</v>
      </c>
      <c r="Y73" s="18" t="n">
        <v>1306.44</v>
      </c>
      <c r="Z73" s="37" t="n">
        <v>6728.86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-13096.04</v>
      </c>
      <c r="F74" s="9" t="n"/>
      <c r="G74" s="18" t="n">
        <v>-284.22</v>
      </c>
      <c r="H74" s="18" t="n">
        <v>-2614.37</v>
      </c>
      <c r="I74" s="18" t="n">
        <v>-1998.24</v>
      </c>
      <c r="J74" s="18" t="n">
        <v>-6449.89</v>
      </c>
      <c r="K74" s="37" t="n">
        <v>-11346.72</v>
      </c>
      <c r="L74" s="18" t="n">
        <v>1446.99</v>
      </c>
      <c r="M74" s="18" t="n">
        <v>917.13</v>
      </c>
      <c r="N74" s="18" t="n">
        <v>549.08</v>
      </c>
      <c r="O74" s="18" t="n">
        <v>1019.46</v>
      </c>
      <c r="P74" s="37" t="n">
        <v>3932.66</v>
      </c>
      <c r="Q74" s="18" t="n">
        <v>940.17</v>
      </c>
      <c r="R74" s="18" t="n">
        <v>727.87</v>
      </c>
      <c r="S74" s="18" t="n">
        <v>2367.26</v>
      </c>
      <c r="T74" s="18" t="n">
        <v>1185.84</v>
      </c>
      <c r="U74" s="37" t="n">
        <v>5221.14</v>
      </c>
      <c r="V74" s="18" t="n">
        <v>1479.86</v>
      </c>
      <c r="W74" s="18" t="n">
        <v>2273.8</v>
      </c>
      <c r="X74" s="18" t="n">
        <v>1668.76</v>
      </c>
      <c r="Y74" s="18" t="n">
        <v>1359.6</v>
      </c>
      <c r="Z74" s="37" t="n">
        <v>6782.02</v>
      </c>
      <c r="AA74" s="18" t="n">
        <v>905.96</v>
      </c>
      <c r="AB74" s="19" t="n">
        <v>1710.43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-567.66</v>
      </c>
      <c r="F75" s="9" t="n"/>
      <c r="G75" s="18" t="n">
        <v>-194.16</v>
      </c>
      <c r="H75" s="18" t="n">
        <v>-2485.47</v>
      </c>
      <c r="I75" s="18" t="n">
        <v>511.81</v>
      </c>
      <c r="J75" s="18" t="n">
        <v>-904.24</v>
      </c>
      <c r="K75" s="37" t="n">
        <v>-3072.06</v>
      </c>
      <c r="L75" s="18" t="n">
        <v>1570.07</v>
      </c>
      <c r="M75" s="18" t="n">
        <v>-141.56</v>
      </c>
      <c r="N75" s="18" t="n">
        <v>-1483</v>
      </c>
      <c r="O75" s="18" t="n">
        <v>163.62</v>
      </c>
      <c r="P75" s="37" t="n">
        <v>109.13</v>
      </c>
      <c r="Q75" s="18" t="n">
        <v>-1071.38</v>
      </c>
      <c r="R75" s="18" t="n">
        <v>-828.5599999999999</v>
      </c>
      <c r="S75" s="18" t="n">
        <v>437.07</v>
      </c>
      <c r="T75" s="18" t="n">
        <v>-1905.06</v>
      </c>
      <c r="U75" s="37" t="n">
        <v>-3367.93</v>
      </c>
      <c r="V75" s="18" t="n">
        <v>240.41</v>
      </c>
      <c r="W75" s="18" t="n">
        <v>481.98</v>
      </c>
      <c r="X75" s="18" t="n">
        <v>-398.91</v>
      </c>
      <c r="Y75" s="18" t="n">
        <v>-1532.41</v>
      </c>
      <c r="Z75" s="37" t="n">
        <v>-1208.93</v>
      </c>
      <c r="AA75" s="18" t="n">
        <v>-1831.7</v>
      </c>
      <c r="AB75" s="19" t="n">
        <v>-316.41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-12319.72</v>
      </c>
      <c r="F76" s="9" t="n"/>
      <c r="G76" s="18" t="n">
        <v>212.05</v>
      </c>
      <c r="H76" s="18" t="n">
        <v>367.92</v>
      </c>
      <c r="I76" s="18" t="n">
        <v>138.02</v>
      </c>
      <c r="J76" s="18" t="n">
        <v>-6718.92</v>
      </c>
      <c r="K76" s="37" t="n">
        <v>-6000.93</v>
      </c>
      <c r="L76" s="18" t="n">
        <v>211.02</v>
      </c>
      <c r="M76" s="18" t="n">
        <v>307.64</v>
      </c>
      <c r="N76" s="18" t="n">
        <v>96.51000000000001</v>
      </c>
      <c r="O76" s="18" t="n">
        <v>357.8</v>
      </c>
      <c r="P76" s="37" t="n">
        <v>972.97</v>
      </c>
      <c r="Q76" s="18" t="n">
        <v>103.69</v>
      </c>
      <c r="R76" s="18" t="n">
        <v>437.51</v>
      </c>
      <c r="S76" s="18" t="n">
        <v>98.64</v>
      </c>
      <c r="T76" s="18" t="n">
        <v>313.75</v>
      </c>
      <c r="U76" s="37" t="n">
        <v>953.59</v>
      </c>
      <c r="V76" s="18" t="n">
        <v>145.99</v>
      </c>
      <c r="W76" s="18" t="n">
        <v>418.58</v>
      </c>
      <c r="X76" s="18" t="n">
        <v>151.67</v>
      </c>
      <c r="Y76" s="18" t="n">
        <v>464.48</v>
      </c>
      <c r="Z76" s="37" t="n">
        <v>1180.72</v>
      </c>
      <c r="AA76" s="18" t="n">
        <v>358.97</v>
      </c>
      <c r="AB76" s="19" t="n">
        <v>650.4299999999999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7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7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7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7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-13206.9</v>
      </c>
      <c r="F78" s="9" t="n"/>
      <c r="G78" s="18" t="n">
        <v>-284.22</v>
      </c>
      <c r="H78" s="18" t="n">
        <v>-2614.37</v>
      </c>
      <c r="I78" s="18" t="n">
        <v>-1998.24</v>
      </c>
      <c r="J78" s="18" t="n">
        <v>-6534.36</v>
      </c>
      <c r="K78" s="37" t="n">
        <v>-11431.19</v>
      </c>
      <c r="L78" s="18" t="n">
        <v>1446.99</v>
      </c>
      <c r="M78" s="18" t="n">
        <v>917.13</v>
      </c>
      <c r="N78" s="18" t="n">
        <v>549.08</v>
      </c>
      <c r="O78" s="18" t="n">
        <v>1628.7</v>
      </c>
      <c r="P78" s="37" t="n">
        <v>4541.9</v>
      </c>
      <c r="Q78" s="18" t="n">
        <v>940.17</v>
      </c>
      <c r="R78" s="18" t="n">
        <v>727.87</v>
      </c>
      <c r="S78" s="18" t="n">
        <v>2367.26</v>
      </c>
      <c r="T78" s="18" t="n">
        <v>1402.5</v>
      </c>
      <c r="U78" s="37" t="n">
        <v>5437.8</v>
      </c>
      <c r="V78" s="18" t="n">
        <v>1479.86</v>
      </c>
      <c r="W78" s="18" t="n">
        <v>2273.8</v>
      </c>
      <c r="X78" s="18" t="n">
        <v>1668.76</v>
      </c>
      <c r="Y78" s="18" t="n">
        <v>1306.44</v>
      </c>
      <c r="Z78" s="37" t="n">
        <v>6728.86</v>
      </c>
      <c r="AA78" s="18" t="n">
        <v>905.96</v>
      </c>
      <c r="AB78" s="19" t="n">
        <v>1710.43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-5372.17</v>
      </c>
      <c r="F79" s="9" t="n"/>
      <c r="G79" s="18" t="n">
        <v>-3214.28</v>
      </c>
      <c r="H79" s="18" t="n">
        <v>1860.61</v>
      </c>
      <c r="I79" s="18" t="n">
        <v>-3781.39</v>
      </c>
      <c r="J79" s="18" t="n">
        <v>6683.43</v>
      </c>
      <c r="K79" s="37" t="n">
        <v>1548.37</v>
      </c>
      <c r="L79" s="18" t="n">
        <v>-290.79</v>
      </c>
      <c r="M79" s="18" t="n">
        <v>-683.28</v>
      </c>
      <c r="N79" s="18" t="n">
        <v>4372.72</v>
      </c>
      <c r="O79" s="18" t="n">
        <v>1608.28</v>
      </c>
      <c r="P79" s="37" t="n">
        <v>5006.93</v>
      </c>
      <c r="Q79" s="18" t="n">
        <v>2823.76</v>
      </c>
      <c r="R79" s="18" t="n">
        <v>1172.32</v>
      </c>
      <c r="S79" s="18" t="n">
        <v>7945.6</v>
      </c>
      <c r="T79" s="18" t="n">
        <v>-276.39</v>
      </c>
      <c r="U79" s="37" t="n">
        <v>11665.29</v>
      </c>
      <c r="V79" s="18" t="n">
        <v>-281.29</v>
      </c>
      <c r="W79" s="18" t="n">
        <v>5539.77</v>
      </c>
      <c r="X79" s="18" t="n">
        <v>4463.57</v>
      </c>
      <c r="Y79" s="18" t="n">
        <v>-552.3</v>
      </c>
      <c r="Z79" s="37" t="n">
        <v>9169.75</v>
      </c>
      <c r="AA79" s="18" t="n">
        <v>-3004.92</v>
      </c>
      <c r="AB79" s="19" t="n">
        <v>-634.33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L80" s="18" t="n">
        <v>0</v>
      </c>
      <c r="M80" s="18" t="n">
        <v>68.61</v>
      </c>
      <c r="N80" s="18" t="n">
        <v>0</v>
      </c>
      <c r="O80" s="18" t="n">
        <v>0</v>
      </c>
      <c r="P80" s="37" t="n">
        <v>68.61</v>
      </c>
      <c r="Q80" s="18" t="n">
        <v>0</v>
      </c>
      <c r="R80" s="18" t="n">
        <v>76.16</v>
      </c>
      <c r="S80" s="18" t="n">
        <v>0</v>
      </c>
      <c r="T80" s="18" t="n">
        <v>0</v>
      </c>
      <c r="U80" s="37" t="n">
        <v>76.16</v>
      </c>
      <c r="V80" s="18" t="n">
        <v>0</v>
      </c>
      <c r="W80" s="18" t="n">
        <v>89.83</v>
      </c>
      <c r="X80" s="18" t="n">
        <v>0</v>
      </c>
      <c r="Y80" s="18" t="n">
        <v>0</v>
      </c>
      <c r="Z80" s="37" t="n">
        <v>89.83</v>
      </c>
      <c r="AA80" s="18" t="n">
        <v>0</v>
      </c>
      <c r="AB80" s="19" t="n">
        <v>119.72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-22.91</v>
      </c>
      <c r="F81" s="9" t="n"/>
      <c r="G81" s="18" t="n">
        <v>-35.72</v>
      </c>
      <c r="H81" s="18" t="n">
        <v>-43.55</v>
      </c>
      <c r="I81" s="18" t="n">
        <v>-60.84</v>
      </c>
      <c r="J81" s="18" t="n">
        <v>-31.04</v>
      </c>
      <c r="K81" s="37" t="n">
        <v>-171.15</v>
      </c>
      <c r="L81" s="18" t="n">
        <v>-39.72</v>
      </c>
      <c r="M81" s="18" t="n">
        <v>19.96</v>
      </c>
      <c r="N81" s="18" t="n">
        <v>-40.89</v>
      </c>
      <c r="O81" s="18" t="n">
        <v>-58.79</v>
      </c>
      <c r="P81" s="37" t="n">
        <v>-119.44</v>
      </c>
      <c r="Q81" s="18" t="n">
        <v>-49.16</v>
      </c>
      <c r="R81" s="18" t="n">
        <v>53.55</v>
      </c>
      <c r="S81" s="18" t="n">
        <v>-48</v>
      </c>
      <c r="T81" s="18" t="n">
        <v>-256.9</v>
      </c>
      <c r="U81" s="37" t="n">
        <v>-300.51</v>
      </c>
      <c r="V81" s="18" t="n">
        <v>-64.28</v>
      </c>
      <c r="W81" s="18" t="n">
        <v>-120.83</v>
      </c>
      <c r="X81" s="18" t="n">
        <v>-27.46</v>
      </c>
      <c r="Y81" s="18" t="n">
        <v>-128.19</v>
      </c>
      <c r="Z81" s="37" t="n">
        <v>-340.76</v>
      </c>
      <c r="AA81" s="18" t="n">
        <v>-12.99</v>
      </c>
      <c r="AB81" s="19" t="n">
        <v>-1240.01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3187.06</v>
      </c>
      <c r="F82" s="9" t="n"/>
      <c r="G82" s="18" t="n">
        <v>4465.42</v>
      </c>
      <c r="H82" s="18" t="n">
        <v>-1064.19</v>
      </c>
      <c r="I82" s="18" t="n">
        <v>1113.84</v>
      </c>
      <c r="J82" s="18" t="n">
        <v>-5903.58</v>
      </c>
      <c r="K82" s="37" t="n">
        <v>-1388.51</v>
      </c>
      <c r="L82" s="18" t="n">
        <v>1355.83</v>
      </c>
      <c r="M82" s="18" t="n">
        <v>-652.49</v>
      </c>
      <c r="N82" s="18" t="n">
        <v>-2899.39</v>
      </c>
      <c r="O82" s="18" t="n">
        <v>-3669.06</v>
      </c>
      <c r="P82" s="37" t="n">
        <v>-5865.11</v>
      </c>
      <c r="Q82" s="18" t="n">
        <v>1671.85</v>
      </c>
      <c r="R82" s="18" t="n">
        <v>9021.299999999999</v>
      </c>
      <c r="S82" s="18" t="n">
        <v>-13692.68</v>
      </c>
      <c r="T82" s="18" t="n">
        <v>2194.25</v>
      </c>
      <c r="U82" s="37" t="n">
        <v>-805.28</v>
      </c>
      <c r="V82" s="18" t="n">
        <v>-8861.43</v>
      </c>
      <c r="W82" s="18" t="n">
        <v>6453.07</v>
      </c>
      <c r="X82" s="18" t="n">
        <v>-12205.55</v>
      </c>
      <c r="Y82" s="18" t="n">
        <v>-62600.25</v>
      </c>
      <c r="Z82" s="37" t="n">
        <v>-77214.16</v>
      </c>
      <c r="AA82" s="18" t="n">
        <v>138.14</v>
      </c>
      <c r="AB82" s="19" t="n">
        <v>-695.16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2982.4</v>
      </c>
      <c r="F83" s="9" t="n"/>
      <c r="G83" s="18" t="n">
        <v>-516.65</v>
      </c>
      <c r="H83" s="18" t="n">
        <v>-365.79</v>
      </c>
      <c r="I83" s="18" t="n">
        <v>-16.74</v>
      </c>
      <c r="J83" s="18" t="n">
        <v>-56.01</v>
      </c>
      <c r="K83" s="37" t="n">
        <v>-955.1900000000001</v>
      </c>
      <c r="L83" s="18" t="n">
        <v>-16.19</v>
      </c>
      <c r="M83" s="18" t="n">
        <v>-622.76</v>
      </c>
      <c r="N83" s="18" t="n">
        <v>-16.32</v>
      </c>
      <c r="O83" s="18" t="n">
        <v>-16.39</v>
      </c>
      <c r="P83" s="37" t="n">
        <v>-671.66</v>
      </c>
      <c r="Q83" s="18" t="n">
        <v>-6014.37</v>
      </c>
      <c r="R83" s="18" t="n">
        <v>-6722.73</v>
      </c>
      <c r="S83" s="18" t="n">
        <v>2490.16</v>
      </c>
      <c r="T83" s="18" t="n">
        <v>-9.94</v>
      </c>
      <c r="U83" s="37" t="n">
        <v>-10256.88</v>
      </c>
      <c r="V83" s="18" t="n">
        <v>7489.96</v>
      </c>
      <c r="W83" s="18" t="n">
        <v>-8829.65</v>
      </c>
      <c r="X83" s="18" t="n">
        <v>20989.74</v>
      </c>
      <c r="Y83" s="18" t="n">
        <v>46566.12</v>
      </c>
      <c r="Z83" s="37" t="n">
        <v>66216.17</v>
      </c>
      <c r="AA83" s="18" t="n">
        <v>4856.04</v>
      </c>
      <c r="AB83" s="19" t="n">
        <v>-290.86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3000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P84" s="9" t="n"/>
      <c r="Q84" s="18" t="n">
        <v>0</v>
      </c>
      <c r="R84" s="18" t="n">
        <v>0</v>
      </c>
      <c r="S84" s="18" t="n">
        <v>2500</v>
      </c>
      <c r="T84" s="18" t="n">
        <v>0</v>
      </c>
      <c r="U84" s="37" t="n">
        <v>2500</v>
      </c>
      <c r="V84" s="18" t="n">
        <v>9000</v>
      </c>
      <c r="W84" s="18" t="n">
        <v>1500</v>
      </c>
      <c r="X84" s="18" t="n">
        <v>21000</v>
      </c>
      <c r="Y84" s="18" t="n">
        <v>23140.06</v>
      </c>
      <c r="Z84" s="37" t="n">
        <v>54640.06</v>
      </c>
      <c r="AA84" s="18" t="n">
        <v>16796.96</v>
      </c>
      <c r="AB84" s="19" t="n">
        <v>17789.68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1000</v>
      </c>
      <c r="W85" s="18" t="n">
        <v>1000</v>
      </c>
      <c r="X85" s="18" t="n">
        <v>0</v>
      </c>
      <c r="Y85" s="18" t="n">
        <v>5000</v>
      </c>
      <c r="Z85" s="37" t="n">
        <v>7000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K86" s="9" t="n"/>
      <c r="P86" s="9" t="n"/>
      <c r="Q86" s="18" t="n">
        <v>6000</v>
      </c>
      <c r="R86" s="18" t="n">
        <v>5500</v>
      </c>
      <c r="S86" s="18" t="n">
        <v>0</v>
      </c>
      <c r="T86" s="18" t="n">
        <v>0</v>
      </c>
      <c r="U86" s="37" t="n">
        <v>11500</v>
      </c>
      <c r="V86" s="18" t="n">
        <v>2000</v>
      </c>
      <c r="W86" s="18" t="n">
        <v>9500</v>
      </c>
      <c r="X86" s="18" t="n">
        <v>0</v>
      </c>
      <c r="Y86" s="18" t="n">
        <v>8000</v>
      </c>
      <c r="Z86" s="37" t="n">
        <v>19500</v>
      </c>
      <c r="AA86" s="18" t="n">
        <v>11930.68</v>
      </c>
      <c r="AB86" s="19" t="n">
        <v>15915.76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E87" s="18" t="n">
        <v>3.38</v>
      </c>
      <c r="F87" s="9" t="n"/>
      <c r="G87" s="18" t="n">
        <v>503.38</v>
      </c>
      <c r="H87" s="18" t="n">
        <v>3.38</v>
      </c>
      <c r="I87" s="18" t="n">
        <v>3.38</v>
      </c>
      <c r="J87" s="18" t="n">
        <v>40.56</v>
      </c>
      <c r="K87" s="37" t="n">
        <v>550.7</v>
      </c>
      <c r="L87" s="18" t="n">
        <v>0</v>
      </c>
      <c r="M87" s="18" t="n">
        <v>0</v>
      </c>
      <c r="N87" s="18" t="n">
        <v>0</v>
      </c>
      <c r="O87" s="18" t="n">
        <v>0</v>
      </c>
      <c r="P87" s="37" t="n">
        <v>0</v>
      </c>
      <c r="Q87" s="18" t="n">
        <v>0</v>
      </c>
      <c r="R87" s="18" t="n">
        <v>0</v>
      </c>
      <c r="U87" s="9" t="n"/>
      <c r="Z87" s="9" t="n"/>
      <c r="AA87" s="18" t="n">
        <v>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A88" s="18" t="n">
        <v>0</v>
      </c>
      <c r="AB88" s="19" t="n">
        <v>2145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797.3</v>
      </c>
      <c r="F90" s="9" t="n"/>
      <c r="G90" s="18" t="n">
        <v>734.49</v>
      </c>
      <c r="H90" s="18" t="n">
        <v>430.63</v>
      </c>
      <c r="I90" s="18" t="n">
        <v>-2684.29</v>
      </c>
      <c r="J90" s="18" t="n">
        <v>723.84</v>
      </c>
      <c r="K90" s="37" t="n">
        <v>-795.33</v>
      </c>
      <c r="L90" s="18" t="n">
        <v>1048.85</v>
      </c>
      <c r="M90" s="18" t="n">
        <v>-1958.53</v>
      </c>
      <c r="N90" s="18" t="n">
        <v>1457.01</v>
      </c>
      <c r="O90" s="18" t="n">
        <v>-2077.16</v>
      </c>
      <c r="P90" s="37" t="n">
        <v>-1529.83</v>
      </c>
      <c r="Q90" s="18" t="n">
        <v>-1518.76</v>
      </c>
      <c r="R90" s="18" t="n">
        <v>3470.88</v>
      </c>
      <c r="S90" s="18" t="n">
        <v>-3256.91</v>
      </c>
      <c r="T90" s="18" t="n">
        <v>1907.92</v>
      </c>
      <c r="U90" s="37" t="n">
        <v>603.13</v>
      </c>
      <c r="V90" s="18" t="n">
        <v>-1652.76</v>
      </c>
      <c r="W90" s="18" t="n">
        <v>3163.19</v>
      </c>
      <c r="X90" s="18" t="n">
        <v>13247.76</v>
      </c>
      <c r="Y90" s="18" t="n">
        <v>-16586.43</v>
      </c>
      <c r="Z90" s="37" t="n">
        <v>-1828.24</v>
      </c>
      <c r="AA90" s="18" t="n">
        <v>1989.25</v>
      </c>
      <c r="AB90" s="19" t="n">
        <v>-1620.35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711.26</v>
      </c>
      <c r="F91" s="9" t="n"/>
      <c r="G91" s="18" t="n">
        <v>6718.53</v>
      </c>
      <c r="H91" s="18" t="n">
        <v>430.46</v>
      </c>
      <c r="I91" s="18" t="n">
        <v>-2560.45</v>
      </c>
      <c r="J91" s="18" t="n">
        <v>634.91</v>
      </c>
      <c r="K91" s="37" t="n">
        <v>5223.45</v>
      </c>
      <c r="L91" s="18" t="n">
        <v>6270.1</v>
      </c>
      <c r="M91" s="18" t="n">
        <v>-1978.01</v>
      </c>
      <c r="N91" s="18" t="n">
        <v>1444.84</v>
      </c>
      <c r="O91" s="18" t="n">
        <v>-2046.03</v>
      </c>
      <c r="P91" s="37" t="n">
        <v>3690.9</v>
      </c>
      <c r="Q91" s="18" t="n">
        <v>2165.35</v>
      </c>
      <c r="R91" s="18" t="n">
        <v>3451.97</v>
      </c>
      <c r="S91" s="18" t="n">
        <v>-3231.36</v>
      </c>
      <c r="T91" s="18" t="n">
        <v>1910.83</v>
      </c>
      <c r="U91" s="37" t="n">
        <v>4296.79</v>
      </c>
      <c r="V91" s="18" t="n">
        <v>2646.74</v>
      </c>
      <c r="W91" s="18" t="n">
        <v>3157.74</v>
      </c>
      <c r="X91" s="18" t="n">
        <v>13260.41</v>
      </c>
      <c r="Y91" s="18" t="n">
        <v>-16599.01</v>
      </c>
      <c r="Z91" s="37" t="n">
        <v>2465.88</v>
      </c>
      <c r="AA91" s="18" t="n">
        <v>4469.18</v>
      </c>
      <c r="AB91" s="19" t="n">
        <v>-1634.27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271.34</v>
      </c>
      <c r="P92" s="9" t="n"/>
      <c r="Q92" s="18" t="n">
        <v>335.78</v>
      </c>
      <c r="R92" s="18" t="n">
        <v>254.83</v>
      </c>
      <c r="S92" s="18" t="n">
        <v>228.65</v>
      </c>
      <c r="T92" s="18" t="n">
        <v>292.36</v>
      </c>
      <c r="U92" s="37" t="n">
        <v>1111.62</v>
      </c>
      <c r="V92" s="18" t="n">
        <v>215.73</v>
      </c>
      <c r="W92" s="18" t="n">
        <v>334.68</v>
      </c>
      <c r="X92" s="18" t="n">
        <v>208.93</v>
      </c>
      <c r="Y92" s="18" t="n">
        <v>455.15</v>
      </c>
      <c r="Z92" s="37" t="n">
        <v>1214.49</v>
      </c>
      <c r="AA92" s="18" t="n">
        <v>99.37</v>
      </c>
      <c r="AB92" s="19" t="n">
        <v>94.33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F93" s="9" t="n"/>
      <c r="K93" s="9" t="n"/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A93" s="18" t="n">
        <v>0</v>
      </c>
      <c r="AB93" s="19" t="n">
        <v>237.27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F95" s="9" t="n"/>
      <c r="K95" s="9" t="n"/>
      <c r="P95" s="9" t="n"/>
      <c r="U95" s="9" t="n"/>
      <c r="V95" s="18" t="n">
        <v>1.73</v>
      </c>
      <c r="W95" s="18" t="n">
        <v>23.14</v>
      </c>
      <c r="X95" s="18" t="n">
        <v>5.64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차입금의감소</t>
        </is>
      </c>
      <c r="F96" s="9" t="n"/>
      <c r="K96" s="9" t="n"/>
      <c r="P96" s="9" t="n"/>
      <c r="U96" s="9" t="n"/>
      <c r="V96" s="18" t="n">
        <v>500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 t="n"/>
      <c r="Z29" s="37">
        <f>SUM(V29:Y29)</f>
        <v/>
      </c>
      <c r="AA29" s="18" t="n"/>
      <c r="AB29" s="19" t="n"/>
      <c r="AC29" s="20">
        <f>IFERROR(X29*(1+변수!AC37),"")</f>
        <v/>
      </c>
      <c r="AD29" s="20">
        <f>IFERROR(AC29*(1+변수!AD37),"")</f>
        <v/>
      </c>
      <c r="AE29" s="38">
        <f>SUM(AA29:AD29)</f>
        <v/>
      </c>
      <c r="AF29" s="20">
        <f>IFERROR(AD29*(1+변수!AF37),"")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12.13</v>
      </c>
      <c r="F31" s="28">
        <f>E31</f>
        <v/>
      </c>
      <c r="G31" s="27" t="n">
        <v>12.13</v>
      </c>
      <c r="H31" s="27" t="n">
        <v>12.13</v>
      </c>
      <c r="I31" s="27" t="n">
        <v>12.13</v>
      </c>
      <c r="J31" s="27" t="n">
        <v>12.13</v>
      </c>
      <c r="K31" s="28">
        <f>J31</f>
        <v/>
      </c>
      <c r="L31" s="27" t="n">
        <v>12.13</v>
      </c>
      <c r="M31" s="27" t="n">
        <v>12.13</v>
      </c>
      <c r="N31" s="27" t="n">
        <v>12.13</v>
      </c>
      <c r="O31" s="27" t="n">
        <v>12.13</v>
      </c>
      <c r="P31" s="28">
        <f>O31</f>
        <v/>
      </c>
      <c r="Q31" s="27" t="n">
        <v>12.13</v>
      </c>
      <c r="R31" s="27" t="n">
        <v>12.13</v>
      </c>
      <c r="S31" s="27" t="n">
        <v>12.13</v>
      </c>
      <c r="T31" s="27" t="n">
        <v>12.13</v>
      </c>
      <c r="U31" s="28">
        <f>T31</f>
        <v/>
      </c>
      <c r="V31" s="27" t="n">
        <v>12.13</v>
      </c>
      <c r="W31" s="27" t="n">
        <v>12.13</v>
      </c>
      <c r="X31" s="27" t="n">
        <v>12.13</v>
      </c>
      <c r="Y31" s="27" t="n">
        <v>13</v>
      </c>
      <c r="Z31" s="28">
        <f>Y31</f>
        <v/>
      </c>
      <c r="AA31" s="27" t="n">
        <v>13</v>
      </c>
      <c r="AB31" s="29" t="n">
        <v>13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</v>
      </c>
      <c r="F34" s="37" t="n">
        <v>70</v>
      </c>
      <c r="G34" s="18" t="n"/>
      <c r="H34" s="18" t="n"/>
      <c r="I34" s="18" t="n"/>
      <c r="J34" s="18" t="n">
        <v>50</v>
      </c>
      <c r="K34" s="37">
        <f>SUM(G34:J34)</f>
        <v/>
      </c>
      <c r="L34" s="18" t="n"/>
      <c r="M34" s="18" t="n"/>
      <c r="N34" s="18" t="n"/>
      <c r="O34" s="18" t="n">
        <v>100</v>
      </c>
      <c r="P34" s="37">
        <f>SUM(L34:O34)</f>
        <v/>
      </c>
      <c r="Q34" s="18" t="n"/>
      <c r="R34" s="18" t="n"/>
      <c r="S34" s="18" t="n"/>
      <c r="T34" s="18" t="n">
        <v>150</v>
      </c>
      <c r="U34" s="37">
        <f>SUM(Q34:T34)</f>
        <v/>
      </c>
      <c r="V34" s="18" t="n"/>
      <c r="W34" s="18" t="n"/>
      <c r="X34" s="18" t="n"/>
      <c r="Y34" s="18" t="n">
        <v>165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165.6</v>
      </c>
      <c r="F37" s="37" t="n"/>
      <c r="G37" s="18" t="n">
        <v>203.17</v>
      </c>
      <c r="H37" s="18" t="n">
        <v>227.98</v>
      </c>
      <c r="I37" s="18" t="n">
        <v>238.3</v>
      </c>
      <c r="J37" s="18" t="n">
        <v>237.32</v>
      </c>
      <c r="K37" s="37">
        <f>SUM(G37:J37)</f>
        <v/>
      </c>
      <c r="L37" s="18" t="n">
        <v>209.85</v>
      </c>
      <c r="M37" s="18" t="n">
        <v>234.89</v>
      </c>
      <c r="N37" s="18" t="n">
        <v>263.8</v>
      </c>
      <c r="O37" s="18" t="n">
        <v>248.96</v>
      </c>
      <c r="P37" s="37">
        <f>SUM(L37:O37)</f>
        <v/>
      </c>
      <c r="Q37" s="18" t="n">
        <v>265.21</v>
      </c>
      <c r="R37" s="18" t="n">
        <v>340.58</v>
      </c>
      <c r="S37" s="18" t="n">
        <v>285.81</v>
      </c>
      <c r="T37" s="18" t="n">
        <v>288.61</v>
      </c>
      <c r="U37" s="37">
        <f>SUM(Q37:T37)</f>
        <v/>
      </c>
      <c r="V37" s="18" t="n">
        <v>263.41</v>
      </c>
      <c r="W37" s="18" t="n">
        <v>296.32</v>
      </c>
      <c r="X37" s="18" t="n">
        <v>294.69</v>
      </c>
      <c r="Y37" s="18" t="n">
        <v>330.21</v>
      </c>
      <c r="Z37" s="37">
        <f>SUM(V37:Y37)</f>
        <v/>
      </c>
      <c r="AA37" s="18" t="n">
        <v>1309.1</v>
      </c>
      <c r="AB37" s="19" t="n">
        <v>1313.93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-6.89</v>
      </c>
      <c r="F38" s="37" t="n"/>
      <c r="G38" s="18" t="n">
        <v>1.83</v>
      </c>
      <c r="H38" s="18" t="n">
        <v>-13.12</v>
      </c>
      <c r="I38" s="18" t="n">
        <v>-32.87</v>
      </c>
      <c r="J38" s="18" t="n">
        <v>12.35</v>
      </c>
      <c r="K38" s="37">
        <f>SUM(G38:J38)</f>
        <v/>
      </c>
      <c r="L38" s="18" t="n">
        <v>7.84</v>
      </c>
      <c r="M38" s="18" t="n">
        <v>14.07</v>
      </c>
      <c r="N38" s="18" t="n">
        <v>27.23</v>
      </c>
      <c r="O38" s="18" t="n">
        <v>10.79</v>
      </c>
      <c r="P38" s="37">
        <f>SUM(L38:O38)</f>
        <v/>
      </c>
      <c r="Q38" s="18" t="n">
        <v>26.96</v>
      </c>
      <c r="R38" s="18" t="n">
        <v>14.28</v>
      </c>
      <c r="S38" s="18" t="n">
        <v>27.5</v>
      </c>
      <c r="T38" s="18" t="n">
        <v>34.23</v>
      </c>
      <c r="U38" s="37">
        <f>SUM(Q38:T38)</f>
        <v/>
      </c>
      <c r="V38" s="18" t="n">
        <v>28.68</v>
      </c>
      <c r="W38" s="18" t="n">
        <v>24.38</v>
      </c>
      <c r="X38" s="18" t="n">
        <v>34.11</v>
      </c>
      <c r="Y38" s="18" t="n">
        <v>15.02</v>
      </c>
      <c r="Z38" s="37">
        <f>SUM(V38:Y38)</f>
        <v/>
      </c>
      <c r="AA38" s="18" t="n">
        <v>56.09</v>
      </c>
      <c r="AB38" s="19" t="n">
        <v>31.76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1665.3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3.64</v>
      </c>
    </row>
    <row r="32">
      <c r="C32" s="2" t="inlineStr">
        <is>
          <t>pbr_now</t>
        </is>
      </c>
      <c r="D32" t="n">
        <v>0.83</v>
      </c>
    </row>
    <row r="33">
      <c r="C33" s="2" t="inlineStr">
        <is>
          <t>roe_fwd</t>
        </is>
      </c>
      <c r="D33" t="n">
        <v>0.2294</v>
      </c>
    </row>
    <row r="34">
      <c r="C34" s="2" t="inlineStr">
        <is>
          <t>fair_pbr</t>
        </is>
      </c>
      <c r="D34" t="n">
        <v>2.55</v>
      </c>
    </row>
    <row r="35">
      <c r="C35" s="2" t="inlineStr">
        <is>
          <t>fair_value_pbr</t>
        </is>
      </c>
      <c r="D35" t="n">
        <v>18500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