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BS연결!$C$5:$AO$106</definedName>
    <definedName name="BS별도H">BS별도!$C$1:$AO$1</definedName>
    <definedName name="BS별도">BS별도!$C$5:$AO$96</definedName>
    <definedName name="SUBQH">subQ!$A$1:$AO$1</definedName>
    <definedName name="subQ">subQ!$A$5:$AO$42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 매출 가중지수(t−1) 63322억 × 비례계수 0.0137(원점회귀; 격자 lag0~4×창8/12/19×수준·YoY·4Q합 중 최대 r=0.93, n=8, 창 8)</t>
      </text>
    </comment>
    <comment ref="AD21" authorId="0" shapeId="0">
      <text>
        <t>모델값 역산(implied): v / 전년동기 − 1
고객 매출 가중지수(t−1) 65950억 × 비례계수 0.0137(원점회귀; 격자 lag0~4×창8/12/19×수준·YoY·4Q합 중 최대 r=0.93, n=8, 창 8)</t>
      </text>
    </comment>
    <comment ref="AF21" authorId="0" shapeId="0">
      <text>
        <t>모델값 역산(implied): v / 전년동기 − 1
고객 매출 가중지수(t−1) 66789억 × 비례계수 0.0137(원점회귀; 격자 lag0~4×창8/12/19×수준·YoY·4Q합 중 최대 r=0.93, n=8, 창 8)</t>
      </text>
    </comment>
    <comment ref="AG21" authorId="0" shapeId="0">
      <text>
        <t>모델값 역산(implied): v / 전년동기 − 1
고객 매출 가중지수(t−1) 68537억 × 비례계수 0.0137(원점회귀; 격자 lag0~4×창8/12/19×수준·YoY·4Q합 중 최대 r=0.93, n=8, 창 8)</t>
      </text>
    </comment>
    <comment ref="AH21" authorId="0" shapeId="0">
      <text>
        <t>모델값 역산(implied): v / 전년동기 − 1
고객 매출 가중지수(t−1) 72084억 × 비례계수 0.0137(원점회귀; 격자 lag0~4×창8/12/19×수준·YoY·4Q합 중 최대 r=0.93, n=8, 창 8)</t>
      </text>
    </comment>
    <comment ref="AI21" authorId="0" shapeId="0">
      <text>
        <t>모델값 역산(implied): v / 전년동기 − 1
고객 매출 가중지수(t−1) 76066억 × 비례계수 0.0137(원점회귀; 격자 lag0~4×창8/12/19×수준·YoY·4Q합 중 최대 r=0.93, n=8, 창 8)</t>
      </text>
    </comment>
    <comment ref="AK21" authorId="0" shapeId="0">
      <text>
        <t>모델값 역산(implied): v / 전년동기 − 1
고객 매출 가중지수(t−1) 80855억 × 비례계수 0.0137(원점회귀; 격자 lag0~4×창8/12/19×수준·YoY·4Q합 중 최대 r=0.93, n=8, 창 8)</t>
      </text>
    </comment>
    <comment ref="AL21" authorId="0" shapeId="0">
      <text>
        <t>모델값 역산(implied): v / 전년동기 − 1
고객 매출 가중지수(t−1) 85856억 × 비례계수 0.0137(원점회귀; 격자 lag0~4×창8/12/19×수준·YoY·4Q합 중 최대 r=0.93, n=8, 창 8)</t>
      </text>
    </comment>
    <comment ref="AM21" authorId="0" shapeId="0">
      <text>
        <t>모델값 역산(implied): v / 전년동기 − 1
고객 매출 가중지수(t−1) 91113억 × 비례계수 0.0137(원점회귀; 격자 lag0~4×창8/12/19×수준·YoY·4Q합 중 최대 r=0.93, n=8, 창 8)</t>
      </text>
    </comment>
    <comment ref="AN21" authorId="0" shapeId="0">
      <text>
        <t>모델값 역산(implied): v / 전년동기 − 1
고객 매출 가중지수(t−1) 95308억 × 비례계수 0.0137(원점회귀; 격자 lag0~4×창8/12/19×수준·YoY·4Q합 중 최대 r=0.93, n=8, 창 8)</t>
      </text>
    </comment>
    <comment ref="AC22" authorId="0" shapeId="0">
      <text>
        <t>3절 스칼라 '판관비율' 참조 — 숫자로 덮어쓰면 이 분기만 바뀐다
매출액 × 판관비율 9.80%(최근 4분기 중위)</t>
      </text>
    </comment>
    <comment ref="AD22" authorId="0" shapeId="0">
      <text>
        <t>3절 스칼라 '판관비율' 참조 — 숫자로 덮어쓰면 이 분기만 바뀐다
매출액 × 판관비율 9.80%(최근 4분기 중위)</t>
      </text>
    </comment>
    <comment ref="AF22" authorId="0" shapeId="0">
      <text>
        <t>3절 스칼라 '판관비율' 참조 — 숫자로 덮어쓰면 이 분기만 바뀐다
매출액 × 판관비율 9.80%(최근 4분기 중위)</t>
      </text>
    </comment>
    <comment ref="AG22" authorId="0" shapeId="0">
      <text>
        <t>3절 스칼라 '판관비율' 참조 — 숫자로 덮어쓰면 이 분기만 바뀐다
매출액 × 판관비율 9.80%(최근 4분기 중위)</t>
      </text>
    </comment>
    <comment ref="AH22" authorId="0" shapeId="0">
      <text>
        <t>3절 스칼라 '판관비율' 참조 — 숫자로 덮어쓰면 이 분기만 바뀐다
매출액 × 판관비율 9.80%(최근 4분기 중위)</t>
      </text>
    </comment>
    <comment ref="AI22" authorId="0" shapeId="0">
      <text>
        <t>3절 스칼라 '판관비율' 참조 — 숫자로 덮어쓰면 이 분기만 바뀐다
매출액 × 판관비율 9.80%(최근 4분기 중위)</t>
      </text>
    </comment>
    <comment ref="AK22" authorId="0" shapeId="0">
      <text>
        <t>3절 스칼라 '판관비율' 참조 — 숫자로 덮어쓰면 이 분기만 바뀐다
매출액 × 판관비율 9.80%(최근 4분기 중위)</t>
      </text>
    </comment>
    <comment ref="AL22" authorId="0" shapeId="0">
      <text>
        <t>3절 스칼라 '판관비율' 참조 — 숫자로 덮어쓰면 이 분기만 바뀐다
매출액 × 판관비율 9.80%(최근 4분기 중위)</t>
      </text>
    </comment>
    <comment ref="AM22" authorId="0" shapeId="0">
      <text>
        <t>3절 스칼라 '판관비율' 참조 — 숫자로 덮어쓰면 이 분기만 바뀐다
매출액 × 판관비율 9.80%(최근 4분기 중위)</t>
      </text>
    </comment>
    <comment ref="AN22" authorId="0" shapeId="0">
      <text>
        <t>3절 스칼라 '판관비율' 참조 — 숫자로 덮어쓰면 이 분기만 바뀐다
매출액 × 판관비율 9.80%(최근 4분기 중위)</t>
      </text>
    </comment>
    <comment ref="AC23" authorId="0" shapeId="0">
      <text>
        <t>모델값 역산(implied): v / 매출액
매출액 × OPM(최근 8분기 OPM 중위 8.9% 유지)</t>
      </text>
    </comment>
    <comment ref="AD23" authorId="0" shapeId="0">
      <text>
        <t>모델값 역산(implied): v / 매출액
매출액 × OPM(최근 8분기 OPM 중위 8.9% 유지)</t>
      </text>
    </comment>
    <comment ref="AF23" authorId="0" shapeId="0">
      <text>
        <t>모델값 역산(implied): v / 매출액
매출액 × OPM(최근 8분기 OPM 중위 8.9% 유지)</t>
      </text>
    </comment>
    <comment ref="AG23" authorId="0" shapeId="0">
      <text>
        <t>모델값 역산(implied): v / 매출액
매출액 × OPM(최근 8분기 OPM 중위 8.9% 유지)</t>
      </text>
    </comment>
    <comment ref="AH23" authorId="0" shapeId="0">
      <text>
        <t>모델값 역산(implied): v / 매출액
매출액 × OPM(최근 8분기 OPM 중위 8.9% 유지)</t>
      </text>
    </comment>
    <comment ref="AI23" authorId="0" shapeId="0">
      <text>
        <t>모델값 역산(implied): v / 매출액
매출액 × OPM(최근 8분기 OPM 중위 8.9% 유지)</t>
      </text>
    </comment>
    <comment ref="AK23" authorId="0" shapeId="0">
      <text>
        <t>모델값 역산(implied): v / 매출액
매출액 × OPM(최근 8분기 OPM 중위 8.9% 유지)</t>
      </text>
    </comment>
    <comment ref="AL23" authorId="0" shapeId="0">
      <text>
        <t>모델값 역산(implied): v / 매출액
매출액 × OPM(최근 8분기 OPM 중위 8.9% 유지)</t>
      </text>
    </comment>
    <comment ref="AM23" authorId="0" shapeId="0">
      <text>
        <t>모델값 역산(implied): v / 매출액
매출액 × OPM(최근 8분기 OPM 중위 8.9% 유지)</t>
      </text>
    </comment>
    <comment ref="AN23" authorId="0" shapeId="0">
      <text>
        <t>모델값 역산(implied): v / 매출액
매출액 × OPM(최근 8분기 OPM 중위 8.9% 유지)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4분기(2025Q3~2026Q2) 잔차 중위</t>
      </text>
    </comment>
    <comment ref="AD26" authorId="0" shapeId="0">
      <text>
        <t>모델값 역산(implied): 모델 v 그대로
최근 4분기(2025Q3~2026Q2) 잔차 중위</t>
      </text>
    </comment>
    <comment ref="AF26" authorId="0" shapeId="0">
      <text>
        <t>모델값 역산(implied): 모델 v 그대로
최근 4분기(2025Q3~2026Q2) 잔차 중위</t>
      </text>
    </comment>
    <comment ref="AG26" authorId="0" shapeId="0">
      <text>
        <t>모델값 역산(implied): 모델 v 그대로
최근 4분기(2025Q3~2026Q2) 잔차 중위</t>
      </text>
    </comment>
    <comment ref="AH26" authorId="0" shapeId="0">
      <text>
        <t>모델값 역산(implied): 모델 v 그대로
최근 4분기(2025Q3~2026Q2) 잔차 중위</t>
      </text>
    </comment>
    <comment ref="AI26" authorId="0" shapeId="0">
      <text>
        <t>모델값 역산(implied): 모델 v 그대로
최근 4분기(2025Q3~2026Q2) 잔차 중위</t>
      </text>
    </comment>
    <comment ref="AK26" authorId="0" shapeId="0">
      <text>
        <t>모델값 역산(implied): 모델 v 그대로
최근 4분기(2025Q3~2026Q2) 잔차 중위</t>
      </text>
    </comment>
    <comment ref="AL26" authorId="0" shapeId="0">
      <text>
        <t>모델값 역산(implied): 모델 v 그대로
최근 4분기(2025Q3~2026Q2) 잔차 중위</t>
      </text>
    </comment>
    <comment ref="AM26" authorId="0" shapeId="0">
      <text>
        <t>모델값 역산(implied): 모델 v 그대로
최근 4분기(2025Q3~2026Q2) 잔차 중위</t>
      </text>
    </comment>
    <comment ref="AN26" authorId="0" shapeId="0">
      <text>
        <t>모델값 역산(implied): 모델 v 그대로
최근 4분기(2025Q3~2026Q2) 잔차 중위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3절 스칼라 '세율' 참조 — 숫자로 덮어쓰면 이 분기만 바뀐다
max(세전, 0) × 세율 11.9%(최근 12분기 유효세율 11.9%(5~27% 안 — 그대로))</t>
      </text>
    </comment>
    <comment ref="AD28" authorId="0" shapeId="0">
      <text>
        <t>3절 스칼라 '세율' 참조 — 숫자로 덮어쓰면 이 분기만 바뀐다
max(세전, 0) × 세율 11.9%(최근 12분기 유효세율 11.9%(5~27% 안 — 그대로))</t>
      </text>
    </comment>
    <comment ref="AF28" authorId="0" shapeId="0">
      <text>
        <t>3절 스칼라 '세율' 참조 — 숫자로 덮어쓰면 이 분기만 바뀐다
max(세전, 0) × 세율 11.9%(최근 12분기 유효세율 11.9%(5~27% 안 — 그대로))</t>
      </text>
    </comment>
    <comment ref="AG28" authorId="0" shapeId="0">
      <text>
        <t>3절 스칼라 '세율' 참조 — 숫자로 덮어쓰면 이 분기만 바뀐다
max(세전, 0) × 세율 11.9%(최근 12분기 유효세율 11.9%(5~27% 안 — 그대로))</t>
      </text>
    </comment>
    <comment ref="AH28" authorId="0" shapeId="0">
      <text>
        <t>3절 스칼라 '세율' 참조 — 숫자로 덮어쓰면 이 분기만 바뀐다
max(세전, 0) × 세율 11.9%(최근 12분기 유효세율 11.9%(5~27% 안 — 그대로))</t>
      </text>
    </comment>
    <comment ref="AI28" authorId="0" shapeId="0">
      <text>
        <t>3절 스칼라 '세율' 참조 — 숫자로 덮어쓰면 이 분기만 바뀐다
max(세전, 0) × 세율 11.9%(최근 12분기 유효세율 11.9%(5~27% 안 — 그대로))</t>
      </text>
    </comment>
    <comment ref="AK28" authorId="0" shapeId="0">
      <text>
        <t>3절 스칼라 '세율' 참조 — 숫자로 덮어쓰면 이 분기만 바뀐다
max(세전, 0) × 세율 11.9%(최근 12분기 유효세율 11.9%(5~27% 안 — 그대로))</t>
      </text>
    </comment>
    <comment ref="AL28" authorId="0" shapeId="0">
      <text>
        <t>3절 스칼라 '세율' 참조 — 숫자로 덮어쓰면 이 분기만 바뀐다
max(세전, 0) × 세율 11.9%(최근 12분기 유효세율 11.9%(5~27% 안 — 그대로))</t>
      </text>
    </comment>
    <comment ref="AM28" authorId="0" shapeId="0">
      <text>
        <t>3절 스칼라 '세율' 참조 — 숫자로 덮어쓰면 이 분기만 바뀐다
max(세전, 0) × 세율 11.9%(최근 12분기 유효세율 11.9%(5~27% 안 — 그대로))</t>
      </text>
    </comment>
    <comment ref="AN28" authorId="0" shapeId="0">
      <text>
        <t>3절 스칼라 '세율' 참조 — 숫자로 덮어쓰면 이 분기만 바뀐다
max(세전, 0) × 세율 11.9%(최근 12분기 유효세율 11.9%(5~27% 안 — 그대로))</t>
      </text>
    </comment>
    <comment ref="AC29" authorId="0" shapeId="0">
      <text>
        <t>3절 스칼라 '지배주주비중' 참조 — 숫자로 덮어쓰면 이 분기만 바뀐다
당기순이익 × (1 − 비지배 비중 5.8%, 최근 8분기 실측)</t>
      </text>
    </comment>
    <comment ref="AD29" authorId="0" shapeId="0">
      <text>
        <t>3절 스칼라 '지배주주비중' 참조 — 숫자로 덮어쓰면 이 분기만 바뀐다
당기순이익 × (1 − 비지배 비중 5.8%, 최근 8분기 실측)</t>
      </text>
    </comment>
    <comment ref="AF29" authorId="0" shapeId="0">
      <text>
        <t>3절 스칼라 '지배주주비중' 참조 — 숫자로 덮어쓰면 이 분기만 바뀐다
당기순이익 × (1 − 비지배 비중 5.8%, 최근 8분기 실측)</t>
      </text>
    </comment>
    <comment ref="AG29" authorId="0" shapeId="0">
      <text>
        <t>3절 스칼라 '지배주주비중' 참조 — 숫자로 덮어쓰면 이 분기만 바뀐다
당기순이익 × (1 − 비지배 비중 5.8%, 최근 8분기 실측)</t>
      </text>
    </comment>
    <comment ref="AH29" authorId="0" shapeId="0">
      <text>
        <t>3절 스칼라 '지배주주비중' 참조 — 숫자로 덮어쓰면 이 분기만 바뀐다
당기순이익 × (1 − 비지배 비중 5.8%, 최근 8분기 실측)</t>
      </text>
    </comment>
    <comment ref="AI29" authorId="0" shapeId="0">
      <text>
        <t>3절 스칼라 '지배주주비중' 참조 — 숫자로 덮어쓰면 이 분기만 바뀐다
당기순이익 × (1 − 비지배 비중 5.8%, 최근 8분기 실측)</t>
      </text>
    </comment>
    <comment ref="AK29" authorId="0" shapeId="0">
      <text>
        <t>3절 스칼라 '지배주주비중' 참조 — 숫자로 덮어쓰면 이 분기만 바뀐다
당기순이익 × (1 − 비지배 비중 5.8%, 최근 8분기 실측)</t>
      </text>
    </comment>
    <comment ref="AL29" authorId="0" shapeId="0">
      <text>
        <t>3절 스칼라 '지배주주비중' 참조 — 숫자로 덮어쓰면 이 분기만 바뀐다
당기순이익 × (1 − 비지배 비중 5.8%, 최근 8분기 실측)</t>
      </text>
    </comment>
    <comment ref="AM29" authorId="0" shapeId="0">
      <text>
        <t>3절 스칼라 '지배주주비중' 참조 — 숫자로 덮어쓰면 이 분기만 바뀐다
당기순이익 × (1 − 비지배 비중 5.8%, 최근 8분기 실측)</t>
      </text>
    </comment>
    <comment ref="AN29" authorId="0" shapeId="0">
      <text>
        <t>3절 스칼라 '지배주주비중' 참조 — 숫자로 덮어쓰면 이 분기만 바뀐다
당기순이익 × (1 − 비지배 비중 5.8%, 최근 8분기 실측)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전분기(시트값) + 당기순이익(시트 수식값) − v
전분기 + 당기순이익 − 배당(Q2 지급 가정)</t>
      </text>
    </comment>
    <comment ref="AD31" authorId="0" shapeId="0">
      <text>
        <t>모델값 역산(implied): 전분기(시트값) + 당기순이익(시트 수식값) − v
전분기 + 당기순이익 − 배당(Q2 지급 가정)</t>
      </text>
    </comment>
    <comment ref="AF31" authorId="0" shapeId="0">
      <text>
        <t>모델값 역산(implied): 전분기(시트값) + 당기순이익(시트 수식값) − v
전분기 + 당기순이익 − 배당(Q2 지급 가정)</t>
      </text>
    </comment>
    <comment ref="AG31" authorId="0" shapeId="0">
      <text>
        <t>모델값 역산(implied): 전분기(시트값) + 당기순이익(시트 수식값) − v
전분기 + 당기순이익 − 배당(Q2 지급 가정)</t>
      </text>
    </comment>
    <comment ref="AH31" authorId="0" shapeId="0">
      <text>
        <t>모델값 역산(implied): 전분기(시트값) + 당기순이익(시트 수식값) − v
전분기 + 당기순이익 − 배당(Q2 지급 가정)</t>
      </text>
    </comment>
    <comment ref="AI31" authorId="0" shapeId="0">
      <text>
        <t>모델값 역산(implied): 전분기(시트값) + 당기순이익(시트 수식값) − v
전분기 + 당기순이익 − 배당(Q2 지급 가정)</t>
      </text>
    </comment>
    <comment ref="AK31" authorId="0" shapeId="0">
      <text>
        <t>모델값 역산(implied): 전분기(시트값) + 당기순이익(시트 수식값) − v
전분기 + 당기순이익 − 배당(Q2 지급 가정)</t>
      </text>
    </comment>
    <comment ref="AL31" authorId="0" shapeId="0">
      <text>
        <t>모델값 역산(implied): 전분기(시트값) + 당기순이익(시트 수식값) − v
전분기 + 당기순이익 − 배당(Q2 지급 가정)</t>
      </text>
    </comment>
    <comment ref="AM31" authorId="0" shapeId="0">
      <text>
        <t>모델값 역산(implied): 전분기(시트값) + 당기순이익(시트 수식값) − v
전분기 + 당기순이익 − 배당(Q2 지급 가정)</t>
      </text>
    </comment>
    <comment ref="AN31" authorId="0" shapeId="0">
      <text>
        <t>모델값 역산(implied): 전분기(시트값) + 당기순이익(시트 수식값) − v
전분기 + 당기순이익 − 배당(Q2 지급 가정)</t>
      </text>
    </comment>
    <comment ref="AC32" authorId="0" shapeId="0">
      <text>
        <t>모델값 역산(implied): 전분기(시트값) + 지배주주순이익(시트 수식값) − v
전분기 + 지배주주순이익 − 배당</t>
      </text>
    </comment>
    <comment ref="AD32" authorId="0" shapeId="0">
      <text>
        <t>모델값 역산(implied): 전분기(시트값) + 지배주주순이익(시트 수식값) − v
전분기 + 지배주주순이익 − 배당</t>
      </text>
    </comment>
    <comment ref="AF32" authorId="0" shapeId="0">
      <text>
        <t>모델값 역산(implied): 전분기(시트값) + 지배주주순이익(시트 수식값) − v
전분기 + 지배주주순이익 − 배당</t>
      </text>
    </comment>
    <comment ref="AG32" authorId="0" shapeId="0">
      <text>
        <t>모델값 역산(implied): 전분기(시트값) + 지배주주순이익(시트 수식값) − v
전분기 + 지배주주순이익 − 배당</t>
      </text>
    </comment>
    <comment ref="AH32" authorId="0" shapeId="0">
      <text>
        <t>모델값 역산(implied): 전분기(시트값) + 지배주주순이익(시트 수식값) − v
전분기 + 지배주주순이익 − 배당</t>
      </text>
    </comment>
    <comment ref="AI32" authorId="0" shapeId="0">
      <text>
        <t>모델값 역산(implied): 전분기(시트값) + 지배주주순이익(시트 수식값) − v
전분기 + 지배주주순이익 − 배당</t>
      </text>
    </comment>
    <comment ref="AK32" authorId="0" shapeId="0">
      <text>
        <t>모델값 역산(implied): 전분기(시트값) + 지배주주순이익(시트 수식값) − v
전분기 + 지배주주순이익 − 배당</t>
      </text>
    </comment>
    <comment ref="AL32" authorId="0" shapeId="0">
      <text>
        <t>모델값 역산(implied): 전분기(시트값) + 지배주주순이익(시트 수식값) − v
전분기 + 지배주주순이익 − 배당</t>
      </text>
    </comment>
    <comment ref="AM32" authorId="0" shapeId="0">
      <text>
        <t>모델값 역산(implied): 전분기(시트값) + 지배주주순이익(시트 수식값) − v
전분기 + 지배주주순이익 − 배당</t>
      </text>
    </comment>
    <comment ref="AN32" authorId="0" shapeId="0">
      <text>
        <t>모델값 역산(implied): 전분기(시트값) + 지배주주순이익(시트 수식값) − v
전분기 + 지배주주순이익 − 배당</t>
      </text>
    </comment>
    <comment ref="AC33" authorId="0" shapeId="0">
      <text>
        <t>모델값 역산(implied): v / 전분기 − 1
마지막 실적 유지(가정)</t>
      </text>
    </comment>
    <comment ref="AD33" authorId="0" shapeId="0">
      <text>
        <t>모델값 역산(implied): v / 전분기 − 1
마지막 실적 유지(가정)</t>
      </text>
    </comment>
    <comment ref="AF33" authorId="0" shapeId="0">
      <text>
        <t>모델값 역산(implied): v / 전분기 − 1
마지막 실적 유지(가정)</t>
      </text>
    </comment>
    <comment ref="AG33" authorId="0" shapeId="0">
      <text>
        <t>모델값 역산(implied): v / 전분기 − 1
마지막 실적 유지(가정)</t>
      </text>
    </comment>
    <comment ref="AH33" authorId="0" shapeId="0">
      <text>
        <t>모델값 역산(implied): v / 전분기 − 1
마지막 실적 유지(가정)</t>
      </text>
    </comment>
    <comment ref="AI33" authorId="0" shapeId="0">
      <text>
        <t>모델값 역산(implied): v / 전분기 − 1
마지막 실적 유지(가정)</t>
      </text>
    </comment>
    <comment ref="AK33" authorId="0" shapeId="0">
      <text>
        <t>모델값 역산(implied): v / 전분기 − 1
마지막 실적 유지(가정)</t>
      </text>
    </comment>
    <comment ref="AL33" authorId="0" shapeId="0">
      <text>
        <t>모델값 역산(implied): v / 전분기 − 1
마지막 실적 유지(가정)</t>
      </text>
    </comment>
    <comment ref="AM33" authorId="0" shapeId="0">
      <text>
        <t>모델값 역산(implied): v / 전분기 − 1
마지막 실적 유지(가정)</t>
      </text>
    </comment>
    <comment ref="AN33" authorId="0" shapeId="0">
      <text>
        <t>모델값 역산(implied): v / 전분기 − 1
마지막 실적 유지(가정)</t>
      </text>
    </comment>
    <comment ref="AC34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D34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F34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G34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H34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I34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K34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L34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M34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N34" authorId="0" shapeId="0">
      <text>
        <t>모델값 역산(implied): v / 전분기 − 1
전분기 − FCF 근사[순이익 − 배당(감가상각비 없음 → CAPEX≈감가 가정, CAPEX 중위 0억은 행에만)] (운전자본 불변·총차입금 유지 가정 → 변동은 전부 현금)</t>
      </text>
    </comment>
    <comment ref="AC35" authorId="0" shapeId="0">
      <text>
        <t>모델값 역산(implied): v / 전분기 − 1
전분기 + FCF 근사 — 순차입금 롤과 같은 가정</t>
      </text>
    </comment>
    <comment ref="AD35" authorId="0" shapeId="0">
      <text>
        <t>모델값 역산(implied): v / 전분기 − 1
전분기 + FCF 근사 — 순차입금 롤과 같은 가정</t>
      </text>
    </comment>
    <comment ref="AF35" authorId="0" shapeId="0">
      <text>
        <t>모델값 역산(implied): v / 전분기 − 1
전분기 + FCF 근사 — 순차입금 롤과 같은 가정</t>
      </text>
    </comment>
    <comment ref="AG35" authorId="0" shapeId="0">
      <text>
        <t>모델값 역산(implied): v / 전분기 − 1
전분기 + FCF 근사 — 순차입금 롤과 같은 가정</t>
      </text>
    </comment>
    <comment ref="AH35" authorId="0" shapeId="0">
      <text>
        <t>모델값 역산(implied): v / 전분기 − 1
전분기 + FCF 근사 — 순차입금 롤과 같은 가정</t>
      </text>
    </comment>
    <comment ref="AI35" authorId="0" shapeId="0">
      <text>
        <t>모델값 역산(implied): v / 전분기 − 1
전분기 + FCF 근사 — 순차입금 롤과 같은 가정</t>
      </text>
    </comment>
    <comment ref="AK35" authorId="0" shapeId="0">
      <text>
        <t>모델값 역산(implied): v / 전분기 − 1
전분기 + FCF 근사 — 순차입금 롤과 같은 가정</t>
      </text>
    </comment>
    <comment ref="AL35" authorId="0" shapeId="0">
      <text>
        <t>모델값 역산(implied): v / 전분기 − 1
전분기 + FCF 근사 — 순차입금 롤과 같은 가정</t>
      </text>
    </comment>
    <comment ref="AM35" authorId="0" shapeId="0">
      <text>
        <t>모델값 역산(implied): v / 전분기 − 1
전분기 + FCF 근사 — 순차입금 롤과 같은 가정</t>
      </text>
    </comment>
    <comment ref="AN35" authorId="0" shapeId="0">
      <text>
        <t>모델값 역산(implied): v / 전분기 − 1
전분기 + FCF 근사 — 순차입금 롤과 같은 가정</t>
      </text>
    </comment>
    <comment ref="AC37" authorId="0" shapeId="0">
      <text>
        <t>모델값 역산(implied): v / 전년동기 − 1
최근 3분기(2025Q1~2025Q3) CAPEX 중위 유지 — 순차입금 롤에 미반영(감가상각비 없음 → CAPEX≈감가 가정)</t>
      </text>
    </comment>
    <comment ref="AD37" authorId="0" shapeId="0">
      <text>
        <t>모델값 역산(implied): v / 전분기 − 1 (전년동기 없음 → 전분기 대비)
최근 3분기(2025Q1~2025Q3) CAPEX 중위 유지 — 순차입금 롤에 미반영(감가상각비 없음 → CAPEX≈감가 가정)</t>
      </text>
    </comment>
    <comment ref="AF37" authorId="0" shapeId="0">
      <text>
        <t>모델값 역산(implied): v / 전분기 − 1 (전년동기 없음 → 전분기 대비)
최근 3분기(2025Q1~2025Q3) CAPEX 중위 유지 — 순차입금 롤에 미반영(감가상각비 없음 → CAPEX≈감가 가정)</t>
      </text>
    </comment>
    <comment ref="AG37" authorId="0" shapeId="0">
      <text>
        <t>모델값 역산(implied): v / 전분기 − 1 (전년동기 없음 → 전분기 대비)
최근 3분기(2025Q1~2025Q3) CAPEX 중위 유지 — 순차입금 롤에 미반영(감가상각비 없음 → CAPEX≈감가 가정)</t>
      </text>
    </comment>
    <comment ref="AH37" authorId="0" shapeId="0">
      <text>
        <t>모델값 역산(implied): v / 전년동기 − 1
최근 3분기(2025Q1~2025Q3) CAPEX 중위 유지 — 순차입금 롤에 미반영(감가상각비 없음 → CAPEX≈감가 가정)</t>
      </text>
    </comment>
    <comment ref="AI37" authorId="0" shapeId="0">
      <text>
        <t>모델값 역산(implied): v / 전년동기 − 1
최근 3분기(2025Q1~2025Q3) CAPEX 중위 유지 — 순차입금 롤에 미반영(감가상각비 없음 → CAPEX≈감가 가정)</t>
      </text>
    </comment>
    <comment ref="AK37" authorId="0" shapeId="0">
      <text>
        <t>모델값 역산(implied): v / 전년동기 − 1
최근 3분기(2025Q1~2025Q3) CAPEX 중위 유지 — 순차입금 롤에 미반영(감가상각비 없음 → CAPEX≈감가 가정)</t>
      </text>
    </comment>
    <comment ref="AL37" authorId="0" shapeId="0">
      <text>
        <t>모델값 역산(implied): v / 전년동기 − 1
최근 3분기(2025Q1~2025Q3) CAPEX 중위 유지 — 순차입금 롤에 미반영(감가상각비 없음 → CAPEX≈감가 가정)</t>
      </text>
    </comment>
    <comment ref="AM37" authorId="0" shapeId="0">
      <text>
        <t>모델값 역산(implied): v / 전년동기 − 1
최근 3분기(2025Q1~2025Q3) CAPEX 중위 유지 — 순차입금 롤에 미반영(감가상각비 없음 → CAPEX≈감가 가정)</t>
      </text>
    </comment>
    <comment ref="AN37" authorId="0" shapeId="0">
      <text>
        <t>모델값 역산(implied): v / 전년동기 − 1
최근 3분기(2025Q1~2025Q3) CAPEX 중위 유지 — 순차입금 롤에 미반영(감가상각비 없음 → CAPEX≈감가 가정)</t>
      </text>
    </comment>
    <comment ref="AC39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v / 전분기 − 1
유통주식수 유지 — fin.shares.common_outstanding(2026Q2)</t>
      </text>
    </comment>
    <comment ref="AF39" authorId="0" shapeId="0">
      <text>
        <t>모델값 역산(implied): v / 전분기 − 1
유통주식수 유지 — fin.shares.common_outstanding(2026Q2)</t>
      </text>
    </comment>
    <comment ref="AG39" authorId="0" shapeId="0">
      <text>
        <t>모델값 역산(implied): v / 전분기 − 1
유통주식수 유지 — fin.shares.common_outstanding(2026Q2)</t>
      </text>
    </comment>
    <comment ref="AH39" authorId="0" shapeId="0">
      <text>
        <t>모델값 역산(implied): v / 전분기 − 1
유통주식수 유지 — fin.shares.common_outstanding(2026Q2)</t>
      </text>
    </comment>
    <comment ref="AI39" authorId="0" shapeId="0">
      <text>
        <t>모델값 역산(implied): v / 전분기 − 1
유통주식수 유지 — fin.shares.common_outstanding(2026Q2)</t>
      </text>
    </comment>
    <comment ref="AK39" authorId="0" shapeId="0">
      <text>
        <t>모델값 역산(implied): v / 전분기 − 1
유통주식수 유지 — fin.shares.common_outstanding(2026Q2)</t>
      </text>
    </comment>
    <comment ref="AL39" authorId="0" shapeId="0">
      <text>
        <t>모델값 역산(implied): v / 전분기 − 1
유통주식수 유지 — fin.shares.common_outstanding(2026Q2)</t>
      </text>
    </comment>
    <comment ref="AM39" authorId="0" shapeId="0">
      <text>
        <t>모델값 역산(implied): v / 전분기 − 1
유통주식수 유지 — fin.shares.common_outstanding(2026Q2)</t>
      </text>
    </comment>
    <comment ref="AN39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모델 v 그대로
직전 결산 DPS 165원 유지</t>
      </text>
    </comment>
    <comment ref="AI40" authorId="0" shapeId="0">
      <text>
        <t>모델값 역산(implied): 모델 v 그대로
직전 결산 DPS 165원 유지</t>
      </text>
    </comment>
    <comment ref="AN40" authorId="0" shapeId="0">
      <text>
        <t>모델값 역산(implied): 모델 v 그대로
직전 결산 DPS 165원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 매출 가중지수(t−1) 63322억 × 비례계수 0.0137(원점회귀; 격자 lag0~4×창8/12/19×수준·YoY·4Q합 중 최대 r=0.93, n=8, 창 8)
[yoy]</t>
      </text>
    </comment>
    <comment ref="AD5" authorId="0" shapeId="0">
      <text>
        <t>추정: 고객 매출 가중지수(t−1) 65950억 × 비례계수 0.0137(원점회귀; 격자 lag0~4×창8/12/19×수준·YoY·4Q합 중 최대 r=0.93, n=8, 창 8)
[yoy]</t>
      </text>
    </comment>
    <comment ref="AF5" authorId="0" shapeId="0">
      <text>
        <t>추정: 고객 매출 가중지수(t−1) 66789억 × 비례계수 0.0137(원점회귀; 격자 lag0~4×창8/12/19×수준·YoY·4Q합 중 최대 r=0.93, n=8, 창 8)
[yoy]</t>
      </text>
    </comment>
    <comment ref="AG5" authorId="0" shapeId="0">
      <text>
        <t>추정: 고객 매출 가중지수(t−1) 68537억 × 비례계수 0.0137(원점회귀; 격자 lag0~4×창8/12/19×수준·YoY·4Q합 중 최대 r=0.93, n=8, 창 8)
[yoy]</t>
      </text>
    </comment>
    <comment ref="AH5" authorId="0" shapeId="0">
      <text>
        <t>추정: 고객 매출 가중지수(t−1) 72084억 × 비례계수 0.0137(원점회귀; 격자 lag0~4×창8/12/19×수준·YoY·4Q합 중 최대 r=0.93, n=8, 창 8)
[yoy]</t>
      </text>
    </comment>
    <comment ref="AI5" authorId="0" shapeId="0">
      <text>
        <t>추정: 고객 매출 가중지수(t−1) 76066억 × 비례계수 0.0137(원점회귀; 격자 lag0~4×창8/12/19×수준·YoY·4Q합 중 최대 r=0.93, n=8, 창 8)
[yoy]</t>
      </text>
    </comment>
    <comment ref="AK5" authorId="0" shapeId="0">
      <text>
        <t>추정: 고객 매출 가중지수(t−1) 80855억 × 비례계수 0.0137(원점회귀; 격자 lag0~4×창8/12/19×수준·YoY·4Q합 중 최대 r=0.93, n=8, 창 8)
[yoy]</t>
      </text>
    </comment>
    <comment ref="AL5" authorId="0" shapeId="0">
      <text>
        <t>추정: 고객 매출 가중지수(t−1) 85856억 × 비례계수 0.0137(원점회귀; 격자 lag0~4×창8/12/19×수준·YoY·4Q합 중 최대 r=0.93, n=8, 창 8)
[yoy]</t>
      </text>
    </comment>
    <comment ref="AM5" authorId="0" shapeId="0">
      <text>
        <t>추정: 고객 매출 가중지수(t−1) 91113억 × 비례계수 0.0137(원점회귀; 격자 lag0~4×창8/12/19×수준·YoY·4Q합 중 최대 r=0.93, n=8, 창 8)
[yoy]</t>
      </text>
    </comment>
    <comment ref="AN5" authorId="0" shapeId="0">
      <text>
        <t>추정: 고객 매출 가중지수(t−1) 95308억 × 비례계수 0.0137(원점회귀; 격자 lag0~4×창8/12/19×수준·YoY·4Q합 중 최대 r=0.93, n=8, 창 8)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9.80%(최근 4분기 중위)
[ratio]</t>
      </text>
    </comment>
    <comment ref="AD8" authorId="0" shapeId="0">
      <text>
        <t>추정: 매출액 × 판관비율 9.80%(최근 4분기 중위)
[ratio]</t>
      </text>
    </comment>
    <comment ref="AF8" authorId="0" shapeId="0">
      <text>
        <t>추정: 매출액 × 판관비율 9.80%(최근 4분기 중위)
[ratio]</t>
      </text>
    </comment>
    <comment ref="AG8" authorId="0" shapeId="0">
      <text>
        <t>추정: 매출액 × 판관비율 9.80%(최근 4분기 중위)
[ratio]</t>
      </text>
    </comment>
    <comment ref="AH8" authorId="0" shapeId="0">
      <text>
        <t>추정: 매출액 × 판관비율 9.80%(최근 4분기 중위)
[ratio]</t>
      </text>
    </comment>
    <comment ref="AI8" authorId="0" shapeId="0">
      <text>
        <t>추정: 매출액 × 판관비율 9.80%(최근 4분기 중위)
[ratio]</t>
      </text>
    </comment>
    <comment ref="AK8" authorId="0" shapeId="0">
      <text>
        <t>추정: 매출액 × 판관비율 9.80%(최근 4분기 중위)
[ratio]</t>
      </text>
    </comment>
    <comment ref="AL8" authorId="0" shapeId="0">
      <text>
        <t>추정: 매출액 × 판관비율 9.80%(최근 4분기 중위)
[ratio]</t>
      </text>
    </comment>
    <comment ref="AM8" authorId="0" shapeId="0">
      <text>
        <t>추정: 매출액 × 판관비율 9.80%(최근 4분기 중위)
[ratio]</t>
      </text>
    </comment>
    <comment ref="AN8" authorId="0" shapeId="0">
      <text>
        <t>추정: 매출액 × 판관비율 9.80%(최근 4분기 중위)
[ratio]</t>
      </text>
    </comment>
    <comment ref="AC9" authorId="0" shapeId="0">
      <text>
        <t>추정: 매출액 × OPM(최근 8분기 OPM 중위 8.9% 유지)
[ratio]</t>
      </text>
    </comment>
    <comment ref="AD9" authorId="0" shapeId="0">
      <text>
        <t>추정: 매출액 × OPM(최근 8분기 OPM 중위 8.9% 유지)
[ratio]</t>
      </text>
    </comment>
    <comment ref="AF9" authorId="0" shapeId="0">
      <text>
        <t>추정: 매출액 × OPM(최근 8분기 OPM 중위 8.9% 유지)
[ratio]</t>
      </text>
    </comment>
    <comment ref="AG9" authorId="0" shapeId="0">
      <text>
        <t>추정: 매출액 × OPM(최근 8분기 OPM 중위 8.9% 유지)
[ratio]</t>
      </text>
    </comment>
    <comment ref="AH9" authorId="0" shapeId="0">
      <text>
        <t>추정: 매출액 × OPM(최근 8분기 OPM 중위 8.9% 유지)
[ratio]</t>
      </text>
    </comment>
    <comment ref="AI9" authorId="0" shapeId="0">
      <text>
        <t>추정: 매출액 × OPM(최근 8분기 OPM 중위 8.9% 유지)
[ratio]</t>
      </text>
    </comment>
    <comment ref="AK9" authorId="0" shapeId="0">
      <text>
        <t>추정: 매출액 × OPM(최근 8분기 OPM 중위 8.9% 유지)
[ratio]</t>
      </text>
    </comment>
    <comment ref="AL9" authorId="0" shapeId="0">
      <text>
        <t>추정: 매출액 × OPM(최근 8분기 OPM 중위 8.9% 유지)
[ratio]</t>
      </text>
    </comment>
    <comment ref="AM9" authorId="0" shapeId="0">
      <text>
        <t>추정: 매출액 × OPM(최근 8분기 OPM 중위 8.9% 유지)
[ratio]</t>
      </text>
    </comment>
    <comment ref="AN9" authorId="0" shapeId="0">
      <text>
        <t>추정: 매출액 × OPM(최근 8분기 OPM 중위 8.9% 유지)
[ratio]</t>
      </text>
    </comment>
    <comment ref="AC10" authorId="0" shapeId="0">
      <text>
        <t>추정: 최근 8분기 OPM 중위 8.9% 유지
[divide]</t>
      </text>
    </comment>
    <comment ref="AD10" authorId="0" shapeId="0">
      <text>
        <t>추정: 최근 8분기 OPM 중위 8.9% 유지
[divide]</t>
      </text>
    </comment>
    <comment ref="AF10" authorId="0" shapeId="0">
      <text>
        <t>추정: 최근 8분기 OPM 중위 8.9% 유지
[divide]</t>
      </text>
    </comment>
    <comment ref="AG10" authorId="0" shapeId="0">
      <text>
        <t>추정: 최근 8분기 OPM 중위 8.9% 유지
[divide]</t>
      </text>
    </comment>
    <comment ref="AH10" authorId="0" shapeId="0">
      <text>
        <t>추정: 최근 8분기 OPM 중위 8.9% 유지
[divide]</t>
      </text>
    </comment>
    <comment ref="AI10" authorId="0" shapeId="0">
      <text>
        <t>추정: 최근 8분기 OPM 중위 8.9% 유지
[divide]</t>
      </text>
    </comment>
    <comment ref="AK10" authorId="0" shapeId="0">
      <text>
        <t>추정: 최근 8분기 OPM 중위 8.9% 유지
[divide]</t>
      </text>
    </comment>
    <comment ref="AL10" authorId="0" shapeId="0">
      <text>
        <t>추정: 최근 8분기 OPM 중위 8.9% 유지
[divide]</t>
      </text>
    </comment>
    <comment ref="AM10" authorId="0" shapeId="0">
      <text>
        <t>추정: 최근 8분기 OPM 중위 8.9% 유지
[divide]</t>
      </text>
    </comment>
    <comment ref="AN10" authorId="0" shapeId="0">
      <text>
        <t>추정: 최근 8분기 OPM 중위 8.9% 유지
[divide]</t>
      </text>
    </comment>
    <comment ref="AC11" authorId="0" shapeId="0">
      <text>
        <t>추정: 이자손익 + 외환손익 0 + 파생상품손익 0 + 기타금융손익 -4.70억(최근 4분기(2025Q3~2026Q2) 잔차 중위) (항등식); 이자손익 = 이자발생자산 791억 × 2.80%(주석 이자수익 ÷ 평균 이자발생자산(2025Q3~2026Q2)) − 총차입금 1982억 × 3.44%(주석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-4.70억(최근 4분기(2025Q3~2026Q2) 잔차 중위) (항등식); 이자손익 = 이자발생자산 845억 × 2.80%(주석 이자수익 ÷ 평균 이자발생자산(2025Q3~2026Q2)) − 총차입금 1982억 × 3.44%(주석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-4.70억(최근 4분기(2025Q3~2026Q2) 잔차 중위) (항등식); 이자손익 = 이자발생자산 902억 × 2.80%(주석 이자수익 ÷ 평균 이자발생자산(2025Q3~2026Q2)) − 총차입금 1982억 × 3.44%(주석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-4.70억(최근 4분기(2025Q3~2026Q2) 잔차 중위) (항등식); 이자손익 = 이자발생자산 961억 × 2.80%(주석 이자수익 ÷ 평균 이자발생자산(2025Q3~2026Q2)) − 총차입금 1982억 × 3.44%(주석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-4.70억(최근 4분기(2025Q3~2026Q2) 잔차 중위) (항등식); 이자손익 = 이자발생자산 1000억 × 2.80%(주석 이자수익 ÷ 평균 이자발생자산(2025Q3~2026Q2)) − 총차입금 1982억 × 3.44%(주석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-4.70억(최근 4분기(2025Q3~2026Q2) 잔차 중위) (항등식); 이자손익 = 이자발생자산 1065억 × 2.80%(주석 이자수익 ÷ 평균 이자발생자산(2025Q3~2026Q2)) − 총차입금 1982억 × 3.44%(주석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-4.70억(최근 4분기(2025Q3~2026Q2) 잔차 중위) (항등식); 이자손익 = 이자발생자산 1134억 × 2.80%(주석 이자수익 ÷ 평균 이자발생자산(2025Q3~2026Q2)) − 총차입금 1982억 × 3.44%(주석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-4.70억(최근 4분기(2025Q3~2026Q2) 잔차 중위) (항등식); 이자손익 = 이자발생자산 1209억 × 2.80%(주석 이자수익 ÷ 평균 이자발생자산(2025Q3~2026Q2)) − 총차입금 1982억 × 3.44%(주석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-4.70억(최근 4분기(2025Q3~2026Q2) 잔차 중위) (항등식); 이자손익 = 이자발생자산 1268억 × 2.80%(주석 이자수익 ÷ 평균 이자발생자산(2025Q3~2026Q2)) − 총차입금 1982억 × 3.44%(주석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-4.70억(최근 4분기(2025Q3~2026Q2) 잔차 중위) (항등식); 이자손익 = 이자발생자산 1355억 × 2.80%(주석 이자수익 ÷ 평균 이자발생자산(2025Q3~2026Q2)) − 총차입금 1982억 × 3.44%(주석 이자비용 ÷ 평균 총차입금(2025Q3~2026Q2)) (연율) ÷ 4; 환율 효과는 환관련손익 행 별도
[identity]</t>
      </text>
    </comment>
    <comment ref="AC12" authorId="0" shapeId="0">
      <text>
        <t>추정: 이자발생자산 791억 × 2.80%(주석 이자수익 ÷ 평균 이자발생자산(2025Q3~2026Q2)) − 총차입금 1982억 × 3.44%(주석 이자비용 ÷ 평균 총차입금(2025Q3~2026Q2)) (연율) ÷ 4
[interest]</t>
      </text>
    </comment>
    <comment ref="AD12" authorId="0" shapeId="0">
      <text>
        <t>추정: 이자발생자산 845억 × 2.80%(주석 이자수익 ÷ 평균 이자발생자산(2025Q3~2026Q2)) − 총차입금 1982억 × 3.44%(주석 이자비용 ÷ 평균 총차입금(2025Q3~2026Q2)) (연율) ÷ 4
[interest]</t>
      </text>
    </comment>
    <comment ref="AF12" authorId="0" shapeId="0">
      <text>
        <t>추정: 이자발생자산 902억 × 2.80%(주석 이자수익 ÷ 평균 이자발생자산(2025Q3~2026Q2)) − 총차입금 1982억 × 3.44%(주석 이자비용 ÷ 평균 총차입금(2025Q3~2026Q2)) (연율) ÷ 4
[interest]</t>
      </text>
    </comment>
    <comment ref="AG12" authorId="0" shapeId="0">
      <text>
        <t>추정: 이자발생자산 961억 × 2.80%(주석 이자수익 ÷ 평균 이자발생자산(2025Q3~2026Q2)) − 총차입금 1982억 × 3.44%(주석 이자비용 ÷ 평균 총차입금(2025Q3~2026Q2)) (연율) ÷ 4
[interest]</t>
      </text>
    </comment>
    <comment ref="AH12" authorId="0" shapeId="0">
      <text>
        <t>추정: 이자발생자산 1000억 × 2.80%(주석 이자수익 ÷ 평균 이자발생자산(2025Q3~2026Q2)) − 총차입금 1982억 × 3.44%(주석 이자비용 ÷ 평균 총차입금(2025Q3~2026Q2)) (연율) ÷ 4
[interest]</t>
      </text>
    </comment>
    <comment ref="AI12" authorId="0" shapeId="0">
      <text>
        <t>추정: 이자발생자산 1065억 × 2.80%(주석 이자수익 ÷ 평균 이자발생자산(2025Q3~2026Q2)) − 총차입금 1982억 × 3.44%(주석 이자비용 ÷ 평균 총차입금(2025Q3~2026Q2)) (연율) ÷ 4
[interest]</t>
      </text>
    </comment>
    <comment ref="AK12" authorId="0" shapeId="0">
      <text>
        <t>추정: 이자발생자산 1134억 × 2.80%(주석 이자수익 ÷ 평균 이자발생자산(2025Q3~2026Q2)) − 총차입금 1982억 × 3.44%(주석 이자비용 ÷ 평균 총차입금(2025Q3~2026Q2)) (연율) ÷ 4
[interest]</t>
      </text>
    </comment>
    <comment ref="AL12" authorId="0" shapeId="0">
      <text>
        <t>추정: 이자발생자산 1209억 × 2.80%(주석 이자수익 ÷ 평균 이자발생자산(2025Q3~2026Q2)) − 총차입금 1982억 × 3.44%(주석 이자비용 ÷ 평균 총차입금(2025Q3~2026Q2)) (연율) ÷ 4
[interest]</t>
      </text>
    </comment>
    <comment ref="AM12" authorId="0" shapeId="0">
      <text>
        <t>추정: 이자발생자산 1268억 × 2.80%(주석 이자수익 ÷ 평균 이자발생자산(2025Q3~2026Q2)) − 총차입금 1982억 × 3.44%(주석 이자비용 ÷ 평균 총차입금(2025Q3~2026Q2)) (연율) ÷ 4
[interest]</t>
      </text>
    </comment>
    <comment ref="AN12" authorId="0" shapeId="0">
      <text>
        <t>추정: 이자발생자산 1355억 × 2.80%(주석 이자수익 ÷ 평균 이자발생자산(2025Q3~2026Q2)) − 총차입금 1982억 × 3.44%(주석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H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T14" authorId="0" shapeId="0">
      <text>
        <t>BS 계정 합·차: +파생상품이익 -파생상품손실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4분기(2025Q3~2026Q2) 잔차 중위
[abs]</t>
      </text>
    </comment>
    <comment ref="AD15" authorId="0" shapeId="0">
      <text>
        <t>추정: 최근 4분기(2025Q3~2026Q2) 잔차 중위
[abs]</t>
      </text>
    </comment>
    <comment ref="AF15" authorId="0" shapeId="0">
      <text>
        <t>추정: 최근 4분기(2025Q3~2026Q2) 잔차 중위
[abs]</t>
      </text>
    </comment>
    <comment ref="AG15" authorId="0" shapeId="0">
      <text>
        <t>추정: 최근 4분기(2025Q3~2026Q2) 잔차 중위
[abs]</t>
      </text>
    </comment>
    <comment ref="AH15" authorId="0" shapeId="0">
      <text>
        <t>추정: 최근 4분기(2025Q3~2026Q2) 잔차 중위
[abs]</t>
      </text>
    </comment>
    <comment ref="AI15" authorId="0" shapeId="0">
      <text>
        <t>추정: 최근 4분기(2025Q3~2026Q2) 잔차 중위
[abs]</t>
      </text>
    </comment>
    <comment ref="AK15" authorId="0" shapeId="0">
      <text>
        <t>추정: 최근 4분기(2025Q3~2026Q2) 잔차 중위
[abs]</t>
      </text>
    </comment>
    <comment ref="AL15" authorId="0" shapeId="0">
      <text>
        <t>추정: 최근 4분기(2025Q3~2026Q2) 잔차 중위
[abs]</t>
      </text>
    </comment>
    <comment ref="AM15" authorId="0" shapeId="0">
      <text>
        <t>추정: 최근 4분기(2025Q3~2026Q2) 잔차 중위
[abs]</t>
      </text>
    </comment>
    <comment ref="AN15" authorId="0" shapeId="0">
      <text>
        <t>추정: 최근 4분기(2025Q3~2026Q2) 잔차 중위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AC18" authorId="0" shapeId="0">
      <text>
        <t>추정: max(세전, 0) × 세율 11.9%(최근 12분기 유효세율 11.9%(5~27% 안 — 그대로))
[tax]</t>
      </text>
    </comment>
    <comment ref="AD18" authorId="0" shapeId="0">
      <text>
        <t>추정: max(세전, 0) × 세율 11.9%(최근 12분기 유효세율 11.9%(5~27% 안 — 그대로))
[tax]</t>
      </text>
    </comment>
    <comment ref="AF18" authorId="0" shapeId="0">
      <text>
        <t>추정: max(세전, 0) × 세율 11.9%(최근 12분기 유효세율 11.9%(5~27% 안 — 그대로))
[tax]</t>
      </text>
    </comment>
    <comment ref="AG18" authorId="0" shapeId="0">
      <text>
        <t>추정: max(세전, 0) × 세율 11.9%(최근 12분기 유효세율 11.9%(5~27% 안 — 그대로))
[tax]</t>
      </text>
    </comment>
    <comment ref="AH18" authorId="0" shapeId="0">
      <text>
        <t>추정: max(세전, 0) × 세율 11.9%(최근 12분기 유효세율 11.9%(5~27% 안 — 그대로))
[tax]</t>
      </text>
    </comment>
    <comment ref="AI18" authorId="0" shapeId="0">
      <text>
        <t>추정: max(세전, 0) × 세율 11.9%(최근 12분기 유효세율 11.9%(5~27% 안 — 그대로))
[tax]</t>
      </text>
    </comment>
    <comment ref="AK18" authorId="0" shapeId="0">
      <text>
        <t>추정: max(세전, 0) × 세율 11.9%(최근 12분기 유효세율 11.9%(5~27% 안 — 그대로))
[tax]</t>
      </text>
    </comment>
    <comment ref="AL18" authorId="0" shapeId="0">
      <text>
        <t>추정: max(세전, 0) × 세율 11.9%(최근 12분기 유효세율 11.9%(5~27% 안 — 그대로))
[tax]</t>
      </text>
    </comment>
    <comment ref="AM18" authorId="0" shapeId="0">
      <text>
        <t>추정: max(세전, 0) × 세율 11.9%(최근 12분기 유효세율 11.9%(5~27% 안 — 그대로))
[tax]</t>
      </text>
    </comment>
    <comment ref="AN18" authorId="0" shapeId="0">
      <text>
        <t>추정: max(세전, 0) × 세율 11.9%(최근 12분기 유효세율 11.9%(5~27% 안 — 그대로))
[tax]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AC20" authorId="0" shapeId="0">
      <text>
        <t>추정: 당기순이익 × (1 − 비지배 비중 5.8%, 최근 8분기 실측)
[ratio]</t>
      </text>
    </comment>
    <comment ref="AD20" authorId="0" shapeId="0">
      <text>
        <t>추정: 당기순이익 × (1 − 비지배 비중 5.8%, 최근 8분기 실측)
[ratio]</t>
      </text>
    </comment>
    <comment ref="AF20" authorId="0" shapeId="0">
      <text>
        <t>추정: 당기순이익 × (1 − 비지배 비중 5.8%, 최근 8분기 실측)
[ratio]</t>
      </text>
    </comment>
    <comment ref="AG20" authorId="0" shapeId="0">
      <text>
        <t>추정: 당기순이익 × (1 − 비지배 비중 5.8%, 최근 8분기 실측)
[ratio]</t>
      </text>
    </comment>
    <comment ref="AH20" authorId="0" shapeId="0">
      <text>
        <t>추정: 당기순이익 × (1 − 비지배 비중 5.8%, 최근 8분기 실측)
[ratio]</t>
      </text>
    </comment>
    <comment ref="AI20" authorId="0" shapeId="0">
      <text>
        <t>추정: 당기순이익 × (1 − 비지배 비중 5.8%, 최근 8분기 실측)
[ratio]</t>
      </text>
    </comment>
    <comment ref="AK20" authorId="0" shapeId="0">
      <text>
        <t>추정: 당기순이익 × (1 − 비지배 비중 5.8%, 최근 8분기 실측)
[ratio]</t>
      </text>
    </comment>
    <comment ref="AL20" authorId="0" shapeId="0">
      <text>
        <t>추정: 당기순이익 × (1 − 비지배 비중 5.8%, 최근 8분기 실측)
[ratio]</t>
      </text>
    </comment>
    <comment ref="AM20" authorId="0" shapeId="0">
      <text>
        <t>추정: 당기순이익 × (1 − 비지배 비중 5.8%, 최근 8분기 실측)
[ratio]</t>
      </text>
    </comment>
    <comment ref="AN20" authorId="0" shapeId="0">
      <text>
        <t>추정: 당기순이익 × (1 − 비지배 비중 5.8%, 최근 8분기 실측)
[ratio]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AC25" authorId="0" shapeId="0">
      <text>
        <t>추정: 마지막 실적 유지(가정)
[qoq]</t>
      </text>
    </comment>
    <comment ref="AD25" authorId="0" shapeId="0">
      <text>
        <t>추정: 마지막 실적 유지(가정)
[qoq]</t>
      </text>
    </comment>
    <comment ref="AF25" authorId="0" shapeId="0">
      <text>
        <t>추정: 마지막 실적 유지(가정)
[qoq]</t>
      </text>
    </comment>
    <comment ref="AG25" authorId="0" shapeId="0">
      <text>
        <t>추정: 마지막 실적 유지(가정)
[qoq]</t>
      </text>
    </comment>
    <comment ref="AH25" authorId="0" shapeId="0">
      <text>
        <t>추정: 마지막 실적 유지(가정)
[qoq]</t>
      </text>
    </comment>
    <comment ref="AI25" authorId="0" shapeId="0">
      <text>
        <t>추정: 마지막 실적 유지(가정)
[qoq]</t>
      </text>
    </comment>
    <comment ref="AK25" authorId="0" shapeId="0">
      <text>
        <t>추정: 마지막 실적 유지(가정)
[qoq]</t>
      </text>
    </comment>
    <comment ref="AL25" authorId="0" shapeId="0">
      <text>
        <t>추정: 마지막 실적 유지(가정)
[qoq]</t>
      </text>
    </comment>
    <comment ref="AM25" authorId="0" shapeId="0">
      <text>
        <t>추정: 마지막 실적 유지(가정)
[qoq]</t>
      </text>
    </comment>
    <comment ref="AN25" authorId="0" shapeId="0">
      <text>
        <t>추정: 마지막 실적 유지(가정)
[qoq]</t>
      </text>
    </comment>
    <comment ref="AC26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D26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F26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G26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H26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I26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K26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L26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M26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N26" authorId="0" shapeId="0">
      <text>
        <t>추정: 전분기 − FCF 근사[순이익 − 배당(감가상각비 없음 → CAPEX≈감가 가정, CAPEX 중위 0억은 행에만)] (운전자본 불변·총차입금 유지 가정 → 변동은 전부 현금)
[qoq]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AC29" authorId="0" shapeId="0">
      <text>
        <t>추정: 최근 3분기(2025Q1~2025Q3) CAPEX 중위 유지 — 순차입금 롤에 미반영(감가상각비 없음 → CAPEX≈감가 가정)
[yoy]</t>
      </text>
    </comment>
    <comment ref="AD29" authorId="0" shapeId="0">
      <text>
        <t>추정: 최근 3분기(2025Q1~2025Q3) CAPEX 중위 유지 — 순차입금 롤에 미반영(감가상각비 없음 → CAPEX≈감가 가정)
[yoy]</t>
      </text>
    </comment>
    <comment ref="AF29" authorId="0" shapeId="0">
      <text>
        <t>추정: 최근 3분기(2025Q1~2025Q3) CAPEX 중위 유지 — 순차입금 롤에 미반영(감가상각비 없음 → CAPEX≈감가 가정)
[yoy]</t>
      </text>
    </comment>
    <comment ref="AG29" authorId="0" shapeId="0">
      <text>
        <t>추정: 최근 3분기(2025Q1~2025Q3) CAPEX 중위 유지 — 순차입금 롤에 미반영(감가상각비 없음 → CAPEX≈감가 가정)
[yoy]</t>
      </text>
    </comment>
    <comment ref="AH29" authorId="0" shapeId="0">
      <text>
        <t>추정: 최근 3분기(2025Q1~2025Q3) CAPEX 중위 유지 — 순차입금 롤에 미반영(감가상각비 없음 → CAPEX≈감가 가정)
[yoy]</t>
      </text>
    </comment>
    <comment ref="AI29" authorId="0" shapeId="0">
      <text>
        <t>추정: 최근 3분기(2025Q1~2025Q3) CAPEX 중위 유지 — 순차입금 롤에 미반영(감가상각비 없음 → CAPEX≈감가 가정)
[yoy]</t>
      </text>
    </comment>
    <comment ref="AK29" authorId="0" shapeId="0">
      <text>
        <t>추정: 최근 3분기(2025Q1~2025Q3) CAPEX 중위 유지 — 순차입금 롤에 미반영(감가상각비 없음 → CAPEX≈감가 가정)
[yoy]</t>
      </text>
    </comment>
    <comment ref="AL29" authorId="0" shapeId="0">
      <text>
        <t>추정: 최근 3분기(2025Q1~2025Q3) CAPEX 중위 유지 — 순차입금 롤에 미반영(감가상각비 없음 → CAPEX≈감가 가정)
[yoy]</t>
      </text>
    </comment>
    <comment ref="AM29" authorId="0" shapeId="0">
      <text>
        <t>추정: 최근 3분기(2025Q1~2025Q3) CAPEX 중위 유지 — 순차입금 롤에 미반영(감가상각비 없음 → CAPEX≈감가 가정)
[yoy]</t>
      </text>
    </comment>
    <comment ref="AN29" authorId="0" shapeId="0">
      <text>
        <t>추정: 최근 3분기(2025Q1~2025Q3) CAPEX 중위 유지 — 순차입금 롤에 미반영(감가상각비 없음 → CAPEX≈감가 가정)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165원 유지
[abs]</t>
      </text>
    </comment>
    <comment ref="AI34" authorId="0" shapeId="0">
      <text>
        <t>추정: 직전 결산 DPS 165원 유지
[abs]</t>
      </text>
    </comment>
    <comment ref="AN34" authorId="0" shapeId="0">
      <text>
        <t>추정: 직전 결산 DPS 165원 유지
[abs]</t>
      </text>
    </comment>
    <comment ref="AC35" authorId="0" shapeId="0">
      <text>
        <t>추정: 현재 종가 ÷ TTM EPS(추정 포함)
[valuation]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AK35" authorId="0" shapeId="0">
      <text>
        <t>추정: 현재 종가 ÷ TTM EPS(추정 포함)
[valuation]</t>
      </text>
    </comment>
    <comment ref="AL35" authorId="0" shapeId="0">
      <text>
        <t>추정: 현재 종가 ÷ TTM EPS(추정 포함)
[valuation]</t>
      </text>
    </comment>
    <comment ref="AM35" authorId="0" shapeId="0">
      <text>
        <t>추정: 현재 종가 ÷ TTM EPS(추정 포함)
[valuation]</t>
      </text>
    </comment>
    <comment ref="AN35" authorId="0" shapeId="0">
      <text>
        <t>추정: 현재 종가 ÷ TTM EPS(추정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= 매출액(부문 미분리)</t>
      </text>
    </comment>
    <comment ref="G37" authorId="0" shapeId="0">
      <text>
        <t>실측(계정 매핑 없음(파생·부문·시세 행) — 모델값 직접) — = 매출액(부문 미분리)</t>
      </text>
    </comment>
    <comment ref="H37" authorId="0" shapeId="0">
      <text>
        <t>실측(계정 매핑 없음(파생·부문·시세 행) — 모델값 직접) — = 매출액(부문 미분리)</t>
      </text>
    </comment>
    <comment ref="I37" authorId="0" shapeId="0">
      <text>
        <t>실측(계정 매핑 없음(파생·부문·시세 행) — 모델값 직접) — = 매출액(부문 미분리)</t>
      </text>
    </comment>
    <comment ref="J37" authorId="0" shapeId="0">
      <text>
        <t>실측(계정 매핑 없음(파생·부문·시세 행) — 모델값 직접) — = 매출액(부문 미분리)</t>
      </text>
    </comment>
    <comment ref="L37" authorId="0" shapeId="0">
      <text>
        <t>실측(계정 매핑 없음(파생·부문·시세 행) — 모델값 직접) — = 매출액(부문 미분리)</t>
      </text>
    </comment>
    <comment ref="M37" authorId="0" shapeId="0">
      <text>
        <t>실측(계정 매핑 없음(파생·부문·시세 행) — 모델값 직접) — = 매출액(부문 미분리)</t>
      </text>
    </comment>
    <comment ref="N37" authorId="0" shapeId="0">
      <text>
        <t>실측(계정 매핑 없음(파생·부문·시세 행) — 모델값 직접) — = 매출액(부문 미분리)</t>
      </text>
    </comment>
    <comment ref="O37" authorId="0" shapeId="0">
      <text>
        <t>실측(계정 매핑 없음(파생·부문·시세 행) — 모델값 직접) — = 매출액(부문 미분리)</t>
      </text>
    </comment>
    <comment ref="Q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실측(계정 매핑 없음(파생·부문·시세 행) — 모델값 직접) — = 매출액(부문 미분리)</t>
      </text>
    </comment>
    <comment ref="Y37" authorId="0" shapeId="0">
      <text>
        <t>실측(계정 매핑 없음(파생·부문·시세 행) — 모델값 직접) — = 매출액(부문 미분리)</t>
      </text>
    </comment>
    <comment ref="AA37" authorId="0" shapeId="0">
      <text>
        <t>실측(계정 매핑 없음(파생·부문·시세 행) — 모델값 직접) — = 매출액(부문 미분리)</t>
      </text>
    </comment>
    <comment ref="AB37" authorId="0" shapeId="0">
      <text>
        <t>실측(계정 매핑 없음(파생·부문·시세 행) — 모델값 직접) — = 매출액(부문 미분리)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AK37" authorId="0" shapeId="0">
      <text>
        <t>추정: = 매출액 추정(부문 미분리)
[identity]</t>
      </text>
    </comment>
    <comment ref="AL37" authorId="0" shapeId="0">
      <text>
        <t>추정: = 매출액 추정(부문 미분리)
[identity]</t>
      </text>
    </comment>
    <comment ref="AM37" authorId="0" shapeId="0">
      <text>
        <t>추정: = 매출액 추정(부문 미분리)
[identity]</t>
      </text>
    </comment>
    <comment ref="AN37" authorId="0" shapeId="0">
      <text>
        <t>추정: = 매출액 추정(부문 미분리)
[identity]</t>
      </text>
    </comment>
    <comment ref="E38" authorId="0" shapeId="0">
      <text>
        <t>실측(계정 매핑 없음(파생·부문·시세 행) — 모델값 직접) — = 영업이익(부문 미분리)</t>
      </text>
    </comment>
    <comment ref="G38" authorId="0" shapeId="0">
      <text>
        <t>실측(계정 매핑 없음(파생·부문·시세 행) — 모델값 직접) — = 영업이익(부문 미분리)</t>
      </text>
    </comment>
    <comment ref="H38" authorId="0" shapeId="0">
      <text>
        <t>실측(계정 매핑 없음(파생·부문·시세 행) — 모델값 직접) — = 영업이익(부문 미분리)</t>
      </text>
    </comment>
    <comment ref="I38" authorId="0" shapeId="0">
      <text>
        <t>실측(계정 매핑 없음(파생·부문·시세 행) — 모델값 직접) — = 영업이익(부문 미분리)</t>
      </text>
    </comment>
    <comment ref="J38" authorId="0" shapeId="0">
      <text>
        <t>실측(계정 매핑 없음(파생·부문·시세 행) — 모델값 직접) — = 영업이익(부문 미분리)</t>
      </text>
    </comment>
    <comment ref="L38" authorId="0" shapeId="0">
      <text>
        <t>실측(계정 매핑 없음(파생·부문·시세 행) — 모델값 직접) — = 영업이익(부문 미분리)</t>
      </text>
    </comment>
    <comment ref="M38" authorId="0" shapeId="0">
      <text>
        <t>실측(계정 매핑 없음(파생·부문·시세 행) — 모델값 직접) — = 영업이익(부문 미분리)</t>
      </text>
    </comment>
    <comment ref="N38" authorId="0" shapeId="0">
      <text>
        <t>실측(계정 매핑 없음(파생·부문·시세 행) — 모델값 직접) — = 영업이익(부문 미분리)</t>
      </text>
    </comment>
    <comment ref="O38" authorId="0" shapeId="0">
      <text>
        <t>실측(계정 매핑 없음(파생·부문·시세 행) — 모델값 직접) — = 영업이익(부문 미분리)</t>
      </text>
    </comment>
    <comment ref="Q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실측(계정 매핑 없음(파생·부문·시세 행) — 모델값 직접) — = 영업이익(부문 미분리)</t>
      </text>
    </comment>
    <comment ref="Y38" authorId="0" shapeId="0">
      <text>
        <t>실측(계정 매핑 없음(파생·부문·시세 행) — 모델값 직접) — = 영업이익(부문 미분리)</t>
      </text>
    </comment>
    <comment ref="AA38" authorId="0" shapeId="0">
      <text>
        <t>실측(계정 매핑 없음(파생·부문·시세 행) — 모델값 직접) — = 영업이익(부문 미분리)</t>
      </text>
    </comment>
    <comment ref="AB38" authorId="0" shapeId="0">
      <text>
        <t>실측(계정 매핑 없음(파생·부문·시세 행) — 모델값 직접) — = 영업이익(부문 미분리)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  <comment ref="AK38" authorId="0" shapeId="0">
      <text>
        <t>추정: = 매출액 × OPM(부문 미분리)
[identity]</t>
      </text>
    </comment>
    <comment ref="AL38" authorId="0" shapeId="0">
      <text>
        <t>추정: = 매출액 × OPM(부문 미분리)
[identity]</t>
      </text>
    </comment>
    <comment ref="AM38" authorId="0" shapeId="0">
      <text>
        <t>추정: = 매출액 × OPM(부문 미분리)
[identity]</t>
      </text>
    </comment>
    <comment ref="AN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삼영엠텍(054540) 실적 모델 — ARGUS 한국조선</t>
        </is>
      </c>
    </row>
    <row r="2">
      <c r="A2" t="inlineStr">
        <is>
          <t>기준 분기 2026Q2 · 마지막 실적 2026Q2 · 생성 2026-10-12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11.95% — 법인세 = MAX(세전,0) × 세율, 추정 전 분기 연결(Σ법인세/Σmax(세전,0) 역산, 재현 오차 ≤ 0.05억). 모델 가정 11.95% · 근거: 최근 12분기 유효세율 11.9%(5~27% 안 — 그대로)</t>
        </is>
      </c>
    </row>
    <row r="23">
      <c r="A23" t="inlineStr">
        <is>
          <t>· 판관비율 9.80% — 판관비 = 매출액 × 판관비율, 추정 전 분기 연결</t>
        </is>
      </c>
    </row>
    <row r="24">
      <c r="A24" t="inlineStr">
        <is>
          <t>· 지배주주 비중 94.2% — 지배주주순이익 = 당기순이익 × 비중, 추정 전 분기 연결</t>
        </is>
      </c>
    </row>
    <row r="25">
      <c r="A25" t="inlineStr">
        <is>
          <t>· 이자율 자산 2.80% / 부채 3.44% — 이자손익 = (전분기 이자발생자산 × 자산이자율 − 전분기 총차입금 × 부채이자율)/4, 최소자승 역산(모델 assumptions [0.028, 0.0344]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8.2/9.0/11.4배(hist_quarterly(분기 평균가 ÷ TTM EPS, 12분기,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assets/models/054540.json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감가상각비가 face·CF 에 없음(주석 미파싱) → EBITDA·EV/EBITDA 미산출</t>
        </is>
      </c>
    </row>
    <row r="34">
      <c r="A34" t="inlineStr">
        <is>
          <t>백테스트: {"freeze": "2025Q2", "horizon": 4, "revenue_wape_pct": 62.3, "op_wape_pct": 35.9, "n": 4, "note": "단일 회사 4분기 — 통계 아님", "driver_at_freeze": "customer_yard_revenue_weighted", "selection_oos_at_freeze": {"freeze": "2024Q2", "n": 4, "wape_link": 5.6, "wape_trend": 19.9, "adopted": true, "decision": "adopted"},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348.44, "rev_act": 294.69, "op_pred": 34.47, "op_act": 34.11}, {"q": "2025Q4", "rev_pred": 345.4, "rev_act": 330.21, "op_pred": 34.17, "op_act": 15.02}, {"q": "2026Q1", "rev_pred": 307.05, "rev_act": 1309.1, "op_pred": 30.38, "op_act": 56.09}, {"q": "2026Q2", "rev_pred": 361.15, "rev_act": 1313.93, "op_pred": 35.73, "op_act": 31.76}]}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4480</v>
      </c>
      <c r="F15" s="9" t="n"/>
      <c r="G15" s="18" t="n">
        <v>4985</v>
      </c>
      <c r="H15" s="18" t="n">
        <v>4380</v>
      </c>
      <c r="I15" s="18" t="n">
        <v>4100</v>
      </c>
      <c r="J15" s="18" t="n">
        <v>3650</v>
      </c>
      <c r="K15" s="9" t="n"/>
      <c r="L15" s="18" t="n">
        <v>3735</v>
      </c>
      <c r="M15" s="18" t="n">
        <v>4120</v>
      </c>
      <c r="N15" s="18" t="n">
        <v>3965</v>
      </c>
      <c r="O15" s="18" t="n">
        <v>4215</v>
      </c>
      <c r="P15" s="9" t="n"/>
      <c r="Q15" s="18" t="n">
        <v>3960</v>
      </c>
      <c r="R15" s="18" t="n">
        <v>4695</v>
      </c>
      <c r="S15" s="18" t="n">
        <v>4150</v>
      </c>
      <c r="T15" s="18" t="n">
        <v>4605</v>
      </c>
      <c r="U15" s="9" t="n"/>
      <c r="V15" s="18" t="n">
        <v>4420</v>
      </c>
      <c r="W15" s="18" t="n">
        <v>5850</v>
      </c>
      <c r="X15" s="18" t="n">
        <v>11590</v>
      </c>
      <c r="Y15" s="18" t="n">
        <v>13750</v>
      </c>
      <c r="Z15" s="9" t="n"/>
      <c r="AA15" s="18" t="n">
        <v>10480</v>
      </c>
      <c r="AB15" s="19" t="n">
        <v>7330</v>
      </c>
      <c r="AC15" s="20" t="n">
        <v>6800</v>
      </c>
      <c r="AD15" s="20" t="n">
        <v>6290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5460</v>
      </c>
      <c r="F16" s="9" t="n"/>
      <c r="G16" s="18" t="n">
        <v>5610</v>
      </c>
      <c r="H16" s="18" t="n">
        <v>6810</v>
      </c>
      <c r="I16" s="18" t="n">
        <v>6170</v>
      </c>
      <c r="J16" s="18" t="n">
        <v>4340</v>
      </c>
      <c r="K16" s="9" t="n"/>
      <c r="L16" s="18" t="n">
        <v>4550</v>
      </c>
      <c r="M16" s="18" t="n">
        <v>4320</v>
      </c>
      <c r="N16" s="18" t="n">
        <v>4720</v>
      </c>
      <c r="O16" s="18" t="n">
        <v>4670</v>
      </c>
      <c r="P16" s="9" t="n"/>
      <c r="Q16" s="18" t="n">
        <v>4860</v>
      </c>
      <c r="R16" s="18" t="n">
        <v>4745</v>
      </c>
      <c r="S16" s="18" t="n">
        <v>6110</v>
      </c>
      <c r="T16" s="18" t="n">
        <v>4825</v>
      </c>
      <c r="U16" s="9" t="n"/>
      <c r="V16" s="18" t="n">
        <v>5430</v>
      </c>
      <c r="W16" s="18" t="n">
        <v>6270</v>
      </c>
      <c r="X16" s="18" t="n">
        <v>16400</v>
      </c>
      <c r="Y16" s="18" t="n">
        <v>22800</v>
      </c>
      <c r="Z16" s="9" t="n"/>
      <c r="AA16" s="18" t="n">
        <v>16820</v>
      </c>
      <c r="AB16" s="19" t="n">
        <v>15840</v>
      </c>
      <c r="AC16" s="20" t="n">
        <v>8170</v>
      </c>
      <c r="AD16" s="20" t="n">
        <v>7470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3925</v>
      </c>
      <c r="F17" s="9" t="n"/>
      <c r="G17" s="18" t="n">
        <v>3930</v>
      </c>
      <c r="H17" s="18" t="n">
        <v>3735</v>
      </c>
      <c r="I17" s="18" t="n">
        <v>3930</v>
      </c>
      <c r="J17" s="18" t="n">
        <v>3620</v>
      </c>
      <c r="K17" s="9" t="n"/>
      <c r="L17" s="18" t="n">
        <v>3390</v>
      </c>
      <c r="M17" s="18" t="n">
        <v>3540</v>
      </c>
      <c r="N17" s="18" t="n">
        <v>3800</v>
      </c>
      <c r="O17" s="18" t="n">
        <v>3580</v>
      </c>
      <c r="P17" s="9" t="n"/>
      <c r="Q17" s="18" t="n">
        <v>3860</v>
      </c>
      <c r="R17" s="18" t="n">
        <v>3575</v>
      </c>
      <c r="S17" s="18" t="n">
        <v>3830</v>
      </c>
      <c r="T17" s="18" t="n">
        <v>3575</v>
      </c>
      <c r="U17" s="9" t="n"/>
      <c r="V17" s="18" t="n">
        <v>4420</v>
      </c>
      <c r="W17" s="18" t="n">
        <v>4310</v>
      </c>
      <c r="X17" s="18" t="n">
        <v>5000</v>
      </c>
      <c r="Y17" s="18" t="n">
        <v>10760</v>
      </c>
      <c r="Z17" s="9" t="n"/>
      <c r="AA17" s="18" t="n">
        <v>10300</v>
      </c>
      <c r="AB17" s="19" t="n">
        <v>6750</v>
      </c>
      <c r="AC17" s="20" t="n">
        <v>5160</v>
      </c>
      <c r="AD17" s="20" t="n">
        <v>6250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4685.2</v>
      </c>
      <c r="F18" s="9" t="n"/>
      <c r="G18" s="18" t="n">
        <v>4567.9</v>
      </c>
      <c r="H18" s="18" t="n">
        <v>4971.8</v>
      </c>
      <c r="I18" s="18" t="n">
        <v>5121.1</v>
      </c>
      <c r="J18" s="18" t="n">
        <v>4022.3</v>
      </c>
      <c r="K18" s="9" t="n"/>
      <c r="L18" s="18" t="n">
        <v>3852.3</v>
      </c>
      <c r="M18" s="18" t="n">
        <v>3907.4</v>
      </c>
      <c r="N18" s="18" t="n">
        <v>4167.3</v>
      </c>
      <c r="O18" s="18" t="n">
        <v>4048.8</v>
      </c>
      <c r="P18" s="9" t="n"/>
      <c r="Q18" s="18" t="n">
        <v>4004</v>
      </c>
      <c r="R18" s="18" t="n">
        <v>4221.4</v>
      </c>
      <c r="S18" s="18" t="n">
        <v>4674.1</v>
      </c>
      <c r="T18" s="18" t="n">
        <v>4204</v>
      </c>
      <c r="U18" s="9" t="n"/>
      <c r="V18" s="18" t="n">
        <v>4864</v>
      </c>
      <c r="W18" s="18" t="n">
        <v>5246.2</v>
      </c>
      <c r="X18" s="18" t="n">
        <v>8077.4</v>
      </c>
      <c r="Y18" s="18" t="n">
        <v>15289.7</v>
      </c>
      <c r="Z18" s="9" t="n"/>
      <c r="AA18" s="18" t="n">
        <v>13559.5</v>
      </c>
      <c r="AB18" s="19" t="n">
        <v>10661.1</v>
      </c>
      <c r="AC18" s="20" t="n">
        <v>6596.1</v>
      </c>
      <c r="AD18" s="20" t="n">
        <v>6911.7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1.943788373</v>
      </c>
      <c r="AD21" s="24" t="n">
        <v>1.736190266</v>
      </c>
      <c r="AE21" s="25" t="n"/>
      <c r="AF21" s="24" t="n">
        <v>-0.301037814</v>
      </c>
      <c r="AG21" s="24" t="n">
        <v>-0.285388818</v>
      </c>
      <c r="AH21" s="24" t="n">
        <v>0.138373045</v>
      </c>
      <c r="AI21" s="24" t="n">
        <v>0.153401733</v>
      </c>
      <c r="AJ21" s="25" t="n"/>
      <c r="AK21" s="24" t="n">
        <v>0.210598791</v>
      </c>
      <c r="AL21" s="24" t="n">
        <v>0.252697162</v>
      </c>
      <c r="AM21" s="24" t="n">
        <v>0.263986634</v>
      </c>
      <c r="AN21" s="24" t="n">
        <v>0.252957941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$D$51</f>
        <v/>
      </c>
      <c r="AD22" s="26">
        <f>$D$51</f>
        <v/>
      </c>
      <c r="AE22" s="25">
        <f>IFERROR(subQ!AE8/subQ!AE5,"")</f>
        <v/>
      </c>
      <c r="AF22" s="26">
        <f>$D$51</f>
        <v/>
      </c>
      <c r="AG22" s="26">
        <f>$D$51</f>
        <v/>
      </c>
      <c r="AH22" s="26">
        <f>$D$51</f>
        <v/>
      </c>
      <c r="AI22" s="26">
        <f>$D$51</f>
        <v/>
      </c>
      <c r="AJ22" s="25">
        <f>IFERROR(subQ!AJ8/subQ!AJ5,"")</f>
        <v/>
      </c>
      <c r="AK22" s="26">
        <f>$D$51</f>
        <v/>
      </c>
      <c r="AL22" s="26">
        <f>$D$51</f>
        <v/>
      </c>
      <c r="AM22" s="26">
        <f>$D$51</f>
        <v/>
      </c>
      <c r="AN22" s="26">
        <f>$D$51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0.089255455</v>
      </c>
      <c r="AD23" s="24" t="n">
        <v>0.089262985</v>
      </c>
      <c r="AE23" s="25">
        <f>IFERROR(subQ!AE9/subQ!AE5,"")</f>
        <v/>
      </c>
      <c r="AF23" s="24" t="n">
        <v>0.089255855</v>
      </c>
      <c r="AG23" s="24" t="n">
        <v>0.089259279</v>
      </c>
      <c r="AH23" s="24" t="n">
        <v>0.089261303</v>
      </c>
      <c r="AI23" s="24" t="n">
        <v>0.08926120999999999</v>
      </c>
      <c r="AJ23" s="25">
        <f>IFERROR(subQ!AJ9/subQ!AJ5,"")</f>
        <v/>
      </c>
      <c r="AK23" s="24" t="n">
        <v>0.089256213</v>
      </c>
      <c r="AL23" s="24" t="n">
        <v>0.089260512</v>
      </c>
      <c r="AM23" s="24" t="n">
        <v>0.089260965</v>
      </c>
      <c r="AN23" s="24" t="n">
        <v>0.089253439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-4.7</v>
      </c>
      <c r="AD26" s="30" t="n">
        <v>-4.7</v>
      </c>
      <c r="AE26" s="31">
        <f>subQ!AE15</f>
        <v/>
      </c>
      <c r="AF26" s="30" t="n">
        <v>-4.7</v>
      </c>
      <c r="AG26" s="30" t="n">
        <v>-4.7</v>
      </c>
      <c r="AH26" s="30" t="n">
        <v>-4.7</v>
      </c>
      <c r="AI26" s="30" t="n">
        <v>-4.7</v>
      </c>
      <c r="AJ26" s="31">
        <f>subQ!AJ15</f>
        <v/>
      </c>
      <c r="AK26" s="30" t="n">
        <v>-4.7</v>
      </c>
      <c r="AL26" s="30" t="n">
        <v>-4.7</v>
      </c>
      <c r="AM26" s="30" t="n">
        <v>-4.7</v>
      </c>
      <c r="AN26" s="30" t="n">
        <v>-4.7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세율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1">
        <f>IFERROR(subQ!R18/subQ!R17,"")</f>
        <v/>
      </c>
      <c r="S28" s="21">
        <f>IFERROR(subQ!S18/subQ!S17,"")</f>
        <v/>
      </c>
      <c r="T28" s="21">
        <f>IFERROR(subQ!T18/subQ!T17,"")</f>
        <v/>
      </c>
      <c r="U28" s="22">
        <f>IFERROR(subQ!U18/subQ!U17,"")</f>
        <v/>
      </c>
      <c r="V28" s="21">
        <f>IFERROR(subQ!V18/subQ!V17,"")</f>
        <v/>
      </c>
      <c r="W28" s="21">
        <f>IFERROR(subQ!W18/subQ!W17,"")</f>
        <v/>
      </c>
      <c r="X28" s="21">
        <f>IFERROR(subQ!X18/subQ!X17,"")</f>
        <v/>
      </c>
      <c r="Y28" s="21">
        <f>IFERROR(subQ!Y18/subQ!Y17,"")</f>
        <v/>
      </c>
      <c r="Z28" s="22">
        <f>IFERROR(subQ!Z18/subQ!Z17,"")</f>
        <v/>
      </c>
      <c r="AA28" s="21">
        <f>IFERROR(subQ!AA18/subQ!AA17,"")</f>
        <v/>
      </c>
      <c r="AB28" s="23">
        <f>IFERROR(subQ!AB18/subQ!AB17,"")</f>
        <v/>
      </c>
      <c r="AC28" s="26">
        <f>$D$50</f>
        <v/>
      </c>
      <c r="AD28" s="26">
        <f>$D$50</f>
        <v/>
      </c>
      <c r="AE28" s="25">
        <f>IFERROR(subQ!AE18/subQ!AE17,"")</f>
        <v/>
      </c>
      <c r="AF28" s="26">
        <f>$D$50</f>
        <v/>
      </c>
      <c r="AG28" s="26">
        <f>$D$50</f>
        <v/>
      </c>
      <c r="AH28" s="26">
        <f>$D$50</f>
        <v/>
      </c>
      <c r="AI28" s="26">
        <f>$D$50</f>
        <v/>
      </c>
      <c r="AJ28" s="25">
        <f>IFERROR(subQ!AJ18/subQ!AJ17,"")</f>
        <v/>
      </c>
      <c r="AK28" s="26">
        <f>$D$50</f>
        <v/>
      </c>
      <c r="AL28" s="26">
        <f>$D$50</f>
        <v/>
      </c>
      <c r="AM28" s="26">
        <f>$D$50</f>
        <v/>
      </c>
      <c r="AN28" s="26">
        <f>$D$50</f>
        <v/>
      </c>
      <c r="AO28" s="25">
        <f>IFERROR(subQ!AO18/subQ!AO17,"")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1">
        <f>IFERROR(subQ!R20/subQ!R19,"")</f>
        <v/>
      </c>
      <c r="S29" s="21">
        <f>IFERROR(subQ!S20/subQ!S19,"")</f>
        <v/>
      </c>
      <c r="T29" s="21">
        <f>IFERROR(subQ!T20/subQ!T19,"")</f>
        <v/>
      </c>
      <c r="U29" s="22">
        <f>IFERROR(subQ!U20/subQ!U19,"")</f>
        <v/>
      </c>
      <c r="V29" s="21">
        <f>IFERROR(subQ!V20/subQ!V19,"")</f>
        <v/>
      </c>
      <c r="W29" s="21">
        <f>IFERROR(subQ!W20/subQ!W19,"")</f>
        <v/>
      </c>
      <c r="X29" s="21">
        <f>IFERROR(subQ!X20/subQ!X19,"")</f>
        <v/>
      </c>
      <c r="Y29" s="21">
        <f>IFERROR(subQ!Y20/subQ!Y19,"")</f>
        <v/>
      </c>
      <c r="Z29" s="22">
        <f>IFERROR(subQ!Z20/subQ!Z19,"")</f>
        <v/>
      </c>
      <c r="AA29" s="21">
        <f>IFERROR(subQ!AA20/subQ!AA19,"")</f>
        <v/>
      </c>
      <c r="AB29" s="23">
        <f>IFERROR(subQ!AB20/subQ!AB19,"")</f>
        <v/>
      </c>
      <c r="AC29" s="26">
        <f>$D$52</f>
        <v/>
      </c>
      <c r="AD29" s="26">
        <f>$D$52</f>
        <v/>
      </c>
      <c r="AE29" s="25">
        <f>IFERROR(subQ!AE20/subQ!AE19,"")</f>
        <v/>
      </c>
      <c r="AF29" s="26">
        <f>$D$52</f>
        <v/>
      </c>
      <c r="AG29" s="26">
        <f>$D$52</f>
        <v/>
      </c>
      <c r="AH29" s="26">
        <f>$D$52</f>
        <v/>
      </c>
      <c r="AI29" s="26">
        <f>$D$52</f>
        <v/>
      </c>
      <c r="AJ29" s="25">
        <f>IFERROR(subQ!AJ20/subQ!AJ19,"")</f>
        <v/>
      </c>
      <c r="AK29" s="26">
        <f>$D$52</f>
        <v/>
      </c>
      <c r="AL29" s="26">
        <f>$D$52</f>
        <v/>
      </c>
      <c r="AM29" s="26">
        <f>$D$52</f>
        <v/>
      </c>
      <c r="AN29" s="26">
        <f>$D$52</f>
        <v/>
      </c>
      <c r="AO29" s="25">
        <f>IFERROR(subQ!AO20/subQ!AO19,"")</f>
        <v/>
      </c>
    </row>
    <row r="30">
      <c r="A30" s="12" t="inlineStr">
        <is>
          <t>drv:부채총계</t>
        </is>
      </c>
      <c r="B30" s="2" t="inlineStr">
        <is>
          <t>qoq</t>
        </is>
      </c>
      <c r="C30" t="inlineStr">
        <is>
          <t>부채총계 QoQ</t>
        </is>
      </c>
      <c r="E30" s="21" t="n"/>
      <c r="F30" s="22" t="n"/>
      <c r="G30" s="21">
        <f>IFERROR(subQ!G22/subQ!E22-1,"")</f>
        <v/>
      </c>
      <c r="H30" s="21">
        <f>IFERROR(subQ!H22/subQ!G22-1,"")</f>
        <v/>
      </c>
      <c r="I30" s="21">
        <f>IFERROR(subQ!I22/subQ!H22-1,"")</f>
        <v/>
      </c>
      <c r="J30" s="21">
        <f>IFERROR(subQ!J22/subQ!I22-1,"")</f>
        <v/>
      </c>
      <c r="K30" s="22" t="n"/>
      <c r="L30" s="21">
        <f>IFERROR(subQ!L22/subQ!J22-1,"")</f>
        <v/>
      </c>
      <c r="M30" s="21">
        <f>IFERROR(subQ!M22/subQ!L22-1,"")</f>
        <v/>
      </c>
      <c r="N30" s="21">
        <f>IFERROR(subQ!N22/subQ!M22-1,"")</f>
        <v/>
      </c>
      <c r="O30" s="21">
        <f>IFERROR(subQ!O22/subQ!N22-1,"")</f>
        <v/>
      </c>
      <c r="P30" s="22" t="n"/>
      <c r="Q30" s="21">
        <f>IFERROR(subQ!Q22/subQ!O22-1,"")</f>
        <v/>
      </c>
      <c r="R30" s="21">
        <f>IFERROR(subQ!R22/subQ!Q22-1,"")</f>
        <v/>
      </c>
      <c r="S30" s="21">
        <f>IFERROR(subQ!S22/subQ!R22-1,"")</f>
        <v/>
      </c>
      <c r="T30" s="21">
        <f>IFERROR(subQ!T22/subQ!S22-1,"")</f>
        <v/>
      </c>
      <c r="U30" s="22" t="n"/>
      <c r="V30" s="21">
        <f>IFERROR(subQ!V22/subQ!T22-1,"")</f>
        <v/>
      </c>
      <c r="W30" s="21">
        <f>IFERROR(subQ!W22/subQ!V22-1,"")</f>
        <v/>
      </c>
      <c r="X30" s="21">
        <f>IFERROR(subQ!X22/subQ!W22-1,"")</f>
        <v/>
      </c>
      <c r="Y30" s="21">
        <f>IFERROR(subQ!Y22/subQ!X22-1,"")</f>
        <v/>
      </c>
      <c r="Z30" s="22" t="n"/>
      <c r="AA30" s="21">
        <f>IFERROR(subQ!AA22/subQ!Y22-1,"")</f>
        <v/>
      </c>
      <c r="AB30" s="23">
        <f>IFERROR(subQ!AB22/subQ!AA22-1,"")</f>
        <v/>
      </c>
      <c r="AC30" s="24" t="n">
        <v>2.14e-07</v>
      </c>
      <c r="AD30" s="24" t="n">
        <v>0</v>
      </c>
      <c r="AE30" s="25" t="n"/>
      <c r="AF30" s="24" t="n">
        <v>0</v>
      </c>
      <c r="AG30" s="24" t="n">
        <v>0</v>
      </c>
      <c r="AH30" s="24" t="n">
        <v>0</v>
      </c>
      <c r="AI30" s="24" t="n">
        <v>0</v>
      </c>
      <c r="AJ30" s="25" t="n"/>
      <c r="AK30" s="24" t="n">
        <v>0</v>
      </c>
      <c r="AL30" s="24" t="n">
        <v>0</v>
      </c>
      <c r="AM30" s="24" t="n">
        <v>0</v>
      </c>
      <c r="AN30" s="24" t="n">
        <v>0</v>
      </c>
      <c r="AO30" s="25" t="n"/>
    </row>
    <row r="31">
      <c r="A31" s="12" t="inlineStr">
        <is>
          <t>drv:자본총계</t>
        </is>
      </c>
      <c r="B31" s="2" t="inlineStr">
        <is>
          <t>roll</t>
        </is>
      </c>
      <c r="C31" t="inlineStr">
        <is>
          <t>자본총계 기타변동(배당 등, 억원)</t>
        </is>
      </c>
      <c r="E31" s="27" t="n"/>
      <c r="F31" s="28" t="n"/>
      <c r="G31" s="27">
        <f>IFERROR(subQ!E23+subQ!G19-subQ!G23,"")</f>
        <v/>
      </c>
      <c r="H31" s="27">
        <f>IFERROR(subQ!G23+subQ!H19-subQ!H23,"")</f>
        <v/>
      </c>
      <c r="I31" s="27">
        <f>IFERROR(subQ!H23+subQ!I19-subQ!I23,"")</f>
        <v/>
      </c>
      <c r="J31" s="27">
        <f>IFERROR(subQ!I23+subQ!J19-subQ!J23,"")</f>
        <v/>
      </c>
      <c r="K31" s="28" t="n"/>
      <c r="L31" s="27">
        <f>IFERROR(subQ!J23+subQ!L19-subQ!L23,"")</f>
        <v/>
      </c>
      <c r="M31" s="27">
        <f>IFERROR(subQ!L23+subQ!M19-subQ!M23,"")</f>
        <v/>
      </c>
      <c r="N31" s="27">
        <f>IFERROR(subQ!M23+subQ!N19-subQ!N23,"")</f>
        <v/>
      </c>
      <c r="O31" s="27">
        <f>IFERROR(subQ!N23+subQ!O19-subQ!O23,"")</f>
        <v/>
      </c>
      <c r="P31" s="28" t="n"/>
      <c r="Q31" s="27">
        <f>IFERROR(subQ!O23+subQ!Q19-subQ!Q23,"")</f>
        <v/>
      </c>
      <c r="R31" s="27">
        <f>IFERROR(subQ!Q23+subQ!R19-subQ!R23,"")</f>
        <v/>
      </c>
      <c r="S31" s="27">
        <f>IFERROR(subQ!R23+subQ!S19-subQ!S23,"")</f>
        <v/>
      </c>
      <c r="T31" s="27">
        <f>IFERROR(subQ!S23+subQ!T19-subQ!T23,"")</f>
        <v/>
      </c>
      <c r="U31" s="28" t="n"/>
      <c r="V31" s="27">
        <f>IFERROR(subQ!T23+subQ!V19-subQ!V23,"")</f>
        <v/>
      </c>
      <c r="W31" s="27">
        <f>IFERROR(subQ!V23+subQ!W19-subQ!W23,"")</f>
        <v/>
      </c>
      <c r="X31" s="27">
        <f>IFERROR(subQ!W23+subQ!X19-subQ!X23,"")</f>
        <v/>
      </c>
      <c r="Y31" s="27">
        <f>IFERROR(subQ!X23+subQ!Y19-subQ!Y23,"")</f>
        <v/>
      </c>
      <c r="Z31" s="28" t="n"/>
      <c r="AA31" s="27">
        <f>IFERROR(subQ!Y23+subQ!AA19-subQ!AA23,"")</f>
        <v/>
      </c>
      <c r="AB31" s="29">
        <f>IFERROR(subQ!AA23+subQ!AB19-subQ!AB23,"")</f>
        <v/>
      </c>
      <c r="AC31" s="30" t="n">
        <v>-0.007330743</v>
      </c>
      <c r="AD31" s="30" t="n">
        <v>0.002684832</v>
      </c>
      <c r="AE31" s="31" t="n"/>
      <c r="AF31" s="30" t="n">
        <v>0.002550687</v>
      </c>
      <c r="AG31" s="30" t="n">
        <v>21.446243074</v>
      </c>
      <c r="AH31" s="30" t="n">
        <v>-0.001202619</v>
      </c>
      <c r="AI31" s="30" t="n">
        <v>-0.004803738</v>
      </c>
      <c r="AJ31" s="31" t="n"/>
      <c r="AK31" s="30" t="n">
        <v>0.003342605</v>
      </c>
      <c r="AL31" s="30" t="n">
        <v>21.443670064</v>
      </c>
      <c r="AM31" s="30" t="n">
        <v>0.000849031</v>
      </c>
      <c r="AN31" s="30" t="n">
        <v>-0.006215851</v>
      </c>
      <c r="AO31" s="31" t="n"/>
    </row>
    <row r="32">
      <c r="A32" s="12" t="inlineStr">
        <is>
          <t>drv:지배주주지분</t>
        </is>
      </c>
      <c r="B32" s="2" t="inlineStr">
        <is>
          <t>roll</t>
        </is>
      </c>
      <c r="C32" t="inlineStr">
        <is>
          <t>지배주주지분 기타변동(배당 등, 억원)</t>
        </is>
      </c>
      <c r="E32" s="27" t="n"/>
      <c r="F32" s="28" t="n"/>
      <c r="G32" s="27">
        <f>IFERROR(subQ!E24+subQ!G20-subQ!G24,"")</f>
        <v/>
      </c>
      <c r="H32" s="27">
        <f>IFERROR(subQ!G24+subQ!H20-subQ!H24,"")</f>
        <v/>
      </c>
      <c r="I32" s="27">
        <f>IFERROR(subQ!H24+subQ!I20-subQ!I24,"")</f>
        <v/>
      </c>
      <c r="J32" s="27">
        <f>IFERROR(subQ!I24+subQ!J20-subQ!J24,"")</f>
        <v/>
      </c>
      <c r="K32" s="28" t="n"/>
      <c r="L32" s="27">
        <f>IFERROR(subQ!J24+subQ!L20-subQ!L24,"")</f>
        <v/>
      </c>
      <c r="M32" s="27">
        <f>IFERROR(subQ!L24+subQ!M20-subQ!M24,"")</f>
        <v/>
      </c>
      <c r="N32" s="27">
        <f>IFERROR(subQ!M24+subQ!N20-subQ!N24,"")</f>
        <v/>
      </c>
      <c r="O32" s="27">
        <f>IFERROR(subQ!N24+subQ!O20-subQ!O24,"")</f>
        <v/>
      </c>
      <c r="P32" s="28" t="n"/>
      <c r="Q32" s="27">
        <f>IFERROR(subQ!O24+subQ!Q20-subQ!Q24,"")</f>
        <v/>
      </c>
      <c r="R32" s="27">
        <f>IFERROR(subQ!Q24+subQ!R20-subQ!R24,"")</f>
        <v/>
      </c>
      <c r="S32" s="27">
        <f>IFERROR(subQ!R24+subQ!S20-subQ!S24,"")</f>
        <v/>
      </c>
      <c r="T32" s="27">
        <f>IFERROR(subQ!S24+subQ!T20-subQ!T24,"")</f>
        <v/>
      </c>
      <c r="U32" s="28" t="n"/>
      <c r="V32" s="27">
        <f>IFERROR(subQ!T24+subQ!V20-subQ!V24,"")</f>
        <v/>
      </c>
      <c r="W32" s="27">
        <f>IFERROR(subQ!V24+subQ!W20-subQ!W24,"")</f>
        <v/>
      </c>
      <c r="X32" s="27">
        <f>IFERROR(subQ!W24+subQ!X20-subQ!X24,"")</f>
        <v/>
      </c>
      <c r="Y32" s="27">
        <f>IFERROR(subQ!X24+subQ!Y20-subQ!Y24,"")</f>
        <v/>
      </c>
      <c r="Z32" s="28" t="n"/>
      <c r="AA32" s="27">
        <f>IFERROR(subQ!Y24+subQ!AA20-subQ!AA24,"")</f>
        <v/>
      </c>
      <c r="AB32" s="29">
        <f>IFERROR(subQ!AA24+subQ!AB20-subQ!AB24,"")</f>
        <v/>
      </c>
      <c r="AC32" s="30" t="n">
        <v>-0.004046783</v>
      </c>
      <c r="AD32" s="30" t="n">
        <v>-0.000106951</v>
      </c>
      <c r="AE32" s="31" t="n"/>
      <c r="AF32" s="30" t="n">
        <v>-0.002995979</v>
      </c>
      <c r="AG32" s="30" t="n">
        <v>21.450090733</v>
      </c>
      <c r="AH32" s="30" t="n">
        <v>-0.003836866</v>
      </c>
      <c r="AI32" s="30" t="n">
        <v>-0.000233978</v>
      </c>
      <c r="AJ32" s="31" t="n"/>
      <c r="AK32" s="30" t="n">
        <v>-0.006792382</v>
      </c>
      <c r="AL32" s="30" t="n">
        <v>21.452986622</v>
      </c>
      <c r="AM32" s="30" t="n">
        <v>-0.000677417</v>
      </c>
      <c r="AN32" s="30" t="n">
        <v>-0.01129232</v>
      </c>
      <c r="AO32" s="31" t="n"/>
    </row>
    <row r="33">
      <c r="A33" s="12" t="inlineStr">
        <is>
          <t>drv:총차입금</t>
        </is>
      </c>
      <c r="B33" s="2" t="inlineStr">
        <is>
          <t>qoq</t>
        </is>
      </c>
      <c r="C33" t="inlineStr">
        <is>
          <t>총차입금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2.422e-06</v>
      </c>
      <c r="AD33" s="24" t="n">
        <v>0</v>
      </c>
      <c r="AE33" s="25" t="n"/>
      <c r="AF33" s="24" t="n">
        <v>0</v>
      </c>
      <c r="AG33" s="24" t="n">
        <v>0</v>
      </c>
      <c r="AH33" s="24" t="n">
        <v>0</v>
      </c>
      <c r="AI33" s="24" t="n">
        <v>0</v>
      </c>
      <c r="AJ33" s="25" t="n"/>
      <c r="AK33" s="24" t="n">
        <v>0</v>
      </c>
      <c r="AL33" s="24" t="n">
        <v>0</v>
      </c>
      <c r="AM33" s="24" t="n">
        <v>0</v>
      </c>
      <c r="AN33" s="24" t="n">
        <v>0</v>
      </c>
      <c r="AO33" s="25" t="n"/>
    </row>
    <row r="34">
      <c r="A34" s="12" t="inlineStr">
        <is>
          <t>drv:순차입금</t>
        </is>
      </c>
      <c r="B34" s="2" t="inlineStr">
        <is>
          <t>qoq</t>
        </is>
      </c>
      <c r="C34" t="inlineStr">
        <is>
          <t>순차입금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-0.040829623</v>
      </c>
      <c r="AD34" s="24" t="n">
        <v>-0.045074493</v>
      </c>
      <c r="AE34" s="25" t="n"/>
      <c r="AF34" s="24" t="n">
        <v>-0.048227337</v>
      </c>
      <c r="AG34" s="24" t="n">
        <v>-0.033992095</v>
      </c>
      <c r="AH34" s="24" t="n">
        <v>-0.058128451</v>
      </c>
      <c r="AI34" s="24" t="n">
        <v>-0.066184193</v>
      </c>
      <c r="AJ34" s="25" t="n"/>
      <c r="AK34" s="24" t="n">
        <v>-0.07659039300000001</v>
      </c>
      <c r="AL34" s="24" t="n">
        <v>-0.06567015399999999</v>
      </c>
      <c r="AM34" s="24" t="n">
        <v>-0.102839401</v>
      </c>
      <c r="AN34" s="24" t="n">
        <v>-0.12129818</v>
      </c>
      <c r="AO34" s="25" t="n"/>
    </row>
    <row r="35">
      <c r="A35" s="12" t="inlineStr">
        <is>
          <t>drv:이자발생자산</t>
        </is>
      </c>
      <c r="B35" s="2" t="inlineStr">
        <is>
          <t>qoq</t>
        </is>
      </c>
      <c r="C35" t="inlineStr">
        <is>
          <t>이자발생자산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0.06812360000000001</v>
      </c>
      <c r="AD35" s="24" t="n">
        <v>0.067535755</v>
      </c>
      <c r="AE35" s="25" t="n"/>
      <c r="AF35" s="24" t="n">
        <v>0.064637309</v>
      </c>
      <c r="AG35" s="24" t="n">
        <v>0.040728597</v>
      </c>
      <c r="AH35" s="24" t="n">
        <v>0.064647758</v>
      </c>
      <c r="AI35" s="24" t="n">
        <v>0.065118551</v>
      </c>
      <c r="AJ35" s="25" t="n"/>
      <c r="AK35" s="24" t="n">
        <v>0.066067523</v>
      </c>
      <c r="AL35" s="24" t="n">
        <v>0.049067218</v>
      </c>
      <c r="AM35" s="24" t="n">
        <v>0.068435248</v>
      </c>
      <c r="AN35" s="24" t="n">
        <v>0.067779221</v>
      </c>
      <c r="AO35" s="25" t="n"/>
    </row>
    <row r="36">
      <c r="A36" s="12" t="inlineStr">
        <is>
          <t>drv:현금및현금성자산</t>
        </is>
      </c>
      <c r="B36" s="2" t="inlineStr">
        <is>
          <t>qoq</t>
        </is>
      </c>
      <c r="C36" t="inlineStr">
        <is>
          <t>현금및현금성자산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32" t="n"/>
      <c r="AD36" s="32" t="n"/>
      <c r="AE36" s="25" t="n"/>
      <c r="AF36" s="32" t="n"/>
      <c r="AG36" s="32" t="n"/>
      <c r="AH36" s="32" t="n"/>
      <c r="AI36" s="32" t="n"/>
      <c r="AJ36" s="25" t="n"/>
      <c r="AK36" s="32" t="n"/>
      <c r="AL36" s="32" t="n"/>
      <c r="AM36" s="32" t="n"/>
      <c r="AN36" s="32" t="n"/>
      <c r="AO36" s="25" t="n"/>
    </row>
    <row r="37">
      <c r="A37" s="12" t="inlineStr">
        <is>
          <t>drv:CAPEX</t>
        </is>
      </c>
      <c r="B37" s="2" t="inlineStr">
        <is>
          <t>yoy</t>
        </is>
      </c>
      <c r="C37" t="inlineStr">
        <is>
          <t>CAPEX YoY</t>
        </is>
      </c>
      <c r="E37" s="21" t="n"/>
      <c r="F37" s="22" t="n"/>
      <c r="G37" s="21" t="n"/>
      <c r="H37" s="21" t="n"/>
      <c r="I37" s="21" t="n"/>
      <c r="J37" s="21">
        <f>IFERROR(subQ!J29/subQ!E29-1,"")</f>
        <v/>
      </c>
      <c r="K37" s="22" t="n"/>
      <c r="L37" s="21">
        <f>IFERROR(subQ!L29/subQ!G29-1,"")</f>
        <v/>
      </c>
      <c r="M37" s="21">
        <f>IFERROR(subQ!M29/subQ!H29-1,"")</f>
        <v/>
      </c>
      <c r="N37" s="21">
        <f>IFERROR(subQ!N29/subQ!I29-1,"")</f>
        <v/>
      </c>
      <c r="O37" s="21">
        <f>IFERROR(subQ!O29/subQ!J29-1,"")</f>
        <v/>
      </c>
      <c r="P37" s="22" t="n"/>
      <c r="Q37" s="21">
        <f>IFERROR(subQ!Q29/subQ!L29-1,"")</f>
        <v/>
      </c>
      <c r="R37" s="21">
        <f>IFERROR(subQ!R29/subQ!M29-1,"")</f>
        <v/>
      </c>
      <c r="S37" s="21">
        <f>IFERROR(subQ!S29/subQ!N29-1,"")</f>
        <v/>
      </c>
      <c r="T37" s="21">
        <f>IFERROR(subQ!T29/subQ!O29-1,"")</f>
        <v/>
      </c>
      <c r="U37" s="22" t="n"/>
      <c r="V37" s="21">
        <f>IFERROR(subQ!V29/subQ!Q29-1,"")</f>
        <v/>
      </c>
      <c r="W37" s="21">
        <f>IFERROR(subQ!W29/subQ!R29-1,"")</f>
        <v/>
      </c>
      <c r="X37" s="21">
        <f>IFERROR(subQ!X29/subQ!S29-1,"")</f>
        <v/>
      </c>
      <c r="Y37" s="21">
        <f>IFERROR(subQ!Y29/subQ!T29-1,"")</f>
        <v/>
      </c>
      <c r="Z37" s="22" t="n"/>
      <c r="AA37" s="21">
        <f>IFERROR(subQ!AA29/subQ!V29-1,"")</f>
        <v/>
      </c>
      <c r="AB37" s="23">
        <f>IFERROR(subQ!AB29/subQ!W29-1,"")</f>
        <v/>
      </c>
      <c r="AC37" s="24" t="n">
        <v>0.063829787</v>
      </c>
      <c r="AD37" s="24" t="n">
        <v>0</v>
      </c>
      <c r="AE37" s="25" t="n"/>
      <c r="AF37" s="24" t="n">
        <v>0</v>
      </c>
      <c r="AG37" s="24" t="n">
        <v>0</v>
      </c>
      <c r="AH37" s="24" t="n">
        <v>0</v>
      </c>
      <c r="AI37" s="24" t="n">
        <v>0</v>
      </c>
      <c r="AJ37" s="25" t="n"/>
      <c r="AK37" s="24" t="n">
        <v>0</v>
      </c>
      <c r="AL37" s="24" t="n">
        <v>0</v>
      </c>
      <c r="AM37" s="24" t="n">
        <v>0</v>
      </c>
      <c r="AN37" s="24" t="n">
        <v>0</v>
      </c>
      <c r="AO37" s="25" t="n"/>
    </row>
    <row r="38">
      <c r="A38" s="12" t="inlineStr">
        <is>
          <t>drv:영업활동현금흐름</t>
        </is>
      </c>
      <c r="B38" s="2" t="inlineStr">
        <is>
          <t>yoy</t>
        </is>
      </c>
      <c r="C38" t="inlineStr">
        <is>
          <t>영업활동현금흐름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32" t="n"/>
      <c r="AD38" s="32" t="n"/>
      <c r="AE38" s="25" t="n"/>
      <c r="AF38" s="32" t="n"/>
      <c r="AG38" s="32" t="n"/>
      <c r="AH38" s="32" t="n"/>
      <c r="AI38" s="32" t="n"/>
      <c r="AJ38" s="25" t="n"/>
      <c r="AK38" s="32" t="n"/>
      <c r="AL38" s="32" t="n"/>
      <c r="AM38" s="32" t="n"/>
      <c r="AN38" s="32" t="n"/>
      <c r="AO38" s="25" t="n"/>
    </row>
    <row r="39">
      <c r="A39" s="12" t="inlineStr">
        <is>
          <t>drv:주식수</t>
        </is>
      </c>
      <c r="B39" s="2" t="inlineStr">
        <is>
          <t>qoq</t>
        </is>
      </c>
      <c r="C39" t="inlineStr">
        <is>
          <t>주식수 QoQ</t>
        </is>
      </c>
      <c r="E39" s="21" t="n"/>
      <c r="F39" s="22" t="n"/>
      <c r="G39" s="21">
        <f>IFERROR(subQ!G31/subQ!E31-1,"")</f>
        <v/>
      </c>
      <c r="H39" s="21">
        <f>IFERROR(subQ!H31/subQ!G31-1,"")</f>
        <v/>
      </c>
      <c r="I39" s="21">
        <f>IFERROR(subQ!I31/subQ!H31-1,"")</f>
        <v/>
      </c>
      <c r="J39" s="21">
        <f>IFERROR(subQ!J31/subQ!I31-1,"")</f>
        <v/>
      </c>
      <c r="K39" s="22" t="n"/>
      <c r="L39" s="21">
        <f>IFERROR(subQ!L31/subQ!J31-1,"")</f>
        <v/>
      </c>
      <c r="M39" s="21">
        <f>IFERROR(subQ!M31/subQ!L31-1,"")</f>
        <v/>
      </c>
      <c r="N39" s="21">
        <f>IFERROR(subQ!N31/subQ!M31-1,"")</f>
        <v/>
      </c>
      <c r="O39" s="21">
        <f>IFERROR(subQ!O31/subQ!N31-1,"")</f>
        <v/>
      </c>
      <c r="P39" s="22" t="n"/>
      <c r="Q39" s="21">
        <f>IFERROR(subQ!Q31/subQ!O31-1,"")</f>
        <v/>
      </c>
      <c r="R39" s="21">
        <f>IFERROR(subQ!R31/subQ!Q31-1,"")</f>
        <v/>
      </c>
      <c r="S39" s="21">
        <f>IFERROR(subQ!S31/subQ!R31-1,"")</f>
        <v/>
      </c>
      <c r="T39" s="21">
        <f>IFERROR(subQ!T31/subQ!S31-1,"")</f>
        <v/>
      </c>
      <c r="U39" s="22" t="n"/>
      <c r="V39" s="21">
        <f>IFERROR(subQ!V31/subQ!T31-1,"")</f>
        <v/>
      </c>
      <c r="W39" s="21">
        <f>IFERROR(subQ!W31/subQ!V31-1,"")</f>
        <v/>
      </c>
      <c r="X39" s="21">
        <f>IFERROR(subQ!X31/subQ!W31-1,"")</f>
        <v/>
      </c>
      <c r="Y39" s="21">
        <f>IFERROR(subQ!Y31/subQ!X31-1,"")</f>
        <v/>
      </c>
      <c r="Z39" s="22" t="n"/>
      <c r="AA39" s="21">
        <f>IFERROR(subQ!AA31/subQ!Y31-1,"")</f>
        <v/>
      </c>
      <c r="AB39" s="23">
        <f>IFERROR(subQ!AB31/subQ!AA31-1,"")</f>
        <v/>
      </c>
      <c r="AC39" s="24" t="n">
        <v>0</v>
      </c>
      <c r="AD39" s="24" t="n">
        <v>0</v>
      </c>
      <c r="AE39" s="25" t="n"/>
      <c r="AF39" s="24" t="n">
        <v>0</v>
      </c>
      <c r="AG39" s="24" t="n">
        <v>0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drv:DPS</t>
        </is>
      </c>
      <c r="B40" s="2" t="inlineStr">
        <is>
          <t>abs</t>
        </is>
      </c>
      <c r="C40" t="inlineStr">
        <is>
          <t>DPS (가정, 원)</t>
        </is>
      </c>
      <c r="E40" s="27">
        <f>subQ!E34</f>
        <v/>
      </c>
      <c r="F40" s="28">
        <f>subQ!F34</f>
        <v/>
      </c>
      <c r="G40" s="27">
        <f>subQ!G34</f>
        <v/>
      </c>
      <c r="H40" s="27">
        <f>subQ!H34</f>
        <v/>
      </c>
      <c r="I40" s="27">
        <f>subQ!I34</f>
        <v/>
      </c>
      <c r="J40" s="27">
        <f>subQ!J34</f>
        <v/>
      </c>
      <c r="K40" s="28">
        <f>subQ!K34</f>
        <v/>
      </c>
      <c r="L40" s="27">
        <f>subQ!L34</f>
        <v/>
      </c>
      <c r="M40" s="27">
        <f>subQ!M34</f>
        <v/>
      </c>
      <c r="N40" s="27">
        <f>subQ!N34</f>
        <v/>
      </c>
      <c r="O40" s="27">
        <f>subQ!O34</f>
        <v/>
      </c>
      <c r="P40" s="28">
        <f>subQ!P34</f>
        <v/>
      </c>
      <c r="Q40" s="27">
        <f>subQ!Q34</f>
        <v/>
      </c>
      <c r="R40" s="27">
        <f>subQ!R34</f>
        <v/>
      </c>
      <c r="S40" s="27">
        <f>subQ!S34</f>
        <v/>
      </c>
      <c r="T40" s="27">
        <f>subQ!T34</f>
        <v/>
      </c>
      <c r="U40" s="28">
        <f>subQ!U34</f>
        <v/>
      </c>
      <c r="V40" s="27">
        <f>subQ!V34</f>
        <v/>
      </c>
      <c r="W40" s="27">
        <f>subQ!W34</f>
        <v/>
      </c>
      <c r="X40" s="27">
        <f>subQ!X34</f>
        <v/>
      </c>
      <c r="Y40" s="27">
        <f>subQ!Y34</f>
        <v/>
      </c>
      <c r="Z40" s="28">
        <f>subQ!Z34</f>
        <v/>
      </c>
      <c r="AA40" s="27">
        <f>subQ!AA34</f>
        <v/>
      </c>
      <c r="AB40" s="29">
        <f>subQ!AB34</f>
        <v/>
      </c>
      <c r="AC40" s="33" t="n"/>
      <c r="AD40" s="30" t="n">
        <v>165</v>
      </c>
      <c r="AE40" s="31">
        <f>subQ!AE34</f>
        <v/>
      </c>
      <c r="AF40" s="33" t="n"/>
      <c r="AG40" s="33" t="n"/>
      <c r="AH40" s="33" t="n"/>
      <c r="AI40" s="30" t="n">
        <v>165</v>
      </c>
      <c r="AJ40" s="31">
        <f>subQ!AJ34</f>
        <v/>
      </c>
      <c r="AK40" s="33" t="n"/>
      <c r="AL40" s="33" t="n"/>
      <c r="AM40" s="33" t="n"/>
      <c r="AN40" s="30" t="n">
        <v>165</v>
      </c>
      <c r="AO40" s="31">
        <f>subQ!AO34</f>
        <v/>
      </c>
    </row>
    <row r="41"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B42" s="1" t="inlineStr">
        <is>
          <t>3. 밸류에이션·스칼라</t>
        </is>
      </c>
      <c r="C42" s="2" t="inlineStr">
        <is>
          <t>노란 셀 = 가정. '연결' 표시는 추정 전 분기 수식이 이 셀을 참조한다는 뜻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sc:종가</t>
        </is>
      </c>
      <c r="C43" t="inlineStr">
        <is>
          <t>종가</t>
        </is>
      </c>
      <c r="D43" s="34" t="n">
        <v>6290</v>
      </c>
      <c r="E43" s="2" t="inlineStr">
        <is>
          <t>원 — 네이버 정규장 종가(aik 확정종가 대조 · aik 7,070원)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sc:기준일</t>
        </is>
      </c>
      <c r="C44" t="inlineStr">
        <is>
          <t>기준일</t>
        </is>
      </c>
      <c r="D44" s="35" t="inlineStr">
        <is>
          <t>20261012</t>
        </is>
      </c>
      <c r="E44" s="2" t="inlineStr">
        <is>
          <t>종가 기준일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sc:COE</t>
        </is>
      </c>
      <c r="C45" t="inlineStr">
        <is>
          <t>COE</t>
        </is>
      </c>
      <c r="D45" s="24" t="n">
        <v>0.09</v>
      </c>
      <c r="E45" s="2" t="inlineStr">
        <is>
          <t>자기자본비용(가정) — TP 적정 PBR = ROE/COE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sc:PER_lo</t>
        </is>
      </c>
      <c r="C46" t="inlineStr">
        <is>
          <t>PER_lo</t>
        </is>
      </c>
      <c r="D46" s="30" t="n">
        <v>8.199999999999999</v>
      </c>
      <c r="E46" s="2" t="inlineStr">
        <is>
          <t>PER 밴드 하단(배) — hist_quarterly(분기 평균가 ÷ TTM EPS, 12분기, 25/50/75 백분위)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sc:PER_mid</t>
        </is>
      </c>
      <c r="C47" t="inlineStr">
        <is>
          <t>PER_mid</t>
        </is>
      </c>
      <c r="D47" s="30" t="n">
        <v>9</v>
      </c>
      <c r="E47" s="2" t="inlineStr">
        <is>
          <t>PER 밴드 중단(배)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sc:PER_hi</t>
        </is>
      </c>
      <c r="C48" t="inlineStr">
        <is>
          <t>PER_hi</t>
        </is>
      </c>
      <c r="D48" s="30" t="n">
        <v>11.4</v>
      </c>
      <c r="E48" s="2" t="inlineStr">
        <is>
          <t>PER 밴드 상단(배)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sc:EPS_Y1가중</t>
        </is>
      </c>
      <c r="C49" t="inlineStr">
        <is>
          <t>EPS_Y1가중</t>
        </is>
      </c>
      <c r="D49" s="24" t="n">
        <v>0.5</v>
      </c>
      <c r="E49" s="2" t="inlineStr">
        <is>
          <t>12M fwd EPS = FY(last_actual연도)E × w + FY+1E × (1−w) — 기준 분기 2Q 이면 0.5(가정)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sc:세율</t>
        </is>
      </c>
      <c r="C50" t="inlineStr">
        <is>
          <t>세율</t>
        </is>
      </c>
      <c r="D50" s="36" t="n">
        <v>0.1194758349308849</v>
      </c>
      <c r="E50" s="2" t="inlineStr">
        <is>
          <t>연결 — 법인세 = MAX(세전,0) × 세율(역산, 재현 오차 ≤ 0.05억 · 모델 assumptions 0.1195) · 최근 12분기 유효세율 11.9%(5~27% 안 — 그대로)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sc:판관비율</t>
        </is>
      </c>
      <c r="C51" t="inlineStr">
        <is>
          <t>판관비율</t>
        </is>
      </c>
      <c r="D51" s="36" t="n">
        <v>0.0979591214329419</v>
      </c>
      <c r="E51" s="2" t="inlineStr">
        <is>
          <t>연결 — 판관비 = 매출액 × 판관비율(역산, 재현 오차 ≤ 0.05억 · 모델 assumptions 0.098)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sc:지배주주비중</t>
        </is>
      </c>
      <c r="C52" t="inlineStr">
        <is>
          <t>지배주주비중</t>
        </is>
      </c>
      <c r="D52" s="36" t="n">
        <v>0.9417898475994042</v>
      </c>
      <c r="E52" s="2" t="inlineStr">
        <is>
          <t>연결 — 지배주주순이익 = 당기순이익 × 비중(역산, 재현 오차 ≤ 0.05억)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sc:이자율_자산</t>
        </is>
      </c>
      <c r="C53" t="inlineStr">
        <is>
          <t>이자율_자산</t>
        </is>
      </c>
      <c r="D53" s="36" t="n">
        <v>0.02798783232875744</v>
      </c>
      <c r="E53" s="2" t="inlineStr">
        <is>
          <t>연결 — 이자손익 = (전분기 이자발생자산 × 자산이자율 − 전분기 총차입금 × 부채이자율)/4(역산, 재현 오차 ≤ 0.05억 · 모델 assumptions 0.028)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sc:이자율_부채</t>
        </is>
      </c>
      <c r="C54" t="inlineStr">
        <is>
          <t>이자율_부채</t>
        </is>
      </c>
      <c r="D54" s="36" t="n">
        <v>0.03438364272643215</v>
      </c>
      <c r="E54" s="2" t="inlineStr">
        <is>
          <t>연결 — 같은 수식의 부채 쪽(총차입금 행이 없으면 0)(역산, 재현 오차 ≤ 0.05억 · 모델 assumptions 0.0344)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sc:배당성향</t>
        </is>
      </c>
      <c r="C55" t="inlineStr">
        <is>
          <t>배당성향</t>
        </is>
      </c>
      <c r="D55" s="24" t="n">
        <v>0.1663</v>
      </c>
      <c r="E55" s="2" t="inlineStr">
        <is>
          <t>배당성향(참고 — 모델은 직전 DPS 유지·Q2 지급 가정)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sc:외화순노출_백만$</t>
        </is>
      </c>
      <c r="C56" t="inlineStr">
        <is>
          <t>외화순노출_백만$</t>
        </is>
      </c>
      <c r="D56" s="30" t="n"/>
      <c r="E56" s="2" t="inlineStr">
        <is>
          <t>외화 순노출 × Δ기말환율 (외화 시트 방식) — 외화 순노출 미공시(face) → 0 + 표기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sc:헤지비율</t>
        </is>
      </c>
      <c r="C57" t="inlineStr">
        <is>
          <t>헤지비율</t>
        </is>
      </c>
      <c r="D57" s="24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sc:헤지환율_약정</t>
        </is>
      </c>
      <c r="C58" t="inlineStr">
        <is>
          <t>헤지환율_약정</t>
        </is>
      </c>
      <c r="D58" s="16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삼영엠텍(연)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66115.28</v>
      </c>
      <c r="F5" s="37" t="n">
        <v>66115.28</v>
      </c>
      <c r="G5" s="18" t="n">
        <v>68321.55</v>
      </c>
      <c r="H5" s="18" t="n">
        <v>67763.99000000001</v>
      </c>
      <c r="I5" s="18" t="n">
        <v>65204.7</v>
      </c>
      <c r="J5" s="18" t="n">
        <v>61900.88</v>
      </c>
      <c r="K5" s="37" t="n">
        <v>61900.88</v>
      </c>
      <c r="L5" s="18" t="n">
        <v>64135.79</v>
      </c>
      <c r="M5" s="18" t="n">
        <v>65842.46000000001</v>
      </c>
      <c r="N5" s="18" t="n">
        <v>68500.11</v>
      </c>
      <c r="O5" s="18" t="n">
        <v>67455.23</v>
      </c>
      <c r="P5" s="37" t="n">
        <v>67455.23</v>
      </c>
      <c r="Q5" s="18" t="n">
        <v>69422.17</v>
      </c>
      <c r="R5" s="18" t="n">
        <v>61773.77</v>
      </c>
      <c r="S5" s="18" t="n">
        <v>69383.8</v>
      </c>
      <c r="T5" s="18" t="n">
        <v>70562.19</v>
      </c>
      <c r="U5" s="37" t="n">
        <v>70562.19</v>
      </c>
      <c r="V5" s="18" t="n">
        <v>79385.56</v>
      </c>
      <c r="W5" s="18" t="n">
        <v>72386.59</v>
      </c>
      <c r="X5" s="18" t="n">
        <v>100659.79</v>
      </c>
      <c r="Y5" s="18" t="n">
        <v>261304.09</v>
      </c>
      <c r="Z5" s="37" t="n">
        <v>261304.09</v>
      </c>
      <c r="AA5" s="18" t="n">
        <v>285093.91</v>
      </c>
      <c r="AB5" s="19" t="n">
        <v>297811.82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8344.33</v>
      </c>
      <c r="F6" s="37" t="n">
        <v>8344.33</v>
      </c>
      <c r="G6" s="18" t="n">
        <v>9845.85</v>
      </c>
      <c r="H6" s="18" t="n">
        <v>11440.69</v>
      </c>
      <c r="I6" s="18" t="n">
        <v>6596.69</v>
      </c>
      <c r="J6" s="18" t="n">
        <v>8768.120000000001</v>
      </c>
      <c r="K6" s="37" t="n">
        <v>8768.120000000001</v>
      </c>
      <c r="L6" s="18" t="n">
        <v>7219.26</v>
      </c>
      <c r="M6" s="18" t="n">
        <v>5413.48</v>
      </c>
      <c r="N6" s="18" t="n">
        <v>6313.86</v>
      </c>
      <c r="O6" s="18" t="n">
        <v>4307.41</v>
      </c>
      <c r="P6" s="37" t="n">
        <v>4307.41</v>
      </c>
      <c r="Q6" s="18" t="n">
        <v>2369.61</v>
      </c>
      <c r="R6" s="18" t="n">
        <v>7857.36</v>
      </c>
      <c r="S6" s="18" t="n">
        <v>4656.4</v>
      </c>
      <c r="T6" s="18" t="n">
        <v>4712.28</v>
      </c>
      <c r="U6" s="37" t="n">
        <v>4712.28</v>
      </c>
      <c r="V6" s="18" t="n">
        <v>3231.07</v>
      </c>
      <c r="W6" s="18" t="n">
        <v>6781.86</v>
      </c>
      <c r="X6" s="18" t="n">
        <v>19986.86</v>
      </c>
      <c r="Y6" s="18" t="n">
        <v>46662.02</v>
      </c>
      <c r="Z6" s="37" t="n">
        <v>46662.02</v>
      </c>
      <c r="AA6" s="18" t="n">
        <v>40278.7</v>
      </c>
      <c r="AB6" s="19" t="n">
        <v>35038.03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18627.05</v>
      </c>
      <c r="F7" s="37" t="n">
        <v>18627.05</v>
      </c>
      <c r="G7" s="18" t="n">
        <v>12270.36</v>
      </c>
      <c r="H7" s="18" t="n">
        <v>12520.98</v>
      </c>
      <c r="I7" s="18" t="n">
        <v>12988.94</v>
      </c>
      <c r="J7" s="18" t="n">
        <v>16124.88</v>
      </c>
      <c r="K7" s="37" t="n">
        <v>16124.88</v>
      </c>
      <c r="L7" s="18" t="n">
        <v>17090.87</v>
      </c>
      <c r="M7" s="18" t="n">
        <v>16612</v>
      </c>
      <c r="N7" s="18" t="n">
        <v>18498.02</v>
      </c>
      <c r="O7" s="18" t="n">
        <v>19477.53</v>
      </c>
      <c r="P7" s="37" t="n">
        <v>19477.53</v>
      </c>
      <c r="Q7" s="18" t="n">
        <v>16510.34</v>
      </c>
      <c r="R7" s="18" t="n">
        <v>5525.85</v>
      </c>
      <c r="S7" s="18" t="n">
        <v>19368.36</v>
      </c>
      <c r="T7" s="18" t="n">
        <v>15092.93</v>
      </c>
      <c r="U7" s="37" t="n">
        <v>15092.93</v>
      </c>
      <c r="V7" s="18" t="n">
        <v>19068.95</v>
      </c>
      <c r="W7" s="18" t="n">
        <v>13443.49</v>
      </c>
      <c r="X7" s="18" t="n">
        <v>26151.56</v>
      </c>
      <c r="Y7" s="18" t="n">
        <v>17127.88</v>
      </c>
      <c r="Z7" s="37" t="n">
        <v>17127.88</v>
      </c>
      <c r="AA7" s="18" t="n">
        <v>28697.66</v>
      </c>
      <c r="AB7" s="19" t="n">
        <v>30735.66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18662.12</v>
      </c>
      <c r="F8" s="37" t="n">
        <v>18662.12</v>
      </c>
      <c r="G8" s="18" t="n">
        <v>12298.52</v>
      </c>
      <c r="H8" s="18" t="n">
        <v>12520.98</v>
      </c>
      <c r="I8" s="18" t="n">
        <v>12988.94</v>
      </c>
      <c r="J8" s="18" t="n">
        <v>16124.88</v>
      </c>
      <c r="K8" s="37" t="n">
        <v>16124.88</v>
      </c>
      <c r="L8" s="18" t="n">
        <v>17096.12</v>
      </c>
      <c r="M8" s="18" t="n">
        <v>16638.23</v>
      </c>
      <c r="N8" s="18" t="n">
        <v>18541.39</v>
      </c>
      <c r="O8" s="18" t="n">
        <v>19555.14</v>
      </c>
      <c r="P8" s="37" t="n">
        <v>19555.14</v>
      </c>
      <c r="Q8" s="18" t="n">
        <v>16510.34</v>
      </c>
      <c r="R8" s="18" t="n">
        <v>5525.85</v>
      </c>
      <c r="S8" s="18" t="n">
        <v>19401.5</v>
      </c>
      <c r="T8" s="18" t="n">
        <v>15105.11</v>
      </c>
      <c r="U8" s="37" t="n">
        <v>15105.11</v>
      </c>
      <c r="V8" s="18" t="n">
        <v>19068.95</v>
      </c>
      <c r="W8" s="18" t="n">
        <v>13582.44</v>
      </c>
      <c r="X8" s="18" t="n">
        <v>26155.63</v>
      </c>
      <c r="Y8" s="18" t="n">
        <v>18441.08</v>
      </c>
      <c r="Z8" s="37" t="n">
        <v>18441.08</v>
      </c>
      <c r="AA8" s="18" t="n">
        <v>29932.44</v>
      </c>
      <c r="AB8" s="19" t="n">
        <v>31108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13017.97</v>
      </c>
      <c r="F9" s="37" t="n">
        <v>13017.97</v>
      </c>
      <c r="G9" s="18" t="n">
        <v>18380.6</v>
      </c>
      <c r="H9" s="18" t="n">
        <v>15786.37</v>
      </c>
      <c r="I9" s="18" t="n">
        <v>19257.31</v>
      </c>
      <c r="J9" s="18" t="n">
        <v>12463.08</v>
      </c>
      <c r="K9" s="37" t="n">
        <v>12463.08</v>
      </c>
      <c r="L9" s="18" t="n">
        <v>13901.91</v>
      </c>
      <c r="M9" s="18" t="n">
        <v>15570.77</v>
      </c>
      <c r="N9" s="18" t="n">
        <v>15938.39</v>
      </c>
      <c r="O9" s="18" t="n">
        <v>14296.89</v>
      </c>
      <c r="P9" s="37" t="n">
        <v>14296.89</v>
      </c>
      <c r="Q9" s="18" t="n">
        <v>16314.26</v>
      </c>
      <c r="R9" s="18" t="n">
        <v>17675.63</v>
      </c>
      <c r="S9" s="18" t="n">
        <v>14943.47</v>
      </c>
      <c r="T9" s="18" t="n">
        <v>16618.93</v>
      </c>
      <c r="U9" s="37" t="n">
        <v>16618.93</v>
      </c>
      <c r="V9" s="18" t="n">
        <v>20101.02</v>
      </c>
      <c r="W9" s="18" t="n">
        <v>17560.17</v>
      </c>
      <c r="X9" s="18" t="n">
        <v>19106.4</v>
      </c>
      <c r="Y9" s="18" t="n">
        <v>103450.64</v>
      </c>
      <c r="Z9" s="37" t="n">
        <v>103450.64</v>
      </c>
      <c r="AA9" s="18" t="n">
        <v>114379.45</v>
      </c>
      <c r="AB9" s="19" t="n">
        <v>121879.38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24819.29</v>
      </c>
      <c r="F10" s="37" t="n">
        <v>24819.29</v>
      </c>
      <c r="G10" s="18" t="n">
        <v>26178.57</v>
      </c>
      <c r="H10" s="18" t="n">
        <v>26353.15</v>
      </c>
      <c r="I10" s="18" t="n">
        <v>25323.12</v>
      </c>
      <c r="J10" s="18" t="n">
        <v>23378.41</v>
      </c>
      <c r="K10" s="37" t="n">
        <v>23378.41</v>
      </c>
      <c r="L10" s="18" t="n">
        <v>24612.95</v>
      </c>
      <c r="M10" s="18" t="n">
        <v>27232.05</v>
      </c>
      <c r="N10" s="18" t="n">
        <v>26019.01</v>
      </c>
      <c r="O10" s="18" t="n">
        <v>27007.79</v>
      </c>
      <c r="P10" s="37" t="n">
        <v>27007.79</v>
      </c>
      <c r="Q10" s="18" t="n">
        <v>32697.32</v>
      </c>
      <c r="R10" s="18" t="n">
        <v>29704.24</v>
      </c>
      <c r="S10" s="18" t="n">
        <v>28938.97</v>
      </c>
      <c r="T10" s="18" t="n">
        <v>32729.84</v>
      </c>
      <c r="U10" s="37" t="n">
        <v>32729.84</v>
      </c>
      <c r="V10" s="18" t="n">
        <v>35640.97</v>
      </c>
      <c r="W10" s="18" t="n">
        <v>33471.31</v>
      </c>
      <c r="X10" s="18" t="n">
        <v>34023.32</v>
      </c>
      <c r="Y10" s="18" t="n">
        <v>78602.59</v>
      </c>
      <c r="Z10" s="37" t="n">
        <v>78602.59</v>
      </c>
      <c r="AA10" s="18" t="n">
        <v>85173.08</v>
      </c>
      <c r="AB10" s="19" t="n">
        <v>92139.11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유동파생상품자산</t>
        </is>
      </c>
      <c r="E11" s="18" t="n">
        <v>35.07</v>
      </c>
      <c r="F11" s="37" t="n">
        <v>35.07</v>
      </c>
      <c r="G11" s="18" t="n">
        <v>28.16</v>
      </c>
      <c r="H11" s="18" t="n">
        <v>0</v>
      </c>
      <c r="I11" s="18" t="n">
        <v>0</v>
      </c>
      <c r="J11" s="18" t="n">
        <v>0</v>
      </c>
      <c r="K11" s="37" t="n">
        <v>0</v>
      </c>
      <c r="L11" s="18" t="n">
        <v>5.25</v>
      </c>
      <c r="M11" s="18" t="n">
        <v>26.23</v>
      </c>
      <c r="N11" s="18" t="n">
        <v>43.37</v>
      </c>
      <c r="O11" s="18" t="n">
        <v>77.61</v>
      </c>
      <c r="P11" s="37" t="n">
        <v>77.61</v>
      </c>
      <c r="Q11" s="18" t="n">
        <v>0</v>
      </c>
      <c r="R11" s="18" t="n">
        <v>0</v>
      </c>
      <c r="S11" s="18" t="n">
        <v>33.14</v>
      </c>
      <c r="T11" s="18" t="n">
        <v>12.18</v>
      </c>
      <c r="U11" s="37" t="n">
        <v>12.18</v>
      </c>
      <c r="V11" s="18" t="n">
        <v>0</v>
      </c>
      <c r="W11" s="18" t="n">
        <v>138.95</v>
      </c>
      <c r="X11" s="18" t="n">
        <v>4.07</v>
      </c>
      <c r="Y11" s="18" t="n">
        <v>1313.2</v>
      </c>
      <c r="Z11" s="37" t="n">
        <v>1313.2</v>
      </c>
      <c r="AA11" s="18" t="n">
        <v>1234.78</v>
      </c>
      <c r="AB11" s="19" t="n">
        <v>372.34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당기법인세자산(선급법인세)</t>
        </is>
      </c>
      <c r="E12" s="18" t="n">
        <v>0</v>
      </c>
      <c r="F12" s="37" t="n">
        <v>0</v>
      </c>
      <c r="I12" s="18" t="n">
        <v>74.03</v>
      </c>
      <c r="J12" s="18" t="n">
        <v>74.16</v>
      </c>
      <c r="K12" s="37" t="n">
        <v>74.16</v>
      </c>
      <c r="L12" s="18" t="n">
        <v>74.16</v>
      </c>
      <c r="M12" s="18" t="n">
        <v>0</v>
      </c>
      <c r="N12" s="18" t="n">
        <v>0</v>
      </c>
      <c r="O12" s="18" t="n">
        <v>102.11</v>
      </c>
      <c r="P12" s="37" t="n">
        <v>102.11</v>
      </c>
      <c r="Q12" s="18" t="n">
        <v>102.11</v>
      </c>
      <c r="R12" s="18" t="n">
        <v>0</v>
      </c>
      <c r="S12" s="18" t="n">
        <v>0</v>
      </c>
      <c r="T12" s="18" t="n">
        <v>0</v>
      </c>
      <c r="U12" s="37" t="n">
        <v>0</v>
      </c>
      <c r="V12" s="18" t="n">
        <v>0</v>
      </c>
      <c r="Y12" s="18" t="n">
        <v>2010.88</v>
      </c>
      <c r="Z12" s="37" t="n">
        <v>2010.88</v>
      </c>
      <c r="AA12" s="18" t="n">
        <v>2150.93</v>
      </c>
      <c r="AB12" s="19" t="n">
        <v>1877.46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1271.58</v>
      </c>
      <c r="F13" s="37" t="n">
        <v>1271.58</v>
      </c>
      <c r="G13" s="18" t="n">
        <v>1618</v>
      </c>
      <c r="H13" s="18" t="n">
        <v>1662.81</v>
      </c>
      <c r="I13" s="18" t="n">
        <v>964.61</v>
      </c>
      <c r="J13" s="18" t="n">
        <v>1092.22</v>
      </c>
      <c r="K13" s="37" t="n">
        <v>1092.22</v>
      </c>
      <c r="L13" s="18" t="n">
        <v>1231.37</v>
      </c>
      <c r="M13" s="18" t="n">
        <v>987.9299999999999</v>
      </c>
      <c r="N13" s="18" t="n">
        <v>1687.47</v>
      </c>
      <c r="O13" s="18" t="n">
        <v>2185.89</v>
      </c>
      <c r="P13" s="37" t="n">
        <v>2185.89</v>
      </c>
      <c r="Q13" s="18" t="n">
        <v>1428.53</v>
      </c>
      <c r="R13" s="18" t="n">
        <v>1010.69</v>
      </c>
      <c r="S13" s="18" t="n">
        <v>1443.45</v>
      </c>
      <c r="T13" s="18" t="n">
        <v>1396.03</v>
      </c>
      <c r="U13" s="37" t="n">
        <v>1396.03</v>
      </c>
      <c r="V13" s="18" t="n">
        <v>1343.56</v>
      </c>
      <c r="W13" s="18" t="n">
        <v>990.8099999999999</v>
      </c>
      <c r="X13" s="18" t="n">
        <v>1387.58</v>
      </c>
      <c r="Y13" s="18" t="n">
        <v>12136.88</v>
      </c>
      <c r="Z13" s="37" t="n">
        <v>12136.88</v>
      </c>
      <c r="AA13" s="18" t="n">
        <v>13179.31</v>
      </c>
      <c r="AB13" s="19" t="n">
        <v>15769.84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44266.75</v>
      </c>
      <c r="F14" s="37" t="n">
        <v>44266.75</v>
      </c>
      <c r="G14" s="18" t="n">
        <v>43745.76</v>
      </c>
      <c r="H14" s="18" t="n">
        <v>43061.26</v>
      </c>
      <c r="I14" s="18" t="n">
        <v>43465.6</v>
      </c>
      <c r="J14" s="18" t="n">
        <v>39400.74</v>
      </c>
      <c r="K14" s="37" t="n">
        <v>39400.74</v>
      </c>
      <c r="L14" s="18" t="n">
        <v>40688.77</v>
      </c>
      <c r="M14" s="18" t="n">
        <v>41087.81</v>
      </c>
      <c r="N14" s="18" t="n">
        <v>40629.04</v>
      </c>
      <c r="O14" s="18" t="n">
        <v>44126.11</v>
      </c>
      <c r="P14" s="37" t="n">
        <v>44126.11</v>
      </c>
      <c r="Q14" s="18" t="n">
        <v>44256.28</v>
      </c>
      <c r="R14" s="18" t="n">
        <v>45949.57</v>
      </c>
      <c r="S14" s="18" t="n">
        <v>45865.61</v>
      </c>
      <c r="T14" s="18" t="n">
        <v>45323.36</v>
      </c>
      <c r="U14" s="37" t="n">
        <v>45323.36</v>
      </c>
      <c r="V14" s="18" t="n">
        <v>49274.7</v>
      </c>
      <c r="W14" s="18" t="n">
        <v>47034.17</v>
      </c>
      <c r="X14" s="18" t="n">
        <v>45929.3</v>
      </c>
      <c r="Y14" s="18" t="n">
        <v>282810.78</v>
      </c>
      <c r="Z14" s="37" t="n">
        <v>282810.78</v>
      </c>
      <c r="AA14" s="18" t="n">
        <v>283205.27</v>
      </c>
      <c r="AB14" s="19" t="n">
        <v>282133.85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12100.86</v>
      </c>
      <c r="F15" s="37" t="n">
        <v>12100.86</v>
      </c>
      <c r="G15" s="18" t="n">
        <v>11726.14</v>
      </c>
      <c r="H15" s="18" t="n">
        <v>9731.290000000001</v>
      </c>
      <c r="I15" s="18" t="n">
        <v>7949.7</v>
      </c>
      <c r="J15" s="18" t="n">
        <v>8073.83</v>
      </c>
      <c r="K15" s="37" t="n">
        <v>8073.83</v>
      </c>
      <c r="L15" s="18" t="n">
        <v>9585.16</v>
      </c>
      <c r="M15" s="18" t="n">
        <v>10395.24</v>
      </c>
      <c r="N15" s="18" t="n">
        <v>9564.18</v>
      </c>
      <c r="O15" s="18" t="n">
        <v>9681.59</v>
      </c>
      <c r="P15" s="37" t="n">
        <v>9681.59</v>
      </c>
      <c r="Q15" s="18" t="n">
        <v>9987.92</v>
      </c>
      <c r="R15" s="18" t="n">
        <v>11078.65</v>
      </c>
      <c r="S15" s="18" t="n">
        <v>10582.52</v>
      </c>
      <c r="T15" s="18" t="n">
        <v>10390.73</v>
      </c>
      <c r="U15" s="37" t="n">
        <v>10390.73</v>
      </c>
      <c r="V15" s="18" t="n">
        <v>15706.26</v>
      </c>
      <c r="W15" s="18" t="n">
        <v>14607.8</v>
      </c>
      <c r="X15" s="18" t="n">
        <v>14667.95</v>
      </c>
      <c r="Y15" s="18" t="n">
        <v>13697.59</v>
      </c>
      <c r="Z15" s="37" t="n">
        <v>13697.59</v>
      </c>
      <c r="AA15" s="18" t="n">
        <v>12514.29</v>
      </c>
      <c r="AB15" s="19" t="n">
        <v>12995.56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12100.86</v>
      </c>
      <c r="F16" s="37" t="n">
        <v>12100.86</v>
      </c>
      <c r="G16" s="18" t="n">
        <v>11726.14</v>
      </c>
      <c r="H16" s="18" t="n">
        <v>9731.290000000001</v>
      </c>
      <c r="I16" s="18" t="n">
        <v>7949.7</v>
      </c>
      <c r="J16" s="18" t="n">
        <v>8073.83</v>
      </c>
      <c r="K16" s="37" t="n">
        <v>8073.83</v>
      </c>
      <c r="L16" s="18" t="n">
        <v>9585.16</v>
      </c>
      <c r="M16" s="18" t="n">
        <v>10395.24</v>
      </c>
      <c r="N16" s="18" t="n">
        <v>9564.18</v>
      </c>
      <c r="O16" s="18" t="n">
        <v>9681.59</v>
      </c>
      <c r="P16" s="37" t="n">
        <v>9681.59</v>
      </c>
      <c r="Q16" s="18" t="n">
        <v>9987.92</v>
      </c>
      <c r="R16" s="18" t="n">
        <v>11078.65</v>
      </c>
      <c r="S16" s="18" t="n">
        <v>10582.52</v>
      </c>
      <c r="T16" s="18" t="n">
        <v>10390.73</v>
      </c>
      <c r="U16" s="37" t="n">
        <v>10390.73</v>
      </c>
      <c r="V16" s="18" t="n">
        <v>15706.26</v>
      </c>
      <c r="W16" s="18" t="n">
        <v>14607.8</v>
      </c>
      <c r="X16" s="18" t="n">
        <v>14667.95</v>
      </c>
      <c r="Y16" s="18" t="n">
        <v>13697.59</v>
      </c>
      <c r="Z16" s="37" t="n">
        <v>13697.59</v>
      </c>
      <c r="AA16" s="18" t="n">
        <v>12514.29</v>
      </c>
      <c r="AB16" s="19" t="n">
        <v>12995.56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장기매출채권및기타채권</t>
        </is>
      </c>
      <c r="E17" s="18" t="n">
        <v>1003.28</v>
      </c>
      <c r="F17" s="37" t="n">
        <v>1003.28</v>
      </c>
      <c r="G17" s="18" t="n">
        <v>1021.64</v>
      </c>
      <c r="H17" s="18" t="n">
        <v>1018.04</v>
      </c>
      <c r="I17" s="18" t="n">
        <v>842.16</v>
      </c>
      <c r="J17" s="18" t="n">
        <v>883.9299999999999</v>
      </c>
      <c r="K17" s="37" t="n">
        <v>883.9299999999999</v>
      </c>
      <c r="L17" s="18" t="n">
        <v>922.33</v>
      </c>
      <c r="M17" s="18" t="n">
        <v>807.45</v>
      </c>
      <c r="N17" s="18" t="n">
        <v>772.83</v>
      </c>
      <c r="O17" s="18" t="n">
        <v>2797.97</v>
      </c>
      <c r="P17" s="37" t="n">
        <v>2797.97</v>
      </c>
      <c r="Q17" s="18" t="n">
        <v>2847.07</v>
      </c>
      <c r="R17" s="18" t="n">
        <v>2760.23</v>
      </c>
      <c r="U17" s="9" t="n"/>
      <c r="Y17" s="18" t="n">
        <v>2589.04</v>
      </c>
      <c r="Z17" s="37" t="n">
        <v>2589.04</v>
      </c>
      <c r="AB17" s="19" t="n">
        <v>2056.84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28248.53</v>
      </c>
      <c r="F18" s="37" t="n">
        <v>28248.53</v>
      </c>
      <c r="G18" s="18" t="n">
        <v>28090.26</v>
      </c>
      <c r="H18" s="18" t="n">
        <v>28663.24</v>
      </c>
      <c r="I18" s="18" t="n">
        <v>29544.03</v>
      </c>
      <c r="J18" s="18" t="n">
        <v>25419.86</v>
      </c>
      <c r="K18" s="37" t="n">
        <v>25419.86</v>
      </c>
      <c r="L18" s="18" t="n">
        <v>25586.14</v>
      </c>
      <c r="M18" s="18" t="n">
        <v>25477.46</v>
      </c>
      <c r="N18" s="18" t="n">
        <v>25647.57</v>
      </c>
      <c r="O18" s="18" t="n">
        <v>26143.03</v>
      </c>
      <c r="P18" s="37" t="n">
        <v>26143.03</v>
      </c>
      <c r="Q18" s="18" t="n">
        <v>26181.58</v>
      </c>
      <c r="R18" s="18" t="n">
        <v>26355.22</v>
      </c>
      <c r="S18" s="18" t="n">
        <v>26012.12</v>
      </c>
      <c r="T18" s="18" t="n">
        <v>26242.92</v>
      </c>
      <c r="U18" s="37" t="n">
        <v>26242.92</v>
      </c>
      <c r="V18" s="18" t="n">
        <v>26282.63</v>
      </c>
      <c r="W18" s="18" t="n">
        <v>26150.02</v>
      </c>
      <c r="X18" s="18" t="n">
        <v>25992.45</v>
      </c>
      <c r="Y18" s="18" t="n">
        <v>182318.33</v>
      </c>
      <c r="Z18" s="37" t="n">
        <v>182318.33</v>
      </c>
      <c r="AA18" s="18" t="n">
        <v>181886.15</v>
      </c>
      <c r="AB18" s="19" t="n">
        <v>183578.74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사용권자산</t>
        </is>
      </c>
      <c r="E19" s="18" t="n">
        <v>397.38</v>
      </c>
      <c r="F19" s="37" t="n">
        <v>397.38</v>
      </c>
      <c r="G19" s="18" t="n">
        <v>378.31</v>
      </c>
      <c r="H19" s="18" t="n">
        <v>357.37</v>
      </c>
      <c r="I19" s="18" t="n">
        <v>438.08</v>
      </c>
      <c r="J19" s="18" t="n">
        <v>93.94</v>
      </c>
      <c r="K19" s="37" t="n">
        <v>93.94</v>
      </c>
      <c r="L19" s="18" t="n">
        <v>77.56</v>
      </c>
      <c r="M19" s="18" t="n">
        <v>61.19</v>
      </c>
      <c r="N19" s="18" t="n">
        <v>44.81</v>
      </c>
      <c r="O19" s="18" t="n">
        <v>28.43</v>
      </c>
      <c r="P19" s="37" t="n">
        <v>28.43</v>
      </c>
      <c r="Q19" s="18" t="n">
        <v>173.85</v>
      </c>
      <c r="R19" s="18" t="n">
        <v>160.94</v>
      </c>
      <c r="S19" s="18" t="n">
        <v>143.09</v>
      </c>
      <c r="T19" s="18" t="n">
        <v>129.65</v>
      </c>
      <c r="U19" s="37" t="n">
        <v>129.65</v>
      </c>
      <c r="V19" s="18" t="n">
        <v>112.07</v>
      </c>
      <c r="W19" s="18" t="n">
        <v>91.56</v>
      </c>
      <c r="X19" s="18" t="n">
        <v>87.56</v>
      </c>
      <c r="Y19" s="18" t="n">
        <v>9859.68</v>
      </c>
      <c r="Z19" s="37" t="n">
        <v>9859.68</v>
      </c>
      <c r="AA19" s="18" t="n">
        <v>9888.549999999999</v>
      </c>
      <c r="AB19" s="19" t="n">
        <v>9912.18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기타비유동자산</t>
        </is>
      </c>
      <c r="E20" s="18" t="n">
        <v>413.7</v>
      </c>
      <c r="F20" s="37" t="n">
        <v>413.7</v>
      </c>
      <c r="G20" s="18" t="n">
        <v>384.97</v>
      </c>
      <c r="H20" s="18" t="n">
        <v>357.37</v>
      </c>
      <c r="I20" s="18" t="n">
        <v>438.08</v>
      </c>
      <c r="J20" s="18" t="n">
        <v>93.94</v>
      </c>
      <c r="K20" s="37" t="n">
        <v>93.94</v>
      </c>
      <c r="L20" s="18" t="n">
        <v>77.56</v>
      </c>
      <c r="M20" s="18" t="n">
        <v>61.19</v>
      </c>
      <c r="N20" s="18" t="n">
        <v>44.81</v>
      </c>
      <c r="O20" s="18" t="n">
        <v>28.43</v>
      </c>
      <c r="P20" s="37" t="n">
        <v>28.43</v>
      </c>
      <c r="Q20" s="18" t="n">
        <v>173.85</v>
      </c>
      <c r="R20" s="18" t="n">
        <v>191</v>
      </c>
      <c r="S20" s="18" t="n">
        <v>170.33</v>
      </c>
      <c r="T20" s="18" t="n">
        <v>181.27</v>
      </c>
      <c r="U20" s="37" t="n">
        <v>181.27</v>
      </c>
      <c r="V20" s="18" t="n">
        <v>158.83</v>
      </c>
      <c r="W20" s="18" t="n">
        <v>130.76</v>
      </c>
      <c r="X20" s="18" t="n">
        <v>123.5</v>
      </c>
      <c r="Y20" s="18" t="n">
        <v>10800.82</v>
      </c>
      <c r="Z20" s="37" t="n">
        <v>10800.82</v>
      </c>
      <c r="AA20" s="18" t="n">
        <v>10715.49</v>
      </c>
      <c r="AB20" s="19" t="n">
        <v>10630.35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18" t="n">
        <v>317.53</v>
      </c>
      <c r="F21" s="37" t="n">
        <v>317.53</v>
      </c>
      <c r="G21" s="18" t="n">
        <v>317.53</v>
      </c>
      <c r="H21" s="18" t="n">
        <v>317.53</v>
      </c>
      <c r="I21" s="18" t="n">
        <v>558.89</v>
      </c>
      <c r="J21" s="18" t="n">
        <v>549.95</v>
      </c>
      <c r="K21" s="37" t="n">
        <v>549.95</v>
      </c>
      <c r="L21" s="18" t="n">
        <v>541.01</v>
      </c>
      <c r="M21" s="18" t="n">
        <v>532.0700000000001</v>
      </c>
      <c r="N21" s="18" t="n">
        <v>523.13</v>
      </c>
      <c r="O21" s="18" t="n">
        <v>512.1900000000001</v>
      </c>
      <c r="P21" s="37" t="n">
        <v>512.1900000000001</v>
      </c>
      <c r="Q21" s="18" t="n">
        <v>503.26</v>
      </c>
      <c r="R21" s="18" t="n">
        <v>417.55</v>
      </c>
      <c r="S21" s="18" t="n">
        <v>408.61</v>
      </c>
      <c r="T21" s="18" t="n">
        <v>1104.67</v>
      </c>
      <c r="U21" s="37" t="n">
        <v>1104.67</v>
      </c>
      <c r="V21" s="18" t="n">
        <v>1097.46</v>
      </c>
      <c r="W21" s="18" t="n">
        <v>1111.67</v>
      </c>
      <c r="X21" s="18" t="n">
        <v>1108.36</v>
      </c>
      <c r="Y21" s="18" t="n">
        <v>64210.13</v>
      </c>
      <c r="Z21" s="37" t="n">
        <v>64210.13</v>
      </c>
      <c r="AA21" s="18" t="n">
        <v>62059.76</v>
      </c>
      <c r="AB21" s="19" t="n">
        <v>60719.62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투자부동산</t>
        </is>
      </c>
      <c r="E22" s="18" t="n">
        <v>1951.11</v>
      </c>
      <c r="F22" s="37" t="n">
        <v>1951.11</v>
      </c>
      <c r="G22" s="18" t="n">
        <v>1942.48</v>
      </c>
      <c r="H22" s="18" t="n">
        <v>1933.85</v>
      </c>
      <c r="I22" s="18" t="n">
        <v>1925.22</v>
      </c>
      <c r="J22" s="18" t="n">
        <v>1916.6</v>
      </c>
      <c r="K22" s="37" t="n">
        <v>1916.6</v>
      </c>
      <c r="L22" s="18" t="n">
        <v>1907.97</v>
      </c>
      <c r="M22" s="18" t="n">
        <v>1899.34</v>
      </c>
      <c r="N22" s="18" t="n">
        <v>1890.71</v>
      </c>
      <c r="O22" s="18" t="n">
        <v>1882.08</v>
      </c>
      <c r="P22" s="37" t="n">
        <v>1882.08</v>
      </c>
      <c r="Q22" s="18" t="n">
        <v>1873.45</v>
      </c>
      <c r="R22" s="18" t="n">
        <v>1864.82</v>
      </c>
      <c r="S22" s="18" t="n">
        <v>1856.19</v>
      </c>
      <c r="T22" s="18" t="n">
        <v>1847.57</v>
      </c>
      <c r="U22" s="37" t="n">
        <v>1847.57</v>
      </c>
      <c r="V22" s="18" t="n">
        <v>1838.94</v>
      </c>
      <c r="W22" s="18" t="n">
        <v>1830.31</v>
      </c>
      <c r="X22" s="18" t="n">
        <v>1821.68</v>
      </c>
      <c r="Y22" s="18" t="n">
        <v>3305.39</v>
      </c>
      <c r="Z22" s="37" t="n">
        <v>3305.39</v>
      </c>
      <c r="AA22" s="18" t="n">
        <v>3324.91</v>
      </c>
      <c r="AB22" s="19" t="n">
        <v>3410.19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이연법인세자산</t>
        </is>
      </c>
      <c r="E23" s="18" t="n">
        <v>141.66</v>
      </c>
      <c r="F23" s="37" t="n">
        <v>141.66</v>
      </c>
      <c r="G23" s="18" t="n">
        <v>262.74</v>
      </c>
      <c r="H23" s="18" t="n">
        <v>1039.93</v>
      </c>
      <c r="I23" s="18" t="n">
        <v>2207.51</v>
      </c>
      <c r="J23" s="18" t="n">
        <v>2056.18</v>
      </c>
      <c r="K23" s="37" t="n">
        <v>2056.18</v>
      </c>
      <c r="L23" s="18" t="n">
        <v>1816.82</v>
      </c>
      <c r="M23" s="18" t="n">
        <v>1915.06</v>
      </c>
      <c r="N23" s="18" t="n">
        <v>2185.8</v>
      </c>
      <c r="O23" s="18" t="n">
        <v>2037.2</v>
      </c>
      <c r="P23" s="37" t="n">
        <v>2037.2</v>
      </c>
      <c r="Q23" s="18" t="n">
        <v>2037.2</v>
      </c>
      <c r="R23" s="18" t="n">
        <v>2617.71</v>
      </c>
      <c r="S23" s="18" t="n">
        <v>2894.42</v>
      </c>
      <c r="T23" s="18" t="n">
        <v>1678.2</v>
      </c>
      <c r="U23" s="37" t="n">
        <v>1678.2</v>
      </c>
      <c r="V23" s="18" t="n">
        <v>1308.5</v>
      </c>
      <c r="W23" s="18" t="n">
        <v>927.17</v>
      </c>
      <c r="X23" s="18" t="n">
        <v>666.49</v>
      </c>
      <c r="Y23" s="18" t="n">
        <v>5622.58</v>
      </c>
      <c r="Z23" s="37" t="n">
        <v>5622.58</v>
      </c>
      <c r="AA23" s="18" t="n">
        <v>8518.120000000001</v>
      </c>
      <c r="AB23" s="19" t="n">
        <v>6243.89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자산총계</t>
        </is>
      </c>
      <c r="E24" s="18" t="n">
        <v>110382.02</v>
      </c>
      <c r="F24" s="37" t="n">
        <v>110382.02</v>
      </c>
      <c r="G24" s="18" t="n">
        <v>112067.31</v>
      </c>
      <c r="H24" s="18" t="n">
        <v>110825.25</v>
      </c>
      <c r="I24" s="18" t="n">
        <v>108670.3</v>
      </c>
      <c r="J24" s="18" t="n">
        <v>101301.62</v>
      </c>
      <c r="K24" s="37" t="n">
        <v>101301.62</v>
      </c>
      <c r="L24" s="18" t="n">
        <v>104824.56</v>
      </c>
      <c r="M24" s="18" t="n">
        <v>106930.27</v>
      </c>
      <c r="N24" s="18" t="n">
        <v>109129.15</v>
      </c>
      <c r="O24" s="18" t="n">
        <v>111581.33</v>
      </c>
      <c r="P24" s="37" t="n">
        <v>111581.33</v>
      </c>
      <c r="Q24" s="18" t="n">
        <v>113678.45</v>
      </c>
      <c r="R24" s="18" t="n">
        <v>107723.34</v>
      </c>
      <c r="S24" s="18" t="n">
        <v>115249.4</v>
      </c>
      <c r="T24" s="18" t="n">
        <v>115885.55</v>
      </c>
      <c r="U24" s="37" t="n">
        <v>115885.55</v>
      </c>
      <c r="V24" s="18" t="n">
        <v>128660.27</v>
      </c>
      <c r="W24" s="18" t="n">
        <v>119420.76</v>
      </c>
      <c r="X24" s="18" t="n">
        <v>146589.1</v>
      </c>
      <c r="Y24" s="18" t="n">
        <v>544114.87</v>
      </c>
      <c r="Z24" s="37" t="n">
        <v>544114.87</v>
      </c>
      <c r="AA24" s="18" t="n">
        <v>568299.17</v>
      </c>
      <c r="AB24" s="19" t="n">
        <v>579945.67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유동부채</t>
        </is>
      </c>
      <c r="E25" s="18" t="n">
        <v>35307.11</v>
      </c>
      <c r="F25" s="37" t="n">
        <v>35307.11</v>
      </c>
      <c r="G25" s="18" t="n">
        <v>37332.24</v>
      </c>
      <c r="H25" s="18" t="n">
        <v>38201.86</v>
      </c>
      <c r="I25" s="18" t="n">
        <v>38721.47</v>
      </c>
      <c r="J25" s="18" t="n">
        <v>36855.52</v>
      </c>
      <c r="K25" s="37" t="n">
        <v>36855.52</v>
      </c>
      <c r="L25" s="18" t="n">
        <v>38328.11</v>
      </c>
      <c r="M25" s="18" t="n">
        <v>39380.29</v>
      </c>
      <c r="N25" s="18" t="n">
        <v>40159.3</v>
      </c>
      <c r="O25" s="18" t="n">
        <v>42256.96</v>
      </c>
      <c r="P25" s="37" t="n">
        <v>42256.96</v>
      </c>
      <c r="Q25" s="18" t="n">
        <v>43746.19</v>
      </c>
      <c r="R25" s="18" t="n">
        <v>37521.81</v>
      </c>
      <c r="S25" s="18" t="n">
        <v>42228.3</v>
      </c>
      <c r="T25" s="18" t="n">
        <v>41132.79</v>
      </c>
      <c r="U25" s="37" t="n">
        <v>41132.79</v>
      </c>
      <c r="V25" s="18" t="n">
        <v>52034.44</v>
      </c>
      <c r="W25" s="18" t="n">
        <v>40415.49</v>
      </c>
      <c r="X25" s="18" t="n">
        <v>64388.4</v>
      </c>
      <c r="Y25" s="18" t="n">
        <v>226467.65</v>
      </c>
      <c r="Z25" s="37" t="n">
        <v>226467.65</v>
      </c>
      <c r="AA25" s="18" t="n">
        <v>241716.32</v>
      </c>
      <c r="AB25" s="19" t="n">
        <v>224351.87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매입채무및기타채무</t>
        </is>
      </c>
      <c r="E26" s="18" t="n">
        <v>7279.85</v>
      </c>
      <c r="F26" s="37" t="n">
        <v>7279.85</v>
      </c>
      <c r="G26" s="18" t="n">
        <v>7371.71</v>
      </c>
      <c r="H26" s="18" t="n">
        <v>6770.66</v>
      </c>
      <c r="I26" s="18" t="n">
        <v>7226.53</v>
      </c>
      <c r="J26" s="18" t="n">
        <v>7781.38</v>
      </c>
      <c r="K26" s="37" t="n">
        <v>7781.38</v>
      </c>
      <c r="L26" s="18" t="n">
        <v>7517.65</v>
      </c>
      <c r="M26" s="18" t="n">
        <v>7868.12</v>
      </c>
      <c r="N26" s="18" t="n">
        <v>7685.44</v>
      </c>
      <c r="O26" s="18" t="n">
        <v>8962.08</v>
      </c>
      <c r="P26" s="37" t="n">
        <v>8962.08</v>
      </c>
      <c r="Q26" s="18" t="n">
        <v>11316.23</v>
      </c>
      <c r="R26" s="18" t="n">
        <v>7989.79</v>
      </c>
      <c r="S26" s="18" t="n">
        <v>8710.360000000001</v>
      </c>
      <c r="T26" s="18" t="n">
        <v>10931.03</v>
      </c>
      <c r="U26" s="37" t="n">
        <v>10931.03</v>
      </c>
      <c r="V26" s="18" t="n">
        <v>11416.28</v>
      </c>
      <c r="W26" s="18" t="n">
        <v>8325.52</v>
      </c>
      <c r="X26" s="18" t="n">
        <v>8653.52</v>
      </c>
      <c r="Y26" s="18" t="n">
        <v>64807.58</v>
      </c>
      <c r="Z26" s="37" t="n">
        <v>64807.58</v>
      </c>
      <c r="AA26" s="18" t="n">
        <v>65161.74</v>
      </c>
      <c r="AB26" s="19" t="n">
        <v>68137.94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단기차입금</t>
        </is>
      </c>
      <c r="E27" s="18" t="n">
        <v>24750.15</v>
      </c>
      <c r="F27" s="37" t="n">
        <v>24750.15</v>
      </c>
      <c r="G27" s="18" t="n">
        <v>24825.14</v>
      </c>
      <c r="H27" s="18" t="n">
        <v>25174.49</v>
      </c>
      <c r="I27" s="18" t="n">
        <v>25670.18</v>
      </c>
      <c r="J27" s="18" t="n">
        <v>23790.97</v>
      </c>
      <c r="K27" s="37" t="n">
        <v>23790.97</v>
      </c>
      <c r="L27" s="18" t="n">
        <v>25177.48</v>
      </c>
      <c r="M27" s="18" t="n">
        <v>25735.19</v>
      </c>
      <c r="N27" s="18" t="n">
        <v>27311.76</v>
      </c>
      <c r="O27" s="18" t="n">
        <v>27150.91</v>
      </c>
      <c r="P27" s="37" t="n">
        <v>27150.91</v>
      </c>
      <c r="Q27" s="18" t="n">
        <v>21311.19</v>
      </c>
      <c r="R27" s="18" t="n">
        <v>16927.92</v>
      </c>
      <c r="S27" s="18" t="n">
        <v>19298.83</v>
      </c>
      <c r="T27" s="18" t="n">
        <v>19859.48</v>
      </c>
      <c r="U27" s="37" t="n">
        <v>19859.48</v>
      </c>
      <c r="V27" s="18" t="n">
        <v>26868.3</v>
      </c>
      <c r="W27" s="18" t="n">
        <v>18399.76</v>
      </c>
      <c r="X27" s="18" t="n">
        <v>42341</v>
      </c>
      <c r="Y27" s="18" t="n">
        <v>140129.43</v>
      </c>
      <c r="Z27" s="37" t="n">
        <v>140129.43</v>
      </c>
      <c r="AA27" s="18" t="n">
        <v>148952.62</v>
      </c>
      <c r="AB27" s="19" t="n">
        <v>130647.56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유동성장기부채</t>
        </is>
      </c>
      <c r="E28" s="18" t="n">
        <v>513.52</v>
      </c>
      <c r="F28" s="37" t="n">
        <v>513.52</v>
      </c>
      <c r="G28" s="18" t="n">
        <v>13.52</v>
      </c>
      <c r="H28" s="18" t="n">
        <v>13.52</v>
      </c>
      <c r="I28" s="18" t="n">
        <v>1513.52</v>
      </c>
      <c r="J28" s="18" t="n">
        <v>1500</v>
      </c>
      <c r="K28" s="37" t="n">
        <v>1500</v>
      </c>
      <c r="L28" s="18" t="n">
        <v>1500</v>
      </c>
      <c r="M28" s="18" t="n">
        <v>1500</v>
      </c>
      <c r="N28" s="18" t="n">
        <v>0</v>
      </c>
      <c r="O28" s="18" t="n">
        <v>0</v>
      </c>
      <c r="P28" s="37" t="n">
        <v>0</v>
      </c>
      <c r="Q28" s="18" t="n">
        <v>0</v>
      </c>
      <c r="R28" s="18" t="n">
        <v>500</v>
      </c>
      <c r="S28" s="18" t="n">
        <v>500</v>
      </c>
      <c r="T28" s="18" t="n">
        <v>500</v>
      </c>
      <c r="U28" s="37" t="n">
        <v>500</v>
      </c>
      <c r="V28" s="18" t="n">
        <v>0</v>
      </c>
      <c r="W28" s="18" t="n">
        <v>0</v>
      </c>
      <c r="X28" s="18" t="n">
        <v>0</v>
      </c>
      <c r="Y28" s="18" t="n">
        <v>0</v>
      </c>
      <c r="Z28" s="37" t="n">
        <v>0</v>
      </c>
      <c r="AA28" s="18" t="n">
        <v>0</v>
      </c>
      <c r="AB28" s="19" t="n">
        <v>1083.35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당기법인세부채(미지급법인세)</t>
        </is>
      </c>
      <c r="E29" s="18" t="n">
        <v>21.25</v>
      </c>
      <c r="F29" s="37" t="n">
        <v>21.25</v>
      </c>
      <c r="G29" s="18" t="n">
        <v>38.46</v>
      </c>
      <c r="H29" s="18" t="n">
        <v>27.55</v>
      </c>
      <c r="I29" s="18" t="n">
        <v>0</v>
      </c>
      <c r="J29" s="18" t="n">
        <v>0</v>
      </c>
      <c r="K29" s="37" t="n">
        <v>0</v>
      </c>
      <c r="L29" s="18" t="n">
        <v>119.59</v>
      </c>
      <c r="M29" s="18" t="n">
        <v>392.51</v>
      </c>
      <c r="N29" s="18" t="n">
        <v>777.75</v>
      </c>
      <c r="O29" s="18" t="n">
        <v>0</v>
      </c>
      <c r="P29" s="37" t="n">
        <v>0</v>
      </c>
      <c r="Q29" s="18" t="n">
        <v>199.25</v>
      </c>
      <c r="R29" s="18" t="n">
        <v>904.73</v>
      </c>
      <c r="S29" s="18" t="n">
        <v>1524.86</v>
      </c>
      <c r="T29" s="18" t="n">
        <v>82.62</v>
      </c>
      <c r="U29" s="37" t="n">
        <v>82.62</v>
      </c>
      <c r="V29" s="18" t="n">
        <v>145.57</v>
      </c>
      <c r="W29" s="18" t="n">
        <v>337.45</v>
      </c>
      <c r="X29" s="18" t="n">
        <v>561.34</v>
      </c>
      <c r="Y29" s="18" t="n">
        <v>2864.36</v>
      </c>
      <c r="Z29" s="37" t="n">
        <v>2864.36</v>
      </c>
      <c r="AA29" s="18" t="n">
        <v>3645.82</v>
      </c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단기충당부채</t>
        </is>
      </c>
      <c r="E30" s="18" t="n">
        <v>221.46</v>
      </c>
      <c r="F30" s="37" t="n">
        <v>221.46</v>
      </c>
      <c r="G30" s="18" t="n">
        <v>199.47</v>
      </c>
      <c r="H30" s="18" t="n">
        <v>198.44</v>
      </c>
      <c r="I30" s="18" t="n">
        <v>1682.99</v>
      </c>
      <c r="J30" s="18" t="n">
        <v>1696.88</v>
      </c>
      <c r="K30" s="37" t="n">
        <v>1696.88</v>
      </c>
      <c r="L30" s="18" t="n">
        <v>1532.68</v>
      </c>
      <c r="M30" s="18" t="n">
        <v>1573.66</v>
      </c>
      <c r="N30" s="18" t="n">
        <v>1605.79</v>
      </c>
      <c r="O30" s="18" t="n">
        <v>1584</v>
      </c>
      <c r="P30" s="37" t="n">
        <v>1584</v>
      </c>
      <c r="Q30" s="18" t="n">
        <v>1492.11</v>
      </c>
      <c r="R30" s="18" t="n">
        <v>3659.61</v>
      </c>
      <c r="S30" s="18" t="n">
        <v>3712.34</v>
      </c>
      <c r="T30" s="18" t="n">
        <v>1610.17</v>
      </c>
      <c r="U30" s="37" t="n">
        <v>1610.17</v>
      </c>
      <c r="V30" s="18" t="n">
        <v>1433.01</v>
      </c>
      <c r="W30" s="18" t="n">
        <v>1501.87</v>
      </c>
      <c r="X30" s="18" t="n">
        <v>1525.84</v>
      </c>
      <c r="Y30" s="18" t="n">
        <v>1543.17</v>
      </c>
      <c r="Z30" s="37" t="n">
        <v>1543.17</v>
      </c>
      <c r="AA30" s="18" t="n">
        <v>1603.14</v>
      </c>
      <c r="AB30" s="19" t="n">
        <v>1487.59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유동리스부채</t>
        </is>
      </c>
      <c r="E31" s="18" t="n">
        <v>151.04</v>
      </c>
      <c r="F31" s="37" t="n">
        <v>151.04</v>
      </c>
      <c r="G31" s="18" t="n">
        <v>133.61</v>
      </c>
      <c r="H31" s="18" t="n">
        <v>114.95</v>
      </c>
      <c r="I31" s="18" t="n">
        <v>152.83</v>
      </c>
      <c r="J31" s="18" t="n">
        <v>212.03</v>
      </c>
      <c r="K31" s="37" t="n">
        <v>212.03</v>
      </c>
      <c r="L31" s="18" t="n">
        <v>135.2</v>
      </c>
      <c r="M31" s="18" t="n">
        <v>110.89</v>
      </c>
      <c r="N31" s="18" t="n">
        <v>82.23999999999999</v>
      </c>
      <c r="O31" s="18" t="n">
        <v>51.74</v>
      </c>
      <c r="P31" s="37" t="n">
        <v>51.74</v>
      </c>
      <c r="Q31" s="18" t="n">
        <v>66.31999999999999</v>
      </c>
      <c r="R31" s="18" t="n">
        <v>67.78</v>
      </c>
      <c r="S31" s="18" t="n">
        <v>68.33</v>
      </c>
      <c r="T31" s="18" t="n">
        <v>68.69</v>
      </c>
      <c r="U31" s="37" t="n">
        <v>68.69</v>
      </c>
      <c r="V31" s="18" t="n">
        <v>66.56999999999999</v>
      </c>
      <c r="W31" s="18" t="n">
        <v>62.45</v>
      </c>
      <c r="X31" s="18" t="n">
        <v>71.97</v>
      </c>
      <c r="Y31" s="18" t="n">
        <v>133.48</v>
      </c>
      <c r="Z31" s="37" t="n">
        <v>133.48</v>
      </c>
      <c r="AA31" s="18" t="n">
        <v>120.69</v>
      </c>
      <c r="AB31" s="19" t="n">
        <v>123.64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리스부채</t>
        </is>
      </c>
      <c r="E32" s="18" t="n">
        <v>254.4</v>
      </c>
      <c r="F32" s="37" t="n">
        <v>254.4</v>
      </c>
      <c r="G32" s="18" t="n">
        <v>212.29</v>
      </c>
      <c r="H32" s="18" t="n">
        <v>168.3</v>
      </c>
      <c r="I32" s="18" t="n">
        <v>228.85</v>
      </c>
      <c r="J32" s="18" t="n">
        <v>331.02</v>
      </c>
      <c r="K32" s="37" t="n">
        <v>331.02</v>
      </c>
      <c r="L32" s="18" t="n">
        <v>169.55</v>
      </c>
      <c r="M32" s="18" t="n">
        <v>126.17</v>
      </c>
      <c r="N32" s="18" t="n">
        <v>94.64</v>
      </c>
      <c r="O32" s="18" t="n">
        <v>61.24</v>
      </c>
      <c r="P32" s="37" t="n">
        <v>61.24</v>
      </c>
      <c r="Q32" s="18" t="n">
        <v>178.16</v>
      </c>
      <c r="R32" s="18" t="n">
        <v>163.65</v>
      </c>
      <c r="S32" s="18" t="n">
        <v>146.42</v>
      </c>
      <c r="T32" s="18" t="n">
        <v>133.5</v>
      </c>
      <c r="U32" s="37" t="n">
        <v>133.5</v>
      </c>
      <c r="V32" s="18" t="n">
        <v>116.17</v>
      </c>
      <c r="W32" s="18" t="n">
        <v>95.56999999999999</v>
      </c>
      <c r="X32" s="18" t="n">
        <v>90.86</v>
      </c>
      <c r="Y32" s="18" t="n">
        <v>507.18</v>
      </c>
      <c r="Z32" s="37" t="n">
        <v>507.18</v>
      </c>
      <c r="AA32" s="18" t="n">
        <v>460.92</v>
      </c>
      <c r="AB32" s="19" t="n">
        <v>472.28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단기금융부채</t>
        </is>
      </c>
      <c r="E33" s="18" t="n">
        <v>212.51</v>
      </c>
      <c r="F33" s="37" t="n">
        <v>212.51</v>
      </c>
      <c r="G33" s="18" t="n">
        <v>270.27</v>
      </c>
      <c r="H33" s="18" t="n">
        <v>397.76</v>
      </c>
      <c r="I33" s="18" t="n">
        <v>152.83</v>
      </c>
      <c r="J33" s="18" t="n">
        <v>212.03</v>
      </c>
      <c r="K33" s="37" t="n">
        <v>212.03</v>
      </c>
      <c r="L33" s="18" t="n">
        <v>354.07</v>
      </c>
      <c r="M33" s="18" t="n">
        <v>286.18</v>
      </c>
      <c r="N33" s="18" t="n">
        <v>265.03</v>
      </c>
      <c r="O33" s="18" t="n">
        <v>128.88</v>
      </c>
      <c r="P33" s="37" t="n">
        <v>128.88</v>
      </c>
      <c r="Q33" s="18" t="n">
        <v>462.56</v>
      </c>
      <c r="R33" s="18" t="n">
        <v>674.33</v>
      </c>
      <c r="S33" s="18" t="n">
        <v>285.68</v>
      </c>
      <c r="T33" s="18" t="n">
        <v>822.1900000000001</v>
      </c>
      <c r="U33" s="37" t="n">
        <v>822.1900000000001</v>
      </c>
      <c r="V33" s="18" t="n">
        <v>799.3099999999999</v>
      </c>
      <c r="W33" s="18" t="n">
        <v>424.56</v>
      </c>
      <c r="X33" s="18" t="n">
        <v>847.5</v>
      </c>
      <c r="Y33" s="18" t="n">
        <v>5885.84</v>
      </c>
      <c r="Z33" s="37" t="n">
        <v>5885.84</v>
      </c>
      <c r="AA33" s="18" t="n">
        <v>6179.9</v>
      </c>
      <c r="AB33" s="19" t="n">
        <v>2504.73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단기파생상품부채</t>
        </is>
      </c>
      <c r="E34" s="18" t="n">
        <v>61.47</v>
      </c>
      <c r="F34" s="37" t="n">
        <v>61.47</v>
      </c>
      <c r="G34" s="18" t="n">
        <v>136.66</v>
      </c>
      <c r="H34" s="18" t="n">
        <v>282.81</v>
      </c>
      <c r="I34" s="18" t="n">
        <v>0</v>
      </c>
      <c r="J34" s="18" t="n">
        <v>0</v>
      </c>
      <c r="K34" s="37" t="n">
        <v>0</v>
      </c>
      <c r="L34" s="18" t="n">
        <v>218.87</v>
      </c>
      <c r="M34" s="18" t="n">
        <v>175.29</v>
      </c>
      <c r="N34" s="18" t="n">
        <v>182.79</v>
      </c>
      <c r="O34" s="18" t="n">
        <v>77.14</v>
      </c>
      <c r="P34" s="37" t="n">
        <v>77.14</v>
      </c>
      <c r="Q34" s="18" t="n">
        <v>396.24</v>
      </c>
      <c r="R34" s="18" t="n">
        <v>606.55</v>
      </c>
      <c r="S34" s="18" t="n">
        <v>217.35</v>
      </c>
      <c r="T34" s="18" t="n">
        <v>753.5</v>
      </c>
      <c r="U34" s="37" t="n">
        <v>753.5</v>
      </c>
      <c r="V34" s="18" t="n">
        <v>732.74</v>
      </c>
      <c r="W34" s="18" t="n">
        <v>362.11</v>
      </c>
      <c r="X34" s="18" t="n">
        <v>775.53</v>
      </c>
      <c r="Y34" s="18" t="n">
        <v>5752.36</v>
      </c>
      <c r="Z34" s="37" t="n">
        <v>5752.36</v>
      </c>
      <c r="AA34" s="18" t="n">
        <v>6059.21</v>
      </c>
      <c r="AB34" s="19" t="n">
        <v>2381.09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기타유동부채</t>
        </is>
      </c>
      <c r="E35" s="18" t="n">
        <v>2308.37</v>
      </c>
      <c r="F35" s="37" t="n">
        <v>2308.37</v>
      </c>
      <c r="G35" s="18" t="n">
        <v>4613.69</v>
      </c>
      <c r="H35" s="18" t="n">
        <v>5619.43</v>
      </c>
      <c r="I35" s="18" t="n">
        <v>2475.42</v>
      </c>
      <c r="J35" s="18" t="n">
        <v>1874.27</v>
      </c>
      <c r="K35" s="37" t="n">
        <v>1874.27</v>
      </c>
      <c r="L35" s="18" t="n">
        <v>2126.63</v>
      </c>
      <c r="M35" s="18" t="n">
        <v>2024.62</v>
      </c>
      <c r="N35" s="18" t="n">
        <v>2513.53</v>
      </c>
      <c r="O35" s="18" t="n">
        <v>4431.09</v>
      </c>
      <c r="P35" s="37" t="n">
        <v>4431.09</v>
      </c>
      <c r="Q35" s="18" t="n">
        <v>8964.85</v>
      </c>
      <c r="R35" s="18" t="n">
        <v>6865.43</v>
      </c>
      <c r="S35" s="18" t="n">
        <v>8196.23</v>
      </c>
      <c r="T35" s="18" t="n">
        <v>7327.32</v>
      </c>
      <c r="U35" s="37" t="n">
        <v>7327.32</v>
      </c>
      <c r="V35" s="18" t="n">
        <v>11371.96</v>
      </c>
      <c r="W35" s="18" t="n">
        <v>11426.33</v>
      </c>
      <c r="X35" s="18" t="n">
        <v>10459.2</v>
      </c>
      <c r="Y35" s="18" t="n">
        <v>11237.28</v>
      </c>
      <c r="Z35" s="37" t="n">
        <v>11237.28</v>
      </c>
      <c r="AA35" s="18" t="n">
        <v>16173.1</v>
      </c>
      <c r="AB35" s="19" t="n">
        <v>19117.42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비유동부채</t>
        </is>
      </c>
      <c r="E36" s="18" t="n">
        <v>2041.45</v>
      </c>
      <c r="F36" s="37" t="n">
        <v>2041.45</v>
      </c>
      <c r="G36" s="18" t="n">
        <v>2068.24</v>
      </c>
      <c r="H36" s="18" t="n">
        <v>2697.87</v>
      </c>
      <c r="I36" s="18" t="n">
        <v>1416.27</v>
      </c>
      <c r="J36" s="18" t="n">
        <v>1017.66</v>
      </c>
      <c r="K36" s="37" t="n">
        <v>1017.66</v>
      </c>
      <c r="L36" s="18" t="n">
        <v>947.04</v>
      </c>
      <c r="M36" s="18" t="n">
        <v>1549.39</v>
      </c>
      <c r="N36" s="18" t="n">
        <v>1690.66</v>
      </c>
      <c r="O36" s="18" t="n">
        <v>960.22</v>
      </c>
      <c r="P36" s="37" t="n">
        <v>960.22</v>
      </c>
      <c r="Q36" s="18" t="n">
        <v>1086.59</v>
      </c>
      <c r="R36" s="18" t="n">
        <v>596.4</v>
      </c>
      <c r="S36" s="18" t="n">
        <v>592.1799999999999</v>
      </c>
      <c r="T36" s="18" t="n">
        <v>531.12</v>
      </c>
      <c r="U36" s="37" t="n">
        <v>531.12</v>
      </c>
      <c r="V36" s="18" t="n">
        <v>1522.87</v>
      </c>
      <c r="W36" s="18" t="n">
        <v>2507.25</v>
      </c>
      <c r="X36" s="18" t="n">
        <v>2519.23</v>
      </c>
      <c r="Y36" s="18" t="n">
        <v>74818.16</v>
      </c>
      <c r="Z36" s="37" t="n">
        <v>74818.16</v>
      </c>
      <c r="AA36" s="18" t="n">
        <v>78901.95</v>
      </c>
      <c r="AB36" s="19" t="n">
        <v>103265.06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장기매입채무및기타채무</t>
        </is>
      </c>
      <c r="E37" s="18" t="n">
        <v>216.46</v>
      </c>
      <c r="F37" s="37" t="n">
        <v>216.46</v>
      </c>
      <c r="G37" s="18" t="n">
        <v>221.96</v>
      </c>
      <c r="H37" s="18" t="n">
        <v>226.91</v>
      </c>
      <c r="I37" s="18" t="n">
        <v>233.76</v>
      </c>
      <c r="J37" s="18" t="n">
        <v>238.99</v>
      </c>
      <c r="K37" s="37" t="n">
        <v>238.99</v>
      </c>
      <c r="L37" s="18" t="n">
        <v>246.99</v>
      </c>
      <c r="M37" s="18" t="n">
        <v>250.85</v>
      </c>
      <c r="N37" s="18" t="n">
        <v>238.33</v>
      </c>
      <c r="O37" s="18" t="n">
        <v>270.29</v>
      </c>
      <c r="P37" s="37" t="n">
        <v>270.29</v>
      </c>
      <c r="Q37" s="18" t="n">
        <v>288.45</v>
      </c>
      <c r="R37" s="18" t="n">
        <v>288.07</v>
      </c>
      <c r="S37" s="18" t="n">
        <v>295.09</v>
      </c>
      <c r="T37" s="18" t="n">
        <v>254.28</v>
      </c>
      <c r="U37" s="37" t="n">
        <v>254.28</v>
      </c>
      <c r="V37" s="18" t="n">
        <v>242.75</v>
      </c>
      <c r="W37" s="18" t="n">
        <v>250.8</v>
      </c>
      <c r="X37" s="18" t="n">
        <v>258.24</v>
      </c>
      <c r="Y37" s="18" t="n">
        <v>792.0599999999999</v>
      </c>
      <c r="Z37" s="37" t="n">
        <v>792.0599999999999</v>
      </c>
      <c r="AA37" s="18" t="n">
        <v>845.29</v>
      </c>
      <c r="AB37" s="19" t="n">
        <v>865.6900000000001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장기차입금</t>
        </is>
      </c>
      <c r="E38" s="18" t="n">
        <v>1537.18</v>
      </c>
      <c r="F38" s="37" t="n">
        <v>1537.18</v>
      </c>
      <c r="G38" s="18" t="n">
        <v>1533.8</v>
      </c>
      <c r="H38" s="18" t="n">
        <v>2030.42</v>
      </c>
      <c r="I38" s="18" t="n">
        <v>527.04</v>
      </c>
      <c r="J38" s="18" t="n">
        <v>500</v>
      </c>
      <c r="K38" s="37" t="n">
        <v>500</v>
      </c>
      <c r="L38" s="18" t="n">
        <v>500</v>
      </c>
      <c r="M38" s="18" t="n">
        <v>500</v>
      </c>
      <c r="N38" s="18" t="n">
        <v>500</v>
      </c>
      <c r="O38" s="18" t="n">
        <v>500</v>
      </c>
      <c r="P38" s="37" t="n">
        <v>500</v>
      </c>
      <c r="Q38" s="18" t="n">
        <v>500</v>
      </c>
      <c r="R38" s="18" t="n">
        <v>0</v>
      </c>
      <c r="S38" s="18" t="n">
        <v>0</v>
      </c>
      <c r="T38" s="18" t="n">
        <v>0</v>
      </c>
      <c r="U38" s="37" t="n">
        <v>0</v>
      </c>
      <c r="V38" s="18" t="n">
        <v>1000</v>
      </c>
      <c r="W38" s="18" t="n">
        <v>2000</v>
      </c>
      <c r="X38" s="18" t="n">
        <v>2000</v>
      </c>
      <c r="Y38" s="18" t="n">
        <v>34007.91</v>
      </c>
      <c r="Z38" s="37" t="n">
        <v>34007.91</v>
      </c>
      <c r="AA38" s="18" t="n">
        <v>34826.94</v>
      </c>
      <c r="AB38" s="19" t="n">
        <v>58357.32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비유동리스부채</t>
        </is>
      </c>
      <c r="E39" s="18" t="n">
        <v>103.36</v>
      </c>
      <c r="F39" s="37" t="n">
        <v>103.36</v>
      </c>
      <c r="G39" s="18" t="n">
        <v>78.68000000000001</v>
      </c>
      <c r="H39" s="18" t="n">
        <v>53.35</v>
      </c>
      <c r="I39" s="18" t="n">
        <v>76.02</v>
      </c>
      <c r="J39" s="18" t="n">
        <v>118.99</v>
      </c>
      <c r="K39" s="37" t="n">
        <v>118.99</v>
      </c>
      <c r="L39" s="18" t="n">
        <v>34.35</v>
      </c>
      <c r="M39" s="18" t="n">
        <v>15.28</v>
      </c>
      <c r="N39" s="18" t="n">
        <v>12.4</v>
      </c>
      <c r="O39" s="18" t="n">
        <v>9.5</v>
      </c>
      <c r="P39" s="37" t="n">
        <v>9.5</v>
      </c>
      <c r="Q39" s="18" t="n">
        <v>111.84</v>
      </c>
      <c r="R39" s="18" t="n">
        <v>95.87</v>
      </c>
      <c r="S39" s="18" t="n">
        <v>78.09</v>
      </c>
      <c r="T39" s="18" t="n">
        <v>64.81</v>
      </c>
      <c r="U39" s="37" t="n">
        <v>64.81</v>
      </c>
      <c r="V39" s="18" t="n">
        <v>49.6</v>
      </c>
      <c r="W39" s="18" t="n">
        <v>33.12</v>
      </c>
      <c r="X39" s="18" t="n">
        <v>18.89</v>
      </c>
      <c r="Y39" s="18" t="n">
        <v>373.7</v>
      </c>
      <c r="Z39" s="37" t="n">
        <v>373.7</v>
      </c>
      <c r="AA39" s="18" t="n">
        <v>340.23</v>
      </c>
      <c r="AB39" s="19" t="n">
        <v>348.64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장기금융부채</t>
        </is>
      </c>
      <c r="E40" s="18" t="n">
        <v>103.36</v>
      </c>
      <c r="F40" s="37" t="n">
        <v>103.36</v>
      </c>
      <c r="G40" s="18" t="n">
        <v>78.68000000000001</v>
      </c>
      <c r="H40" s="18" t="n">
        <v>53.35</v>
      </c>
      <c r="I40" s="18" t="n">
        <v>76.02</v>
      </c>
      <c r="J40" s="18" t="n">
        <v>118.99</v>
      </c>
      <c r="K40" s="37" t="n">
        <v>118.99</v>
      </c>
      <c r="L40" s="18" t="n">
        <v>34.35</v>
      </c>
      <c r="M40" s="18" t="n">
        <v>15.28</v>
      </c>
      <c r="N40" s="18" t="n">
        <v>12.4</v>
      </c>
      <c r="O40" s="18" t="n">
        <v>9.5</v>
      </c>
      <c r="P40" s="37" t="n">
        <v>9.5</v>
      </c>
      <c r="Q40" s="18" t="n">
        <v>111.84</v>
      </c>
      <c r="R40" s="18" t="n">
        <v>95.87</v>
      </c>
      <c r="S40" s="18" t="n">
        <v>78.09</v>
      </c>
      <c r="T40" s="18" t="n">
        <v>64.81</v>
      </c>
      <c r="U40" s="37" t="n">
        <v>64.81</v>
      </c>
      <c r="V40" s="18" t="n">
        <v>49.6</v>
      </c>
      <c r="W40" s="18" t="n">
        <v>33.12</v>
      </c>
      <c r="X40" s="18" t="n">
        <v>18.89</v>
      </c>
      <c r="Y40" s="18" t="n">
        <v>3006.47</v>
      </c>
      <c r="Z40" s="37" t="n">
        <v>3006.47</v>
      </c>
      <c r="AA40" s="18" t="n">
        <v>2973</v>
      </c>
      <c r="AB40" s="19" t="n">
        <v>4024.06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이연법인세부채</t>
        </is>
      </c>
      <c r="E41" s="18" t="n">
        <v>0</v>
      </c>
      <c r="F41" s="37" t="n">
        <v>0</v>
      </c>
      <c r="I41" s="18" t="n">
        <v>0</v>
      </c>
      <c r="J41" s="18" t="n">
        <v>0</v>
      </c>
      <c r="K41" s="37" t="n">
        <v>0</v>
      </c>
      <c r="P41" s="9" t="n"/>
      <c r="U41" s="9" t="n"/>
      <c r="Y41" s="18" t="n">
        <v>29183.12</v>
      </c>
      <c r="Z41" s="37" t="n">
        <v>29183.12</v>
      </c>
      <c r="AA41" s="18" t="n">
        <v>30212.91</v>
      </c>
      <c r="AB41" s="19" t="n">
        <v>29407.68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기타비유동부채</t>
        </is>
      </c>
      <c r="E42" s="18" t="n">
        <v>184.45</v>
      </c>
      <c r="F42" s="37" t="n">
        <v>184.45</v>
      </c>
      <c r="G42" s="18" t="n">
        <v>158.48</v>
      </c>
      <c r="H42" s="18" t="n">
        <v>146.41</v>
      </c>
      <c r="I42" s="18" t="n">
        <v>155.4</v>
      </c>
      <c r="J42" s="18" t="n">
        <v>159.68</v>
      </c>
      <c r="K42" s="37" t="n">
        <v>159.68</v>
      </c>
      <c r="L42" s="18" t="n">
        <v>165.7</v>
      </c>
      <c r="M42" s="18" t="n">
        <v>174.02</v>
      </c>
      <c r="N42" s="18" t="n">
        <v>166.66</v>
      </c>
      <c r="O42" s="18" t="n">
        <v>180.43</v>
      </c>
      <c r="P42" s="37" t="n">
        <v>180.43</v>
      </c>
      <c r="Q42" s="18" t="n">
        <v>186.3</v>
      </c>
      <c r="R42" s="18" t="n">
        <v>212.47</v>
      </c>
      <c r="S42" s="18" t="n">
        <v>219</v>
      </c>
      <c r="T42" s="18" t="n">
        <v>212.03</v>
      </c>
      <c r="U42" s="37" t="n">
        <v>212.03</v>
      </c>
      <c r="V42" s="18" t="n">
        <v>230.52</v>
      </c>
      <c r="W42" s="18" t="n">
        <v>223.33</v>
      </c>
      <c r="X42" s="18" t="n">
        <v>242.09</v>
      </c>
      <c r="Y42" s="18" t="n">
        <v>240.96</v>
      </c>
      <c r="Z42" s="37" t="n">
        <v>240.96</v>
      </c>
      <c r="AA42" s="18" t="n">
        <v>222.23</v>
      </c>
      <c r="AB42" s="19" t="n">
        <v>240.34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부채총계</t>
        </is>
      </c>
      <c r="E43" s="18" t="n">
        <v>37348.56</v>
      </c>
      <c r="F43" s="37" t="n">
        <v>37348.56</v>
      </c>
      <c r="G43" s="18" t="n">
        <v>39400.49</v>
      </c>
      <c r="H43" s="18" t="n">
        <v>40899.74</v>
      </c>
      <c r="I43" s="18" t="n">
        <v>40137.74</v>
      </c>
      <c r="J43" s="18" t="n">
        <v>37873.18</v>
      </c>
      <c r="K43" s="37" t="n">
        <v>37873.18</v>
      </c>
      <c r="L43" s="18" t="n">
        <v>39275.14</v>
      </c>
      <c r="M43" s="18" t="n">
        <v>40929.68</v>
      </c>
      <c r="N43" s="18" t="n">
        <v>41849.96</v>
      </c>
      <c r="O43" s="18" t="n">
        <v>43217.18</v>
      </c>
      <c r="P43" s="37" t="n">
        <v>43217.18</v>
      </c>
      <c r="Q43" s="18" t="n">
        <v>44832.78</v>
      </c>
      <c r="R43" s="18" t="n">
        <v>38118.22</v>
      </c>
      <c r="S43" s="18" t="n">
        <v>42820.47</v>
      </c>
      <c r="T43" s="18" t="n">
        <v>41663.92</v>
      </c>
      <c r="U43" s="37" t="n">
        <v>41663.92</v>
      </c>
      <c r="V43" s="18" t="n">
        <v>53557.31</v>
      </c>
      <c r="W43" s="18" t="n">
        <v>42922.75</v>
      </c>
      <c r="X43" s="18" t="n">
        <v>66907.63</v>
      </c>
      <c r="Y43" s="18" t="n">
        <v>301285.81</v>
      </c>
      <c r="Z43" s="37" t="n">
        <v>301285.81</v>
      </c>
      <c r="AA43" s="18" t="n">
        <v>320618.27</v>
      </c>
      <c r="AB43" s="19" t="n">
        <v>327616.93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지배주주지분</t>
        </is>
      </c>
      <c r="E44" s="18" t="n">
        <v>71464.99000000001</v>
      </c>
      <c r="F44" s="37" t="n">
        <v>71464.99000000001</v>
      </c>
      <c r="G44" s="18" t="n">
        <v>71035.5</v>
      </c>
      <c r="H44" s="18" t="n">
        <v>68307.89999999999</v>
      </c>
      <c r="I44" s="18" t="n">
        <v>66849.57000000001</v>
      </c>
      <c r="J44" s="18" t="n">
        <v>62362.09</v>
      </c>
      <c r="K44" s="37" t="n">
        <v>62362.09</v>
      </c>
      <c r="L44" s="18" t="n">
        <v>64344.77</v>
      </c>
      <c r="M44" s="18" t="n">
        <v>64846.13</v>
      </c>
      <c r="N44" s="18" t="n">
        <v>66046.09</v>
      </c>
      <c r="O44" s="18" t="n">
        <v>67123.81</v>
      </c>
      <c r="P44" s="37" t="n">
        <v>67123.81</v>
      </c>
      <c r="Q44" s="18" t="n">
        <v>67524.02</v>
      </c>
      <c r="R44" s="18" t="n">
        <v>68280.06</v>
      </c>
      <c r="S44" s="18" t="n">
        <v>71054.67</v>
      </c>
      <c r="T44" s="18" t="n">
        <v>72781.83</v>
      </c>
      <c r="U44" s="37" t="n">
        <v>72781.83</v>
      </c>
      <c r="V44" s="18" t="n">
        <v>73531.28999999999</v>
      </c>
      <c r="W44" s="18" t="n">
        <v>75021.25</v>
      </c>
      <c r="X44" s="18" t="n">
        <v>78041.11</v>
      </c>
      <c r="Y44" s="18" t="n">
        <v>84993.67</v>
      </c>
      <c r="Z44" s="37" t="n">
        <v>84993.67</v>
      </c>
      <c r="AA44" s="18" t="n">
        <v>89588.53999999999</v>
      </c>
      <c r="AB44" s="19" t="n">
        <v>94355.91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자본금</t>
        </is>
      </c>
      <c r="E45" s="18" t="n">
        <v>7513.15</v>
      </c>
      <c r="F45" s="37" t="n">
        <v>7513.15</v>
      </c>
      <c r="G45" s="18" t="n">
        <v>7513.15</v>
      </c>
      <c r="H45" s="18" t="n">
        <v>7513.15</v>
      </c>
      <c r="I45" s="18" t="n">
        <v>7513.15</v>
      </c>
      <c r="J45" s="18" t="n">
        <v>7513.15</v>
      </c>
      <c r="K45" s="37" t="n">
        <v>7513.15</v>
      </c>
      <c r="L45" s="18" t="n">
        <v>7513.15</v>
      </c>
      <c r="M45" s="18" t="n">
        <v>7513.15</v>
      </c>
      <c r="N45" s="18" t="n">
        <v>7513.15</v>
      </c>
      <c r="O45" s="18" t="n">
        <v>7513.15</v>
      </c>
      <c r="P45" s="37" t="n">
        <v>7513.15</v>
      </c>
      <c r="Q45" s="18" t="n">
        <v>7513.15</v>
      </c>
      <c r="R45" s="18" t="n">
        <v>7513.15</v>
      </c>
      <c r="S45" s="18" t="n">
        <v>7513.15</v>
      </c>
      <c r="T45" s="18" t="n">
        <v>7513.15</v>
      </c>
      <c r="U45" s="37" t="n">
        <v>7513.15</v>
      </c>
      <c r="V45" s="18" t="n">
        <v>7513.15</v>
      </c>
      <c r="W45" s="18" t="n">
        <v>7513.15</v>
      </c>
      <c r="X45" s="18" t="n">
        <v>7513.15</v>
      </c>
      <c r="Y45" s="18" t="n">
        <v>7513.15</v>
      </c>
      <c r="Z45" s="37" t="n">
        <v>7513.15</v>
      </c>
      <c r="AA45" s="18" t="n">
        <v>7513.15</v>
      </c>
      <c r="AB45" s="19" t="n">
        <v>7513.15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보통주자본금</t>
        </is>
      </c>
      <c r="E46" s="18" t="n">
        <v>7513.15</v>
      </c>
      <c r="F46" s="37" t="n">
        <v>7513.15</v>
      </c>
      <c r="G46" s="18" t="n">
        <v>7513.15</v>
      </c>
      <c r="H46" s="18" t="n">
        <v>7513.15</v>
      </c>
      <c r="I46" s="18" t="n">
        <v>7513.15</v>
      </c>
      <c r="J46" s="18" t="n">
        <v>7513.15</v>
      </c>
      <c r="K46" s="37" t="n">
        <v>7513.15</v>
      </c>
      <c r="L46" s="18" t="n">
        <v>7513.15</v>
      </c>
      <c r="M46" s="18" t="n">
        <v>7513.15</v>
      </c>
      <c r="N46" s="18" t="n">
        <v>7513.15</v>
      </c>
      <c r="O46" s="18" t="n">
        <v>7513.15</v>
      </c>
      <c r="P46" s="37" t="n">
        <v>7513.15</v>
      </c>
      <c r="Q46" s="18" t="n">
        <v>7513.15</v>
      </c>
      <c r="R46" s="18" t="n">
        <v>7513.15</v>
      </c>
      <c r="S46" s="18" t="n">
        <v>7513.15</v>
      </c>
      <c r="T46" s="18" t="n">
        <v>7513.15</v>
      </c>
      <c r="U46" s="37" t="n">
        <v>7513.15</v>
      </c>
      <c r="V46" s="18" t="n">
        <v>7513.15</v>
      </c>
      <c r="W46" s="18" t="n">
        <v>7513.15</v>
      </c>
      <c r="X46" s="18" t="n">
        <v>7513.15</v>
      </c>
      <c r="Y46" s="18" t="n">
        <v>7513.15</v>
      </c>
      <c r="Z46" s="37" t="n">
        <v>7513.15</v>
      </c>
      <c r="AA46" s="18" t="n">
        <v>7513.15</v>
      </c>
      <c r="AB46" s="19" t="n">
        <v>7513.15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자본잉여금</t>
        </is>
      </c>
      <c r="E47" s="18" t="n">
        <v>18508.34</v>
      </c>
      <c r="F47" s="37" t="n">
        <v>18508.34</v>
      </c>
      <c r="G47" s="18" t="n">
        <v>18508.34</v>
      </c>
      <c r="H47" s="18" t="n">
        <v>18508.34</v>
      </c>
      <c r="I47" s="18" t="n">
        <v>18508.34</v>
      </c>
      <c r="J47" s="18" t="n">
        <v>18508.34</v>
      </c>
      <c r="K47" s="37" t="n">
        <v>18508.34</v>
      </c>
      <c r="L47" s="18" t="n">
        <v>18508.34</v>
      </c>
      <c r="M47" s="18" t="n">
        <v>18508.34</v>
      </c>
      <c r="N47" s="18" t="n">
        <v>18508.34</v>
      </c>
      <c r="O47" s="18" t="n">
        <v>18508.34</v>
      </c>
      <c r="P47" s="37" t="n">
        <v>18508.34</v>
      </c>
      <c r="Q47" s="18" t="n">
        <v>18508.34</v>
      </c>
      <c r="R47" s="18" t="n">
        <v>18508.34</v>
      </c>
      <c r="S47" s="18" t="n">
        <v>18508.34</v>
      </c>
      <c r="T47" s="18" t="n">
        <v>18508.34</v>
      </c>
      <c r="U47" s="37" t="n">
        <v>18508.34</v>
      </c>
      <c r="V47" s="18" t="n">
        <v>18508.34</v>
      </c>
      <c r="W47" s="18" t="n">
        <v>18508.34</v>
      </c>
      <c r="X47" s="18" t="n">
        <v>18508.34</v>
      </c>
      <c r="Y47" s="18" t="n">
        <v>25062.12</v>
      </c>
      <c r="Z47" s="37" t="n">
        <v>25062.12</v>
      </c>
      <c r="AA47" s="18" t="n">
        <v>25062.12</v>
      </c>
      <c r="AB47" s="19" t="n">
        <v>25062.12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기타자본</t>
        </is>
      </c>
      <c r="E48" s="18" t="n">
        <v>-1087.86</v>
      </c>
      <c r="F48" s="37" t="n">
        <v>-1087.86</v>
      </c>
      <c r="G48" s="18" t="n">
        <v>-1087.86</v>
      </c>
      <c r="H48" s="18" t="n">
        <v>-1087.86</v>
      </c>
      <c r="I48" s="18" t="n">
        <v>-1087.86</v>
      </c>
      <c r="J48" s="18" t="n">
        <v>-1087.86</v>
      </c>
      <c r="K48" s="37" t="n">
        <v>-1087.86</v>
      </c>
      <c r="L48" s="18" t="n">
        <v>-1087.86</v>
      </c>
      <c r="M48" s="18" t="n">
        <v>-1087.86</v>
      </c>
      <c r="N48" s="18" t="n">
        <v>-1087.86</v>
      </c>
      <c r="O48" s="18" t="n">
        <v>-1087.86</v>
      </c>
      <c r="P48" s="37" t="n">
        <v>-1087.86</v>
      </c>
      <c r="Q48" s="18" t="n">
        <v>-1087.86</v>
      </c>
      <c r="R48" s="18" t="n">
        <v>-1087.86</v>
      </c>
      <c r="S48" s="18" t="n">
        <v>-1087.86</v>
      </c>
      <c r="T48" s="18" t="n">
        <v>-1087.86</v>
      </c>
      <c r="U48" s="37" t="n">
        <v>-1087.86</v>
      </c>
      <c r="V48" s="18" t="n">
        <v>-1087.86</v>
      </c>
      <c r="W48" s="18" t="n">
        <v>-1087.86</v>
      </c>
      <c r="X48" s="18" t="n">
        <v>-1087.86</v>
      </c>
      <c r="Y48" s="18" t="n">
        <v>-6882.58</v>
      </c>
      <c r="Z48" s="37" t="n">
        <v>-6882.58</v>
      </c>
      <c r="AA48" s="18" t="n">
        <v>-6882.58</v>
      </c>
      <c r="AB48" s="19" t="n">
        <v>-6882.58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기타포괄이익누계액</t>
        </is>
      </c>
      <c r="E49" s="18" t="n">
        <v>1166.13</v>
      </c>
      <c r="F49" s="37" t="n">
        <v>1166.13</v>
      </c>
      <c r="G49" s="18" t="n">
        <v>1414.11</v>
      </c>
      <c r="H49" s="18" t="n">
        <v>1592.82</v>
      </c>
      <c r="I49" s="18" t="n">
        <v>2051.11</v>
      </c>
      <c r="J49" s="18" t="n">
        <v>1061.56</v>
      </c>
      <c r="K49" s="37" t="n">
        <v>1061.56</v>
      </c>
      <c r="L49" s="18" t="n">
        <v>1418.9</v>
      </c>
      <c r="M49" s="18" t="n">
        <v>1019.48</v>
      </c>
      <c r="N49" s="18" t="n">
        <v>1184.82</v>
      </c>
      <c r="O49" s="18" t="n">
        <v>1007.89</v>
      </c>
      <c r="P49" s="37" t="n">
        <v>1007.89</v>
      </c>
      <c r="Q49" s="18" t="n">
        <v>1269.49</v>
      </c>
      <c r="R49" s="18" t="n">
        <v>1517.44</v>
      </c>
      <c r="S49" s="18" t="n">
        <v>1428.71</v>
      </c>
      <c r="T49" s="18" t="n">
        <v>2118.57</v>
      </c>
      <c r="U49" s="37" t="n">
        <v>2118.57</v>
      </c>
      <c r="V49" s="18" t="n">
        <v>2154.67</v>
      </c>
      <c r="W49" s="18" t="n">
        <v>1406.01</v>
      </c>
      <c r="X49" s="18" t="n">
        <v>1885.47</v>
      </c>
      <c r="Y49" s="18" t="n">
        <v>2441.66</v>
      </c>
      <c r="Z49" s="37" t="n">
        <v>2441.66</v>
      </c>
      <c r="AA49" s="18" t="n">
        <v>5249.69</v>
      </c>
      <c r="AB49" s="19" t="n">
        <v>7051.42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이익잉여금</t>
        </is>
      </c>
      <c r="E50" s="18" t="n">
        <v>45365.23</v>
      </c>
      <c r="F50" s="37" t="n">
        <v>45365.23</v>
      </c>
      <c r="G50" s="18" t="n">
        <v>44687.76</v>
      </c>
      <c r="H50" s="18" t="n">
        <v>41781.45</v>
      </c>
      <c r="I50" s="18" t="n">
        <v>39864.83</v>
      </c>
      <c r="J50" s="18" t="n">
        <v>36366.9</v>
      </c>
      <c r="K50" s="37" t="n">
        <v>36366.9</v>
      </c>
      <c r="L50" s="18" t="n">
        <v>37992.24</v>
      </c>
      <c r="M50" s="18" t="n">
        <v>38893.02</v>
      </c>
      <c r="N50" s="18" t="n">
        <v>39927.64</v>
      </c>
      <c r="O50" s="18" t="n">
        <v>41182.29</v>
      </c>
      <c r="P50" s="37" t="n">
        <v>41182.29</v>
      </c>
      <c r="Q50" s="18" t="n">
        <v>41320.9</v>
      </c>
      <c r="R50" s="18" t="n">
        <v>41829</v>
      </c>
      <c r="S50" s="18" t="n">
        <v>44692.32</v>
      </c>
      <c r="T50" s="18" t="n">
        <v>45729.63</v>
      </c>
      <c r="U50" s="37" t="n">
        <v>45729.63</v>
      </c>
      <c r="V50" s="18" t="n">
        <v>46442.98</v>
      </c>
      <c r="W50" s="18" t="n">
        <v>48681.6</v>
      </c>
      <c r="X50" s="18" t="n">
        <v>51222.01</v>
      </c>
      <c r="Y50" s="18" t="n">
        <v>56859.32</v>
      </c>
      <c r="Z50" s="37" t="n">
        <v>56859.32</v>
      </c>
      <c r="AA50" s="18" t="n">
        <v>58646.16</v>
      </c>
      <c r="AB50" s="19" t="n">
        <v>61611.8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비지배주주지분</t>
        </is>
      </c>
      <c r="E51" s="18" t="n">
        <v>1568.48</v>
      </c>
      <c r="F51" s="37" t="n">
        <v>1568.48</v>
      </c>
      <c r="G51" s="18" t="n">
        <v>1631.32</v>
      </c>
      <c r="H51" s="18" t="n">
        <v>1617.61</v>
      </c>
      <c r="I51" s="18" t="n">
        <v>1682.99</v>
      </c>
      <c r="J51" s="18" t="n">
        <v>1066.35</v>
      </c>
      <c r="K51" s="37" t="n">
        <v>1066.35</v>
      </c>
      <c r="L51" s="18" t="n">
        <v>1204.64</v>
      </c>
      <c r="M51" s="18" t="n">
        <v>1154.46</v>
      </c>
      <c r="N51" s="18" t="n">
        <v>1233.11</v>
      </c>
      <c r="O51" s="18" t="n">
        <v>1240.35</v>
      </c>
      <c r="P51" s="37" t="n">
        <v>1240.35</v>
      </c>
      <c r="Q51" s="18" t="n">
        <v>1321.65</v>
      </c>
      <c r="R51" s="18" t="n">
        <v>1325.06</v>
      </c>
      <c r="S51" s="18" t="n">
        <v>1374.26</v>
      </c>
      <c r="T51" s="18" t="n">
        <v>1439.81</v>
      </c>
      <c r="U51" s="37" t="n">
        <v>1439.81</v>
      </c>
      <c r="V51" s="18" t="n">
        <v>1571.67</v>
      </c>
      <c r="W51" s="18" t="n">
        <v>1476.77</v>
      </c>
      <c r="X51" s="18" t="n">
        <v>1640.36</v>
      </c>
      <c r="Y51" s="18" t="n">
        <v>157835.39</v>
      </c>
      <c r="Z51" s="37" t="n">
        <v>157835.39</v>
      </c>
      <c r="AA51" s="18" t="n">
        <v>158092.37</v>
      </c>
      <c r="AB51" s="19" t="n">
        <v>157972.82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자본총계</t>
        </is>
      </c>
      <c r="E52" s="18" t="n">
        <v>73033.47</v>
      </c>
      <c r="F52" s="37" t="n">
        <v>73033.47</v>
      </c>
      <c r="G52" s="18" t="n">
        <v>72666.82000000001</v>
      </c>
      <c r="H52" s="18" t="n">
        <v>69925.50999999999</v>
      </c>
      <c r="I52" s="18" t="n">
        <v>68532.56</v>
      </c>
      <c r="J52" s="18" t="n">
        <v>63428.43</v>
      </c>
      <c r="K52" s="37" t="n">
        <v>63428.43</v>
      </c>
      <c r="L52" s="18" t="n">
        <v>65549.41</v>
      </c>
      <c r="M52" s="18" t="n">
        <v>66000.59</v>
      </c>
      <c r="N52" s="18" t="n">
        <v>67279.2</v>
      </c>
      <c r="O52" s="18" t="n">
        <v>68364.14999999999</v>
      </c>
      <c r="P52" s="37" t="n">
        <v>68364.14999999999</v>
      </c>
      <c r="Q52" s="18" t="n">
        <v>68845.67</v>
      </c>
      <c r="R52" s="18" t="n">
        <v>69605.13</v>
      </c>
      <c r="S52" s="18" t="n">
        <v>72428.92999999999</v>
      </c>
      <c r="T52" s="18" t="n">
        <v>74221.64</v>
      </c>
      <c r="U52" s="37" t="n">
        <v>74221.64</v>
      </c>
      <c r="V52" s="18" t="n">
        <v>75102.96000000001</v>
      </c>
      <c r="W52" s="18" t="n">
        <v>76498.02</v>
      </c>
      <c r="X52" s="18" t="n">
        <v>79681.47</v>
      </c>
      <c r="Y52" s="18" t="n">
        <v>242829.06</v>
      </c>
      <c r="Z52" s="37" t="n">
        <v>242829.06</v>
      </c>
      <c r="AA52" s="18" t="n">
        <v>247680.91</v>
      </c>
      <c r="AB52" s="19" t="n">
        <v>252328.74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부채와자본총계</t>
        </is>
      </c>
      <c r="E53" s="18" t="n">
        <v>110382.02</v>
      </c>
      <c r="F53" s="37" t="n">
        <v>110382.02</v>
      </c>
      <c r="G53" s="18" t="n">
        <v>112067.31</v>
      </c>
      <c r="H53" s="18" t="n">
        <v>110825.25</v>
      </c>
      <c r="I53" s="18" t="n">
        <v>108670.3</v>
      </c>
      <c r="J53" s="18" t="n">
        <v>101301.62</v>
      </c>
      <c r="K53" s="37" t="n">
        <v>101301.62</v>
      </c>
      <c r="L53" s="18" t="n">
        <v>104824.56</v>
      </c>
      <c r="M53" s="18" t="n">
        <v>106930.27</v>
      </c>
      <c r="N53" s="18" t="n">
        <v>109129.15</v>
      </c>
      <c r="O53" s="18" t="n">
        <v>111581.33</v>
      </c>
      <c r="P53" s="37" t="n">
        <v>111581.33</v>
      </c>
      <c r="Q53" s="18" t="n">
        <v>113678.45</v>
      </c>
      <c r="R53" s="18" t="n">
        <v>107723.34</v>
      </c>
      <c r="S53" s="18" t="n">
        <v>115249.4</v>
      </c>
      <c r="T53" s="18" t="n">
        <v>115885.55</v>
      </c>
      <c r="U53" s="37" t="n">
        <v>115885.55</v>
      </c>
      <c r="V53" s="18" t="n">
        <v>128660.27</v>
      </c>
      <c r="W53" s="18" t="n">
        <v>119420.76</v>
      </c>
      <c r="X53" s="18" t="n">
        <v>146589.1</v>
      </c>
      <c r="Y53" s="18" t="n">
        <v>544114.87</v>
      </c>
      <c r="Z53" s="37" t="n">
        <v>544114.87</v>
      </c>
      <c r="AA53" s="18" t="n">
        <v>568299.17</v>
      </c>
      <c r="AB53" s="19" t="n">
        <v>579945.67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총차입금</t>
        </is>
      </c>
      <c r="E54" s="18" t="n">
        <v>26800.85</v>
      </c>
      <c r="F54" s="37" t="n">
        <v>26800.85</v>
      </c>
      <c r="G54" s="18" t="n">
        <v>26372.46</v>
      </c>
      <c r="H54" s="18" t="n">
        <v>27218.43</v>
      </c>
      <c r="I54" s="18" t="n">
        <v>27710.74</v>
      </c>
      <c r="J54" s="18" t="n">
        <v>25790.97</v>
      </c>
      <c r="K54" s="37" t="n">
        <v>25790.97</v>
      </c>
      <c r="L54" s="18" t="n">
        <v>27177.48</v>
      </c>
      <c r="M54" s="18" t="n">
        <v>27735.19</v>
      </c>
      <c r="N54" s="18" t="n">
        <v>27811.76</v>
      </c>
      <c r="O54" s="18" t="n">
        <v>27650.91</v>
      </c>
      <c r="P54" s="37" t="n">
        <v>27650.91</v>
      </c>
      <c r="Q54" s="18" t="n">
        <v>21811.19</v>
      </c>
      <c r="R54" s="18" t="n">
        <v>17427.92</v>
      </c>
      <c r="S54" s="18" t="n">
        <v>19798.83</v>
      </c>
      <c r="T54" s="18" t="n">
        <v>20359.48</v>
      </c>
      <c r="U54" s="37" t="n">
        <v>20359.48</v>
      </c>
      <c r="V54" s="18" t="n">
        <v>27868.3</v>
      </c>
      <c r="W54" s="18" t="n">
        <v>20399.76</v>
      </c>
      <c r="X54" s="18" t="n">
        <v>44341</v>
      </c>
      <c r="Y54" s="18" t="n">
        <v>181724.97</v>
      </c>
      <c r="Z54" s="37" t="n">
        <v>181724.97</v>
      </c>
      <c r="AA54" s="18" t="n">
        <v>191625.09</v>
      </c>
      <c r="AB54" s="19" t="n">
        <v>198194.52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순차입금</t>
        </is>
      </c>
      <c r="E55" s="18" t="n">
        <v>-205.6</v>
      </c>
      <c r="F55" s="37" t="n">
        <v>-205.6</v>
      </c>
      <c r="G55" s="18" t="n">
        <v>4228.09</v>
      </c>
      <c r="H55" s="18" t="n">
        <v>3256.76</v>
      </c>
      <c r="I55" s="18" t="n">
        <v>8125.11</v>
      </c>
      <c r="J55" s="18" t="n">
        <v>897.97</v>
      </c>
      <c r="K55" s="37" t="n">
        <v>897.97</v>
      </c>
      <c r="L55" s="18" t="n">
        <v>2862.1</v>
      </c>
      <c r="M55" s="18" t="n">
        <v>5683.48</v>
      </c>
      <c r="N55" s="18" t="n">
        <v>2956.51</v>
      </c>
      <c r="O55" s="18" t="n">
        <v>3788.36</v>
      </c>
      <c r="P55" s="37" t="n">
        <v>3788.36</v>
      </c>
      <c r="Q55" s="18" t="n">
        <v>2931.24</v>
      </c>
      <c r="R55" s="18" t="n">
        <v>4044.71</v>
      </c>
      <c r="S55" s="18" t="n">
        <v>-4259.07</v>
      </c>
      <c r="T55" s="18" t="n">
        <v>542.09</v>
      </c>
      <c r="U55" s="37" t="n">
        <v>542.09</v>
      </c>
      <c r="V55" s="18" t="n">
        <v>5568.28</v>
      </c>
      <c r="W55" s="18" t="n">
        <v>35.46</v>
      </c>
      <c r="X55" s="18" t="n">
        <v>-1801.49</v>
      </c>
      <c r="Y55" s="18" t="n">
        <v>116621.87</v>
      </c>
      <c r="Z55" s="37" t="n">
        <v>116621.87</v>
      </c>
      <c r="AA55" s="18" t="n">
        <v>121413.95</v>
      </c>
      <c r="AB55" s="19" t="n">
        <v>132048.49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이자발생자산</t>
        </is>
      </c>
      <c r="E56" s="18" t="n">
        <v>39107.31</v>
      </c>
      <c r="F56" s="37" t="n">
        <v>39107.31</v>
      </c>
      <c r="G56" s="18" t="n">
        <v>33870.51</v>
      </c>
      <c r="H56" s="18" t="n">
        <v>33692.96</v>
      </c>
      <c r="I56" s="18" t="n">
        <v>27535.33</v>
      </c>
      <c r="J56" s="18" t="n">
        <v>32966.83</v>
      </c>
      <c r="K56" s="37" t="n">
        <v>32966.83</v>
      </c>
      <c r="L56" s="18" t="n">
        <v>33900.54</v>
      </c>
      <c r="M56" s="18" t="n">
        <v>32446.95</v>
      </c>
      <c r="N56" s="18" t="n">
        <v>34419.43</v>
      </c>
      <c r="O56" s="18" t="n">
        <v>33544.14</v>
      </c>
      <c r="P56" s="37" t="n">
        <v>33544.14</v>
      </c>
      <c r="Q56" s="18" t="n">
        <v>28867.87</v>
      </c>
      <c r="R56" s="18" t="n">
        <v>24461.86</v>
      </c>
      <c r="S56" s="18" t="n">
        <v>34640.42</v>
      </c>
      <c r="T56" s="18" t="n">
        <v>30208.12</v>
      </c>
      <c r="U56" s="37" t="n">
        <v>30208.12</v>
      </c>
      <c r="V56" s="18" t="n">
        <v>38006.28</v>
      </c>
      <c r="W56" s="18" t="n">
        <v>34972.1</v>
      </c>
      <c r="X56" s="18" t="n">
        <v>60810.44</v>
      </c>
      <c r="Y56" s="18" t="n">
        <v>78800.69</v>
      </c>
      <c r="Z56" s="37" t="n">
        <v>78800.69</v>
      </c>
      <c r="AA56" s="18" t="n">
        <v>82725.42999999999</v>
      </c>
      <c r="AB56" s="19" t="n">
        <v>79141.59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확정급여부채</t>
        </is>
      </c>
      <c r="F57" s="9" t="n"/>
      <c r="G57" s="18" t="n">
        <v>75.31999999999999</v>
      </c>
      <c r="H57" s="18" t="n">
        <v>240.79</v>
      </c>
      <c r="I57" s="18" t="n">
        <v>424.04</v>
      </c>
      <c r="J57" s="18" t="n">
        <v>0</v>
      </c>
      <c r="K57" s="37" t="n">
        <v>0</v>
      </c>
      <c r="L57" s="18" t="n">
        <v>0</v>
      </c>
      <c r="M57" s="18" t="n">
        <v>609.25</v>
      </c>
      <c r="N57" s="18" t="n">
        <v>773.27</v>
      </c>
      <c r="P57" s="9" t="n"/>
      <c r="Q57" s="18" t="n">
        <v>0</v>
      </c>
      <c r="U57" s="9" t="n"/>
      <c r="V57" s="18" t="n">
        <v>0</v>
      </c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장기금융부채(face)</t>
        </is>
      </c>
      <c r="F58" s="9" t="n"/>
      <c r="K58" s="9" t="n"/>
      <c r="P58" s="9" t="n"/>
      <c r="S58" s="18" t="n">
        <v>0</v>
      </c>
      <c r="T58" s="18" t="n">
        <v>0</v>
      </c>
      <c r="U58" s="37" t="n">
        <v>0</v>
      </c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사채</t>
        </is>
      </c>
      <c r="F59" s="9" t="n"/>
      <c r="K59" s="9" t="n"/>
      <c r="P59" s="9" t="n"/>
      <c r="U59" s="9" t="n"/>
      <c r="Y59" s="18" t="n">
        <v>7587.63</v>
      </c>
      <c r="Z59" s="37" t="n">
        <v>7587.63</v>
      </c>
      <c r="AA59" s="18" t="n">
        <v>7845.53</v>
      </c>
      <c r="AB59" s="19" t="n">
        <v>8106.29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장기파생상품부채</t>
        </is>
      </c>
      <c r="F60" s="9" t="n"/>
      <c r="K60" s="9" t="n"/>
      <c r="P60" s="9" t="n"/>
      <c r="U60" s="9" t="n"/>
      <c r="Y60" s="18" t="n">
        <v>2632.77</v>
      </c>
      <c r="Z60" s="37" t="n">
        <v>2632.77</v>
      </c>
      <c r="AA60" s="18" t="n">
        <v>2632.77</v>
      </c>
      <c r="AB60" s="19" t="n">
        <v>3675.42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매출액(수익)</t>
        </is>
      </c>
      <c r="E61" s="18" t="n">
        <v>16559.94</v>
      </c>
      <c r="F61" s="9" t="n"/>
      <c r="G61" s="18" t="n">
        <v>20316.73</v>
      </c>
      <c r="H61" s="18" t="n">
        <v>22798.47</v>
      </c>
      <c r="I61" s="18" t="n">
        <v>23829.65</v>
      </c>
      <c r="J61" s="18" t="n">
        <v>23732.09</v>
      </c>
      <c r="K61" s="37" t="n">
        <v>90676.94</v>
      </c>
      <c r="L61" s="18" t="n">
        <v>20984.76</v>
      </c>
      <c r="M61" s="18" t="n">
        <v>23488.54</v>
      </c>
      <c r="N61" s="18" t="n">
        <v>26379.77</v>
      </c>
      <c r="O61" s="18" t="n">
        <v>24896.4</v>
      </c>
      <c r="P61" s="37" t="n">
        <v>95749.47</v>
      </c>
      <c r="Q61" s="18" t="n">
        <v>26521.26</v>
      </c>
      <c r="R61" s="18" t="n">
        <v>34057.66</v>
      </c>
      <c r="S61" s="18" t="n">
        <v>28580.76</v>
      </c>
      <c r="T61" s="18" t="n">
        <v>28861.09</v>
      </c>
      <c r="U61" s="37" t="n">
        <v>118020.77</v>
      </c>
      <c r="V61" s="18" t="n">
        <v>26340.53</v>
      </c>
      <c r="W61" s="18" t="n">
        <v>29631.69</v>
      </c>
      <c r="X61" s="18" t="n">
        <v>29469.17</v>
      </c>
      <c r="Y61" s="18" t="n">
        <v>33020.73</v>
      </c>
      <c r="Z61" s="37" t="n">
        <v>118462.12</v>
      </c>
      <c r="AA61" s="18" t="n">
        <v>130909.8</v>
      </c>
      <c r="AB61" s="19" t="n">
        <v>131393.13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매출원가</t>
        </is>
      </c>
      <c r="E62" s="18" t="n">
        <v>14980.7</v>
      </c>
      <c r="F62" s="9" t="n"/>
      <c r="G62" s="18" t="n">
        <v>17989.9</v>
      </c>
      <c r="H62" s="18" t="n">
        <v>22007.81</v>
      </c>
      <c r="I62" s="18" t="n">
        <v>19898.12</v>
      </c>
      <c r="J62" s="18" t="n">
        <v>20215.1</v>
      </c>
      <c r="K62" s="37" t="n">
        <v>80110.92999999999</v>
      </c>
      <c r="L62" s="18" t="n">
        <v>18214.23</v>
      </c>
      <c r="M62" s="18" t="n">
        <v>19292.66</v>
      </c>
      <c r="N62" s="18" t="n">
        <v>21146.92</v>
      </c>
      <c r="O62" s="18" t="n">
        <v>21252.76</v>
      </c>
      <c r="P62" s="37" t="n">
        <v>79906.57000000001</v>
      </c>
      <c r="Q62" s="18" t="n">
        <v>20366.37</v>
      </c>
      <c r="R62" s="18" t="n">
        <v>27879.31</v>
      </c>
      <c r="S62" s="18" t="n">
        <v>23321.52</v>
      </c>
      <c r="T62" s="18" t="n">
        <v>22884.83</v>
      </c>
      <c r="U62" s="37" t="n">
        <v>94452.03</v>
      </c>
      <c r="V62" s="18" t="n">
        <v>20466.64</v>
      </c>
      <c r="W62" s="18" t="n">
        <v>23578.67</v>
      </c>
      <c r="X62" s="18" t="n">
        <v>23311.42</v>
      </c>
      <c r="Y62" s="18" t="n">
        <v>27786.29</v>
      </c>
      <c r="Z62" s="37" t="n">
        <v>95143.02</v>
      </c>
      <c r="AA62" s="18" t="n">
        <v>112820.43</v>
      </c>
      <c r="AB62" s="19" t="n">
        <v>115001.75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매출총이익</t>
        </is>
      </c>
      <c r="E63" s="18" t="n">
        <v>1579.24</v>
      </c>
      <c r="F63" s="9" t="n"/>
      <c r="G63" s="18" t="n">
        <v>2326.83</v>
      </c>
      <c r="H63" s="18" t="n">
        <v>790.66</v>
      </c>
      <c r="I63" s="18" t="n">
        <v>3931.53</v>
      </c>
      <c r="J63" s="18" t="n">
        <v>3516.99</v>
      </c>
      <c r="K63" s="37" t="n">
        <v>10566.01</v>
      </c>
      <c r="L63" s="18" t="n">
        <v>2770.52</v>
      </c>
      <c r="M63" s="18" t="n">
        <v>4195.88</v>
      </c>
      <c r="N63" s="18" t="n">
        <v>5232.85</v>
      </c>
      <c r="O63" s="18" t="n">
        <v>3643.64</v>
      </c>
      <c r="P63" s="37" t="n">
        <v>15842.89</v>
      </c>
      <c r="Q63" s="18" t="n">
        <v>6154.89</v>
      </c>
      <c r="R63" s="18" t="n">
        <v>6178.35</v>
      </c>
      <c r="S63" s="18" t="n">
        <v>5259.24</v>
      </c>
      <c r="T63" s="18" t="n">
        <v>5976.26</v>
      </c>
      <c r="U63" s="37" t="n">
        <v>23568.74</v>
      </c>
      <c r="V63" s="18" t="n">
        <v>5873.88</v>
      </c>
      <c r="W63" s="18" t="n">
        <v>6053.03</v>
      </c>
      <c r="X63" s="18" t="n">
        <v>6157.75</v>
      </c>
      <c r="Y63" s="18" t="n">
        <v>5234.44</v>
      </c>
      <c r="Z63" s="37" t="n">
        <v>23319.1</v>
      </c>
      <c r="AA63" s="18" t="n">
        <v>18089.37</v>
      </c>
      <c r="AB63" s="19" t="n">
        <v>16391.38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판관비</t>
        </is>
      </c>
      <c r="E64" s="18" t="n">
        <v>2268.48</v>
      </c>
      <c r="F64" s="9" t="n"/>
      <c r="G64" s="18" t="n">
        <v>2144.14</v>
      </c>
      <c r="H64" s="18" t="n">
        <v>2102.23</v>
      </c>
      <c r="I64" s="18" t="n">
        <v>7219.01</v>
      </c>
      <c r="J64" s="18" t="n">
        <v>2281.72</v>
      </c>
      <c r="K64" s="37" t="n">
        <v>13747.1</v>
      </c>
      <c r="L64" s="18" t="n">
        <v>1986.11</v>
      </c>
      <c r="M64" s="18" t="n">
        <v>2788.87</v>
      </c>
      <c r="N64" s="18" t="n">
        <v>2509.57</v>
      </c>
      <c r="O64" s="18" t="n">
        <v>2564.7</v>
      </c>
      <c r="P64" s="37" t="n">
        <v>9849.25</v>
      </c>
      <c r="Q64" s="18" t="n">
        <v>3458.97</v>
      </c>
      <c r="R64" s="18" t="n">
        <v>4750.37</v>
      </c>
      <c r="S64" s="18" t="n">
        <v>2509.08</v>
      </c>
      <c r="T64" s="18" t="n">
        <v>2553.44</v>
      </c>
      <c r="U64" s="37" t="n">
        <v>13271.86</v>
      </c>
      <c r="V64" s="18" t="n">
        <v>3006.09</v>
      </c>
      <c r="W64" s="18" t="n">
        <v>3614.63</v>
      </c>
      <c r="X64" s="18" t="n">
        <v>2747.21</v>
      </c>
      <c r="Y64" s="18" t="n">
        <v>3732.57</v>
      </c>
      <c r="Z64" s="37" t="n">
        <v>13100.5</v>
      </c>
      <c r="AA64" s="18" t="n">
        <v>12480.74</v>
      </c>
      <c r="AB64" s="19" t="n">
        <v>13215.19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영업이익</t>
        </is>
      </c>
      <c r="E65" s="18" t="n">
        <v>-689.24</v>
      </c>
      <c r="F65" s="9" t="n"/>
      <c r="G65" s="18" t="n">
        <v>182.7</v>
      </c>
      <c r="H65" s="18" t="n">
        <v>-1311.57</v>
      </c>
      <c r="I65" s="18" t="n">
        <v>-3287.48</v>
      </c>
      <c r="J65" s="18" t="n">
        <v>1235.26</v>
      </c>
      <c r="K65" s="37" t="n">
        <v>-3181.09</v>
      </c>
      <c r="L65" s="18" t="n">
        <v>784.42</v>
      </c>
      <c r="M65" s="18" t="n">
        <v>1407.01</v>
      </c>
      <c r="N65" s="18" t="n">
        <v>2723.28</v>
      </c>
      <c r="O65" s="18" t="n">
        <v>1078.94</v>
      </c>
      <c r="P65" s="37" t="n">
        <v>5993.65</v>
      </c>
      <c r="Q65" s="18" t="n">
        <v>2695.92</v>
      </c>
      <c r="R65" s="18" t="n">
        <v>1427.98</v>
      </c>
      <c r="S65" s="18" t="n">
        <v>2750.16</v>
      </c>
      <c r="T65" s="18" t="n">
        <v>3422.82</v>
      </c>
      <c r="U65" s="37" t="n">
        <v>10296.88</v>
      </c>
      <c r="V65" s="18" t="n">
        <v>2867.79</v>
      </c>
      <c r="W65" s="18" t="n">
        <v>2438.4</v>
      </c>
      <c r="X65" s="18" t="n">
        <v>3410.54</v>
      </c>
      <c r="Y65" s="18" t="n">
        <v>1501.87</v>
      </c>
      <c r="Z65" s="37" t="n">
        <v>10218.6</v>
      </c>
      <c r="AA65" s="18" t="n">
        <v>5608.63</v>
      </c>
      <c r="AB65" s="19" t="n">
        <v>3176.2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기타영업외수익</t>
        </is>
      </c>
      <c r="E66" s="18" t="n">
        <v>207.72</v>
      </c>
      <c r="F66" s="9" t="n"/>
      <c r="G66" s="18" t="n">
        <v>223.95</v>
      </c>
      <c r="H66" s="18" t="n">
        <v>388.48</v>
      </c>
      <c r="I66" s="18" t="n">
        <v>-68.23999999999999</v>
      </c>
      <c r="J66" s="18" t="n">
        <v>170.1</v>
      </c>
      <c r="K66" s="37" t="n">
        <v>714.29</v>
      </c>
      <c r="L66" s="18" t="n">
        <v>348.86</v>
      </c>
      <c r="M66" s="18" t="n">
        <v>130.26</v>
      </c>
      <c r="N66" s="18" t="n">
        <v>105.39</v>
      </c>
      <c r="O66" s="18" t="n">
        <v>146.59</v>
      </c>
      <c r="P66" s="37" t="n">
        <v>731.1</v>
      </c>
      <c r="Q66" s="18" t="n">
        <v>195.62</v>
      </c>
      <c r="R66" s="18" t="n">
        <v>164.35</v>
      </c>
      <c r="S66" s="18" t="n">
        <v>129.24</v>
      </c>
      <c r="T66" s="18" t="n">
        <v>151.31</v>
      </c>
      <c r="U66" s="37" t="n">
        <v>640.52</v>
      </c>
      <c r="V66" s="18" t="n">
        <v>168.28</v>
      </c>
      <c r="W66" s="18" t="n">
        <v>128.7</v>
      </c>
      <c r="X66" s="18" t="n">
        <v>288.24</v>
      </c>
      <c r="Y66" s="18" t="n">
        <v>5100.75</v>
      </c>
      <c r="Z66" s="37" t="n">
        <v>5685.97</v>
      </c>
      <c r="AA66" s="18" t="n">
        <v>2082.46</v>
      </c>
      <c r="AB66" s="19" t="n">
        <v>1572.72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기타영업외비용</t>
        </is>
      </c>
      <c r="E67" s="18" t="n">
        <v>9113.870000000001</v>
      </c>
      <c r="F67" s="9" t="n"/>
      <c r="G67" s="18" t="n">
        <v>18.34</v>
      </c>
      <c r="H67" s="18" t="n">
        <v>8.65</v>
      </c>
      <c r="I67" s="18" t="n">
        <v>24.14</v>
      </c>
      <c r="J67" s="18" t="n">
        <v>4487.35</v>
      </c>
      <c r="K67" s="37" t="n">
        <v>4538.48</v>
      </c>
      <c r="L67" s="18" t="n">
        <v>8.640000000000001</v>
      </c>
      <c r="M67" s="18" t="n">
        <v>28.3</v>
      </c>
      <c r="N67" s="18" t="n">
        <v>8.43</v>
      </c>
      <c r="O67" s="18" t="n">
        <v>22.25</v>
      </c>
      <c r="P67" s="37" t="n">
        <v>67.62</v>
      </c>
      <c r="Q67" s="18" t="n">
        <v>58.63</v>
      </c>
      <c r="R67" s="18" t="n">
        <v>8.630000000000001</v>
      </c>
      <c r="S67" s="18" t="n">
        <v>9.18</v>
      </c>
      <c r="T67" s="18" t="n">
        <v>139.03</v>
      </c>
      <c r="U67" s="37" t="n">
        <v>215.47</v>
      </c>
      <c r="V67" s="18" t="n">
        <v>40.95</v>
      </c>
      <c r="W67" s="18" t="n">
        <v>58.46</v>
      </c>
      <c r="X67" s="18" t="n">
        <v>68.95</v>
      </c>
      <c r="Y67" s="18" t="n">
        <v>34.39</v>
      </c>
      <c r="Z67" s="37" t="n">
        <v>202.75</v>
      </c>
      <c r="AA67" s="18" t="n">
        <v>316.32</v>
      </c>
      <c r="AB67" s="19" t="n">
        <v>1989.21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금융수익</t>
        </is>
      </c>
      <c r="E68" s="18" t="n">
        <v>-450.45</v>
      </c>
      <c r="F68" s="9" t="n"/>
      <c r="G68" s="18" t="n">
        <v>458.95</v>
      </c>
      <c r="H68" s="18" t="n">
        <v>567.85</v>
      </c>
      <c r="I68" s="18" t="n">
        <v>984.66</v>
      </c>
      <c r="J68" s="18" t="n">
        <v>-3.6</v>
      </c>
      <c r="K68" s="37" t="n">
        <v>2007.86</v>
      </c>
      <c r="L68" s="18" t="n">
        <v>2323.14</v>
      </c>
      <c r="M68" s="18" t="n">
        <v>290.38</v>
      </c>
      <c r="N68" s="18" t="n">
        <v>-768.08</v>
      </c>
      <c r="O68" s="18" t="n">
        <v>673.92</v>
      </c>
      <c r="P68" s="37" t="n">
        <v>2519.36</v>
      </c>
      <c r="Q68" s="18" t="n">
        <v>380.68</v>
      </c>
      <c r="R68" s="18" t="n">
        <v>394.05</v>
      </c>
      <c r="S68" s="18" t="n">
        <v>578.1</v>
      </c>
      <c r="T68" s="18" t="n">
        <v>379.63</v>
      </c>
      <c r="U68" s="37" t="n">
        <v>1732.46</v>
      </c>
      <c r="V68" s="18" t="n">
        <v>844.6</v>
      </c>
      <c r="W68" s="18" t="n">
        <v>643.03</v>
      </c>
      <c r="X68" s="18" t="n">
        <v>368.82</v>
      </c>
      <c r="Y68" s="18" t="n">
        <v>732.5700000000001</v>
      </c>
      <c r="Z68" s="37" t="n">
        <v>2589.02</v>
      </c>
      <c r="AA68" s="18" t="n">
        <v>5220.17</v>
      </c>
      <c r="AB68" s="19" t="n">
        <v>6449.85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금융비용</t>
        </is>
      </c>
      <c r="E69" s="18" t="n">
        <v>138.85</v>
      </c>
      <c r="F69" s="9" t="n"/>
      <c r="G69" s="18" t="n">
        <v>710.95</v>
      </c>
      <c r="H69" s="18" t="n">
        <v>3322.32</v>
      </c>
      <c r="I69" s="18" t="n">
        <v>719.84</v>
      </c>
      <c r="J69" s="18" t="n">
        <v>833.86</v>
      </c>
      <c r="K69" s="37" t="n">
        <v>5586.97</v>
      </c>
      <c r="L69" s="18" t="n">
        <v>722.23</v>
      </c>
      <c r="M69" s="18" t="n">
        <v>671.52</v>
      </c>
      <c r="N69" s="18" t="n">
        <v>803.51</v>
      </c>
      <c r="O69" s="18" t="n">
        <v>496.15</v>
      </c>
      <c r="P69" s="37" t="n">
        <v>2693.41</v>
      </c>
      <c r="Q69" s="18" t="n">
        <v>1563.94</v>
      </c>
      <c r="R69" s="18" t="n">
        <v>1322.75</v>
      </c>
      <c r="S69" s="18" t="n">
        <v>133.42</v>
      </c>
      <c r="T69" s="18" t="n">
        <v>2490.4</v>
      </c>
      <c r="U69" s="37" t="n">
        <v>5510.51</v>
      </c>
      <c r="V69" s="18" t="n">
        <v>680.23</v>
      </c>
      <c r="W69" s="18" t="n">
        <v>223.03</v>
      </c>
      <c r="X69" s="18" t="n">
        <v>840.67</v>
      </c>
      <c r="Y69" s="18" t="n">
        <v>2479.39</v>
      </c>
      <c r="Z69" s="37" t="n">
        <v>4223.32</v>
      </c>
      <c r="AA69" s="18" t="n">
        <v>7448.95</v>
      </c>
      <c r="AB69" s="19" t="n">
        <v>6384.8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법인세비용차감전계속사업이익</t>
        </is>
      </c>
      <c r="E70" s="18" t="n">
        <v>-10184.69</v>
      </c>
      <c r="F70" s="9" t="n"/>
      <c r="G70" s="18" t="n">
        <v>136.3</v>
      </c>
      <c r="H70" s="18" t="n">
        <v>-3686.21</v>
      </c>
      <c r="I70" s="18" t="n">
        <v>-3115.04</v>
      </c>
      <c r="J70" s="18" t="n">
        <v>-3919.45</v>
      </c>
      <c r="K70" s="37" t="n">
        <v>-10584.4</v>
      </c>
      <c r="L70" s="18" t="n">
        <v>2725.55</v>
      </c>
      <c r="M70" s="18" t="n">
        <v>1127.83</v>
      </c>
      <c r="N70" s="18" t="n">
        <v>1248.64</v>
      </c>
      <c r="O70" s="18" t="n">
        <v>1381.06</v>
      </c>
      <c r="P70" s="37" t="n">
        <v>6483.08</v>
      </c>
      <c r="Q70" s="18" t="n">
        <v>1649.66</v>
      </c>
      <c r="R70" s="18" t="n">
        <v>655</v>
      </c>
      <c r="S70" s="18" t="n">
        <v>3314.9</v>
      </c>
      <c r="T70" s="18" t="n">
        <v>1324.33</v>
      </c>
      <c r="U70" s="37" t="n">
        <v>6943.89</v>
      </c>
      <c r="V70" s="18" t="n">
        <v>3159.49</v>
      </c>
      <c r="W70" s="18" t="n">
        <v>2928.63</v>
      </c>
      <c r="X70" s="18" t="n">
        <v>3157.97</v>
      </c>
      <c r="Y70" s="18" t="n">
        <v>4821.41</v>
      </c>
      <c r="Z70" s="37" t="n">
        <v>14067.5</v>
      </c>
      <c r="AA70" s="18" t="n">
        <v>5145.99</v>
      </c>
      <c r="AB70" s="19" t="n">
        <v>2824.76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법인세비용</t>
        </is>
      </c>
      <c r="E71" s="18" t="n">
        <v>-721.72</v>
      </c>
      <c r="F71" s="9" t="n"/>
      <c r="G71" s="18" t="n">
        <v>-68.15000000000001</v>
      </c>
      <c r="H71" s="18" t="n">
        <v>-744.55</v>
      </c>
      <c r="I71" s="18" t="n">
        <v>-1208.32</v>
      </c>
      <c r="J71" s="18" t="n">
        <v>159.78</v>
      </c>
      <c r="K71" s="37" t="n">
        <v>-1861.24</v>
      </c>
      <c r="L71" s="18" t="n">
        <v>398.67</v>
      </c>
      <c r="M71" s="18" t="n">
        <v>228.87</v>
      </c>
      <c r="N71" s="18" t="n">
        <v>155.39</v>
      </c>
      <c r="O71" s="18" t="n">
        <v>-511.49</v>
      </c>
      <c r="P71" s="37" t="n">
        <v>271.44</v>
      </c>
      <c r="Q71" s="18" t="n">
        <v>248.42</v>
      </c>
      <c r="R71" s="18" t="n">
        <v>173.51</v>
      </c>
      <c r="S71" s="18" t="n">
        <v>391.63</v>
      </c>
      <c r="T71" s="18" t="n">
        <v>88.34999999999999</v>
      </c>
      <c r="U71" s="37" t="n">
        <v>901.91</v>
      </c>
      <c r="V71" s="18" t="n">
        <v>499.14</v>
      </c>
      <c r="W71" s="18" t="n">
        <v>694.27</v>
      </c>
      <c r="X71" s="18" t="n">
        <v>512.03</v>
      </c>
      <c r="Y71" s="18" t="n">
        <v>-762.79</v>
      </c>
      <c r="Z71" s="37" t="n">
        <v>942.65</v>
      </c>
      <c r="AA71" s="18" t="n">
        <v>923.4400000000001</v>
      </c>
      <c r="AB71" s="19" t="n">
        <v>1364.83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계속사업이익</t>
        </is>
      </c>
      <c r="E72" s="18" t="n">
        <v>-9462.959999999999</v>
      </c>
      <c r="F72" s="9" t="n"/>
      <c r="G72" s="18" t="n">
        <v>204.45</v>
      </c>
      <c r="H72" s="18" t="n">
        <v>-2941.66</v>
      </c>
      <c r="I72" s="18" t="n">
        <v>-1906.73</v>
      </c>
      <c r="J72" s="18" t="n">
        <v>-4079.23</v>
      </c>
      <c r="K72" s="37" t="n">
        <v>-8723.17</v>
      </c>
      <c r="L72" s="18" t="n">
        <v>2326.87</v>
      </c>
      <c r="M72" s="18" t="n">
        <v>898.96</v>
      </c>
      <c r="N72" s="18" t="n">
        <v>1093.25</v>
      </c>
      <c r="O72" s="18" t="n">
        <v>1892.54</v>
      </c>
      <c r="P72" s="37" t="n">
        <v>6211.62</v>
      </c>
      <c r="Q72" s="18" t="n">
        <v>1401.24</v>
      </c>
      <c r="R72" s="18" t="n">
        <v>481.49</v>
      </c>
      <c r="S72" s="18" t="n">
        <v>2923.27</v>
      </c>
      <c r="T72" s="18" t="n">
        <v>1235.99</v>
      </c>
      <c r="U72" s="37" t="n">
        <v>6041.99</v>
      </c>
      <c r="V72" s="18" t="n">
        <v>2660.35</v>
      </c>
      <c r="W72" s="18" t="n">
        <v>2234.36</v>
      </c>
      <c r="X72" s="18" t="n">
        <v>2645.94</v>
      </c>
      <c r="Y72" s="18" t="n">
        <v>5584.18</v>
      </c>
      <c r="Z72" s="37" t="n">
        <v>13124.83</v>
      </c>
      <c r="AA72" s="18" t="n">
        <v>4222.56</v>
      </c>
      <c r="AB72" s="19" t="n">
        <v>1459.94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당기순이익</t>
        </is>
      </c>
      <c r="E73" s="18" t="n">
        <v>-9462.959999999999</v>
      </c>
      <c r="F73" s="9" t="n"/>
      <c r="G73" s="18" t="n">
        <v>204.45</v>
      </c>
      <c r="H73" s="18" t="n">
        <v>-2941.66</v>
      </c>
      <c r="I73" s="18" t="n">
        <v>-1906.73</v>
      </c>
      <c r="J73" s="18" t="n">
        <v>-4079.23</v>
      </c>
      <c r="K73" s="37" t="n">
        <v>-8723.17</v>
      </c>
      <c r="L73" s="18" t="n">
        <v>2326.87</v>
      </c>
      <c r="M73" s="18" t="n">
        <v>898.96</v>
      </c>
      <c r="N73" s="18" t="n">
        <v>1093.25</v>
      </c>
      <c r="O73" s="18" t="n">
        <v>1892.54</v>
      </c>
      <c r="P73" s="37" t="n">
        <v>6211.62</v>
      </c>
      <c r="Q73" s="18" t="n">
        <v>1401.24</v>
      </c>
      <c r="R73" s="18" t="n">
        <v>481.49</v>
      </c>
      <c r="S73" s="18" t="n">
        <v>2923.27</v>
      </c>
      <c r="T73" s="18" t="n">
        <v>1235.99</v>
      </c>
      <c r="U73" s="37" t="n">
        <v>6041.99</v>
      </c>
      <c r="V73" s="18" t="n">
        <v>2660.35</v>
      </c>
      <c r="W73" s="18" t="n">
        <v>2234.36</v>
      </c>
      <c r="X73" s="18" t="n">
        <v>2645.94</v>
      </c>
      <c r="Y73" s="18" t="n">
        <v>5584.18</v>
      </c>
      <c r="Z73" s="37" t="n">
        <v>13124.83</v>
      </c>
      <c r="AA73" s="18" t="n">
        <v>4222.56</v>
      </c>
      <c r="AB73" s="19" t="n">
        <v>1459.94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총포괄손익</t>
        </is>
      </c>
      <c r="E74" s="18" t="n">
        <v>-9388.85</v>
      </c>
      <c r="F74" s="9" t="n"/>
      <c r="G74" s="18" t="n">
        <v>482.45</v>
      </c>
      <c r="H74" s="18" t="n">
        <v>-2741.31</v>
      </c>
      <c r="I74" s="18" t="n">
        <v>-1392.95</v>
      </c>
      <c r="J74" s="18" t="n">
        <v>-5104.12</v>
      </c>
      <c r="K74" s="37" t="n">
        <v>-8755.93</v>
      </c>
      <c r="L74" s="18" t="n">
        <v>2727.48</v>
      </c>
      <c r="M74" s="18" t="n">
        <v>451.17</v>
      </c>
      <c r="N74" s="18" t="n">
        <v>1278.61</v>
      </c>
      <c r="O74" s="18" t="n">
        <v>1084.96</v>
      </c>
      <c r="P74" s="37" t="n">
        <v>5542.22</v>
      </c>
      <c r="Q74" s="18" t="n">
        <v>1694.52</v>
      </c>
      <c r="R74" s="18" t="n">
        <v>759.45</v>
      </c>
      <c r="S74" s="18" t="n">
        <v>2823.8</v>
      </c>
      <c r="T74" s="18" t="n">
        <v>1792.71</v>
      </c>
      <c r="U74" s="37" t="n">
        <v>7070.48</v>
      </c>
      <c r="V74" s="18" t="n">
        <v>2700.82</v>
      </c>
      <c r="W74" s="18" t="n">
        <v>1395.05</v>
      </c>
      <c r="X74" s="18" t="n">
        <v>3183.46</v>
      </c>
      <c r="Y74" s="18" t="n">
        <v>6193.52</v>
      </c>
      <c r="Z74" s="37" t="n">
        <v>13472.85</v>
      </c>
      <c r="AA74" s="18" t="n">
        <v>9205.99</v>
      </c>
      <c r="AB74" s="19" t="n">
        <v>4647.01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(지배주주지분)당기순이익</t>
        </is>
      </c>
      <c r="E75" s="18" t="n">
        <v>-8516.5</v>
      </c>
      <c r="F75" s="9" t="n"/>
      <c r="G75" s="18" t="n">
        <v>171.63</v>
      </c>
      <c r="H75" s="18" t="n">
        <v>-2906.31</v>
      </c>
      <c r="I75" s="18" t="n">
        <v>-1916.61</v>
      </c>
      <c r="J75" s="18" t="n">
        <v>-3582.4</v>
      </c>
      <c r="K75" s="37" t="n">
        <v>-8233.690000000001</v>
      </c>
      <c r="L75" s="18" t="n">
        <v>2231.84</v>
      </c>
      <c r="M75" s="18" t="n">
        <v>900.78</v>
      </c>
      <c r="N75" s="18" t="n">
        <v>1034.62</v>
      </c>
      <c r="O75" s="18" t="n">
        <v>1863.88</v>
      </c>
      <c r="P75" s="37" t="n">
        <v>6031.12</v>
      </c>
      <c r="Q75" s="18" t="n">
        <v>1351.61</v>
      </c>
      <c r="R75" s="18" t="n">
        <v>508.1</v>
      </c>
      <c r="S75" s="18" t="n">
        <v>2863.32</v>
      </c>
      <c r="T75" s="18" t="n">
        <v>1253.96</v>
      </c>
      <c r="U75" s="37" t="n">
        <v>5976.99</v>
      </c>
      <c r="V75" s="18" t="n">
        <v>2532.85</v>
      </c>
      <c r="W75" s="18" t="n">
        <v>2238.62</v>
      </c>
      <c r="X75" s="18" t="n">
        <v>2540.41</v>
      </c>
      <c r="Y75" s="18" t="n">
        <v>5584.16</v>
      </c>
      <c r="Z75" s="37" t="n">
        <v>12896.04</v>
      </c>
      <c r="AA75" s="18" t="n">
        <v>6634.27</v>
      </c>
      <c r="AB75" s="19" t="n">
        <v>2965.64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(비지배주주지분)당기순이익</t>
        </is>
      </c>
      <c r="E76" s="18" t="n">
        <v>-946.45</v>
      </c>
      <c r="F76" s="9" t="n"/>
      <c r="G76" s="18" t="n">
        <v>32.82</v>
      </c>
      <c r="H76" s="18" t="n">
        <v>-35.35</v>
      </c>
      <c r="I76" s="18" t="n">
        <v>9.890000000000001</v>
      </c>
      <c r="J76" s="18" t="n">
        <v>-496.83</v>
      </c>
      <c r="K76" s="37" t="n">
        <v>-489.47</v>
      </c>
      <c r="L76" s="18" t="n">
        <v>95.03</v>
      </c>
      <c r="M76" s="18" t="n">
        <v>-1.82</v>
      </c>
      <c r="N76" s="18" t="n">
        <v>58.63</v>
      </c>
      <c r="O76" s="18" t="n">
        <v>28.66</v>
      </c>
      <c r="P76" s="37" t="n">
        <v>180.5</v>
      </c>
      <c r="Q76" s="18" t="n">
        <v>49.63</v>
      </c>
      <c r="R76" s="18" t="n">
        <v>-26.61</v>
      </c>
      <c r="S76" s="18" t="n">
        <v>59.94</v>
      </c>
      <c r="T76" s="18" t="n">
        <v>-17.99</v>
      </c>
      <c r="U76" s="37" t="n">
        <v>64.97</v>
      </c>
      <c r="V76" s="18" t="n">
        <v>127.49</v>
      </c>
      <c r="W76" s="18" t="n">
        <v>-4.26</v>
      </c>
      <c r="X76" s="18" t="n">
        <v>105.54</v>
      </c>
      <c r="Y76" s="18" t="n">
        <v>0.04</v>
      </c>
      <c r="Z76" s="37" t="n">
        <v>228.81</v>
      </c>
      <c r="AA76" s="18" t="n">
        <v>2571.72</v>
      </c>
      <c r="AB76" s="19" t="n">
        <v>-1505.71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금융손익</t>
        </is>
      </c>
      <c r="E77" s="18" t="n">
        <v>-589.3</v>
      </c>
      <c r="F77" s="9" t="n"/>
      <c r="G77" s="18" t="n">
        <v>-252</v>
      </c>
      <c r="H77" s="18" t="n">
        <v>-2754.47</v>
      </c>
      <c r="I77" s="18" t="n">
        <v>264.82</v>
      </c>
      <c r="J77" s="18" t="n">
        <v>-837.46</v>
      </c>
      <c r="K77" s="37" t="n">
        <v>-3579.11</v>
      </c>
      <c r="L77" s="18" t="n">
        <v>1600.91</v>
      </c>
      <c r="M77" s="18" t="n">
        <v>-381.14</v>
      </c>
      <c r="N77" s="18" t="n">
        <v>-1571.59</v>
      </c>
      <c r="O77" s="18" t="n">
        <v>177.77</v>
      </c>
      <c r="P77" s="37" t="n">
        <v>-174.05</v>
      </c>
      <c r="Q77" s="18" t="n">
        <v>-1183.26</v>
      </c>
      <c r="R77" s="18" t="n">
        <v>-928.7</v>
      </c>
      <c r="S77" s="18" t="n">
        <v>444.68</v>
      </c>
      <c r="T77" s="18" t="n">
        <v>-2110.77</v>
      </c>
      <c r="U77" s="37" t="n">
        <v>-3778.05</v>
      </c>
      <c r="V77" s="18" t="n">
        <v>164.37</v>
      </c>
      <c r="W77" s="18" t="n">
        <v>420</v>
      </c>
      <c r="X77" s="18" t="n">
        <v>-471.85</v>
      </c>
      <c r="Y77" s="18" t="n">
        <v>-1746.82</v>
      </c>
      <c r="Z77" s="37" t="n">
        <v>-1634.3</v>
      </c>
      <c r="AA77" s="18" t="n">
        <v>-2228.78</v>
      </c>
      <c r="AB77" s="19" t="n">
        <v>65.05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기타영업외손익</t>
        </is>
      </c>
      <c r="E78" s="18" t="n">
        <v>-8906.15</v>
      </c>
      <c r="F78" s="9" t="n"/>
      <c r="G78" s="18" t="n">
        <v>205.61</v>
      </c>
      <c r="H78" s="18" t="n">
        <v>379.83</v>
      </c>
      <c r="I78" s="18" t="n">
        <v>-92.38</v>
      </c>
      <c r="J78" s="18" t="n">
        <v>-4317.25</v>
      </c>
      <c r="K78" s="37" t="n">
        <v>-3824.19</v>
      </c>
      <c r="L78" s="18" t="n">
        <v>340.22</v>
      </c>
      <c r="M78" s="18" t="n">
        <v>101.96</v>
      </c>
      <c r="N78" s="18" t="n">
        <v>96.95999999999999</v>
      </c>
      <c r="O78" s="18" t="n">
        <v>124.34</v>
      </c>
      <c r="P78" s="37" t="n">
        <v>663.48</v>
      </c>
      <c r="Q78" s="18" t="n">
        <v>136.99</v>
      </c>
      <c r="R78" s="18" t="n">
        <v>155.72</v>
      </c>
      <c r="S78" s="18" t="n">
        <v>120.06</v>
      </c>
      <c r="T78" s="18" t="n">
        <v>12.28</v>
      </c>
      <c r="U78" s="37" t="n">
        <v>425.05</v>
      </c>
      <c r="V78" s="18" t="n">
        <v>127.33</v>
      </c>
      <c r="W78" s="18" t="n">
        <v>70.23999999999999</v>
      </c>
      <c r="X78" s="18" t="n">
        <v>219.29</v>
      </c>
      <c r="Y78" s="18" t="n">
        <v>5066.36</v>
      </c>
      <c r="Z78" s="37" t="n">
        <v>5483.22</v>
      </c>
      <c r="AA78" s="18" t="n">
        <v>1766.14</v>
      </c>
      <c r="AB78" s="19" t="n">
        <v>-416.49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이자수익</t>
        </is>
      </c>
      <c r="F79" s="9" t="n"/>
      <c r="G79" s="18" t="n">
        <v>145.35</v>
      </c>
      <c r="H79" s="18" t="n">
        <v>144.33</v>
      </c>
      <c r="I79" s="18" t="n">
        <v>226.25</v>
      </c>
      <c r="J79" s="18" t="n">
        <v>237.17</v>
      </c>
      <c r="K79" s="37" t="n">
        <v>753.1</v>
      </c>
      <c r="L79" s="18" t="n">
        <v>350.12</v>
      </c>
      <c r="M79" s="18" t="n">
        <v>289.95</v>
      </c>
      <c r="N79" s="18" t="n">
        <v>322.16</v>
      </c>
      <c r="O79" s="18" t="n">
        <v>298.99</v>
      </c>
      <c r="P79" s="37" t="n">
        <v>1261.22</v>
      </c>
      <c r="Q79" s="18" t="n">
        <v>310.6</v>
      </c>
      <c r="R79" s="18" t="n">
        <v>200.63</v>
      </c>
      <c r="S79" s="18" t="n">
        <v>267.57</v>
      </c>
      <c r="T79" s="18" t="n">
        <v>283.02</v>
      </c>
      <c r="U79" s="37" t="n">
        <v>1061.82</v>
      </c>
      <c r="V79" s="18" t="n">
        <v>277.3</v>
      </c>
      <c r="W79" s="18" t="n">
        <v>271.94</v>
      </c>
      <c r="X79" s="18" t="n">
        <v>147.28</v>
      </c>
      <c r="Y79" s="18" t="n">
        <v>515.7</v>
      </c>
      <c r="Z79" s="37" t="n">
        <v>1212.22</v>
      </c>
      <c r="AA79" s="18" t="n">
        <v>755.01</v>
      </c>
      <c r="AB79" s="19" t="n">
        <v>692.62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배당금수익</t>
        </is>
      </c>
      <c r="F80" s="9" t="n"/>
      <c r="G80" s="18" t="n">
        <v>4.47</v>
      </c>
      <c r="H80" s="18" t="n">
        <v>60.91</v>
      </c>
      <c r="I80" s="18" t="n">
        <v>0</v>
      </c>
      <c r="J80" s="18" t="n">
        <v>0</v>
      </c>
      <c r="K80" s="37" t="n">
        <v>65.38</v>
      </c>
      <c r="M80" s="18" t="n">
        <v>68.61</v>
      </c>
      <c r="N80" s="18" t="n">
        <v>0</v>
      </c>
      <c r="O80" s="18" t="n">
        <v>0</v>
      </c>
      <c r="P80" s="9" t="n"/>
      <c r="R80" s="18" t="n">
        <v>76.16</v>
      </c>
      <c r="S80" s="18" t="n">
        <v>0</v>
      </c>
      <c r="T80" s="18" t="n">
        <v>0</v>
      </c>
      <c r="U80" s="9" t="n"/>
      <c r="W80" s="18" t="n">
        <v>89.83</v>
      </c>
      <c r="X80" s="18" t="n">
        <v>0</v>
      </c>
      <c r="Y80" s="18" t="n">
        <v>0</v>
      </c>
      <c r="Z80" s="9" t="n"/>
      <c r="AA80" s="18" t="n">
        <v>156.7</v>
      </c>
      <c r="AB80" s="19" t="n">
        <v>-48.21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이자비용</t>
        </is>
      </c>
      <c r="F81" s="9" t="n"/>
      <c r="G81" s="18" t="n">
        <v>98.93000000000001</v>
      </c>
      <c r="H81" s="18" t="n">
        <v>135.14</v>
      </c>
      <c r="I81" s="18" t="n">
        <v>181.09</v>
      </c>
      <c r="J81" s="18" t="n">
        <v>238.35</v>
      </c>
      <c r="K81" s="37" t="n">
        <v>653.51</v>
      </c>
      <c r="L81" s="18" t="n">
        <v>310.46</v>
      </c>
      <c r="M81" s="18" t="n">
        <v>328.85</v>
      </c>
      <c r="N81" s="18" t="n">
        <v>333.57</v>
      </c>
      <c r="O81" s="18" t="n">
        <v>332.11</v>
      </c>
      <c r="P81" s="37" t="n">
        <v>1304.99</v>
      </c>
      <c r="Q81" s="18" t="n">
        <v>319.09</v>
      </c>
      <c r="R81" s="18" t="n">
        <v>217.7</v>
      </c>
      <c r="S81" s="18" t="n">
        <v>212.31</v>
      </c>
      <c r="T81" s="18" t="n">
        <v>221.83</v>
      </c>
      <c r="U81" s="37" t="n">
        <v>970.9299999999999</v>
      </c>
      <c r="V81" s="18" t="n">
        <v>276.49</v>
      </c>
      <c r="W81" s="18" t="n">
        <v>226.23</v>
      </c>
      <c r="X81" s="18" t="n">
        <v>207.87</v>
      </c>
      <c r="Y81" s="18" t="n">
        <v>682.11</v>
      </c>
      <c r="Z81" s="37" t="n">
        <v>1392.7</v>
      </c>
      <c r="AA81" s="18" t="n">
        <v>2235.88</v>
      </c>
      <c r="AB81" s="19" t="n">
        <v>2169.92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외환차익</t>
        </is>
      </c>
      <c r="F82" s="9" t="n"/>
      <c r="G82" s="18" t="n">
        <v>155.96</v>
      </c>
      <c r="H82" s="18" t="n">
        <v>158.22</v>
      </c>
      <c r="I82" s="18" t="n">
        <v>157.9</v>
      </c>
      <c r="J82" s="18" t="n">
        <v>611.39</v>
      </c>
      <c r="K82" s="37" t="n">
        <v>1083.47</v>
      </c>
      <c r="L82" s="18" t="n">
        <v>257.74</v>
      </c>
      <c r="M82" s="18" t="n">
        <v>187.9</v>
      </c>
      <c r="N82" s="18" t="n">
        <v>118.89</v>
      </c>
      <c r="O82" s="18" t="n">
        <v>131.97</v>
      </c>
      <c r="P82" s="37" t="n">
        <v>696.5</v>
      </c>
      <c r="Q82" s="18" t="n">
        <v>52.81</v>
      </c>
      <c r="R82" s="18" t="n">
        <v>89.34999999999999</v>
      </c>
      <c r="S82" s="18" t="n">
        <v>120.51</v>
      </c>
      <c r="T82" s="18" t="n">
        <v>128.37</v>
      </c>
      <c r="U82" s="37" t="n">
        <v>391.04</v>
      </c>
      <c r="V82" s="18" t="n">
        <v>44.48</v>
      </c>
      <c r="W82" s="18" t="n">
        <v>124.26</v>
      </c>
      <c r="X82" s="18" t="n">
        <v>72.79000000000001</v>
      </c>
      <c r="Y82" s="18" t="n">
        <v>264.85</v>
      </c>
      <c r="Z82" s="37" t="n">
        <v>506.38</v>
      </c>
      <c r="AA82" s="18" t="n">
        <v>898.65</v>
      </c>
      <c r="AB82" s="19" t="n">
        <v>1051.98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외환차손</t>
        </is>
      </c>
      <c r="F83" s="9" t="n"/>
      <c r="G83" s="18" t="n">
        <v>58.7</v>
      </c>
      <c r="H83" s="18" t="n">
        <v>87.55</v>
      </c>
      <c r="I83" s="18" t="n">
        <v>-30.1</v>
      </c>
      <c r="J83" s="18" t="n">
        <v>698.4</v>
      </c>
      <c r="K83" s="37" t="n">
        <v>814.55</v>
      </c>
      <c r="L83" s="18" t="n">
        <v>137.63</v>
      </c>
      <c r="M83" s="18" t="n">
        <v>80.69</v>
      </c>
      <c r="N83" s="18" t="n">
        <v>127.76</v>
      </c>
      <c r="O83" s="18" t="n">
        <v>194.51</v>
      </c>
      <c r="P83" s="37" t="n">
        <v>540.59</v>
      </c>
      <c r="Q83" s="18" t="n">
        <v>37.24</v>
      </c>
      <c r="R83" s="18" t="n">
        <v>45.43</v>
      </c>
      <c r="S83" s="18" t="n">
        <v>113.16</v>
      </c>
      <c r="T83" s="18" t="n">
        <v>123.32</v>
      </c>
      <c r="U83" s="37" t="n">
        <v>319.15</v>
      </c>
      <c r="V83" s="18" t="n">
        <v>53.63</v>
      </c>
      <c r="W83" s="18" t="n">
        <v>158.12</v>
      </c>
      <c r="X83" s="18" t="n">
        <v>35.99</v>
      </c>
      <c r="Y83" s="18" t="n">
        <v>93.01000000000001</v>
      </c>
      <c r="Z83" s="37" t="n">
        <v>340.75</v>
      </c>
      <c r="AA83" s="18" t="n">
        <v>918.73</v>
      </c>
      <c r="AB83" s="19" t="n">
        <v>96.15000000000001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외화환산이익</t>
        </is>
      </c>
      <c r="F84" s="9" t="n"/>
      <c r="G84" s="18" t="n">
        <v>140.83</v>
      </c>
      <c r="H84" s="18" t="n">
        <v>171.09</v>
      </c>
      <c r="I84" s="18" t="n">
        <v>583.84</v>
      </c>
      <c r="J84" s="18" t="n">
        <v>-870.0599999999999</v>
      </c>
      <c r="K84" s="37" t="n">
        <v>25.7</v>
      </c>
      <c r="L84" s="18" t="n">
        <v>170.69</v>
      </c>
      <c r="M84" s="18" t="n">
        <v>-87.56</v>
      </c>
      <c r="N84" s="18" t="n">
        <v>-28.74</v>
      </c>
      <c r="O84" s="18" t="n">
        <v>-38.82</v>
      </c>
      <c r="P84" s="37" t="n">
        <v>15.57</v>
      </c>
      <c r="Q84" s="18" t="n">
        <v>13.59</v>
      </c>
      <c r="R84" s="18" t="n">
        <v>10.42</v>
      </c>
      <c r="S84" s="18" t="n">
        <v>34.39</v>
      </c>
      <c r="T84" s="18" t="n">
        <v>-39.21</v>
      </c>
      <c r="U84" s="37" t="n">
        <v>19.19</v>
      </c>
      <c r="V84" s="18" t="n">
        <v>38.36</v>
      </c>
      <c r="W84" s="18" t="n">
        <v>7.15</v>
      </c>
      <c r="X84" s="18" t="n">
        <v>76.95</v>
      </c>
      <c r="Y84" s="18" t="n">
        <v>-64.89</v>
      </c>
      <c r="Z84" s="37" t="n">
        <v>57.57</v>
      </c>
      <c r="AA84" s="18" t="n">
        <v>3296.41</v>
      </c>
      <c r="AB84" s="19" t="n">
        <v>1517.44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외화환산손실</t>
        </is>
      </c>
      <c r="F85" s="9" t="n"/>
      <c r="G85" s="18" t="n">
        <v>83.34</v>
      </c>
      <c r="H85" s="18" t="n">
        <v>317.07</v>
      </c>
      <c r="I85" s="18" t="n">
        <v>165.34</v>
      </c>
      <c r="J85" s="18" t="n">
        <v>11.31</v>
      </c>
      <c r="K85" s="37" t="n">
        <v>577.0599999999999</v>
      </c>
      <c r="L85" s="18" t="n">
        <v>11.15</v>
      </c>
      <c r="M85" s="18" t="n">
        <v>175.28</v>
      </c>
      <c r="N85" s="18" t="n">
        <v>44.67</v>
      </c>
      <c r="O85" s="18" t="n">
        <v>-130.28</v>
      </c>
      <c r="P85" s="37" t="n">
        <v>100.82</v>
      </c>
      <c r="Q85" s="18" t="n">
        <v>35.49</v>
      </c>
      <c r="R85" s="18" t="n">
        <v>36.86</v>
      </c>
      <c r="S85" s="18" t="n">
        <v>-54.07</v>
      </c>
      <c r="T85" s="18" t="n">
        <v>50.93</v>
      </c>
      <c r="U85" s="37" t="n">
        <v>69.20999999999999</v>
      </c>
      <c r="V85" s="18" t="n">
        <v>1.92</v>
      </c>
      <c r="W85" s="18" t="n">
        <v>39.86</v>
      </c>
      <c r="X85" s="18" t="n">
        <v>-29.01</v>
      </c>
      <c r="Y85" s="18" t="n">
        <v>56.34</v>
      </c>
      <c r="Z85" s="37" t="n">
        <v>69.11</v>
      </c>
      <c r="AA85" s="18" t="n">
        <v>2157.55</v>
      </c>
      <c r="AB85" s="19" t="n">
        <v>-293.5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파생상품손실</t>
        </is>
      </c>
      <c r="F86" s="9" t="n"/>
      <c r="G86" s="18" t="n">
        <v>82.09999999999999</v>
      </c>
      <c r="H86" s="18" t="n">
        <v>290.81</v>
      </c>
      <c r="I86" s="18" t="n">
        <v>72.81999999999999</v>
      </c>
      <c r="J86" s="18" t="n">
        <v>0</v>
      </c>
      <c r="K86" s="37" t="n">
        <v>445.73</v>
      </c>
      <c r="L86" s="18" t="n">
        <v>240.4</v>
      </c>
      <c r="M86" s="18" t="n">
        <v>86.23</v>
      </c>
      <c r="N86" s="18" t="n">
        <v>61.11</v>
      </c>
      <c r="O86" s="18" t="n">
        <v>21.51</v>
      </c>
      <c r="P86" s="37" t="n">
        <v>409.25</v>
      </c>
      <c r="Q86" s="18" t="n">
        <v>432.88</v>
      </c>
      <c r="R86" s="18" t="n">
        <v>458.24</v>
      </c>
      <c r="S86" s="18" t="n">
        <v>-281.79</v>
      </c>
      <c r="T86" s="18" t="n">
        <v>788.58</v>
      </c>
      <c r="U86" s="37" t="n">
        <v>1397.91</v>
      </c>
      <c r="V86" s="18" t="n">
        <v>260.34</v>
      </c>
      <c r="W86" s="18" t="n">
        <v>-160.96</v>
      </c>
      <c r="X86" s="18" t="n">
        <v>535.52</v>
      </c>
      <c r="Y86" s="18" t="n">
        <v>728.35</v>
      </c>
      <c r="Z86" s="37" t="n">
        <v>1363.25</v>
      </c>
      <c r="AA86" s="18" t="n">
        <v>660.6900000000001</v>
      </c>
      <c r="AB86" s="19" t="n">
        <v>1762.2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이자손익</t>
        </is>
      </c>
      <c r="F87" s="9" t="n"/>
      <c r="G87" s="18" t="n">
        <v>46.42</v>
      </c>
      <c r="H87" s="18" t="n">
        <v>9.19</v>
      </c>
      <c r="I87" s="18" t="n">
        <v>45.16</v>
      </c>
      <c r="J87" s="18" t="n">
        <v>-1.18</v>
      </c>
      <c r="K87" s="37" t="n">
        <v>99.59</v>
      </c>
      <c r="L87" s="18" t="n">
        <v>39.66</v>
      </c>
      <c r="M87" s="18" t="n">
        <v>-38.9</v>
      </c>
      <c r="N87" s="18" t="n">
        <v>-11.41</v>
      </c>
      <c r="O87" s="18" t="n">
        <v>-33.12</v>
      </c>
      <c r="P87" s="37" t="n">
        <v>-43.77</v>
      </c>
      <c r="Q87" s="18" t="n">
        <v>-8.49</v>
      </c>
      <c r="R87" s="18" t="n">
        <v>-17.07</v>
      </c>
      <c r="S87" s="18" t="n">
        <v>55.26</v>
      </c>
      <c r="T87" s="18" t="n">
        <v>61.19</v>
      </c>
      <c r="U87" s="37" t="n">
        <v>90.89</v>
      </c>
      <c r="V87" s="18" t="n">
        <v>0.8100000000000001</v>
      </c>
      <c r="W87" s="18" t="n">
        <v>45.71</v>
      </c>
      <c r="X87" s="18" t="n">
        <v>-60.59</v>
      </c>
      <c r="Y87" s="18" t="n">
        <v>-166.41</v>
      </c>
      <c r="Z87" s="37" t="n">
        <v>-180.48</v>
      </c>
      <c r="AA87" s="18" t="n">
        <v>-1480.87</v>
      </c>
      <c r="AB87" s="19" t="n">
        <v>-1477.3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파생상품이익</t>
        </is>
      </c>
      <c r="F88" s="9" t="n"/>
      <c r="H88" s="18" t="n">
        <v>35.23</v>
      </c>
      <c r="I88" s="18" t="n">
        <v>0</v>
      </c>
      <c r="J88" s="18" t="n">
        <v>0</v>
      </c>
      <c r="K88" s="9" t="n"/>
      <c r="L88" s="18" t="n">
        <v>5.25</v>
      </c>
      <c r="M88" s="18" t="n">
        <v>20.98</v>
      </c>
      <c r="N88" s="18" t="n">
        <v>17.14</v>
      </c>
      <c r="O88" s="18" t="n">
        <v>82</v>
      </c>
      <c r="P88" s="37" t="n">
        <v>125.37</v>
      </c>
      <c r="S88" s="18" t="n">
        <v>33.14</v>
      </c>
      <c r="T88" s="18" t="n">
        <v>-20.96</v>
      </c>
      <c r="U88" s="9" t="n"/>
      <c r="V88" s="18" t="n">
        <v>48.58</v>
      </c>
      <c r="W88" s="18" t="n">
        <v>262.33</v>
      </c>
      <c r="X88" s="18" t="n">
        <v>-121.99</v>
      </c>
      <c r="Y88" s="18" t="n">
        <v>139.67</v>
      </c>
      <c r="Z88" s="37" t="n">
        <v>328.59</v>
      </c>
      <c r="AA88" s="18" t="n">
        <v>8.140000000000001</v>
      </c>
      <c r="AB88" s="19" t="n">
        <v>0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영업활동으로인한현금흐름</t>
        </is>
      </c>
      <c r="E89" s="18" t="n">
        <v>-6645.05</v>
      </c>
      <c r="F89" s="9" t="n"/>
      <c r="G89" s="18" t="n">
        <v>-4187.12</v>
      </c>
      <c r="H89" s="18" t="n">
        <v>3626.11</v>
      </c>
      <c r="I89" s="18" t="n">
        <v>-4561.52</v>
      </c>
      <c r="J89" s="18" t="n">
        <v>7686.54</v>
      </c>
      <c r="K89" s="37" t="n">
        <v>2564.01</v>
      </c>
      <c r="L89" s="18" t="n">
        <v>-1323.36</v>
      </c>
      <c r="M89" s="18" t="n">
        <v>-980.88</v>
      </c>
      <c r="N89" s="18" t="n">
        <v>3924.14</v>
      </c>
      <c r="O89" s="18" t="n">
        <v>1793.55</v>
      </c>
      <c r="P89" s="37" t="n">
        <v>3413.45</v>
      </c>
      <c r="Q89" s="18" t="n">
        <v>2497.93</v>
      </c>
      <c r="R89" s="18" t="n">
        <v>2426.17</v>
      </c>
      <c r="S89" s="18" t="n">
        <v>7869.93</v>
      </c>
      <c r="T89" s="18" t="n">
        <v>-1881.52</v>
      </c>
      <c r="U89" s="37" t="n">
        <v>10912.51</v>
      </c>
      <c r="V89" s="18" t="n">
        <v>-49</v>
      </c>
      <c r="W89" s="18" t="n">
        <v>5706.65</v>
      </c>
      <c r="X89" s="18" t="n">
        <v>1848.18</v>
      </c>
      <c r="Y89" s="18" t="n">
        <v>-17303.59</v>
      </c>
      <c r="Z89" s="37" t="n">
        <v>-9797.76</v>
      </c>
      <c r="AA89" s="18" t="n">
        <v>2594.22</v>
      </c>
      <c r="AB89" s="19" t="n">
        <v>-3358.15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배당금수취(CF)</t>
        </is>
      </c>
      <c r="E90" s="18" t="n">
        <v>0</v>
      </c>
      <c r="F90" s="9" t="n"/>
      <c r="G90" s="18" t="n">
        <v>4.47</v>
      </c>
      <c r="H90" s="18" t="n">
        <v>60.91</v>
      </c>
      <c r="I90" s="18" t="n">
        <v>0</v>
      </c>
      <c r="J90" s="18" t="n">
        <v>0</v>
      </c>
      <c r="K90" s="37" t="n">
        <v>65.38</v>
      </c>
      <c r="L90" s="18" t="n">
        <v>0</v>
      </c>
      <c r="M90" s="18" t="n">
        <v>68.61</v>
      </c>
      <c r="N90" s="18" t="n">
        <v>0</v>
      </c>
      <c r="O90" s="18" t="n">
        <v>0</v>
      </c>
      <c r="P90" s="37" t="n">
        <v>68.61</v>
      </c>
      <c r="Q90" s="18" t="n">
        <v>0</v>
      </c>
      <c r="R90" s="18" t="n">
        <v>76.16</v>
      </c>
      <c r="S90" s="18" t="n">
        <v>0</v>
      </c>
      <c r="T90" s="18" t="n">
        <v>0</v>
      </c>
      <c r="U90" s="37" t="n">
        <v>76.16</v>
      </c>
      <c r="X90" s="18" t="n">
        <v>0</v>
      </c>
      <c r="Y90" s="18" t="n">
        <v>0</v>
      </c>
      <c r="Z90" s="9" t="n"/>
      <c r="AA90" s="18" t="n">
        <v>156.7</v>
      </c>
      <c r="AB90" s="19" t="n">
        <v>-48.21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법인세납부(CF)</t>
        </is>
      </c>
      <c r="E91" s="18" t="n">
        <v>-22.91</v>
      </c>
      <c r="F91" s="9" t="n"/>
      <c r="G91" s="18" t="n">
        <v>-35.72</v>
      </c>
      <c r="H91" s="18" t="n">
        <v>-43.55</v>
      </c>
      <c r="I91" s="18" t="n">
        <v>-60.84</v>
      </c>
      <c r="J91" s="18" t="n">
        <v>-31.04</v>
      </c>
      <c r="K91" s="37" t="n">
        <v>-171.15</v>
      </c>
      <c r="L91" s="18" t="n">
        <v>-39.72</v>
      </c>
      <c r="M91" s="18" t="n">
        <v>19.96</v>
      </c>
      <c r="N91" s="18" t="n">
        <v>-40.89</v>
      </c>
      <c r="O91" s="18" t="n">
        <v>-58.79</v>
      </c>
      <c r="P91" s="37" t="n">
        <v>-119.44</v>
      </c>
      <c r="Q91" s="18" t="n">
        <v>-49.16</v>
      </c>
      <c r="R91" s="18" t="n">
        <v>53.55</v>
      </c>
      <c r="S91" s="18" t="n">
        <v>-48.2</v>
      </c>
      <c r="T91" s="18" t="n">
        <v>-257.13</v>
      </c>
      <c r="U91" s="37" t="n">
        <v>-300.94</v>
      </c>
      <c r="V91" s="18" t="n">
        <v>-66.48999999999999</v>
      </c>
      <c r="W91" s="18" t="n">
        <v>-121.06</v>
      </c>
      <c r="X91" s="18" t="n">
        <v>-27.45</v>
      </c>
      <c r="Y91" s="18" t="n">
        <v>-138.14</v>
      </c>
      <c r="Z91" s="37" t="n">
        <v>-353.14</v>
      </c>
      <c r="AA91" s="18" t="n">
        <v>-620.17</v>
      </c>
      <c r="AB91" s="19" t="n">
        <v>-1535.09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투자활동으로인한현금흐름</t>
        </is>
      </c>
      <c r="E92" s="18" t="n">
        <v>5378.32</v>
      </c>
      <c r="F92" s="9" t="n"/>
      <c r="G92" s="18" t="n">
        <v>6234.19</v>
      </c>
      <c r="H92" s="18" t="n">
        <v>-1307.8</v>
      </c>
      <c r="I92" s="18" t="n">
        <v>-392.99</v>
      </c>
      <c r="J92" s="18" t="n">
        <v>-4208.17</v>
      </c>
      <c r="K92" s="37" t="n">
        <v>325.23</v>
      </c>
      <c r="L92" s="18" t="n">
        <v>-1496.27</v>
      </c>
      <c r="M92" s="18" t="n">
        <v>-689.79</v>
      </c>
      <c r="N92" s="18" t="n">
        <v>-2978.31</v>
      </c>
      <c r="O92" s="18" t="n">
        <v>-3784.56</v>
      </c>
      <c r="P92" s="37" t="n">
        <v>-8948.93</v>
      </c>
      <c r="Q92" s="18" t="n">
        <v>1578.71</v>
      </c>
      <c r="R92" s="18" t="n">
        <v>8834.889999999999</v>
      </c>
      <c r="S92" s="18" t="n">
        <v>-13565.3</v>
      </c>
      <c r="T92" s="18" t="n">
        <v>1913.79</v>
      </c>
      <c r="U92" s="37" t="n">
        <v>-1237.91</v>
      </c>
      <c r="V92" s="18" t="n">
        <v>-8906.370000000001</v>
      </c>
      <c r="W92" s="18" t="n">
        <v>6721.84</v>
      </c>
      <c r="X92" s="18" t="n">
        <v>-12305.08</v>
      </c>
      <c r="Y92" s="18" t="n">
        <v>-66259.10000000001</v>
      </c>
      <c r="Z92" s="37" t="n">
        <v>-80748.71000000001</v>
      </c>
      <c r="AA92" s="18" t="n">
        <v>-11333.34</v>
      </c>
      <c r="AB92" s="19" t="n">
        <v>-9279.08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재무활동으로인한현금흐름</t>
        </is>
      </c>
      <c r="E93" s="18" t="n">
        <v>2950.44</v>
      </c>
      <c r="F93" s="9" t="n"/>
      <c r="G93" s="18" t="n">
        <v>-548.23</v>
      </c>
      <c r="H93" s="18" t="n">
        <v>-777.72</v>
      </c>
      <c r="I93" s="18" t="n">
        <v>-54.66</v>
      </c>
      <c r="J93" s="18" t="n">
        <v>-943.5</v>
      </c>
      <c r="K93" s="37" t="n">
        <v>-2324.11</v>
      </c>
      <c r="L93" s="18" t="n">
        <v>1237.65</v>
      </c>
      <c r="M93" s="18" t="n">
        <v>-70.97</v>
      </c>
      <c r="N93" s="18" t="n">
        <v>-52.14</v>
      </c>
      <c r="O93" s="18" t="n">
        <v>-38.25</v>
      </c>
      <c r="P93" s="37" t="n">
        <v>1076.29</v>
      </c>
      <c r="Q93" s="18" t="n">
        <v>-6020.79</v>
      </c>
      <c r="R93" s="18" t="n">
        <v>-5795.75</v>
      </c>
      <c r="S93" s="18" t="n">
        <v>2487.59</v>
      </c>
      <c r="T93" s="18" t="n">
        <v>7.11</v>
      </c>
      <c r="U93" s="37" t="n">
        <v>-9321.84</v>
      </c>
      <c r="V93" s="18" t="n">
        <v>7465.85</v>
      </c>
      <c r="W93" s="18" t="n">
        <v>-8831.059999999999</v>
      </c>
      <c r="X93" s="18" t="n">
        <v>23609.27</v>
      </c>
      <c r="Y93" s="18" t="n">
        <v>90619.38</v>
      </c>
      <c r="Z93" s="37" t="n">
        <v>112863.44</v>
      </c>
      <c r="AA93" s="18" t="n">
        <v>5957.42</v>
      </c>
      <c r="AB93" s="19" t="n">
        <v>142.26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단기차입금의증가</t>
        </is>
      </c>
      <c r="E94" s="18" t="n">
        <v>3000</v>
      </c>
      <c r="F94" s="9" t="n"/>
      <c r="G94" s="18" t="n">
        <v>0</v>
      </c>
      <c r="H94" s="18" t="n">
        <v>0</v>
      </c>
      <c r="I94" s="18" t="n">
        <v>0</v>
      </c>
      <c r="J94" s="18" t="n">
        <v>0</v>
      </c>
      <c r="K94" s="37" t="n">
        <v>0</v>
      </c>
      <c r="L94" s="18" t="n">
        <v>1292.12</v>
      </c>
      <c r="M94" s="18" t="n">
        <v>575.88</v>
      </c>
      <c r="P94" s="9" t="n"/>
      <c r="Q94" s="18" t="n">
        <v>0</v>
      </c>
      <c r="R94" s="18" t="n">
        <v>2800.95</v>
      </c>
      <c r="S94" s="18" t="n">
        <v>2512.6</v>
      </c>
      <c r="T94" s="18" t="n">
        <v>24.45</v>
      </c>
      <c r="U94" s="37" t="n">
        <v>5338</v>
      </c>
      <c r="V94" s="18" t="n">
        <v>9000</v>
      </c>
      <c r="W94" s="18" t="n">
        <v>1500</v>
      </c>
      <c r="X94" s="18" t="n">
        <v>27843.2</v>
      </c>
      <c r="Y94" s="18" t="n">
        <v>48219.16</v>
      </c>
      <c r="Z94" s="37" t="n">
        <v>86562.36</v>
      </c>
      <c r="AA94" s="18" t="n">
        <v>58358.34</v>
      </c>
      <c r="AB94" s="19" t="n">
        <v>20501.13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장기차입금의증가</t>
        </is>
      </c>
      <c r="E95" s="18" t="n">
        <v>0</v>
      </c>
      <c r="F95" s="9" t="n"/>
      <c r="I95" s="18" t="n">
        <v>0</v>
      </c>
      <c r="J95" s="18" t="n">
        <v>0</v>
      </c>
      <c r="K95" s="9" t="n"/>
      <c r="N95" s="18" t="n">
        <v>0</v>
      </c>
      <c r="O95" s="18" t="n">
        <v>0</v>
      </c>
      <c r="P95" s="9" t="n"/>
      <c r="U95" s="9" t="n"/>
      <c r="V95" s="18" t="n">
        <v>1000</v>
      </c>
      <c r="W95" s="18" t="n">
        <v>1000</v>
      </c>
      <c r="X95" s="18" t="n">
        <v>0</v>
      </c>
      <c r="Y95" s="18" t="n">
        <v>30000</v>
      </c>
      <c r="Z95" s="37" t="n">
        <v>32000</v>
      </c>
      <c r="AA95" s="18" t="n">
        <v>0</v>
      </c>
      <c r="AB95" s="19" t="n">
        <v>25000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단기차입금의감소</t>
        </is>
      </c>
      <c r="E96" s="18" t="n">
        <v>0</v>
      </c>
      <c r="F96" s="9" t="n"/>
      <c r="J96" s="18" t="n">
        <v>1221.39</v>
      </c>
      <c r="K96" s="9" t="n"/>
      <c r="O96" s="18" t="n">
        <v>0</v>
      </c>
      <c r="P96" s="9" t="n"/>
      <c r="Q96" s="18" t="n">
        <v>6000</v>
      </c>
      <c r="R96" s="18" t="n">
        <v>7367.3</v>
      </c>
      <c r="S96" s="18" t="n">
        <v>8.4</v>
      </c>
      <c r="T96" s="18" t="n">
        <v>16.3</v>
      </c>
      <c r="U96" s="37" t="n">
        <v>13392</v>
      </c>
      <c r="V96" s="18" t="n">
        <v>2000</v>
      </c>
      <c r="W96" s="18" t="n">
        <v>9500</v>
      </c>
      <c r="X96" s="18" t="n">
        <v>4216.43</v>
      </c>
      <c r="Y96" s="18" t="n">
        <v>11015.44</v>
      </c>
      <c r="Z96" s="37" t="n">
        <v>26731.87</v>
      </c>
      <c r="AA96" s="18" t="n">
        <v>52366.12</v>
      </c>
      <c r="AB96" s="19" t="n">
        <v>40893.1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배당금지급</t>
        </is>
      </c>
      <c r="E97" s="18" t="n">
        <v>0</v>
      </c>
      <c r="F97" s="9" t="n"/>
      <c r="I97" s="18" t="n">
        <v>0</v>
      </c>
      <c r="J97" s="18" t="n">
        <v>0</v>
      </c>
      <c r="K97" s="9" t="n"/>
      <c r="N97" s="18" t="n">
        <v>0</v>
      </c>
      <c r="O97" s="18" t="n">
        <v>0</v>
      </c>
      <c r="P97" s="9" t="n"/>
      <c r="S97" s="18" t="n">
        <v>0</v>
      </c>
      <c r="T97" s="18" t="n">
        <v>0</v>
      </c>
      <c r="U97" s="9" t="n"/>
      <c r="X97" s="18" t="n">
        <v>0</v>
      </c>
      <c r="Y97" s="18" t="n">
        <v>0</v>
      </c>
      <c r="Z97" s="9" t="n"/>
      <c r="AA97" s="18" t="n">
        <v>0</v>
      </c>
      <c r="AB97" s="19" t="n">
        <v>4353.32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장기차입금의감소</t>
        </is>
      </c>
      <c r="E98" s="18" t="n">
        <v>3.38</v>
      </c>
      <c r="F98" s="9" t="n"/>
      <c r="G98" s="18" t="n">
        <v>503.38</v>
      </c>
      <c r="H98" s="18" t="n">
        <v>383.46</v>
      </c>
      <c r="I98" s="18" t="n">
        <v>6.98</v>
      </c>
      <c r="K98" s="9" t="n"/>
      <c r="L98" s="18" t="n">
        <v>0</v>
      </c>
      <c r="M98" s="18" t="n">
        <v>0</v>
      </c>
      <c r="N98" s="18" t="n">
        <v>0</v>
      </c>
      <c r="O98" s="18" t="n">
        <v>0</v>
      </c>
      <c r="P98" s="37" t="n">
        <v>0</v>
      </c>
      <c r="Q98" s="18" t="n">
        <v>0</v>
      </c>
      <c r="R98" s="18" t="n">
        <v>0</v>
      </c>
      <c r="U98" s="9" t="n"/>
      <c r="Z98" s="9" t="n"/>
      <c r="AA98" s="18" t="n">
        <v>15.39</v>
      </c>
      <c r="AB98" s="19" t="n">
        <v>15.55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자기주식의취득</t>
        </is>
      </c>
      <c r="E99" s="18" t="n">
        <v>0</v>
      </c>
      <c r="F99" s="9" t="n"/>
      <c r="J99" s="18" t="n">
        <v>0</v>
      </c>
      <c r="K99" s="9" t="n"/>
      <c r="P99" s="9" t="n"/>
      <c r="U99" s="9" t="n"/>
      <c r="Z99" s="9" t="n"/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현금및현금성자산의증감</t>
        </is>
      </c>
      <c r="E100" s="18" t="n">
        <v>1683.71</v>
      </c>
      <c r="F100" s="9" t="n"/>
      <c r="G100" s="18" t="n">
        <v>1498.84</v>
      </c>
      <c r="H100" s="18" t="n">
        <v>1540.59</v>
      </c>
      <c r="I100" s="18" t="n">
        <v>-5009.18</v>
      </c>
      <c r="J100" s="18" t="n">
        <v>2534.88</v>
      </c>
      <c r="K100" s="37" t="n">
        <v>565.13</v>
      </c>
      <c r="L100" s="18" t="n">
        <v>-1581.99</v>
      </c>
      <c r="M100" s="18" t="n">
        <v>-1741.63</v>
      </c>
      <c r="N100" s="18" t="n">
        <v>893.6799999999999</v>
      </c>
      <c r="O100" s="18" t="n">
        <v>-2029.25</v>
      </c>
      <c r="P100" s="37" t="n">
        <v>-4459.19</v>
      </c>
      <c r="Q100" s="18" t="n">
        <v>-1944.15</v>
      </c>
      <c r="R100" s="18" t="n">
        <v>5465.31</v>
      </c>
      <c r="S100" s="18" t="n">
        <v>-3207.78</v>
      </c>
      <c r="T100" s="18" t="n">
        <v>39.38</v>
      </c>
      <c r="U100" s="37" t="n">
        <v>352.76</v>
      </c>
      <c r="V100" s="18" t="n">
        <v>-1489.52</v>
      </c>
      <c r="W100" s="18" t="n">
        <v>3597.42</v>
      </c>
      <c r="X100" s="18" t="n">
        <v>13152.38</v>
      </c>
      <c r="Y100" s="18" t="n">
        <v>26652.21</v>
      </c>
      <c r="Z100" s="37" t="n">
        <v>41912.49</v>
      </c>
      <c r="AA100" s="18" t="n">
        <v>-7970.15</v>
      </c>
      <c r="AB100" s="19" t="n">
        <v>-5778.66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기말현금및현금성자산</t>
        </is>
      </c>
      <c r="E101" s="18" t="n">
        <v>1653.96</v>
      </c>
      <c r="F101" s="9" t="n"/>
      <c r="G101" s="18" t="n">
        <v>9845.85</v>
      </c>
      <c r="H101" s="18" t="n">
        <v>1594.84</v>
      </c>
      <c r="I101" s="18" t="n">
        <v>-4844</v>
      </c>
      <c r="J101" s="18" t="n">
        <v>2171.43</v>
      </c>
      <c r="K101" s="37" t="n">
        <v>8768.120000000001</v>
      </c>
      <c r="L101" s="18" t="n">
        <v>7219.26</v>
      </c>
      <c r="M101" s="18" t="n">
        <v>-1805.78</v>
      </c>
      <c r="N101" s="18" t="n">
        <v>900.38</v>
      </c>
      <c r="O101" s="18" t="n">
        <v>-2006.45</v>
      </c>
      <c r="P101" s="37" t="n">
        <v>4307.41</v>
      </c>
      <c r="Q101" s="18" t="n">
        <v>6830.32</v>
      </c>
      <c r="R101" s="18" t="n">
        <v>1027.04</v>
      </c>
      <c r="S101" s="18" t="n">
        <v>-3200.96</v>
      </c>
      <c r="T101" s="18" t="n">
        <v>55.88</v>
      </c>
      <c r="U101" s="37" t="n">
        <v>4712.28</v>
      </c>
      <c r="V101" s="18" t="n">
        <v>3231.07</v>
      </c>
      <c r="W101" s="18" t="n">
        <v>3550.79</v>
      </c>
      <c r="X101" s="18" t="n">
        <v>13205</v>
      </c>
      <c r="Y101" s="18" t="n">
        <v>26675.16</v>
      </c>
      <c r="Z101" s="37" t="n">
        <v>46662.02</v>
      </c>
      <c r="AA101" s="18" t="n">
        <v>40278.7</v>
      </c>
      <c r="AB101" s="19" t="n">
        <v>-5240.67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이자수취(CF)</t>
        </is>
      </c>
      <c r="F102" s="9" t="n"/>
      <c r="K102" s="9" t="n"/>
      <c r="O102" s="18" t="n">
        <v>278.77</v>
      </c>
      <c r="P102" s="9" t="n"/>
      <c r="Q102" s="18" t="n">
        <v>336.33</v>
      </c>
      <c r="R102" s="18" t="n">
        <v>258.33</v>
      </c>
      <c r="S102" s="18" t="n">
        <v>231.38</v>
      </c>
      <c r="T102" s="18" t="n">
        <v>301.04</v>
      </c>
      <c r="U102" s="37" t="n">
        <v>1127.08</v>
      </c>
      <c r="V102" s="18" t="n">
        <v>216.58</v>
      </c>
      <c r="W102" s="18" t="n">
        <v>341.04</v>
      </c>
      <c r="X102" s="18" t="n">
        <v>209.98</v>
      </c>
      <c r="Y102" s="18" t="n">
        <v>522.76</v>
      </c>
      <c r="Z102" s="37" t="n">
        <v>1290.36</v>
      </c>
      <c r="AA102" s="18" t="n">
        <v>742.96</v>
      </c>
      <c r="AB102" s="19" t="n">
        <v>688.46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무형자산의감소</t>
        </is>
      </c>
      <c r="F103" s="9" t="n"/>
      <c r="K103" s="9" t="n"/>
      <c r="P103" s="9" t="n"/>
      <c r="S103" s="18" t="n">
        <v>0</v>
      </c>
      <c r="T103" s="18" t="n">
        <v>0</v>
      </c>
      <c r="U103" s="9" t="n"/>
      <c r="X103" s="18" t="n">
        <v>0</v>
      </c>
      <c r="Y103" s="18" t="n">
        <v>0</v>
      </c>
      <c r="Z103" s="9" t="n"/>
      <c r="AA103" s="18" t="n">
        <v>0</v>
      </c>
      <c r="AB103" s="19" t="n">
        <v>399.09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무형자산의증가</t>
        </is>
      </c>
      <c r="F104" s="9" t="n"/>
      <c r="K104" s="9" t="n"/>
      <c r="P104" s="9" t="n"/>
      <c r="U104" s="9" t="n"/>
      <c r="V104" s="18" t="n">
        <v>1.73</v>
      </c>
      <c r="W104" s="18" t="n">
        <v>23.14</v>
      </c>
      <c r="X104" s="18" t="n">
        <v>5.64</v>
      </c>
      <c r="Z104" s="9" t="n"/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CAPEX</t>
        </is>
      </c>
      <c r="F105" s="9" t="n"/>
      <c r="K105" s="9" t="n"/>
      <c r="P105" s="9" t="n"/>
      <c r="U105" s="9" t="n"/>
      <c r="V105" s="18" t="n">
        <v>1.73</v>
      </c>
      <c r="W105" s="18" t="n">
        <v>23.14</v>
      </c>
      <c r="X105" s="18" t="n">
        <v>5.64</v>
      </c>
      <c r="Z105" s="9" t="n"/>
      <c r="AB105" s="5" t="n"/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차입금의감소</t>
        </is>
      </c>
      <c r="F106" s="9" t="n"/>
      <c r="K106" s="9" t="n"/>
      <c r="P106" s="9" t="n"/>
      <c r="U106" s="9" t="n"/>
      <c r="V106" s="18" t="n">
        <v>500</v>
      </c>
      <c r="W106" s="18" t="n">
        <v>0</v>
      </c>
      <c r="X106" s="18" t="n">
        <v>0</v>
      </c>
      <c r="Z106" s="9" t="n"/>
      <c r="AB106" s="5" t="n"/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삼영엠텍(별)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50904.61</v>
      </c>
      <c r="F5" s="37" t="n">
        <v>50904.61</v>
      </c>
      <c r="G5" s="18" t="n">
        <v>53450.99</v>
      </c>
      <c r="H5" s="18" t="n">
        <v>49019.12</v>
      </c>
      <c r="I5" s="18" t="n">
        <v>45782.18</v>
      </c>
      <c r="J5" s="18" t="n">
        <v>44818.75</v>
      </c>
      <c r="K5" s="37" t="n">
        <v>44818.75</v>
      </c>
      <c r="L5" s="18" t="n">
        <v>47565.18</v>
      </c>
      <c r="M5" s="18" t="n">
        <v>49590.73</v>
      </c>
      <c r="N5" s="18" t="n">
        <v>51165.17</v>
      </c>
      <c r="O5" s="18" t="n">
        <v>50383.06</v>
      </c>
      <c r="P5" s="37" t="n">
        <v>50383.06</v>
      </c>
      <c r="Q5" s="18" t="n">
        <v>51894.13</v>
      </c>
      <c r="R5" s="18" t="n">
        <v>43087.14</v>
      </c>
      <c r="S5" s="18" t="n">
        <v>50521.04</v>
      </c>
      <c r="T5" s="18" t="n">
        <v>49762.02</v>
      </c>
      <c r="U5" s="37" t="n">
        <v>49762.02</v>
      </c>
      <c r="V5" s="18" t="n">
        <v>57099.58</v>
      </c>
      <c r="W5" s="18" t="n">
        <v>51734.43</v>
      </c>
      <c r="X5" s="18" t="n">
        <v>76185.06</v>
      </c>
      <c r="Y5" s="18" t="n">
        <v>41211.58</v>
      </c>
      <c r="Z5" s="37" t="n">
        <v>41211.58</v>
      </c>
      <c r="AA5" s="18" t="n">
        <v>51341.38</v>
      </c>
      <c r="AB5" s="19" t="n">
        <v>55353.75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6028.82</v>
      </c>
      <c r="F6" s="37" t="n">
        <v>6028.82</v>
      </c>
      <c r="G6" s="18" t="n">
        <v>6718.53</v>
      </c>
      <c r="H6" s="18" t="n">
        <v>7148.99</v>
      </c>
      <c r="I6" s="18" t="n">
        <v>4588.54</v>
      </c>
      <c r="J6" s="18" t="n">
        <v>5223.45</v>
      </c>
      <c r="K6" s="37" t="n">
        <v>5223.45</v>
      </c>
      <c r="L6" s="18" t="n">
        <v>6270.1</v>
      </c>
      <c r="M6" s="18" t="n">
        <v>4292.09</v>
      </c>
      <c r="N6" s="18" t="n">
        <v>5736.93</v>
      </c>
      <c r="O6" s="18" t="n">
        <v>3690.9</v>
      </c>
      <c r="P6" s="37" t="n">
        <v>3690.9</v>
      </c>
      <c r="Q6" s="18" t="n">
        <v>2165.35</v>
      </c>
      <c r="R6" s="18" t="n">
        <v>5617.32</v>
      </c>
      <c r="S6" s="18" t="n">
        <v>2385.96</v>
      </c>
      <c r="T6" s="18" t="n">
        <v>4296.79</v>
      </c>
      <c r="U6" s="37" t="n">
        <v>4296.79</v>
      </c>
      <c r="V6" s="18" t="n">
        <v>2646.74</v>
      </c>
      <c r="W6" s="18" t="n">
        <v>5804.48</v>
      </c>
      <c r="X6" s="18" t="n">
        <v>19064.89</v>
      </c>
      <c r="Y6" s="18" t="n">
        <v>2465.88</v>
      </c>
      <c r="Z6" s="37" t="n">
        <v>2465.88</v>
      </c>
      <c r="AA6" s="18" t="n">
        <v>4469.18</v>
      </c>
      <c r="AB6" s="19" t="n">
        <v>2834.91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15935.08</v>
      </c>
      <c r="F7" s="37" t="n">
        <v>15935.08</v>
      </c>
      <c r="G7" s="18" t="n">
        <v>11427.9</v>
      </c>
      <c r="H7" s="18" t="n">
        <v>11411.1</v>
      </c>
      <c r="I7" s="18" t="n">
        <v>10375.12</v>
      </c>
      <c r="J7" s="18" t="n">
        <v>15823.83</v>
      </c>
      <c r="K7" s="37" t="n">
        <v>15823.83</v>
      </c>
      <c r="L7" s="18" t="n">
        <v>16783.95</v>
      </c>
      <c r="M7" s="18" t="n">
        <v>16294.84</v>
      </c>
      <c r="N7" s="18" t="n">
        <v>18177.28</v>
      </c>
      <c r="O7" s="18" t="n">
        <v>19162.76</v>
      </c>
      <c r="P7" s="37" t="n">
        <v>19162.76</v>
      </c>
      <c r="Q7" s="18" t="n">
        <v>16183.86</v>
      </c>
      <c r="R7" s="18" t="n">
        <v>5186.73</v>
      </c>
      <c r="S7" s="18" t="n">
        <v>19032.25</v>
      </c>
      <c r="T7" s="18" t="n">
        <v>14724.98</v>
      </c>
      <c r="U7" s="37" t="n">
        <v>14724.98</v>
      </c>
      <c r="V7" s="18" t="n">
        <v>18700.77</v>
      </c>
      <c r="W7" s="18" t="n">
        <v>13443.49</v>
      </c>
      <c r="X7" s="18" t="n">
        <v>26151.56</v>
      </c>
      <c r="Y7" s="18" t="n">
        <v>1399.58</v>
      </c>
      <c r="Z7" s="37" t="n">
        <v>1399.58</v>
      </c>
      <c r="AA7" s="18" t="n">
        <v>2057.45</v>
      </c>
      <c r="AB7" s="19" t="n">
        <v>1072.99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15970.15</v>
      </c>
      <c r="F8" s="37" t="n">
        <v>15970.15</v>
      </c>
      <c r="G8" s="18" t="n">
        <v>11456.06</v>
      </c>
      <c r="H8" s="18" t="n">
        <v>11411.1</v>
      </c>
      <c r="I8" s="18" t="n">
        <v>10375.12</v>
      </c>
      <c r="J8" s="18" t="n">
        <v>15823.83</v>
      </c>
      <c r="K8" s="37" t="n">
        <v>15823.83</v>
      </c>
      <c r="L8" s="18" t="n">
        <v>16789.2</v>
      </c>
      <c r="M8" s="18" t="n">
        <v>16321.07</v>
      </c>
      <c r="N8" s="18" t="n">
        <v>18220.65</v>
      </c>
      <c r="O8" s="18" t="n">
        <v>19240.37</v>
      </c>
      <c r="P8" s="37" t="n">
        <v>19240.37</v>
      </c>
      <c r="Q8" s="18" t="n">
        <v>16183.86</v>
      </c>
      <c r="R8" s="18" t="n">
        <v>5186.73</v>
      </c>
      <c r="S8" s="18" t="n">
        <v>19065.39</v>
      </c>
      <c r="T8" s="18" t="n">
        <v>14737.16</v>
      </c>
      <c r="U8" s="37" t="n">
        <v>14737.16</v>
      </c>
      <c r="V8" s="18" t="n">
        <v>18700.77</v>
      </c>
      <c r="W8" s="18" t="n">
        <v>13582.44</v>
      </c>
      <c r="X8" s="18" t="n">
        <v>26155.63</v>
      </c>
      <c r="Y8" s="18" t="n">
        <v>2712.78</v>
      </c>
      <c r="Z8" s="37" t="n">
        <v>2712.78</v>
      </c>
      <c r="AA8" s="18" t="n">
        <v>3292.23</v>
      </c>
      <c r="AB8" s="19" t="n">
        <v>1445.33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10986.4</v>
      </c>
      <c r="F9" s="37" t="n">
        <v>10986.4</v>
      </c>
      <c r="G9" s="18" t="n">
        <v>14863.67</v>
      </c>
      <c r="H9" s="18" t="n">
        <v>9957.76</v>
      </c>
      <c r="I9" s="18" t="n">
        <v>12669.76</v>
      </c>
      <c r="J9" s="18" t="n">
        <v>7500.63</v>
      </c>
      <c r="K9" s="37" t="n">
        <v>7500.63</v>
      </c>
      <c r="L9" s="18" t="n">
        <v>7949.77</v>
      </c>
      <c r="M9" s="18" t="n">
        <v>10860.06</v>
      </c>
      <c r="N9" s="18" t="n">
        <v>10998.93</v>
      </c>
      <c r="O9" s="18" t="n">
        <v>8184.82</v>
      </c>
      <c r="P9" s="37" t="n">
        <v>8184.82</v>
      </c>
      <c r="Q9" s="18" t="n">
        <v>9673.860000000001</v>
      </c>
      <c r="R9" s="18" t="n">
        <v>11180.87</v>
      </c>
      <c r="S9" s="18" t="n">
        <v>8690.549999999999</v>
      </c>
      <c r="T9" s="18" t="n">
        <v>7928.13</v>
      </c>
      <c r="U9" s="37" t="n">
        <v>7928.13</v>
      </c>
      <c r="V9" s="18" t="n">
        <v>10603.01</v>
      </c>
      <c r="W9" s="18" t="n">
        <v>9808.73</v>
      </c>
      <c r="X9" s="18" t="n">
        <v>9137.24</v>
      </c>
      <c r="Y9" s="18" t="n">
        <v>12403.59</v>
      </c>
      <c r="Z9" s="37" t="n">
        <v>12403.59</v>
      </c>
      <c r="AA9" s="18" t="n">
        <v>15130.83</v>
      </c>
      <c r="AB9" s="19" t="n">
        <v>16965.18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16692.86</v>
      </c>
      <c r="F10" s="37" t="n">
        <v>16692.86</v>
      </c>
      <c r="G10" s="18" t="n">
        <v>18868.33</v>
      </c>
      <c r="H10" s="18" t="n">
        <v>19005.02</v>
      </c>
      <c r="I10" s="18" t="n">
        <v>17211.16</v>
      </c>
      <c r="J10" s="18" t="n">
        <v>15377.22</v>
      </c>
      <c r="K10" s="37" t="n">
        <v>15377.22</v>
      </c>
      <c r="L10" s="18" t="n">
        <v>15588.26</v>
      </c>
      <c r="M10" s="18" t="n">
        <v>17394.16</v>
      </c>
      <c r="N10" s="18" t="n">
        <v>14814.01</v>
      </c>
      <c r="O10" s="18" t="n">
        <v>17218.24</v>
      </c>
      <c r="P10" s="37" t="n">
        <v>17218.24</v>
      </c>
      <c r="Q10" s="18" t="n">
        <v>22604.94</v>
      </c>
      <c r="R10" s="18" t="n">
        <v>20369.85</v>
      </c>
      <c r="S10" s="18" t="n">
        <v>19303.78</v>
      </c>
      <c r="T10" s="18" t="n">
        <v>21691.84</v>
      </c>
      <c r="U10" s="37" t="n">
        <v>21691.84</v>
      </c>
      <c r="V10" s="18" t="n">
        <v>23951.84</v>
      </c>
      <c r="W10" s="18" t="n">
        <v>21697.98</v>
      </c>
      <c r="X10" s="18" t="n">
        <v>20595.42</v>
      </c>
      <c r="Y10" s="18" t="n">
        <v>22030.84</v>
      </c>
      <c r="Z10" s="37" t="n">
        <v>22030.84</v>
      </c>
      <c r="AA10" s="18" t="n">
        <v>26925.92</v>
      </c>
      <c r="AB10" s="19" t="n">
        <v>31585.37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유동파생상품자산</t>
        </is>
      </c>
      <c r="E11" s="18" t="n">
        <v>35.07</v>
      </c>
      <c r="F11" s="37" t="n">
        <v>35.07</v>
      </c>
      <c r="G11" s="18" t="n">
        <v>28.16</v>
      </c>
      <c r="H11" s="18" t="n">
        <v>0</v>
      </c>
      <c r="I11" s="18" t="n">
        <v>0</v>
      </c>
      <c r="J11" s="18" t="n">
        <v>0</v>
      </c>
      <c r="K11" s="37" t="n">
        <v>0</v>
      </c>
      <c r="L11" s="18" t="n">
        <v>5.25</v>
      </c>
      <c r="M11" s="18" t="n">
        <v>26.23</v>
      </c>
      <c r="N11" s="18" t="n">
        <v>43.37</v>
      </c>
      <c r="O11" s="18" t="n">
        <v>77.61</v>
      </c>
      <c r="P11" s="37" t="n">
        <v>77.61</v>
      </c>
      <c r="Q11" s="18" t="n">
        <v>0</v>
      </c>
      <c r="R11" s="18" t="n">
        <v>0</v>
      </c>
      <c r="S11" s="18" t="n">
        <v>33.14</v>
      </c>
      <c r="T11" s="18" t="n">
        <v>12.18</v>
      </c>
      <c r="U11" s="37" t="n">
        <v>12.18</v>
      </c>
      <c r="V11" s="18" t="n">
        <v>0</v>
      </c>
      <c r="W11" s="18" t="n">
        <v>138.95</v>
      </c>
      <c r="X11" s="18" t="n">
        <v>4.07</v>
      </c>
      <c r="Y11" s="18" t="n">
        <v>1313.2</v>
      </c>
      <c r="Z11" s="37" t="n">
        <v>1313.2</v>
      </c>
      <c r="AA11" s="18" t="n">
        <v>1234.78</v>
      </c>
      <c r="AB11" s="19" t="n">
        <v>372.34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1226.39</v>
      </c>
      <c r="F12" s="37" t="n">
        <v>1226.39</v>
      </c>
      <c r="G12" s="18" t="n">
        <v>1544.39</v>
      </c>
      <c r="H12" s="18" t="n">
        <v>1496.24</v>
      </c>
      <c r="I12" s="18" t="n">
        <v>863.58</v>
      </c>
      <c r="J12" s="18" t="n">
        <v>819.47</v>
      </c>
      <c r="K12" s="37" t="n">
        <v>819.47</v>
      </c>
      <c r="L12" s="18" t="n">
        <v>893.6799999999999</v>
      </c>
      <c r="M12" s="18" t="n">
        <v>723.35</v>
      </c>
      <c r="N12" s="18" t="n">
        <v>1394.66</v>
      </c>
      <c r="O12" s="18" t="n">
        <v>1946.63</v>
      </c>
      <c r="P12" s="37" t="n">
        <v>1946.63</v>
      </c>
      <c r="Q12" s="18" t="n">
        <v>1164.01</v>
      </c>
      <c r="R12" s="18" t="n">
        <v>732.36</v>
      </c>
      <c r="S12" s="18" t="n">
        <v>1075.35</v>
      </c>
      <c r="T12" s="18" t="n">
        <v>1108.09</v>
      </c>
      <c r="U12" s="37" t="n">
        <v>1108.09</v>
      </c>
      <c r="V12" s="18" t="n">
        <v>1197.23</v>
      </c>
      <c r="W12" s="18" t="n">
        <v>840.8099999999999</v>
      </c>
      <c r="X12" s="18" t="n">
        <v>1231.88</v>
      </c>
      <c r="Y12" s="18" t="n">
        <v>1598.48</v>
      </c>
      <c r="Z12" s="37" t="n">
        <v>1598.48</v>
      </c>
      <c r="AA12" s="18" t="n">
        <v>1523.23</v>
      </c>
      <c r="AB12" s="19" t="n">
        <v>2522.96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55070.65</v>
      </c>
      <c r="F13" s="37" t="n">
        <v>55070.65</v>
      </c>
      <c r="G13" s="18" t="n">
        <v>54422.44</v>
      </c>
      <c r="H13" s="18" t="n">
        <v>56630.57</v>
      </c>
      <c r="I13" s="18" t="n">
        <v>56800.68</v>
      </c>
      <c r="J13" s="18" t="n">
        <v>49979.88</v>
      </c>
      <c r="K13" s="37" t="n">
        <v>49979.88</v>
      </c>
      <c r="L13" s="18" t="n">
        <v>48407.37</v>
      </c>
      <c r="M13" s="18" t="n">
        <v>48786.61</v>
      </c>
      <c r="N13" s="18" t="n">
        <v>48269.87</v>
      </c>
      <c r="O13" s="18" t="n">
        <v>51663.81</v>
      </c>
      <c r="P13" s="37" t="n">
        <v>51663.81</v>
      </c>
      <c r="Q13" s="18" t="n">
        <v>51624.67</v>
      </c>
      <c r="R13" s="18" t="n">
        <v>53110.29</v>
      </c>
      <c r="S13" s="18" t="n">
        <v>53179.06</v>
      </c>
      <c r="T13" s="18" t="n">
        <v>52306.59</v>
      </c>
      <c r="U13" s="37" t="n">
        <v>52306.59</v>
      </c>
      <c r="V13" s="18" t="n">
        <v>56271.08</v>
      </c>
      <c r="W13" s="18" t="n">
        <v>54044.9</v>
      </c>
      <c r="X13" s="18" t="n">
        <v>52858.08</v>
      </c>
      <c r="Y13" s="18" t="n">
        <v>140894.47</v>
      </c>
      <c r="Z13" s="37" t="n">
        <v>140894.47</v>
      </c>
      <c r="AA13" s="18" t="n">
        <v>139079.26</v>
      </c>
      <c r="AB13" s="19" t="n">
        <v>138007.69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12100.86</v>
      </c>
      <c r="F14" s="37" t="n">
        <v>12100.86</v>
      </c>
      <c r="G14" s="18" t="n">
        <v>11726.14</v>
      </c>
      <c r="H14" s="18" t="n">
        <v>9731.290000000001</v>
      </c>
      <c r="I14" s="18" t="n">
        <v>7949.7</v>
      </c>
      <c r="J14" s="18" t="n">
        <v>8073.83</v>
      </c>
      <c r="K14" s="37" t="n">
        <v>8073.83</v>
      </c>
      <c r="L14" s="18" t="n">
        <v>9585.16</v>
      </c>
      <c r="M14" s="18" t="n">
        <v>10395.24</v>
      </c>
      <c r="N14" s="18" t="n">
        <v>9564.18</v>
      </c>
      <c r="O14" s="18" t="n">
        <v>9681.59</v>
      </c>
      <c r="P14" s="37" t="n">
        <v>9681.59</v>
      </c>
      <c r="Q14" s="18" t="n">
        <v>9987.92</v>
      </c>
      <c r="R14" s="18" t="n">
        <v>11078.65</v>
      </c>
      <c r="S14" s="18" t="n">
        <v>10582.52</v>
      </c>
      <c r="T14" s="18" t="n">
        <v>10390.73</v>
      </c>
      <c r="U14" s="37" t="n">
        <v>10390.73</v>
      </c>
      <c r="V14" s="18" t="n">
        <v>15706.26</v>
      </c>
      <c r="W14" s="18" t="n">
        <v>14607.8</v>
      </c>
      <c r="X14" s="18" t="n">
        <v>14667.95</v>
      </c>
      <c r="Y14" s="18" t="n">
        <v>11265</v>
      </c>
      <c r="Z14" s="37" t="n">
        <v>11265</v>
      </c>
      <c r="AA14" s="18" t="n">
        <v>9836.280000000001</v>
      </c>
      <c r="AB14" s="19" t="n">
        <v>10314.2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27861.89</v>
      </c>
      <c r="F15" s="37" t="n">
        <v>27861.89</v>
      </c>
      <c r="G15" s="18" t="n">
        <v>27487.17</v>
      </c>
      <c r="H15" s="18" t="n">
        <v>25492.32</v>
      </c>
      <c r="I15" s="18" t="n">
        <v>23710.73</v>
      </c>
      <c r="J15" s="18" t="n">
        <v>16779.46</v>
      </c>
      <c r="K15" s="37" t="n">
        <v>16779.46</v>
      </c>
      <c r="L15" s="18" t="n">
        <v>18290.79</v>
      </c>
      <c r="M15" s="18" t="n">
        <v>19100.87</v>
      </c>
      <c r="N15" s="18" t="n">
        <v>18269.81</v>
      </c>
      <c r="O15" s="18" t="n">
        <v>18387.22</v>
      </c>
      <c r="P15" s="37" t="n">
        <v>18387.22</v>
      </c>
      <c r="Q15" s="18" t="n">
        <v>18693.55</v>
      </c>
      <c r="R15" s="18" t="n">
        <v>19784.28</v>
      </c>
      <c r="S15" s="18" t="n">
        <v>19288.15</v>
      </c>
      <c r="T15" s="18" t="n">
        <v>19096.36</v>
      </c>
      <c r="U15" s="37" t="n">
        <v>19096.36</v>
      </c>
      <c r="V15" s="18" t="n">
        <v>24411.89</v>
      </c>
      <c r="W15" s="18" t="n">
        <v>23313.43</v>
      </c>
      <c r="X15" s="18" t="n">
        <v>23373.58</v>
      </c>
      <c r="Y15" s="18" t="n">
        <v>109337.66</v>
      </c>
      <c r="Z15" s="37" t="n">
        <v>109337.66</v>
      </c>
      <c r="AA15" s="18" t="n">
        <v>107908.94</v>
      </c>
      <c r="AB15" s="19" t="n">
        <v>108386.86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장기매출채권및기타채권</t>
        </is>
      </c>
      <c r="E16" s="18" t="n">
        <v>965.65</v>
      </c>
      <c r="F16" s="37" t="n">
        <v>965.65</v>
      </c>
      <c r="G16" s="18" t="n">
        <v>983.25</v>
      </c>
      <c r="H16" s="18" t="n">
        <v>3870.35</v>
      </c>
      <c r="I16" s="18" t="n">
        <v>3796.73</v>
      </c>
      <c r="J16" s="18" t="n">
        <v>3568.88</v>
      </c>
      <c r="K16" s="37" t="n">
        <v>3568.88</v>
      </c>
      <c r="L16" s="18" t="n">
        <v>884.12</v>
      </c>
      <c r="M16" s="18" t="n">
        <v>770.88</v>
      </c>
      <c r="N16" s="18" t="n">
        <v>735.61</v>
      </c>
      <c r="O16" s="18" t="n">
        <v>2761.44</v>
      </c>
      <c r="P16" s="37" t="n">
        <v>2761.44</v>
      </c>
      <c r="Q16" s="18" t="n">
        <v>2786.7</v>
      </c>
      <c r="R16" s="18" t="n">
        <v>2698.34</v>
      </c>
      <c r="U16" s="9" t="n"/>
      <c r="Z16" s="9" t="n"/>
      <c r="AB16" s="19" t="n">
        <v>825.6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15761.03</v>
      </c>
      <c r="F17" s="37" t="n">
        <v>15761.03</v>
      </c>
      <c r="G17" s="18" t="n">
        <v>15761.03</v>
      </c>
      <c r="H17" s="18" t="n">
        <v>15761.03</v>
      </c>
      <c r="I17" s="18" t="n">
        <v>15761.03</v>
      </c>
      <c r="J17" s="18" t="n">
        <v>8705.629999999999</v>
      </c>
      <c r="K17" s="37" t="n">
        <v>8705.629999999999</v>
      </c>
      <c r="L17" s="18" t="n">
        <v>8705.629999999999</v>
      </c>
      <c r="M17" s="18" t="n">
        <v>8705.629999999999</v>
      </c>
      <c r="N17" s="18" t="n">
        <v>8705.629999999999</v>
      </c>
      <c r="O17" s="18" t="n">
        <v>8705.629999999999</v>
      </c>
      <c r="P17" s="37" t="n">
        <v>8705.629999999999</v>
      </c>
      <c r="Q17" s="18" t="n">
        <v>8705.629999999999</v>
      </c>
      <c r="R17" s="18" t="n">
        <v>8705.629999999999</v>
      </c>
      <c r="S17" s="18" t="n">
        <v>8705.629999999999</v>
      </c>
      <c r="T17" s="18" t="n">
        <v>8705.629999999999</v>
      </c>
      <c r="U17" s="37" t="n">
        <v>8705.629999999999</v>
      </c>
      <c r="V17" s="18" t="n">
        <v>8705.629999999999</v>
      </c>
      <c r="W17" s="18" t="n">
        <v>8705.629999999999</v>
      </c>
      <c r="X17" s="18" t="n">
        <v>8705.629999999999</v>
      </c>
      <c r="Y17" s="18" t="n">
        <v>98072.66</v>
      </c>
      <c r="Z17" s="37" t="n">
        <v>98072.66</v>
      </c>
      <c r="AA17" s="18" t="n">
        <v>98072.66</v>
      </c>
      <c r="AB17" s="19" t="n">
        <v>98072.66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23625.95</v>
      </c>
      <c r="F18" s="37" t="n">
        <v>23625.95</v>
      </c>
      <c r="G18" s="18" t="n">
        <v>23326.02</v>
      </c>
      <c r="H18" s="18" t="n">
        <v>23886.87</v>
      </c>
      <c r="I18" s="18" t="n">
        <v>24525.42</v>
      </c>
      <c r="J18" s="18" t="n">
        <v>24608.42</v>
      </c>
      <c r="K18" s="37" t="n">
        <v>24608.42</v>
      </c>
      <c r="L18" s="18" t="n">
        <v>24637.31</v>
      </c>
      <c r="M18" s="18" t="n">
        <v>24507.21</v>
      </c>
      <c r="N18" s="18" t="n">
        <v>24620</v>
      </c>
      <c r="O18" s="18" t="n">
        <v>25011.63</v>
      </c>
      <c r="P18" s="37" t="n">
        <v>25011.63</v>
      </c>
      <c r="Q18" s="18" t="n">
        <v>24981.44</v>
      </c>
      <c r="R18" s="18" t="n">
        <v>24973.78</v>
      </c>
      <c r="S18" s="18" t="n">
        <v>24772.32</v>
      </c>
      <c r="T18" s="18" t="n">
        <v>24698.02</v>
      </c>
      <c r="U18" s="37" t="n">
        <v>24698.02</v>
      </c>
      <c r="V18" s="18" t="n">
        <v>24738.69</v>
      </c>
      <c r="W18" s="18" t="n">
        <v>24598.42</v>
      </c>
      <c r="X18" s="18" t="n">
        <v>24352.45</v>
      </c>
      <c r="Y18" s="18" t="n">
        <v>24028.44</v>
      </c>
      <c r="Z18" s="37" t="n">
        <v>24028.44</v>
      </c>
      <c r="AA18" s="18" t="n">
        <v>23415.6</v>
      </c>
      <c r="AB18" s="19" t="n">
        <v>23172.14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사용권자산</t>
        </is>
      </c>
      <c r="E19" s="18" t="n">
        <v>116.77</v>
      </c>
      <c r="F19" s="37" t="n">
        <v>116.77</v>
      </c>
      <c r="G19" s="18" t="n">
        <v>103.24</v>
      </c>
      <c r="H19" s="18" t="n">
        <v>89.70999999999999</v>
      </c>
      <c r="I19" s="18" t="n">
        <v>76.18000000000001</v>
      </c>
      <c r="J19" s="18" t="n">
        <v>93.94</v>
      </c>
      <c r="K19" s="37" t="n">
        <v>93.94</v>
      </c>
      <c r="L19" s="18" t="n">
        <v>77.56</v>
      </c>
      <c r="M19" s="18" t="n">
        <v>61.19</v>
      </c>
      <c r="N19" s="18" t="n">
        <v>44.81</v>
      </c>
      <c r="O19" s="18" t="n">
        <v>28.43</v>
      </c>
      <c r="P19" s="37" t="n">
        <v>28.43</v>
      </c>
      <c r="Q19" s="18" t="n">
        <v>97.12</v>
      </c>
      <c r="R19" s="18" t="n">
        <v>89.42</v>
      </c>
      <c r="S19" s="18" t="n">
        <v>79.3</v>
      </c>
      <c r="T19" s="18" t="n">
        <v>69.18000000000001</v>
      </c>
      <c r="U19" s="37" t="n">
        <v>69.18000000000001</v>
      </c>
      <c r="V19" s="18" t="n">
        <v>59.06</v>
      </c>
      <c r="W19" s="18" t="n">
        <v>48.93</v>
      </c>
      <c r="X19" s="18" t="n">
        <v>50.6</v>
      </c>
      <c r="Y19" s="18" t="n">
        <v>40.38</v>
      </c>
      <c r="Z19" s="37" t="n">
        <v>40.38</v>
      </c>
      <c r="AA19" s="18" t="n">
        <v>30.15</v>
      </c>
      <c r="AB19" s="19" t="n">
        <v>68.81999999999999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기타비유동자산</t>
        </is>
      </c>
      <c r="E20" s="18" t="n">
        <v>116.77</v>
      </c>
      <c r="F20" s="37" t="n">
        <v>116.77</v>
      </c>
      <c r="G20" s="18" t="n">
        <v>103.24</v>
      </c>
      <c r="H20" s="18" t="n">
        <v>89.70999999999999</v>
      </c>
      <c r="I20" s="18" t="n">
        <v>76.18000000000001</v>
      </c>
      <c r="J20" s="18" t="n">
        <v>93.94</v>
      </c>
      <c r="K20" s="37" t="n">
        <v>93.94</v>
      </c>
      <c r="L20" s="18" t="n">
        <v>77.56</v>
      </c>
      <c r="M20" s="18" t="n">
        <v>61.19</v>
      </c>
      <c r="N20" s="18" t="n">
        <v>44.81</v>
      </c>
      <c r="O20" s="18" t="n">
        <v>28.43</v>
      </c>
      <c r="P20" s="37" t="n">
        <v>28.43</v>
      </c>
      <c r="Q20" s="18" t="n">
        <v>97.12</v>
      </c>
      <c r="R20" s="18" t="n">
        <v>89.42</v>
      </c>
      <c r="S20" s="18" t="n">
        <v>79.3</v>
      </c>
      <c r="T20" s="18" t="n">
        <v>69.18000000000001</v>
      </c>
      <c r="U20" s="37" t="n">
        <v>69.18000000000001</v>
      </c>
      <c r="V20" s="18" t="n">
        <v>59.06</v>
      </c>
      <c r="W20" s="18" t="n">
        <v>48.93</v>
      </c>
      <c r="X20" s="18" t="n">
        <v>50.6</v>
      </c>
      <c r="Y20" s="18" t="n">
        <v>40.38</v>
      </c>
      <c r="Z20" s="37" t="n">
        <v>40.38</v>
      </c>
      <c r="AA20" s="18" t="n">
        <v>30.15</v>
      </c>
      <c r="AB20" s="19" t="n">
        <v>68.81999999999999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18" t="n">
        <v>317.53</v>
      </c>
      <c r="F21" s="37" t="n">
        <v>317.53</v>
      </c>
      <c r="G21" s="18" t="n">
        <v>317.53</v>
      </c>
      <c r="H21" s="18" t="n">
        <v>317.53</v>
      </c>
      <c r="I21" s="18" t="n">
        <v>558.89</v>
      </c>
      <c r="J21" s="18" t="n">
        <v>549.95</v>
      </c>
      <c r="K21" s="37" t="n">
        <v>549.95</v>
      </c>
      <c r="L21" s="18" t="n">
        <v>541.01</v>
      </c>
      <c r="M21" s="18" t="n">
        <v>532.0700000000001</v>
      </c>
      <c r="N21" s="18" t="n">
        <v>523.13</v>
      </c>
      <c r="O21" s="18" t="n">
        <v>512.1900000000001</v>
      </c>
      <c r="P21" s="37" t="n">
        <v>512.1900000000001</v>
      </c>
      <c r="Q21" s="18" t="n">
        <v>503.26</v>
      </c>
      <c r="R21" s="18" t="n">
        <v>417.55</v>
      </c>
      <c r="S21" s="18" t="n">
        <v>408.61</v>
      </c>
      <c r="T21" s="18" t="n">
        <v>1104.67</v>
      </c>
      <c r="U21" s="37" t="n">
        <v>1104.67</v>
      </c>
      <c r="V21" s="18" t="n">
        <v>1097.46</v>
      </c>
      <c r="W21" s="18" t="n">
        <v>1111.67</v>
      </c>
      <c r="X21" s="18" t="n">
        <v>1108.36</v>
      </c>
      <c r="Y21" s="18" t="n">
        <v>1203.77</v>
      </c>
      <c r="Z21" s="37" t="n">
        <v>1203.77</v>
      </c>
      <c r="AA21" s="18" t="n">
        <v>1201.48</v>
      </c>
      <c r="AB21" s="19" t="n">
        <v>1032.77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투자부동산</t>
        </is>
      </c>
      <c r="E22" s="18" t="n">
        <v>1951.11</v>
      </c>
      <c r="F22" s="37" t="n">
        <v>1951.11</v>
      </c>
      <c r="G22" s="18" t="n">
        <v>1942.48</v>
      </c>
      <c r="H22" s="18" t="n">
        <v>1933.85</v>
      </c>
      <c r="I22" s="18" t="n">
        <v>1925.22</v>
      </c>
      <c r="J22" s="18" t="n">
        <v>1916.6</v>
      </c>
      <c r="K22" s="37" t="n">
        <v>1916.6</v>
      </c>
      <c r="L22" s="18" t="n">
        <v>1907.97</v>
      </c>
      <c r="M22" s="18" t="n">
        <v>1899.34</v>
      </c>
      <c r="N22" s="18" t="n">
        <v>1890.71</v>
      </c>
      <c r="O22" s="18" t="n">
        <v>1882.08</v>
      </c>
      <c r="P22" s="37" t="n">
        <v>1882.08</v>
      </c>
      <c r="Q22" s="18" t="n">
        <v>1873.45</v>
      </c>
      <c r="R22" s="18" t="n">
        <v>1864.82</v>
      </c>
      <c r="S22" s="18" t="n">
        <v>1856.19</v>
      </c>
      <c r="T22" s="18" t="n">
        <v>1847.57</v>
      </c>
      <c r="U22" s="37" t="n">
        <v>1847.57</v>
      </c>
      <c r="V22" s="18" t="n">
        <v>1838.94</v>
      </c>
      <c r="W22" s="18" t="n">
        <v>1830.31</v>
      </c>
      <c r="X22" s="18" t="n">
        <v>1821.68</v>
      </c>
      <c r="Y22" s="18" t="n">
        <v>1813.05</v>
      </c>
      <c r="Z22" s="37" t="n">
        <v>1813.05</v>
      </c>
      <c r="AA22" s="18" t="n">
        <v>1804.42</v>
      </c>
      <c r="AB22" s="19" t="n">
        <v>1795.79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이연법인세자산</t>
        </is>
      </c>
      <c r="E23" s="18" t="n">
        <v>141.66</v>
      </c>
      <c r="F23" s="37" t="n">
        <v>141.66</v>
      </c>
      <c r="G23" s="18" t="n">
        <v>262.74</v>
      </c>
      <c r="H23" s="18" t="n">
        <v>1039.93</v>
      </c>
      <c r="I23" s="18" t="n">
        <v>2207.51</v>
      </c>
      <c r="J23" s="18" t="n">
        <v>2056.18</v>
      </c>
      <c r="K23" s="37" t="n">
        <v>2056.18</v>
      </c>
      <c r="L23" s="18" t="n">
        <v>1816.82</v>
      </c>
      <c r="M23" s="18" t="n">
        <v>1915.06</v>
      </c>
      <c r="N23" s="18" t="n">
        <v>2185.8</v>
      </c>
      <c r="O23" s="18" t="n">
        <v>2037.2</v>
      </c>
      <c r="P23" s="37" t="n">
        <v>2037.2</v>
      </c>
      <c r="Q23" s="18" t="n">
        <v>2037.2</v>
      </c>
      <c r="R23" s="18" t="n">
        <v>2617.71</v>
      </c>
      <c r="S23" s="18" t="n">
        <v>2894.42</v>
      </c>
      <c r="T23" s="18" t="n">
        <v>1678.2</v>
      </c>
      <c r="U23" s="37" t="n">
        <v>1678.2</v>
      </c>
      <c r="V23" s="18" t="n">
        <v>1308.5</v>
      </c>
      <c r="W23" s="18" t="n">
        <v>927.17</v>
      </c>
      <c r="X23" s="18" t="n">
        <v>666.49</v>
      </c>
      <c r="Y23" s="18" t="n">
        <v>1607.99</v>
      </c>
      <c r="Z23" s="37" t="n">
        <v>1607.99</v>
      </c>
      <c r="AA23" s="18" t="n">
        <v>1710.86</v>
      </c>
      <c r="AB23" s="19" t="n">
        <v>227.04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자산총계</t>
        </is>
      </c>
      <c r="E24" s="18" t="n">
        <v>105975.26</v>
      </c>
      <c r="F24" s="37" t="n">
        <v>105975.26</v>
      </c>
      <c r="G24" s="18" t="n">
        <v>107873.43</v>
      </c>
      <c r="H24" s="18" t="n">
        <v>105649.69</v>
      </c>
      <c r="I24" s="18" t="n">
        <v>102582.86</v>
      </c>
      <c r="J24" s="18" t="n">
        <v>94798.63</v>
      </c>
      <c r="K24" s="37" t="n">
        <v>94798.63</v>
      </c>
      <c r="L24" s="18" t="n">
        <v>95972.55</v>
      </c>
      <c r="M24" s="18" t="n">
        <v>98377.33</v>
      </c>
      <c r="N24" s="18" t="n">
        <v>99435.03999999999</v>
      </c>
      <c r="O24" s="18" t="n">
        <v>102046.87</v>
      </c>
      <c r="P24" s="37" t="n">
        <v>102046.87</v>
      </c>
      <c r="Q24" s="18" t="n">
        <v>103518.8</v>
      </c>
      <c r="R24" s="18" t="n">
        <v>96197.42999999999</v>
      </c>
      <c r="S24" s="18" t="n">
        <v>103700.1</v>
      </c>
      <c r="T24" s="18" t="n">
        <v>102068.61</v>
      </c>
      <c r="U24" s="37" t="n">
        <v>102068.61</v>
      </c>
      <c r="V24" s="18" t="n">
        <v>113370.66</v>
      </c>
      <c r="W24" s="18" t="n">
        <v>105779.33</v>
      </c>
      <c r="X24" s="18" t="n">
        <v>129043.14</v>
      </c>
      <c r="Y24" s="18" t="n">
        <v>182106.04</v>
      </c>
      <c r="Z24" s="37" t="n">
        <v>182106.04</v>
      </c>
      <c r="AA24" s="18" t="n">
        <v>190420.64</v>
      </c>
      <c r="AB24" s="19" t="n">
        <v>193361.44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유동부채</t>
        </is>
      </c>
      <c r="E25" s="18" t="n">
        <v>29656</v>
      </c>
      <c r="F25" s="37" t="n">
        <v>29656</v>
      </c>
      <c r="G25" s="18" t="n">
        <v>32651.42</v>
      </c>
      <c r="H25" s="18" t="n">
        <v>32383.2</v>
      </c>
      <c r="I25" s="18" t="n">
        <v>32640.41</v>
      </c>
      <c r="J25" s="18" t="n">
        <v>31727.71</v>
      </c>
      <c r="K25" s="37" t="n">
        <v>31727.71</v>
      </c>
      <c r="L25" s="18" t="n">
        <v>32067.51</v>
      </c>
      <c r="M25" s="18" t="n">
        <v>32933.9</v>
      </c>
      <c r="N25" s="18" t="n">
        <v>33299.71</v>
      </c>
      <c r="O25" s="18" t="n">
        <v>35626.43</v>
      </c>
      <c r="P25" s="37" t="n">
        <v>35626.43</v>
      </c>
      <c r="Q25" s="18" t="n">
        <v>37302.69</v>
      </c>
      <c r="R25" s="18" t="n">
        <v>29746.85</v>
      </c>
      <c r="S25" s="18" t="n">
        <v>34876.07</v>
      </c>
      <c r="T25" s="18" t="n">
        <v>32120.67</v>
      </c>
      <c r="U25" s="37" t="n">
        <v>32120.67</v>
      </c>
      <c r="V25" s="18" t="n">
        <v>42756.5</v>
      </c>
      <c r="W25" s="18" t="n">
        <v>31884.1</v>
      </c>
      <c r="X25" s="18" t="n">
        <v>53471.84</v>
      </c>
      <c r="Y25" s="18" t="n">
        <v>78968.45</v>
      </c>
      <c r="Z25" s="37" t="n">
        <v>78968.45</v>
      </c>
      <c r="AA25" s="18" t="n">
        <v>88291.91</v>
      </c>
      <c r="AB25" s="19" t="n">
        <v>89174.87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매입채무및기타채무</t>
        </is>
      </c>
      <c r="E26" s="18" t="n">
        <v>6515.92</v>
      </c>
      <c r="F26" s="37" t="n">
        <v>6515.92</v>
      </c>
      <c r="G26" s="18" t="n">
        <v>7636.24</v>
      </c>
      <c r="H26" s="18" t="n">
        <v>6356.84</v>
      </c>
      <c r="I26" s="18" t="n">
        <v>6960</v>
      </c>
      <c r="J26" s="18" t="n">
        <v>6843.81</v>
      </c>
      <c r="K26" s="37" t="n">
        <v>6843.81</v>
      </c>
      <c r="L26" s="18" t="n">
        <v>6613.77</v>
      </c>
      <c r="M26" s="18" t="n">
        <v>7268.89</v>
      </c>
      <c r="N26" s="18" t="n">
        <v>6736.02</v>
      </c>
      <c r="O26" s="18" t="n">
        <v>8126.95</v>
      </c>
      <c r="P26" s="37" t="n">
        <v>8126.95</v>
      </c>
      <c r="Q26" s="18" t="n">
        <v>10821.45</v>
      </c>
      <c r="R26" s="18" t="n">
        <v>7359.1</v>
      </c>
      <c r="S26" s="18" t="n">
        <v>8393.790000000001</v>
      </c>
      <c r="T26" s="18" t="n">
        <v>9583.68</v>
      </c>
      <c r="U26" s="37" t="n">
        <v>9583.68</v>
      </c>
      <c r="V26" s="18" t="n">
        <v>9956.389999999999</v>
      </c>
      <c r="W26" s="18" t="n">
        <v>6985.24</v>
      </c>
      <c r="X26" s="18" t="n">
        <v>7883</v>
      </c>
      <c r="Y26" s="18" t="n">
        <v>11541.67</v>
      </c>
      <c r="Z26" s="37" t="n">
        <v>11541.67</v>
      </c>
      <c r="AA26" s="18" t="n">
        <v>10342.09</v>
      </c>
      <c r="AB26" s="19" t="n">
        <v>11462.54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단기차입금</t>
        </is>
      </c>
      <c r="E27" s="18" t="n">
        <v>20000</v>
      </c>
      <c r="F27" s="37" t="n">
        <v>20000</v>
      </c>
      <c r="G27" s="18" t="n">
        <v>20000</v>
      </c>
      <c r="H27" s="18" t="n">
        <v>20000</v>
      </c>
      <c r="I27" s="18" t="n">
        <v>20000</v>
      </c>
      <c r="J27" s="18" t="n">
        <v>20000</v>
      </c>
      <c r="K27" s="37" t="n">
        <v>20000</v>
      </c>
      <c r="L27" s="18" t="n">
        <v>20000</v>
      </c>
      <c r="M27" s="18" t="n">
        <v>20000</v>
      </c>
      <c r="N27" s="18" t="n">
        <v>21500</v>
      </c>
      <c r="O27" s="18" t="n">
        <v>21500</v>
      </c>
      <c r="P27" s="37" t="n">
        <v>21500</v>
      </c>
      <c r="Q27" s="18" t="n">
        <v>15500</v>
      </c>
      <c r="R27" s="18" t="n">
        <v>10000</v>
      </c>
      <c r="S27" s="18" t="n">
        <v>12500</v>
      </c>
      <c r="T27" s="18" t="n">
        <v>12500</v>
      </c>
      <c r="U27" s="37" t="n">
        <v>12500</v>
      </c>
      <c r="V27" s="18" t="n">
        <v>19500</v>
      </c>
      <c r="W27" s="18" t="n">
        <v>11500</v>
      </c>
      <c r="X27" s="18" t="n">
        <v>32500</v>
      </c>
      <c r="Y27" s="18" t="n">
        <v>47640.06</v>
      </c>
      <c r="Z27" s="37" t="n">
        <v>47640.06</v>
      </c>
      <c r="AA27" s="18" t="n">
        <v>52506.33</v>
      </c>
      <c r="AB27" s="19" t="n">
        <v>54380.26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유동성장기부채</t>
        </is>
      </c>
      <c r="E28" s="18" t="n">
        <v>513.52</v>
      </c>
      <c r="F28" s="37" t="n">
        <v>513.52</v>
      </c>
      <c r="G28" s="18" t="n">
        <v>13.52</v>
      </c>
      <c r="H28" s="18" t="n">
        <v>13.52</v>
      </c>
      <c r="I28" s="18" t="n">
        <v>1513.52</v>
      </c>
      <c r="J28" s="18" t="n">
        <v>1500</v>
      </c>
      <c r="K28" s="37" t="n">
        <v>1500</v>
      </c>
      <c r="L28" s="18" t="n">
        <v>1500</v>
      </c>
      <c r="M28" s="18" t="n">
        <v>1500</v>
      </c>
      <c r="N28" s="18" t="n">
        <v>0</v>
      </c>
      <c r="P28" s="9" t="n"/>
      <c r="Q28" s="18" t="n">
        <v>0</v>
      </c>
      <c r="R28" s="18" t="n">
        <v>500</v>
      </c>
      <c r="S28" s="18" t="n">
        <v>500</v>
      </c>
      <c r="T28" s="18" t="n">
        <v>500</v>
      </c>
      <c r="U28" s="37" t="n">
        <v>500</v>
      </c>
      <c r="V28" s="18" t="n">
        <v>0</v>
      </c>
      <c r="X28" s="18" t="n">
        <v>0</v>
      </c>
      <c r="Z28" s="9" t="n"/>
      <c r="AA28" s="18" t="n">
        <v>0</v>
      </c>
      <c r="AB28" s="19" t="n">
        <v>1000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단기파생상품부채</t>
        </is>
      </c>
      <c r="E29" s="18" t="n">
        <v>61.47</v>
      </c>
      <c r="F29" s="37" t="n">
        <v>61.47</v>
      </c>
      <c r="G29" s="18" t="n">
        <v>136.66</v>
      </c>
      <c r="H29" s="18" t="n">
        <v>282.81</v>
      </c>
      <c r="I29" s="18" t="n">
        <v>0</v>
      </c>
      <c r="J29" s="18" t="n">
        <v>0</v>
      </c>
      <c r="K29" s="37" t="n">
        <v>0</v>
      </c>
      <c r="L29" s="18" t="n">
        <v>218.87</v>
      </c>
      <c r="M29" s="18" t="n">
        <v>175.29</v>
      </c>
      <c r="N29" s="18" t="n">
        <v>182.79</v>
      </c>
      <c r="O29" s="18" t="n">
        <v>77.14</v>
      </c>
      <c r="P29" s="37" t="n">
        <v>77.14</v>
      </c>
      <c r="Q29" s="18" t="n">
        <v>396.24</v>
      </c>
      <c r="R29" s="18" t="n">
        <v>606.55</v>
      </c>
      <c r="S29" s="18" t="n">
        <v>217.35</v>
      </c>
      <c r="T29" s="18" t="n">
        <v>753.5</v>
      </c>
      <c r="U29" s="37" t="n">
        <v>753.5</v>
      </c>
      <c r="V29" s="18" t="n">
        <v>732.74</v>
      </c>
      <c r="W29" s="18" t="n">
        <v>362.11</v>
      </c>
      <c r="X29" s="18" t="n">
        <v>775.53</v>
      </c>
      <c r="Y29" s="18" t="n">
        <v>5752.36</v>
      </c>
      <c r="Z29" s="37" t="n">
        <v>5752.36</v>
      </c>
      <c r="AA29" s="18" t="n">
        <v>6059.21</v>
      </c>
      <c r="AB29" s="19" t="n">
        <v>2381.09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단기금융부채</t>
        </is>
      </c>
      <c r="E30" s="18" t="n">
        <v>114.81</v>
      </c>
      <c r="F30" s="37" t="n">
        <v>114.81</v>
      </c>
      <c r="G30" s="18" t="n">
        <v>190.17</v>
      </c>
      <c r="H30" s="18" t="n">
        <v>336.5</v>
      </c>
      <c r="I30" s="18" t="n">
        <v>53.87</v>
      </c>
      <c r="J30" s="18" t="n">
        <v>65.16</v>
      </c>
      <c r="K30" s="37" t="n">
        <v>65.16</v>
      </c>
      <c r="L30" s="18" t="n">
        <v>279.29</v>
      </c>
      <c r="M30" s="18" t="n">
        <v>222.31</v>
      </c>
      <c r="N30" s="18" t="n">
        <v>216.36</v>
      </c>
      <c r="O30" s="18" t="n">
        <v>97.23</v>
      </c>
      <c r="P30" s="37" t="n">
        <v>97.23</v>
      </c>
      <c r="Q30" s="18" t="n">
        <v>435.8</v>
      </c>
      <c r="R30" s="18" t="n">
        <v>646.52</v>
      </c>
      <c r="S30" s="18" t="n">
        <v>257.74</v>
      </c>
      <c r="T30" s="18" t="n">
        <v>791.98</v>
      </c>
      <c r="U30" s="37" t="n">
        <v>791.98</v>
      </c>
      <c r="V30" s="18" t="n">
        <v>768.63</v>
      </c>
      <c r="W30" s="18" t="n">
        <v>395.39</v>
      </c>
      <c r="X30" s="18" t="n">
        <v>816.73</v>
      </c>
      <c r="Y30" s="18" t="n">
        <v>5791.74</v>
      </c>
      <c r="Z30" s="37" t="n">
        <v>5791.74</v>
      </c>
      <c r="AA30" s="18" t="n">
        <v>6090.94</v>
      </c>
      <c r="AB30" s="19" t="n">
        <v>2421.76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단기충당부채</t>
        </is>
      </c>
      <c r="E31" s="18" t="n">
        <v>221.46</v>
      </c>
      <c r="F31" s="37" t="n">
        <v>221.46</v>
      </c>
      <c r="G31" s="18" t="n">
        <v>199.47</v>
      </c>
      <c r="H31" s="18" t="n">
        <v>198.44</v>
      </c>
      <c r="I31" s="18" t="n">
        <v>1682.99</v>
      </c>
      <c r="J31" s="18" t="n">
        <v>1696.88</v>
      </c>
      <c r="K31" s="37" t="n">
        <v>1696.88</v>
      </c>
      <c r="L31" s="18" t="n">
        <v>1532.68</v>
      </c>
      <c r="M31" s="18" t="n">
        <v>1573.66</v>
      </c>
      <c r="N31" s="18" t="n">
        <v>1605.79</v>
      </c>
      <c r="O31" s="18" t="n">
        <v>1584</v>
      </c>
      <c r="P31" s="37" t="n">
        <v>1584</v>
      </c>
      <c r="Q31" s="18" t="n">
        <v>1492.11</v>
      </c>
      <c r="R31" s="18" t="n">
        <v>3659.61</v>
      </c>
      <c r="S31" s="18" t="n">
        <v>3712.34</v>
      </c>
      <c r="T31" s="18" t="n">
        <v>1610.17</v>
      </c>
      <c r="U31" s="37" t="n">
        <v>1610.17</v>
      </c>
      <c r="V31" s="18" t="n">
        <v>1433.01</v>
      </c>
      <c r="W31" s="18" t="n">
        <v>1501.87</v>
      </c>
      <c r="X31" s="18" t="n">
        <v>1525.84</v>
      </c>
      <c r="Y31" s="18" t="n">
        <v>1543.17</v>
      </c>
      <c r="Z31" s="37" t="n">
        <v>1543.17</v>
      </c>
      <c r="AA31" s="18" t="n">
        <v>1603.14</v>
      </c>
      <c r="AB31" s="19" t="n">
        <v>1487.59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유동리스부채</t>
        </is>
      </c>
      <c r="E32" s="18" t="n">
        <v>53.34</v>
      </c>
      <c r="F32" s="37" t="n">
        <v>53.34</v>
      </c>
      <c r="G32" s="18" t="n">
        <v>53.51</v>
      </c>
      <c r="H32" s="18" t="n">
        <v>53.69</v>
      </c>
      <c r="I32" s="18" t="n">
        <v>53.87</v>
      </c>
      <c r="J32" s="18" t="n">
        <v>65.16</v>
      </c>
      <c r="K32" s="37" t="n">
        <v>65.16</v>
      </c>
      <c r="L32" s="18" t="n">
        <v>60.42</v>
      </c>
      <c r="M32" s="18" t="n">
        <v>47.02</v>
      </c>
      <c r="N32" s="18" t="n">
        <v>33.57</v>
      </c>
      <c r="O32" s="18" t="n">
        <v>20.09</v>
      </c>
      <c r="P32" s="37" t="n">
        <v>20.09</v>
      </c>
      <c r="Q32" s="18" t="n">
        <v>39.56</v>
      </c>
      <c r="R32" s="18" t="n">
        <v>39.97</v>
      </c>
      <c r="S32" s="18" t="n">
        <v>40.39</v>
      </c>
      <c r="T32" s="18" t="n">
        <v>38.48</v>
      </c>
      <c r="U32" s="37" t="n">
        <v>38.48</v>
      </c>
      <c r="V32" s="18" t="n">
        <v>35.89</v>
      </c>
      <c r="W32" s="18" t="n">
        <v>33.28</v>
      </c>
      <c r="X32" s="18" t="n">
        <v>41.2</v>
      </c>
      <c r="Y32" s="18" t="n">
        <v>39.38</v>
      </c>
      <c r="Z32" s="37" t="n">
        <v>39.38</v>
      </c>
      <c r="AA32" s="18" t="n">
        <v>31.73</v>
      </c>
      <c r="AB32" s="19" t="n">
        <v>40.67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리스부채</t>
        </is>
      </c>
      <c r="E33" s="18" t="n">
        <v>116</v>
      </c>
      <c r="F33" s="37" t="n">
        <v>116</v>
      </c>
      <c r="G33" s="18" t="n">
        <v>102.73</v>
      </c>
      <c r="H33" s="18" t="n">
        <v>89.42</v>
      </c>
      <c r="I33" s="18" t="n">
        <v>76.06999999999999</v>
      </c>
      <c r="J33" s="18" t="n">
        <v>94.75</v>
      </c>
      <c r="K33" s="37" t="n">
        <v>94.75</v>
      </c>
      <c r="L33" s="18" t="n">
        <v>78.56</v>
      </c>
      <c r="M33" s="18" t="n">
        <v>62.3</v>
      </c>
      <c r="N33" s="18" t="n">
        <v>45.97</v>
      </c>
      <c r="O33" s="18" t="n">
        <v>29.59</v>
      </c>
      <c r="P33" s="37" t="n">
        <v>29.59</v>
      </c>
      <c r="Q33" s="18" t="n">
        <v>100.92</v>
      </c>
      <c r="R33" s="18" t="n">
        <v>91.18000000000001</v>
      </c>
      <c r="S33" s="18" t="n">
        <v>81.34</v>
      </c>
      <c r="T33" s="18" t="n">
        <v>71.40000000000001</v>
      </c>
      <c r="U33" s="37" t="n">
        <v>71.40000000000001</v>
      </c>
      <c r="V33" s="18" t="n">
        <v>61.35</v>
      </c>
      <c r="W33" s="18" t="n">
        <v>51.21</v>
      </c>
      <c r="X33" s="18" t="n">
        <v>52.14</v>
      </c>
      <c r="Y33" s="18" t="n">
        <v>41.97</v>
      </c>
      <c r="Z33" s="37" t="n">
        <v>41.97</v>
      </c>
      <c r="AA33" s="18" t="n">
        <v>31.73</v>
      </c>
      <c r="AB33" s="19" t="n">
        <v>70.61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당기법인세부채(미지급법인세)</t>
        </is>
      </c>
      <c r="E34" s="18" t="n">
        <v>21.25</v>
      </c>
      <c r="F34" s="37" t="n">
        <v>21.25</v>
      </c>
      <c r="G34" s="18" t="n">
        <v>38.46</v>
      </c>
      <c r="H34" s="18" t="n">
        <v>27.55</v>
      </c>
      <c r="I34" s="18" t="n">
        <v>0</v>
      </c>
      <c r="J34" s="18" t="n">
        <v>0</v>
      </c>
      <c r="K34" s="37" t="n">
        <v>0</v>
      </c>
      <c r="L34" s="18" t="n">
        <v>119.59</v>
      </c>
      <c r="M34" s="18" t="n">
        <v>392.51</v>
      </c>
      <c r="N34" s="18" t="n">
        <v>777.75</v>
      </c>
      <c r="O34" s="18" t="n">
        <v>0</v>
      </c>
      <c r="P34" s="37" t="n">
        <v>0</v>
      </c>
      <c r="Q34" s="18" t="n">
        <v>199.25</v>
      </c>
      <c r="R34" s="18" t="n">
        <v>904.73</v>
      </c>
      <c r="S34" s="18" t="n">
        <v>1524.7</v>
      </c>
      <c r="T34" s="18" t="n">
        <v>80.73</v>
      </c>
      <c r="U34" s="37" t="n">
        <v>80.73</v>
      </c>
      <c r="V34" s="18" t="n">
        <v>145.58</v>
      </c>
      <c r="W34" s="18" t="n">
        <v>337.46</v>
      </c>
      <c r="X34" s="18" t="n">
        <v>561.35</v>
      </c>
      <c r="Y34" s="18" t="n">
        <v>2475.37</v>
      </c>
      <c r="Z34" s="37" t="n">
        <v>2475.37</v>
      </c>
      <c r="AA34" s="18" t="n">
        <v>2841.42</v>
      </c>
      <c r="AB34" s="19" t="n">
        <v>558.86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기타유동부채</t>
        </is>
      </c>
      <c r="E35" s="18" t="n">
        <v>2269.04</v>
      </c>
      <c r="F35" s="37" t="n">
        <v>2269.04</v>
      </c>
      <c r="G35" s="18" t="n">
        <v>4573.57</v>
      </c>
      <c r="H35" s="18" t="n">
        <v>5450.34</v>
      </c>
      <c r="I35" s="18" t="n">
        <v>2430.03</v>
      </c>
      <c r="J35" s="18" t="n">
        <v>1621.85</v>
      </c>
      <c r="K35" s="37" t="n">
        <v>1621.85</v>
      </c>
      <c r="L35" s="18" t="n">
        <v>2022.18</v>
      </c>
      <c r="M35" s="18" t="n">
        <v>1976.53</v>
      </c>
      <c r="N35" s="18" t="n">
        <v>2463.79</v>
      </c>
      <c r="O35" s="18" t="n">
        <v>4318.26</v>
      </c>
      <c r="P35" s="37" t="n">
        <v>4318.26</v>
      </c>
      <c r="Q35" s="18" t="n">
        <v>8854.07</v>
      </c>
      <c r="R35" s="18" t="n">
        <v>6676.89</v>
      </c>
      <c r="S35" s="18" t="n">
        <v>7987.51</v>
      </c>
      <c r="T35" s="18" t="n">
        <v>7054.12</v>
      </c>
      <c r="U35" s="37" t="n">
        <v>7054.12</v>
      </c>
      <c r="V35" s="18" t="n">
        <v>10952.89</v>
      </c>
      <c r="W35" s="18" t="n">
        <v>11164.15</v>
      </c>
      <c r="X35" s="18" t="n">
        <v>10184.92</v>
      </c>
      <c r="Y35" s="18" t="n">
        <v>9976.450000000001</v>
      </c>
      <c r="Z35" s="37" t="n">
        <v>9976.450000000001</v>
      </c>
      <c r="AA35" s="18" t="n">
        <v>14907.99</v>
      </c>
      <c r="AB35" s="19" t="n">
        <v>17863.87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비유동부채</t>
        </is>
      </c>
      <c r="E36" s="18" t="n">
        <v>1903.13</v>
      </c>
      <c r="F36" s="37" t="n">
        <v>1903.13</v>
      </c>
      <c r="G36" s="18" t="n">
        <v>1939.19</v>
      </c>
      <c r="H36" s="18" t="n">
        <v>2598.06</v>
      </c>
      <c r="I36" s="18" t="n">
        <v>1272.26</v>
      </c>
      <c r="J36" s="18" t="n">
        <v>850.62</v>
      </c>
      <c r="K36" s="37" t="n">
        <v>850.62</v>
      </c>
      <c r="L36" s="18" t="n">
        <v>844.24</v>
      </c>
      <c r="M36" s="18" t="n">
        <v>1465.51</v>
      </c>
      <c r="N36" s="18" t="n">
        <v>1608.33</v>
      </c>
      <c r="O36" s="18" t="n">
        <v>873.98</v>
      </c>
      <c r="P36" s="37" t="n">
        <v>873.98</v>
      </c>
      <c r="Q36" s="18" t="n">
        <v>942.47</v>
      </c>
      <c r="R36" s="18" t="n">
        <v>449.07</v>
      </c>
      <c r="S36" s="18" t="n">
        <v>455.26</v>
      </c>
      <c r="T36" s="18" t="n">
        <v>393.33</v>
      </c>
      <c r="U36" s="37" t="n">
        <v>393.33</v>
      </c>
      <c r="V36" s="18" t="n">
        <v>1399.19</v>
      </c>
      <c r="W36" s="18" t="n">
        <v>2406.46</v>
      </c>
      <c r="X36" s="18" t="n">
        <v>2413.78</v>
      </c>
      <c r="Y36" s="18" t="n">
        <v>17614.19</v>
      </c>
      <c r="Z36" s="37" t="n">
        <v>17614.19</v>
      </c>
      <c r="AA36" s="18" t="n">
        <v>17844.37</v>
      </c>
      <c r="AB36" s="19" t="n">
        <v>18191.78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장기매입채무및기타채무</t>
        </is>
      </c>
      <c r="E37" s="18" t="n">
        <v>169.89</v>
      </c>
      <c r="F37" s="37" t="n">
        <v>169.89</v>
      </c>
      <c r="G37" s="18" t="n">
        <v>174.46</v>
      </c>
      <c r="H37" s="18" t="n">
        <v>178.72</v>
      </c>
      <c r="I37" s="18" t="n">
        <v>183.59</v>
      </c>
      <c r="J37" s="18" t="n">
        <v>193.63</v>
      </c>
      <c r="K37" s="37" t="n">
        <v>193.63</v>
      </c>
      <c r="L37" s="18" t="n">
        <v>199.71</v>
      </c>
      <c r="M37" s="18" t="n">
        <v>205.58</v>
      </c>
      <c r="N37" s="18" t="n">
        <v>192.26</v>
      </c>
      <c r="O37" s="18" t="n">
        <v>225.08</v>
      </c>
      <c r="P37" s="37" t="n">
        <v>225.08</v>
      </c>
      <c r="Q37" s="18" t="n">
        <v>232.72</v>
      </c>
      <c r="R37" s="18" t="n">
        <v>240.46</v>
      </c>
      <c r="S37" s="18" t="n">
        <v>247.91</v>
      </c>
      <c r="T37" s="18" t="n">
        <v>187.02</v>
      </c>
      <c r="U37" s="37" t="n">
        <v>187.02</v>
      </c>
      <c r="V37" s="18" t="n">
        <v>192.33</v>
      </c>
      <c r="W37" s="18" t="n">
        <v>198.14</v>
      </c>
      <c r="X37" s="18" t="n">
        <v>203.45</v>
      </c>
      <c r="Y37" s="18" t="n">
        <v>192.8</v>
      </c>
      <c r="Z37" s="37" t="n">
        <v>192.8</v>
      </c>
      <c r="AA37" s="18" t="n">
        <v>198.67</v>
      </c>
      <c r="AB37" s="19" t="n">
        <v>203.74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장기차입금</t>
        </is>
      </c>
      <c r="E38" s="18" t="n">
        <v>1537.18</v>
      </c>
      <c r="F38" s="37" t="n">
        <v>1537.18</v>
      </c>
      <c r="G38" s="18" t="n">
        <v>1533.8</v>
      </c>
      <c r="H38" s="18" t="n">
        <v>2030.42</v>
      </c>
      <c r="I38" s="18" t="n">
        <v>527.04</v>
      </c>
      <c r="J38" s="18" t="n">
        <v>500</v>
      </c>
      <c r="K38" s="37" t="n">
        <v>500</v>
      </c>
      <c r="L38" s="18" t="n">
        <v>500</v>
      </c>
      <c r="M38" s="18" t="n">
        <v>500</v>
      </c>
      <c r="N38" s="18" t="n">
        <v>500</v>
      </c>
      <c r="O38" s="18" t="n">
        <v>500</v>
      </c>
      <c r="P38" s="37" t="n">
        <v>500</v>
      </c>
      <c r="Q38" s="18" t="n">
        <v>500</v>
      </c>
      <c r="R38" s="18" t="n">
        <v>0</v>
      </c>
      <c r="S38" s="18" t="n">
        <v>0</v>
      </c>
      <c r="T38" s="18" t="n">
        <v>0</v>
      </c>
      <c r="U38" s="37" t="n">
        <v>0</v>
      </c>
      <c r="V38" s="18" t="n">
        <v>1000</v>
      </c>
      <c r="W38" s="18" t="n">
        <v>2000</v>
      </c>
      <c r="X38" s="18" t="n">
        <v>2000</v>
      </c>
      <c r="Y38" s="18" t="n">
        <v>7000</v>
      </c>
      <c r="Z38" s="37" t="n">
        <v>7000</v>
      </c>
      <c r="AA38" s="18" t="n">
        <v>7000</v>
      </c>
      <c r="AB38" s="19" t="n">
        <v>6000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확정급여부채</t>
        </is>
      </c>
      <c r="E39" s="18" t="n">
        <v>0</v>
      </c>
      <c r="F39" s="37" t="n">
        <v>0</v>
      </c>
      <c r="G39" s="18" t="n">
        <v>75.31999999999999</v>
      </c>
      <c r="H39" s="18" t="n">
        <v>240.79</v>
      </c>
      <c r="I39" s="18" t="n">
        <v>424.04</v>
      </c>
      <c r="J39" s="18" t="n">
        <v>0</v>
      </c>
      <c r="K39" s="37" t="n">
        <v>0</v>
      </c>
      <c r="M39" s="18" t="n">
        <v>609.25</v>
      </c>
      <c r="N39" s="18" t="n">
        <v>773.27</v>
      </c>
      <c r="O39" s="18" t="n">
        <v>0</v>
      </c>
      <c r="P39" s="37" t="n">
        <v>0</v>
      </c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비유동리스부채</t>
        </is>
      </c>
      <c r="E40" s="18" t="n">
        <v>62.66</v>
      </c>
      <c r="F40" s="37" t="n">
        <v>62.66</v>
      </c>
      <c r="G40" s="18" t="n">
        <v>49.22</v>
      </c>
      <c r="H40" s="18" t="n">
        <v>35.73</v>
      </c>
      <c r="I40" s="18" t="n">
        <v>22.2</v>
      </c>
      <c r="J40" s="18" t="n">
        <v>29.59</v>
      </c>
      <c r="K40" s="37" t="n">
        <v>29.59</v>
      </c>
      <c r="L40" s="18" t="n">
        <v>18.14</v>
      </c>
      <c r="M40" s="18" t="n">
        <v>15.28</v>
      </c>
      <c r="N40" s="18" t="n">
        <v>12.4</v>
      </c>
      <c r="O40" s="18" t="n">
        <v>9.5</v>
      </c>
      <c r="P40" s="37" t="n">
        <v>9.5</v>
      </c>
      <c r="Q40" s="18" t="n">
        <v>61.36</v>
      </c>
      <c r="R40" s="18" t="n">
        <v>51.21</v>
      </c>
      <c r="S40" s="18" t="n">
        <v>40.95</v>
      </c>
      <c r="T40" s="18" t="n">
        <v>32.92</v>
      </c>
      <c r="U40" s="37" t="n">
        <v>32.92</v>
      </c>
      <c r="V40" s="18" t="n">
        <v>25.46</v>
      </c>
      <c r="W40" s="18" t="n">
        <v>17.93</v>
      </c>
      <c r="X40" s="18" t="n">
        <v>10.94</v>
      </c>
      <c r="Y40" s="18" t="n">
        <v>2.59</v>
      </c>
      <c r="Z40" s="37" t="n">
        <v>2.59</v>
      </c>
      <c r="AA40" s="18" t="n">
        <v>0</v>
      </c>
      <c r="AB40" s="19" t="n">
        <v>29.94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장기금융부채</t>
        </is>
      </c>
      <c r="E41" s="18" t="n">
        <v>62.66</v>
      </c>
      <c r="F41" s="37" t="n">
        <v>62.66</v>
      </c>
      <c r="G41" s="18" t="n">
        <v>49.22</v>
      </c>
      <c r="H41" s="18" t="n">
        <v>35.73</v>
      </c>
      <c r="I41" s="18" t="n">
        <v>22.2</v>
      </c>
      <c r="J41" s="18" t="n">
        <v>29.59</v>
      </c>
      <c r="K41" s="37" t="n">
        <v>29.59</v>
      </c>
      <c r="L41" s="18" t="n">
        <v>18.14</v>
      </c>
      <c r="M41" s="18" t="n">
        <v>15.28</v>
      </c>
      <c r="N41" s="18" t="n">
        <v>12.4</v>
      </c>
      <c r="O41" s="18" t="n">
        <v>9.5</v>
      </c>
      <c r="P41" s="37" t="n">
        <v>9.5</v>
      </c>
      <c r="Q41" s="18" t="n">
        <v>61.36</v>
      </c>
      <c r="R41" s="18" t="n">
        <v>51.21</v>
      </c>
      <c r="S41" s="18" t="n">
        <v>40.95</v>
      </c>
      <c r="T41" s="18" t="n">
        <v>32.92</v>
      </c>
      <c r="U41" s="37" t="n">
        <v>32.92</v>
      </c>
      <c r="V41" s="18" t="n">
        <v>25.46</v>
      </c>
      <c r="W41" s="18" t="n">
        <v>17.93</v>
      </c>
      <c r="X41" s="18" t="n">
        <v>10.94</v>
      </c>
      <c r="Y41" s="18" t="n">
        <v>2635.36</v>
      </c>
      <c r="Z41" s="37" t="n">
        <v>2635.36</v>
      </c>
      <c r="AA41" s="18" t="n">
        <v>2632.77</v>
      </c>
      <c r="AB41" s="19" t="n">
        <v>3705.36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이연법인세부채</t>
        </is>
      </c>
      <c r="E42" s="18" t="n">
        <v>0</v>
      </c>
      <c r="F42" s="37" t="n">
        <v>0</v>
      </c>
      <c r="G42" s="18" t="n">
        <v>0</v>
      </c>
      <c r="I42" s="18" t="n">
        <v>0</v>
      </c>
      <c r="J42" s="18" t="n">
        <v>0</v>
      </c>
      <c r="K42" s="37" t="n">
        <v>0</v>
      </c>
      <c r="N42" s="18" t="n">
        <v>0</v>
      </c>
      <c r="O42" s="18" t="n">
        <v>0</v>
      </c>
      <c r="P42" s="37" t="n">
        <v>0</v>
      </c>
      <c r="T42" s="18" t="n">
        <v>0</v>
      </c>
      <c r="U42" s="37" t="n">
        <v>0</v>
      </c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기타비유동부채</t>
        </is>
      </c>
      <c r="E43" s="18" t="n">
        <v>133.4</v>
      </c>
      <c r="F43" s="37" t="n">
        <v>133.4</v>
      </c>
      <c r="G43" s="18" t="n">
        <v>106.4</v>
      </c>
      <c r="H43" s="18" t="n">
        <v>112.4</v>
      </c>
      <c r="I43" s="18" t="n">
        <v>115.4</v>
      </c>
      <c r="J43" s="18" t="n">
        <v>127.4</v>
      </c>
      <c r="K43" s="37" t="n">
        <v>127.4</v>
      </c>
      <c r="L43" s="18" t="n">
        <v>126.4</v>
      </c>
      <c r="M43" s="18" t="n">
        <v>135.4</v>
      </c>
      <c r="N43" s="18" t="n">
        <v>130.4</v>
      </c>
      <c r="O43" s="18" t="n">
        <v>139.4</v>
      </c>
      <c r="P43" s="37" t="n">
        <v>139.4</v>
      </c>
      <c r="Q43" s="18" t="n">
        <v>148.4</v>
      </c>
      <c r="R43" s="18" t="n">
        <v>157.4</v>
      </c>
      <c r="S43" s="18" t="n">
        <v>166.4</v>
      </c>
      <c r="T43" s="18" t="n">
        <v>173.4</v>
      </c>
      <c r="U43" s="37" t="n">
        <v>173.4</v>
      </c>
      <c r="V43" s="18" t="n">
        <v>181.4</v>
      </c>
      <c r="W43" s="18" t="n">
        <v>190.4</v>
      </c>
      <c r="X43" s="18" t="n">
        <v>199.4</v>
      </c>
      <c r="Y43" s="18" t="n">
        <v>198.4</v>
      </c>
      <c r="Z43" s="37" t="n">
        <v>198.4</v>
      </c>
      <c r="AA43" s="18" t="n">
        <v>167.4</v>
      </c>
      <c r="AB43" s="19" t="n">
        <v>176.4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부채총계</t>
        </is>
      </c>
      <c r="E44" s="18" t="n">
        <v>31559.13</v>
      </c>
      <c r="F44" s="37" t="n">
        <v>31559.13</v>
      </c>
      <c r="G44" s="18" t="n">
        <v>34590.62</v>
      </c>
      <c r="H44" s="18" t="n">
        <v>34981.25</v>
      </c>
      <c r="I44" s="18" t="n">
        <v>33912.67</v>
      </c>
      <c r="J44" s="18" t="n">
        <v>32578.32</v>
      </c>
      <c r="K44" s="37" t="n">
        <v>32578.32</v>
      </c>
      <c r="L44" s="18" t="n">
        <v>32911.75</v>
      </c>
      <c r="M44" s="18" t="n">
        <v>34399.41</v>
      </c>
      <c r="N44" s="18" t="n">
        <v>34908.04</v>
      </c>
      <c r="O44" s="18" t="n">
        <v>36500.41</v>
      </c>
      <c r="P44" s="37" t="n">
        <v>36500.41</v>
      </c>
      <c r="Q44" s="18" t="n">
        <v>38245.16</v>
      </c>
      <c r="R44" s="18" t="n">
        <v>30195.92</v>
      </c>
      <c r="S44" s="18" t="n">
        <v>35331.33</v>
      </c>
      <c r="T44" s="18" t="n">
        <v>32514.01</v>
      </c>
      <c r="U44" s="37" t="n">
        <v>32514.01</v>
      </c>
      <c r="V44" s="18" t="n">
        <v>44155.69</v>
      </c>
      <c r="W44" s="18" t="n">
        <v>34290.57</v>
      </c>
      <c r="X44" s="18" t="n">
        <v>55885.62</v>
      </c>
      <c r="Y44" s="18" t="n">
        <v>96582.64</v>
      </c>
      <c r="Z44" s="37" t="n">
        <v>96582.64</v>
      </c>
      <c r="AA44" s="18" t="n">
        <v>106136.28</v>
      </c>
      <c r="AB44" s="19" t="n">
        <v>107366.66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자본금</t>
        </is>
      </c>
      <c r="E45" s="18" t="n">
        <v>7513.15</v>
      </c>
      <c r="F45" s="37" t="n">
        <v>7513.15</v>
      </c>
      <c r="G45" s="18" t="n">
        <v>7513.15</v>
      </c>
      <c r="H45" s="18" t="n">
        <v>7513.15</v>
      </c>
      <c r="I45" s="18" t="n">
        <v>7513.15</v>
      </c>
      <c r="J45" s="18" t="n">
        <v>7513.15</v>
      </c>
      <c r="K45" s="37" t="n">
        <v>7513.15</v>
      </c>
      <c r="L45" s="18" t="n">
        <v>7513.15</v>
      </c>
      <c r="M45" s="18" t="n">
        <v>7513.15</v>
      </c>
      <c r="N45" s="18" t="n">
        <v>7513.15</v>
      </c>
      <c r="O45" s="18" t="n">
        <v>7513.15</v>
      </c>
      <c r="P45" s="37" t="n">
        <v>7513.15</v>
      </c>
      <c r="Q45" s="18" t="n">
        <v>7513.15</v>
      </c>
      <c r="R45" s="18" t="n">
        <v>7513.15</v>
      </c>
      <c r="S45" s="18" t="n">
        <v>7513.15</v>
      </c>
      <c r="T45" s="18" t="n">
        <v>7513.15</v>
      </c>
      <c r="U45" s="37" t="n">
        <v>7513.15</v>
      </c>
      <c r="V45" s="18" t="n">
        <v>7513.15</v>
      </c>
      <c r="W45" s="18" t="n">
        <v>7513.15</v>
      </c>
      <c r="X45" s="18" t="n">
        <v>7513.15</v>
      </c>
      <c r="Y45" s="18" t="n">
        <v>7513.15</v>
      </c>
      <c r="Z45" s="37" t="n">
        <v>7513.15</v>
      </c>
      <c r="AA45" s="18" t="n">
        <v>7513.15</v>
      </c>
      <c r="AB45" s="19" t="n">
        <v>7513.15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보통주자본금</t>
        </is>
      </c>
      <c r="E46" s="18" t="n">
        <v>7513.15</v>
      </c>
      <c r="F46" s="37" t="n">
        <v>7513.15</v>
      </c>
      <c r="G46" s="18" t="n">
        <v>7513.15</v>
      </c>
      <c r="H46" s="18" t="n">
        <v>7513.15</v>
      </c>
      <c r="I46" s="18" t="n">
        <v>7513.15</v>
      </c>
      <c r="J46" s="18" t="n">
        <v>7513.15</v>
      </c>
      <c r="K46" s="37" t="n">
        <v>7513.15</v>
      </c>
      <c r="L46" s="18" t="n">
        <v>7513.15</v>
      </c>
      <c r="M46" s="18" t="n">
        <v>7513.15</v>
      </c>
      <c r="N46" s="18" t="n">
        <v>7513.15</v>
      </c>
      <c r="O46" s="18" t="n">
        <v>7513.15</v>
      </c>
      <c r="P46" s="37" t="n">
        <v>7513.15</v>
      </c>
      <c r="Q46" s="18" t="n">
        <v>7513.15</v>
      </c>
      <c r="R46" s="18" t="n">
        <v>7513.15</v>
      </c>
      <c r="S46" s="18" t="n">
        <v>7513.15</v>
      </c>
      <c r="T46" s="18" t="n">
        <v>7513.15</v>
      </c>
      <c r="U46" s="37" t="n">
        <v>7513.15</v>
      </c>
      <c r="V46" s="18" t="n">
        <v>7513.15</v>
      </c>
      <c r="W46" s="18" t="n">
        <v>7513.15</v>
      </c>
      <c r="X46" s="18" t="n">
        <v>7513.15</v>
      </c>
      <c r="Y46" s="18" t="n">
        <v>7513.15</v>
      </c>
      <c r="Z46" s="37" t="n">
        <v>7513.15</v>
      </c>
      <c r="AA46" s="18" t="n">
        <v>7513.15</v>
      </c>
      <c r="AB46" s="19" t="n">
        <v>7513.15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자본잉여금</t>
        </is>
      </c>
      <c r="E47" s="18" t="n">
        <v>18151.65</v>
      </c>
      <c r="F47" s="37" t="n">
        <v>18151.65</v>
      </c>
      <c r="G47" s="18" t="n">
        <v>18151.65</v>
      </c>
      <c r="H47" s="18" t="n">
        <v>18151.65</v>
      </c>
      <c r="I47" s="18" t="n">
        <v>18151.65</v>
      </c>
      <c r="J47" s="18" t="n">
        <v>18151.65</v>
      </c>
      <c r="K47" s="37" t="n">
        <v>18151.65</v>
      </c>
      <c r="L47" s="18" t="n">
        <v>18151.65</v>
      </c>
      <c r="M47" s="18" t="n">
        <v>18151.65</v>
      </c>
      <c r="N47" s="18" t="n">
        <v>18151.65</v>
      </c>
      <c r="O47" s="18" t="n">
        <v>18151.65</v>
      </c>
      <c r="P47" s="37" t="n">
        <v>18151.65</v>
      </c>
      <c r="Q47" s="18" t="n">
        <v>18151.65</v>
      </c>
      <c r="R47" s="18" t="n">
        <v>18151.65</v>
      </c>
      <c r="S47" s="18" t="n">
        <v>18151.65</v>
      </c>
      <c r="T47" s="18" t="n">
        <v>18151.65</v>
      </c>
      <c r="U47" s="37" t="n">
        <v>18151.65</v>
      </c>
      <c r="V47" s="18" t="n">
        <v>18151.65</v>
      </c>
      <c r="W47" s="18" t="n">
        <v>18151.65</v>
      </c>
      <c r="X47" s="18" t="n">
        <v>18151.65</v>
      </c>
      <c r="Y47" s="18" t="n">
        <v>24705.43</v>
      </c>
      <c r="Z47" s="37" t="n">
        <v>24705.43</v>
      </c>
      <c r="AA47" s="18" t="n">
        <v>24705.43</v>
      </c>
      <c r="AB47" s="19" t="n">
        <v>24705.43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기타자본</t>
        </is>
      </c>
      <c r="E48" s="18" t="n">
        <v>-1072.81</v>
      </c>
      <c r="F48" s="37" t="n">
        <v>-1072.81</v>
      </c>
      <c r="G48" s="18" t="n">
        <v>-1072.81</v>
      </c>
      <c r="H48" s="18" t="n">
        <v>-1072.81</v>
      </c>
      <c r="I48" s="18" t="n">
        <v>-1072.81</v>
      </c>
      <c r="J48" s="18" t="n">
        <v>-1072.81</v>
      </c>
      <c r="K48" s="37" t="n">
        <v>-1072.81</v>
      </c>
      <c r="L48" s="18" t="n">
        <v>-1072.81</v>
      </c>
      <c r="M48" s="18" t="n">
        <v>-1072.81</v>
      </c>
      <c r="N48" s="18" t="n">
        <v>-1072.81</v>
      </c>
      <c r="O48" s="18" t="n">
        <v>-1072.81</v>
      </c>
      <c r="P48" s="37" t="n">
        <v>-1072.81</v>
      </c>
      <c r="Q48" s="18" t="n">
        <v>-1072.81</v>
      </c>
      <c r="R48" s="18" t="n">
        <v>-1072.81</v>
      </c>
      <c r="S48" s="18" t="n">
        <v>-1072.81</v>
      </c>
      <c r="T48" s="18" t="n">
        <v>-1072.81</v>
      </c>
      <c r="U48" s="37" t="n">
        <v>-1072.81</v>
      </c>
      <c r="V48" s="18" t="n">
        <v>-1072.81</v>
      </c>
      <c r="W48" s="18" t="n">
        <v>-1072.81</v>
      </c>
      <c r="X48" s="18" t="n">
        <v>-1072.81</v>
      </c>
      <c r="Y48" s="18" t="n">
        <v>3379.7</v>
      </c>
      <c r="Z48" s="37" t="n">
        <v>3379.7</v>
      </c>
      <c r="AA48" s="18" t="n">
        <v>3379.7</v>
      </c>
      <c r="AB48" s="19" t="n">
        <v>3379.7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기타포괄이익누계액</t>
        </is>
      </c>
      <c r="E49" s="18" t="n">
        <v>0</v>
      </c>
      <c r="F49" s="37" t="n">
        <v>0</v>
      </c>
      <c r="G49" s="18" t="n">
        <v>0</v>
      </c>
      <c r="H49" s="18" t="n">
        <v>0</v>
      </c>
      <c r="J49" s="18" t="n">
        <v>0</v>
      </c>
      <c r="K49" s="37" t="n">
        <v>0</v>
      </c>
      <c r="M49" s="18" t="n">
        <v>0</v>
      </c>
      <c r="O49" s="18" t="n">
        <v>0</v>
      </c>
      <c r="P49" s="37" t="n">
        <v>0</v>
      </c>
      <c r="T49" s="18" t="n">
        <v>0</v>
      </c>
      <c r="U49" s="37" t="n">
        <v>0</v>
      </c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이익잉여금</t>
        </is>
      </c>
      <c r="E50" s="18" t="n">
        <v>49824.14</v>
      </c>
      <c r="F50" s="37" t="n">
        <v>49824.14</v>
      </c>
      <c r="G50" s="18" t="n">
        <v>48690.82</v>
      </c>
      <c r="H50" s="18" t="n">
        <v>46076.45</v>
      </c>
      <c r="I50" s="18" t="n">
        <v>44078.21</v>
      </c>
      <c r="J50" s="18" t="n">
        <v>37628.32</v>
      </c>
      <c r="K50" s="37" t="n">
        <v>37628.32</v>
      </c>
      <c r="L50" s="18" t="n">
        <v>38468.8</v>
      </c>
      <c r="M50" s="18" t="n">
        <v>39385.94</v>
      </c>
      <c r="N50" s="18" t="n">
        <v>39935.01</v>
      </c>
      <c r="O50" s="18" t="n">
        <v>40954.48</v>
      </c>
      <c r="P50" s="37" t="n">
        <v>40954.48</v>
      </c>
      <c r="Q50" s="18" t="n">
        <v>40681.65</v>
      </c>
      <c r="R50" s="18" t="n">
        <v>41409.52</v>
      </c>
      <c r="S50" s="18" t="n">
        <v>43776.78</v>
      </c>
      <c r="T50" s="18" t="n">
        <v>44962.62</v>
      </c>
      <c r="U50" s="37" t="n">
        <v>44962.62</v>
      </c>
      <c r="V50" s="18" t="n">
        <v>44622.98</v>
      </c>
      <c r="W50" s="18" t="n">
        <v>46896.77</v>
      </c>
      <c r="X50" s="18" t="n">
        <v>48565.53</v>
      </c>
      <c r="Y50" s="18" t="n">
        <v>49925.13</v>
      </c>
      <c r="Z50" s="37" t="n">
        <v>49925.13</v>
      </c>
      <c r="AA50" s="18" t="n">
        <v>48686.08</v>
      </c>
      <c r="AB50" s="19" t="n">
        <v>50396.51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자본총계</t>
        </is>
      </c>
      <c r="E51" s="18" t="n">
        <v>74416.13</v>
      </c>
      <c r="F51" s="37" t="n">
        <v>74416.13</v>
      </c>
      <c r="G51" s="18" t="n">
        <v>73282.81</v>
      </c>
      <c r="H51" s="18" t="n">
        <v>70668.44</v>
      </c>
      <c r="I51" s="18" t="n">
        <v>68670.2</v>
      </c>
      <c r="J51" s="18" t="n">
        <v>62220.31</v>
      </c>
      <c r="K51" s="37" t="n">
        <v>62220.31</v>
      </c>
      <c r="L51" s="18" t="n">
        <v>63060.79</v>
      </c>
      <c r="M51" s="18" t="n">
        <v>63977.93</v>
      </c>
      <c r="N51" s="18" t="n">
        <v>64527</v>
      </c>
      <c r="O51" s="18" t="n">
        <v>65546.46000000001</v>
      </c>
      <c r="P51" s="37" t="n">
        <v>65546.46000000001</v>
      </c>
      <c r="Q51" s="18" t="n">
        <v>65273.64</v>
      </c>
      <c r="R51" s="18" t="n">
        <v>66001.50999999999</v>
      </c>
      <c r="S51" s="18" t="n">
        <v>68368.75999999999</v>
      </c>
      <c r="T51" s="18" t="n">
        <v>69554.61</v>
      </c>
      <c r="U51" s="37" t="n">
        <v>69554.61</v>
      </c>
      <c r="V51" s="18" t="n">
        <v>69214.97</v>
      </c>
      <c r="W51" s="18" t="n">
        <v>71488.75999999999</v>
      </c>
      <c r="X51" s="18" t="n">
        <v>73157.52</v>
      </c>
      <c r="Y51" s="18" t="n">
        <v>85523.39999999999</v>
      </c>
      <c r="Z51" s="37" t="n">
        <v>85523.39999999999</v>
      </c>
      <c r="AA51" s="18" t="n">
        <v>84284.36</v>
      </c>
      <c r="AB51" s="19" t="n">
        <v>85994.78999999999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부채와자본총계</t>
        </is>
      </c>
      <c r="E52" s="18" t="n">
        <v>105975.26</v>
      </c>
      <c r="F52" s="37" t="n">
        <v>105975.26</v>
      </c>
      <c r="G52" s="18" t="n">
        <v>107873.43</v>
      </c>
      <c r="H52" s="18" t="n">
        <v>105649.69</v>
      </c>
      <c r="I52" s="18" t="n">
        <v>102582.86</v>
      </c>
      <c r="J52" s="18" t="n">
        <v>94798.63</v>
      </c>
      <c r="K52" s="37" t="n">
        <v>94798.63</v>
      </c>
      <c r="L52" s="18" t="n">
        <v>95972.55</v>
      </c>
      <c r="M52" s="18" t="n">
        <v>98377.33</v>
      </c>
      <c r="N52" s="18" t="n">
        <v>99435.03999999999</v>
      </c>
      <c r="O52" s="18" t="n">
        <v>102046.87</v>
      </c>
      <c r="P52" s="37" t="n">
        <v>102046.87</v>
      </c>
      <c r="Q52" s="18" t="n">
        <v>103518.8</v>
      </c>
      <c r="R52" s="18" t="n">
        <v>96197.42999999999</v>
      </c>
      <c r="S52" s="18" t="n">
        <v>103700.1</v>
      </c>
      <c r="T52" s="18" t="n">
        <v>102068.61</v>
      </c>
      <c r="U52" s="37" t="n">
        <v>102068.61</v>
      </c>
      <c r="V52" s="18" t="n">
        <v>113370.66</v>
      </c>
      <c r="W52" s="18" t="n">
        <v>105779.33</v>
      </c>
      <c r="X52" s="18" t="n">
        <v>129043.14</v>
      </c>
      <c r="Y52" s="18" t="n">
        <v>182106.04</v>
      </c>
      <c r="Z52" s="37" t="n">
        <v>182106.04</v>
      </c>
      <c r="AA52" s="18" t="n">
        <v>190420.64</v>
      </c>
      <c r="AB52" s="19" t="n">
        <v>193361.44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지배주주지분</t>
        </is>
      </c>
      <c r="E53" s="18" t="n">
        <v>74416.13</v>
      </c>
      <c r="F53" s="37" t="n">
        <v>74416.13</v>
      </c>
      <c r="G53" s="18" t="n">
        <v>73282.81</v>
      </c>
      <c r="H53" s="18" t="n">
        <v>70668.44</v>
      </c>
      <c r="I53" s="18" t="n">
        <v>68670.2</v>
      </c>
      <c r="J53" s="18" t="n">
        <v>62220.31</v>
      </c>
      <c r="K53" s="37" t="n">
        <v>62220.31</v>
      </c>
      <c r="L53" s="18" t="n">
        <v>63060.79</v>
      </c>
      <c r="M53" s="18" t="n">
        <v>63977.93</v>
      </c>
      <c r="N53" s="18" t="n">
        <v>64527</v>
      </c>
      <c r="O53" s="18" t="n">
        <v>65546.46000000001</v>
      </c>
      <c r="P53" s="37" t="n">
        <v>65546.46000000001</v>
      </c>
      <c r="Q53" s="18" t="n">
        <v>65273.64</v>
      </c>
      <c r="R53" s="18" t="n">
        <v>66001.50999999999</v>
      </c>
      <c r="S53" s="18" t="n">
        <v>68368.75999999999</v>
      </c>
      <c r="T53" s="18" t="n">
        <v>69554.61</v>
      </c>
      <c r="U53" s="37" t="n">
        <v>69554.61</v>
      </c>
      <c r="V53" s="18" t="n">
        <v>69214.97</v>
      </c>
      <c r="W53" s="18" t="n">
        <v>71488.75999999999</v>
      </c>
      <c r="X53" s="18" t="n">
        <v>73157.52</v>
      </c>
      <c r="Y53" s="18" t="n">
        <v>85523.39999999999</v>
      </c>
      <c r="Z53" s="37" t="n">
        <v>85523.39999999999</v>
      </c>
      <c r="AA53" s="18" t="n">
        <v>84284.36</v>
      </c>
      <c r="AB53" s="19" t="n">
        <v>85994.78999999999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총차입금</t>
        </is>
      </c>
      <c r="E54" s="18" t="n">
        <v>22050.7</v>
      </c>
      <c r="F54" s="37" t="n">
        <v>22050.7</v>
      </c>
      <c r="G54" s="18" t="n">
        <v>21547.32</v>
      </c>
      <c r="H54" s="18" t="n">
        <v>22043.94</v>
      </c>
      <c r="I54" s="18" t="n">
        <v>22040.56</v>
      </c>
      <c r="J54" s="18" t="n">
        <v>22000</v>
      </c>
      <c r="K54" s="37" t="n">
        <v>22000</v>
      </c>
      <c r="L54" s="18" t="n">
        <v>22000</v>
      </c>
      <c r="M54" s="18" t="n">
        <v>22000</v>
      </c>
      <c r="N54" s="18" t="n">
        <v>22000</v>
      </c>
      <c r="O54" s="18" t="n">
        <v>22000</v>
      </c>
      <c r="P54" s="37" t="n">
        <v>22000</v>
      </c>
      <c r="Q54" s="18" t="n">
        <v>16000</v>
      </c>
      <c r="R54" s="18" t="n">
        <v>10500</v>
      </c>
      <c r="S54" s="18" t="n">
        <v>13000</v>
      </c>
      <c r="T54" s="18" t="n">
        <v>13000</v>
      </c>
      <c r="U54" s="37" t="n">
        <v>13000</v>
      </c>
      <c r="V54" s="18" t="n">
        <v>20500</v>
      </c>
      <c r="W54" s="18" t="n">
        <v>13500</v>
      </c>
      <c r="X54" s="18" t="n">
        <v>34500</v>
      </c>
      <c r="Y54" s="18" t="n">
        <v>62227.69</v>
      </c>
      <c r="Z54" s="37" t="n">
        <v>62227.69</v>
      </c>
      <c r="AA54" s="18" t="n">
        <v>67351.86</v>
      </c>
      <c r="AB54" s="19" t="n">
        <v>69486.55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순차입금</t>
        </is>
      </c>
      <c r="E55" s="18" t="n">
        <v>51.73</v>
      </c>
      <c r="F55" s="37" t="n">
        <v>51.73</v>
      </c>
      <c r="G55" s="18" t="n">
        <v>3372.73</v>
      </c>
      <c r="H55" s="18" t="n">
        <v>3483.85</v>
      </c>
      <c r="I55" s="18" t="n">
        <v>7076.9</v>
      </c>
      <c r="J55" s="18" t="n">
        <v>952.72</v>
      </c>
      <c r="K55" s="37" t="n">
        <v>952.72</v>
      </c>
      <c r="L55" s="18" t="n">
        <v>-1059.3</v>
      </c>
      <c r="M55" s="18" t="n">
        <v>1386.84</v>
      </c>
      <c r="N55" s="18" t="n">
        <v>-1957.58</v>
      </c>
      <c r="O55" s="18" t="n">
        <v>-931.27</v>
      </c>
      <c r="P55" s="37" t="n">
        <v>-931.27</v>
      </c>
      <c r="Q55" s="18" t="n">
        <v>-2349.21</v>
      </c>
      <c r="R55" s="18" t="n">
        <v>-304.05</v>
      </c>
      <c r="S55" s="18" t="n">
        <v>-8451.35</v>
      </c>
      <c r="T55" s="18" t="n">
        <v>-6033.95</v>
      </c>
      <c r="U55" s="37" t="n">
        <v>-6033.95</v>
      </c>
      <c r="V55" s="18" t="n">
        <v>-847.51</v>
      </c>
      <c r="W55" s="18" t="n">
        <v>-5886.92</v>
      </c>
      <c r="X55" s="18" t="n">
        <v>-10720.52</v>
      </c>
      <c r="Y55" s="18" t="n">
        <v>57049.03</v>
      </c>
      <c r="Z55" s="37" t="n">
        <v>57049.03</v>
      </c>
      <c r="AA55" s="18" t="n">
        <v>59590.45</v>
      </c>
      <c r="AB55" s="19" t="n">
        <v>65206.31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이자발생자산</t>
        </is>
      </c>
      <c r="E56" s="18" t="n">
        <v>34099.83</v>
      </c>
      <c r="F56" s="37" t="n">
        <v>34099.83</v>
      </c>
      <c r="G56" s="18" t="n">
        <v>29900.73</v>
      </c>
      <c r="H56" s="18" t="n">
        <v>28291.38</v>
      </c>
      <c r="I56" s="18" t="n">
        <v>22913.36</v>
      </c>
      <c r="J56" s="18" t="n">
        <v>29121.11</v>
      </c>
      <c r="K56" s="37" t="n">
        <v>29121.11</v>
      </c>
      <c r="L56" s="18" t="n">
        <v>32644.46</v>
      </c>
      <c r="M56" s="18" t="n">
        <v>31008.4</v>
      </c>
      <c r="N56" s="18" t="n">
        <v>33521.76</v>
      </c>
      <c r="O56" s="18" t="n">
        <v>32612.86</v>
      </c>
      <c r="P56" s="37" t="n">
        <v>32612.86</v>
      </c>
      <c r="Q56" s="18" t="n">
        <v>28337.13</v>
      </c>
      <c r="R56" s="18" t="n">
        <v>21882.7</v>
      </c>
      <c r="S56" s="18" t="n">
        <v>32033.87</v>
      </c>
      <c r="T56" s="18" t="n">
        <v>29424.68</v>
      </c>
      <c r="U56" s="37" t="n">
        <v>29424.68</v>
      </c>
      <c r="V56" s="18" t="n">
        <v>37053.77</v>
      </c>
      <c r="W56" s="18" t="n">
        <v>33994.72</v>
      </c>
      <c r="X56" s="18" t="n">
        <v>59888.47</v>
      </c>
      <c r="Y56" s="18" t="n">
        <v>16443.66</v>
      </c>
      <c r="Z56" s="37" t="n">
        <v>16443.66</v>
      </c>
      <c r="AA56" s="18" t="n">
        <v>17597.69</v>
      </c>
      <c r="AB56" s="19" t="n">
        <v>14594.44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당기법인세자산(선급법인세)</t>
        </is>
      </c>
      <c r="F57" s="9" t="n"/>
      <c r="I57" s="18" t="n">
        <v>74.03</v>
      </c>
      <c r="J57" s="18" t="n">
        <v>74.15000000000001</v>
      </c>
      <c r="K57" s="37" t="n">
        <v>74.15000000000001</v>
      </c>
      <c r="L57" s="18" t="n">
        <v>74.15000000000001</v>
      </c>
      <c r="M57" s="18" t="n">
        <v>0</v>
      </c>
      <c r="N57" s="18" t="n">
        <v>0</v>
      </c>
      <c r="O57" s="18" t="n">
        <v>102.1</v>
      </c>
      <c r="P57" s="37" t="n">
        <v>102.1</v>
      </c>
      <c r="Q57" s="18" t="n">
        <v>102.1</v>
      </c>
      <c r="R57" s="18" t="n">
        <v>0</v>
      </c>
      <c r="S57" s="18" t="n">
        <v>0</v>
      </c>
      <c r="T57" s="18" t="n">
        <v>0</v>
      </c>
      <c r="U57" s="37" t="n">
        <v>0</v>
      </c>
      <c r="Y57" s="18" t="n">
        <v>0</v>
      </c>
      <c r="Z57" s="37" t="n">
        <v>0</v>
      </c>
      <c r="AA57" s="18" t="n">
        <v>0</v>
      </c>
      <c r="AB57" s="19" t="n">
        <v>0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단기금융부채(face)</t>
        </is>
      </c>
      <c r="F58" s="9" t="n"/>
      <c r="K58" s="9" t="n"/>
      <c r="N58" s="18" t="n">
        <v>21500</v>
      </c>
      <c r="O58" s="18" t="n">
        <v>21500</v>
      </c>
      <c r="P58" s="37" t="n">
        <v>21500</v>
      </c>
      <c r="Q58" s="18" t="n">
        <v>15500</v>
      </c>
      <c r="R58" s="18" t="n">
        <v>10000</v>
      </c>
      <c r="S58" s="18" t="n">
        <v>12500</v>
      </c>
      <c r="T58" s="18" t="n">
        <v>12500</v>
      </c>
      <c r="U58" s="37" t="n">
        <v>12500</v>
      </c>
      <c r="V58" s="18" t="n">
        <v>19500</v>
      </c>
      <c r="W58" s="18" t="n">
        <v>11500</v>
      </c>
      <c r="X58" s="18" t="n">
        <v>32500</v>
      </c>
      <c r="Y58" s="18" t="n">
        <v>47640.06</v>
      </c>
      <c r="Z58" s="37" t="n">
        <v>47640.06</v>
      </c>
      <c r="AA58" s="18" t="n">
        <v>52506.33</v>
      </c>
      <c r="AB58" s="19" t="n">
        <v>54380.26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장기금융부채(face)</t>
        </is>
      </c>
      <c r="F59" s="9" t="n"/>
      <c r="K59" s="9" t="n"/>
      <c r="P59" s="9" t="n"/>
      <c r="S59" s="18" t="n">
        <v>0</v>
      </c>
      <c r="T59" s="18" t="n">
        <v>0</v>
      </c>
      <c r="U59" s="37" t="n">
        <v>0</v>
      </c>
      <c r="V59" s="18" t="n">
        <v>1000</v>
      </c>
      <c r="W59" s="18" t="n">
        <v>2000</v>
      </c>
      <c r="X59" s="18" t="n">
        <v>2000</v>
      </c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사채</t>
        </is>
      </c>
      <c r="F60" s="9" t="n"/>
      <c r="K60" s="9" t="n"/>
      <c r="P60" s="9" t="n"/>
      <c r="U60" s="9" t="n"/>
      <c r="Y60" s="18" t="n">
        <v>7587.63</v>
      </c>
      <c r="Z60" s="37" t="n">
        <v>7587.63</v>
      </c>
      <c r="AA60" s="18" t="n">
        <v>7845.53</v>
      </c>
      <c r="AB60" s="19" t="n">
        <v>8106.29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장기파생상품부채</t>
        </is>
      </c>
      <c r="F61" s="9" t="n"/>
      <c r="K61" s="9" t="n"/>
      <c r="P61" s="9" t="n"/>
      <c r="U61" s="9" t="n"/>
      <c r="Y61" s="18" t="n">
        <v>2632.77</v>
      </c>
      <c r="Z61" s="37" t="n">
        <v>2632.77</v>
      </c>
      <c r="AA61" s="18" t="n">
        <v>2632.77</v>
      </c>
      <c r="AB61" s="19" t="n">
        <v>3675.42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매출액(수익)</t>
        </is>
      </c>
      <c r="E62" s="18" t="n">
        <v>12592.2</v>
      </c>
      <c r="F62" s="9" t="n"/>
      <c r="G62" s="18" t="n">
        <v>16351.31</v>
      </c>
      <c r="H62" s="18" t="n">
        <v>18893.8</v>
      </c>
      <c r="I62" s="18" t="n">
        <v>19806.51</v>
      </c>
      <c r="J62" s="18" t="n">
        <v>20133</v>
      </c>
      <c r="K62" s="37" t="n">
        <v>75184.62</v>
      </c>
      <c r="L62" s="18" t="n">
        <v>15853.74</v>
      </c>
      <c r="M62" s="18" t="n">
        <v>19359.46</v>
      </c>
      <c r="N62" s="18" t="n">
        <v>22667.71</v>
      </c>
      <c r="O62" s="18" t="n">
        <v>19221.79</v>
      </c>
      <c r="P62" s="37" t="n">
        <v>77102.7</v>
      </c>
      <c r="Q62" s="18" t="n">
        <v>21966.57</v>
      </c>
      <c r="R62" s="18" t="n">
        <v>28602.2</v>
      </c>
      <c r="S62" s="18" t="n">
        <v>23528.73</v>
      </c>
      <c r="T62" s="18" t="n">
        <v>23289.28</v>
      </c>
      <c r="U62" s="37" t="n">
        <v>97386.78</v>
      </c>
      <c r="V62" s="18" t="n">
        <v>19251.53</v>
      </c>
      <c r="W62" s="18" t="n">
        <v>23767.26</v>
      </c>
      <c r="X62" s="18" t="n">
        <v>23691.57</v>
      </c>
      <c r="Y62" s="18" t="n">
        <v>26246.19</v>
      </c>
      <c r="Z62" s="37" t="n">
        <v>92956.55</v>
      </c>
      <c r="AA62" s="18" t="n">
        <v>28094.81</v>
      </c>
      <c r="AB62" s="19" t="n">
        <v>21552.34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매출원가</t>
        </is>
      </c>
      <c r="E63" s="18" t="n">
        <v>11859.21</v>
      </c>
      <c r="F63" s="9" t="n"/>
      <c r="G63" s="18" t="n">
        <v>14896.61</v>
      </c>
      <c r="H63" s="18" t="n">
        <v>18471.73</v>
      </c>
      <c r="I63" s="18" t="n">
        <v>16816.11</v>
      </c>
      <c r="J63" s="18" t="n">
        <v>16990.81</v>
      </c>
      <c r="K63" s="37" t="n">
        <v>67175.25999999999</v>
      </c>
      <c r="L63" s="18" t="n">
        <v>14071.67</v>
      </c>
      <c r="M63" s="18" t="n">
        <v>15952.25</v>
      </c>
      <c r="N63" s="18" t="n">
        <v>18380.82</v>
      </c>
      <c r="O63" s="18" t="n">
        <v>16609.85</v>
      </c>
      <c r="P63" s="37" t="n">
        <v>65014.59</v>
      </c>
      <c r="Q63" s="18" t="n">
        <v>16680.64</v>
      </c>
      <c r="R63" s="18" t="n">
        <v>23000.81</v>
      </c>
      <c r="S63" s="18" t="n">
        <v>19280.15</v>
      </c>
      <c r="T63" s="18" t="n">
        <v>18491.12</v>
      </c>
      <c r="U63" s="37" t="n">
        <v>77452.72</v>
      </c>
      <c r="V63" s="18" t="n">
        <v>15316.89</v>
      </c>
      <c r="W63" s="18" t="n">
        <v>19379.88</v>
      </c>
      <c r="X63" s="18" t="n">
        <v>18967.33</v>
      </c>
      <c r="Y63" s="18" t="n">
        <v>21752.48</v>
      </c>
      <c r="Z63" s="37" t="n">
        <v>75416.58</v>
      </c>
      <c r="AA63" s="18" t="n">
        <v>23407.98</v>
      </c>
      <c r="AB63" s="19" t="n">
        <v>17844.5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매출총이익</t>
        </is>
      </c>
      <c r="E64" s="18" t="n">
        <v>732.99</v>
      </c>
      <c r="F64" s="9" t="n"/>
      <c r="G64" s="18" t="n">
        <v>1454.7</v>
      </c>
      <c r="H64" s="18" t="n">
        <v>422.07</v>
      </c>
      <c r="I64" s="18" t="n">
        <v>2990.4</v>
      </c>
      <c r="J64" s="18" t="n">
        <v>3142.19</v>
      </c>
      <c r="K64" s="37" t="n">
        <v>8009.36</v>
      </c>
      <c r="L64" s="18" t="n">
        <v>1782.07</v>
      </c>
      <c r="M64" s="18" t="n">
        <v>3407.21</v>
      </c>
      <c r="N64" s="18" t="n">
        <v>4286.89</v>
      </c>
      <c r="O64" s="18" t="n">
        <v>2611.93</v>
      </c>
      <c r="P64" s="37" t="n">
        <v>12088.1</v>
      </c>
      <c r="Q64" s="18" t="n">
        <v>5285.93</v>
      </c>
      <c r="R64" s="18" t="n">
        <v>5601.39</v>
      </c>
      <c r="S64" s="18" t="n">
        <v>4248.58</v>
      </c>
      <c r="T64" s="18" t="n">
        <v>4798.16</v>
      </c>
      <c r="U64" s="37" t="n">
        <v>19934.06</v>
      </c>
      <c r="V64" s="18" t="n">
        <v>3934.64</v>
      </c>
      <c r="W64" s="18" t="n">
        <v>4387.38</v>
      </c>
      <c r="X64" s="18" t="n">
        <v>4724.24</v>
      </c>
      <c r="Y64" s="18" t="n">
        <v>4493.71</v>
      </c>
      <c r="Z64" s="37" t="n">
        <v>17539.97</v>
      </c>
      <c r="AA64" s="18" t="n">
        <v>4686.84</v>
      </c>
      <c r="AB64" s="19" t="n">
        <v>3707.84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판관비</t>
        </is>
      </c>
      <c r="E65" s="18" t="n">
        <v>1774.25</v>
      </c>
      <c r="F65" s="9" t="n"/>
      <c r="G65" s="18" t="n">
        <v>1824.95</v>
      </c>
      <c r="H65" s="18" t="n">
        <v>1663.45</v>
      </c>
      <c r="I65" s="18" t="n">
        <v>6846.78</v>
      </c>
      <c r="J65" s="18" t="n">
        <v>1893.62</v>
      </c>
      <c r="K65" s="37" t="n">
        <v>12228.8</v>
      </c>
      <c r="L65" s="18" t="n">
        <v>1717.5</v>
      </c>
      <c r="M65" s="18" t="n">
        <v>2427.28</v>
      </c>
      <c r="N65" s="18" t="n">
        <v>2195.93</v>
      </c>
      <c r="O65" s="18" t="n">
        <v>2016.14</v>
      </c>
      <c r="P65" s="37" t="n">
        <v>8356.85</v>
      </c>
      <c r="Q65" s="18" t="n">
        <v>3129.66</v>
      </c>
      <c r="R65" s="18" t="n">
        <v>4308.96</v>
      </c>
      <c r="S65" s="18" t="n">
        <v>2025.76</v>
      </c>
      <c r="T65" s="18" t="n">
        <v>1717.93</v>
      </c>
      <c r="U65" s="37" t="n">
        <v>11182.31</v>
      </c>
      <c r="V65" s="18" t="n">
        <v>2342.36</v>
      </c>
      <c r="W65" s="18" t="n">
        <v>2320.1</v>
      </c>
      <c r="X65" s="18" t="n">
        <v>2296.21</v>
      </c>
      <c r="Y65" s="18" t="n">
        <v>2882.12</v>
      </c>
      <c r="Z65" s="37" t="n">
        <v>9840.790000000001</v>
      </c>
      <c r="AA65" s="18" t="n">
        <v>2031.98</v>
      </c>
      <c r="AB65" s="19" t="n">
        <v>1890.16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영업이익</t>
        </is>
      </c>
      <c r="E66" s="18" t="n">
        <v>-1041.26</v>
      </c>
      <c r="F66" s="9" t="n"/>
      <c r="G66" s="18" t="n">
        <v>-370.25</v>
      </c>
      <c r="H66" s="18" t="n">
        <v>-1241.38</v>
      </c>
      <c r="I66" s="18" t="n">
        <v>-3856.38</v>
      </c>
      <c r="J66" s="18" t="n">
        <v>1248.57</v>
      </c>
      <c r="K66" s="37" t="n">
        <v>-4219.44</v>
      </c>
      <c r="L66" s="18" t="n">
        <v>64.56</v>
      </c>
      <c r="M66" s="18" t="n">
        <v>979.9299999999999</v>
      </c>
      <c r="N66" s="18" t="n">
        <v>2090.97</v>
      </c>
      <c r="O66" s="18" t="n">
        <v>595.79</v>
      </c>
      <c r="P66" s="37" t="n">
        <v>3731.25</v>
      </c>
      <c r="Q66" s="18" t="n">
        <v>2156.27</v>
      </c>
      <c r="R66" s="18" t="n">
        <v>1292.43</v>
      </c>
      <c r="S66" s="18" t="n">
        <v>2222.81</v>
      </c>
      <c r="T66" s="18" t="n">
        <v>3080.22</v>
      </c>
      <c r="U66" s="37" t="n">
        <v>8751.73</v>
      </c>
      <c r="V66" s="18" t="n">
        <v>1592.28</v>
      </c>
      <c r="W66" s="18" t="n">
        <v>2067.28</v>
      </c>
      <c r="X66" s="18" t="n">
        <v>2428.02</v>
      </c>
      <c r="Y66" s="18" t="n">
        <v>1611.59</v>
      </c>
      <c r="Z66" s="37" t="n">
        <v>7699.17</v>
      </c>
      <c r="AA66" s="18" t="n">
        <v>2654.85</v>
      </c>
      <c r="AB66" s="19" t="n">
        <v>1817.68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기타영업외수익</t>
        </is>
      </c>
      <c r="E67" s="18" t="n">
        <v>381.27</v>
      </c>
      <c r="F67" s="9" t="n"/>
      <c r="G67" s="18" t="n">
        <v>220.68</v>
      </c>
      <c r="H67" s="18" t="n">
        <v>376.55</v>
      </c>
      <c r="I67" s="18" t="n">
        <v>146.65</v>
      </c>
      <c r="J67" s="18" t="n">
        <v>350.51</v>
      </c>
      <c r="K67" s="37" t="n">
        <v>1094.39</v>
      </c>
      <c r="L67" s="18" t="n">
        <v>219.66</v>
      </c>
      <c r="M67" s="18" t="n">
        <v>317.24</v>
      </c>
      <c r="N67" s="18" t="n">
        <v>105.14</v>
      </c>
      <c r="O67" s="18" t="n">
        <v>368.43</v>
      </c>
      <c r="P67" s="37" t="n">
        <v>1010.47</v>
      </c>
      <c r="Q67" s="18" t="n">
        <v>162.32</v>
      </c>
      <c r="R67" s="18" t="n">
        <v>446.14</v>
      </c>
      <c r="S67" s="18" t="n">
        <v>107.82</v>
      </c>
      <c r="T67" s="18" t="n">
        <v>447.81</v>
      </c>
      <c r="U67" s="37" t="n">
        <v>1164.09</v>
      </c>
      <c r="V67" s="18" t="n">
        <v>167</v>
      </c>
      <c r="W67" s="18" t="n">
        <v>428.11</v>
      </c>
      <c r="X67" s="18" t="n">
        <v>220.84</v>
      </c>
      <c r="Y67" s="18" t="n">
        <v>490.11</v>
      </c>
      <c r="Z67" s="37" t="n">
        <v>1306.06</v>
      </c>
      <c r="AA67" s="18" t="n">
        <v>501.61</v>
      </c>
      <c r="AB67" s="19" t="n">
        <v>659.0599999999999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기타영업외비용</t>
        </is>
      </c>
      <c r="E68" s="18" t="n">
        <v>12700.99</v>
      </c>
      <c r="F68" s="9" t="n"/>
      <c r="G68" s="18" t="n">
        <v>8.630000000000001</v>
      </c>
      <c r="H68" s="18" t="n">
        <v>8.630000000000001</v>
      </c>
      <c r="I68" s="18" t="n">
        <v>8.630000000000001</v>
      </c>
      <c r="J68" s="18" t="n">
        <v>7069.43</v>
      </c>
      <c r="K68" s="37" t="n">
        <v>7095.32</v>
      </c>
      <c r="L68" s="18" t="n">
        <v>8.640000000000001</v>
      </c>
      <c r="M68" s="18" t="n">
        <v>9.6</v>
      </c>
      <c r="N68" s="18" t="n">
        <v>8.630000000000001</v>
      </c>
      <c r="O68" s="18" t="n">
        <v>10.63</v>
      </c>
      <c r="P68" s="37" t="n">
        <v>37.5</v>
      </c>
      <c r="Q68" s="18" t="n">
        <v>58.63</v>
      </c>
      <c r="R68" s="18" t="n">
        <v>8.630000000000001</v>
      </c>
      <c r="S68" s="18" t="n">
        <v>9.18</v>
      </c>
      <c r="T68" s="18" t="n">
        <v>134.06</v>
      </c>
      <c r="U68" s="37" t="n">
        <v>210.5</v>
      </c>
      <c r="V68" s="18" t="n">
        <v>21.01</v>
      </c>
      <c r="W68" s="18" t="n">
        <v>9.529999999999999</v>
      </c>
      <c r="X68" s="18" t="n">
        <v>69.17</v>
      </c>
      <c r="Y68" s="18" t="n">
        <v>25.63</v>
      </c>
      <c r="Z68" s="37" t="n">
        <v>125.34</v>
      </c>
      <c r="AA68" s="18" t="n">
        <v>142.64</v>
      </c>
      <c r="AB68" s="19" t="n">
        <v>8.630000000000001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금융수익</t>
        </is>
      </c>
      <c r="E69" s="18" t="n">
        <v>-460.43</v>
      </c>
      <c r="F69" s="9" t="n"/>
      <c r="G69" s="18" t="n">
        <v>470.77</v>
      </c>
      <c r="H69" s="18" t="n">
        <v>593.55</v>
      </c>
      <c r="I69" s="18" t="n">
        <v>970.8200000000001</v>
      </c>
      <c r="J69" s="18" t="n">
        <v>-139.84</v>
      </c>
      <c r="K69" s="37" t="n">
        <v>1895.3</v>
      </c>
      <c r="L69" s="18" t="n">
        <v>2135.08</v>
      </c>
      <c r="M69" s="18" t="n">
        <v>287.73</v>
      </c>
      <c r="N69" s="18" t="n">
        <v>-825.6</v>
      </c>
      <c r="O69" s="18" t="n">
        <v>581.0599999999999</v>
      </c>
      <c r="P69" s="37" t="n">
        <v>2178.27</v>
      </c>
      <c r="Q69" s="18" t="n">
        <v>373.47</v>
      </c>
      <c r="R69" s="18" t="n">
        <v>372.97</v>
      </c>
      <c r="S69" s="18" t="n">
        <v>477.13</v>
      </c>
      <c r="T69" s="18" t="n">
        <v>375.88</v>
      </c>
      <c r="U69" s="37" t="n">
        <v>1599.45</v>
      </c>
      <c r="V69" s="18" t="n">
        <v>819.7</v>
      </c>
      <c r="W69" s="18" t="n">
        <v>603.89</v>
      </c>
      <c r="X69" s="18" t="n">
        <v>358.14</v>
      </c>
      <c r="Y69" s="18" t="n">
        <v>663.1</v>
      </c>
      <c r="Z69" s="37" t="n">
        <v>2444.83</v>
      </c>
      <c r="AA69" s="18" t="n">
        <v>313.24</v>
      </c>
      <c r="AB69" s="19" t="n">
        <v>3539.2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금융비용</t>
        </is>
      </c>
      <c r="E70" s="18" t="n">
        <v>107.23</v>
      </c>
      <c r="F70" s="9" t="n"/>
      <c r="G70" s="18" t="n">
        <v>664.9299999999999</v>
      </c>
      <c r="H70" s="18" t="n">
        <v>3079.02</v>
      </c>
      <c r="I70" s="18" t="n">
        <v>459.01</v>
      </c>
      <c r="J70" s="18" t="n">
        <v>764.4</v>
      </c>
      <c r="K70" s="37" t="n">
        <v>4967.36</v>
      </c>
      <c r="L70" s="18" t="n">
        <v>565.01</v>
      </c>
      <c r="M70" s="18" t="n">
        <v>429.29</v>
      </c>
      <c r="N70" s="18" t="n">
        <v>657.4</v>
      </c>
      <c r="O70" s="18" t="n">
        <v>417.44</v>
      </c>
      <c r="P70" s="37" t="n">
        <v>2069.14</v>
      </c>
      <c r="Q70" s="18" t="n">
        <v>1444.85</v>
      </c>
      <c r="R70" s="18" t="n">
        <v>1201.53</v>
      </c>
      <c r="S70" s="18" t="n">
        <v>40.06</v>
      </c>
      <c r="T70" s="18" t="n">
        <v>2280.94</v>
      </c>
      <c r="U70" s="37" t="n">
        <v>4967.38</v>
      </c>
      <c r="V70" s="18" t="n">
        <v>579.29</v>
      </c>
      <c r="W70" s="18" t="n">
        <v>121.91</v>
      </c>
      <c r="X70" s="18" t="n">
        <v>757.05</v>
      </c>
      <c r="Y70" s="18" t="n">
        <v>2195.51</v>
      </c>
      <c r="Z70" s="37" t="n">
        <v>3653.76</v>
      </c>
      <c r="AA70" s="18" t="n">
        <v>2144.94</v>
      </c>
      <c r="AB70" s="19" t="n">
        <v>3855.61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법인세비용차감전계속사업이익</t>
        </is>
      </c>
      <c r="E71" s="18" t="n">
        <v>-13928.62</v>
      </c>
      <c r="F71" s="9" t="n"/>
      <c r="G71" s="18" t="n">
        <v>-352.36</v>
      </c>
      <c r="H71" s="18" t="n">
        <v>-3358.92</v>
      </c>
      <c r="I71" s="18" t="n">
        <v>-3206.56</v>
      </c>
      <c r="J71" s="18" t="n">
        <v>-6374.58</v>
      </c>
      <c r="K71" s="37" t="n">
        <v>-13292.42</v>
      </c>
      <c r="L71" s="18" t="n">
        <v>1845.66</v>
      </c>
      <c r="M71" s="18" t="n">
        <v>1146.01</v>
      </c>
      <c r="N71" s="18" t="n">
        <v>704.47</v>
      </c>
      <c r="O71" s="18" t="n">
        <v>1117.22</v>
      </c>
      <c r="P71" s="37" t="n">
        <v>4813.36</v>
      </c>
      <c r="Q71" s="18" t="n">
        <v>1188.59</v>
      </c>
      <c r="R71" s="18" t="n">
        <v>901.38</v>
      </c>
      <c r="S71" s="18" t="n">
        <v>2758.51</v>
      </c>
      <c r="T71" s="18" t="n">
        <v>1488.91</v>
      </c>
      <c r="U71" s="37" t="n">
        <v>6337.39</v>
      </c>
      <c r="V71" s="18" t="n">
        <v>1978.68</v>
      </c>
      <c r="W71" s="18" t="n">
        <v>2967.84</v>
      </c>
      <c r="X71" s="18" t="n">
        <v>2180.79</v>
      </c>
      <c r="Y71" s="18" t="n">
        <v>543.66</v>
      </c>
      <c r="Z71" s="37" t="n">
        <v>7670.97</v>
      </c>
      <c r="AA71" s="18" t="n">
        <v>1182.12</v>
      </c>
      <c r="AB71" s="19" t="n">
        <v>2151.7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법인세비용</t>
        </is>
      </c>
      <c r="E72" s="18" t="n">
        <v>-721.72</v>
      </c>
      <c r="F72" s="9" t="n"/>
      <c r="G72" s="18" t="n">
        <v>-68.15000000000001</v>
      </c>
      <c r="H72" s="18" t="n">
        <v>-744.55</v>
      </c>
      <c r="I72" s="18" t="n">
        <v>-1208.32</v>
      </c>
      <c r="J72" s="18" t="n">
        <v>159.78</v>
      </c>
      <c r="K72" s="37" t="n">
        <v>-1861.24</v>
      </c>
      <c r="L72" s="18" t="n">
        <v>398.67</v>
      </c>
      <c r="M72" s="18" t="n">
        <v>228.87</v>
      </c>
      <c r="N72" s="18" t="n">
        <v>155.39</v>
      </c>
      <c r="O72" s="18" t="n">
        <v>-511.49</v>
      </c>
      <c r="P72" s="37" t="n">
        <v>271.44</v>
      </c>
      <c r="Q72" s="18" t="n">
        <v>248.42</v>
      </c>
      <c r="R72" s="18" t="n">
        <v>173.51</v>
      </c>
      <c r="S72" s="18" t="n">
        <v>391.26</v>
      </c>
      <c r="T72" s="18" t="n">
        <v>86.41</v>
      </c>
      <c r="U72" s="37" t="n">
        <v>899.6</v>
      </c>
      <c r="V72" s="18" t="n">
        <v>498.83</v>
      </c>
      <c r="W72" s="18" t="n">
        <v>694.04</v>
      </c>
      <c r="X72" s="18" t="n">
        <v>512.03</v>
      </c>
      <c r="Y72" s="18" t="n">
        <v>-762.78</v>
      </c>
      <c r="Z72" s="37" t="n">
        <v>942.12</v>
      </c>
      <c r="AA72" s="18" t="n">
        <v>276.16</v>
      </c>
      <c r="AB72" s="19" t="n">
        <v>441.27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당기순이익</t>
        </is>
      </c>
      <c r="E73" s="18" t="n">
        <v>-13206.9</v>
      </c>
      <c r="F73" s="9" t="n"/>
      <c r="G73" s="18" t="n">
        <v>-284.22</v>
      </c>
      <c r="H73" s="18" t="n">
        <v>-2614.37</v>
      </c>
      <c r="I73" s="18" t="n">
        <v>-1998.24</v>
      </c>
      <c r="J73" s="18" t="n">
        <v>-6534.36</v>
      </c>
      <c r="K73" s="37" t="n">
        <v>-11431.19</v>
      </c>
      <c r="L73" s="18" t="n">
        <v>1446.99</v>
      </c>
      <c r="M73" s="18" t="n">
        <v>917.13</v>
      </c>
      <c r="N73" s="18" t="n">
        <v>549.08</v>
      </c>
      <c r="O73" s="18" t="n">
        <v>1628.7</v>
      </c>
      <c r="P73" s="37" t="n">
        <v>4541.9</v>
      </c>
      <c r="Q73" s="18" t="n">
        <v>940.17</v>
      </c>
      <c r="R73" s="18" t="n">
        <v>727.87</v>
      </c>
      <c r="S73" s="18" t="n">
        <v>2367.26</v>
      </c>
      <c r="T73" s="18" t="n">
        <v>1402.5</v>
      </c>
      <c r="U73" s="37" t="n">
        <v>5437.8</v>
      </c>
      <c r="V73" s="18" t="n">
        <v>1479.86</v>
      </c>
      <c r="W73" s="18" t="n">
        <v>2273.8</v>
      </c>
      <c r="X73" s="18" t="n">
        <v>1668.76</v>
      </c>
      <c r="Y73" s="18" t="n">
        <v>1306.44</v>
      </c>
      <c r="Z73" s="37" t="n">
        <v>6728.86</v>
      </c>
      <c r="AA73" s="18" t="n">
        <v>905.96</v>
      </c>
      <c r="AB73" s="19" t="n">
        <v>1710.43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총포괄손익</t>
        </is>
      </c>
      <c r="E74" s="18" t="n">
        <v>-13096.04</v>
      </c>
      <c r="F74" s="9" t="n"/>
      <c r="G74" s="18" t="n">
        <v>-284.22</v>
      </c>
      <c r="H74" s="18" t="n">
        <v>-2614.37</v>
      </c>
      <c r="I74" s="18" t="n">
        <v>-1998.24</v>
      </c>
      <c r="J74" s="18" t="n">
        <v>-6449.89</v>
      </c>
      <c r="K74" s="37" t="n">
        <v>-11346.72</v>
      </c>
      <c r="L74" s="18" t="n">
        <v>1446.99</v>
      </c>
      <c r="M74" s="18" t="n">
        <v>917.13</v>
      </c>
      <c r="N74" s="18" t="n">
        <v>549.08</v>
      </c>
      <c r="O74" s="18" t="n">
        <v>1019.46</v>
      </c>
      <c r="P74" s="37" t="n">
        <v>3932.66</v>
      </c>
      <c r="Q74" s="18" t="n">
        <v>940.17</v>
      </c>
      <c r="R74" s="18" t="n">
        <v>727.87</v>
      </c>
      <c r="S74" s="18" t="n">
        <v>2367.26</v>
      </c>
      <c r="T74" s="18" t="n">
        <v>1185.84</v>
      </c>
      <c r="U74" s="37" t="n">
        <v>5221.14</v>
      </c>
      <c r="V74" s="18" t="n">
        <v>1479.86</v>
      </c>
      <c r="W74" s="18" t="n">
        <v>2273.8</v>
      </c>
      <c r="X74" s="18" t="n">
        <v>1668.76</v>
      </c>
      <c r="Y74" s="18" t="n">
        <v>1359.6</v>
      </c>
      <c r="Z74" s="37" t="n">
        <v>6782.02</v>
      </c>
      <c r="AA74" s="18" t="n">
        <v>905.96</v>
      </c>
      <c r="AB74" s="19" t="n">
        <v>1710.43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금융손익</t>
        </is>
      </c>
      <c r="E75" s="18" t="n">
        <v>-567.66</v>
      </c>
      <c r="F75" s="9" t="n"/>
      <c r="G75" s="18" t="n">
        <v>-194.16</v>
      </c>
      <c r="H75" s="18" t="n">
        <v>-2485.47</v>
      </c>
      <c r="I75" s="18" t="n">
        <v>511.81</v>
      </c>
      <c r="J75" s="18" t="n">
        <v>-904.24</v>
      </c>
      <c r="K75" s="37" t="n">
        <v>-3072.06</v>
      </c>
      <c r="L75" s="18" t="n">
        <v>1570.07</v>
      </c>
      <c r="M75" s="18" t="n">
        <v>-141.56</v>
      </c>
      <c r="N75" s="18" t="n">
        <v>-1483</v>
      </c>
      <c r="O75" s="18" t="n">
        <v>163.62</v>
      </c>
      <c r="P75" s="37" t="n">
        <v>109.13</v>
      </c>
      <c r="Q75" s="18" t="n">
        <v>-1071.38</v>
      </c>
      <c r="R75" s="18" t="n">
        <v>-828.5599999999999</v>
      </c>
      <c r="S75" s="18" t="n">
        <v>437.07</v>
      </c>
      <c r="T75" s="18" t="n">
        <v>-1905.06</v>
      </c>
      <c r="U75" s="37" t="n">
        <v>-3367.93</v>
      </c>
      <c r="V75" s="18" t="n">
        <v>240.41</v>
      </c>
      <c r="W75" s="18" t="n">
        <v>481.98</v>
      </c>
      <c r="X75" s="18" t="n">
        <v>-398.91</v>
      </c>
      <c r="Y75" s="18" t="n">
        <v>-1532.41</v>
      </c>
      <c r="Z75" s="37" t="n">
        <v>-1208.93</v>
      </c>
      <c r="AA75" s="18" t="n">
        <v>-1831.7</v>
      </c>
      <c r="AB75" s="19" t="n">
        <v>-316.41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기타영업외손익</t>
        </is>
      </c>
      <c r="E76" s="18" t="n">
        <v>-12319.72</v>
      </c>
      <c r="F76" s="9" t="n"/>
      <c r="G76" s="18" t="n">
        <v>212.05</v>
      </c>
      <c r="H76" s="18" t="n">
        <v>367.92</v>
      </c>
      <c r="I76" s="18" t="n">
        <v>138.02</v>
      </c>
      <c r="J76" s="18" t="n">
        <v>-6718.92</v>
      </c>
      <c r="K76" s="37" t="n">
        <v>-6000.93</v>
      </c>
      <c r="L76" s="18" t="n">
        <v>211.02</v>
      </c>
      <c r="M76" s="18" t="n">
        <v>307.64</v>
      </c>
      <c r="N76" s="18" t="n">
        <v>96.51000000000001</v>
      </c>
      <c r="O76" s="18" t="n">
        <v>357.8</v>
      </c>
      <c r="P76" s="37" t="n">
        <v>972.97</v>
      </c>
      <c r="Q76" s="18" t="n">
        <v>103.69</v>
      </c>
      <c r="R76" s="18" t="n">
        <v>437.51</v>
      </c>
      <c r="S76" s="18" t="n">
        <v>98.64</v>
      </c>
      <c r="T76" s="18" t="n">
        <v>313.75</v>
      </c>
      <c r="U76" s="37" t="n">
        <v>953.59</v>
      </c>
      <c r="V76" s="18" t="n">
        <v>145.99</v>
      </c>
      <c r="W76" s="18" t="n">
        <v>418.58</v>
      </c>
      <c r="X76" s="18" t="n">
        <v>151.67</v>
      </c>
      <c r="Y76" s="18" t="n">
        <v>464.48</v>
      </c>
      <c r="Z76" s="37" t="n">
        <v>1180.72</v>
      </c>
      <c r="AA76" s="18" t="n">
        <v>358.97</v>
      </c>
      <c r="AB76" s="19" t="n">
        <v>650.4299999999999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(지배주주지분)당기순이익</t>
        </is>
      </c>
      <c r="E77" s="18" t="n">
        <v>-13206.9</v>
      </c>
      <c r="F77" s="9" t="n"/>
      <c r="G77" s="18" t="n">
        <v>-284.22</v>
      </c>
      <c r="H77" s="18" t="n">
        <v>-2614.37</v>
      </c>
      <c r="I77" s="18" t="n">
        <v>-1998.24</v>
      </c>
      <c r="J77" s="18" t="n">
        <v>-6534.36</v>
      </c>
      <c r="K77" s="37" t="n">
        <v>-11431.19</v>
      </c>
      <c r="L77" s="18" t="n">
        <v>1446.99</v>
      </c>
      <c r="M77" s="18" t="n">
        <v>917.13</v>
      </c>
      <c r="N77" s="18" t="n">
        <v>549.08</v>
      </c>
      <c r="O77" s="18" t="n">
        <v>1628.7</v>
      </c>
      <c r="P77" s="37" t="n">
        <v>4541.9</v>
      </c>
      <c r="Q77" s="18" t="n">
        <v>940.17</v>
      </c>
      <c r="R77" s="18" t="n">
        <v>727.87</v>
      </c>
      <c r="S77" s="18" t="n">
        <v>2367.26</v>
      </c>
      <c r="T77" s="18" t="n">
        <v>1402.5</v>
      </c>
      <c r="U77" s="37" t="n">
        <v>5437.8</v>
      </c>
      <c r="V77" s="18" t="n">
        <v>1479.86</v>
      </c>
      <c r="W77" s="18" t="n">
        <v>2273.8</v>
      </c>
      <c r="X77" s="18" t="n">
        <v>1668.76</v>
      </c>
      <c r="Y77" s="18" t="n">
        <v>1306.44</v>
      </c>
      <c r="Z77" s="37" t="n">
        <v>6728.86</v>
      </c>
      <c r="AA77" s="18" t="n">
        <v>905.96</v>
      </c>
      <c r="AB77" s="19" t="n">
        <v>1710.43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계속사업이익</t>
        </is>
      </c>
      <c r="E78" s="18" t="n">
        <v>-13206.9</v>
      </c>
      <c r="F78" s="9" t="n"/>
      <c r="G78" s="18" t="n">
        <v>-284.22</v>
      </c>
      <c r="H78" s="18" t="n">
        <v>-2614.37</v>
      </c>
      <c r="I78" s="18" t="n">
        <v>-1998.24</v>
      </c>
      <c r="J78" s="18" t="n">
        <v>-6534.36</v>
      </c>
      <c r="K78" s="37" t="n">
        <v>-11431.19</v>
      </c>
      <c r="L78" s="18" t="n">
        <v>1446.99</v>
      </c>
      <c r="M78" s="18" t="n">
        <v>917.13</v>
      </c>
      <c r="N78" s="18" t="n">
        <v>549.08</v>
      </c>
      <c r="O78" s="18" t="n">
        <v>1628.7</v>
      </c>
      <c r="P78" s="37" t="n">
        <v>4541.9</v>
      </c>
      <c r="Q78" s="18" t="n">
        <v>940.17</v>
      </c>
      <c r="R78" s="18" t="n">
        <v>727.87</v>
      </c>
      <c r="S78" s="18" t="n">
        <v>2367.26</v>
      </c>
      <c r="T78" s="18" t="n">
        <v>1402.5</v>
      </c>
      <c r="U78" s="37" t="n">
        <v>5437.8</v>
      </c>
      <c r="V78" s="18" t="n">
        <v>1479.86</v>
      </c>
      <c r="W78" s="18" t="n">
        <v>2273.8</v>
      </c>
      <c r="X78" s="18" t="n">
        <v>1668.76</v>
      </c>
      <c r="Y78" s="18" t="n">
        <v>1306.44</v>
      </c>
      <c r="Z78" s="37" t="n">
        <v>6728.86</v>
      </c>
      <c r="AA78" s="18" t="n">
        <v>905.96</v>
      </c>
      <c r="AB78" s="19" t="n">
        <v>1710.43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영업활동으로인한현금흐름</t>
        </is>
      </c>
      <c r="E79" s="18" t="n">
        <v>-5372.17</v>
      </c>
      <c r="F79" s="9" t="n"/>
      <c r="G79" s="18" t="n">
        <v>-3214.28</v>
      </c>
      <c r="H79" s="18" t="n">
        <v>1860.61</v>
      </c>
      <c r="I79" s="18" t="n">
        <v>-3781.39</v>
      </c>
      <c r="J79" s="18" t="n">
        <v>6683.43</v>
      </c>
      <c r="K79" s="37" t="n">
        <v>1548.37</v>
      </c>
      <c r="L79" s="18" t="n">
        <v>-290.79</v>
      </c>
      <c r="M79" s="18" t="n">
        <v>-683.28</v>
      </c>
      <c r="N79" s="18" t="n">
        <v>4372.72</v>
      </c>
      <c r="O79" s="18" t="n">
        <v>1608.28</v>
      </c>
      <c r="P79" s="37" t="n">
        <v>5006.93</v>
      </c>
      <c r="Q79" s="18" t="n">
        <v>2823.76</v>
      </c>
      <c r="R79" s="18" t="n">
        <v>1172.32</v>
      </c>
      <c r="S79" s="18" t="n">
        <v>7945.6</v>
      </c>
      <c r="T79" s="18" t="n">
        <v>-276.39</v>
      </c>
      <c r="U79" s="37" t="n">
        <v>11665.29</v>
      </c>
      <c r="V79" s="18" t="n">
        <v>-281.29</v>
      </c>
      <c r="W79" s="18" t="n">
        <v>5539.77</v>
      </c>
      <c r="X79" s="18" t="n">
        <v>4463.57</v>
      </c>
      <c r="Y79" s="18" t="n">
        <v>-552.3</v>
      </c>
      <c r="Z79" s="37" t="n">
        <v>9169.75</v>
      </c>
      <c r="AA79" s="18" t="n">
        <v>-3004.92</v>
      </c>
      <c r="AB79" s="19" t="n">
        <v>-634.33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배당금수취(CF)</t>
        </is>
      </c>
      <c r="E80" s="18" t="n">
        <v>0</v>
      </c>
      <c r="F80" s="9" t="n"/>
      <c r="G80" s="18" t="n">
        <v>4.47</v>
      </c>
      <c r="H80" s="18" t="n">
        <v>60.91</v>
      </c>
      <c r="I80" s="18" t="n">
        <v>0</v>
      </c>
      <c r="J80" s="18" t="n">
        <v>0</v>
      </c>
      <c r="K80" s="37" t="n">
        <v>65.38</v>
      </c>
      <c r="L80" s="18" t="n">
        <v>0</v>
      </c>
      <c r="M80" s="18" t="n">
        <v>68.61</v>
      </c>
      <c r="N80" s="18" t="n">
        <v>0</v>
      </c>
      <c r="O80" s="18" t="n">
        <v>0</v>
      </c>
      <c r="P80" s="37" t="n">
        <v>68.61</v>
      </c>
      <c r="Q80" s="18" t="n">
        <v>0</v>
      </c>
      <c r="R80" s="18" t="n">
        <v>76.16</v>
      </c>
      <c r="S80" s="18" t="n">
        <v>0</v>
      </c>
      <c r="T80" s="18" t="n">
        <v>0</v>
      </c>
      <c r="U80" s="37" t="n">
        <v>76.16</v>
      </c>
      <c r="V80" s="18" t="n">
        <v>0</v>
      </c>
      <c r="W80" s="18" t="n">
        <v>89.83</v>
      </c>
      <c r="X80" s="18" t="n">
        <v>0</v>
      </c>
      <c r="Y80" s="18" t="n">
        <v>0</v>
      </c>
      <c r="Z80" s="37" t="n">
        <v>89.83</v>
      </c>
      <c r="AA80" s="18" t="n">
        <v>0</v>
      </c>
      <c r="AB80" s="19" t="n">
        <v>119.72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법인세납부(CF)</t>
        </is>
      </c>
      <c r="E81" s="18" t="n">
        <v>-22.91</v>
      </c>
      <c r="F81" s="9" t="n"/>
      <c r="G81" s="18" t="n">
        <v>-35.72</v>
      </c>
      <c r="H81" s="18" t="n">
        <v>-43.55</v>
      </c>
      <c r="I81" s="18" t="n">
        <v>-60.84</v>
      </c>
      <c r="J81" s="18" t="n">
        <v>-31.04</v>
      </c>
      <c r="K81" s="37" t="n">
        <v>-171.15</v>
      </c>
      <c r="L81" s="18" t="n">
        <v>-39.72</v>
      </c>
      <c r="M81" s="18" t="n">
        <v>19.96</v>
      </c>
      <c r="N81" s="18" t="n">
        <v>-40.89</v>
      </c>
      <c r="O81" s="18" t="n">
        <v>-58.79</v>
      </c>
      <c r="P81" s="37" t="n">
        <v>-119.44</v>
      </c>
      <c r="Q81" s="18" t="n">
        <v>-49.16</v>
      </c>
      <c r="R81" s="18" t="n">
        <v>53.55</v>
      </c>
      <c r="S81" s="18" t="n">
        <v>-48</v>
      </c>
      <c r="T81" s="18" t="n">
        <v>-256.9</v>
      </c>
      <c r="U81" s="37" t="n">
        <v>-300.51</v>
      </c>
      <c r="V81" s="18" t="n">
        <v>-64.28</v>
      </c>
      <c r="W81" s="18" t="n">
        <v>-120.83</v>
      </c>
      <c r="X81" s="18" t="n">
        <v>-27.46</v>
      </c>
      <c r="Y81" s="18" t="n">
        <v>-128.19</v>
      </c>
      <c r="Z81" s="37" t="n">
        <v>-340.76</v>
      </c>
      <c r="AA81" s="18" t="n">
        <v>-12.99</v>
      </c>
      <c r="AB81" s="19" t="n">
        <v>-1240.01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투자활동으로인한현금흐름</t>
        </is>
      </c>
      <c r="E82" s="18" t="n">
        <v>3187.06</v>
      </c>
      <c r="F82" s="9" t="n"/>
      <c r="G82" s="18" t="n">
        <v>4465.42</v>
      </c>
      <c r="H82" s="18" t="n">
        <v>-1064.19</v>
      </c>
      <c r="I82" s="18" t="n">
        <v>1113.84</v>
      </c>
      <c r="J82" s="18" t="n">
        <v>-5903.58</v>
      </c>
      <c r="K82" s="37" t="n">
        <v>-1388.51</v>
      </c>
      <c r="L82" s="18" t="n">
        <v>1355.83</v>
      </c>
      <c r="M82" s="18" t="n">
        <v>-652.49</v>
      </c>
      <c r="N82" s="18" t="n">
        <v>-2899.39</v>
      </c>
      <c r="O82" s="18" t="n">
        <v>-3669.06</v>
      </c>
      <c r="P82" s="37" t="n">
        <v>-5865.11</v>
      </c>
      <c r="Q82" s="18" t="n">
        <v>1671.85</v>
      </c>
      <c r="R82" s="18" t="n">
        <v>9021.299999999999</v>
      </c>
      <c r="S82" s="18" t="n">
        <v>-13692.68</v>
      </c>
      <c r="T82" s="18" t="n">
        <v>2194.25</v>
      </c>
      <c r="U82" s="37" t="n">
        <v>-805.28</v>
      </c>
      <c r="V82" s="18" t="n">
        <v>-8861.43</v>
      </c>
      <c r="W82" s="18" t="n">
        <v>6453.07</v>
      </c>
      <c r="X82" s="18" t="n">
        <v>-12205.55</v>
      </c>
      <c r="Y82" s="18" t="n">
        <v>-62600.25</v>
      </c>
      <c r="Z82" s="37" t="n">
        <v>-77214.16</v>
      </c>
      <c r="AA82" s="18" t="n">
        <v>138.14</v>
      </c>
      <c r="AB82" s="19" t="n">
        <v>-695.16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재무활동으로인한현금흐름</t>
        </is>
      </c>
      <c r="E83" s="18" t="n">
        <v>2982.4</v>
      </c>
      <c r="F83" s="9" t="n"/>
      <c r="G83" s="18" t="n">
        <v>-516.65</v>
      </c>
      <c r="H83" s="18" t="n">
        <v>-365.79</v>
      </c>
      <c r="I83" s="18" t="n">
        <v>-16.74</v>
      </c>
      <c r="J83" s="18" t="n">
        <v>-56.01</v>
      </c>
      <c r="K83" s="37" t="n">
        <v>-955.1900000000001</v>
      </c>
      <c r="L83" s="18" t="n">
        <v>-16.19</v>
      </c>
      <c r="M83" s="18" t="n">
        <v>-622.76</v>
      </c>
      <c r="N83" s="18" t="n">
        <v>-16.32</v>
      </c>
      <c r="O83" s="18" t="n">
        <v>-16.39</v>
      </c>
      <c r="P83" s="37" t="n">
        <v>-671.66</v>
      </c>
      <c r="Q83" s="18" t="n">
        <v>-6014.37</v>
      </c>
      <c r="R83" s="18" t="n">
        <v>-6722.73</v>
      </c>
      <c r="S83" s="18" t="n">
        <v>2490.16</v>
      </c>
      <c r="T83" s="18" t="n">
        <v>-9.94</v>
      </c>
      <c r="U83" s="37" t="n">
        <v>-10256.88</v>
      </c>
      <c r="V83" s="18" t="n">
        <v>7489.96</v>
      </c>
      <c r="W83" s="18" t="n">
        <v>-8829.65</v>
      </c>
      <c r="X83" s="18" t="n">
        <v>20989.74</v>
      </c>
      <c r="Y83" s="18" t="n">
        <v>46566.12</v>
      </c>
      <c r="Z83" s="37" t="n">
        <v>66216.17</v>
      </c>
      <c r="AA83" s="18" t="n">
        <v>4856.04</v>
      </c>
      <c r="AB83" s="19" t="n">
        <v>-290.86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단기차입금의증가</t>
        </is>
      </c>
      <c r="E84" s="18" t="n">
        <v>3000</v>
      </c>
      <c r="F84" s="9" t="n"/>
      <c r="G84" s="18" t="n">
        <v>0</v>
      </c>
      <c r="H84" s="18" t="n">
        <v>0</v>
      </c>
      <c r="I84" s="18" t="n">
        <v>0</v>
      </c>
      <c r="J84" s="18" t="n">
        <v>0</v>
      </c>
      <c r="K84" s="37" t="n">
        <v>0</v>
      </c>
      <c r="L84" s="18" t="n">
        <v>0</v>
      </c>
      <c r="P84" s="9" t="n"/>
      <c r="Q84" s="18" t="n">
        <v>0</v>
      </c>
      <c r="R84" s="18" t="n">
        <v>0</v>
      </c>
      <c r="S84" s="18" t="n">
        <v>2500</v>
      </c>
      <c r="T84" s="18" t="n">
        <v>0</v>
      </c>
      <c r="U84" s="37" t="n">
        <v>2500</v>
      </c>
      <c r="V84" s="18" t="n">
        <v>9000</v>
      </c>
      <c r="W84" s="18" t="n">
        <v>1500</v>
      </c>
      <c r="X84" s="18" t="n">
        <v>21000</v>
      </c>
      <c r="Y84" s="18" t="n">
        <v>23140.06</v>
      </c>
      <c r="Z84" s="37" t="n">
        <v>54640.06</v>
      </c>
      <c r="AA84" s="18" t="n">
        <v>16796.96</v>
      </c>
      <c r="AB84" s="19" t="n">
        <v>17789.68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장기차입금의증가</t>
        </is>
      </c>
      <c r="E85" s="18" t="n">
        <v>0</v>
      </c>
      <c r="F85" s="9" t="n"/>
      <c r="I85" s="18" t="n">
        <v>0</v>
      </c>
      <c r="J85" s="18" t="n">
        <v>0</v>
      </c>
      <c r="K85" s="9" t="n"/>
      <c r="N85" s="18" t="n">
        <v>0</v>
      </c>
      <c r="O85" s="18" t="n">
        <v>0</v>
      </c>
      <c r="P85" s="9" t="n"/>
      <c r="U85" s="9" t="n"/>
      <c r="V85" s="18" t="n">
        <v>1000</v>
      </c>
      <c r="W85" s="18" t="n">
        <v>1000</v>
      </c>
      <c r="X85" s="18" t="n">
        <v>0</v>
      </c>
      <c r="Y85" s="18" t="n">
        <v>5000</v>
      </c>
      <c r="Z85" s="37" t="n">
        <v>7000</v>
      </c>
      <c r="AA85" s="18" t="n">
        <v>0</v>
      </c>
      <c r="AB85" s="19" t="n">
        <v>0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단기차입금의감소</t>
        </is>
      </c>
      <c r="E86" s="18" t="n">
        <v>0</v>
      </c>
      <c r="F86" s="9" t="n"/>
      <c r="K86" s="9" t="n"/>
      <c r="P86" s="9" t="n"/>
      <c r="Q86" s="18" t="n">
        <v>6000</v>
      </c>
      <c r="R86" s="18" t="n">
        <v>5500</v>
      </c>
      <c r="S86" s="18" t="n">
        <v>0</v>
      </c>
      <c r="T86" s="18" t="n">
        <v>0</v>
      </c>
      <c r="U86" s="37" t="n">
        <v>11500</v>
      </c>
      <c r="V86" s="18" t="n">
        <v>2000</v>
      </c>
      <c r="W86" s="18" t="n">
        <v>9500</v>
      </c>
      <c r="X86" s="18" t="n">
        <v>0</v>
      </c>
      <c r="Y86" s="18" t="n">
        <v>8000</v>
      </c>
      <c r="Z86" s="37" t="n">
        <v>19500</v>
      </c>
      <c r="AA86" s="18" t="n">
        <v>11930.68</v>
      </c>
      <c r="AB86" s="19" t="n">
        <v>15915.76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장기차입금의감소</t>
        </is>
      </c>
      <c r="E87" s="18" t="n">
        <v>3.38</v>
      </c>
      <c r="F87" s="9" t="n"/>
      <c r="G87" s="18" t="n">
        <v>503.38</v>
      </c>
      <c r="H87" s="18" t="n">
        <v>3.38</v>
      </c>
      <c r="I87" s="18" t="n">
        <v>3.38</v>
      </c>
      <c r="J87" s="18" t="n">
        <v>40.56</v>
      </c>
      <c r="K87" s="37" t="n">
        <v>550.7</v>
      </c>
      <c r="L87" s="18" t="n">
        <v>0</v>
      </c>
      <c r="M87" s="18" t="n">
        <v>0</v>
      </c>
      <c r="N87" s="18" t="n">
        <v>0</v>
      </c>
      <c r="O87" s="18" t="n">
        <v>0</v>
      </c>
      <c r="P87" s="37" t="n">
        <v>0</v>
      </c>
      <c r="Q87" s="18" t="n">
        <v>0</v>
      </c>
      <c r="R87" s="18" t="n">
        <v>0</v>
      </c>
      <c r="U87" s="9" t="n"/>
      <c r="Z87" s="9" t="n"/>
      <c r="AA87" s="18" t="n">
        <v>0</v>
      </c>
      <c r="AB87" s="19" t="n">
        <v>0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배당금지급</t>
        </is>
      </c>
      <c r="E88" s="18" t="n">
        <v>0</v>
      </c>
      <c r="F88" s="9" t="n"/>
      <c r="I88" s="18" t="n">
        <v>0</v>
      </c>
      <c r="J88" s="18" t="n">
        <v>0</v>
      </c>
      <c r="K88" s="9" t="n"/>
      <c r="N88" s="18" t="n">
        <v>0</v>
      </c>
      <c r="O88" s="18" t="n">
        <v>0</v>
      </c>
      <c r="P88" s="9" t="n"/>
      <c r="S88" s="18" t="n">
        <v>0</v>
      </c>
      <c r="T88" s="18" t="n">
        <v>0</v>
      </c>
      <c r="U88" s="9" t="n"/>
      <c r="X88" s="18" t="n">
        <v>0</v>
      </c>
      <c r="Y88" s="18" t="n">
        <v>0</v>
      </c>
      <c r="Z88" s="9" t="n"/>
      <c r="AA88" s="18" t="n">
        <v>0</v>
      </c>
      <c r="AB88" s="19" t="n">
        <v>2145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자기주식의취득</t>
        </is>
      </c>
      <c r="E89" s="18" t="n">
        <v>0</v>
      </c>
      <c r="F89" s="9" t="n"/>
      <c r="J89" s="18" t="n">
        <v>0</v>
      </c>
      <c r="K89" s="9" t="n"/>
      <c r="P89" s="9" t="n"/>
      <c r="U89" s="9" t="n"/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현금및현금성자산의증감</t>
        </is>
      </c>
      <c r="E90" s="18" t="n">
        <v>797.3</v>
      </c>
      <c r="F90" s="9" t="n"/>
      <c r="G90" s="18" t="n">
        <v>734.49</v>
      </c>
      <c r="H90" s="18" t="n">
        <v>430.63</v>
      </c>
      <c r="I90" s="18" t="n">
        <v>-2684.29</v>
      </c>
      <c r="J90" s="18" t="n">
        <v>723.84</v>
      </c>
      <c r="K90" s="37" t="n">
        <v>-795.33</v>
      </c>
      <c r="L90" s="18" t="n">
        <v>1048.85</v>
      </c>
      <c r="M90" s="18" t="n">
        <v>-1958.53</v>
      </c>
      <c r="N90" s="18" t="n">
        <v>1457.01</v>
      </c>
      <c r="O90" s="18" t="n">
        <v>-2077.16</v>
      </c>
      <c r="P90" s="37" t="n">
        <v>-1529.83</v>
      </c>
      <c r="Q90" s="18" t="n">
        <v>-1518.76</v>
      </c>
      <c r="R90" s="18" t="n">
        <v>3470.88</v>
      </c>
      <c r="S90" s="18" t="n">
        <v>-3256.91</v>
      </c>
      <c r="T90" s="18" t="n">
        <v>1907.92</v>
      </c>
      <c r="U90" s="37" t="n">
        <v>603.13</v>
      </c>
      <c r="V90" s="18" t="n">
        <v>-1652.76</v>
      </c>
      <c r="W90" s="18" t="n">
        <v>3163.19</v>
      </c>
      <c r="X90" s="18" t="n">
        <v>13247.76</v>
      </c>
      <c r="Y90" s="18" t="n">
        <v>-16586.43</v>
      </c>
      <c r="Z90" s="37" t="n">
        <v>-1828.24</v>
      </c>
      <c r="AA90" s="18" t="n">
        <v>1989.25</v>
      </c>
      <c r="AB90" s="19" t="n">
        <v>-1620.35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기말현금및현금성자산</t>
        </is>
      </c>
      <c r="E91" s="18" t="n">
        <v>711.26</v>
      </c>
      <c r="F91" s="9" t="n"/>
      <c r="G91" s="18" t="n">
        <v>6718.53</v>
      </c>
      <c r="H91" s="18" t="n">
        <v>430.46</v>
      </c>
      <c r="I91" s="18" t="n">
        <v>-2560.45</v>
      </c>
      <c r="J91" s="18" t="n">
        <v>634.91</v>
      </c>
      <c r="K91" s="37" t="n">
        <v>5223.45</v>
      </c>
      <c r="L91" s="18" t="n">
        <v>6270.1</v>
      </c>
      <c r="M91" s="18" t="n">
        <v>-1978.01</v>
      </c>
      <c r="N91" s="18" t="n">
        <v>1444.84</v>
      </c>
      <c r="O91" s="18" t="n">
        <v>-2046.03</v>
      </c>
      <c r="P91" s="37" t="n">
        <v>3690.9</v>
      </c>
      <c r="Q91" s="18" t="n">
        <v>2165.35</v>
      </c>
      <c r="R91" s="18" t="n">
        <v>3451.97</v>
      </c>
      <c r="S91" s="18" t="n">
        <v>-3231.36</v>
      </c>
      <c r="T91" s="18" t="n">
        <v>1910.83</v>
      </c>
      <c r="U91" s="37" t="n">
        <v>4296.79</v>
      </c>
      <c r="V91" s="18" t="n">
        <v>2646.74</v>
      </c>
      <c r="W91" s="18" t="n">
        <v>3157.74</v>
      </c>
      <c r="X91" s="18" t="n">
        <v>13260.41</v>
      </c>
      <c r="Y91" s="18" t="n">
        <v>-16599.01</v>
      </c>
      <c r="Z91" s="37" t="n">
        <v>2465.88</v>
      </c>
      <c r="AA91" s="18" t="n">
        <v>4469.18</v>
      </c>
      <c r="AB91" s="19" t="n">
        <v>-1634.27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이자수취(CF)</t>
        </is>
      </c>
      <c r="F92" s="9" t="n"/>
      <c r="K92" s="9" t="n"/>
      <c r="O92" s="18" t="n">
        <v>271.34</v>
      </c>
      <c r="P92" s="9" t="n"/>
      <c r="Q92" s="18" t="n">
        <v>335.78</v>
      </c>
      <c r="R92" s="18" t="n">
        <v>254.83</v>
      </c>
      <c r="S92" s="18" t="n">
        <v>228.65</v>
      </c>
      <c r="T92" s="18" t="n">
        <v>292.36</v>
      </c>
      <c r="U92" s="37" t="n">
        <v>1111.62</v>
      </c>
      <c r="V92" s="18" t="n">
        <v>215.73</v>
      </c>
      <c r="W92" s="18" t="n">
        <v>334.68</v>
      </c>
      <c r="X92" s="18" t="n">
        <v>208.93</v>
      </c>
      <c r="Y92" s="18" t="n">
        <v>455.15</v>
      </c>
      <c r="Z92" s="37" t="n">
        <v>1214.49</v>
      </c>
      <c r="AA92" s="18" t="n">
        <v>99.37</v>
      </c>
      <c r="AB92" s="19" t="n">
        <v>94.33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무형자산의감소</t>
        </is>
      </c>
      <c r="F93" s="9" t="n"/>
      <c r="K93" s="9" t="n"/>
      <c r="P93" s="9" t="n"/>
      <c r="S93" s="18" t="n">
        <v>0</v>
      </c>
      <c r="T93" s="18" t="n">
        <v>0</v>
      </c>
      <c r="U93" s="9" t="n"/>
      <c r="X93" s="18" t="n">
        <v>0</v>
      </c>
      <c r="Y93" s="18" t="n">
        <v>0</v>
      </c>
      <c r="Z93" s="9" t="n"/>
      <c r="AA93" s="18" t="n">
        <v>0</v>
      </c>
      <c r="AB93" s="19" t="n">
        <v>237.27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무형자산의증가</t>
        </is>
      </c>
      <c r="F94" s="9" t="n"/>
      <c r="K94" s="9" t="n"/>
      <c r="P94" s="9" t="n"/>
      <c r="U94" s="9" t="n"/>
      <c r="V94" s="18" t="n">
        <v>1.73</v>
      </c>
      <c r="W94" s="18" t="n">
        <v>23.14</v>
      </c>
      <c r="X94" s="18" t="n">
        <v>5.64</v>
      </c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CAPEX</t>
        </is>
      </c>
      <c r="F95" s="9" t="n"/>
      <c r="K95" s="9" t="n"/>
      <c r="P95" s="9" t="n"/>
      <c r="U95" s="9" t="n"/>
      <c r="V95" s="18" t="n">
        <v>1.73</v>
      </c>
      <c r="W95" s="18" t="n">
        <v>23.14</v>
      </c>
      <c r="X95" s="18" t="n">
        <v>5.64</v>
      </c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차입금의감소</t>
        </is>
      </c>
      <c r="F96" s="9" t="n"/>
      <c r="K96" s="9" t="n"/>
      <c r="P96" s="9" t="n"/>
      <c r="U96" s="9" t="n"/>
      <c r="V96" s="18" t="n">
        <v>500</v>
      </c>
      <c r="W96" s="18" t="n">
        <v>0</v>
      </c>
      <c r="X96" s="18" t="n">
        <v>0</v>
      </c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SUM(G11:J11)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IFERROR((AB27*변수!$D$53-AB25*변수!$D$54)/4,"")</f>
        <v/>
      </c>
      <c r="AD12" s="20">
        <f>IFERROR((AC27*변수!$D$53-AC25*변수!$D$54)/4,"")</f>
        <v/>
      </c>
      <c r="AE12" s="38">
        <f>SUM(AA12:AD12)</f>
        <v/>
      </c>
      <c r="AF12" s="20">
        <f>IFERROR((AD27*변수!$D$53-AD25*변수!$D$54)/4,"")</f>
        <v/>
      </c>
      <c r="AG12" s="20">
        <f>IFERROR((AF27*변수!$D$53-AF25*변수!$D$54)/4,"")</f>
        <v/>
      </c>
      <c r="AH12" s="20">
        <f>IFERROR((AG27*변수!$D$53-AG25*변수!$D$54)/4,"")</f>
        <v/>
      </c>
      <c r="AI12" s="20">
        <f>IFERROR((AH27*변수!$D$53-AH25*변수!$D$54)/4,"")</f>
        <v/>
      </c>
      <c r="AJ12" s="38">
        <f>SUM(AF12:AI12)</f>
        <v/>
      </c>
      <c r="AK12" s="20">
        <f>IFERROR((AI27*변수!$D$53-AI25*변수!$D$54)/4,"")</f>
        <v/>
      </c>
      <c r="AL12" s="20">
        <f>IFERROR((AK27*변수!$D$53-AK25*변수!$D$54)/4,"")</f>
        <v/>
      </c>
      <c r="AM12" s="20">
        <f>IFERROR((AL27*변수!$D$53-AL25*변수!$D$54)/4,"")</f>
        <v/>
      </c>
      <c r="AN12" s="20">
        <f>IFERROR((AM27*변수!$D$53-AM25*변수!$D$54)/4,"")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>
        <f>IFERROR((VLOOKUP("파생상품이익",BS연결,MATCH(H$1,BS연결H,0),0)-VLOOKUP("파생상품손실",BS연결,MATCH(H$1,BS연결H,0),0))/100,"")</f>
        <v/>
      </c>
      <c r="I14" s="18">
        <f>IFERROR((VLOOKUP("파생상품이익",BS연결,MATCH(I$1,BS연결H,0),0)-VLOOKUP("파생상품손실",BS연결,MATCH(I$1,BS연결H,0),0))/100,"")</f>
        <v/>
      </c>
      <c r="J14" s="18">
        <f>IFERROR((VLOOKUP("파생상품이익",BS연결,MATCH(J$1,BS연결H,0),0)-VLOOKUP("파생상품손실",BS연결,MATCH(J$1,BS연결H,0),0))/100,"")</f>
        <v/>
      </c>
      <c r="K14" s="37">
        <f>SUM(G14:J14)</f>
        <v/>
      </c>
      <c r="L14" s="18">
        <f>IFERROR((VLOOKUP("파생상품이익",BS연결,MATCH(L$1,BS연결H,0),0)-VLOOKUP("파생상품손실",BS연결,MATCH(L$1,BS연결H,0),0))/100,"")</f>
        <v/>
      </c>
      <c r="M14" s="18">
        <f>IFERROR((VLOOKUP("파생상품이익",BS연결,MATCH(M$1,BS연결H,0),0)-VLOOKUP("파생상품손실",BS연결,MATCH(M$1,BS연결H,0),0))/100,"")</f>
        <v/>
      </c>
      <c r="N14" s="18">
        <f>IFERROR((VLOOKUP("파생상품이익",BS연결,MATCH(N$1,BS연결H,0),0)-VLOOKUP("파생상품손실",BS연결,MATCH(N$1,BS연결H,0),0))/100,"")</f>
        <v/>
      </c>
      <c r="O14" s="18">
        <f>IFERROR((VLOOKUP("파생상품이익",BS연결,MATCH(O$1,BS연결H,0),0)-VLOOKUP("파생상품손실",BS연결,MATCH(O$1,BS연결H,0),0))/100,"")</f>
        <v/>
      </c>
      <c r="P14" s="37">
        <f>SUM(L14:O14)</f>
        <v/>
      </c>
      <c r="Q14" s="18" t="n"/>
      <c r="R14" s="18" t="n"/>
      <c r="S14" s="18">
        <f>IFERROR((VLOOKUP("파생상품이익",BS연결,MATCH(S$1,BS연결H,0),0)-VLOOKUP("파생상품손실",BS연결,MATCH(S$1,BS연결H,0),0))/100,"")</f>
        <v/>
      </c>
      <c r="T14" s="18">
        <f>IFERROR((VLOOKUP("파생상품이익",BS연결,MATCH(T$1,BS연결H,0),0)-VLOOKUP("파생상품손실",BS연결,MATCH(T$1,BS연결H,0),0))/100,"")</f>
        <v/>
      </c>
      <c r="U14" s="37">
        <f>SUM(Q14:T14)</f>
        <v/>
      </c>
      <c r="V14" s="18">
        <f>IFERROR((VLOOKUP("파생상품이익",BS연결,MATCH(V$1,BS연결H,0),0)-VLOOKUP("파생상품손실",BS연결,MATCH(V$1,BS연결H,0),0))/100,"")</f>
        <v/>
      </c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>
        <f>IFERROR(H11-H12-H13-H14,"")</f>
        <v/>
      </c>
      <c r="I15" s="18">
        <f>IFERROR(I11-I12-I13-I14,"")</f>
        <v/>
      </c>
      <c r="J15" s="18">
        <f>IFERROR(J11-J12-J13-J14,"")</f>
        <v/>
      </c>
      <c r="K15" s="37">
        <f>SUM(G15:J15)</f>
        <v/>
      </c>
      <c r="L15" s="18">
        <f>IFERROR(L11-L12-L13-L14,"")</f>
        <v/>
      </c>
      <c r="M15" s="18">
        <f>IFERROR(M11-M12-M13-M14,"")</f>
        <v/>
      </c>
      <c r="N15" s="18">
        <f>IFERROR(N11-N12-N13-N14,"")</f>
        <v/>
      </c>
      <c r="O15" s="18">
        <f>IFERROR(O11-O12-O13-O14,"")</f>
        <v/>
      </c>
      <c r="P15" s="37">
        <f>SUM(L15:O15)</f>
        <v/>
      </c>
      <c r="Q15" s="18" t="n"/>
      <c r="R15" s="18" t="n"/>
      <c r="S15" s="18">
        <f>IFERROR(S11-S12-S13-S14,"")</f>
        <v/>
      </c>
      <c r="T15" s="18">
        <f>IFERROR(T11-T12-T13-T14,"")</f>
        <v/>
      </c>
      <c r="U15" s="37">
        <f>SUM(Q15:T15)</f>
        <v/>
      </c>
      <c r="V15" s="18">
        <f>IFERROR(V11-V12-V13-V14,"")</f>
        <v/>
      </c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SUM(G16:J16)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SUM(V16:Y16)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IFERROR(AC9+AC11+AC16,"")</f>
        <v/>
      </c>
      <c r="AD17" s="20">
        <f>IFERROR(AD9+AD11+AD16,"")</f>
        <v/>
      </c>
      <c r="AE17" s="38">
        <f>SUM(AA17:AD17)</f>
        <v/>
      </c>
      <c r="AF17" s="20">
        <f>IFERROR(AF9+AF11+AF16,"")</f>
        <v/>
      </c>
      <c r="AG17" s="20">
        <f>IFERROR(AG9+AG11+AG16,"")</f>
        <v/>
      </c>
      <c r="AH17" s="20">
        <f>IFERROR(AH9+AH11+AH16,"")</f>
        <v/>
      </c>
      <c r="AI17" s="20">
        <f>IFERROR(AI9+AI11+AI16,"")</f>
        <v/>
      </c>
      <c r="AJ17" s="38">
        <f>SUM(AF17:AI17)</f>
        <v/>
      </c>
      <c r="AK17" s="20">
        <f>IFERROR(AK9+AK11+AK16,"")</f>
        <v/>
      </c>
      <c r="AL17" s="20">
        <f>IFERROR(AL9+AL11+AL16,"")</f>
        <v/>
      </c>
      <c r="AM17" s="20">
        <f>IFERROR(AM9+AM11+AM16,"")</f>
        <v/>
      </c>
      <c r="AN17" s="20">
        <f>IFERROR(AN9+AN11+AN16,"")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IFERROR(MAX(AC17,0)*변수!AC28,"")</f>
        <v/>
      </c>
      <c r="AD18" s="20">
        <f>IFERROR(MAX(AD17,0)*변수!AD28,"")</f>
        <v/>
      </c>
      <c r="AE18" s="38">
        <f>SUM(AA18:AD18)</f>
        <v/>
      </c>
      <c r="AF18" s="20">
        <f>IFERROR(MAX(AF17,0)*변수!AF28,"")</f>
        <v/>
      </c>
      <c r="AG18" s="20">
        <f>IFERROR(MAX(AG17,0)*변수!AG28,"")</f>
        <v/>
      </c>
      <c r="AH18" s="20">
        <f>IFERROR(MAX(AH17,0)*변수!AH28,"")</f>
        <v/>
      </c>
      <c r="AI18" s="20">
        <f>IFERROR(MAX(AI17,0)*변수!AI28,"")</f>
        <v/>
      </c>
      <c r="AJ18" s="38">
        <f>SUM(AF18:AI18)</f>
        <v/>
      </c>
      <c r="AK18" s="20">
        <f>IFERROR(MAX(AK17,0)*변수!AK28,"")</f>
        <v/>
      </c>
      <c r="AL18" s="20">
        <f>IFERROR(MAX(AL17,0)*변수!AL28,"")</f>
        <v/>
      </c>
      <c r="AM18" s="20">
        <f>IFERROR(MAX(AM17,0)*변수!AM28,"")</f>
        <v/>
      </c>
      <c r="AN18" s="20">
        <f>IFERROR(MAX(AN17,0)*변수!AN28,"")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  <c r="AF19" s="20">
        <f>IFERROR(AF17-AF18,"")</f>
        <v/>
      </c>
      <c r="AG19" s="20">
        <f>IFERROR(AG17-AG18,"")</f>
        <v/>
      </c>
      <c r="AH19" s="20">
        <f>IFERROR(AH17-AH18,"")</f>
        <v/>
      </c>
      <c r="AI19" s="20">
        <f>IFERROR(AI17-AI18,"")</f>
        <v/>
      </c>
      <c r="AJ19" s="38">
        <f>SUM(AF19:AI19)</f>
        <v/>
      </c>
      <c r="AK19" s="20">
        <f>IFERROR(AK17-AK18,"")</f>
        <v/>
      </c>
      <c r="AL19" s="20">
        <f>IFERROR(AL17-AL18,"")</f>
        <v/>
      </c>
      <c r="AM19" s="20">
        <f>IFERROR(AM17-AM18,"")</f>
        <v/>
      </c>
      <c r="AN19" s="20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  <c r="AF20" s="20">
        <f>IFERROR(AF19*변수!AF29,"")</f>
        <v/>
      </c>
      <c r="AG20" s="20">
        <f>IFERROR(AG19*변수!AG29,"")</f>
        <v/>
      </c>
      <c r="AH20" s="20">
        <f>IFERROR(AH19*변수!AH29,"")</f>
        <v/>
      </c>
      <c r="AI20" s="20">
        <f>IFERROR(AI19*변수!AI29,"")</f>
        <v/>
      </c>
      <c r="AJ20" s="38">
        <f>SUM(AF20:AI20)</f>
        <v/>
      </c>
      <c r="AK20" s="20">
        <f>IFERROR(AK19*변수!AK29,"")</f>
        <v/>
      </c>
      <c r="AL20" s="20">
        <f>IFERROR(AL19*변수!AL29,"")</f>
        <v/>
      </c>
      <c r="AM20" s="20">
        <f>IFERROR(AM19*변수!AM29,"")</f>
        <v/>
      </c>
      <c r="AN20" s="20">
        <f>IFERROR(AN19*변수!AN29,"")</f>
        <v/>
      </c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IFERROR(AC22+AC23,"")</f>
        <v/>
      </c>
      <c r="AD21" s="20">
        <f>IFERROR(AD22+AD23,"")</f>
        <v/>
      </c>
      <c r="AE21" s="38">
        <f>AD21</f>
        <v/>
      </c>
      <c r="AF21" s="20">
        <f>IFERROR(AF22+AF23,"")</f>
        <v/>
      </c>
      <c r="AG21" s="20">
        <f>IFERROR(AG22+AG23,"")</f>
        <v/>
      </c>
      <c r="AH21" s="20">
        <f>IFERROR(AH22+AH23,"")</f>
        <v/>
      </c>
      <c r="AI21" s="20">
        <f>IFERROR(AI22+AI23,"")</f>
        <v/>
      </c>
      <c r="AJ21" s="38">
        <f>AI21</f>
        <v/>
      </c>
      <c r="AK21" s="20">
        <f>IFERROR(AK22+AK23,"")</f>
        <v/>
      </c>
      <c r="AL21" s="20">
        <f>IFERROR(AL22+AL23,"")</f>
        <v/>
      </c>
      <c r="AM21" s="20">
        <f>IFERROR(AM22+AM23,"")</f>
        <v/>
      </c>
      <c r="AN21" s="20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IFERROR(AB22*(1+변수!AC30),"")</f>
        <v/>
      </c>
      <c r="AD22" s="20">
        <f>IFERROR(AC22*(1+변수!AD30),"")</f>
        <v/>
      </c>
      <c r="AE22" s="38">
        <f>AD22</f>
        <v/>
      </c>
      <c r="AF22" s="20">
        <f>IFERROR(AD22*(1+변수!AF30),"")</f>
        <v/>
      </c>
      <c r="AG22" s="20">
        <f>IFERROR(AF22*(1+변수!AG30),"")</f>
        <v/>
      </c>
      <c r="AH22" s="20">
        <f>IFERROR(AG22*(1+변수!AH30),"")</f>
        <v/>
      </c>
      <c r="AI22" s="20">
        <f>IFERROR(AH22*(1+변수!AI30),"")</f>
        <v/>
      </c>
      <c r="AJ22" s="38">
        <f>AI22</f>
        <v/>
      </c>
      <c r="AK22" s="20">
        <f>IFERROR(AI22*(1+변수!AK30),"")</f>
        <v/>
      </c>
      <c r="AL22" s="20">
        <f>IFERROR(AK22*(1+변수!AL30),"")</f>
        <v/>
      </c>
      <c r="AM22" s="20">
        <f>IFERROR(AL22*(1+변수!AM30),"")</f>
        <v/>
      </c>
      <c r="AN22" s="20">
        <f>IFERROR(AM22*(1+변수!AN30),"")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IFERROR(AB23+AC19-변수!AC31,"")</f>
        <v/>
      </c>
      <c r="AD23" s="20">
        <f>IFERROR(AC23+AD19-변수!AD31,"")</f>
        <v/>
      </c>
      <c r="AE23" s="38">
        <f>AD23</f>
        <v/>
      </c>
      <c r="AF23" s="20">
        <f>IFERROR(AD23+AF19-변수!AF31,"")</f>
        <v/>
      </c>
      <c r="AG23" s="20">
        <f>IFERROR(AF23+AG19-변수!AG31,"")</f>
        <v/>
      </c>
      <c r="AH23" s="20">
        <f>IFERROR(AG23+AH19-변수!AH31,"")</f>
        <v/>
      </c>
      <c r="AI23" s="20">
        <f>IFERROR(AH23+AI19-변수!AI31,"")</f>
        <v/>
      </c>
      <c r="AJ23" s="38">
        <f>AI23</f>
        <v/>
      </c>
      <c r="AK23" s="20">
        <f>IFERROR(AI23+AK19-변수!AK31,"")</f>
        <v/>
      </c>
      <c r="AL23" s="20">
        <f>IFERROR(AK23+AL19-변수!AL31,"")</f>
        <v/>
      </c>
      <c r="AM23" s="20">
        <f>IFERROR(AL23+AM19-변수!AM31,"")</f>
        <v/>
      </c>
      <c r="AN23" s="20">
        <f>IFERROR(AM23+AN19-변수!AN31,"")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IFERROR(AB24+AC20-변수!AC32,"")</f>
        <v/>
      </c>
      <c r="AD24" s="20">
        <f>IFERROR(AC24+AD20-변수!AD32,"")</f>
        <v/>
      </c>
      <c r="AE24" s="38">
        <f>AD24</f>
        <v/>
      </c>
      <c r="AF24" s="20">
        <f>IFERROR(AD24+AF20-변수!AF32,"")</f>
        <v/>
      </c>
      <c r="AG24" s="20">
        <f>IFERROR(AF24+AG20-변수!AG32,"")</f>
        <v/>
      </c>
      <c r="AH24" s="20">
        <f>IFERROR(AG24+AH20-변수!AH32,"")</f>
        <v/>
      </c>
      <c r="AI24" s="20">
        <f>IFERROR(AH24+AI20-변수!AI32,"")</f>
        <v/>
      </c>
      <c r="AJ24" s="38">
        <f>AI24</f>
        <v/>
      </c>
      <c r="AK24" s="20">
        <f>IFERROR(AI24+AK20-변수!AK32,"")</f>
        <v/>
      </c>
      <c r="AL24" s="20">
        <f>IFERROR(AK24+AL20-변수!AL32,"")</f>
        <v/>
      </c>
      <c r="AM24" s="20">
        <f>IFERROR(AL24+AM20-변수!AM32,"")</f>
        <v/>
      </c>
      <c r="AN24" s="20">
        <f>IFERROR(AM24+AN20-변수!AN32,"")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AD28</f>
        <v/>
      </c>
      <c r="AF28" s="20" t="n"/>
      <c r="AG28" s="20" t="n"/>
      <c r="AH28" s="20" t="n"/>
      <c r="AI28" s="20" t="n"/>
      <c r="AJ28" s="38">
        <f>AI28</f>
        <v/>
      </c>
      <c r="AK28" s="20" t="n"/>
      <c r="AL28" s="20" t="n"/>
      <c r="AM28" s="20" t="n"/>
      <c r="AN28" s="20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 t="n"/>
      <c r="F29" s="37" t="n"/>
      <c r="G29" s="18" t="n"/>
      <c r="H29" s="18" t="n"/>
      <c r="I29" s="18" t="n"/>
      <c r="J29" s="18" t="n"/>
      <c r="K29" s="37">
        <f>SUM(G29:J29)</f>
        <v/>
      </c>
      <c r="L29" s="18" t="n"/>
      <c r="M29" s="18" t="n"/>
      <c r="N29" s="18" t="n"/>
      <c r="O29" s="18" t="n"/>
      <c r="P29" s="37">
        <f>SUM(L29:O29)</f>
        <v/>
      </c>
      <c r="Q29" s="18" t="n"/>
      <c r="R29" s="18" t="n"/>
      <c r="S29" s="18" t="n"/>
      <c r="T29" s="18" t="n"/>
      <c r="U29" s="37">
        <f>SUM(Q29:T29)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 t="n"/>
      <c r="Z29" s="37">
        <f>SUM(V29:Y29)</f>
        <v/>
      </c>
      <c r="AA29" s="18" t="n"/>
      <c r="AB29" s="19" t="n"/>
      <c r="AC29" s="20">
        <f>IFERROR(X29*(1+변수!AC37),"")</f>
        <v/>
      </c>
      <c r="AD29" s="20">
        <f>IFERROR(AC29*(1+변수!AD37),"")</f>
        <v/>
      </c>
      <c r="AE29" s="38">
        <f>SUM(AA29:AD29)</f>
        <v/>
      </c>
      <c r="AF29" s="20">
        <f>IFERROR(AD29*(1+변수!AF37),"")</f>
        <v/>
      </c>
      <c r="AG29" s="20">
        <f>IFERROR(AF29*(1+변수!AG37),"")</f>
        <v/>
      </c>
      <c r="AH29" s="20">
        <f>IFERROR(AC29*(1+변수!AH37),"")</f>
        <v/>
      </c>
      <c r="AI29" s="20">
        <f>IFERROR(AD29*(1+변수!AI37),"")</f>
        <v/>
      </c>
      <c r="AJ29" s="38">
        <f>SUM(AF29:AI29)</f>
        <v/>
      </c>
      <c r="AK29" s="20">
        <f>IFERROR(AF29*(1+변수!AK37),"")</f>
        <v/>
      </c>
      <c r="AL29" s="20">
        <f>IFERROR(AG29*(1+변수!AL37),"")</f>
        <v/>
      </c>
      <c r="AM29" s="20">
        <f>IFERROR(AH29*(1+변수!AM37),"")</f>
        <v/>
      </c>
      <c r="AN29" s="20">
        <f>IFERROR(AI29*(1+변수!AN37),"")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SUM(AA30:AD30)</f>
        <v/>
      </c>
      <c r="AF30" s="20" t="n"/>
      <c r="AG30" s="20" t="n"/>
      <c r="AH30" s="20" t="n"/>
      <c r="AI30" s="20" t="n"/>
      <c r="AJ30" s="38">
        <f>SUM(AF30:AI30)</f>
        <v/>
      </c>
      <c r="AK30" s="20" t="n"/>
      <c r="AL30" s="20" t="n"/>
      <c r="AM30" s="20" t="n"/>
      <c r="AN30" s="20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7" t="n">
        <v>12.13</v>
      </c>
      <c r="F31" s="28">
        <f>E31</f>
        <v/>
      </c>
      <c r="G31" s="27" t="n">
        <v>12.13</v>
      </c>
      <c r="H31" s="27" t="n">
        <v>12.13</v>
      </c>
      <c r="I31" s="27" t="n">
        <v>12.13</v>
      </c>
      <c r="J31" s="27" t="n">
        <v>12.13</v>
      </c>
      <c r="K31" s="28">
        <f>J31</f>
        <v/>
      </c>
      <c r="L31" s="27" t="n">
        <v>12.13</v>
      </c>
      <c r="M31" s="27" t="n">
        <v>12.13</v>
      </c>
      <c r="N31" s="27" t="n">
        <v>12.13</v>
      </c>
      <c r="O31" s="27" t="n">
        <v>12.13</v>
      </c>
      <c r="P31" s="28">
        <f>O31</f>
        <v/>
      </c>
      <c r="Q31" s="27" t="n">
        <v>12.13</v>
      </c>
      <c r="R31" s="27" t="n">
        <v>12.13</v>
      </c>
      <c r="S31" s="27" t="n">
        <v>12.13</v>
      </c>
      <c r="T31" s="27" t="n">
        <v>12.13</v>
      </c>
      <c r="U31" s="28">
        <f>T31</f>
        <v/>
      </c>
      <c r="V31" s="27" t="n">
        <v>12.13</v>
      </c>
      <c r="W31" s="27" t="n">
        <v>12.13</v>
      </c>
      <c r="X31" s="27" t="n">
        <v>12.13</v>
      </c>
      <c r="Y31" s="27" t="n">
        <v>13</v>
      </c>
      <c r="Z31" s="28">
        <f>Y31</f>
        <v/>
      </c>
      <c r="AA31" s="27" t="n">
        <v>13</v>
      </c>
      <c r="AB31" s="29" t="n">
        <v>13</v>
      </c>
      <c r="AC31" s="33">
        <f>IFERROR(AB31*(1+변수!AC39),"")</f>
        <v/>
      </c>
      <c r="AD31" s="33">
        <f>IFERROR(AC31*(1+변수!AD39),"")</f>
        <v/>
      </c>
      <c r="AE31" s="31">
        <f>AD31</f>
        <v/>
      </c>
      <c r="AF31" s="33">
        <f>IFERROR(AD31*(1+변수!AF39),"")</f>
        <v/>
      </c>
      <c r="AG31" s="33">
        <f>IFERROR(AF31*(1+변수!AG39),"")</f>
        <v/>
      </c>
      <c r="AH31" s="33">
        <f>IFERROR(AG31*(1+변수!AH39),"")</f>
        <v/>
      </c>
      <c r="AI31" s="33">
        <f>IFERROR(AH31*(1+변수!AI39),"")</f>
        <v/>
      </c>
      <c r="AJ31" s="31">
        <f>AI31</f>
        <v/>
      </c>
      <c r="AK31" s="33">
        <f>IFERROR(AI31*(1+변수!AK39),"")</f>
        <v/>
      </c>
      <c r="AL31" s="33">
        <f>IFERROR(AK31*(1+변수!AL39),"")</f>
        <v/>
      </c>
      <c r="AM31" s="33">
        <f>IFERROR(AL31*(1+변수!AM39),"")</f>
        <v/>
      </c>
      <c r="AN31" s="33">
        <f>IFERROR(AM31*(1+변수!AN39),"")</f>
        <v/>
      </c>
      <c r="AO31" s="31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IFERROR(E20*100/E31,"")</f>
        <v/>
      </c>
      <c r="F32" s="37" t="n"/>
      <c r="G32" s="18">
        <f>IFERROR(G20*100/G31,"")</f>
        <v/>
      </c>
      <c r="H32" s="18">
        <f>IFERROR(H20*100/H31,"")</f>
        <v/>
      </c>
      <c r="I32" s="18">
        <f>IFERROR(I20*100/I31,"")</f>
        <v/>
      </c>
      <c r="J32" s="18">
        <f>IFERROR(J20*100/J31,"")</f>
        <v/>
      </c>
      <c r="K32" s="37">
        <f>SUM(G32:J32)</f>
        <v/>
      </c>
      <c r="L32" s="18">
        <f>IFERROR(L20*100/L31,"")</f>
        <v/>
      </c>
      <c r="M32" s="18">
        <f>IFERROR(M20*100/M31,"")</f>
        <v/>
      </c>
      <c r="N32" s="18">
        <f>IFERROR(N20*100/N31,"")</f>
        <v/>
      </c>
      <c r="O32" s="18">
        <f>IFERROR(O20*100/O31,"")</f>
        <v/>
      </c>
      <c r="P32" s="37">
        <f>SUM(L32:O32)</f>
        <v/>
      </c>
      <c r="Q32" s="18">
        <f>IFERROR(Q20*100/Q31,"")</f>
        <v/>
      </c>
      <c r="R32" s="18">
        <f>IFERROR(R20*100/R31,"")</f>
        <v/>
      </c>
      <c r="S32" s="18">
        <f>IFERROR(S20*100/S31,"")</f>
        <v/>
      </c>
      <c r="T32" s="18">
        <f>IFERROR(T20*100/T31,"")</f>
        <v/>
      </c>
      <c r="U32" s="37">
        <f>SUM(Q32:T32)</f>
        <v/>
      </c>
      <c r="V32" s="18">
        <f>IFERROR(V20*100/V31,"")</f>
        <v/>
      </c>
      <c r="W32" s="18">
        <f>IFERROR(W20*100/W31,"")</f>
        <v/>
      </c>
      <c r="X32" s="18">
        <f>IFERROR(X20*100/X31,"")</f>
        <v/>
      </c>
      <c r="Y32" s="18">
        <f>IFERROR(Y20*100/Y31,"")</f>
        <v/>
      </c>
      <c r="Z32" s="37">
        <f>SUM(V32:Y32)</f>
        <v/>
      </c>
      <c r="AA32" s="18">
        <f>IFERROR(AA20*100/AA31,"")</f>
        <v/>
      </c>
      <c r="AB32" s="19">
        <f>IFERROR(AB20*100/AB31,"")</f>
        <v/>
      </c>
      <c r="AC32" s="20">
        <f>IFERROR(AC20*100/AC31,"")</f>
        <v/>
      </c>
      <c r="AD32" s="20">
        <f>IFERROR(AD20*100/AD31,"")</f>
        <v/>
      </c>
      <c r="AE32" s="38">
        <f>SUM(AA32:AD32)</f>
        <v/>
      </c>
      <c r="AF32" s="20">
        <f>IFERROR(AF20*100/AF31,"")</f>
        <v/>
      </c>
      <c r="AG32" s="20">
        <f>IFERROR(AG20*100/AG31,"")</f>
        <v/>
      </c>
      <c r="AH32" s="20">
        <f>IFERROR(AH20*100/AH31,"")</f>
        <v/>
      </c>
      <c r="AI32" s="20">
        <f>IFERROR(AI20*100/AI31,"")</f>
        <v/>
      </c>
      <c r="AJ32" s="38">
        <f>SUM(AF32:AI32)</f>
        <v/>
      </c>
      <c r="AK32" s="20">
        <f>IFERROR(AK20*100/AK31,"")</f>
        <v/>
      </c>
      <c r="AL32" s="20">
        <f>IFERROR(AL20*100/AL31,"")</f>
        <v/>
      </c>
      <c r="AM32" s="20">
        <f>IFERROR(AM20*100/AM31,"")</f>
        <v/>
      </c>
      <c r="AN32" s="20">
        <f>IFERROR(AN20*100/AN31,"")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IFERROR(E24*100/E31,"")</f>
        <v/>
      </c>
      <c r="F33" s="37">
        <f>E33</f>
        <v/>
      </c>
      <c r="G33" s="18">
        <f>IFERROR(G24*100/G31,"")</f>
        <v/>
      </c>
      <c r="H33" s="18">
        <f>IFERROR(H24*100/H31,"")</f>
        <v/>
      </c>
      <c r="I33" s="18">
        <f>IFERROR(I24*100/I31,"")</f>
        <v/>
      </c>
      <c r="J33" s="18">
        <f>IFERROR(J24*100/J31,"")</f>
        <v/>
      </c>
      <c r="K33" s="37">
        <f>J33</f>
        <v/>
      </c>
      <c r="L33" s="18">
        <f>IFERROR(L24*100/L31,"")</f>
        <v/>
      </c>
      <c r="M33" s="18">
        <f>IFERROR(M24*100/M31,"")</f>
        <v/>
      </c>
      <c r="N33" s="18">
        <f>IFERROR(N24*100/N31,"")</f>
        <v/>
      </c>
      <c r="O33" s="18">
        <f>IFERROR(O24*100/O31,"")</f>
        <v/>
      </c>
      <c r="P33" s="37">
        <f>O33</f>
        <v/>
      </c>
      <c r="Q33" s="18">
        <f>IFERROR(Q24*100/Q31,"")</f>
        <v/>
      </c>
      <c r="R33" s="18">
        <f>IFERROR(R24*100/R31,"")</f>
        <v/>
      </c>
      <c r="S33" s="18">
        <f>IFERROR(S24*100/S31,"")</f>
        <v/>
      </c>
      <c r="T33" s="18">
        <f>IFERROR(T24*100/T31,"")</f>
        <v/>
      </c>
      <c r="U33" s="37">
        <f>T33</f>
        <v/>
      </c>
      <c r="V33" s="18">
        <f>IFERROR(V24*100/V31,"")</f>
        <v/>
      </c>
      <c r="W33" s="18">
        <f>IFERROR(W24*100/W31,"")</f>
        <v/>
      </c>
      <c r="X33" s="18">
        <f>IFERROR(X24*100/X31,"")</f>
        <v/>
      </c>
      <c r="Y33" s="18">
        <f>IFERROR(Y24*100/Y31,"")</f>
        <v/>
      </c>
      <c r="Z33" s="37">
        <f>Y33</f>
        <v/>
      </c>
      <c r="AA33" s="18">
        <f>IFERROR(AA24*100/AA31,"")</f>
        <v/>
      </c>
      <c r="AB33" s="19">
        <f>IFERROR(AB24*100/AB31,"")</f>
        <v/>
      </c>
      <c r="AC33" s="20">
        <f>IFERROR(AC24*100/AC31,"")</f>
        <v/>
      </c>
      <c r="AD33" s="20">
        <f>IFERROR(AD24*100/AD31,"")</f>
        <v/>
      </c>
      <c r="AE33" s="38">
        <f>AD33</f>
        <v/>
      </c>
      <c r="AF33" s="20">
        <f>IFERROR(AF24*100/AF31,"")</f>
        <v/>
      </c>
      <c r="AG33" s="20">
        <f>IFERROR(AG24*100/AG31,"")</f>
        <v/>
      </c>
      <c r="AH33" s="20">
        <f>IFERROR(AH24*100/AH31,"")</f>
        <v/>
      </c>
      <c r="AI33" s="20">
        <f>IFERROR(AI24*100/AI31,"")</f>
        <v/>
      </c>
      <c r="AJ33" s="38">
        <f>AI33</f>
        <v/>
      </c>
      <c r="AK33" s="20">
        <f>IFERROR(AK24*100/AK31,"")</f>
        <v/>
      </c>
      <c r="AL33" s="20">
        <f>IFERROR(AL24*100/AL31,"")</f>
        <v/>
      </c>
      <c r="AM33" s="20">
        <f>IFERROR(AM24*100/AM31,"")</f>
        <v/>
      </c>
      <c r="AN33" s="20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70</v>
      </c>
      <c r="F34" s="37" t="n">
        <v>70</v>
      </c>
      <c r="G34" s="18" t="n"/>
      <c r="H34" s="18" t="n"/>
      <c r="I34" s="18" t="n"/>
      <c r="J34" s="18" t="n">
        <v>50</v>
      </c>
      <c r="K34" s="37">
        <f>SUM(G34:J34)</f>
        <v/>
      </c>
      <c r="L34" s="18" t="n"/>
      <c r="M34" s="18" t="n"/>
      <c r="N34" s="18" t="n"/>
      <c r="O34" s="18" t="n">
        <v>100</v>
      </c>
      <c r="P34" s="37">
        <f>SUM(L34:O34)</f>
        <v/>
      </c>
      <c r="Q34" s="18" t="n"/>
      <c r="R34" s="18" t="n"/>
      <c r="S34" s="18" t="n"/>
      <c r="T34" s="18" t="n">
        <v>150</v>
      </c>
      <c r="U34" s="37">
        <f>SUM(Q34:T34)</f>
        <v/>
      </c>
      <c r="V34" s="18" t="n"/>
      <c r="W34" s="18" t="n"/>
      <c r="X34" s="18" t="n"/>
      <c r="Y34" s="18" t="n">
        <v>165</v>
      </c>
      <c r="Z34" s="37">
        <f>SUM(V34:Y34)</f>
        <v/>
      </c>
      <c r="AA34" s="18" t="n"/>
      <c r="AB34" s="19" t="n"/>
      <c r="AC34" s="20" t="n"/>
      <c r="AD34" s="20">
        <f>변수!AD40</f>
        <v/>
      </c>
      <c r="AE34" s="38">
        <f>SUM(AA34:AD34)</f>
        <v/>
      </c>
      <c r="AF34" s="20" t="n"/>
      <c r="AG34" s="20" t="n"/>
      <c r="AH34" s="20" t="n"/>
      <c r="AI34" s="20">
        <f>변수!AI40</f>
        <v/>
      </c>
      <c r="AJ34" s="38">
        <f>SUM(AF34:AI34)</f>
        <v/>
      </c>
      <c r="AK34" s="20" t="n"/>
      <c r="AL34" s="20" t="n"/>
      <c r="AM34" s="20" t="n"/>
      <c r="AN34" s="20">
        <f>변수!AN40</f>
        <v/>
      </c>
      <c r="AO34" s="38">
        <f>SUM(AK34:AN34)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 t="n"/>
      <c r="J35" s="13" t="n"/>
      <c r="K35" s="14">
        <f>J35</f>
        <v/>
      </c>
      <c r="L35" s="13" t="n"/>
      <c r="M35" s="13" t="n"/>
      <c r="N35" s="13">
        <f>IFERROR(변수!N18/(J32+L32+M32+N32),"")</f>
        <v/>
      </c>
      <c r="O35" s="13">
        <f>IFERROR(변수!O18/(L32+M32+N32+O32),"")</f>
        <v/>
      </c>
      <c r="P35" s="14">
        <f>O35</f>
        <v/>
      </c>
      <c r="Q35" s="13">
        <f>IFERROR(변수!Q18/(M32+N32+O32+Q32),"")</f>
        <v/>
      </c>
      <c r="R35" s="13">
        <f>IFERROR(변수!R18/(N32+O32+Q32+R32),"")</f>
        <v/>
      </c>
      <c r="S35" s="13">
        <f>IFERROR(변수!S18/(O32+Q32+R32+S32),"")</f>
        <v/>
      </c>
      <c r="T35" s="13">
        <f>IFERROR(변수!T18/(Q32+R32+S32+T32),"")</f>
        <v/>
      </c>
      <c r="U35" s="14">
        <f>T35</f>
        <v/>
      </c>
      <c r="V35" s="13">
        <f>IFERROR(변수!V18/(R32+S32+T32+V32),"")</f>
        <v/>
      </c>
      <c r="W35" s="13">
        <f>IFERROR(변수!W18/(S32+T32+V32+W32),"")</f>
        <v/>
      </c>
      <c r="X35" s="13">
        <f>IFERROR(변수!X18/(T32+V32+W32+X32),"")</f>
        <v/>
      </c>
      <c r="Y35" s="13">
        <f>IFERROR(변수!Y18/(V32+W32+X32+Y32),"")</f>
        <v/>
      </c>
      <c r="Z35" s="14">
        <f>Y35</f>
        <v/>
      </c>
      <c r="AA35" s="13">
        <f>IFERROR(변수!AA18/(W32+X32+Y32+AA32),"")</f>
        <v/>
      </c>
      <c r="AB35" s="15">
        <f>IFERROR(변수!AB18/(X32+Y32+AA32+AB32),"")</f>
        <v/>
      </c>
      <c r="AC35" s="39">
        <f>IFERROR(변수!$D$43/(Y32+AA32+AB32+AC32),"")</f>
        <v/>
      </c>
      <c r="AD35" s="39">
        <f>IFERROR(변수!$D$43/(AA32+AB32+AC32+AD32),"")</f>
        <v/>
      </c>
      <c r="AE35" s="40">
        <f>AD35</f>
        <v/>
      </c>
      <c r="AF35" s="39">
        <f>IFERROR(변수!$D$43/(AB32+AC32+AD32+AF32),"")</f>
        <v/>
      </c>
      <c r="AG35" s="39">
        <f>IFERROR(변수!$D$43/(AC32+AD32+AF32+AG32),"")</f>
        <v/>
      </c>
      <c r="AH35" s="39">
        <f>IFERROR(변수!$D$43/(AD32+AF32+AG32+AH32),"")</f>
        <v/>
      </c>
      <c r="AI35" s="39">
        <f>IFERROR(변수!$D$43/(AF32+AG32+AH32+AI32),"")</f>
        <v/>
      </c>
      <c r="AJ35" s="40">
        <f>AI35</f>
        <v/>
      </c>
      <c r="AK35" s="39">
        <f>IFERROR(변수!$D$43/(AG32+AH32+AI32+AK32),"")</f>
        <v/>
      </c>
      <c r="AL35" s="39">
        <f>IFERROR(변수!$D$43/(AH32+AI32+AK32+AL32),"")</f>
        <v/>
      </c>
      <c r="AM35" s="39">
        <f>IFERROR(변수!$D$43/(AI32+AK32+AL32+AM32),"")</f>
        <v/>
      </c>
      <c r="AN35" s="39">
        <f>IFERROR(변수!$D$43/(AK32+AL32+AM32+AN32),"")</f>
        <v/>
      </c>
      <c r="AO35" s="40">
        <f>AN35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>
        <f>IFERROR(변수!E18/E33,"")</f>
        <v/>
      </c>
      <c r="F36" s="14">
        <f>E36</f>
        <v/>
      </c>
      <c r="G36" s="13">
        <f>IFERROR(변수!G18/G33,"")</f>
        <v/>
      </c>
      <c r="H36" s="13">
        <f>IFERROR(변수!H18/H33,"")</f>
        <v/>
      </c>
      <c r="I36" s="13">
        <f>IFERROR(변수!I18/I33,"")</f>
        <v/>
      </c>
      <c r="J36" s="13">
        <f>IFERROR(변수!J18/J33,"")</f>
        <v/>
      </c>
      <c r="K36" s="14">
        <f>J36</f>
        <v/>
      </c>
      <c r="L36" s="13">
        <f>IFERROR(변수!L18/L33,"")</f>
        <v/>
      </c>
      <c r="M36" s="13">
        <f>IFERROR(변수!M18/M33,"")</f>
        <v/>
      </c>
      <c r="N36" s="13">
        <f>IFERROR(변수!N18/N33,"")</f>
        <v/>
      </c>
      <c r="O36" s="13">
        <f>IFERROR(변수!O18/O33,"")</f>
        <v/>
      </c>
      <c r="P36" s="14">
        <f>O36</f>
        <v/>
      </c>
      <c r="Q36" s="13">
        <f>IFERROR(변수!Q18/Q33,"")</f>
        <v/>
      </c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3">
        <f>IFERROR(변수!W18/W33,"")</f>
        <v/>
      </c>
      <c r="X36" s="13">
        <f>IFERROR(변수!X18/X33,"")</f>
        <v/>
      </c>
      <c r="Y36" s="13">
        <f>IFERROR(변수!Y18/Y33,"")</f>
        <v/>
      </c>
      <c r="Z36" s="14">
        <f>Y36</f>
        <v/>
      </c>
      <c r="AA36" s="13">
        <f>IFERROR(변수!AA18/AA33,"")</f>
        <v/>
      </c>
      <c r="AB36" s="15">
        <f>IFERROR(변수!AB18/AB33,"")</f>
        <v/>
      </c>
      <c r="AC36" s="39">
        <f>IFERROR(변수!$D$43/AC33,"")</f>
        <v/>
      </c>
      <c r="AD36" s="39">
        <f>IFERROR(변수!$D$43/AD33,"")</f>
        <v/>
      </c>
      <c r="AE36" s="40">
        <f>AD36</f>
        <v/>
      </c>
      <c r="AF36" s="39">
        <f>IFERROR(변수!$D$43/AF33,"")</f>
        <v/>
      </c>
      <c r="AG36" s="39">
        <f>IFERROR(변수!$D$43/AG33,"")</f>
        <v/>
      </c>
      <c r="AH36" s="39">
        <f>IFERROR(변수!$D$43/AH33,"")</f>
        <v/>
      </c>
      <c r="AI36" s="39">
        <f>IFERROR(변수!$D$43/AI33,"")</f>
        <v/>
      </c>
      <c r="AJ36" s="40">
        <f>AI36</f>
        <v/>
      </c>
      <c r="AK36" s="39">
        <f>IFERROR(변수!$D$43/AK33,"")</f>
        <v/>
      </c>
      <c r="AL36" s="39">
        <f>IFERROR(변수!$D$43/AL33,"")</f>
        <v/>
      </c>
      <c r="AM36" s="39">
        <f>IFERROR(변수!$D$43/AM33,"")</f>
        <v/>
      </c>
      <c r="AN36" s="39">
        <f>IFERROR(변수!$D$43/AN33,"")</f>
        <v/>
      </c>
      <c r="AO36" s="40">
        <f>AN36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>
        <v>165.6</v>
      </c>
      <c r="F37" s="37" t="n"/>
      <c r="G37" s="18" t="n">
        <v>203.17</v>
      </c>
      <c r="H37" s="18" t="n">
        <v>227.98</v>
      </c>
      <c r="I37" s="18" t="n">
        <v>238.3</v>
      </c>
      <c r="J37" s="18" t="n">
        <v>237.32</v>
      </c>
      <c r="K37" s="37">
        <f>SUM(G37:J37)</f>
        <v/>
      </c>
      <c r="L37" s="18" t="n">
        <v>209.85</v>
      </c>
      <c r="M37" s="18" t="n">
        <v>234.89</v>
      </c>
      <c r="N37" s="18" t="n">
        <v>263.8</v>
      </c>
      <c r="O37" s="18" t="n">
        <v>248.96</v>
      </c>
      <c r="P37" s="37">
        <f>SUM(L37:O37)</f>
        <v/>
      </c>
      <c r="Q37" s="18" t="n">
        <v>265.21</v>
      </c>
      <c r="R37" s="18" t="n">
        <v>340.58</v>
      </c>
      <c r="S37" s="18" t="n">
        <v>285.81</v>
      </c>
      <c r="T37" s="18" t="n">
        <v>288.61</v>
      </c>
      <c r="U37" s="37">
        <f>SUM(Q37:T37)</f>
        <v/>
      </c>
      <c r="V37" s="18" t="n">
        <v>263.41</v>
      </c>
      <c r="W37" s="18" t="n">
        <v>296.32</v>
      </c>
      <c r="X37" s="18" t="n">
        <v>294.69</v>
      </c>
      <c r="Y37" s="18" t="n">
        <v>330.21</v>
      </c>
      <c r="Z37" s="37">
        <f>SUM(V37:Y37)</f>
        <v/>
      </c>
      <c r="AA37" s="18" t="n">
        <v>1309.1</v>
      </c>
      <c r="AB37" s="19" t="n">
        <v>1313.93</v>
      </c>
      <c r="AC37" s="20">
        <f>IFERROR(AC5,"")</f>
        <v/>
      </c>
      <c r="AD37" s="20">
        <f>IFERROR(AD5,"")</f>
        <v/>
      </c>
      <c r="AE37" s="38">
        <f>SUM(AA37:AD37)</f>
        <v/>
      </c>
      <c r="AF37" s="20">
        <f>IFERROR(AF5,"")</f>
        <v/>
      </c>
      <c r="AG37" s="20">
        <f>IFERROR(AG5,"")</f>
        <v/>
      </c>
      <c r="AH37" s="20">
        <f>IFERROR(AH5,"")</f>
        <v/>
      </c>
      <c r="AI37" s="20">
        <f>IFERROR(AI5,"")</f>
        <v/>
      </c>
      <c r="AJ37" s="38">
        <f>SUM(AF37:AI37)</f>
        <v/>
      </c>
      <c r="AK37" s="20">
        <f>IFERROR(AK5,"")</f>
        <v/>
      </c>
      <c r="AL37" s="20">
        <f>IFERROR(AL5,"")</f>
        <v/>
      </c>
      <c r="AM37" s="20">
        <f>IFERROR(AM5,"")</f>
        <v/>
      </c>
      <c r="AN37" s="20">
        <f>IFERROR(AN5,"")</f>
        <v/>
      </c>
      <c r="AO37" s="38">
        <f>SUM(AK37:AN37)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>
        <v>-6.89</v>
      </c>
      <c r="F38" s="37" t="n"/>
      <c r="G38" s="18" t="n">
        <v>1.83</v>
      </c>
      <c r="H38" s="18" t="n">
        <v>-13.12</v>
      </c>
      <c r="I38" s="18" t="n">
        <v>-32.87</v>
      </c>
      <c r="J38" s="18" t="n">
        <v>12.35</v>
      </c>
      <c r="K38" s="37">
        <f>SUM(G38:J38)</f>
        <v/>
      </c>
      <c r="L38" s="18" t="n">
        <v>7.84</v>
      </c>
      <c r="M38" s="18" t="n">
        <v>14.07</v>
      </c>
      <c r="N38" s="18" t="n">
        <v>27.23</v>
      </c>
      <c r="O38" s="18" t="n">
        <v>10.79</v>
      </c>
      <c r="P38" s="37">
        <f>SUM(L38:O38)</f>
        <v/>
      </c>
      <c r="Q38" s="18" t="n">
        <v>26.96</v>
      </c>
      <c r="R38" s="18" t="n">
        <v>14.28</v>
      </c>
      <c r="S38" s="18" t="n">
        <v>27.5</v>
      </c>
      <c r="T38" s="18" t="n">
        <v>34.23</v>
      </c>
      <c r="U38" s="37">
        <f>SUM(Q38:T38)</f>
        <v/>
      </c>
      <c r="V38" s="18" t="n">
        <v>28.68</v>
      </c>
      <c r="W38" s="18" t="n">
        <v>24.38</v>
      </c>
      <c r="X38" s="18" t="n">
        <v>34.11</v>
      </c>
      <c r="Y38" s="18" t="n">
        <v>15.02</v>
      </c>
      <c r="Z38" s="37">
        <f>SUM(V38:Y38)</f>
        <v/>
      </c>
      <c r="AA38" s="18" t="n">
        <v>56.09</v>
      </c>
      <c r="AB38" s="19" t="n">
        <v>31.76</v>
      </c>
      <c r="AC38" s="20">
        <f>IFERROR(AC9,"")</f>
        <v/>
      </c>
      <c r="AD38" s="20">
        <f>IFERROR(AD9,"")</f>
        <v/>
      </c>
      <c r="AE38" s="38">
        <f>SUM(AA38:AD38)</f>
        <v/>
      </c>
      <c r="AF38" s="20">
        <f>IFERROR(AF9,"")</f>
        <v/>
      </c>
      <c r="AG38" s="20">
        <f>IFERROR(AG9,"")</f>
        <v/>
      </c>
      <c r="AH38" s="20">
        <f>IFERROR(AH9,"")</f>
        <v/>
      </c>
      <c r="AI38" s="20">
        <f>IFERROR(AI9,"")</f>
        <v/>
      </c>
      <c r="AJ38" s="38">
        <f>SUM(AF38:AI38)</f>
        <v/>
      </c>
      <c r="AK38" s="20">
        <f>IFERROR(AK9,"")</f>
        <v/>
      </c>
      <c r="AL38" s="20">
        <f>IFERROR(AL9,"")</f>
        <v/>
      </c>
      <c r="AM38" s="20">
        <f>IFERROR(AM9,"")</f>
        <v/>
      </c>
      <c r="AN38" s="20">
        <f>IFERROR(AN9,"")</f>
        <v/>
      </c>
      <c r="AO38" s="38">
        <f>SUM(AK38:AN38)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21">
        <f>IFERROR(E20/E5,"")</f>
        <v/>
      </c>
      <c r="F40" s="22">
        <f>IFERROR(F20/F5,"")</f>
        <v/>
      </c>
      <c r="G40" s="21">
        <f>IFERROR(G20/G5,"")</f>
        <v/>
      </c>
      <c r="H40" s="21">
        <f>IFERROR(H20/H5,"")</f>
        <v/>
      </c>
      <c r="I40" s="21">
        <f>IFERROR(I20/I5,"")</f>
        <v/>
      </c>
      <c r="J40" s="21">
        <f>IFERROR(J20/J5,"")</f>
        <v/>
      </c>
      <c r="K40" s="22">
        <f>IFERROR(K20/K5,"")</f>
        <v/>
      </c>
      <c r="L40" s="21">
        <f>IFERROR(L20/L5,"")</f>
        <v/>
      </c>
      <c r="M40" s="21">
        <f>IFERROR(M20/M5,"")</f>
        <v/>
      </c>
      <c r="N40" s="21">
        <f>IFERROR(N20/N5,"")</f>
        <v/>
      </c>
      <c r="O40" s="21">
        <f>IFERROR(O20/O5,"")</f>
        <v/>
      </c>
      <c r="P40" s="22">
        <f>IFERROR(P20/P5,"")</f>
        <v/>
      </c>
      <c r="Q40" s="21">
        <f>IFERROR(Q20/Q5,"")</f>
        <v/>
      </c>
      <c r="R40" s="21">
        <f>IFERROR(R20/R5,"")</f>
        <v/>
      </c>
      <c r="S40" s="21">
        <f>IFERROR(S20/S5,"")</f>
        <v/>
      </c>
      <c r="T40" s="21">
        <f>IFERROR(T20/T5,"")</f>
        <v/>
      </c>
      <c r="U40" s="22">
        <f>IFERROR(U20/U5,"")</f>
        <v/>
      </c>
      <c r="V40" s="21">
        <f>IFERROR(V20/V5,"")</f>
        <v/>
      </c>
      <c r="W40" s="21">
        <f>IFERROR(W20/W5,"")</f>
        <v/>
      </c>
      <c r="X40" s="21">
        <f>IFERROR(X20/X5,"")</f>
        <v/>
      </c>
      <c r="Y40" s="21">
        <f>IFERROR(Y20/Y5,"")</f>
        <v/>
      </c>
      <c r="Z40" s="22">
        <f>IFERROR(Z20/Z5,"")</f>
        <v/>
      </c>
      <c r="AA40" s="21">
        <f>IFERROR(AA20/AA5,"")</f>
        <v/>
      </c>
      <c r="AB40" s="23">
        <f>IFERROR(AB20/AB5,"")</f>
        <v/>
      </c>
      <c r="AC40" s="32">
        <f>IFERROR(AC20/AC5,"")</f>
        <v/>
      </c>
      <c r="AD40" s="32">
        <f>IFERROR(AD20/AD5,"")</f>
        <v/>
      </c>
      <c r="AE40" s="25">
        <f>IFERROR(AE20/AE5,"")</f>
        <v/>
      </c>
      <c r="AF40" s="32">
        <f>IFERROR(AF20/AF5,"")</f>
        <v/>
      </c>
      <c r="AG40" s="32">
        <f>IFERROR(AG20/AG5,"")</f>
        <v/>
      </c>
      <c r="AH40" s="32">
        <f>IFERROR(AH20/AH5,"")</f>
        <v/>
      </c>
      <c r="AI40" s="32">
        <f>IFERROR(AI20/AI5,"")</f>
        <v/>
      </c>
      <c r="AJ40" s="25">
        <f>IFERROR(AJ20/AJ5,"")</f>
        <v/>
      </c>
      <c r="AK40" s="32">
        <f>IFERROR(AK20/AK5,"")</f>
        <v/>
      </c>
      <c r="AL40" s="32">
        <f>IFERROR(AL20/AL5,"")</f>
        <v/>
      </c>
      <c r="AM40" s="32">
        <f>IFERROR(AM20/AM5,"")</f>
        <v/>
      </c>
      <c r="AN40" s="32">
        <f>IFERROR(AN20/AN5,"")</f>
        <v/>
      </c>
      <c r="AO40" s="25">
        <f>IFERROR(AO20/AO5,"")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21">
        <f>IFERROR(E6/E5,"")</f>
        <v/>
      </c>
      <c r="F41" s="22">
        <f>IFERROR(F6/F5,"")</f>
        <v/>
      </c>
      <c r="G41" s="21">
        <f>IFERROR(G6/G5,"")</f>
        <v/>
      </c>
      <c r="H41" s="21">
        <f>IFERROR(H6/H5,"")</f>
        <v/>
      </c>
      <c r="I41" s="21">
        <f>IFERROR(I6/I5,"")</f>
        <v/>
      </c>
      <c r="J41" s="21">
        <f>IFERROR(J6/J5,"")</f>
        <v/>
      </c>
      <c r="K41" s="22">
        <f>IFERROR(K6/K5,"")</f>
        <v/>
      </c>
      <c r="L41" s="21">
        <f>IFERROR(L6/L5,"")</f>
        <v/>
      </c>
      <c r="M41" s="21">
        <f>IFERROR(M6/M5,"")</f>
        <v/>
      </c>
      <c r="N41" s="21">
        <f>IFERROR(N6/N5,"")</f>
        <v/>
      </c>
      <c r="O41" s="21">
        <f>IFERROR(O6/O5,"")</f>
        <v/>
      </c>
      <c r="P41" s="22">
        <f>IFERROR(P6/P5,"")</f>
        <v/>
      </c>
      <c r="Q41" s="21">
        <f>IFERROR(Q6/Q5,"")</f>
        <v/>
      </c>
      <c r="R41" s="21">
        <f>IFERROR(R6/R5,"")</f>
        <v/>
      </c>
      <c r="S41" s="21">
        <f>IFERROR(S6/S5,"")</f>
        <v/>
      </c>
      <c r="T41" s="21">
        <f>IFERROR(T6/T5,"")</f>
        <v/>
      </c>
      <c r="U41" s="22">
        <f>IFERROR(U6/U5,"")</f>
        <v/>
      </c>
      <c r="V41" s="21">
        <f>IFERROR(V6/V5,"")</f>
        <v/>
      </c>
      <c r="W41" s="21">
        <f>IFERROR(W6/W5,"")</f>
        <v/>
      </c>
      <c r="X41" s="21">
        <f>IFERROR(X6/X5,"")</f>
        <v/>
      </c>
      <c r="Y41" s="21">
        <f>IFERROR(Y6/Y5,"")</f>
        <v/>
      </c>
      <c r="Z41" s="22">
        <f>IFERROR(Z6/Z5,"")</f>
        <v/>
      </c>
      <c r="AA41" s="21">
        <f>IFERROR(AA6/AA5,"")</f>
        <v/>
      </c>
      <c r="AB41" s="23">
        <f>IFERROR(AB6/AB5,"")</f>
        <v/>
      </c>
      <c r="AC41" s="32">
        <f>IFERROR(AC6/AC5,"")</f>
        <v/>
      </c>
      <c r="AD41" s="32">
        <f>IFERROR(AD6/AD5,"")</f>
        <v/>
      </c>
      <c r="AE41" s="25">
        <f>IFERROR(AE6/AE5,"")</f>
        <v/>
      </c>
      <c r="AF41" s="32">
        <f>IFERROR(AF6/AF5,"")</f>
        <v/>
      </c>
      <c r="AG41" s="32">
        <f>IFERROR(AG6/AG5,"")</f>
        <v/>
      </c>
      <c r="AH41" s="32">
        <f>IFERROR(AH6/AH5,"")</f>
        <v/>
      </c>
      <c r="AI41" s="32">
        <f>IFERROR(AI6/AI5,"")</f>
        <v/>
      </c>
      <c r="AJ41" s="25">
        <f>IFERROR(AJ6/AJ5,"")</f>
        <v/>
      </c>
      <c r="AK41" s="32">
        <f>IFERROR(AK6/AK5,"")</f>
        <v/>
      </c>
      <c r="AL41" s="32">
        <f>IFERROR(AL6/AL5,"")</f>
        <v/>
      </c>
      <c r="AM41" s="32">
        <f>IFERROR(AM6/AM5,"")</f>
        <v/>
      </c>
      <c r="AN41" s="32">
        <f>IFERROR(AN6/AN5,"")</f>
        <v/>
      </c>
      <c r="AO41" s="25">
        <f>IFERROR(AO6/AO5,"")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21">
        <f>IFERROR(E8/E5,"")</f>
        <v/>
      </c>
      <c r="F42" s="22">
        <f>IFERROR(F8/F5,"")</f>
        <v/>
      </c>
      <c r="G42" s="21">
        <f>IFERROR(G8/G5,"")</f>
        <v/>
      </c>
      <c r="H42" s="21">
        <f>IFERROR(H8/H5,"")</f>
        <v/>
      </c>
      <c r="I42" s="21">
        <f>IFERROR(I8/I5,"")</f>
        <v/>
      </c>
      <c r="J42" s="21">
        <f>IFERROR(J8/J5,"")</f>
        <v/>
      </c>
      <c r="K42" s="22">
        <f>IFERROR(K8/K5,"")</f>
        <v/>
      </c>
      <c r="L42" s="21">
        <f>IFERROR(L8/L5,"")</f>
        <v/>
      </c>
      <c r="M42" s="21">
        <f>IFERROR(M8/M5,"")</f>
        <v/>
      </c>
      <c r="N42" s="21">
        <f>IFERROR(N8/N5,"")</f>
        <v/>
      </c>
      <c r="O42" s="21">
        <f>IFERROR(O8/O5,"")</f>
        <v/>
      </c>
      <c r="P42" s="22">
        <f>IFERROR(P8/P5,"")</f>
        <v/>
      </c>
      <c r="Q42" s="21">
        <f>IFERROR(Q8/Q5,"")</f>
        <v/>
      </c>
      <c r="R42" s="21">
        <f>IFERROR(R8/R5,"")</f>
        <v/>
      </c>
      <c r="S42" s="21">
        <f>IFERROR(S8/S5,"")</f>
        <v/>
      </c>
      <c r="T42" s="21">
        <f>IFERROR(T8/T5,"")</f>
        <v/>
      </c>
      <c r="U42" s="22">
        <f>IFERROR(U8/U5,"")</f>
        <v/>
      </c>
      <c r="V42" s="21">
        <f>IFERROR(V8/V5,"")</f>
        <v/>
      </c>
      <c r="W42" s="21">
        <f>IFERROR(W8/W5,"")</f>
        <v/>
      </c>
      <c r="X42" s="21">
        <f>IFERROR(X8/X5,"")</f>
        <v/>
      </c>
      <c r="Y42" s="21">
        <f>IFERROR(Y8/Y5,"")</f>
        <v/>
      </c>
      <c r="Z42" s="22">
        <f>IFERROR(Z8/Z5,"")</f>
        <v/>
      </c>
      <c r="AA42" s="21">
        <f>IFERROR(AA8/AA5,"")</f>
        <v/>
      </c>
      <c r="AB42" s="23">
        <f>IFERROR(AB8/AB5,"")</f>
        <v/>
      </c>
      <c r="AC42" s="32">
        <f>IFERROR(AC8/AC5,"")</f>
        <v/>
      </c>
      <c r="AD42" s="32">
        <f>IFERROR(AD8/AD5,"")</f>
        <v/>
      </c>
      <c r="AE42" s="25">
        <f>IFERROR(AE8/AE5,"")</f>
        <v/>
      </c>
      <c r="AF42" s="32">
        <f>IFERROR(AF8/AF5,"")</f>
        <v/>
      </c>
      <c r="AG42" s="32">
        <f>IFERROR(AG8/AG5,"")</f>
        <v/>
      </c>
      <c r="AH42" s="32">
        <f>IFERROR(AH8/AH5,"")</f>
        <v/>
      </c>
      <c r="AI42" s="32">
        <f>IFERROR(AI8/AI5,"")</f>
        <v/>
      </c>
      <c r="AJ42" s="25">
        <f>IFERROR(AJ8/AJ5,"")</f>
        <v/>
      </c>
      <c r="AK42" s="32">
        <f>IFERROR(AK8/AK5,"")</f>
        <v/>
      </c>
      <c r="AL42" s="32">
        <f>IFERROR(AL8/AL5,"")</f>
        <v/>
      </c>
      <c r="AM42" s="32">
        <f>IFERROR(AM8/AM5,"")</f>
        <v/>
      </c>
      <c r="AN42" s="32">
        <f>IFERROR(AN8/AN5,"")</f>
        <v/>
      </c>
      <c r="AO42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변수!D43</f>
        <v/>
      </c>
      <c r="W2" s="42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27">
        <f>IFERROR(VLOOKUP($A31,subQ,MATCH(I$1,SUBQH,0),0),"")</f>
        <v/>
      </c>
      <c r="J31" s="27">
        <f>IFERROR(VLOOKUP($A31,subQ,MATCH(J$1,SUBQH,0),0),"")</f>
        <v/>
      </c>
      <c r="K31" s="27">
        <f>IFERROR(VLOOKUP($A31,subQ,MATCH(K$1,SUBQH,0),0),"")</f>
        <v/>
      </c>
      <c r="L31" s="27">
        <f>IFERROR(VLOOKUP($A31,subQ,MATCH(L$1,SUBQH,0),0),"")</f>
        <v/>
      </c>
      <c r="M31" s="27">
        <f>IFERROR(VLOOKUP($A31,subQ,MATCH(M$1,SUBQH,0),0),"")</f>
        <v/>
      </c>
      <c r="N31" s="27">
        <f>IFERROR(VLOOKUP($A31,subQ,MATCH(N$1,SUBQH,0),0),"")</f>
        <v/>
      </c>
      <c r="O31" s="27">
        <f>IFERROR(VLOOKUP($A31,subQ,MATCH(O$1,SUBQH,0),0),"")</f>
        <v/>
      </c>
      <c r="P31" s="27">
        <f>IFERROR(VLOOKUP($A31,subQ,MATCH(P$1,SUBQH,0),0),"")</f>
        <v/>
      </c>
      <c r="Q31" s="27">
        <f>IFERROR(VLOOKUP($A31,subQ,MATCH(Q$1,SUBQH,0),0),"")</f>
        <v/>
      </c>
      <c r="R31" s="27">
        <f>IFERROR(VLOOKUP($A31,subQ,MATCH(R$1,SUBQH,0),0),"")</f>
        <v/>
      </c>
      <c r="S31" s="27">
        <f>IFERROR(VLOOKUP($A31,subQ,MATCH(S$1,SUBQH,0),0),"")</f>
        <v/>
      </c>
      <c r="T31" s="27">
        <f>IFERROR(VLOOKUP($A31,subQ,MATCH(T$1,SUBQH,0),0),"")</f>
        <v/>
      </c>
      <c r="U31" s="27">
        <f>IFERROR(VLOOKUP($A31,subQ,MATCH(U$1,SUBQH,0),0),"")</f>
        <v/>
      </c>
      <c r="V31" s="27">
        <f>IFERROR(VLOOKUP($A31,subQ,MATCH(V$1,SUBQH,0),0),"")</f>
        <v/>
      </c>
      <c r="W31" s="47">
        <f>IFERROR(VLOOKUP($A31,subQ,MATCH(W$1,SUBQH,0),0),"")</f>
        <v/>
      </c>
      <c r="X31" s="33">
        <f>IFERROR(VLOOKUP($A31,subQ,MATCH(X$1,SUBQH,0),0),"")</f>
        <v/>
      </c>
      <c r="Y31" s="33">
        <f>IFERROR(VLOOKUP($A31,subQ,MATCH(Y$1,SUBQH,0),0),"")</f>
        <v/>
      </c>
      <c r="Z31" s="33">
        <f>IFERROR(VLOOKUP($A31,subQ,MATCH(Z$1,SUBQH,0),0),"")</f>
        <v/>
      </c>
      <c r="AA31" s="33">
        <f>IFERROR(VLOOKUP($A31,subQ,MATCH(AA$1,SUBQH,0),0),"")</f>
        <v/>
      </c>
      <c r="AB31" s="33">
        <f>IFERROR(VLOOKUP($A31,subQ,MATCH(AB$1,SUBQH,0),0),"")</f>
        <v/>
      </c>
      <c r="AC31" s="33">
        <f>IFERROR(VLOOKUP($A31,subQ,MATCH(AC$1,SUBQH,0),0),"")</f>
        <v/>
      </c>
      <c r="AD31" s="33">
        <f>IFERROR(VLOOKUP($A31,subQ,MATCH(AD$1,SUBQH,0),0),"")</f>
        <v/>
      </c>
      <c r="AE31" s="33">
        <f>IFERROR(VLOOKUP($A31,subQ,MATCH(AE$1,SUBQH,0),0),"")</f>
        <v/>
      </c>
      <c r="AF31" s="33">
        <f>IFERROR(VLOOKUP($A31,subQ,MATCH(AF$1,SUBQH,0),0),"")</f>
        <v/>
      </c>
      <c r="AG31" s="33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21">
        <f>IFERROR(VLOOKUP($A39,subQ,MATCH(I$1,SUBQH,0),0),"")</f>
        <v/>
      </c>
      <c r="J39" s="21">
        <f>IFERROR(VLOOKUP($A39,subQ,MATCH(J$1,SUBQH,0),0),"")</f>
        <v/>
      </c>
      <c r="K39" s="21">
        <f>IFERROR(VLOOKUP($A39,subQ,MATCH(K$1,SUBQH,0),0),"")</f>
        <v/>
      </c>
      <c r="L39" s="21">
        <f>IFERROR(VLOOKUP($A39,subQ,MATCH(L$1,SUBQH,0),0),"")</f>
        <v/>
      </c>
      <c r="M39" s="21">
        <f>IFERROR(VLOOKUP($A39,subQ,MATCH(M$1,SUBQH,0),0),"")</f>
        <v/>
      </c>
      <c r="N39" s="21">
        <f>IFERROR(VLOOKUP($A39,subQ,MATCH(N$1,SUBQH,0),0),"")</f>
        <v/>
      </c>
      <c r="O39" s="21">
        <f>IFERROR(VLOOKUP($A39,subQ,MATCH(O$1,SUBQH,0),0),"")</f>
        <v/>
      </c>
      <c r="P39" s="21">
        <f>IFERROR(VLOOKUP($A39,subQ,MATCH(P$1,SUBQH,0),0),"")</f>
        <v/>
      </c>
      <c r="Q39" s="21">
        <f>IFERROR(VLOOKUP($A39,subQ,MATCH(Q$1,SUBQH,0),0),"")</f>
        <v/>
      </c>
      <c r="R39" s="21">
        <f>IFERROR(VLOOKUP($A39,subQ,MATCH(R$1,SUBQH,0),0),"")</f>
        <v/>
      </c>
      <c r="S39" s="21">
        <f>IFERROR(VLOOKUP($A39,subQ,MATCH(S$1,SUBQH,0),0),"")</f>
        <v/>
      </c>
      <c r="T39" s="21">
        <f>IFERROR(VLOOKUP($A39,subQ,MATCH(T$1,SUBQH,0),0),"")</f>
        <v/>
      </c>
      <c r="U39" s="21">
        <f>IFERROR(VLOOKUP($A39,subQ,MATCH(U$1,SUBQH,0),0),"")</f>
        <v/>
      </c>
      <c r="V39" s="21">
        <f>IFERROR(VLOOKUP($A39,subQ,MATCH(V$1,SUBQH,0),0),"")</f>
        <v/>
      </c>
      <c r="W39" s="46">
        <f>IFERROR(VLOOKUP($A39,subQ,MATCH(W$1,SUBQH,0),0),"")</f>
        <v/>
      </c>
      <c r="X39" s="32">
        <f>IFERROR(VLOOKUP($A39,subQ,MATCH(X$1,SUBQH,0),0),"")</f>
        <v/>
      </c>
      <c r="Y39" s="32">
        <f>IFERROR(VLOOKUP($A39,subQ,MATCH(Y$1,SUBQH,0),0),"")</f>
        <v/>
      </c>
      <c r="Z39" s="32">
        <f>IFERROR(VLOOKUP($A39,subQ,MATCH(Z$1,SUBQH,0),0),"")</f>
        <v/>
      </c>
      <c r="AA39" s="32">
        <f>IFERROR(VLOOKUP($A39,subQ,MATCH(AA$1,SUBQH,0),0),"")</f>
        <v/>
      </c>
      <c r="AB39" s="32">
        <f>IFERROR(VLOOKUP($A39,subQ,MATCH(AB$1,SUBQH,0),0),"")</f>
        <v/>
      </c>
      <c r="AC39" s="32">
        <f>IFERROR(VLOOKUP($A39,subQ,MATCH(AC$1,SUBQH,0),0),"")</f>
        <v/>
      </c>
      <c r="AD39" s="32">
        <f>IFERROR(VLOOKUP($A39,subQ,MATCH(AD$1,SUBQH,0),0),"")</f>
        <v/>
      </c>
      <c r="AE39" s="32">
        <f>IFERROR(VLOOKUP($A39,subQ,MATCH(AE$1,SUBQH,0),0),"")</f>
        <v/>
      </c>
      <c r="AF39" s="32">
        <f>IFERROR(VLOOKUP($A39,subQ,MATCH(AF$1,SUBQH,0),0),"")</f>
        <v/>
      </c>
      <c r="AG39" s="32">
        <f>IFERROR(VLOOKUP($A39,subQ,MATCH(AG$1,SUBQH,0),0),"")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21">
        <f>IFERROR(I5/E5-1,"")</f>
        <v/>
      </c>
      <c r="J40" s="21">
        <f>IFERROR(J5/F5-1,"")</f>
        <v/>
      </c>
      <c r="K40" s="21">
        <f>IFERROR(K5/G5-1,"")</f>
        <v/>
      </c>
      <c r="L40" s="21">
        <f>IFERROR(L5/H5-1,"")</f>
        <v/>
      </c>
      <c r="M40" s="21">
        <f>IFERROR(M5/I5-1,"")</f>
        <v/>
      </c>
      <c r="N40" s="21">
        <f>IFERROR(N5/J5-1,"")</f>
        <v/>
      </c>
      <c r="O40" s="21">
        <f>IFERROR(O5/K5-1,"")</f>
        <v/>
      </c>
      <c r="P40" s="21">
        <f>IFERROR(P5/L5-1,"")</f>
        <v/>
      </c>
      <c r="Q40" s="21">
        <f>IFERROR(Q5/M5-1,"")</f>
        <v/>
      </c>
      <c r="R40" s="21">
        <f>IFERROR(R5/N5-1,"")</f>
        <v/>
      </c>
      <c r="S40" s="21">
        <f>IFERROR(S5/O5-1,"")</f>
        <v/>
      </c>
      <c r="T40" s="21">
        <f>IFERROR(T5/P5-1,"")</f>
        <v/>
      </c>
      <c r="U40" s="21">
        <f>IFERROR(U5/Q5-1,"")</f>
        <v/>
      </c>
      <c r="V40" s="21">
        <f>IFERROR(V5/R5-1,"")</f>
        <v/>
      </c>
      <c r="W40" s="46">
        <f>IFERROR(W5/S5-1,"")</f>
        <v/>
      </c>
      <c r="X40" s="32">
        <f>IFERROR(X5/T5-1,"")</f>
        <v/>
      </c>
      <c r="Y40" s="32">
        <f>IFERROR(Y5/U5-1,"")</f>
        <v/>
      </c>
      <c r="Z40" s="32">
        <f>IFERROR(Z5/V5-1,"")</f>
        <v/>
      </c>
      <c r="AA40" s="32">
        <f>IFERROR(AA5/W5-1,"")</f>
        <v/>
      </c>
      <c r="AB40" s="32">
        <f>IFERROR(AB5/X5-1,"")</f>
        <v/>
      </c>
      <c r="AC40" s="32">
        <f>IFERROR(AC5/Y5-1,"")</f>
        <v/>
      </c>
      <c r="AD40" s="32">
        <f>IFERROR(AD5/Z5-1,"")</f>
        <v/>
      </c>
      <c r="AE40" s="32">
        <f>IFERROR(AE5/AA5-1,"")</f>
        <v/>
      </c>
      <c r="AF40" s="32">
        <f>IFERROR(AF5/AB5-1,"")</f>
        <v/>
      </c>
      <c r="AG40" s="32">
        <f>IFERROR(AG5/AC5-1,"")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21">
        <f>IFERROR(I9/E9-1,"")</f>
        <v/>
      </c>
      <c r="J41" s="21">
        <f>IFERROR(J9/F9-1,"")</f>
        <v/>
      </c>
      <c r="K41" s="21">
        <f>IFERROR(K9/G9-1,"")</f>
        <v/>
      </c>
      <c r="L41" s="21">
        <f>IFERROR(L9/H9-1,"")</f>
        <v/>
      </c>
      <c r="M41" s="21">
        <f>IFERROR(M9/I9-1,"")</f>
        <v/>
      </c>
      <c r="N41" s="21">
        <f>IFERROR(N9/J9-1,"")</f>
        <v/>
      </c>
      <c r="O41" s="21">
        <f>IFERROR(O9/K9-1,"")</f>
        <v/>
      </c>
      <c r="P41" s="21">
        <f>IFERROR(P9/L9-1,"")</f>
        <v/>
      </c>
      <c r="Q41" s="21">
        <f>IFERROR(Q9/M9-1,"")</f>
        <v/>
      </c>
      <c r="R41" s="21">
        <f>IFERROR(R9/N9-1,"")</f>
        <v/>
      </c>
      <c r="S41" s="21">
        <f>IFERROR(S9/O9-1,"")</f>
        <v/>
      </c>
      <c r="T41" s="21">
        <f>IFERROR(T9/P9-1,"")</f>
        <v/>
      </c>
      <c r="U41" s="21">
        <f>IFERROR(U9/Q9-1,"")</f>
        <v/>
      </c>
      <c r="V41" s="21">
        <f>IFERROR(V9/R9-1,"")</f>
        <v/>
      </c>
      <c r="W41" s="46">
        <f>IFERROR(W9/S9-1,"")</f>
        <v/>
      </c>
      <c r="X41" s="32">
        <f>IFERROR(X9/T9-1,"")</f>
        <v/>
      </c>
      <c r="Y41" s="32">
        <f>IFERROR(Y9/U9-1,"")</f>
        <v/>
      </c>
      <c r="Z41" s="32">
        <f>IFERROR(Z9/V9-1,"")</f>
        <v/>
      </c>
      <c r="AA41" s="32">
        <f>IFERROR(AA9/W9-1,"")</f>
        <v/>
      </c>
      <c r="AB41" s="32">
        <f>IFERROR(AB9/X9-1,"")</f>
        <v/>
      </c>
      <c r="AC41" s="32">
        <f>IFERROR(AC9/Y9-1,"")</f>
        <v/>
      </c>
      <c r="AD41" s="32">
        <f>IFERROR(AD9/Z9-1,"")</f>
        <v/>
      </c>
      <c r="AE41" s="32">
        <f>IFERROR(AE9/AA9-1,"")</f>
        <v/>
      </c>
      <c r="AF41" s="32">
        <f>IFERROR(AF9/AB9-1,"")</f>
        <v/>
      </c>
      <c r="AG41" s="32">
        <f>IFERROR(AG9/AC9-1,"")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21">
        <f>IFERROR(I20/E20-1,"")</f>
        <v/>
      </c>
      <c r="J42" s="21">
        <f>IFERROR(J20/F20-1,"")</f>
        <v/>
      </c>
      <c r="K42" s="21">
        <f>IFERROR(K20/G20-1,"")</f>
        <v/>
      </c>
      <c r="L42" s="21">
        <f>IFERROR(L20/H20-1,"")</f>
        <v/>
      </c>
      <c r="M42" s="21">
        <f>IFERROR(M20/I20-1,"")</f>
        <v/>
      </c>
      <c r="N42" s="21">
        <f>IFERROR(N20/J20-1,"")</f>
        <v/>
      </c>
      <c r="O42" s="21">
        <f>IFERROR(O20/K20-1,"")</f>
        <v/>
      </c>
      <c r="P42" s="21">
        <f>IFERROR(P20/L20-1,"")</f>
        <v/>
      </c>
      <c r="Q42" s="21">
        <f>IFERROR(Q20/M20-1,"")</f>
        <v/>
      </c>
      <c r="R42" s="21">
        <f>IFERROR(R20/N20-1,"")</f>
        <v/>
      </c>
      <c r="S42" s="21">
        <f>IFERROR(S20/O20-1,"")</f>
        <v/>
      </c>
      <c r="T42" s="21">
        <f>IFERROR(T20/P20-1,"")</f>
        <v/>
      </c>
      <c r="U42" s="21">
        <f>IFERROR(U20/Q20-1,"")</f>
        <v/>
      </c>
      <c r="V42" s="21">
        <f>IFERROR(V20/R20-1,"")</f>
        <v/>
      </c>
      <c r="W42" s="46">
        <f>IFERROR(W20/S20-1,"")</f>
        <v/>
      </c>
      <c r="X42" s="32">
        <f>IFERROR(X20/T20-1,"")</f>
        <v/>
      </c>
      <c r="Y42" s="32">
        <f>IFERROR(Y20/U20-1,"")</f>
        <v/>
      </c>
      <c r="Z42" s="32">
        <f>IFERROR(Z20/V20-1,"")</f>
        <v/>
      </c>
      <c r="AA42" s="32">
        <f>IFERROR(AA20/W20-1,"")</f>
        <v/>
      </c>
      <c r="AB42" s="32">
        <f>IFERROR(AB20/X20-1,"")</f>
        <v/>
      </c>
      <c r="AC42" s="32">
        <f>IFERROR(AC20/Y20-1,"")</f>
        <v/>
      </c>
      <c r="AD42" s="32">
        <f>IFERROR(AD20/Z20-1,"")</f>
        <v/>
      </c>
      <c r="AE42" s="32">
        <f>IFERROR(AE20/AA20-1,"")</f>
        <v/>
      </c>
      <c r="AF42" s="32">
        <f>IFERROR(AF20/AB20-1,"")</f>
        <v/>
      </c>
      <c r="AG42" s="32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변수!D43</f>
        <v/>
      </c>
      <c r="I2" s="42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47">
        <f>IFERROR(VLOOKUP($A31,subQ,MATCH(I$1,SUBQH,0),0),"")</f>
        <v/>
      </c>
      <c r="J31" s="33">
        <f>IFERROR(VLOOKUP($A31,subQ,MATCH(J$1,SUBQH,0),0),"")</f>
        <v/>
      </c>
      <c r="K31" s="33">
        <f>IFERROR(VLOOKUP($A31,subQ,MATCH(K$1,SUBQH,0),0),"")</f>
        <v/>
      </c>
      <c r="L31" s="33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46">
        <f>IFERROR(VLOOKUP($A39,subQ,MATCH(I$1,SUBQH,0),0),"")</f>
        <v/>
      </c>
      <c r="J39" s="32">
        <f>IFERROR(VLOOKUP($A39,subQ,MATCH(J$1,SUBQH,0),0),"")</f>
        <v/>
      </c>
      <c r="K39" s="32">
        <f>IFERROR(VLOOKUP($A39,subQ,MATCH(K$1,SUBQH,0),0),"")</f>
        <v/>
      </c>
      <c r="L39" s="32">
        <f>IFERROR(VLOOKUP($A39,subQ,MATCH(L$1,SUBQH,0),0),"")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21">
        <f>IFERROR(F5/E5-1,"")</f>
        <v/>
      </c>
      <c r="G40" s="21">
        <f>IFERROR(G5/F5-1,"")</f>
        <v/>
      </c>
      <c r="H40" s="21">
        <f>IFERROR(H5/G5-1,"")</f>
        <v/>
      </c>
      <c r="I40" s="46">
        <f>IFERROR(I5/H5-1,"")</f>
        <v/>
      </c>
      <c r="J40" s="32">
        <f>IFERROR(J5/I5-1,"")</f>
        <v/>
      </c>
      <c r="K40" s="32">
        <f>IFERROR(K5/J5-1,"")</f>
        <v/>
      </c>
      <c r="L40" s="32">
        <f>IFERROR(L5/K5-1,"")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21">
        <f>IFERROR(F9/E9-1,"")</f>
        <v/>
      </c>
      <c r="G41" s="21">
        <f>IFERROR(G9/F9-1,"")</f>
        <v/>
      </c>
      <c r="H41" s="21">
        <f>IFERROR(H9/G9-1,"")</f>
        <v/>
      </c>
      <c r="I41" s="46">
        <f>IFERROR(I9/H9-1,"")</f>
        <v/>
      </c>
      <c r="J41" s="32">
        <f>IFERROR(J9/I9-1,"")</f>
        <v/>
      </c>
      <c r="K41" s="32">
        <f>IFERROR(K9/J9-1,"")</f>
        <v/>
      </c>
      <c r="L41" s="32">
        <f>IFERROR(L9/K9-1,"")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21">
        <f>IFERROR(F20/E20-1,"")</f>
        <v/>
      </c>
      <c r="G42" s="21">
        <f>IFERROR(G20/F20-1,"")</f>
        <v/>
      </c>
      <c r="H42" s="21">
        <f>IFERROR(H20/G20-1,"")</f>
        <v/>
      </c>
      <c r="I42" s="46">
        <f>IFERROR(I20/H20-1,"")</f>
        <v/>
      </c>
      <c r="J42" s="32">
        <f>IFERROR(J20/I20-1,"")</f>
        <v/>
      </c>
      <c r="K42" s="32">
        <f>IFERROR(K20/J20-1,"")</f>
        <v/>
      </c>
      <c r="L42" s="32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변수!D43</f>
        <v/>
      </c>
    </row>
    <row r="2">
      <c r="B2" s="1" t="inlineStr">
        <is>
          <t>기준일</t>
        </is>
      </c>
      <c r="C2">
        <f>변수!D44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IFERROR(E7*변수!D49+F7*(1-변수!D49),"")</f>
        <v/>
      </c>
    </row>
    <row r="15">
      <c r="C15" t="inlineStr">
        <is>
          <t>적정가치 @PER_lo</t>
        </is>
      </c>
      <c r="D15" s="27">
        <f>변수!D46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변수!D47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변수!D48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변수!D45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1665.6</v>
      </c>
    </row>
    <row r="30">
      <c r="C30" s="2" t="inlineStr">
        <is>
          <t>bps_latest</t>
        </is>
      </c>
      <c r="D30" t="n">
        <v>7258.1</v>
      </c>
    </row>
    <row r="31">
      <c r="C31" s="2" t="inlineStr">
        <is>
          <t>per_now</t>
        </is>
      </c>
      <c r="D31" t="n">
        <v>3.78</v>
      </c>
    </row>
    <row r="32">
      <c r="C32" s="2" t="inlineStr">
        <is>
          <t>pbr_now</t>
        </is>
      </c>
      <c r="D32" t="n">
        <v>0.87</v>
      </c>
    </row>
    <row r="33">
      <c r="C33" s="2" t="inlineStr">
        <is>
          <t>roe_fwd</t>
        </is>
      </c>
      <c r="D33" t="n">
        <v>0.2295</v>
      </c>
    </row>
    <row r="34">
      <c r="C34" s="2" t="inlineStr">
        <is>
          <t>fair_pbr</t>
        </is>
      </c>
      <c r="D34" t="n">
        <v>2.55</v>
      </c>
    </row>
    <row r="35">
      <c r="C35" s="2" t="inlineStr">
        <is>
          <t>fair_value_pbr</t>
        </is>
      </c>
      <c r="D35" t="n">
        <v>18500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변수!D56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2026-10-12T00:00:00Z</dcterms:created>
  <dcterms:modified xsi:type="dcterms:W3CDTF">2026-10-12T00:00:00Z</dcterms:modified>
</cp:coreProperties>
</file>