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66113억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65637억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64655억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64668억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63916억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63012억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62370억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61037억 × 비례계수 0.0137(원점회귀; 격자 lag0~4×창8/12/19×수준·YoY·4Q합 중 최대 r=0.93, n=8, 창 8)</t>
      </text>
    </comment>
    <comment ref="AC22" authorId="0" shapeId="0">
      <text>
        <t>모델값 역산(implied): v / 매출액
매출액 × 판관비율 9.80%(최근 4분기 중위)</t>
      </text>
    </comment>
    <comment ref="AD22" authorId="0" shapeId="0">
      <text>
        <t>모델값 역산(implied): v / 매출액
매출액 × 판관비율 9.80%(최근 4분기 중위)</t>
      </text>
    </comment>
    <comment ref="AF22" authorId="0" shapeId="0">
      <text>
        <t>모델값 역산(implied): v / 매출액
매출액 × 판관비율 9.80%(최근 4분기 중위)</t>
      </text>
    </comment>
    <comment ref="AG22" authorId="0" shapeId="0">
      <text>
        <t>모델값 역산(implied): v / 매출액
매출액 × 판관비율 9.80%(최근 4분기 중위)</t>
      </text>
    </comment>
    <comment ref="AH22" authorId="0" shapeId="0">
      <text>
        <t>모델값 역산(implied): v / 매출액
매출액 × 판관비율 9.80%(최근 4분기 중위)</t>
      </text>
    </comment>
    <comment ref="AI22" authorId="0" shapeId="0">
      <text>
        <t>모델값 역산(implied): v / 매출액
매출액 × 판관비율 9.80%(최근 4분기 중위)</t>
      </text>
    </comment>
    <comment ref="AK22" authorId="0" shapeId="0">
      <text>
        <t>모델값 역산(implied): v / 매출액
매출액 × 판관비율 9.80%(최근 4분기 중위)</t>
      </text>
    </comment>
    <comment ref="AL22" authorId="0" shapeId="0">
      <text>
        <t>모델값 역산(implied): v / 매출액
매출액 × 판관비율 9.80%(최근 4분기 중위)</t>
      </text>
    </comment>
    <comment ref="AM22" authorId="0" shapeId="0">
      <text>
        <t>모델값 역산(implied): v / 매출액
매출액 × 판관비율 9.80%(최근 4분기 중위)</t>
      </text>
    </comment>
    <comment ref="AN22" authorId="0" shapeId="0">
      <text>
        <t>모델값 역산(implied): v / 매출액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v / 전년동기 − 1
최근 8분기 OPM 중위 8.9% 유지</t>
      </text>
    </comment>
    <comment ref="AD24" authorId="0" shapeId="0">
      <text>
        <t>모델값 역산(implied): v / 전년동기 − 1
최근 8분기 OPM 중위 8.9% 유지</t>
      </text>
    </comment>
    <comment ref="AF24" authorId="0" shapeId="0">
      <text>
        <t>모델값 역산(implied): v / 전년동기 − 1
최근 8분기 OPM 중위 8.9% 유지</t>
      </text>
    </comment>
    <comment ref="AG24" authorId="0" shapeId="0">
      <text>
        <t>모델값 역산(implied): v / 전년동기 − 1
최근 8분기 OPM 중위 8.9% 유지</t>
      </text>
    </comment>
    <comment ref="AH24" authorId="0" shapeId="0">
      <text>
        <t>모델값 역산(implied): v / 전년동기 − 1
최근 8분기 OPM 중위 8.9% 유지</t>
      </text>
    </comment>
    <comment ref="AI24" authorId="0" shapeId="0">
      <text>
        <t>모델값 역산(implied): v / 전년동기 − 1
최근 8분기 OPM 중위 8.9% 유지</t>
      </text>
    </comment>
    <comment ref="AK24" authorId="0" shapeId="0">
      <text>
        <t>모델값 역산(implied): v / 전년동기 − 1
최근 8분기 OPM 중위 8.9% 유지</t>
      </text>
    </comment>
    <comment ref="AL24" authorId="0" shapeId="0">
      <text>
        <t>모델값 역산(implied): v / 전년동기 − 1
최근 8분기 OPM 중위 8.9% 유지</t>
      </text>
    </comment>
    <comment ref="AM24" authorId="0" shapeId="0">
      <text>
        <t>모델값 역산(implied): v / 전년동기 − 1
최근 8분기 OPM 중위 8.9% 유지</t>
      </text>
    </comment>
    <comment ref="AN24" authorId="0" shapeId="0">
      <text>
        <t>모델값 역산(implied): v / 전년동기 − 1
최근 8분기 OPM 중위 8.9% 유지</t>
      </text>
    </comment>
    <comment ref="AC25" authorId="0" shapeId="0">
      <text>
        <t>모델값 역산(implied): 모델 v 그대로
이자손익 = 이자발생자산 791억 × 2.87% − 총차입금 665억 × 0.00% (연율, CF 실측) ÷ 4; 환·평가손익 0 가정</t>
      </text>
    </comment>
    <comment ref="AD25" authorId="0" shapeId="0">
      <text>
        <t>모델값 역산(implied): 모델 v 그대로
이자손익 = 이자발생자산 865억 × 2.87% − 총차입금 665억 × 0.00% (연율, CF 실측) ÷ 4; 환·평가손익 0 가정</t>
      </text>
    </comment>
    <comment ref="AF25" authorId="0" shapeId="0">
      <text>
        <t>모델값 역산(implied): 모델 v 그대로
이자손익 = 이자발생자산 941억 × 2.87% − 총차입금 665억 × 0.00% (연율, CF 실측) ÷ 4; 환·평가손익 0 가정</t>
      </text>
    </comment>
    <comment ref="AG25" authorId="0" shapeId="0">
      <text>
        <t>모델값 역산(implied): 모델 v 그대로
이자손익 = 이자발생자산 1018억 × 2.87% − 총차입금 665억 × 0.00% (연율, CF 실측) ÷ 4; 환·평가손익 0 가정</t>
      </text>
    </comment>
    <comment ref="AH25" authorId="0" shapeId="0">
      <text>
        <t>모델값 역산(implied): 모델 v 그대로
이자손익 = 이자발생자산 1074억 × 2.87% − 총차입금 665억 × 0.00% (연율, CF 실측) ÷ 4; 환·평가손익 0 가정</t>
      </text>
    </comment>
    <comment ref="AI25" authorId="0" shapeId="0">
      <text>
        <t>모델값 역산(implied): 모델 v 그대로
이자손익 = 이자발생자산 1150억 × 2.87% − 총차입금 665억 × 0.00% (연율, CF 실측) ÷ 4; 환·평가손익 0 가정</t>
      </text>
    </comment>
    <comment ref="AK25" authorId="0" shapeId="0">
      <text>
        <t>모델값 역산(implied): 모델 v 그대로
이자손익 = 이자발생자산 1227억 × 2.87% − 총차입금 665억 × 0.00% (연율, CF 실측) ÷ 4; 환·평가손익 0 가정</t>
      </text>
    </comment>
    <comment ref="AL25" authorId="0" shapeId="0">
      <text>
        <t>모델값 역산(implied): 모델 v 그대로
이자손익 = 이자발생자산 1304억 × 2.87% − 총차입금 665억 × 0.00% (연율, CF 실측) ÷ 4; 환·평가손익 0 가정</t>
      </text>
    </comment>
    <comment ref="AM25" authorId="0" shapeId="0">
      <text>
        <t>모델값 역산(implied): 모델 v 그대로
이자손익 = 이자발생자산 1358억 × 2.87% − 총차입금 665억 × 0.00% (연율, CF 실측) ÷ 4; 환·평가손익 0 가정</t>
      </text>
    </comment>
    <comment ref="AN25" authorId="0" shapeId="0">
      <text>
        <t>모델값 역산(implied): 모델 v 그대로
이자손익 = 이자발생자산 1434억 × 2.87% − 총차입금 665억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11.9%(최근 12분기 유효세율 11.9% → 5~27% 클립)</t>
      </text>
    </comment>
    <comment ref="AD27" authorId="0" shapeId="0">
      <text>
        <t>모델값 역산(implied): v / 세전이익
max(세전, 0) × 세율 11.9%(최근 12분기 유효세율 11.9% → 5~27% 클립)</t>
      </text>
    </comment>
    <comment ref="AF27" authorId="0" shapeId="0">
      <text>
        <t>모델값 역산(implied): v / 세전이익
max(세전, 0) × 세율 11.9%(최근 12분기 유효세율 11.9% → 5~27% 클립)</t>
      </text>
    </comment>
    <comment ref="AG27" authorId="0" shapeId="0">
      <text>
        <t>모델값 역산(implied): v / 세전이익
max(세전, 0) × 세율 11.9%(최근 12분기 유효세율 11.9% → 5~27% 클립)</t>
      </text>
    </comment>
    <comment ref="AH27" authorId="0" shapeId="0">
      <text>
        <t>모델값 역산(implied): v / 세전이익
max(세전, 0) × 세율 11.9%(최근 12분기 유효세율 11.9% → 5~27% 클립)</t>
      </text>
    </comment>
    <comment ref="AI27" authorId="0" shapeId="0">
      <text>
        <t>모델값 역산(implied): v / 세전이익
max(세전, 0) × 세율 11.9%(최근 12분기 유효세율 11.9% → 5~27% 클립)</t>
      </text>
    </comment>
    <comment ref="AK27" authorId="0" shapeId="0">
      <text>
        <t>모델값 역산(implied): v / 세전이익
max(세전, 0) × 세율 11.9%(최근 12분기 유효세율 11.9% → 5~27% 클립)</t>
      </text>
    </comment>
    <comment ref="AL27" authorId="0" shapeId="0">
      <text>
        <t>모델값 역산(implied): v / 세전이익
max(세전, 0) × 세율 11.9%(최근 12분기 유효세율 11.9% → 5~27% 클립)</t>
      </text>
    </comment>
    <comment ref="AM27" authorId="0" shapeId="0">
      <text>
        <t>모델값 역산(implied): v / 세전이익
max(세전, 0) × 세율 11.9%(최근 12분기 유효세율 11.9% → 5~27% 클립)</t>
      </text>
    </comment>
    <comment ref="AN27" authorId="0" shapeId="0">
      <text>
        <t>모델값 역산(implied): v / 세전이익
max(세전, 0) × 세율 11.9%(최근 12분기 유효세율 11.9% → 5~27% 클립)</t>
      </text>
    </comment>
    <comment ref="AC28" authorId="0" shapeId="0">
      <text>
        <t>모델값 역산(implied): v / 당기순이익
당기순이익 × (1 − 비지배 비중 5.8%, 최근 8분기 실측)</t>
      </text>
    </comment>
    <comment ref="AD28" authorId="0" shapeId="0">
      <text>
        <t>모델값 역산(implied): v / 당기순이익
당기순이익 × (1 − 비지배 비중 5.8%, 최근 8분기 실측)</t>
      </text>
    </comment>
    <comment ref="AF28" authorId="0" shapeId="0">
      <text>
        <t>모델값 역산(implied): v / 당기순이익
당기순이익 × (1 − 비지배 비중 5.8%, 최근 8분기 실측)</t>
      </text>
    </comment>
    <comment ref="AG28" authorId="0" shapeId="0">
      <text>
        <t>모델값 역산(implied): v / 당기순이익
당기순이익 × (1 − 비지배 비중 5.8%, 최근 8분기 실측)</t>
      </text>
    </comment>
    <comment ref="AH28" authorId="0" shapeId="0">
      <text>
        <t>모델값 역산(implied): v / 당기순이익
당기순이익 × (1 − 비지배 비중 5.8%, 최근 8분기 실측)</t>
      </text>
    </comment>
    <comment ref="AI28" authorId="0" shapeId="0">
      <text>
        <t>모델값 역산(implied): v / 당기순이익
당기순이익 × (1 − 비지배 비중 5.8%, 최근 8분기 실측)</t>
      </text>
    </comment>
    <comment ref="AK28" authorId="0" shapeId="0">
      <text>
        <t>모델값 역산(implied): v / 당기순이익
당기순이익 × (1 − 비지배 비중 5.8%, 최근 8분기 실측)</t>
      </text>
    </comment>
    <comment ref="AL28" authorId="0" shapeId="0">
      <text>
        <t>모델값 역산(implied): v / 당기순이익
당기순이익 × (1 − 비지배 비중 5.8%, 최근 8분기 실측)</t>
      </text>
    </comment>
    <comment ref="AM28" authorId="0" shapeId="0">
      <text>
        <t>모델값 역산(implied): v / 당기순이익
당기순이익 × (1 − 비지배 비중 5.8%, 최근 8분기 실측)</t>
      </text>
    </comment>
    <comment ref="AN28" authorId="0" shapeId="0">
      <text>
        <t>모델값 역산(implied): v / 당기순이익
당기순이익 × (1 − 비지배 비중 5.8%,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165원 유지</t>
      </text>
    </comment>
    <comment ref="AI39" authorId="0" shapeId="0">
      <text>
        <t>모델값 역산(implied): v / 전년동기 − 1
직전 결산 DPS 165원 유지</t>
      </text>
    </comment>
    <comment ref="AN39" authorId="0" shapeId="0">
      <text>
        <t>모델값 역산(implied): v / 전년동기 − 1
직전 결산 DPS 165원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65954억 × 비례계수 0.0137(원점회귀; 격자 lag0~4×창8/12/19×수준·YoY·4Q합 중 최대 r=0.93, n=8, 창 8)
[yoy]</t>
      </text>
    </comment>
    <comment ref="AF5" authorId="0" shapeId="0">
      <text>
        <t>추정: 고객 매출 가중지수(t−1) 66113억 × 비례계수 0.0137(원점회귀; 격자 lag0~4×창8/12/19×수준·YoY·4Q합 중 최대 r=0.93, n=8, 창 8)
[yoy]</t>
      </text>
    </comment>
    <comment ref="AG5" authorId="0" shapeId="0">
      <text>
        <t>추정: 고객 매출 가중지수(t−1) 65637억 × 비례계수 0.0137(원점회귀; 격자 lag0~4×창8/12/19×수준·YoY·4Q합 중 최대 r=0.93, n=8, 창 8)
[yoy]</t>
      </text>
    </comment>
    <comment ref="AH5" authorId="0" shapeId="0">
      <text>
        <t>추정: 고객 매출 가중지수(t−1) 64655억 × 비례계수 0.0137(원점회귀; 격자 lag0~4×창8/12/19×수준·YoY·4Q합 중 최대 r=0.93, n=8, 창 8)
[yoy]</t>
      </text>
    </comment>
    <comment ref="AI5" authorId="0" shapeId="0">
      <text>
        <t>추정: 고객 매출 가중지수(t−1) 64668억 × 비례계수 0.0137(원점회귀; 격자 lag0~4×창8/12/19×수준·YoY·4Q합 중 최대 r=0.93, n=8, 창 8)
[yoy]</t>
      </text>
    </comment>
    <comment ref="AK5" authorId="0" shapeId="0">
      <text>
        <t>추정: 고객 매출 가중지수(t−1) 63916억 × 비례계수 0.0137(원점회귀; 격자 lag0~4×창8/12/19×수준·YoY·4Q합 중 최대 r=0.93, n=8, 창 8)
[yoy]</t>
      </text>
    </comment>
    <comment ref="AL5" authorId="0" shapeId="0">
      <text>
        <t>추정: 고객 매출 가중지수(t−1) 63012억 × 비례계수 0.0137(원점회귀; 격자 lag0~4×창8/12/19×수준·YoY·4Q합 중 최대 r=0.93, n=8, 창 8)
[yoy]</t>
      </text>
    </comment>
    <comment ref="AM5" authorId="0" shapeId="0">
      <text>
        <t>추정: 고객 매출 가중지수(t−1) 62370억 × 비례계수 0.0137(원점회귀; 격자 lag0~4×창8/12/19×수준·YoY·4Q합 중 최대 r=0.93, n=8, 창 8)
[yoy]</t>
      </text>
    </comment>
    <comment ref="AN5" authorId="0" shapeId="0">
      <text>
        <t>추정: 고객 매출 가중지수(t−1) 61037억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8.9% 유지
[yoy]</t>
      </text>
    </comment>
    <comment ref="AD10" authorId="0" shapeId="0">
      <text>
        <t>추정: 최근 8분기 OPM 중위 8.9% 유지
[yoy]</t>
      </text>
    </comment>
    <comment ref="AF10" authorId="0" shapeId="0">
      <text>
        <t>추정: 최근 8분기 OPM 중위 8.9% 유지
[yoy]</t>
      </text>
    </comment>
    <comment ref="AG10" authorId="0" shapeId="0">
      <text>
        <t>추정: 최근 8분기 OPM 중위 8.9% 유지
[yoy]</t>
      </text>
    </comment>
    <comment ref="AH10" authorId="0" shapeId="0">
      <text>
        <t>추정: 최근 8분기 OPM 중위 8.9% 유지
[yoy]</t>
      </text>
    </comment>
    <comment ref="AI10" authorId="0" shapeId="0">
      <text>
        <t>추정: 최근 8분기 OPM 중위 8.9% 유지
[yoy]</t>
      </text>
    </comment>
    <comment ref="AK10" authorId="0" shapeId="0">
      <text>
        <t>추정: 최근 8분기 OPM 중위 8.9% 유지
[yoy]</t>
      </text>
    </comment>
    <comment ref="AL10" authorId="0" shapeId="0">
      <text>
        <t>추정: 최근 8분기 OPM 중위 8.9% 유지
[yoy]</t>
      </text>
    </comment>
    <comment ref="AM10" authorId="0" shapeId="0">
      <text>
        <t>추정: 최근 8분기 OPM 중위 8.9% 유지
[yoy]</t>
      </text>
    </comment>
    <comment ref="AN10" authorId="0" shapeId="0">
      <text>
        <t>추정: 최근 8분기 OPM 중위 8.9% 유지
[yoy]</t>
      </text>
    </comment>
    <comment ref="AC11" authorId="0" shapeId="0">
      <text>
        <t>추정: 이자손익 = 이자발생자산 791억 × 2.87% − 총차입금 665억 × 0.00% (연율, CF 실측) ÷ 4; 환·평가손익 0 가정
[abs]</t>
      </text>
    </comment>
    <comment ref="AD11" authorId="0" shapeId="0">
      <text>
        <t>추정: 이자손익 = 이자발생자산 865억 × 2.87% − 총차입금 665억 × 0.00% (연율, CF 실측) ÷ 4; 환·평가손익 0 가정
[abs]</t>
      </text>
    </comment>
    <comment ref="AF11" authorId="0" shapeId="0">
      <text>
        <t>추정: 이자손익 = 이자발생자산 941억 × 2.87% − 총차입금 665억 × 0.00% (연율, CF 실측) ÷ 4; 환·평가손익 0 가정
[abs]</t>
      </text>
    </comment>
    <comment ref="AG11" authorId="0" shapeId="0">
      <text>
        <t>추정: 이자손익 = 이자발생자산 1018억 × 2.87% − 총차입금 665억 × 0.00% (연율, CF 실측) ÷ 4; 환·평가손익 0 가정
[abs]</t>
      </text>
    </comment>
    <comment ref="AH11" authorId="0" shapeId="0">
      <text>
        <t>추정: 이자손익 = 이자발생자산 1074억 × 2.87% − 총차입금 665억 × 0.00% (연율, CF 실측) ÷ 4; 환·평가손익 0 가정
[abs]</t>
      </text>
    </comment>
    <comment ref="AI11" authorId="0" shapeId="0">
      <text>
        <t>추정: 이자손익 = 이자발생자산 1150억 × 2.87% − 총차입금 665억 × 0.00% (연율, CF 실측) ÷ 4; 환·평가손익 0 가정
[abs]</t>
      </text>
    </comment>
    <comment ref="AK11" authorId="0" shapeId="0">
      <text>
        <t>추정: 이자손익 = 이자발생자산 1227억 × 2.87% − 총차입금 665억 × 0.00% (연율, CF 실측) ÷ 4; 환·평가손익 0 가정
[abs]</t>
      </text>
    </comment>
    <comment ref="AL11" authorId="0" shapeId="0">
      <text>
        <t>추정: 이자손익 = 이자발생자산 1304억 × 2.87% − 총차입금 665억 × 0.00% (연율, CF 실측) ÷ 4; 환·평가손익 0 가정
[abs]</t>
      </text>
    </comment>
    <comment ref="AM11" authorId="0" shapeId="0">
      <text>
        <t>추정: 이자손익 = 이자발생자산 1358억 × 2.87% − 총차입금 665억 × 0.00% (연율, CF 실측) ÷ 4; 환·평가손익 0 가정
[abs]</t>
      </text>
    </comment>
    <comment ref="AN11" authorId="0" shapeId="0">
      <text>
        <t>추정: 이자손익 = 이자발생자산 1434억 × 2.87% − 총차입금 665억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11.9%(최근 12분기 유효세율 11.9% → 5~27% 클립)
[ratio]</t>
      </text>
    </comment>
    <comment ref="AD14" authorId="0" shapeId="0">
      <text>
        <t>추정: max(세전, 0) × 세율 11.9%(최근 12분기 유효세율 11.9% → 5~27% 클립)
[ratio]</t>
      </text>
    </comment>
    <comment ref="AF14" authorId="0" shapeId="0">
      <text>
        <t>추정: max(세전, 0) × 세율 11.9%(최근 12분기 유효세율 11.9% → 5~27% 클립)
[ratio]</t>
      </text>
    </comment>
    <comment ref="AG14" authorId="0" shapeId="0">
      <text>
        <t>추정: max(세전, 0) × 세율 11.9%(최근 12분기 유효세율 11.9% → 5~27% 클립)
[ratio]</t>
      </text>
    </comment>
    <comment ref="AH14" authorId="0" shapeId="0">
      <text>
        <t>추정: max(세전, 0) × 세율 11.9%(최근 12분기 유효세율 11.9% → 5~27% 클립)
[ratio]</t>
      </text>
    </comment>
    <comment ref="AI14" authorId="0" shapeId="0">
      <text>
        <t>추정: max(세전, 0) × 세율 11.9%(최근 12분기 유효세율 11.9% → 5~27% 클립)
[ratio]</t>
      </text>
    </comment>
    <comment ref="AK14" authorId="0" shapeId="0">
      <text>
        <t>추정: max(세전, 0) × 세율 11.9%(최근 12분기 유효세율 11.9% → 5~27% 클립)
[ratio]</t>
      </text>
    </comment>
    <comment ref="AL14" authorId="0" shapeId="0">
      <text>
        <t>추정: max(세전, 0) × 세율 11.9%(최근 12분기 유효세율 11.9% → 5~27% 클립)
[ratio]</t>
      </text>
    </comment>
    <comment ref="AM14" authorId="0" shapeId="0">
      <text>
        <t>추정: max(세전, 0) × 세율 11.9%(최근 12분기 유효세율 11.9% → 5~27% 클립)
[ratio]</t>
      </text>
    </comment>
    <comment ref="AN14" authorId="0" shapeId="0">
      <text>
        <t>추정: max(세전, 0) × 세율 11.9%(최근 12분기 유효세율 11.9%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5.8%, 최근 8분기 실측)
[ratio]</t>
      </text>
    </comment>
    <comment ref="AD16" authorId="0" shapeId="0">
      <text>
        <t>추정: 당기순이익 × (1 − 비지배 비중 5.8%, 최근 8분기 실측)
[ratio]</t>
      </text>
    </comment>
    <comment ref="AF16" authorId="0" shapeId="0">
      <text>
        <t>추정: 당기순이익 × (1 − 비지배 비중 5.8%, 최근 8분기 실측)
[ratio]</t>
      </text>
    </comment>
    <comment ref="AG16" authorId="0" shapeId="0">
      <text>
        <t>추정: 당기순이익 × (1 − 비지배 비중 5.8%, 최근 8분기 실측)
[ratio]</t>
      </text>
    </comment>
    <comment ref="AH16" authorId="0" shapeId="0">
      <text>
        <t>추정: 당기순이익 × (1 − 비지배 비중 5.8%, 최근 8분기 실측)
[ratio]</t>
      </text>
    </comment>
    <comment ref="AI16" authorId="0" shapeId="0">
      <text>
        <t>추정: 당기순이익 × (1 − 비지배 비중 5.8%, 최근 8분기 실측)
[ratio]</t>
      </text>
    </comment>
    <comment ref="AK16" authorId="0" shapeId="0">
      <text>
        <t>추정: 당기순이익 × (1 − 비지배 비중 5.8%, 최근 8분기 실측)
[ratio]</t>
      </text>
    </comment>
    <comment ref="AL16" authorId="0" shapeId="0">
      <text>
        <t>추정: 당기순이익 × (1 − 비지배 비중 5.8%, 최근 8분기 실측)
[ratio]</t>
      </text>
    </comment>
    <comment ref="AM16" authorId="0" shapeId="0">
      <text>
        <t>추정: 당기순이익 × (1 − 비지배 비중 5.8%, 최근 8분기 실측)
[ratio]</t>
      </text>
    </comment>
    <comment ref="AN16" authorId="0" shapeId="0">
      <text>
        <t>추정: 당기순이익 × (1 − 비지배 비중 5.8%,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165원 유지
[yoy]</t>
      </text>
    </comment>
    <comment ref="AI30" authorId="0" shapeId="0">
      <text>
        <t>추정: 직전 결산 DPS 165원 유지
[yoy]</t>
      </text>
    </comment>
    <comment ref="AN30" authorId="0" shapeId="0">
      <text>
        <t>추정: 직전 결산 DPS 165원 유지
[yoy]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62.3, "op_wape_pct": 35.9,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</v>
      </c>
      <c r="AD21" s="24" t="n">
        <v>1.736372</v>
      </c>
      <c r="AE21" s="25" t="n"/>
      <c r="AF21" s="24" t="n">
        <v>-0.308111</v>
      </c>
      <c r="AG21" s="24" t="n">
        <v>-0.315619</v>
      </c>
      <c r="AH21" s="24" t="n">
        <v>0.02106</v>
      </c>
      <c r="AI21" s="24" t="n">
        <v>-0.0195</v>
      </c>
      <c r="AJ21" s="25" t="n"/>
      <c r="AK21" s="24" t="n">
        <v>-0.033243</v>
      </c>
      <c r="AL21" s="24" t="n">
        <v>-0.03999</v>
      </c>
      <c r="AM21" s="24" t="n">
        <v>-0.035347</v>
      </c>
      <c r="AN21" s="24" t="n">
        <v>-0.056143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0.097959</v>
      </c>
      <c r="AD22" s="24" t="n">
        <v>0.097956</v>
      </c>
      <c r="AE22" s="25">
        <f>IFERROR(subQ!AE8/subQ!AE5,"")</f>
        <v/>
      </c>
      <c r="AF22" s="24" t="n">
        <v>0.09796299999999999</v>
      </c>
      <c r="AG22" s="24" t="n">
        <v>0.09796199999999999</v>
      </c>
      <c r="AH22" s="24" t="n">
        <v>0.097959</v>
      </c>
      <c r="AI22" s="24" t="n">
        <v>0.09796299999999999</v>
      </c>
      <c r="AJ22" s="25">
        <f>IFERROR(subQ!AJ8/subQ!AJ5,"")</f>
        <v/>
      </c>
      <c r="AK22" s="24" t="n">
        <v>0.09796299999999999</v>
      </c>
      <c r="AL22" s="24" t="n">
        <v>0.097953</v>
      </c>
      <c r="AM22" s="24" t="n">
        <v>0.097955</v>
      </c>
      <c r="AN22" s="24" t="n">
        <v>0.097954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</v>
      </c>
      <c r="AD23" s="24" t="n">
        <v>0.089257</v>
      </c>
      <c r="AE23" s="25">
        <f>IFERROR(subQ!AE9/subQ!AE5,"")</f>
        <v/>
      </c>
      <c r="AF23" s="24" t="n">
        <v>0.089252</v>
      </c>
      <c r="AG23" s="24" t="n">
        <v>0.089254</v>
      </c>
      <c r="AH23" s="24" t="n">
        <v>0.089255</v>
      </c>
      <c r="AI23" s="24" t="n">
        <v>0.08926000000000001</v>
      </c>
      <c r="AJ23" s="25">
        <f>IFERROR(subQ!AJ9/subQ!AJ5,"")</f>
        <v/>
      </c>
      <c r="AK23" s="24" t="n">
        <v>0.08926000000000001</v>
      </c>
      <c r="AL23" s="24" t="n">
        <v>0.089254</v>
      </c>
      <c r="AM23" s="24" t="n">
        <v>0.08926000000000001</v>
      </c>
      <c r="AN23" s="24" t="n">
        <v>0.08926000000000001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-0.228176</v>
      </c>
      <c r="AD24" s="24" t="n">
        <v>0.962637</v>
      </c>
      <c r="AE24" s="25" t="n"/>
      <c r="AF24" s="24" t="n">
        <v>1.086449</v>
      </c>
      <c r="AG24" s="24" t="n">
        <v>2.690083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5.68</v>
      </c>
      <c r="AD25" s="29" t="n">
        <v>6.21</v>
      </c>
      <c r="AE25" s="30">
        <f>subQ!AE11</f>
        <v/>
      </c>
      <c r="AF25" s="29" t="n">
        <v>6.76</v>
      </c>
      <c r="AG25" s="29" t="n">
        <v>7.31</v>
      </c>
      <c r="AH25" s="29" t="n">
        <v>7.71</v>
      </c>
      <c r="AI25" s="29" t="n">
        <v>8.26</v>
      </c>
      <c r="AJ25" s="30">
        <f>subQ!AJ11</f>
        <v/>
      </c>
      <c r="AK25" s="29" t="n">
        <v>8.81</v>
      </c>
      <c r="AL25" s="29" t="n">
        <v>9.359999999999999</v>
      </c>
      <c r="AM25" s="29" t="n">
        <v>9.75</v>
      </c>
      <c r="AN25" s="29" t="n">
        <v>10.29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0.11948</v>
      </c>
      <c r="AD27" s="24" t="n">
        <v>0.119503</v>
      </c>
      <c r="AE27" s="25">
        <f>IFERROR(subQ!AE14/subQ!AE13,"")</f>
        <v/>
      </c>
      <c r="AF27" s="24" t="n">
        <v>0.119521</v>
      </c>
      <c r="AG27" s="24" t="n">
        <v>0.119447</v>
      </c>
      <c r="AH27" s="24" t="n">
        <v>0.119511</v>
      </c>
      <c r="AI27" s="24" t="n">
        <v>0.119432</v>
      </c>
      <c r="AJ27" s="25">
        <f>IFERROR(subQ!AJ14/subQ!AJ13,"")</f>
        <v/>
      </c>
      <c r="AK27" s="24" t="n">
        <v>0.119466</v>
      </c>
      <c r="AL27" s="24" t="n">
        <v>0.119431</v>
      </c>
      <c r="AM27" s="24" t="n">
        <v>0.119507</v>
      </c>
      <c r="AN27" s="24" t="n">
        <v>0.11951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0.941787</v>
      </c>
      <c r="AD28" s="24" t="n">
        <v>0.941815</v>
      </c>
      <c r="AE28" s="25">
        <f>IFERROR(subQ!AE16/subQ!AE15,"")</f>
        <v/>
      </c>
      <c r="AF28" s="24" t="n">
        <v>0.941787</v>
      </c>
      <c r="AG28" s="24" t="n">
        <v>0.941771</v>
      </c>
      <c r="AH28" s="24" t="n">
        <v>0.941885</v>
      </c>
      <c r="AI28" s="24" t="n">
        <v>0.941743</v>
      </c>
      <c r="AJ28" s="25">
        <f>IFERROR(subQ!AJ16/subQ!AJ15,"")</f>
        <v/>
      </c>
      <c r="AK28" s="24" t="n">
        <v>0.94176</v>
      </c>
      <c r="AL28" s="24" t="n">
        <v>0.941779</v>
      </c>
      <c r="AM28" s="24" t="n">
        <v>0.941774</v>
      </c>
      <c r="AN28" s="24" t="n">
        <v>0.941703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-0.0026</v>
      </c>
      <c r="AD30" s="29" t="n">
        <v>0</v>
      </c>
      <c r="AE30" s="30" t="n"/>
      <c r="AF30" s="29" t="n">
        <v>0</v>
      </c>
      <c r="AG30" s="29" t="n">
        <v>21.45</v>
      </c>
      <c r="AH30" s="29" t="n">
        <v>-0.01</v>
      </c>
      <c r="AI30" s="29" t="n">
        <v>0</v>
      </c>
      <c r="AJ30" s="30" t="n"/>
      <c r="AK30" s="29" t="n">
        <v>0</v>
      </c>
      <c r="AL30" s="29" t="n">
        <v>21.46</v>
      </c>
      <c r="AM30" s="29" t="n">
        <v>-0.01</v>
      </c>
      <c r="AN30" s="29" t="n">
        <v>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-0.0009</v>
      </c>
      <c r="AD31" s="29" t="n">
        <v>0</v>
      </c>
      <c r="AE31" s="30" t="n"/>
      <c r="AF31" s="29" t="n">
        <v>-0.01</v>
      </c>
      <c r="AG31" s="29" t="n">
        <v>21.45</v>
      </c>
      <c r="AH31" s="29" t="n">
        <v>0.01</v>
      </c>
      <c r="AI31" s="29" t="n">
        <v>-0.01</v>
      </c>
      <c r="AJ31" s="30" t="n"/>
      <c r="AK31" s="29" t="n">
        <v>0</v>
      </c>
      <c r="AL31" s="29" t="n">
        <v>21.45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-23.044839</v>
      </c>
      <c r="AD33" s="24" t="n">
        <v>1.092415</v>
      </c>
      <c r="AE33" s="25" t="n"/>
      <c r="AF33" s="24" t="n">
        <v>0.526521</v>
      </c>
      <c r="AG33" s="24" t="n">
        <v>0.248904</v>
      </c>
      <c r="AH33" s="24" t="n">
        <v>0.273596</v>
      </c>
      <c r="AI33" s="24" t="n">
        <v>0.216199</v>
      </c>
      <c r="AJ33" s="25" t="n"/>
      <c r="AK33" s="24" t="n">
        <v>0.177004</v>
      </c>
      <c r="AL33" s="24" t="n">
        <v>0.107314</v>
      </c>
      <c r="AM33" s="24" t="n">
        <v>0.134338</v>
      </c>
      <c r="AN33" s="24" t="n">
        <v>0.116943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0.092472</v>
      </c>
      <c r="AD34" s="24" t="n">
        <v>0.08845699999999999</v>
      </c>
      <c r="AE34" s="25" t="n"/>
      <c r="AF34" s="24" t="n">
        <v>0.081959</v>
      </c>
      <c r="AG34" s="24" t="n">
        <v>0.054665</v>
      </c>
      <c r="AH34" s="24" t="n">
        <v>0.071154</v>
      </c>
      <c r="AI34" s="24" t="n">
        <v>0.066853</v>
      </c>
      <c r="AJ34" s="25" t="n"/>
      <c r="AK34" s="24" t="n">
        <v>0.062395</v>
      </c>
      <c r="AL34" s="24" t="n">
        <v>0.04191</v>
      </c>
      <c r="AM34" s="24" t="n">
        <v>0.055757</v>
      </c>
      <c r="AN34" s="24" t="n">
        <v>0.05215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-0.659965</v>
      </c>
      <c r="AD40" s="24" t="n">
        <v>-0.755571</v>
      </c>
      <c r="AE40" s="25" t="n"/>
      <c r="AF40" s="24" t="n">
        <v>-0.652901</v>
      </c>
      <c r="AG40" s="24" t="n">
        <v>-0.612403</v>
      </c>
      <c r="AH40" s="24" t="n">
        <v>-0.236504</v>
      </c>
      <c r="AI40" s="24" t="n">
        <v>-0.18232</v>
      </c>
      <c r="AJ40" s="25" t="n"/>
      <c r="AK40" s="24" t="n">
        <v>-0.15864</v>
      </c>
      <c r="AL40" s="24" t="n">
        <v>-0.006667</v>
      </c>
      <c r="AM40" s="24" t="n">
        <v>0.003367</v>
      </c>
      <c r="AN40" s="24" t="n">
        <v>0.013514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-0.325397</v>
      </c>
      <c r="AD41" s="24" t="n">
        <v>-0.662393</v>
      </c>
      <c r="AE41" s="25" t="n"/>
      <c r="AF41" s="24" t="n">
        <v>-0.6243649999999999</v>
      </c>
      <c r="AG41" s="24" t="n">
        <v>-0.517007</v>
      </c>
      <c r="AH41" s="24" t="n">
        <v>-0.211765</v>
      </c>
      <c r="AI41" s="24" t="n">
        <v>-0.202532</v>
      </c>
      <c r="AJ41" s="25" t="n"/>
      <c r="AK41" s="24" t="n">
        <v>-0.189189</v>
      </c>
      <c r="AL41" s="24" t="n">
        <v>-0.183099</v>
      </c>
      <c r="AM41" s="24" t="n">
        <v>-0.179104</v>
      </c>
      <c r="AN41" s="24" t="n">
        <v>-0.15873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0.089255</v>
      </c>
      <c r="AD43" s="24" t="n">
        <v>0.089257</v>
      </c>
      <c r="AE43" s="25">
        <f>IFERROR(subQ!AE34/subQ!AE33,"")</f>
        <v/>
      </c>
      <c r="AF43" s="24" t="n">
        <v>0.089252</v>
      </c>
      <c r="AG43" s="24" t="n">
        <v>0.089254</v>
      </c>
      <c r="AH43" s="24" t="n">
        <v>0.089255</v>
      </c>
      <c r="AI43" s="24" t="n">
        <v>0.08926000000000001</v>
      </c>
      <c r="AJ43" s="25">
        <f>IFERROR(subQ!AJ34/subQ!AJ33,"")</f>
        <v/>
      </c>
      <c r="AK43" s="24" t="n">
        <v>0.08926000000000001</v>
      </c>
      <c r="AL43" s="24" t="n">
        <v>0.089254</v>
      </c>
      <c r="AM43" s="24" t="n">
        <v>0.08926000000000001</v>
      </c>
      <c r="AN43" s="24" t="n">
        <v>0.08926000000000001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6600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8.199999999999999</v>
      </c>
      <c r="E49" s="2" t="inlineStr">
        <is>
          <t>PER 밴드 하단(배) — hist_quarterly(분기 평균가 ÷ TTM EPS, 12분기,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11.4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0.1195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0.098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4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4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4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4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4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4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4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4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4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4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4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4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4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4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4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4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4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4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4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4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4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4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4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4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4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4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4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4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4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4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4" t="n">
        <v>0</v>
      </c>
      <c r="I12" s="18" t="n">
        <v>74.03</v>
      </c>
      <c r="J12" s="18" t="n">
        <v>74.16</v>
      </c>
      <c r="K12" s="34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4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Y12" s="18" t="n">
        <v>2010.88</v>
      </c>
      <c r="Z12" s="34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4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4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4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4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4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4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4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4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4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4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4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4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4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4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4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4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4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4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4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4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4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4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4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4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4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4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4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4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4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4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4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4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4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4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4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4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4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4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4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4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4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4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4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4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4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4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4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4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4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4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4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4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4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4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4" t="n">
        <v>23790.97</v>
      </c>
      <c r="L27" s="18" t="n">
        <v>25177.48</v>
      </c>
      <c r="M27" s="18" t="n">
        <v>25735.19</v>
      </c>
      <c r="N27" s="18" t="n">
        <v>27311.77</v>
      </c>
      <c r="O27" s="18" t="n">
        <v>27150.91</v>
      </c>
      <c r="P27" s="34" t="n">
        <v>27150.91</v>
      </c>
      <c r="Q27" s="18" t="n">
        <v>21311.19</v>
      </c>
      <c r="R27" s="18" t="n">
        <v>16927.92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4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4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4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4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4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4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4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4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4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4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4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4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4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4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4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4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4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4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4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4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4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4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4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4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4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4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4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4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4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4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4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4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4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4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4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4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4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4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4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4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4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4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4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4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4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34007.91</v>
      </c>
      <c r="Z38" s="34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4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4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4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4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4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4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4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4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4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4" t="n">
        <v>0</v>
      </c>
      <c r="I41" s="18" t="n">
        <v>0</v>
      </c>
      <c r="J41" s="18" t="n">
        <v>0</v>
      </c>
      <c r="K41" s="34" t="n">
        <v>0</v>
      </c>
      <c r="P41" s="9" t="n"/>
      <c r="U41" s="9" t="n"/>
      <c r="Y41" s="18" t="n">
        <v>29183.12</v>
      </c>
      <c r="Z41" s="34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4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4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4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4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4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4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4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4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4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4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4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4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4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4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4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4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4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4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4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4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4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4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4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4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4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4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4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4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4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4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4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4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4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4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4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4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4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4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4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4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4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4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4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4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4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4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4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4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4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4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4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4" t="n">
        <v>25790.97</v>
      </c>
      <c r="L54" s="18" t="n">
        <v>27177.48</v>
      </c>
      <c r="M54" s="18" t="n">
        <v>27735.19</v>
      </c>
      <c r="N54" s="18" t="n">
        <v>27811.77</v>
      </c>
      <c r="O54" s="18" t="n">
        <v>27650.91</v>
      </c>
      <c r="P54" s="34" t="n">
        <v>27650.91</v>
      </c>
      <c r="Q54" s="18" t="n">
        <v>21811.19</v>
      </c>
      <c r="R54" s="18" t="n">
        <v>16927.92</v>
      </c>
      <c r="U54" s="9" t="n"/>
      <c r="Y54" s="18" t="n">
        <v>41595.54</v>
      </c>
      <c r="Z54" s="34" t="n">
        <v>41595.54</v>
      </c>
      <c r="AA54" s="18" t="n">
        <v>42672.47</v>
      </c>
      <c r="AB54" s="19" t="n">
        <v>66463.61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4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4" t="n">
        <v>897.97</v>
      </c>
      <c r="L55" s="18" t="n">
        <v>2862.1</v>
      </c>
      <c r="M55" s="18" t="n">
        <v>5683.48</v>
      </c>
      <c r="N55" s="18" t="n">
        <v>2956.52</v>
      </c>
      <c r="O55" s="18" t="n">
        <v>3788.36</v>
      </c>
      <c r="P55" s="34" t="n">
        <v>3788.36</v>
      </c>
      <c r="Q55" s="18" t="n">
        <v>2931.24</v>
      </c>
      <c r="R55" s="18" t="n">
        <v>3544.71</v>
      </c>
      <c r="U55" s="9" t="n"/>
      <c r="Y55" s="18" t="n">
        <v>-23507.56</v>
      </c>
      <c r="Z55" s="34" t="n">
        <v>-23507.56</v>
      </c>
      <c r="AA55" s="18" t="n">
        <v>-27538.67</v>
      </c>
      <c r="AB55" s="19" t="n">
        <v>317.58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4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4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4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4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4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4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27311.77</v>
      </c>
      <c r="O58" s="18" t="n">
        <v>27150.91</v>
      </c>
      <c r="P58" s="34" t="n">
        <v>27150.91</v>
      </c>
      <c r="Q58" s="18" t="n">
        <v>21311.19</v>
      </c>
      <c r="R58" s="18" t="n">
        <v>16927.92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4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4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4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4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4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4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4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4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4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4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4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4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4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4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4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4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4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4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4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4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4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4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4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4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4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4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4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4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4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4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4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4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4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4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4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4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4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4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4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4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4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4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4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4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4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4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4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4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4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4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4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4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4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4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4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4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4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4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4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4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4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4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4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4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4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4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4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4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4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4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-6645.05</v>
      </c>
      <c r="F79" s="9" t="n"/>
      <c r="G79" s="18" t="n">
        <v>-4187.12</v>
      </c>
      <c r="H79" s="18" t="n">
        <v>3626.11</v>
      </c>
      <c r="I79" s="18" t="n">
        <v>-4561.52</v>
      </c>
      <c r="J79" s="18" t="n">
        <v>7686.54</v>
      </c>
      <c r="K79" s="34" t="n">
        <v>2564.01</v>
      </c>
      <c r="L79" s="18" t="n">
        <v>-1323.36</v>
      </c>
      <c r="M79" s="18" t="n">
        <v>-980.88</v>
      </c>
      <c r="N79" s="18" t="n">
        <v>3924.14</v>
      </c>
      <c r="O79" s="18" t="n">
        <v>1793.55</v>
      </c>
      <c r="P79" s="34" t="n">
        <v>3413.45</v>
      </c>
      <c r="Q79" s="18" t="n">
        <v>2497.93</v>
      </c>
      <c r="R79" s="18" t="n">
        <v>2426.17</v>
      </c>
      <c r="S79" s="18" t="n">
        <v>7869.93</v>
      </c>
      <c r="T79" s="18" t="n">
        <v>-1881.52</v>
      </c>
      <c r="U79" s="34" t="n">
        <v>10912.51</v>
      </c>
      <c r="V79" s="18" t="n">
        <v>-49</v>
      </c>
      <c r="W79" s="18" t="n">
        <v>5706.65</v>
      </c>
      <c r="X79" s="18" t="n">
        <v>1848.18</v>
      </c>
      <c r="Y79" s="18" t="n">
        <v>-17303.59</v>
      </c>
      <c r="Z79" s="34" t="n">
        <v>-9797.76</v>
      </c>
      <c r="AA79" s="18" t="n">
        <v>2594.22</v>
      </c>
      <c r="AB79" s="19" t="n">
        <v>-3358.15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4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4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4" t="n">
        <v>76.16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4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4" t="n">
        <v>-119.44</v>
      </c>
      <c r="Q81" s="18" t="n">
        <v>-49.16</v>
      </c>
      <c r="R81" s="18" t="n">
        <v>53.55</v>
      </c>
      <c r="S81" s="18" t="n">
        <v>-48.2</v>
      </c>
      <c r="T81" s="18" t="n">
        <v>-257.13</v>
      </c>
      <c r="U81" s="34" t="n">
        <v>-300.94</v>
      </c>
      <c r="V81" s="18" t="n">
        <v>-66.48999999999999</v>
      </c>
      <c r="W81" s="18" t="n">
        <v>-121.06</v>
      </c>
      <c r="X81" s="18" t="n">
        <v>-27.45</v>
      </c>
      <c r="Y81" s="18" t="n">
        <v>-138.14</v>
      </c>
      <c r="Z81" s="34" t="n">
        <v>-353.14</v>
      </c>
      <c r="AA81" s="18" t="n">
        <v>-620.17</v>
      </c>
      <c r="AB81" s="19" t="n">
        <v>-1535.09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5378.32</v>
      </c>
      <c r="F82" s="9" t="n"/>
      <c r="G82" s="18" t="n">
        <v>6234.19</v>
      </c>
      <c r="H82" s="18" t="n">
        <v>-1307.8</v>
      </c>
      <c r="I82" s="18" t="n">
        <v>-392.99</v>
      </c>
      <c r="J82" s="18" t="n">
        <v>-4208.17</v>
      </c>
      <c r="K82" s="34" t="n">
        <v>325.23</v>
      </c>
      <c r="L82" s="18" t="n">
        <v>-1496.27</v>
      </c>
      <c r="M82" s="18" t="n">
        <v>-689.79</v>
      </c>
      <c r="N82" s="18" t="n">
        <v>-2978.31</v>
      </c>
      <c r="O82" s="18" t="n">
        <v>-3784.56</v>
      </c>
      <c r="P82" s="34" t="n">
        <v>-8948.93</v>
      </c>
      <c r="Q82" s="18" t="n">
        <v>1578.71</v>
      </c>
      <c r="R82" s="18" t="n">
        <v>8834.889999999999</v>
      </c>
      <c r="S82" s="18" t="n">
        <v>-13565.3</v>
      </c>
      <c r="T82" s="18" t="n">
        <v>1913.79</v>
      </c>
      <c r="U82" s="34" t="n">
        <v>-1237.91</v>
      </c>
      <c r="V82" s="18" t="n">
        <v>-8906.370000000001</v>
      </c>
      <c r="W82" s="18" t="n">
        <v>6721.84</v>
      </c>
      <c r="X82" s="18" t="n">
        <v>-12305.08</v>
      </c>
      <c r="Y82" s="18" t="n">
        <v>-66259.10000000001</v>
      </c>
      <c r="Z82" s="34" t="n">
        <v>-80748.71000000001</v>
      </c>
      <c r="AA82" s="18" t="n">
        <v>-11333.34</v>
      </c>
      <c r="AB82" s="19" t="n">
        <v>-9279.08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2950.44</v>
      </c>
      <c r="F83" s="9" t="n"/>
      <c r="G83" s="18" t="n">
        <v>-548.23</v>
      </c>
      <c r="H83" s="18" t="n">
        <v>-777.72</v>
      </c>
      <c r="I83" s="18" t="n">
        <v>-54.66</v>
      </c>
      <c r="J83" s="18" t="n">
        <v>-943.5</v>
      </c>
      <c r="K83" s="34" t="n">
        <v>-2324.11</v>
      </c>
      <c r="L83" s="18" t="n">
        <v>1237.65</v>
      </c>
      <c r="M83" s="18" t="n">
        <v>-70.97</v>
      </c>
      <c r="N83" s="18" t="n">
        <v>-52.14</v>
      </c>
      <c r="O83" s="18" t="n">
        <v>-38.25</v>
      </c>
      <c r="P83" s="34" t="n">
        <v>1076.29</v>
      </c>
      <c r="Q83" s="18" t="n">
        <v>-6020.79</v>
      </c>
      <c r="R83" s="18" t="n">
        <v>-5795.75</v>
      </c>
      <c r="S83" s="18" t="n">
        <v>2487.59</v>
      </c>
      <c r="T83" s="18" t="n">
        <v>7.11</v>
      </c>
      <c r="U83" s="34" t="n">
        <v>-9321.84</v>
      </c>
      <c r="V83" s="18" t="n">
        <v>7465.85</v>
      </c>
      <c r="W83" s="18" t="n">
        <v>-8831.059999999999</v>
      </c>
      <c r="X83" s="18" t="n">
        <v>23609.27</v>
      </c>
      <c r="Y83" s="18" t="n">
        <v>90619.38</v>
      </c>
      <c r="Z83" s="34" t="n">
        <v>112863.44</v>
      </c>
      <c r="AA83" s="18" t="n">
        <v>5957.42</v>
      </c>
      <c r="AB83" s="19" t="n">
        <v>142.26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1292.12</v>
      </c>
      <c r="M84" s="18" t="n">
        <v>575.88</v>
      </c>
      <c r="P84" s="9" t="n"/>
      <c r="Q84" s="18" t="n">
        <v>0</v>
      </c>
      <c r="R84" s="18" t="n">
        <v>2800.95</v>
      </c>
      <c r="S84" s="18" t="n">
        <v>2512.6</v>
      </c>
      <c r="T84" s="18" t="n">
        <v>24.45</v>
      </c>
      <c r="U84" s="34" t="n">
        <v>5338</v>
      </c>
      <c r="V84" s="18" t="n">
        <v>9000</v>
      </c>
      <c r="W84" s="18" t="n">
        <v>1500</v>
      </c>
      <c r="X84" s="18" t="n">
        <v>27843.2</v>
      </c>
      <c r="Y84" s="18" t="n">
        <v>48219.16</v>
      </c>
      <c r="Z84" s="34" t="n">
        <v>86562.36</v>
      </c>
      <c r="AA84" s="18" t="n">
        <v>58358.34</v>
      </c>
      <c r="AB84" s="19" t="n">
        <v>20501.13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30000</v>
      </c>
      <c r="Z85" s="34" t="n">
        <v>32000</v>
      </c>
      <c r="AA85" s="18" t="n">
        <v>0</v>
      </c>
      <c r="AB85" s="19" t="n">
        <v>25000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J86" s="18" t="n">
        <v>1221.39</v>
      </c>
      <c r="K86" s="9" t="n"/>
      <c r="O86" s="18" t="n">
        <v>0</v>
      </c>
      <c r="P86" s="9" t="n"/>
      <c r="Q86" s="18" t="n">
        <v>6000</v>
      </c>
      <c r="R86" s="18" t="n">
        <v>7367.3</v>
      </c>
      <c r="S86" s="18" t="n">
        <v>8.4</v>
      </c>
      <c r="T86" s="18" t="n">
        <v>16.3</v>
      </c>
      <c r="U86" s="34" t="n">
        <v>13392</v>
      </c>
      <c r="V86" s="18" t="n">
        <v>2000</v>
      </c>
      <c r="W86" s="18" t="n">
        <v>9500</v>
      </c>
      <c r="X86" s="18" t="n">
        <v>4216.43</v>
      </c>
      <c r="Y86" s="18" t="n">
        <v>11015.44</v>
      </c>
      <c r="Z86" s="34" t="n">
        <v>26731.87</v>
      </c>
      <c r="AA86" s="18" t="n">
        <v>52366.12</v>
      </c>
      <c r="AB86" s="19" t="n">
        <v>40893.1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4353.32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3.38</v>
      </c>
      <c r="F88" s="9" t="n"/>
      <c r="G88" s="18" t="n">
        <v>503.38</v>
      </c>
      <c r="H88" s="18" t="n">
        <v>383.46</v>
      </c>
      <c r="I88" s="18" t="n">
        <v>6.98</v>
      </c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U88" s="9" t="n"/>
      <c r="Z88" s="9" t="n"/>
      <c r="AA88" s="18" t="n">
        <v>15.39</v>
      </c>
      <c r="AB88" s="19" t="n">
        <v>15.55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1683.71</v>
      </c>
      <c r="F90" s="9" t="n"/>
      <c r="G90" s="18" t="n">
        <v>1498.84</v>
      </c>
      <c r="H90" s="18" t="n">
        <v>1540.59</v>
      </c>
      <c r="I90" s="18" t="n">
        <v>-5009.18</v>
      </c>
      <c r="J90" s="18" t="n">
        <v>2534.88</v>
      </c>
      <c r="K90" s="34" t="n">
        <v>565.13</v>
      </c>
      <c r="L90" s="18" t="n">
        <v>-1581.99</v>
      </c>
      <c r="M90" s="18" t="n">
        <v>-1741.63</v>
      </c>
      <c r="N90" s="18" t="n">
        <v>893.6799999999999</v>
      </c>
      <c r="O90" s="18" t="n">
        <v>-2029.25</v>
      </c>
      <c r="P90" s="34" t="n">
        <v>-4459.19</v>
      </c>
      <c r="Q90" s="18" t="n">
        <v>-1944.15</v>
      </c>
      <c r="R90" s="18" t="n">
        <v>5465.31</v>
      </c>
      <c r="S90" s="18" t="n">
        <v>-3207.78</v>
      </c>
      <c r="T90" s="18" t="n">
        <v>39.38</v>
      </c>
      <c r="U90" s="34" t="n">
        <v>352.76</v>
      </c>
      <c r="V90" s="18" t="n">
        <v>-1489.52</v>
      </c>
      <c r="W90" s="18" t="n">
        <v>3597.42</v>
      </c>
      <c r="X90" s="18" t="n">
        <v>13152.38</v>
      </c>
      <c r="Y90" s="18" t="n">
        <v>26652.21</v>
      </c>
      <c r="Z90" s="34" t="n">
        <v>41912.49</v>
      </c>
      <c r="AA90" s="18" t="n">
        <v>-7970.15</v>
      </c>
      <c r="AB90" s="19" t="n">
        <v>-5778.66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1653.96</v>
      </c>
      <c r="F91" s="9" t="n"/>
      <c r="G91" s="18" t="n">
        <v>9845.85</v>
      </c>
      <c r="H91" s="18" t="n">
        <v>1594.84</v>
      </c>
      <c r="I91" s="18" t="n">
        <v>-4844</v>
      </c>
      <c r="J91" s="18" t="n">
        <v>2171.43</v>
      </c>
      <c r="K91" s="34" t="n">
        <v>8768.120000000001</v>
      </c>
      <c r="L91" s="18" t="n">
        <v>7219.26</v>
      </c>
      <c r="M91" s="18" t="n">
        <v>-1805.78</v>
      </c>
      <c r="N91" s="18" t="n">
        <v>900.38</v>
      </c>
      <c r="O91" s="18" t="n">
        <v>-2006.45</v>
      </c>
      <c r="P91" s="34" t="n">
        <v>4307.41</v>
      </c>
      <c r="Q91" s="18" t="n">
        <v>6830.32</v>
      </c>
      <c r="R91" s="18" t="n">
        <v>1027.04</v>
      </c>
      <c r="S91" s="18" t="n">
        <v>-3200.96</v>
      </c>
      <c r="T91" s="18" t="n">
        <v>55.88</v>
      </c>
      <c r="U91" s="34" t="n">
        <v>4712.28</v>
      </c>
      <c r="V91" s="18" t="n">
        <v>3231.07</v>
      </c>
      <c r="W91" s="18" t="n">
        <v>3550.79</v>
      </c>
      <c r="X91" s="18" t="n">
        <v>13205</v>
      </c>
      <c r="Y91" s="18" t="n">
        <v>26675.16</v>
      </c>
      <c r="Z91" s="34" t="n">
        <v>46662.02</v>
      </c>
      <c r="AA91" s="18" t="n">
        <v>40278.7</v>
      </c>
      <c r="AB91" s="19" t="n">
        <v>-5240.67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278.77</v>
      </c>
      <c r="P92" s="9" t="n"/>
      <c r="Q92" s="18" t="n">
        <v>336.33</v>
      </c>
      <c r="R92" s="18" t="n">
        <v>258.33</v>
      </c>
      <c r="S92" s="18" t="n">
        <v>231.38</v>
      </c>
      <c r="T92" s="18" t="n">
        <v>301.04</v>
      </c>
      <c r="U92" s="34" t="n">
        <v>1127.08</v>
      </c>
      <c r="V92" s="18" t="n">
        <v>216.58</v>
      </c>
      <c r="W92" s="18" t="n">
        <v>341.04</v>
      </c>
      <c r="X92" s="18" t="n">
        <v>209.98</v>
      </c>
      <c r="Y92" s="18" t="n">
        <v>522.76</v>
      </c>
      <c r="Z92" s="34" t="n">
        <v>1290.36</v>
      </c>
      <c r="AA92" s="18" t="n">
        <v>742.96</v>
      </c>
      <c r="AB92" s="19" t="n">
        <v>688.46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399.09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4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4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4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4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4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4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4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4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4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4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4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4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4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4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4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4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4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4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4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4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4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4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4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4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4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4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4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4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4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4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4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4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4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4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4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4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4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4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4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4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4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4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4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4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4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4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4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4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4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4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4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4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4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4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4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4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4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4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4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4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4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4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4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4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4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4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4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4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4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4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4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4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4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4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4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4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4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4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4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4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4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4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4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4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4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4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4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4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4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4" t="n">
        <v>21500</v>
      </c>
      <c r="Q27" s="18" t="n">
        <v>15500</v>
      </c>
      <c r="R27" s="18" t="n">
        <v>10000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N28" s="18" t="n">
        <v>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4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4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4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4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4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4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4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4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4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4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4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4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4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4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4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4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4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4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4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4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4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4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4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4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4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4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4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4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4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4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4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4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4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4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4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4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4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4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4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4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4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4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4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4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4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7000</v>
      </c>
      <c r="Z38" s="34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4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4" t="n">
        <v>0</v>
      </c>
      <c r="M39" s="18" t="n">
        <v>609.25</v>
      </c>
      <c r="N39" s="18" t="n">
        <v>773.27</v>
      </c>
      <c r="O39" s="18" t="n">
        <v>0</v>
      </c>
      <c r="P39" s="34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4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4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4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4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4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4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4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4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4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I42" s="18" t="n">
        <v>0</v>
      </c>
      <c r="J42" s="18" t="n">
        <v>0</v>
      </c>
      <c r="K42" s="34" t="n">
        <v>0</v>
      </c>
      <c r="N42" s="18" t="n">
        <v>0</v>
      </c>
      <c r="O42" s="18" t="n">
        <v>0</v>
      </c>
      <c r="P42" s="34" t="n">
        <v>0</v>
      </c>
      <c r="T42" s="18" t="n">
        <v>0</v>
      </c>
      <c r="U42" s="34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4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4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4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4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4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4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4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4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4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4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4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4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4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4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4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4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4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4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4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4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4" t="n">
        <v>0</v>
      </c>
      <c r="G49" s="18" t="n">
        <v>0</v>
      </c>
      <c r="H49" s="18" t="n">
        <v>0</v>
      </c>
      <c r="J49" s="18" t="n">
        <v>0</v>
      </c>
      <c r="K49" s="34" t="n">
        <v>0</v>
      </c>
      <c r="M49" s="18" t="n">
        <v>0</v>
      </c>
      <c r="O49" s="18" t="n">
        <v>0</v>
      </c>
      <c r="P49" s="34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4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4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4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4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4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4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4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4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4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4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4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4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4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4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4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4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4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4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4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4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4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4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4" t="n">
        <v>22000</v>
      </c>
      <c r="Q54" s="18" t="n">
        <v>16000</v>
      </c>
      <c r="R54" s="18" t="n">
        <v>10000</v>
      </c>
      <c r="U54" s="9" t="n"/>
      <c r="Y54" s="18" t="n">
        <v>14587.63</v>
      </c>
      <c r="Z54" s="34" t="n">
        <v>14587.63</v>
      </c>
      <c r="AA54" s="18" t="n">
        <v>14845.53</v>
      </c>
      <c r="AB54" s="19" t="n">
        <v>14106.29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4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4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4" t="n">
        <v>-931.27</v>
      </c>
      <c r="Q55" s="18" t="n">
        <v>-2349.21</v>
      </c>
      <c r="R55" s="18" t="n">
        <v>-804.05</v>
      </c>
      <c r="U55" s="9" t="n"/>
      <c r="Y55" s="18" t="n">
        <v>9408.969999999999</v>
      </c>
      <c r="Z55" s="34" t="n">
        <v>9408.969999999999</v>
      </c>
      <c r="AA55" s="18" t="n">
        <v>7084.12</v>
      </c>
      <c r="AB55" s="19" t="n">
        <v>9826.049999999999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4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4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4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4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4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4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4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4" t="n">
        <v>21500</v>
      </c>
      <c r="Q58" s="18" t="n">
        <v>15500</v>
      </c>
      <c r="R58" s="18" t="n">
        <v>10000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12592.2</v>
      </c>
      <c r="F61" s="9" t="n"/>
      <c r="G61" s="18" t="n">
        <v>16351.31</v>
      </c>
      <c r="H61" s="18" t="n">
        <v>18893.8</v>
      </c>
      <c r="I61" s="18" t="n">
        <v>19806.51</v>
      </c>
      <c r="J61" s="18" t="n">
        <v>20133</v>
      </c>
      <c r="K61" s="34" t="n">
        <v>75184.62</v>
      </c>
      <c r="L61" s="18" t="n">
        <v>15853.74</v>
      </c>
      <c r="M61" s="18" t="n">
        <v>19359.46</v>
      </c>
      <c r="N61" s="18" t="n">
        <v>22667.71</v>
      </c>
      <c r="O61" s="18" t="n">
        <v>19221.79</v>
      </c>
      <c r="P61" s="34" t="n">
        <v>77102.7</v>
      </c>
      <c r="Q61" s="18" t="n">
        <v>21966.57</v>
      </c>
      <c r="R61" s="18" t="n">
        <v>28602.2</v>
      </c>
      <c r="S61" s="18" t="n">
        <v>23528.73</v>
      </c>
      <c r="T61" s="18" t="n">
        <v>23289.28</v>
      </c>
      <c r="U61" s="34" t="n">
        <v>97386.78</v>
      </c>
      <c r="V61" s="18" t="n">
        <v>19251.53</v>
      </c>
      <c r="W61" s="18" t="n">
        <v>23767.26</v>
      </c>
      <c r="X61" s="18" t="n">
        <v>23691.57</v>
      </c>
      <c r="Y61" s="18" t="n">
        <v>26246.19</v>
      </c>
      <c r="Z61" s="34" t="n">
        <v>92956.55</v>
      </c>
      <c r="AA61" s="18" t="n">
        <v>28094.81</v>
      </c>
      <c r="AB61" s="19" t="n">
        <v>21552.34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11859.21</v>
      </c>
      <c r="F62" s="9" t="n"/>
      <c r="G62" s="18" t="n">
        <v>14896.61</v>
      </c>
      <c r="H62" s="18" t="n">
        <v>18471.73</v>
      </c>
      <c r="I62" s="18" t="n">
        <v>16816.11</v>
      </c>
      <c r="J62" s="18" t="n">
        <v>16990.81</v>
      </c>
      <c r="K62" s="34" t="n">
        <v>67175.25999999999</v>
      </c>
      <c r="L62" s="18" t="n">
        <v>14071.67</v>
      </c>
      <c r="M62" s="18" t="n">
        <v>15952.25</v>
      </c>
      <c r="N62" s="18" t="n">
        <v>18380.82</v>
      </c>
      <c r="O62" s="18" t="n">
        <v>16609.85</v>
      </c>
      <c r="P62" s="34" t="n">
        <v>65014.59</v>
      </c>
      <c r="Q62" s="18" t="n">
        <v>16680.64</v>
      </c>
      <c r="R62" s="18" t="n">
        <v>23000.81</v>
      </c>
      <c r="S62" s="18" t="n">
        <v>19280.15</v>
      </c>
      <c r="T62" s="18" t="n">
        <v>18491.12</v>
      </c>
      <c r="U62" s="34" t="n">
        <v>77452.72</v>
      </c>
      <c r="V62" s="18" t="n">
        <v>15316.89</v>
      </c>
      <c r="W62" s="18" t="n">
        <v>19379.88</v>
      </c>
      <c r="X62" s="18" t="n">
        <v>18967.33</v>
      </c>
      <c r="Y62" s="18" t="n">
        <v>21752.48</v>
      </c>
      <c r="Z62" s="34" t="n">
        <v>75416.58</v>
      </c>
      <c r="AA62" s="18" t="n">
        <v>23407.98</v>
      </c>
      <c r="AB62" s="19" t="n">
        <v>17844.5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732.99</v>
      </c>
      <c r="F63" s="9" t="n"/>
      <c r="G63" s="18" t="n">
        <v>1454.7</v>
      </c>
      <c r="H63" s="18" t="n">
        <v>422.07</v>
      </c>
      <c r="I63" s="18" t="n">
        <v>2990.4</v>
      </c>
      <c r="J63" s="18" t="n">
        <v>3142.19</v>
      </c>
      <c r="K63" s="34" t="n">
        <v>8009.36</v>
      </c>
      <c r="L63" s="18" t="n">
        <v>1782.07</v>
      </c>
      <c r="M63" s="18" t="n">
        <v>3407.21</v>
      </c>
      <c r="N63" s="18" t="n">
        <v>4286.89</v>
      </c>
      <c r="O63" s="18" t="n">
        <v>2611.93</v>
      </c>
      <c r="P63" s="34" t="n">
        <v>12088.1</v>
      </c>
      <c r="Q63" s="18" t="n">
        <v>5285.93</v>
      </c>
      <c r="R63" s="18" t="n">
        <v>5601.39</v>
      </c>
      <c r="S63" s="18" t="n">
        <v>4248.58</v>
      </c>
      <c r="T63" s="18" t="n">
        <v>4798.16</v>
      </c>
      <c r="U63" s="34" t="n">
        <v>19934.06</v>
      </c>
      <c r="V63" s="18" t="n">
        <v>3934.64</v>
      </c>
      <c r="W63" s="18" t="n">
        <v>4387.38</v>
      </c>
      <c r="X63" s="18" t="n">
        <v>4724.24</v>
      </c>
      <c r="Y63" s="18" t="n">
        <v>4493.71</v>
      </c>
      <c r="Z63" s="34" t="n">
        <v>17539.97</v>
      </c>
      <c r="AA63" s="18" t="n">
        <v>4686.84</v>
      </c>
      <c r="AB63" s="19" t="n">
        <v>3707.84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1774.25</v>
      </c>
      <c r="F64" s="9" t="n"/>
      <c r="G64" s="18" t="n">
        <v>1824.95</v>
      </c>
      <c r="H64" s="18" t="n">
        <v>1663.45</v>
      </c>
      <c r="I64" s="18" t="n">
        <v>6846.78</v>
      </c>
      <c r="J64" s="18" t="n">
        <v>1893.62</v>
      </c>
      <c r="K64" s="34" t="n">
        <v>12228.8</v>
      </c>
      <c r="L64" s="18" t="n">
        <v>1717.5</v>
      </c>
      <c r="M64" s="18" t="n">
        <v>2427.28</v>
      </c>
      <c r="N64" s="18" t="n">
        <v>2195.93</v>
      </c>
      <c r="O64" s="18" t="n">
        <v>2016.14</v>
      </c>
      <c r="P64" s="34" t="n">
        <v>8356.85</v>
      </c>
      <c r="Q64" s="18" t="n">
        <v>3129.66</v>
      </c>
      <c r="R64" s="18" t="n">
        <v>4308.96</v>
      </c>
      <c r="S64" s="18" t="n">
        <v>2025.76</v>
      </c>
      <c r="T64" s="18" t="n">
        <v>1717.93</v>
      </c>
      <c r="U64" s="34" t="n">
        <v>11182.31</v>
      </c>
      <c r="V64" s="18" t="n">
        <v>2342.36</v>
      </c>
      <c r="W64" s="18" t="n">
        <v>2320.1</v>
      </c>
      <c r="X64" s="18" t="n">
        <v>2296.21</v>
      </c>
      <c r="Y64" s="18" t="n">
        <v>2882.12</v>
      </c>
      <c r="Z64" s="34" t="n">
        <v>9840.790000000001</v>
      </c>
      <c r="AA64" s="18" t="n">
        <v>2031.98</v>
      </c>
      <c r="AB64" s="19" t="n">
        <v>1890.16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-1041.26</v>
      </c>
      <c r="F65" s="9" t="n"/>
      <c r="G65" s="18" t="n">
        <v>-370.25</v>
      </c>
      <c r="H65" s="18" t="n">
        <v>-1241.38</v>
      </c>
      <c r="I65" s="18" t="n">
        <v>-3856.38</v>
      </c>
      <c r="J65" s="18" t="n">
        <v>1248.57</v>
      </c>
      <c r="K65" s="34" t="n">
        <v>-4219.44</v>
      </c>
      <c r="L65" s="18" t="n">
        <v>64.56</v>
      </c>
      <c r="M65" s="18" t="n">
        <v>979.9299999999999</v>
      </c>
      <c r="N65" s="18" t="n">
        <v>2090.97</v>
      </c>
      <c r="O65" s="18" t="n">
        <v>595.79</v>
      </c>
      <c r="P65" s="34" t="n">
        <v>3731.25</v>
      </c>
      <c r="Q65" s="18" t="n">
        <v>2156.27</v>
      </c>
      <c r="R65" s="18" t="n">
        <v>1292.43</v>
      </c>
      <c r="S65" s="18" t="n">
        <v>2222.81</v>
      </c>
      <c r="T65" s="18" t="n">
        <v>3080.22</v>
      </c>
      <c r="U65" s="34" t="n">
        <v>8751.73</v>
      </c>
      <c r="V65" s="18" t="n">
        <v>1592.28</v>
      </c>
      <c r="W65" s="18" t="n">
        <v>2067.28</v>
      </c>
      <c r="X65" s="18" t="n">
        <v>2428.02</v>
      </c>
      <c r="Y65" s="18" t="n">
        <v>1611.59</v>
      </c>
      <c r="Z65" s="34" t="n">
        <v>7699.17</v>
      </c>
      <c r="AA65" s="18" t="n">
        <v>2654.85</v>
      </c>
      <c r="AB65" s="19" t="n">
        <v>1817.68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381.27</v>
      </c>
      <c r="F66" s="9" t="n"/>
      <c r="G66" s="18" t="n">
        <v>220.68</v>
      </c>
      <c r="H66" s="18" t="n">
        <v>376.55</v>
      </c>
      <c r="I66" s="18" t="n">
        <v>146.65</v>
      </c>
      <c r="J66" s="18" t="n">
        <v>350.51</v>
      </c>
      <c r="K66" s="34" t="n">
        <v>1094.39</v>
      </c>
      <c r="L66" s="18" t="n">
        <v>219.66</v>
      </c>
      <c r="M66" s="18" t="n">
        <v>317.24</v>
      </c>
      <c r="N66" s="18" t="n">
        <v>105.14</v>
      </c>
      <c r="O66" s="18" t="n">
        <v>368.43</v>
      </c>
      <c r="P66" s="34" t="n">
        <v>1010.47</v>
      </c>
      <c r="Q66" s="18" t="n">
        <v>162.32</v>
      </c>
      <c r="R66" s="18" t="n">
        <v>446.14</v>
      </c>
      <c r="S66" s="18" t="n">
        <v>107.82</v>
      </c>
      <c r="T66" s="18" t="n">
        <v>447.81</v>
      </c>
      <c r="U66" s="34" t="n">
        <v>1164.09</v>
      </c>
      <c r="V66" s="18" t="n">
        <v>167</v>
      </c>
      <c r="W66" s="18" t="n">
        <v>428.11</v>
      </c>
      <c r="X66" s="18" t="n">
        <v>220.84</v>
      </c>
      <c r="Y66" s="18" t="n">
        <v>490.11</v>
      </c>
      <c r="Z66" s="34" t="n">
        <v>1306.06</v>
      </c>
      <c r="AA66" s="18" t="n">
        <v>501.61</v>
      </c>
      <c r="AB66" s="19" t="n">
        <v>659.0599999999999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12700.99</v>
      </c>
      <c r="F67" s="9" t="n"/>
      <c r="G67" s="18" t="n">
        <v>8.630000000000001</v>
      </c>
      <c r="H67" s="18" t="n">
        <v>8.630000000000001</v>
      </c>
      <c r="I67" s="18" t="n">
        <v>8.630000000000001</v>
      </c>
      <c r="J67" s="18" t="n">
        <v>7069.43</v>
      </c>
      <c r="K67" s="34" t="n">
        <v>7095.32</v>
      </c>
      <c r="L67" s="18" t="n">
        <v>8.640000000000001</v>
      </c>
      <c r="M67" s="18" t="n">
        <v>9.6</v>
      </c>
      <c r="N67" s="18" t="n">
        <v>8.630000000000001</v>
      </c>
      <c r="O67" s="18" t="n">
        <v>10.63</v>
      </c>
      <c r="P67" s="34" t="n">
        <v>37.5</v>
      </c>
      <c r="Q67" s="18" t="n">
        <v>58.63</v>
      </c>
      <c r="R67" s="18" t="n">
        <v>8.630000000000001</v>
      </c>
      <c r="S67" s="18" t="n">
        <v>9.18</v>
      </c>
      <c r="T67" s="18" t="n">
        <v>134.06</v>
      </c>
      <c r="U67" s="34" t="n">
        <v>210.5</v>
      </c>
      <c r="V67" s="18" t="n">
        <v>21.01</v>
      </c>
      <c r="W67" s="18" t="n">
        <v>9.529999999999999</v>
      </c>
      <c r="X67" s="18" t="n">
        <v>69.17</v>
      </c>
      <c r="Y67" s="18" t="n">
        <v>25.63</v>
      </c>
      <c r="Z67" s="34" t="n">
        <v>125.34</v>
      </c>
      <c r="AA67" s="18" t="n">
        <v>142.64</v>
      </c>
      <c r="AB67" s="19" t="n">
        <v>8.630000000000001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-460.43</v>
      </c>
      <c r="F68" s="9" t="n"/>
      <c r="G68" s="18" t="n">
        <v>470.77</v>
      </c>
      <c r="H68" s="18" t="n">
        <v>593.55</v>
      </c>
      <c r="I68" s="18" t="n">
        <v>970.8200000000001</v>
      </c>
      <c r="J68" s="18" t="n">
        <v>-139.84</v>
      </c>
      <c r="K68" s="34" t="n">
        <v>1895.3</v>
      </c>
      <c r="L68" s="18" t="n">
        <v>2135.08</v>
      </c>
      <c r="M68" s="18" t="n">
        <v>287.73</v>
      </c>
      <c r="N68" s="18" t="n">
        <v>-825.6</v>
      </c>
      <c r="O68" s="18" t="n">
        <v>581.0599999999999</v>
      </c>
      <c r="P68" s="34" t="n">
        <v>2178.27</v>
      </c>
      <c r="Q68" s="18" t="n">
        <v>373.47</v>
      </c>
      <c r="R68" s="18" t="n">
        <v>372.97</v>
      </c>
      <c r="S68" s="18" t="n">
        <v>477.13</v>
      </c>
      <c r="T68" s="18" t="n">
        <v>375.88</v>
      </c>
      <c r="U68" s="34" t="n">
        <v>1599.45</v>
      </c>
      <c r="V68" s="18" t="n">
        <v>819.7</v>
      </c>
      <c r="W68" s="18" t="n">
        <v>603.89</v>
      </c>
      <c r="X68" s="18" t="n">
        <v>358.14</v>
      </c>
      <c r="Y68" s="18" t="n">
        <v>663.1</v>
      </c>
      <c r="Z68" s="34" t="n">
        <v>2444.83</v>
      </c>
      <c r="AA68" s="18" t="n">
        <v>313.24</v>
      </c>
      <c r="AB68" s="19" t="n">
        <v>3539.2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107.23</v>
      </c>
      <c r="F69" s="9" t="n"/>
      <c r="G69" s="18" t="n">
        <v>664.9299999999999</v>
      </c>
      <c r="H69" s="18" t="n">
        <v>3079.02</v>
      </c>
      <c r="I69" s="18" t="n">
        <v>459.01</v>
      </c>
      <c r="J69" s="18" t="n">
        <v>764.4</v>
      </c>
      <c r="K69" s="34" t="n">
        <v>4967.36</v>
      </c>
      <c r="L69" s="18" t="n">
        <v>565.01</v>
      </c>
      <c r="M69" s="18" t="n">
        <v>429.29</v>
      </c>
      <c r="N69" s="18" t="n">
        <v>657.4</v>
      </c>
      <c r="O69" s="18" t="n">
        <v>417.44</v>
      </c>
      <c r="P69" s="34" t="n">
        <v>2069.14</v>
      </c>
      <c r="Q69" s="18" t="n">
        <v>1444.85</v>
      </c>
      <c r="R69" s="18" t="n">
        <v>1201.53</v>
      </c>
      <c r="S69" s="18" t="n">
        <v>40.06</v>
      </c>
      <c r="T69" s="18" t="n">
        <v>2280.94</v>
      </c>
      <c r="U69" s="34" t="n">
        <v>4967.38</v>
      </c>
      <c r="V69" s="18" t="n">
        <v>579.29</v>
      </c>
      <c r="W69" s="18" t="n">
        <v>121.91</v>
      </c>
      <c r="X69" s="18" t="n">
        <v>757.05</v>
      </c>
      <c r="Y69" s="18" t="n">
        <v>2195.51</v>
      </c>
      <c r="Z69" s="34" t="n">
        <v>3653.76</v>
      </c>
      <c r="AA69" s="18" t="n">
        <v>2144.94</v>
      </c>
      <c r="AB69" s="19" t="n">
        <v>3855.61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-13928.62</v>
      </c>
      <c r="F70" s="9" t="n"/>
      <c r="G70" s="18" t="n">
        <v>-352.36</v>
      </c>
      <c r="H70" s="18" t="n">
        <v>-3358.92</v>
      </c>
      <c r="I70" s="18" t="n">
        <v>-3206.56</v>
      </c>
      <c r="J70" s="18" t="n">
        <v>-6374.58</v>
      </c>
      <c r="K70" s="34" t="n">
        <v>-13292.42</v>
      </c>
      <c r="L70" s="18" t="n">
        <v>1845.66</v>
      </c>
      <c r="M70" s="18" t="n">
        <v>1146.01</v>
      </c>
      <c r="N70" s="18" t="n">
        <v>704.47</v>
      </c>
      <c r="O70" s="18" t="n">
        <v>1117.22</v>
      </c>
      <c r="P70" s="34" t="n">
        <v>4813.36</v>
      </c>
      <c r="Q70" s="18" t="n">
        <v>1188.59</v>
      </c>
      <c r="R70" s="18" t="n">
        <v>901.38</v>
      </c>
      <c r="S70" s="18" t="n">
        <v>2758.51</v>
      </c>
      <c r="T70" s="18" t="n">
        <v>1488.91</v>
      </c>
      <c r="U70" s="34" t="n">
        <v>6337.39</v>
      </c>
      <c r="V70" s="18" t="n">
        <v>1978.68</v>
      </c>
      <c r="W70" s="18" t="n">
        <v>2967.84</v>
      </c>
      <c r="X70" s="18" t="n">
        <v>2180.79</v>
      </c>
      <c r="Y70" s="18" t="n">
        <v>543.66</v>
      </c>
      <c r="Z70" s="34" t="n">
        <v>7670.97</v>
      </c>
      <c r="AA70" s="18" t="n">
        <v>1182.12</v>
      </c>
      <c r="AB70" s="19" t="n">
        <v>2151.7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391.26</v>
      </c>
      <c r="T71" s="18" t="n">
        <v>86.41</v>
      </c>
      <c r="U71" s="34" t="n">
        <v>899.6</v>
      </c>
      <c r="V71" s="18" t="n">
        <v>498.83</v>
      </c>
      <c r="W71" s="18" t="n">
        <v>694.04</v>
      </c>
      <c r="X71" s="18" t="n">
        <v>512.03</v>
      </c>
      <c r="Y71" s="18" t="n">
        <v>-762.78</v>
      </c>
      <c r="Z71" s="34" t="n">
        <v>942.12</v>
      </c>
      <c r="AA71" s="18" t="n">
        <v>276.16</v>
      </c>
      <c r="AB71" s="19" t="n">
        <v>441.27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-13206.9</v>
      </c>
      <c r="F72" s="9" t="n"/>
      <c r="G72" s="18" t="n">
        <v>-284.22</v>
      </c>
      <c r="H72" s="18" t="n">
        <v>-2614.37</v>
      </c>
      <c r="I72" s="18" t="n">
        <v>-1998.24</v>
      </c>
      <c r="J72" s="18" t="n">
        <v>-6534.36</v>
      </c>
      <c r="K72" s="34" t="n">
        <v>-11431.19</v>
      </c>
      <c r="L72" s="18" t="n">
        <v>1446.99</v>
      </c>
      <c r="M72" s="18" t="n">
        <v>917.13</v>
      </c>
      <c r="N72" s="18" t="n">
        <v>549.08</v>
      </c>
      <c r="O72" s="18" t="n">
        <v>1628.7</v>
      </c>
      <c r="P72" s="34" t="n">
        <v>4541.9</v>
      </c>
      <c r="Q72" s="18" t="n">
        <v>940.17</v>
      </c>
      <c r="R72" s="18" t="n">
        <v>727.87</v>
      </c>
      <c r="S72" s="18" t="n">
        <v>2367.26</v>
      </c>
      <c r="T72" s="18" t="n">
        <v>1402.5</v>
      </c>
      <c r="U72" s="34" t="n">
        <v>5437.8</v>
      </c>
      <c r="V72" s="18" t="n">
        <v>1479.86</v>
      </c>
      <c r="W72" s="18" t="n">
        <v>2273.8</v>
      </c>
      <c r="X72" s="18" t="n">
        <v>1668.76</v>
      </c>
      <c r="Y72" s="18" t="n">
        <v>1306.44</v>
      </c>
      <c r="Z72" s="34" t="n">
        <v>6728.86</v>
      </c>
      <c r="AA72" s="18" t="n">
        <v>905.96</v>
      </c>
      <c r="AB72" s="19" t="n">
        <v>1710.43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-13096.04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-6449.89</v>
      </c>
      <c r="K73" s="34" t="n">
        <v>-11346.72</v>
      </c>
      <c r="L73" s="18" t="n">
        <v>1446.99</v>
      </c>
      <c r="M73" s="18" t="n">
        <v>917.13</v>
      </c>
      <c r="N73" s="18" t="n">
        <v>549.08</v>
      </c>
      <c r="O73" s="18" t="n">
        <v>1019.46</v>
      </c>
      <c r="P73" s="34" t="n">
        <v>3932.66</v>
      </c>
      <c r="Q73" s="18" t="n">
        <v>940.17</v>
      </c>
      <c r="R73" s="18" t="n">
        <v>727.87</v>
      </c>
      <c r="S73" s="18" t="n">
        <v>2367.26</v>
      </c>
      <c r="T73" s="18" t="n">
        <v>1185.84</v>
      </c>
      <c r="U73" s="34" t="n">
        <v>5221.14</v>
      </c>
      <c r="V73" s="18" t="n">
        <v>1479.86</v>
      </c>
      <c r="W73" s="18" t="n">
        <v>2273.8</v>
      </c>
      <c r="X73" s="18" t="n">
        <v>1668.76</v>
      </c>
      <c r="Y73" s="18" t="n">
        <v>1359.6</v>
      </c>
      <c r="Z73" s="34" t="n">
        <v>6782.02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-567.66</v>
      </c>
      <c r="F74" s="9" t="n"/>
      <c r="G74" s="18" t="n">
        <v>-194.16</v>
      </c>
      <c r="H74" s="18" t="n">
        <v>-2485.47</v>
      </c>
      <c r="I74" s="18" t="n">
        <v>511.81</v>
      </c>
      <c r="J74" s="18" t="n">
        <v>-904.24</v>
      </c>
      <c r="K74" s="34" t="n">
        <v>-3072.06</v>
      </c>
      <c r="L74" s="18" t="n">
        <v>1570.07</v>
      </c>
      <c r="M74" s="18" t="n">
        <v>-141.56</v>
      </c>
      <c r="N74" s="18" t="n">
        <v>-1483</v>
      </c>
      <c r="O74" s="18" t="n">
        <v>163.62</v>
      </c>
      <c r="P74" s="34" t="n">
        <v>109.13</v>
      </c>
      <c r="Q74" s="18" t="n">
        <v>-1071.38</v>
      </c>
      <c r="R74" s="18" t="n">
        <v>-828.5599999999999</v>
      </c>
      <c r="S74" s="18" t="n">
        <v>437.07</v>
      </c>
      <c r="T74" s="18" t="n">
        <v>-1905.06</v>
      </c>
      <c r="U74" s="34" t="n">
        <v>-3367.93</v>
      </c>
      <c r="V74" s="18" t="n">
        <v>240.41</v>
      </c>
      <c r="W74" s="18" t="n">
        <v>481.98</v>
      </c>
      <c r="X74" s="18" t="n">
        <v>-398.91</v>
      </c>
      <c r="Y74" s="18" t="n">
        <v>-1532.41</v>
      </c>
      <c r="Z74" s="34" t="n">
        <v>-1208.93</v>
      </c>
      <c r="AA74" s="18" t="n">
        <v>-1831.7</v>
      </c>
      <c r="AB74" s="19" t="n">
        <v>-316.41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-12319.72</v>
      </c>
      <c r="F75" s="9" t="n"/>
      <c r="G75" s="18" t="n">
        <v>212.05</v>
      </c>
      <c r="H75" s="18" t="n">
        <v>367.92</v>
      </c>
      <c r="I75" s="18" t="n">
        <v>138.02</v>
      </c>
      <c r="J75" s="18" t="n">
        <v>-6718.92</v>
      </c>
      <c r="K75" s="34" t="n">
        <v>-6000.93</v>
      </c>
      <c r="L75" s="18" t="n">
        <v>211.02</v>
      </c>
      <c r="M75" s="18" t="n">
        <v>307.64</v>
      </c>
      <c r="N75" s="18" t="n">
        <v>96.51000000000001</v>
      </c>
      <c r="O75" s="18" t="n">
        <v>357.8</v>
      </c>
      <c r="P75" s="34" t="n">
        <v>972.97</v>
      </c>
      <c r="Q75" s="18" t="n">
        <v>103.69</v>
      </c>
      <c r="R75" s="18" t="n">
        <v>437.51</v>
      </c>
      <c r="S75" s="18" t="n">
        <v>98.64</v>
      </c>
      <c r="T75" s="18" t="n">
        <v>313.75</v>
      </c>
      <c r="U75" s="34" t="n">
        <v>953.59</v>
      </c>
      <c r="V75" s="18" t="n">
        <v>145.99</v>
      </c>
      <c r="W75" s="18" t="n">
        <v>418.58</v>
      </c>
      <c r="X75" s="18" t="n">
        <v>151.67</v>
      </c>
      <c r="Y75" s="18" t="n">
        <v>464.48</v>
      </c>
      <c r="Z75" s="34" t="n">
        <v>1180.72</v>
      </c>
      <c r="AA75" s="18" t="n">
        <v>358.97</v>
      </c>
      <c r="AB75" s="19" t="n">
        <v>650.4299999999999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-13206.9</v>
      </c>
      <c r="F76" s="9" t="n"/>
      <c r="G76" s="18" t="n">
        <v>-284.22</v>
      </c>
      <c r="H76" s="18" t="n">
        <v>-2614.37</v>
      </c>
      <c r="I76" s="18" t="n">
        <v>-1998.24</v>
      </c>
      <c r="J76" s="18" t="n">
        <v>-6534.36</v>
      </c>
      <c r="K76" s="34" t="n">
        <v>-11431.19</v>
      </c>
      <c r="L76" s="18" t="n">
        <v>1446.99</v>
      </c>
      <c r="M76" s="18" t="n">
        <v>917.13</v>
      </c>
      <c r="N76" s="18" t="n">
        <v>549.08</v>
      </c>
      <c r="O76" s="18" t="n">
        <v>1628.7</v>
      </c>
      <c r="P76" s="34" t="n">
        <v>4541.9</v>
      </c>
      <c r="Q76" s="18" t="n">
        <v>940.17</v>
      </c>
      <c r="R76" s="18" t="n">
        <v>727.87</v>
      </c>
      <c r="S76" s="18" t="n">
        <v>2367.26</v>
      </c>
      <c r="T76" s="18" t="n">
        <v>1402.5</v>
      </c>
      <c r="U76" s="34" t="n">
        <v>5437.8</v>
      </c>
      <c r="V76" s="18" t="n">
        <v>1479.86</v>
      </c>
      <c r="W76" s="18" t="n">
        <v>2273.8</v>
      </c>
      <c r="X76" s="18" t="n">
        <v>1668.76</v>
      </c>
      <c r="Y76" s="18" t="n">
        <v>1306.44</v>
      </c>
      <c r="Z76" s="34" t="n">
        <v>6728.86</v>
      </c>
      <c r="AA76" s="18" t="n">
        <v>905.96</v>
      </c>
      <c r="AB76" s="19" t="n">
        <v>1710.43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4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4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4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4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-5372.17</v>
      </c>
      <c r="F78" s="9" t="n"/>
      <c r="G78" s="18" t="n">
        <v>-3214.28</v>
      </c>
      <c r="H78" s="18" t="n">
        <v>1860.61</v>
      </c>
      <c r="I78" s="18" t="n">
        <v>-3781.39</v>
      </c>
      <c r="J78" s="18" t="n">
        <v>6683.43</v>
      </c>
      <c r="K78" s="34" t="n">
        <v>1548.37</v>
      </c>
      <c r="L78" s="18" t="n">
        <v>-290.79</v>
      </c>
      <c r="M78" s="18" t="n">
        <v>-683.28</v>
      </c>
      <c r="N78" s="18" t="n">
        <v>4372.72</v>
      </c>
      <c r="O78" s="18" t="n">
        <v>1608.28</v>
      </c>
      <c r="P78" s="34" t="n">
        <v>5006.93</v>
      </c>
      <c r="Q78" s="18" t="n">
        <v>2823.76</v>
      </c>
      <c r="R78" s="18" t="n">
        <v>1172.32</v>
      </c>
      <c r="S78" s="18" t="n">
        <v>7945.6</v>
      </c>
      <c r="T78" s="18" t="n">
        <v>-276.39</v>
      </c>
      <c r="U78" s="34" t="n">
        <v>11665.29</v>
      </c>
      <c r="V78" s="18" t="n">
        <v>-281.29</v>
      </c>
      <c r="W78" s="18" t="n">
        <v>5539.77</v>
      </c>
      <c r="X78" s="18" t="n">
        <v>4463.57</v>
      </c>
      <c r="Y78" s="18" t="n">
        <v>-552.3</v>
      </c>
      <c r="Z78" s="34" t="n">
        <v>9169.75</v>
      </c>
      <c r="AA78" s="18" t="n">
        <v>-3004.92</v>
      </c>
      <c r="AB78" s="19" t="n">
        <v>-634.33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G79" s="18" t="n">
        <v>4.47</v>
      </c>
      <c r="H79" s="18" t="n">
        <v>60.91</v>
      </c>
      <c r="I79" s="18" t="n">
        <v>0</v>
      </c>
      <c r="J79" s="18" t="n">
        <v>0</v>
      </c>
      <c r="K79" s="34" t="n">
        <v>65.38</v>
      </c>
      <c r="L79" s="18" t="n">
        <v>0</v>
      </c>
      <c r="M79" s="18" t="n">
        <v>68.61</v>
      </c>
      <c r="N79" s="18" t="n">
        <v>0</v>
      </c>
      <c r="O79" s="18" t="n">
        <v>0</v>
      </c>
      <c r="P79" s="34" t="n">
        <v>68.61</v>
      </c>
      <c r="Q79" s="18" t="n">
        <v>0</v>
      </c>
      <c r="R79" s="18" t="n">
        <v>76.16</v>
      </c>
      <c r="S79" s="18" t="n">
        <v>0</v>
      </c>
      <c r="T79" s="18" t="n">
        <v>0</v>
      </c>
      <c r="U79" s="34" t="n">
        <v>76.16</v>
      </c>
      <c r="V79" s="18" t="n">
        <v>0</v>
      </c>
      <c r="W79" s="18" t="n">
        <v>89.83</v>
      </c>
      <c r="X79" s="18" t="n">
        <v>0</v>
      </c>
      <c r="Y79" s="18" t="n">
        <v>0</v>
      </c>
      <c r="Z79" s="34" t="n">
        <v>89.83</v>
      </c>
      <c r="AA79" s="18" t="n">
        <v>0</v>
      </c>
      <c r="AB79" s="19" t="n">
        <v>119.72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-22.91</v>
      </c>
      <c r="F80" s="9" t="n"/>
      <c r="G80" s="18" t="n">
        <v>-35.72</v>
      </c>
      <c r="H80" s="18" t="n">
        <v>-43.55</v>
      </c>
      <c r="I80" s="18" t="n">
        <v>-60.84</v>
      </c>
      <c r="J80" s="18" t="n">
        <v>-31.04</v>
      </c>
      <c r="K80" s="34" t="n">
        <v>-171.15</v>
      </c>
      <c r="L80" s="18" t="n">
        <v>-39.72</v>
      </c>
      <c r="M80" s="18" t="n">
        <v>19.96</v>
      </c>
      <c r="N80" s="18" t="n">
        <v>-40.89</v>
      </c>
      <c r="O80" s="18" t="n">
        <v>-58.79</v>
      </c>
      <c r="P80" s="34" t="n">
        <v>-119.44</v>
      </c>
      <c r="Q80" s="18" t="n">
        <v>-49.16</v>
      </c>
      <c r="R80" s="18" t="n">
        <v>53.55</v>
      </c>
      <c r="S80" s="18" t="n">
        <v>-48</v>
      </c>
      <c r="T80" s="18" t="n">
        <v>-256.9</v>
      </c>
      <c r="U80" s="34" t="n">
        <v>-300.51</v>
      </c>
      <c r="V80" s="18" t="n">
        <v>-64.28</v>
      </c>
      <c r="W80" s="18" t="n">
        <v>-120.83</v>
      </c>
      <c r="X80" s="18" t="n">
        <v>-27.46</v>
      </c>
      <c r="Y80" s="18" t="n">
        <v>-128.19</v>
      </c>
      <c r="Z80" s="34" t="n">
        <v>-340.76</v>
      </c>
      <c r="AA80" s="18" t="n">
        <v>-12.99</v>
      </c>
      <c r="AB80" s="19" t="n">
        <v>-1240.01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3187.06</v>
      </c>
      <c r="F81" s="9" t="n"/>
      <c r="G81" s="18" t="n">
        <v>4465.42</v>
      </c>
      <c r="H81" s="18" t="n">
        <v>-1064.19</v>
      </c>
      <c r="I81" s="18" t="n">
        <v>1113.84</v>
      </c>
      <c r="J81" s="18" t="n">
        <v>-5903.58</v>
      </c>
      <c r="K81" s="34" t="n">
        <v>-1388.51</v>
      </c>
      <c r="L81" s="18" t="n">
        <v>1355.83</v>
      </c>
      <c r="M81" s="18" t="n">
        <v>-652.49</v>
      </c>
      <c r="N81" s="18" t="n">
        <v>-2899.39</v>
      </c>
      <c r="O81" s="18" t="n">
        <v>-3669.06</v>
      </c>
      <c r="P81" s="34" t="n">
        <v>-5865.11</v>
      </c>
      <c r="Q81" s="18" t="n">
        <v>1671.85</v>
      </c>
      <c r="R81" s="18" t="n">
        <v>9021.299999999999</v>
      </c>
      <c r="S81" s="18" t="n">
        <v>-13692.68</v>
      </c>
      <c r="T81" s="18" t="n">
        <v>2194.25</v>
      </c>
      <c r="U81" s="34" t="n">
        <v>-805.28</v>
      </c>
      <c r="V81" s="18" t="n">
        <v>-8861.43</v>
      </c>
      <c r="W81" s="18" t="n">
        <v>6453.07</v>
      </c>
      <c r="X81" s="18" t="n">
        <v>-12205.55</v>
      </c>
      <c r="Y81" s="18" t="n">
        <v>-62600.25</v>
      </c>
      <c r="Z81" s="34" t="n">
        <v>-77214.16</v>
      </c>
      <c r="AA81" s="18" t="n">
        <v>138.14</v>
      </c>
      <c r="AB81" s="19" t="n">
        <v>-695.16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2982.4</v>
      </c>
      <c r="F82" s="9" t="n"/>
      <c r="G82" s="18" t="n">
        <v>-516.65</v>
      </c>
      <c r="H82" s="18" t="n">
        <v>-365.79</v>
      </c>
      <c r="I82" s="18" t="n">
        <v>-16.74</v>
      </c>
      <c r="J82" s="18" t="n">
        <v>-56.01</v>
      </c>
      <c r="K82" s="34" t="n">
        <v>-955.1900000000001</v>
      </c>
      <c r="L82" s="18" t="n">
        <v>-16.19</v>
      </c>
      <c r="M82" s="18" t="n">
        <v>-622.76</v>
      </c>
      <c r="N82" s="18" t="n">
        <v>-16.32</v>
      </c>
      <c r="O82" s="18" t="n">
        <v>-16.39</v>
      </c>
      <c r="P82" s="34" t="n">
        <v>-671.66</v>
      </c>
      <c r="Q82" s="18" t="n">
        <v>-6014.37</v>
      </c>
      <c r="R82" s="18" t="n">
        <v>-6722.73</v>
      </c>
      <c r="S82" s="18" t="n">
        <v>2490.16</v>
      </c>
      <c r="T82" s="18" t="n">
        <v>-9.94</v>
      </c>
      <c r="U82" s="34" t="n">
        <v>-10256.88</v>
      </c>
      <c r="V82" s="18" t="n">
        <v>7489.96</v>
      </c>
      <c r="W82" s="18" t="n">
        <v>-8829.65</v>
      </c>
      <c r="X82" s="18" t="n">
        <v>20989.74</v>
      </c>
      <c r="Y82" s="18" t="n">
        <v>46566.12</v>
      </c>
      <c r="Z82" s="34" t="n">
        <v>66216.17</v>
      </c>
      <c r="AA82" s="18" t="n">
        <v>4856.04</v>
      </c>
      <c r="AB82" s="19" t="n">
        <v>-290.86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3000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2500</v>
      </c>
      <c r="T83" s="18" t="n">
        <v>0</v>
      </c>
      <c r="U83" s="34" t="n">
        <v>2500</v>
      </c>
      <c r="V83" s="18" t="n">
        <v>9000</v>
      </c>
      <c r="W83" s="18" t="n">
        <v>1500</v>
      </c>
      <c r="X83" s="18" t="n">
        <v>21000</v>
      </c>
      <c r="Y83" s="18" t="n">
        <v>23140.06</v>
      </c>
      <c r="Z83" s="34" t="n">
        <v>54640.06</v>
      </c>
      <c r="AA83" s="18" t="n">
        <v>16796.96</v>
      </c>
      <c r="AB83" s="19" t="n">
        <v>17789.68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V84" s="18" t="n">
        <v>1000</v>
      </c>
      <c r="W84" s="18" t="n">
        <v>1000</v>
      </c>
      <c r="X84" s="18" t="n">
        <v>0</v>
      </c>
      <c r="Y84" s="18" t="n">
        <v>5000</v>
      </c>
      <c r="Z84" s="34" t="n">
        <v>7000</v>
      </c>
      <c r="AA84" s="18" t="n">
        <v>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0</v>
      </c>
      <c r="F85" s="9" t="n"/>
      <c r="K85" s="9" t="n"/>
      <c r="P85" s="9" t="n"/>
      <c r="Q85" s="18" t="n">
        <v>6000</v>
      </c>
      <c r="R85" s="18" t="n">
        <v>5500</v>
      </c>
      <c r="S85" s="18" t="n">
        <v>0</v>
      </c>
      <c r="T85" s="18" t="n">
        <v>0</v>
      </c>
      <c r="U85" s="34" t="n">
        <v>11500</v>
      </c>
      <c r="V85" s="18" t="n">
        <v>2000</v>
      </c>
      <c r="W85" s="18" t="n">
        <v>9500</v>
      </c>
      <c r="X85" s="18" t="n">
        <v>0</v>
      </c>
      <c r="Y85" s="18" t="n">
        <v>8000</v>
      </c>
      <c r="Z85" s="34" t="n">
        <v>19500</v>
      </c>
      <c r="AA85" s="18" t="n">
        <v>11930.68</v>
      </c>
      <c r="AB85" s="19" t="n">
        <v>15915.76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3.38</v>
      </c>
      <c r="F86" s="9" t="n"/>
      <c r="G86" s="18" t="n">
        <v>503.38</v>
      </c>
      <c r="H86" s="18" t="n">
        <v>3.38</v>
      </c>
      <c r="I86" s="18" t="n">
        <v>3.38</v>
      </c>
      <c r="J86" s="18" t="n">
        <v>40.56</v>
      </c>
      <c r="K86" s="34" t="n">
        <v>550.7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U86" s="9" t="n"/>
      <c r="Z86" s="9" t="n"/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2145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E88" s="18" t="n">
        <v>0</v>
      </c>
      <c r="F88" s="9" t="n"/>
      <c r="J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797.3</v>
      </c>
      <c r="F89" s="9" t="n"/>
      <c r="G89" s="18" t="n">
        <v>734.49</v>
      </c>
      <c r="H89" s="18" t="n">
        <v>430.63</v>
      </c>
      <c r="I89" s="18" t="n">
        <v>-2684.29</v>
      </c>
      <c r="J89" s="18" t="n">
        <v>723.84</v>
      </c>
      <c r="K89" s="34" t="n">
        <v>-795.33</v>
      </c>
      <c r="L89" s="18" t="n">
        <v>1048.85</v>
      </c>
      <c r="M89" s="18" t="n">
        <v>-1958.53</v>
      </c>
      <c r="N89" s="18" t="n">
        <v>1457.01</v>
      </c>
      <c r="O89" s="18" t="n">
        <v>-2077.16</v>
      </c>
      <c r="P89" s="34" t="n">
        <v>-1529.83</v>
      </c>
      <c r="Q89" s="18" t="n">
        <v>-1518.76</v>
      </c>
      <c r="R89" s="18" t="n">
        <v>3470.88</v>
      </c>
      <c r="S89" s="18" t="n">
        <v>-3256.91</v>
      </c>
      <c r="T89" s="18" t="n">
        <v>1907.92</v>
      </c>
      <c r="U89" s="34" t="n">
        <v>603.13</v>
      </c>
      <c r="V89" s="18" t="n">
        <v>-1652.76</v>
      </c>
      <c r="W89" s="18" t="n">
        <v>3163.19</v>
      </c>
      <c r="X89" s="18" t="n">
        <v>13247.76</v>
      </c>
      <c r="Y89" s="18" t="n">
        <v>-16586.43</v>
      </c>
      <c r="Z89" s="34" t="n">
        <v>-1828.24</v>
      </c>
      <c r="AA89" s="18" t="n">
        <v>1989.25</v>
      </c>
      <c r="AB89" s="19" t="n">
        <v>-1620.35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711.26</v>
      </c>
      <c r="F90" s="9" t="n"/>
      <c r="G90" s="18" t="n">
        <v>6718.53</v>
      </c>
      <c r="H90" s="18" t="n">
        <v>430.46</v>
      </c>
      <c r="I90" s="18" t="n">
        <v>-2560.45</v>
      </c>
      <c r="J90" s="18" t="n">
        <v>634.91</v>
      </c>
      <c r="K90" s="34" t="n">
        <v>5223.45</v>
      </c>
      <c r="L90" s="18" t="n">
        <v>6270.1</v>
      </c>
      <c r="M90" s="18" t="n">
        <v>-1978.01</v>
      </c>
      <c r="N90" s="18" t="n">
        <v>1444.84</v>
      </c>
      <c r="O90" s="18" t="n">
        <v>-2046.03</v>
      </c>
      <c r="P90" s="34" t="n">
        <v>3690.9</v>
      </c>
      <c r="Q90" s="18" t="n">
        <v>2165.35</v>
      </c>
      <c r="R90" s="18" t="n">
        <v>3451.97</v>
      </c>
      <c r="S90" s="18" t="n">
        <v>-3231.36</v>
      </c>
      <c r="T90" s="18" t="n">
        <v>1910.83</v>
      </c>
      <c r="U90" s="34" t="n">
        <v>4296.79</v>
      </c>
      <c r="V90" s="18" t="n">
        <v>2646.74</v>
      </c>
      <c r="W90" s="18" t="n">
        <v>3157.74</v>
      </c>
      <c r="X90" s="18" t="n">
        <v>13260.41</v>
      </c>
      <c r="Y90" s="18" t="n">
        <v>-16599.01</v>
      </c>
      <c r="Z90" s="34" t="n">
        <v>2465.88</v>
      </c>
      <c r="AA90" s="18" t="n">
        <v>4469.18</v>
      </c>
      <c r="AB90" s="19" t="n">
        <v>-1634.27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271.34</v>
      </c>
      <c r="P91" s="9" t="n"/>
      <c r="Q91" s="18" t="n">
        <v>335.78</v>
      </c>
      <c r="R91" s="18" t="n">
        <v>254.83</v>
      </c>
      <c r="S91" s="18" t="n">
        <v>228.65</v>
      </c>
      <c r="T91" s="18" t="n">
        <v>292.36</v>
      </c>
      <c r="U91" s="34" t="n">
        <v>1111.62</v>
      </c>
      <c r="V91" s="18" t="n">
        <v>215.73</v>
      </c>
      <c r="W91" s="18" t="n">
        <v>334.68</v>
      </c>
      <c r="X91" s="18" t="n">
        <v>208.93</v>
      </c>
      <c r="Y91" s="18" t="n">
        <v>455.15</v>
      </c>
      <c r="Z91" s="34" t="n">
        <v>1214.49</v>
      </c>
      <c r="AA91" s="18" t="n">
        <v>99.37</v>
      </c>
      <c r="AB91" s="19" t="n">
        <v>94.33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A92" s="18" t="n">
        <v>0</v>
      </c>
      <c r="AB92" s="19" t="n">
        <v>237.27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1.73</v>
      </c>
      <c r="W93" s="18" t="n">
        <v>23.14</v>
      </c>
      <c r="X93" s="18" t="n">
        <v>5.64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F95" s="9" t="n"/>
      <c r="K95" s="9" t="n"/>
      <c r="P95" s="9" t="n"/>
      <c r="U95" s="9" t="n"/>
      <c r="V95" s="18" t="n">
        <v>500</v>
      </c>
      <c r="W95" s="18" t="n">
        <v>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-0.0416</v>
      </c>
      <c r="F10" s="34" t="n"/>
      <c r="G10" s="18" t="n">
        <v>0.008999999999999999</v>
      </c>
      <c r="H10" s="18" t="n">
        <v>-0.0575</v>
      </c>
      <c r="I10" s="18" t="n">
        <v>-0.138</v>
      </c>
      <c r="J10" s="18" t="n">
        <v>0.0521</v>
      </c>
      <c r="K10" s="34">
        <f>SUM(G10:J10)</f>
        <v/>
      </c>
      <c r="L10" s="18" t="n">
        <v>0.0374</v>
      </c>
      <c r="M10" s="18" t="n">
        <v>0.0599</v>
      </c>
      <c r="N10" s="18" t="n">
        <v>0.1032</v>
      </c>
      <c r="O10" s="18" t="n">
        <v>0.0433</v>
      </c>
      <c r="P10" s="34">
        <f>SUM(L10:O10)</f>
        <v/>
      </c>
      <c r="Q10" s="18" t="n">
        <v>0.1017</v>
      </c>
      <c r="R10" s="18" t="n">
        <v>0.0419</v>
      </c>
      <c r="S10" s="18" t="n">
        <v>0.09619999999999999</v>
      </c>
      <c r="T10" s="18" t="n">
        <v>0.1186</v>
      </c>
      <c r="U10" s="34">
        <f>SUM(Q10:T10)</f>
        <v/>
      </c>
      <c r="V10" s="18" t="n">
        <v>0.1089</v>
      </c>
      <c r="W10" s="18" t="n">
        <v>0.0823</v>
      </c>
      <c r="X10" s="18" t="n">
        <v>0.1157</v>
      </c>
      <c r="Y10" s="18" t="n">
        <v>0.0455</v>
      </c>
      <c r="Z10" s="34">
        <f>SUM(V10:Y10)</f>
        <v/>
      </c>
      <c r="AA10" s="18" t="n">
        <v>0.0428</v>
      </c>
      <c r="AB10" s="19" t="n">
        <v>0.0242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 t="n"/>
      <c r="T21" s="18" t="n"/>
      <c r="U21" s="34">
        <f>T21</f>
        <v/>
      </c>
      <c r="V21" s="18" t="n"/>
      <c r="W21" s="18" t="n"/>
      <c r="X21" s="18" t="n"/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 t="n"/>
      <c r="T22" s="18" t="n"/>
      <c r="U22" s="34">
        <f>T22</f>
        <v/>
      </c>
      <c r="V22" s="18" t="n"/>
      <c r="W22" s="18" t="n"/>
      <c r="X22" s="18" t="n"/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 t="n"/>
      <c r="F25" s="34" t="n"/>
      <c r="G25" s="18" t="n"/>
      <c r="H25" s="18" t="n"/>
      <c r="I25" s="18" t="n"/>
      <c r="J25" s="18" t="n"/>
      <c r="K25" s="34">
        <f>SUM(G25:J25)</f>
        <v/>
      </c>
      <c r="L25" s="18" t="n"/>
      <c r="M25" s="18" t="n"/>
      <c r="N25" s="18" t="n"/>
      <c r="O25" s="18" t="n"/>
      <c r="P25" s="34">
        <f>SUM(L25:O25)</f>
        <v/>
      </c>
      <c r="Q25" s="18" t="n"/>
      <c r="R25" s="18" t="n"/>
      <c r="S25" s="18" t="n"/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 t="n"/>
      <c r="Z25" s="34">
        <f>SUM(V25:Y25)</f>
        <v/>
      </c>
      <c r="AA25" s="18" t="n"/>
      <c r="AB25" s="19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-66.45</v>
      </c>
      <c r="F26" s="34" t="n"/>
      <c r="G26" s="18" t="n">
        <v>-41.87</v>
      </c>
      <c r="H26" s="18" t="n">
        <v>36.26</v>
      </c>
      <c r="I26" s="18" t="n">
        <v>-45.62</v>
      </c>
      <c r="J26" s="18" t="n">
        <v>76.87</v>
      </c>
      <c r="K26" s="34">
        <f>SUM(G26:J26)</f>
        <v/>
      </c>
      <c r="L26" s="18" t="n">
        <v>-13.23</v>
      </c>
      <c r="M26" s="18" t="n">
        <v>-9.81</v>
      </c>
      <c r="N26" s="18" t="n">
        <v>39.24</v>
      </c>
      <c r="O26" s="18" t="n">
        <v>17.94</v>
      </c>
      <c r="P26" s="34">
        <f>SUM(L26:O26)</f>
        <v/>
      </c>
      <c r="Q26" s="18" t="n">
        <v>24.98</v>
      </c>
      <c r="R26" s="18" t="n">
        <v>24.26</v>
      </c>
      <c r="S26" s="18" t="n">
        <v>78.7</v>
      </c>
      <c r="T26" s="18" t="n">
        <v>-18.82</v>
      </c>
      <c r="U26" s="34">
        <f>SUM(Q26:T26)</f>
        <v/>
      </c>
      <c r="V26" s="18" t="n">
        <v>-0.49</v>
      </c>
      <c r="W26" s="18" t="n">
        <v>57.07</v>
      </c>
      <c r="X26" s="18" t="n">
        <v>18.48</v>
      </c>
      <c r="Y26" s="18" t="n">
        <v>-173.04</v>
      </c>
      <c r="Z26" s="34">
        <f>SUM(V26:Y26)</f>
        <v/>
      </c>
      <c r="AA26" s="18" t="n">
        <v>25.94</v>
      </c>
      <c r="AB26" s="19" t="n">
        <v>-33.58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12.13</v>
      </c>
      <c r="F27" s="27">
        <f>E27</f>
        <v/>
      </c>
      <c r="G27" s="26" t="n">
        <v>12.13</v>
      </c>
      <c r="H27" s="26" t="n">
        <v>12.13</v>
      </c>
      <c r="I27" s="26" t="n">
        <v>12.13</v>
      </c>
      <c r="J27" s="26" t="n">
        <v>12.13</v>
      </c>
      <c r="K27" s="27">
        <f>J27</f>
        <v/>
      </c>
      <c r="L27" s="26" t="n">
        <v>12.13</v>
      </c>
      <c r="M27" s="26" t="n">
        <v>12.13</v>
      </c>
      <c r="N27" s="26" t="n">
        <v>12.13</v>
      </c>
      <c r="O27" s="26" t="n">
        <v>12.13</v>
      </c>
      <c r="P27" s="27">
        <f>O27</f>
        <v/>
      </c>
      <c r="Q27" s="26" t="n">
        <v>12.13</v>
      </c>
      <c r="R27" s="26" t="n">
        <v>12.13</v>
      </c>
      <c r="S27" s="26" t="n">
        <v>12.13</v>
      </c>
      <c r="T27" s="26" t="n">
        <v>12.13</v>
      </c>
      <c r="U27" s="27">
        <f>T27</f>
        <v/>
      </c>
      <c r="V27" s="26" t="n">
        <v>12.13</v>
      </c>
      <c r="W27" s="26" t="n">
        <v>12.13</v>
      </c>
      <c r="X27" s="26" t="n">
        <v>12.13</v>
      </c>
      <c r="Y27" s="26" t="n">
        <v>13</v>
      </c>
      <c r="Z27" s="27">
        <f>Y27</f>
        <v/>
      </c>
      <c r="AA27" s="26" t="n">
        <v>13</v>
      </c>
      <c r="AB27" s="28" t="n">
        <v>13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70</v>
      </c>
      <c r="F30" s="34" t="n">
        <v>70</v>
      </c>
      <c r="G30" s="18" t="n"/>
      <c r="H30" s="18" t="n"/>
      <c r="I30" s="18" t="n"/>
      <c r="J30" s="18" t="n">
        <v>50</v>
      </c>
      <c r="K30" s="34">
        <f>SUM(G30:J30)</f>
        <v/>
      </c>
      <c r="L30" s="18" t="n"/>
      <c r="M30" s="18" t="n"/>
      <c r="N30" s="18" t="n"/>
      <c r="O30" s="18" t="n">
        <v>100</v>
      </c>
      <c r="P30" s="34">
        <f>SUM(L30:O30)</f>
        <v/>
      </c>
      <c r="Q30" s="18" t="n"/>
      <c r="R30" s="18" t="n"/>
      <c r="S30" s="18" t="n"/>
      <c r="T30" s="18" t="n">
        <v>150</v>
      </c>
      <c r="U30" s="34">
        <f>SUM(Q30:T30)</f>
        <v/>
      </c>
      <c r="V30" s="18" t="n"/>
      <c r="W30" s="18" t="n"/>
      <c r="X30" s="18" t="n"/>
      <c r="Y30" s="18" t="n">
        <v>165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>
        <v>86.28</v>
      </c>
      <c r="O31" s="18" t="n">
        <v>8.140000000000001</v>
      </c>
      <c r="P31" s="34">
        <f>SUM(L31:O31)</f>
        <v/>
      </c>
      <c r="Q31" s="18" t="n">
        <v>9.43</v>
      </c>
      <c r="R31" s="18" t="n">
        <v>10.76</v>
      </c>
      <c r="S31" s="18" t="n">
        <v>8.609999999999999</v>
      </c>
      <c r="T31" s="18" t="n">
        <v>8.529999999999999</v>
      </c>
      <c r="U31" s="34">
        <f>SUM(Q31:T31)</f>
        <v/>
      </c>
      <c r="V31" s="18" t="n">
        <v>8.24</v>
      </c>
      <c r="W31" s="18" t="n">
        <v>7.16</v>
      </c>
      <c r="X31" s="18" t="n">
        <v>11.44</v>
      </c>
      <c r="Y31" s="18" t="n">
        <v>14.81</v>
      </c>
      <c r="Z31" s="34">
        <f>SUM(V31:Y31)</f>
        <v/>
      </c>
      <c r="AA31" s="18" t="n">
        <v>10.17</v>
      </c>
      <c r="AB31" s="19" t="n">
        <v>7.74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</v>
      </c>
      <c r="F32" s="34" t="n">
        <v>0.76</v>
      </c>
      <c r="G32" s="18" t="n">
        <v>0.78</v>
      </c>
      <c r="H32" s="18" t="n">
        <v>0.88</v>
      </c>
      <c r="I32" s="18" t="n">
        <v>0.93</v>
      </c>
      <c r="J32" s="18" t="n">
        <v>0.78</v>
      </c>
      <c r="K32" s="34">
        <f>SUM(G32:J32)</f>
        <v/>
      </c>
      <c r="L32" s="18" t="n">
        <v>0.73</v>
      </c>
      <c r="M32" s="18" t="n">
        <v>0.73</v>
      </c>
      <c r="N32" s="18" t="n">
        <v>0.77</v>
      </c>
      <c r="O32" s="18" t="n">
        <v>0.73</v>
      </c>
      <c r="P32" s="34">
        <f>SUM(L32:O32)</f>
        <v/>
      </c>
      <c r="Q32" s="18" t="n">
        <v>0.72</v>
      </c>
      <c r="R32" s="18" t="n">
        <v>0.75</v>
      </c>
      <c r="S32" s="18" t="n">
        <v>0.8</v>
      </c>
      <c r="T32" s="18" t="n">
        <v>0.7</v>
      </c>
      <c r="U32" s="34">
        <f>SUM(Q32:T32)</f>
        <v/>
      </c>
      <c r="V32" s="18" t="n">
        <v>0.8</v>
      </c>
      <c r="W32" s="18" t="n">
        <v>0.85</v>
      </c>
      <c r="X32" s="18" t="n">
        <v>1.26</v>
      </c>
      <c r="Y32" s="18" t="n">
        <v>2.34</v>
      </c>
      <c r="Z32" s="34">
        <f>SUM(V32:Y32)</f>
        <v/>
      </c>
      <c r="AA32" s="18" t="n">
        <v>1.97</v>
      </c>
      <c r="AB32" s="19" t="n">
        <v>1.47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165.6</v>
      </c>
      <c r="F33" s="34" t="n"/>
      <c r="G33" s="18" t="n">
        <v>203.17</v>
      </c>
      <c r="H33" s="18" t="n">
        <v>227.98</v>
      </c>
      <c r="I33" s="18" t="n">
        <v>238.3</v>
      </c>
      <c r="J33" s="18" t="n">
        <v>237.32</v>
      </c>
      <c r="K33" s="34">
        <f>SUM(G33:J33)</f>
        <v/>
      </c>
      <c r="L33" s="18" t="n">
        <v>209.85</v>
      </c>
      <c r="M33" s="18" t="n">
        <v>234.89</v>
      </c>
      <c r="N33" s="18" t="n">
        <v>263.8</v>
      </c>
      <c r="O33" s="18" t="n">
        <v>248.96</v>
      </c>
      <c r="P33" s="34">
        <f>SUM(L33:O33)</f>
        <v/>
      </c>
      <c r="Q33" s="18" t="n">
        <v>265.21</v>
      </c>
      <c r="R33" s="18" t="n">
        <v>340.58</v>
      </c>
      <c r="S33" s="18" t="n">
        <v>285.81</v>
      </c>
      <c r="T33" s="18" t="n">
        <v>288.61</v>
      </c>
      <c r="U33" s="34">
        <f>SUM(Q33:T33)</f>
        <v/>
      </c>
      <c r="V33" s="18" t="n">
        <v>263.41</v>
      </c>
      <c r="W33" s="18" t="n">
        <v>296.32</v>
      </c>
      <c r="X33" s="18" t="n">
        <v>294.69</v>
      </c>
      <c r="Y33" s="18" t="n">
        <v>330.21</v>
      </c>
      <c r="Z33" s="34">
        <f>SUM(V33:Y33)</f>
        <v/>
      </c>
      <c r="AA33" s="18" t="n">
        <v>1309.1</v>
      </c>
      <c r="AB33" s="19" t="n">
        <v>1313.93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-6.89</v>
      </c>
      <c r="F34" s="34" t="n"/>
      <c r="G34" s="18" t="n">
        <v>1.83</v>
      </c>
      <c r="H34" s="18" t="n">
        <v>-13.12</v>
      </c>
      <c r="I34" s="18" t="n">
        <v>-32.87</v>
      </c>
      <c r="J34" s="18" t="n">
        <v>12.35</v>
      </c>
      <c r="K34" s="34">
        <f>SUM(G34:J34)</f>
        <v/>
      </c>
      <c r="L34" s="18" t="n">
        <v>7.84</v>
      </c>
      <c r="M34" s="18" t="n">
        <v>14.07</v>
      </c>
      <c r="N34" s="18" t="n">
        <v>27.23</v>
      </c>
      <c r="O34" s="18" t="n">
        <v>10.79</v>
      </c>
      <c r="P34" s="34">
        <f>SUM(L34:O34)</f>
        <v/>
      </c>
      <c r="Q34" s="18" t="n">
        <v>26.96</v>
      </c>
      <c r="R34" s="18" t="n">
        <v>14.28</v>
      </c>
      <c r="S34" s="18" t="n">
        <v>27.5</v>
      </c>
      <c r="T34" s="18" t="n">
        <v>34.23</v>
      </c>
      <c r="U34" s="34">
        <f>SUM(Q34:T34)</f>
        <v/>
      </c>
      <c r="V34" s="18" t="n">
        <v>28.68</v>
      </c>
      <c r="W34" s="18" t="n">
        <v>24.38</v>
      </c>
      <c r="X34" s="18" t="n">
        <v>34.11</v>
      </c>
      <c r="Y34" s="18" t="n">
        <v>15.02</v>
      </c>
      <c r="Z34" s="34">
        <f>SUM(V34:Y34)</f>
        <v/>
      </c>
      <c r="AA34" s="18" t="n">
        <v>56.09</v>
      </c>
      <c r="AB34" s="19" t="n">
        <v>31.76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2201.7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0.3033</v>
      </c>
    </row>
    <row r="34">
      <c r="C34" s="2" t="inlineStr">
        <is>
          <t>fair_pbr</t>
        </is>
      </c>
      <c r="D34" t="n">
        <v>3.37</v>
      </c>
    </row>
    <row r="35">
      <c r="C35" s="2" t="inlineStr">
        <is>
          <t>fair_value_pbr</t>
        </is>
      </c>
      <c r="D35" t="n">
        <v>24500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