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65394억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66063억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68300억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72216억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76465억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81429억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86514억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91742억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95795억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65394억 × 비례계수 0.0137(원점회귀; 격자 lag0~4×창8/12/19×수준·YoY·4Q합 중 최대 r=0.93, n=8, 창 8)
[yoy]</t>
      </text>
    </comment>
    <comment ref="AF5" authorId="0" shapeId="0">
      <text>
        <t>추정: 고객 매출 가중지수(t−1) 66063억 × 비례계수 0.0137(원점회귀; 격자 lag0~4×창8/12/19×수준·YoY·4Q합 중 최대 r=0.93, n=8, 창 8)
[yoy]</t>
      </text>
    </comment>
    <comment ref="AG5" authorId="0" shapeId="0">
      <text>
        <t>추정: 고객 매출 가중지수(t−1) 68300억 × 비례계수 0.0137(원점회귀; 격자 lag0~4×창8/12/19×수준·YoY·4Q합 중 최대 r=0.93, n=8, 창 8)
[yoy]</t>
      </text>
    </comment>
    <comment ref="AH5" authorId="0" shapeId="0">
      <text>
        <t>추정: 고객 매출 가중지수(t−1) 72216억 × 비례계수 0.0137(원점회귀; 격자 lag0~4×창8/12/19×수준·YoY·4Q합 중 최대 r=0.93, n=8, 창 8)
[yoy]</t>
      </text>
    </comment>
    <comment ref="AI5" authorId="0" shapeId="0">
      <text>
        <t>추정: 고객 매출 가중지수(t−1) 76465억 × 비례계수 0.0137(원점회귀; 격자 lag0~4×창8/12/19×수준·YoY·4Q합 중 최대 r=0.93, n=8, 창 8)
[yoy]</t>
      </text>
    </comment>
    <comment ref="AK5" authorId="0" shapeId="0">
      <text>
        <t>추정: 고객 매출 가중지수(t−1) 81429억 × 비례계수 0.0137(원점회귀; 격자 lag0~4×창8/12/19×수준·YoY·4Q합 중 최대 r=0.93, n=8, 창 8)
[yoy]</t>
      </text>
    </comment>
    <comment ref="AL5" authorId="0" shapeId="0">
      <text>
        <t>추정: 고객 매출 가중지수(t−1) 86514억 × 비례계수 0.0137(원점회귀; 격자 lag0~4×창8/12/19×수준·YoY·4Q합 중 최대 r=0.93, n=8, 창 8)
[yoy]</t>
      </text>
    </comment>
    <comment ref="AM5" authorId="0" shapeId="0">
      <text>
        <t>추정: 고객 매출 가중지수(t−1) 91742억 × 비례계수 0.0137(원점회귀; 격자 lag0~4×창8/12/19×수준·YoY·4Q합 중 최대 r=0.93, n=8, 창 8)
[yoy]</t>
      </text>
    </comment>
    <comment ref="AN5" authorId="0" shapeId="0">
      <text>
        <t>추정: 고객 매출 가중지수(t−1) 95795억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959억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998억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1356억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959억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998억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1063억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1133억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1208억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1356억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6830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1.713144137</v>
      </c>
      <c r="AE21" s="25" t="n"/>
      <c r="AF21" s="24" t="n">
        <v>-0.308638467</v>
      </c>
      <c r="AG21" s="24" t="n">
        <v>-0.287862311</v>
      </c>
      <c r="AH21" s="24" t="n">
        <v>0.140459476</v>
      </c>
      <c r="AI21" s="24" t="n">
        <v>0.16930461</v>
      </c>
      <c r="AJ21" s="25" t="n"/>
      <c r="AK21" s="24" t="n">
        <v>0.232603363</v>
      </c>
      <c r="AL21" s="24" t="n">
        <v>0.266698728</v>
      </c>
      <c r="AM21" s="24" t="n">
        <v>0.270386917</v>
      </c>
      <c r="AN21" s="24" t="n">
        <v>0.252782604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0.089262194</v>
      </c>
      <c r="AE23" s="25">
        <f>IFERROR(subQ!AE9/subQ!AE5,"")</f>
        <v/>
      </c>
      <c r="AF23" s="24" t="n">
        <v>0.08925375100000001</v>
      </c>
      <c r="AG23" s="24" t="n">
        <v>0.089259378</v>
      </c>
      <c r="AH23" s="24" t="n">
        <v>0.089259723</v>
      </c>
      <c r="AI23" s="24" t="n">
        <v>0.08925332699999999</v>
      </c>
      <c r="AJ23" s="25">
        <f>IFERROR(subQ!AJ9/subQ!AJ5,"")</f>
        <v/>
      </c>
      <c r="AK23" s="24" t="n">
        <v>0.08925402</v>
      </c>
      <c r="AL23" s="24" t="n">
        <v>0.089255431</v>
      </c>
      <c r="AM23" s="24" t="n">
        <v>0.08925346300000001</v>
      </c>
      <c r="AN23" s="24" t="n">
        <v>0.089257004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-0.008464858</v>
      </c>
      <c r="AD31" s="30" t="n">
        <v>0.003106672</v>
      </c>
      <c r="AE31" s="31" t="n"/>
      <c r="AF31" s="30" t="n">
        <v>-0.005317891</v>
      </c>
      <c r="AG31" s="30" t="n">
        <v>21.452217006</v>
      </c>
      <c r="AH31" s="30" t="n">
        <v>-0.010413655</v>
      </c>
      <c r="AI31" s="30" t="n">
        <v>-0.00105716</v>
      </c>
      <c r="AJ31" s="31" t="n"/>
      <c r="AK31" s="30" t="n">
        <v>-0.006126218</v>
      </c>
      <c r="AL31" s="30" t="n">
        <v>21.446465478</v>
      </c>
      <c r="AM31" s="30" t="n">
        <v>-0.00689459</v>
      </c>
      <c r="AN31" s="30" t="n">
        <v>-0.000143212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-0.004139342</v>
      </c>
      <c r="AD32" s="30" t="n">
        <v>0.006238448</v>
      </c>
      <c r="AE32" s="31" t="n"/>
      <c r="AF32" s="30" t="n">
        <v>-0.013961376</v>
      </c>
      <c r="AG32" s="30" t="n">
        <v>21.452524971</v>
      </c>
      <c r="AH32" s="30" t="n">
        <v>0.000510813</v>
      </c>
      <c r="AI32" s="30" t="n">
        <v>-0.009309773</v>
      </c>
      <c r="AJ32" s="31" t="n"/>
      <c r="AK32" s="30" t="n">
        <v>-0.000433948</v>
      </c>
      <c r="AL32" s="30" t="n">
        <v>21.446346107</v>
      </c>
      <c r="AM32" s="30" t="n">
        <v>-0.00597078</v>
      </c>
      <c r="AN32" s="30" t="n">
        <v>-0.004753363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-0.044600772</v>
      </c>
      <c r="AE34" s="25" t="n"/>
      <c r="AF34" s="24" t="n">
        <v>-0.047558839</v>
      </c>
      <c r="AG34" s="24" t="n">
        <v>-0.033717127</v>
      </c>
      <c r="AH34" s="24" t="n">
        <v>-0.05815906</v>
      </c>
      <c r="AI34" s="24" t="n">
        <v>-0.066498236</v>
      </c>
      <c r="AJ34" s="25" t="n"/>
      <c r="AK34" s="24" t="n">
        <v>-0.07712812099999999</v>
      </c>
      <c r="AL34" s="24" t="n">
        <v>-0.066409924</v>
      </c>
      <c r="AM34" s="24" t="n">
        <v>-0.10367227</v>
      </c>
      <c r="AN34" s="24" t="n">
        <v>-0.122143462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0.066825973</v>
      </c>
      <c r="AE35" s="25" t="n"/>
      <c r="AF35" s="24" t="n">
        <v>0.063815396</v>
      </c>
      <c r="AG35" s="24" t="n">
        <v>0.040505749</v>
      </c>
      <c r="AH35" s="24" t="n">
        <v>0.064884846</v>
      </c>
      <c r="AI35" s="24" t="n">
        <v>0.065616181</v>
      </c>
      <c r="AJ35" s="25" t="n"/>
      <c r="AK35" s="24" t="n">
        <v>0.066669609</v>
      </c>
      <c r="AL35" s="24" t="n">
        <v>0.049666051</v>
      </c>
      <c r="AM35" s="24" t="n">
        <v>0.068959536</v>
      </c>
      <c r="AN35" s="24" t="n">
        <v>0.06812515700000001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6830</v>
      </c>
      <c r="E43" s="2" t="inlineStr">
        <is>
          <t>원 — 네이버 정규장 종가(aik 확정종가 대조 · aik 7,110원)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0.1194698619274773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0.09795836821675927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0.9418079419080019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0.02801268485531185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0.03439700438168012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1653.7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4.13</v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0.2278</v>
      </c>
    </row>
    <row r="34">
      <c r="C34" s="2" t="inlineStr">
        <is>
          <t>fair_pbr</t>
        </is>
      </c>
      <c r="D34" t="n">
        <v>2.53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