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65950억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66794억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68524억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72071억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76054억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80843억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85845억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91102억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95298억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65950억 × 비례계수 0.0137(원점회귀; 격자 lag0~4×창8/12/19×수준·YoY·4Q합 중 최대 r=0.93, n=8, 창 8)
[yoy]</t>
      </text>
    </comment>
    <comment ref="AF5" authorId="0" shapeId="0">
      <text>
        <t>추정: 고객 매출 가중지수(t−1) 66794억 × 비례계수 0.0137(원점회귀; 격자 lag0~4×창8/12/19×수준·YoY·4Q합 중 최대 r=0.93, n=8, 창 8)
[yoy]</t>
      </text>
    </comment>
    <comment ref="AG5" authorId="0" shapeId="0">
      <text>
        <t>추정: 고객 매출 가중지수(t−1) 68524억 × 비례계수 0.0137(원점회귀; 격자 lag0~4×창8/12/19×수준·YoY·4Q합 중 최대 r=0.93, n=8, 창 8)
[yoy]</t>
      </text>
    </comment>
    <comment ref="AH5" authorId="0" shapeId="0">
      <text>
        <t>추정: 고객 매출 가중지수(t−1) 72071억 × 비례계수 0.0137(원점회귀; 격자 lag0~4×창8/12/19×수준·YoY·4Q합 중 최대 r=0.93, n=8, 창 8)
[yoy]</t>
      </text>
    </comment>
    <comment ref="AI5" authorId="0" shapeId="0">
      <text>
        <t>추정: 고객 매출 가중지수(t−1) 76054억 × 비례계수 0.0137(원점회귀; 격자 lag0~4×창8/12/19×수준·YoY·4Q합 중 최대 r=0.93, n=8, 창 8)
[yoy]</t>
      </text>
    </comment>
    <comment ref="AK5" authorId="0" shapeId="0">
      <text>
        <t>추정: 고객 매출 가중지수(t−1) 80843억 × 비례계수 0.0137(원점회귀; 격자 lag0~4×창8/12/19×수준·YoY·4Q합 중 최대 r=0.93, n=8, 창 8)
[yoy]</t>
      </text>
    </comment>
    <comment ref="AL5" authorId="0" shapeId="0">
      <text>
        <t>추정: 고객 매출 가중지수(t−1) 85845억 × 비례계수 0.0137(원점회귀; 격자 lag0~4×창8/12/19×수준·YoY·4Q합 중 최대 r=0.93, n=8, 창 8)
[yoy]</t>
      </text>
    </comment>
    <comment ref="AM5" authorId="0" shapeId="0">
      <text>
        <t>추정: 고객 매출 가중지수(t−1) 91102억 × 비례계수 0.0137(원점회귀; 격자 lag0~4×창8/12/19×수준·YoY·4Q합 중 최대 r=0.93, n=8, 창 8)
[yoy]</t>
      </text>
    </comment>
    <comment ref="AN5" authorId="0" shapeId="0">
      <text>
        <t>추정: 고객 매출 가중지수(t−1) 95298억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1000억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961억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1000억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1064억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1134억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1209억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1355억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6830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7032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1.736190266</v>
      </c>
      <c r="AE21" s="25" t="n"/>
      <c r="AF21" s="24" t="n">
        <v>-0.300991981</v>
      </c>
      <c r="AG21" s="24" t="n">
        <v>-0.2855182</v>
      </c>
      <c r="AH21" s="24" t="n">
        <v>0.138177082</v>
      </c>
      <c r="AI21" s="24" t="n">
        <v>0.153213578</v>
      </c>
      <c r="AJ21" s="25" t="n"/>
      <c r="AK21" s="24" t="n">
        <v>0.210344564</v>
      </c>
      <c r="AL21" s="24" t="n">
        <v>0.252764226</v>
      </c>
      <c r="AM21" s="24" t="n">
        <v>0.264052341</v>
      </c>
      <c r="AN21" s="24" t="n">
        <v>0.253028005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0.089262985</v>
      </c>
      <c r="AE23" s="25">
        <f>IFERROR(subQ!AE9/subQ!AE5,"")</f>
        <v/>
      </c>
      <c r="AF23" s="24" t="n">
        <v>0.089260931</v>
      </c>
      <c r="AG23" s="24" t="n">
        <v>0.089254138</v>
      </c>
      <c r="AH23" s="24" t="n">
        <v>0.08925641600000001</v>
      </c>
      <c r="AI23" s="24" t="n">
        <v>0.089256579</v>
      </c>
      <c r="AJ23" s="25">
        <f>IFERROR(subQ!AJ9/subQ!AJ5,"")</f>
        <v/>
      </c>
      <c r="AK23" s="24" t="n">
        <v>0.08926007900000001</v>
      </c>
      <c r="AL23" s="24" t="n">
        <v>0.089254891</v>
      </c>
      <c r="AM23" s="24" t="n">
        <v>0.089255669</v>
      </c>
      <c r="AN23" s="24" t="n">
        <v>0.08925535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-0.007477514</v>
      </c>
      <c r="AD31" s="30" t="n">
        <v>0.002582125</v>
      </c>
      <c r="AE31" s="31" t="n"/>
      <c r="AF31" s="30" t="n">
        <v>0.001302348</v>
      </c>
      <c r="AG31" s="30" t="n">
        <v>21.448689167</v>
      </c>
      <c r="AH31" s="30" t="n">
        <v>-0.008849216</v>
      </c>
      <c r="AI31" s="30" t="n">
        <v>-0.002459984</v>
      </c>
      <c r="AJ31" s="31" t="n"/>
      <c r="AK31" s="30" t="n">
        <v>-0.005514607</v>
      </c>
      <c r="AL31" s="30" t="n">
        <v>21.445943602</v>
      </c>
      <c r="AM31" s="30" t="n">
        <v>-0.006892772</v>
      </c>
      <c r="AN31" s="30" t="n">
        <v>-0.005144365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-0.003044944</v>
      </c>
      <c r="AD32" s="30" t="n">
        <v>0.001003363</v>
      </c>
      <c r="AE32" s="31" t="n"/>
      <c r="AF32" s="30" t="n">
        <v>0.006479907</v>
      </c>
      <c r="AG32" s="30" t="n">
        <v>21.44483919</v>
      </c>
      <c r="AH32" s="30" t="n">
        <v>-0.009089801999999999</v>
      </c>
      <c r="AI32" s="30" t="n">
        <v>0.004603097</v>
      </c>
      <c r="AJ32" s="31" t="n"/>
      <c r="AK32" s="30" t="n">
        <v>-0.003550329</v>
      </c>
      <c r="AL32" s="30" t="n">
        <v>21.447999227</v>
      </c>
      <c r="AM32" s="30" t="n">
        <v>-0.005551811</v>
      </c>
      <c r="AN32" s="30" t="n">
        <v>-0.007759626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-0.045074493</v>
      </c>
      <c r="AE34" s="25" t="n"/>
      <c r="AF34" s="24" t="n">
        <v>-0.048235605</v>
      </c>
      <c r="AG34" s="24" t="n">
        <v>-0.033975016</v>
      </c>
      <c r="AH34" s="24" t="n">
        <v>-0.058118936</v>
      </c>
      <c r="AI34" s="24" t="n">
        <v>-0.066173382</v>
      </c>
      <c r="AJ34" s="25" t="n"/>
      <c r="AK34" s="24" t="n">
        <v>-0.076567596</v>
      </c>
      <c r="AL34" s="24" t="n">
        <v>-0.06565544700000001</v>
      </c>
      <c r="AM34" s="24" t="n">
        <v>-0.102820239</v>
      </c>
      <c r="AN34" s="24" t="n">
        <v>-0.121273757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0.067535755</v>
      </c>
      <c r="AE35" s="25" t="n"/>
      <c r="AF35" s="24" t="n">
        <v>0.06464839</v>
      </c>
      <c r="AG35" s="24" t="n">
        <v>0.040707357</v>
      </c>
      <c r="AH35" s="24" t="n">
        <v>0.064638403</v>
      </c>
      <c r="AI35" s="24" t="n">
        <v>0.06511038</v>
      </c>
      <c r="AJ35" s="25" t="n"/>
      <c r="AK35" s="24" t="n">
        <v>0.066051631</v>
      </c>
      <c r="AL35" s="24" t="n">
        <v>0.049060975</v>
      </c>
      <c r="AM35" s="24" t="n">
        <v>0.06843059899999999</v>
      </c>
      <c r="AN35" s="24" t="n">
        <v>0.067775342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6830</v>
      </c>
      <c r="E43" s="2" t="inlineStr">
        <is>
          <t>원 — 네이버 정규장 종가(aik 확정종가 대조 · aik 7,110원)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0.1194767845204909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0.09795844060281238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0.9418109931668746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0.02799183297389382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0.0343854433725027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1665.6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4.1</v>
      </c>
    </row>
    <row r="32">
      <c r="C32" s="2" t="inlineStr">
        <is>
          <t>pbr_now</t>
        </is>
      </c>
      <c r="D32" t="n">
        <v>0.9399999999999999</v>
      </c>
    </row>
    <row r="33">
      <c r="C33" s="2" t="inlineStr">
        <is>
          <t>roe_fwd</t>
        </is>
      </c>
      <c r="D33" t="n">
        <v>0.2295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