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65950억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66780억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68536억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72081억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76059억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80847억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85848억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91106억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95300억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65950억 × 비례계수 0.0137(원점회귀; 격자 lag0~4×창8/12/19×수준·YoY·4Q합 중 최대 r=0.93, n=8, 창 8)
[yoy]</t>
      </text>
    </comment>
    <comment ref="AF5" authorId="0" shapeId="0">
      <text>
        <t>추정: 고객 매출 가중지수(t−1) 66780억 × 비례계수 0.0137(원점회귀; 격자 lag0~4×창8/12/19×수준·YoY·4Q합 중 최대 r=0.93, n=8, 창 8)
[yoy]</t>
      </text>
    </comment>
    <comment ref="AG5" authorId="0" shapeId="0">
      <text>
        <t>추정: 고객 매출 가중지수(t−1) 68536억 × 비례계수 0.0137(원점회귀; 격자 lag0~4×창8/12/19×수준·YoY·4Q합 중 최대 r=0.93, n=8, 창 8)
[yoy]</t>
      </text>
    </comment>
    <comment ref="AH5" authorId="0" shapeId="0">
      <text>
        <t>추정: 고객 매출 가중지수(t−1) 72081억 × 비례계수 0.0137(원점회귀; 격자 lag0~4×창8/12/19×수준·YoY·4Q합 중 최대 r=0.93, n=8, 창 8)
[yoy]</t>
      </text>
    </comment>
    <comment ref="AI5" authorId="0" shapeId="0">
      <text>
        <t>추정: 고객 매출 가중지수(t−1) 76059억 × 비례계수 0.0137(원점회귀; 격자 lag0~4×창8/12/19×수준·YoY·4Q합 중 최대 r=0.93, n=8, 창 8)
[yoy]</t>
      </text>
    </comment>
    <comment ref="AK5" authorId="0" shapeId="0">
      <text>
        <t>추정: 고객 매출 가중지수(t−1) 80847억 × 비례계수 0.0137(원점회귀; 격자 lag0~4×창8/12/19×수준·YoY·4Q합 중 최대 r=0.93, n=8, 창 8)
[yoy]</t>
      </text>
    </comment>
    <comment ref="AL5" authorId="0" shapeId="0">
      <text>
        <t>추정: 고객 매출 가중지수(t−1) 85848억 × 비례계수 0.0137(원점회귀; 격자 lag0~4×창8/12/19×수준·YoY·4Q합 중 최대 r=0.93, n=8, 창 8)
[yoy]</t>
      </text>
    </comment>
    <comment ref="AM5" authorId="0" shapeId="0">
      <text>
        <t>추정: 고객 매출 가중지수(t−1) 91106억 × 비례계수 0.0137(원점회귀; 격자 lag0~4×창8/12/19×수준·YoY·4Q합 중 최대 r=0.93, n=8, 창 8)
[yoy]</t>
      </text>
    </comment>
    <comment ref="AN5" authorId="0" shapeId="0">
      <text>
        <t>추정: 고객 매출 가중지수(t−1) 95300억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1000억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961억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1000억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1065억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1134억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1209억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1355억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6160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5840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6725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1.736190266</v>
      </c>
      <c r="AE21" s="25" t="n"/>
      <c r="AF21" s="24" t="n">
        <v>-0.30112948</v>
      </c>
      <c r="AG21" s="24" t="n">
        <v>-0.285388818</v>
      </c>
      <c r="AH21" s="24" t="n">
        <v>0.138326936</v>
      </c>
      <c r="AI21" s="24" t="n">
        <v>0.153291054</v>
      </c>
      <c r="AJ21" s="25" t="n"/>
      <c r="AK21" s="24" t="n">
        <v>0.210648275</v>
      </c>
      <c r="AL21" s="24" t="n">
        <v>0.25259066</v>
      </c>
      <c r="AM21" s="24" t="n">
        <v>0.263936568</v>
      </c>
      <c r="AN21" s="24" t="n">
        <v>0.252982217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0.089262985</v>
      </c>
      <c r="AE23" s="25">
        <f>IFERROR(subQ!AE9/subQ!AE5,"")</f>
        <v/>
      </c>
      <c r="AF23" s="24" t="n">
        <v>0.089256632</v>
      </c>
      <c r="AG23" s="24" t="n">
        <v>0.089259279</v>
      </c>
      <c r="AH23" s="24" t="n">
        <v>0.089254792</v>
      </c>
      <c r="AI23" s="24" t="n">
        <v>0.08926017999999999</v>
      </c>
      <c r="AJ23" s="25">
        <f>IFERROR(subQ!AJ9/subQ!AJ5,"")</f>
        <v/>
      </c>
      <c r="AK23" s="24" t="n">
        <v>0.089255243</v>
      </c>
      <c r="AL23" s="24" t="n">
        <v>0.089259599</v>
      </c>
      <c r="AM23" s="24" t="n">
        <v>0.08926010500000001</v>
      </c>
      <c r="AN23" s="24" t="n">
        <v>0.089260275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-0.007154449</v>
      </c>
      <c r="AD31" s="30" t="n">
        <v>0.0029043</v>
      </c>
      <c r="AE31" s="31" t="n"/>
      <c r="AF31" s="30" t="n">
        <v>0.004002224</v>
      </c>
      <c r="AG31" s="30" t="n">
        <v>21.446480015</v>
      </c>
      <c r="AH31" s="30" t="n">
        <v>-0.009732583</v>
      </c>
      <c r="AI31" s="30" t="n">
        <v>-0.003277652</v>
      </c>
      <c r="AJ31" s="31" t="n"/>
      <c r="AK31" s="30" t="n">
        <v>-0.005131811</v>
      </c>
      <c r="AL31" s="30" t="n">
        <v>21.455199958</v>
      </c>
      <c r="AM31" s="30" t="n">
        <v>0.002375413</v>
      </c>
      <c r="AN31" s="30" t="n">
        <v>-0.005877033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-0.004877837</v>
      </c>
      <c r="AD32" s="30" t="n">
        <v>-0.000955923</v>
      </c>
      <c r="AE32" s="31" t="n"/>
      <c r="AF32" s="30" t="n">
        <v>-0.00212545</v>
      </c>
      <c r="AG32" s="30" t="n">
        <v>21.44919361</v>
      </c>
      <c r="AH32" s="30" t="n">
        <v>-0.01306554</v>
      </c>
      <c r="AI32" s="30" t="n">
        <v>0.000503467</v>
      </c>
      <c r="AJ32" s="31" t="n"/>
      <c r="AK32" s="30" t="n">
        <v>-0.006158572</v>
      </c>
      <c r="AL32" s="30" t="n">
        <v>21.4435163</v>
      </c>
      <c r="AM32" s="30" t="n">
        <v>-0.00026251</v>
      </c>
      <c r="AN32" s="30" t="n">
        <v>-0.002671376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-0.045074493</v>
      </c>
      <c r="AE34" s="25" t="n"/>
      <c r="AF34" s="24" t="n">
        <v>-0.048219069</v>
      </c>
      <c r="AG34" s="24" t="n">
        <v>-0.0339918</v>
      </c>
      <c r="AH34" s="24" t="n">
        <v>-0.058127928</v>
      </c>
      <c r="AI34" s="24" t="n">
        <v>-0.066174014</v>
      </c>
      <c r="AJ34" s="25" t="n"/>
      <c r="AK34" s="24" t="n">
        <v>-0.076578603</v>
      </c>
      <c r="AL34" s="24" t="n">
        <v>-0.065656901</v>
      </c>
      <c r="AM34" s="24" t="n">
        <v>-0.102822676</v>
      </c>
      <c r="AN34" s="24" t="n">
        <v>-0.121290169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0.067535755</v>
      </c>
      <c r="AE35" s="25" t="n"/>
      <c r="AF35" s="24" t="n">
        <v>0.06462622699999999</v>
      </c>
      <c r="AG35" s="24" t="n">
        <v>0.040729021</v>
      </c>
      <c r="AH35" s="24" t="n">
        <v>0.06464840400000001</v>
      </c>
      <c r="AI35" s="24" t="n">
        <v>0.065109769</v>
      </c>
      <c r="AJ35" s="25" t="n"/>
      <c r="AK35" s="24" t="n">
        <v>0.06605986799999999</v>
      </c>
      <c r="AL35" s="24" t="n">
        <v>0.049060163</v>
      </c>
      <c r="AM35" s="24" t="n">
        <v>0.06842951999999999</v>
      </c>
      <c r="AN35" s="24" t="n">
        <v>0.067781723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6160</v>
      </c>
      <c r="E43" s="2" t="inlineStr">
        <is>
          <t>원 — 네이버 정규장 종가(aik 확정종가 대조 · aik 6,260원)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20261014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0.1194722635655003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0.09795861180265121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0.9417713540846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0.02799038763499492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0.03438476023790443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1665.6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3.7</v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0.2295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