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65394억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66071억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68300억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72216억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76466억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81430억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86515억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91743억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95795억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65394억 × 비례계수 0.0137(원점회귀; 격자 lag0~4×창8/12/19×수준·YoY·4Q합 중 최대 r=0.93, n=8, 창 8)
[yoy]</t>
      </text>
    </comment>
    <comment ref="AF5" authorId="0" shapeId="0">
      <text>
        <t>추정: 고객 매출 가중지수(t−1) 66071억 × 비례계수 0.0137(원점회귀; 격자 lag0~4×창8/12/19×수준·YoY·4Q합 중 최대 r=0.93, n=8, 창 8)
[yoy]</t>
      </text>
    </comment>
    <comment ref="AG5" authorId="0" shapeId="0">
      <text>
        <t>추정: 고객 매출 가중지수(t−1) 68300억 × 비례계수 0.0137(원점회귀; 격자 lag0~4×창8/12/19×수준·YoY·4Q합 중 최대 r=0.93, n=8, 창 8)
[yoy]</t>
      </text>
    </comment>
    <comment ref="AH5" authorId="0" shapeId="0">
      <text>
        <t>추정: 고객 매출 가중지수(t−1) 72216억 × 비례계수 0.0137(원점회귀; 격자 lag0~4×창8/12/19×수준·YoY·4Q합 중 최대 r=0.93, n=8, 창 8)
[yoy]</t>
      </text>
    </comment>
    <comment ref="AI5" authorId="0" shapeId="0">
      <text>
        <t>추정: 고객 매출 가중지수(t−1) 76466억 × 비례계수 0.0137(원점회귀; 격자 lag0~4×창8/12/19×수준·YoY·4Q합 중 최대 r=0.93, n=8, 창 8)
[yoy]</t>
      </text>
    </comment>
    <comment ref="AK5" authorId="0" shapeId="0">
      <text>
        <t>추정: 고객 매출 가중지수(t−1) 81430억 × 비례계수 0.0137(원점회귀; 격자 lag0~4×창8/12/19×수준·YoY·4Q합 중 최대 r=0.93, n=8, 창 8)
[yoy]</t>
      </text>
    </comment>
    <comment ref="AL5" authorId="0" shapeId="0">
      <text>
        <t>추정: 고객 매출 가중지수(t−1) 86515억 × 비례계수 0.0137(원점회귀; 격자 lag0~4×창8/12/19×수준·YoY·4Q합 중 최대 r=0.93, n=8, 창 8)
[yoy]</t>
      </text>
    </comment>
    <comment ref="AM5" authorId="0" shapeId="0">
      <text>
        <t>추정: 고객 매출 가중지수(t−1) 91743억 × 비례계수 0.0137(원점회귀; 격자 lag0~4×창8/12/19×수준·YoY·4Q합 중 최대 r=0.93, n=8, 창 8)
[yoy]</t>
      </text>
    </comment>
    <comment ref="AN5" authorId="0" shapeId="0">
      <text>
        <t>추정: 고객 매출 가중지수(t−1) 95795억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959억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998억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1356억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959억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998억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1063억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1133억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1208억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1356억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7050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7085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1.713144137</v>
      </c>
      <c r="AE21" s="25" t="n"/>
      <c r="AF21" s="24" t="n">
        <v>-0.308546801</v>
      </c>
      <c r="AG21" s="24" t="n">
        <v>-0.2878547</v>
      </c>
      <c r="AH21" s="24" t="n">
        <v>0.140459476</v>
      </c>
      <c r="AI21" s="24" t="n">
        <v>0.16930461</v>
      </c>
      <c r="AJ21" s="25" t="n"/>
      <c r="AK21" s="24" t="n">
        <v>0.232451004</v>
      </c>
      <c r="AL21" s="24" t="n">
        <v>0.266685191</v>
      </c>
      <c r="AM21" s="24" t="n">
        <v>0.270386917</v>
      </c>
      <c r="AN21" s="24" t="n">
        <v>0.252782604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0.089262194</v>
      </c>
      <c r="AE23" s="25">
        <f>IFERROR(subQ!AE9/subQ!AE5,"")</f>
        <v/>
      </c>
      <c r="AF23" s="24" t="n">
        <v>0.089252966</v>
      </c>
      <c r="AG23" s="24" t="n">
        <v>0.089258424</v>
      </c>
      <c r="AH23" s="24" t="n">
        <v>0.089259723</v>
      </c>
      <c r="AI23" s="24" t="n">
        <v>0.08925332699999999</v>
      </c>
      <c r="AJ23" s="25">
        <f>IFERROR(subQ!AJ9/subQ!AJ5,"")</f>
        <v/>
      </c>
      <c r="AK23" s="24" t="n">
        <v>0.08925321999999999</v>
      </c>
      <c r="AL23" s="24" t="n">
        <v>0.089255431</v>
      </c>
      <c r="AM23" s="24" t="n">
        <v>0.08926141899999999</v>
      </c>
      <c r="AN23" s="24" t="n">
        <v>0.089257004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-0.008384302999999999</v>
      </c>
      <c r="AD31" s="30" t="n">
        <v>0.003185077</v>
      </c>
      <c r="AE31" s="31" t="n"/>
      <c r="AF31" s="30" t="n">
        <v>-0.006439327</v>
      </c>
      <c r="AG31" s="30" t="n">
        <v>21.452349741</v>
      </c>
      <c r="AH31" s="30" t="n">
        <v>-0.010277987</v>
      </c>
      <c r="AI31" s="30" t="n">
        <v>-0.000920861</v>
      </c>
      <c r="AJ31" s="31" t="n"/>
      <c r="AK31" s="30" t="n">
        <v>-0.005988475</v>
      </c>
      <c r="AL31" s="30" t="n">
        <v>21.446604224</v>
      </c>
      <c r="AM31" s="30" t="n">
        <v>0.002052078</v>
      </c>
      <c r="AN31" s="30" t="n">
        <v>-0.010003789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-0.004018629</v>
      </c>
      <c r="AD32" s="30" t="n">
        <v>0.006359273</v>
      </c>
      <c r="AE32" s="31" t="n"/>
      <c r="AF32" s="30" t="n">
        <v>-0.0055516</v>
      </c>
      <c r="AG32" s="30" t="n">
        <v>21.442700149</v>
      </c>
      <c r="AH32" s="30" t="n">
        <v>0.000692463</v>
      </c>
      <c r="AI32" s="30" t="n">
        <v>-0.009123396000000001</v>
      </c>
      <c r="AJ32" s="31" t="n"/>
      <c r="AK32" s="30" t="n">
        <v>-0.000241408</v>
      </c>
      <c r="AL32" s="30" t="n">
        <v>21.446544534</v>
      </c>
      <c r="AM32" s="30" t="n">
        <v>0.002528015</v>
      </c>
      <c r="AN32" s="30" t="n">
        <v>-0.004545229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-0.044600772</v>
      </c>
      <c r="AE34" s="25" t="n"/>
      <c r="AF34" s="24" t="n">
        <v>-0.047567103</v>
      </c>
      <c r="AG34" s="24" t="n">
        <v>-0.033717419</v>
      </c>
      <c r="AH34" s="24" t="n">
        <v>-0.058159582</v>
      </c>
      <c r="AI34" s="24" t="n">
        <v>-0.06649887</v>
      </c>
      <c r="AJ34" s="25" t="n"/>
      <c r="AK34" s="24" t="n">
        <v>-0.077128909</v>
      </c>
      <c r="AL34" s="24" t="n">
        <v>-0.066410659</v>
      </c>
      <c r="AM34" s="24" t="n">
        <v>-0.103673498</v>
      </c>
      <c r="AN34" s="24" t="n">
        <v>-0.122145077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0.066825973</v>
      </c>
      <c r="AE35" s="25" t="n"/>
      <c r="AF35" s="24" t="n">
        <v>0.063826484</v>
      </c>
      <c r="AG35" s="24" t="n">
        <v>0.040505326</v>
      </c>
      <c r="AH35" s="24" t="n">
        <v>0.06488419600000001</v>
      </c>
      <c r="AI35" s="24" t="n">
        <v>0.065615563</v>
      </c>
      <c r="AJ35" s="25" t="n"/>
      <c r="AK35" s="24" t="n">
        <v>0.06666902099999999</v>
      </c>
      <c r="AL35" s="24" t="n">
        <v>0.04966564</v>
      </c>
      <c r="AM35" s="24" t="n">
        <v>0.068958992</v>
      </c>
      <c r="AN35" s="24" t="n">
        <v>0.06812465400000001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7050</v>
      </c>
      <c r="E43" s="2" t="inlineStr">
        <is>
          <t>원 — 네이버 정규장 종가(aik 확정종가 대조 · aik 7,220원)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0.1194683582540402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0.09795801486775235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0.941808773710316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0.0280121339682964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0.03439681079456637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1653.8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4.26</v>
      </c>
    </row>
    <row r="32">
      <c r="C32" s="2" t="inlineStr">
        <is>
          <t>pbr_now</t>
        </is>
      </c>
      <c r="D32" t="n">
        <v>0.97</v>
      </c>
    </row>
    <row r="33">
      <c r="C33" s="2" t="inlineStr">
        <is>
          <t>roe_fwd</t>
        </is>
      </c>
      <c r="D33" t="n">
        <v>0.2279</v>
      </c>
    </row>
    <row r="34">
      <c r="C34" s="2" t="inlineStr">
        <is>
          <t>fair_pbr</t>
        </is>
      </c>
      <c r="D34" t="n">
        <v>2.53</v>
      </c>
    </row>
    <row r="35">
      <c r="C35" s="2" t="inlineStr">
        <is>
          <t>fair_value_pbr</t>
        </is>
      </c>
      <c r="D35" t="n">
        <v>18400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