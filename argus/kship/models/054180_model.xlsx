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BS연결!$C$5:$AO$100</definedName>
    <definedName name="BS별도H">BS별도!$C$1:$AO$1</definedName>
    <definedName name="BS별도">BS별도!$C$5:$AO$85</definedName>
    <definedName name="SUBQH">subQ!$A$1:$AO$1</definedName>
    <definedName name="subQ">subQ!$A$5:$AO$41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0" fillId="0" borderId="1" pivotButton="0" quotePrefix="0" xfId="0"/>
    <xf numFmtId="3" fontId="0" fillId="5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C21" authorId="0" shapeId="0">
      <text>
        <t>모델값 역산(implied): v / 전년동기 − 1
전년동기 × (1+-12.7%) — g=최근 4분기 합 YoY -12.7% 클립(−30~+50%), 연차별 절반 감쇠(가정)</t>
      </text>
    </comment>
    <comment ref="AD21" authorId="0" shapeId="0">
      <text>
        <t>모델값 역산(implied): v / 전년동기 − 1
전년동기 × (1+-12.7%) — g=최근 4분기 합 YoY -12.7% 클립(−30~+50%), 연차별 절반 감쇠(가정)</t>
      </text>
    </comment>
    <comment ref="AF21" authorId="0" shapeId="0">
      <text>
        <t>모델값 역산(implied): v / 전년동기 − 1
전년동기 × (1+-12.7%) — g=최근 4분기 합 YoY -12.7% 클립(−30~+50%), 연차별 절반 감쇠(가정)</t>
      </text>
    </comment>
    <comment ref="AG21" authorId="0" shapeId="0">
      <text>
        <t>모델값 역산(implied): v / 전년동기 − 1
전년동기 × (1+-12.7%) — g=최근 4분기 합 YoY -12.7% 클립(−30~+50%), 연차별 절반 감쇠(가정)</t>
      </text>
    </comment>
    <comment ref="AH21" authorId="0" shapeId="0">
      <text>
        <t>모델값 역산(implied): v / 전년동기 − 1
전년동기 × (1+-6.3%) — g=최근 4분기 합 YoY -12.7% 클립(−30~+50%), 연차별 절반 감쇠(가정)</t>
      </text>
    </comment>
    <comment ref="AI21" authorId="0" shapeId="0">
      <text>
        <t>모델값 역산(implied): v / 전년동기 − 1
전년동기 × (1+-6.3%) — g=최근 4분기 합 YoY -12.7% 클립(−30~+50%), 연차별 절반 감쇠(가정)</t>
      </text>
    </comment>
    <comment ref="AK21" authorId="0" shapeId="0">
      <text>
        <t>모델값 역산(implied): v / 전년동기 − 1
전년동기 × (1+-6.3%) — g=최근 4분기 합 YoY -12.7% 클립(−30~+50%), 연차별 절반 감쇠(가정)</t>
      </text>
    </comment>
    <comment ref="AL21" authorId="0" shapeId="0">
      <text>
        <t>모델값 역산(implied): v / 전년동기 − 1
전년동기 × (1+-6.3%) — g=최근 4분기 합 YoY -12.7% 클립(−30~+50%), 연차별 절반 감쇠(가정)</t>
      </text>
    </comment>
    <comment ref="AM21" authorId="0" shapeId="0">
      <text>
        <t>모델값 역산(implied): v / 전년동기 − 1
전년동기 × (1+-3.2%) — g=최근 4분기 합 YoY -12.7% 클립(−30~+50%), 연차별 절반 감쇠(가정)</t>
      </text>
    </comment>
    <comment ref="AN21" authorId="0" shapeId="0">
      <text>
        <t>모델값 역산(implied): v / 전년동기 − 1
전년동기 × (1+-3.2%) — g=최근 4분기 합 YoY -12.7% 클립(−30~+50%), 연차별 절반 감쇠(가정)</t>
      </text>
    </comment>
    <comment ref="AC22" authorId="0" shapeId="0">
      <text>
        <t>3절 스칼라 '판관비율' 참조 — 숫자로 덮어쓰면 이 분기만 바뀐다
매출액 × 판관비율 23.11%(최근 4분기 중위)</t>
      </text>
    </comment>
    <comment ref="AD22" authorId="0" shapeId="0">
      <text>
        <t>3절 스칼라 '판관비율' 참조 — 숫자로 덮어쓰면 이 분기만 바뀐다
매출액 × 판관비율 23.11%(최근 4분기 중위)</t>
      </text>
    </comment>
    <comment ref="AF22" authorId="0" shapeId="0">
      <text>
        <t>3절 스칼라 '판관비율' 참조 — 숫자로 덮어쓰면 이 분기만 바뀐다
매출액 × 판관비율 23.11%(최근 4분기 중위)</t>
      </text>
    </comment>
    <comment ref="AG22" authorId="0" shapeId="0">
      <text>
        <t>3절 스칼라 '판관비율' 참조 — 숫자로 덮어쓰면 이 분기만 바뀐다
매출액 × 판관비율 23.11%(최근 4분기 중위)</t>
      </text>
    </comment>
    <comment ref="AH22" authorId="0" shapeId="0">
      <text>
        <t>3절 스칼라 '판관비율' 참조 — 숫자로 덮어쓰면 이 분기만 바뀐다
매출액 × 판관비율 23.11%(최근 4분기 중위)</t>
      </text>
    </comment>
    <comment ref="AI22" authorId="0" shapeId="0">
      <text>
        <t>3절 스칼라 '판관비율' 참조 — 숫자로 덮어쓰면 이 분기만 바뀐다
매출액 × 판관비율 23.11%(최근 4분기 중위)</t>
      </text>
    </comment>
    <comment ref="AK22" authorId="0" shapeId="0">
      <text>
        <t>3절 스칼라 '판관비율' 참조 — 숫자로 덮어쓰면 이 분기만 바뀐다
매출액 × 판관비율 23.11%(최근 4분기 중위)</t>
      </text>
    </comment>
    <comment ref="AL22" authorId="0" shapeId="0">
      <text>
        <t>3절 스칼라 '판관비율' 참조 — 숫자로 덮어쓰면 이 분기만 바뀐다
매출액 × 판관비율 23.11%(최근 4분기 중위)</t>
      </text>
    </comment>
    <comment ref="AM22" authorId="0" shapeId="0">
      <text>
        <t>3절 스칼라 '판관비율' 참조 — 숫자로 덮어쓰면 이 분기만 바뀐다
매출액 × 판관비율 23.11%(최근 4분기 중위)</t>
      </text>
    </comment>
    <comment ref="AN22" authorId="0" shapeId="0">
      <text>
        <t>3절 스칼라 '판관비율' 참조 — 숫자로 덮어쓰면 이 분기만 바뀐다
매출액 × 판관비율 23.11%(최근 4분기 중위)</t>
      </text>
    </comment>
    <comment ref="AC23" authorId="0" shapeId="0">
      <text>
        <t>모델값 역산(implied): v / 매출액
매출액 × OPM(최근 8분기 OPM 중위 -19.1% 유지(클립 −20~40%))</t>
      </text>
    </comment>
    <comment ref="AD23" authorId="0" shapeId="0">
      <text>
        <t>모델값 역산(implied): v / 매출액
매출액 × OPM(최근 8분기 OPM 중위 -19.1% 유지(클립 −20~40%))</t>
      </text>
    </comment>
    <comment ref="AF23" authorId="0" shapeId="0">
      <text>
        <t>모델값 역산(implied): v / 매출액
매출액 × OPM(최근 8분기 OPM 중위 -19.1% 유지(클립 −20~40%))</t>
      </text>
    </comment>
    <comment ref="AG23" authorId="0" shapeId="0">
      <text>
        <t>모델값 역산(implied): v / 매출액
매출액 × OPM(최근 8분기 OPM 중위 -19.1% 유지(클립 −20~40%))</t>
      </text>
    </comment>
    <comment ref="AH23" authorId="0" shapeId="0">
      <text>
        <t>모델값 역산(implied): v / 매출액
매출액 × OPM(최근 8분기 OPM 중위 -19.1% 유지(클립 −20~40%))</t>
      </text>
    </comment>
    <comment ref="AI23" authorId="0" shapeId="0">
      <text>
        <t>모델값 역산(implied): v / 매출액
매출액 × OPM(최근 8분기 OPM 중위 -19.1% 유지(클립 −20~40%))</t>
      </text>
    </comment>
    <comment ref="AK23" authorId="0" shapeId="0">
      <text>
        <t>모델값 역산(implied): v / 매출액
매출액 × OPM(최근 8분기 OPM 중위 -19.1% 유지(클립 −20~40%))</t>
      </text>
    </comment>
    <comment ref="AL23" authorId="0" shapeId="0">
      <text>
        <t>모델값 역산(implied): v / 매출액
매출액 × OPM(최근 8분기 OPM 중위 -19.1% 유지(클립 −20~40%))</t>
      </text>
    </comment>
    <comment ref="AM23" authorId="0" shapeId="0">
      <text>
        <t>모델값 역산(implied): v / 매출액
매출액 × OPM(최근 8분기 OPM 중위 -19.1% 유지(클립 −20~40%))</t>
      </text>
    </comment>
    <comment ref="AN23" authorId="0" shapeId="0">
      <text>
        <t>모델값 역산(implied): v / 매출액
매출액 × OPM(최근 8분기 OPM 중위 -19.1% 유지(클립 −20~40%))</t>
      </text>
    </comment>
    <comment ref="AC24" authorId="0" shapeId="0">
      <text>
        <t>모델값 역산(implied): 모델 v 그대로
파생상품 평가·거래손익 0 가정</t>
      </text>
    </comment>
    <comment ref="AD24" authorId="0" shapeId="0">
      <text>
        <t>모델값 역산(implied): 모델 v 그대로
파생상품 평가·거래손익 0 가정</t>
      </text>
    </comment>
    <comment ref="AF24" authorId="0" shapeId="0">
      <text>
        <t>모델값 역산(implied): 모델 v 그대로
파생상품 평가·거래손익 0 가정</t>
      </text>
    </comment>
    <comment ref="AG24" authorId="0" shapeId="0">
      <text>
        <t>모델값 역산(implied): 모델 v 그대로
파생상품 평가·거래손익 0 가정</t>
      </text>
    </comment>
    <comment ref="AH24" authorId="0" shapeId="0">
      <text>
        <t>모델값 역산(implied): 모델 v 그대로
파생상품 평가·거래손익 0 가정</t>
      </text>
    </comment>
    <comment ref="AI24" authorId="0" shapeId="0">
      <text>
        <t>모델값 역산(implied): 모델 v 그대로
파생상품 평가·거래손익 0 가정</t>
      </text>
    </comment>
    <comment ref="AK24" authorId="0" shapeId="0">
      <text>
        <t>모델값 역산(implied): 모델 v 그대로
파생상품 평가·거래손익 0 가정</t>
      </text>
    </comment>
    <comment ref="AL24" authorId="0" shapeId="0">
      <text>
        <t>모델값 역산(implied): 모델 v 그대로
파생상품 평가·거래손익 0 가정</t>
      </text>
    </comment>
    <comment ref="AM24" authorId="0" shapeId="0">
      <text>
        <t>모델값 역산(implied): 모델 v 그대로
파생상품 평가·거래손익 0 가정</t>
      </text>
    </comment>
    <comment ref="AN24" authorId="0" shapeId="0">
      <text>
        <t>모델값 역산(implied): 모델 v 그대로
파생상품 평가·거래손익 0 가정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모델 v 그대로
최근 4분기 중위</t>
      </text>
    </comment>
    <comment ref="AD26" authorId="0" shapeId="0">
      <text>
        <t>모델값 역산(implied): 모델 v 그대로
최근 4분기 중위</t>
      </text>
    </comment>
    <comment ref="AF26" authorId="0" shapeId="0">
      <text>
        <t>모델값 역산(implied): 모델 v 그대로
최근 4분기 중위</t>
      </text>
    </comment>
    <comment ref="AG26" authorId="0" shapeId="0">
      <text>
        <t>모델값 역산(implied): 모델 v 그대로
최근 4분기 중위</t>
      </text>
    </comment>
    <comment ref="AH26" authorId="0" shapeId="0">
      <text>
        <t>모델값 역산(implied): 모델 v 그대로
최근 4분기 중위</t>
      </text>
    </comment>
    <comment ref="AI26" authorId="0" shapeId="0">
      <text>
        <t>모델값 역산(implied): 모델 v 그대로
최근 4분기 중위</t>
      </text>
    </comment>
    <comment ref="AK26" authorId="0" shapeId="0">
      <text>
        <t>모델값 역산(implied): 모델 v 그대로
최근 4분기 중위</t>
      </text>
    </comment>
    <comment ref="AL26" authorId="0" shapeId="0">
      <text>
        <t>모델값 역산(implied): 모델 v 그대로
최근 4분기 중위</t>
      </text>
    </comment>
    <comment ref="AM26" authorId="0" shapeId="0">
      <text>
        <t>모델값 역산(implied): 모델 v 그대로
최근 4분기 중위</t>
      </text>
    </comment>
    <comment ref="AN26" authorId="0" shapeId="0">
      <text>
        <t>모델값 역산(implied): 모델 v 그대로
최근 4분기 중위</t>
      </text>
    </comment>
    <comment ref="AC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D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F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G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H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I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K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L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M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N27" authorId="0" shapeId="0">
      <text>
        <t>모델값 역산(implied): v / 세전이익
max(세전, 0) × 세율 22.0%(최근 12분기 세전 합 ≤ 0; 최근 8분기에 세전 &gt; 0 분기 없음 → 법정세율 근사 22% 가정)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AK28" authorId="0" shapeId="0">
      <text>
        <t>3절 스칼라 '지배주주비중' 참조 — 숫자로 덮어쓰면 이 분기만 바뀐다
당기순이익 × (1 − 비지배 비중 0.0%, 최근 8분기 실측)</t>
      </text>
    </comment>
    <comment ref="AL28" authorId="0" shapeId="0">
      <text>
        <t>3절 스칼라 '지배주주비중' 참조 — 숫자로 덮어쓰면 이 분기만 바뀐다
당기순이익 × (1 − 비지배 비중 0.0%, 최근 8분기 실측)</t>
      </text>
    </comment>
    <comment ref="AM28" authorId="0" shapeId="0">
      <text>
        <t>3절 스칼라 '지배주주비중' 참조 — 숫자로 덮어쓰면 이 분기만 바뀐다
당기순이익 × (1 − 비지배 비중 0.0%, 최근 8분기 실측)</t>
      </text>
    </comment>
    <comment ref="AN28" authorId="0" shapeId="0">
      <text>
        <t>3절 스칼라 '지배주주비중' 참조 — 숫자로 덮어쓰면 이 분기만 바뀐다
당기순이익 × (1 − 비지배 비중 0.0%, 최근 8분기 실측)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3" authorId="0" shapeId="0">
      <text>
        <t>모델값 역산(implied): v / 전분기 − 1
마지막 실적 유지(가정)</t>
      </text>
    </comment>
    <comment ref="AD33" authorId="0" shapeId="0">
      <text>
        <t>모델값 역산(implied): v / 전분기 − 1
마지막 실적 유지(가정)</t>
      </text>
    </comment>
    <comment ref="AF33" authorId="0" shapeId="0">
      <text>
        <t>모델값 역산(implied): v / 전분기 − 1
마지막 실적 유지(가정)</t>
      </text>
    </comment>
    <comment ref="AG33" authorId="0" shapeId="0">
      <text>
        <t>모델값 역산(implied): v / 전분기 − 1
마지막 실적 유지(가정)</t>
      </text>
    </comment>
    <comment ref="AH33" authorId="0" shapeId="0">
      <text>
        <t>모델값 역산(implied): v / 전분기 − 1
마지막 실적 유지(가정)</t>
      </text>
    </comment>
    <comment ref="AI33" authorId="0" shapeId="0">
      <text>
        <t>모델값 역산(implied): v / 전분기 − 1
마지막 실적 유지(가정)</t>
      </text>
    </comment>
    <comment ref="AK33" authorId="0" shapeId="0">
      <text>
        <t>모델값 역산(implied): v / 전분기 − 1
마지막 실적 유지(가정)</t>
      </text>
    </comment>
    <comment ref="AL33" authorId="0" shapeId="0">
      <text>
        <t>모델값 역산(implied): v / 전분기 − 1
마지막 실적 유지(가정)</t>
      </text>
    </comment>
    <comment ref="AM33" authorId="0" shapeId="0">
      <text>
        <t>모델값 역산(implied): v / 전분기 − 1
마지막 실적 유지(가정)</t>
      </text>
    </comment>
    <comment ref="AN33" authorId="0" shapeId="0">
      <text>
        <t>모델값 역산(implied): v / 전분기 − 1
마지막 실적 유지(가정)</t>
      </text>
    </comment>
    <comment ref="AC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D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F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G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H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I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K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L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M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N34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0원 유지</t>
      </text>
    </comment>
    <comment ref="AI40" authorId="0" shapeId="0">
      <text>
        <t>모델값 역산(implied): 모델 v 그대로
직전 결산 DPS 0원 유지</t>
      </text>
    </comment>
    <comment ref="AN40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(1+-12.7%) — g=최근 4분기 합 YoY -12.7% 클립(−30~+50%), 연차별 절반 감쇠(가정)
[yoy]</t>
      </text>
    </comment>
    <comment ref="AD5" authorId="0" shapeId="0">
      <text>
        <t>추정: 전년동기 × (1+-12.7%) — g=최근 4분기 합 YoY -12.7% 클립(−30~+50%), 연차별 절반 감쇠(가정)
[yoy]</t>
      </text>
    </comment>
    <comment ref="AF5" authorId="0" shapeId="0">
      <text>
        <t>추정: 전년동기 × (1+-12.7%) — g=최근 4분기 합 YoY -12.7% 클립(−30~+50%), 연차별 절반 감쇠(가정)
[yoy]</t>
      </text>
    </comment>
    <comment ref="AG5" authorId="0" shapeId="0">
      <text>
        <t>추정: 전년동기 × (1+-12.7%) — g=최근 4분기 합 YoY -12.7% 클립(−30~+50%), 연차별 절반 감쇠(가정)
[yoy]</t>
      </text>
    </comment>
    <comment ref="AH5" authorId="0" shapeId="0">
      <text>
        <t>추정: 전년동기 × (1+-6.3%) — g=최근 4분기 합 YoY -12.7% 클립(−30~+50%), 연차별 절반 감쇠(가정)
[yoy]</t>
      </text>
    </comment>
    <comment ref="AI5" authorId="0" shapeId="0">
      <text>
        <t>추정: 전년동기 × (1+-6.3%) — g=최근 4분기 합 YoY -12.7% 클립(−30~+50%), 연차별 절반 감쇠(가정)
[yoy]</t>
      </text>
    </comment>
    <comment ref="AK5" authorId="0" shapeId="0">
      <text>
        <t>추정: 전년동기 × (1+-6.3%) — g=최근 4분기 합 YoY -12.7% 클립(−30~+50%), 연차별 절반 감쇠(가정)
[yoy]</t>
      </text>
    </comment>
    <comment ref="AL5" authorId="0" shapeId="0">
      <text>
        <t>추정: 전년동기 × (1+-6.3%) — g=최근 4분기 합 YoY -12.7% 클립(−30~+50%), 연차별 절반 감쇠(가정)
[yoy]</t>
      </text>
    </comment>
    <comment ref="AM5" authorId="0" shapeId="0">
      <text>
        <t>추정: 전년동기 × (1+-3.2%) — g=최근 4분기 합 YoY -12.7% 클립(−30~+50%), 연차별 절반 감쇠(가정)
[yoy]</t>
      </text>
    </comment>
    <comment ref="AN5" authorId="0" shapeId="0">
      <text>
        <t>추정: 전년동기 × (1+-3.2%) — g=최근 4분기 합 YoY -12.7%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23.11%(최근 4분기 중위)
[ratio]</t>
      </text>
    </comment>
    <comment ref="AD8" authorId="0" shapeId="0">
      <text>
        <t>추정: 매출액 × 판관비율 23.11%(최근 4분기 중위)
[ratio]</t>
      </text>
    </comment>
    <comment ref="AF8" authorId="0" shapeId="0">
      <text>
        <t>추정: 매출액 × 판관비율 23.11%(최근 4분기 중위)
[ratio]</t>
      </text>
    </comment>
    <comment ref="AG8" authorId="0" shapeId="0">
      <text>
        <t>추정: 매출액 × 판관비율 23.11%(최근 4분기 중위)
[ratio]</t>
      </text>
    </comment>
    <comment ref="AH8" authorId="0" shapeId="0">
      <text>
        <t>추정: 매출액 × 판관비율 23.11%(최근 4분기 중위)
[ratio]</t>
      </text>
    </comment>
    <comment ref="AI8" authorId="0" shapeId="0">
      <text>
        <t>추정: 매출액 × 판관비율 23.11%(최근 4분기 중위)
[ratio]</t>
      </text>
    </comment>
    <comment ref="AK8" authorId="0" shapeId="0">
      <text>
        <t>추정: 매출액 × 판관비율 23.11%(최근 4분기 중위)
[ratio]</t>
      </text>
    </comment>
    <comment ref="AL8" authorId="0" shapeId="0">
      <text>
        <t>추정: 매출액 × 판관비율 23.11%(최근 4분기 중위)
[ratio]</t>
      </text>
    </comment>
    <comment ref="AM8" authorId="0" shapeId="0">
      <text>
        <t>추정: 매출액 × 판관비율 23.11%(최근 4분기 중위)
[ratio]</t>
      </text>
    </comment>
    <comment ref="AN8" authorId="0" shapeId="0">
      <text>
        <t>추정: 매출액 × 판관비율 23.11%(최근 4분기 중위)
[ratio]</t>
      </text>
    </comment>
    <comment ref="AC9" authorId="0" shapeId="0">
      <text>
        <t>추정: 매출액 × OPM(최근 8분기 OPM 중위 -19.1% 유지(클립 −20~40%))
[ratio]</t>
      </text>
    </comment>
    <comment ref="AD9" authorId="0" shapeId="0">
      <text>
        <t>추정: 매출액 × OPM(최근 8분기 OPM 중위 -19.1% 유지(클립 −20~40%))
[ratio]</t>
      </text>
    </comment>
    <comment ref="AF9" authorId="0" shapeId="0">
      <text>
        <t>추정: 매출액 × OPM(최근 8분기 OPM 중위 -19.1% 유지(클립 −20~40%))
[ratio]</t>
      </text>
    </comment>
    <comment ref="AG9" authorId="0" shapeId="0">
      <text>
        <t>추정: 매출액 × OPM(최근 8분기 OPM 중위 -19.1% 유지(클립 −20~40%))
[ratio]</t>
      </text>
    </comment>
    <comment ref="AH9" authorId="0" shapeId="0">
      <text>
        <t>추정: 매출액 × OPM(최근 8분기 OPM 중위 -19.1% 유지(클립 −20~40%))
[ratio]</t>
      </text>
    </comment>
    <comment ref="AI9" authorId="0" shapeId="0">
      <text>
        <t>추정: 매출액 × OPM(최근 8분기 OPM 중위 -19.1% 유지(클립 −20~40%))
[ratio]</t>
      </text>
    </comment>
    <comment ref="AK9" authorId="0" shapeId="0">
      <text>
        <t>추정: 매출액 × OPM(최근 8분기 OPM 중위 -19.1% 유지(클립 −20~40%))
[ratio]</t>
      </text>
    </comment>
    <comment ref="AL9" authorId="0" shapeId="0">
      <text>
        <t>추정: 매출액 × OPM(최근 8분기 OPM 중위 -19.1% 유지(클립 −20~40%))
[ratio]</t>
      </text>
    </comment>
    <comment ref="AM9" authorId="0" shapeId="0">
      <text>
        <t>추정: 매출액 × OPM(최근 8분기 OPM 중위 -19.1% 유지(클립 −20~40%))
[ratio]</t>
      </text>
    </comment>
    <comment ref="AN9" authorId="0" shapeId="0">
      <text>
        <t>추정: 매출액 × OPM(최근 8분기 OPM 중위 -19.1% 유지(클립 −20~40%))
[ratio]</t>
      </text>
    </comment>
    <comment ref="AC10" authorId="0" shapeId="0">
      <text>
        <t>추정: 최근 8분기 OPM 중위 -19.1% 유지(클립 −20~40%)
[divide]</t>
      </text>
    </comment>
    <comment ref="AD10" authorId="0" shapeId="0">
      <text>
        <t>추정: 최근 8분기 OPM 중위 -19.1% 유지(클립 −20~40%)
[divide]</t>
      </text>
    </comment>
    <comment ref="AF10" authorId="0" shapeId="0">
      <text>
        <t>추정: 최근 8분기 OPM 중위 -19.1% 유지(클립 −20~40%)
[divide]</t>
      </text>
    </comment>
    <comment ref="AG10" authorId="0" shapeId="0">
      <text>
        <t>추정: 최근 8분기 OPM 중위 -19.1% 유지(클립 −20~40%)
[divide]</t>
      </text>
    </comment>
    <comment ref="AH10" authorId="0" shapeId="0">
      <text>
        <t>추정: 최근 8분기 OPM 중위 -19.1% 유지(클립 −20~40%)
[divide]</t>
      </text>
    </comment>
    <comment ref="AI10" authorId="0" shapeId="0">
      <text>
        <t>추정: 최근 8분기 OPM 중위 -19.1% 유지(클립 −20~40%)
[divide]</t>
      </text>
    </comment>
    <comment ref="AK10" authorId="0" shapeId="0">
      <text>
        <t>추정: 최근 8분기 OPM 중위 -19.1% 유지(클립 −20~40%)
[divide]</t>
      </text>
    </comment>
    <comment ref="AL10" authorId="0" shapeId="0">
      <text>
        <t>추정: 최근 8분기 OPM 중위 -19.1% 유지(클립 −20~40%)
[divide]</t>
      </text>
    </comment>
    <comment ref="AM10" authorId="0" shapeId="0">
      <text>
        <t>추정: 최근 8분기 OPM 중위 -19.1% 유지(클립 −20~40%)
[divide]</t>
      </text>
    </comment>
    <comment ref="AN10" authorId="0" shapeId="0">
      <text>
        <t>추정: 최근 8분기 OPM 중위 -19.1%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13억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1억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-11억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-23억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-34억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-46억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-58억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-69억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-81억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-93억 × 4.21%(주석 이자수익 ÷ 평균 이자발생자산(2025Q3~2026Q2)) − 총차입금 85억 × 11.76%(주석 이자비용 ÷ 평균 총차입금(2025Q3~2026Q2)) (연율) ÷ 4; 환율 효과는 환관련손익 행 별도
[identity]</t>
      </text>
    </comment>
    <comment ref="AC12" authorId="0" shapeId="0">
      <text>
        <t>추정: 이자발생자산 13억 × 4.21%(주석 이자수익 ÷ 평균 이자발생자산(2025Q3~2026Q2)) − 총차입금 85억 × 11.76%(주석 이자비용 ÷ 평균 총차입금(2025Q3~2026Q2)) (연율) ÷ 4
[interest]</t>
      </text>
    </comment>
    <comment ref="AD12" authorId="0" shapeId="0">
      <text>
        <t>추정: 이자발생자산 1억 × 4.21%(주석 이자수익 ÷ 평균 이자발생자산(2025Q3~2026Q2)) − 총차입금 85억 × 11.76%(주석 이자비용 ÷ 평균 총차입금(2025Q3~2026Q2)) (연율) ÷ 4
[interest]</t>
      </text>
    </comment>
    <comment ref="AF12" authorId="0" shapeId="0">
      <text>
        <t>추정: 이자발생자산 -11억 × 4.21%(주석 이자수익 ÷ 평균 이자발생자산(2025Q3~2026Q2)) − 총차입금 85억 × 11.76%(주석 이자비용 ÷ 평균 총차입금(2025Q3~2026Q2)) (연율) ÷ 4
[interest]</t>
      </text>
    </comment>
    <comment ref="AG12" authorId="0" shapeId="0">
      <text>
        <t>추정: 이자발생자산 -23억 × 4.21%(주석 이자수익 ÷ 평균 이자발생자산(2025Q3~2026Q2)) − 총차입금 85억 × 11.76%(주석 이자비용 ÷ 평균 총차입금(2025Q3~2026Q2)) (연율) ÷ 4
[interest]</t>
      </text>
    </comment>
    <comment ref="AH12" authorId="0" shapeId="0">
      <text>
        <t>추정: 이자발생자산 -34억 × 4.21%(주석 이자수익 ÷ 평균 이자발생자산(2025Q3~2026Q2)) − 총차입금 85억 × 11.76%(주석 이자비용 ÷ 평균 총차입금(2025Q3~2026Q2)) (연율) ÷ 4
[interest]</t>
      </text>
    </comment>
    <comment ref="AI12" authorId="0" shapeId="0">
      <text>
        <t>추정: 이자발생자산 -46억 × 4.21%(주석 이자수익 ÷ 평균 이자발생자산(2025Q3~2026Q2)) − 총차입금 85억 × 11.76%(주석 이자비용 ÷ 평균 총차입금(2025Q3~2026Q2)) (연율) ÷ 4
[interest]</t>
      </text>
    </comment>
    <comment ref="AK12" authorId="0" shapeId="0">
      <text>
        <t>추정: 이자발생자산 -58억 × 4.21%(주석 이자수익 ÷ 평균 이자발생자산(2025Q3~2026Q2)) − 총차입금 85억 × 11.76%(주석 이자비용 ÷ 평균 총차입금(2025Q3~2026Q2)) (연율) ÷ 4
[interest]</t>
      </text>
    </comment>
    <comment ref="AL12" authorId="0" shapeId="0">
      <text>
        <t>추정: 이자발생자산 -69억 × 4.21%(주석 이자수익 ÷ 평균 이자발생자산(2025Q3~2026Q2)) − 총차입금 85억 × 11.76%(주석 이자비용 ÷ 평균 총차입금(2025Q3~2026Q2)) (연율) ÷ 4
[interest]</t>
      </text>
    </comment>
    <comment ref="AM12" authorId="0" shapeId="0">
      <text>
        <t>추정: 이자발생자산 -81억 × 4.21%(주석 이자수익 ÷ 평균 이자발생자산(2025Q3~2026Q2)) − 총차입금 85억 × 11.76%(주석 이자비용 ÷ 평균 총차입금(2025Q3~2026Q2)) (연율) ÷ 4
[interest]</t>
      </text>
    </comment>
    <comment ref="AN12" authorId="0" shapeId="0">
      <text>
        <t>추정: 이자발생자산 -93억 × 4.21%(주석 이자수익 ÷ 평균 이자발생자산(2025Q3~2026Q2)) − 총차입금 85억 × 11.76%(주석 이자비용 ÷ 평균 총차입금(2025Q3~2026Q2)) (연율) ÷ 4
[interest]</t>
      </text>
    </comment>
    <comment ref="H13" authorId="0" shapeId="0">
      <text>
        <t>BS 계정 합·차: +파생상품이익 -파생상품손실</t>
      </text>
    </comment>
    <comment ref="I13" authorId="0" shapeId="0">
      <text>
        <t>BS 계정 합·차: +파생상품이익 -파생상품손실</t>
      </text>
    </comment>
    <comment ref="J13" authorId="0" shapeId="0">
      <text>
        <t>BS 계정 합·차: +파생상품이익 -파생상품손실</t>
      </text>
    </comment>
    <comment ref="M13" authorId="0" shapeId="0">
      <text>
        <t>BS 계정 합·차: +파생상품이익 -파생상품손실</t>
      </text>
    </comment>
    <comment ref="N13" authorId="0" shapeId="0">
      <text>
        <t>BS 계정 합·차: +파생상품이익 -파생상품손실</t>
      </text>
    </comment>
    <comment ref="O13" authorId="0" shapeId="0">
      <text>
        <t>BS 계정 합·차: +파생상품이익 -파생상품손실</t>
      </text>
    </comment>
    <comment ref="Q13" authorId="0" shapeId="0">
      <text>
        <t>BS 계정 합·차: +파생상품이익 -파생상품손실</t>
      </text>
    </comment>
    <comment ref="AC13" authorId="0" shapeId="0">
      <text>
        <t>추정: 파생상품 평가·거래손익 0 가정
[abs]</t>
      </text>
    </comment>
    <comment ref="AD13" authorId="0" shapeId="0">
      <text>
        <t>추정: 파생상품 평가·거래손익 0 가정
[abs]</t>
      </text>
    </comment>
    <comment ref="AF13" authorId="0" shapeId="0">
      <text>
        <t>추정: 파생상품 평가·거래손익 0 가정
[abs]</t>
      </text>
    </comment>
    <comment ref="AG13" authorId="0" shapeId="0">
      <text>
        <t>추정: 파생상품 평가·거래손익 0 가정
[abs]</t>
      </text>
    </comment>
    <comment ref="AH13" authorId="0" shapeId="0">
      <text>
        <t>추정: 파생상품 평가·거래손익 0 가정
[abs]</t>
      </text>
    </comment>
    <comment ref="AI13" authorId="0" shapeId="0">
      <text>
        <t>추정: 파생상품 평가·거래손익 0 가정
[abs]</t>
      </text>
    </comment>
    <comment ref="AK13" authorId="0" shapeId="0">
      <text>
        <t>추정: 파생상품 평가·거래손익 0 가정
[abs]</t>
      </text>
    </comment>
    <comment ref="AL13" authorId="0" shapeId="0">
      <text>
        <t>추정: 파생상품 평가·거래손익 0 가정
[abs]</t>
      </text>
    </comment>
    <comment ref="AM13" authorId="0" shapeId="0">
      <text>
        <t>추정: 파생상품 평가·거래손익 0 가정
[abs]</t>
      </text>
    </comment>
    <comment ref="AN13" authorId="0" shapeId="0">
      <text>
        <t>추정: 파생상품 평가·거래손익 0 가정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최근 4분기 중위
[abs]</t>
      </text>
    </comment>
    <comment ref="AD15" authorId="0" shapeId="0">
      <text>
        <t>추정: 최근 4분기 중위
[abs]</t>
      </text>
    </comment>
    <comment ref="AF15" authorId="0" shapeId="0">
      <text>
        <t>추정: 최근 4분기 중위
[abs]</t>
      </text>
    </comment>
    <comment ref="AG15" authorId="0" shapeId="0">
      <text>
        <t>추정: 최근 4분기 중위
[abs]</t>
      </text>
    </comment>
    <comment ref="AH15" authorId="0" shapeId="0">
      <text>
        <t>추정: 최근 4분기 중위
[abs]</t>
      </text>
    </comment>
    <comment ref="AI15" authorId="0" shapeId="0">
      <text>
        <t>추정: 최근 4분기 중위
[abs]</t>
      </text>
    </comment>
    <comment ref="AK15" authorId="0" shapeId="0">
      <text>
        <t>추정: 최근 4분기 중위
[abs]</t>
      </text>
    </comment>
    <comment ref="AL15" authorId="0" shapeId="0">
      <text>
        <t>추정: 최근 4분기 중위
[abs]</t>
      </text>
    </comment>
    <comment ref="AM15" authorId="0" shapeId="0">
      <text>
        <t>추정: 최근 4분기 중위
[abs]</t>
      </text>
    </comment>
    <comment ref="AN15" authorId="0" shapeId="0">
      <text>
        <t>추정: 최근 4분기 중위
[abs]</t>
      </text>
    </comment>
    <comment ref="AC16" authorId="0" shapeId="0">
      <text>
        <t>추정: 영업이익 + 금융손익 + 기타영업외 + 지분법 + 환관련(항등식)
[identity]</t>
      </text>
    </comment>
    <comment ref="AD16" authorId="0" shapeId="0">
      <text>
        <t>추정: 영업이익 + 금융손익 + 기타영업외 + 지분법 + 환관련(항등식)
[identity]</t>
      </text>
    </comment>
    <comment ref="AF16" authorId="0" shapeId="0">
      <text>
        <t>추정: 영업이익 + 금융손익 + 기타영업외 + 지분법 + 환관련(항등식)
[identity]</t>
      </text>
    </comment>
    <comment ref="AG16" authorId="0" shapeId="0">
      <text>
        <t>추정: 영업이익 + 금융손익 + 기타영업외 + 지분법 + 환관련(항등식)
[identity]</t>
      </text>
    </comment>
    <comment ref="AH16" authorId="0" shapeId="0">
      <text>
        <t>추정: 영업이익 + 금융손익 + 기타영업외 + 지분법 + 환관련(항등식)
[identity]</t>
      </text>
    </comment>
    <comment ref="AI16" authorId="0" shapeId="0">
      <text>
        <t>추정: 영업이익 + 금융손익 + 기타영업외 + 지분법 + 환관련(항등식)
[identity]</t>
      </text>
    </comment>
    <comment ref="AK16" authorId="0" shapeId="0">
      <text>
        <t>추정: 영업이익 + 금융손익 + 기타영업외 + 지분법 + 환관련(항등식)
[identity]</t>
      </text>
    </comment>
    <comment ref="AL16" authorId="0" shapeId="0">
      <text>
        <t>추정: 영업이익 + 금융손익 + 기타영업외 + 지분법 + 환관련(항등식)
[identity]</t>
      </text>
    </comment>
    <comment ref="AM16" authorId="0" shapeId="0">
      <text>
        <t>추정: 영업이익 + 금융손익 + 기타영업외 + 지분법 + 환관련(항등식)
[identity]</t>
      </text>
    </comment>
    <comment ref="AN16" authorId="0" shapeId="0">
      <text>
        <t>추정: 영업이익 + 금융손익 + 기타영업외 + 지분법 + 환관련(항등식)
[identity]</t>
      </text>
    </comment>
    <comment ref="AC17" authorId="0" shapeId="0">
      <text>
        <t>추정: max(세전, 0) × 세율 22.0%(최근 12분기 세전 합 ≤ 0; 최근 8분기에 세전 &gt; 0 분기 없음 → 법정세율 근사 22% 가정)
[ratio]</t>
      </text>
    </comment>
    <comment ref="AD17" authorId="0" shapeId="0">
      <text>
        <t>추정: max(세전, 0) × 세율 22.0%(최근 12분기 세전 합 ≤ 0; 최근 8분기에 세전 &gt; 0 분기 없음 → 법정세율 근사 22% 가정)
[ratio]</t>
      </text>
    </comment>
    <comment ref="AF17" authorId="0" shapeId="0">
      <text>
        <t>추정: max(세전, 0) × 세율 22.0%(최근 12분기 세전 합 ≤ 0; 최근 8분기에 세전 &gt; 0 분기 없음 → 법정세율 근사 22% 가정)
[ratio]</t>
      </text>
    </comment>
    <comment ref="AG17" authorId="0" shapeId="0">
      <text>
        <t>추정: max(세전, 0) × 세율 22.0%(최근 12분기 세전 합 ≤ 0; 최근 8분기에 세전 &gt; 0 분기 없음 → 법정세율 근사 22% 가정)
[ratio]</t>
      </text>
    </comment>
    <comment ref="AH17" authorId="0" shapeId="0">
      <text>
        <t>추정: max(세전, 0) × 세율 22.0%(최근 12분기 세전 합 ≤ 0; 최근 8분기에 세전 &gt; 0 분기 없음 → 법정세율 근사 22% 가정)
[ratio]</t>
      </text>
    </comment>
    <comment ref="AI17" authorId="0" shapeId="0">
      <text>
        <t>추정: max(세전, 0) × 세율 22.0%(최근 12분기 세전 합 ≤ 0; 최근 8분기에 세전 &gt; 0 분기 없음 → 법정세율 근사 22% 가정)
[ratio]</t>
      </text>
    </comment>
    <comment ref="AK17" authorId="0" shapeId="0">
      <text>
        <t>추정: max(세전, 0) × 세율 22.0%(최근 12분기 세전 합 ≤ 0; 최근 8분기에 세전 &gt; 0 분기 없음 → 법정세율 근사 22% 가정)
[ratio]</t>
      </text>
    </comment>
    <comment ref="AL17" authorId="0" shapeId="0">
      <text>
        <t>추정: max(세전, 0) × 세율 22.0%(최근 12분기 세전 합 ≤ 0; 최근 8분기에 세전 &gt; 0 분기 없음 → 법정세율 근사 22% 가정)
[ratio]</t>
      </text>
    </comment>
    <comment ref="AM17" authorId="0" shapeId="0">
      <text>
        <t>추정: max(세전, 0) × 세율 22.0%(최근 12분기 세전 합 ≤ 0; 최근 8분기에 세전 &gt; 0 분기 없음 → 법정세율 근사 22% 가정)
[ratio]</t>
      </text>
    </comment>
    <comment ref="AN17" authorId="0" shapeId="0">
      <text>
        <t>추정: max(세전, 0) × 세율 22.0%(최근 12분기 세전 합 ≤ 0; 최근 8분기에 세전 &gt; 0 분기 없음 → 법정세율 근사 22% 가정)
[ratio]</t>
      </text>
    </comment>
    <comment ref="AC18" authorId="0" shapeId="0">
      <text>
        <t>추정: 세전이익 − 법인세비용(항등식)
[identity]</t>
      </text>
    </comment>
    <comment ref="AD18" authorId="0" shapeId="0">
      <text>
        <t>추정: 세전이익 − 법인세비용(항등식)
[identity]</t>
      </text>
    </comment>
    <comment ref="AF18" authorId="0" shapeId="0">
      <text>
        <t>추정: 세전이익 − 법인세비용(항등식)
[identity]</t>
      </text>
    </comment>
    <comment ref="AG18" authorId="0" shapeId="0">
      <text>
        <t>추정: 세전이익 − 법인세비용(항등식)
[identity]</t>
      </text>
    </comment>
    <comment ref="AH18" authorId="0" shapeId="0">
      <text>
        <t>추정: 세전이익 − 법인세비용(항등식)
[identity]</t>
      </text>
    </comment>
    <comment ref="AI18" authorId="0" shapeId="0">
      <text>
        <t>추정: 세전이익 − 법인세비용(항등식)
[identity]</t>
      </text>
    </comment>
    <comment ref="AK18" authorId="0" shapeId="0">
      <text>
        <t>추정: 세전이익 − 법인세비용(항등식)
[identity]</t>
      </text>
    </comment>
    <comment ref="AL18" authorId="0" shapeId="0">
      <text>
        <t>추정: 세전이익 − 법인세비용(항등식)
[identity]</t>
      </text>
    </comment>
    <comment ref="AM18" authorId="0" shapeId="0">
      <text>
        <t>추정: 세전이익 − 법인세비용(항등식)
[identity]</t>
      </text>
    </comment>
    <comment ref="AN18" authorId="0" shapeId="0">
      <text>
        <t>추정: 세전이익 − 법인세비용(항등식)
[identity]</t>
      </text>
    </comment>
    <comment ref="AC19" authorId="0" shapeId="0">
      <text>
        <t>추정: 당기순이익 × (1 − 비지배 비중 0.0%, 최근 8분기 실측)
[ratio]</t>
      </text>
    </comment>
    <comment ref="AD19" authorId="0" shapeId="0">
      <text>
        <t>추정: 당기순이익 × (1 − 비지배 비중 0.0%, 최근 8분기 실측)
[ratio]</t>
      </text>
    </comment>
    <comment ref="AF19" authorId="0" shapeId="0">
      <text>
        <t>추정: 당기순이익 × (1 − 비지배 비중 0.0%, 최근 8분기 실측)
[ratio]</t>
      </text>
    </comment>
    <comment ref="AG19" authorId="0" shapeId="0">
      <text>
        <t>추정: 당기순이익 × (1 − 비지배 비중 0.0%, 최근 8분기 실측)
[ratio]</t>
      </text>
    </comment>
    <comment ref="AH19" authorId="0" shapeId="0">
      <text>
        <t>추정: 당기순이익 × (1 − 비지배 비중 0.0%, 최근 8분기 실측)
[ratio]</t>
      </text>
    </comment>
    <comment ref="AI19" authorId="0" shapeId="0">
      <text>
        <t>추정: 당기순이익 × (1 − 비지배 비중 0.0%, 최근 8분기 실측)
[ratio]</t>
      </text>
    </comment>
    <comment ref="AK19" authorId="0" shapeId="0">
      <text>
        <t>추정: 당기순이익 × (1 − 비지배 비중 0.0%, 최근 8분기 실측)
[ratio]</t>
      </text>
    </comment>
    <comment ref="AL19" authorId="0" shapeId="0">
      <text>
        <t>추정: 당기순이익 × (1 − 비지배 비중 0.0%, 최근 8분기 실측)
[ratio]</t>
      </text>
    </comment>
    <comment ref="AM19" authorId="0" shapeId="0">
      <text>
        <t>추정: 당기순이익 × (1 − 비지배 비중 0.0%, 최근 8분기 실측)
[ratio]</t>
      </text>
    </comment>
    <comment ref="AN19" authorId="0" shapeId="0">
      <text>
        <t>추정: 당기순이익 × (1 − 비지배 비중 0.0%, 최근 8분기 실측)
[ratio]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D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F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G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H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I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K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L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M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N26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미반영(감가상각비 없음 → CAPEX≈감가 가정)
[yoy]</t>
      </text>
    </comment>
    <comment ref="AD29" authorId="0" shapeId="0">
      <text>
        <t>추정: 최근 4분기(2025Q3~2026Q2) CAPEX 중위 유지 — 순차입금 롤에 미반영(감가상각비 없음 → CAPEX≈감가 가정)
[yoy]</t>
      </text>
    </comment>
    <comment ref="AF29" authorId="0" shapeId="0">
      <text>
        <t>추정: 최근 4분기(2025Q3~2026Q2) CAPEX 중위 유지 — 순차입금 롤에 미반영(감가상각비 없음 → CAPEX≈감가 가정)
[yoy]</t>
      </text>
    </comment>
    <comment ref="AG29" authorId="0" shapeId="0">
      <text>
        <t>추정: 최근 4분기(2025Q3~2026Q2) CAPEX 중위 유지 — 순차입금 롤에 미반영(감가상각비 없음 → CAPEX≈감가 가정)
[yoy]</t>
      </text>
    </comment>
    <comment ref="AH29" authorId="0" shapeId="0">
      <text>
        <t>추정: 최근 4분기(2025Q3~2026Q2) CAPEX 중위 유지 — 순차입금 롤에 미반영(감가상각비 없음 → CAPEX≈감가 가정)
[yoy]</t>
      </text>
    </comment>
    <comment ref="AI29" authorId="0" shapeId="0">
      <text>
        <t>추정: 최근 4분기(2025Q3~2026Q2) CAPEX 중위 유지 — 순차입금 롤에 미반영(감가상각비 없음 → CAPEX≈감가 가정)
[yoy]</t>
      </text>
    </comment>
    <comment ref="AK29" authorId="0" shapeId="0">
      <text>
        <t>추정: 최근 4분기(2025Q3~2026Q2) CAPEX 중위 유지 — 순차입금 롤에 미반영(감가상각비 없음 → CAPEX≈감가 가정)
[yoy]</t>
      </text>
    </comment>
    <comment ref="AL29" authorId="0" shapeId="0">
      <text>
        <t>추정: 최근 4분기(2025Q3~2026Q2) CAPEX 중위 유지 — 순차입금 롤에 미반영(감가상각비 없음 → CAPEX≈감가 가정)
[yoy]</t>
      </text>
    </comment>
    <comment ref="AM29" authorId="0" shapeId="0">
      <text>
        <t>추정: 최근 4분기(2025Q3~2026Q2) CAPEX 중위 유지 — 순차입금 롤에 미반영(감가상각비 없음 → CAPEX≈감가 가정)
[yoy]</t>
      </text>
    </comment>
    <comment ref="AN29" authorId="0" shapeId="0">
      <text>
        <t>추정: 최근 4분기(2025Q3~2026Q2) CAPEX 중위 유지 — 순차입금 롤에 미반영(감가상각비 없음 → CAPEX≈감가 가정)
[yoy]</t>
      </text>
    </comment>
    <comment ref="E31" authorId="0" shapeId="0">
      <text>
        <t>추정(실적 구간 갭필): fin.shares.common_outstanding 94,604,206주 × 1/75(환산 — 2022Q2 1/10 병합 · 2022Q4 ×2 수동(복합 사건) · 2025Q3 1/15 병합; IAS 33.64 비교표시·수정주가 이력과 정합)</t>
      </text>
    </comment>
    <comment ref="G31" authorId="0" shapeId="0">
      <text>
        <t>추정(실적 구간 갭필): fin.shares.common_outstanding 96,282,453주 × 1/75(환산 — 2022Q2 1/10 병합 · 2022Q4 ×2 수동(복합 사건) · 2025Q3 1/15 병합; IAS 33.64 비교표시·수정주가 이력과 정합)</t>
      </text>
    </comment>
    <comment ref="H31" authorId="0" shapeId="0">
      <text>
        <t>추정(실적 구간 갭필): fin.shares.common_outstanding 9,621,560주 × 2/15(환산 — 2022Q4 ×2 수동(복합 사건) · 2025Q3 1/15 병합; IAS 33.64 비교표시·수정주가 이력과 정합)</t>
      </text>
    </comment>
    <comment ref="I31" authorId="0" shapeId="0">
      <text>
        <t>추정(실적 구간 갭필): fin.shares.common_outstanding 12,098,606주 × 2/15(환산 — 2022Q4 ×2 수동(복합 사건) · 2025Q3 1/15 병합; IAS 33.64 비교표시·수정주가 이력과 정합)</t>
      </text>
    </comment>
    <comment ref="J31" authorId="0" shapeId="0">
      <text>
        <t>추정(실적 구간 갭필): fin.shares.common_outstanding 25,540,274주 × 1/15(환산 — 2025Q3 1/15 병합; IAS 33.64 비교표시·수정주가 이력과 정합)</t>
      </text>
    </comment>
    <comment ref="L31" authorId="0" shapeId="0">
      <text>
        <t>추정(실적 구간 갭필): fin.shares.common_outstanding 26,177,622주 × 1/15(환산 — 2025Q3 1/15 병합; IAS 33.64 비교표시·수정주가 이력과 정합)</t>
      </text>
    </comment>
    <comment ref="M31" authorId="0" shapeId="0">
      <text>
        <t>추정(실적 구간 갭필): fin.shares.common_outstanding 29,710,166주 × 1/15(환산 — 2025Q3 1/15 병합; IAS 33.64 비교표시·수정주가 이력과 정합)</t>
      </text>
    </comment>
    <comment ref="N31" authorId="0" shapeId="0">
      <text>
        <t>추정(실적 구간 갭필): fin.shares.common_outstanding 30,070,396주 × 1/15(환산 — 2025Q3 1/15 병합; IAS 33.64 비교표시·수정주가 이력과 정합)</t>
      </text>
    </comment>
    <comment ref="O31" authorId="0" shapeId="0">
      <text>
        <t>추정(실적 구간 갭필): fin.shares.common_outstanding 52,270,377주 × 1/15(환산 — 2025Q3 1/15 병합; IAS 33.64 비교표시·수정주가 이력과 정합)</t>
      </text>
    </comment>
    <comment ref="Q31" authorId="0" shapeId="0">
      <text>
        <t>추정(실적 구간 갭필): fin.shares.common_outstanding 57,144,113주 × 1/15(환산 — 2025Q3 1/15 병합; IAS 33.64 비교표시·수정주가 이력과 정합)</t>
      </text>
    </comment>
    <comment ref="R31" authorId="0" shapeId="0">
      <text>
        <t>추정(실적 구간 갭필): fin.shares.common_outstanding 57,144,113주 × 1/15(환산 — 2025Q3 1/15 병합; IAS 33.64 비교표시·수정주가 이력과 정합)</t>
      </text>
    </comment>
    <comment ref="S31" authorId="0" shapeId="0">
      <text>
        <t>추정(실적 구간 갭필): fin.shares.common_outstanding 58,871,228주 × 1/15(환산 — 2025Q3 1/15 병합; IAS 33.64 비교표시·수정주가 이력과 정합)</t>
      </text>
    </comment>
    <comment ref="T31" authorId="0" shapeId="0">
      <text>
        <t>추정(실적 구간 갭필): fin.shares.common_outstanding 68,871,228주 × 1/15(환산 — 2025Q3 1/15 병합; IAS 33.64 비교표시·수정주가 이력과 정합)</t>
      </text>
    </comment>
    <comment ref="V31" authorId="0" shapeId="0">
      <text>
        <t>추정(실적 구간 갭필): fin.shares.common_outstanding 82,871,228주 × 1/15(환산 — 2025Q3 1/15 병합; IAS 33.64 비교표시·수정주가 이력과 정합)</t>
      </text>
    </comment>
    <comment ref="W31" authorId="0" shapeId="0">
      <text>
        <t>추정(실적 구간 갭필): fin.shares.common_outstanding 82,871,228주 × 1/15(환산 — 2025Q3 1/15 병합; IAS 33.64 비교표시·수정주가 이력과 정합)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0원 유지
[abs]</t>
      </text>
    </comment>
    <comment ref="AI34" authorId="0" shapeId="0">
      <text>
        <t>추정: 직전 결산 DPS 0원 유지
[abs]</t>
      </text>
    </comment>
    <comment ref="AN34" authorId="0" shapeId="0">
      <text>
        <t>추정: 직전 결산 DPS 0원 유지
[abs]</t>
      </text>
    </comment>
    <comment ref="AC35" authorId="0" shapeId="0">
      <text>
        <t>추정: 현재 종가 ÷ BPS(추정 포함)
[valuation]</t>
      </text>
    </comment>
    <comment ref="AD35" authorId="0" shapeId="0">
      <text>
        <t>추정: 현재 종가 ÷ BPS(추정 포함)
[valuation]</t>
      </text>
    </comment>
    <comment ref="AF35" authorId="0" shapeId="0">
      <text>
        <t>추정: 현재 종가 ÷ BPS(추정 포함)
[valuation]</t>
      </text>
    </comment>
    <comment ref="AG35" authorId="0" shapeId="0">
      <text>
        <t>추정: 현재 종가 ÷ BPS(추정 포함)
[valuation]</t>
      </text>
    </comment>
    <comment ref="AH35" authorId="0" shapeId="0">
      <text>
        <t>추정: 현재 종가 ÷ BPS(추정 포함)
[valuation]</t>
      </text>
    </comment>
    <comment ref="AI35" authorId="0" shapeId="0">
      <text>
        <t>추정: 현재 종가 ÷ BPS(추정 포함)
[valuation]</t>
      </text>
    </comment>
    <comment ref="AK35" authorId="0" shapeId="0">
      <text>
        <t>추정: 현재 종가 ÷ BPS(추정 포함)
[valuation]</t>
      </text>
    </comment>
    <comment ref="AL35" authorId="0" shapeId="0">
      <text>
        <t>추정: 현재 종가 ÷ BPS(추정 포함)
[valuation]</t>
      </text>
    </comment>
    <comment ref="AM35" authorId="0" shapeId="0">
      <text>
        <t>추정: 현재 종가 ÷ BPS(추정 포함)
[valuation]</t>
      </text>
    </comment>
    <comment ref="AN35" authorId="0" shapeId="0">
      <text>
        <t>추정: 현재 종가 ÷ BPS(추정 포함)
[valuation]</t>
      </text>
    </comment>
    <comment ref="E36" authorId="0" shapeId="0">
      <text>
        <t>실측(계정 매핑 없음(파생·부문·시세 행) — 모델값 직접) — = 매출액(부문 미분리)</t>
      </text>
    </comment>
    <comment ref="G36" authorId="0" shapeId="0">
      <text>
        <t>실측(계정 매핑 없음(파생·부문·시세 행) — 모델값 직접) — = 매출액(부문 미분리)</t>
      </text>
    </comment>
    <comment ref="H36" authorId="0" shapeId="0">
      <text>
        <t>실측(계정 매핑 없음(파생·부문·시세 행) — 모델값 직접) — = 매출액(부문 미분리)</t>
      </text>
    </comment>
    <comment ref="I36" authorId="0" shapeId="0">
      <text>
        <t>실측(계정 매핑 없음(파생·부문·시세 행) — 모델값 직접) — = 매출액(부문 미분리)</t>
      </text>
    </comment>
    <comment ref="J36" authorId="0" shapeId="0">
      <text>
        <t>실측(계정 매핑 없음(파생·부문·시세 행) — 모델값 직접) — = 매출액(부문 미분리)</t>
      </text>
    </comment>
    <comment ref="L36" authorId="0" shapeId="0">
      <text>
        <t>실측(계정 매핑 없음(파생·부문·시세 행) — 모델값 직접) — = 매출액(부문 미분리)</t>
      </text>
    </comment>
    <comment ref="M36" authorId="0" shapeId="0">
      <text>
        <t>실측(계정 매핑 없음(파생·부문·시세 행) — 모델값 직접) — = 매출액(부문 미분리)</t>
      </text>
    </comment>
    <comment ref="N36" authorId="0" shapeId="0">
      <text>
        <t>실측(계정 매핑 없음(파생·부문·시세 행) — 모델값 직접) — = 매출액(부문 미분리)</t>
      </text>
    </comment>
    <comment ref="O36" authorId="0" shapeId="0">
      <text>
        <t>실측(계정 매핑 없음(파생·부문·시세 행) — 모델값 직접) — = 매출액(부문 미분리)</t>
      </text>
    </comment>
    <comment ref="Q36" authorId="0" shapeId="0">
      <text>
        <t>실측(계정 매핑 없음(파생·부문·시세 행) — 모델값 직접) — = 매출액(부문 미분리)</t>
      </text>
    </comment>
    <comment ref="R36" authorId="0" shapeId="0">
      <text>
        <t>실측(계정 매핑 없음(파생·부문·시세 행) — 모델값 직접) — = 매출액(부문 미분리)</t>
      </text>
    </comment>
    <comment ref="S36" authorId="0" shapeId="0">
      <text>
        <t>실측(계정 매핑 없음(파생·부문·시세 행) — 모델값 직접) — = 매출액(부문 미분리)</t>
      </text>
    </comment>
    <comment ref="T36" authorId="0" shapeId="0">
      <text>
        <t>실측(계정 매핑 없음(파생·부문·시세 행) — 모델값 직접) — = 매출액(부문 미분리)</t>
      </text>
    </comment>
    <comment ref="V36" authorId="0" shapeId="0">
      <text>
        <t>실측(계정 매핑 없음(파생·부문·시세 행) — 모델값 직접) — = 매출액(부문 미분리)</t>
      </text>
    </comment>
    <comment ref="W36" authorId="0" shapeId="0">
      <text>
        <t>실측(계정 매핑 없음(파생·부문·시세 행) — 모델값 직접) — = 매출액(부문 미분리)</t>
      </text>
    </comment>
    <comment ref="X36" authorId="0" shapeId="0">
      <text>
        <t>실측(계정 매핑 없음(파생·부문·시세 행) — 모델값 직접) — = 매출액(부문 미분리)</t>
      </text>
    </comment>
    <comment ref="Y36" authorId="0" shapeId="0">
      <text>
        <t>실측(계정 매핑 없음(파생·부문·시세 행) — 모델값 직접) — = 매출액(부문 미분리)</t>
      </text>
    </comment>
    <comment ref="AA36" authorId="0" shapeId="0">
      <text>
        <t>실측(계정 매핑 없음(파생·부문·시세 행) — 모델값 직접) — = 매출액(부문 미분리)</t>
      </text>
    </comment>
    <comment ref="AB36" authorId="0" shapeId="0">
      <text>
        <t>실측(계정 매핑 없음(파생·부문·시세 행) — 모델값 직접) — = 매출액(부문 미분리)</t>
      </text>
    </comment>
    <comment ref="AC36" authorId="0" shapeId="0">
      <text>
        <t>추정: = 매출액 추정(부문 미분리)
[identity]</t>
      </text>
    </comment>
    <comment ref="AD36" authorId="0" shapeId="0">
      <text>
        <t>추정: = 매출액 추정(부문 미분리)
[identity]</t>
      </text>
    </comment>
    <comment ref="AF36" authorId="0" shapeId="0">
      <text>
        <t>추정: = 매출액 추정(부문 미분리)
[identity]</t>
      </text>
    </comment>
    <comment ref="AG36" authorId="0" shapeId="0">
      <text>
        <t>추정: = 매출액 추정(부문 미분리)
[identity]</t>
      </text>
    </comment>
    <comment ref="AH36" authorId="0" shapeId="0">
      <text>
        <t>추정: = 매출액 추정(부문 미분리)
[identity]</t>
      </text>
    </comment>
    <comment ref="AI36" authorId="0" shapeId="0">
      <text>
        <t>추정: = 매출액 추정(부문 미분리)
[identity]</t>
      </text>
    </comment>
    <comment ref="AK36" authorId="0" shapeId="0">
      <text>
        <t>추정: = 매출액 추정(부문 미분리)
[identity]</t>
      </text>
    </comment>
    <comment ref="AL36" authorId="0" shapeId="0">
      <text>
        <t>추정: = 매출액 추정(부문 미분리)
[identity]</t>
      </text>
    </comment>
    <comment ref="AM36" authorId="0" shapeId="0">
      <text>
        <t>추정: = 매출액 추정(부문 미분리)
[identity]</t>
      </text>
    </comment>
    <comment ref="AN36" authorId="0" shapeId="0">
      <text>
        <t>추정: = 매출액 추정(부문 미분리)
[identity]</t>
      </text>
    </comment>
    <comment ref="E37" authorId="0" shapeId="0">
      <text>
        <t>실측(계정 매핑 없음(파생·부문·시세 행) — 모델값 직접) — = 영업이익(부문 미분리)</t>
      </text>
    </comment>
    <comment ref="G37" authorId="0" shapeId="0">
      <text>
        <t>실측(계정 매핑 없음(파생·부문·시세 행) — 모델값 직접) — = 영업이익(부문 미분리)</t>
      </text>
    </comment>
    <comment ref="H37" authorId="0" shapeId="0">
      <text>
        <t>실측(계정 매핑 없음(파생·부문·시세 행) — 모델값 직접) — = 영업이익(부문 미분리)</t>
      </text>
    </comment>
    <comment ref="I37" authorId="0" shapeId="0">
      <text>
        <t>실측(계정 매핑 없음(파생·부문·시세 행) — 모델값 직접) — = 영업이익(부문 미분리)</t>
      </text>
    </comment>
    <comment ref="J37" authorId="0" shapeId="0">
      <text>
        <t>실측(계정 매핑 없음(파생·부문·시세 행) — 모델값 직접) — = 영업이익(부문 미분리)</t>
      </text>
    </comment>
    <comment ref="L37" authorId="0" shapeId="0">
      <text>
        <t>실측(계정 매핑 없음(파생·부문·시세 행) — 모델값 직접) — = 영업이익(부문 미분리)</t>
      </text>
    </comment>
    <comment ref="M37" authorId="0" shapeId="0">
      <text>
        <t>실측(계정 매핑 없음(파생·부문·시세 행) — 모델값 직접) — = 영업이익(부문 미분리)</t>
      </text>
    </comment>
    <comment ref="N37" authorId="0" shapeId="0">
      <text>
        <t>실측(계정 매핑 없음(파생·부문·시세 행) — 모델값 직접) — = 영업이익(부문 미분리)</t>
      </text>
    </comment>
    <comment ref="O37" authorId="0" shapeId="0">
      <text>
        <t>실측(계정 매핑 없음(파생·부문·시세 행) — 모델값 직접) — = 영업이익(부문 미분리)</t>
      </text>
    </comment>
    <comment ref="Q37" authorId="0" shapeId="0">
      <text>
        <t>실측(계정 매핑 없음(파생·부문·시세 행) — 모델값 직접) — = 영업이익(부문 미분리)</t>
      </text>
    </comment>
    <comment ref="R37" authorId="0" shapeId="0">
      <text>
        <t>실측(계정 매핑 없음(파생·부문·시세 행) — 모델값 직접) — = 영업이익(부문 미분리)</t>
      </text>
    </comment>
    <comment ref="S37" authorId="0" shapeId="0">
      <text>
        <t>실측(계정 매핑 없음(파생·부문·시세 행) — 모델값 직접) — = 영업이익(부문 미분리)</t>
      </text>
    </comment>
    <comment ref="T37" authorId="0" shapeId="0">
      <text>
        <t>실측(계정 매핑 없음(파생·부문·시세 행) — 모델값 직접) — = 영업이익(부문 미분리)</t>
      </text>
    </comment>
    <comment ref="V37" authorId="0" shapeId="0">
      <text>
        <t>실측(계정 매핑 없음(파생·부문·시세 행) — 모델값 직접) — = 영업이익(부문 미분리)</t>
      </text>
    </comment>
    <comment ref="W37" authorId="0" shapeId="0">
      <text>
        <t>실측(계정 매핑 없음(파생·부문·시세 행) — 모델값 직접) — = 영업이익(부문 미분리)</t>
      </text>
    </comment>
    <comment ref="X37" authorId="0" shapeId="0">
      <text>
        <t>실측(계정 매핑 없음(파생·부문·시세 행) — 모델값 직접) — = 영업이익(부문 미분리)</t>
      </text>
    </comment>
    <comment ref="Y37" authorId="0" shapeId="0">
      <text>
        <t>실측(계정 매핑 없음(파생·부문·시세 행) — 모델값 직접) — = 영업이익(부문 미분리)</t>
      </text>
    </comment>
    <comment ref="AA37" authorId="0" shapeId="0">
      <text>
        <t>실측(계정 매핑 없음(파생·부문·시세 행) — 모델값 직접) — = 영업이익(부문 미분리)</t>
      </text>
    </comment>
    <comment ref="AB37" authorId="0" shapeId="0">
      <text>
        <t>실측(계정 매핑 없음(파생·부문·시세 행) — 모델값 직접) — = 영업이익(부문 미분리)</t>
      </text>
    </comment>
    <comment ref="AC37" authorId="0" shapeId="0">
      <text>
        <t>추정: = 매출액 × OPM(부문 미분리)
[identity]</t>
      </text>
    </comment>
    <comment ref="AD37" authorId="0" shapeId="0">
      <text>
        <t>추정: = 매출액 × OPM(부문 미분리)
[identity]</t>
      </text>
    </comment>
    <comment ref="AF37" authorId="0" shapeId="0">
      <text>
        <t>추정: = 매출액 × OPM(부문 미분리)
[identity]</t>
      </text>
    </comment>
    <comment ref="AG37" authorId="0" shapeId="0">
      <text>
        <t>추정: = 매출액 × OPM(부문 미분리)
[identity]</t>
      </text>
    </comment>
    <comment ref="AH37" authorId="0" shapeId="0">
      <text>
        <t>추정: = 매출액 × OPM(부문 미분리)
[identity]</t>
      </text>
    </comment>
    <comment ref="AI37" authorId="0" shapeId="0">
      <text>
        <t>추정: = 매출액 × OPM(부문 미분리)
[identity]</t>
      </text>
    </comment>
    <comment ref="AK37" authorId="0" shapeId="0">
      <text>
        <t>추정: = 매출액 × OPM(부문 미분리)
[identity]</t>
      </text>
    </comment>
    <comment ref="AL37" authorId="0" shapeId="0">
      <text>
        <t>추정: = 매출액 × OPM(부문 미분리)
[identity]</t>
      </text>
    </comment>
    <comment ref="AM37" authorId="0" shapeId="0">
      <text>
        <t>추정: = 매출액 × OPM(부문 미분리)
[identity]</t>
      </text>
    </comment>
    <comment ref="AN37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메디콕스(054180)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23.10%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4.22% / 부채 11.76% — 이자손익 = (전분기 이자발생자산 × 자산이자율 − 전분기 총차입금 × 부채이자율)/4, 최소자승 역산(모델 assumptions [0.0421, 0.1176]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8">
      <c r="A28" t="inlineStr">
        <is>
          <t>· 밸류에이션 — PER 밴드 10.0/15.0/20.0배(sector_default(레퍼런스 TP_PE PB 예시 10/15/20배; 과거 양(+)EPS 분기 0개 &lt; 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assets/models/054180.json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OOS 기각 — 동결 2025Q2 이후 4분기 매출 WAPE 연동 32.3% &gt; 추세 20.9% × 1.10 (suppliers_mentions·시차 0·4분기 이동합·창 19, r=0.75 유의)): 전년동기 × (1+g) 추세 / 주식수 사건 환산: 2022Q2 1/10 병합(eps_reported 교차검증 unconfirmed) · 2022Q4 ×2 수동(복합 사건)(eps_reported 교차검증 confirmed) · 2025Q3 1/15 병합(eps_reported 교차검증 confirmed) → 사건 전 실적 15분기의 주식수·EPS·BPS·DPS 를 비율 환산(IAS 33.64; 셀 kind estimate, basis 에 원주식수·비율) / 감가상각비가 face·CF 에 없음(주석 미파싱) → EBITDA·EV/EBITDA 미산출</t>
        </is>
      </c>
    </row>
    <row r="34">
      <c r="A34" t="inlineStr">
        <is>
          <t>백테스트: {"freeze": "2025Q2", "horizon": 4, "revenue_wape_pct": 32.3, "op_wape_pct": 58.4, "n": 4, "note": "단일 회사 4분기 — 통계 아님", "driver_at_freeze": "customer_yard_revenue_weighted", "selection_oos_at_freeze": {"freeze": "2024Q2", "n": 4, "wape_link": 4.2, "wape_trend": 9.9,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87.78, "rev_act": 66.85, "op_pred": -17.56, "op_act": -9.23}, {"q": "2025Q4", "rev_pred": 92.29, "rev_act": 69.81, "op_pred": -18.46, "op_act": -13.47}, {"q": "2026Q1", "rev_pred": 77.47, "rev_act": 63.29, "op_pred": -15.49, "op_act": -10.33}, {"q": "2026Q2", "rev_pred": 92.3, "rev_act": 64.43, "op_pred": -18.46, "op_act": -11.14}]}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74625</v>
      </c>
      <c r="F15" s="9" t="n"/>
      <c r="G15" s="18" t="n">
        <v>64755</v>
      </c>
      <c r="H15" s="18" t="n">
        <v>40620</v>
      </c>
      <c r="I15" s="18" t="n">
        <v>79965</v>
      </c>
      <c r="J15" s="18" t="n">
        <v>50625</v>
      </c>
      <c r="K15" s="9" t="n"/>
      <c r="L15" s="18" t="n">
        <v>22425</v>
      </c>
      <c r="M15" s="18" t="n">
        <v>21225</v>
      </c>
      <c r="N15" s="18" t="n">
        <v>13770</v>
      </c>
      <c r="O15" s="18" t="n">
        <v>16575</v>
      </c>
      <c r="P15" s="9" t="n"/>
      <c r="Q15" s="18" t="n">
        <v>11550</v>
      </c>
      <c r="R15" s="18" t="n">
        <v>7860</v>
      </c>
      <c r="S15" s="18" t="n">
        <v>6165</v>
      </c>
      <c r="T15" s="18" t="n">
        <v>4800</v>
      </c>
      <c r="U15" s="9" t="n"/>
      <c r="V15" s="18" t="n">
        <v>4155</v>
      </c>
      <c r="W15" s="18" t="n">
        <v>2220</v>
      </c>
      <c r="X15" s="18" t="n">
        <v>2295</v>
      </c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99282</v>
      </c>
      <c r="F16" s="9" t="n"/>
      <c r="G16" s="18" t="n">
        <v>80099</v>
      </c>
      <c r="H16" s="18" t="n">
        <v>71010</v>
      </c>
      <c r="I16" s="18" t="n">
        <v>112260</v>
      </c>
      <c r="J16" s="18" t="n">
        <v>85980</v>
      </c>
      <c r="K16" s="9" t="n"/>
      <c r="L16" s="18" t="n">
        <v>52050</v>
      </c>
      <c r="M16" s="18" t="n">
        <v>33150</v>
      </c>
      <c r="N16" s="18" t="n">
        <v>32400</v>
      </c>
      <c r="O16" s="18" t="n">
        <v>23400</v>
      </c>
      <c r="P16" s="9" t="n"/>
      <c r="Q16" s="18" t="n">
        <v>16980</v>
      </c>
      <c r="R16" s="18" t="n">
        <v>11925</v>
      </c>
      <c r="S16" s="18" t="n">
        <v>12690</v>
      </c>
      <c r="T16" s="18" t="n">
        <v>7650</v>
      </c>
      <c r="U16" s="9" t="n"/>
      <c r="V16" s="18" t="n">
        <v>6195</v>
      </c>
      <c r="W16" s="18" t="n">
        <v>5355</v>
      </c>
      <c r="X16" s="18" t="n">
        <v>2835</v>
      </c>
      <c r="Z16" s="9" t="n"/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67006</v>
      </c>
      <c r="F17" s="9" t="n"/>
      <c r="G17" s="18" t="n">
        <v>57975</v>
      </c>
      <c r="H17" s="18" t="n">
        <v>38355</v>
      </c>
      <c r="I17" s="18" t="n">
        <v>40320</v>
      </c>
      <c r="J17" s="18" t="n">
        <v>44925</v>
      </c>
      <c r="K17" s="9" t="n"/>
      <c r="L17" s="18" t="n">
        <v>18450</v>
      </c>
      <c r="M17" s="18" t="n">
        <v>19620</v>
      </c>
      <c r="N17" s="18" t="n">
        <v>13485</v>
      </c>
      <c r="O17" s="18" t="n">
        <v>9750</v>
      </c>
      <c r="P17" s="9" t="n"/>
      <c r="Q17" s="18" t="n">
        <v>10275</v>
      </c>
      <c r="R17" s="18" t="n">
        <v>6255</v>
      </c>
      <c r="S17" s="18" t="n">
        <v>6060</v>
      </c>
      <c r="T17" s="18" t="n">
        <v>4035</v>
      </c>
      <c r="U17" s="9" t="n"/>
      <c r="V17" s="18" t="n">
        <v>3240</v>
      </c>
      <c r="W17" s="18" t="n">
        <v>1545</v>
      </c>
      <c r="X17" s="18" t="n">
        <v>2235</v>
      </c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77024.5</v>
      </c>
      <c r="F18" s="9" t="n"/>
      <c r="G18" s="18" t="n">
        <v>64962.7</v>
      </c>
      <c r="H18" s="18" t="n">
        <v>54767.9</v>
      </c>
      <c r="I18" s="18" t="n">
        <v>70696.39999999999</v>
      </c>
      <c r="J18" s="18" t="n">
        <v>62443.5</v>
      </c>
      <c r="K18" s="9" t="n"/>
      <c r="L18" s="18" t="n">
        <v>28652.2</v>
      </c>
      <c r="M18" s="18" t="n">
        <v>24994.4</v>
      </c>
      <c r="N18" s="18" t="n">
        <v>21750.5</v>
      </c>
      <c r="O18" s="18" t="n">
        <v>15252.2</v>
      </c>
      <c r="P18" s="9" t="n"/>
      <c r="Q18" s="18" t="n">
        <v>12587.2</v>
      </c>
      <c r="R18" s="18" t="n">
        <v>9094.200000000001</v>
      </c>
      <c r="S18" s="18" t="n">
        <v>8530.6</v>
      </c>
      <c r="T18" s="18" t="n">
        <v>5222.5</v>
      </c>
      <c r="U18" s="9" t="n"/>
      <c r="V18" s="18" t="n">
        <v>4258.2</v>
      </c>
      <c r="W18" s="18" t="n">
        <v>3177</v>
      </c>
      <c r="X18" s="18" t="n">
        <v>2430</v>
      </c>
      <c r="Z18" s="9" t="n"/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19" t="n"/>
      <c r="F21" s="20" t="n"/>
      <c r="G21" s="19" t="n"/>
      <c r="H21" s="19" t="n"/>
      <c r="I21" s="19" t="n"/>
      <c r="J21" s="19">
        <f>IFERROR(subQ!J5/subQ!E5-1,"")</f>
        <v/>
      </c>
      <c r="K21" s="20" t="n"/>
      <c r="L21" s="19">
        <f>IFERROR(subQ!L5/subQ!G5-1,"")</f>
        <v/>
      </c>
      <c r="M21" s="19">
        <f>IFERROR(subQ!M5/subQ!H5-1,"")</f>
        <v/>
      </c>
      <c r="N21" s="19">
        <f>IFERROR(subQ!N5/subQ!I5-1,"")</f>
        <v/>
      </c>
      <c r="O21" s="19">
        <f>IFERROR(subQ!O5/subQ!J5-1,"")</f>
        <v/>
      </c>
      <c r="P21" s="20" t="n"/>
      <c r="Q21" s="19">
        <f>IFERROR(subQ!Q5/subQ!L5-1,"")</f>
        <v/>
      </c>
      <c r="R21" s="19">
        <f>IFERROR(subQ!R5/subQ!M5-1,"")</f>
        <v/>
      </c>
      <c r="S21" s="19">
        <f>IFERROR(subQ!S5/subQ!N5-1,"")</f>
        <v/>
      </c>
      <c r="T21" s="19">
        <f>IFERROR(subQ!T5/subQ!O5-1,"")</f>
        <v/>
      </c>
      <c r="U21" s="20" t="n"/>
      <c r="V21" s="19">
        <f>IFERROR(subQ!V5/subQ!Q5-1,"")</f>
        <v/>
      </c>
      <c r="W21" s="19">
        <f>IFERROR(subQ!W5/subQ!R5-1,"")</f>
        <v/>
      </c>
      <c r="X21" s="19">
        <f>IFERROR(subQ!X5/subQ!S5-1,"")</f>
        <v/>
      </c>
      <c r="Y21" s="19">
        <f>IFERROR(subQ!Y5/subQ!T5-1,"")</f>
        <v/>
      </c>
      <c r="Z21" s="20" t="n"/>
      <c r="AA21" s="19">
        <f>IFERROR(subQ!AA5/subQ!V5-1,"")</f>
        <v/>
      </c>
      <c r="AB21" s="21">
        <f>IFERROR(subQ!AB5/subQ!W5-1,"")</f>
        <v/>
      </c>
      <c r="AC21" s="22" t="n">
        <v>-0.126717247</v>
      </c>
      <c r="AD21" s="22" t="n">
        <v>-0.126725133</v>
      </c>
      <c r="AE21" s="23" t="n"/>
      <c r="AF21" s="22" t="n">
        <v>-0.126681024</v>
      </c>
      <c r="AG21" s="22" t="n">
        <v>-0.126809705</v>
      </c>
      <c r="AH21" s="22" t="n">
        <v>-0.063377869</v>
      </c>
      <c r="AI21" s="22" t="n">
        <v>-0.06332021</v>
      </c>
      <c r="AJ21" s="23" t="n"/>
      <c r="AK21" s="22" t="n">
        <v>-0.06350642300000001</v>
      </c>
      <c r="AL21" s="22" t="n">
        <v>-0.06327764</v>
      </c>
      <c r="AM21" s="22" t="n">
        <v>-0.031638625</v>
      </c>
      <c r="AN21" s="22" t="n">
        <v>-0.031698774</v>
      </c>
      <c r="AO21" s="23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19">
        <f>IFERROR(subQ!E8/subQ!E5,"")</f>
        <v/>
      </c>
      <c r="F22" s="20">
        <f>IFERROR(subQ!F8/subQ!F5,"")</f>
        <v/>
      </c>
      <c r="G22" s="19">
        <f>IFERROR(subQ!G8/subQ!G5,"")</f>
        <v/>
      </c>
      <c r="H22" s="19">
        <f>IFERROR(subQ!H8/subQ!H5,"")</f>
        <v/>
      </c>
      <c r="I22" s="19">
        <f>IFERROR(subQ!I8/subQ!I5,"")</f>
        <v/>
      </c>
      <c r="J22" s="19">
        <f>IFERROR(subQ!J8/subQ!J5,"")</f>
        <v/>
      </c>
      <c r="K22" s="20">
        <f>IFERROR(subQ!K8/subQ!K5,"")</f>
        <v/>
      </c>
      <c r="L22" s="19">
        <f>IFERROR(subQ!L8/subQ!L5,"")</f>
        <v/>
      </c>
      <c r="M22" s="19">
        <f>IFERROR(subQ!M8/subQ!M5,"")</f>
        <v/>
      </c>
      <c r="N22" s="19">
        <f>IFERROR(subQ!N8/subQ!N5,"")</f>
        <v/>
      </c>
      <c r="O22" s="19">
        <f>IFERROR(subQ!O8/subQ!O5,"")</f>
        <v/>
      </c>
      <c r="P22" s="20">
        <f>IFERROR(subQ!P8/subQ!P5,"")</f>
        <v/>
      </c>
      <c r="Q22" s="19">
        <f>IFERROR(subQ!Q8/subQ!Q5,"")</f>
        <v/>
      </c>
      <c r="R22" s="19">
        <f>IFERROR(subQ!R8/subQ!R5,"")</f>
        <v/>
      </c>
      <c r="S22" s="19">
        <f>IFERROR(subQ!S8/subQ!S5,"")</f>
        <v/>
      </c>
      <c r="T22" s="19">
        <f>IFERROR(subQ!T8/subQ!T5,"")</f>
        <v/>
      </c>
      <c r="U22" s="20">
        <f>IFERROR(subQ!U8/subQ!U5,"")</f>
        <v/>
      </c>
      <c r="V22" s="19">
        <f>IFERROR(subQ!V8/subQ!V5,"")</f>
        <v/>
      </c>
      <c r="W22" s="19">
        <f>IFERROR(subQ!W8/subQ!W5,"")</f>
        <v/>
      </c>
      <c r="X22" s="19">
        <f>IFERROR(subQ!X8/subQ!X5,"")</f>
        <v/>
      </c>
      <c r="Y22" s="19">
        <f>IFERROR(subQ!Y8/subQ!Y5,"")</f>
        <v/>
      </c>
      <c r="Z22" s="20">
        <f>IFERROR(subQ!Z8/subQ!Z5,"")</f>
        <v/>
      </c>
      <c r="AA22" s="19">
        <f>IFERROR(subQ!AA8/subQ!AA5,"")</f>
        <v/>
      </c>
      <c r="AB22" s="21">
        <f>IFERROR(subQ!AB8/subQ!AB5,"")</f>
        <v/>
      </c>
      <c r="AC22" s="24">
        <f>$D$51</f>
        <v/>
      </c>
      <c r="AD22" s="24">
        <f>$D$51</f>
        <v/>
      </c>
      <c r="AE22" s="23">
        <f>IFERROR(subQ!AE8/subQ!AE5,"")</f>
        <v/>
      </c>
      <c r="AF22" s="24">
        <f>$D$51</f>
        <v/>
      </c>
      <c r="AG22" s="24">
        <f>$D$51</f>
        <v/>
      </c>
      <c r="AH22" s="24">
        <f>$D$51</f>
        <v/>
      </c>
      <c r="AI22" s="24">
        <f>$D$51</f>
        <v/>
      </c>
      <c r="AJ22" s="23">
        <f>IFERROR(subQ!AJ8/subQ!AJ5,"")</f>
        <v/>
      </c>
      <c r="AK22" s="24">
        <f>$D$51</f>
        <v/>
      </c>
      <c r="AL22" s="24">
        <f>$D$51</f>
        <v/>
      </c>
      <c r="AM22" s="24">
        <f>$D$51</f>
        <v/>
      </c>
      <c r="AN22" s="24">
        <f>$D$51</f>
        <v/>
      </c>
      <c r="AO22" s="23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19">
        <f>IFERROR(subQ!E9/subQ!E5,"")</f>
        <v/>
      </c>
      <c r="F23" s="20">
        <f>IFERROR(subQ!F9/subQ!F5,"")</f>
        <v/>
      </c>
      <c r="G23" s="19">
        <f>IFERROR(subQ!G9/subQ!G5,"")</f>
        <v/>
      </c>
      <c r="H23" s="19">
        <f>IFERROR(subQ!H9/subQ!H5,"")</f>
        <v/>
      </c>
      <c r="I23" s="19">
        <f>IFERROR(subQ!I9/subQ!I5,"")</f>
        <v/>
      </c>
      <c r="J23" s="19">
        <f>IFERROR(subQ!J9/subQ!J5,"")</f>
        <v/>
      </c>
      <c r="K23" s="20">
        <f>IFERROR(subQ!K9/subQ!K5,"")</f>
        <v/>
      </c>
      <c r="L23" s="19">
        <f>IFERROR(subQ!L9/subQ!L5,"")</f>
        <v/>
      </c>
      <c r="M23" s="19">
        <f>IFERROR(subQ!M9/subQ!M5,"")</f>
        <v/>
      </c>
      <c r="N23" s="19">
        <f>IFERROR(subQ!N9/subQ!N5,"")</f>
        <v/>
      </c>
      <c r="O23" s="19">
        <f>IFERROR(subQ!O9/subQ!O5,"")</f>
        <v/>
      </c>
      <c r="P23" s="20">
        <f>IFERROR(subQ!P9/subQ!P5,"")</f>
        <v/>
      </c>
      <c r="Q23" s="19">
        <f>IFERROR(subQ!Q9/subQ!Q5,"")</f>
        <v/>
      </c>
      <c r="R23" s="19">
        <f>IFERROR(subQ!R9/subQ!R5,"")</f>
        <v/>
      </c>
      <c r="S23" s="19">
        <f>IFERROR(subQ!S9/subQ!S5,"")</f>
        <v/>
      </c>
      <c r="T23" s="19">
        <f>IFERROR(subQ!T9/subQ!T5,"")</f>
        <v/>
      </c>
      <c r="U23" s="20">
        <f>IFERROR(subQ!U9/subQ!U5,"")</f>
        <v/>
      </c>
      <c r="V23" s="19">
        <f>IFERROR(subQ!V9/subQ!V5,"")</f>
        <v/>
      </c>
      <c r="W23" s="19">
        <f>IFERROR(subQ!W9/subQ!W5,"")</f>
        <v/>
      </c>
      <c r="X23" s="19">
        <f>IFERROR(subQ!X9/subQ!X5,"")</f>
        <v/>
      </c>
      <c r="Y23" s="19">
        <f>IFERROR(subQ!Y9/subQ!Y5,"")</f>
        <v/>
      </c>
      <c r="Z23" s="20">
        <f>IFERROR(subQ!Z9/subQ!Z5,"")</f>
        <v/>
      </c>
      <c r="AA23" s="19">
        <f>IFERROR(subQ!AA9/subQ!AA5,"")</f>
        <v/>
      </c>
      <c r="AB23" s="21">
        <f>IFERROR(subQ!AB9/subQ!AB5,"")</f>
        <v/>
      </c>
      <c r="AC23" s="22" t="n">
        <v>-0.191161357</v>
      </c>
      <c r="AD23" s="22" t="n">
        <v>-0.191108924</v>
      </c>
      <c r="AE23" s="23">
        <f>IFERROR(subQ!AE9/subQ!AE5,"")</f>
        <v/>
      </c>
      <c r="AF23" s="22" t="n">
        <v>-0.191242989</v>
      </c>
      <c r="AG23" s="22" t="n">
        <v>-0.191254888</v>
      </c>
      <c r="AH23" s="22" t="n">
        <v>-0.191111924</v>
      </c>
      <c r="AI23" s="22" t="n">
        <v>-0.191243433</v>
      </c>
      <c r="AJ23" s="23">
        <f>IFERROR(subQ!AJ9/subQ!AJ5,"")</f>
        <v/>
      </c>
      <c r="AK23" s="22" t="n">
        <v>-0.191267388</v>
      </c>
      <c r="AL23" s="22" t="n">
        <v>-0.191271347</v>
      </c>
      <c r="AM23" s="22" t="n">
        <v>-0.191123702</v>
      </c>
      <c r="AN23" s="22" t="n">
        <v>-0.191173811</v>
      </c>
      <c r="AO23" s="23">
        <f>IFERROR(subQ!AO9/subQ!AO5,"")</f>
        <v/>
      </c>
    </row>
    <row r="24">
      <c r="A24" s="12" t="inlineStr">
        <is>
          <t>drv:파생상품손익</t>
        </is>
      </c>
      <c r="B24" s="2" t="inlineStr">
        <is>
          <t>abs</t>
        </is>
      </c>
      <c r="C24" t="inlineStr">
        <is>
          <t>파생상품손익 (가정, 억원)</t>
        </is>
      </c>
      <c r="E24" s="25">
        <f>subQ!E13</f>
        <v/>
      </c>
      <c r="F24" s="26">
        <f>subQ!F13</f>
        <v/>
      </c>
      <c r="G24" s="25">
        <f>subQ!G13</f>
        <v/>
      </c>
      <c r="H24" s="25">
        <f>subQ!H13</f>
        <v/>
      </c>
      <c r="I24" s="25">
        <f>subQ!I13</f>
        <v/>
      </c>
      <c r="J24" s="25">
        <f>subQ!J13</f>
        <v/>
      </c>
      <c r="K24" s="26">
        <f>subQ!K13</f>
        <v/>
      </c>
      <c r="L24" s="25">
        <f>subQ!L13</f>
        <v/>
      </c>
      <c r="M24" s="25">
        <f>subQ!M13</f>
        <v/>
      </c>
      <c r="N24" s="25">
        <f>subQ!N13</f>
        <v/>
      </c>
      <c r="O24" s="25">
        <f>subQ!O13</f>
        <v/>
      </c>
      <c r="P24" s="26">
        <f>subQ!P13</f>
        <v/>
      </c>
      <c r="Q24" s="25">
        <f>subQ!Q13</f>
        <v/>
      </c>
      <c r="R24" s="25">
        <f>subQ!R13</f>
        <v/>
      </c>
      <c r="S24" s="25">
        <f>subQ!S13</f>
        <v/>
      </c>
      <c r="T24" s="25">
        <f>subQ!T13</f>
        <v/>
      </c>
      <c r="U24" s="26">
        <f>subQ!U13</f>
        <v/>
      </c>
      <c r="V24" s="25">
        <f>subQ!V13</f>
        <v/>
      </c>
      <c r="W24" s="25">
        <f>subQ!W13</f>
        <v/>
      </c>
      <c r="X24" s="25">
        <f>subQ!X13</f>
        <v/>
      </c>
      <c r="Y24" s="25">
        <f>subQ!Y13</f>
        <v/>
      </c>
      <c r="Z24" s="26">
        <f>subQ!Z13</f>
        <v/>
      </c>
      <c r="AA24" s="25">
        <f>subQ!AA13</f>
        <v/>
      </c>
      <c r="AB24" s="27">
        <f>subQ!AB13</f>
        <v/>
      </c>
      <c r="AC24" s="28" t="n">
        <v>0</v>
      </c>
      <c r="AD24" s="28" t="n">
        <v>0</v>
      </c>
      <c r="AE24" s="29">
        <f>subQ!AE13</f>
        <v/>
      </c>
      <c r="AF24" s="28" t="n">
        <v>0</v>
      </c>
      <c r="AG24" s="28" t="n">
        <v>0</v>
      </c>
      <c r="AH24" s="28" t="n">
        <v>0</v>
      </c>
      <c r="AI24" s="28" t="n">
        <v>0</v>
      </c>
      <c r="AJ24" s="29">
        <f>subQ!AJ13</f>
        <v/>
      </c>
      <c r="AK24" s="28" t="n">
        <v>0</v>
      </c>
      <c r="AL24" s="28" t="n">
        <v>0</v>
      </c>
      <c r="AM24" s="28" t="n">
        <v>0</v>
      </c>
      <c r="AN24" s="28" t="n">
        <v>0</v>
      </c>
      <c r="AO24" s="29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5">
        <f>subQ!E14</f>
        <v/>
      </c>
      <c r="F25" s="26">
        <f>subQ!F14</f>
        <v/>
      </c>
      <c r="G25" s="25">
        <f>subQ!G14</f>
        <v/>
      </c>
      <c r="H25" s="25">
        <f>subQ!H14</f>
        <v/>
      </c>
      <c r="I25" s="25">
        <f>subQ!I14</f>
        <v/>
      </c>
      <c r="J25" s="25">
        <f>subQ!J14</f>
        <v/>
      </c>
      <c r="K25" s="26">
        <f>subQ!K14</f>
        <v/>
      </c>
      <c r="L25" s="25">
        <f>subQ!L14</f>
        <v/>
      </c>
      <c r="M25" s="25">
        <f>subQ!M14</f>
        <v/>
      </c>
      <c r="N25" s="25">
        <f>subQ!N14</f>
        <v/>
      </c>
      <c r="O25" s="25">
        <f>subQ!O14</f>
        <v/>
      </c>
      <c r="P25" s="26">
        <f>subQ!P14</f>
        <v/>
      </c>
      <c r="Q25" s="25">
        <f>subQ!Q14</f>
        <v/>
      </c>
      <c r="R25" s="25">
        <f>subQ!R14</f>
        <v/>
      </c>
      <c r="S25" s="25">
        <f>subQ!S14</f>
        <v/>
      </c>
      <c r="T25" s="25">
        <f>subQ!T14</f>
        <v/>
      </c>
      <c r="U25" s="26">
        <f>subQ!U14</f>
        <v/>
      </c>
      <c r="V25" s="25">
        <f>subQ!V14</f>
        <v/>
      </c>
      <c r="W25" s="25">
        <f>subQ!W14</f>
        <v/>
      </c>
      <c r="X25" s="25">
        <f>subQ!X14</f>
        <v/>
      </c>
      <c r="Y25" s="25">
        <f>subQ!Y14</f>
        <v/>
      </c>
      <c r="Z25" s="26">
        <f>subQ!Z14</f>
        <v/>
      </c>
      <c r="AA25" s="25">
        <f>subQ!AA14</f>
        <v/>
      </c>
      <c r="AB25" s="27">
        <f>subQ!AB14</f>
        <v/>
      </c>
      <c r="AC25" s="28" t="n">
        <v>0</v>
      </c>
      <c r="AD25" s="28" t="n">
        <v>0</v>
      </c>
      <c r="AE25" s="29">
        <f>subQ!AE14</f>
        <v/>
      </c>
      <c r="AF25" s="28" t="n">
        <v>0</v>
      </c>
      <c r="AG25" s="28" t="n">
        <v>0</v>
      </c>
      <c r="AH25" s="28" t="n">
        <v>0</v>
      </c>
      <c r="AI25" s="28" t="n">
        <v>0</v>
      </c>
      <c r="AJ25" s="29">
        <f>subQ!AJ14</f>
        <v/>
      </c>
      <c r="AK25" s="28" t="n">
        <v>0</v>
      </c>
      <c r="AL25" s="28" t="n">
        <v>0</v>
      </c>
      <c r="AM25" s="28" t="n">
        <v>0</v>
      </c>
      <c r="AN25" s="28" t="n">
        <v>0</v>
      </c>
      <c r="AO25" s="29">
        <f>subQ!AO14</f>
        <v/>
      </c>
    </row>
    <row r="26">
      <c r="A26" s="12" t="inlineStr">
        <is>
          <t>drv:지분법손익</t>
        </is>
      </c>
      <c r="B26" s="2" t="inlineStr">
        <is>
          <t>abs</t>
        </is>
      </c>
      <c r="C26" t="inlineStr">
        <is>
          <t>지분법손익 (가정, 억원)</t>
        </is>
      </c>
      <c r="E26" s="25">
        <f>subQ!E15</f>
        <v/>
      </c>
      <c r="F26" s="26">
        <f>subQ!F15</f>
        <v/>
      </c>
      <c r="G26" s="25">
        <f>subQ!G15</f>
        <v/>
      </c>
      <c r="H26" s="25">
        <f>subQ!H15</f>
        <v/>
      </c>
      <c r="I26" s="25">
        <f>subQ!I15</f>
        <v/>
      </c>
      <c r="J26" s="25">
        <f>subQ!J15</f>
        <v/>
      </c>
      <c r="K26" s="26">
        <f>subQ!K15</f>
        <v/>
      </c>
      <c r="L26" s="25">
        <f>subQ!L15</f>
        <v/>
      </c>
      <c r="M26" s="25">
        <f>subQ!M15</f>
        <v/>
      </c>
      <c r="N26" s="25">
        <f>subQ!N15</f>
        <v/>
      </c>
      <c r="O26" s="25">
        <f>subQ!O15</f>
        <v/>
      </c>
      <c r="P26" s="26">
        <f>subQ!P15</f>
        <v/>
      </c>
      <c r="Q26" s="25">
        <f>subQ!Q15</f>
        <v/>
      </c>
      <c r="R26" s="25">
        <f>subQ!R15</f>
        <v/>
      </c>
      <c r="S26" s="25">
        <f>subQ!S15</f>
        <v/>
      </c>
      <c r="T26" s="25">
        <f>subQ!T15</f>
        <v/>
      </c>
      <c r="U26" s="26">
        <f>subQ!U15</f>
        <v/>
      </c>
      <c r="V26" s="25">
        <f>subQ!V15</f>
        <v/>
      </c>
      <c r="W26" s="25">
        <f>subQ!W15</f>
        <v/>
      </c>
      <c r="X26" s="25">
        <f>subQ!X15</f>
        <v/>
      </c>
      <c r="Y26" s="25">
        <f>subQ!Y15</f>
        <v/>
      </c>
      <c r="Z26" s="26">
        <f>subQ!Z15</f>
        <v/>
      </c>
      <c r="AA26" s="25">
        <f>subQ!AA15</f>
        <v/>
      </c>
      <c r="AB26" s="27">
        <f>subQ!AB15</f>
        <v/>
      </c>
      <c r="AC26" s="28" t="n">
        <v>1.71</v>
      </c>
      <c r="AD26" s="28" t="n">
        <v>1.71</v>
      </c>
      <c r="AE26" s="29">
        <f>subQ!AE15</f>
        <v/>
      </c>
      <c r="AF26" s="28" t="n">
        <v>1.71</v>
      </c>
      <c r="AG26" s="28" t="n">
        <v>1.71</v>
      </c>
      <c r="AH26" s="28" t="n">
        <v>1.71</v>
      </c>
      <c r="AI26" s="28" t="n">
        <v>1.71</v>
      </c>
      <c r="AJ26" s="29">
        <f>subQ!AJ15</f>
        <v/>
      </c>
      <c r="AK26" s="28" t="n">
        <v>1.71</v>
      </c>
      <c r="AL26" s="28" t="n">
        <v>1.71</v>
      </c>
      <c r="AM26" s="28" t="n">
        <v>1.71</v>
      </c>
      <c r="AN26" s="28" t="n">
        <v>1.71</v>
      </c>
      <c r="AO26" s="29">
        <f>subQ!AO15</f>
        <v/>
      </c>
    </row>
    <row r="27">
      <c r="A27" s="12" t="inlineStr">
        <is>
          <t>drv:법인세비용</t>
        </is>
      </c>
      <c r="B27" s="2" t="inlineStr">
        <is>
          <t>ratio</t>
        </is>
      </c>
      <c r="C27" t="inlineStr">
        <is>
          <t>법인세율(/세전)</t>
        </is>
      </c>
      <c r="E27" s="19">
        <f>IFERROR(subQ!E17/subQ!E16,"")</f>
        <v/>
      </c>
      <c r="F27" s="20">
        <f>IFERROR(subQ!F17/subQ!F16,"")</f>
        <v/>
      </c>
      <c r="G27" s="19">
        <f>IFERROR(subQ!G17/subQ!G16,"")</f>
        <v/>
      </c>
      <c r="H27" s="19">
        <f>IFERROR(subQ!H17/subQ!H16,"")</f>
        <v/>
      </c>
      <c r="I27" s="19">
        <f>IFERROR(subQ!I17/subQ!I16,"")</f>
        <v/>
      </c>
      <c r="J27" s="19">
        <f>IFERROR(subQ!J17/subQ!J16,"")</f>
        <v/>
      </c>
      <c r="K27" s="20">
        <f>IFERROR(subQ!K17/subQ!K16,"")</f>
        <v/>
      </c>
      <c r="L27" s="19">
        <f>IFERROR(subQ!L17/subQ!L16,"")</f>
        <v/>
      </c>
      <c r="M27" s="19">
        <f>IFERROR(subQ!M17/subQ!M16,"")</f>
        <v/>
      </c>
      <c r="N27" s="19">
        <f>IFERROR(subQ!N17/subQ!N16,"")</f>
        <v/>
      </c>
      <c r="O27" s="19">
        <f>IFERROR(subQ!O17/subQ!O16,"")</f>
        <v/>
      </c>
      <c r="P27" s="20">
        <f>IFERROR(subQ!P17/subQ!P16,"")</f>
        <v/>
      </c>
      <c r="Q27" s="19">
        <f>IFERROR(subQ!Q17/subQ!Q16,"")</f>
        <v/>
      </c>
      <c r="R27" s="19">
        <f>IFERROR(subQ!R17/subQ!R16,"")</f>
        <v/>
      </c>
      <c r="S27" s="19">
        <f>IFERROR(subQ!S17/subQ!S16,"")</f>
        <v/>
      </c>
      <c r="T27" s="19">
        <f>IFERROR(subQ!T17/subQ!T16,"")</f>
        <v/>
      </c>
      <c r="U27" s="20">
        <f>IFERROR(subQ!U17/subQ!U16,"")</f>
        <v/>
      </c>
      <c r="V27" s="19">
        <f>IFERROR(subQ!V17/subQ!V16,"")</f>
        <v/>
      </c>
      <c r="W27" s="19">
        <f>IFERROR(subQ!W17/subQ!W16,"")</f>
        <v/>
      </c>
      <c r="X27" s="19">
        <f>IFERROR(subQ!X17/subQ!X16,"")</f>
        <v/>
      </c>
      <c r="Y27" s="19">
        <f>IFERROR(subQ!Y17/subQ!Y16,"")</f>
        <v/>
      </c>
      <c r="Z27" s="20">
        <f>IFERROR(subQ!Z17/subQ!Z16,"")</f>
        <v/>
      </c>
      <c r="AA27" s="19">
        <f>IFERROR(subQ!AA17/subQ!AA16,"")</f>
        <v/>
      </c>
      <c r="AB27" s="21">
        <f>IFERROR(subQ!AB17/subQ!AB16,"")</f>
        <v/>
      </c>
      <c r="AC27" s="22" t="n">
        <v>-0</v>
      </c>
      <c r="AD27" s="22" t="n">
        <v>-0</v>
      </c>
      <c r="AE27" s="23">
        <f>IFERROR(subQ!AE17/subQ!AE16,"")</f>
        <v/>
      </c>
      <c r="AF27" s="22" t="n">
        <v>-0</v>
      </c>
      <c r="AG27" s="22" t="n">
        <v>-0</v>
      </c>
      <c r="AH27" s="22" t="n">
        <v>-0</v>
      </c>
      <c r="AI27" s="22" t="n">
        <v>-0</v>
      </c>
      <c r="AJ27" s="23">
        <f>IFERROR(subQ!AJ17/subQ!AJ16,"")</f>
        <v/>
      </c>
      <c r="AK27" s="22" t="n">
        <v>-0</v>
      </c>
      <c r="AL27" s="22" t="n">
        <v>-0</v>
      </c>
      <c r="AM27" s="22" t="n">
        <v>-0</v>
      </c>
      <c r="AN27" s="22" t="n">
        <v>-0</v>
      </c>
      <c r="AO27" s="23">
        <f>IFERROR(subQ!AO17/subQ!AO16,"")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19">
        <f>IFERROR(subQ!E19/subQ!E18,"")</f>
        <v/>
      </c>
      <c r="F28" s="20">
        <f>IFERROR(subQ!F19/subQ!F18,"")</f>
        <v/>
      </c>
      <c r="G28" s="19">
        <f>IFERROR(subQ!G19/subQ!G18,"")</f>
        <v/>
      </c>
      <c r="H28" s="19">
        <f>IFERROR(subQ!H19/subQ!H18,"")</f>
        <v/>
      </c>
      <c r="I28" s="19">
        <f>IFERROR(subQ!I19/subQ!I18,"")</f>
        <v/>
      </c>
      <c r="J28" s="19">
        <f>IFERROR(subQ!J19/subQ!J18,"")</f>
        <v/>
      </c>
      <c r="K28" s="20">
        <f>IFERROR(subQ!K19/subQ!K18,"")</f>
        <v/>
      </c>
      <c r="L28" s="19">
        <f>IFERROR(subQ!L19/subQ!L18,"")</f>
        <v/>
      </c>
      <c r="M28" s="19">
        <f>IFERROR(subQ!M19/subQ!M18,"")</f>
        <v/>
      </c>
      <c r="N28" s="19">
        <f>IFERROR(subQ!N19/subQ!N18,"")</f>
        <v/>
      </c>
      <c r="O28" s="19">
        <f>IFERROR(subQ!O19/subQ!O18,"")</f>
        <v/>
      </c>
      <c r="P28" s="20">
        <f>IFERROR(subQ!P19/subQ!P18,"")</f>
        <v/>
      </c>
      <c r="Q28" s="19">
        <f>IFERROR(subQ!Q19/subQ!Q18,"")</f>
        <v/>
      </c>
      <c r="R28" s="19">
        <f>IFERROR(subQ!R19/subQ!R18,"")</f>
        <v/>
      </c>
      <c r="S28" s="19">
        <f>IFERROR(subQ!S19/subQ!S18,"")</f>
        <v/>
      </c>
      <c r="T28" s="19">
        <f>IFERROR(subQ!T19/subQ!T18,"")</f>
        <v/>
      </c>
      <c r="U28" s="20">
        <f>IFERROR(subQ!U19/subQ!U18,"")</f>
        <v/>
      </c>
      <c r="V28" s="19">
        <f>IFERROR(subQ!V19/subQ!V18,"")</f>
        <v/>
      </c>
      <c r="W28" s="19">
        <f>IFERROR(subQ!W19/subQ!W18,"")</f>
        <v/>
      </c>
      <c r="X28" s="19">
        <f>IFERROR(subQ!X19/subQ!X18,"")</f>
        <v/>
      </c>
      <c r="Y28" s="19">
        <f>IFERROR(subQ!Y19/subQ!Y18,"")</f>
        <v/>
      </c>
      <c r="Z28" s="20">
        <f>IFERROR(subQ!Z19/subQ!Z18,"")</f>
        <v/>
      </c>
      <c r="AA28" s="19">
        <f>IFERROR(subQ!AA19/subQ!AA18,"")</f>
        <v/>
      </c>
      <c r="AB28" s="21">
        <f>IFERROR(subQ!AB19/subQ!AB18,"")</f>
        <v/>
      </c>
      <c r="AC28" s="24">
        <f>$D$52</f>
        <v/>
      </c>
      <c r="AD28" s="24">
        <f>$D$52</f>
        <v/>
      </c>
      <c r="AE28" s="23">
        <f>IFERROR(subQ!AE19/subQ!AE18,"")</f>
        <v/>
      </c>
      <c r="AF28" s="24">
        <f>$D$52</f>
        <v/>
      </c>
      <c r="AG28" s="24">
        <f>$D$52</f>
        <v/>
      </c>
      <c r="AH28" s="24">
        <f>$D$52</f>
        <v/>
      </c>
      <c r="AI28" s="24">
        <f>$D$52</f>
        <v/>
      </c>
      <c r="AJ28" s="23">
        <f>IFERROR(subQ!AJ19/subQ!AJ18,"")</f>
        <v/>
      </c>
      <c r="AK28" s="24">
        <f>$D$52</f>
        <v/>
      </c>
      <c r="AL28" s="24">
        <f>$D$52</f>
        <v/>
      </c>
      <c r="AM28" s="24">
        <f>$D$52</f>
        <v/>
      </c>
      <c r="AN28" s="24">
        <f>$D$52</f>
        <v/>
      </c>
      <c r="AO28" s="23">
        <f>IFERROR(subQ!AO19/subQ!AO18,"")</f>
        <v/>
      </c>
    </row>
    <row r="29">
      <c r="A29" s="12" t="inlineStr">
        <is>
          <t>drv:중단사업이익</t>
        </is>
      </c>
      <c r="B29" s="2" t="inlineStr">
        <is>
          <t>abs</t>
        </is>
      </c>
      <c r="C29" t="inlineStr">
        <is>
          <t>중단사업이익 (가정, 억원)</t>
        </is>
      </c>
      <c r="E29" s="25">
        <f>subQ!E20</f>
        <v/>
      </c>
      <c r="F29" s="26">
        <f>subQ!F20</f>
        <v/>
      </c>
      <c r="G29" s="25">
        <f>subQ!G20</f>
        <v/>
      </c>
      <c r="H29" s="25">
        <f>subQ!H20</f>
        <v/>
      </c>
      <c r="I29" s="25">
        <f>subQ!I20</f>
        <v/>
      </c>
      <c r="J29" s="25">
        <f>subQ!J20</f>
        <v/>
      </c>
      <c r="K29" s="26">
        <f>subQ!K20</f>
        <v/>
      </c>
      <c r="L29" s="25">
        <f>subQ!L20</f>
        <v/>
      </c>
      <c r="M29" s="25">
        <f>subQ!M20</f>
        <v/>
      </c>
      <c r="N29" s="25">
        <f>subQ!N20</f>
        <v/>
      </c>
      <c r="O29" s="25">
        <f>subQ!O20</f>
        <v/>
      </c>
      <c r="P29" s="26">
        <f>subQ!P20</f>
        <v/>
      </c>
      <c r="Q29" s="25">
        <f>subQ!Q20</f>
        <v/>
      </c>
      <c r="R29" s="25">
        <f>subQ!R20</f>
        <v/>
      </c>
      <c r="S29" s="25">
        <f>subQ!S20</f>
        <v/>
      </c>
      <c r="T29" s="25">
        <f>subQ!T20</f>
        <v/>
      </c>
      <c r="U29" s="26">
        <f>subQ!U20</f>
        <v/>
      </c>
      <c r="V29" s="25">
        <f>subQ!V20</f>
        <v/>
      </c>
      <c r="W29" s="25">
        <f>subQ!W20</f>
        <v/>
      </c>
      <c r="X29" s="25">
        <f>subQ!X20</f>
        <v/>
      </c>
      <c r="Y29" s="25">
        <f>subQ!Y20</f>
        <v/>
      </c>
      <c r="Z29" s="26">
        <f>subQ!Z20</f>
        <v/>
      </c>
      <c r="AA29" s="25">
        <f>subQ!AA20</f>
        <v/>
      </c>
      <c r="AB29" s="27">
        <f>subQ!AB20</f>
        <v/>
      </c>
      <c r="AC29" s="30" t="n"/>
      <c r="AD29" s="30" t="n"/>
      <c r="AE29" s="29">
        <f>subQ!AE20</f>
        <v/>
      </c>
      <c r="AF29" s="30" t="n"/>
      <c r="AG29" s="30" t="n"/>
      <c r="AH29" s="30" t="n"/>
      <c r="AI29" s="30" t="n"/>
      <c r="AJ29" s="29">
        <f>subQ!AJ20</f>
        <v/>
      </c>
      <c r="AK29" s="30" t="n"/>
      <c r="AL29" s="30" t="n"/>
      <c r="AM29" s="30" t="n"/>
      <c r="AN29" s="30" t="n"/>
      <c r="AO29" s="29">
        <f>subQ!AO20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19" t="n"/>
      <c r="F30" s="20" t="n"/>
      <c r="G30" s="19">
        <f>IFERROR(subQ!G22/subQ!E22-1,"")</f>
        <v/>
      </c>
      <c r="H30" s="19">
        <f>IFERROR(subQ!H22/subQ!G22-1,"")</f>
        <v/>
      </c>
      <c r="I30" s="19">
        <f>IFERROR(subQ!I22/subQ!H22-1,"")</f>
        <v/>
      </c>
      <c r="J30" s="19">
        <f>IFERROR(subQ!J22/subQ!I22-1,"")</f>
        <v/>
      </c>
      <c r="K30" s="20" t="n"/>
      <c r="L30" s="19">
        <f>IFERROR(subQ!L22/subQ!J22-1,"")</f>
        <v/>
      </c>
      <c r="M30" s="19">
        <f>IFERROR(subQ!M22/subQ!L22-1,"")</f>
        <v/>
      </c>
      <c r="N30" s="19">
        <f>IFERROR(subQ!N22/subQ!M22-1,"")</f>
        <v/>
      </c>
      <c r="O30" s="19">
        <f>IFERROR(subQ!O22/subQ!N22-1,"")</f>
        <v/>
      </c>
      <c r="P30" s="20" t="n"/>
      <c r="Q30" s="19">
        <f>IFERROR(subQ!Q22/subQ!O22-1,"")</f>
        <v/>
      </c>
      <c r="R30" s="19">
        <f>IFERROR(subQ!R22/subQ!Q22-1,"")</f>
        <v/>
      </c>
      <c r="S30" s="19">
        <f>IFERROR(subQ!S22/subQ!R22-1,"")</f>
        <v/>
      </c>
      <c r="T30" s="19">
        <f>IFERROR(subQ!T22/subQ!S22-1,"")</f>
        <v/>
      </c>
      <c r="U30" s="20" t="n"/>
      <c r="V30" s="19">
        <f>IFERROR(subQ!V22/subQ!T22-1,"")</f>
        <v/>
      </c>
      <c r="W30" s="19">
        <f>IFERROR(subQ!W22/subQ!V22-1,"")</f>
        <v/>
      </c>
      <c r="X30" s="19">
        <f>IFERROR(subQ!X22/subQ!W22-1,"")</f>
        <v/>
      </c>
      <c r="Y30" s="19">
        <f>IFERROR(subQ!Y22/subQ!X22-1,"")</f>
        <v/>
      </c>
      <c r="Z30" s="20" t="n"/>
      <c r="AA30" s="19">
        <f>IFERROR(subQ!AA22/subQ!Y22-1,"")</f>
        <v/>
      </c>
      <c r="AB30" s="21">
        <f>IFERROR(subQ!AB22/subQ!AA22-1,"")</f>
        <v/>
      </c>
      <c r="AC30" s="22" t="n">
        <v>-1.8154e-05</v>
      </c>
      <c r="AD30" s="22" t="n">
        <v>0</v>
      </c>
      <c r="AE30" s="23" t="n"/>
      <c r="AF30" s="22" t="n">
        <v>0</v>
      </c>
      <c r="AG30" s="22" t="n">
        <v>0</v>
      </c>
      <c r="AH30" s="22" t="n">
        <v>0</v>
      </c>
      <c r="AI30" s="22" t="n">
        <v>0</v>
      </c>
      <c r="AJ30" s="23" t="n"/>
      <c r="AK30" s="22" t="n">
        <v>0</v>
      </c>
      <c r="AL30" s="22" t="n">
        <v>0</v>
      </c>
      <c r="AM30" s="22" t="n">
        <v>0</v>
      </c>
      <c r="AN30" s="22" t="n">
        <v>0</v>
      </c>
      <c r="AO30" s="23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5" t="n"/>
      <c r="F31" s="26" t="n"/>
      <c r="G31" s="25">
        <f>IFERROR(subQ!E23+subQ!G18-subQ!G23,"")</f>
        <v/>
      </c>
      <c r="H31" s="25">
        <f>IFERROR(subQ!G23+subQ!H18-subQ!H23,"")</f>
        <v/>
      </c>
      <c r="I31" s="25">
        <f>IFERROR(subQ!H23+subQ!I18-subQ!I23,"")</f>
        <v/>
      </c>
      <c r="J31" s="25">
        <f>IFERROR(subQ!I23+subQ!J18-subQ!J23,"")</f>
        <v/>
      </c>
      <c r="K31" s="26" t="n"/>
      <c r="L31" s="25">
        <f>IFERROR(subQ!J23+subQ!L18-subQ!L23,"")</f>
        <v/>
      </c>
      <c r="M31" s="25">
        <f>IFERROR(subQ!L23+subQ!M18-subQ!M23,"")</f>
        <v/>
      </c>
      <c r="N31" s="25">
        <f>IFERROR(subQ!M23+subQ!N18-subQ!N23,"")</f>
        <v/>
      </c>
      <c r="O31" s="25">
        <f>IFERROR(subQ!N23+subQ!O18-subQ!O23,"")</f>
        <v/>
      </c>
      <c r="P31" s="26" t="n"/>
      <c r="Q31" s="25">
        <f>IFERROR(subQ!O23+subQ!Q18-subQ!Q23,"")</f>
        <v/>
      </c>
      <c r="R31" s="25">
        <f>IFERROR(subQ!Q23+subQ!R18-subQ!R23,"")</f>
        <v/>
      </c>
      <c r="S31" s="25">
        <f>IFERROR(subQ!R23+subQ!S18-subQ!S23,"")</f>
        <v/>
      </c>
      <c r="T31" s="25">
        <f>IFERROR(subQ!S23+subQ!T18-subQ!T23,"")</f>
        <v/>
      </c>
      <c r="U31" s="26" t="n"/>
      <c r="V31" s="25">
        <f>IFERROR(subQ!T23+subQ!V18-subQ!V23,"")</f>
        <v/>
      </c>
      <c r="W31" s="25">
        <f>IFERROR(subQ!V23+subQ!W18-subQ!W23,"")</f>
        <v/>
      </c>
      <c r="X31" s="25">
        <f>IFERROR(subQ!W23+subQ!X18-subQ!X23,"")</f>
        <v/>
      </c>
      <c r="Y31" s="25">
        <f>IFERROR(subQ!X23+subQ!Y18-subQ!Y23,"")</f>
        <v/>
      </c>
      <c r="Z31" s="26" t="n"/>
      <c r="AA31" s="25">
        <f>IFERROR(subQ!Y23+subQ!AA18-subQ!AA23,"")</f>
        <v/>
      </c>
      <c r="AB31" s="27">
        <f>IFERROR(subQ!AA23+subQ!AB18-subQ!AB23,"")</f>
        <v/>
      </c>
      <c r="AC31" s="28" t="n">
        <v>0.006608144</v>
      </c>
      <c r="AD31" s="28" t="n">
        <v>0.005593092</v>
      </c>
      <c r="AE31" s="29" t="n"/>
      <c r="AF31" s="28" t="n">
        <v>-0.005400047</v>
      </c>
      <c r="AG31" s="28" t="n">
        <v>0.003723751</v>
      </c>
      <c r="AH31" s="28" t="n">
        <v>-0.000524779</v>
      </c>
      <c r="AI31" s="28" t="n">
        <v>-0.00277102</v>
      </c>
      <c r="AJ31" s="29" t="n"/>
      <c r="AK31" s="28" t="n">
        <v>-0.001340295</v>
      </c>
      <c r="AL31" s="28" t="n">
        <v>-0.000319556</v>
      </c>
      <c r="AM31" s="28" t="n">
        <v>-0.002565808</v>
      </c>
      <c r="AN31" s="28" t="n">
        <v>0.003396439</v>
      </c>
      <c r="AO31" s="29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5" t="n"/>
      <c r="F32" s="26" t="n"/>
      <c r="G32" s="25">
        <f>IFERROR(subQ!E24+subQ!G19-subQ!G24,"")</f>
        <v/>
      </c>
      <c r="H32" s="25">
        <f>IFERROR(subQ!G24+subQ!H19-subQ!H24,"")</f>
        <v/>
      </c>
      <c r="I32" s="25">
        <f>IFERROR(subQ!H24+subQ!I19-subQ!I24,"")</f>
        <v/>
      </c>
      <c r="J32" s="25">
        <f>IFERROR(subQ!I24+subQ!J19-subQ!J24,"")</f>
        <v/>
      </c>
      <c r="K32" s="26" t="n"/>
      <c r="L32" s="25">
        <f>IFERROR(subQ!J24+subQ!L19-subQ!L24,"")</f>
        <v/>
      </c>
      <c r="M32" s="25">
        <f>IFERROR(subQ!L24+subQ!M19-subQ!M24,"")</f>
        <v/>
      </c>
      <c r="N32" s="25">
        <f>IFERROR(subQ!M24+subQ!N19-subQ!N24,"")</f>
        <v/>
      </c>
      <c r="O32" s="25">
        <f>IFERROR(subQ!N24+subQ!O19-subQ!O24,"")</f>
        <v/>
      </c>
      <c r="P32" s="26" t="n"/>
      <c r="Q32" s="25">
        <f>IFERROR(subQ!O24+subQ!Q19-subQ!Q24,"")</f>
        <v/>
      </c>
      <c r="R32" s="25">
        <f>IFERROR(subQ!Q24+subQ!R19-subQ!R24,"")</f>
        <v/>
      </c>
      <c r="S32" s="25">
        <f>IFERROR(subQ!R24+subQ!S19-subQ!S24,"")</f>
        <v/>
      </c>
      <c r="T32" s="25">
        <f>IFERROR(subQ!S24+subQ!T19-subQ!T24,"")</f>
        <v/>
      </c>
      <c r="U32" s="26" t="n"/>
      <c r="V32" s="25">
        <f>IFERROR(subQ!T24+subQ!V19-subQ!V24,"")</f>
        <v/>
      </c>
      <c r="W32" s="25">
        <f>IFERROR(subQ!V24+subQ!W19-subQ!W24,"")</f>
        <v/>
      </c>
      <c r="X32" s="25">
        <f>IFERROR(subQ!W24+subQ!X19-subQ!X24,"")</f>
        <v/>
      </c>
      <c r="Y32" s="25">
        <f>IFERROR(subQ!X24+subQ!Y19-subQ!Y24,"")</f>
        <v/>
      </c>
      <c r="Z32" s="26" t="n"/>
      <c r="AA32" s="25">
        <f>IFERROR(subQ!Y24+subQ!AA19-subQ!AA24,"")</f>
        <v/>
      </c>
      <c r="AB32" s="27">
        <f>IFERROR(subQ!AA24+subQ!AB19-subQ!AB24,"")</f>
        <v/>
      </c>
      <c r="AC32" s="28" t="n">
        <v>0.006608144</v>
      </c>
      <c r="AD32" s="28" t="n">
        <v>0.005593092</v>
      </c>
      <c r="AE32" s="29" t="n"/>
      <c r="AF32" s="28" t="n">
        <v>-0.005400047</v>
      </c>
      <c r="AG32" s="28" t="n">
        <v>0.003723751</v>
      </c>
      <c r="AH32" s="28" t="n">
        <v>-0.000524779</v>
      </c>
      <c r="AI32" s="28" t="n">
        <v>-0.00277102</v>
      </c>
      <c r="AJ32" s="29" t="n"/>
      <c r="AK32" s="28" t="n">
        <v>-0.001340295</v>
      </c>
      <c r="AL32" s="28" t="n">
        <v>-0.000319556</v>
      </c>
      <c r="AM32" s="28" t="n">
        <v>-0.002565808</v>
      </c>
      <c r="AN32" s="28" t="n">
        <v>0.003396439</v>
      </c>
      <c r="AO32" s="29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19" t="n"/>
      <c r="F33" s="20" t="n"/>
      <c r="G33" s="19">
        <f>IFERROR(subQ!G25/subQ!E25-1,"")</f>
        <v/>
      </c>
      <c r="H33" s="19">
        <f>IFERROR(subQ!H25/subQ!G25-1,"")</f>
        <v/>
      </c>
      <c r="I33" s="19">
        <f>IFERROR(subQ!I25/subQ!H25-1,"")</f>
        <v/>
      </c>
      <c r="J33" s="19">
        <f>IFERROR(subQ!J25/subQ!I25-1,"")</f>
        <v/>
      </c>
      <c r="K33" s="20" t="n"/>
      <c r="L33" s="19">
        <f>IFERROR(subQ!L25/subQ!J25-1,"")</f>
        <v/>
      </c>
      <c r="M33" s="19">
        <f>IFERROR(subQ!M25/subQ!L25-1,"")</f>
        <v/>
      </c>
      <c r="N33" s="19">
        <f>IFERROR(subQ!N25/subQ!M25-1,"")</f>
        <v/>
      </c>
      <c r="O33" s="19">
        <f>IFERROR(subQ!O25/subQ!N25-1,"")</f>
        <v/>
      </c>
      <c r="P33" s="20" t="n"/>
      <c r="Q33" s="19">
        <f>IFERROR(subQ!Q25/subQ!O25-1,"")</f>
        <v/>
      </c>
      <c r="R33" s="19">
        <f>IFERROR(subQ!R25/subQ!Q25-1,"")</f>
        <v/>
      </c>
      <c r="S33" s="19">
        <f>IFERROR(subQ!S25/subQ!R25-1,"")</f>
        <v/>
      </c>
      <c r="T33" s="19">
        <f>IFERROR(subQ!T25/subQ!S25-1,"")</f>
        <v/>
      </c>
      <c r="U33" s="20" t="n"/>
      <c r="V33" s="19">
        <f>IFERROR(subQ!V25/subQ!T25-1,"")</f>
        <v/>
      </c>
      <c r="W33" s="19">
        <f>IFERROR(subQ!W25/subQ!V25-1,"")</f>
        <v/>
      </c>
      <c r="X33" s="19">
        <f>IFERROR(subQ!X25/subQ!W25-1,"")</f>
        <v/>
      </c>
      <c r="Y33" s="19">
        <f>IFERROR(subQ!Y25/subQ!X25-1,"")</f>
        <v/>
      </c>
      <c r="Z33" s="20" t="n"/>
      <c r="AA33" s="19">
        <f>IFERROR(subQ!AA25/subQ!Y25-1,"")</f>
        <v/>
      </c>
      <c r="AB33" s="21">
        <f>IFERROR(subQ!AB25/subQ!AA25-1,"")</f>
        <v/>
      </c>
      <c r="AC33" s="22" t="n">
        <v>4.5884e-05</v>
      </c>
      <c r="AD33" s="22" t="n">
        <v>0</v>
      </c>
      <c r="AE33" s="23" t="n"/>
      <c r="AF33" s="22" t="n">
        <v>0</v>
      </c>
      <c r="AG33" s="22" t="n">
        <v>0</v>
      </c>
      <c r="AH33" s="22" t="n">
        <v>0</v>
      </c>
      <c r="AI33" s="22" t="n">
        <v>0</v>
      </c>
      <c r="AJ33" s="23" t="n"/>
      <c r="AK33" s="22" t="n">
        <v>0</v>
      </c>
      <c r="AL33" s="22" t="n">
        <v>0</v>
      </c>
      <c r="AM33" s="22" t="n">
        <v>0</v>
      </c>
      <c r="AN33" s="22" t="n">
        <v>0</v>
      </c>
      <c r="AO33" s="23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19" t="n"/>
      <c r="F34" s="20" t="n"/>
      <c r="G34" s="19">
        <f>IFERROR(subQ!G26/subQ!E26-1,"")</f>
        <v/>
      </c>
      <c r="H34" s="19">
        <f>IFERROR(subQ!H26/subQ!G26-1,"")</f>
        <v/>
      </c>
      <c r="I34" s="19">
        <f>IFERROR(subQ!I26/subQ!H26-1,"")</f>
        <v/>
      </c>
      <c r="J34" s="19">
        <f>IFERROR(subQ!J26/subQ!I26-1,"")</f>
        <v/>
      </c>
      <c r="K34" s="20" t="n"/>
      <c r="L34" s="19">
        <f>IFERROR(subQ!L26/subQ!J26-1,"")</f>
        <v/>
      </c>
      <c r="M34" s="19">
        <f>IFERROR(subQ!M26/subQ!L26-1,"")</f>
        <v/>
      </c>
      <c r="N34" s="19">
        <f>IFERROR(subQ!N26/subQ!M26-1,"")</f>
        <v/>
      </c>
      <c r="O34" s="19">
        <f>IFERROR(subQ!O26/subQ!N26-1,"")</f>
        <v/>
      </c>
      <c r="P34" s="20" t="n"/>
      <c r="Q34" s="19">
        <f>IFERROR(subQ!Q26/subQ!O26-1,"")</f>
        <v/>
      </c>
      <c r="R34" s="19">
        <f>IFERROR(subQ!R26/subQ!Q26-1,"")</f>
        <v/>
      </c>
      <c r="S34" s="19">
        <f>IFERROR(subQ!S26/subQ!R26-1,"")</f>
        <v/>
      </c>
      <c r="T34" s="19">
        <f>IFERROR(subQ!T26/subQ!S26-1,"")</f>
        <v/>
      </c>
      <c r="U34" s="20" t="n"/>
      <c r="V34" s="19">
        <f>IFERROR(subQ!V26/subQ!T26-1,"")</f>
        <v/>
      </c>
      <c r="W34" s="19">
        <f>IFERROR(subQ!W26/subQ!V26-1,"")</f>
        <v/>
      </c>
      <c r="X34" s="19">
        <f>IFERROR(subQ!X26/subQ!W26-1,"")</f>
        <v/>
      </c>
      <c r="Y34" s="19">
        <f>IFERROR(subQ!Y26/subQ!X26-1,"")</f>
        <v/>
      </c>
      <c r="Z34" s="20" t="n"/>
      <c r="AA34" s="19">
        <f>IFERROR(subQ!AA26/subQ!Y26-1,"")</f>
        <v/>
      </c>
      <c r="AB34" s="21">
        <f>IFERROR(subQ!AB26/subQ!AA26-1,"")</f>
        <v/>
      </c>
      <c r="AC34" s="22" t="n">
        <v>0.141423223</v>
      </c>
      <c r="AD34" s="22" t="n">
        <v>0.130375498</v>
      </c>
      <c r="AE34" s="23" t="n"/>
      <c r="AF34" s="22" t="n">
        <v>0.106523151</v>
      </c>
      <c r="AG34" s="22" t="n">
        <v>0.098784067</v>
      </c>
      <c r="AH34" s="22" t="n">
        <v>0.088605663</v>
      </c>
      <c r="AI34" s="22" t="n">
        <v>0.08545989900000001</v>
      </c>
      <c r="AJ34" s="23" t="n"/>
      <c r="AK34" s="22" t="n">
        <v>0.072983272</v>
      </c>
      <c r="AL34" s="22" t="n">
        <v>0.069764642</v>
      </c>
      <c r="AM34" s="22" t="n">
        <v>0.066227774</v>
      </c>
      <c r="AN34" s="22" t="n">
        <v>0.06512216999999999</v>
      </c>
      <c r="AO34" s="23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19" t="n"/>
      <c r="F35" s="20" t="n"/>
      <c r="G35" s="19">
        <f>IFERROR(subQ!G27/subQ!E27-1,"")</f>
        <v/>
      </c>
      <c r="H35" s="19">
        <f>IFERROR(subQ!H27/subQ!G27-1,"")</f>
        <v/>
      </c>
      <c r="I35" s="19">
        <f>IFERROR(subQ!I27/subQ!H27-1,"")</f>
        <v/>
      </c>
      <c r="J35" s="19">
        <f>IFERROR(subQ!J27/subQ!I27-1,"")</f>
        <v/>
      </c>
      <c r="K35" s="20" t="n"/>
      <c r="L35" s="19">
        <f>IFERROR(subQ!L27/subQ!J27-1,"")</f>
        <v/>
      </c>
      <c r="M35" s="19">
        <f>IFERROR(subQ!M27/subQ!L27-1,"")</f>
        <v/>
      </c>
      <c r="N35" s="19">
        <f>IFERROR(subQ!N27/subQ!M27-1,"")</f>
        <v/>
      </c>
      <c r="O35" s="19">
        <f>IFERROR(subQ!O27/subQ!N27-1,"")</f>
        <v/>
      </c>
      <c r="P35" s="20" t="n"/>
      <c r="Q35" s="19">
        <f>IFERROR(subQ!Q27/subQ!O27-1,"")</f>
        <v/>
      </c>
      <c r="R35" s="19">
        <f>IFERROR(subQ!R27/subQ!Q27-1,"")</f>
        <v/>
      </c>
      <c r="S35" s="19">
        <f>IFERROR(subQ!S27/subQ!R27-1,"")</f>
        <v/>
      </c>
      <c r="T35" s="19">
        <f>IFERROR(subQ!T27/subQ!S27-1,"")</f>
        <v/>
      </c>
      <c r="U35" s="20" t="n"/>
      <c r="V35" s="19">
        <f>IFERROR(subQ!V27/subQ!T27-1,"")</f>
        <v/>
      </c>
      <c r="W35" s="19">
        <f>IFERROR(subQ!W27/subQ!V27-1,"")</f>
        <v/>
      </c>
      <c r="X35" s="19">
        <f>IFERROR(subQ!X27/subQ!W27-1,"")</f>
        <v/>
      </c>
      <c r="Y35" s="19">
        <f>IFERROR(subQ!Y27/subQ!X27-1,"")</f>
        <v/>
      </c>
      <c r="Z35" s="20" t="n"/>
      <c r="AA35" s="19">
        <f>IFERROR(subQ!AA27/subQ!Y27-1,"")</f>
        <v/>
      </c>
      <c r="AB35" s="21">
        <f>IFERROR(subQ!AB27/subQ!AA27-1,"")</f>
        <v/>
      </c>
      <c r="AC35" s="22" t="n">
        <v>-0.894050961</v>
      </c>
      <c r="AD35" s="22" t="n">
        <v>-8.878571429000001</v>
      </c>
      <c r="AE35" s="23" t="n"/>
      <c r="AF35" s="22" t="n">
        <v>1.039891206</v>
      </c>
      <c r="AG35" s="22" t="n">
        <v>0.524</v>
      </c>
      <c r="AH35" s="22" t="n">
        <v>0.338291047</v>
      </c>
      <c r="AI35" s="22" t="n">
        <v>0.265853127</v>
      </c>
      <c r="AJ35" s="23" t="n"/>
      <c r="AK35" s="22" t="n">
        <v>0.194353589</v>
      </c>
      <c r="AL35" s="22" t="n">
        <v>0.167195157</v>
      </c>
      <c r="AM35" s="22" t="n">
        <v>0.14534453</v>
      </c>
      <c r="AN35" s="22" t="n">
        <v>0.132938005</v>
      </c>
      <c r="AO35" s="23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19" t="n"/>
      <c r="F36" s="20" t="n"/>
      <c r="G36" s="19">
        <f>IFERROR(subQ!G28/subQ!E28-1,"")</f>
        <v/>
      </c>
      <c r="H36" s="19">
        <f>IFERROR(subQ!H28/subQ!G28-1,"")</f>
        <v/>
      </c>
      <c r="I36" s="19">
        <f>IFERROR(subQ!I28/subQ!H28-1,"")</f>
        <v/>
      </c>
      <c r="J36" s="19">
        <f>IFERROR(subQ!J28/subQ!I28-1,"")</f>
        <v/>
      </c>
      <c r="K36" s="20" t="n"/>
      <c r="L36" s="19">
        <f>IFERROR(subQ!L28/subQ!J28-1,"")</f>
        <v/>
      </c>
      <c r="M36" s="19">
        <f>IFERROR(subQ!M28/subQ!L28-1,"")</f>
        <v/>
      </c>
      <c r="N36" s="19">
        <f>IFERROR(subQ!N28/subQ!M28-1,"")</f>
        <v/>
      </c>
      <c r="O36" s="19">
        <f>IFERROR(subQ!O28/subQ!N28-1,"")</f>
        <v/>
      </c>
      <c r="P36" s="20" t="n"/>
      <c r="Q36" s="19">
        <f>IFERROR(subQ!Q28/subQ!O28-1,"")</f>
        <v/>
      </c>
      <c r="R36" s="19">
        <f>IFERROR(subQ!R28/subQ!Q28-1,"")</f>
        <v/>
      </c>
      <c r="S36" s="19">
        <f>IFERROR(subQ!S28/subQ!R28-1,"")</f>
        <v/>
      </c>
      <c r="T36" s="19">
        <f>IFERROR(subQ!T28/subQ!S28-1,"")</f>
        <v/>
      </c>
      <c r="U36" s="20" t="n"/>
      <c r="V36" s="19">
        <f>IFERROR(subQ!V28/subQ!T28-1,"")</f>
        <v/>
      </c>
      <c r="W36" s="19">
        <f>IFERROR(subQ!W28/subQ!V28-1,"")</f>
        <v/>
      </c>
      <c r="X36" s="19">
        <f>IFERROR(subQ!X28/subQ!W28-1,"")</f>
        <v/>
      </c>
      <c r="Y36" s="19">
        <f>IFERROR(subQ!Y28/subQ!X28-1,"")</f>
        <v/>
      </c>
      <c r="Z36" s="20" t="n"/>
      <c r="AA36" s="19">
        <f>IFERROR(subQ!AA28/subQ!Y28-1,"")</f>
        <v/>
      </c>
      <c r="AB36" s="21">
        <f>IFERROR(subQ!AB28/subQ!AA28-1,"")</f>
        <v/>
      </c>
      <c r="AC36" s="31" t="n"/>
      <c r="AD36" s="31" t="n"/>
      <c r="AE36" s="23" t="n"/>
      <c r="AF36" s="31" t="n"/>
      <c r="AG36" s="31" t="n"/>
      <c r="AH36" s="31" t="n"/>
      <c r="AI36" s="31" t="n"/>
      <c r="AJ36" s="23" t="n"/>
      <c r="AK36" s="31" t="n"/>
      <c r="AL36" s="31" t="n"/>
      <c r="AM36" s="31" t="n"/>
      <c r="AN36" s="31" t="n"/>
      <c r="AO36" s="23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19" t="n"/>
      <c r="F37" s="20" t="n"/>
      <c r="G37" s="19" t="n"/>
      <c r="H37" s="19" t="n"/>
      <c r="I37" s="19" t="n"/>
      <c r="J37" s="19">
        <f>IFERROR(subQ!J29/subQ!E29-1,"")</f>
        <v/>
      </c>
      <c r="K37" s="20" t="n"/>
      <c r="L37" s="19">
        <f>IFERROR(subQ!L29/subQ!G29-1,"")</f>
        <v/>
      </c>
      <c r="M37" s="19">
        <f>IFERROR(subQ!M29/subQ!H29-1,"")</f>
        <v/>
      </c>
      <c r="N37" s="19">
        <f>IFERROR(subQ!N29/subQ!I29-1,"")</f>
        <v/>
      </c>
      <c r="O37" s="19">
        <f>IFERROR(subQ!O29/subQ!J29-1,"")</f>
        <v/>
      </c>
      <c r="P37" s="20" t="n"/>
      <c r="Q37" s="19">
        <f>IFERROR(subQ!Q29/subQ!L29-1,"")</f>
        <v/>
      </c>
      <c r="R37" s="19">
        <f>IFERROR(subQ!R29/subQ!M29-1,"")</f>
        <v/>
      </c>
      <c r="S37" s="19">
        <f>IFERROR(subQ!S29/subQ!N29-1,"")</f>
        <v/>
      </c>
      <c r="T37" s="19">
        <f>IFERROR(subQ!T29/subQ!O29-1,"")</f>
        <v/>
      </c>
      <c r="U37" s="20" t="n"/>
      <c r="V37" s="19">
        <f>IFERROR(subQ!V29/subQ!Q29-1,"")</f>
        <v/>
      </c>
      <c r="W37" s="19">
        <f>IFERROR(subQ!W29/subQ!R29-1,"")</f>
        <v/>
      </c>
      <c r="X37" s="19">
        <f>IFERROR(subQ!X29/subQ!S29-1,"")</f>
        <v/>
      </c>
      <c r="Y37" s="19">
        <f>IFERROR(subQ!Y29/subQ!T29-1,"")</f>
        <v/>
      </c>
      <c r="Z37" s="20" t="n"/>
      <c r="AA37" s="19">
        <f>IFERROR(subQ!AA29/subQ!V29-1,"")</f>
        <v/>
      </c>
      <c r="AB37" s="21">
        <f>IFERROR(subQ!AB29/subQ!W29-1,"")</f>
        <v/>
      </c>
      <c r="AC37" s="22" t="n">
        <v>-0.356152062</v>
      </c>
      <c r="AD37" s="22" t="n">
        <v>2.441295547</v>
      </c>
      <c r="AE37" s="23" t="n"/>
      <c r="AF37" s="22" t="n">
        <v>1.23316913</v>
      </c>
      <c r="AG37" s="22" t="n">
        <v>-0.437481904</v>
      </c>
      <c r="AH37" s="22" t="n">
        <v>0</v>
      </c>
      <c r="AI37" s="22" t="n">
        <v>0</v>
      </c>
      <c r="AJ37" s="23" t="n"/>
      <c r="AK37" s="22" t="n">
        <v>0</v>
      </c>
      <c r="AL37" s="22" t="n">
        <v>0</v>
      </c>
      <c r="AM37" s="22" t="n">
        <v>0</v>
      </c>
      <c r="AN37" s="22" t="n">
        <v>0</v>
      </c>
      <c r="AO37" s="23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19" t="n"/>
      <c r="F38" s="20" t="n"/>
      <c r="G38" s="19" t="n"/>
      <c r="H38" s="19" t="n"/>
      <c r="I38" s="19" t="n"/>
      <c r="J38" s="19">
        <f>IFERROR(subQ!J30/subQ!E30-1,"")</f>
        <v/>
      </c>
      <c r="K38" s="20" t="n"/>
      <c r="L38" s="19">
        <f>IFERROR(subQ!L30/subQ!G30-1,"")</f>
        <v/>
      </c>
      <c r="M38" s="19">
        <f>IFERROR(subQ!M30/subQ!H30-1,"")</f>
        <v/>
      </c>
      <c r="N38" s="19">
        <f>IFERROR(subQ!N30/subQ!I30-1,"")</f>
        <v/>
      </c>
      <c r="O38" s="19">
        <f>IFERROR(subQ!O30/subQ!J30-1,"")</f>
        <v/>
      </c>
      <c r="P38" s="20" t="n"/>
      <c r="Q38" s="19">
        <f>IFERROR(subQ!Q30/subQ!L30-1,"")</f>
        <v/>
      </c>
      <c r="R38" s="19">
        <f>IFERROR(subQ!R30/subQ!M30-1,"")</f>
        <v/>
      </c>
      <c r="S38" s="19">
        <f>IFERROR(subQ!S30/subQ!N30-1,"")</f>
        <v/>
      </c>
      <c r="T38" s="19">
        <f>IFERROR(subQ!T30/subQ!O30-1,"")</f>
        <v/>
      </c>
      <c r="U38" s="20" t="n"/>
      <c r="V38" s="19">
        <f>IFERROR(subQ!V30/subQ!Q30-1,"")</f>
        <v/>
      </c>
      <c r="W38" s="19">
        <f>IFERROR(subQ!W30/subQ!R30-1,"")</f>
        <v/>
      </c>
      <c r="X38" s="19">
        <f>IFERROR(subQ!X30/subQ!S30-1,"")</f>
        <v/>
      </c>
      <c r="Y38" s="19">
        <f>IFERROR(subQ!Y30/subQ!T30-1,"")</f>
        <v/>
      </c>
      <c r="Z38" s="20" t="n"/>
      <c r="AA38" s="19">
        <f>IFERROR(subQ!AA30/subQ!V30-1,"")</f>
        <v/>
      </c>
      <c r="AB38" s="21">
        <f>IFERROR(subQ!AB30/subQ!W30-1,"")</f>
        <v/>
      </c>
      <c r="AC38" s="31" t="n"/>
      <c r="AD38" s="31" t="n"/>
      <c r="AE38" s="23" t="n"/>
      <c r="AF38" s="31" t="n"/>
      <c r="AG38" s="31" t="n"/>
      <c r="AH38" s="31" t="n"/>
      <c r="AI38" s="31" t="n"/>
      <c r="AJ38" s="23" t="n"/>
      <c r="AK38" s="31" t="n"/>
      <c r="AL38" s="31" t="n"/>
      <c r="AM38" s="31" t="n"/>
      <c r="AN38" s="31" t="n"/>
      <c r="AO38" s="23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19" t="n"/>
      <c r="F39" s="20" t="n"/>
      <c r="G39" s="19">
        <f>IFERROR(subQ!G31/subQ!E31-1,"")</f>
        <v/>
      </c>
      <c r="H39" s="19">
        <f>IFERROR(subQ!H31/subQ!G31-1,"")</f>
        <v/>
      </c>
      <c r="I39" s="19">
        <f>IFERROR(subQ!I31/subQ!H31-1,"")</f>
        <v/>
      </c>
      <c r="J39" s="19">
        <f>IFERROR(subQ!J31/subQ!I31-1,"")</f>
        <v/>
      </c>
      <c r="K39" s="20" t="n"/>
      <c r="L39" s="19">
        <f>IFERROR(subQ!L31/subQ!J31-1,"")</f>
        <v/>
      </c>
      <c r="M39" s="19">
        <f>IFERROR(subQ!M31/subQ!L31-1,"")</f>
        <v/>
      </c>
      <c r="N39" s="19">
        <f>IFERROR(subQ!N31/subQ!M31-1,"")</f>
        <v/>
      </c>
      <c r="O39" s="19">
        <f>IFERROR(subQ!O31/subQ!N31-1,"")</f>
        <v/>
      </c>
      <c r="P39" s="20" t="n"/>
      <c r="Q39" s="19">
        <f>IFERROR(subQ!Q31/subQ!O31-1,"")</f>
        <v/>
      </c>
      <c r="R39" s="19">
        <f>IFERROR(subQ!R31/subQ!Q31-1,"")</f>
        <v/>
      </c>
      <c r="S39" s="19">
        <f>IFERROR(subQ!S31/subQ!R31-1,"")</f>
        <v/>
      </c>
      <c r="T39" s="19">
        <f>IFERROR(subQ!T31/subQ!S31-1,"")</f>
        <v/>
      </c>
      <c r="U39" s="20" t="n"/>
      <c r="V39" s="19">
        <f>IFERROR(subQ!V31/subQ!T31-1,"")</f>
        <v/>
      </c>
      <c r="W39" s="19">
        <f>IFERROR(subQ!W31/subQ!V31-1,"")</f>
        <v/>
      </c>
      <c r="X39" s="19">
        <f>IFERROR(subQ!X31/subQ!W31-1,"")</f>
        <v/>
      </c>
      <c r="Y39" s="19">
        <f>IFERROR(subQ!Y31/subQ!X31-1,"")</f>
        <v/>
      </c>
      <c r="Z39" s="20" t="n"/>
      <c r="AA39" s="19">
        <f>IFERROR(subQ!AA31/subQ!Y31-1,"")</f>
        <v/>
      </c>
      <c r="AB39" s="21">
        <f>IFERROR(subQ!AB31/subQ!AA31-1,"")</f>
        <v/>
      </c>
      <c r="AC39" s="22" t="n">
        <v>0</v>
      </c>
      <c r="AD39" s="22" t="n">
        <v>0</v>
      </c>
      <c r="AE39" s="23" t="n"/>
      <c r="AF39" s="22" t="n">
        <v>0</v>
      </c>
      <c r="AG39" s="22" t="n">
        <v>0</v>
      </c>
      <c r="AH39" s="22" t="n">
        <v>0</v>
      </c>
      <c r="AI39" s="22" t="n">
        <v>0</v>
      </c>
      <c r="AJ39" s="23" t="n"/>
      <c r="AK39" s="22" t="n">
        <v>0</v>
      </c>
      <c r="AL39" s="22" t="n">
        <v>0</v>
      </c>
      <c r="AM39" s="22" t="n">
        <v>0</v>
      </c>
      <c r="AN39" s="22" t="n">
        <v>0</v>
      </c>
      <c r="AO39" s="23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5">
        <f>subQ!E34</f>
        <v/>
      </c>
      <c r="F40" s="26">
        <f>subQ!F34</f>
        <v/>
      </c>
      <c r="G40" s="25">
        <f>subQ!G34</f>
        <v/>
      </c>
      <c r="H40" s="25">
        <f>subQ!H34</f>
        <v/>
      </c>
      <c r="I40" s="25">
        <f>subQ!I34</f>
        <v/>
      </c>
      <c r="J40" s="25">
        <f>subQ!J34</f>
        <v/>
      </c>
      <c r="K40" s="26">
        <f>subQ!K34</f>
        <v/>
      </c>
      <c r="L40" s="25">
        <f>subQ!L34</f>
        <v/>
      </c>
      <c r="M40" s="25">
        <f>subQ!M34</f>
        <v/>
      </c>
      <c r="N40" s="25">
        <f>subQ!N34</f>
        <v/>
      </c>
      <c r="O40" s="25">
        <f>subQ!O34</f>
        <v/>
      </c>
      <c r="P40" s="26">
        <f>subQ!P34</f>
        <v/>
      </c>
      <c r="Q40" s="25">
        <f>subQ!Q34</f>
        <v/>
      </c>
      <c r="R40" s="25">
        <f>subQ!R34</f>
        <v/>
      </c>
      <c r="S40" s="25">
        <f>subQ!S34</f>
        <v/>
      </c>
      <c r="T40" s="25">
        <f>subQ!T34</f>
        <v/>
      </c>
      <c r="U40" s="26">
        <f>subQ!U34</f>
        <v/>
      </c>
      <c r="V40" s="25">
        <f>subQ!V34</f>
        <v/>
      </c>
      <c r="W40" s="25">
        <f>subQ!W34</f>
        <v/>
      </c>
      <c r="X40" s="25">
        <f>subQ!X34</f>
        <v/>
      </c>
      <c r="Y40" s="25">
        <f>subQ!Y34</f>
        <v/>
      </c>
      <c r="Z40" s="26">
        <f>subQ!Z34</f>
        <v/>
      </c>
      <c r="AA40" s="25">
        <f>subQ!AA34</f>
        <v/>
      </c>
      <c r="AB40" s="27">
        <f>subQ!AB34</f>
        <v/>
      </c>
      <c r="AC40" s="30" t="n"/>
      <c r="AD40" s="28" t="n">
        <v>0</v>
      </c>
      <c r="AE40" s="29">
        <f>subQ!AE34</f>
        <v/>
      </c>
      <c r="AF40" s="30" t="n"/>
      <c r="AG40" s="30" t="n"/>
      <c r="AH40" s="30" t="n"/>
      <c r="AI40" s="28" t="n">
        <v>0</v>
      </c>
      <c r="AJ40" s="29">
        <f>subQ!AJ34</f>
        <v/>
      </c>
      <c r="AK40" s="30" t="n"/>
      <c r="AL40" s="30" t="n"/>
      <c r="AM40" s="30" t="n"/>
      <c r="AN40" s="28" t="n">
        <v>0</v>
      </c>
      <c r="AO40" s="29">
        <f>subQ!AO34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2" t="n">
        <v>2295</v>
      </c>
      <c r="E43" s="2" t="inlineStr">
        <is>
          <t>원 — 네이버 정규장 종가(aik 확정종가 대조 · aik 2,295원)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3" t="inlineStr">
        <is>
          <t>20261008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2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28" t="n">
        <v>10</v>
      </c>
      <c r="E46" s="2" t="inlineStr">
        <is>
          <t>PER 밴드 하단(배) — sector_default(레퍼런스 TP_PE PB 예시 10/15/20배; 과거 양(+)EPS 분기 0개 &lt; 4)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28" t="n">
        <v>15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28" t="n">
        <v>20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2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4" t="n">
        <v>0.22</v>
      </c>
      <c r="E50" s="2" t="inlineStr">
        <is>
          <t>참고(연결 안 됨: MAX(세전,0)×단일 세율로 재현 불가(지주 자회사 합산 등) → 분기별 역산) — 모델 assumptions 값 · 최근 12분기 세전 합 ≤ 0; 최근 8분기에 세전 &gt; 0 분기 없음 → 법정세율 근사 22% 가정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4" t="n">
        <v>0.2310254794273882</v>
      </c>
      <c r="E51" s="2" t="inlineStr">
        <is>
          <t>연결 — 판관비 = 매출액 × 판관비율(역산, 재현 오차 ≤ 0.05억 · 모델 assumptions 0.2311)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4" t="n">
        <v>1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4" t="n">
        <v>0.04215386701160923</v>
      </c>
      <c r="E53" s="2" t="inlineStr">
        <is>
          <t>연결 — 이자손익 = (전분기 이자발생자산 × 자산이자율 − 전분기 총차입금 × 부채이자율)/4(역산, 재현 오차 ≤ 0.05억 · 모델 assumptions 0.0421)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4" t="n">
        <v>0.1176075647842742</v>
      </c>
      <c r="E54" s="2" t="inlineStr">
        <is>
          <t>연결 — 같은 수식의 부채 쪽(총차입금 행이 없으면 0)(역산, 재현 오차 ≤ 0.05억 · 모델 assumptions 0.1176)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2" t="n"/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28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2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메디콕스(연)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26272.5</v>
      </c>
      <c r="F5" s="35" t="n">
        <v>26272.5</v>
      </c>
      <c r="G5" s="18" t="n">
        <v>25703.45</v>
      </c>
      <c r="H5" s="18" t="n">
        <v>26466.24</v>
      </c>
      <c r="I5" s="18" t="n">
        <v>32117.9</v>
      </c>
      <c r="J5" s="18" t="n">
        <v>43389.2</v>
      </c>
      <c r="K5" s="35" t="n">
        <v>43389.2</v>
      </c>
      <c r="L5" s="18" t="n">
        <v>42227.6</v>
      </c>
      <c r="M5" s="18" t="n">
        <v>51848.17</v>
      </c>
      <c r="N5" s="18" t="n">
        <v>38767.23</v>
      </c>
      <c r="O5" s="18" t="n">
        <v>30036.83</v>
      </c>
      <c r="P5" s="35" t="n">
        <v>30036.83</v>
      </c>
      <c r="Q5" s="18" t="n">
        <v>26330.28</v>
      </c>
      <c r="R5" s="18" t="n">
        <v>20475.61</v>
      </c>
      <c r="S5" s="18" t="n">
        <v>17267.64</v>
      </c>
      <c r="T5" s="18" t="n">
        <v>13255.67</v>
      </c>
      <c r="U5" s="35" t="n">
        <v>13255.67</v>
      </c>
      <c r="V5" s="18" t="n">
        <v>16443.99</v>
      </c>
      <c r="W5" s="18" t="n">
        <v>12188.47</v>
      </c>
      <c r="X5" s="18" t="n">
        <v>9412.370000000001</v>
      </c>
      <c r="Y5" s="18" t="n">
        <v>7493.7</v>
      </c>
      <c r="Z5" s="35" t="n">
        <v>7493.7</v>
      </c>
      <c r="AA5" s="18" t="n">
        <v>8879.120000000001</v>
      </c>
      <c r="AB5" s="36" t="n">
        <v>8317.049999999999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4191.05</v>
      </c>
      <c r="F6" s="35" t="n">
        <v>4191.05</v>
      </c>
      <c r="G6" s="18" t="n">
        <v>6343.7</v>
      </c>
      <c r="H6" s="18" t="n">
        <v>1677.26</v>
      </c>
      <c r="I6" s="18" t="n">
        <v>3218.69</v>
      </c>
      <c r="J6" s="18" t="n">
        <v>2979.33</v>
      </c>
      <c r="K6" s="35" t="n">
        <v>2979.33</v>
      </c>
      <c r="L6" s="18" t="n">
        <v>1884.8</v>
      </c>
      <c r="M6" s="18" t="n">
        <v>7374.47</v>
      </c>
      <c r="N6" s="18" t="n">
        <v>2140.85</v>
      </c>
      <c r="O6" s="18" t="n">
        <v>1809.98</v>
      </c>
      <c r="P6" s="35" t="n">
        <v>1809.98</v>
      </c>
      <c r="Q6" s="18" t="n">
        <v>4506.62</v>
      </c>
      <c r="R6" s="18" t="n">
        <v>1017.41</v>
      </c>
      <c r="S6" s="18" t="n">
        <v>435.9</v>
      </c>
      <c r="T6" s="18" t="n">
        <v>1228.46</v>
      </c>
      <c r="U6" s="35" t="n">
        <v>1228.46</v>
      </c>
      <c r="V6" s="18" t="n">
        <v>4618.99</v>
      </c>
      <c r="W6" s="18" t="n">
        <v>588.85</v>
      </c>
      <c r="X6" s="18" t="n">
        <v>585</v>
      </c>
      <c r="Y6" s="18" t="n">
        <v>376.6</v>
      </c>
      <c r="Z6" s="35" t="n">
        <v>376.6</v>
      </c>
      <c r="AA6" s="18" t="n">
        <v>35.59</v>
      </c>
      <c r="AB6" s="36" t="n">
        <v>40.2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300</v>
      </c>
      <c r="F7" s="35" t="n">
        <v>300</v>
      </c>
      <c r="G7" s="18" t="n">
        <v>300</v>
      </c>
      <c r="H7" s="18" t="n">
        <v>300</v>
      </c>
      <c r="I7" s="18" t="n">
        <v>300</v>
      </c>
      <c r="J7" s="18" t="n">
        <v>1800</v>
      </c>
      <c r="K7" s="35" t="n">
        <v>1800</v>
      </c>
      <c r="L7" s="18" t="n">
        <v>1800</v>
      </c>
      <c r="M7" s="18" t="n">
        <v>1800</v>
      </c>
      <c r="N7" s="18" t="n">
        <v>1800</v>
      </c>
      <c r="O7" s="18" t="n">
        <v>300</v>
      </c>
      <c r="P7" s="35" t="n">
        <v>300</v>
      </c>
      <c r="Q7" s="18" t="n">
        <v>300</v>
      </c>
      <c r="R7" s="18" t="n">
        <v>2803.82</v>
      </c>
      <c r="S7" s="18" t="n">
        <v>2809.74</v>
      </c>
      <c r="T7" s="18" t="n">
        <v>3015.02</v>
      </c>
      <c r="U7" s="35" t="n">
        <v>3015.02</v>
      </c>
      <c r="V7" s="18" t="n">
        <v>2833.56</v>
      </c>
      <c r="W7" s="18" t="n">
        <v>1415.55</v>
      </c>
      <c r="X7" s="18" t="n">
        <v>50</v>
      </c>
      <c r="Y7" s="18" t="n">
        <v>100</v>
      </c>
      <c r="Z7" s="35" t="n">
        <v>100</v>
      </c>
      <c r="AA7" s="18" t="n">
        <v>100</v>
      </c>
      <c r="AB7" s="36" t="n">
        <v>106.68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4011.57</v>
      </c>
      <c r="F8" s="35" t="n">
        <v>4011.57</v>
      </c>
      <c r="G8" s="18" t="n">
        <v>4011.57</v>
      </c>
      <c r="H8" s="18" t="n">
        <v>3010.05</v>
      </c>
      <c r="I8" s="18" t="n">
        <v>890.9299999999999</v>
      </c>
      <c r="J8" s="18" t="n">
        <v>10344.72</v>
      </c>
      <c r="K8" s="35" t="n">
        <v>10344.72</v>
      </c>
      <c r="L8" s="18" t="n">
        <v>10344.72</v>
      </c>
      <c r="M8" s="18" t="n">
        <v>8182.91</v>
      </c>
      <c r="N8" s="18" t="n">
        <v>4324.13</v>
      </c>
      <c r="O8" s="18" t="n">
        <v>4664.26</v>
      </c>
      <c r="P8" s="35" t="n">
        <v>4664.26</v>
      </c>
      <c r="Q8" s="18" t="n">
        <v>300</v>
      </c>
      <c r="R8" s="18" t="n">
        <v>2803.82</v>
      </c>
      <c r="S8" s="18" t="n">
        <v>2809.74</v>
      </c>
      <c r="T8" s="18" t="n">
        <v>3015.02</v>
      </c>
      <c r="U8" s="35" t="n">
        <v>3015.02</v>
      </c>
      <c r="V8" s="18" t="n">
        <v>2833.56</v>
      </c>
      <c r="W8" s="18" t="n">
        <v>1415.55</v>
      </c>
      <c r="X8" s="18" t="n">
        <v>50</v>
      </c>
      <c r="Y8" s="18" t="n">
        <v>100</v>
      </c>
      <c r="Z8" s="35" t="n">
        <v>100</v>
      </c>
      <c r="AA8" s="18" t="n">
        <v>100</v>
      </c>
      <c r="AB8" s="36" t="n">
        <v>106.68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2653.92</v>
      </c>
      <c r="F9" s="35" t="n">
        <v>2653.92</v>
      </c>
      <c r="G9" s="18" t="n">
        <v>2870.06</v>
      </c>
      <c r="H9" s="18" t="n">
        <v>2355</v>
      </c>
      <c r="I9" s="18" t="n">
        <v>4230.06</v>
      </c>
      <c r="J9" s="18" t="n">
        <v>6508.25</v>
      </c>
      <c r="K9" s="35" t="n">
        <v>6508.25</v>
      </c>
      <c r="L9" s="18" t="n">
        <v>5690.23</v>
      </c>
      <c r="M9" s="18" t="n">
        <v>4483.85</v>
      </c>
      <c r="N9" s="18" t="n">
        <v>4204.54</v>
      </c>
      <c r="O9" s="18" t="n">
        <v>5082.8</v>
      </c>
      <c r="P9" s="35" t="n">
        <v>5082.8</v>
      </c>
      <c r="Q9" s="18" t="n">
        <v>5441.03</v>
      </c>
      <c r="R9" s="18" t="n">
        <v>3865.23</v>
      </c>
      <c r="S9" s="18" t="n">
        <v>3895.13</v>
      </c>
      <c r="T9" s="18" t="n">
        <v>5271.27</v>
      </c>
      <c r="U9" s="35" t="n">
        <v>5271.27</v>
      </c>
      <c r="V9" s="18" t="n">
        <v>5233.61</v>
      </c>
      <c r="W9" s="18" t="n">
        <v>5004.16</v>
      </c>
      <c r="X9" s="18" t="n">
        <v>3042.81</v>
      </c>
      <c r="Y9" s="18" t="n">
        <v>2558.08</v>
      </c>
      <c r="Z9" s="35" t="n">
        <v>2558.08</v>
      </c>
      <c r="AA9" s="18" t="n">
        <v>4180.9</v>
      </c>
      <c r="AB9" s="36" t="n">
        <v>3987.68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기타유동금융자산</t>
        </is>
      </c>
      <c r="E10" s="18" t="n">
        <v>14250.75</v>
      </c>
      <c r="F10" s="35" t="n">
        <v>14250.75</v>
      </c>
      <c r="G10" s="18" t="n">
        <v>11450.75</v>
      </c>
      <c r="H10" s="18" t="n">
        <v>11452.33</v>
      </c>
      <c r="I10" s="18" t="n">
        <v>13745.49</v>
      </c>
      <c r="J10" s="18" t="n">
        <v>19988.79</v>
      </c>
      <c r="K10" s="35" t="n">
        <v>19988.79</v>
      </c>
      <c r="L10" s="18" t="n">
        <v>21894.39</v>
      </c>
      <c r="M10" s="18" t="n">
        <v>22134.87</v>
      </c>
      <c r="N10" s="18" t="n">
        <v>22945.92</v>
      </c>
      <c r="O10" s="18" t="n">
        <v>15578.98</v>
      </c>
      <c r="P10" s="35" t="n">
        <v>15578.98</v>
      </c>
      <c r="Q10" s="18" t="n">
        <v>13479.55</v>
      </c>
      <c r="R10" s="18" t="n">
        <v>10091.9</v>
      </c>
      <c r="S10" s="18" t="n">
        <v>7651.64</v>
      </c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18" t="n">
        <v>3711.57</v>
      </c>
      <c r="F11" s="35" t="n">
        <v>3711.57</v>
      </c>
      <c r="G11" s="18" t="n">
        <v>3711.57</v>
      </c>
      <c r="H11" s="18" t="n">
        <v>2710.05</v>
      </c>
      <c r="I11" s="18" t="n">
        <v>590.9299999999999</v>
      </c>
      <c r="J11" s="18" t="n">
        <v>8544.719999999999</v>
      </c>
      <c r="K11" s="35" t="n">
        <v>8544.719999999999</v>
      </c>
      <c r="L11" s="18" t="n">
        <v>8544.719999999999</v>
      </c>
      <c r="M11" s="18" t="n">
        <v>6382.91</v>
      </c>
      <c r="N11" s="18" t="n">
        <v>2524.13</v>
      </c>
      <c r="O11" s="18" t="n">
        <v>4364.26</v>
      </c>
      <c r="P11" s="35" t="n">
        <v>4364.26</v>
      </c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918.5599999999999</v>
      </c>
      <c r="F12" s="35" t="n">
        <v>918.5599999999999</v>
      </c>
      <c r="G12" s="18" t="n">
        <v>808.4400000000001</v>
      </c>
      <c r="H12" s="18" t="n">
        <v>1732.74</v>
      </c>
      <c r="I12" s="18" t="n">
        <v>1382.07</v>
      </c>
      <c r="J12" s="18" t="n">
        <v>1437.6</v>
      </c>
      <c r="K12" s="35" t="n">
        <v>1437.6</v>
      </c>
      <c r="L12" s="18" t="n">
        <v>1853.22</v>
      </c>
      <c r="M12" s="18" t="n">
        <v>1811.1</v>
      </c>
      <c r="N12" s="18" t="n">
        <v>2318.89</v>
      </c>
      <c r="O12" s="18" t="n">
        <v>1772.09</v>
      </c>
      <c r="P12" s="35" t="n">
        <v>1772.09</v>
      </c>
      <c r="Q12" s="18" t="n">
        <v>1795.61</v>
      </c>
      <c r="R12" s="18" t="n">
        <v>1837.04</v>
      </c>
      <c r="S12" s="18" t="n">
        <v>2076.32</v>
      </c>
      <c r="T12" s="18" t="n">
        <v>1053.93</v>
      </c>
      <c r="U12" s="35" t="n">
        <v>1053.93</v>
      </c>
      <c r="V12" s="18" t="n">
        <v>1212.42</v>
      </c>
      <c r="W12" s="18" t="n">
        <v>1115.09</v>
      </c>
      <c r="X12" s="18" t="n">
        <v>1288.83</v>
      </c>
      <c r="Y12" s="18" t="n">
        <v>1178.42</v>
      </c>
      <c r="Z12" s="35" t="n">
        <v>1178.42</v>
      </c>
      <c r="AA12" s="18" t="n">
        <v>1188.2</v>
      </c>
      <c r="AB12" s="36" t="n">
        <v>802.91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235.63</v>
      </c>
      <c r="F13" s="35" t="n">
        <v>235.63</v>
      </c>
      <c r="G13" s="18" t="n">
        <v>204.42</v>
      </c>
      <c r="H13" s="18" t="n">
        <v>1214.7</v>
      </c>
      <c r="I13" s="18" t="n">
        <v>3614.26</v>
      </c>
      <c r="J13" s="18" t="n">
        <v>558.77</v>
      </c>
      <c r="K13" s="35" t="n">
        <v>558.77</v>
      </c>
      <c r="L13" s="18" t="n">
        <v>463.12</v>
      </c>
      <c r="M13" s="18" t="n">
        <v>518.6799999999999</v>
      </c>
      <c r="N13" s="18" t="n">
        <v>577.8099999999999</v>
      </c>
      <c r="O13" s="18" t="n">
        <v>1043.02</v>
      </c>
      <c r="P13" s="35" t="n">
        <v>1043.02</v>
      </c>
      <c r="Q13" s="18" t="n">
        <v>692.66</v>
      </c>
      <c r="R13" s="18" t="n">
        <v>759.28</v>
      </c>
      <c r="S13" s="18" t="n">
        <v>242.15</v>
      </c>
      <c r="T13" s="18" t="n">
        <v>689.4400000000001</v>
      </c>
      <c r="U13" s="35" t="n">
        <v>689.4400000000001</v>
      </c>
      <c r="V13" s="18" t="n">
        <v>650.11</v>
      </c>
      <c r="W13" s="18" t="n">
        <v>737.51</v>
      </c>
      <c r="X13" s="18" t="n">
        <v>1192.39</v>
      </c>
      <c r="Y13" s="18" t="n">
        <v>123.69</v>
      </c>
      <c r="Z13" s="35" t="n">
        <v>123.69</v>
      </c>
      <c r="AA13" s="18" t="n">
        <v>153.79</v>
      </c>
      <c r="AB13" s="36" t="n">
        <v>257.84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11.03</v>
      </c>
      <c r="F14" s="35" t="n">
        <v>11.03</v>
      </c>
      <c r="G14" s="18" t="n">
        <v>14.51</v>
      </c>
      <c r="H14" s="18" t="n">
        <v>39.96</v>
      </c>
      <c r="I14" s="18" t="n">
        <v>52.19</v>
      </c>
      <c r="J14" s="18" t="n">
        <v>71.75</v>
      </c>
      <c r="K14" s="35" t="n">
        <v>71.75</v>
      </c>
      <c r="L14" s="18" t="n">
        <v>97.12</v>
      </c>
      <c r="M14" s="18" t="n">
        <v>47.09</v>
      </c>
      <c r="N14" s="18" t="n">
        <v>63.37</v>
      </c>
      <c r="O14" s="18" t="n">
        <v>85.70999999999999</v>
      </c>
      <c r="P14" s="35" t="n">
        <v>85.70999999999999</v>
      </c>
      <c r="Q14" s="18" t="n">
        <v>114.81</v>
      </c>
      <c r="R14" s="18" t="n">
        <v>100.93</v>
      </c>
      <c r="S14" s="18" t="n">
        <v>156.78</v>
      </c>
      <c r="T14" s="18" t="n">
        <v>212.88</v>
      </c>
      <c r="U14" s="35" t="n">
        <v>212.88</v>
      </c>
      <c r="V14" s="18" t="n">
        <v>267.3</v>
      </c>
      <c r="W14" s="18" t="n">
        <v>186.71</v>
      </c>
      <c r="X14" s="18" t="n">
        <v>236.11</v>
      </c>
      <c r="Y14" s="18" t="n">
        <v>140.05</v>
      </c>
      <c r="Z14" s="35" t="n">
        <v>140.05</v>
      </c>
      <c r="AA14" s="18" t="n">
        <v>203.79</v>
      </c>
      <c r="AB14" s="36" t="n">
        <v>104.88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76206.74000000001</v>
      </c>
      <c r="F15" s="35" t="n">
        <v>76206.74000000001</v>
      </c>
      <c r="G15" s="18" t="n">
        <v>78180.61</v>
      </c>
      <c r="H15" s="18" t="n">
        <v>77491.46000000001</v>
      </c>
      <c r="I15" s="18" t="n">
        <v>74533.25999999999</v>
      </c>
      <c r="J15" s="18" t="n">
        <v>67044.92999999999</v>
      </c>
      <c r="K15" s="35" t="n">
        <v>67044.92999999999</v>
      </c>
      <c r="L15" s="18" t="n">
        <v>65576.49000000001</v>
      </c>
      <c r="M15" s="18" t="n">
        <v>53695.88</v>
      </c>
      <c r="N15" s="18" t="n">
        <v>53000.98</v>
      </c>
      <c r="O15" s="18" t="n">
        <v>67722.71000000001</v>
      </c>
      <c r="P15" s="35" t="n">
        <v>67722.71000000001</v>
      </c>
      <c r="Q15" s="18" t="n">
        <v>67850.23</v>
      </c>
      <c r="R15" s="18" t="n">
        <v>63262.3</v>
      </c>
      <c r="S15" s="18" t="n">
        <v>62084.39</v>
      </c>
      <c r="T15" s="18" t="n">
        <v>68163.5</v>
      </c>
      <c r="U15" s="35" t="n">
        <v>68163.5</v>
      </c>
      <c r="V15" s="18" t="n">
        <v>67112.73</v>
      </c>
      <c r="W15" s="18" t="n">
        <v>65307.88</v>
      </c>
      <c r="X15" s="18" t="n">
        <v>62782.27</v>
      </c>
      <c r="Y15" s="18" t="n">
        <v>60760.94</v>
      </c>
      <c r="Z15" s="35" t="n">
        <v>60760.94</v>
      </c>
      <c r="AA15" s="18" t="n">
        <v>60376.72</v>
      </c>
      <c r="AB15" s="36" t="n">
        <v>60422.04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5476.76</v>
      </c>
      <c r="F16" s="35" t="n">
        <v>5476.76</v>
      </c>
      <c r="G16" s="18" t="n">
        <v>5480.56</v>
      </c>
      <c r="H16" s="18" t="n">
        <v>5502.04</v>
      </c>
      <c r="I16" s="18" t="n">
        <v>4322.57</v>
      </c>
      <c r="J16" s="18" t="n">
        <v>11093.65</v>
      </c>
      <c r="K16" s="35" t="n">
        <v>11093.65</v>
      </c>
      <c r="L16" s="18" t="n">
        <v>11093.65</v>
      </c>
      <c r="M16" s="18" t="n">
        <v>4283.22</v>
      </c>
      <c r="N16" s="18" t="n">
        <v>4282.93</v>
      </c>
      <c r="O16" s="18" t="n">
        <v>6604.08</v>
      </c>
      <c r="P16" s="35" t="n">
        <v>6604.08</v>
      </c>
      <c r="Q16" s="18" t="n">
        <v>7216.1</v>
      </c>
      <c r="R16" s="18" t="n">
        <v>1113.21</v>
      </c>
      <c r="S16" s="18" t="n">
        <v>1834.25</v>
      </c>
      <c r="T16" s="18" t="n">
        <v>5968.38</v>
      </c>
      <c r="U16" s="35" t="n">
        <v>5968.38</v>
      </c>
      <c r="V16" s="18" t="n">
        <v>5548.37</v>
      </c>
      <c r="W16" s="18" t="n">
        <v>900.46</v>
      </c>
      <c r="X16" s="18" t="n">
        <v>800.46</v>
      </c>
      <c r="Y16" s="18" t="n">
        <v>1174.44</v>
      </c>
      <c r="Z16" s="35" t="n">
        <v>1174.44</v>
      </c>
      <c r="AA16" s="18" t="n">
        <v>1174.44</v>
      </c>
      <c r="AB16" s="36" t="n">
        <v>1174.51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27974.43</v>
      </c>
      <c r="F17" s="35" t="n">
        <v>27974.43</v>
      </c>
      <c r="G17" s="18" t="n">
        <v>29107.19</v>
      </c>
      <c r="H17" s="18" t="n">
        <v>19752.38</v>
      </c>
      <c r="I17" s="18" t="n">
        <v>18281.45</v>
      </c>
      <c r="J17" s="18" t="n">
        <v>12793.65</v>
      </c>
      <c r="K17" s="35" t="n">
        <v>12793.65</v>
      </c>
      <c r="L17" s="18" t="n">
        <v>12793.65</v>
      </c>
      <c r="M17" s="18" t="n">
        <v>5071.18</v>
      </c>
      <c r="N17" s="18" t="n">
        <v>5070.89</v>
      </c>
      <c r="O17" s="18" t="n">
        <v>16020.2</v>
      </c>
      <c r="P17" s="35" t="n">
        <v>16020.2</v>
      </c>
      <c r="Q17" s="18" t="n">
        <v>16762.67</v>
      </c>
      <c r="R17" s="18" t="n">
        <v>8647.959999999999</v>
      </c>
      <c r="S17" s="18" t="n">
        <v>8484.25</v>
      </c>
      <c r="T17" s="18" t="n">
        <v>16010.52</v>
      </c>
      <c r="U17" s="35" t="n">
        <v>16010.52</v>
      </c>
      <c r="V17" s="18" t="n">
        <v>15159.47</v>
      </c>
      <c r="W17" s="18" t="n">
        <v>10583.28</v>
      </c>
      <c r="X17" s="18" t="n">
        <v>10935.99</v>
      </c>
      <c r="Y17" s="18" t="n">
        <v>9502.52</v>
      </c>
      <c r="Z17" s="35" t="n">
        <v>9502.52</v>
      </c>
      <c r="AA17" s="18" t="n">
        <v>9502.52</v>
      </c>
      <c r="AB17" s="36" t="n">
        <v>9696.92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18" t="n">
        <v>1264.33</v>
      </c>
      <c r="F18" s="35" t="n">
        <v>1264.33</v>
      </c>
      <c r="G18" s="18" t="n">
        <v>2072.55</v>
      </c>
      <c r="H18" s="18" t="n">
        <v>6081.85</v>
      </c>
      <c r="I18" s="18" t="n">
        <v>4464.82</v>
      </c>
      <c r="J18" s="18" t="n">
        <v>3584.91</v>
      </c>
      <c r="K18" s="35" t="n">
        <v>3584.91</v>
      </c>
      <c r="L18" s="18" t="n">
        <v>2516.12</v>
      </c>
      <c r="M18" s="18" t="n">
        <v>849.92</v>
      </c>
      <c r="N18" s="18" t="n">
        <v>819.27</v>
      </c>
      <c r="O18" s="18" t="n">
        <v>174.52</v>
      </c>
      <c r="P18" s="35" t="n">
        <v>174.52</v>
      </c>
      <c r="Q18" s="18" t="n">
        <v>82.88</v>
      </c>
      <c r="R18" s="18" t="n">
        <v>70.78</v>
      </c>
      <c r="S18" s="18" t="n">
        <v>72.23</v>
      </c>
      <c r="T18" s="18" t="n">
        <v>73.55</v>
      </c>
      <c r="U18" s="35" t="n">
        <v>73.55</v>
      </c>
      <c r="V18" s="18" t="n">
        <v>75.03</v>
      </c>
      <c r="W18" s="18" t="n">
        <v>425.44</v>
      </c>
      <c r="X18" s="18" t="n">
        <v>607.29</v>
      </c>
      <c r="Y18" s="18" t="n">
        <v>541.88</v>
      </c>
      <c r="Z18" s="35" t="n">
        <v>541.88</v>
      </c>
      <c r="AA18" s="18" t="n">
        <v>552.03</v>
      </c>
      <c r="AB18" s="36" t="n">
        <v>658.64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유형자산</t>
        </is>
      </c>
      <c r="E19" s="18" t="n">
        <v>46959.77</v>
      </c>
      <c r="F19" s="35" t="n">
        <v>46959.77</v>
      </c>
      <c r="G19" s="18" t="n">
        <v>46993.26</v>
      </c>
      <c r="H19" s="18" t="n">
        <v>49529.19</v>
      </c>
      <c r="I19" s="18" t="n">
        <v>49659.56</v>
      </c>
      <c r="J19" s="18" t="n">
        <v>48516.4</v>
      </c>
      <c r="K19" s="35" t="n">
        <v>48516.4</v>
      </c>
      <c r="L19" s="18" t="n">
        <v>48138.82</v>
      </c>
      <c r="M19" s="18" t="n">
        <v>47729.6</v>
      </c>
      <c r="N19" s="18" t="n">
        <v>47102.95</v>
      </c>
      <c r="O19" s="18" t="n">
        <v>51476.39</v>
      </c>
      <c r="P19" s="35" t="n">
        <v>51476.39</v>
      </c>
      <c r="Q19" s="18" t="n">
        <v>50982.53</v>
      </c>
      <c r="R19" s="18" t="n">
        <v>50868.08</v>
      </c>
      <c r="S19" s="18" t="n">
        <v>50438.62</v>
      </c>
      <c r="T19" s="18" t="n">
        <v>52063.18</v>
      </c>
      <c r="U19" s="35" t="n">
        <v>52063.18</v>
      </c>
      <c r="V19" s="18" t="n">
        <v>51864.04</v>
      </c>
      <c r="W19" s="18" t="n">
        <v>49157.06</v>
      </c>
      <c r="X19" s="18" t="n">
        <v>44799</v>
      </c>
      <c r="Y19" s="18" t="n">
        <v>44278.59</v>
      </c>
      <c r="Z19" s="35" t="n">
        <v>44278.59</v>
      </c>
      <c r="AA19" s="18" t="n">
        <v>43886.13</v>
      </c>
      <c r="AB19" s="36" t="n">
        <v>43632.37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8.210000000000001</v>
      </c>
      <c r="F20" s="35" t="n">
        <v>8.210000000000001</v>
      </c>
      <c r="G20" s="18" t="n">
        <v>7.61</v>
      </c>
      <c r="H20" s="18" t="n">
        <v>2128.03</v>
      </c>
      <c r="I20" s="18" t="n">
        <v>2127.42</v>
      </c>
      <c r="J20" s="18" t="n">
        <v>2129.12</v>
      </c>
      <c r="K20" s="35" t="n">
        <v>2129.12</v>
      </c>
      <c r="L20" s="18" t="n">
        <v>2127.9</v>
      </c>
      <c r="M20" s="18" t="n">
        <v>45.18</v>
      </c>
      <c r="N20" s="18" t="n">
        <v>7.86</v>
      </c>
      <c r="O20" s="18" t="n">
        <v>24.22</v>
      </c>
      <c r="P20" s="35" t="n">
        <v>24.22</v>
      </c>
      <c r="Q20" s="18" t="n">
        <v>22.15</v>
      </c>
      <c r="R20" s="18" t="n">
        <v>20.46</v>
      </c>
      <c r="S20" s="18" t="n">
        <v>18.36</v>
      </c>
      <c r="T20" s="18" t="n">
        <v>16.25</v>
      </c>
      <c r="U20" s="35" t="n">
        <v>16.25</v>
      </c>
      <c r="V20" s="18" t="n">
        <v>14.18</v>
      </c>
      <c r="W20" s="18" t="n">
        <v>12.1</v>
      </c>
      <c r="X20" s="18" t="n">
        <v>9.99</v>
      </c>
      <c r="Y20" s="18" t="n">
        <v>7.94</v>
      </c>
      <c r="Z20" s="35" t="n">
        <v>7.94</v>
      </c>
      <c r="AA20" s="18" t="n">
        <v>6.03</v>
      </c>
      <c r="AB20" s="36" t="n">
        <v>4.11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종속기업및관계기업투자</t>
        </is>
      </c>
      <c r="E21" s="18" t="n">
        <v>22497.67</v>
      </c>
      <c r="F21" s="35" t="n">
        <v>22497.67</v>
      </c>
      <c r="G21" s="18" t="n">
        <v>23626.63</v>
      </c>
      <c r="H21" s="18" t="n">
        <v>14250.34</v>
      </c>
      <c r="I21" s="18" t="n">
        <v>13958.88</v>
      </c>
      <c r="J21" s="18" t="n">
        <v>1700</v>
      </c>
      <c r="K21" s="35" t="n">
        <v>1700</v>
      </c>
      <c r="L21" s="18" t="n">
        <v>1700</v>
      </c>
      <c r="M21" s="18" t="n">
        <v>787.96</v>
      </c>
      <c r="N21" s="18" t="n">
        <v>787.96</v>
      </c>
      <c r="O21" s="18" t="n">
        <v>9416.120000000001</v>
      </c>
      <c r="P21" s="35" t="n">
        <v>9416.120000000001</v>
      </c>
      <c r="Q21" s="18" t="n">
        <v>9546.57</v>
      </c>
      <c r="R21" s="18" t="n">
        <v>7534.75</v>
      </c>
      <c r="S21" s="18" t="n">
        <v>6650</v>
      </c>
      <c r="T21" s="18" t="n">
        <v>10042.14</v>
      </c>
      <c r="U21" s="35" t="n">
        <v>10042.14</v>
      </c>
      <c r="V21" s="18" t="n">
        <v>9611.1</v>
      </c>
      <c r="W21" s="18" t="n">
        <v>9682.82</v>
      </c>
      <c r="X21" s="18" t="n">
        <v>10135.53</v>
      </c>
      <c r="Y21" s="18" t="n">
        <v>8328.08</v>
      </c>
      <c r="Z21" s="35" t="n">
        <v>8328.08</v>
      </c>
      <c r="AA21" s="18" t="n">
        <v>8328.08</v>
      </c>
      <c r="AB21" s="36" t="n">
        <v>8522.41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102479.25</v>
      </c>
      <c r="F22" s="35" t="n">
        <v>102479.25</v>
      </c>
      <c r="G22" s="18" t="n">
        <v>103884.06</v>
      </c>
      <c r="H22" s="18" t="n">
        <v>103957.69</v>
      </c>
      <c r="I22" s="18" t="n">
        <v>106651.16</v>
      </c>
      <c r="J22" s="18" t="n">
        <v>110434.13</v>
      </c>
      <c r="K22" s="35" t="n">
        <v>110434.13</v>
      </c>
      <c r="L22" s="18" t="n">
        <v>107804.09</v>
      </c>
      <c r="M22" s="18" t="n">
        <v>105544.05</v>
      </c>
      <c r="N22" s="18" t="n">
        <v>91768.21000000001</v>
      </c>
      <c r="O22" s="18" t="n">
        <v>97759.53999999999</v>
      </c>
      <c r="P22" s="35" t="n">
        <v>97759.53999999999</v>
      </c>
      <c r="Q22" s="18" t="n">
        <v>94180.50999999999</v>
      </c>
      <c r="R22" s="18" t="n">
        <v>83737.91</v>
      </c>
      <c r="S22" s="18" t="n">
        <v>79352.03</v>
      </c>
      <c r="T22" s="18" t="n">
        <v>81419.17</v>
      </c>
      <c r="U22" s="35" t="n">
        <v>81419.17</v>
      </c>
      <c r="V22" s="18" t="n">
        <v>83556.72</v>
      </c>
      <c r="W22" s="18" t="n">
        <v>77496.35000000001</v>
      </c>
      <c r="X22" s="18" t="n">
        <v>72194.63</v>
      </c>
      <c r="Y22" s="18" t="n">
        <v>68254.63</v>
      </c>
      <c r="Z22" s="35" t="n">
        <v>68254.63</v>
      </c>
      <c r="AA22" s="18" t="n">
        <v>69255.84</v>
      </c>
      <c r="AB22" s="36" t="n">
        <v>68739.09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33417.43</v>
      </c>
      <c r="F23" s="35" t="n">
        <v>33417.43</v>
      </c>
      <c r="G23" s="18" t="n">
        <v>34807.63</v>
      </c>
      <c r="H23" s="18" t="n">
        <v>40650.36</v>
      </c>
      <c r="I23" s="18" t="n">
        <v>27975.57</v>
      </c>
      <c r="J23" s="18" t="n">
        <v>44154.04</v>
      </c>
      <c r="K23" s="35" t="n">
        <v>44154.04</v>
      </c>
      <c r="L23" s="18" t="n">
        <v>44007.38</v>
      </c>
      <c r="M23" s="18" t="n">
        <v>42815.02</v>
      </c>
      <c r="N23" s="18" t="n">
        <v>34107.97</v>
      </c>
      <c r="O23" s="18" t="n">
        <v>30638.94</v>
      </c>
      <c r="P23" s="35" t="n">
        <v>30638.94</v>
      </c>
      <c r="Q23" s="18" t="n">
        <v>26019.19</v>
      </c>
      <c r="R23" s="18" t="n">
        <v>25258.78</v>
      </c>
      <c r="S23" s="18" t="n">
        <v>24170.21</v>
      </c>
      <c r="T23" s="18" t="n">
        <v>23801.5</v>
      </c>
      <c r="U23" s="35" t="n">
        <v>23801.5</v>
      </c>
      <c r="V23" s="18" t="n">
        <v>22267.13</v>
      </c>
      <c r="W23" s="18" t="n">
        <v>19239.74</v>
      </c>
      <c r="X23" s="18" t="n">
        <v>15750.18</v>
      </c>
      <c r="Y23" s="18" t="n">
        <v>15978.57</v>
      </c>
      <c r="Z23" s="35" t="n">
        <v>15978.57</v>
      </c>
      <c r="AA23" s="18" t="n">
        <v>18744.63</v>
      </c>
      <c r="AB23" s="36" t="n">
        <v>19472.3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2069.26</v>
      </c>
      <c r="F24" s="35" t="n">
        <v>2069.26</v>
      </c>
      <c r="G24" s="18" t="n">
        <v>1607.79</v>
      </c>
      <c r="H24" s="18" t="n">
        <v>1836.99</v>
      </c>
      <c r="I24" s="18" t="n">
        <v>2293.26</v>
      </c>
      <c r="J24" s="18" t="n">
        <v>4520.42</v>
      </c>
      <c r="K24" s="35" t="n">
        <v>4520.42</v>
      </c>
      <c r="L24" s="18" t="n">
        <v>4179.48</v>
      </c>
      <c r="M24" s="18" t="n">
        <v>4280.71</v>
      </c>
      <c r="N24" s="18" t="n">
        <v>4447.39</v>
      </c>
      <c r="O24" s="18" t="n">
        <v>4751.88</v>
      </c>
      <c r="P24" s="35" t="n">
        <v>4751.88</v>
      </c>
      <c r="Q24" s="18" t="n">
        <v>5247.67</v>
      </c>
      <c r="R24" s="18" t="n">
        <v>4952.22</v>
      </c>
      <c r="S24" s="18" t="n">
        <v>4266.95</v>
      </c>
      <c r="T24" s="18" t="n">
        <v>4740.95</v>
      </c>
      <c r="U24" s="35" t="n">
        <v>4740.95</v>
      </c>
      <c r="V24" s="18" t="n">
        <v>4630.5</v>
      </c>
      <c r="W24" s="18" t="n">
        <v>5371.24</v>
      </c>
      <c r="X24" s="18" t="n">
        <v>5232.7</v>
      </c>
      <c r="Y24" s="18" t="n">
        <v>5558.61</v>
      </c>
      <c r="Z24" s="35" t="n">
        <v>5558.61</v>
      </c>
      <c r="AA24" s="18" t="n">
        <v>8099.44</v>
      </c>
      <c r="AB24" s="36" t="n">
        <v>8895.540000000001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기타유동부채</t>
        </is>
      </c>
      <c r="E25" s="18" t="n">
        <v>822.88</v>
      </c>
      <c r="F25" s="35" t="n">
        <v>822.88</v>
      </c>
      <c r="G25" s="18" t="n">
        <v>5194.24</v>
      </c>
      <c r="H25" s="18" t="n">
        <v>5379.29</v>
      </c>
      <c r="I25" s="18" t="n">
        <v>5669.03</v>
      </c>
      <c r="J25" s="18" t="n">
        <v>3807.59</v>
      </c>
      <c r="K25" s="35" t="n">
        <v>3807.59</v>
      </c>
      <c r="L25" s="18" t="n">
        <v>2838.87</v>
      </c>
      <c r="M25" s="18" t="n">
        <v>2993.82</v>
      </c>
      <c r="N25" s="18" t="n">
        <v>965.08</v>
      </c>
      <c r="O25" s="18" t="n">
        <v>442.86</v>
      </c>
      <c r="P25" s="35" t="n">
        <v>442.86</v>
      </c>
      <c r="Q25" s="18" t="n">
        <v>288</v>
      </c>
      <c r="R25" s="18" t="n">
        <v>238.11</v>
      </c>
      <c r="S25" s="18" t="n">
        <v>272.34</v>
      </c>
      <c r="T25" s="18" t="n">
        <v>610.98</v>
      </c>
      <c r="U25" s="35" t="n">
        <v>610.98</v>
      </c>
      <c r="V25" s="18" t="n">
        <v>1221.4</v>
      </c>
      <c r="W25" s="18" t="n">
        <v>1283.37</v>
      </c>
      <c r="X25" s="18" t="n">
        <v>570.12</v>
      </c>
      <c r="Y25" s="18" t="n">
        <v>721.24</v>
      </c>
      <c r="Z25" s="35" t="n">
        <v>721.24</v>
      </c>
      <c r="AA25" s="18" t="n">
        <v>916.17</v>
      </c>
      <c r="AB25" s="36" t="n">
        <v>995.26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단기차입금</t>
        </is>
      </c>
      <c r="E26" s="18" t="n">
        <v>3000</v>
      </c>
      <c r="F26" s="35" t="n">
        <v>3000</v>
      </c>
      <c r="H26" s="18" t="n">
        <v>1185</v>
      </c>
      <c r="I26" s="18" t="n">
        <v>12016.58</v>
      </c>
      <c r="J26" s="18" t="n">
        <v>104</v>
      </c>
      <c r="K26" s="35" t="n">
        <v>104</v>
      </c>
      <c r="L26" s="18" t="n">
        <v>428</v>
      </c>
      <c r="M26" s="18" t="n">
        <v>115</v>
      </c>
      <c r="N26" s="18" t="n">
        <v>118</v>
      </c>
      <c r="O26" s="18" t="n">
        <v>3063</v>
      </c>
      <c r="P26" s="35" t="n">
        <v>3063</v>
      </c>
      <c r="Q26" s="18" t="n">
        <v>15946.72</v>
      </c>
      <c r="R26" s="18" t="n">
        <v>16705.78</v>
      </c>
      <c r="S26" s="18" t="n">
        <v>16352.76</v>
      </c>
      <c r="T26" s="18" t="n">
        <v>15095.09</v>
      </c>
      <c r="U26" s="35" t="n">
        <v>15095.09</v>
      </c>
      <c r="V26" s="18" t="n">
        <v>13056.42</v>
      </c>
      <c r="W26" s="18" t="n">
        <v>9992.75</v>
      </c>
      <c r="X26" s="18" t="n">
        <v>8467.49</v>
      </c>
      <c r="Y26" s="18" t="n">
        <v>8461.690000000001</v>
      </c>
      <c r="Z26" s="35" t="n">
        <v>8461.690000000001</v>
      </c>
      <c r="AA26" s="18" t="n">
        <v>8499.42</v>
      </c>
      <c r="AB26" s="36" t="n">
        <v>8499.610000000001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유동성장기부채</t>
        </is>
      </c>
      <c r="E27" s="18" t="n">
        <v>15470.8</v>
      </c>
      <c r="F27" s="35" t="n">
        <v>15470.8</v>
      </c>
      <c r="G27" s="18" t="n">
        <v>15901.13</v>
      </c>
      <c r="H27" s="18" t="n">
        <v>20515.56</v>
      </c>
      <c r="I27" s="18" t="n">
        <v>4277.9</v>
      </c>
      <c r="J27" s="18" t="n">
        <v>16166.14</v>
      </c>
      <c r="K27" s="35" t="n">
        <v>16166.14</v>
      </c>
      <c r="L27" s="18" t="n">
        <v>16968.91</v>
      </c>
      <c r="M27" s="18" t="n">
        <v>18473.85</v>
      </c>
      <c r="N27" s="18" t="n">
        <v>18984.81</v>
      </c>
      <c r="O27" s="18" t="n">
        <v>12188.88</v>
      </c>
      <c r="P27" s="35" t="n">
        <v>12188.88</v>
      </c>
      <c r="Q27" s="18" t="n">
        <v>2135.45</v>
      </c>
      <c r="R27" s="18" t="n">
        <v>2245.27</v>
      </c>
      <c r="S27" s="18" t="n">
        <v>2362.48</v>
      </c>
      <c r="T27" s="18" t="n">
        <v>2486.27</v>
      </c>
      <c r="U27" s="35" t="n">
        <v>2486.27</v>
      </c>
      <c r="V27" s="18" t="n">
        <v>2614.1</v>
      </c>
      <c r="W27" s="18" t="n">
        <v>1475.63</v>
      </c>
      <c r="X27" s="18" t="n">
        <v>251.31</v>
      </c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단기파생상품부채</t>
        </is>
      </c>
      <c r="E28" s="18" t="n">
        <v>10610.06</v>
      </c>
      <c r="F28" s="35" t="n">
        <v>10610.06</v>
      </c>
      <c r="G28" s="18" t="n">
        <v>10439.73</v>
      </c>
      <c r="H28" s="18" t="n">
        <v>9943.32</v>
      </c>
      <c r="I28" s="18" t="n">
        <v>2698.77</v>
      </c>
      <c r="J28" s="18" t="n">
        <v>18271.59</v>
      </c>
      <c r="K28" s="35" t="n">
        <v>18271.59</v>
      </c>
      <c r="L28" s="18" t="n">
        <v>18271.59</v>
      </c>
      <c r="M28" s="18" t="n">
        <v>15503.61</v>
      </c>
      <c r="N28" s="18" t="n">
        <v>8374.35</v>
      </c>
      <c r="O28" s="18" t="n">
        <v>9308.32</v>
      </c>
      <c r="P28" s="35" t="n">
        <v>9308.32</v>
      </c>
      <c r="Q28" s="18" t="n">
        <v>1647.31</v>
      </c>
      <c r="R28" s="18" t="n">
        <v>314.57</v>
      </c>
      <c r="S28" s="18" t="n">
        <v>314.57</v>
      </c>
      <c r="T28" s="18" t="n">
        <v>186.56</v>
      </c>
      <c r="U28" s="35" t="n">
        <v>186.56</v>
      </c>
      <c r="V28" s="18" t="n">
        <v>186.56</v>
      </c>
      <c r="W28" s="18" t="n">
        <v>52.49</v>
      </c>
      <c r="X28" s="18" t="n">
        <v>8.49</v>
      </c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</t>
        </is>
      </c>
      <c r="E29" s="18" t="n">
        <v>10610.06</v>
      </c>
      <c r="F29" s="35" t="n">
        <v>10610.06</v>
      </c>
      <c r="G29" s="18" t="n">
        <v>10439.73</v>
      </c>
      <c r="H29" s="18" t="n">
        <v>9943.32</v>
      </c>
      <c r="I29" s="18" t="n">
        <v>2698.77</v>
      </c>
      <c r="J29" s="18" t="n">
        <v>18271.59</v>
      </c>
      <c r="K29" s="35" t="n">
        <v>18271.59</v>
      </c>
      <c r="L29" s="18" t="n">
        <v>18271.59</v>
      </c>
      <c r="M29" s="18" t="n">
        <v>15503.61</v>
      </c>
      <c r="N29" s="18" t="n">
        <v>8374.35</v>
      </c>
      <c r="O29" s="18" t="n">
        <v>9308.32</v>
      </c>
      <c r="P29" s="35" t="n">
        <v>9308.32</v>
      </c>
      <c r="Q29" s="18" t="n">
        <v>1647.31</v>
      </c>
      <c r="R29" s="18" t="n">
        <v>314.57</v>
      </c>
      <c r="S29" s="18" t="n">
        <v>314.57</v>
      </c>
      <c r="T29" s="18" t="n">
        <v>186.56</v>
      </c>
      <c r="U29" s="35" t="n">
        <v>186.56</v>
      </c>
      <c r="V29" s="18" t="n">
        <v>186.56</v>
      </c>
      <c r="W29" s="18" t="n">
        <v>52.49</v>
      </c>
      <c r="X29" s="18" t="n">
        <v>8.49</v>
      </c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단기충당부채</t>
        </is>
      </c>
      <c r="E30" s="18" t="n">
        <v>617.11</v>
      </c>
      <c r="F30" s="35" t="n">
        <v>617.11</v>
      </c>
      <c r="G30" s="18" t="n">
        <v>667.9400000000001</v>
      </c>
      <c r="H30" s="18" t="n">
        <v>696.72</v>
      </c>
      <c r="I30" s="18" t="n">
        <v>22.78</v>
      </c>
      <c r="J30" s="18" t="n">
        <v>22.92</v>
      </c>
      <c r="K30" s="35" t="n">
        <v>22.92</v>
      </c>
      <c r="M30" s="18" t="n">
        <v>28.16</v>
      </c>
      <c r="N30" s="18" t="n">
        <v>45.41</v>
      </c>
      <c r="O30" s="18" t="n">
        <v>45.64</v>
      </c>
      <c r="P30" s="35" t="n">
        <v>45.64</v>
      </c>
      <c r="Q30" s="18" t="n">
        <v>28.6</v>
      </c>
      <c r="R30" s="18" t="n">
        <v>27.22</v>
      </c>
      <c r="S30" s="18" t="n">
        <v>27.62</v>
      </c>
      <c r="T30" s="18" t="n">
        <v>28.03</v>
      </c>
      <c r="U30" s="35" t="n">
        <v>28.03</v>
      </c>
      <c r="V30" s="18" t="n">
        <v>28.43</v>
      </c>
      <c r="W30" s="18" t="n">
        <v>28.7</v>
      </c>
      <c r="X30" s="18" t="n">
        <v>28.7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2861.15</v>
      </c>
      <c r="F31" s="35" t="n">
        <v>2861.15</v>
      </c>
      <c r="G31" s="18" t="n">
        <v>3018.01</v>
      </c>
      <c r="H31" s="18" t="n">
        <v>3087.72</v>
      </c>
      <c r="I31" s="18" t="n">
        <v>2997.21</v>
      </c>
      <c r="J31" s="18" t="n">
        <v>3040.32</v>
      </c>
      <c r="K31" s="35" t="n">
        <v>3040.32</v>
      </c>
      <c r="L31" s="18" t="n">
        <v>3209.05</v>
      </c>
      <c r="M31" s="18" t="n">
        <v>3152.33</v>
      </c>
      <c r="N31" s="18" t="n">
        <v>3237.46</v>
      </c>
      <c r="O31" s="18" t="n">
        <v>3816.15</v>
      </c>
      <c r="P31" s="35" t="n">
        <v>3816.15</v>
      </c>
      <c r="Q31" s="18" t="n">
        <v>3817.06</v>
      </c>
      <c r="R31" s="18" t="n">
        <v>4036</v>
      </c>
      <c r="S31" s="18" t="n">
        <v>4141.63</v>
      </c>
      <c r="T31" s="18" t="n">
        <v>5172.28</v>
      </c>
      <c r="U31" s="35" t="n">
        <v>5172.28</v>
      </c>
      <c r="V31" s="18" t="n">
        <v>5071.09</v>
      </c>
      <c r="W31" s="18" t="n">
        <v>5946.8</v>
      </c>
      <c r="X31" s="18" t="n">
        <v>5803.04</v>
      </c>
      <c r="Y31" s="18" t="n">
        <v>5167.31</v>
      </c>
      <c r="Z31" s="35" t="n">
        <v>5167.31</v>
      </c>
      <c r="AA31" s="18" t="n">
        <v>4875.3</v>
      </c>
      <c r="AB31" s="36" t="n">
        <v>4765.14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비유동리스부채</t>
        </is>
      </c>
      <c r="E32" s="18" t="n">
        <v>325.47</v>
      </c>
      <c r="F32" s="35" t="n">
        <v>325.47</v>
      </c>
      <c r="G32" s="18" t="n">
        <v>434.43</v>
      </c>
      <c r="H32" s="18" t="n">
        <v>595.62</v>
      </c>
      <c r="I32" s="18" t="n">
        <v>483.24</v>
      </c>
      <c r="J32" s="18" t="n">
        <v>612.97</v>
      </c>
      <c r="K32" s="35" t="n">
        <v>612.97</v>
      </c>
      <c r="L32" s="18" t="n">
        <v>588.11</v>
      </c>
      <c r="M32" s="18" t="n">
        <v>562.01</v>
      </c>
      <c r="N32" s="18" t="n">
        <v>606.3200000000001</v>
      </c>
      <c r="O32" s="18" t="n">
        <v>428.68</v>
      </c>
      <c r="P32" s="35" t="n">
        <v>428.68</v>
      </c>
      <c r="Q32" s="18" t="n">
        <v>335.54</v>
      </c>
      <c r="R32" s="18" t="n">
        <v>445.04</v>
      </c>
      <c r="S32" s="18" t="n">
        <v>408.81</v>
      </c>
      <c r="T32" s="18" t="n">
        <v>481.21</v>
      </c>
      <c r="U32" s="35" t="n">
        <v>481.21</v>
      </c>
      <c r="V32" s="18" t="n">
        <v>526.3200000000001</v>
      </c>
      <c r="W32" s="18" t="n">
        <v>1357.26</v>
      </c>
      <c r="X32" s="18" t="n">
        <v>1942.65</v>
      </c>
      <c r="Y32" s="18" t="n">
        <v>1112.32</v>
      </c>
      <c r="Z32" s="35" t="n">
        <v>1112.32</v>
      </c>
      <c r="AA32" s="18" t="n">
        <v>853.02</v>
      </c>
      <c r="AB32" s="36" t="n">
        <v>697.05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리스부채</t>
        </is>
      </c>
      <c r="E33" s="18" t="n">
        <v>325.47</v>
      </c>
      <c r="F33" s="35" t="n">
        <v>325.47</v>
      </c>
      <c r="G33" s="18" t="n">
        <v>434.43</v>
      </c>
      <c r="H33" s="18" t="n">
        <v>595.62</v>
      </c>
      <c r="I33" s="18" t="n">
        <v>483.24</v>
      </c>
      <c r="J33" s="18" t="n">
        <v>612.97</v>
      </c>
      <c r="K33" s="35" t="n">
        <v>612.97</v>
      </c>
      <c r="L33" s="18" t="n">
        <v>588.11</v>
      </c>
      <c r="M33" s="18" t="n">
        <v>562.01</v>
      </c>
      <c r="N33" s="18" t="n">
        <v>606.3200000000001</v>
      </c>
      <c r="O33" s="18" t="n">
        <v>428.68</v>
      </c>
      <c r="P33" s="35" t="n">
        <v>428.68</v>
      </c>
      <c r="Q33" s="18" t="n">
        <v>335.54</v>
      </c>
      <c r="R33" s="18" t="n">
        <v>445.04</v>
      </c>
      <c r="S33" s="18" t="n">
        <v>408.81</v>
      </c>
      <c r="T33" s="18" t="n">
        <v>481.21</v>
      </c>
      <c r="U33" s="35" t="n">
        <v>481.21</v>
      </c>
      <c r="V33" s="18" t="n">
        <v>526.3200000000001</v>
      </c>
      <c r="W33" s="18" t="n">
        <v>1357.26</v>
      </c>
      <c r="X33" s="18" t="n">
        <v>1942.65</v>
      </c>
      <c r="Y33" s="18" t="n">
        <v>1112.32</v>
      </c>
      <c r="Z33" s="35" t="n">
        <v>1112.32</v>
      </c>
      <c r="AA33" s="18" t="n">
        <v>853.02</v>
      </c>
      <c r="AB33" s="36" t="n">
        <v>697.05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장기금융부채</t>
        </is>
      </c>
      <c r="E34" s="18" t="n">
        <v>325.47</v>
      </c>
      <c r="F34" s="35" t="n">
        <v>325.47</v>
      </c>
      <c r="G34" s="18" t="n">
        <v>434.43</v>
      </c>
      <c r="H34" s="18" t="n">
        <v>595.62</v>
      </c>
      <c r="I34" s="18" t="n">
        <v>483.24</v>
      </c>
      <c r="J34" s="18" t="n">
        <v>612.97</v>
      </c>
      <c r="K34" s="35" t="n">
        <v>612.97</v>
      </c>
      <c r="L34" s="18" t="n">
        <v>588.11</v>
      </c>
      <c r="M34" s="18" t="n">
        <v>562.01</v>
      </c>
      <c r="N34" s="18" t="n">
        <v>606.3200000000001</v>
      </c>
      <c r="O34" s="18" t="n">
        <v>428.68</v>
      </c>
      <c r="P34" s="35" t="n">
        <v>428.68</v>
      </c>
      <c r="Q34" s="18" t="n">
        <v>335.54</v>
      </c>
      <c r="R34" s="18" t="n">
        <v>445.04</v>
      </c>
      <c r="S34" s="18" t="n">
        <v>408.81</v>
      </c>
      <c r="T34" s="18" t="n">
        <v>481.21</v>
      </c>
      <c r="U34" s="35" t="n">
        <v>481.21</v>
      </c>
      <c r="V34" s="18" t="n">
        <v>526.3200000000001</v>
      </c>
      <c r="W34" s="18" t="n">
        <v>1357.26</v>
      </c>
      <c r="X34" s="18" t="n">
        <v>1942.65</v>
      </c>
      <c r="Y34" s="18" t="n">
        <v>1112.32</v>
      </c>
      <c r="Z34" s="35" t="n">
        <v>1112.32</v>
      </c>
      <c r="AA34" s="18" t="n">
        <v>853.02</v>
      </c>
      <c r="AB34" s="36" t="n">
        <v>697.05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확정급여부채</t>
        </is>
      </c>
      <c r="E35" s="18" t="n">
        <v>141.72</v>
      </c>
      <c r="F35" s="35" t="n">
        <v>141.72</v>
      </c>
      <c r="G35" s="18" t="n">
        <v>212.01</v>
      </c>
      <c r="H35" s="18" t="n">
        <v>92.94</v>
      </c>
      <c r="I35" s="18" t="n">
        <v>97.89</v>
      </c>
      <c r="J35" s="18" t="n">
        <v>39.38</v>
      </c>
      <c r="K35" s="35" t="n">
        <v>39.38</v>
      </c>
      <c r="L35" s="18" t="n">
        <v>233.07</v>
      </c>
      <c r="M35" s="18" t="n">
        <v>230.67</v>
      </c>
      <c r="N35" s="18" t="n">
        <v>288.73</v>
      </c>
      <c r="P35" s="9" t="n"/>
      <c r="Q35" s="18" t="n">
        <v>94.19</v>
      </c>
      <c r="R35" s="18" t="n">
        <v>203.71</v>
      </c>
      <c r="S35" s="18" t="n">
        <v>345.6</v>
      </c>
      <c r="T35" s="18" t="n">
        <v>595.61</v>
      </c>
      <c r="U35" s="35" t="n">
        <v>595.61</v>
      </c>
      <c r="V35" s="18" t="n">
        <v>449.31</v>
      </c>
      <c r="W35" s="18" t="n">
        <v>469.04</v>
      </c>
      <c r="X35" s="18" t="n">
        <v>503.66</v>
      </c>
      <c r="Y35" s="18" t="n">
        <v>509.22</v>
      </c>
      <c r="Z35" s="35" t="n">
        <v>509.22</v>
      </c>
      <c r="AA35" s="18" t="n">
        <v>475.74</v>
      </c>
      <c r="AB35" s="36" t="n">
        <v>520.77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장기충당부채</t>
        </is>
      </c>
      <c r="E36" s="18" t="n">
        <v>22.38</v>
      </c>
      <c r="F36" s="35" t="n">
        <v>22.38</v>
      </c>
      <c r="H36" s="18" t="n">
        <v>27.59</v>
      </c>
      <c r="I36" s="18" t="n">
        <v>44.51</v>
      </c>
      <c r="J36" s="18" t="n">
        <v>44.74</v>
      </c>
      <c r="K36" s="35" t="n">
        <v>44.74</v>
      </c>
      <c r="L36" s="18" t="n">
        <v>44.96</v>
      </c>
      <c r="M36" s="18" t="n">
        <v>17.02</v>
      </c>
      <c r="P36" s="9" t="n"/>
      <c r="U36" s="9" t="n"/>
      <c r="W36" s="18" t="n">
        <v>25.03</v>
      </c>
      <c r="X36" s="18" t="n">
        <v>61.89</v>
      </c>
      <c r="Y36" s="18" t="n">
        <v>65.75</v>
      </c>
      <c r="Z36" s="35" t="n">
        <v>65.75</v>
      </c>
      <c r="AA36" s="18" t="n">
        <v>66.51000000000001</v>
      </c>
      <c r="AB36" s="36" t="n">
        <v>67.3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이연법인세부채</t>
        </is>
      </c>
      <c r="E37" s="18" t="n">
        <v>2371.58</v>
      </c>
      <c r="F37" s="35" t="n">
        <v>2371.58</v>
      </c>
      <c r="G37" s="18" t="n">
        <v>2371.58</v>
      </c>
      <c r="H37" s="18" t="n">
        <v>2371.58</v>
      </c>
      <c r="I37" s="18" t="n">
        <v>2371.58</v>
      </c>
      <c r="J37" s="18" t="n">
        <v>2263.78</v>
      </c>
      <c r="K37" s="35" t="n">
        <v>2263.78</v>
      </c>
      <c r="L37" s="18" t="n">
        <v>2263.78</v>
      </c>
      <c r="M37" s="18" t="n">
        <v>2263.78</v>
      </c>
      <c r="N37" s="18" t="n">
        <v>2263.78</v>
      </c>
      <c r="O37" s="18" t="n">
        <v>3309</v>
      </c>
      <c r="P37" s="35" t="n">
        <v>3309</v>
      </c>
      <c r="Q37" s="18" t="n">
        <v>3309</v>
      </c>
      <c r="R37" s="18" t="n">
        <v>3309</v>
      </c>
      <c r="S37" s="18" t="n">
        <v>3309</v>
      </c>
      <c r="T37" s="18" t="n">
        <v>4095.46</v>
      </c>
      <c r="U37" s="35" t="n">
        <v>4095.46</v>
      </c>
      <c r="V37" s="18" t="n">
        <v>4095.46</v>
      </c>
      <c r="W37" s="18" t="n">
        <v>4095.46</v>
      </c>
      <c r="X37" s="18" t="n">
        <v>3294.14</v>
      </c>
      <c r="Y37" s="18" t="n">
        <v>3473.02</v>
      </c>
      <c r="Z37" s="35" t="n">
        <v>3473.02</v>
      </c>
      <c r="AA37" s="18" t="n">
        <v>3473.02</v>
      </c>
      <c r="AB37" s="36" t="n">
        <v>3473.02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36278.58</v>
      </c>
      <c r="F38" s="35" t="n">
        <v>36278.58</v>
      </c>
      <c r="G38" s="18" t="n">
        <v>37825.64</v>
      </c>
      <c r="H38" s="18" t="n">
        <v>43738.08</v>
      </c>
      <c r="I38" s="18" t="n">
        <v>30972.79</v>
      </c>
      <c r="J38" s="18" t="n">
        <v>47194.37</v>
      </c>
      <c r="K38" s="35" t="n">
        <v>47194.37</v>
      </c>
      <c r="L38" s="18" t="n">
        <v>47216.43</v>
      </c>
      <c r="M38" s="18" t="n">
        <v>45967.34</v>
      </c>
      <c r="N38" s="18" t="n">
        <v>37345.43</v>
      </c>
      <c r="O38" s="18" t="n">
        <v>34455.09</v>
      </c>
      <c r="P38" s="35" t="n">
        <v>34455.09</v>
      </c>
      <c r="Q38" s="18" t="n">
        <v>29836.25</v>
      </c>
      <c r="R38" s="18" t="n">
        <v>29294.78</v>
      </c>
      <c r="S38" s="18" t="n">
        <v>28311.85</v>
      </c>
      <c r="T38" s="18" t="n">
        <v>28973.78</v>
      </c>
      <c r="U38" s="35" t="n">
        <v>28973.78</v>
      </c>
      <c r="V38" s="18" t="n">
        <v>27338.23</v>
      </c>
      <c r="W38" s="18" t="n">
        <v>25186.54</v>
      </c>
      <c r="X38" s="18" t="n">
        <v>21553.22</v>
      </c>
      <c r="Y38" s="18" t="n">
        <v>21145.88</v>
      </c>
      <c r="Z38" s="35" t="n">
        <v>21145.88</v>
      </c>
      <c r="AA38" s="18" t="n">
        <v>23619.92</v>
      </c>
      <c r="AB38" s="36" t="n">
        <v>24237.44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지배주주지분</t>
        </is>
      </c>
      <c r="E39" s="18" t="n">
        <v>66203.82000000001</v>
      </c>
      <c r="F39" s="35" t="n">
        <v>66203.82000000001</v>
      </c>
      <c r="G39" s="18" t="n">
        <v>66058.42</v>
      </c>
      <c r="H39" s="18" t="n">
        <v>60219.61</v>
      </c>
      <c r="I39" s="18" t="n">
        <v>75678.37</v>
      </c>
      <c r="J39" s="18" t="n">
        <v>63239.76</v>
      </c>
      <c r="K39" s="35" t="n">
        <v>63239.76</v>
      </c>
      <c r="L39" s="18" t="n">
        <v>60587.65</v>
      </c>
      <c r="M39" s="18" t="n">
        <v>59576.71</v>
      </c>
      <c r="N39" s="18" t="n">
        <v>54422.78</v>
      </c>
      <c r="O39" s="18" t="n">
        <v>63304.44</v>
      </c>
      <c r="P39" s="35" t="n">
        <v>63304.44</v>
      </c>
      <c r="Q39" s="18" t="n">
        <v>64344.26</v>
      </c>
      <c r="R39" s="18" t="n">
        <v>54443.13</v>
      </c>
      <c r="S39" s="18" t="n">
        <v>51040.19</v>
      </c>
      <c r="T39" s="18" t="n">
        <v>52445.39</v>
      </c>
      <c r="U39" s="35" t="n">
        <v>52445.39</v>
      </c>
      <c r="V39" s="18" t="n">
        <v>56218.5</v>
      </c>
      <c r="W39" s="18" t="n">
        <v>52309.81</v>
      </c>
      <c r="X39" s="18" t="n">
        <v>50641.42</v>
      </c>
      <c r="Y39" s="18" t="n">
        <v>47108.75</v>
      </c>
      <c r="Z39" s="35" t="n">
        <v>47108.75</v>
      </c>
      <c r="AA39" s="18" t="n">
        <v>45635.92</v>
      </c>
      <c r="AB39" s="36" t="n">
        <v>44501.64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자본금</t>
        </is>
      </c>
      <c r="E40" s="18" t="n">
        <v>47303.95</v>
      </c>
      <c r="F40" s="35" t="n">
        <v>47303.95</v>
      </c>
      <c r="G40" s="18" t="n">
        <v>48143.08</v>
      </c>
      <c r="H40" s="18" t="n">
        <v>4814.31</v>
      </c>
      <c r="I40" s="18" t="n">
        <v>6052.83</v>
      </c>
      <c r="J40" s="18" t="n">
        <v>12773.66</v>
      </c>
      <c r="K40" s="35" t="n">
        <v>12773.66</v>
      </c>
      <c r="L40" s="18" t="n">
        <v>13092.34</v>
      </c>
      <c r="M40" s="18" t="n">
        <v>14858.61</v>
      </c>
      <c r="N40" s="18" t="n">
        <v>15038.73</v>
      </c>
      <c r="O40" s="18" t="n">
        <v>26138.72</v>
      </c>
      <c r="P40" s="35" t="n">
        <v>26138.72</v>
      </c>
      <c r="Q40" s="18" t="n">
        <v>28575.58</v>
      </c>
      <c r="R40" s="18" t="n">
        <v>28575.58</v>
      </c>
      <c r="S40" s="18" t="n">
        <v>29439.14</v>
      </c>
      <c r="T40" s="18" t="n">
        <v>34439.14</v>
      </c>
      <c r="U40" s="35" t="n">
        <v>34439.14</v>
      </c>
      <c r="V40" s="18" t="n">
        <v>41439.14</v>
      </c>
      <c r="W40" s="18" t="n">
        <v>41439.14</v>
      </c>
      <c r="X40" s="18" t="n">
        <v>2763.99</v>
      </c>
      <c r="Y40" s="18" t="n">
        <v>2763.99</v>
      </c>
      <c r="Z40" s="35" t="n">
        <v>2763.99</v>
      </c>
      <c r="AA40" s="18" t="n">
        <v>2763.99</v>
      </c>
      <c r="AB40" s="36" t="n">
        <v>2763.99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59933.08</v>
      </c>
      <c r="F41" s="35" t="n">
        <v>59933.08</v>
      </c>
      <c r="G41" s="18" t="n">
        <v>60546.18</v>
      </c>
      <c r="H41" s="18" t="n">
        <v>103679.84</v>
      </c>
      <c r="I41" s="18" t="n">
        <v>132585.7</v>
      </c>
      <c r="J41" s="18" t="n">
        <v>133907.81</v>
      </c>
      <c r="K41" s="35" t="n">
        <v>133907.81</v>
      </c>
      <c r="L41" s="18" t="n">
        <v>134582.99</v>
      </c>
      <c r="M41" s="18" t="n">
        <v>141313.24</v>
      </c>
      <c r="N41" s="18" t="n">
        <v>98599.00999999999</v>
      </c>
      <c r="O41" s="18" t="n">
        <v>111811.54</v>
      </c>
      <c r="P41" s="35" t="n">
        <v>111811.54</v>
      </c>
      <c r="Q41" s="18" t="n">
        <v>111321.28</v>
      </c>
      <c r="R41" s="18" t="n">
        <v>108861</v>
      </c>
      <c r="S41" s="18" t="n">
        <v>108406.91</v>
      </c>
      <c r="T41" s="18" t="n">
        <v>114203.1</v>
      </c>
      <c r="U41" s="35" t="n">
        <v>114203.1</v>
      </c>
      <c r="V41" s="18" t="n">
        <v>113709.54</v>
      </c>
      <c r="W41" s="18" t="n">
        <v>113425.7</v>
      </c>
      <c r="X41" s="18" t="n">
        <v>113728.15</v>
      </c>
      <c r="Y41" s="18" t="n">
        <v>113574.78</v>
      </c>
      <c r="Z41" s="35" t="n">
        <v>113574.78</v>
      </c>
      <c r="AA41" s="18" t="n">
        <v>113574.78</v>
      </c>
      <c r="AB41" s="36" t="n">
        <v>113574.78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이익잉여금</t>
        </is>
      </c>
      <c r="E42" s="18" t="n">
        <v>-41033.21</v>
      </c>
      <c r="F42" s="35" t="n">
        <v>-41033.21</v>
      </c>
      <c r="G42" s="18" t="n">
        <v>-42630.83</v>
      </c>
      <c r="H42" s="18" t="n">
        <v>-48274.54</v>
      </c>
      <c r="I42" s="18" t="n">
        <v>-62960.16</v>
      </c>
      <c r="J42" s="18" t="n">
        <v>-83441.71000000001</v>
      </c>
      <c r="K42" s="35" t="n">
        <v>-83441.71000000001</v>
      </c>
      <c r="L42" s="18" t="n">
        <v>-87087.67999999999</v>
      </c>
      <c r="M42" s="18" t="n">
        <v>-96595.14</v>
      </c>
      <c r="N42" s="18" t="n">
        <v>-59214.96</v>
      </c>
      <c r="O42" s="18" t="n">
        <v>-74645.81</v>
      </c>
      <c r="P42" s="35" t="n">
        <v>-74645.81</v>
      </c>
      <c r="Q42" s="18" t="n">
        <v>-75552.60000000001</v>
      </c>
      <c r="R42" s="18" t="n">
        <v>-82993.46000000001</v>
      </c>
      <c r="S42" s="18" t="n">
        <v>-86805.86</v>
      </c>
      <c r="T42" s="18" t="n">
        <v>-96196.85000000001</v>
      </c>
      <c r="U42" s="35" t="n">
        <v>-96196.85000000001</v>
      </c>
      <c r="V42" s="18" t="n">
        <v>-98930.17999999999</v>
      </c>
      <c r="W42" s="18" t="n">
        <v>-102555.04</v>
      </c>
      <c r="X42" s="18" t="n">
        <v>-65850.72</v>
      </c>
      <c r="Y42" s="18" t="n">
        <v>-69230.02</v>
      </c>
      <c r="Z42" s="35" t="n">
        <v>-69230.02</v>
      </c>
      <c r="AA42" s="18" t="n">
        <v>-70702.85000000001</v>
      </c>
      <c r="AB42" s="36" t="n">
        <v>-71837.13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비지배주주지분</t>
        </is>
      </c>
      <c r="E43" s="18" t="n">
        <v>-3.15</v>
      </c>
      <c r="F43" s="35" t="n">
        <v>-3.15</v>
      </c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66200.67</v>
      </c>
      <c r="F44" s="35" t="n">
        <v>66200.67</v>
      </c>
      <c r="G44" s="18" t="n">
        <v>66058.42</v>
      </c>
      <c r="H44" s="18" t="n">
        <v>60219.61</v>
      </c>
      <c r="I44" s="18" t="n">
        <v>75678.37</v>
      </c>
      <c r="J44" s="18" t="n">
        <v>63239.76</v>
      </c>
      <c r="K44" s="35" t="n">
        <v>63239.76</v>
      </c>
      <c r="L44" s="18" t="n">
        <v>60587.65</v>
      </c>
      <c r="M44" s="18" t="n">
        <v>59576.71</v>
      </c>
      <c r="N44" s="18" t="n">
        <v>54422.78</v>
      </c>
      <c r="O44" s="18" t="n">
        <v>63304.44</v>
      </c>
      <c r="P44" s="35" t="n">
        <v>63304.44</v>
      </c>
      <c r="Q44" s="18" t="n">
        <v>64344.26</v>
      </c>
      <c r="R44" s="18" t="n">
        <v>54443.13</v>
      </c>
      <c r="S44" s="18" t="n">
        <v>51040.19</v>
      </c>
      <c r="T44" s="18" t="n">
        <v>52445.39</v>
      </c>
      <c r="U44" s="35" t="n">
        <v>52445.39</v>
      </c>
      <c r="V44" s="18" t="n">
        <v>56218.5</v>
      </c>
      <c r="W44" s="18" t="n">
        <v>52309.81</v>
      </c>
      <c r="X44" s="18" t="n">
        <v>50641.42</v>
      </c>
      <c r="Y44" s="18" t="n">
        <v>47108.75</v>
      </c>
      <c r="Z44" s="35" t="n">
        <v>47108.75</v>
      </c>
      <c r="AA44" s="18" t="n">
        <v>45635.92</v>
      </c>
      <c r="AB44" s="36" t="n">
        <v>44501.64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102479.25</v>
      </c>
      <c r="F45" s="35" t="n">
        <v>102479.25</v>
      </c>
      <c r="G45" s="18" t="n">
        <v>103884.06</v>
      </c>
      <c r="H45" s="18" t="n">
        <v>103957.69</v>
      </c>
      <c r="I45" s="18" t="n">
        <v>106651.16</v>
      </c>
      <c r="J45" s="18" t="n">
        <v>110434.13</v>
      </c>
      <c r="K45" s="35" t="n">
        <v>110434.13</v>
      </c>
      <c r="L45" s="18" t="n">
        <v>107804.09</v>
      </c>
      <c r="M45" s="18" t="n">
        <v>105544.05</v>
      </c>
      <c r="N45" s="18" t="n">
        <v>91768.21000000001</v>
      </c>
      <c r="O45" s="18" t="n">
        <v>97759.53999999999</v>
      </c>
      <c r="P45" s="35" t="n">
        <v>97759.53999999999</v>
      </c>
      <c r="Q45" s="18" t="n">
        <v>94180.50999999999</v>
      </c>
      <c r="R45" s="18" t="n">
        <v>83737.91</v>
      </c>
      <c r="S45" s="18" t="n">
        <v>79352.03</v>
      </c>
      <c r="T45" s="18" t="n">
        <v>81419.17</v>
      </c>
      <c r="U45" s="35" t="n">
        <v>81419.17</v>
      </c>
      <c r="V45" s="18" t="n">
        <v>83556.72</v>
      </c>
      <c r="W45" s="18" t="n">
        <v>77496.35000000001</v>
      </c>
      <c r="X45" s="18" t="n">
        <v>72194.63</v>
      </c>
      <c r="Y45" s="18" t="n">
        <v>68254.63</v>
      </c>
      <c r="Z45" s="35" t="n">
        <v>68254.63</v>
      </c>
      <c r="AA45" s="18" t="n">
        <v>69255.84</v>
      </c>
      <c r="AB45" s="36" t="n">
        <v>68739.09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18470.8</v>
      </c>
      <c r="F46" s="35" t="n">
        <v>18470.8</v>
      </c>
      <c r="G46" s="18" t="n">
        <v>15901.13</v>
      </c>
      <c r="H46" s="18" t="n">
        <v>21700.56</v>
      </c>
      <c r="I46" s="18" t="n">
        <v>16294.48</v>
      </c>
      <c r="J46" s="18" t="n">
        <v>16270.14</v>
      </c>
      <c r="K46" s="35" t="n">
        <v>16270.14</v>
      </c>
      <c r="L46" s="18" t="n">
        <v>17396.91</v>
      </c>
      <c r="M46" s="18" t="n">
        <v>18588.85</v>
      </c>
      <c r="N46" s="18" t="n">
        <v>19102.81</v>
      </c>
      <c r="O46" s="18" t="n">
        <v>15251.88</v>
      </c>
      <c r="P46" s="35" t="n">
        <v>15251.88</v>
      </c>
      <c r="Q46" s="18" t="n">
        <v>18082.17</v>
      </c>
      <c r="R46" s="18" t="n">
        <v>18951.05</v>
      </c>
      <c r="S46" s="18" t="n">
        <v>18715.24</v>
      </c>
      <c r="T46" s="18" t="n">
        <v>17581.36</v>
      </c>
      <c r="U46" s="35" t="n">
        <v>17581.36</v>
      </c>
      <c r="V46" s="18" t="n">
        <v>15670.52</v>
      </c>
      <c r="W46" s="18" t="n">
        <v>11468.38</v>
      </c>
      <c r="X46" s="18" t="n">
        <v>8718.799999999999</v>
      </c>
      <c r="Y46" s="18" t="n">
        <v>8461.690000000001</v>
      </c>
      <c r="Z46" s="35" t="n">
        <v>8461.690000000001</v>
      </c>
      <c r="AA46" s="18" t="n">
        <v>8499.42</v>
      </c>
      <c r="AB46" s="36" t="n">
        <v>8499.610000000001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10268.18</v>
      </c>
      <c r="F47" s="35" t="n">
        <v>10268.18</v>
      </c>
      <c r="G47" s="18" t="n">
        <v>5545.86</v>
      </c>
      <c r="H47" s="18" t="n">
        <v>17013.25</v>
      </c>
      <c r="I47" s="18" t="n">
        <v>12184.86</v>
      </c>
      <c r="J47" s="18" t="n">
        <v>2946.09</v>
      </c>
      <c r="K47" s="35" t="n">
        <v>2946.09</v>
      </c>
      <c r="L47" s="18" t="n">
        <v>5167.39</v>
      </c>
      <c r="M47" s="18" t="n">
        <v>3031.47</v>
      </c>
      <c r="N47" s="18" t="n">
        <v>12637.83</v>
      </c>
      <c r="O47" s="18" t="n">
        <v>8777.639999999999</v>
      </c>
      <c r="P47" s="35" t="n">
        <v>8777.639999999999</v>
      </c>
      <c r="Q47" s="18" t="n">
        <v>13275.55</v>
      </c>
      <c r="R47" s="18" t="n">
        <v>15129.82</v>
      </c>
      <c r="S47" s="18" t="n">
        <v>15469.6</v>
      </c>
      <c r="T47" s="18" t="n">
        <v>13337.88</v>
      </c>
      <c r="U47" s="35" t="n">
        <v>13337.88</v>
      </c>
      <c r="V47" s="18" t="n">
        <v>8217.969999999999</v>
      </c>
      <c r="W47" s="18" t="n">
        <v>9463.98</v>
      </c>
      <c r="X47" s="18" t="n">
        <v>8083.8</v>
      </c>
      <c r="Y47" s="18" t="n">
        <v>7985.09</v>
      </c>
      <c r="Z47" s="35" t="n">
        <v>7985.09</v>
      </c>
      <c r="AA47" s="18" t="n">
        <v>8363.83</v>
      </c>
      <c r="AB47" s="36" t="n">
        <v>8352.73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13679.38</v>
      </c>
      <c r="F48" s="35" t="n">
        <v>13679.38</v>
      </c>
      <c r="G48" s="18" t="n">
        <v>15835.83</v>
      </c>
      <c r="H48" s="18" t="n">
        <v>10189.35</v>
      </c>
      <c r="I48" s="18" t="n">
        <v>8432.190000000001</v>
      </c>
      <c r="J48" s="18" t="n">
        <v>24417.7</v>
      </c>
      <c r="K48" s="35" t="n">
        <v>24417.7</v>
      </c>
      <c r="L48" s="18" t="n">
        <v>23323.17</v>
      </c>
      <c r="M48" s="18" t="n">
        <v>19840.6</v>
      </c>
      <c r="N48" s="18" t="n">
        <v>10747.91</v>
      </c>
      <c r="O48" s="18" t="n">
        <v>13078.32</v>
      </c>
      <c r="P48" s="35" t="n">
        <v>13078.32</v>
      </c>
      <c r="Q48" s="18" t="n">
        <v>12022.72</v>
      </c>
      <c r="R48" s="18" t="n">
        <v>4934.44</v>
      </c>
      <c r="S48" s="18" t="n">
        <v>5079.89</v>
      </c>
      <c r="T48" s="18" t="n">
        <v>10211.86</v>
      </c>
      <c r="U48" s="35" t="n">
        <v>10211.86</v>
      </c>
      <c r="V48" s="18" t="n">
        <v>13000.92</v>
      </c>
      <c r="W48" s="18" t="n">
        <v>2904.86</v>
      </c>
      <c r="X48" s="18" t="n">
        <v>1435.46</v>
      </c>
      <c r="Y48" s="18" t="n">
        <v>1651.04</v>
      </c>
      <c r="Z48" s="35" t="n">
        <v>1651.04</v>
      </c>
      <c r="AA48" s="18" t="n">
        <v>1310.03</v>
      </c>
      <c r="AB48" s="36" t="n">
        <v>1321.39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매각예정비유동자산및처분자산</t>
        </is>
      </c>
      <c r="F49" s="9" t="n"/>
      <c r="H49" s="18" t="n">
        <v>4984.2</v>
      </c>
      <c r="I49" s="18" t="n">
        <v>4984.2</v>
      </c>
      <c r="J49" s="18" t="n">
        <v>1500</v>
      </c>
      <c r="K49" s="35" t="n">
        <v>1500</v>
      </c>
      <c r="M49" s="18" t="n">
        <v>7295.21</v>
      </c>
      <c r="N49" s="18" t="n">
        <v>2191.7</v>
      </c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기타비유동자산</t>
        </is>
      </c>
      <c r="F50" s="9" t="n"/>
      <c r="J50" s="18" t="n">
        <v>20.85</v>
      </c>
      <c r="K50" s="35" t="n">
        <v>20.85</v>
      </c>
      <c r="O50" s="18" t="n">
        <v>27.37</v>
      </c>
      <c r="P50" s="35" t="n">
        <v>27.37</v>
      </c>
      <c r="U50" s="9" t="n"/>
      <c r="W50" s="18" t="n">
        <v>5130</v>
      </c>
      <c r="X50" s="18" t="n">
        <v>6430</v>
      </c>
      <c r="Y50" s="18" t="n">
        <v>6430</v>
      </c>
      <c r="Z50" s="35" t="n">
        <v>6430</v>
      </c>
      <c r="AA50" s="18" t="n">
        <v>6430</v>
      </c>
      <c r="AB50" s="36" t="n">
        <v>6430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기타비유동부채</t>
        </is>
      </c>
      <c r="F51" s="9" t="n"/>
      <c r="J51" s="18" t="n">
        <v>79.47</v>
      </c>
      <c r="K51" s="35" t="n">
        <v>79.47</v>
      </c>
      <c r="L51" s="18" t="n">
        <v>79.13</v>
      </c>
      <c r="M51" s="18" t="n">
        <v>78.84999999999999</v>
      </c>
      <c r="N51" s="18" t="n">
        <v>78.64</v>
      </c>
      <c r="O51" s="18" t="n">
        <v>78.47</v>
      </c>
      <c r="P51" s="35" t="n">
        <v>78.47</v>
      </c>
      <c r="Q51" s="18" t="n">
        <v>78.33</v>
      </c>
      <c r="R51" s="18" t="n">
        <v>78.23999999999999</v>
      </c>
      <c r="S51" s="18" t="n">
        <v>78.22</v>
      </c>
      <c r="U51" s="9" t="n"/>
      <c r="X51" s="18" t="n">
        <v>0.7</v>
      </c>
      <c r="Y51" s="18" t="n">
        <v>7</v>
      </c>
      <c r="Z51" s="35" t="n">
        <v>7</v>
      </c>
      <c r="AA51" s="18" t="n">
        <v>7</v>
      </c>
      <c r="AB51" s="36" t="n">
        <v>7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단기투자자산(공정가치)</t>
        </is>
      </c>
      <c r="F52" s="9" t="n"/>
      <c r="K52" s="9" t="n"/>
      <c r="P52" s="9" t="n"/>
      <c r="T52" s="18" t="n">
        <v>1784.66</v>
      </c>
      <c r="U52" s="35" t="n">
        <v>1784.66</v>
      </c>
      <c r="V52" s="18" t="n">
        <v>1628</v>
      </c>
      <c r="W52" s="18" t="n">
        <v>3140.6</v>
      </c>
      <c r="X52" s="18" t="n">
        <v>3017.22</v>
      </c>
      <c r="Y52" s="18" t="n">
        <v>3016.86</v>
      </c>
      <c r="Z52" s="35" t="n">
        <v>3016.86</v>
      </c>
      <c r="AA52" s="18" t="n">
        <v>3016.86</v>
      </c>
      <c r="AB52" s="36" t="n">
        <v>3016.86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매출액(수익)</t>
        </is>
      </c>
      <c r="E53" s="18" t="n">
        <v>4809.42</v>
      </c>
      <c r="F53" s="9" t="n"/>
      <c r="G53" s="18" t="n">
        <v>4597.83</v>
      </c>
      <c r="H53" s="18" t="n">
        <v>5553.56</v>
      </c>
      <c r="I53" s="18" t="n">
        <v>5839.84</v>
      </c>
      <c r="J53" s="18" t="n">
        <v>5825.87</v>
      </c>
      <c r="K53" s="35" t="n">
        <v>21817.1</v>
      </c>
      <c r="L53" s="18" t="n">
        <v>5404.06</v>
      </c>
      <c r="M53" s="18" t="n">
        <v>7635.73</v>
      </c>
      <c r="N53" s="18" t="n">
        <v>6755.32</v>
      </c>
      <c r="O53" s="18" t="n">
        <v>7080.08</v>
      </c>
      <c r="P53" s="35" t="n">
        <v>26875.19</v>
      </c>
      <c r="Q53" s="18" t="n">
        <v>7467.41</v>
      </c>
      <c r="R53" s="18" t="n">
        <v>7364.21</v>
      </c>
      <c r="S53" s="18" t="n">
        <v>7604.77</v>
      </c>
      <c r="T53" s="18" t="n">
        <v>8174.78</v>
      </c>
      <c r="U53" s="35" t="n">
        <v>30611.17</v>
      </c>
      <c r="V53" s="18" t="n">
        <v>6820.42</v>
      </c>
      <c r="W53" s="18" t="n">
        <v>7674.79</v>
      </c>
      <c r="X53" s="18" t="n">
        <v>6685.12</v>
      </c>
      <c r="Y53" s="18" t="n">
        <v>6980.62</v>
      </c>
      <c r="Z53" s="35" t="n">
        <v>28160.95</v>
      </c>
      <c r="AA53" s="18" t="n">
        <v>6328.73</v>
      </c>
      <c r="AB53" s="36" t="n">
        <v>6443.04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매출원가</t>
        </is>
      </c>
      <c r="E54" s="18" t="n">
        <v>5013.7</v>
      </c>
      <c r="F54" s="9" t="n"/>
      <c r="G54" s="18" t="n">
        <v>4430</v>
      </c>
      <c r="H54" s="18" t="n">
        <v>5271.69</v>
      </c>
      <c r="I54" s="18" t="n">
        <v>5731.14</v>
      </c>
      <c r="J54" s="18" t="n">
        <v>5725.16</v>
      </c>
      <c r="K54" s="35" t="n">
        <v>21157.99</v>
      </c>
      <c r="L54" s="18" t="n">
        <v>4849.87</v>
      </c>
      <c r="M54" s="18" t="n">
        <v>6739.24</v>
      </c>
      <c r="N54" s="18" t="n">
        <v>6227.6</v>
      </c>
      <c r="O54" s="18" t="n">
        <v>7137.58</v>
      </c>
      <c r="P54" s="35" t="n">
        <v>24954.29</v>
      </c>
      <c r="Q54" s="18" t="n">
        <v>6759.95</v>
      </c>
      <c r="R54" s="18" t="n">
        <v>7073.95</v>
      </c>
      <c r="S54" s="18" t="n">
        <v>7105.5</v>
      </c>
      <c r="T54" s="18" t="n">
        <v>7634.25</v>
      </c>
      <c r="U54" s="35" t="n">
        <v>28573.65</v>
      </c>
      <c r="V54" s="18" t="n">
        <v>6236.07</v>
      </c>
      <c r="W54" s="18" t="n">
        <v>6913.34</v>
      </c>
      <c r="X54" s="18" t="n">
        <v>5845.2</v>
      </c>
      <c r="Y54" s="18" t="n">
        <v>6998.24</v>
      </c>
      <c r="Z54" s="35" t="n">
        <v>25992.85</v>
      </c>
      <c r="AA54" s="18" t="n">
        <v>5776.2</v>
      </c>
      <c r="AB54" s="36" t="n">
        <v>6193.69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매출총이익</t>
        </is>
      </c>
      <c r="E55" s="18" t="n">
        <v>-204.28</v>
      </c>
      <c r="F55" s="9" t="n"/>
      <c r="G55" s="18" t="n">
        <v>167.83</v>
      </c>
      <c r="H55" s="18" t="n">
        <v>281.87</v>
      </c>
      <c r="I55" s="18" t="n">
        <v>108.71</v>
      </c>
      <c r="J55" s="18" t="n">
        <v>100.71</v>
      </c>
      <c r="K55" s="35" t="n">
        <v>659.12</v>
      </c>
      <c r="L55" s="18" t="n">
        <v>554.1799999999999</v>
      </c>
      <c r="M55" s="18" t="n">
        <v>896.49</v>
      </c>
      <c r="N55" s="18" t="n">
        <v>527.72</v>
      </c>
      <c r="O55" s="18" t="n">
        <v>-57.49</v>
      </c>
      <c r="P55" s="35" t="n">
        <v>1920.9</v>
      </c>
      <c r="Q55" s="18" t="n">
        <v>707.46</v>
      </c>
      <c r="R55" s="18" t="n">
        <v>290.26</v>
      </c>
      <c r="S55" s="18" t="n">
        <v>499.27</v>
      </c>
      <c r="T55" s="18" t="n">
        <v>540.53</v>
      </c>
      <c r="U55" s="35" t="n">
        <v>2037.52</v>
      </c>
      <c r="V55" s="18" t="n">
        <v>584.36</v>
      </c>
      <c r="W55" s="18" t="n">
        <v>761.45</v>
      </c>
      <c r="X55" s="18" t="n">
        <v>839.92</v>
      </c>
      <c r="Y55" s="18" t="n">
        <v>-17.62</v>
      </c>
      <c r="Z55" s="35" t="n">
        <v>2168.11</v>
      </c>
      <c r="AA55" s="18" t="n">
        <v>552.53</v>
      </c>
      <c r="AB55" s="36" t="n">
        <v>249.35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판관비</t>
        </is>
      </c>
      <c r="E56" s="18" t="n">
        <v>2634.04</v>
      </c>
      <c r="F56" s="9" t="n"/>
      <c r="G56" s="18" t="n">
        <v>2536.73</v>
      </c>
      <c r="H56" s="18" t="n">
        <v>2230.47</v>
      </c>
      <c r="I56" s="18" t="n">
        <v>3080.86</v>
      </c>
      <c r="J56" s="18" t="n">
        <v>5143.03</v>
      </c>
      <c r="K56" s="35" t="n">
        <v>12991.09</v>
      </c>
      <c r="L56" s="18" t="n">
        <v>3537.22</v>
      </c>
      <c r="M56" s="18" t="n">
        <v>2838.66</v>
      </c>
      <c r="N56" s="18" t="n">
        <v>3408.53</v>
      </c>
      <c r="O56" s="18" t="n">
        <v>2794.7</v>
      </c>
      <c r="P56" s="35" t="n">
        <v>12579.11</v>
      </c>
      <c r="Q56" s="18" t="n">
        <v>4075.94</v>
      </c>
      <c r="R56" s="18" t="n">
        <v>2583</v>
      </c>
      <c r="S56" s="18" t="n">
        <v>2740.67</v>
      </c>
      <c r="T56" s="18" t="n">
        <v>2683.71</v>
      </c>
      <c r="U56" s="35" t="n">
        <v>12083.32</v>
      </c>
      <c r="V56" s="18" t="n">
        <v>2607.25</v>
      </c>
      <c r="W56" s="18" t="n">
        <v>2215.07</v>
      </c>
      <c r="X56" s="18" t="n">
        <v>1762.98</v>
      </c>
      <c r="Y56" s="18" t="n">
        <v>1329.54</v>
      </c>
      <c r="Z56" s="35" t="n">
        <v>7914.84</v>
      </c>
      <c r="AA56" s="18" t="n">
        <v>1585.8</v>
      </c>
      <c r="AB56" s="36" t="n">
        <v>1362.9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영업이익</t>
        </is>
      </c>
      <c r="E57" s="18" t="n">
        <v>-2838.33</v>
      </c>
      <c r="F57" s="9" t="n"/>
      <c r="G57" s="18" t="n">
        <v>-2368.9</v>
      </c>
      <c r="H57" s="18" t="n">
        <v>-1948.6</v>
      </c>
      <c r="I57" s="18" t="n">
        <v>-2972.15</v>
      </c>
      <c r="J57" s="18" t="n">
        <v>-5042.31</v>
      </c>
      <c r="K57" s="35" t="n">
        <v>-12331.96</v>
      </c>
      <c r="L57" s="18" t="n">
        <v>-2983.04</v>
      </c>
      <c r="M57" s="18" t="n">
        <v>-1942.17</v>
      </c>
      <c r="N57" s="18" t="n">
        <v>-2880.81</v>
      </c>
      <c r="O57" s="18" t="n">
        <v>-2852.2</v>
      </c>
      <c r="P57" s="35" t="n">
        <v>-10658.22</v>
      </c>
      <c r="Q57" s="18" t="n">
        <v>-3368.48</v>
      </c>
      <c r="R57" s="18" t="n">
        <v>-2292.74</v>
      </c>
      <c r="S57" s="18" t="n">
        <v>-2241.4</v>
      </c>
      <c r="T57" s="18" t="n">
        <v>-2143.17</v>
      </c>
      <c r="U57" s="35" t="n">
        <v>-10045.79</v>
      </c>
      <c r="V57" s="18" t="n">
        <v>-2022.89</v>
      </c>
      <c r="W57" s="18" t="n">
        <v>-1453.62</v>
      </c>
      <c r="X57" s="18" t="n">
        <v>-923.0599999999999</v>
      </c>
      <c r="Y57" s="18" t="n">
        <v>-1347.17</v>
      </c>
      <c r="Z57" s="35" t="n">
        <v>-5746.74</v>
      </c>
      <c r="AA57" s="18" t="n">
        <v>-1033.27</v>
      </c>
      <c r="AB57" s="36" t="n">
        <v>-1113.54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금융수익</t>
        </is>
      </c>
      <c r="E58" s="18" t="n">
        <v>3372.23</v>
      </c>
      <c r="F58" s="9" t="n"/>
      <c r="G58" s="18" t="n">
        <v>336.26</v>
      </c>
      <c r="H58" s="18" t="n">
        <v>3307.63</v>
      </c>
      <c r="I58" s="18" t="n">
        <v>-233.44</v>
      </c>
      <c r="J58" s="18" t="n">
        <v>5218.29</v>
      </c>
      <c r="K58" s="35" t="n">
        <v>8628.74</v>
      </c>
      <c r="L58" s="18" t="n">
        <v>365.24</v>
      </c>
      <c r="M58" s="18" t="n">
        <v>2513.92</v>
      </c>
      <c r="N58" s="18" t="n">
        <v>7569.04</v>
      </c>
      <c r="O58" s="18" t="n">
        <v>-4478.1</v>
      </c>
      <c r="P58" s="35" t="n">
        <v>5970.1</v>
      </c>
      <c r="Q58" s="18" t="n">
        <v>458.14</v>
      </c>
      <c r="R58" s="18" t="n">
        <v>1097.83</v>
      </c>
      <c r="S58" s="18" t="n">
        <v>-204.38</v>
      </c>
      <c r="T58" s="18" t="n">
        <v>833.78</v>
      </c>
      <c r="U58" s="35" t="n">
        <v>2185.37</v>
      </c>
      <c r="V58" s="18" t="n">
        <v>79.13</v>
      </c>
      <c r="W58" s="18" t="n">
        <v>89.73999999999999</v>
      </c>
      <c r="X58" s="18" t="n">
        <v>23.78</v>
      </c>
      <c r="Y58" s="18" t="n">
        <v>30.87</v>
      </c>
      <c r="Z58" s="35" t="n">
        <v>223.52</v>
      </c>
      <c r="AA58" s="18" t="n">
        <v>11.23</v>
      </c>
      <c r="AB58" s="36" t="n">
        <v>10.52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금융비용</t>
        </is>
      </c>
      <c r="E59" s="18" t="n">
        <v>8967.860000000001</v>
      </c>
      <c r="F59" s="9" t="n"/>
      <c r="G59" s="18" t="n">
        <v>745.7</v>
      </c>
      <c r="H59" s="18" t="n">
        <v>2842.97</v>
      </c>
      <c r="I59" s="18" t="n">
        <v>11958.03</v>
      </c>
      <c r="J59" s="18" t="n">
        <v>9330.459999999999</v>
      </c>
      <c r="K59" s="35" t="n">
        <v>24877.16</v>
      </c>
      <c r="L59" s="18" t="n">
        <v>925.13</v>
      </c>
      <c r="M59" s="18" t="n">
        <v>7154.58</v>
      </c>
      <c r="N59" s="18" t="n">
        <v>11639.57</v>
      </c>
      <c r="O59" s="18" t="n">
        <v>4065.08</v>
      </c>
      <c r="P59" s="35" t="n">
        <v>23784.36</v>
      </c>
      <c r="Q59" s="18" t="n">
        <v>1316.39</v>
      </c>
      <c r="R59" s="18" t="n">
        <v>2987.89</v>
      </c>
      <c r="S59" s="18" t="n">
        <v>416.62</v>
      </c>
      <c r="T59" s="18" t="n">
        <v>3035.54</v>
      </c>
      <c r="U59" s="35" t="n">
        <v>7756.44</v>
      </c>
      <c r="V59" s="18" t="n">
        <v>660.61</v>
      </c>
      <c r="W59" s="18" t="n">
        <v>1260.14</v>
      </c>
      <c r="X59" s="18" t="n">
        <v>473.47</v>
      </c>
      <c r="Y59" s="18" t="n">
        <v>766.53</v>
      </c>
      <c r="Z59" s="35" t="n">
        <v>3160.75</v>
      </c>
      <c r="AA59" s="18" t="n">
        <v>237.51</v>
      </c>
      <c r="AB59" s="36" t="n">
        <v>236.49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기타영업외수익</t>
        </is>
      </c>
      <c r="E60" s="18" t="n">
        <v>17.53</v>
      </c>
      <c r="F60" s="9" t="n"/>
      <c r="G60" s="18" t="n">
        <v>109.02</v>
      </c>
      <c r="H60" s="18" t="n">
        <v>121.39</v>
      </c>
      <c r="I60" s="18" t="n">
        <v>682.23</v>
      </c>
      <c r="J60" s="18" t="n">
        <v>872.61</v>
      </c>
      <c r="K60" s="35" t="n">
        <v>1785.25</v>
      </c>
      <c r="L60" s="18" t="n">
        <v>15.98</v>
      </c>
      <c r="M60" s="18" t="n">
        <v>8.49</v>
      </c>
      <c r="N60" s="18" t="n">
        <v>1.65</v>
      </c>
      <c r="O60" s="18" t="n">
        <v>-3.38</v>
      </c>
      <c r="P60" s="35" t="n">
        <v>22.74</v>
      </c>
      <c r="Q60" s="18" t="n">
        <v>3.75</v>
      </c>
      <c r="R60" s="18" t="n">
        <v>62.98</v>
      </c>
      <c r="S60" s="18" t="n">
        <v>11.74</v>
      </c>
      <c r="T60" s="18" t="n">
        <v>21.99</v>
      </c>
      <c r="U60" s="35" t="n">
        <v>100.46</v>
      </c>
      <c r="V60" s="18" t="n">
        <v>189.76</v>
      </c>
      <c r="W60" s="18" t="n">
        <v>308.6</v>
      </c>
      <c r="X60" s="18" t="n">
        <v>7</v>
      </c>
      <c r="Y60" s="18" t="n">
        <v>442.56</v>
      </c>
      <c r="Z60" s="35" t="n">
        <v>947.92</v>
      </c>
      <c r="AA60" s="18" t="n">
        <v>21.39</v>
      </c>
      <c r="AB60" s="36" t="n">
        <v>133.09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기타영업외비용</t>
        </is>
      </c>
      <c r="E61" s="18" t="n">
        <v>681.41</v>
      </c>
      <c r="F61" s="9" t="n"/>
      <c r="G61" s="18" t="n">
        <v>28.52</v>
      </c>
      <c r="H61" s="18" t="n">
        <v>71.98999999999999</v>
      </c>
      <c r="I61" s="18" t="n">
        <v>-21.1</v>
      </c>
      <c r="J61" s="18" t="n">
        <v>4333.13</v>
      </c>
      <c r="K61" s="35" t="n">
        <v>4412.54</v>
      </c>
      <c r="L61" s="18" t="n">
        <v>8.93</v>
      </c>
      <c r="M61" s="18" t="n">
        <v>0.04</v>
      </c>
      <c r="N61" s="18" t="n">
        <v>117.95</v>
      </c>
      <c r="O61" s="18" t="n">
        <v>9.41</v>
      </c>
      <c r="P61" s="35" t="n">
        <v>136.33</v>
      </c>
      <c r="Q61" s="18" t="n">
        <v>1.52</v>
      </c>
      <c r="R61" s="18" t="n">
        <v>26.56</v>
      </c>
      <c r="S61" s="18" t="n">
        <v>0.01</v>
      </c>
      <c r="T61" s="18" t="n">
        <v>2833.54</v>
      </c>
      <c r="U61" s="35" t="n">
        <v>2861.63</v>
      </c>
      <c r="V61" s="18" t="n">
        <v>36.88</v>
      </c>
      <c r="W61" s="18" t="n">
        <v>998.86</v>
      </c>
      <c r="X61" s="18" t="n">
        <v>404.48</v>
      </c>
      <c r="Y61" s="18" t="n">
        <v>-376.36</v>
      </c>
      <c r="Z61" s="35" t="n">
        <v>1063.86</v>
      </c>
      <c r="AA61" s="18" t="n">
        <v>331.15</v>
      </c>
      <c r="AB61" s="36" t="n">
        <v>59.44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종속기업,공동지배기업및관계기업관련손익</t>
        </is>
      </c>
      <c r="E62" s="18" t="n">
        <v>-606.45</v>
      </c>
      <c r="F62" s="9" t="n"/>
      <c r="G62" s="18" t="n">
        <v>1593.59</v>
      </c>
      <c r="H62" s="18" t="n">
        <v>291.95</v>
      </c>
      <c r="I62" s="18" t="n">
        <v>-317.79</v>
      </c>
      <c r="J62" s="18" t="n">
        <v>317.79</v>
      </c>
      <c r="K62" s="35" t="n">
        <v>1885.54</v>
      </c>
      <c r="M62" s="18" t="n">
        <v>912.04</v>
      </c>
      <c r="O62" s="18" t="n">
        <v>1440.45</v>
      </c>
      <c r="P62" s="9" t="n"/>
      <c r="Q62" s="18" t="n">
        <v>1362.93</v>
      </c>
      <c r="R62" s="18" t="n">
        <v>-1362.93</v>
      </c>
      <c r="S62" s="18" t="n">
        <v>884.74</v>
      </c>
      <c r="T62" s="18" t="n">
        <v>676.47</v>
      </c>
      <c r="U62" s="35" t="n">
        <v>1561.21</v>
      </c>
      <c r="V62" s="18" t="n">
        <v>8.49</v>
      </c>
      <c r="W62" s="18" t="n">
        <v>-141.66</v>
      </c>
      <c r="X62" s="18" t="n">
        <v>147.29</v>
      </c>
      <c r="Y62" s="18" t="n">
        <v>2235.63</v>
      </c>
      <c r="Z62" s="35" t="n">
        <v>2249.75</v>
      </c>
      <c r="AB62" s="36" t="n">
        <v>194.33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지분법관련손익</t>
        </is>
      </c>
      <c r="E63" s="18" t="n">
        <v>-606.45</v>
      </c>
      <c r="F63" s="9" t="n"/>
      <c r="G63" s="18" t="n">
        <v>1593.59</v>
      </c>
      <c r="H63" s="18" t="n">
        <v>291.95</v>
      </c>
      <c r="I63" s="18" t="n">
        <v>-317.79</v>
      </c>
      <c r="J63" s="18" t="n">
        <v>317.79</v>
      </c>
      <c r="K63" s="35" t="n">
        <v>1885.54</v>
      </c>
      <c r="M63" s="18" t="n">
        <v>912.04</v>
      </c>
      <c r="O63" s="18" t="n">
        <v>1440.45</v>
      </c>
      <c r="P63" s="9" t="n"/>
      <c r="Q63" s="18" t="n">
        <v>1362.93</v>
      </c>
      <c r="R63" s="18" t="n">
        <v>-1362.93</v>
      </c>
      <c r="S63" s="18" t="n">
        <v>884.74</v>
      </c>
      <c r="T63" s="18" t="n">
        <v>676.47</v>
      </c>
      <c r="U63" s="35" t="n">
        <v>1561.21</v>
      </c>
      <c r="V63" s="18" t="n">
        <v>8.49</v>
      </c>
      <c r="W63" s="18" t="n">
        <v>-141.66</v>
      </c>
      <c r="X63" s="18" t="n">
        <v>147.29</v>
      </c>
      <c r="Y63" s="18" t="n">
        <v>2235.63</v>
      </c>
      <c r="Z63" s="35" t="n">
        <v>2249.75</v>
      </c>
      <c r="AB63" s="36" t="n">
        <v>194.33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법인세비용차감전계속사업이익</t>
        </is>
      </c>
      <c r="E64" s="18" t="n">
        <v>-12320.43</v>
      </c>
      <c r="F64" s="9" t="n"/>
      <c r="G64" s="18" t="n">
        <v>-1569.02</v>
      </c>
      <c r="H64" s="18" t="n">
        <v>-5828.65</v>
      </c>
      <c r="I64" s="18" t="n">
        <v>-14762.79</v>
      </c>
      <c r="J64" s="18" t="n">
        <v>-20458.16</v>
      </c>
      <c r="K64" s="35" t="n">
        <v>-42618.62</v>
      </c>
      <c r="L64" s="18" t="n">
        <v>-3537.37</v>
      </c>
      <c r="M64" s="18" t="n">
        <v>-9531</v>
      </c>
      <c r="N64" s="18" t="n">
        <v>-5966.22</v>
      </c>
      <c r="O64" s="18" t="n">
        <v>-12117.71</v>
      </c>
      <c r="P64" s="35" t="n">
        <v>-31152.3</v>
      </c>
      <c r="Q64" s="18" t="n">
        <v>-3037.41</v>
      </c>
      <c r="R64" s="18" t="n">
        <v>-7320.18</v>
      </c>
      <c r="S64" s="18" t="n">
        <v>-3791</v>
      </c>
      <c r="T64" s="18" t="n">
        <v>-7348.12</v>
      </c>
      <c r="U64" s="35" t="n">
        <v>-21496.71</v>
      </c>
      <c r="V64" s="18" t="n">
        <v>-2882.53</v>
      </c>
      <c r="W64" s="18" t="n">
        <v>-3724.17</v>
      </c>
      <c r="X64" s="18" t="n">
        <v>-1917.52</v>
      </c>
      <c r="Y64" s="18" t="n">
        <v>-3241.36</v>
      </c>
      <c r="Z64" s="35" t="n">
        <v>-11765.58</v>
      </c>
      <c r="AA64" s="18" t="n">
        <v>-1569.31</v>
      </c>
      <c r="AB64" s="36" t="n">
        <v>-1071.55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당기순이익</t>
        </is>
      </c>
      <c r="E65" s="18" t="n">
        <v>-12320.43</v>
      </c>
      <c r="F65" s="9" t="n"/>
      <c r="G65" s="18" t="n">
        <v>-1569.02</v>
      </c>
      <c r="H65" s="18" t="n">
        <v>-5828.65</v>
      </c>
      <c r="I65" s="18" t="n">
        <v>-14762.79</v>
      </c>
      <c r="J65" s="18" t="n">
        <v>-20458.16</v>
      </c>
      <c r="K65" s="35" t="n">
        <v>-42618.62</v>
      </c>
      <c r="L65" s="18" t="n">
        <v>-3537.37</v>
      </c>
      <c r="M65" s="18" t="n">
        <v>-9531</v>
      </c>
      <c r="N65" s="18" t="n">
        <v>-5966.22</v>
      </c>
      <c r="O65" s="18" t="n">
        <v>-15392.08</v>
      </c>
      <c r="P65" s="35" t="n">
        <v>-34426.67</v>
      </c>
      <c r="Q65" s="18" t="n">
        <v>-2948.07</v>
      </c>
      <c r="R65" s="18" t="n">
        <v>-7420.18</v>
      </c>
      <c r="S65" s="18" t="n">
        <v>-3791</v>
      </c>
      <c r="T65" s="18" t="n">
        <v>-7275.67</v>
      </c>
      <c r="U65" s="35" t="n">
        <v>-21434.92</v>
      </c>
      <c r="V65" s="18" t="n">
        <v>-2882.53</v>
      </c>
      <c r="W65" s="18" t="n">
        <v>-3724.17</v>
      </c>
      <c r="X65" s="18" t="n">
        <v>-1917.52</v>
      </c>
      <c r="Y65" s="18" t="n">
        <v>-3371.12</v>
      </c>
      <c r="Z65" s="35" t="n">
        <v>-11895.34</v>
      </c>
      <c r="AA65" s="18" t="n">
        <v>-1569.31</v>
      </c>
      <c r="AB65" s="36" t="n">
        <v>-1071.55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총포괄손익</t>
        </is>
      </c>
      <c r="E66" s="18" t="n">
        <v>-12299.76</v>
      </c>
      <c r="F66" s="9" t="n"/>
      <c r="G66" s="18" t="n">
        <v>-1489.17</v>
      </c>
      <c r="H66" s="18" t="n">
        <v>-5747.72</v>
      </c>
      <c r="I66" s="18" t="n">
        <v>-14675</v>
      </c>
      <c r="J66" s="18" t="n">
        <v>-21619.58</v>
      </c>
      <c r="K66" s="35" t="n">
        <v>-43531.47</v>
      </c>
      <c r="L66" s="18" t="n">
        <v>-3645.96</v>
      </c>
      <c r="M66" s="18" t="n">
        <v>-9507.459999999999</v>
      </c>
      <c r="N66" s="18" t="n">
        <v>-5948.59</v>
      </c>
      <c r="O66" s="18" t="n">
        <v>-12669.59</v>
      </c>
      <c r="P66" s="35" t="n">
        <v>-31771.6</v>
      </c>
      <c r="Q66" s="18" t="n">
        <v>-2740.52</v>
      </c>
      <c r="R66" s="18" t="n">
        <v>-9901.129999999999</v>
      </c>
      <c r="S66" s="18" t="n">
        <v>-4396.5</v>
      </c>
      <c r="T66" s="18" t="n">
        <v>-4770.54</v>
      </c>
      <c r="U66" s="35" t="n">
        <v>-21808.69</v>
      </c>
      <c r="V66" s="18" t="n">
        <v>-3186.89</v>
      </c>
      <c r="W66" s="18" t="n">
        <v>-3908.19</v>
      </c>
      <c r="X66" s="18" t="n">
        <v>-1653.8</v>
      </c>
      <c r="Y66" s="18" t="n">
        <v>-3532.67</v>
      </c>
      <c r="Z66" s="35" t="n">
        <v>-12281.55</v>
      </c>
      <c r="AA66" s="18" t="n">
        <v>-1472.83</v>
      </c>
      <c r="AB66" s="36" t="n">
        <v>-1134.27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(지배주주지분)당기순이익</t>
        </is>
      </c>
      <c r="E67" s="18" t="n">
        <v>-12317.28</v>
      </c>
      <c r="F67" s="9" t="n"/>
      <c r="G67" s="18" t="n">
        <v>-1642.51</v>
      </c>
      <c r="H67" s="18" t="n">
        <v>-5792.25</v>
      </c>
      <c r="I67" s="18" t="n">
        <v>-14762.38</v>
      </c>
      <c r="J67" s="18" t="n">
        <v>-20421.47</v>
      </c>
      <c r="K67" s="35" t="n">
        <v>-42618.61</v>
      </c>
      <c r="L67" s="18" t="n">
        <v>-3537.37</v>
      </c>
      <c r="M67" s="18" t="n">
        <v>-9531</v>
      </c>
      <c r="N67" s="18" t="n">
        <v>-5966.22</v>
      </c>
      <c r="O67" s="18" t="n">
        <v>-15392.08</v>
      </c>
      <c r="P67" s="35" t="n">
        <v>-34426.67</v>
      </c>
      <c r="Q67" s="18" t="n">
        <v>-2948.07</v>
      </c>
      <c r="R67" s="18" t="n">
        <v>-7420.18</v>
      </c>
      <c r="S67" s="18" t="n">
        <v>-3791</v>
      </c>
      <c r="T67" s="18" t="n">
        <v>-7275.67</v>
      </c>
      <c r="U67" s="35" t="n">
        <v>-21434.92</v>
      </c>
      <c r="V67" s="18" t="n">
        <v>-2882.53</v>
      </c>
      <c r="W67" s="18" t="n">
        <v>-3724.17</v>
      </c>
      <c r="X67" s="18" t="n">
        <v>-1917.52</v>
      </c>
      <c r="Y67" s="18" t="n">
        <v>-3371.12</v>
      </c>
      <c r="Z67" s="35" t="n">
        <v>-11895.34</v>
      </c>
      <c r="AA67" s="18" t="n">
        <v>-1569.31</v>
      </c>
      <c r="AB67" s="36" t="n">
        <v>-1071.55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금융손익</t>
        </is>
      </c>
      <c r="E68" s="18" t="n">
        <v>-5595.63</v>
      </c>
      <c r="F68" s="9" t="n"/>
      <c r="G68" s="18" t="n">
        <v>-409.44</v>
      </c>
      <c r="H68" s="18" t="n">
        <v>464.66</v>
      </c>
      <c r="I68" s="18" t="n">
        <v>-12191.47</v>
      </c>
      <c r="J68" s="18" t="n">
        <v>-4112.17</v>
      </c>
      <c r="K68" s="35" t="n">
        <v>-16248.42</v>
      </c>
      <c r="L68" s="18" t="n">
        <v>-559.89</v>
      </c>
      <c r="M68" s="18" t="n">
        <v>-4640.66</v>
      </c>
      <c r="N68" s="18" t="n">
        <v>-4070.53</v>
      </c>
      <c r="O68" s="18" t="n">
        <v>-8543.18</v>
      </c>
      <c r="P68" s="35" t="n">
        <v>-17814.26</v>
      </c>
      <c r="Q68" s="18" t="n">
        <v>-858.25</v>
      </c>
      <c r="R68" s="18" t="n">
        <v>-1890.06</v>
      </c>
      <c r="S68" s="18" t="n">
        <v>-621</v>
      </c>
      <c r="T68" s="18" t="n">
        <v>-2201.76</v>
      </c>
      <c r="U68" s="35" t="n">
        <v>-5571.07</v>
      </c>
      <c r="V68" s="18" t="n">
        <v>-581.48</v>
      </c>
      <c r="W68" s="18" t="n">
        <v>-1170.4</v>
      </c>
      <c r="X68" s="18" t="n">
        <v>-449.69</v>
      </c>
      <c r="Y68" s="18" t="n">
        <v>-735.66</v>
      </c>
      <c r="Z68" s="35" t="n">
        <v>-2937.23</v>
      </c>
      <c r="AA68" s="18" t="n">
        <v>-226.28</v>
      </c>
      <c r="AB68" s="36" t="n">
        <v>-225.97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기타영업외손익</t>
        </is>
      </c>
      <c r="E69" s="18" t="n">
        <v>-663.88</v>
      </c>
      <c r="F69" s="9" t="n"/>
      <c r="G69" s="18" t="n">
        <v>80.5</v>
      </c>
      <c r="H69" s="18" t="n">
        <v>49.4</v>
      </c>
      <c r="I69" s="18" t="n">
        <v>703.33</v>
      </c>
      <c r="J69" s="18" t="n">
        <v>-3460.52</v>
      </c>
      <c r="K69" s="35" t="n">
        <v>-2627.29</v>
      </c>
      <c r="L69" s="18" t="n">
        <v>7.05</v>
      </c>
      <c r="M69" s="18" t="n">
        <v>8.449999999999999</v>
      </c>
      <c r="N69" s="18" t="n">
        <v>-116.3</v>
      </c>
      <c r="O69" s="18" t="n">
        <v>-12.79</v>
      </c>
      <c r="P69" s="35" t="n">
        <v>-113.59</v>
      </c>
      <c r="Q69" s="18" t="n">
        <v>2.23</v>
      </c>
      <c r="R69" s="18" t="n">
        <v>36.42</v>
      </c>
      <c r="S69" s="18" t="n">
        <v>11.73</v>
      </c>
      <c r="T69" s="18" t="n">
        <v>-2811.55</v>
      </c>
      <c r="U69" s="35" t="n">
        <v>-2761.17</v>
      </c>
      <c r="V69" s="18" t="n">
        <v>152.88</v>
      </c>
      <c r="W69" s="18" t="n">
        <v>-690.26</v>
      </c>
      <c r="X69" s="18" t="n">
        <v>-397.48</v>
      </c>
      <c r="Y69" s="18" t="n">
        <v>818.92</v>
      </c>
      <c r="Z69" s="35" t="n">
        <v>-115.94</v>
      </c>
      <c r="AA69" s="18" t="n">
        <v>-309.76</v>
      </c>
      <c r="AB69" s="36" t="n">
        <v>73.65000000000001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계속사업이익</t>
        </is>
      </c>
      <c r="E70" s="18" t="n">
        <v>-12320.43</v>
      </c>
      <c r="F70" s="9" t="n"/>
      <c r="G70" s="18" t="n">
        <v>-1569.02</v>
      </c>
      <c r="H70" s="18" t="n">
        <v>-5828.65</v>
      </c>
      <c r="I70" s="18" t="n">
        <v>-14762.79</v>
      </c>
      <c r="J70" s="18" t="n">
        <v>-20458.16</v>
      </c>
      <c r="K70" s="35" t="n">
        <v>-42618.62</v>
      </c>
      <c r="L70" s="18" t="n">
        <v>-3537.37</v>
      </c>
      <c r="M70" s="18" t="n">
        <v>-9531</v>
      </c>
      <c r="N70" s="18" t="n">
        <v>-5966.22</v>
      </c>
      <c r="O70" s="18" t="n">
        <v>-12117.71</v>
      </c>
      <c r="P70" s="35" t="n">
        <v>-31152.3</v>
      </c>
      <c r="Q70" s="18" t="n">
        <v>-3037.41</v>
      </c>
      <c r="R70" s="18" t="n">
        <v>-7320.18</v>
      </c>
      <c r="S70" s="18" t="n">
        <v>-3791</v>
      </c>
      <c r="T70" s="18" t="n">
        <v>-7275.67</v>
      </c>
      <c r="U70" s="35" t="n">
        <v>-21424.26</v>
      </c>
      <c r="V70" s="18" t="n">
        <v>-2882.53</v>
      </c>
      <c r="W70" s="18" t="n">
        <v>-3724.17</v>
      </c>
      <c r="X70" s="18" t="n">
        <v>-1917.52</v>
      </c>
      <c r="Y70" s="18" t="n">
        <v>-3371.12</v>
      </c>
      <c r="Z70" s="35" t="n">
        <v>-11895.34</v>
      </c>
      <c r="AA70" s="18" t="n">
        <v>-1569.31</v>
      </c>
      <c r="AB70" s="36" t="n">
        <v>-1071.55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(비지배주주지분)당기순이익</t>
        </is>
      </c>
      <c r="F71" s="9" t="n"/>
      <c r="G71" s="18" t="n">
        <v>73.5</v>
      </c>
      <c r="H71" s="18" t="n">
        <v>-36.39</v>
      </c>
      <c r="I71" s="18" t="n">
        <v>-0.41</v>
      </c>
      <c r="K71" s="9" t="n"/>
      <c r="P71" s="9" t="n"/>
      <c r="U71" s="9" t="n"/>
      <c r="Z71" s="9" t="n"/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이자수익</t>
        </is>
      </c>
      <c r="F72" s="9" t="n"/>
      <c r="G72" s="18" t="n">
        <v>267.89</v>
      </c>
      <c r="H72" s="18" t="n">
        <v>-118.92</v>
      </c>
      <c r="I72" s="18" t="n">
        <v>70.78</v>
      </c>
      <c r="J72" s="18" t="n">
        <v>67.09</v>
      </c>
      <c r="K72" s="35" t="n">
        <v>286.84</v>
      </c>
      <c r="L72" s="18" t="n">
        <v>208.44</v>
      </c>
      <c r="M72" s="18" t="n">
        <v>71.14</v>
      </c>
      <c r="N72" s="18" t="n">
        <v>116.87</v>
      </c>
      <c r="O72" s="18" t="n">
        <v>77.31999999999999</v>
      </c>
      <c r="P72" s="35" t="n">
        <v>473.77</v>
      </c>
      <c r="Q72" s="18" t="n">
        <v>93.67</v>
      </c>
      <c r="R72" s="18" t="n">
        <v>66.84999999999999</v>
      </c>
      <c r="S72" s="18" t="n">
        <v>45.63</v>
      </c>
      <c r="T72" s="18" t="n">
        <v>45.21</v>
      </c>
      <c r="U72" s="35" t="n">
        <v>251.36</v>
      </c>
      <c r="V72" s="18" t="n">
        <v>45.58</v>
      </c>
      <c r="W72" s="18" t="n">
        <v>41.58</v>
      </c>
      <c r="X72" s="18" t="n">
        <v>23.79</v>
      </c>
      <c r="Y72" s="18" t="n">
        <v>14.71</v>
      </c>
      <c r="Z72" s="35" t="n">
        <v>125.66</v>
      </c>
      <c r="AA72" s="18" t="n">
        <v>11.23</v>
      </c>
      <c r="AB72" s="36" t="n">
        <v>10.45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이자비용</t>
        </is>
      </c>
      <c r="F73" s="9" t="n"/>
      <c r="G73" s="18" t="n">
        <v>744.6900000000001</v>
      </c>
      <c r="H73" s="18" t="n">
        <v>868.11</v>
      </c>
      <c r="I73" s="18" t="n">
        <v>556.91</v>
      </c>
      <c r="J73" s="18" t="n">
        <v>523.46</v>
      </c>
      <c r="K73" s="35" t="n">
        <v>2693.17</v>
      </c>
      <c r="L73" s="18" t="n">
        <v>924.98</v>
      </c>
      <c r="M73" s="18" t="n">
        <v>991.97</v>
      </c>
      <c r="N73" s="18" t="n">
        <v>1041.97</v>
      </c>
      <c r="O73" s="18" t="n">
        <v>989.5</v>
      </c>
      <c r="P73" s="35" t="n">
        <v>3948.42</v>
      </c>
      <c r="Q73" s="18" t="n">
        <v>602.78</v>
      </c>
      <c r="R73" s="18" t="n">
        <v>530.4</v>
      </c>
      <c r="S73" s="18" t="n">
        <v>605.61</v>
      </c>
      <c r="T73" s="18" t="n">
        <v>569.74</v>
      </c>
      <c r="U73" s="35" t="n">
        <v>2308.53</v>
      </c>
      <c r="V73" s="18" t="n">
        <v>503.95</v>
      </c>
      <c r="W73" s="18" t="n">
        <v>417.01</v>
      </c>
      <c r="X73" s="18" t="n">
        <v>275.38</v>
      </c>
      <c r="Y73" s="18" t="n">
        <v>255.53</v>
      </c>
      <c r="Z73" s="35" t="n">
        <v>1451.87</v>
      </c>
      <c r="AA73" s="18" t="n">
        <v>237.51</v>
      </c>
      <c r="AB73" s="36" t="n">
        <v>236.48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외환차손</t>
        </is>
      </c>
      <c r="F74" s="9" t="n"/>
      <c r="G74" s="18" t="n">
        <v>0.46</v>
      </c>
      <c r="H74" s="18" t="n">
        <v>0.07000000000000001</v>
      </c>
      <c r="I74" s="18" t="n">
        <v>0</v>
      </c>
      <c r="J74" s="18" t="n">
        <v>0</v>
      </c>
      <c r="K74" s="35" t="n">
        <v>0.53</v>
      </c>
      <c r="L74" s="18" t="n">
        <v>0.15</v>
      </c>
      <c r="M74" s="18" t="n">
        <v>0.22</v>
      </c>
      <c r="N74" s="18" t="n">
        <v>0</v>
      </c>
      <c r="O74" s="18" t="n">
        <v>0.04</v>
      </c>
      <c r="P74" s="35" t="n">
        <v>0.41</v>
      </c>
      <c r="S74" s="18" t="n">
        <v>0.03</v>
      </c>
      <c r="T74" s="18" t="n">
        <v>0.01</v>
      </c>
      <c r="U74" s="9" t="n"/>
      <c r="Y74" s="18" t="n">
        <v>0.64</v>
      </c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외화환산손실</t>
        </is>
      </c>
      <c r="F75" s="9" t="n"/>
      <c r="G75" s="18" t="n">
        <v>0.04</v>
      </c>
      <c r="H75" s="18" t="n">
        <v>-0.04</v>
      </c>
      <c r="I75" s="18" t="n">
        <v>1.58</v>
      </c>
      <c r="J75" s="18" t="n">
        <v>0</v>
      </c>
      <c r="K75" s="35" t="n">
        <v>1.58</v>
      </c>
      <c r="P75" s="9" t="n"/>
      <c r="S75" s="18" t="n">
        <v>0</v>
      </c>
      <c r="T75" s="18" t="n">
        <v>0</v>
      </c>
      <c r="U75" s="9" t="n"/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파생상품이익</t>
        </is>
      </c>
      <c r="F76" s="9" t="n"/>
      <c r="G76" s="18" t="n">
        <v>68.36</v>
      </c>
      <c r="H76" s="18" t="n">
        <v>3032.4</v>
      </c>
      <c r="I76" s="18" t="n">
        <v>-1759.14</v>
      </c>
      <c r="J76" s="18" t="n">
        <v>-164.84</v>
      </c>
      <c r="K76" s="35" t="n">
        <v>1176.78</v>
      </c>
      <c r="M76" s="18" t="n">
        <v>1199.03</v>
      </c>
      <c r="N76" s="18" t="n">
        <v>8686.6</v>
      </c>
      <c r="O76" s="18" t="n">
        <v>-5709.99</v>
      </c>
      <c r="P76" s="9" t="n"/>
      <c r="Q76" s="18" t="n">
        <v>85.59999999999999</v>
      </c>
      <c r="R76" s="18" t="n">
        <v>904.89</v>
      </c>
      <c r="S76" s="18" t="n">
        <v>0</v>
      </c>
      <c r="T76" s="18" t="n">
        <v>128.01</v>
      </c>
      <c r="U76" s="35" t="n">
        <v>1118.5</v>
      </c>
      <c r="X76" s="18" t="n">
        <v>0</v>
      </c>
      <c r="Y76" s="18" t="n">
        <v>0</v>
      </c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이자손익</t>
        </is>
      </c>
      <c r="F77" s="9" t="n"/>
      <c r="G77" s="18" t="n">
        <v>-476.8</v>
      </c>
      <c r="H77" s="18" t="n">
        <v>-987.03</v>
      </c>
      <c r="I77" s="18" t="n">
        <v>-486.13</v>
      </c>
      <c r="J77" s="18" t="n">
        <v>-456.37</v>
      </c>
      <c r="K77" s="35" t="n">
        <v>-2406.33</v>
      </c>
      <c r="L77" s="18" t="n">
        <v>-716.54</v>
      </c>
      <c r="M77" s="18" t="n">
        <v>-920.83</v>
      </c>
      <c r="N77" s="18" t="n">
        <v>-925.1</v>
      </c>
      <c r="O77" s="18" t="n">
        <v>-912.1799999999999</v>
      </c>
      <c r="P77" s="35" t="n">
        <v>-3474.65</v>
      </c>
      <c r="Q77" s="18" t="n">
        <v>-509.11</v>
      </c>
      <c r="R77" s="18" t="n">
        <v>-463.55</v>
      </c>
      <c r="S77" s="18" t="n">
        <v>-559.98</v>
      </c>
      <c r="T77" s="18" t="n">
        <v>-524.53</v>
      </c>
      <c r="U77" s="35" t="n">
        <v>-2057.17</v>
      </c>
      <c r="V77" s="18" t="n">
        <v>-458.37</v>
      </c>
      <c r="W77" s="18" t="n">
        <v>-375.43</v>
      </c>
      <c r="X77" s="18" t="n">
        <v>-251.59</v>
      </c>
      <c r="Y77" s="18" t="n">
        <v>-240.82</v>
      </c>
      <c r="Z77" s="35" t="n">
        <v>-1326.21</v>
      </c>
      <c r="AA77" s="18" t="n">
        <v>-226.28</v>
      </c>
      <c r="AB77" s="36" t="n">
        <v>-226.03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외환차익</t>
        </is>
      </c>
      <c r="F78" s="9" t="n"/>
      <c r="H78" s="18" t="n">
        <v>0.1</v>
      </c>
      <c r="I78" s="18" t="n">
        <v>0</v>
      </c>
      <c r="J78" s="18" t="n">
        <v>0.47</v>
      </c>
      <c r="K78" s="9" t="n"/>
      <c r="P78" s="9" t="n"/>
      <c r="S78" s="18" t="n">
        <v>0.54</v>
      </c>
      <c r="T78" s="18" t="n">
        <v>0</v>
      </c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파생상품손실</t>
        </is>
      </c>
      <c r="F79" s="9" t="n"/>
      <c r="H79" s="18" t="n">
        <v>1974.74</v>
      </c>
      <c r="I79" s="18" t="n">
        <v>11399.54</v>
      </c>
      <c r="J79" s="18" t="n">
        <v>3726.4</v>
      </c>
      <c r="K79" s="9" t="n"/>
      <c r="M79" s="18" t="n">
        <v>2020.16</v>
      </c>
      <c r="N79" s="18" t="n">
        <v>5804.27</v>
      </c>
      <c r="O79" s="18" t="n">
        <v>-1067.32</v>
      </c>
      <c r="P79" s="9" t="n"/>
      <c r="Q79" s="18" t="n">
        <v>339.23</v>
      </c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외화환산이익</t>
        </is>
      </c>
      <c r="F80" s="9" t="n"/>
      <c r="K80" s="9" t="n"/>
      <c r="L80" s="18" t="n">
        <v>0.08</v>
      </c>
      <c r="M80" s="18" t="n">
        <v>-0.08</v>
      </c>
      <c r="P80" s="9" t="n"/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중단사업이익</t>
        </is>
      </c>
      <c r="F81" s="9" t="n"/>
      <c r="K81" s="9" t="n"/>
      <c r="O81" s="18" t="n">
        <v>-3274.37</v>
      </c>
      <c r="P81" s="9" t="n"/>
      <c r="Q81" s="18" t="n">
        <v>89.34999999999999</v>
      </c>
      <c r="R81" s="18" t="n">
        <v>-100</v>
      </c>
      <c r="T81" s="18" t="n">
        <v>0</v>
      </c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배당금수익</t>
        </is>
      </c>
      <c r="F82" s="9" t="n"/>
      <c r="K82" s="9" t="n"/>
      <c r="P82" s="9" t="n"/>
      <c r="S82" s="18" t="n">
        <v>0</v>
      </c>
      <c r="T82" s="18" t="n">
        <v>0</v>
      </c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영업활동으로인한현금흐름</t>
        </is>
      </c>
      <c r="E83" s="18" t="n">
        <v>-2387.98</v>
      </c>
      <c r="F83" s="9" t="n"/>
      <c r="G83" s="18" t="n">
        <v>-1733.61</v>
      </c>
      <c r="H83" s="18" t="n">
        <v>-3096.92</v>
      </c>
      <c r="I83" s="18" t="n">
        <v>-4514.04</v>
      </c>
      <c r="J83" s="18" t="n">
        <v>188.71</v>
      </c>
      <c r="K83" s="35" t="n">
        <v>-9155.860000000001</v>
      </c>
      <c r="L83" s="18" t="n">
        <v>-1684.15</v>
      </c>
      <c r="M83" s="18" t="n">
        <v>-933.5</v>
      </c>
      <c r="N83" s="18" t="n">
        <v>-2185.25</v>
      </c>
      <c r="O83" s="18" t="n">
        <v>-4088.91</v>
      </c>
      <c r="P83" s="35" t="n">
        <v>-8891.809999999999</v>
      </c>
      <c r="Q83" s="18" t="n">
        <v>-2478.68</v>
      </c>
      <c r="R83" s="18" t="n">
        <v>-2037.53</v>
      </c>
      <c r="S83" s="18" t="n">
        <v>-1587.31</v>
      </c>
      <c r="T83" s="18" t="n">
        <v>-529.95</v>
      </c>
      <c r="U83" s="35" t="n">
        <v>-6633.47</v>
      </c>
      <c r="V83" s="18" t="n">
        <v>-2257.47</v>
      </c>
      <c r="W83" s="18" t="n">
        <v>-286.45</v>
      </c>
      <c r="X83" s="18" t="n">
        <v>-809.8099999999999</v>
      </c>
      <c r="Y83" s="18" t="n">
        <v>-78.73</v>
      </c>
      <c r="Z83" s="35" t="n">
        <v>-3432.46</v>
      </c>
      <c r="AA83" s="18" t="n">
        <v>-112.17</v>
      </c>
      <c r="AB83" s="36" t="n">
        <v>836.05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이자수취(CF)</t>
        </is>
      </c>
      <c r="E84" s="18" t="n">
        <v>34.9</v>
      </c>
      <c r="F84" s="9" t="n"/>
      <c r="G84" s="18" t="n">
        <v>256.98</v>
      </c>
      <c r="H84" s="18" t="n">
        <v>-134.19</v>
      </c>
      <c r="I84" s="18" t="n">
        <v>46.22</v>
      </c>
      <c r="J84" s="18" t="n">
        <v>61.37</v>
      </c>
      <c r="K84" s="35" t="n">
        <v>230.38</v>
      </c>
      <c r="L84" s="18" t="n">
        <v>174.75</v>
      </c>
      <c r="M84" s="18" t="n">
        <v>60.53</v>
      </c>
      <c r="N84" s="18" t="n">
        <v>71.47</v>
      </c>
      <c r="O84" s="18" t="n">
        <v>146.37</v>
      </c>
      <c r="P84" s="35" t="n">
        <v>453.12</v>
      </c>
      <c r="Q84" s="18" t="n">
        <v>82.06999999999999</v>
      </c>
      <c r="R84" s="18" t="n">
        <v>59.45</v>
      </c>
      <c r="S84" s="18" t="n">
        <v>22.75</v>
      </c>
      <c r="T84" s="18" t="n">
        <v>35.06</v>
      </c>
      <c r="U84" s="35" t="n">
        <v>199.33</v>
      </c>
      <c r="V84" s="18" t="n">
        <v>16.36</v>
      </c>
      <c r="W84" s="18" t="n">
        <v>51.86</v>
      </c>
      <c r="X84" s="18" t="n">
        <v>16.49</v>
      </c>
      <c r="Y84" s="18" t="n">
        <v>7.58</v>
      </c>
      <c r="Z84" s="35" t="n">
        <v>92.29000000000001</v>
      </c>
      <c r="AA84" s="18" t="n">
        <v>4.78</v>
      </c>
      <c r="AB84" s="36" t="n">
        <v>3.15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이자지급(CF)</t>
        </is>
      </c>
      <c r="E85" s="18" t="n">
        <v>-126.88</v>
      </c>
      <c r="F85" s="9" t="n"/>
      <c r="G85" s="18" t="n">
        <v>-189.66</v>
      </c>
      <c r="H85" s="18" t="n">
        <v>-149.41</v>
      </c>
      <c r="I85" s="18" t="n">
        <v>-239.16</v>
      </c>
      <c r="J85" s="18" t="n">
        <v>-440.36</v>
      </c>
      <c r="K85" s="35" t="n">
        <v>-1018.59</v>
      </c>
      <c r="L85" s="18" t="n">
        <v>-103.8</v>
      </c>
      <c r="M85" s="18" t="n">
        <v>-94.62</v>
      </c>
      <c r="N85" s="18" t="n">
        <v>-18.19</v>
      </c>
      <c r="O85" s="18" t="n">
        <v>-207.73</v>
      </c>
      <c r="P85" s="35" t="n">
        <v>-424.34</v>
      </c>
      <c r="Q85" s="18" t="n">
        <v>-170.37</v>
      </c>
      <c r="R85" s="18" t="n">
        <v>-400.14</v>
      </c>
      <c r="S85" s="18" t="n">
        <v>-469.41</v>
      </c>
      <c r="T85" s="18" t="n">
        <v>-412.92</v>
      </c>
      <c r="U85" s="35" t="n">
        <v>-1452.84</v>
      </c>
      <c r="V85" s="18" t="n">
        <v>-359.75</v>
      </c>
      <c r="W85" s="18" t="n">
        <v>-282.48</v>
      </c>
      <c r="X85" s="18" t="n">
        <v>-210.9</v>
      </c>
      <c r="Y85" s="18" t="n">
        <v>-217.25</v>
      </c>
      <c r="Z85" s="35" t="n">
        <v>-1070.38</v>
      </c>
      <c r="AA85" s="18" t="n">
        <v>-207.78</v>
      </c>
      <c r="AB85" s="36" t="n">
        <v>-210.18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법인세납부(CF)</t>
        </is>
      </c>
      <c r="E86" s="18" t="n">
        <v>-9.699999999999999</v>
      </c>
      <c r="F86" s="9" t="n"/>
      <c r="G86" s="18" t="n">
        <v>-3.48</v>
      </c>
      <c r="H86" s="18" t="n">
        <v>-25.41</v>
      </c>
      <c r="I86" s="18" t="n">
        <v>-12.24</v>
      </c>
      <c r="J86" s="18" t="n">
        <v>-19.56</v>
      </c>
      <c r="K86" s="35" t="n">
        <v>-60.69</v>
      </c>
      <c r="L86" s="18" t="n">
        <v>-25.37</v>
      </c>
      <c r="M86" s="18" t="n">
        <v>50.03</v>
      </c>
      <c r="N86" s="18" t="n">
        <v>-16.29</v>
      </c>
      <c r="O86" s="18" t="n">
        <v>-22.62</v>
      </c>
      <c r="P86" s="35" t="n">
        <v>-14.25</v>
      </c>
      <c r="Q86" s="18" t="n">
        <v>-30.48</v>
      </c>
      <c r="R86" s="18" t="n">
        <v>15.25</v>
      </c>
      <c r="S86" s="18" t="n">
        <v>-55.85</v>
      </c>
      <c r="T86" s="18" t="n">
        <v>-56.1</v>
      </c>
      <c r="U86" s="35" t="n">
        <v>-127.18</v>
      </c>
      <c r="V86" s="18" t="n">
        <v>-54.42</v>
      </c>
      <c r="W86" s="18" t="n">
        <v>80.59</v>
      </c>
      <c r="X86" s="18" t="n">
        <v>-49.4</v>
      </c>
      <c r="Y86" s="18" t="n">
        <v>96.06</v>
      </c>
      <c r="Z86" s="35" t="n">
        <v>72.83</v>
      </c>
      <c r="AA86" s="18" t="n">
        <v>-63.73</v>
      </c>
      <c r="AB86" s="36" t="n">
        <v>98.91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투자활동으로인한현금흐름</t>
        </is>
      </c>
      <c r="E87" s="18" t="n">
        <v>-12705.11</v>
      </c>
      <c r="F87" s="9" t="n"/>
      <c r="G87" s="18" t="n">
        <v>1724.51</v>
      </c>
      <c r="H87" s="18" t="n">
        <v>-5143.28</v>
      </c>
      <c r="I87" s="18" t="n">
        <v>-1142.86</v>
      </c>
      <c r="J87" s="18" t="n">
        <v>-10940.66</v>
      </c>
      <c r="K87" s="35" t="n">
        <v>-15502.29</v>
      </c>
      <c r="L87" s="18" t="n">
        <v>-313.95</v>
      </c>
      <c r="M87" s="18" t="n">
        <v>-355.9</v>
      </c>
      <c r="N87" s="18" t="n">
        <v>-2857.7</v>
      </c>
      <c r="O87" s="18" t="n">
        <v>-6812.76</v>
      </c>
      <c r="P87" s="35" t="n">
        <v>-10340.31</v>
      </c>
      <c r="Q87" s="18" t="n">
        <v>1804.1</v>
      </c>
      <c r="R87" s="18" t="n">
        <v>-1864.19</v>
      </c>
      <c r="S87" s="18" t="n">
        <v>642.66</v>
      </c>
      <c r="T87" s="18" t="n">
        <v>886.39</v>
      </c>
      <c r="U87" s="35" t="n">
        <v>1468.96</v>
      </c>
      <c r="V87" s="18" t="n">
        <v>993.83</v>
      </c>
      <c r="W87" s="18" t="n">
        <v>794.98</v>
      </c>
      <c r="X87" s="18" t="n">
        <v>4089.3</v>
      </c>
      <c r="Y87" s="18" t="n">
        <v>108.84</v>
      </c>
      <c r="Z87" s="35" t="n">
        <v>5986.95</v>
      </c>
      <c r="AA87" s="18" t="n">
        <v>101.09</v>
      </c>
      <c r="AB87" s="36" t="n">
        <v>-455.44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유형자산의증가</t>
        </is>
      </c>
      <c r="E88" s="18" t="n">
        <v>127.39</v>
      </c>
      <c r="F88" s="9" t="n"/>
      <c r="G88" s="18" t="n">
        <v>71.18000000000001</v>
      </c>
      <c r="H88" s="18" t="n">
        <v>527.53</v>
      </c>
      <c r="I88" s="18" t="n">
        <v>685.9</v>
      </c>
      <c r="J88" s="18" t="n">
        <v>2414.94</v>
      </c>
      <c r="K88" s="35" t="n">
        <v>3699.55</v>
      </c>
      <c r="L88" s="18" t="n">
        <v>9.33</v>
      </c>
      <c r="M88" s="18" t="n">
        <v>199.6</v>
      </c>
      <c r="N88" s="18" t="n">
        <v>145.39</v>
      </c>
      <c r="O88" s="18" t="n">
        <v>93.43000000000001</v>
      </c>
      <c r="P88" s="35" t="n">
        <v>447.75</v>
      </c>
      <c r="Q88" s="18" t="n">
        <v>73.42</v>
      </c>
      <c r="R88" s="18" t="n">
        <v>83.97</v>
      </c>
      <c r="S88" s="18" t="n">
        <v>119.18</v>
      </c>
      <c r="T88" s="18" t="n">
        <v>89.89</v>
      </c>
      <c r="U88" s="35" t="n">
        <v>366.46</v>
      </c>
      <c r="V88" s="18" t="n">
        <v>20.61</v>
      </c>
      <c r="W88" s="18" t="n">
        <v>502.66</v>
      </c>
      <c r="X88" s="18" t="n">
        <v>211.23</v>
      </c>
      <c r="Y88" s="18" t="n">
        <v>39.52</v>
      </c>
      <c r="Z88" s="35" t="n">
        <v>774.02</v>
      </c>
      <c r="AA88" s="18" t="n">
        <v>60.9</v>
      </c>
      <c r="AB88" s="36" t="n">
        <v>241.77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CAPEX</t>
        </is>
      </c>
      <c r="E89" s="18" t="n">
        <v>127.39</v>
      </c>
      <c r="F89" s="9" t="n"/>
      <c r="G89" s="18" t="n">
        <v>71.18000000000001</v>
      </c>
      <c r="H89" s="18" t="n">
        <v>534.03</v>
      </c>
      <c r="I89" s="18" t="n">
        <v>685.9</v>
      </c>
      <c r="J89" s="18" t="n">
        <v>5176.54</v>
      </c>
      <c r="K89" s="35" t="n">
        <v>6467.65</v>
      </c>
      <c r="L89" s="18" t="n">
        <v>9.33</v>
      </c>
      <c r="M89" s="18" t="n">
        <v>228.6</v>
      </c>
      <c r="N89" s="18" t="n">
        <v>147.09</v>
      </c>
      <c r="O89" s="18" t="n">
        <v>111.43</v>
      </c>
      <c r="P89" s="35" t="n">
        <v>496.45</v>
      </c>
      <c r="Q89" s="18" t="n">
        <v>73.42</v>
      </c>
      <c r="R89" s="18" t="n">
        <v>84.36</v>
      </c>
      <c r="S89" s="18" t="n">
        <v>119.18</v>
      </c>
      <c r="T89" s="18" t="n">
        <v>89.89</v>
      </c>
      <c r="U89" s="35" t="n">
        <v>366.85</v>
      </c>
      <c r="V89" s="18" t="n">
        <v>20.61</v>
      </c>
      <c r="W89" s="18" t="n">
        <v>502.66</v>
      </c>
      <c r="X89" s="18" t="n">
        <v>211.23</v>
      </c>
      <c r="Y89" s="18" t="n">
        <v>39.52</v>
      </c>
      <c r="Z89" s="35" t="n">
        <v>774.02</v>
      </c>
      <c r="AA89" s="18" t="n">
        <v>60.9</v>
      </c>
      <c r="AB89" s="36" t="n">
        <v>241.77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유형자산의감소</t>
        </is>
      </c>
      <c r="E90" s="18" t="n">
        <v>24</v>
      </c>
      <c r="F90" s="9" t="n"/>
      <c r="J90" s="18" t="n">
        <v>0.87</v>
      </c>
      <c r="K90" s="9" t="n"/>
      <c r="O90" s="18" t="n">
        <v>0</v>
      </c>
      <c r="P90" s="9" t="n"/>
      <c r="S90" s="18" t="n">
        <v>0</v>
      </c>
      <c r="T90" s="18" t="n">
        <v>20</v>
      </c>
      <c r="U90" s="9" t="n"/>
      <c r="V90" s="18" t="n">
        <v>142</v>
      </c>
      <c r="W90" s="18" t="n">
        <v>3488.31</v>
      </c>
      <c r="X90" s="18" t="n">
        <v>4378.98</v>
      </c>
      <c r="Y90" s="18" t="n">
        <v>18.36</v>
      </c>
      <c r="Z90" s="35" t="n">
        <v>8027.65</v>
      </c>
      <c r="AA90" s="18" t="n">
        <v>6.9</v>
      </c>
      <c r="AB90" s="36" t="n">
        <v>0.88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재무활동으로인한현금흐름</t>
        </is>
      </c>
      <c r="E91" s="18" t="n">
        <v>16076.98</v>
      </c>
      <c r="F91" s="9" t="n"/>
      <c r="G91" s="18" t="n">
        <v>2161.75</v>
      </c>
      <c r="H91" s="18" t="n">
        <v>3573.77</v>
      </c>
      <c r="I91" s="18" t="n">
        <v>7198.32</v>
      </c>
      <c r="J91" s="18" t="n">
        <v>10512.58</v>
      </c>
      <c r="K91" s="35" t="n">
        <v>23446.42</v>
      </c>
      <c r="L91" s="18" t="n">
        <v>903.58</v>
      </c>
      <c r="M91" s="18" t="n">
        <v>7090.97</v>
      </c>
      <c r="N91" s="18" t="n">
        <v>-409.16</v>
      </c>
      <c r="O91" s="18" t="n">
        <v>10477.38</v>
      </c>
      <c r="P91" s="35" t="n">
        <v>18062.77</v>
      </c>
      <c r="Q91" s="18" t="n">
        <v>3371.22</v>
      </c>
      <c r="R91" s="18" t="n">
        <v>412.51</v>
      </c>
      <c r="S91" s="18" t="n">
        <v>363.13</v>
      </c>
      <c r="T91" s="18" t="n">
        <v>436.15</v>
      </c>
      <c r="U91" s="35" t="n">
        <v>4583.01</v>
      </c>
      <c r="V91" s="18" t="n">
        <v>4654.17</v>
      </c>
      <c r="W91" s="18" t="n">
        <v>-4538.68</v>
      </c>
      <c r="X91" s="18" t="n">
        <v>-3283.33</v>
      </c>
      <c r="Y91" s="18" t="n">
        <v>-238.51</v>
      </c>
      <c r="Z91" s="35" t="n">
        <v>-3406.35</v>
      </c>
      <c r="AA91" s="18" t="n">
        <v>-329.94</v>
      </c>
      <c r="AB91" s="36" t="n">
        <v>-375.99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단기차입금의증가</t>
        </is>
      </c>
      <c r="E92" s="18" t="n">
        <v>3499.99</v>
      </c>
      <c r="F92" s="9" t="n"/>
      <c r="I92" s="18" t="n">
        <v>13188.03</v>
      </c>
      <c r="J92" s="18" t="n">
        <v>6185.55</v>
      </c>
      <c r="K92" s="9" t="n"/>
      <c r="L92" s="18" t="n">
        <v>347</v>
      </c>
      <c r="M92" s="18" t="n">
        <v>150</v>
      </c>
      <c r="N92" s="18" t="n">
        <v>5</v>
      </c>
      <c r="O92" s="18" t="n">
        <v>11000</v>
      </c>
      <c r="P92" s="35" t="n">
        <v>11502</v>
      </c>
      <c r="Q92" s="18" t="n">
        <v>13055.53</v>
      </c>
      <c r="R92" s="18" t="n">
        <v>2133.24</v>
      </c>
      <c r="S92" s="18" t="n">
        <v>4019.34</v>
      </c>
      <c r="T92" s="18" t="n">
        <v>718.03</v>
      </c>
      <c r="U92" s="35" t="n">
        <v>19926.14</v>
      </c>
      <c r="V92" s="18" t="n">
        <v>133.77</v>
      </c>
      <c r="W92" s="18" t="n">
        <v>353.95</v>
      </c>
      <c r="X92" s="18" t="n">
        <v>1511.31</v>
      </c>
      <c r="Y92" s="18" t="n">
        <v>73.23</v>
      </c>
      <c r="Z92" s="35" t="n">
        <v>2072.26</v>
      </c>
      <c r="AA92" s="18" t="n">
        <v>67.73999999999999</v>
      </c>
      <c r="AB92" s="36" t="n">
        <v>40.62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단기차입금의감소</t>
        </is>
      </c>
      <c r="E93" s="18" t="n">
        <v>499.99</v>
      </c>
      <c r="F93" s="9" t="n"/>
      <c r="G93" s="18" t="n">
        <v>3000</v>
      </c>
      <c r="H93" s="18" t="n">
        <v>0</v>
      </c>
      <c r="I93" s="18" t="n">
        <v>2356.45</v>
      </c>
      <c r="J93" s="18" t="n">
        <v>18098.13</v>
      </c>
      <c r="K93" s="35" t="n">
        <v>23454.58</v>
      </c>
      <c r="L93" s="18" t="n">
        <v>23</v>
      </c>
      <c r="M93" s="18" t="n">
        <v>359</v>
      </c>
      <c r="N93" s="18" t="n">
        <v>2</v>
      </c>
      <c r="O93" s="18" t="n">
        <v>8055</v>
      </c>
      <c r="P93" s="35" t="n">
        <v>8439</v>
      </c>
      <c r="Q93" s="18" t="n">
        <v>108.81</v>
      </c>
      <c r="R93" s="18" t="n">
        <v>1437.17</v>
      </c>
      <c r="S93" s="18" t="n">
        <v>4372.37</v>
      </c>
      <c r="T93" s="18" t="n">
        <v>1975.7</v>
      </c>
      <c r="U93" s="35" t="n">
        <v>7894.05</v>
      </c>
      <c r="V93" s="18" t="n">
        <v>2172.44</v>
      </c>
      <c r="W93" s="18" t="n">
        <v>3287.52</v>
      </c>
      <c r="X93" s="18" t="n">
        <v>3036.57</v>
      </c>
      <c r="Y93" s="18" t="n">
        <v>79.03</v>
      </c>
      <c r="Z93" s="35" t="n">
        <v>8575.559999999999</v>
      </c>
      <c r="AA93" s="18" t="n">
        <v>30</v>
      </c>
      <c r="AB93" s="36" t="n">
        <v>40.44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E94" s="18" t="n">
        <v>0</v>
      </c>
      <c r="F94" s="9" t="n"/>
      <c r="K94" s="9" t="n"/>
      <c r="P94" s="9" t="n"/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장기차입금의감소</t>
        </is>
      </c>
      <c r="E95" s="18" t="n">
        <v>0</v>
      </c>
      <c r="F95" s="9" t="n"/>
      <c r="K95" s="9" t="n"/>
      <c r="P95" s="9" t="n"/>
      <c r="U95" s="9" t="n"/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현금및현금성자산의증감</t>
        </is>
      </c>
      <c r="E96" s="18" t="n">
        <v>983.88</v>
      </c>
      <c r="F96" s="9" t="n"/>
      <c r="G96" s="18" t="n">
        <v>2152.65</v>
      </c>
      <c r="H96" s="18" t="n">
        <v>-4666.44</v>
      </c>
      <c r="I96" s="18" t="n">
        <v>1541.43</v>
      </c>
      <c r="J96" s="18" t="n">
        <v>-239.36</v>
      </c>
      <c r="K96" s="35" t="n">
        <v>-1211.72</v>
      </c>
      <c r="L96" s="18" t="n">
        <v>-1094.52</v>
      </c>
      <c r="M96" s="18" t="n">
        <v>5801.56</v>
      </c>
      <c r="N96" s="18" t="n">
        <v>-5452.1</v>
      </c>
      <c r="O96" s="18" t="n">
        <v>-424.29</v>
      </c>
      <c r="P96" s="35" t="n">
        <v>-1169.35</v>
      </c>
      <c r="Q96" s="18" t="n">
        <v>2696.64</v>
      </c>
      <c r="R96" s="18" t="n">
        <v>-3489.2</v>
      </c>
      <c r="S96" s="18" t="n">
        <v>-581.52</v>
      </c>
      <c r="T96" s="18" t="n">
        <v>792.5700000000001</v>
      </c>
      <c r="U96" s="35" t="n">
        <v>-581.51</v>
      </c>
      <c r="V96" s="18" t="n">
        <v>3390.53</v>
      </c>
      <c r="W96" s="18" t="n">
        <v>-4030.14</v>
      </c>
      <c r="X96" s="18" t="n">
        <v>-3.85</v>
      </c>
      <c r="Y96" s="18" t="n">
        <v>-208.4</v>
      </c>
      <c r="Z96" s="35" t="n">
        <v>-851.86</v>
      </c>
      <c r="AA96" s="18" t="n">
        <v>-341.02</v>
      </c>
      <c r="AB96" s="36" t="n">
        <v>4.62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기말현금및현금성자산</t>
        </is>
      </c>
      <c r="E97" s="18" t="n">
        <v>983.88</v>
      </c>
      <c r="F97" s="9" t="n"/>
      <c r="G97" s="18" t="n">
        <v>6343.7</v>
      </c>
      <c r="H97" s="18" t="n">
        <v>-4666.44</v>
      </c>
      <c r="I97" s="18" t="n">
        <v>1541.43</v>
      </c>
      <c r="J97" s="18" t="n">
        <v>-239.36</v>
      </c>
      <c r="K97" s="35" t="n">
        <v>2979.33</v>
      </c>
      <c r="L97" s="18" t="n">
        <v>1884.8</v>
      </c>
      <c r="M97" s="18" t="n">
        <v>5489.67</v>
      </c>
      <c r="N97" s="18" t="n">
        <v>-5233.62</v>
      </c>
      <c r="O97" s="18" t="n">
        <v>-330.87</v>
      </c>
      <c r="P97" s="35" t="n">
        <v>1809.98</v>
      </c>
      <c r="Q97" s="18" t="n">
        <v>4506.62</v>
      </c>
      <c r="R97" s="18" t="n">
        <v>-3489.21</v>
      </c>
      <c r="S97" s="18" t="n">
        <v>-581.51</v>
      </c>
      <c r="T97" s="18" t="n">
        <v>792.5599999999999</v>
      </c>
      <c r="U97" s="35" t="n">
        <v>1228.46</v>
      </c>
      <c r="V97" s="18" t="n">
        <v>4618.99</v>
      </c>
      <c r="W97" s="18" t="n">
        <v>-4030.14</v>
      </c>
      <c r="X97" s="18" t="n">
        <v>-3.85</v>
      </c>
      <c r="Y97" s="18" t="n">
        <v>-208.4</v>
      </c>
      <c r="Z97" s="35" t="n">
        <v>376.6</v>
      </c>
      <c r="AA97" s="18" t="n">
        <v>35.59</v>
      </c>
      <c r="AB97" s="36" t="n">
        <v>4.61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무형자산의증가</t>
        </is>
      </c>
      <c r="F98" s="9" t="n"/>
      <c r="I98" s="18" t="n">
        <v>0</v>
      </c>
      <c r="J98" s="18" t="n">
        <v>2761.6</v>
      </c>
      <c r="K98" s="9" t="n"/>
      <c r="N98" s="18" t="n">
        <v>1.7</v>
      </c>
      <c r="O98" s="18" t="n">
        <v>18</v>
      </c>
      <c r="P98" s="9" t="n"/>
      <c r="S98" s="18" t="n">
        <v>0</v>
      </c>
      <c r="T98" s="18" t="n">
        <v>0</v>
      </c>
      <c r="U98" s="9" t="n"/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자기주식의취득</t>
        </is>
      </c>
      <c r="F99" s="9" t="n"/>
      <c r="I99" s="18" t="n">
        <v>-0.01</v>
      </c>
      <c r="J99" s="18" t="n">
        <v>0</v>
      </c>
      <c r="K99" s="9" t="n"/>
      <c r="P99" s="9" t="n"/>
      <c r="U99" s="9" t="n"/>
      <c r="Y99" s="18" t="n">
        <v>0</v>
      </c>
      <c r="Z99" s="9" t="n"/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배당금수취(CF)</t>
        </is>
      </c>
      <c r="F100" s="9" t="n"/>
      <c r="K100" s="9" t="n"/>
      <c r="P100" s="9" t="n"/>
      <c r="S100" s="18" t="n">
        <v>0</v>
      </c>
      <c r="T100" s="18" t="n">
        <v>0</v>
      </c>
      <c r="U100" s="9" t="n"/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메디콕스(별)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18368.91</v>
      </c>
      <c r="F5" s="35" t="n">
        <v>18368.91</v>
      </c>
      <c r="G5" s="18" t="n">
        <v>20649.05</v>
      </c>
      <c r="H5" s="18" t="n">
        <v>25559.66</v>
      </c>
      <c r="I5" s="18" t="n">
        <v>30567.02</v>
      </c>
      <c r="J5" s="18" t="n">
        <v>41186.85</v>
      </c>
      <c r="K5" s="35" t="n">
        <v>41186.85</v>
      </c>
      <c r="L5" s="18" t="n">
        <v>39273.29</v>
      </c>
      <c r="M5" s="18" t="n">
        <v>50490.19</v>
      </c>
      <c r="N5" s="18" t="n">
        <v>38680.6</v>
      </c>
      <c r="O5" s="18" t="n">
        <v>29911</v>
      </c>
      <c r="P5" s="35" t="n">
        <v>29911</v>
      </c>
      <c r="Q5" s="18" t="n">
        <v>26308.96</v>
      </c>
      <c r="R5" s="18" t="n">
        <v>20353.79</v>
      </c>
      <c r="S5" s="18" t="n">
        <v>17155.19</v>
      </c>
      <c r="T5" s="18" t="n">
        <v>13097.94</v>
      </c>
      <c r="U5" s="35" t="n">
        <v>13097.94</v>
      </c>
      <c r="V5" s="18" t="n">
        <v>15998.95</v>
      </c>
      <c r="W5" s="18" t="n">
        <v>11889.02</v>
      </c>
      <c r="X5" s="18" t="n">
        <v>9201.469999999999</v>
      </c>
      <c r="Y5" s="18" t="n">
        <v>6904.69</v>
      </c>
      <c r="Z5" s="35" t="n">
        <v>6904.69</v>
      </c>
      <c r="AA5" s="18" t="n">
        <v>8206.17</v>
      </c>
      <c r="AB5" s="36" t="n">
        <v>7710.19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4109.15</v>
      </c>
      <c r="F6" s="35" t="n">
        <v>4109.15</v>
      </c>
      <c r="G6" s="18" t="n">
        <v>6316.21</v>
      </c>
      <c r="H6" s="18" t="n">
        <v>1418.3</v>
      </c>
      <c r="I6" s="18" t="n">
        <v>2938.17</v>
      </c>
      <c r="J6" s="18" t="n">
        <v>2775.6</v>
      </c>
      <c r="K6" s="35" t="n">
        <v>2775.6</v>
      </c>
      <c r="L6" s="18" t="n">
        <v>1741.41</v>
      </c>
      <c r="M6" s="18" t="n">
        <v>7364.88</v>
      </c>
      <c r="N6" s="18" t="n">
        <v>2134.24</v>
      </c>
      <c r="O6" s="18" t="n">
        <v>1776.74</v>
      </c>
      <c r="P6" s="35" t="n">
        <v>1776.74</v>
      </c>
      <c r="Q6" s="18" t="n">
        <v>4500.85</v>
      </c>
      <c r="R6" s="18" t="n">
        <v>1013.72</v>
      </c>
      <c r="S6" s="18" t="n">
        <v>432.05</v>
      </c>
      <c r="T6" s="18" t="n">
        <v>1224.83</v>
      </c>
      <c r="U6" s="35" t="n">
        <v>1224.83</v>
      </c>
      <c r="V6" s="18" t="n">
        <v>4377.78</v>
      </c>
      <c r="W6" s="18" t="n">
        <v>462.07</v>
      </c>
      <c r="X6" s="18" t="n">
        <v>569.84</v>
      </c>
      <c r="Y6" s="18" t="n">
        <v>316.63</v>
      </c>
      <c r="Z6" s="35" t="n">
        <v>316.63</v>
      </c>
      <c r="AA6" s="18" t="n">
        <v>35.09</v>
      </c>
      <c r="AB6" s="36" t="n">
        <v>39.81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300</v>
      </c>
      <c r="F7" s="35" t="n">
        <v>300</v>
      </c>
      <c r="G7" s="18" t="n">
        <v>300</v>
      </c>
      <c r="H7" s="18" t="n">
        <v>300</v>
      </c>
      <c r="I7" s="18" t="n">
        <v>300</v>
      </c>
      <c r="J7" s="18" t="n">
        <v>1800</v>
      </c>
      <c r="K7" s="35" t="n">
        <v>1800</v>
      </c>
      <c r="L7" s="18" t="n">
        <v>1800</v>
      </c>
      <c r="M7" s="18" t="n">
        <v>1800</v>
      </c>
      <c r="N7" s="18" t="n">
        <v>1800</v>
      </c>
      <c r="O7" s="18" t="n">
        <v>300</v>
      </c>
      <c r="P7" s="35" t="n">
        <v>300</v>
      </c>
      <c r="Q7" s="18" t="n">
        <v>300</v>
      </c>
      <c r="R7" s="18" t="n">
        <v>2803.82</v>
      </c>
      <c r="S7" s="18" t="n">
        <v>2809.74</v>
      </c>
      <c r="T7" s="18" t="n">
        <v>3015.02</v>
      </c>
      <c r="U7" s="35" t="n">
        <v>3015.02</v>
      </c>
      <c r="V7" s="18" t="n">
        <v>2833.56</v>
      </c>
      <c r="W7" s="18" t="n">
        <v>1415.55</v>
      </c>
      <c r="X7" s="18" t="n">
        <v>50</v>
      </c>
      <c r="Y7" s="18" t="n">
        <v>100</v>
      </c>
      <c r="Z7" s="35" t="n">
        <v>100</v>
      </c>
      <c r="AA7" s="18" t="n">
        <v>100</v>
      </c>
      <c r="AB7" s="36" t="n">
        <v>106.68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4011.57</v>
      </c>
      <c r="F8" s="35" t="n">
        <v>4011.57</v>
      </c>
      <c r="G8" s="18" t="n">
        <v>4011.57</v>
      </c>
      <c r="H8" s="18" t="n">
        <v>3010.05</v>
      </c>
      <c r="I8" s="18" t="n">
        <v>890.9299999999999</v>
      </c>
      <c r="J8" s="18" t="n">
        <v>10344.72</v>
      </c>
      <c r="K8" s="35" t="n">
        <v>10344.72</v>
      </c>
      <c r="L8" s="18" t="n">
        <v>10344.72</v>
      </c>
      <c r="M8" s="18" t="n">
        <v>8182.91</v>
      </c>
      <c r="N8" s="18" t="n">
        <v>4324.13</v>
      </c>
      <c r="O8" s="18" t="n">
        <v>4664.26</v>
      </c>
      <c r="P8" s="35" t="n">
        <v>4664.26</v>
      </c>
      <c r="Q8" s="18" t="n">
        <v>300</v>
      </c>
      <c r="R8" s="18" t="n">
        <v>2803.82</v>
      </c>
      <c r="S8" s="18" t="n">
        <v>2809.74</v>
      </c>
      <c r="T8" s="18" t="n">
        <v>3015.02</v>
      </c>
      <c r="U8" s="35" t="n">
        <v>3015.02</v>
      </c>
      <c r="V8" s="18" t="n">
        <v>2833.56</v>
      </c>
      <c r="W8" s="18" t="n">
        <v>1415.55</v>
      </c>
      <c r="X8" s="18" t="n">
        <v>50</v>
      </c>
      <c r="Y8" s="18" t="n">
        <v>100</v>
      </c>
      <c r="Z8" s="35" t="n">
        <v>100</v>
      </c>
      <c r="AA8" s="18" t="n">
        <v>100</v>
      </c>
      <c r="AB8" s="36" t="n">
        <v>106.68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2633.48</v>
      </c>
      <c r="F9" s="35" t="n">
        <v>2633.48</v>
      </c>
      <c r="G9" s="18" t="n">
        <v>2843.19</v>
      </c>
      <c r="H9" s="18" t="n">
        <v>3758.86</v>
      </c>
      <c r="I9" s="18" t="n">
        <v>5009.55</v>
      </c>
      <c r="J9" s="18" t="n">
        <v>6670.75</v>
      </c>
      <c r="K9" s="35" t="n">
        <v>6670.75</v>
      </c>
      <c r="L9" s="18" t="n">
        <v>5086.97</v>
      </c>
      <c r="M9" s="18" t="n">
        <v>6036.58</v>
      </c>
      <c r="N9" s="18" t="n">
        <v>4469.06</v>
      </c>
      <c r="O9" s="18" t="n">
        <v>4995.83</v>
      </c>
      <c r="P9" s="35" t="n">
        <v>4995.83</v>
      </c>
      <c r="Q9" s="18" t="n">
        <v>5440.88</v>
      </c>
      <c r="R9" s="18" t="n">
        <v>3809.49</v>
      </c>
      <c r="S9" s="18" t="n">
        <v>3894.98</v>
      </c>
      <c r="T9" s="18" t="n">
        <v>5271.12</v>
      </c>
      <c r="U9" s="35" t="n">
        <v>5271.12</v>
      </c>
      <c r="V9" s="18" t="n">
        <v>5233.46</v>
      </c>
      <c r="W9" s="18" t="n">
        <v>5004.01</v>
      </c>
      <c r="X9" s="18" t="n">
        <v>3022.62</v>
      </c>
      <c r="Y9" s="18" t="n">
        <v>2196.4</v>
      </c>
      <c r="Z9" s="35" t="n">
        <v>2196.4</v>
      </c>
      <c r="AA9" s="18" t="n">
        <v>3774.76</v>
      </c>
      <c r="AB9" s="36" t="n">
        <v>3579.03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기타유동금융자산</t>
        </is>
      </c>
      <c r="E10" s="18" t="n">
        <v>6452.33</v>
      </c>
      <c r="F10" s="35" t="n">
        <v>6452.33</v>
      </c>
      <c r="G10" s="18" t="n">
        <v>6452.33</v>
      </c>
      <c r="H10" s="18" t="n">
        <v>9452.33</v>
      </c>
      <c r="I10" s="18" t="n">
        <v>11745.49</v>
      </c>
      <c r="J10" s="18" t="n">
        <v>17988.79</v>
      </c>
      <c r="K10" s="35" t="n">
        <v>17988.79</v>
      </c>
      <c r="L10" s="18" t="n">
        <v>19894.39</v>
      </c>
      <c r="M10" s="18" t="n">
        <v>22134.87</v>
      </c>
      <c r="N10" s="18" t="n">
        <v>22945.92</v>
      </c>
      <c r="O10" s="18" t="n">
        <v>15578.98</v>
      </c>
      <c r="P10" s="35" t="n">
        <v>15578.98</v>
      </c>
      <c r="Q10" s="18" t="n">
        <v>13479.55</v>
      </c>
      <c r="R10" s="18" t="n">
        <v>10091.9</v>
      </c>
      <c r="S10" s="18" t="n">
        <v>7651.64</v>
      </c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18" t="n">
        <v>3711.57</v>
      </c>
      <c r="F11" s="35" t="n">
        <v>3711.57</v>
      </c>
      <c r="G11" s="18" t="n">
        <v>3711.57</v>
      </c>
      <c r="H11" s="18" t="n">
        <v>2710.05</v>
      </c>
      <c r="I11" s="18" t="n">
        <v>590.9299999999999</v>
      </c>
      <c r="J11" s="18" t="n">
        <v>8544.719999999999</v>
      </c>
      <c r="K11" s="35" t="n">
        <v>8544.719999999999</v>
      </c>
      <c r="L11" s="18" t="n">
        <v>8544.719999999999</v>
      </c>
      <c r="M11" s="18" t="n">
        <v>6382.91</v>
      </c>
      <c r="N11" s="18" t="n">
        <v>2524.13</v>
      </c>
      <c r="O11" s="18" t="n">
        <v>4364.26</v>
      </c>
      <c r="P11" s="35" t="n">
        <v>4364.26</v>
      </c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918.5599999999999</v>
      </c>
      <c r="F12" s="35" t="n">
        <v>918.5599999999999</v>
      </c>
      <c r="G12" s="18" t="n">
        <v>808.4400000000001</v>
      </c>
      <c r="H12" s="18" t="n">
        <v>1732.74</v>
      </c>
      <c r="I12" s="18" t="n">
        <v>1382.07</v>
      </c>
      <c r="J12" s="18" t="n">
        <v>1437.6</v>
      </c>
      <c r="K12" s="35" t="n">
        <v>1437.6</v>
      </c>
      <c r="L12" s="18" t="n">
        <v>1853.22</v>
      </c>
      <c r="M12" s="18" t="n">
        <v>1811.1</v>
      </c>
      <c r="N12" s="18" t="n">
        <v>2318.89</v>
      </c>
      <c r="O12" s="18" t="n">
        <v>1772.09</v>
      </c>
      <c r="P12" s="35" t="n">
        <v>1772.09</v>
      </c>
      <c r="Q12" s="18" t="n">
        <v>1795.61</v>
      </c>
      <c r="R12" s="18" t="n">
        <v>1837.04</v>
      </c>
      <c r="S12" s="18" t="n">
        <v>2076.32</v>
      </c>
      <c r="T12" s="18" t="n">
        <v>1053.93</v>
      </c>
      <c r="U12" s="35" t="n">
        <v>1053.93</v>
      </c>
      <c r="V12" s="18" t="n">
        <v>1212.42</v>
      </c>
      <c r="W12" s="18" t="n">
        <v>1115.09</v>
      </c>
      <c r="X12" s="18" t="n">
        <v>1288.83</v>
      </c>
      <c r="Y12" s="18" t="n">
        <v>1178.42</v>
      </c>
      <c r="Z12" s="35" t="n">
        <v>1178.42</v>
      </c>
      <c r="AA12" s="18" t="n">
        <v>1188.2</v>
      </c>
      <c r="AB12" s="36" t="n">
        <v>802.91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232.79</v>
      </c>
      <c r="F13" s="35" t="n">
        <v>232.79</v>
      </c>
      <c r="G13" s="18" t="n">
        <v>202.8</v>
      </c>
      <c r="H13" s="18" t="n">
        <v>1151.4</v>
      </c>
      <c r="I13" s="18" t="n">
        <v>3552.64</v>
      </c>
      <c r="J13" s="18" t="n">
        <v>401.17</v>
      </c>
      <c r="K13" s="35" t="n">
        <v>401.17</v>
      </c>
      <c r="L13" s="18" t="n">
        <v>259.01</v>
      </c>
      <c r="M13" s="18" t="n">
        <v>341.14</v>
      </c>
      <c r="N13" s="18" t="n">
        <v>425.79</v>
      </c>
      <c r="O13" s="18" t="n">
        <v>1038.76</v>
      </c>
      <c r="P13" s="35" t="n">
        <v>1038.76</v>
      </c>
      <c r="Q13" s="18" t="n">
        <v>692.08</v>
      </c>
      <c r="R13" s="18" t="n">
        <v>758.51</v>
      </c>
      <c r="S13" s="18" t="n">
        <v>241.75</v>
      </c>
      <c r="T13" s="18" t="n">
        <v>689.09</v>
      </c>
      <c r="U13" s="35" t="n">
        <v>689.09</v>
      </c>
      <c r="V13" s="18" t="n">
        <v>649.87</v>
      </c>
      <c r="W13" s="18" t="n">
        <v>678.75</v>
      </c>
      <c r="X13" s="18" t="n">
        <v>1172.98</v>
      </c>
      <c r="Y13" s="18" t="n">
        <v>67.67</v>
      </c>
      <c r="Z13" s="35" t="n">
        <v>67.67</v>
      </c>
      <c r="AA13" s="18" t="n">
        <v>61.46</v>
      </c>
      <c r="AB13" s="36" t="n">
        <v>161.18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11.03</v>
      </c>
      <c r="F14" s="35" t="n">
        <v>11.03</v>
      </c>
      <c r="G14" s="18" t="n">
        <v>14.5</v>
      </c>
      <c r="H14" s="18" t="n">
        <v>36.47</v>
      </c>
      <c r="I14" s="18" t="n">
        <v>48.66</v>
      </c>
      <c r="J14" s="18" t="n">
        <v>68.22</v>
      </c>
      <c r="K14" s="35" t="n">
        <v>68.22</v>
      </c>
      <c r="L14" s="18" t="n">
        <v>93.58</v>
      </c>
      <c r="M14" s="18" t="n">
        <v>46.28</v>
      </c>
      <c r="N14" s="18" t="n">
        <v>62.57</v>
      </c>
      <c r="O14" s="18" t="n">
        <v>84.34</v>
      </c>
      <c r="P14" s="35" t="n">
        <v>84.34</v>
      </c>
      <c r="Q14" s="18" t="n">
        <v>99.98999999999999</v>
      </c>
      <c r="R14" s="18" t="n">
        <v>39.31</v>
      </c>
      <c r="S14" s="18" t="n">
        <v>48.73</v>
      </c>
      <c r="T14" s="18" t="n">
        <v>59.28</v>
      </c>
      <c r="U14" s="35" t="n">
        <v>59.28</v>
      </c>
      <c r="V14" s="18" t="n">
        <v>63.86</v>
      </c>
      <c r="W14" s="18" t="n">
        <v>72.95</v>
      </c>
      <c r="X14" s="18" t="n">
        <v>79.97</v>
      </c>
      <c r="Y14" s="18" t="n">
        <v>28.71</v>
      </c>
      <c r="Z14" s="35" t="n">
        <v>28.71</v>
      </c>
      <c r="AA14" s="18" t="n">
        <v>29.81</v>
      </c>
      <c r="AB14" s="36" t="n">
        <v>3.73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83605.21000000001</v>
      </c>
      <c r="F15" s="35" t="n">
        <v>83605.21000000001</v>
      </c>
      <c r="G15" s="18" t="n">
        <v>79541.94</v>
      </c>
      <c r="H15" s="18" t="n">
        <v>74570.55</v>
      </c>
      <c r="I15" s="18" t="n">
        <v>73537.03999999999</v>
      </c>
      <c r="J15" s="18" t="n">
        <v>66250.11</v>
      </c>
      <c r="K15" s="35" t="n">
        <v>66250.11</v>
      </c>
      <c r="L15" s="18" t="n">
        <v>65878.21000000001</v>
      </c>
      <c r="M15" s="18" t="n">
        <v>53103.71</v>
      </c>
      <c r="N15" s="18" t="n">
        <v>52618.57</v>
      </c>
      <c r="O15" s="18" t="n">
        <v>66539.02</v>
      </c>
      <c r="P15" s="35" t="n">
        <v>66539.02</v>
      </c>
      <c r="Q15" s="18" t="n">
        <v>67402.24000000001</v>
      </c>
      <c r="R15" s="18" t="n">
        <v>63622.92</v>
      </c>
      <c r="S15" s="18" t="n">
        <v>62700.25</v>
      </c>
      <c r="T15" s="18" t="n">
        <v>68190.75999999999</v>
      </c>
      <c r="U15" s="35" t="n">
        <v>68190.75999999999</v>
      </c>
      <c r="V15" s="18" t="n">
        <v>67646.59</v>
      </c>
      <c r="W15" s="18" t="n">
        <v>65465.26</v>
      </c>
      <c r="X15" s="18" t="n">
        <v>62924.84</v>
      </c>
      <c r="Y15" s="18" t="n">
        <v>61353.27</v>
      </c>
      <c r="Z15" s="35" t="n">
        <v>61353.27</v>
      </c>
      <c r="AA15" s="18" t="n">
        <v>61125.19</v>
      </c>
      <c r="AB15" s="36" t="n">
        <v>60943.72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2476.76</v>
      </c>
      <c r="F16" s="35" t="n">
        <v>2476.76</v>
      </c>
      <c r="G16" s="18" t="n">
        <v>2480.56</v>
      </c>
      <c r="H16" s="18" t="n">
        <v>2427.04</v>
      </c>
      <c r="I16" s="18" t="n">
        <v>1322.57</v>
      </c>
      <c r="J16" s="18" t="n">
        <v>8093.65</v>
      </c>
      <c r="K16" s="35" t="n">
        <v>8093.65</v>
      </c>
      <c r="L16" s="18" t="n">
        <v>8093.65</v>
      </c>
      <c r="M16" s="18" t="n">
        <v>4283.22</v>
      </c>
      <c r="N16" s="18" t="n">
        <v>4282.93</v>
      </c>
      <c r="O16" s="18" t="n">
        <v>6604.08</v>
      </c>
      <c r="P16" s="35" t="n">
        <v>6604.08</v>
      </c>
      <c r="Q16" s="18" t="n">
        <v>7216.1</v>
      </c>
      <c r="R16" s="18" t="n">
        <v>1113.21</v>
      </c>
      <c r="S16" s="18" t="n">
        <v>1834.25</v>
      </c>
      <c r="T16" s="18" t="n">
        <v>5968.38</v>
      </c>
      <c r="U16" s="35" t="n">
        <v>5968.38</v>
      </c>
      <c r="V16" s="18" t="n">
        <v>5548.37</v>
      </c>
      <c r="W16" s="18" t="n">
        <v>900.46</v>
      </c>
      <c r="X16" s="18" t="n">
        <v>800.46</v>
      </c>
      <c r="Y16" s="18" t="n">
        <v>1174.44</v>
      </c>
      <c r="Z16" s="35" t="n">
        <v>1174.44</v>
      </c>
      <c r="AA16" s="18" t="n">
        <v>1174.44</v>
      </c>
      <c r="AB16" s="36" t="n">
        <v>1174.51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35407.98</v>
      </c>
      <c r="F17" s="35" t="n">
        <v>35407.98</v>
      </c>
      <c r="G17" s="18" t="n">
        <v>30495.55</v>
      </c>
      <c r="H17" s="18" t="n">
        <v>22286.72</v>
      </c>
      <c r="I17" s="18" t="n">
        <v>21181.82</v>
      </c>
      <c r="J17" s="18" t="n">
        <v>15923.23</v>
      </c>
      <c r="K17" s="35" t="n">
        <v>15923.23</v>
      </c>
      <c r="L17" s="18" t="n">
        <v>15922.74</v>
      </c>
      <c r="M17" s="18" t="n">
        <v>5071.18</v>
      </c>
      <c r="N17" s="18" t="n">
        <v>5070.89</v>
      </c>
      <c r="O17" s="18" t="n">
        <v>14951.59</v>
      </c>
      <c r="P17" s="35" t="n">
        <v>14951.59</v>
      </c>
      <c r="Q17" s="18" t="n">
        <v>16316.1</v>
      </c>
      <c r="R17" s="18" t="n">
        <v>9009.709999999999</v>
      </c>
      <c r="S17" s="18" t="n">
        <v>9100.950000000001</v>
      </c>
      <c r="T17" s="18" t="n">
        <v>16038.32</v>
      </c>
      <c r="U17" s="35" t="n">
        <v>16038.32</v>
      </c>
      <c r="V17" s="18" t="n">
        <v>15693.58</v>
      </c>
      <c r="W17" s="18" t="n">
        <v>10635.72</v>
      </c>
      <c r="X17" s="18" t="n">
        <v>10973.61</v>
      </c>
      <c r="Y17" s="18" t="n">
        <v>9551.58</v>
      </c>
      <c r="Z17" s="35" t="n">
        <v>9551.58</v>
      </c>
      <c r="AA17" s="18" t="n">
        <v>9551.58</v>
      </c>
      <c r="AB17" s="36" t="n">
        <v>9513.530000000001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18" t="n">
        <v>1264.24</v>
      </c>
      <c r="F18" s="35" t="n">
        <v>1264.24</v>
      </c>
      <c r="G18" s="18" t="n">
        <v>2072.46</v>
      </c>
      <c r="H18" s="18" t="n">
        <v>2881.76</v>
      </c>
      <c r="I18" s="18" t="n">
        <v>3087.28</v>
      </c>
      <c r="J18" s="18" t="n">
        <v>2306.58</v>
      </c>
      <c r="K18" s="35" t="n">
        <v>2306.58</v>
      </c>
      <c r="L18" s="18" t="n">
        <v>2337.43</v>
      </c>
      <c r="M18" s="18" t="n">
        <v>670.85</v>
      </c>
      <c r="N18" s="18" t="n">
        <v>718.67</v>
      </c>
      <c r="O18" s="18" t="n">
        <v>173.92</v>
      </c>
      <c r="P18" s="35" t="n">
        <v>173.92</v>
      </c>
      <c r="Q18" s="18" t="n">
        <v>82.83</v>
      </c>
      <c r="R18" s="18" t="n">
        <v>70.73</v>
      </c>
      <c r="S18" s="18" t="n">
        <v>72.18000000000001</v>
      </c>
      <c r="T18" s="18" t="n">
        <v>73.5</v>
      </c>
      <c r="U18" s="35" t="n">
        <v>73.5</v>
      </c>
      <c r="V18" s="18" t="n">
        <v>74.98</v>
      </c>
      <c r="W18" s="18" t="n">
        <v>1660.39</v>
      </c>
      <c r="X18" s="18" t="n">
        <v>2142.24</v>
      </c>
      <c r="Y18" s="18" t="n">
        <v>2557.83</v>
      </c>
      <c r="Z18" s="35" t="n">
        <v>2557.83</v>
      </c>
      <c r="AA18" s="18" t="n">
        <v>2721.98</v>
      </c>
      <c r="AB18" s="36" t="n">
        <v>2832.09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유형자산</t>
        </is>
      </c>
      <c r="E19" s="18" t="n">
        <v>46924.78</v>
      </c>
      <c r="F19" s="35" t="n">
        <v>46924.78</v>
      </c>
      <c r="G19" s="18" t="n">
        <v>46966.32</v>
      </c>
      <c r="H19" s="18" t="n">
        <v>49392.79</v>
      </c>
      <c r="I19" s="18" t="n">
        <v>49259.27</v>
      </c>
      <c r="J19" s="18" t="n">
        <v>47991.38</v>
      </c>
      <c r="K19" s="35" t="n">
        <v>47991.38</v>
      </c>
      <c r="L19" s="18" t="n">
        <v>47610.59</v>
      </c>
      <c r="M19" s="18" t="n">
        <v>47354.82</v>
      </c>
      <c r="N19" s="18" t="n">
        <v>46821.14</v>
      </c>
      <c r="O19" s="18" t="n">
        <v>51361.9</v>
      </c>
      <c r="P19" s="35" t="n">
        <v>51361.9</v>
      </c>
      <c r="Q19" s="18" t="n">
        <v>50981.16</v>
      </c>
      <c r="R19" s="18" t="n">
        <v>50867</v>
      </c>
      <c r="S19" s="18" t="n">
        <v>50437.84</v>
      </c>
      <c r="T19" s="18" t="n">
        <v>52062.69</v>
      </c>
      <c r="U19" s="35" t="n">
        <v>52062.69</v>
      </c>
      <c r="V19" s="18" t="n">
        <v>51863.83</v>
      </c>
      <c r="W19" s="18" t="n">
        <v>49157.06</v>
      </c>
      <c r="X19" s="18" t="n">
        <v>44799</v>
      </c>
      <c r="Y19" s="18" t="n">
        <v>44235.92</v>
      </c>
      <c r="Z19" s="35" t="n">
        <v>44235.92</v>
      </c>
      <c r="AA19" s="18" t="n">
        <v>43845.59</v>
      </c>
      <c r="AB19" s="36" t="n">
        <v>43593.99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8.210000000000001</v>
      </c>
      <c r="F20" s="35" t="n">
        <v>8.210000000000001</v>
      </c>
      <c r="G20" s="18" t="n">
        <v>7.61</v>
      </c>
      <c r="H20" s="18" t="n">
        <v>9.27</v>
      </c>
      <c r="I20" s="18" t="n">
        <v>8.66</v>
      </c>
      <c r="J20" s="18" t="n">
        <v>8.06</v>
      </c>
      <c r="K20" s="35" t="n">
        <v>8.06</v>
      </c>
      <c r="L20" s="18" t="n">
        <v>7.46</v>
      </c>
      <c r="M20" s="18" t="n">
        <v>6.86</v>
      </c>
      <c r="N20" s="18" t="n">
        <v>7.86</v>
      </c>
      <c r="O20" s="18" t="n">
        <v>24.22</v>
      </c>
      <c r="P20" s="35" t="n">
        <v>24.22</v>
      </c>
      <c r="Q20" s="18" t="n">
        <v>22.15</v>
      </c>
      <c r="R20" s="18" t="n">
        <v>20.46</v>
      </c>
      <c r="S20" s="18" t="n">
        <v>18.36</v>
      </c>
      <c r="T20" s="18" t="n">
        <v>16.25</v>
      </c>
      <c r="U20" s="35" t="n">
        <v>16.25</v>
      </c>
      <c r="V20" s="18" t="n">
        <v>14.18</v>
      </c>
      <c r="W20" s="18" t="n">
        <v>12.1</v>
      </c>
      <c r="X20" s="18" t="n">
        <v>9.99</v>
      </c>
      <c r="Y20" s="18" t="n">
        <v>7.94</v>
      </c>
      <c r="Z20" s="35" t="n">
        <v>7.94</v>
      </c>
      <c r="AA20" s="18" t="n">
        <v>6.03</v>
      </c>
      <c r="AB20" s="36" t="n">
        <v>4.11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종속기업및관계기업투자</t>
        </is>
      </c>
      <c r="E21" s="18" t="n">
        <v>32931.22</v>
      </c>
      <c r="F21" s="35" t="n">
        <v>32931.22</v>
      </c>
      <c r="G21" s="18" t="n">
        <v>28014.99</v>
      </c>
      <c r="H21" s="18" t="n">
        <v>19859.68</v>
      </c>
      <c r="I21" s="18" t="n">
        <v>19859.25</v>
      </c>
      <c r="J21" s="18" t="n">
        <v>7829.58</v>
      </c>
      <c r="K21" s="35" t="n">
        <v>7829.58</v>
      </c>
      <c r="L21" s="18" t="n">
        <v>7829.09</v>
      </c>
      <c r="M21" s="18" t="n">
        <v>787.96</v>
      </c>
      <c r="N21" s="18" t="n">
        <v>787.96</v>
      </c>
      <c r="O21" s="18" t="n">
        <v>8347.51</v>
      </c>
      <c r="P21" s="35" t="n">
        <v>8347.51</v>
      </c>
      <c r="Q21" s="18" t="n">
        <v>9100</v>
      </c>
      <c r="R21" s="18" t="n">
        <v>7896.5</v>
      </c>
      <c r="S21" s="18" t="n">
        <v>7266.7</v>
      </c>
      <c r="T21" s="18" t="n">
        <v>10069.94</v>
      </c>
      <c r="U21" s="35" t="n">
        <v>10069.94</v>
      </c>
      <c r="V21" s="18" t="n">
        <v>10145.21</v>
      </c>
      <c r="W21" s="18" t="n">
        <v>9735.26</v>
      </c>
      <c r="X21" s="18" t="n">
        <v>10173.15</v>
      </c>
      <c r="Y21" s="18" t="n">
        <v>8377.139999999999</v>
      </c>
      <c r="Z21" s="35" t="n">
        <v>8377.139999999999</v>
      </c>
      <c r="AA21" s="18" t="n">
        <v>8377.139999999999</v>
      </c>
      <c r="AB21" s="36" t="n">
        <v>8339.02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101974.12</v>
      </c>
      <c r="F22" s="35" t="n">
        <v>101974.12</v>
      </c>
      <c r="G22" s="18" t="n">
        <v>100190.99</v>
      </c>
      <c r="H22" s="18" t="n">
        <v>100130.2</v>
      </c>
      <c r="I22" s="18" t="n">
        <v>104104.06</v>
      </c>
      <c r="J22" s="18" t="n">
        <v>107436.95</v>
      </c>
      <c r="K22" s="35" t="n">
        <v>107436.95</v>
      </c>
      <c r="L22" s="18" t="n">
        <v>105151.51</v>
      </c>
      <c r="M22" s="18" t="n">
        <v>103593.9</v>
      </c>
      <c r="N22" s="18" t="n">
        <v>91299.16</v>
      </c>
      <c r="O22" s="18" t="n">
        <v>96450.02</v>
      </c>
      <c r="P22" s="35" t="n">
        <v>96450.02</v>
      </c>
      <c r="Q22" s="18" t="n">
        <v>93711.2</v>
      </c>
      <c r="R22" s="18" t="n">
        <v>83976.71000000001</v>
      </c>
      <c r="S22" s="18" t="n">
        <v>79855.44</v>
      </c>
      <c r="T22" s="18" t="n">
        <v>81288.7</v>
      </c>
      <c r="U22" s="35" t="n">
        <v>81288.7</v>
      </c>
      <c r="V22" s="18" t="n">
        <v>83645.53</v>
      </c>
      <c r="W22" s="18" t="n">
        <v>77354.28</v>
      </c>
      <c r="X22" s="18" t="n">
        <v>72126.3</v>
      </c>
      <c r="Y22" s="18" t="n">
        <v>68257.96000000001</v>
      </c>
      <c r="Z22" s="35" t="n">
        <v>68257.96000000001</v>
      </c>
      <c r="AA22" s="18" t="n">
        <v>69331.36</v>
      </c>
      <c r="AB22" s="36" t="n">
        <v>68653.91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32910.78</v>
      </c>
      <c r="F23" s="35" t="n">
        <v>32910.78</v>
      </c>
      <c r="G23" s="18" t="n">
        <v>32363.17</v>
      </c>
      <c r="H23" s="18" t="n">
        <v>36702.27</v>
      </c>
      <c r="I23" s="18" t="n">
        <v>24819.29</v>
      </c>
      <c r="J23" s="18" t="n">
        <v>41015.24</v>
      </c>
      <c r="K23" s="35" t="n">
        <v>41015.24</v>
      </c>
      <c r="L23" s="18" t="n">
        <v>40622.62</v>
      </c>
      <c r="M23" s="18" t="n">
        <v>39739.2</v>
      </c>
      <c r="N23" s="18" t="n">
        <v>33353.16</v>
      </c>
      <c r="O23" s="18" t="n">
        <v>30354.98</v>
      </c>
      <c r="P23" s="35" t="n">
        <v>30354.98</v>
      </c>
      <c r="Q23" s="18" t="n">
        <v>25804.51</v>
      </c>
      <c r="R23" s="18" t="n">
        <v>24992.32</v>
      </c>
      <c r="S23" s="18" t="n">
        <v>23849.55</v>
      </c>
      <c r="T23" s="18" t="n">
        <v>23426.13</v>
      </c>
      <c r="U23" s="35" t="n">
        <v>23426.13</v>
      </c>
      <c r="V23" s="18" t="n">
        <v>21861.59</v>
      </c>
      <c r="W23" s="18" t="n">
        <v>19060.5</v>
      </c>
      <c r="X23" s="18" t="n">
        <v>15678.44</v>
      </c>
      <c r="Y23" s="18" t="n">
        <v>15733.17</v>
      </c>
      <c r="Z23" s="35" t="n">
        <v>15733.17</v>
      </c>
      <c r="AA23" s="18" t="n">
        <v>18427.35</v>
      </c>
      <c r="AB23" s="36" t="n">
        <v>18968.87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2062.95</v>
      </c>
      <c r="F24" s="35" t="n">
        <v>2062.95</v>
      </c>
      <c r="G24" s="18" t="n">
        <v>1605</v>
      </c>
      <c r="H24" s="18" t="n">
        <v>1805.58</v>
      </c>
      <c r="I24" s="18" t="n">
        <v>2069.49</v>
      </c>
      <c r="J24" s="18" t="n">
        <v>4146.21</v>
      </c>
      <c r="K24" s="35" t="n">
        <v>4146.21</v>
      </c>
      <c r="L24" s="18" t="n">
        <v>4062.04</v>
      </c>
      <c r="M24" s="18" t="n">
        <v>4185.97</v>
      </c>
      <c r="N24" s="18" t="n">
        <v>4185.92</v>
      </c>
      <c r="O24" s="18" t="n">
        <v>4608.77</v>
      </c>
      <c r="P24" s="35" t="n">
        <v>4608.77</v>
      </c>
      <c r="Q24" s="18" t="n">
        <v>5245.64</v>
      </c>
      <c r="R24" s="18" t="n">
        <v>4951.49</v>
      </c>
      <c r="S24" s="18" t="n">
        <v>4266.07</v>
      </c>
      <c r="T24" s="18" t="n">
        <v>4739.82</v>
      </c>
      <c r="U24" s="35" t="n">
        <v>4739.82</v>
      </c>
      <c r="V24" s="18" t="n">
        <v>4638.25</v>
      </c>
      <c r="W24" s="18" t="n">
        <v>5375.48</v>
      </c>
      <c r="X24" s="18" t="n">
        <v>5319.62</v>
      </c>
      <c r="Y24" s="18" t="n">
        <v>5525.5</v>
      </c>
      <c r="Z24" s="35" t="n">
        <v>5525.5</v>
      </c>
      <c r="AA24" s="18" t="n">
        <v>8034.04</v>
      </c>
      <c r="AB24" s="36" t="n">
        <v>8672.58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기타유동부채</t>
        </is>
      </c>
      <c r="E25" s="18" t="n">
        <v>349.72</v>
      </c>
      <c r="F25" s="35" t="n">
        <v>349.72</v>
      </c>
      <c r="G25" s="18" t="n">
        <v>2772.38</v>
      </c>
      <c r="H25" s="18" t="n">
        <v>2704.78</v>
      </c>
      <c r="I25" s="18" t="n">
        <v>2987.02</v>
      </c>
      <c r="J25" s="18" t="n">
        <v>1274.21</v>
      </c>
      <c r="K25" s="35" t="n">
        <v>1274.21</v>
      </c>
      <c r="L25" s="18" t="n">
        <v>186.92</v>
      </c>
      <c r="M25" s="18" t="n">
        <v>492.96</v>
      </c>
      <c r="N25" s="18" t="n">
        <v>899.02</v>
      </c>
      <c r="O25" s="18" t="n">
        <v>442.86</v>
      </c>
      <c r="P25" s="35" t="n">
        <v>442.86</v>
      </c>
      <c r="Q25" s="18" t="n">
        <v>288</v>
      </c>
      <c r="R25" s="18" t="n">
        <v>238.11</v>
      </c>
      <c r="S25" s="18" t="n">
        <v>272.34</v>
      </c>
      <c r="T25" s="18" t="n">
        <v>610.98</v>
      </c>
      <c r="U25" s="35" t="n">
        <v>610.98</v>
      </c>
      <c r="V25" s="18" t="n">
        <v>1221.4</v>
      </c>
      <c r="W25" s="18" t="n">
        <v>1283.19</v>
      </c>
      <c r="X25" s="18" t="n">
        <v>569.76</v>
      </c>
      <c r="Y25" s="18" t="n">
        <v>710.1799999999999</v>
      </c>
      <c r="Z25" s="35" t="n">
        <v>710.1799999999999</v>
      </c>
      <c r="AA25" s="18" t="n">
        <v>886.5</v>
      </c>
      <c r="AB25" s="36" t="n">
        <v>940.99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단기차입금</t>
        </is>
      </c>
      <c r="E26" s="18" t="n">
        <v>3000</v>
      </c>
      <c r="F26" s="35" t="n">
        <v>3000</v>
      </c>
      <c r="I26" s="18" t="n">
        <v>11876.58</v>
      </c>
      <c r="K26" s="9" t="n"/>
      <c r="O26" s="18" t="n">
        <v>3000</v>
      </c>
      <c r="P26" s="35" t="n">
        <v>3000</v>
      </c>
      <c r="Q26" s="18" t="n">
        <v>15734.06</v>
      </c>
      <c r="R26" s="18" t="n">
        <v>16440.05</v>
      </c>
      <c r="S26" s="18" t="n">
        <v>16032.97</v>
      </c>
      <c r="T26" s="18" t="n">
        <v>14720.85</v>
      </c>
      <c r="U26" s="35" t="n">
        <v>14720.85</v>
      </c>
      <c r="V26" s="18" t="n">
        <v>12643.12</v>
      </c>
      <c r="W26" s="18" t="n">
        <v>9809.459999999999</v>
      </c>
      <c r="X26" s="18" t="n">
        <v>8309.200000000001</v>
      </c>
      <c r="Y26" s="18" t="n">
        <v>8268.389999999999</v>
      </c>
      <c r="Z26" s="35" t="n">
        <v>8268.389999999999</v>
      </c>
      <c r="AA26" s="18" t="n">
        <v>8285.219999999999</v>
      </c>
      <c r="AB26" s="36" t="n">
        <v>8281.51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유동성장기부채</t>
        </is>
      </c>
      <c r="E27" s="18" t="n">
        <v>15470.8</v>
      </c>
      <c r="F27" s="35" t="n">
        <v>15470.8</v>
      </c>
      <c r="G27" s="18" t="n">
        <v>15901.13</v>
      </c>
      <c r="H27" s="18" t="n">
        <v>20515.56</v>
      </c>
      <c r="I27" s="18" t="n">
        <v>4277.9</v>
      </c>
      <c r="J27" s="18" t="n">
        <v>16166.14</v>
      </c>
      <c r="K27" s="35" t="n">
        <v>16166.14</v>
      </c>
      <c r="L27" s="18" t="n">
        <v>16968.91</v>
      </c>
      <c r="M27" s="18" t="n">
        <v>18473.85</v>
      </c>
      <c r="N27" s="18" t="n">
        <v>18984.81</v>
      </c>
      <c r="O27" s="18" t="n">
        <v>12188.88</v>
      </c>
      <c r="P27" s="35" t="n">
        <v>12188.88</v>
      </c>
      <c r="Q27" s="18" t="n">
        <v>2135.45</v>
      </c>
      <c r="R27" s="18" t="n">
        <v>2245.27</v>
      </c>
      <c r="S27" s="18" t="n">
        <v>2362.48</v>
      </c>
      <c r="T27" s="18" t="n">
        <v>2486.27</v>
      </c>
      <c r="U27" s="35" t="n">
        <v>2486.27</v>
      </c>
      <c r="V27" s="18" t="n">
        <v>2614.1</v>
      </c>
      <c r="W27" s="18" t="n">
        <v>1475.63</v>
      </c>
      <c r="X27" s="18" t="n">
        <v>251.31</v>
      </c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단기파생상품부채</t>
        </is>
      </c>
      <c r="E28" s="18" t="n">
        <v>10610.06</v>
      </c>
      <c r="F28" s="35" t="n">
        <v>10610.06</v>
      </c>
      <c r="G28" s="18" t="n">
        <v>10439.73</v>
      </c>
      <c r="H28" s="18" t="n">
        <v>9943.32</v>
      </c>
      <c r="I28" s="18" t="n">
        <v>2698.77</v>
      </c>
      <c r="J28" s="18" t="n">
        <v>18271.59</v>
      </c>
      <c r="K28" s="35" t="n">
        <v>18271.59</v>
      </c>
      <c r="L28" s="18" t="n">
        <v>18271.59</v>
      </c>
      <c r="M28" s="18" t="n">
        <v>15503.61</v>
      </c>
      <c r="N28" s="18" t="n">
        <v>8374.35</v>
      </c>
      <c r="O28" s="18" t="n">
        <v>9308.32</v>
      </c>
      <c r="P28" s="35" t="n">
        <v>9308.32</v>
      </c>
      <c r="Q28" s="18" t="n">
        <v>1647.31</v>
      </c>
      <c r="R28" s="18" t="n">
        <v>314.57</v>
      </c>
      <c r="S28" s="18" t="n">
        <v>314.57</v>
      </c>
      <c r="T28" s="18" t="n">
        <v>186.56</v>
      </c>
      <c r="U28" s="35" t="n">
        <v>186.56</v>
      </c>
      <c r="V28" s="18" t="n">
        <v>186.56</v>
      </c>
      <c r="W28" s="18" t="n">
        <v>52.49</v>
      </c>
      <c r="X28" s="18" t="n">
        <v>8.49</v>
      </c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단기금융부채</t>
        </is>
      </c>
      <c r="E29" s="18" t="n">
        <v>10610.06</v>
      </c>
      <c r="F29" s="35" t="n">
        <v>10610.06</v>
      </c>
      <c r="G29" s="18" t="n">
        <v>10439.73</v>
      </c>
      <c r="H29" s="18" t="n">
        <v>9943.32</v>
      </c>
      <c r="I29" s="18" t="n">
        <v>2698.77</v>
      </c>
      <c r="J29" s="18" t="n">
        <v>18271.59</v>
      </c>
      <c r="K29" s="35" t="n">
        <v>18271.59</v>
      </c>
      <c r="L29" s="18" t="n">
        <v>18271.59</v>
      </c>
      <c r="M29" s="18" t="n">
        <v>15503.61</v>
      </c>
      <c r="N29" s="18" t="n">
        <v>8374.35</v>
      </c>
      <c r="O29" s="18" t="n">
        <v>9308.32</v>
      </c>
      <c r="P29" s="35" t="n">
        <v>9308.32</v>
      </c>
      <c r="Q29" s="18" t="n">
        <v>1647.31</v>
      </c>
      <c r="R29" s="18" t="n">
        <v>314.57</v>
      </c>
      <c r="S29" s="18" t="n">
        <v>314.57</v>
      </c>
      <c r="T29" s="18" t="n">
        <v>186.56</v>
      </c>
      <c r="U29" s="35" t="n">
        <v>186.56</v>
      </c>
      <c r="V29" s="18" t="n">
        <v>186.56</v>
      </c>
      <c r="W29" s="18" t="n">
        <v>52.49</v>
      </c>
      <c r="X29" s="18" t="n">
        <v>8.49</v>
      </c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단기충당부채</t>
        </is>
      </c>
      <c r="E30" s="18" t="n">
        <v>617.11</v>
      </c>
      <c r="F30" s="35" t="n">
        <v>617.11</v>
      </c>
      <c r="G30" s="18" t="n">
        <v>667.9400000000001</v>
      </c>
      <c r="H30" s="18" t="n">
        <v>696.72</v>
      </c>
      <c r="I30" s="18" t="n">
        <v>22.78</v>
      </c>
      <c r="J30" s="18" t="n">
        <v>22.92</v>
      </c>
      <c r="K30" s="35" t="n">
        <v>22.92</v>
      </c>
      <c r="M30" s="18" t="n">
        <v>28.16</v>
      </c>
      <c r="N30" s="18" t="n">
        <v>28.31</v>
      </c>
      <c r="O30" s="18" t="n">
        <v>28.46</v>
      </c>
      <c r="P30" s="35" t="n">
        <v>28.46</v>
      </c>
      <c r="Q30" s="18" t="n">
        <v>28.6</v>
      </c>
      <c r="R30" s="18" t="n">
        <v>27.22</v>
      </c>
      <c r="S30" s="18" t="n">
        <v>27.62</v>
      </c>
      <c r="T30" s="18" t="n">
        <v>28.03</v>
      </c>
      <c r="U30" s="35" t="n">
        <v>28.03</v>
      </c>
      <c r="V30" s="18" t="n">
        <v>28.43</v>
      </c>
      <c r="W30" s="18" t="n">
        <v>28.7</v>
      </c>
      <c r="X30" s="18" t="n">
        <v>28.7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2861.15</v>
      </c>
      <c r="F31" s="35" t="n">
        <v>2861.15</v>
      </c>
      <c r="G31" s="18" t="n">
        <v>3018.01</v>
      </c>
      <c r="H31" s="18" t="n">
        <v>3056.04</v>
      </c>
      <c r="I31" s="18" t="n">
        <v>2881.51</v>
      </c>
      <c r="J31" s="18" t="n">
        <v>2807.62</v>
      </c>
      <c r="K31" s="35" t="n">
        <v>2807.62</v>
      </c>
      <c r="L31" s="18" t="n">
        <v>2996.86</v>
      </c>
      <c r="M31" s="18" t="n">
        <v>3013.48</v>
      </c>
      <c r="N31" s="18" t="n">
        <v>3122.95</v>
      </c>
      <c r="O31" s="18" t="n">
        <v>3777.86</v>
      </c>
      <c r="P31" s="35" t="n">
        <v>3777.86</v>
      </c>
      <c r="Q31" s="18" t="n">
        <v>3817.06</v>
      </c>
      <c r="R31" s="18" t="n">
        <v>4036</v>
      </c>
      <c r="S31" s="18" t="n">
        <v>4141.63</v>
      </c>
      <c r="T31" s="18" t="n">
        <v>5172.28</v>
      </c>
      <c r="U31" s="35" t="n">
        <v>5172.28</v>
      </c>
      <c r="V31" s="18" t="n">
        <v>5071.09</v>
      </c>
      <c r="W31" s="18" t="n">
        <v>5946.8</v>
      </c>
      <c r="X31" s="18" t="n">
        <v>5803.04</v>
      </c>
      <c r="Y31" s="18" t="n">
        <v>5127.18</v>
      </c>
      <c r="Z31" s="35" t="n">
        <v>5127.18</v>
      </c>
      <c r="AA31" s="18" t="n">
        <v>4837.21</v>
      </c>
      <c r="AB31" s="36" t="n">
        <v>4716.35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비유동리스부채</t>
        </is>
      </c>
      <c r="E32" s="18" t="n">
        <v>325.47</v>
      </c>
      <c r="F32" s="35" t="n">
        <v>325.47</v>
      </c>
      <c r="G32" s="18" t="n">
        <v>434.43</v>
      </c>
      <c r="H32" s="18" t="n">
        <v>589.05</v>
      </c>
      <c r="I32" s="18" t="n">
        <v>415.04</v>
      </c>
      <c r="J32" s="18" t="n">
        <v>436.49</v>
      </c>
      <c r="K32" s="35" t="n">
        <v>436.49</v>
      </c>
      <c r="L32" s="18" t="n">
        <v>438.87</v>
      </c>
      <c r="M32" s="18" t="n">
        <v>440.19</v>
      </c>
      <c r="N32" s="18" t="n">
        <v>499.08</v>
      </c>
      <c r="O32" s="18" t="n">
        <v>390.39</v>
      </c>
      <c r="P32" s="35" t="n">
        <v>390.39</v>
      </c>
      <c r="Q32" s="18" t="n">
        <v>335.54</v>
      </c>
      <c r="R32" s="18" t="n">
        <v>445.04</v>
      </c>
      <c r="S32" s="18" t="n">
        <v>408.81</v>
      </c>
      <c r="T32" s="18" t="n">
        <v>481.21</v>
      </c>
      <c r="U32" s="35" t="n">
        <v>481.21</v>
      </c>
      <c r="V32" s="18" t="n">
        <v>526.3200000000001</v>
      </c>
      <c r="W32" s="18" t="n">
        <v>1357.26</v>
      </c>
      <c r="X32" s="18" t="n">
        <v>1942.65</v>
      </c>
      <c r="Y32" s="18" t="n">
        <v>1077.54</v>
      </c>
      <c r="Z32" s="35" t="n">
        <v>1077.54</v>
      </c>
      <c r="AA32" s="18" t="n">
        <v>820.29</v>
      </c>
      <c r="AB32" s="36" t="n">
        <v>666.38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리스부채</t>
        </is>
      </c>
      <c r="E33" s="18" t="n">
        <v>325.47</v>
      </c>
      <c r="F33" s="35" t="n">
        <v>325.47</v>
      </c>
      <c r="G33" s="18" t="n">
        <v>434.43</v>
      </c>
      <c r="H33" s="18" t="n">
        <v>589.05</v>
      </c>
      <c r="I33" s="18" t="n">
        <v>415.04</v>
      </c>
      <c r="J33" s="18" t="n">
        <v>436.49</v>
      </c>
      <c r="K33" s="35" t="n">
        <v>436.49</v>
      </c>
      <c r="L33" s="18" t="n">
        <v>438.87</v>
      </c>
      <c r="M33" s="18" t="n">
        <v>440.19</v>
      </c>
      <c r="N33" s="18" t="n">
        <v>499.08</v>
      </c>
      <c r="O33" s="18" t="n">
        <v>390.39</v>
      </c>
      <c r="P33" s="35" t="n">
        <v>390.39</v>
      </c>
      <c r="Q33" s="18" t="n">
        <v>335.54</v>
      </c>
      <c r="R33" s="18" t="n">
        <v>445.04</v>
      </c>
      <c r="S33" s="18" t="n">
        <v>408.81</v>
      </c>
      <c r="T33" s="18" t="n">
        <v>481.21</v>
      </c>
      <c r="U33" s="35" t="n">
        <v>481.21</v>
      </c>
      <c r="V33" s="18" t="n">
        <v>526.3200000000001</v>
      </c>
      <c r="W33" s="18" t="n">
        <v>1357.26</v>
      </c>
      <c r="X33" s="18" t="n">
        <v>1942.65</v>
      </c>
      <c r="Y33" s="18" t="n">
        <v>1077.54</v>
      </c>
      <c r="Z33" s="35" t="n">
        <v>1077.54</v>
      </c>
      <c r="AA33" s="18" t="n">
        <v>820.29</v>
      </c>
      <c r="AB33" s="36" t="n">
        <v>666.38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장기금융부채</t>
        </is>
      </c>
      <c r="E34" s="18" t="n">
        <v>325.47</v>
      </c>
      <c r="F34" s="35" t="n">
        <v>325.47</v>
      </c>
      <c r="G34" s="18" t="n">
        <v>434.43</v>
      </c>
      <c r="H34" s="18" t="n">
        <v>589.05</v>
      </c>
      <c r="I34" s="18" t="n">
        <v>415.04</v>
      </c>
      <c r="J34" s="18" t="n">
        <v>436.49</v>
      </c>
      <c r="K34" s="35" t="n">
        <v>436.49</v>
      </c>
      <c r="L34" s="18" t="n">
        <v>438.87</v>
      </c>
      <c r="M34" s="18" t="n">
        <v>440.19</v>
      </c>
      <c r="N34" s="18" t="n">
        <v>499.08</v>
      </c>
      <c r="O34" s="18" t="n">
        <v>390.39</v>
      </c>
      <c r="P34" s="35" t="n">
        <v>390.39</v>
      </c>
      <c r="Q34" s="18" t="n">
        <v>335.54</v>
      </c>
      <c r="R34" s="18" t="n">
        <v>445.04</v>
      </c>
      <c r="S34" s="18" t="n">
        <v>408.81</v>
      </c>
      <c r="T34" s="18" t="n">
        <v>481.21</v>
      </c>
      <c r="U34" s="35" t="n">
        <v>481.21</v>
      </c>
      <c r="V34" s="18" t="n">
        <v>526.3200000000001</v>
      </c>
      <c r="W34" s="18" t="n">
        <v>1357.26</v>
      </c>
      <c r="X34" s="18" t="n">
        <v>1942.65</v>
      </c>
      <c r="Y34" s="18" t="n">
        <v>1077.54</v>
      </c>
      <c r="Z34" s="35" t="n">
        <v>1077.54</v>
      </c>
      <c r="AA34" s="18" t="n">
        <v>820.29</v>
      </c>
      <c r="AB34" s="36" t="n">
        <v>666.38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확정급여부채</t>
        </is>
      </c>
      <c r="E35" s="18" t="n">
        <v>141.72</v>
      </c>
      <c r="F35" s="35" t="n">
        <v>141.72</v>
      </c>
      <c r="G35" s="18" t="n">
        <v>212.01</v>
      </c>
      <c r="H35" s="18" t="n">
        <v>67.83</v>
      </c>
      <c r="I35" s="18" t="n">
        <v>67.15000000000001</v>
      </c>
      <c r="K35" s="9" t="n"/>
      <c r="L35" s="18" t="n">
        <v>187.07</v>
      </c>
      <c r="M35" s="18" t="n">
        <v>230.67</v>
      </c>
      <c r="N35" s="18" t="n">
        <v>281.46</v>
      </c>
      <c r="P35" s="9" t="n"/>
      <c r="Q35" s="18" t="n">
        <v>94.19</v>
      </c>
      <c r="R35" s="18" t="n">
        <v>203.71</v>
      </c>
      <c r="S35" s="18" t="n">
        <v>345.6</v>
      </c>
      <c r="T35" s="18" t="n">
        <v>595.61</v>
      </c>
      <c r="U35" s="35" t="n">
        <v>595.61</v>
      </c>
      <c r="V35" s="18" t="n">
        <v>449.31</v>
      </c>
      <c r="W35" s="18" t="n">
        <v>469.04</v>
      </c>
      <c r="X35" s="18" t="n">
        <v>503.66</v>
      </c>
      <c r="Y35" s="18" t="n">
        <v>503.87</v>
      </c>
      <c r="Z35" s="35" t="n">
        <v>503.87</v>
      </c>
      <c r="AA35" s="18" t="n">
        <v>470.39</v>
      </c>
      <c r="AB35" s="36" t="n">
        <v>502.65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장기충당부채</t>
        </is>
      </c>
      <c r="E36" s="18" t="n">
        <v>22.38</v>
      </c>
      <c r="F36" s="35" t="n">
        <v>22.38</v>
      </c>
      <c r="H36" s="18" t="n">
        <v>27.59</v>
      </c>
      <c r="I36" s="18" t="n">
        <v>27.73</v>
      </c>
      <c r="J36" s="18" t="n">
        <v>27.88</v>
      </c>
      <c r="K36" s="35" t="n">
        <v>27.88</v>
      </c>
      <c r="L36" s="18" t="n">
        <v>28.02</v>
      </c>
      <c r="P36" s="9" t="n"/>
      <c r="U36" s="9" t="n"/>
      <c r="W36" s="18" t="n">
        <v>25.03</v>
      </c>
      <c r="X36" s="18" t="n">
        <v>61.89</v>
      </c>
      <c r="Y36" s="18" t="n">
        <v>65.75</v>
      </c>
      <c r="Z36" s="35" t="n">
        <v>65.75</v>
      </c>
      <c r="AA36" s="18" t="n">
        <v>66.51000000000001</v>
      </c>
      <c r="AB36" s="36" t="n">
        <v>67.3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이연법인세부채</t>
        </is>
      </c>
      <c r="E37" s="18" t="n">
        <v>2371.58</v>
      </c>
      <c r="F37" s="35" t="n">
        <v>2371.58</v>
      </c>
      <c r="G37" s="18" t="n">
        <v>2371.58</v>
      </c>
      <c r="H37" s="18" t="n">
        <v>2371.58</v>
      </c>
      <c r="I37" s="18" t="n">
        <v>2371.58</v>
      </c>
      <c r="J37" s="18" t="n">
        <v>2263.78</v>
      </c>
      <c r="K37" s="35" t="n">
        <v>2263.78</v>
      </c>
      <c r="L37" s="18" t="n">
        <v>2263.78</v>
      </c>
      <c r="M37" s="18" t="n">
        <v>2263.78</v>
      </c>
      <c r="N37" s="18" t="n">
        <v>2263.78</v>
      </c>
      <c r="O37" s="18" t="n">
        <v>3309</v>
      </c>
      <c r="P37" s="35" t="n">
        <v>3309</v>
      </c>
      <c r="Q37" s="18" t="n">
        <v>3309</v>
      </c>
      <c r="R37" s="18" t="n">
        <v>3309</v>
      </c>
      <c r="S37" s="18" t="n">
        <v>3309</v>
      </c>
      <c r="T37" s="18" t="n">
        <v>4095.46</v>
      </c>
      <c r="U37" s="35" t="n">
        <v>4095.46</v>
      </c>
      <c r="V37" s="18" t="n">
        <v>4095.46</v>
      </c>
      <c r="W37" s="18" t="n">
        <v>4095.46</v>
      </c>
      <c r="X37" s="18" t="n">
        <v>3294.14</v>
      </c>
      <c r="Y37" s="18" t="n">
        <v>3473.02</v>
      </c>
      <c r="Z37" s="35" t="n">
        <v>3473.02</v>
      </c>
      <c r="AA37" s="18" t="n">
        <v>3473.02</v>
      </c>
      <c r="AB37" s="36" t="n">
        <v>3473.02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35771.93</v>
      </c>
      <c r="F38" s="35" t="n">
        <v>35771.93</v>
      </c>
      <c r="G38" s="18" t="n">
        <v>35381.18</v>
      </c>
      <c r="H38" s="18" t="n">
        <v>39758.31</v>
      </c>
      <c r="I38" s="18" t="n">
        <v>27700.79</v>
      </c>
      <c r="J38" s="18" t="n">
        <v>43822.86</v>
      </c>
      <c r="K38" s="35" t="n">
        <v>43822.86</v>
      </c>
      <c r="L38" s="18" t="n">
        <v>43619.48</v>
      </c>
      <c r="M38" s="18" t="n">
        <v>42752.68</v>
      </c>
      <c r="N38" s="18" t="n">
        <v>36476.11</v>
      </c>
      <c r="O38" s="18" t="n">
        <v>34132.84</v>
      </c>
      <c r="P38" s="35" t="n">
        <v>34132.84</v>
      </c>
      <c r="Q38" s="18" t="n">
        <v>29621.57</v>
      </c>
      <c r="R38" s="18" t="n">
        <v>29028.31</v>
      </c>
      <c r="S38" s="18" t="n">
        <v>27991.18</v>
      </c>
      <c r="T38" s="18" t="n">
        <v>28598.41</v>
      </c>
      <c r="U38" s="35" t="n">
        <v>28598.41</v>
      </c>
      <c r="V38" s="18" t="n">
        <v>26932.68</v>
      </c>
      <c r="W38" s="18" t="n">
        <v>25007.3</v>
      </c>
      <c r="X38" s="18" t="n">
        <v>21481.48</v>
      </c>
      <c r="Y38" s="18" t="n">
        <v>20860.36</v>
      </c>
      <c r="Z38" s="35" t="n">
        <v>20860.36</v>
      </c>
      <c r="AA38" s="18" t="n">
        <v>23264.55</v>
      </c>
      <c r="AB38" s="36" t="n">
        <v>23685.22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47303.95</v>
      </c>
      <c r="F39" s="35" t="n">
        <v>47303.95</v>
      </c>
      <c r="G39" s="18" t="n">
        <v>48143.08</v>
      </c>
      <c r="H39" s="18" t="n">
        <v>4814.31</v>
      </c>
      <c r="I39" s="18" t="n">
        <v>6052.83</v>
      </c>
      <c r="J39" s="18" t="n">
        <v>12773.66</v>
      </c>
      <c r="K39" s="35" t="n">
        <v>12773.66</v>
      </c>
      <c r="L39" s="18" t="n">
        <v>13092.34</v>
      </c>
      <c r="M39" s="18" t="n">
        <v>14858.61</v>
      </c>
      <c r="N39" s="18" t="n">
        <v>15038.73</v>
      </c>
      <c r="O39" s="18" t="n">
        <v>26138.72</v>
      </c>
      <c r="P39" s="35" t="n">
        <v>26138.72</v>
      </c>
      <c r="Q39" s="18" t="n">
        <v>28575.58</v>
      </c>
      <c r="R39" s="18" t="n">
        <v>28575.58</v>
      </c>
      <c r="S39" s="18" t="n">
        <v>29439.14</v>
      </c>
      <c r="T39" s="18" t="n">
        <v>34439.14</v>
      </c>
      <c r="U39" s="35" t="n">
        <v>34439.14</v>
      </c>
      <c r="V39" s="18" t="n">
        <v>41439.14</v>
      </c>
      <c r="W39" s="18" t="n">
        <v>41439.14</v>
      </c>
      <c r="X39" s="18" t="n">
        <v>2763.99</v>
      </c>
      <c r="Y39" s="18" t="n">
        <v>2763.99</v>
      </c>
      <c r="Z39" s="35" t="n">
        <v>2763.99</v>
      </c>
      <c r="AA39" s="18" t="n">
        <v>2763.99</v>
      </c>
      <c r="AB39" s="36" t="n">
        <v>2763.99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기타자본</t>
        </is>
      </c>
      <c r="E40" s="18" t="n">
        <v>58753.15</v>
      </c>
      <c r="F40" s="35" t="n">
        <v>58753.15</v>
      </c>
      <c r="G40" s="18" t="n">
        <v>59331.29</v>
      </c>
      <c r="H40" s="18" t="n">
        <v>102617.43</v>
      </c>
      <c r="I40" s="18" t="n">
        <v>131512.25</v>
      </c>
      <c r="J40" s="18" t="n">
        <v>132626.24</v>
      </c>
      <c r="K40" s="35" t="n">
        <v>132626.24</v>
      </c>
      <c r="L40" s="18" t="n">
        <v>133301.42</v>
      </c>
      <c r="M40" s="18" t="n">
        <v>140031.66</v>
      </c>
      <c r="N40" s="18" t="n">
        <v>97317.44</v>
      </c>
      <c r="O40" s="18" t="n">
        <v>110529.97</v>
      </c>
      <c r="P40" s="35" t="n">
        <v>110529.97</v>
      </c>
      <c r="Q40" s="18" t="n">
        <v>110039.7</v>
      </c>
      <c r="R40" s="18" t="n">
        <v>107579.43</v>
      </c>
      <c r="S40" s="18" t="n">
        <v>107125.33</v>
      </c>
      <c r="T40" s="18" t="n">
        <v>112921.53</v>
      </c>
      <c r="U40" s="35" t="n">
        <v>112921.53</v>
      </c>
      <c r="V40" s="18" t="n">
        <v>112427.96</v>
      </c>
      <c r="W40" s="18" t="n">
        <v>112144.13</v>
      </c>
      <c r="X40" s="18" t="n">
        <v>112446.57</v>
      </c>
      <c r="Y40" s="18" t="n">
        <v>112293.2</v>
      </c>
      <c r="Z40" s="35" t="n">
        <v>112293.2</v>
      </c>
      <c r="AA40" s="18" t="n">
        <v>112293.2</v>
      </c>
      <c r="AB40" s="36" t="n">
        <v>112293.2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이익잉여금</t>
        </is>
      </c>
      <c r="E41" s="18" t="n">
        <v>-39854.91</v>
      </c>
      <c r="F41" s="35" t="n">
        <v>-39854.91</v>
      </c>
      <c r="G41" s="18" t="n">
        <v>-42664.56</v>
      </c>
      <c r="H41" s="18" t="n">
        <v>-47059.84</v>
      </c>
      <c r="I41" s="18" t="n">
        <v>-61161.82</v>
      </c>
      <c r="J41" s="18" t="n">
        <v>-81785.81</v>
      </c>
      <c r="K41" s="35" t="n">
        <v>-81785.81</v>
      </c>
      <c r="L41" s="18" t="n">
        <v>-84861.73</v>
      </c>
      <c r="M41" s="18" t="n">
        <v>-94049.05</v>
      </c>
      <c r="N41" s="18" t="n">
        <v>-57533.11</v>
      </c>
      <c r="O41" s="18" t="n">
        <v>-74351.50999999999</v>
      </c>
      <c r="P41" s="35" t="n">
        <v>-74351.50999999999</v>
      </c>
      <c r="Q41" s="18" t="n">
        <v>-74525.64999999999</v>
      </c>
      <c r="R41" s="18" t="n">
        <v>-81206.61</v>
      </c>
      <c r="S41" s="18" t="n">
        <v>-84700.21000000001</v>
      </c>
      <c r="T41" s="18" t="n">
        <v>-94670.38</v>
      </c>
      <c r="U41" s="35" t="n">
        <v>-94670.38</v>
      </c>
      <c r="V41" s="18" t="n">
        <v>-97154.25</v>
      </c>
      <c r="W41" s="18" t="n">
        <v>-101236.29</v>
      </c>
      <c r="X41" s="18" t="n">
        <v>-64565.74</v>
      </c>
      <c r="Y41" s="18" t="n">
        <v>-67659.59</v>
      </c>
      <c r="Z41" s="35" t="n">
        <v>-67659.59</v>
      </c>
      <c r="AA41" s="18" t="n">
        <v>-68990.38</v>
      </c>
      <c r="AB41" s="36" t="n">
        <v>-70088.5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자본총계</t>
        </is>
      </c>
      <c r="E42" s="18" t="n">
        <v>66202.19</v>
      </c>
      <c r="F42" s="35" t="n">
        <v>66202.19</v>
      </c>
      <c r="G42" s="18" t="n">
        <v>64809.81</v>
      </c>
      <c r="H42" s="18" t="n">
        <v>60371.89</v>
      </c>
      <c r="I42" s="18" t="n">
        <v>76403.27</v>
      </c>
      <c r="J42" s="18" t="n">
        <v>63614.09</v>
      </c>
      <c r="K42" s="35" t="n">
        <v>63614.09</v>
      </c>
      <c r="L42" s="18" t="n">
        <v>61532.03</v>
      </c>
      <c r="M42" s="18" t="n">
        <v>60841.22</v>
      </c>
      <c r="N42" s="18" t="n">
        <v>54823.05</v>
      </c>
      <c r="O42" s="18" t="n">
        <v>62317.18</v>
      </c>
      <c r="P42" s="35" t="n">
        <v>62317.18</v>
      </c>
      <c r="Q42" s="18" t="n">
        <v>64089.63</v>
      </c>
      <c r="R42" s="18" t="n">
        <v>54948.4</v>
      </c>
      <c r="S42" s="18" t="n">
        <v>51864.26</v>
      </c>
      <c r="T42" s="18" t="n">
        <v>52690.29</v>
      </c>
      <c r="U42" s="35" t="n">
        <v>52690.29</v>
      </c>
      <c r="V42" s="18" t="n">
        <v>56712.85</v>
      </c>
      <c r="W42" s="18" t="n">
        <v>52346.98</v>
      </c>
      <c r="X42" s="18" t="n">
        <v>50644.83</v>
      </c>
      <c r="Y42" s="18" t="n">
        <v>47397.6</v>
      </c>
      <c r="Z42" s="35" t="n">
        <v>47397.6</v>
      </c>
      <c r="AA42" s="18" t="n">
        <v>46066.81</v>
      </c>
      <c r="AB42" s="36" t="n">
        <v>44968.69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부채와자본총계</t>
        </is>
      </c>
      <c r="E43" s="18" t="n">
        <v>101974.12</v>
      </c>
      <c r="F43" s="35" t="n">
        <v>101974.12</v>
      </c>
      <c r="G43" s="18" t="n">
        <v>100190.99</v>
      </c>
      <c r="H43" s="18" t="n">
        <v>100130.2</v>
      </c>
      <c r="I43" s="18" t="n">
        <v>104104.06</v>
      </c>
      <c r="J43" s="18" t="n">
        <v>107436.95</v>
      </c>
      <c r="K43" s="35" t="n">
        <v>107436.95</v>
      </c>
      <c r="L43" s="18" t="n">
        <v>105151.51</v>
      </c>
      <c r="M43" s="18" t="n">
        <v>103593.9</v>
      </c>
      <c r="N43" s="18" t="n">
        <v>91299.16</v>
      </c>
      <c r="O43" s="18" t="n">
        <v>96450.02</v>
      </c>
      <c r="P43" s="35" t="n">
        <v>96450.02</v>
      </c>
      <c r="Q43" s="18" t="n">
        <v>93711.2</v>
      </c>
      <c r="R43" s="18" t="n">
        <v>83976.71000000001</v>
      </c>
      <c r="S43" s="18" t="n">
        <v>79855.44</v>
      </c>
      <c r="T43" s="18" t="n">
        <v>81288.7</v>
      </c>
      <c r="U43" s="35" t="n">
        <v>81288.7</v>
      </c>
      <c r="V43" s="18" t="n">
        <v>83645.53</v>
      </c>
      <c r="W43" s="18" t="n">
        <v>77354.28</v>
      </c>
      <c r="X43" s="18" t="n">
        <v>72126.3</v>
      </c>
      <c r="Y43" s="18" t="n">
        <v>68257.96000000001</v>
      </c>
      <c r="Z43" s="35" t="n">
        <v>68257.96000000001</v>
      </c>
      <c r="AA43" s="18" t="n">
        <v>69331.36</v>
      </c>
      <c r="AB43" s="36" t="n">
        <v>68653.91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66202.19</v>
      </c>
      <c r="F44" s="35" t="n">
        <v>66202.19</v>
      </c>
      <c r="G44" s="18" t="n">
        <v>64809.81</v>
      </c>
      <c r="H44" s="18" t="n">
        <v>60371.89</v>
      </c>
      <c r="I44" s="18" t="n">
        <v>76403.27</v>
      </c>
      <c r="J44" s="18" t="n">
        <v>63614.09</v>
      </c>
      <c r="K44" s="35" t="n">
        <v>63614.09</v>
      </c>
      <c r="L44" s="18" t="n">
        <v>61532.03</v>
      </c>
      <c r="M44" s="18" t="n">
        <v>60841.22</v>
      </c>
      <c r="N44" s="18" t="n">
        <v>54823.05</v>
      </c>
      <c r="O44" s="18" t="n">
        <v>62317.18</v>
      </c>
      <c r="P44" s="35" t="n">
        <v>62317.18</v>
      </c>
      <c r="Q44" s="18" t="n">
        <v>64089.63</v>
      </c>
      <c r="R44" s="18" t="n">
        <v>54948.4</v>
      </c>
      <c r="S44" s="18" t="n">
        <v>51864.26</v>
      </c>
      <c r="T44" s="18" t="n">
        <v>52690.29</v>
      </c>
      <c r="U44" s="35" t="n">
        <v>52690.29</v>
      </c>
      <c r="V44" s="18" t="n">
        <v>56712.85</v>
      </c>
      <c r="W44" s="18" t="n">
        <v>52346.98</v>
      </c>
      <c r="X44" s="18" t="n">
        <v>50644.83</v>
      </c>
      <c r="Y44" s="18" t="n">
        <v>47397.6</v>
      </c>
      <c r="Z44" s="35" t="n">
        <v>47397.6</v>
      </c>
      <c r="AA44" s="18" t="n">
        <v>46066.81</v>
      </c>
      <c r="AB44" s="36" t="n">
        <v>44968.69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총차입금</t>
        </is>
      </c>
      <c r="E45" s="18" t="n">
        <v>18470.8</v>
      </c>
      <c r="F45" s="35" t="n">
        <v>18470.8</v>
      </c>
      <c r="G45" s="18" t="n">
        <v>15901.13</v>
      </c>
      <c r="H45" s="18" t="n">
        <v>20515.56</v>
      </c>
      <c r="I45" s="18" t="n">
        <v>16154.48</v>
      </c>
      <c r="J45" s="18" t="n">
        <v>16166.14</v>
      </c>
      <c r="K45" s="35" t="n">
        <v>16166.14</v>
      </c>
      <c r="L45" s="18" t="n">
        <v>16968.91</v>
      </c>
      <c r="M45" s="18" t="n">
        <v>18473.85</v>
      </c>
      <c r="N45" s="18" t="n">
        <v>18984.81</v>
      </c>
      <c r="O45" s="18" t="n">
        <v>15188.88</v>
      </c>
      <c r="P45" s="35" t="n">
        <v>15188.88</v>
      </c>
      <c r="Q45" s="18" t="n">
        <v>17869.51</v>
      </c>
      <c r="R45" s="18" t="n">
        <v>18685.32</v>
      </c>
      <c r="S45" s="18" t="n">
        <v>18395.45</v>
      </c>
      <c r="T45" s="18" t="n">
        <v>17207.12</v>
      </c>
      <c r="U45" s="35" t="n">
        <v>17207.12</v>
      </c>
      <c r="V45" s="18" t="n">
        <v>15257.22</v>
      </c>
      <c r="W45" s="18" t="n">
        <v>11285.09</v>
      </c>
      <c r="X45" s="18" t="n">
        <v>8560.51</v>
      </c>
      <c r="Y45" s="18" t="n">
        <v>8268.389999999999</v>
      </c>
      <c r="Z45" s="35" t="n">
        <v>8268.389999999999</v>
      </c>
      <c r="AA45" s="18" t="n">
        <v>8285.219999999999</v>
      </c>
      <c r="AB45" s="36" t="n">
        <v>8281.51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순차입금</t>
        </is>
      </c>
      <c r="E46" s="18" t="n">
        <v>10350.08</v>
      </c>
      <c r="F46" s="35" t="n">
        <v>10350.08</v>
      </c>
      <c r="G46" s="18" t="n">
        <v>5573.35</v>
      </c>
      <c r="H46" s="18" t="n">
        <v>16087.21</v>
      </c>
      <c r="I46" s="18" t="n">
        <v>12325.38</v>
      </c>
      <c r="J46" s="18" t="n">
        <v>3045.82</v>
      </c>
      <c r="K46" s="35" t="n">
        <v>3045.82</v>
      </c>
      <c r="L46" s="18" t="n">
        <v>4882.78</v>
      </c>
      <c r="M46" s="18" t="n">
        <v>2926.06</v>
      </c>
      <c r="N46" s="18" t="n">
        <v>12526.44</v>
      </c>
      <c r="O46" s="18" t="n">
        <v>8747.879999999999</v>
      </c>
      <c r="P46" s="35" t="n">
        <v>8747.879999999999</v>
      </c>
      <c r="Q46" s="18" t="n">
        <v>13068.66</v>
      </c>
      <c r="R46" s="18" t="n">
        <v>14867.78</v>
      </c>
      <c r="S46" s="18" t="n">
        <v>15153.66</v>
      </c>
      <c r="T46" s="18" t="n">
        <v>12967.27</v>
      </c>
      <c r="U46" s="35" t="n">
        <v>12967.27</v>
      </c>
      <c r="V46" s="18" t="n">
        <v>8045.88</v>
      </c>
      <c r="W46" s="18" t="n">
        <v>9407.469999999999</v>
      </c>
      <c r="X46" s="18" t="n">
        <v>7940.67</v>
      </c>
      <c r="Y46" s="18" t="n">
        <v>7851.76</v>
      </c>
      <c r="Z46" s="35" t="n">
        <v>7851.76</v>
      </c>
      <c r="AA46" s="18" t="n">
        <v>8150.13</v>
      </c>
      <c r="AB46" s="36" t="n">
        <v>8135.02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이자발생자산</t>
        </is>
      </c>
      <c r="E47" s="18" t="n">
        <v>10597.48</v>
      </c>
      <c r="F47" s="35" t="n">
        <v>10597.48</v>
      </c>
      <c r="G47" s="18" t="n">
        <v>12808.34</v>
      </c>
      <c r="H47" s="18" t="n">
        <v>6855.39</v>
      </c>
      <c r="I47" s="18" t="n">
        <v>5151.67</v>
      </c>
      <c r="J47" s="18" t="n">
        <v>21213.97</v>
      </c>
      <c r="K47" s="35" t="n">
        <v>21213.97</v>
      </c>
      <c r="L47" s="18" t="n">
        <v>20179.78</v>
      </c>
      <c r="M47" s="18" t="n">
        <v>19831.01</v>
      </c>
      <c r="N47" s="18" t="n">
        <v>10741.3</v>
      </c>
      <c r="O47" s="18" t="n">
        <v>13045.08</v>
      </c>
      <c r="P47" s="35" t="n">
        <v>13045.08</v>
      </c>
      <c r="Q47" s="18" t="n">
        <v>12016.95</v>
      </c>
      <c r="R47" s="18" t="n">
        <v>4930.75</v>
      </c>
      <c r="S47" s="18" t="n">
        <v>5076.04</v>
      </c>
      <c r="T47" s="18" t="n">
        <v>10208.23</v>
      </c>
      <c r="U47" s="35" t="n">
        <v>10208.23</v>
      </c>
      <c r="V47" s="18" t="n">
        <v>12759.71</v>
      </c>
      <c r="W47" s="18" t="n">
        <v>2778.08</v>
      </c>
      <c r="X47" s="18" t="n">
        <v>1420.3</v>
      </c>
      <c r="Y47" s="18" t="n">
        <v>1591.07</v>
      </c>
      <c r="Z47" s="35" t="n">
        <v>1591.07</v>
      </c>
      <c r="AA47" s="18" t="n">
        <v>1309.53</v>
      </c>
      <c r="AB47" s="36" t="n">
        <v>1321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매각예정비유동자산및처분자산</t>
        </is>
      </c>
      <c r="F48" s="9" t="n"/>
      <c r="H48" s="18" t="n">
        <v>4999.5</v>
      </c>
      <c r="I48" s="18" t="n">
        <v>4999.5</v>
      </c>
      <c r="J48" s="18" t="n">
        <v>1500</v>
      </c>
      <c r="K48" s="35" t="n">
        <v>1500</v>
      </c>
      <c r="M48" s="18" t="n">
        <v>4572.44</v>
      </c>
      <c r="N48" s="18" t="n">
        <v>2000</v>
      </c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기타비유동자산</t>
        </is>
      </c>
      <c r="F49" s="9" t="n"/>
      <c r="J49" s="18" t="n">
        <v>20.85</v>
      </c>
      <c r="K49" s="35" t="n">
        <v>20.85</v>
      </c>
      <c r="O49" s="18" t="n">
        <v>27.37</v>
      </c>
      <c r="P49" s="35" t="n">
        <v>27.37</v>
      </c>
      <c r="U49" s="9" t="n"/>
      <c r="W49" s="18" t="n">
        <v>4000</v>
      </c>
      <c r="X49" s="18" t="n">
        <v>5000</v>
      </c>
      <c r="Y49" s="18" t="n">
        <v>5000</v>
      </c>
      <c r="Z49" s="35" t="n">
        <v>5000</v>
      </c>
      <c r="AA49" s="18" t="n">
        <v>5000</v>
      </c>
      <c r="AB49" s="36" t="n">
        <v>5000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기타비유동부채</t>
        </is>
      </c>
      <c r="F50" s="9" t="n"/>
      <c r="J50" s="18" t="n">
        <v>79.47</v>
      </c>
      <c r="K50" s="35" t="n">
        <v>79.47</v>
      </c>
      <c r="L50" s="18" t="n">
        <v>79.13</v>
      </c>
      <c r="M50" s="18" t="n">
        <v>78.84999999999999</v>
      </c>
      <c r="N50" s="18" t="n">
        <v>78.64</v>
      </c>
      <c r="O50" s="18" t="n">
        <v>78.47</v>
      </c>
      <c r="P50" s="35" t="n">
        <v>78.47</v>
      </c>
      <c r="Q50" s="18" t="n">
        <v>78.33</v>
      </c>
      <c r="R50" s="18" t="n">
        <v>78.23999999999999</v>
      </c>
      <c r="S50" s="18" t="n">
        <v>78.22</v>
      </c>
      <c r="U50" s="9" t="n"/>
      <c r="X50" s="18" t="n">
        <v>0.7</v>
      </c>
      <c r="Y50" s="18" t="n">
        <v>7</v>
      </c>
      <c r="Z50" s="35" t="n">
        <v>7</v>
      </c>
      <c r="AA50" s="18" t="n">
        <v>7</v>
      </c>
      <c r="AB50" s="36" t="n">
        <v>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단기투자자산(공정가치)</t>
        </is>
      </c>
      <c r="F51" s="9" t="n"/>
      <c r="K51" s="9" t="n"/>
      <c r="P51" s="9" t="n"/>
      <c r="T51" s="18" t="n">
        <v>1784.66</v>
      </c>
      <c r="U51" s="35" t="n">
        <v>1784.66</v>
      </c>
      <c r="V51" s="18" t="n">
        <v>1628</v>
      </c>
      <c r="W51" s="18" t="n">
        <v>3140.6</v>
      </c>
      <c r="X51" s="18" t="n">
        <v>3017.22</v>
      </c>
      <c r="Y51" s="18" t="n">
        <v>3016.86</v>
      </c>
      <c r="Z51" s="35" t="n">
        <v>3016.86</v>
      </c>
      <c r="AA51" s="18" t="n">
        <v>3016.86</v>
      </c>
      <c r="AB51" s="36" t="n">
        <v>3016.86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매출액(수익)</t>
        </is>
      </c>
      <c r="E52" s="18" t="n">
        <v>4809.42</v>
      </c>
      <c r="F52" s="9" t="n"/>
      <c r="G52" s="18" t="n">
        <v>4597.83</v>
      </c>
      <c r="H52" s="18" t="n">
        <v>5333.94</v>
      </c>
      <c r="I52" s="18" t="n">
        <v>5121.01</v>
      </c>
      <c r="J52" s="18" t="n">
        <v>5243.14</v>
      </c>
      <c r="K52" s="35" t="n">
        <v>20295.92</v>
      </c>
      <c r="L52" s="18" t="n">
        <v>5292.24</v>
      </c>
      <c r="M52" s="18" t="n">
        <v>7493.3</v>
      </c>
      <c r="N52" s="18" t="n">
        <v>6597.21</v>
      </c>
      <c r="O52" s="18" t="n">
        <v>7492.43</v>
      </c>
      <c r="P52" s="35" t="n">
        <v>26875.18</v>
      </c>
      <c r="Q52" s="18" t="n">
        <v>7467.41</v>
      </c>
      <c r="R52" s="18" t="n">
        <v>7364.21</v>
      </c>
      <c r="S52" s="18" t="n">
        <v>7604.77</v>
      </c>
      <c r="T52" s="18" t="n">
        <v>8174.78</v>
      </c>
      <c r="U52" s="35" t="n">
        <v>30611.17</v>
      </c>
      <c r="V52" s="18" t="n">
        <v>6820.42</v>
      </c>
      <c r="W52" s="18" t="n">
        <v>7674.79</v>
      </c>
      <c r="X52" s="18" t="n">
        <v>6685.12</v>
      </c>
      <c r="Y52" s="18" t="n">
        <v>6980.62</v>
      </c>
      <c r="Z52" s="35" t="n">
        <v>28160.95</v>
      </c>
      <c r="AA52" s="18" t="n">
        <v>6317.8</v>
      </c>
      <c r="AB52" s="36" t="n">
        <v>6443.03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매출원가</t>
        </is>
      </c>
      <c r="E53" s="18" t="n">
        <v>5013.7</v>
      </c>
      <c r="F53" s="9" t="n"/>
      <c r="G53" s="18" t="n">
        <v>4430</v>
      </c>
      <c r="H53" s="18" t="n">
        <v>5070.01</v>
      </c>
      <c r="I53" s="18" t="n">
        <v>5028.15</v>
      </c>
      <c r="J53" s="18" t="n">
        <v>5198.81</v>
      </c>
      <c r="K53" s="35" t="n">
        <v>19726.97</v>
      </c>
      <c r="L53" s="18" t="n">
        <v>4747.31</v>
      </c>
      <c r="M53" s="18" t="n">
        <v>6643.42</v>
      </c>
      <c r="N53" s="18" t="n">
        <v>6090.32</v>
      </c>
      <c r="O53" s="18" t="n">
        <v>7473.24</v>
      </c>
      <c r="P53" s="35" t="n">
        <v>24954.29</v>
      </c>
      <c r="Q53" s="18" t="n">
        <v>6759.95</v>
      </c>
      <c r="R53" s="18" t="n">
        <v>7073.95</v>
      </c>
      <c r="S53" s="18" t="n">
        <v>7105.5</v>
      </c>
      <c r="T53" s="18" t="n">
        <v>7634.25</v>
      </c>
      <c r="U53" s="35" t="n">
        <v>28573.65</v>
      </c>
      <c r="V53" s="18" t="n">
        <v>6236.07</v>
      </c>
      <c r="W53" s="18" t="n">
        <v>6913.34</v>
      </c>
      <c r="X53" s="18" t="n">
        <v>5845.2</v>
      </c>
      <c r="Y53" s="18" t="n">
        <v>6998.24</v>
      </c>
      <c r="Z53" s="35" t="n">
        <v>25992.85</v>
      </c>
      <c r="AA53" s="18" t="n">
        <v>5776.2</v>
      </c>
      <c r="AB53" s="36" t="n">
        <v>6193.69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매출총이익</t>
        </is>
      </c>
      <c r="E54" s="18" t="n">
        <v>-204.28</v>
      </c>
      <c r="F54" s="9" t="n"/>
      <c r="G54" s="18" t="n">
        <v>167.83</v>
      </c>
      <c r="H54" s="18" t="n">
        <v>263.93</v>
      </c>
      <c r="I54" s="18" t="n">
        <v>92.86</v>
      </c>
      <c r="J54" s="18" t="n">
        <v>44.33</v>
      </c>
      <c r="K54" s="35" t="n">
        <v>568.95</v>
      </c>
      <c r="L54" s="18" t="n">
        <v>544.9299999999999</v>
      </c>
      <c r="M54" s="18" t="n">
        <v>849.88</v>
      </c>
      <c r="N54" s="18" t="n">
        <v>506.89</v>
      </c>
      <c r="O54" s="18" t="n">
        <v>19.2</v>
      </c>
      <c r="P54" s="35" t="n">
        <v>1920.9</v>
      </c>
      <c r="Q54" s="18" t="n">
        <v>707.46</v>
      </c>
      <c r="R54" s="18" t="n">
        <v>290.26</v>
      </c>
      <c r="S54" s="18" t="n">
        <v>499.27</v>
      </c>
      <c r="T54" s="18" t="n">
        <v>540.53</v>
      </c>
      <c r="U54" s="35" t="n">
        <v>2037.52</v>
      </c>
      <c r="V54" s="18" t="n">
        <v>584.36</v>
      </c>
      <c r="W54" s="18" t="n">
        <v>761.45</v>
      </c>
      <c r="X54" s="18" t="n">
        <v>839.92</v>
      </c>
      <c r="Y54" s="18" t="n">
        <v>-17.62</v>
      </c>
      <c r="Z54" s="35" t="n">
        <v>2168.11</v>
      </c>
      <c r="AA54" s="18" t="n">
        <v>541.6</v>
      </c>
      <c r="AB54" s="36" t="n">
        <v>249.35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판관비</t>
        </is>
      </c>
      <c r="E55" s="18" t="n">
        <v>2616.51</v>
      </c>
      <c r="F55" s="9" t="n"/>
      <c r="G55" s="18" t="n">
        <v>2517.4</v>
      </c>
      <c r="H55" s="18" t="n">
        <v>2055.13</v>
      </c>
      <c r="I55" s="18" t="n">
        <v>2808.68</v>
      </c>
      <c r="J55" s="18" t="n">
        <v>4660.07</v>
      </c>
      <c r="K55" s="35" t="n">
        <v>12041.28</v>
      </c>
      <c r="L55" s="18" t="n">
        <v>2919.14</v>
      </c>
      <c r="M55" s="18" t="n">
        <v>2438.55</v>
      </c>
      <c r="N55" s="18" t="n">
        <v>3011.36</v>
      </c>
      <c r="O55" s="18" t="n">
        <v>4196.4</v>
      </c>
      <c r="P55" s="35" t="n">
        <v>12565.45</v>
      </c>
      <c r="Q55" s="18" t="n">
        <v>3778.18</v>
      </c>
      <c r="R55" s="18" t="n">
        <v>2581.68</v>
      </c>
      <c r="S55" s="18" t="n">
        <v>2739.68</v>
      </c>
      <c r="T55" s="18" t="n">
        <v>2682.62</v>
      </c>
      <c r="U55" s="35" t="n">
        <v>11782.16</v>
      </c>
      <c r="V55" s="18" t="n">
        <v>2493.83</v>
      </c>
      <c r="W55" s="18" t="n">
        <v>2123.82</v>
      </c>
      <c r="X55" s="18" t="n">
        <v>1714.39</v>
      </c>
      <c r="Y55" s="18" t="n">
        <v>1115.36</v>
      </c>
      <c r="Z55" s="35" t="n">
        <v>7447.4</v>
      </c>
      <c r="AA55" s="18" t="n">
        <v>1364.71</v>
      </c>
      <c r="AB55" s="36" t="n">
        <v>1144.47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영업이익</t>
        </is>
      </c>
      <c r="E56" s="18" t="n">
        <v>-2820.78</v>
      </c>
      <c r="F56" s="9" t="n"/>
      <c r="G56" s="18" t="n">
        <v>-2349.58</v>
      </c>
      <c r="H56" s="18" t="n">
        <v>-1791.21</v>
      </c>
      <c r="I56" s="18" t="n">
        <v>-2715.82</v>
      </c>
      <c r="J56" s="18" t="n">
        <v>-4615.73</v>
      </c>
      <c r="K56" s="35" t="n">
        <v>-11472.34</v>
      </c>
      <c r="L56" s="18" t="n">
        <v>-2374.2</v>
      </c>
      <c r="M56" s="18" t="n">
        <v>-1588.67</v>
      </c>
      <c r="N56" s="18" t="n">
        <v>-2504.47</v>
      </c>
      <c r="O56" s="18" t="n">
        <v>-4177.2</v>
      </c>
      <c r="P56" s="35" t="n">
        <v>-10644.54</v>
      </c>
      <c r="Q56" s="18" t="n">
        <v>-3070.71</v>
      </c>
      <c r="R56" s="18" t="n">
        <v>-2291.42</v>
      </c>
      <c r="S56" s="18" t="n">
        <v>-2240.4</v>
      </c>
      <c r="T56" s="18" t="n">
        <v>-2142.09</v>
      </c>
      <c r="U56" s="35" t="n">
        <v>-9744.620000000001</v>
      </c>
      <c r="V56" s="18" t="n">
        <v>-1909.47</v>
      </c>
      <c r="W56" s="18" t="n">
        <v>-1362.37</v>
      </c>
      <c r="X56" s="18" t="n">
        <v>-874.47</v>
      </c>
      <c r="Y56" s="18" t="n">
        <v>-1132.98</v>
      </c>
      <c r="Z56" s="35" t="n">
        <v>-5279.29</v>
      </c>
      <c r="AA56" s="18" t="n">
        <v>-823.11</v>
      </c>
      <c r="AB56" s="36" t="n">
        <v>-895.13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금융수익</t>
        </is>
      </c>
      <c r="E57" s="18" t="n">
        <v>3359.23</v>
      </c>
      <c r="F57" s="9" t="n"/>
      <c r="G57" s="18" t="n">
        <v>92.09999999999999</v>
      </c>
      <c r="H57" s="18" t="n">
        <v>3214.06</v>
      </c>
      <c r="I57" s="18" t="n">
        <v>-220.28</v>
      </c>
      <c r="J57" s="18" t="n">
        <v>5233.24</v>
      </c>
      <c r="K57" s="35" t="n">
        <v>8319.120000000001</v>
      </c>
      <c r="L57" s="18" t="n">
        <v>318.02</v>
      </c>
      <c r="M57" s="18" t="n">
        <v>2537.46</v>
      </c>
      <c r="N57" s="18" t="n">
        <v>7568.99</v>
      </c>
      <c r="O57" s="18" t="n">
        <v>-4485.78</v>
      </c>
      <c r="P57" s="35" t="n">
        <v>5938.69</v>
      </c>
      <c r="Q57" s="18" t="n">
        <v>458.14</v>
      </c>
      <c r="R57" s="18" t="n">
        <v>1097.83</v>
      </c>
      <c r="S57" s="18" t="n">
        <v>-204.38</v>
      </c>
      <c r="T57" s="18" t="n">
        <v>833.77</v>
      </c>
      <c r="U57" s="35" t="n">
        <v>2185.36</v>
      </c>
      <c r="V57" s="18" t="n">
        <v>79.13</v>
      </c>
      <c r="W57" s="18" t="n">
        <v>89.70999999999999</v>
      </c>
      <c r="X57" s="18" t="n">
        <v>23.74</v>
      </c>
      <c r="Y57" s="18" t="n">
        <v>28.29</v>
      </c>
      <c r="Z57" s="35" t="n">
        <v>220.87</v>
      </c>
      <c r="AA57" s="18" t="n">
        <v>8.119999999999999</v>
      </c>
      <c r="AB57" s="36" t="n">
        <v>6.83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금융비용</t>
        </is>
      </c>
      <c r="E58" s="18" t="n">
        <v>8861.530000000001</v>
      </c>
      <c r="F58" s="9" t="n"/>
      <c r="G58" s="18" t="n">
        <v>750.23</v>
      </c>
      <c r="H58" s="18" t="n">
        <v>2839.34</v>
      </c>
      <c r="I58" s="18" t="n">
        <v>11951.42</v>
      </c>
      <c r="J58" s="18" t="n">
        <v>9290.51</v>
      </c>
      <c r="K58" s="35" t="n">
        <v>24831.5</v>
      </c>
      <c r="L58" s="18" t="n">
        <v>914.9299999999999</v>
      </c>
      <c r="M58" s="18" t="n">
        <v>7121.98</v>
      </c>
      <c r="N58" s="18" t="n">
        <v>11634.78</v>
      </c>
      <c r="O58" s="18" t="n">
        <v>4057.64</v>
      </c>
      <c r="P58" s="35" t="n">
        <v>23729.33</v>
      </c>
      <c r="Q58" s="18" t="n">
        <v>1314.2</v>
      </c>
      <c r="R58" s="18" t="n">
        <v>2982.02</v>
      </c>
      <c r="S58" s="18" t="n">
        <v>409.34</v>
      </c>
      <c r="T58" s="18" t="n">
        <v>3026.89</v>
      </c>
      <c r="U58" s="35" t="n">
        <v>7732.45</v>
      </c>
      <c r="V58" s="18" t="n">
        <v>680.88</v>
      </c>
      <c r="W58" s="18" t="n">
        <v>1326.86</v>
      </c>
      <c r="X58" s="18" t="n">
        <v>540.97</v>
      </c>
      <c r="Y58" s="18" t="n">
        <v>833.98</v>
      </c>
      <c r="Z58" s="35" t="n">
        <v>3382.69</v>
      </c>
      <c r="AA58" s="18" t="n">
        <v>302.8</v>
      </c>
      <c r="AB58" s="36" t="n">
        <v>181.94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기타영업외수익</t>
        </is>
      </c>
      <c r="E59" s="18" t="n">
        <v>17.51</v>
      </c>
      <c r="F59" s="9" t="n"/>
      <c r="G59" s="18" t="n">
        <v>88.94</v>
      </c>
      <c r="H59" s="18" t="n">
        <v>125.74</v>
      </c>
      <c r="I59" s="18" t="n">
        <v>680.05</v>
      </c>
      <c r="J59" s="18" t="n">
        <v>872.59</v>
      </c>
      <c r="K59" s="35" t="n">
        <v>1767.32</v>
      </c>
      <c r="L59" s="18" t="n">
        <v>15.74</v>
      </c>
      <c r="M59" s="18" t="n">
        <v>4.62</v>
      </c>
      <c r="N59" s="18" t="n">
        <v>0.39</v>
      </c>
      <c r="O59" s="18" t="n">
        <v>1.98</v>
      </c>
      <c r="P59" s="35" t="n">
        <v>22.73</v>
      </c>
      <c r="Q59" s="18" t="n">
        <v>3.75</v>
      </c>
      <c r="R59" s="18" t="n">
        <v>7.37</v>
      </c>
      <c r="S59" s="18" t="n">
        <v>11.74</v>
      </c>
      <c r="T59" s="18" t="n">
        <v>21.97</v>
      </c>
      <c r="U59" s="35" t="n">
        <v>44.83</v>
      </c>
      <c r="V59" s="18" t="n">
        <v>189.76</v>
      </c>
      <c r="W59" s="18" t="n">
        <v>308.58</v>
      </c>
      <c r="X59" s="18" t="n">
        <v>7</v>
      </c>
      <c r="Y59" s="18" t="n">
        <v>442.53</v>
      </c>
      <c r="Z59" s="35" t="n">
        <v>947.87</v>
      </c>
      <c r="AA59" s="18" t="n">
        <v>21.38</v>
      </c>
      <c r="AB59" s="36" t="n">
        <v>133.07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기타영업외비용</t>
        </is>
      </c>
      <c r="E60" s="18" t="n">
        <v>649.61</v>
      </c>
      <c r="F60" s="9" t="n"/>
      <c r="G60" s="18" t="n">
        <v>28.52</v>
      </c>
      <c r="H60" s="18" t="n">
        <v>35.63</v>
      </c>
      <c r="I60" s="18" t="n">
        <v>-30.32</v>
      </c>
      <c r="J60" s="18" t="n">
        <v>4322.87</v>
      </c>
      <c r="K60" s="35" t="n">
        <v>4356.7</v>
      </c>
      <c r="L60" s="18" t="n">
        <v>8.93</v>
      </c>
      <c r="M60" s="18" t="n">
        <v>0.01</v>
      </c>
      <c r="N60" s="18" t="n">
        <v>16.61</v>
      </c>
      <c r="O60" s="18" t="n">
        <v>110.78</v>
      </c>
      <c r="P60" s="35" t="n">
        <v>136.33</v>
      </c>
      <c r="Q60" s="18" t="n">
        <v>1.52</v>
      </c>
      <c r="R60" s="18" t="n">
        <v>26.56</v>
      </c>
      <c r="S60" s="18" t="n">
        <v>0.01</v>
      </c>
      <c r="T60" s="18" t="n">
        <v>2833.54</v>
      </c>
      <c r="U60" s="35" t="n">
        <v>2861.63</v>
      </c>
      <c r="V60" s="18" t="n">
        <v>36.88</v>
      </c>
      <c r="W60" s="18" t="n">
        <v>998.86</v>
      </c>
      <c r="X60" s="18" t="n">
        <v>404.47</v>
      </c>
      <c r="Y60" s="18" t="n">
        <v>-376.47</v>
      </c>
      <c r="Z60" s="35" t="n">
        <v>1063.74</v>
      </c>
      <c r="AA60" s="18" t="n">
        <v>330.86</v>
      </c>
      <c r="AB60" s="36" t="n">
        <v>59.2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법인세비용차감전계속사업이익</t>
        </is>
      </c>
      <c r="E61" s="18" t="n">
        <v>-12311.42</v>
      </c>
      <c r="F61" s="9" t="n"/>
      <c r="G61" s="18" t="n">
        <v>-2854.54</v>
      </c>
      <c r="H61" s="18" t="n">
        <v>-4525.01</v>
      </c>
      <c r="I61" s="18" t="n">
        <v>-14177.15</v>
      </c>
      <c r="J61" s="18" t="n">
        <v>-20548.07</v>
      </c>
      <c r="K61" s="35" t="n">
        <v>-42104.77</v>
      </c>
      <c r="L61" s="18" t="n">
        <v>-2965.8</v>
      </c>
      <c r="M61" s="18" t="n">
        <v>-9203.969999999999</v>
      </c>
      <c r="N61" s="18" t="n">
        <v>-6835.31</v>
      </c>
      <c r="O61" s="18" t="n">
        <v>-16752.53</v>
      </c>
      <c r="P61" s="35" t="n">
        <v>-35757.61</v>
      </c>
      <c r="Q61" s="18" t="n">
        <v>-3284.03</v>
      </c>
      <c r="R61" s="18" t="n">
        <v>-6660.28</v>
      </c>
      <c r="S61" s="18" t="n">
        <v>-3472.2</v>
      </c>
      <c r="T61" s="18" t="n">
        <v>-6858.7</v>
      </c>
      <c r="U61" s="35" t="n">
        <v>-20275.21</v>
      </c>
      <c r="V61" s="18" t="n">
        <v>-2633.07</v>
      </c>
      <c r="W61" s="18" t="n">
        <v>-4181.36</v>
      </c>
      <c r="X61" s="18" t="n">
        <v>-1951.29</v>
      </c>
      <c r="Y61" s="18" t="n">
        <v>-3085.68</v>
      </c>
      <c r="Z61" s="35" t="n">
        <v>-11851.4</v>
      </c>
      <c r="AA61" s="18" t="n">
        <v>-1427.27</v>
      </c>
      <c r="AB61" s="36" t="n">
        <v>-1034.47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당기순이익</t>
        </is>
      </c>
      <c r="E62" s="18" t="n">
        <v>-12311.42</v>
      </c>
      <c r="F62" s="9" t="n"/>
      <c r="G62" s="18" t="n">
        <v>-2854.54</v>
      </c>
      <c r="H62" s="18" t="n">
        <v>-4525.01</v>
      </c>
      <c r="I62" s="18" t="n">
        <v>-14177.15</v>
      </c>
      <c r="J62" s="18" t="n">
        <v>-20548.07</v>
      </c>
      <c r="K62" s="35" t="n">
        <v>-42104.77</v>
      </c>
      <c r="L62" s="18" t="n">
        <v>-2965.8</v>
      </c>
      <c r="M62" s="18" t="n">
        <v>-9203.969999999999</v>
      </c>
      <c r="N62" s="18" t="n">
        <v>-6835.31</v>
      </c>
      <c r="O62" s="18" t="n">
        <v>-16752.53</v>
      </c>
      <c r="P62" s="35" t="n">
        <v>-35757.61</v>
      </c>
      <c r="Q62" s="18" t="n">
        <v>-3284.03</v>
      </c>
      <c r="R62" s="18" t="n">
        <v>-6660.28</v>
      </c>
      <c r="S62" s="18" t="n">
        <v>-3472.2</v>
      </c>
      <c r="T62" s="18" t="n">
        <v>-6786.24</v>
      </c>
      <c r="U62" s="35" t="n">
        <v>-20202.75</v>
      </c>
      <c r="V62" s="18" t="n">
        <v>-2633.07</v>
      </c>
      <c r="W62" s="18" t="n">
        <v>-4181.36</v>
      </c>
      <c r="X62" s="18" t="n">
        <v>-1951.29</v>
      </c>
      <c r="Y62" s="18" t="n">
        <v>-3085.68</v>
      </c>
      <c r="Z62" s="35" t="n">
        <v>-11851.4</v>
      </c>
      <c r="AA62" s="18" t="n">
        <v>-1427.27</v>
      </c>
      <c r="AB62" s="36" t="n">
        <v>-1034.47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총포괄손익</t>
        </is>
      </c>
      <c r="E63" s="18" t="n">
        <v>-12298.88</v>
      </c>
      <c r="F63" s="9" t="n"/>
      <c r="G63" s="18" t="n">
        <v>-2809.65</v>
      </c>
      <c r="H63" s="18" t="n">
        <v>-4395.28</v>
      </c>
      <c r="I63" s="18" t="n">
        <v>-14101.97</v>
      </c>
      <c r="J63" s="18" t="n">
        <v>-20516.19</v>
      </c>
      <c r="K63" s="35" t="n">
        <v>-41823.09</v>
      </c>
      <c r="L63" s="18" t="n">
        <v>-3075.92</v>
      </c>
      <c r="M63" s="18" t="n">
        <v>-9187.33</v>
      </c>
      <c r="N63" s="18" t="n">
        <v>-6812.82</v>
      </c>
      <c r="O63" s="18" t="n">
        <v>-14057.14</v>
      </c>
      <c r="P63" s="35" t="n">
        <v>-33133.21</v>
      </c>
      <c r="Q63" s="18" t="n">
        <v>-3076.49</v>
      </c>
      <c r="R63" s="18" t="n">
        <v>-9141.24</v>
      </c>
      <c r="S63" s="18" t="n">
        <v>-4077.7</v>
      </c>
      <c r="T63" s="18" t="n">
        <v>-4281.12</v>
      </c>
      <c r="U63" s="35" t="n">
        <v>-20576.55</v>
      </c>
      <c r="V63" s="18" t="n">
        <v>-2937.43</v>
      </c>
      <c r="W63" s="18" t="n">
        <v>-4365.37</v>
      </c>
      <c r="X63" s="18" t="n">
        <v>-1687.56</v>
      </c>
      <c r="Y63" s="18" t="n">
        <v>-3247.22</v>
      </c>
      <c r="Z63" s="35" t="n">
        <v>-12237.58</v>
      </c>
      <c r="AA63" s="18" t="n">
        <v>-1330.79</v>
      </c>
      <c r="AB63" s="36" t="n">
        <v>-1098.12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금융손익</t>
        </is>
      </c>
      <c r="E64" s="18" t="n">
        <v>-5502.3</v>
      </c>
      <c r="F64" s="9" t="n"/>
      <c r="G64" s="18" t="n">
        <v>-658.13</v>
      </c>
      <c r="H64" s="18" t="n">
        <v>374.72</v>
      </c>
      <c r="I64" s="18" t="n">
        <v>-12171.7</v>
      </c>
      <c r="J64" s="18" t="n">
        <v>-4057.27</v>
      </c>
      <c r="K64" s="35" t="n">
        <v>-16512.38</v>
      </c>
      <c r="L64" s="18" t="n">
        <v>-596.91</v>
      </c>
      <c r="M64" s="18" t="n">
        <v>-4584.52</v>
      </c>
      <c r="N64" s="18" t="n">
        <v>-4065.79</v>
      </c>
      <c r="O64" s="18" t="n">
        <v>-8543.42</v>
      </c>
      <c r="P64" s="35" t="n">
        <v>-17790.64</v>
      </c>
      <c r="Q64" s="18" t="n">
        <v>-856.0599999999999</v>
      </c>
      <c r="R64" s="18" t="n">
        <v>-1884.19</v>
      </c>
      <c r="S64" s="18" t="n">
        <v>-613.72</v>
      </c>
      <c r="T64" s="18" t="n">
        <v>-2193.12</v>
      </c>
      <c r="U64" s="35" t="n">
        <v>-5547.09</v>
      </c>
      <c r="V64" s="18" t="n">
        <v>-601.75</v>
      </c>
      <c r="W64" s="18" t="n">
        <v>-1237.15</v>
      </c>
      <c r="X64" s="18" t="n">
        <v>-517.23</v>
      </c>
      <c r="Y64" s="18" t="n">
        <v>-805.6900000000001</v>
      </c>
      <c r="Z64" s="35" t="n">
        <v>-3161.82</v>
      </c>
      <c r="AA64" s="18" t="n">
        <v>-294.68</v>
      </c>
      <c r="AB64" s="36" t="n">
        <v>-175.11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기타영업외손익</t>
        </is>
      </c>
      <c r="E65" s="18" t="n">
        <v>-632.1</v>
      </c>
      <c r="F65" s="9" t="n"/>
      <c r="G65" s="18" t="n">
        <v>60.42</v>
      </c>
      <c r="H65" s="18" t="n">
        <v>90.11</v>
      </c>
      <c r="I65" s="18" t="n">
        <v>710.37</v>
      </c>
      <c r="J65" s="18" t="n">
        <v>-3450.28</v>
      </c>
      <c r="K65" s="35" t="n">
        <v>-2589.38</v>
      </c>
      <c r="L65" s="18" t="n">
        <v>6.81</v>
      </c>
      <c r="M65" s="18" t="n">
        <v>4.61</v>
      </c>
      <c r="N65" s="18" t="n">
        <v>-16.22</v>
      </c>
      <c r="O65" s="18" t="n">
        <v>-108.8</v>
      </c>
      <c r="P65" s="35" t="n">
        <v>-113.6</v>
      </c>
      <c r="Q65" s="18" t="n">
        <v>2.23</v>
      </c>
      <c r="R65" s="18" t="n">
        <v>-19.19</v>
      </c>
      <c r="S65" s="18" t="n">
        <v>11.73</v>
      </c>
      <c r="T65" s="18" t="n">
        <v>-2811.57</v>
      </c>
      <c r="U65" s="35" t="n">
        <v>-2816.8</v>
      </c>
      <c r="V65" s="18" t="n">
        <v>152.88</v>
      </c>
      <c r="W65" s="18" t="n">
        <v>-690.28</v>
      </c>
      <c r="X65" s="18" t="n">
        <v>-397.47</v>
      </c>
      <c r="Y65" s="18" t="n">
        <v>819</v>
      </c>
      <c r="Z65" s="35" t="n">
        <v>-115.87</v>
      </c>
      <c r="AA65" s="18" t="n">
        <v>-309.48</v>
      </c>
      <c r="AB65" s="36" t="n">
        <v>73.87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(지배주주지분)당기순이익</t>
        </is>
      </c>
      <c r="E66" s="18" t="n">
        <v>-12311.42</v>
      </c>
      <c r="F66" s="9" t="n"/>
      <c r="G66" s="18" t="n">
        <v>-2854.54</v>
      </c>
      <c r="H66" s="18" t="n">
        <v>-4525.01</v>
      </c>
      <c r="I66" s="18" t="n">
        <v>-14177.15</v>
      </c>
      <c r="J66" s="18" t="n">
        <v>-20548.07</v>
      </c>
      <c r="K66" s="35" t="n">
        <v>-42104.77</v>
      </c>
      <c r="L66" s="18" t="n">
        <v>-2965.8</v>
      </c>
      <c r="M66" s="18" t="n">
        <v>-9203.969999999999</v>
      </c>
      <c r="N66" s="18" t="n">
        <v>-6835.31</v>
      </c>
      <c r="O66" s="18" t="n">
        <v>-16752.53</v>
      </c>
      <c r="P66" s="35" t="n">
        <v>-35757.61</v>
      </c>
      <c r="Q66" s="18" t="n">
        <v>-3284.03</v>
      </c>
      <c r="R66" s="18" t="n">
        <v>-6660.28</v>
      </c>
      <c r="S66" s="18" t="n">
        <v>-3472.2</v>
      </c>
      <c r="T66" s="18" t="n">
        <v>-6786.24</v>
      </c>
      <c r="U66" s="35" t="n">
        <v>-20202.75</v>
      </c>
      <c r="V66" s="18" t="n">
        <v>-2633.07</v>
      </c>
      <c r="W66" s="18" t="n">
        <v>-4181.36</v>
      </c>
      <c r="X66" s="18" t="n">
        <v>-1951.29</v>
      </c>
      <c r="Y66" s="18" t="n">
        <v>-3085.68</v>
      </c>
      <c r="Z66" s="35" t="n">
        <v>-11851.4</v>
      </c>
      <c r="AA66" s="18" t="n">
        <v>-1427.27</v>
      </c>
      <c r="AB66" s="36" t="n">
        <v>-1034.47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계속사업이익</t>
        </is>
      </c>
      <c r="E67" s="18" t="n">
        <v>-12311.42</v>
      </c>
      <c r="F67" s="9" t="n"/>
      <c r="G67" s="18" t="n">
        <v>-2854.54</v>
      </c>
      <c r="H67" s="18" t="n">
        <v>-4525.01</v>
      </c>
      <c r="I67" s="18" t="n">
        <v>-14177.15</v>
      </c>
      <c r="J67" s="18" t="n">
        <v>-20548.07</v>
      </c>
      <c r="K67" s="35" t="n">
        <v>-42104.77</v>
      </c>
      <c r="L67" s="18" t="n">
        <v>-2965.8</v>
      </c>
      <c r="M67" s="18" t="n">
        <v>-9203.969999999999</v>
      </c>
      <c r="N67" s="18" t="n">
        <v>-6835.31</v>
      </c>
      <c r="O67" s="18" t="n">
        <v>-16752.53</v>
      </c>
      <c r="P67" s="35" t="n">
        <v>-35757.61</v>
      </c>
      <c r="Q67" s="18" t="n">
        <v>-3284.03</v>
      </c>
      <c r="R67" s="18" t="n">
        <v>-6660.28</v>
      </c>
      <c r="S67" s="18" t="n">
        <v>-3472.2</v>
      </c>
      <c r="T67" s="18" t="n">
        <v>-6786.24</v>
      </c>
      <c r="U67" s="35" t="n">
        <v>-20202.75</v>
      </c>
      <c r="V67" s="18" t="n">
        <v>-2633.07</v>
      </c>
      <c r="W67" s="18" t="n">
        <v>-4181.36</v>
      </c>
      <c r="X67" s="18" t="n">
        <v>-1951.29</v>
      </c>
      <c r="Y67" s="18" t="n">
        <v>-3085.68</v>
      </c>
      <c r="Z67" s="35" t="n">
        <v>-11851.4</v>
      </c>
      <c r="AA67" s="18" t="n">
        <v>-1427.27</v>
      </c>
      <c r="AB67" s="36" t="n">
        <v>-1034.47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영업활동으로인한현금흐름</t>
        </is>
      </c>
      <c r="E68" s="18" t="n">
        <v>-2353.8</v>
      </c>
      <c r="F68" s="9" t="n"/>
      <c r="G68" s="18" t="n">
        <v>-1982.53</v>
      </c>
      <c r="H68" s="18" t="n">
        <v>-2816.46</v>
      </c>
      <c r="I68" s="18" t="n">
        <v>-4555.31</v>
      </c>
      <c r="J68" s="18" t="n">
        <v>915.8099999999999</v>
      </c>
      <c r="K68" s="35" t="n">
        <v>-8438.49</v>
      </c>
      <c r="L68" s="18" t="n">
        <v>-1421.12</v>
      </c>
      <c r="M68" s="18" t="n">
        <v>-498.42</v>
      </c>
      <c r="N68" s="18" t="n">
        <v>-2091.71</v>
      </c>
      <c r="O68" s="18" t="n">
        <v>-3797.36</v>
      </c>
      <c r="P68" s="35" t="n">
        <v>-7808.61</v>
      </c>
      <c r="Q68" s="18" t="n">
        <v>-2142.37</v>
      </c>
      <c r="R68" s="18" t="n">
        <v>-1925.37</v>
      </c>
      <c r="S68" s="18" t="n">
        <v>-1538.42</v>
      </c>
      <c r="T68" s="18" t="n">
        <v>-475.29</v>
      </c>
      <c r="U68" s="35" t="n">
        <v>-6081.45</v>
      </c>
      <c r="V68" s="18" t="n">
        <v>-2105.99</v>
      </c>
      <c r="W68" s="18" t="n">
        <v>-297.01</v>
      </c>
      <c r="X68" s="18" t="n">
        <v>-743.2</v>
      </c>
      <c r="Y68" s="18" t="n">
        <v>251.48</v>
      </c>
      <c r="Z68" s="35" t="n">
        <v>-2894.72</v>
      </c>
      <c r="AA68" s="18" t="n">
        <v>278.75</v>
      </c>
      <c r="AB68" s="36" t="n">
        <v>642.3200000000001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이자수취(CF)</t>
        </is>
      </c>
      <c r="E69" s="18" t="n">
        <v>35.09</v>
      </c>
      <c r="F69" s="9" t="n"/>
      <c r="G69" s="18" t="n">
        <v>13.01</v>
      </c>
      <c r="H69" s="18" t="n">
        <v>46.36</v>
      </c>
      <c r="I69" s="18" t="n">
        <v>60.71</v>
      </c>
      <c r="J69" s="18" t="n">
        <v>77.59999999999999</v>
      </c>
      <c r="K69" s="35" t="n">
        <v>197.68</v>
      </c>
      <c r="L69" s="18" t="n">
        <v>130.69</v>
      </c>
      <c r="M69" s="18" t="n">
        <v>118.8</v>
      </c>
      <c r="N69" s="18" t="n">
        <v>73.47</v>
      </c>
      <c r="O69" s="18" t="n">
        <v>137.46</v>
      </c>
      <c r="P69" s="35" t="n">
        <v>460.42</v>
      </c>
      <c r="Q69" s="18" t="n">
        <v>82.03</v>
      </c>
      <c r="R69" s="18" t="n">
        <v>59.44</v>
      </c>
      <c r="S69" s="18" t="n">
        <v>22.76</v>
      </c>
      <c r="T69" s="18" t="n">
        <v>35.05</v>
      </c>
      <c r="U69" s="35" t="n">
        <v>199.28</v>
      </c>
      <c r="V69" s="18" t="n">
        <v>16.36</v>
      </c>
      <c r="W69" s="18" t="n">
        <v>51.83</v>
      </c>
      <c r="X69" s="18" t="n">
        <v>20.68</v>
      </c>
      <c r="Y69" s="18" t="n">
        <v>1.58</v>
      </c>
      <c r="Z69" s="35" t="n">
        <v>90.45</v>
      </c>
      <c r="AA69" s="18" t="n">
        <v>6.8</v>
      </c>
      <c r="AB69" s="36" t="n">
        <v>1.08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이자지급(CF)</t>
        </is>
      </c>
      <c r="E70" s="18" t="n">
        <v>-152.91</v>
      </c>
      <c r="F70" s="9" t="n"/>
      <c r="G70" s="18" t="n">
        <v>-199.17</v>
      </c>
      <c r="H70" s="18" t="n">
        <v>-151.25</v>
      </c>
      <c r="I70" s="18" t="n">
        <v>-239.26</v>
      </c>
      <c r="J70" s="18" t="n">
        <v>-405.53</v>
      </c>
      <c r="K70" s="35" t="n">
        <v>-995.21</v>
      </c>
      <c r="L70" s="18" t="n">
        <v>-97.63</v>
      </c>
      <c r="M70" s="18" t="n">
        <v>-96.84</v>
      </c>
      <c r="N70" s="18" t="n">
        <v>-17.25</v>
      </c>
      <c r="O70" s="18" t="n">
        <v>-182.7</v>
      </c>
      <c r="P70" s="35" t="n">
        <v>-394.42</v>
      </c>
      <c r="Q70" s="18" t="n">
        <v>-168.82</v>
      </c>
      <c r="R70" s="18" t="n">
        <v>-394.35</v>
      </c>
      <c r="S70" s="18" t="n">
        <v>-462.28</v>
      </c>
      <c r="T70" s="18" t="n">
        <v>-404.52</v>
      </c>
      <c r="U70" s="35" t="n">
        <v>-1429.97</v>
      </c>
      <c r="V70" s="18" t="n">
        <v>-372.86</v>
      </c>
      <c r="W70" s="18" t="n">
        <v>-372.92</v>
      </c>
      <c r="X70" s="18" t="n">
        <v>-193.56</v>
      </c>
      <c r="Y70" s="18" t="n">
        <v>-350.04</v>
      </c>
      <c r="Z70" s="35" t="n">
        <v>-1289.38</v>
      </c>
      <c r="AA70" s="18" t="n">
        <v>-264.53</v>
      </c>
      <c r="AB70" s="36" t="n">
        <v>-140.95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법인세납부(CF)</t>
        </is>
      </c>
      <c r="E71" s="18" t="n">
        <v>-9.699999999999999</v>
      </c>
      <c r="F71" s="9" t="n"/>
      <c r="G71" s="18" t="n">
        <v>-3.48</v>
      </c>
      <c r="H71" s="18" t="n">
        <v>-21.96</v>
      </c>
      <c r="I71" s="18" t="n">
        <v>-12.19</v>
      </c>
      <c r="J71" s="18" t="n">
        <v>-19.56</v>
      </c>
      <c r="K71" s="35" t="n">
        <v>-57.19</v>
      </c>
      <c r="L71" s="18" t="n">
        <v>-25.37</v>
      </c>
      <c r="M71" s="18" t="n">
        <v>47.31</v>
      </c>
      <c r="N71" s="18" t="n">
        <v>-16.29</v>
      </c>
      <c r="O71" s="18" t="n">
        <v>-21.78</v>
      </c>
      <c r="P71" s="35" t="n">
        <v>-16.13</v>
      </c>
      <c r="Q71" s="18" t="n">
        <v>-15.65</v>
      </c>
      <c r="R71" s="18" t="n">
        <v>60.69</v>
      </c>
      <c r="S71" s="18" t="n">
        <v>-9.42</v>
      </c>
      <c r="T71" s="18" t="n">
        <v>-10.56</v>
      </c>
      <c r="U71" s="35" t="n">
        <v>25.06</v>
      </c>
      <c r="V71" s="18" t="n">
        <v>-4.58</v>
      </c>
      <c r="W71" s="18" t="n">
        <v>-9.08</v>
      </c>
      <c r="X71" s="18" t="n">
        <v>-7.03</v>
      </c>
      <c r="Y71" s="18" t="n">
        <v>51.26</v>
      </c>
      <c r="Z71" s="35" t="n">
        <v>30.57</v>
      </c>
      <c r="AA71" s="18" t="n">
        <v>-1.1</v>
      </c>
      <c r="AB71" s="36" t="n">
        <v>26.08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투자활동으로인한현금흐름</t>
        </is>
      </c>
      <c r="E72" s="18" t="n">
        <v>-12248.69</v>
      </c>
      <c r="F72" s="9" t="n"/>
      <c r="G72" s="18" t="n">
        <v>3933.51</v>
      </c>
      <c r="H72" s="18" t="n">
        <v>-4735.12</v>
      </c>
      <c r="I72" s="18" t="n">
        <v>-2201.07</v>
      </c>
      <c r="J72" s="18" t="n">
        <v>-11458.47</v>
      </c>
      <c r="K72" s="35" t="n">
        <v>-14461.15</v>
      </c>
      <c r="L72" s="18" t="n">
        <v>-243.95</v>
      </c>
      <c r="M72" s="18" t="n">
        <v>-1231.9</v>
      </c>
      <c r="N72" s="18" t="n">
        <v>-2780.62</v>
      </c>
      <c r="O72" s="18" t="n">
        <v>-7126.37</v>
      </c>
      <c r="P72" s="35" t="n">
        <v>-11382.84</v>
      </c>
      <c r="Q72" s="18" t="n">
        <v>1704.3</v>
      </c>
      <c r="R72" s="18" t="n">
        <v>-1984.19</v>
      </c>
      <c r="S72" s="18" t="n">
        <v>647.66</v>
      </c>
      <c r="T72" s="18" t="n">
        <v>886.39</v>
      </c>
      <c r="U72" s="35" t="n">
        <v>1254.16</v>
      </c>
      <c r="V72" s="18" t="n">
        <v>643.83</v>
      </c>
      <c r="W72" s="18" t="n">
        <v>689.98</v>
      </c>
      <c r="X72" s="18" t="n">
        <v>4109.3</v>
      </c>
      <c r="Y72" s="18" t="n">
        <v>-231.96</v>
      </c>
      <c r="Z72" s="35" t="n">
        <v>5211.15</v>
      </c>
      <c r="AA72" s="18" t="n">
        <v>-211.9</v>
      </c>
      <c r="AB72" s="36" t="n">
        <v>-260.14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유형자산의증가</t>
        </is>
      </c>
      <c r="E73" s="18" t="n">
        <v>127.39</v>
      </c>
      <c r="F73" s="9" t="n"/>
      <c r="G73" s="18" t="n">
        <v>71.18000000000001</v>
      </c>
      <c r="H73" s="18" t="n">
        <v>527.53</v>
      </c>
      <c r="I73" s="18" t="n">
        <v>524.3099999999999</v>
      </c>
      <c r="J73" s="18" t="n">
        <v>2397.95</v>
      </c>
      <c r="K73" s="35" t="n">
        <v>3520.97</v>
      </c>
      <c r="L73" s="18" t="n">
        <v>9.33</v>
      </c>
      <c r="M73" s="18" t="n">
        <v>199.6</v>
      </c>
      <c r="N73" s="18" t="n">
        <v>138.3</v>
      </c>
      <c r="O73" s="18" t="n">
        <v>93.44</v>
      </c>
      <c r="P73" s="35" t="n">
        <v>440.67</v>
      </c>
      <c r="Q73" s="18" t="n">
        <v>73.42</v>
      </c>
      <c r="R73" s="18" t="n">
        <v>83.97</v>
      </c>
      <c r="S73" s="18" t="n">
        <v>119.18</v>
      </c>
      <c r="T73" s="18" t="n">
        <v>89.89</v>
      </c>
      <c r="U73" s="35" t="n">
        <v>366.46</v>
      </c>
      <c r="V73" s="18" t="n">
        <v>20.61</v>
      </c>
      <c r="W73" s="18" t="n">
        <v>502.66</v>
      </c>
      <c r="X73" s="18" t="n">
        <v>211.23</v>
      </c>
      <c r="Y73" s="18" t="n">
        <v>39.52</v>
      </c>
      <c r="Z73" s="35" t="n">
        <v>774.02</v>
      </c>
      <c r="AA73" s="18" t="n">
        <v>60.9</v>
      </c>
      <c r="AB73" s="36" t="n">
        <v>241.77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CAPEX</t>
        </is>
      </c>
      <c r="E74" s="18" t="n">
        <v>127.39</v>
      </c>
      <c r="F74" s="9" t="n"/>
      <c r="G74" s="18" t="n">
        <v>71.18000000000001</v>
      </c>
      <c r="H74" s="18" t="n">
        <v>534.03</v>
      </c>
      <c r="I74" s="18" t="n">
        <v>524.3099999999999</v>
      </c>
      <c r="J74" s="18" t="n">
        <v>5146.95</v>
      </c>
      <c r="K74" s="35" t="n">
        <v>6276.47</v>
      </c>
      <c r="L74" s="18" t="n">
        <v>9.33</v>
      </c>
      <c r="M74" s="18" t="n">
        <v>199.6</v>
      </c>
      <c r="N74" s="18" t="n">
        <v>140</v>
      </c>
      <c r="O74" s="18" t="n">
        <v>111.44</v>
      </c>
      <c r="P74" s="35" t="n">
        <v>460.37</v>
      </c>
      <c r="Q74" s="18" t="n">
        <v>73.42</v>
      </c>
      <c r="R74" s="18" t="n">
        <v>84.36</v>
      </c>
      <c r="S74" s="18" t="n">
        <v>119.18</v>
      </c>
      <c r="T74" s="18" t="n">
        <v>89.89</v>
      </c>
      <c r="U74" s="35" t="n">
        <v>366.85</v>
      </c>
      <c r="V74" s="18" t="n">
        <v>20.61</v>
      </c>
      <c r="W74" s="18" t="n">
        <v>502.66</v>
      </c>
      <c r="X74" s="18" t="n">
        <v>211.23</v>
      </c>
      <c r="Y74" s="18" t="n">
        <v>39.52</v>
      </c>
      <c r="Z74" s="35" t="n">
        <v>774.02</v>
      </c>
      <c r="AA74" s="18" t="n">
        <v>60.9</v>
      </c>
      <c r="AB74" s="36" t="n">
        <v>241.77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유형자산의감소</t>
        </is>
      </c>
      <c r="E75" s="18" t="n">
        <v>24</v>
      </c>
      <c r="F75" s="9" t="n"/>
      <c r="J75" s="18" t="n">
        <v>0.87</v>
      </c>
      <c r="K75" s="9" t="n"/>
      <c r="O75" s="18" t="n">
        <v>0</v>
      </c>
      <c r="P75" s="9" t="n"/>
      <c r="S75" s="18" t="n">
        <v>0</v>
      </c>
      <c r="T75" s="18" t="n">
        <v>20</v>
      </c>
      <c r="U75" s="9" t="n"/>
      <c r="V75" s="18" t="n">
        <v>142</v>
      </c>
      <c r="W75" s="18" t="n">
        <v>3488.31</v>
      </c>
      <c r="X75" s="18" t="n">
        <v>4378.98</v>
      </c>
      <c r="Y75" s="18" t="n">
        <v>18.36</v>
      </c>
      <c r="Z75" s="35" t="n">
        <v>8027.65</v>
      </c>
      <c r="AA75" s="18" t="n">
        <v>6.9</v>
      </c>
      <c r="AB75" s="36" t="n">
        <v>0.88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재무활동으로인한현금흐름</t>
        </is>
      </c>
      <c r="E76" s="18" t="n">
        <v>15611.32</v>
      </c>
      <c r="F76" s="9" t="n"/>
      <c r="G76" s="18" t="n">
        <v>256.08</v>
      </c>
      <c r="H76" s="18" t="n">
        <v>2653.68</v>
      </c>
      <c r="I76" s="18" t="n">
        <v>8276.24</v>
      </c>
      <c r="J76" s="18" t="n">
        <v>10380.09</v>
      </c>
      <c r="K76" s="35" t="n">
        <v>21566.09</v>
      </c>
      <c r="L76" s="18" t="n">
        <v>630.88</v>
      </c>
      <c r="M76" s="18" t="n">
        <v>7353.79</v>
      </c>
      <c r="N76" s="18" t="n">
        <v>-358.31</v>
      </c>
      <c r="O76" s="18" t="n">
        <v>10566.23</v>
      </c>
      <c r="P76" s="35" t="n">
        <v>18192.59</v>
      </c>
      <c r="Q76" s="18" t="n">
        <v>3162.17</v>
      </c>
      <c r="R76" s="18" t="n">
        <v>422.44</v>
      </c>
      <c r="S76" s="18" t="n">
        <v>309.08</v>
      </c>
      <c r="T76" s="18" t="n">
        <v>381.69</v>
      </c>
      <c r="U76" s="35" t="n">
        <v>4275.38</v>
      </c>
      <c r="V76" s="18" t="n">
        <v>4615.11</v>
      </c>
      <c r="W76" s="18" t="n">
        <v>-4308.68</v>
      </c>
      <c r="X76" s="18" t="n">
        <v>-3258.33</v>
      </c>
      <c r="Y76" s="18" t="n">
        <v>-272.72</v>
      </c>
      <c r="Z76" s="35" t="n">
        <v>-3224.62</v>
      </c>
      <c r="AA76" s="18" t="n">
        <v>-348.4</v>
      </c>
      <c r="AB76" s="36" t="n">
        <v>-377.46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단기차입금의증가</t>
        </is>
      </c>
      <c r="E77" s="18" t="n">
        <v>3499.99</v>
      </c>
      <c r="F77" s="9" t="n"/>
      <c r="J77" s="18" t="n">
        <v>6140.55</v>
      </c>
      <c r="K77" s="9" t="n"/>
      <c r="P77" s="9" t="n"/>
      <c r="Q77" s="18" t="n">
        <v>13055.53</v>
      </c>
      <c r="R77" s="18" t="n">
        <v>2133.24</v>
      </c>
      <c r="S77" s="18" t="n">
        <v>4019.34</v>
      </c>
      <c r="T77" s="18" t="n">
        <v>718.03</v>
      </c>
      <c r="U77" s="35" t="n">
        <v>19926.14</v>
      </c>
      <c r="V77" s="18" t="n">
        <v>133.77</v>
      </c>
      <c r="W77" s="18" t="n">
        <v>583.95</v>
      </c>
      <c r="X77" s="18" t="n">
        <v>1536.31</v>
      </c>
      <c r="Y77" s="18" t="n">
        <v>73.23</v>
      </c>
      <c r="Z77" s="35" t="n">
        <v>2327.26</v>
      </c>
      <c r="AA77" s="18" t="n">
        <v>66.73999999999999</v>
      </c>
      <c r="AB77" s="36" t="n">
        <v>117.72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단기차입금의감소</t>
        </is>
      </c>
      <c r="E78" s="18" t="n">
        <v>499.99</v>
      </c>
      <c r="F78" s="9" t="n"/>
      <c r="G78" s="18" t="n">
        <v>3000</v>
      </c>
      <c r="H78" s="18" t="n">
        <v>0</v>
      </c>
      <c r="I78" s="18" t="n">
        <v>2356.45</v>
      </c>
      <c r="J78" s="18" t="n">
        <v>18017.13</v>
      </c>
      <c r="K78" s="35" t="n">
        <v>23373.58</v>
      </c>
      <c r="P78" s="9" t="n"/>
      <c r="Q78" s="18" t="n">
        <v>321.47</v>
      </c>
      <c r="R78" s="18" t="n">
        <v>1427.25</v>
      </c>
      <c r="S78" s="18" t="n">
        <v>4426.42</v>
      </c>
      <c r="T78" s="18" t="n">
        <v>2030.15</v>
      </c>
      <c r="U78" s="35" t="n">
        <v>8205.290000000001</v>
      </c>
      <c r="V78" s="18" t="n">
        <v>2211.5</v>
      </c>
      <c r="W78" s="18" t="n">
        <v>3287.52</v>
      </c>
      <c r="X78" s="18" t="n">
        <v>3036.56</v>
      </c>
      <c r="Y78" s="18" t="n">
        <v>114.04</v>
      </c>
      <c r="Z78" s="35" t="n">
        <v>8649.620000000001</v>
      </c>
      <c r="AA78" s="18" t="n">
        <v>49.9</v>
      </c>
      <c r="AB78" s="36" t="n">
        <v>121.44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장기차입금의증가</t>
        </is>
      </c>
      <c r="E79" s="18" t="n">
        <v>0</v>
      </c>
      <c r="F79" s="9" t="n"/>
      <c r="K79" s="9" t="n"/>
      <c r="P79" s="9" t="n"/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장기차입금의감소</t>
        </is>
      </c>
      <c r="E80" s="18" t="n">
        <v>0</v>
      </c>
      <c r="F80" s="9" t="n"/>
      <c r="K80" s="9" t="n"/>
      <c r="P80" s="9" t="n"/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현금및현금성자산의증감</t>
        </is>
      </c>
      <c r="E81" s="18" t="n">
        <v>1008.83</v>
      </c>
      <c r="F81" s="9" t="n"/>
      <c r="G81" s="18" t="n">
        <v>2207.06</v>
      </c>
      <c r="H81" s="18" t="n">
        <v>-4897.91</v>
      </c>
      <c r="I81" s="18" t="n">
        <v>1519.87</v>
      </c>
      <c r="J81" s="18" t="n">
        <v>-162.57</v>
      </c>
      <c r="K81" s="35" t="n">
        <v>-1333.55</v>
      </c>
      <c r="L81" s="18" t="n">
        <v>-1034.19</v>
      </c>
      <c r="M81" s="18" t="n">
        <v>5623.47</v>
      </c>
      <c r="N81" s="18" t="n">
        <v>-5230.64</v>
      </c>
      <c r="O81" s="18" t="n">
        <v>-357.5</v>
      </c>
      <c r="P81" s="35" t="n">
        <v>-998.86</v>
      </c>
      <c r="Q81" s="18" t="n">
        <v>2724.11</v>
      </c>
      <c r="R81" s="18" t="n">
        <v>-3487.13</v>
      </c>
      <c r="S81" s="18" t="n">
        <v>-581.6799999999999</v>
      </c>
      <c r="T81" s="18" t="n">
        <v>792.79</v>
      </c>
      <c r="U81" s="35" t="n">
        <v>-551.91</v>
      </c>
      <c r="V81" s="18" t="n">
        <v>3152.95</v>
      </c>
      <c r="W81" s="18" t="n">
        <v>-3915.71</v>
      </c>
      <c r="X81" s="18" t="n">
        <v>107.77</v>
      </c>
      <c r="Y81" s="18" t="n">
        <v>-253.21</v>
      </c>
      <c r="Z81" s="35" t="n">
        <v>-908.2</v>
      </c>
      <c r="AA81" s="18" t="n">
        <v>-281.55</v>
      </c>
      <c r="AB81" s="36" t="n">
        <v>4.73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기말현금및현금성자산</t>
        </is>
      </c>
      <c r="E82" s="18" t="n">
        <v>1008.82</v>
      </c>
      <c r="F82" s="9" t="n"/>
      <c r="G82" s="18" t="n">
        <v>6316.21</v>
      </c>
      <c r="H82" s="18" t="n">
        <v>-4897.91</v>
      </c>
      <c r="I82" s="18" t="n">
        <v>1519.87</v>
      </c>
      <c r="J82" s="18" t="n">
        <v>-162.57</v>
      </c>
      <c r="K82" s="35" t="n">
        <v>2775.6</v>
      </c>
      <c r="L82" s="18" t="n">
        <v>1741.41</v>
      </c>
      <c r="M82" s="18" t="n">
        <v>5623.47</v>
      </c>
      <c r="N82" s="18" t="n">
        <v>-5230.64</v>
      </c>
      <c r="O82" s="18" t="n">
        <v>-357.5</v>
      </c>
      <c r="P82" s="35" t="n">
        <v>1776.74</v>
      </c>
      <c r="Q82" s="18" t="n">
        <v>4500.85</v>
      </c>
      <c r="R82" s="18" t="n">
        <v>-3487.13</v>
      </c>
      <c r="S82" s="18" t="n">
        <v>-581.67</v>
      </c>
      <c r="T82" s="18" t="n">
        <v>792.78</v>
      </c>
      <c r="U82" s="35" t="n">
        <v>1224.83</v>
      </c>
      <c r="V82" s="18" t="n">
        <v>4377.78</v>
      </c>
      <c r="W82" s="18" t="n">
        <v>-3915.71</v>
      </c>
      <c r="X82" s="18" t="n">
        <v>107.77</v>
      </c>
      <c r="Y82" s="18" t="n">
        <v>-253.21</v>
      </c>
      <c r="Z82" s="35" t="n">
        <v>316.63</v>
      </c>
      <c r="AA82" s="18" t="n">
        <v>35.09</v>
      </c>
      <c r="AB82" s="36" t="n">
        <v>4.72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무형자산의증가</t>
        </is>
      </c>
      <c r="F83" s="9" t="n"/>
      <c r="I83" s="18" t="n">
        <v>0</v>
      </c>
      <c r="J83" s="18" t="n">
        <v>2749</v>
      </c>
      <c r="K83" s="9" t="n"/>
      <c r="O83" s="18" t="n">
        <v>18</v>
      </c>
      <c r="P83" s="9" t="n"/>
      <c r="S83" s="18" t="n">
        <v>0</v>
      </c>
      <c r="T83" s="18" t="n">
        <v>0</v>
      </c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자기주식의취득</t>
        </is>
      </c>
      <c r="F84" s="9" t="n"/>
      <c r="I84" s="18" t="n">
        <v>-0.01</v>
      </c>
      <c r="K84" s="9" t="n"/>
      <c r="P84" s="9" t="n"/>
      <c r="U84" s="9" t="n"/>
      <c r="Y84" s="18" t="n">
        <v>0</v>
      </c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배당금수취(CF)</t>
        </is>
      </c>
      <c r="F85" s="9" t="n"/>
      <c r="J85" s="18" t="n">
        <v>0</v>
      </c>
      <c r="K85" s="9" t="n"/>
      <c r="P85" s="9" t="n"/>
      <c r="S85" s="18" t="n">
        <v>0</v>
      </c>
      <c r="T85" s="18" t="n">
        <v>0</v>
      </c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5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5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5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5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5">
        <f>IFERROR(VLOOKUP($D5,BS연결,MATCH(Z$1,BS연결H,0),0)/100,"")</f>
        <v/>
      </c>
      <c r="AA5" s="18">
        <f>IFERROR(VLOOKUP($D5,BS연결,MATCH(AA$1,BS연결H,0),0)/100,"")</f>
        <v/>
      </c>
      <c r="AB5" s="36">
        <f>IFERROR(VLOOKUP($D5,BS연결,MATCH(AB$1,BS연결H,0),0)/100,"")</f>
        <v/>
      </c>
      <c r="AC5" s="37">
        <f>IFERROR(X5*(1+변수!AC21),"")</f>
        <v/>
      </c>
      <c r="AD5" s="37">
        <f>IFERROR(Y5*(1+변수!AD21),"")</f>
        <v/>
      </c>
      <c r="AE5" s="38">
        <f>SUM(AA5:AD5)</f>
        <v/>
      </c>
      <c r="AF5" s="37">
        <f>IFERROR(AA5*(1+변수!AF21),"")</f>
        <v/>
      </c>
      <c r="AG5" s="37">
        <f>IFERROR(AB5*(1+변수!AG21),"")</f>
        <v/>
      </c>
      <c r="AH5" s="37">
        <f>IFERROR(AC5*(1+변수!AH21),"")</f>
        <v/>
      </c>
      <c r="AI5" s="37">
        <f>IFERROR(AD5*(1+변수!AI21),"")</f>
        <v/>
      </c>
      <c r="AJ5" s="38">
        <f>SUM(AF5:AI5)</f>
        <v/>
      </c>
      <c r="AK5" s="37">
        <f>IFERROR(AF5*(1+변수!AK21),"")</f>
        <v/>
      </c>
      <c r="AL5" s="37">
        <f>IFERROR(AG5*(1+변수!AL21),"")</f>
        <v/>
      </c>
      <c r="AM5" s="37">
        <f>IFERROR(AH5*(1+변수!AM21),"")</f>
        <v/>
      </c>
      <c r="AN5" s="37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5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5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5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5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5">
        <f>IFERROR(VLOOKUP($D6,BS연결,MATCH(Z$1,BS연결H,0),0)/100,"")</f>
        <v/>
      </c>
      <c r="AA6" s="18">
        <f>IFERROR(VLOOKUP($D6,BS연결,MATCH(AA$1,BS연결H,0),0)/100,"")</f>
        <v/>
      </c>
      <c r="AB6" s="36">
        <f>IFERROR(VLOOKUP($D6,BS연결,MATCH(AB$1,BS연결H,0),0)/100,"")</f>
        <v/>
      </c>
      <c r="AC6" s="37">
        <f>IFERROR(AC5-AC7,"")</f>
        <v/>
      </c>
      <c r="AD6" s="37">
        <f>IFERROR(AD5-AD7,"")</f>
        <v/>
      </c>
      <c r="AE6" s="38">
        <f>SUM(AA6:AD6)</f>
        <v/>
      </c>
      <c r="AF6" s="37">
        <f>IFERROR(AF5-AF7,"")</f>
        <v/>
      </c>
      <c r="AG6" s="37">
        <f>IFERROR(AG5-AG7,"")</f>
        <v/>
      </c>
      <c r="AH6" s="37">
        <f>IFERROR(AH5-AH7,"")</f>
        <v/>
      </c>
      <c r="AI6" s="37">
        <f>IFERROR(AI5-AI7,"")</f>
        <v/>
      </c>
      <c r="AJ6" s="38">
        <f>SUM(AF6:AI6)</f>
        <v/>
      </c>
      <c r="AK6" s="37">
        <f>IFERROR(AK5-AK7,"")</f>
        <v/>
      </c>
      <c r="AL6" s="37">
        <f>IFERROR(AL5-AL7,"")</f>
        <v/>
      </c>
      <c r="AM6" s="37">
        <f>IFERROR(AM5-AM7,"")</f>
        <v/>
      </c>
      <c r="AN6" s="37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5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5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5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5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5">
        <f>SUM(V7:Y7)</f>
        <v/>
      </c>
      <c r="AA7" s="18">
        <f>IFERROR(VLOOKUP($D7,BS연결,MATCH(AA$1,BS연결H,0),0)/100,"")</f>
        <v/>
      </c>
      <c r="AB7" s="36">
        <f>IFERROR(VLOOKUP($D7,BS연결,MATCH(AB$1,BS연결H,0),0)/100,"")</f>
        <v/>
      </c>
      <c r="AC7" s="37">
        <f>IFERROR(AC9+AC8,"")</f>
        <v/>
      </c>
      <c r="AD7" s="37">
        <f>IFERROR(AD9+AD8,"")</f>
        <v/>
      </c>
      <c r="AE7" s="38">
        <f>SUM(AA7:AD7)</f>
        <v/>
      </c>
      <c r="AF7" s="37">
        <f>IFERROR(AF9+AF8,"")</f>
        <v/>
      </c>
      <c r="AG7" s="37">
        <f>IFERROR(AG9+AG8,"")</f>
        <v/>
      </c>
      <c r="AH7" s="37">
        <f>IFERROR(AH9+AH8,"")</f>
        <v/>
      </c>
      <c r="AI7" s="37">
        <f>IFERROR(AI9+AI8,"")</f>
        <v/>
      </c>
      <c r="AJ7" s="38">
        <f>SUM(AF7:AI7)</f>
        <v/>
      </c>
      <c r="AK7" s="37">
        <f>IFERROR(AK9+AK8,"")</f>
        <v/>
      </c>
      <c r="AL7" s="37">
        <f>IFERROR(AL9+AL8,"")</f>
        <v/>
      </c>
      <c r="AM7" s="37">
        <f>IFERROR(AM9+AM8,"")</f>
        <v/>
      </c>
      <c r="AN7" s="37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5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5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5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5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5">
        <f>IFERROR(VLOOKUP($D8,BS연결,MATCH(Z$1,BS연결H,0),0)/100,"")</f>
        <v/>
      </c>
      <c r="AA8" s="18">
        <f>IFERROR(VLOOKUP($D8,BS연결,MATCH(AA$1,BS연결H,0),0)/100,"")</f>
        <v/>
      </c>
      <c r="AB8" s="36">
        <f>IFERROR(VLOOKUP($D8,BS연결,MATCH(AB$1,BS연결H,0),0)/100,"")</f>
        <v/>
      </c>
      <c r="AC8" s="37">
        <f>IFERROR(AC5*변수!AC22,"")</f>
        <v/>
      </c>
      <c r="AD8" s="37">
        <f>IFERROR(AD5*변수!AD22,"")</f>
        <v/>
      </c>
      <c r="AE8" s="38">
        <f>SUM(AA8:AD8)</f>
        <v/>
      </c>
      <c r="AF8" s="37">
        <f>IFERROR(AF5*변수!AF22,"")</f>
        <v/>
      </c>
      <c r="AG8" s="37">
        <f>IFERROR(AG5*변수!AG22,"")</f>
        <v/>
      </c>
      <c r="AH8" s="37">
        <f>IFERROR(AH5*변수!AH22,"")</f>
        <v/>
      </c>
      <c r="AI8" s="37">
        <f>IFERROR(AI5*변수!AI22,"")</f>
        <v/>
      </c>
      <c r="AJ8" s="38">
        <f>SUM(AF8:AI8)</f>
        <v/>
      </c>
      <c r="AK8" s="37">
        <f>IFERROR(AK5*변수!AK22,"")</f>
        <v/>
      </c>
      <c r="AL8" s="37">
        <f>IFERROR(AL5*변수!AL22,"")</f>
        <v/>
      </c>
      <c r="AM8" s="37">
        <f>IFERROR(AM5*변수!AM22,"")</f>
        <v/>
      </c>
      <c r="AN8" s="37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5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5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5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5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5">
        <f>IFERROR(VLOOKUP($D9,BS연결,MATCH(Z$1,BS연결H,0),0)/100,"")</f>
        <v/>
      </c>
      <c r="AA9" s="18">
        <f>IFERROR(VLOOKUP($D9,BS연결,MATCH(AA$1,BS연결H,0),0)/100,"")</f>
        <v/>
      </c>
      <c r="AB9" s="36">
        <f>IFERROR(VLOOKUP($D9,BS연결,MATCH(AB$1,BS연결H,0),0)/100,"")</f>
        <v/>
      </c>
      <c r="AC9" s="37">
        <f>IFERROR(AC5*변수!AC23,"")</f>
        <v/>
      </c>
      <c r="AD9" s="37">
        <f>IFERROR(AD5*변수!AD23,"")</f>
        <v/>
      </c>
      <c r="AE9" s="38">
        <f>SUM(AA9:AD9)</f>
        <v/>
      </c>
      <c r="AF9" s="37">
        <f>IFERROR(AF5*변수!AF23,"")</f>
        <v/>
      </c>
      <c r="AG9" s="37">
        <f>IFERROR(AG5*변수!AG23,"")</f>
        <v/>
      </c>
      <c r="AH9" s="37">
        <f>IFERROR(AH5*변수!AH23,"")</f>
        <v/>
      </c>
      <c r="AI9" s="37">
        <f>IFERROR(AI5*변수!AI23,"")</f>
        <v/>
      </c>
      <c r="AJ9" s="38">
        <f>SUM(AF9:AI9)</f>
        <v/>
      </c>
      <c r="AK9" s="37">
        <f>IFERROR(AK5*변수!AK23,"")</f>
        <v/>
      </c>
      <c r="AL9" s="37">
        <f>IFERROR(AL5*변수!AL23,"")</f>
        <v/>
      </c>
      <c r="AM9" s="37">
        <f>IFERROR(AM5*변수!AM23,"")</f>
        <v/>
      </c>
      <c r="AN9" s="37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19">
        <f>IFERROR(E9/E5,"")</f>
        <v/>
      </c>
      <c r="F10" s="20" t="n"/>
      <c r="G10" s="19">
        <f>IFERROR(G9/G5,"")</f>
        <v/>
      </c>
      <c r="H10" s="19">
        <f>IFERROR(H9/H5,"")</f>
        <v/>
      </c>
      <c r="I10" s="19">
        <f>IFERROR(I9/I5,"")</f>
        <v/>
      </c>
      <c r="J10" s="19">
        <f>IFERROR(J9/J5,"")</f>
        <v/>
      </c>
      <c r="K10" s="20">
        <f>IFERROR(K9/K5,"")</f>
        <v/>
      </c>
      <c r="L10" s="19">
        <f>IFERROR(L9/L5,"")</f>
        <v/>
      </c>
      <c r="M10" s="19">
        <f>IFERROR(M9/M5,"")</f>
        <v/>
      </c>
      <c r="N10" s="19">
        <f>IFERROR(N9/N5,"")</f>
        <v/>
      </c>
      <c r="O10" s="19">
        <f>IFERROR(O9/O5,"")</f>
        <v/>
      </c>
      <c r="P10" s="20">
        <f>IFERROR(P9/P5,"")</f>
        <v/>
      </c>
      <c r="Q10" s="19">
        <f>IFERROR(Q9/Q5,"")</f>
        <v/>
      </c>
      <c r="R10" s="19">
        <f>IFERROR(R9/R5,"")</f>
        <v/>
      </c>
      <c r="S10" s="19">
        <f>IFERROR(S9/S5,"")</f>
        <v/>
      </c>
      <c r="T10" s="19">
        <f>IFERROR(T9/T5,"")</f>
        <v/>
      </c>
      <c r="U10" s="20">
        <f>IFERROR(U9/U5,"")</f>
        <v/>
      </c>
      <c r="V10" s="19">
        <f>IFERROR(V9/V5,"")</f>
        <v/>
      </c>
      <c r="W10" s="19">
        <f>IFERROR(W9/W5,"")</f>
        <v/>
      </c>
      <c r="X10" s="19">
        <f>IFERROR(X9/X5,"")</f>
        <v/>
      </c>
      <c r="Y10" s="19">
        <f>IFERROR(Y9/Y5,"")</f>
        <v/>
      </c>
      <c r="Z10" s="20">
        <f>IFERROR(Z9/Z5,"")</f>
        <v/>
      </c>
      <c r="AA10" s="19">
        <f>IFERROR(AA9/AA5,"")</f>
        <v/>
      </c>
      <c r="AB10" s="21">
        <f>IFERROR(AB9/AB5,"")</f>
        <v/>
      </c>
      <c r="AC10" s="31">
        <f>IFERROR(AC9/AC5,"")</f>
        <v/>
      </c>
      <c r="AD10" s="31">
        <f>IFERROR(AD9/AD5,"")</f>
        <v/>
      </c>
      <c r="AE10" s="23">
        <f>IFERROR(AE9/AE5,"")</f>
        <v/>
      </c>
      <c r="AF10" s="31">
        <f>IFERROR(AF9/AF5,"")</f>
        <v/>
      </c>
      <c r="AG10" s="31">
        <f>IFERROR(AG9/AG5,"")</f>
        <v/>
      </c>
      <c r="AH10" s="31">
        <f>IFERROR(AH9/AH5,"")</f>
        <v/>
      </c>
      <c r="AI10" s="31">
        <f>IFERROR(AI9/AI5,"")</f>
        <v/>
      </c>
      <c r="AJ10" s="23">
        <f>IFERROR(AJ9/AJ5,"")</f>
        <v/>
      </c>
      <c r="AK10" s="31">
        <f>IFERROR(AK9/AK5,"")</f>
        <v/>
      </c>
      <c r="AL10" s="31">
        <f>IFERROR(AL9/AL5,"")</f>
        <v/>
      </c>
      <c r="AM10" s="31">
        <f>IFERROR(AM9/AM5,"")</f>
        <v/>
      </c>
      <c r="AN10" s="31">
        <f>IFERROR(AN9/AN5,"")</f>
        <v/>
      </c>
      <c r="AO10" s="23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5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5">
        <f>SUM(G11:J11)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5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5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5">
        <f>IFERROR(VLOOKUP($D11,BS연결,MATCH(Z$1,BS연결H,0),0)/100,"")</f>
        <v/>
      </c>
      <c r="AA11" s="18">
        <f>IFERROR(VLOOKUP($D11,BS연결,MATCH(AA$1,BS연결H,0),0)/100,"")</f>
        <v/>
      </c>
      <c r="AB11" s="36">
        <f>IFERROR(VLOOKUP($D11,BS연결,MATCH(AB$1,BS연결H,0),0)/100,"")</f>
        <v/>
      </c>
      <c r="AC11" s="37">
        <f>IFERROR(AC12+AC13,"")</f>
        <v/>
      </c>
      <c r="AD11" s="37">
        <f>IFERROR(AD12+AD13,"")</f>
        <v/>
      </c>
      <c r="AE11" s="38">
        <f>SUM(AA11:AD11)</f>
        <v/>
      </c>
      <c r="AF11" s="37">
        <f>IFERROR(AF12+AF13,"")</f>
        <v/>
      </c>
      <c r="AG11" s="37">
        <f>IFERROR(AG12+AG13,"")</f>
        <v/>
      </c>
      <c r="AH11" s="37">
        <f>IFERROR(AH12+AH13,"")</f>
        <v/>
      </c>
      <c r="AI11" s="37">
        <f>IFERROR(AI12+AI13,"")</f>
        <v/>
      </c>
      <c r="AJ11" s="38">
        <f>SUM(AF11:AI11)</f>
        <v/>
      </c>
      <c r="AK11" s="37">
        <f>IFERROR(AK12+AK13,"")</f>
        <v/>
      </c>
      <c r="AL11" s="37">
        <f>IFERROR(AL12+AL13,"")</f>
        <v/>
      </c>
      <c r="AM11" s="37">
        <f>IFERROR(AM12+AM13,"")</f>
        <v/>
      </c>
      <c r="AN11" s="37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5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5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5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5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5">
        <f>IFERROR(VLOOKUP($D12,BS연결,MATCH(Z$1,BS연결H,0),0)/100,"")</f>
        <v/>
      </c>
      <c r="AA12" s="18">
        <f>IFERROR(VLOOKUP($D12,BS연결,MATCH(AA$1,BS연결H,0),0)/100,"")</f>
        <v/>
      </c>
      <c r="AB12" s="36">
        <f>IFERROR(VLOOKUP($D12,BS연결,MATCH(AB$1,BS연결H,0),0)/100,"")</f>
        <v/>
      </c>
      <c r="AC12" s="37">
        <f>IFERROR((AB27*변수!$D$53-AB25*변수!$D$54)/4,"")</f>
        <v/>
      </c>
      <c r="AD12" s="37">
        <f>IFERROR((AC27*변수!$D$53-AC25*변수!$D$54)/4,"")</f>
        <v/>
      </c>
      <c r="AE12" s="38">
        <f>SUM(AA12:AD12)</f>
        <v/>
      </c>
      <c r="AF12" s="37">
        <f>IFERROR((AD27*변수!$D$53-AD25*변수!$D$54)/4,"")</f>
        <v/>
      </c>
      <c r="AG12" s="37">
        <f>IFERROR((AF27*변수!$D$53-AF25*변수!$D$54)/4,"")</f>
        <v/>
      </c>
      <c r="AH12" s="37">
        <f>IFERROR((AG27*변수!$D$53-AG25*변수!$D$54)/4,"")</f>
        <v/>
      </c>
      <c r="AI12" s="37">
        <f>IFERROR((AH27*변수!$D$53-AH25*변수!$D$54)/4,"")</f>
        <v/>
      </c>
      <c r="AJ12" s="38">
        <f>SUM(AF12:AI12)</f>
        <v/>
      </c>
      <c r="AK12" s="37">
        <f>IFERROR((AI27*변수!$D$53-AI25*변수!$D$54)/4,"")</f>
        <v/>
      </c>
      <c r="AL12" s="37">
        <f>IFERROR((AK27*변수!$D$53-AK25*변수!$D$54)/4,"")</f>
        <v/>
      </c>
      <c r="AM12" s="37">
        <f>IFERROR((AL27*변수!$D$53-AL25*변수!$D$54)/4,"")</f>
        <v/>
      </c>
      <c r="AN12" s="37">
        <f>IFERROR((AM27*변수!$D$53-AM25*변수!$D$54)/4,"")</f>
        <v/>
      </c>
      <c r="AO12" s="38">
        <f>SUM(AK12:AN12)</f>
        <v/>
      </c>
    </row>
    <row r="13">
      <c r="A13" s="12" t="inlineStr">
        <is>
          <t>파생상품손익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파생상품손익</t>
        </is>
      </c>
      <c r="E13" s="18" t="n"/>
      <c r="F13" s="35" t="n"/>
      <c r="G13" s="18" t="n"/>
      <c r="H13" s="18">
        <f>IFERROR((VLOOKUP("파생상품이익",BS연결,MATCH(H$1,BS연결H,0),0)-VLOOKUP("파생상품손실",BS연결,MATCH(H$1,BS연결H,0),0))/100,"")</f>
        <v/>
      </c>
      <c r="I13" s="18">
        <f>IFERROR((VLOOKUP("파생상품이익",BS연결,MATCH(I$1,BS연결H,0),0)-VLOOKUP("파생상품손실",BS연결,MATCH(I$1,BS연결H,0),0))/100,"")</f>
        <v/>
      </c>
      <c r="J13" s="18">
        <f>IFERROR((VLOOKUP("파생상품이익",BS연결,MATCH(J$1,BS연결H,0),0)-VLOOKUP("파생상품손실",BS연결,MATCH(J$1,BS연결H,0),0))/100,"")</f>
        <v/>
      </c>
      <c r="K13" s="35">
        <f>SUM(G13:J13)</f>
        <v/>
      </c>
      <c r="L13" s="18" t="n"/>
      <c r="M13" s="18">
        <f>IFERROR((VLOOKUP("파생상품이익",BS연결,MATCH(M$1,BS연결H,0),0)-VLOOKUP("파생상품손실",BS연결,MATCH(M$1,BS연결H,0),0))/100,"")</f>
        <v/>
      </c>
      <c r="N13" s="18">
        <f>IFERROR((VLOOKUP("파생상품이익",BS연결,MATCH(N$1,BS연결H,0),0)-VLOOKUP("파생상품손실",BS연결,MATCH(N$1,BS연결H,0),0))/100,"")</f>
        <v/>
      </c>
      <c r="O13" s="18">
        <f>IFERROR((VLOOKUP("파생상품이익",BS연결,MATCH(O$1,BS연결H,0),0)-VLOOKUP("파생상품손실",BS연결,MATCH(O$1,BS연결H,0),0))/100,"")</f>
        <v/>
      </c>
      <c r="P13" s="35">
        <f>SUM(L13:O13)</f>
        <v/>
      </c>
      <c r="Q13" s="18">
        <f>IFERROR((VLOOKUP("파생상품이익",BS연결,MATCH(Q$1,BS연결H,0),0)-VLOOKUP("파생상품손실",BS연결,MATCH(Q$1,BS연결H,0),0))/100,"")</f>
        <v/>
      </c>
      <c r="R13" s="18" t="n"/>
      <c r="S13" s="18" t="n"/>
      <c r="T13" s="18" t="n"/>
      <c r="U13" s="35">
        <f>SUM(Q13:T13)</f>
        <v/>
      </c>
      <c r="V13" s="18" t="n"/>
      <c r="W13" s="18" t="n"/>
      <c r="X13" s="18" t="n"/>
      <c r="Y13" s="18" t="n"/>
      <c r="Z13" s="35">
        <f>SUM(V13:Y13)</f>
        <v/>
      </c>
      <c r="AA13" s="18" t="n"/>
      <c r="AB13" s="36" t="n"/>
      <c r="AC13" s="37">
        <f>변수!AC24</f>
        <v/>
      </c>
      <c r="AD13" s="37">
        <f>변수!AD24</f>
        <v/>
      </c>
      <c r="AE13" s="38">
        <f>SUM(AA13:AD13)</f>
        <v/>
      </c>
      <c r="AF13" s="37">
        <f>변수!AF24</f>
        <v/>
      </c>
      <c r="AG13" s="37">
        <f>변수!AG24</f>
        <v/>
      </c>
      <c r="AH13" s="37">
        <f>변수!AH24</f>
        <v/>
      </c>
      <c r="AI13" s="37">
        <f>변수!AI24</f>
        <v/>
      </c>
      <c r="AJ13" s="38">
        <f>SUM(AF13:AI13)</f>
        <v/>
      </c>
      <c r="AK13" s="37">
        <f>변수!AK24</f>
        <v/>
      </c>
      <c r="AL13" s="37">
        <f>변수!AL24</f>
        <v/>
      </c>
      <c r="AM13" s="37">
        <f>변수!AM24</f>
        <v/>
      </c>
      <c r="AN13" s="37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5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5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5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5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5">
        <f>IFERROR(VLOOKUP($D14,BS연결,MATCH(Z$1,BS연결H,0),0)/100,"")</f>
        <v/>
      </c>
      <c r="AA14" s="18">
        <f>IFERROR(VLOOKUP($D14,BS연결,MATCH(AA$1,BS연결H,0),0)/100,"")</f>
        <v/>
      </c>
      <c r="AB14" s="36">
        <f>IFERROR(VLOOKUP($D14,BS연결,MATCH(AB$1,BS연결H,0),0)/100,"")</f>
        <v/>
      </c>
      <c r="AC14" s="37">
        <f>변수!AC25</f>
        <v/>
      </c>
      <c r="AD14" s="37">
        <f>변수!AD25</f>
        <v/>
      </c>
      <c r="AE14" s="38">
        <f>SUM(AA14:AD14)</f>
        <v/>
      </c>
      <c r="AF14" s="37">
        <f>변수!AF25</f>
        <v/>
      </c>
      <c r="AG14" s="37">
        <f>변수!AG25</f>
        <v/>
      </c>
      <c r="AH14" s="37">
        <f>변수!AH25</f>
        <v/>
      </c>
      <c r="AI14" s="37">
        <f>변수!AI25</f>
        <v/>
      </c>
      <c r="AJ14" s="38">
        <f>SUM(AF14:AI14)</f>
        <v/>
      </c>
      <c r="AK14" s="37">
        <f>변수!AK25</f>
        <v/>
      </c>
      <c r="AL14" s="37">
        <f>변수!AL25</f>
        <v/>
      </c>
      <c r="AM14" s="37">
        <f>변수!AM25</f>
        <v/>
      </c>
      <c r="AN14" s="37">
        <f>변수!AN25</f>
        <v/>
      </c>
      <c r="AO14" s="38">
        <f>SUM(AK14:AN14)</f>
        <v/>
      </c>
    </row>
    <row r="15">
      <c r="A15" s="12" t="inlineStr">
        <is>
          <t>지분법손익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종속기업,공동지배기업및관계기업관련손익</t>
        </is>
      </c>
      <c r="E15" s="18">
        <f>IFERROR(VLOOKUP($D15,BS연결,MATCH(E$1,BS연결H,0),0)/100,"")</f>
        <v/>
      </c>
      <c r="F15" s="35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5">
        <f>IFERROR(VLOOKUP($D15,BS연결,MATCH(K$1,BS연결H,0),0)/100,"")</f>
        <v/>
      </c>
      <c r="L15" s="18" t="n"/>
      <c r="M15" s="18">
        <f>IFERROR(VLOOKUP($D15,BS연결,MATCH(M$1,BS연결H,0),0)/100,"")</f>
        <v/>
      </c>
      <c r="N15" s="18" t="n"/>
      <c r="O15" s="18">
        <f>IFERROR(VLOOKUP($D15,BS연결,MATCH(O$1,BS연결H,0),0)/100,"")</f>
        <v/>
      </c>
      <c r="P15" s="35">
        <f>SUM(L15:O15)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5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5">
        <f>IFERROR(VLOOKUP($D15,BS연결,MATCH(Z$1,BS연결H,0),0)/100,"")</f>
        <v/>
      </c>
      <c r="AA15" s="18" t="n"/>
      <c r="AB15" s="36">
        <f>IFERROR(VLOOKUP($D15,BS연결,MATCH(AB$1,BS연결H,0),0)/100,"")</f>
        <v/>
      </c>
      <c r="AC15" s="37">
        <f>변수!AC26</f>
        <v/>
      </c>
      <c r="AD15" s="37">
        <f>변수!AD26</f>
        <v/>
      </c>
      <c r="AE15" s="38">
        <f>SUM(AA15:AD15)</f>
        <v/>
      </c>
      <c r="AF15" s="37">
        <f>변수!AF26</f>
        <v/>
      </c>
      <c r="AG15" s="37">
        <f>변수!AG26</f>
        <v/>
      </c>
      <c r="AH15" s="37">
        <f>변수!AH26</f>
        <v/>
      </c>
      <c r="AI15" s="37">
        <f>변수!AI26</f>
        <v/>
      </c>
      <c r="AJ15" s="38">
        <f>SUM(AF15:AI15)</f>
        <v/>
      </c>
      <c r="AK15" s="37">
        <f>변수!AK26</f>
        <v/>
      </c>
      <c r="AL15" s="37">
        <f>변수!AL26</f>
        <v/>
      </c>
      <c r="AM15" s="37">
        <f>변수!AM26</f>
        <v/>
      </c>
      <c r="AN15" s="37">
        <f>변수!AN26</f>
        <v/>
      </c>
      <c r="AO15" s="38">
        <f>SUM(AK15:AN15)</f>
        <v/>
      </c>
    </row>
    <row r="16">
      <c r="A16" s="12" t="inlineStr">
        <is>
          <t>세전이익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법인세비용차감전계속사업이익</t>
        </is>
      </c>
      <c r="E16" s="18">
        <f>IFERROR(VLOOKUP($D16,BS연결,MATCH(E$1,BS연결H,0),0)/100,"")</f>
        <v/>
      </c>
      <c r="F16" s="35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5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5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5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5">
        <f>IFERROR(VLOOKUP($D16,BS연결,MATCH(Z$1,BS연결H,0),0)/100,"")</f>
        <v/>
      </c>
      <c r="AA16" s="18">
        <f>IFERROR(VLOOKUP($D16,BS연결,MATCH(AA$1,BS연결H,0),0)/100,"")</f>
        <v/>
      </c>
      <c r="AB16" s="36">
        <f>IFERROR(VLOOKUP($D16,BS연결,MATCH(AB$1,BS연결H,0),0)/100,"")</f>
        <v/>
      </c>
      <c r="AC16" s="37">
        <f>IFERROR(AC9+AC11+AC14+AC15,"")</f>
        <v/>
      </c>
      <c r="AD16" s="37">
        <f>IFERROR(AD9+AD11+AD14+AD15,"")</f>
        <v/>
      </c>
      <c r="AE16" s="38">
        <f>SUM(AA16:AD16)</f>
        <v/>
      </c>
      <c r="AF16" s="37">
        <f>IFERROR(AF9+AF11+AF14+AF15,"")</f>
        <v/>
      </c>
      <c r="AG16" s="37">
        <f>IFERROR(AG9+AG11+AG14+AG15,"")</f>
        <v/>
      </c>
      <c r="AH16" s="37">
        <f>IFERROR(AH9+AH11+AH14+AH15,"")</f>
        <v/>
      </c>
      <c r="AI16" s="37">
        <f>IFERROR(AI9+AI11+AI14+AI15,"")</f>
        <v/>
      </c>
      <c r="AJ16" s="38">
        <f>SUM(AF16:AI16)</f>
        <v/>
      </c>
      <c r="AK16" s="37">
        <f>IFERROR(AK9+AK11+AK14+AK15,"")</f>
        <v/>
      </c>
      <c r="AL16" s="37">
        <f>IFERROR(AL9+AL11+AL14+AL15,"")</f>
        <v/>
      </c>
      <c r="AM16" s="37">
        <f>IFERROR(AM9+AM11+AM14+AM15,"")</f>
        <v/>
      </c>
      <c r="AN16" s="37">
        <f>IFERROR(AN9+AN11+AN14+AN15,"")</f>
        <v/>
      </c>
      <c r="AO16" s="38">
        <f>SUM(AK16:AN16)</f>
        <v/>
      </c>
    </row>
    <row r="17">
      <c r="A17" s="12" t="inlineStr">
        <is>
          <t>법인세비용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</t>
        </is>
      </c>
      <c r="E17" s="18" t="n"/>
      <c r="F17" s="35" t="n"/>
      <c r="G17" s="18" t="n"/>
      <c r="H17" s="18" t="n"/>
      <c r="I17" s="18" t="n"/>
      <c r="J17" s="18" t="n"/>
      <c r="K17" s="35">
        <f>SUM(G17:J17)</f>
        <v/>
      </c>
      <c r="L17" s="18" t="n"/>
      <c r="M17" s="18" t="n"/>
      <c r="N17" s="18" t="n"/>
      <c r="O17" s="18" t="n"/>
      <c r="P17" s="35">
        <f>SUM(L17:O17)</f>
        <v/>
      </c>
      <c r="Q17" s="18" t="n"/>
      <c r="R17" s="18" t="n"/>
      <c r="S17" s="18" t="n"/>
      <c r="T17" s="18" t="n"/>
      <c r="U17" s="35">
        <f>SUM(Q17:T17)</f>
        <v/>
      </c>
      <c r="V17" s="18" t="n"/>
      <c r="W17" s="18" t="n"/>
      <c r="X17" s="18" t="n"/>
      <c r="Y17" s="18" t="n"/>
      <c r="Z17" s="35">
        <f>SUM(V17:Y17)</f>
        <v/>
      </c>
      <c r="AA17" s="18" t="n"/>
      <c r="AB17" s="36" t="n"/>
      <c r="AC17" s="37">
        <f>IFERROR(AC16*변수!AC27,"")</f>
        <v/>
      </c>
      <c r="AD17" s="37">
        <f>IFERROR(AD16*변수!AD27,"")</f>
        <v/>
      </c>
      <c r="AE17" s="38">
        <f>SUM(AA17:AD17)</f>
        <v/>
      </c>
      <c r="AF17" s="37">
        <f>IFERROR(AF16*변수!AF27,"")</f>
        <v/>
      </c>
      <c r="AG17" s="37">
        <f>IFERROR(AG16*변수!AG27,"")</f>
        <v/>
      </c>
      <c r="AH17" s="37">
        <f>IFERROR(AH16*변수!AH27,"")</f>
        <v/>
      </c>
      <c r="AI17" s="37">
        <f>IFERROR(AI16*변수!AI27,"")</f>
        <v/>
      </c>
      <c r="AJ17" s="38">
        <f>SUM(AF17:AI17)</f>
        <v/>
      </c>
      <c r="AK17" s="37">
        <f>IFERROR(AK16*변수!AK27,"")</f>
        <v/>
      </c>
      <c r="AL17" s="37">
        <f>IFERROR(AL16*변수!AL27,"")</f>
        <v/>
      </c>
      <c r="AM17" s="37">
        <f>IFERROR(AM16*변수!AM27,"")</f>
        <v/>
      </c>
      <c r="AN17" s="37">
        <f>IFERROR(AN16*변수!AN27,"")</f>
        <v/>
      </c>
      <c r="AO17" s="38">
        <f>SUM(AK17:AN17)</f>
        <v/>
      </c>
    </row>
    <row r="18">
      <c r="A18" s="12" t="inlineStr">
        <is>
          <t>당기순이익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당기순이익</t>
        </is>
      </c>
      <c r="E18" s="18">
        <f>IFERROR(VLOOKUP($D18,BS연결,MATCH(E$1,BS연결H,0),0)/100,"")</f>
        <v/>
      </c>
      <c r="F18" s="35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5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5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5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5">
        <f>IFERROR(VLOOKUP($D18,BS연결,MATCH(Z$1,BS연결H,0),0)/100,"")</f>
        <v/>
      </c>
      <c r="AA18" s="18">
        <f>IFERROR(VLOOKUP($D18,BS연결,MATCH(AA$1,BS연결H,0),0)/100,"")</f>
        <v/>
      </c>
      <c r="AB18" s="36">
        <f>IFERROR(VLOOKUP($D18,BS연결,MATCH(AB$1,BS연결H,0),0)/100,"")</f>
        <v/>
      </c>
      <c r="AC18" s="37">
        <f>IFERROR(AC16-AC17,"")</f>
        <v/>
      </c>
      <c r="AD18" s="37">
        <f>IFERROR(AD16-AD17,"")</f>
        <v/>
      </c>
      <c r="AE18" s="38">
        <f>SUM(AA18:AD18)</f>
        <v/>
      </c>
      <c r="AF18" s="37">
        <f>IFERROR(AF16-AF17,"")</f>
        <v/>
      </c>
      <c r="AG18" s="37">
        <f>IFERROR(AG16-AG17,"")</f>
        <v/>
      </c>
      <c r="AH18" s="37">
        <f>IFERROR(AH16-AH17,"")</f>
        <v/>
      </c>
      <c r="AI18" s="37">
        <f>IFERROR(AI16-AI17,"")</f>
        <v/>
      </c>
      <c r="AJ18" s="38">
        <f>SUM(AF18:AI18)</f>
        <v/>
      </c>
      <c r="AK18" s="37">
        <f>IFERROR(AK16-AK17,"")</f>
        <v/>
      </c>
      <c r="AL18" s="37">
        <f>IFERROR(AL16-AL17,"")</f>
        <v/>
      </c>
      <c r="AM18" s="37">
        <f>IFERROR(AM16-AM17,"")</f>
        <v/>
      </c>
      <c r="AN18" s="37">
        <f>IFERROR(AN16-AN17,"")</f>
        <v/>
      </c>
      <c r="AO18" s="38">
        <f>SUM(AK18:AN18)</f>
        <v/>
      </c>
    </row>
    <row r="19">
      <c r="A19" s="12" t="inlineStr">
        <is>
          <t>지배주주순이익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(지배주주지분)당기순이익</t>
        </is>
      </c>
      <c r="E19" s="18">
        <f>IFERROR(VLOOKUP($D19,BS연결,MATCH(E$1,BS연결H,0),0)/100,"")</f>
        <v/>
      </c>
      <c r="F19" s="35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5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5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5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5">
        <f>IFERROR(VLOOKUP($D19,BS연결,MATCH(Z$1,BS연결H,0),0)/100,"")</f>
        <v/>
      </c>
      <c r="AA19" s="18">
        <f>IFERROR(VLOOKUP($D19,BS연결,MATCH(AA$1,BS연결H,0),0)/100,"")</f>
        <v/>
      </c>
      <c r="AB19" s="36">
        <f>IFERROR(VLOOKUP($D19,BS연결,MATCH(AB$1,BS연결H,0),0)/100,"")</f>
        <v/>
      </c>
      <c r="AC19" s="37">
        <f>IFERROR(AC18*변수!AC28,"")</f>
        <v/>
      </c>
      <c r="AD19" s="37">
        <f>IFERROR(AD18*변수!AD28,"")</f>
        <v/>
      </c>
      <c r="AE19" s="38">
        <f>SUM(AA19:AD19)</f>
        <v/>
      </c>
      <c r="AF19" s="37">
        <f>IFERROR(AF18*변수!AF28,"")</f>
        <v/>
      </c>
      <c r="AG19" s="37">
        <f>IFERROR(AG18*변수!AG28,"")</f>
        <v/>
      </c>
      <c r="AH19" s="37">
        <f>IFERROR(AH18*변수!AH28,"")</f>
        <v/>
      </c>
      <c r="AI19" s="37">
        <f>IFERROR(AI18*변수!AI28,"")</f>
        <v/>
      </c>
      <c r="AJ19" s="38">
        <f>SUM(AF19:AI19)</f>
        <v/>
      </c>
      <c r="AK19" s="37">
        <f>IFERROR(AK18*변수!AK28,"")</f>
        <v/>
      </c>
      <c r="AL19" s="37">
        <f>IFERROR(AL18*변수!AL28,"")</f>
        <v/>
      </c>
      <c r="AM19" s="37">
        <f>IFERROR(AM18*변수!AM28,"")</f>
        <v/>
      </c>
      <c r="AN19" s="37">
        <f>IFERROR(AN18*변수!AN28,"")</f>
        <v/>
      </c>
      <c r="AO19" s="38">
        <f>SUM(AK19:AN19)</f>
        <v/>
      </c>
    </row>
    <row r="20">
      <c r="A20" s="12" t="inlineStr">
        <is>
          <t>중단사업이익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중단사업이익</t>
        </is>
      </c>
      <c r="E20" s="18" t="n"/>
      <c r="F20" s="35" t="n"/>
      <c r="G20" s="18" t="n"/>
      <c r="H20" s="18" t="n"/>
      <c r="I20" s="18" t="n"/>
      <c r="J20" s="18" t="n"/>
      <c r="K20" s="35">
        <f>SUM(G20:J20)</f>
        <v/>
      </c>
      <c r="L20" s="18" t="n"/>
      <c r="M20" s="18" t="n"/>
      <c r="N20" s="18" t="n"/>
      <c r="O20" s="18">
        <f>IFERROR(VLOOKUP($D20,BS연결,MATCH(O$1,BS연결H,0),0)/100,"")</f>
        <v/>
      </c>
      <c r="P20" s="35">
        <f>SUM(L20:O20)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 t="n"/>
      <c r="T20" s="18">
        <f>IFERROR(VLOOKUP($D20,BS연결,MATCH(T$1,BS연결H,0),0)/100,"")</f>
        <v/>
      </c>
      <c r="U20" s="35">
        <f>SUM(Q20:T20)</f>
        <v/>
      </c>
      <c r="V20" s="18" t="n"/>
      <c r="W20" s="18" t="n"/>
      <c r="X20" s="18" t="n"/>
      <c r="Y20" s="18" t="n"/>
      <c r="Z20" s="35">
        <f>SUM(V20:Y20)</f>
        <v/>
      </c>
      <c r="AA20" s="18" t="n"/>
      <c r="AB20" s="36" t="n"/>
      <c r="AC20" s="37" t="n"/>
      <c r="AD20" s="37" t="n"/>
      <c r="AE20" s="38">
        <f>SUM(AA20:AD20)</f>
        <v/>
      </c>
      <c r="AF20" s="37" t="n"/>
      <c r="AG20" s="37" t="n"/>
      <c r="AH20" s="37" t="n"/>
      <c r="AI20" s="37" t="n"/>
      <c r="AJ20" s="38">
        <f>SUM(AF20:AI20)</f>
        <v/>
      </c>
      <c r="AK20" s="37" t="n"/>
      <c r="AL20" s="37" t="n"/>
      <c r="AM20" s="37" t="n"/>
      <c r="AN20" s="37" t="n"/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5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5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5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5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5">
        <f>IFERROR(VLOOKUP($D21,BS연결,MATCH(Z$1,BS연결H,0),0)/100,"")</f>
        <v/>
      </c>
      <c r="AA21" s="18">
        <f>IFERROR(VLOOKUP($D21,BS연결,MATCH(AA$1,BS연결H,0),0)/100,"")</f>
        <v/>
      </c>
      <c r="AB21" s="36">
        <f>IFERROR(VLOOKUP($D21,BS연결,MATCH(AB$1,BS연결H,0),0)/100,"")</f>
        <v/>
      </c>
      <c r="AC21" s="37">
        <f>IFERROR(AC22+AC23,"")</f>
        <v/>
      </c>
      <c r="AD21" s="37">
        <f>IFERROR(AD22+AD23,"")</f>
        <v/>
      </c>
      <c r="AE21" s="38">
        <f>AD21</f>
        <v/>
      </c>
      <c r="AF21" s="37">
        <f>IFERROR(AF22+AF23,"")</f>
        <v/>
      </c>
      <c r="AG21" s="37">
        <f>IFERROR(AG22+AG23,"")</f>
        <v/>
      </c>
      <c r="AH21" s="37">
        <f>IFERROR(AH22+AH23,"")</f>
        <v/>
      </c>
      <c r="AI21" s="37">
        <f>IFERROR(AI22+AI23,"")</f>
        <v/>
      </c>
      <c r="AJ21" s="38">
        <f>AI21</f>
        <v/>
      </c>
      <c r="AK21" s="37">
        <f>IFERROR(AK22+AK23,"")</f>
        <v/>
      </c>
      <c r="AL21" s="37">
        <f>IFERROR(AL22+AL23,"")</f>
        <v/>
      </c>
      <c r="AM21" s="37">
        <f>IFERROR(AM22+AM23,"")</f>
        <v/>
      </c>
      <c r="AN21" s="37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5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5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5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5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5">
        <f>IFERROR(VLOOKUP($D22,BS연결,MATCH(Z$1,BS연결H,0),0)/100,"")</f>
        <v/>
      </c>
      <c r="AA22" s="18">
        <f>IFERROR(VLOOKUP($D22,BS연결,MATCH(AA$1,BS연결H,0),0)/100,"")</f>
        <v/>
      </c>
      <c r="AB22" s="36">
        <f>IFERROR(VLOOKUP($D22,BS연결,MATCH(AB$1,BS연결H,0),0)/100,"")</f>
        <v/>
      </c>
      <c r="AC22" s="37">
        <f>IFERROR(AB22*(1+변수!AC30),"")</f>
        <v/>
      </c>
      <c r="AD22" s="37">
        <f>IFERROR(AC22*(1+변수!AD30),"")</f>
        <v/>
      </c>
      <c r="AE22" s="38">
        <f>AD22</f>
        <v/>
      </c>
      <c r="AF22" s="37">
        <f>IFERROR(AD22*(1+변수!AF30),"")</f>
        <v/>
      </c>
      <c r="AG22" s="37">
        <f>IFERROR(AF22*(1+변수!AG30),"")</f>
        <v/>
      </c>
      <c r="AH22" s="37">
        <f>IFERROR(AG22*(1+변수!AH30),"")</f>
        <v/>
      </c>
      <c r="AI22" s="37">
        <f>IFERROR(AH22*(1+변수!AI30),"")</f>
        <v/>
      </c>
      <c r="AJ22" s="38">
        <f>AI22</f>
        <v/>
      </c>
      <c r="AK22" s="37">
        <f>IFERROR(AI22*(1+변수!AK30),"")</f>
        <v/>
      </c>
      <c r="AL22" s="37">
        <f>IFERROR(AK22*(1+변수!AL30),"")</f>
        <v/>
      </c>
      <c r="AM22" s="37">
        <f>IFERROR(AL22*(1+변수!AM30),"")</f>
        <v/>
      </c>
      <c r="AN22" s="37">
        <f>IFERROR(AM22*(1+변수!AN30),"")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5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5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5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5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5">
        <f>IFERROR(VLOOKUP($D23,BS연결,MATCH(Z$1,BS연결H,0),0)/100,"")</f>
        <v/>
      </c>
      <c r="AA23" s="18">
        <f>IFERROR(VLOOKUP($D23,BS연결,MATCH(AA$1,BS연결H,0),0)/100,"")</f>
        <v/>
      </c>
      <c r="AB23" s="36">
        <f>IFERROR(VLOOKUP($D23,BS연결,MATCH(AB$1,BS연결H,0),0)/100,"")</f>
        <v/>
      </c>
      <c r="AC23" s="37">
        <f>IFERROR(AB23+AC18-변수!AC31,"")</f>
        <v/>
      </c>
      <c r="AD23" s="37">
        <f>IFERROR(AC23+AD18-변수!AD31,"")</f>
        <v/>
      </c>
      <c r="AE23" s="38">
        <f>AD23</f>
        <v/>
      </c>
      <c r="AF23" s="37">
        <f>IFERROR(AD23+AF18-변수!AF31,"")</f>
        <v/>
      </c>
      <c r="AG23" s="37">
        <f>IFERROR(AF23+AG18-변수!AG31,"")</f>
        <v/>
      </c>
      <c r="AH23" s="37">
        <f>IFERROR(AG23+AH18-변수!AH31,"")</f>
        <v/>
      </c>
      <c r="AI23" s="37">
        <f>IFERROR(AH23+AI18-변수!AI31,"")</f>
        <v/>
      </c>
      <c r="AJ23" s="38">
        <f>AI23</f>
        <v/>
      </c>
      <c r="AK23" s="37">
        <f>IFERROR(AI23+AK18-변수!AK31,"")</f>
        <v/>
      </c>
      <c r="AL23" s="37">
        <f>IFERROR(AK23+AL18-변수!AL31,"")</f>
        <v/>
      </c>
      <c r="AM23" s="37">
        <f>IFERROR(AL23+AM18-변수!AM31,"")</f>
        <v/>
      </c>
      <c r="AN23" s="37">
        <f>IFERROR(AM23+AN18-변수!AN31,"")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5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5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5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5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5">
        <f>IFERROR(VLOOKUP($D24,BS연결,MATCH(Z$1,BS연결H,0),0)/100,"")</f>
        <v/>
      </c>
      <c r="AA24" s="18">
        <f>IFERROR(VLOOKUP($D24,BS연결,MATCH(AA$1,BS연결H,0),0)/100,"")</f>
        <v/>
      </c>
      <c r="AB24" s="36">
        <f>IFERROR(VLOOKUP($D24,BS연결,MATCH(AB$1,BS연결H,0),0)/100,"")</f>
        <v/>
      </c>
      <c r="AC24" s="37">
        <f>IFERROR(AB24+AC19-변수!AC32,"")</f>
        <v/>
      </c>
      <c r="AD24" s="37">
        <f>IFERROR(AC24+AD19-변수!AD32,"")</f>
        <v/>
      </c>
      <c r="AE24" s="38">
        <f>AD24</f>
        <v/>
      </c>
      <c r="AF24" s="37">
        <f>IFERROR(AD24+AF19-변수!AF32,"")</f>
        <v/>
      </c>
      <c r="AG24" s="37">
        <f>IFERROR(AF24+AG19-변수!AG32,"")</f>
        <v/>
      </c>
      <c r="AH24" s="37">
        <f>IFERROR(AG24+AH19-변수!AH32,"")</f>
        <v/>
      </c>
      <c r="AI24" s="37">
        <f>IFERROR(AH24+AI19-변수!AI32,"")</f>
        <v/>
      </c>
      <c r="AJ24" s="38">
        <f>AI24</f>
        <v/>
      </c>
      <c r="AK24" s="37">
        <f>IFERROR(AI24+AK19-변수!AK32,"")</f>
        <v/>
      </c>
      <c r="AL24" s="37">
        <f>IFERROR(AK24+AL19-변수!AL32,"")</f>
        <v/>
      </c>
      <c r="AM24" s="37">
        <f>IFERROR(AL24+AM19-변수!AM32,"")</f>
        <v/>
      </c>
      <c r="AN24" s="37">
        <f>IFERROR(AM24+AN19-변수!AN32,"")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5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5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5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5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5">
        <f>IFERROR(VLOOKUP($D25,BS연결,MATCH(Z$1,BS연결H,0),0)/100,"")</f>
        <v/>
      </c>
      <c r="AA25" s="18">
        <f>IFERROR(VLOOKUP($D25,BS연결,MATCH(AA$1,BS연결H,0),0)/100,"")</f>
        <v/>
      </c>
      <c r="AB25" s="36">
        <f>IFERROR(VLOOKUP($D25,BS연결,MATCH(AB$1,BS연결H,0),0)/100,"")</f>
        <v/>
      </c>
      <c r="AC25" s="37">
        <f>IFERROR(AB25*(1+변수!AC33),"")</f>
        <v/>
      </c>
      <c r="AD25" s="37">
        <f>IFERROR(AC25*(1+변수!AD33),"")</f>
        <v/>
      </c>
      <c r="AE25" s="38">
        <f>AD25</f>
        <v/>
      </c>
      <c r="AF25" s="37">
        <f>IFERROR(AD25*(1+변수!AF33),"")</f>
        <v/>
      </c>
      <c r="AG25" s="37">
        <f>IFERROR(AF25*(1+변수!AG33),"")</f>
        <v/>
      </c>
      <c r="AH25" s="37">
        <f>IFERROR(AG25*(1+변수!AH33),"")</f>
        <v/>
      </c>
      <c r="AI25" s="37">
        <f>IFERROR(AH25*(1+변수!AI33),"")</f>
        <v/>
      </c>
      <c r="AJ25" s="38">
        <f>AI25</f>
        <v/>
      </c>
      <c r="AK25" s="37">
        <f>IFERROR(AI25*(1+변수!AK33),"")</f>
        <v/>
      </c>
      <c r="AL25" s="37">
        <f>IFERROR(AK25*(1+변수!AL33),"")</f>
        <v/>
      </c>
      <c r="AM25" s="37">
        <f>IFERROR(AL25*(1+변수!AM33),"")</f>
        <v/>
      </c>
      <c r="AN25" s="37">
        <f>IFERROR(AM25*(1+변수!AN33),"")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5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5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5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5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5">
        <f>IFERROR(VLOOKUP($D26,BS연결,MATCH(Z$1,BS연결H,0),0)/100,"")</f>
        <v/>
      </c>
      <c r="AA26" s="18">
        <f>IFERROR(VLOOKUP($D26,BS연결,MATCH(AA$1,BS연결H,0),0)/100,"")</f>
        <v/>
      </c>
      <c r="AB26" s="36">
        <f>IFERROR(VLOOKUP($D26,BS연결,MATCH(AB$1,BS연결H,0),0)/100,"")</f>
        <v/>
      </c>
      <c r="AC26" s="37">
        <f>IFERROR(AB26*(1+변수!AC34),"")</f>
        <v/>
      </c>
      <c r="AD26" s="37">
        <f>IFERROR(AC26*(1+변수!AD34),"")</f>
        <v/>
      </c>
      <c r="AE26" s="38">
        <f>AD26</f>
        <v/>
      </c>
      <c r="AF26" s="37">
        <f>IFERROR(AD26*(1+변수!AF34),"")</f>
        <v/>
      </c>
      <c r="AG26" s="37">
        <f>IFERROR(AF26*(1+변수!AG34),"")</f>
        <v/>
      </c>
      <c r="AH26" s="37">
        <f>IFERROR(AG26*(1+변수!AH34),"")</f>
        <v/>
      </c>
      <c r="AI26" s="37">
        <f>IFERROR(AH26*(1+변수!AI34),"")</f>
        <v/>
      </c>
      <c r="AJ26" s="38">
        <f>AI26</f>
        <v/>
      </c>
      <c r="AK26" s="37">
        <f>IFERROR(AI26*(1+변수!AK34),"")</f>
        <v/>
      </c>
      <c r="AL26" s="37">
        <f>IFERROR(AK26*(1+변수!AL34),"")</f>
        <v/>
      </c>
      <c r="AM26" s="37">
        <f>IFERROR(AL26*(1+변수!AM34),"")</f>
        <v/>
      </c>
      <c r="AN26" s="37">
        <f>IFERROR(AM26*(1+변수!AN34),"")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5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5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5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5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5">
        <f>IFERROR(VLOOKUP($D27,BS연결,MATCH(Z$1,BS연결H,0),0)/100,"")</f>
        <v/>
      </c>
      <c r="AA27" s="18">
        <f>IFERROR(VLOOKUP($D27,BS연결,MATCH(AA$1,BS연결H,0),0)/100,"")</f>
        <v/>
      </c>
      <c r="AB27" s="36">
        <f>IFERROR(VLOOKUP($D27,BS연결,MATCH(AB$1,BS연결H,0),0)/100,"")</f>
        <v/>
      </c>
      <c r="AC27" s="37">
        <f>IFERROR(AB27*(1+변수!AC35),"")</f>
        <v/>
      </c>
      <c r="AD27" s="37">
        <f>IFERROR(AC27*(1+변수!AD35),"")</f>
        <v/>
      </c>
      <c r="AE27" s="38">
        <f>AD27</f>
        <v/>
      </c>
      <c r="AF27" s="37">
        <f>IFERROR(AD27*(1+변수!AF35),"")</f>
        <v/>
      </c>
      <c r="AG27" s="37">
        <f>IFERROR(AF27*(1+변수!AG35),"")</f>
        <v/>
      </c>
      <c r="AH27" s="37">
        <f>IFERROR(AG27*(1+변수!AH35),"")</f>
        <v/>
      </c>
      <c r="AI27" s="37">
        <f>IFERROR(AH27*(1+변수!AI35),"")</f>
        <v/>
      </c>
      <c r="AJ27" s="38">
        <f>AI27</f>
        <v/>
      </c>
      <c r="AK27" s="37">
        <f>IFERROR(AI27*(1+변수!AK35),"")</f>
        <v/>
      </c>
      <c r="AL27" s="37">
        <f>IFERROR(AK27*(1+변수!AL35),"")</f>
        <v/>
      </c>
      <c r="AM27" s="37">
        <f>IFERROR(AL27*(1+변수!AM35),"")</f>
        <v/>
      </c>
      <c r="AN27" s="37">
        <f>IFERROR(AM27*(1+변수!AN35),"")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5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5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5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5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5">
        <f>IFERROR(VLOOKUP($D28,BS연결,MATCH(Z$1,BS연결H,0),0)/100,"")</f>
        <v/>
      </c>
      <c r="AA28" s="18">
        <f>IFERROR(VLOOKUP($D28,BS연결,MATCH(AA$1,BS연결H,0),0)/100,"")</f>
        <v/>
      </c>
      <c r="AB28" s="36">
        <f>IFERROR(VLOOKUP($D28,BS연결,MATCH(AB$1,BS연결H,0),0)/100,"")</f>
        <v/>
      </c>
      <c r="AC28" s="37" t="n"/>
      <c r="AD28" s="37" t="n"/>
      <c r="AE28" s="38">
        <f>AD28</f>
        <v/>
      </c>
      <c r="AF28" s="37" t="n"/>
      <c r="AG28" s="37" t="n"/>
      <c r="AH28" s="37" t="n"/>
      <c r="AI28" s="37" t="n"/>
      <c r="AJ28" s="38">
        <f>AI28</f>
        <v/>
      </c>
      <c r="AK28" s="37" t="n"/>
      <c r="AL28" s="37" t="n"/>
      <c r="AM28" s="37" t="n"/>
      <c r="AN28" s="37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5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5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5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5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5">
        <f>IFERROR(VLOOKUP($D29,BS연결,MATCH(Z$1,BS연결H,0),0)/100,"")</f>
        <v/>
      </c>
      <c r="AA29" s="18">
        <f>IFERROR(VLOOKUP($D29,BS연결,MATCH(AA$1,BS연결H,0),0)/100,"")</f>
        <v/>
      </c>
      <c r="AB29" s="36">
        <f>IFERROR(VLOOKUP($D29,BS연결,MATCH(AB$1,BS연결H,0),0)/100,"")</f>
        <v/>
      </c>
      <c r="AC29" s="37">
        <f>IFERROR(X29*(1+변수!AC37),"")</f>
        <v/>
      </c>
      <c r="AD29" s="37">
        <f>IFERROR(Y29*(1+변수!AD37),"")</f>
        <v/>
      </c>
      <c r="AE29" s="38">
        <f>SUM(AA29:AD29)</f>
        <v/>
      </c>
      <c r="AF29" s="37">
        <f>IFERROR(AA29*(1+변수!AF37),"")</f>
        <v/>
      </c>
      <c r="AG29" s="37">
        <f>IFERROR(AB29*(1+변수!AG37),"")</f>
        <v/>
      </c>
      <c r="AH29" s="37">
        <f>IFERROR(AC29*(1+변수!AH37),"")</f>
        <v/>
      </c>
      <c r="AI29" s="37">
        <f>IFERROR(AD29*(1+변수!AI37),"")</f>
        <v/>
      </c>
      <c r="AJ29" s="38">
        <f>SUM(AF29:AI29)</f>
        <v/>
      </c>
      <c r="AK29" s="37">
        <f>IFERROR(AF29*(1+변수!AK37),"")</f>
        <v/>
      </c>
      <c r="AL29" s="37">
        <f>IFERROR(AG29*(1+변수!AL37),"")</f>
        <v/>
      </c>
      <c r="AM29" s="37">
        <f>IFERROR(AH29*(1+변수!AM37),"")</f>
        <v/>
      </c>
      <c r="AN29" s="37">
        <f>IFERROR(AI29*(1+변수!AN37),"")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5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5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5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5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5">
        <f>IFERROR(VLOOKUP($D30,BS연결,MATCH(Z$1,BS연결H,0),0)/100,"")</f>
        <v/>
      </c>
      <c r="AA30" s="18">
        <f>IFERROR(VLOOKUP($D30,BS연결,MATCH(AA$1,BS연결H,0),0)/100,"")</f>
        <v/>
      </c>
      <c r="AB30" s="36">
        <f>IFERROR(VLOOKUP($D30,BS연결,MATCH(AB$1,BS연결H,0),0)/100,"")</f>
        <v/>
      </c>
      <c r="AC30" s="37" t="n"/>
      <c r="AD30" s="37" t="n"/>
      <c r="AE30" s="38">
        <f>SUM(AA30:AD30)</f>
        <v/>
      </c>
      <c r="AF30" s="37" t="n"/>
      <c r="AG30" s="37" t="n"/>
      <c r="AH30" s="37" t="n"/>
      <c r="AI30" s="37" t="n"/>
      <c r="AJ30" s="38">
        <f>SUM(AF30:AI30)</f>
        <v/>
      </c>
      <c r="AK30" s="37" t="n"/>
      <c r="AL30" s="37" t="n"/>
      <c r="AM30" s="37" t="n"/>
      <c r="AN30" s="37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30" t="n">
        <v>1.261389413333333</v>
      </c>
      <c r="F31" s="26">
        <f>E31</f>
        <v/>
      </c>
      <c r="G31" s="30" t="n">
        <v>1.28376604</v>
      </c>
      <c r="H31" s="30" t="n">
        <v>1.282874666666667</v>
      </c>
      <c r="I31" s="30" t="n">
        <v>1.613147466666667</v>
      </c>
      <c r="J31" s="30" t="n">
        <v>1.702684933333333</v>
      </c>
      <c r="K31" s="26">
        <f>J31</f>
        <v/>
      </c>
      <c r="L31" s="30" t="n">
        <v>1.7451748</v>
      </c>
      <c r="M31" s="30" t="n">
        <v>1.980677733333333</v>
      </c>
      <c r="N31" s="30" t="n">
        <v>2.004693066666666</v>
      </c>
      <c r="O31" s="30" t="n">
        <v>3.4846918</v>
      </c>
      <c r="P31" s="26">
        <f>O31</f>
        <v/>
      </c>
      <c r="Q31" s="30" t="n">
        <v>3.809607533333333</v>
      </c>
      <c r="R31" s="30" t="n">
        <v>3.809607533333333</v>
      </c>
      <c r="S31" s="30" t="n">
        <v>3.924748533333333</v>
      </c>
      <c r="T31" s="30" t="n">
        <v>4.5914152</v>
      </c>
      <c r="U31" s="26">
        <f>T31</f>
        <v/>
      </c>
      <c r="V31" s="30" t="n">
        <v>5.524748533333333</v>
      </c>
      <c r="W31" s="30" t="n">
        <v>5.524748533333333</v>
      </c>
      <c r="X31" s="25" t="n">
        <v>5.518</v>
      </c>
      <c r="Y31" s="25" t="n">
        <v>5.518</v>
      </c>
      <c r="Z31" s="26">
        <f>Y31</f>
        <v/>
      </c>
      <c r="AA31" s="25" t="n">
        <v>5.518</v>
      </c>
      <c r="AB31" s="27" t="n">
        <v>5.518</v>
      </c>
      <c r="AC31" s="30">
        <f>IFERROR(AB31*(1+변수!AC39),"")</f>
        <v/>
      </c>
      <c r="AD31" s="30">
        <f>IFERROR(AC31*(1+변수!AD39),"")</f>
        <v/>
      </c>
      <c r="AE31" s="29">
        <f>AD31</f>
        <v/>
      </c>
      <c r="AF31" s="30">
        <f>IFERROR(AD31*(1+변수!AF39),"")</f>
        <v/>
      </c>
      <c r="AG31" s="30">
        <f>IFERROR(AF31*(1+변수!AG39),"")</f>
        <v/>
      </c>
      <c r="AH31" s="30">
        <f>IFERROR(AG31*(1+변수!AH39),"")</f>
        <v/>
      </c>
      <c r="AI31" s="30">
        <f>IFERROR(AH31*(1+변수!AI39),"")</f>
        <v/>
      </c>
      <c r="AJ31" s="29">
        <f>AI31</f>
        <v/>
      </c>
      <c r="AK31" s="30">
        <f>IFERROR(AI31*(1+변수!AK39),"")</f>
        <v/>
      </c>
      <c r="AL31" s="30">
        <f>IFERROR(AK31*(1+변수!AL39),"")</f>
        <v/>
      </c>
      <c r="AM31" s="30">
        <f>IFERROR(AL31*(1+변수!AM39),"")</f>
        <v/>
      </c>
      <c r="AN31" s="30">
        <f>IFERROR(AM31*(1+변수!AN39),"")</f>
        <v/>
      </c>
      <c r="AO31" s="29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IFERROR(E19*100/E31,"")</f>
        <v/>
      </c>
      <c r="F32" s="35" t="n"/>
      <c r="G32" s="18">
        <f>IFERROR(G19*100/G31,"")</f>
        <v/>
      </c>
      <c r="H32" s="18">
        <f>IFERROR(H19*100/H31,"")</f>
        <v/>
      </c>
      <c r="I32" s="18">
        <f>IFERROR(I19*100/I31,"")</f>
        <v/>
      </c>
      <c r="J32" s="18">
        <f>IFERROR(J19*100/J31,"")</f>
        <v/>
      </c>
      <c r="K32" s="35">
        <f>SUM(G32:J32)</f>
        <v/>
      </c>
      <c r="L32" s="18">
        <f>IFERROR(L19*100/L31,"")</f>
        <v/>
      </c>
      <c r="M32" s="18">
        <f>IFERROR(M19*100/M31,"")</f>
        <v/>
      </c>
      <c r="N32" s="18">
        <f>IFERROR(N19*100/N31,"")</f>
        <v/>
      </c>
      <c r="O32" s="18">
        <f>IFERROR(O19*100/O31,"")</f>
        <v/>
      </c>
      <c r="P32" s="35">
        <f>SUM(L32:O32)</f>
        <v/>
      </c>
      <c r="Q32" s="18">
        <f>IFERROR(Q19*100/Q31,"")</f>
        <v/>
      </c>
      <c r="R32" s="18">
        <f>IFERROR(R19*100/R31,"")</f>
        <v/>
      </c>
      <c r="S32" s="18">
        <f>IFERROR(S19*100/S31,"")</f>
        <v/>
      </c>
      <c r="T32" s="18">
        <f>IFERROR(T19*100/T31,"")</f>
        <v/>
      </c>
      <c r="U32" s="35">
        <f>SUM(Q32:T32)</f>
        <v/>
      </c>
      <c r="V32" s="18">
        <f>IFERROR(V19*100/V31,"")</f>
        <v/>
      </c>
      <c r="W32" s="18">
        <f>IFERROR(W19*100/W31,"")</f>
        <v/>
      </c>
      <c r="X32" s="18">
        <f>IFERROR(X19*100/X31,"")</f>
        <v/>
      </c>
      <c r="Y32" s="18">
        <f>IFERROR(Y19*100/Y31,"")</f>
        <v/>
      </c>
      <c r="Z32" s="35">
        <f>SUM(V32:Y32)</f>
        <v/>
      </c>
      <c r="AA32" s="18">
        <f>IFERROR(AA19*100/AA31,"")</f>
        <v/>
      </c>
      <c r="AB32" s="36">
        <f>IFERROR(AB19*100/AB31,"")</f>
        <v/>
      </c>
      <c r="AC32" s="37">
        <f>IFERROR(AC19*100/AC31,"")</f>
        <v/>
      </c>
      <c r="AD32" s="37">
        <f>IFERROR(AD19*100/AD31,"")</f>
        <v/>
      </c>
      <c r="AE32" s="38">
        <f>SUM(AA32:AD32)</f>
        <v/>
      </c>
      <c r="AF32" s="37">
        <f>IFERROR(AF19*100/AF31,"")</f>
        <v/>
      </c>
      <c r="AG32" s="37">
        <f>IFERROR(AG19*100/AG31,"")</f>
        <v/>
      </c>
      <c r="AH32" s="37">
        <f>IFERROR(AH19*100/AH31,"")</f>
        <v/>
      </c>
      <c r="AI32" s="37">
        <f>IFERROR(AI19*100/AI31,"")</f>
        <v/>
      </c>
      <c r="AJ32" s="38">
        <f>SUM(AF32:AI32)</f>
        <v/>
      </c>
      <c r="AK32" s="37">
        <f>IFERROR(AK19*100/AK31,"")</f>
        <v/>
      </c>
      <c r="AL32" s="37">
        <f>IFERROR(AL19*100/AL31,"")</f>
        <v/>
      </c>
      <c r="AM32" s="37">
        <f>IFERROR(AM19*100/AM31,"")</f>
        <v/>
      </c>
      <c r="AN32" s="37">
        <f>IFERROR(AN19*100/AN31,"")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5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5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5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5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5">
        <f>Y33</f>
        <v/>
      </c>
      <c r="AA33" s="18">
        <f>IFERROR(AA24*100/AA31,"")</f>
        <v/>
      </c>
      <c r="AB33" s="36">
        <f>IFERROR(AB24*100/AB31,"")</f>
        <v/>
      </c>
      <c r="AC33" s="37">
        <f>IFERROR(AC24*100/AC31,"")</f>
        <v/>
      </c>
      <c r="AD33" s="37">
        <f>IFERROR(AD24*100/AD31,"")</f>
        <v/>
      </c>
      <c r="AE33" s="38">
        <f>AD33</f>
        <v/>
      </c>
      <c r="AF33" s="37">
        <f>IFERROR(AF24*100/AF31,"")</f>
        <v/>
      </c>
      <c r="AG33" s="37">
        <f>IFERROR(AG24*100/AG31,"")</f>
        <v/>
      </c>
      <c r="AH33" s="37">
        <f>IFERROR(AH24*100/AH31,"")</f>
        <v/>
      </c>
      <c r="AI33" s="37">
        <f>IFERROR(AI24*100/AI31,"")</f>
        <v/>
      </c>
      <c r="AJ33" s="38">
        <f>AI33</f>
        <v/>
      </c>
      <c r="AK33" s="37">
        <f>IFERROR(AK24*100/AK31,"")</f>
        <v/>
      </c>
      <c r="AL33" s="37">
        <f>IFERROR(AL24*100/AL31,"")</f>
        <v/>
      </c>
      <c r="AM33" s="37">
        <f>IFERROR(AM24*100/AM31,"")</f>
        <v/>
      </c>
      <c r="AN33" s="37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0</v>
      </c>
      <c r="F34" s="35" t="n">
        <v>0</v>
      </c>
      <c r="G34" s="18" t="n"/>
      <c r="H34" s="18" t="n"/>
      <c r="I34" s="18" t="n"/>
      <c r="J34" s="18" t="n">
        <v>0</v>
      </c>
      <c r="K34" s="35">
        <f>SUM(G34:J34)</f>
        <v/>
      </c>
      <c r="L34" s="18" t="n"/>
      <c r="M34" s="18" t="n"/>
      <c r="N34" s="18" t="n"/>
      <c r="O34" s="18" t="n">
        <v>0</v>
      </c>
      <c r="P34" s="35">
        <f>SUM(L34:O34)</f>
        <v/>
      </c>
      <c r="Q34" s="18" t="n"/>
      <c r="R34" s="18" t="n"/>
      <c r="S34" s="18" t="n"/>
      <c r="T34" s="18" t="n">
        <v>0</v>
      </c>
      <c r="U34" s="35">
        <f>SUM(Q34:T34)</f>
        <v/>
      </c>
      <c r="V34" s="18" t="n"/>
      <c r="W34" s="18" t="n"/>
      <c r="X34" s="18" t="n"/>
      <c r="Y34" s="18" t="n">
        <v>0</v>
      </c>
      <c r="Z34" s="35">
        <f>SUM(V34:Y34)</f>
        <v/>
      </c>
      <c r="AA34" s="18" t="n"/>
      <c r="AB34" s="36" t="n"/>
      <c r="AC34" s="37" t="n"/>
      <c r="AD34" s="37">
        <f>변수!AD40</f>
        <v/>
      </c>
      <c r="AE34" s="38">
        <f>SUM(AA34:AD34)</f>
        <v/>
      </c>
      <c r="AF34" s="37" t="n"/>
      <c r="AG34" s="37" t="n"/>
      <c r="AH34" s="37" t="n"/>
      <c r="AI34" s="37">
        <f>변수!AI40</f>
        <v/>
      </c>
      <c r="AJ34" s="38">
        <f>SUM(AF34:AI34)</f>
        <v/>
      </c>
      <c r="AK34" s="37" t="n"/>
      <c r="AL34" s="37" t="n"/>
      <c r="AM34" s="37" t="n"/>
      <c r="AN34" s="37">
        <f>변수!AN40</f>
        <v/>
      </c>
      <c r="AO34" s="38">
        <f>SUM(AK34:AN34)</f>
        <v/>
      </c>
    </row>
    <row r="35">
      <c r="A35" s="12" t="inlineStr">
        <is>
          <t>PBR</t>
        </is>
      </c>
      <c r="B35" t="inlineStr">
        <is>
          <t>주당</t>
        </is>
      </c>
      <c r="C35" t="inlineStr">
        <is>
          <t>배</t>
        </is>
      </c>
      <c r="D35" t="inlineStr">
        <is>
          <t>PBR</t>
        </is>
      </c>
      <c r="E35" s="13">
        <f>IFERROR(변수!E18/E33,"")</f>
        <v/>
      </c>
      <c r="F35" s="14">
        <f>E35</f>
        <v/>
      </c>
      <c r="G35" s="13">
        <f>IFERROR(변수!G18/G33,"")</f>
        <v/>
      </c>
      <c r="H35" s="13">
        <f>IFERROR(변수!H18/H33,"")</f>
        <v/>
      </c>
      <c r="I35" s="13">
        <f>IFERROR(변수!I18/I33,"")</f>
        <v/>
      </c>
      <c r="J35" s="13">
        <f>IFERROR(변수!J18/J33,"")</f>
        <v/>
      </c>
      <c r="K35" s="14">
        <f>J35</f>
        <v/>
      </c>
      <c r="L35" s="13">
        <f>IFERROR(변수!L18/L33,"")</f>
        <v/>
      </c>
      <c r="M35" s="13">
        <f>IFERROR(변수!M18/M33,"")</f>
        <v/>
      </c>
      <c r="N35" s="13">
        <f>IFERROR(변수!N18/N33,"")</f>
        <v/>
      </c>
      <c r="O35" s="13">
        <f>IFERROR(변수!O18/O33,"")</f>
        <v/>
      </c>
      <c r="P35" s="14">
        <f>O35</f>
        <v/>
      </c>
      <c r="Q35" s="13">
        <f>IFERROR(변수!Q18/Q33,"")</f>
        <v/>
      </c>
      <c r="R35" s="13">
        <f>IFERROR(변수!R18/R33,"")</f>
        <v/>
      </c>
      <c r="S35" s="13">
        <f>IFERROR(변수!S18/S33,"")</f>
        <v/>
      </c>
      <c r="T35" s="13">
        <f>IFERROR(변수!T18/T33,"")</f>
        <v/>
      </c>
      <c r="U35" s="14">
        <f>T35</f>
        <v/>
      </c>
      <c r="V35" s="13">
        <f>IFERROR(변수!V18/V33,"")</f>
        <v/>
      </c>
      <c r="W35" s="13">
        <f>IFERROR(변수!W18/W33,"")</f>
        <v/>
      </c>
      <c r="X35" s="13">
        <f>IFERROR(변수!X18/X33,"")</f>
        <v/>
      </c>
      <c r="Y35" s="13" t="n"/>
      <c r="Z35" s="14">
        <f>Y35</f>
        <v/>
      </c>
      <c r="AA35" s="13" t="n"/>
      <c r="AB35" s="15" t="n"/>
      <c r="AC35" s="39">
        <f>IFERROR(변수!$D$43/AC33,"")</f>
        <v/>
      </c>
      <c r="AD35" s="39">
        <f>IFERROR(변수!$D$43/AD33,"")</f>
        <v/>
      </c>
      <c r="AE35" s="40">
        <f>AD35</f>
        <v/>
      </c>
      <c r="AF35" s="39">
        <f>IFERROR(변수!$D$43/AF33,"")</f>
        <v/>
      </c>
      <c r="AG35" s="39">
        <f>IFERROR(변수!$D$43/AG33,"")</f>
        <v/>
      </c>
      <c r="AH35" s="39">
        <f>IFERROR(변수!$D$43/AH33,"")</f>
        <v/>
      </c>
      <c r="AI35" s="39">
        <f>IFERROR(변수!$D$43/AI33,"")</f>
        <v/>
      </c>
      <c r="AJ35" s="40">
        <f>AI35</f>
        <v/>
      </c>
      <c r="AK35" s="39">
        <f>IFERROR(변수!$D$43/AK33,"")</f>
        <v/>
      </c>
      <c r="AL35" s="39">
        <f>IFERROR(변수!$D$43/AL33,"")</f>
        <v/>
      </c>
      <c r="AM35" s="39">
        <f>IFERROR(변수!$D$43/AM33,"")</f>
        <v/>
      </c>
      <c r="AN35" s="39">
        <f>IFERROR(변수!$D$43/AN33,"")</f>
        <v/>
      </c>
      <c r="AO35" s="40">
        <f>AN35</f>
        <v/>
      </c>
    </row>
    <row r="36">
      <c r="A36" s="12" t="inlineStr">
        <is>
          <t>매출전사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매출 전사(부문 미분리)</t>
        </is>
      </c>
      <c r="E36" s="18" t="n">
        <v>48.09</v>
      </c>
      <c r="F36" s="35" t="n"/>
      <c r="G36" s="18" t="n">
        <v>45.98</v>
      </c>
      <c r="H36" s="18" t="n">
        <v>55.54</v>
      </c>
      <c r="I36" s="18" t="n">
        <v>58.4</v>
      </c>
      <c r="J36" s="18" t="n">
        <v>58.26</v>
      </c>
      <c r="K36" s="35">
        <f>SUM(G36:J36)</f>
        <v/>
      </c>
      <c r="L36" s="18" t="n">
        <v>54.04</v>
      </c>
      <c r="M36" s="18" t="n">
        <v>76.36</v>
      </c>
      <c r="N36" s="18" t="n">
        <v>67.55</v>
      </c>
      <c r="O36" s="18" t="n">
        <v>70.8</v>
      </c>
      <c r="P36" s="35">
        <f>SUM(L36:O36)</f>
        <v/>
      </c>
      <c r="Q36" s="18" t="n">
        <v>74.67</v>
      </c>
      <c r="R36" s="18" t="n">
        <v>73.64</v>
      </c>
      <c r="S36" s="18" t="n">
        <v>76.05</v>
      </c>
      <c r="T36" s="18" t="n">
        <v>81.75</v>
      </c>
      <c r="U36" s="35">
        <f>SUM(Q36:T36)</f>
        <v/>
      </c>
      <c r="V36" s="18" t="n">
        <v>68.2</v>
      </c>
      <c r="W36" s="18" t="n">
        <v>76.75</v>
      </c>
      <c r="X36" s="18" t="n">
        <v>66.84999999999999</v>
      </c>
      <c r="Y36" s="18" t="n">
        <v>69.81</v>
      </c>
      <c r="Z36" s="35">
        <f>SUM(V36:Y36)</f>
        <v/>
      </c>
      <c r="AA36" s="18" t="n">
        <v>63.29</v>
      </c>
      <c r="AB36" s="36" t="n">
        <v>64.43000000000001</v>
      </c>
      <c r="AC36" s="37">
        <f>IFERROR(AC5,"")</f>
        <v/>
      </c>
      <c r="AD36" s="37">
        <f>IFERROR(AD5,"")</f>
        <v/>
      </c>
      <c r="AE36" s="38">
        <f>SUM(AA36:AD36)</f>
        <v/>
      </c>
      <c r="AF36" s="37">
        <f>IFERROR(AF5,"")</f>
        <v/>
      </c>
      <c r="AG36" s="37">
        <f>IFERROR(AG5,"")</f>
        <v/>
      </c>
      <c r="AH36" s="37">
        <f>IFERROR(AH5,"")</f>
        <v/>
      </c>
      <c r="AI36" s="37">
        <f>IFERROR(AI5,"")</f>
        <v/>
      </c>
      <c r="AJ36" s="38">
        <f>SUM(AF36:AI36)</f>
        <v/>
      </c>
      <c r="AK36" s="37">
        <f>IFERROR(AK5,"")</f>
        <v/>
      </c>
      <c r="AL36" s="37">
        <f>IFERROR(AL5,"")</f>
        <v/>
      </c>
      <c r="AM36" s="37">
        <f>IFERROR(AM5,"")</f>
        <v/>
      </c>
      <c r="AN36" s="37">
        <f>IFERROR(AN5,"")</f>
        <v/>
      </c>
      <c r="AO36" s="38">
        <f>SUM(AK36:AN36)</f>
        <v/>
      </c>
    </row>
    <row r="37">
      <c r="A37" s="12" t="inlineStr">
        <is>
          <t>OP전사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OP 전사(부문 미분리)</t>
        </is>
      </c>
      <c r="E37" s="18" t="n">
        <v>-28.38</v>
      </c>
      <c r="F37" s="35" t="n"/>
      <c r="G37" s="18" t="n">
        <v>-23.69</v>
      </c>
      <c r="H37" s="18" t="n">
        <v>-19.49</v>
      </c>
      <c r="I37" s="18" t="n">
        <v>-29.72</v>
      </c>
      <c r="J37" s="18" t="n">
        <v>-50.42</v>
      </c>
      <c r="K37" s="35">
        <f>SUM(G37:J37)</f>
        <v/>
      </c>
      <c r="L37" s="18" t="n">
        <v>-29.83</v>
      </c>
      <c r="M37" s="18" t="n">
        <v>-19.42</v>
      </c>
      <c r="N37" s="18" t="n">
        <v>-28.81</v>
      </c>
      <c r="O37" s="18" t="n">
        <v>-28.52</v>
      </c>
      <c r="P37" s="35">
        <f>SUM(L37:O37)</f>
        <v/>
      </c>
      <c r="Q37" s="18" t="n">
        <v>-33.68</v>
      </c>
      <c r="R37" s="18" t="n">
        <v>-22.93</v>
      </c>
      <c r="S37" s="18" t="n">
        <v>-22.41</v>
      </c>
      <c r="T37" s="18" t="n">
        <v>-21.43</v>
      </c>
      <c r="U37" s="35">
        <f>SUM(Q37:T37)</f>
        <v/>
      </c>
      <c r="V37" s="18" t="n">
        <v>-20.23</v>
      </c>
      <c r="W37" s="18" t="n">
        <v>-14.54</v>
      </c>
      <c r="X37" s="18" t="n">
        <v>-9.23</v>
      </c>
      <c r="Y37" s="18" t="n">
        <v>-13.47</v>
      </c>
      <c r="Z37" s="35">
        <f>SUM(V37:Y37)</f>
        <v/>
      </c>
      <c r="AA37" s="18" t="n">
        <v>-10.33</v>
      </c>
      <c r="AB37" s="36" t="n">
        <v>-11.14</v>
      </c>
      <c r="AC37" s="37">
        <f>IFERROR(AC9,"")</f>
        <v/>
      </c>
      <c r="AD37" s="37">
        <f>IFERROR(AD9,"")</f>
        <v/>
      </c>
      <c r="AE37" s="38">
        <f>SUM(AA37:AD37)</f>
        <v/>
      </c>
      <c r="AF37" s="37">
        <f>IFERROR(AF9,"")</f>
        <v/>
      </c>
      <c r="AG37" s="37">
        <f>IFERROR(AG9,"")</f>
        <v/>
      </c>
      <c r="AH37" s="37">
        <f>IFERROR(AH9,"")</f>
        <v/>
      </c>
      <c r="AI37" s="37">
        <f>IFERROR(AI9,"")</f>
        <v/>
      </c>
      <c r="AJ37" s="38">
        <f>SUM(AF37:AI37)</f>
        <v/>
      </c>
      <c r="AK37" s="37">
        <f>IFERROR(AK9,"")</f>
        <v/>
      </c>
      <c r="AL37" s="37">
        <f>IFERROR(AL9,"")</f>
        <v/>
      </c>
      <c r="AM37" s="37">
        <f>IFERROR(AM9,"")</f>
        <v/>
      </c>
      <c r="AN37" s="37">
        <f>IFERROR(AN9,"")</f>
        <v/>
      </c>
      <c r="AO37" s="38">
        <f>SUM(AK37:AN37)</f>
        <v/>
      </c>
    </row>
    <row r="38">
      <c r="B38" s="2" t="inlineStr">
        <is>
          <t>비율(참고)</t>
        </is>
      </c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NPM</t>
        </is>
      </c>
      <c r="C39" t="inlineStr">
        <is>
          <t>%</t>
        </is>
      </c>
      <c r="D39" t="inlineStr">
        <is>
          <t>지배주주순이익 / 매출액</t>
        </is>
      </c>
      <c r="E39" s="19">
        <f>IFERROR(E19/E5,"")</f>
        <v/>
      </c>
      <c r="F39" s="20">
        <f>IFERROR(F19/F5,"")</f>
        <v/>
      </c>
      <c r="G39" s="19">
        <f>IFERROR(G19/G5,"")</f>
        <v/>
      </c>
      <c r="H39" s="19">
        <f>IFERROR(H19/H5,"")</f>
        <v/>
      </c>
      <c r="I39" s="19">
        <f>IFERROR(I19/I5,"")</f>
        <v/>
      </c>
      <c r="J39" s="19">
        <f>IFERROR(J19/J5,"")</f>
        <v/>
      </c>
      <c r="K39" s="20">
        <f>IFERROR(K19/K5,"")</f>
        <v/>
      </c>
      <c r="L39" s="19">
        <f>IFERROR(L19/L5,"")</f>
        <v/>
      </c>
      <c r="M39" s="19">
        <f>IFERROR(M19/M5,"")</f>
        <v/>
      </c>
      <c r="N39" s="19">
        <f>IFERROR(N19/N5,"")</f>
        <v/>
      </c>
      <c r="O39" s="19">
        <f>IFERROR(O19/O5,"")</f>
        <v/>
      </c>
      <c r="P39" s="20">
        <f>IFERROR(P19/P5,"")</f>
        <v/>
      </c>
      <c r="Q39" s="19">
        <f>IFERROR(Q19/Q5,"")</f>
        <v/>
      </c>
      <c r="R39" s="19">
        <f>IFERROR(R19/R5,"")</f>
        <v/>
      </c>
      <c r="S39" s="19">
        <f>IFERROR(S19/S5,"")</f>
        <v/>
      </c>
      <c r="T39" s="19">
        <f>IFERROR(T19/T5,"")</f>
        <v/>
      </c>
      <c r="U39" s="20">
        <f>IFERROR(U19/U5,"")</f>
        <v/>
      </c>
      <c r="V39" s="19">
        <f>IFERROR(V19/V5,"")</f>
        <v/>
      </c>
      <c r="W39" s="19">
        <f>IFERROR(W19/W5,"")</f>
        <v/>
      </c>
      <c r="X39" s="19">
        <f>IFERROR(X19/X5,"")</f>
        <v/>
      </c>
      <c r="Y39" s="19">
        <f>IFERROR(Y19/Y5,"")</f>
        <v/>
      </c>
      <c r="Z39" s="20">
        <f>IFERROR(Z19/Z5,"")</f>
        <v/>
      </c>
      <c r="AA39" s="19">
        <f>IFERROR(AA19/AA5,"")</f>
        <v/>
      </c>
      <c r="AB39" s="21">
        <f>IFERROR(AB19/AB5,"")</f>
        <v/>
      </c>
      <c r="AC39" s="31">
        <f>IFERROR(AC19/AC5,"")</f>
        <v/>
      </c>
      <c r="AD39" s="31">
        <f>IFERROR(AD19/AD5,"")</f>
        <v/>
      </c>
      <c r="AE39" s="23">
        <f>IFERROR(AE19/AE5,"")</f>
        <v/>
      </c>
      <c r="AF39" s="31">
        <f>IFERROR(AF19/AF5,"")</f>
        <v/>
      </c>
      <c r="AG39" s="31">
        <f>IFERROR(AG19/AG5,"")</f>
        <v/>
      </c>
      <c r="AH39" s="31">
        <f>IFERROR(AH19/AH5,"")</f>
        <v/>
      </c>
      <c r="AI39" s="31">
        <f>IFERROR(AI19/AI5,"")</f>
        <v/>
      </c>
      <c r="AJ39" s="23">
        <f>IFERROR(AJ19/AJ5,"")</f>
        <v/>
      </c>
      <c r="AK39" s="31">
        <f>IFERROR(AK19/AK5,"")</f>
        <v/>
      </c>
      <c r="AL39" s="31">
        <f>IFERROR(AL19/AL5,"")</f>
        <v/>
      </c>
      <c r="AM39" s="31">
        <f>IFERROR(AM19/AM5,"")</f>
        <v/>
      </c>
      <c r="AN39" s="31">
        <f>IFERROR(AN19/AN5,"")</f>
        <v/>
      </c>
      <c r="AO39" s="23">
        <f>IFERROR(AO19/AO5,"")</f>
        <v/>
      </c>
    </row>
    <row r="40">
      <c r="A40" s="12" t="inlineStr">
        <is>
          <t>매출원가율</t>
        </is>
      </c>
      <c r="C40" t="inlineStr">
        <is>
          <t>%</t>
        </is>
      </c>
      <c r="D40" t="inlineStr">
        <is>
          <t>매출원가 / 매출액</t>
        </is>
      </c>
      <c r="E40" s="19">
        <f>IFERROR(E6/E5,"")</f>
        <v/>
      </c>
      <c r="F40" s="20">
        <f>IFERROR(F6/F5,"")</f>
        <v/>
      </c>
      <c r="G40" s="19">
        <f>IFERROR(G6/G5,"")</f>
        <v/>
      </c>
      <c r="H40" s="19">
        <f>IFERROR(H6/H5,"")</f>
        <v/>
      </c>
      <c r="I40" s="19">
        <f>IFERROR(I6/I5,"")</f>
        <v/>
      </c>
      <c r="J40" s="19">
        <f>IFERROR(J6/J5,"")</f>
        <v/>
      </c>
      <c r="K40" s="20">
        <f>IFERROR(K6/K5,"")</f>
        <v/>
      </c>
      <c r="L40" s="19">
        <f>IFERROR(L6/L5,"")</f>
        <v/>
      </c>
      <c r="M40" s="19">
        <f>IFERROR(M6/M5,"")</f>
        <v/>
      </c>
      <c r="N40" s="19">
        <f>IFERROR(N6/N5,"")</f>
        <v/>
      </c>
      <c r="O40" s="19">
        <f>IFERROR(O6/O5,"")</f>
        <v/>
      </c>
      <c r="P40" s="20">
        <f>IFERROR(P6/P5,"")</f>
        <v/>
      </c>
      <c r="Q40" s="19">
        <f>IFERROR(Q6/Q5,"")</f>
        <v/>
      </c>
      <c r="R40" s="19">
        <f>IFERROR(R6/R5,"")</f>
        <v/>
      </c>
      <c r="S40" s="19">
        <f>IFERROR(S6/S5,"")</f>
        <v/>
      </c>
      <c r="T40" s="19">
        <f>IFERROR(T6/T5,"")</f>
        <v/>
      </c>
      <c r="U40" s="20">
        <f>IFERROR(U6/U5,"")</f>
        <v/>
      </c>
      <c r="V40" s="19">
        <f>IFERROR(V6/V5,"")</f>
        <v/>
      </c>
      <c r="W40" s="19">
        <f>IFERROR(W6/W5,"")</f>
        <v/>
      </c>
      <c r="X40" s="19">
        <f>IFERROR(X6/X5,"")</f>
        <v/>
      </c>
      <c r="Y40" s="19">
        <f>IFERROR(Y6/Y5,"")</f>
        <v/>
      </c>
      <c r="Z40" s="20">
        <f>IFERROR(Z6/Z5,"")</f>
        <v/>
      </c>
      <c r="AA40" s="19">
        <f>IFERROR(AA6/AA5,"")</f>
        <v/>
      </c>
      <c r="AB40" s="21">
        <f>IFERROR(AB6/AB5,"")</f>
        <v/>
      </c>
      <c r="AC40" s="31">
        <f>IFERROR(AC6/AC5,"")</f>
        <v/>
      </c>
      <c r="AD40" s="31">
        <f>IFERROR(AD6/AD5,"")</f>
        <v/>
      </c>
      <c r="AE40" s="23">
        <f>IFERROR(AE6/AE5,"")</f>
        <v/>
      </c>
      <c r="AF40" s="31">
        <f>IFERROR(AF6/AF5,"")</f>
        <v/>
      </c>
      <c r="AG40" s="31">
        <f>IFERROR(AG6/AG5,"")</f>
        <v/>
      </c>
      <c r="AH40" s="31">
        <f>IFERROR(AH6/AH5,"")</f>
        <v/>
      </c>
      <c r="AI40" s="31">
        <f>IFERROR(AI6/AI5,"")</f>
        <v/>
      </c>
      <c r="AJ40" s="23">
        <f>IFERROR(AJ6/AJ5,"")</f>
        <v/>
      </c>
      <c r="AK40" s="31">
        <f>IFERROR(AK6/AK5,"")</f>
        <v/>
      </c>
      <c r="AL40" s="31">
        <f>IFERROR(AL6/AL5,"")</f>
        <v/>
      </c>
      <c r="AM40" s="31">
        <f>IFERROR(AM6/AM5,"")</f>
        <v/>
      </c>
      <c r="AN40" s="31">
        <f>IFERROR(AN6/AN5,"")</f>
        <v/>
      </c>
      <c r="AO40" s="23">
        <f>IFERROR(AO6/AO5,"")</f>
        <v/>
      </c>
    </row>
    <row r="41">
      <c r="A41" s="12" t="inlineStr">
        <is>
          <t>판관비율</t>
        </is>
      </c>
      <c r="C41" t="inlineStr">
        <is>
          <t>%</t>
        </is>
      </c>
      <c r="D41" t="inlineStr">
        <is>
          <t>판관비 / 매출액</t>
        </is>
      </c>
      <c r="E41" s="19">
        <f>IFERROR(E8/E5,"")</f>
        <v/>
      </c>
      <c r="F41" s="20">
        <f>IFERROR(F8/F5,"")</f>
        <v/>
      </c>
      <c r="G41" s="19">
        <f>IFERROR(G8/G5,"")</f>
        <v/>
      </c>
      <c r="H41" s="19">
        <f>IFERROR(H8/H5,"")</f>
        <v/>
      </c>
      <c r="I41" s="19">
        <f>IFERROR(I8/I5,"")</f>
        <v/>
      </c>
      <c r="J41" s="19">
        <f>IFERROR(J8/J5,"")</f>
        <v/>
      </c>
      <c r="K41" s="20">
        <f>IFERROR(K8/K5,"")</f>
        <v/>
      </c>
      <c r="L41" s="19">
        <f>IFERROR(L8/L5,"")</f>
        <v/>
      </c>
      <c r="M41" s="19">
        <f>IFERROR(M8/M5,"")</f>
        <v/>
      </c>
      <c r="N41" s="19">
        <f>IFERROR(N8/N5,"")</f>
        <v/>
      </c>
      <c r="O41" s="19">
        <f>IFERROR(O8/O5,"")</f>
        <v/>
      </c>
      <c r="P41" s="20">
        <f>IFERROR(P8/P5,"")</f>
        <v/>
      </c>
      <c r="Q41" s="19">
        <f>IFERROR(Q8/Q5,"")</f>
        <v/>
      </c>
      <c r="R41" s="19">
        <f>IFERROR(R8/R5,"")</f>
        <v/>
      </c>
      <c r="S41" s="19">
        <f>IFERROR(S8/S5,"")</f>
        <v/>
      </c>
      <c r="T41" s="19">
        <f>IFERROR(T8/T5,"")</f>
        <v/>
      </c>
      <c r="U41" s="20">
        <f>IFERROR(U8/U5,"")</f>
        <v/>
      </c>
      <c r="V41" s="19">
        <f>IFERROR(V8/V5,"")</f>
        <v/>
      </c>
      <c r="W41" s="19">
        <f>IFERROR(W8/W5,"")</f>
        <v/>
      </c>
      <c r="X41" s="19">
        <f>IFERROR(X8/X5,"")</f>
        <v/>
      </c>
      <c r="Y41" s="19">
        <f>IFERROR(Y8/Y5,"")</f>
        <v/>
      </c>
      <c r="Z41" s="20">
        <f>IFERROR(Z8/Z5,"")</f>
        <v/>
      </c>
      <c r="AA41" s="19">
        <f>IFERROR(AA8/AA5,"")</f>
        <v/>
      </c>
      <c r="AB41" s="21">
        <f>IFERROR(AB8/AB5,"")</f>
        <v/>
      </c>
      <c r="AC41" s="31">
        <f>IFERROR(AC8/AC5,"")</f>
        <v/>
      </c>
      <c r="AD41" s="31">
        <f>IFERROR(AD8/AD5,"")</f>
        <v/>
      </c>
      <c r="AE41" s="23">
        <f>IFERROR(AE8/AE5,"")</f>
        <v/>
      </c>
      <c r="AF41" s="31">
        <f>IFERROR(AF8/AF5,"")</f>
        <v/>
      </c>
      <c r="AG41" s="31">
        <f>IFERROR(AG8/AG5,"")</f>
        <v/>
      </c>
      <c r="AH41" s="31">
        <f>IFERROR(AH8/AH5,"")</f>
        <v/>
      </c>
      <c r="AI41" s="31">
        <f>IFERROR(AI8/AI5,"")</f>
        <v/>
      </c>
      <c r="AJ41" s="23">
        <f>IFERROR(AJ8/AJ5,"")</f>
        <v/>
      </c>
      <c r="AK41" s="31">
        <f>IFERROR(AK8/AK5,"")</f>
        <v/>
      </c>
      <c r="AL41" s="31">
        <f>IFERROR(AL8/AL5,"")</f>
        <v/>
      </c>
      <c r="AM41" s="31">
        <f>IFERROR(AM8/AM5,"")</f>
        <v/>
      </c>
      <c r="AN41" s="31">
        <f>IFERROR(AN8/AN5,"")</f>
        <v/>
      </c>
      <c r="AO41" s="23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37">
        <f>IFERROR(VLOOKUP($A5,subQ,MATCH(X$1,SUBQH,0),0),"")</f>
        <v/>
      </c>
      <c r="Y5" s="37">
        <f>IFERROR(VLOOKUP($A5,subQ,MATCH(Y$1,SUBQH,0),0),"")</f>
        <v/>
      </c>
      <c r="Z5" s="37">
        <f>IFERROR(VLOOKUP($A5,subQ,MATCH(Z$1,SUBQH,0),0),"")</f>
        <v/>
      </c>
      <c r="AA5" s="37">
        <f>IFERROR(VLOOKUP($A5,subQ,MATCH(AA$1,SUBQH,0),0),"")</f>
        <v/>
      </c>
      <c r="AB5" s="37">
        <f>IFERROR(VLOOKUP($A5,subQ,MATCH(AB$1,SUBQH,0),0),"")</f>
        <v/>
      </c>
      <c r="AC5" s="37">
        <f>IFERROR(VLOOKUP($A5,subQ,MATCH(AC$1,SUBQH,0),0),"")</f>
        <v/>
      </c>
      <c r="AD5" s="37">
        <f>IFERROR(VLOOKUP($A5,subQ,MATCH(AD$1,SUBQH,0),0),"")</f>
        <v/>
      </c>
      <c r="AE5" s="37">
        <f>IFERROR(VLOOKUP($A5,subQ,MATCH(AE$1,SUBQH,0),0),"")</f>
        <v/>
      </c>
      <c r="AF5" s="37">
        <f>IFERROR(VLOOKUP($A5,subQ,MATCH(AF$1,SUBQH,0),0),"")</f>
        <v/>
      </c>
      <c r="AG5" s="37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37">
        <f>IFERROR(VLOOKUP($A6,subQ,MATCH(X$1,SUBQH,0),0),"")</f>
        <v/>
      </c>
      <c r="Y6" s="37">
        <f>IFERROR(VLOOKUP($A6,subQ,MATCH(Y$1,SUBQH,0),0),"")</f>
        <v/>
      </c>
      <c r="Z6" s="37">
        <f>IFERROR(VLOOKUP($A6,subQ,MATCH(Z$1,SUBQH,0),0),"")</f>
        <v/>
      </c>
      <c r="AA6" s="37">
        <f>IFERROR(VLOOKUP($A6,subQ,MATCH(AA$1,SUBQH,0),0),"")</f>
        <v/>
      </c>
      <c r="AB6" s="37">
        <f>IFERROR(VLOOKUP($A6,subQ,MATCH(AB$1,SUBQH,0),0),"")</f>
        <v/>
      </c>
      <c r="AC6" s="37">
        <f>IFERROR(VLOOKUP($A6,subQ,MATCH(AC$1,SUBQH,0),0),"")</f>
        <v/>
      </c>
      <c r="AD6" s="37">
        <f>IFERROR(VLOOKUP($A6,subQ,MATCH(AD$1,SUBQH,0),0),"")</f>
        <v/>
      </c>
      <c r="AE6" s="37">
        <f>IFERROR(VLOOKUP($A6,subQ,MATCH(AE$1,SUBQH,0),0),"")</f>
        <v/>
      </c>
      <c r="AF6" s="37">
        <f>IFERROR(VLOOKUP($A6,subQ,MATCH(AF$1,SUBQH,0),0),"")</f>
        <v/>
      </c>
      <c r="AG6" s="37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37">
        <f>IFERROR(VLOOKUP($A7,subQ,MATCH(X$1,SUBQH,0),0),"")</f>
        <v/>
      </c>
      <c r="Y7" s="37">
        <f>IFERROR(VLOOKUP($A7,subQ,MATCH(Y$1,SUBQH,0),0),"")</f>
        <v/>
      </c>
      <c r="Z7" s="37">
        <f>IFERROR(VLOOKUP($A7,subQ,MATCH(Z$1,SUBQH,0),0),"")</f>
        <v/>
      </c>
      <c r="AA7" s="37">
        <f>IFERROR(VLOOKUP($A7,subQ,MATCH(AA$1,SUBQH,0),0),"")</f>
        <v/>
      </c>
      <c r="AB7" s="37">
        <f>IFERROR(VLOOKUP($A7,subQ,MATCH(AB$1,SUBQH,0),0),"")</f>
        <v/>
      </c>
      <c r="AC7" s="37">
        <f>IFERROR(VLOOKUP($A7,subQ,MATCH(AC$1,SUBQH,0),0),"")</f>
        <v/>
      </c>
      <c r="AD7" s="37">
        <f>IFERROR(VLOOKUP($A7,subQ,MATCH(AD$1,SUBQH,0),0),"")</f>
        <v/>
      </c>
      <c r="AE7" s="37">
        <f>IFERROR(VLOOKUP($A7,subQ,MATCH(AE$1,SUBQH,0),0),"")</f>
        <v/>
      </c>
      <c r="AF7" s="37">
        <f>IFERROR(VLOOKUP($A7,subQ,MATCH(AF$1,SUBQH,0),0),"")</f>
        <v/>
      </c>
      <c r="AG7" s="37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37">
        <f>IFERROR(VLOOKUP($A8,subQ,MATCH(X$1,SUBQH,0),0),"")</f>
        <v/>
      </c>
      <c r="Y8" s="37">
        <f>IFERROR(VLOOKUP($A8,subQ,MATCH(Y$1,SUBQH,0),0),"")</f>
        <v/>
      </c>
      <c r="Z8" s="37">
        <f>IFERROR(VLOOKUP($A8,subQ,MATCH(Z$1,SUBQH,0),0),"")</f>
        <v/>
      </c>
      <c r="AA8" s="37">
        <f>IFERROR(VLOOKUP($A8,subQ,MATCH(AA$1,SUBQH,0),0),"")</f>
        <v/>
      </c>
      <c r="AB8" s="37">
        <f>IFERROR(VLOOKUP($A8,subQ,MATCH(AB$1,SUBQH,0),0),"")</f>
        <v/>
      </c>
      <c r="AC8" s="37">
        <f>IFERROR(VLOOKUP($A8,subQ,MATCH(AC$1,SUBQH,0),0),"")</f>
        <v/>
      </c>
      <c r="AD8" s="37">
        <f>IFERROR(VLOOKUP($A8,subQ,MATCH(AD$1,SUBQH,0),0),"")</f>
        <v/>
      </c>
      <c r="AE8" s="37">
        <f>IFERROR(VLOOKUP($A8,subQ,MATCH(AE$1,SUBQH,0),0),"")</f>
        <v/>
      </c>
      <c r="AF8" s="37">
        <f>IFERROR(VLOOKUP($A8,subQ,MATCH(AF$1,SUBQH,0),0),"")</f>
        <v/>
      </c>
      <c r="AG8" s="37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37">
        <f>IFERROR(VLOOKUP($A9,subQ,MATCH(X$1,SUBQH,0),0),"")</f>
        <v/>
      </c>
      <c r="Y9" s="37">
        <f>IFERROR(VLOOKUP($A9,subQ,MATCH(Y$1,SUBQH,0),0),"")</f>
        <v/>
      </c>
      <c r="Z9" s="37">
        <f>IFERROR(VLOOKUP($A9,subQ,MATCH(Z$1,SUBQH,0),0),"")</f>
        <v/>
      </c>
      <c r="AA9" s="37">
        <f>IFERROR(VLOOKUP($A9,subQ,MATCH(AA$1,SUBQH,0),0),"")</f>
        <v/>
      </c>
      <c r="AB9" s="37">
        <f>IFERROR(VLOOKUP($A9,subQ,MATCH(AB$1,SUBQH,0),0),"")</f>
        <v/>
      </c>
      <c r="AC9" s="37">
        <f>IFERROR(VLOOKUP($A9,subQ,MATCH(AC$1,SUBQH,0),0),"")</f>
        <v/>
      </c>
      <c r="AD9" s="37">
        <f>IFERROR(VLOOKUP($A9,subQ,MATCH(AD$1,SUBQH,0),0),"")</f>
        <v/>
      </c>
      <c r="AE9" s="37">
        <f>IFERROR(VLOOKUP($A9,subQ,MATCH(AE$1,SUBQH,0),0),"")</f>
        <v/>
      </c>
      <c r="AF9" s="37">
        <f>IFERROR(VLOOKUP($A9,subQ,MATCH(AF$1,SUBQH,0),0),"")</f>
        <v/>
      </c>
      <c r="AG9" s="37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19">
        <f>IFERROR(VLOOKUP($A10,subQ,MATCH(E$1,SUBQH,0),0),"")</f>
        <v/>
      </c>
      <c r="F10" s="19">
        <f>IFERROR(VLOOKUP($A10,subQ,MATCH(F$1,SUBQH,0),0),"")</f>
        <v/>
      </c>
      <c r="G10" s="19">
        <f>IFERROR(VLOOKUP($A10,subQ,MATCH(G$1,SUBQH,0),0),"")</f>
        <v/>
      </c>
      <c r="H10" s="19">
        <f>IFERROR(VLOOKUP($A10,subQ,MATCH(H$1,SUBQH,0),0),"")</f>
        <v/>
      </c>
      <c r="I10" s="19">
        <f>IFERROR(VLOOKUP($A10,subQ,MATCH(I$1,SUBQH,0),0),"")</f>
        <v/>
      </c>
      <c r="J10" s="19">
        <f>IFERROR(VLOOKUP($A10,subQ,MATCH(J$1,SUBQH,0),0),"")</f>
        <v/>
      </c>
      <c r="K10" s="19">
        <f>IFERROR(VLOOKUP($A10,subQ,MATCH(K$1,SUBQH,0),0),"")</f>
        <v/>
      </c>
      <c r="L10" s="19">
        <f>IFERROR(VLOOKUP($A10,subQ,MATCH(L$1,SUBQH,0),0),"")</f>
        <v/>
      </c>
      <c r="M10" s="19">
        <f>IFERROR(VLOOKUP($A10,subQ,MATCH(M$1,SUBQH,0),0),"")</f>
        <v/>
      </c>
      <c r="N10" s="19">
        <f>IFERROR(VLOOKUP($A10,subQ,MATCH(N$1,SUBQH,0),0),"")</f>
        <v/>
      </c>
      <c r="O10" s="19">
        <f>IFERROR(VLOOKUP($A10,subQ,MATCH(O$1,SUBQH,0),0),"")</f>
        <v/>
      </c>
      <c r="P10" s="19">
        <f>IFERROR(VLOOKUP($A10,subQ,MATCH(P$1,SUBQH,0),0),"")</f>
        <v/>
      </c>
      <c r="Q10" s="19">
        <f>IFERROR(VLOOKUP($A10,subQ,MATCH(Q$1,SUBQH,0),0),"")</f>
        <v/>
      </c>
      <c r="R10" s="19">
        <f>IFERROR(VLOOKUP($A10,subQ,MATCH(R$1,SUBQH,0),0),"")</f>
        <v/>
      </c>
      <c r="S10" s="19">
        <f>IFERROR(VLOOKUP($A10,subQ,MATCH(S$1,SUBQH,0),0),"")</f>
        <v/>
      </c>
      <c r="T10" s="19">
        <f>IFERROR(VLOOKUP($A10,subQ,MATCH(T$1,SUBQH,0),0),"")</f>
        <v/>
      </c>
      <c r="U10" s="19">
        <f>IFERROR(VLOOKUP($A10,subQ,MATCH(U$1,SUBQH,0),0),"")</f>
        <v/>
      </c>
      <c r="V10" s="19">
        <f>IFERROR(VLOOKUP($A10,subQ,MATCH(V$1,SUBQH,0),0),"")</f>
        <v/>
      </c>
      <c r="W10" s="46">
        <f>IFERROR(VLOOKUP($A10,subQ,MATCH(W$1,SUBQH,0),0),"")</f>
        <v/>
      </c>
      <c r="X10" s="31">
        <f>IFERROR(VLOOKUP($A10,subQ,MATCH(X$1,SUBQH,0),0),"")</f>
        <v/>
      </c>
      <c r="Y10" s="31">
        <f>IFERROR(VLOOKUP($A10,subQ,MATCH(Y$1,SUBQH,0),0),"")</f>
        <v/>
      </c>
      <c r="Z10" s="31">
        <f>IFERROR(VLOOKUP($A10,subQ,MATCH(Z$1,SUBQH,0),0),"")</f>
        <v/>
      </c>
      <c r="AA10" s="31">
        <f>IFERROR(VLOOKUP($A10,subQ,MATCH(AA$1,SUBQH,0),0),"")</f>
        <v/>
      </c>
      <c r="AB10" s="31">
        <f>IFERROR(VLOOKUP($A10,subQ,MATCH(AB$1,SUBQH,0),0),"")</f>
        <v/>
      </c>
      <c r="AC10" s="31">
        <f>IFERROR(VLOOKUP($A10,subQ,MATCH(AC$1,SUBQH,0),0),"")</f>
        <v/>
      </c>
      <c r="AD10" s="31">
        <f>IFERROR(VLOOKUP($A10,subQ,MATCH(AD$1,SUBQH,0),0),"")</f>
        <v/>
      </c>
      <c r="AE10" s="31">
        <f>IFERROR(VLOOKUP($A10,subQ,MATCH(AE$1,SUBQH,0),0),"")</f>
        <v/>
      </c>
      <c r="AF10" s="31">
        <f>IFERROR(VLOOKUP($A10,subQ,MATCH(AF$1,SUBQH,0),0),"")</f>
        <v/>
      </c>
      <c r="AG10" s="31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37">
        <f>IFERROR(VLOOKUP($A11,subQ,MATCH(X$1,SUBQH,0),0),"")</f>
        <v/>
      </c>
      <c r="Y11" s="37">
        <f>IFERROR(VLOOKUP($A11,subQ,MATCH(Y$1,SUBQH,0),0),"")</f>
        <v/>
      </c>
      <c r="Z11" s="37">
        <f>IFERROR(VLOOKUP($A11,subQ,MATCH(Z$1,SUBQH,0),0),"")</f>
        <v/>
      </c>
      <c r="AA11" s="37">
        <f>IFERROR(VLOOKUP($A11,subQ,MATCH(AA$1,SUBQH,0),0),"")</f>
        <v/>
      </c>
      <c r="AB11" s="37">
        <f>IFERROR(VLOOKUP($A11,subQ,MATCH(AB$1,SUBQH,0),0),"")</f>
        <v/>
      </c>
      <c r="AC11" s="37">
        <f>IFERROR(VLOOKUP($A11,subQ,MATCH(AC$1,SUBQH,0),0),"")</f>
        <v/>
      </c>
      <c r="AD11" s="37">
        <f>IFERROR(VLOOKUP($A11,subQ,MATCH(AD$1,SUBQH,0),0),"")</f>
        <v/>
      </c>
      <c r="AE11" s="37">
        <f>IFERROR(VLOOKUP($A11,subQ,MATCH(AE$1,SUBQH,0),0),"")</f>
        <v/>
      </c>
      <c r="AF11" s="37">
        <f>IFERROR(VLOOKUP($A11,subQ,MATCH(AF$1,SUBQH,0),0),"")</f>
        <v/>
      </c>
      <c r="AG11" s="37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37">
        <f>IFERROR(VLOOKUP($A12,subQ,MATCH(X$1,SUBQH,0),0),"")</f>
        <v/>
      </c>
      <c r="Y12" s="37">
        <f>IFERROR(VLOOKUP($A12,subQ,MATCH(Y$1,SUBQH,0),0),"")</f>
        <v/>
      </c>
      <c r="Z12" s="37">
        <f>IFERROR(VLOOKUP($A12,subQ,MATCH(Z$1,SUBQH,0),0),"")</f>
        <v/>
      </c>
      <c r="AA12" s="37">
        <f>IFERROR(VLOOKUP($A12,subQ,MATCH(AA$1,SUBQH,0),0),"")</f>
        <v/>
      </c>
      <c r="AB12" s="37">
        <f>IFERROR(VLOOKUP($A12,subQ,MATCH(AB$1,SUBQH,0),0),"")</f>
        <v/>
      </c>
      <c r="AC12" s="37">
        <f>IFERROR(VLOOKUP($A12,subQ,MATCH(AC$1,SUBQH,0),0),"")</f>
        <v/>
      </c>
      <c r="AD12" s="37">
        <f>IFERROR(VLOOKUP($A12,subQ,MATCH(AD$1,SUBQH,0),0),"")</f>
        <v/>
      </c>
      <c r="AE12" s="37">
        <f>IFERROR(VLOOKUP($A12,subQ,MATCH(AE$1,SUBQH,0),0),"")</f>
        <v/>
      </c>
      <c r="AF12" s="37">
        <f>IFERROR(VLOOKUP($A12,subQ,MATCH(AF$1,SUBQH,0),0),"")</f>
        <v/>
      </c>
      <c r="AG12" s="37">
        <f>IFERROR(VLOOKUP($A12,subQ,MATCH(AG$1,SUBQH,0),0),"")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37">
        <f>IFERROR(VLOOKUP($A13,subQ,MATCH(X$1,SUBQH,0),0),"")</f>
        <v/>
      </c>
      <c r="Y13" s="37">
        <f>IFERROR(VLOOKUP($A13,subQ,MATCH(Y$1,SUBQH,0),0),"")</f>
        <v/>
      </c>
      <c r="Z13" s="37">
        <f>IFERROR(VLOOKUP($A13,subQ,MATCH(Z$1,SUBQH,0),0),"")</f>
        <v/>
      </c>
      <c r="AA13" s="37">
        <f>IFERROR(VLOOKUP($A13,subQ,MATCH(AA$1,SUBQH,0),0),"")</f>
        <v/>
      </c>
      <c r="AB13" s="37">
        <f>IFERROR(VLOOKUP($A13,subQ,MATCH(AB$1,SUBQH,0),0),"")</f>
        <v/>
      </c>
      <c r="AC13" s="37">
        <f>IFERROR(VLOOKUP($A13,subQ,MATCH(AC$1,SUBQH,0),0),"")</f>
        <v/>
      </c>
      <c r="AD13" s="37">
        <f>IFERROR(VLOOKUP($A13,subQ,MATCH(AD$1,SUBQH,0),0),"")</f>
        <v/>
      </c>
      <c r="AE13" s="37">
        <f>IFERROR(VLOOKUP($A13,subQ,MATCH(AE$1,SUBQH,0),0),"")</f>
        <v/>
      </c>
      <c r="AF13" s="37">
        <f>IFERROR(VLOOKUP($A13,subQ,MATCH(AF$1,SUBQH,0),0),"")</f>
        <v/>
      </c>
      <c r="AG13" s="37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37">
        <f>IFERROR(VLOOKUP($A14,subQ,MATCH(X$1,SUBQH,0),0),"")</f>
        <v/>
      </c>
      <c r="Y14" s="37">
        <f>IFERROR(VLOOKUP($A14,subQ,MATCH(Y$1,SUBQH,0),0),"")</f>
        <v/>
      </c>
      <c r="Z14" s="37">
        <f>IFERROR(VLOOKUP($A14,subQ,MATCH(Z$1,SUBQH,0),0),"")</f>
        <v/>
      </c>
      <c r="AA14" s="37">
        <f>IFERROR(VLOOKUP($A14,subQ,MATCH(AA$1,SUBQH,0),0),"")</f>
        <v/>
      </c>
      <c r="AB14" s="37">
        <f>IFERROR(VLOOKUP($A14,subQ,MATCH(AB$1,SUBQH,0),0),"")</f>
        <v/>
      </c>
      <c r="AC14" s="37">
        <f>IFERROR(VLOOKUP($A14,subQ,MATCH(AC$1,SUBQH,0),0),"")</f>
        <v/>
      </c>
      <c r="AD14" s="37">
        <f>IFERROR(VLOOKUP($A14,subQ,MATCH(AD$1,SUBQH,0),0),"")</f>
        <v/>
      </c>
      <c r="AE14" s="37">
        <f>IFERROR(VLOOKUP($A14,subQ,MATCH(AE$1,SUBQH,0),0),"")</f>
        <v/>
      </c>
      <c r="AF14" s="37">
        <f>IFERROR(VLOOKUP($A14,subQ,MATCH(AF$1,SUBQH,0),0),"")</f>
        <v/>
      </c>
      <c r="AG14" s="37">
        <f>IFERROR(VLOOKUP($A14,subQ,MATCH(AG$1,SUBQH,0),0),"")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37">
        <f>IFERROR(VLOOKUP($A15,subQ,MATCH(X$1,SUBQH,0),0),"")</f>
        <v/>
      </c>
      <c r="Y15" s="37">
        <f>IFERROR(VLOOKUP($A15,subQ,MATCH(Y$1,SUBQH,0),0),"")</f>
        <v/>
      </c>
      <c r="Z15" s="37">
        <f>IFERROR(VLOOKUP($A15,subQ,MATCH(Z$1,SUBQH,0),0),"")</f>
        <v/>
      </c>
      <c r="AA15" s="37">
        <f>IFERROR(VLOOKUP($A15,subQ,MATCH(AA$1,SUBQH,0),0),"")</f>
        <v/>
      </c>
      <c r="AB15" s="37">
        <f>IFERROR(VLOOKUP($A15,subQ,MATCH(AB$1,SUBQH,0),0),"")</f>
        <v/>
      </c>
      <c r="AC15" s="37">
        <f>IFERROR(VLOOKUP($A15,subQ,MATCH(AC$1,SUBQH,0),0),"")</f>
        <v/>
      </c>
      <c r="AD15" s="37">
        <f>IFERROR(VLOOKUP($A15,subQ,MATCH(AD$1,SUBQH,0),0),"")</f>
        <v/>
      </c>
      <c r="AE15" s="37">
        <f>IFERROR(VLOOKUP($A15,subQ,MATCH(AE$1,SUBQH,0),0),"")</f>
        <v/>
      </c>
      <c r="AF15" s="37">
        <f>IFERROR(VLOOKUP($A15,subQ,MATCH(AF$1,SUBQH,0),0),"")</f>
        <v/>
      </c>
      <c r="AG15" s="37">
        <f>IFERROR(VLOOKUP($A15,subQ,MATCH(AG$1,SUBQH,0),0),"")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37">
        <f>IFERROR(VLOOKUP($A16,subQ,MATCH(X$1,SUBQH,0),0),"")</f>
        <v/>
      </c>
      <c r="Y16" s="37">
        <f>IFERROR(VLOOKUP($A16,subQ,MATCH(Y$1,SUBQH,0),0),"")</f>
        <v/>
      </c>
      <c r="Z16" s="37">
        <f>IFERROR(VLOOKUP($A16,subQ,MATCH(Z$1,SUBQH,0),0),"")</f>
        <v/>
      </c>
      <c r="AA16" s="37">
        <f>IFERROR(VLOOKUP($A16,subQ,MATCH(AA$1,SUBQH,0),0),"")</f>
        <v/>
      </c>
      <c r="AB16" s="37">
        <f>IFERROR(VLOOKUP($A16,subQ,MATCH(AB$1,SUBQH,0),0),"")</f>
        <v/>
      </c>
      <c r="AC16" s="37">
        <f>IFERROR(VLOOKUP($A16,subQ,MATCH(AC$1,SUBQH,0),0),"")</f>
        <v/>
      </c>
      <c r="AD16" s="37">
        <f>IFERROR(VLOOKUP($A16,subQ,MATCH(AD$1,SUBQH,0),0),"")</f>
        <v/>
      </c>
      <c r="AE16" s="37">
        <f>IFERROR(VLOOKUP($A16,subQ,MATCH(AE$1,SUBQH,0),0),"")</f>
        <v/>
      </c>
      <c r="AF16" s="37">
        <f>IFERROR(VLOOKUP($A16,subQ,MATCH(AF$1,SUBQH,0),0),"")</f>
        <v/>
      </c>
      <c r="AG16" s="37">
        <f>IFERROR(VLOOKUP($A16,subQ,MATCH(AG$1,SUBQH,0),0),"")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37">
        <f>IFERROR(VLOOKUP($A17,subQ,MATCH(X$1,SUBQH,0),0),"")</f>
        <v/>
      </c>
      <c r="Y17" s="37">
        <f>IFERROR(VLOOKUP($A17,subQ,MATCH(Y$1,SUBQH,0),0),"")</f>
        <v/>
      </c>
      <c r="Z17" s="37">
        <f>IFERROR(VLOOKUP($A17,subQ,MATCH(Z$1,SUBQH,0),0),"")</f>
        <v/>
      </c>
      <c r="AA17" s="37">
        <f>IFERROR(VLOOKUP($A17,subQ,MATCH(AA$1,SUBQH,0),0),"")</f>
        <v/>
      </c>
      <c r="AB17" s="37">
        <f>IFERROR(VLOOKUP($A17,subQ,MATCH(AB$1,SUBQH,0),0),"")</f>
        <v/>
      </c>
      <c r="AC17" s="37">
        <f>IFERROR(VLOOKUP($A17,subQ,MATCH(AC$1,SUBQH,0),0),"")</f>
        <v/>
      </c>
      <c r="AD17" s="37">
        <f>IFERROR(VLOOKUP($A17,subQ,MATCH(AD$1,SUBQH,0),0),"")</f>
        <v/>
      </c>
      <c r="AE17" s="37">
        <f>IFERROR(VLOOKUP($A17,subQ,MATCH(AE$1,SUBQH,0),0),"")</f>
        <v/>
      </c>
      <c r="AF17" s="37">
        <f>IFERROR(VLOOKUP($A17,subQ,MATCH(AF$1,SUBQH,0),0),"")</f>
        <v/>
      </c>
      <c r="AG17" s="37">
        <f>IFERROR(VLOOKUP($A17,subQ,MATCH(AG$1,SUBQH,0),0),"")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37">
        <f>IFERROR(VLOOKUP($A18,subQ,MATCH(X$1,SUBQH,0),0),"")</f>
        <v/>
      </c>
      <c r="Y18" s="37">
        <f>IFERROR(VLOOKUP($A18,subQ,MATCH(Y$1,SUBQH,0),0),"")</f>
        <v/>
      </c>
      <c r="Z18" s="37">
        <f>IFERROR(VLOOKUP($A18,subQ,MATCH(Z$1,SUBQH,0),0),"")</f>
        <v/>
      </c>
      <c r="AA18" s="37">
        <f>IFERROR(VLOOKUP($A18,subQ,MATCH(AA$1,SUBQH,0),0),"")</f>
        <v/>
      </c>
      <c r="AB18" s="37">
        <f>IFERROR(VLOOKUP($A18,subQ,MATCH(AB$1,SUBQH,0),0),"")</f>
        <v/>
      </c>
      <c r="AC18" s="37">
        <f>IFERROR(VLOOKUP($A18,subQ,MATCH(AC$1,SUBQH,0),0),"")</f>
        <v/>
      </c>
      <c r="AD18" s="37">
        <f>IFERROR(VLOOKUP($A18,subQ,MATCH(AD$1,SUBQH,0),0),"")</f>
        <v/>
      </c>
      <c r="AE18" s="37">
        <f>IFERROR(VLOOKUP($A18,subQ,MATCH(AE$1,SUBQH,0),0),"")</f>
        <v/>
      </c>
      <c r="AF18" s="37">
        <f>IFERROR(VLOOKUP($A18,subQ,MATCH(AF$1,SUBQH,0),0),"")</f>
        <v/>
      </c>
      <c r="AG18" s="37">
        <f>IFERROR(VLOOKUP($A18,subQ,MATCH(AG$1,SUBQH,0),0),"")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37">
        <f>IFERROR(VLOOKUP($A19,subQ,MATCH(X$1,SUBQH,0),0),"")</f>
        <v/>
      </c>
      <c r="Y19" s="37">
        <f>IFERROR(VLOOKUP($A19,subQ,MATCH(Y$1,SUBQH,0),0),"")</f>
        <v/>
      </c>
      <c r="Z19" s="37">
        <f>IFERROR(VLOOKUP($A19,subQ,MATCH(Z$1,SUBQH,0),0),"")</f>
        <v/>
      </c>
      <c r="AA19" s="37">
        <f>IFERROR(VLOOKUP($A19,subQ,MATCH(AA$1,SUBQH,0),0),"")</f>
        <v/>
      </c>
      <c r="AB19" s="37">
        <f>IFERROR(VLOOKUP($A19,subQ,MATCH(AB$1,SUBQH,0),0),"")</f>
        <v/>
      </c>
      <c r="AC19" s="37">
        <f>IFERROR(VLOOKUP($A19,subQ,MATCH(AC$1,SUBQH,0),0),"")</f>
        <v/>
      </c>
      <c r="AD19" s="37">
        <f>IFERROR(VLOOKUP($A19,subQ,MATCH(AD$1,SUBQH,0),0),"")</f>
        <v/>
      </c>
      <c r="AE19" s="37">
        <f>IFERROR(VLOOKUP($A19,subQ,MATCH(AE$1,SUBQH,0),0),"")</f>
        <v/>
      </c>
      <c r="AF19" s="37">
        <f>IFERROR(VLOOKUP($A19,subQ,MATCH(AF$1,SUBQH,0),0),"")</f>
        <v/>
      </c>
      <c r="AG19" s="37">
        <f>IFERROR(VLOOKUP($A19,subQ,MATCH(AG$1,SUBQH,0),0),"")</f>
        <v/>
      </c>
    </row>
    <row r="20">
      <c r="A20" s="12" t="inlineStr">
        <is>
          <t>중단사업이익</t>
        </is>
      </c>
      <c r="D20" t="inlineStr">
        <is>
          <t>중단사업이익(실적만)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37">
        <f>IFERROR(VLOOKUP($A20,subQ,MATCH(X$1,SUBQH,0),0),"")</f>
        <v/>
      </c>
      <c r="Y20" s="37">
        <f>IFERROR(VLOOKUP($A20,subQ,MATCH(Y$1,SUBQH,0),0),"")</f>
        <v/>
      </c>
      <c r="Z20" s="37">
        <f>IFERROR(VLOOKUP($A20,subQ,MATCH(Z$1,SUBQH,0),0),"")</f>
        <v/>
      </c>
      <c r="AA20" s="37">
        <f>IFERROR(VLOOKUP($A20,subQ,MATCH(AA$1,SUBQH,0),0),"")</f>
        <v/>
      </c>
      <c r="AB20" s="37">
        <f>IFERROR(VLOOKUP($A20,subQ,MATCH(AB$1,SUBQH,0),0),"")</f>
        <v/>
      </c>
      <c r="AC20" s="37">
        <f>IFERROR(VLOOKUP($A20,subQ,MATCH(AC$1,SUBQH,0),0),"")</f>
        <v/>
      </c>
      <c r="AD20" s="37">
        <f>IFERROR(VLOOKUP($A20,subQ,MATCH(AD$1,SUBQH,0),0),"")</f>
        <v/>
      </c>
      <c r="AE20" s="37">
        <f>IFERROR(VLOOKUP($A20,subQ,MATCH(AE$1,SUBQH,0),0),"")</f>
        <v/>
      </c>
      <c r="AF20" s="37">
        <f>IFERROR(VLOOKUP($A20,subQ,MATCH(AF$1,SUBQH,0),0),"")</f>
        <v/>
      </c>
      <c r="AG20" s="37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37">
        <f>IFERROR(VLOOKUP($A21,subQ,MATCH(X$1,SUBQH,0),0),"")</f>
        <v/>
      </c>
      <c r="Y21" s="37">
        <f>IFERROR(VLOOKUP($A21,subQ,MATCH(Y$1,SUBQH,0),0),"")</f>
        <v/>
      </c>
      <c r="Z21" s="37">
        <f>IFERROR(VLOOKUP($A21,subQ,MATCH(Z$1,SUBQH,0),0),"")</f>
        <v/>
      </c>
      <c r="AA21" s="37">
        <f>IFERROR(VLOOKUP($A21,subQ,MATCH(AA$1,SUBQH,0),0),"")</f>
        <v/>
      </c>
      <c r="AB21" s="37">
        <f>IFERROR(VLOOKUP($A21,subQ,MATCH(AB$1,SUBQH,0),0),"")</f>
        <v/>
      </c>
      <c r="AC21" s="37">
        <f>IFERROR(VLOOKUP($A21,subQ,MATCH(AC$1,SUBQH,0),0),"")</f>
        <v/>
      </c>
      <c r="AD21" s="37">
        <f>IFERROR(VLOOKUP($A21,subQ,MATCH(AD$1,SUBQH,0),0),"")</f>
        <v/>
      </c>
      <c r="AE21" s="37">
        <f>IFERROR(VLOOKUP($A21,subQ,MATCH(AE$1,SUBQH,0),0),"")</f>
        <v/>
      </c>
      <c r="AF21" s="37">
        <f>IFERROR(VLOOKUP($A21,subQ,MATCH(AF$1,SUBQH,0),0),"")</f>
        <v/>
      </c>
      <c r="AG21" s="37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37">
        <f>IFERROR(VLOOKUP($A22,subQ,MATCH(X$1,SUBQH,0),0),"")</f>
        <v/>
      </c>
      <c r="Y22" s="37">
        <f>IFERROR(VLOOKUP($A22,subQ,MATCH(Y$1,SUBQH,0),0),"")</f>
        <v/>
      </c>
      <c r="Z22" s="37">
        <f>IFERROR(VLOOKUP($A22,subQ,MATCH(Z$1,SUBQH,0),0),"")</f>
        <v/>
      </c>
      <c r="AA22" s="37">
        <f>IFERROR(VLOOKUP($A22,subQ,MATCH(AA$1,SUBQH,0),0),"")</f>
        <v/>
      </c>
      <c r="AB22" s="37">
        <f>IFERROR(VLOOKUP($A22,subQ,MATCH(AB$1,SUBQH,0),0),"")</f>
        <v/>
      </c>
      <c r="AC22" s="37">
        <f>IFERROR(VLOOKUP($A22,subQ,MATCH(AC$1,SUBQH,0),0),"")</f>
        <v/>
      </c>
      <c r="AD22" s="37">
        <f>IFERROR(VLOOKUP($A22,subQ,MATCH(AD$1,SUBQH,0),0),"")</f>
        <v/>
      </c>
      <c r="AE22" s="37">
        <f>IFERROR(VLOOKUP($A22,subQ,MATCH(AE$1,SUBQH,0),0),"")</f>
        <v/>
      </c>
      <c r="AF22" s="37">
        <f>IFERROR(VLOOKUP($A22,subQ,MATCH(AF$1,SUBQH,0),0),"")</f>
        <v/>
      </c>
      <c r="AG22" s="37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37">
        <f>IFERROR(VLOOKUP($A23,subQ,MATCH(X$1,SUBQH,0),0),"")</f>
        <v/>
      </c>
      <c r="Y23" s="37">
        <f>IFERROR(VLOOKUP($A23,subQ,MATCH(Y$1,SUBQH,0),0),"")</f>
        <v/>
      </c>
      <c r="Z23" s="37">
        <f>IFERROR(VLOOKUP($A23,subQ,MATCH(Z$1,SUBQH,0),0),"")</f>
        <v/>
      </c>
      <c r="AA23" s="37">
        <f>IFERROR(VLOOKUP($A23,subQ,MATCH(AA$1,SUBQH,0),0),"")</f>
        <v/>
      </c>
      <c r="AB23" s="37">
        <f>IFERROR(VLOOKUP($A23,subQ,MATCH(AB$1,SUBQH,0),0),"")</f>
        <v/>
      </c>
      <c r="AC23" s="37">
        <f>IFERROR(VLOOKUP($A23,subQ,MATCH(AC$1,SUBQH,0),0),"")</f>
        <v/>
      </c>
      <c r="AD23" s="37">
        <f>IFERROR(VLOOKUP($A23,subQ,MATCH(AD$1,SUBQH,0),0),"")</f>
        <v/>
      </c>
      <c r="AE23" s="37">
        <f>IFERROR(VLOOKUP($A23,subQ,MATCH(AE$1,SUBQH,0),0),"")</f>
        <v/>
      </c>
      <c r="AF23" s="37">
        <f>IFERROR(VLOOKUP($A23,subQ,MATCH(AF$1,SUBQH,0),0),"")</f>
        <v/>
      </c>
      <c r="AG23" s="37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37">
        <f>IFERROR(VLOOKUP($A24,subQ,MATCH(X$1,SUBQH,0),0),"")</f>
        <v/>
      </c>
      <c r="Y24" s="37">
        <f>IFERROR(VLOOKUP($A24,subQ,MATCH(Y$1,SUBQH,0),0),"")</f>
        <v/>
      </c>
      <c r="Z24" s="37">
        <f>IFERROR(VLOOKUP($A24,subQ,MATCH(Z$1,SUBQH,0),0),"")</f>
        <v/>
      </c>
      <c r="AA24" s="37">
        <f>IFERROR(VLOOKUP($A24,subQ,MATCH(AA$1,SUBQH,0),0),"")</f>
        <v/>
      </c>
      <c r="AB24" s="37">
        <f>IFERROR(VLOOKUP($A24,subQ,MATCH(AB$1,SUBQH,0),0),"")</f>
        <v/>
      </c>
      <c r="AC24" s="37">
        <f>IFERROR(VLOOKUP($A24,subQ,MATCH(AC$1,SUBQH,0),0),"")</f>
        <v/>
      </c>
      <c r="AD24" s="37">
        <f>IFERROR(VLOOKUP($A24,subQ,MATCH(AD$1,SUBQH,0),0),"")</f>
        <v/>
      </c>
      <c r="AE24" s="37">
        <f>IFERROR(VLOOKUP($A24,subQ,MATCH(AE$1,SUBQH,0),0),"")</f>
        <v/>
      </c>
      <c r="AF24" s="37">
        <f>IFERROR(VLOOKUP($A24,subQ,MATCH(AF$1,SUBQH,0),0),"")</f>
        <v/>
      </c>
      <c r="AG24" s="37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37">
        <f>IFERROR(VLOOKUP($A25,subQ,MATCH(X$1,SUBQH,0),0),"")</f>
        <v/>
      </c>
      <c r="Y25" s="37">
        <f>IFERROR(VLOOKUP($A25,subQ,MATCH(Y$1,SUBQH,0),0),"")</f>
        <v/>
      </c>
      <c r="Z25" s="37">
        <f>IFERROR(VLOOKUP($A25,subQ,MATCH(Z$1,SUBQH,0),0),"")</f>
        <v/>
      </c>
      <c r="AA25" s="37">
        <f>IFERROR(VLOOKUP($A25,subQ,MATCH(AA$1,SUBQH,0),0),"")</f>
        <v/>
      </c>
      <c r="AB25" s="37">
        <f>IFERROR(VLOOKUP($A25,subQ,MATCH(AB$1,SUBQH,0),0),"")</f>
        <v/>
      </c>
      <c r="AC25" s="37">
        <f>IFERROR(VLOOKUP($A25,subQ,MATCH(AC$1,SUBQH,0),0),"")</f>
        <v/>
      </c>
      <c r="AD25" s="37">
        <f>IFERROR(VLOOKUP($A25,subQ,MATCH(AD$1,SUBQH,0),0),"")</f>
        <v/>
      </c>
      <c r="AE25" s="37">
        <f>IFERROR(VLOOKUP($A25,subQ,MATCH(AE$1,SUBQH,0),0),"")</f>
        <v/>
      </c>
      <c r="AF25" s="37">
        <f>IFERROR(VLOOKUP($A25,subQ,MATCH(AF$1,SUBQH,0),0),"")</f>
        <v/>
      </c>
      <c r="AG25" s="37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37">
        <f>IFERROR(VLOOKUP($A26,subQ,MATCH(X$1,SUBQH,0),0),"")</f>
        <v/>
      </c>
      <c r="Y26" s="37">
        <f>IFERROR(VLOOKUP($A26,subQ,MATCH(Y$1,SUBQH,0),0),"")</f>
        <v/>
      </c>
      <c r="Z26" s="37">
        <f>IFERROR(VLOOKUP($A26,subQ,MATCH(Z$1,SUBQH,0),0),"")</f>
        <v/>
      </c>
      <c r="AA26" s="37">
        <f>IFERROR(VLOOKUP($A26,subQ,MATCH(AA$1,SUBQH,0),0),"")</f>
        <v/>
      </c>
      <c r="AB26" s="37">
        <f>IFERROR(VLOOKUP($A26,subQ,MATCH(AB$1,SUBQH,0),0),"")</f>
        <v/>
      </c>
      <c r="AC26" s="37">
        <f>IFERROR(VLOOKUP($A26,subQ,MATCH(AC$1,SUBQH,0),0),"")</f>
        <v/>
      </c>
      <c r="AD26" s="37">
        <f>IFERROR(VLOOKUP($A26,subQ,MATCH(AD$1,SUBQH,0),0),"")</f>
        <v/>
      </c>
      <c r="AE26" s="37">
        <f>IFERROR(VLOOKUP($A26,subQ,MATCH(AE$1,SUBQH,0),0),"")</f>
        <v/>
      </c>
      <c r="AF26" s="37">
        <f>IFERROR(VLOOKUP($A26,subQ,MATCH(AF$1,SUBQH,0),0),"")</f>
        <v/>
      </c>
      <c r="AG26" s="37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37">
        <f>IFERROR(VLOOKUP($A27,subQ,MATCH(X$1,SUBQH,0),0),"")</f>
        <v/>
      </c>
      <c r="Y27" s="37">
        <f>IFERROR(VLOOKUP($A27,subQ,MATCH(Y$1,SUBQH,0),0),"")</f>
        <v/>
      </c>
      <c r="Z27" s="37">
        <f>IFERROR(VLOOKUP($A27,subQ,MATCH(Z$1,SUBQH,0),0),"")</f>
        <v/>
      </c>
      <c r="AA27" s="37">
        <f>IFERROR(VLOOKUP($A27,subQ,MATCH(AA$1,SUBQH,0),0),"")</f>
        <v/>
      </c>
      <c r="AB27" s="37">
        <f>IFERROR(VLOOKUP($A27,subQ,MATCH(AB$1,SUBQH,0),0),"")</f>
        <v/>
      </c>
      <c r="AC27" s="37">
        <f>IFERROR(VLOOKUP($A27,subQ,MATCH(AC$1,SUBQH,0),0),"")</f>
        <v/>
      </c>
      <c r="AD27" s="37">
        <f>IFERROR(VLOOKUP($A27,subQ,MATCH(AD$1,SUBQH,0),0),"")</f>
        <v/>
      </c>
      <c r="AE27" s="37">
        <f>IFERROR(VLOOKUP($A27,subQ,MATCH(AE$1,SUBQH,0),0),"")</f>
        <v/>
      </c>
      <c r="AF27" s="37">
        <f>IFERROR(VLOOKUP($A27,subQ,MATCH(AF$1,SUBQH,0),0),"")</f>
        <v/>
      </c>
      <c r="AG27" s="37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37">
        <f>IFERROR(VLOOKUP($A28,subQ,MATCH(X$1,SUBQH,0),0),"")</f>
        <v/>
      </c>
      <c r="Y28" s="37">
        <f>IFERROR(VLOOKUP($A28,subQ,MATCH(Y$1,SUBQH,0),0),"")</f>
        <v/>
      </c>
      <c r="Z28" s="37">
        <f>IFERROR(VLOOKUP($A28,subQ,MATCH(Z$1,SUBQH,0),0),"")</f>
        <v/>
      </c>
      <c r="AA28" s="37">
        <f>IFERROR(VLOOKUP($A28,subQ,MATCH(AA$1,SUBQH,0),0),"")</f>
        <v/>
      </c>
      <c r="AB28" s="37">
        <f>IFERROR(VLOOKUP($A28,subQ,MATCH(AB$1,SUBQH,0),0),"")</f>
        <v/>
      </c>
      <c r="AC28" s="37">
        <f>IFERROR(VLOOKUP($A28,subQ,MATCH(AC$1,SUBQH,0),0),"")</f>
        <v/>
      </c>
      <c r="AD28" s="37">
        <f>IFERROR(VLOOKUP($A28,subQ,MATCH(AD$1,SUBQH,0),0),"")</f>
        <v/>
      </c>
      <c r="AE28" s="37">
        <f>IFERROR(VLOOKUP($A28,subQ,MATCH(AE$1,SUBQH,0),0),"")</f>
        <v/>
      </c>
      <c r="AF28" s="37">
        <f>IFERROR(VLOOKUP($A28,subQ,MATCH(AF$1,SUBQH,0),0),"")</f>
        <v/>
      </c>
      <c r="AG28" s="37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37">
        <f>IFERROR(VLOOKUP($A29,subQ,MATCH(X$1,SUBQH,0),0),"")</f>
        <v/>
      </c>
      <c r="Y29" s="37">
        <f>IFERROR(VLOOKUP($A29,subQ,MATCH(Y$1,SUBQH,0),0),"")</f>
        <v/>
      </c>
      <c r="Z29" s="37">
        <f>IFERROR(VLOOKUP($A29,subQ,MATCH(Z$1,SUBQH,0),0),"")</f>
        <v/>
      </c>
      <c r="AA29" s="37">
        <f>IFERROR(VLOOKUP($A29,subQ,MATCH(AA$1,SUBQH,0),0),"")</f>
        <v/>
      </c>
      <c r="AB29" s="37">
        <f>IFERROR(VLOOKUP($A29,subQ,MATCH(AB$1,SUBQH,0),0),"")</f>
        <v/>
      </c>
      <c r="AC29" s="37">
        <f>IFERROR(VLOOKUP($A29,subQ,MATCH(AC$1,SUBQH,0),0),"")</f>
        <v/>
      </c>
      <c r="AD29" s="37">
        <f>IFERROR(VLOOKUP($A29,subQ,MATCH(AD$1,SUBQH,0),0),"")</f>
        <v/>
      </c>
      <c r="AE29" s="37">
        <f>IFERROR(VLOOKUP($A29,subQ,MATCH(AE$1,SUBQH,0),0),"")</f>
        <v/>
      </c>
      <c r="AF29" s="37">
        <f>IFERROR(VLOOKUP($A29,subQ,MATCH(AF$1,SUBQH,0),0),"")</f>
        <v/>
      </c>
      <c r="AG29" s="37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37">
        <f>IFERROR(VLOOKUP($A30,subQ,MATCH(X$1,SUBQH,0),0),"")</f>
        <v/>
      </c>
      <c r="Y30" s="37">
        <f>IFERROR(VLOOKUP($A30,subQ,MATCH(Y$1,SUBQH,0),0),"")</f>
        <v/>
      </c>
      <c r="Z30" s="37">
        <f>IFERROR(VLOOKUP($A30,subQ,MATCH(Z$1,SUBQH,0),0),"")</f>
        <v/>
      </c>
      <c r="AA30" s="37">
        <f>IFERROR(VLOOKUP($A30,subQ,MATCH(AA$1,SUBQH,0),0),"")</f>
        <v/>
      </c>
      <c r="AB30" s="37">
        <f>IFERROR(VLOOKUP($A30,subQ,MATCH(AB$1,SUBQH,0),0),"")</f>
        <v/>
      </c>
      <c r="AC30" s="37">
        <f>IFERROR(VLOOKUP($A30,subQ,MATCH(AC$1,SUBQH,0),0),"")</f>
        <v/>
      </c>
      <c r="AD30" s="37">
        <f>IFERROR(VLOOKUP($A30,subQ,MATCH(AD$1,SUBQH,0),0),"")</f>
        <v/>
      </c>
      <c r="AE30" s="37">
        <f>IFERROR(VLOOKUP($A30,subQ,MATCH(AE$1,SUBQH,0),0),"")</f>
        <v/>
      </c>
      <c r="AF30" s="37">
        <f>IFERROR(VLOOKUP($A30,subQ,MATCH(AF$1,SUBQH,0),0),"")</f>
        <v/>
      </c>
      <c r="AG30" s="37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5">
        <f>IFERROR(VLOOKUP($A31,subQ,MATCH(E$1,SUBQH,0),0),"")</f>
        <v/>
      </c>
      <c r="F31" s="25">
        <f>IFERROR(VLOOKUP($A31,subQ,MATCH(F$1,SUBQH,0),0),"")</f>
        <v/>
      </c>
      <c r="G31" s="25">
        <f>IFERROR(VLOOKUP($A31,subQ,MATCH(G$1,SUBQH,0),0),"")</f>
        <v/>
      </c>
      <c r="H31" s="25">
        <f>IFERROR(VLOOKUP($A31,subQ,MATCH(H$1,SUBQH,0),0),"")</f>
        <v/>
      </c>
      <c r="I31" s="25">
        <f>IFERROR(VLOOKUP($A31,subQ,MATCH(I$1,SUBQH,0),0),"")</f>
        <v/>
      </c>
      <c r="J31" s="25">
        <f>IFERROR(VLOOKUP($A31,subQ,MATCH(J$1,SUBQH,0),0),"")</f>
        <v/>
      </c>
      <c r="K31" s="25">
        <f>IFERROR(VLOOKUP($A31,subQ,MATCH(K$1,SUBQH,0),0),"")</f>
        <v/>
      </c>
      <c r="L31" s="25">
        <f>IFERROR(VLOOKUP($A31,subQ,MATCH(L$1,SUBQH,0),0),"")</f>
        <v/>
      </c>
      <c r="M31" s="25">
        <f>IFERROR(VLOOKUP($A31,subQ,MATCH(M$1,SUBQH,0),0),"")</f>
        <v/>
      </c>
      <c r="N31" s="25">
        <f>IFERROR(VLOOKUP($A31,subQ,MATCH(N$1,SUBQH,0),0),"")</f>
        <v/>
      </c>
      <c r="O31" s="25">
        <f>IFERROR(VLOOKUP($A31,subQ,MATCH(O$1,SUBQH,0),0),"")</f>
        <v/>
      </c>
      <c r="P31" s="25">
        <f>IFERROR(VLOOKUP($A31,subQ,MATCH(P$1,SUBQH,0),0),"")</f>
        <v/>
      </c>
      <c r="Q31" s="25">
        <f>IFERROR(VLOOKUP($A31,subQ,MATCH(Q$1,SUBQH,0),0),"")</f>
        <v/>
      </c>
      <c r="R31" s="25">
        <f>IFERROR(VLOOKUP($A31,subQ,MATCH(R$1,SUBQH,0),0),"")</f>
        <v/>
      </c>
      <c r="S31" s="25">
        <f>IFERROR(VLOOKUP($A31,subQ,MATCH(S$1,SUBQH,0),0),"")</f>
        <v/>
      </c>
      <c r="T31" s="25">
        <f>IFERROR(VLOOKUP($A31,subQ,MATCH(T$1,SUBQH,0),0),"")</f>
        <v/>
      </c>
      <c r="U31" s="25">
        <f>IFERROR(VLOOKUP($A31,subQ,MATCH(U$1,SUBQH,0),0),"")</f>
        <v/>
      </c>
      <c r="V31" s="25">
        <f>IFERROR(VLOOKUP($A31,subQ,MATCH(V$1,SUBQH,0),0),"")</f>
        <v/>
      </c>
      <c r="W31" s="47">
        <f>IFERROR(VLOOKUP($A31,subQ,MATCH(W$1,SUBQH,0),0),"")</f>
        <v/>
      </c>
      <c r="X31" s="30">
        <f>IFERROR(VLOOKUP($A31,subQ,MATCH(X$1,SUBQH,0),0),"")</f>
        <v/>
      </c>
      <c r="Y31" s="30">
        <f>IFERROR(VLOOKUP($A31,subQ,MATCH(Y$1,SUBQH,0),0),"")</f>
        <v/>
      </c>
      <c r="Z31" s="30">
        <f>IFERROR(VLOOKUP($A31,subQ,MATCH(Z$1,SUBQH,0),0),"")</f>
        <v/>
      </c>
      <c r="AA31" s="30">
        <f>IFERROR(VLOOKUP($A31,subQ,MATCH(AA$1,SUBQH,0),0),"")</f>
        <v/>
      </c>
      <c r="AB31" s="30">
        <f>IFERROR(VLOOKUP($A31,subQ,MATCH(AB$1,SUBQH,0),0),"")</f>
        <v/>
      </c>
      <c r="AC31" s="30">
        <f>IFERROR(VLOOKUP($A31,subQ,MATCH(AC$1,SUBQH,0),0),"")</f>
        <v/>
      </c>
      <c r="AD31" s="30">
        <f>IFERROR(VLOOKUP($A31,subQ,MATCH(AD$1,SUBQH,0),0),"")</f>
        <v/>
      </c>
      <c r="AE31" s="30">
        <f>IFERROR(VLOOKUP($A31,subQ,MATCH(AE$1,SUBQH,0),0),"")</f>
        <v/>
      </c>
      <c r="AF31" s="30">
        <f>IFERROR(VLOOKUP($A31,subQ,MATCH(AF$1,SUBQH,0),0),"")</f>
        <v/>
      </c>
      <c r="AG31" s="30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37">
        <f>IFERROR(VLOOKUP($A32,subQ,MATCH(X$1,SUBQH,0),0),"")</f>
        <v/>
      </c>
      <c r="Y32" s="37">
        <f>IFERROR(VLOOKUP($A32,subQ,MATCH(Y$1,SUBQH,0),0),"")</f>
        <v/>
      </c>
      <c r="Z32" s="37">
        <f>IFERROR(VLOOKUP($A32,subQ,MATCH(Z$1,SUBQH,0),0),"")</f>
        <v/>
      </c>
      <c r="AA32" s="37">
        <f>IFERROR(VLOOKUP($A32,subQ,MATCH(AA$1,SUBQH,0),0),"")</f>
        <v/>
      </c>
      <c r="AB32" s="37">
        <f>IFERROR(VLOOKUP($A32,subQ,MATCH(AB$1,SUBQH,0),0),"")</f>
        <v/>
      </c>
      <c r="AC32" s="37">
        <f>IFERROR(VLOOKUP($A32,subQ,MATCH(AC$1,SUBQH,0),0),"")</f>
        <v/>
      </c>
      <c r="AD32" s="37">
        <f>IFERROR(VLOOKUP($A32,subQ,MATCH(AD$1,SUBQH,0),0),"")</f>
        <v/>
      </c>
      <c r="AE32" s="37">
        <f>IFERROR(VLOOKUP($A32,subQ,MATCH(AE$1,SUBQH,0),0),"")</f>
        <v/>
      </c>
      <c r="AF32" s="37">
        <f>IFERROR(VLOOKUP($A32,subQ,MATCH(AF$1,SUBQH,0),0),"")</f>
        <v/>
      </c>
      <c r="AG32" s="37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37">
        <f>IFERROR(VLOOKUP($A33,subQ,MATCH(X$1,SUBQH,0),0),"")</f>
        <v/>
      </c>
      <c r="Y33" s="37">
        <f>IFERROR(VLOOKUP($A33,subQ,MATCH(Y$1,SUBQH,0),0),"")</f>
        <v/>
      </c>
      <c r="Z33" s="37">
        <f>IFERROR(VLOOKUP($A33,subQ,MATCH(Z$1,SUBQH,0),0),"")</f>
        <v/>
      </c>
      <c r="AA33" s="37">
        <f>IFERROR(VLOOKUP($A33,subQ,MATCH(AA$1,SUBQH,0),0),"")</f>
        <v/>
      </c>
      <c r="AB33" s="37">
        <f>IFERROR(VLOOKUP($A33,subQ,MATCH(AB$1,SUBQH,0),0),"")</f>
        <v/>
      </c>
      <c r="AC33" s="37">
        <f>IFERROR(VLOOKUP($A33,subQ,MATCH(AC$1,SUBQH,0),0),"")</f>
        <v/>
      </c>
      <c r="AD33" s="37">
        <f>IFERROR(VLOOKUP($A33,subQ,MATCH(AD$1,SUBQH,0),0),"")</f>
        <v/>
      </c>
      <c r="AE33" s="37">
        <f>IFERROR(VLOOKUP($A33,subQ,MATCH(AE$1,SUBQH,0),0),"")</f>
        <v/>
      </c>
      <c r="AF33" s="37">
        <f>IFERROR(VLOOKUP($A33,subQ,MATCH(AF$1,SUBQH,0),0),"")</f>
        <v/>
      </c>
      <c r="AG33" s="37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37">
        <f>IFERROR(VLOOKUP($A34,subQ,MATCH(X$1,SUBQH,0),0),"")</f>
        <v/>
      </c>
      <c r="Y34" s="37">
        <f>IFERROR(VLOOKUP($A34,subQ,MATCH(Y$1,SUBQH,0),0),"")</f>
        <v/>
      </c>
      <c r="Z34" s="37">
        <f>IFERROR(VLOOKUP($A34,subQ,MATCH(Z$1,SUBQH,0),0),"")</f>
        <v/>
      </c>
      <c r="AA34" s="37">
        <f>IFERROR(VLOOKUP($A34,subQ,MATCH(AA$1,SUBQH,0),0),"")</f>
        <v/>
      </c>
      <c r="AB34" s="37">
        <f>IFERROR(VLOOKUP($A34,subQ,MATCH(AB$1,SUBQH,0),0),"")</f>
        <v/>
      </c>
      <c r="AC34" s="37">
        <f>IFERROR(VLOOKUP($A34,subQ,MATCH(AC$1,SUBQH,0),0),"")</f>
        <v/>
      </c>
      <c r="AD34" s="37">
        <f>IFERROR(VLOOKUP($A34,subQ,MATCH(AD$1,SUBQH,0),0),"")</f>
        <v/>
      </c>
      <c r="AE34" s="37">
        <f>IFERROR(VLOOKUP($A34,subQ,MATCH(AE$1,SUBQH,0),0),"")</f>
        <v/>
      </c>
      <c r="AF34" s="37">
        <f>IFERROR(VLOOKUP($A34,subQ,MATCH(AF$1,SUBQH,0),0),"")</f>
        <v/>
      </c>
      <c r="AG34" s="37">
        <f>IFERROR(VLOOKUP($A34,subQ,MATCH(AG$1,SUBQH,0),0),"")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37">
        <f>IFERROR(VLOOKUP($A36,subQ,MATCH(X$1,SUBQH,0),0),"")</f>
        <v/>
      </c>
      <c r="Y36" s="37">
        <f>IFERROR(VLOOKUP($A36,subQ,MATCH(Y$1,SUBQH,0),0),"")</f>
        <v/>
      </c>
      <c r="Z36" s="37">
        <f>IFERROR(VLOOKUP($A36,subQ,MATCH(Z$1,SUBQH,0),0),"")</f>
        <v/>
      </c>
      <c r="AA36" s="37">
        <f>IFERROR(VLOOKUP($A36,subQ,MATCH(AA$1,SUBQH,0),0),"")</f>
        <v/>
      </c>
      <c r="AB36" s="37">
        <f>IFERROR(VLOOKUP($A36,subQ,MATCH(AB$1,SUBQH,0),0),"")</f>
        <v/>
      </c>
      <c r="AC36" s="37">
        <f>IFERROR(VLOOKUP($A36,subQ,MATCH(AC$1,SUBQH,0),0),"")</f>
        <v/>
      </c>
      <c r="AD36" s="37">
        <f>IFERROR(VLOOKUP($A36,subQ,MATCH(AD$1,SUBQH,0),0),"")</f>
        <v/>
      </c>
      <c r="AE36" s="37">
        <f>IFERROR(VLOOKUP($A36,subQ,MATCH(AE$1,SUBQH,0),0),"")</f>
        <v/>
      </c>
      <c r="AF36" s="37">
        <f>IFERROR(VLOOKUP($A36,subQ,MATCH(AF$1,SUBQH,0),0),"")</f>
        <v/>
      </c>
      <c r="AG36" s="37">
        <f>IFERROR(VLOOKUP($A36,subQ,MATCH(AG$1,SUBQH,0),0),"")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37">
        <f>IFERROR(VLOOKUP($A37,subQ,MATCH(X$1,SUBQH,0),0),"")</f>
        <v/>
      </c>
      <c r="Y37" s="37">
        <f>IFERROR(VLOOKUP($A37,subQ,MATCH(Y$1,SUBQH,0),0),"")</f>
        <v/>
      </c>
      <c r="Z37" s="37">
        <f>IFERROR(VLOOKUP($A37,subQ,MATCH(Z$1,SUBQH,0),0),"")</f>
        <v/>
      </c>
      <c r="AA37" s="37">
        <f>IFERROR(VLOOKUP($A37,subQ,MATCH(AA$1,SUBQH,0),0),"")</f>
        <v/>
      </c>
      <c r="AB37" s="37">
        <f>IFERROR(VLOOKUP($A37,subQ,MATCH(AB$1,SUBQH,0),0),"")</f>
        <v/>
      </c>
      <c r="AC37" s="37">
        <f>IFERROR(VLOOKUP($A37,subQ,MATCH(AC$1,SUBQH,0),0),"")</f>
        <v/>
      </c>
      <c r="AD37" s="37">
        <f>IFERROR(VLOOKUP($A37,subQ,MATCH(AD$1,SUBQH,0),0),"")</f>
        <v/>
      </c>
      <c r="AE37" s="37">
        <f>IFERROR(VLOOKUP($A37,subQ,MATCH(AE$1,SUBQH,0),0),"")</f>
        <v/>
      </c>
      <c r="AF37" s="37">
        <f>IFERROR(VLOOKUP($A37,subQ,MATCH(AF$1,SUBQH,0),0),"")</f>
        <v/>
      </c>
      <c r="AG37" s="37">
        <f>IFERROR(VLOOKUP($A37,subQ,MATCH(AG$1,SUBQH,0),0),"")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19">
        <f>IFERROR(VLOOKUP($A38,subQ,MATCH(E$1,SUBQH,0),0),"")</f>
        <v/>
      </c>
      <c r="F38" s="19">
        <f>IFERROR(VLOOKUP($A38,subQ,MATCH(F$1,SUBQH,0),0),"")</f>
        <v/>
      </c>
      <c r="G38" s="19">
        <f>IFERROR(VLOOKUP($A38,subQ,MATCH(G$1,SUBQH,0),0),"")</f>
        <v/>
      </c>
      <c r="H38" s="19">
        <f>IFERROR(VLOOKUP($A38,subQ,MATCH(H$1,SUBQH,0),0),"")</f>
        <v/>
      </c>
      <c r="I38" s="19">
        <f>IFERROR(VLOOKUP($A38,subQ,MATCH(I$1,SUBQH,0),0),"")</f>
        <v/>
      </c>
      <c r="J38" s="19">
        <f>IFERROR(VLOOKUP($A38,subQ,MATCH(J$1,SUBQH,0),0),"")</f>
        <v/>
      </c>
      <c r="K38" s="19">
        <f>IFERROR(VLOOKUP($A38,subQ,MATCH(K$1,SUBQH,0),0),"")</f>
        <v/>
      </c>
      <c r="L38" s="19">
        <f>IFERROR(VLOOKUP($A38,subQ,MATCH(L$1,SUBQH,0),0),"")</f>
        <v/>
      </c>
      <c r="M38" s="19">
        <f>IFERROR(VLOOKUP($A38,subQ,MATCH(M$1,SUBQH,0),0),"")</f>
        <v/>
      </c>
      <c r="N38" s="19">
        <f>IFERROR(VLOOKUP($A38,subQ,MATCH(N$1,SUBQH,0),0),"")</f>
        <v/>
      </c>
      <c r="O38" s="19">
        <f>IFERROR(VLOOKUP($A38,subQ,MATCH(O$1,SUBQH,0),0),"")</f>
        <v/>
      </c>
      <c r="P38" s="19">
        <f>IFERROR(VLOOKUP($A38,subQ,MATCH(P$1,SUBQH,0),0),"")</f>
        <v/>
      </c>
      <c r="Q38" s="19">
        <f>IFERROR(VLOOKUP($A38,subQ,MATCH(Q$1,SUBQH,0),0),"")</f>
        <v/>
      </c>
      <c r="R38" s="19">
        <f>IFERROR(VLOOKUP($A38,subQ,MATCH(R$1,SUBQH,0),0),"")</f>
        <v/>
      </c>
      <c r="S38" s="19">
        <f>IFERROR(VLOOKUP($A38,subQ,MATCH(S$1,SUBQH,0),0),"")</f>
        <v/>
      </c>
      <c r="T38" s="19">
        <f>IFERROR(VLOOKUP($A38,subQ,MATCH(T$1,SUBQH,0),0),"")</f>
        <v/>
      </c>
      <c r="U38" s="19">
        <f>IFERROR(VLOOKUP($A38,subQ,MATCH(U$1,SUBQH,0),0),"")</f>
        <v/>
      </c>
      <c r="V38" s="19">
        <f>IFERROR(VLOOKUP($A38,subQ,MATCH(V$1,SUBQH,0),0),"")</f>
        <v/>
      </c>
      <c r="W38" s="46">
        <f>IFERROR(VLOOKUP($A38,subQ,MATCH(W$1,SUBQH,0),0),"")</f>
        <v/>
      </c>
      <c r="X38" s="31">
        <f>IFERROR(VLOOKUP($A38,subQ,MATCH(X$1,SUBQH,0),0),"")</f>
        <v/>
      </c>
      <c r="Y38" s="31">
        <f>IFERROR(VLOOKUP($A38,subQ,MATCH(Y$1,SUBQH,0),0),"")</f>
        <v/>
      </c>
      <c r="Z38" s="31">
        <f>IFERROR(VLOOKUP($A38,subQ,MATCH(Z$1,SUBQH,0),0),"")</f>
        <v/>
      </c>
      <c r="AA38" s="31">
        <f>IFERROR(VLOOKUP($A38,subQ,MATCH(AA$1,SUBQH,0),0),"")</f>
        <v/>
      </c>
      <c r="AB38" s="31">
        <f>IFERROR(VLOOKUP($A38,subQ,MATCH(AB$1,SUBQH,0),0),"")</f>
        <v/>
      </c>
      <c r="AC38" s="31">
        <f>IFERROR(VLOOKUP($A38,subQ,MATCH(AC$1,SUBQH,0),0),"")</f>
        <v/>
      </c>
      <c r="AD38" s="31">
        <f>IFERROR(VLOOKUP($A38,subQ,MATCH(AD$1,SUBQH,0),0),"")</f>
        <v/>
      </c>
      <c r="AE38" s="31">
        <f>IFERROR(VLOOKUP($A38,subQ,MATCH(AE$1,SUBQH,0),0),"")</f>
        <v/>
      </c>
      <c r="AF38" s="31">
        <f>IFERROR(VLOOKUP($A38,subQ,MATCH(AF$1,SUBQH,0),0),"")</f>
        <v/>
      </c>
      <c r="AG38" s="31">
        <f>IFERROR(VLOOKUP($A38,subQ,MATCH(AG$1,SUBQH,0),0),"")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I39" s="19">
        <f>IFERROR(I5/E5-1,"")</f>
        <v/>
      </c>
      <c r="J39" s="19">
        <f>IFERROR(J5/F5-1,"")</f>
        <v/>
      </c>
      <c r="K39" s="19">
        <f>IFERROR(K5/G5-1,"")</f>
        <v/>
      </c>
      <c r="L39" s="19">
        <f>IFERROR(L5/H5-1,"")</f>
        <v/>
      </c>
      <c r="M39" s="19">
        <f>IFERROR(M5/I5-1,"")</f>
        <v/>
      </c>
      <c r="N39" s="19">
        <f>IFERROR(N5/J5-1,"")</f>
        <v/>
      </c>
      <c r="O39" s="19">
        <f>IFERROR(O5/K5-1,"")</f>
        <v/>
      </c>
      <c r="P39" s="19">
        <f>IFERROR(P5/L5-1,"")</f>
        <v/>
      </c>
      <c r="Q39" s="19">
        <f>IFERROR(Q5/M5-1,"")</f>
        <v/>
      </c>
      <c r="R39" s="19">
        <f>IFERROR(R5/N5-1,"")</f>
        <v/>
      </c>
      <c r="S39" s="19">
        <f>IFERROR(S5/O5-1,"")</f>
        <v/>
      </c>
      <c r="T39" s="19">
        <f>IFERROR(T5/P5-1,"")</f>
        <v/>
      </c>
      <c r="U39" s="19">
        <f>IFERROR(U5/Q5-1,"")</f>
        <v/>
      </c>
      <c r="V39" s="19">
        <f>IFERROR(V5/R5-1,"")</f>
        <v/>
      </c>
      <c r="W39" s="46">
        <f>IFERROR(W5/S5-1,"")</f>
        <v/>
      </c>
      <c r="X39" s="31">
        <f>IFERROR(X5/T5-1,"")</f>
        <v/>
      </c>
      <c r="Y39" s="31">
        <f>IFERROR(Y5/U5-1,"")</f>
        <v/>
      </c>
      <c r="Z39" s="31">
        <f>IFERROR(Z5/V5-1,"")</f>
        <v/>
      </c>
      <c r="AA39" s="31">
        <f>IFERROR(AA5/W5-1,"")</f>
        <v/>
      </c>
      <c r="AB39" s="31">
        <f>IFERROR(AB5/X5-1,"")</f>
        <v/>
      </c>
      <c r="AC39" s="31">
        <f>IFERROR(AC5/Y5-1,"")</f>
        <v/>
      </c>
      <c r="AD39" s="31">
        <f>IFERROR(AD5/Z5-1,"")</f>
        <v/>
      </c>
      <c r="AE39" s="31">
        <f>IFERROR(AE5/AA5-1,"")</f>
        <v/>
      </c>
      <c r="AF39" s="31">
        <f>IFERROR(AF5/AB5-1,"")</f>
        <v/>
      </c>
      <c r="AG39" s="31">
        <f>IFERROR(AG5/AC5-1,"")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I40" s="19">
        <f>IFERROR(I9/E9-1,"")</f>
        <v/>
      </c>
      <c r="J40" s="19">
        <f>IFERROR(J9/F9-1,"")</f>
        <v/>
      </c>
      <c r="K40" s="19">
        <f>IFERROR(K9/G9-1,"")</f>
        <v/>
      </c>
      <c r="L40" s="19">
        <f>IFERROR(L9/H9-1,"")</f>
        <v/>
      </c>
      <c r="M40" s="19">
        <f>IFERROR(M9/I9-1,"")</f>
        <v/>
      </c>
      <c r="N40" s="19">
        <f>IFERROR(N9/J9-1,"")</f>
        <v/>
      </c>
      <c r="O40" s="19">
        <f>IFERROR(O9/K9-1,"")</f>
        <v/>
      </c>
      <c r="P40" s="19">
        <f>IFERROR(P9/L9-1,"")</f>
        <v/>
      </c>
      <c r="Q40" s="19">
        <f>IFERROR(Q9/M9-1,"")</f>
        <v/>
      </c>
      <c r="R40" s="19">
        <f>IFERROR(R9/N9-1,"")</f>
        <v/>
      </c>
      <c r="S40" s="19">
        <f>IFERROR(S9/O9-1,"")</f>
        <v/>
      </c>
      <c r="T40" s="19">
        <f>IFERROR(T9/P9-1,"")</f>
        <v/>
      </c>
      <c r="U40" s="19">
        <f>IFERROR(U9/Q9-1,"")</f>
        <v/>
      </c>
      <c r="V40" s="19">
        <f>IFERROR(V9/R9-1,"")</f>
        <v/>
      </c>
      <c r="W40" s="46">
        <f>IFERROR(W9/S9-1,"")</f>
        <v/>
      </c>
      <c r="X40" s="31">
        <f>IFERROR(X9/T9-1,"")</f>
        <v/>
      </c>
      <c r="Y40" s="31">
        <f>IFERROR(Y9/U9-1,"")</f>
        <v/>
      </c>
      <c r="Z40" s="31">
        <f>IFERROR(Z9/V9-1,"")</f>
        <v/>
      </c>
      <c r="AA40" s="31">
        <f>IFERROR(AA9/W9-1,"")</f>
        <v/>
      </c>
      <c r="AB40" s="31">
        <f>IFERROR(AB9/X9-1,"")</f>
        <v/>
      </c>
      <c r="AC40" s="31">
        <f>IFERROR(AC9/Y9-1,"")</f>
        <v/>
      </c>
      <c r="AD40" s="31">
        <f>IFERROR(AD9/Z9-1,"")</f>
        <v/>
      </c>
      <c r="AE40" s="31">
        <f>IFERROR(AE9/AA9-1,"")</f>
        <v/>
      </c>
      <c r="AF40" s="31">
        <f>IFERROR(AF9/AB9-1,"")</f>
        <v/>
      </c>
      <c r="AG40" s="31">
        <f>IFERROR(AG9/AC9-1,"")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I41" s="19">
        <f>IFERROR(I19/E19-1,"")</f>
        <v/>
      </c>
      <c r="J41" s="19">
        <f>IFERROR(J19/F19-1,"")</f>
        <v/>
      </c>
      <c r="K41" s="19">
        <f>IFERROR(K19/G19-1,"")</f>
        <v/>
      </c>
      <c r="L41" s="19">
        <f>IFERROR(L19/H19-1,"")</f>
        <v/>
      </c>
      <c r="M41" s="19">
        <f>IFERROR(M19/I19-1,"")</f>
        <v/>
      </c>
      <c r="N41" s="19">
        <f>IFERROR(N19/J19-1,"")</f>
        <v/>
      </c>
      <c r="O41" s="19">
        <f>IFERROR(O19/K19-1,"")</f>
        <v/>
      </c>
      <c r="P41" s="19">
        <f>IFERROR(P19/L19-1,"")</f>
        <v/>
      </c>
      <c r="Q41" s="19">
        <f>IFERROR(Q19/M19-1,"")</f>
        <v/>
      </c>
      <c r="R41" s="19">
        <f>IFERROR(R19/N19-1,"")</f>
        <v/>
      </c>
      <c r="S41" s="19">
        <f>IFERROR(S19/O19-1,"")</f>
        <v/>
      </c>
      <c r="T41" s="19">
        <f>IFERROR(T19/P19-1,"")</f>
        <v/>
      </c>
      <c r="U41" s="19">
        <f>IFERROR(U19/Q19-1,"")</f>
        <v/>
      </c>
      <c r="V41" s="19">
        <f>IFERROR(V19/R19-1,"")</f>
        <v/>
      </c>
      <c r="W41" s="46">
        <f>IFERROR(W19/S19-1,"")</f>
        <v/>
      </c>
      <c r="X41" s="31">
        <f>IFERROR(X19/T19-1,"")</f>
        <v/>
      </c>
      <c r="Y41" s="31">
        <f>IFERROR(Y19/U19-1,"")</f>
        <v/>
      </c>
      <c r="Z41" s="31">
        <f>IFERROR(Z19/V19-1,"")</f>
        <v/>
      </c>
      <c r="AA41" s="31">
        <f>IFERROR(AA19/W19-1,"")</f>
        <v/>
      </c>
      <c r="AB41" s="31">
        <f>IFERROR(AB19/X19-1,"")</f>
        <v/>
      </c>
      <c r="AC41" s="31">
        <f>IFERROR(AC19/Y19-1,"")</f>
        <v/>
      </c>
      <c r="AD41" s="31">
        <f>IFERROR(AD19/Z19-1,"")</f>
        <v/>
      </c>
      <c r="AE41" s="31">
        <f>IFERROR(AE19/AA19-1,"")</f>
        <v/>
      </c>
      <c r="AF41" s="31">
        <f>IFERROR(AF19/AB19-1,"")</f>
        <v/>
      </c>
      <c r="AG41" s="31">
        <f>IFERROR(AG19/AC19-1,"")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37">
        <f>IFERROR(VLOOKUP($A5,subQ,MATCH(J$1,SUBQH,0),0),"")</f>
        <v/>
      </c>
      <c r="K5" s="37">
        <f>IFERROR(VLOOKUP($A5,subQ,MATCH(K$1,SUBQH,0),0),"")</f>
        <v/>
      </c>
      <c r="L5" s="37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37">
        <f>IFERROR(VLOOKUP($A6,subQ,MATCH(J$1,SUBQH,0),0),"")</f>
        <v/>
      </c>
      <c r="K6" s="37">
        <f>IFERROR(VLOOKUP($A6,subQ,MATCH(K$1,SUBQH,0),0),"")</f>
        <v/>
      </c>
      <c r="L6" s="37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37">
        <f>IFERROR(VLOOKUP($A7,subQ,MATCH(J$1,SUBQH,0),0),"")</f>
        <v/>
      </c>
      <c r="K7" s="37">
        <f>IFERROR(VLOOKUP($A7,subQ,MATCH(K$1,SUBQH,0),0),"")</f>
        <v/>
      </c>
      <c r="L7" s="37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37">
        <f>IFERROR(VLOOKUP($A8,subQ,MATCH(J$1,SUBQH,0),0),"")</f>
        <v/>
      </c>
      <c r="K8" s="37">
        <f>IFERROR(VLOOKUP($A8,subQ,MATCH(K$1,SUBQH,0),0),"")</f>
        <v/>
      </c>
      <c r="L8" s="37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37">
        <f>IFERROR(VLOOKUP($A9,subQ,MATCH(J$1,SUBQH,0),0),"")</f>
        <v/>
      </c>
      <c r="K9" s="37">
        <f>IFERROR(VLOOKUP($A9,subQ,MATCH(K$1,SUBQH,0),0),"")</f>
        <v/>
      </c>
      <c r="L9" s="37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19">
        <f>IFERROR(VLOOKUP($A10,subQ,MATCH(E$1,SUBQH,0),0),"")</f>
        <v/>
      </c>
      <c r="F10" s="19">
        <f>IFERROR(VLOOKUP($A10,subQ,MATCH(F$1,SUBQH,0),0),"")</f>
        <v/>
      </c>
      <c r="G10" s="19">
        <f>IFERROR(VLOOKUP($A10,subQ,MATCH(G$1,SUBQH,0),0),"")</f>
        <v/>
      </c>
      <c r="H10" s="19">
        <f>IFERROR(VLOOKUP($A10,subQ,MATCH(H$1,SUBQH,0),0),"")</f>
        <v/>
      </c>
      <c r="I10" s="46">
        <f>IFERROR(VLOOKUP($A10,subQ,MATCH(I$1,SUBQH,0),0),"")</f>
        <v/>
      </c>
      <c r="J10" s="31">
        <f>IFERROR(VLOOKUP($A10,subQ,MATCH(J$1,SUBQH,0),0),"")</f>
        <v/>
      </c>
      <c r="K10" s="31">
        <f>IFERROR(VLOOKUP($A10,subQ,MATCH(K$1,SUBQH,0),0),"")</f>
        <v/>
      </c>
      <c r="L10" s="31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37">
        <f>IFERROR(VLOOKUP($A11,subQ,MATCH(J$1,SUBQH,0),0),"")</f>
        <v/>
      </c>
      <c r="K11" s="37">
        <f>IFERROR(VLOOKUP($A11,subQ,MATCH(K$1,SUBQH,0),0),"")</f>
        <v/>
      </c>
      <c r="L11" s="37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37">
        <f>IFERROR(VLOOKUP($A12,subQ,MATCH(J$1,SUBQH,0),0),"")</f>
        <v/>
      </c>
      <c r="K12" s="37">
        <f>IFERROR(VLOOKUP($A12,subQ,MATCH(K$1,SUBQH,0),0),"")</f>
        <v/>
      </c>
      <c r="L12" s="37">
        <f>IFERROR(VLOOKUP($A12,subQ,MATCH(L$1,SUBQH,0),0),"")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37">
        <f>IFERROR(VLOOKUP($A13,subQ,MATCH(J$1,SUBQH,0),0),"")</f>
        <v/>
      </c>
      <c r="K13" s="37">
        <f>IFERROR(VLOOKUP($A13,subQ,MATCH(K$1,SUBQH,0),0),"")</f>
        <v/>
      </c>
      <c r="L13" s="37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37">
        <f>IFERROR(VLOOKUP($A14,subQ,MATCH(J$1,SUBQH,0),0),"")</f>
        <v/>
      </c>
      <c r="K14" s="37">
        <f>IFERROR(VLOOKUP($A14,subQ,MATCH(K$1,SUBQH,0),0),"")</f>
        <v/>
      </c>
      <c r="L14" s="37">
        <f>IFERROR(VLOOKUP($A14,subQ,MATCH(L$1,SUBQH,0),0),"")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37">
        <f>IFERROR(VLOOKUP($A15,subQ,MATCH(J$1,SUBQH,0),0),"")</f>
        <v/>
      </c>
      <c r="K15" s="37">
        <f>IFERROR(VLOOKUP($A15,subQ,MATCH(K$1,SUBQH,0),0),"")</f>
        <v/>
      </c>
      <c r="L15" s="37">
        <f>IFERROR(VLOOKUP($A15,subQ,MATCH(L$1,SUBQH,0),0),"")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37">
        <f>IFERROR(VLOOKUP($A16,subQ,MATCH(J$1,SUBQH,0),0),"")</f>
        <v/>
      </c>
      <c r="K16" s="37">
        <f>IFERROR(VLOOKUP($A16,subQ,MATCH(K$1,SUBQH,0),0),"")</f>
        <v/>
      </c>
      <c r="L16" s="37">
        <f>IFERROR(VLOOKUP($A16,subQ,MATCH(L$1,SUBQH,0),0),"")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37">
        <f>IFERROR(VLOOKUP($A17,subQ,MATCH(J$1,SUBQH,0),0),"")</f>
        <v/>
      </c>
      <c r="K17" s="37">
        <f>IFERROR(VLOOKUP($A17,subQ,MATCH(K$1,SUBQH,0),0),"")</f>
        <v/>
      </c>
      <c r="L17" s="37">
        <f>IFERROR(VLOOKUP($A17,subQ,MATCH(L$1,SUBQH,0),0),"")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37">
        <f>IFERROR(VLOOKUP($A18,subQ,MATCH(J$1,SUBQH,0),0),"")</f>
        <v/>
      </c>
      <c r="K18" s="37">
        <f>IFERROR(VLOOKUP($A18,subQ,MATCH(K$1,SUBQH,0),0),"")</f>
        <v/>
      </c>
      <c r="L18" s="37">
        <f>IFERROR(VLOOKUP($A18,subQ,MATCH(L$1,SUBQH,0),0),"")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37">
        <f>IFERROR(VLOOKUP($A19,subQ,MATCH(J$1,SUBQH,0),0),"")</f>
        <v/>
      </c>
      <c r="K19" s="37">
        <f>IFERROR(VLOOKUP($A19,subQ,MATCH(K$1,SUBQH,0),0),"")</f>
        <v/>
      </c>
      <c r="L19" s="37">
        <f>IFERROR(VLOOKUP($A19,subQ,MATCH(L$1,SUBQH,0),0),"")</f>
        <v/>
      </c>
    </row>
    <row r="20">
      <c r="A20" s="12" t="inlineStr">
        <is>
          <t>중단사업이익</t>
        </is>
      </c>
      <c r="D20" t="inlineStr">
        <is>
          <t>중단사업이익(실적만)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37">
        <f>IFERROR(VLOOKUP($A20,subQ,MATCH(J$1,SUBQH,0),0),"")</f>
        <v/>
      </c>
      <c r="K20" s="37">
        <f>IFERROR(VLOOKUP($A20,subQ,MATCH(K$1,SUBQH,0),0),"")</f>
        <v/>
      </c>
      <c r="L20" s="37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37">
        <f>IFERROR(VLOOKUP($A21,subQ,MATCH(J$1,SUBQH,0),0),"")</f>
        <v/>
      </c>
      <c r="K21" s="37">
        <f>IFERROR(VLOOKUP($A21,subQ,MATCH(K$1,SUBQH,0),0),"")</f>
        <v/>
      </c>
      <c r="L21" s="37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37">
        <f>IFERROR(VLOOKUP($A22,subQ,MATCH(J$1,SUBQH,0),0),"")</f>
        <v/>
      </c>
      <c r="K22" s="37">
        <f>IFERROR(VLOOKUP($A22,subQ,MATCH(K$1,SUBQH,0),0),"")</f>
        <v/>
      </c>
      <c r="L22" s="37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37">
        <f>IFERROR(VLOOKUP($A23,subQ,MATCH(J$1,SUBQH,0),0),"")</f>
        <v/>
      </c>
      <c r="K23" s="37">
        <f>IFERROR(VLOOKUP($A23,subQ,MATCH(K$1,SUBQH,0),0),"")</f>
        <v/>
      </c>
      <c r="L23" s="37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37">
        <f>IFERROR(VLOOKUP($A24,subQ,MATCH(J$1,SUBQH,0),0),"")</f>
        <v/>
      </c>
      <c r="K24" s="37">
        <f>IFERROR(VLOOKUP($A24,subQ,MATCH(K$1,SUBQH,0),0),"")</f>
        <v/>
      </c>
      <c r="L24" s="37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37">
        <f>IFERROR(VLOOKUP($A25,subQ,MATCH(J$1,SUBQH,0),0),"")</f>
        <v/>
      </c>
      <c r="K25" s="37">
        <f>IFERROR(VLOOKUP($A25,subQ,MATCH(K$1,SUBQH,0),0),"")</f>
        <v/>
      </c>
      <c r="L25" s="37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37">
        <f>IFERROR(VLOOKUP($A26,subQ,MATCH(J$1,SUBQH,0),0),"")</f>
        <v/>
      </c>
      <c r="K26" s="37">
        <f>IFERROR(VLOOKUP($A26,subQ,MATCH(K$1,SUBQH,0),0),"")</f>
        <v/>
      </c>
      <c r="L26" s="37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37">
        <f>IFERROR(VLOOKUP($A27,subQ,MATCH(J$1,SUBQH,0),0),"")</f>
        <v/>
      </c>
      <c r="K27" s="37">
        <f>IFERROR(VLOOKUP($A27,subQ,MATCH(K$1,SUBQH,0),0),"")</f>
        <v/>
      </c>
      <c r="L27" s="37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37">
        <f>IFERROR(VLOOKUP($A28,subQ,MATCH(J$1,SUBQH,0),0),"")</f>
        <v/>
      </c>
      <c r="K28" s="37">
        <f>IFERROR(VLOOKUP($A28,subQ,MATCH(K$1,SUBQH,0),0),"")</f>
        <v/>
      </c>
      <c r="L28" s="37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37">
        <f>IFERROR(VLOOKUP($A29,subQ,MATCH(J$1,SUBQH,0),0),"")</f>
        <v/>
      </c>
      <c r="K29" s="37">
        <f>IFERROR(VLOOKUP($A29,subQ,MATCH(K$1,SUBQH,0),0),"")</f>
        <v/>
      </c>
      <c r="L29" s="37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37">
        <f>IFERROR(VLOOKUP($A30,subQ,MATCH(J$1,SUBQH,0),0),"")</f>
        <v/>
      </c>
      <c r="K30" s="37">
        <f>IFERROR(VLOOKUP($A30,subQ,MATCH(K$1,SUBQH,0),0),"")</f>
        <v/>
      </c>
      <c r="L30" s="37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5">
        <f>IFERROR(VLOOKUP($A31,subQ,MATCH(E$1,SUBQH,0),0),"")</f>
        <v/>
      </c>
      <c r="F31" s="25">
        <f>IFERROR(VLOOKUP($A31,subQ,MATCH(F$1,SUBQH,0),0),"")</f>
        <v/>
      </c>
      <c r="G31" s="25">
        <f>IFERROR(VLOOKUP($A31,subQ,MATCH(G$1,SUBQH,0),0),"")</f>
        <v/>
      </c>
      <c r="H31" s="25">
        <f>IFERROR(VLOOKUP($A31,subQ,MATCH(H$1,SUBQH,0),0),"")</f>
        <v/>
      </c>
      <c r="I31" s="47">
        <f>IFERROR(VLOOKUP($A31,subQ,MATCH(I$1,SUBQH,0),0),"")</f>
        <v/>
      </c>
      <c r="J31" s="30">
        <f>IFERROR(VLOOKUP($A31,subQ,MATCH(J$1,SUBQH,0),0),"")</f>
        <v/>
      </c>
      <c r="K31" s="30">
        <f>IFERROR(VLOOKUP($A31,subQ,MATCH(K$1,SUBQH,0),0),"")</f>
        <v/>
      </c>
      <c r="L31" s="30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37">
        <f>IFERROR(VLOOKUP($A32,subQ,MATCH(J$1,SUBQH,0),0),"")</f>
        <v/>
      </c>
      <c r="K32" s="37">
        <f>IFERROR(VLOOKUP($A32,subQ,MATCH(K$1,SUBQH,0),0),"")</f>
        <v/>
      </c>
      <c r="L32" s="37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37">
        <f>IFERROR(VLOOKUP($A33,subQ,MATCH(J$1,SUBQH,0),0),"")</f>
        <v/>
      </c>
      <c r="K33" s="37">
        <f>IFERROR(VLOOKUP($A33,subQ,MATCH(K$1,SUBQH,0),0),"")</f>
        <v/>
      </c>
      <c r="L33" s="37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37">
        <f>IFERROR(VLOOKUP($A34,subQ,MATCH(J$1,SUBQH,0),0),"")</f>
        <v/>
      </c>
      <c r="K34" s="37">
        <f>IFERROR(VLOOKUP($A34,subQ,MATCH(K$1,SUBQH,0),0),"")</f>
        <v/>
      </c>
      <c r="L34" s="37">
        <f>IFERROR(VLOOKUP($A34,subQ,MATCH(L$1,SUBQH,0),0),"")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37">
        <f>IFERROR(VLOOKUP($A36,subQ,MATCH(J$1,SUBQH,0),0),"")</f>
        <v/>
      </c>
      <c r="K36" s="37">
        <f>IFERROR(VLOOKUP($A36,subQ,MATCH(K$1,SUBQH,0),0),"")</f>
        <v/>
      </c>
      <c r="L36" s="37">
        <f>IFERROR(VLOOKUP($A36,subQ,MATCH(L$1,SUBQH,0),0),"")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37">
        <f>IFERROR(VLOOKUP($A37,subQ,MATCH(J$1,SUBQH,0),0),"")</f>
        <v/>
      </c>
      <c r="K37" s="37">
        <f>IFERROR(VLOOKUP($A37,subQ,MATCH(K$1,SUBQH,0),0),"")</f>
        <v/>
      </c>
      <c r="L37" s="37">
        <f>IFERROR(VLOOKUP($A37,subQ,MATCH(L$1,SUBQH,0),0),"")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19">
        <f>IFERROR(VLOOKUP($A38,subQ,MATCH(E$1,SUBQH,0),0),"")</f>
        <v/>
      </c>
      <c r="F38" s="19">
        <f>IFERROR(VLOOKUP($A38,subQ,MATCH(F$1,SUBQH,0),0),"")</f>
        <v/>
      </c>
      <c r="G38" s="19">
        <f>IFERROR(VLOOKUP($A38,subQ,MATCH(G$1,SUBQH,0),0),"")</f>
        <v/>
      </c>
      <c r="H38" s="19">
        <f>IFERROR(VLOOKUP($A38,subQ,MATCH(H$1,SUBQH,0),0),"")</f>
        <v/>
      </c>
      <c r="I38" s="46">
        <f>IFERROR(VLOOKUP($A38,subQ,MATCH(I$1,SUBQH,0),0),"")</f>
        <v/>
      </c>
      <c r="J38" s="31">
        <f>IFERROR(VLOOKUP($A38,subQ,MATCH(J$1,SUBQH,0),0),"")</f>
        <v/>
      </c>
      <c r="K38" s="31">
        <f>IFERROR(VLOOKUP($A38,subQ,MATCH(K$1,SUBQH,0),0),"")</f>
        <v/>
      </c>
      <c r="L38" s="31">
        <f>IFERROR(VLOOKUP($A38,subQ,MATCH(L$1,SUBQH,0),0),"")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F39" s="19">
        <f>IFERROR(F5/E5-1,"")</f>
        <v/>
      </c>
      <c r="G39" s="19">
        <f>IFERROR(G5/F5-1,"")</f>
        <v/>
      </c>
      <c r="H39" s="19">
        <f>IFERROR(H5/G5-1,"")</f>
        <v/>
      </c>
      <c r="I39" s="46">
        <f>IFERROR(I5/H5-1,"")</f>
        <v/>
      </c>
      <c r="J39" s="31">
        <f>IFERROR(J5/I5-1,"")</f>
        <v/>
      </c>
      <c r="K39" s="31">
        <f>IFERROR(K5/J5-1,"")</f>
        <v/>
      </c>
      <c r="L39" s="31">
        <f>IFERROR(L5/K5-1,"")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F40" s="19">
        <f>IFERROR(F9/E9-1,"")</f>
        <v/>
      </c>
      <c r="G40" s="19">
        <f>IFERROR(G9/F9-1,"")</f>
        <v/>
      </c>
      <c r="H40" s="19">
        <f>IFERROR(H9/G9-1,"")</f>
        <v/>
      </c>
      <c r="I40" s="46">
        <f>IFERROR(I9/H9-1,"")</f>
        <v/>
      </c>
      <c r="J40" s="31">
        <f>IFERROR(J9/I9-1,"")</f>
        <v/>
      </c>
      <c r="K40" s="31">
        <f>IFERROR(K9/J9-1,"")</f>
        <v/>
      </c>
      <c r="L40" s="31">
        <f>IFERROR(L9/K9-1,"")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F41" s="19">
        <f>IFERROR(F19/E19-1,"")</f>
        <v/>
      </c>
      <c r="G41" s="19">
        <f>IFERROR(G19/F19-1,"")</f>
        <v/>
      </c>
      <c r="H41" s="19">
        <f>IFERROR(H19/G19-1,"")</f>
        <v/>
      </c>
      <c r="I41" s="46">
        <f>IFERROR(I19/H19-1,"")</f>
        <v/>
      </c>
      <c r="J41" s="31">
        <f>IFERROR(J19/I19-1,"")</f>
        <v/>
      </c>
      <c r="K41" s="31">
        <f>IFERROR(K19/J19-1,"")</f>
        <v/>
      </c>
      <c r="L41" s="31">
        <f>IFERROR(L19/K19-1,"")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19">
        <f>IFERROR(E7/D8,"")</f>
        <v/>
      </c>
      <c r="F11" s="19">
        <f>IFERROR(F7/E8,"")</f>
        <v/>
      </c>
      <c r="G11" s="19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5">
        <f>변수!D46</f>
        <v/>
      </c>
      <c r="E15" s="18">
        <f>IFERROR(ROUND($D$14*D15,-2),"")</f>
        <v/>
      </c>
      <c r="F15" s="19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5">
        <f>변수!D47</f>
        <v/>
      </c>
      <c r="E16" s="18">
        <f>IFERROR(ROUND($D$14*D16,-2),"")</f>
        <v/>
      </c>
      <c r="F16" s="19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5">
        <f>변수!D48</f>
        <v/>
      </c>
      <c r="E17" s="18">
        <f>IFERROR(ROUND($D$14*D17,-2),"")</f>
        <v/>
      </c>
      <c r="F17" s="19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5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19">
        <f>IFERROR($D$14/$D$21,"")</f>
        <v/>
      </c>
    </row>
    <row r="23">
      <c r="C23" t="inlineStr">
        <is>
          <t>COE</t>
        </is>
      </c>
      <c r="D23" s="19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19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-860.9</v>
      </c>
    </row>
    <row r="30">
      <c r="C30" s="2" t="inlineStr">
        <is>
          <t>bps_latest</t>
        </is>
      </c>
      <c r="D30" t="n">
        <v>8064.4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0.28</v>
      </c>
    </row>
    <row r="33">
      <c r="C33" s="2" t="inlineStr">
        <is>
          <t>roe_fwd</t>
        </is>
      </c>
      <c r="D33" t="n">
        <v>-0.1068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19">
        <f>IFERROR(F5/E5-1,"")</f>
        <v/>
      </c>
      <c r="G6" s="19">
        <f>IFERROR(G5/F5-1,"")</f>
        <v/>
      </c>
      <c r="H6" s="19">
        <f>IFERROR(H5/G5-1,"")</f>
        <v/>
      </c>
      <c r="I6" s="19">
        <f>IFERROR(I5/H5-1,"")</f>
        <v/>
      </c>
      <c r="J6" s="19">
        <f>IFERROR(J5/I5-1,"")</f>
        <v/>
      </c>
      <c r="K6" s="19">
        <f>IFERROR(K5/J5-1,"")</f>
        <v/>
      </c>
      <c r="L6" s="19">
        <f>IFERROR(L5/K5-1,"")</f>
        <v/>
      </c>
      <c r="M6" s="19">
        <f>IFERROR(M5/L5-1,"")</f>
        <v/>
      </c>
      <c r="N6" s="19">
        <f>IFERROR(N5/M5-1,"")</f>
        <v/>
      </c>
      <c r="O6" s="19">
        <f>IFERROR(O5/N5-1,"")</f>
        <v/>
      </c>
      <c r="P6" s="19">
        <f>IFERROR(P5/O5-1,"")</f>
        <v/>
      </c>
      <c r="Q6" s="19">
        <f>IFERROR(Q5/P5-1,"")</f>
        <v/>
      </c>
      <c r="R6" s="19">
        <f>IFERROR(R5/Q5-1,"")</f>
        <v/>
      </c>
      <c r="S6" s="19">
        <f>IFERROR(S5/R5-1,"")</f>
        <v/>
      </c>
      <c r="T6" s="19">
        <f>IFERROR(T5/S5-1,"")</f>
        <v/>
      </c>
      <c r="U6" s="19">
        <f>IFERROR(U5/T5-1,"")</f>
        <v/>
      </c>
      <c r="V6" s="19">
        <f>IFERROR(V5/U5-1,"")</f>
        <v/>
      </c>
      <c r="W6" s="19">
        <f>IFERROR(W5/V5-1,"")</f>
        <v/>
      </c>
      <c r="X6" s="31">
        <f>IFERROR(X5/W5-1,"")</f>
        <v/>
      </c>
      <c r="Y6" s="31">
        <f>IFERROR(Y5/X5-1,"")</f>
        <v/>
      </c>
      <c r="Z6" s="31">
        <f>IFERROR(Z5/Y5-1,"")</f>
        <v/>
      </c>
      <c r="AA6" s="31">
        <f>IFERROR(AA5/Z5-1,"")</f>
        <v/>
      </c>
      <c r="AB6" s="31">
        <f>IFERROR(AB5/AA5-1,"")</f>
        <v/>
      </c>
      <c r="AC6" s="31">
        <f>IFERROR(AC5/AB5-1,"")</f>
        <v/>
      </c>
      <c r="AD6" s="31">
        <f>IFERROR(AD5/AC5-1,"")</f>
        <v/>
      </c>
      <c r="AE6" s="31">
        <f>IFERROR(AE5/AD5-1,"")</f>
        <v/>
      </c>
      <c r="AF6" s="31">
        <f>IFERROR(AF5/AE5-1,"")</f>
        <v/>
      </c>
      <c r="AG6" s="31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19">
        <f>IFERROR(F7/E7-1,"")</f>
        <v/>
      </c>
      <c r="G8" s="19">
        <f>IFERROR(G7/F7-1,"")</f>
        <v/>
      </c>
      <c r="H8" s="19">
        <f>IFERROR(H7/G7-1,"")</f>
        <v/>
      </c>
      <c r="I8" s="19">
        <f>IFERROR(I7/H7-1,"")</f>
        <v/>
      </c>
      <c r="J8" s="19">
        <f>IFERROR(J7/I7-1,"")</f>
        <v/>
      </c>
      <c r="K8" s="19">
        <f>IFERROR(K7/J7-1,"")</f>
        <v/>
      </c>
      <c r="L8" s="19">
        <f>IFERROR(L7/K7-1,"")</f>
        <v/>
      </c>
      <c r="M8" s="19">
        <f>IFERROR(M7/L7-1,"")</f>
        <v/>
      </c>
      <c r="N8" s="19">
        <f>IFERROR(N7/M7-1,"")</f>
        <v/>
      </c>
      <c r="O8" s="19">
        <f>IFERROR(O7/N7-1,"")</f>
        <v/>
      </c>
      <c r="P8" s="19">
        <f>IFERROR(P7/O7-1,"")</f>
        <v/>
      </c>
      <c r="Q8" s="19">
        <f>IFERROR(Q7/P7-1,"")</f>
        <v/>
      </c>
      <c r="R8" s="19">
        <f>IFERROR(R7/Q7-1,"")</f>
        <v/>
      </c>
      <c r="S8" s="19">
        <f>IFERROR(S7/R7-1,"")</f>
        <v/>
      </c>
      <c r="T8" s="19">
        <f>IFERROR(T7/S7-1,"")</f>
        <v/>
      </c>
      <c r="U8" s="19">
        <f>IFERROR(U7/T7-1,"")</f>
        <v/>
      </c>
      <c r="V8" s="19">
        <f>IFERROR(V7/U7-1,"")</f>
        <v/>
      </c>
      <c r="W8" s="19">
        <f>IFERROR(W7/V7-1,"")</f>
        <v/>
      </c>
      <c r="X8" s="31">
        <f>IFERROR(X7/W7-1,"")</f>
        <v/>
      </c>
      <c r="Y8" s="31">
        <f>IFERROR(Y7/X7-1,"")</f>
        <v/>
      </c>
      <c r="Z8" s="31">
        <f>IFERROR(Z7/Y7-1,"")</f>
        <v/>
      </c>
      <c r="AA8" s="31">
        <f>IFERROR(AA7/Z7-1,"")</f>
        <v/>
      </c>
      <c r="AB8" s="31">
        <f>IFERROR(AB7/AA7-1,"")</f>
        <v/>
      </c>
      <c r="AC8" s="31">
        <f>IFERROR(AC7/AB7-1,"")</f>
        <v/>
      </c>
      <c r="AD8" s="31">
        <f>IFERROR(AD7/AC7-1,"")</f>
        <v/>
      </c>
      <c r="AE8" s="31">
        <f>IFERROR(AE7/AD7-1,"")</f>
        <v/>
      </c>
      <c r="AF8" s="31">
        <f>IFERROR(AF7/AE7-1,"")</f>
        <v/>
      </c>
      <c r="AG8" s="31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19">
        <f>IFERROR(F9/E9-1,"")</f>
        <v/>
      </c>
      <c r="G10" s="19">
        <f>IFERROR(G9/F9-1,"")</f>
        <v/>
      </c>
      <c r="H10" s="19">
        <f>IFERROR(H9/G9-1,"")</f>
        <v/>
      </c>
      <c r="I10" s="19">
        <f>IFERROR(I9/H9-1,"")</f>
        <v/>
      </c>
      <c r="J10" s="19">
        <f>IFERROR(J9/I9-1,"")</f>
        <v/>
      </c>
      <c r="K10" s="19">
        <f>IFERROR(K9/J9-1,"")</f>
        <v/>
      </c>
      <c r="L10" s="19">
        <f>IFERROR(L9/K9-1,"")</f>
        <v/>
      </c>
      <c r="M10" s="19">
        <f>IFERROR(M9/L9-1,"")</f>
        <v/>
      </c>
      <c r="N10" s="19">
        <f>IFERROR(N9/M9-1,"")</f>
        <v/>
      </c>
      <c r="O10" s="19">
        <f>IFERROR(O9/N9-1,"")</f>
        <v/>
      </c>
      <c r="P10" s="19">
        <f>IFERROR(P9/O9-1,"")</f>
        <v/>
      </c>
      <c r="Q10" s="19">
        <f>IFERROR(Q9/P9-1,"")</f>
        <v/>
      </c>
      <c r="R10" s="19">
        <f>IFERROR(R9/Q9-1,"")</f>
        <v/>
      </c>
      <c r="S10" s="19">
        <f>IFERROR(S9/R9-1,"")</f>
        <v/>
      </c>
      <c r="T10" s="19">
        <f>IFERROR(T9/S9-1,"")</f>
        <v/>
      </c>
      <c r="U10" s="19">
        <f>IFERROR(U9/T9-1,"")</f>
        <v/>
      </c>
      <c r="V10" s="19">
        <f>IFERROR(V9/U9-1,"")</f>
        <v/>
      </c>
      <c r="W10" s="19">
        <f>IFERROR(W9/V9-1,"")</f>
        <v/>
      </c>
      <c r="X10" s="31">
        <f>IFERROR(X9/W9-1,"")</f>
        <v/>
      </c>
      <c r="Y10" s="31">
        <f>IFERROR(Y9/X9-1,"")</f>
        <v/>
      </c>
      <c r="Z10" s="31">
        <f>IFERROR(Z9/Y9-1,"")</f>
        <v/>
      </c>
      <c r="AA10" s="31">
        <f>IFERROR(AA9/Z9-1,"")</f>
        <v/>
      </c>
      <c r="AB10" s="31">
        <f>IFERROR(AB9/AA9-1,"")</f>
        <v/>
      </c>
      <c r="AC10" s="31">
        <f>IFERROR(AC9/AB9-1,"")</f>
        <v/>
      </c>
      <c r="AD10" s="31">
        <f>IFERROR(AD9/AC9-1,"")</f>
        <v/>
      </c>
      <c r="AE10" s="31">
        <f>IFERROR(AE9/AD9-1,"")</f>
        <v/>
      </c>
      <c r="AF10" s="31">
        <f>IFERROR(AF9/AE9-1,"")</f>
        <v/>
      </c>
      <c r="AG10" s="31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19">
        <f>IFERROR(F11/E11-1,"")</f>
        <v/>
      </c>
      <c r="G12" s="19">
        <f>IFERROR(G11/F11-1,"")</f>
        <v/>
      </c>
      <c r="H12" s="19">
        <f>IFERROR(H11/G11-1,"")</f>
        <v/>
      </c>
      <c r="I12" s="19">
        <f>IFERROR(I11/H11-1,"")</f>
        <v/>
      </c>
      <c r="J12" s="19">
        <f>IFERROR(J11/I11-1,"")</f>
        <v/>
      </c>
      <c r="K12" s="19">
        <f>IFERROR(K11/J11-1,"")</f>
        <v/>
      </c>
      <c r="L12" s="19">
        <f>IFERROR(L11/K11-1,"")</f>
        <v/>
      </c>
      <c r="M12" s="19">
        <f>IFERROR(M11/L11-1,"")</f>
        <v/>
      </c>
      <c r="N12" s="19">
        <f>IFERROR(N11/M11-1,"")</f>
        <v/>
      </c>
      <c r="O12" s="19">
        <f>IFERROR(O11/N11-1,"")</f>
        <v/>
      </c>
      <c r="P12" s="19">
        <f>IFERROR(P11/O11-1,"")</f>
        <v/>
      </c>
      <c r="Q12" s="19">
        <f>IFERROR(Q11/P11-1,"")</f>
        <v/>
      </c>
      <c r="R12" s="19">
        <f>IFERROR(R11/Q11-1,"")</f>
        <v/>
      </c>
      <c r="S12" s="19">
        <f>IFERROR(S11/R11-1,"")</f>
        <v/>
      </c>
      <c r="T12" s="19">
        <f>IFERROR(T11/S11-1,"")</f>
        <v/>
      </c>
      <c r="U12" s="19">
        <f>IFERROR(U11/T11-1,"")</f>
        <v/>
      </c>
      <c r="V12" s="19">
        <f>IFERROR(V11/U11-1,"")</f>
        <v/>
      </c>
      <c r="W12" s="19">
        <f>IFERROR(W11/V11-1,"")</f>
        <v/>
      </c>
      <c r="X12" s="31">
        <f>IFERROR(X11/W11-1,"")</f>
        <v/>
      </c>
      <c r="Y12" s="31">
        <f>IFERROR(Y11/X11-1,"")</f>
        <v/>
      </c>
      <c r="Z12" s="31">
        <f>IFERROR(Z11/Y11-1,"")</f>
        <v/>
      </c>
      <c r="AA12" s="31">
        <f>IFERROR(AA11/Z11-1,"")</f>
        <v/>
      </c>
      <c r="AB12" s="31">
        <f>IFERROR(AB11/AA11-1,"")</f>
        <v/>
      </c>
      <c r="AC12" s="31">
        <f>IFERROR(AC11/AB11-1,"")</f>
        <v/>
      </c>
      <c r="AD12" s="31">
        <f>IFERROR(AD11/AC11-1,"")</f>
        <v/>
      </c>
      <c r="AE12" s="31">
        <f>IFERROR(AE11/AD11-1,"")</f>
        <v/>
      </c>
      <c r="AF12" s="31">
        <f>IFERROR(AF11/AE11-1,"")</f>
        <v/>
      </c>
      <c r="AG12" s="31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19">
        <f>IFERROR(F13/E13-1,"")</f>
        <v/>
      </c>
      <c r="G14" s="19">
        <f>IFERROR(G13/F13-1,"")</f>
        <v/>
      </c>
      <c r="H14" s="19">
        <f>IFERROR(H13/G13-1,"")</f>
        <v/>
      </c>
      <c r="I14" s="19">
        <f>IFERROR(I13/H13-1,"")</f>
        <v/>
      </c>
      <c r="J14" s="19">
        <f>IFERROR(J13/I13-1,"")</f>
        <v/>
      </c>
      <c r="K14" s="19">
        <f>IFERROR(K13/J13-1,"")</f>
        <v/>
      </c>
      <c r="L14" s="19">
        <f>IFERROR(L13/K13-1,"")</f>
        <v/>
      </c>
      <c r="M14" s="19">
        <f>IFERROR(M13/L13-1,"")</f>
        <v/>
      </c>
      <c r="N14" s="19">
        <f>IFERROR(N13/M13-1,"")</f>
        <v/>
      </c>
      <c r="O14" s="19">
        <f>IFERROR(O13/N13-1,"")</f>
        <v/>
      </c>
      <c r="P14" s="19">
        <f>IFERROR(P13/O13-1,"")</f>
        <v/>
      </c>
      <c r="Q14" s="19">
        <f>IFERROR(Q13/P13-1,"")</f>
        <v/>
      </c>
      <c r="R14" s="19">
        <f>IFERROR(R13/Q13-1,"")</f>
        <v/>
      </c>
      <c r="S14" s="19">
        <f>IFERROR(S13/R13-1,"")</f>
        <v/>
      </c>
      <c r="T14" s="19">
        <f>IFERROR(T13/S13-1,"")</f>
        <v/>
      </c>
      <c r="U14" s="19">
        <f>IFERROR(U13/T13-1,"")</f>
        <v/>
      </c>
      <c r="V14" s="19">
        <f>IFERROR(V13/U13-1,"")</f>
        <v/>
      </c>
      <c r="W14" s="19">
        <f>IFERROR(W13/V13-1,"")</f>
        <v/>
      </c>
      <c r="X14" s="31">
        <f>IFERROR(X13/W13-1,"")</f>
        <v/>
      </c>
      <c r="Y14" s="31">
        <f>IFERROR(Y13/X13-1,"")</f>
        <v/>
      </c>
      <c r="Z14" s="31">
        <f>IFERROR(Z13/Y13-1,"")</f>
        <v/>
      </c>
      <c r="AA14" s="31">
        <f>IFERROR(AA13/Z13-1,"")</f>
        <v/>
      </c>
      <c r="AB14" s="31">
        <f>IFERROR(AB13/AA13-1,"")</f>
        <v/>
      </c>
      <c r="AC14" s="31">
        <f>IFERROR(AC13/AB13-1,"")</f>
        <v/>
      </c>
      <c r="AD14" s="31">
        <f>IFERROR(AD13/AC13-1,"")</f>
        <v/>
      </c>
      <c r="AE14" s="31">
        <f>IFERROR(AE13/AD13-1,"")</f>
        <v/>
      </c>
      <c r="AF14" s="31">
        <f>IFERROR(AF13/AE13-1,"")</f>
        <v/>
      </c>
      <c r="AG14" s="31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5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37">
        <f>IFERROR($D$16*(X7-W7)/100,"")</f>
        <v/>
      </c>
      <c r="Y17" s="37">
        <f>IFERROR($D$16*(Y7-X7)/100,"")</f>
        <v/>
      </c>
      <c r="Z17" s="37">
        <f>IFERROR($D$16*(Z7-Y7)/100,"")</f>
        <v/>
      </c>
      <c r="AA17" s="37">
        <f>IFERROR($D$16*(AA7-Z7)/100,"")</f>
        <v/>
      </c>
      <c r="AB17" s="37">
        <f>IFERROR($D$16*(AB7-AA7)/100,"")</f>
        <v/>
      </c>
      <c r="AC17" s="37">
        <f>IFERROR($D$16*(AC7-AB7)/100,"")</f>
        <v/>
      </c>
      <c r="AD17" s="37">
        <f>IFERROR($D$16*(AD7-AC7)/100,"")</f>
        <v/>
      </c>
      <c r="AE17" s="37">
        <f>IFERROR($D$16*(AE7-AD7)/100,"")</f>
        <v/>
      </c>
      <c r="AF17" s="37">
        <f>IFERROR($D$16*(AF7-AE7)/100,"")</f>
        <v/>
      </c>
      <c r="AG17" s="37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