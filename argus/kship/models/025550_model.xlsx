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66791억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68546억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72093억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76075억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80863억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85863억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91120억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95315억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66791억 × 비례계수 0.0132(원점회귀; 격자 lag0~4×창8/12/19×수준·YoY·4Q합 중 최대 r=0.90, n=8, 창 8)
[yoy]</t>
      </text>
    </comment>
    <comment ref="AG5" authorId="0" shapeId="0">
      <text>
        <t>추정: 고객 매출 가중지수(t−1) 68546억 × 비례계수 0.0132(원점회귀; 격자 lag0~4×창8/12/19×수준·YoY·4Q합 중 최대 r=0.90, n=8, 창 8)
[yoy]</t>
      </text>
    </comment>
    <comment ref="AH5" authorId="0" shapeId="0">
      <text>
        <t>추정: 고객 매출 가중지수(t−1) 72093억 × 비례계수 0.0132(원점회귀; 격자 lag0~4×창8/12/19×수준·YoY·4Q합 중 최대 r=0.90, n=8, 창 8)
[yoy]</t>
      </text>
    </comment>
    <comment ref="AI5" authorId="0" shapeId="0">
      <text>
        <t>추정: 고객 매출 가중지수(t−1) 76075억 × 비례계수 0.0132(원점회귀; 격자 lag0~4×창8/12/19×수준·YoY·4Q합 중 최대 r=0.90, n=8, 창 8)
[yoy]</t>
      </text>
    </comment>
    <comment ref="AK5" authorId="0" shapeId="0">
      <text>
        <t>추정: 고객 매출 가중지수(t−1) 80863억 × 비례계수 0.0132(원점회귀; 격자 lag0~4×창8/12/19×수준·YoY·4Q합 중 최대 r=0.90, n=8, 창 8)
[yoy]</t>
      </text>
    </comment>
    <comment ref="AL5" authorId="0" shapeId="0">
      <text>
        <t>추정: 고객 매출 가중지수(t−1) 85863억 × 비례계수 0.0132(원점회귀; 격자 lag0~4×창8/12/19×수준·YoY·4Q합 중 최대 r=0.90, n=8, 창 8)
[yoy]</t>
      </text>
    </comment>
    <comment ref="AM5" authorId="0" shapeId="0">
      <text>
        <t>추정: 고객 매출 가중지수(t−1) 91120억 × 비례계수 0.0132(원점회귀; 격자 lag0~4×창8/12/19×수준·YoY·4Q합 중 최대 r=0.90, n=8, 창 8)
[yoy]</t>
      </text>
    </comment>
    <comment ref="AN5" authorId="0" shapeId="0">
      <text>
        <t>추정: 고객 매출 가중지수(t−1) 95315억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2343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0.33341218</v>
      </c>
      <c r="AG21" s="24" t="n">
        <v>0.261553082</v>
      </c>
      <c r="AH21" s="24" t="n">
        <v>0.138531298</v>
      </c>
      <c r="AI21" s="24" t="n">
        <v>0.153525398</v>
      </c>
      <c r="AJ21" s="25" t="n"/>
      <c r="AK21" s="24" t="n">
        <v>0.21067317</v>
      </c>
      <c r="AL21" s="24" t="n">
        <v>0.25265252</v>
      </c>
      <c r="AM21" s="24" t="n">
        <v>0.263926106</v>
      </c>
      <c r="AN21" s="24" t="n">
        <v>0.252900348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0.036885385</v>
      </c>
      <c r="AG23" s="24" t="n">
        <v>0.036881079</v>
      </c>
      <c r="AH23" s="24" t="n">
        <v>0.036884083</v>
      </c>
      <c r="AI23" s="24" t="n">
        <v>0.03688545</v>
      </c>
      <c r="AJ23" s="25">
        <f>IFERROR(subQ!AJ9/subQ!AJ5,"")</f>
        <v/>
      </c>
      <c r="AK23" s="24" t="n">
        <v>0.036884363</v>
      </c>
      <c r="AL23" s="24" t="n">
        <v>0.036889007</v>
      </c>
      <c r="AM23" s="24" t="n">
        <v>0.036889233</v>
      </c>
      <c r="AN23" s="24" t="n">
        <v>0.036887494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-0.004407448</v>
      </c>
      <c r="AD32" s="30" t="n">
        <v>0.006491485</v>
      </c>
      <c r="AE32" s="31" t="n"/>
      <c r="AF32" s="30" t="n">
        <v>-0.000493777</v>
      </c>
      <c r="AG32" s="30" t="n">
        <v>-0.00937285</v>
      </c>
      <c r="AH32" s="30" t="n">
        <v>0.008658832999999999</v>
      </c>
      <c r="AI32" s="30" t="n">
        <v>-0.004120155</v>
      </c>
      <c r="AJ32" s="31" t="n"/>
      <c r="AK32" s="30" t="n">
        <v>0.005041918</v>
      </c>
      <c r="AL32" s="30" t="n">
        <v>0.005681314</v>
      </c>
      <c r="AM32" s="30" t="n">
        <v>-0.004044162</v>
      </c>
      <c r="AN32" s="30" t="n">
        <v>0.01017811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0.004117307</v>
      </c>
      <c r="AD33" s="30" t="n">
        <v>-0.000565093</v>
      </c>
      <c r="AE33" s="31" t="n"/>
      <c r="AF33" s="30" t="n">
        <v>0.002644909</v>
      </c>
      <c r="AG33" s="30" t="n">
        <v>-0.004885395</v>
      </c>
      <c r="AH33" s="30" t="n">
        <v>0.006383081</v>
      </c>
      <c r="AI33" s="30" t="n">
        <v>-0.004664342</v>
      </c>
      <c r="AJ33" s="31" t="n"/>
      <c r="AK33" s="30" t="n">
        <v>-0.0009199120000000001</v>
      </c>
      <c r="AL33" s="30" t="n">
        <v>0.009419975000000001</v>
      </c>
      <c r="AM33" s="30" t="n">
        <v>-0.00038116</v>
      </c>
      <c r="AN33" s="30" t="n">
        <v>0.007376719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0.057567068</v>
      </c>
      <c r="AG35" s="24" t="n">
        <v>0.0541484</v>
      </c>
      <c r="AH35" s="24" t="n">
        <v>0.050699858</v>
      </c>
      <c r="AI35" s="24" t="n">
        <v>0.047504104</v>
      </c>
      <c r="AJ35" s="25" t="n"/>
      <c r="AK35" s="24" t="n">
        <v>0.044476116</v>
      </c>
      <c r="AL35" s="24" t="n">
        <v>0.04169346</v>
      </c>
      <c r="AM35" s="24" t="n">
        <v>0.039121314</v>
      </c>
      <c r="AN35" s="24" t="n">
        <v>0.036977111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-1.200698812</v>
      </c>
      <c r="AG36" s="24" t="n">
        <v>5.95264624</v>
      </c>
      <c r="AH36" s="24" t="n">
        <v>0.844851763</v>
      </c>
      <c r="AI36" s="24" t="n">
        <v>0.450947391</v>
      </c>
      <c r="AJ36" s="25" t="n"/>
      <c r="AK36" s="24" t="n">
        <v>0.304770814</v>
      </c>
      <c r="AL36" s="24" t="n">
        <v>0.228706625</v>
      </c>
      <c r="AM36" s="24" t="n">
        <v>0.181934882</v>
      </c>
      <c r="AN36" s="24" t="n">
        <v>0.151165087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2310</v>
      </c>
      <c r="E44" s="2" t="inlineStr">
        <is>
          <t>원 — 네이버 정규장 종가(aik 확정종가 대조 · aik 2,365원)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0.2094251075479077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0.07949453927547728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0.4000494682166707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0.01418576362903842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0.02682426648205364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20.62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0.0196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