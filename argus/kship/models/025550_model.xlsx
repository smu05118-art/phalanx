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66794억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68524억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72071억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76054억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80843억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85845억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91102억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95298억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66794억 × 비례계수 0.0132(원점회귀; 격자 lag0~4×창8/12/19×수준·YoY·4Q합 중 최대 r=0.90, n=8, 창 8)
[yoy]</t>
      </text>
    </comment>
    <comment ref="AG5" authorId="0" shapeId="0">
      <text>
        <t>추정: 고객 매출 가중지수(t−1) 68524억 × 비례계수 0.0132(원점회귀; 격자 lag0~4×창8/12/19×수준·YoY·4Q합 중 최대 r=0.90, n=8, 창 8)
[yoy]</t>
      </text>
    </comment>
    <comment ref="AH5" authorId="0" shapeId="0">
      <text>
        <t>추정: 고객 매출 가중지수(t−1) 72071억 × 비례계수 0.0132(원점회귀; 격자 lag0~4×창8/12/19×수준·YoY·4Q합 중 최대 r=0.90, n=8, 창 8)
[yoy]</t>
      </text>
    </comment>
    <comment ref="AI5" authorId="0" shapeId="0">
      <text>
        <t>추정: 고객 매출 가중지수(t−1) 76054억 × 비례계수 0.0132(원점회귀; 격자 lag0~4×창8/12/19×수준·YoY·4Q합 중 최대 r=0.90, n=8, 창 8)
[yoy]</t>
      </text>
    </comment>
    <comment ref="AK5" authorId="0" shapeId="0">
      <text>
        <t>추정: 고객 매출 가중지수(t−1) 80843억 × 비례계수 0.0132(원점회귀; 격자 lag0~4×창8/12/19×수준·YoY·4Q합 중 최대 r=0.90, n=8, 창 8)
[yoy]</t>
      </text>
    </comment>
    <comment ref="AL5" authorId="0" shapeId="0">
      <text>
        <t>추정: 고객 매출 가중지수(t−1) 85845억 × 비례계수 0.0132(원점회귀; 격자 lag0~4×창8/12/19×수준·YoY·4Q합 중 최대 r=0.90, n=8, 창 8)
[yoy]</t>
      </text>
    </comment>
    <comment ref="AM5" authorId="0" shapeId="0">
      <text>
        <t>추정: 고객 매출 가중지수(t−1) 91102억 × 비례계수 0.0132(원점회귀; 격자 lag0~4×창8/12/19×수준·YoY·4Q합 중 최대 r=0.90, n=8, 창 8)
[yoy]</t>
      </text>
    </comment>
    <comment ref="AN5" authorId="0" shapeId="0">
      <text>
        <t>추정: 고객 매출 가중지수(t−1) 95298억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2325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2346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0.333457552</v>
      </c>
      <c r="AG21" s="24" t="n">
        <v>0.261162681</v>
      </c>
      <c r="AH21" s="24" t="n">
        <v>0.138184342</v>
      </c>
      <c r="AI21" s="24" t="n">
        <v>0.153215246</v>
      </c>
      <c r="AJ21" s="25" t="n"/>
      <c r="AK21" s="24" t="n">
        <v>0.210337084</v>
      </c>
      <c r="AL21" s="24" t="n">
        <v>0.252763897</v>
      </c>
      <c r="AM21" s="24" t="n">
        <v>0.264059117</v>
      </c>
      <c r="AN21" s="24" t="n">
        <v>0.253018169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0.03688413</v>
      </c>
      <c r="AG23" s="24" t="n">
        <v>0.03688144</v>
      </c>
      <c r="AH23" s="24" t="n">
        <v>0.036884815</v>
      </c>
      <c r="AI23" s="24" t="n">
        <v>0.036885409</v>
      </c>
      <c r="AJ23" s="25">
        <f>IFERROR(subQ!AJ9/subQ!AJ5,"")</f>
        <v/>
      </c>
      <c r="AK23" s="24" t="n">
        <v>0.036883979</v>
      </c>
      <c r="AL23" s="24" t="n">
        <v>0.03688832</v>
      </c>
      <c r="AM23" s="24" t="n">
        <v>0.036888279</v>
      </c>
      <c r="AN23" s="24" t="n">
        <v>0.036885995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-0.004631838</v>
      </c>
      <c r="AD32" s="30" t="n">
        <v>0.006271214</v>
      </c>
      <c r="AE32" s="31" t="n"/>
      <c r="AF32" s="30" t="n">
        <v>-0.000701307</v>
      </c>
      <c r="AG32" s="30" t="n">
        <v>-0.007477934</v>
      </c>
      <c r="AH32" s="30" t="n">
        <v>0.000525206</v>
      </c>
      <c r="AI32" s="30" t="n">
        <v>-0.002284973</v>
      </c>
      <c r="AJ32" s="31" t="n"/>
      <c r="AK32" s="30" t="n">
        <v>0.006870352</v>
      </c>
      <c r="AL32" s="30" t="n">
        <v>-0.00252764</v>
      </c>
      <c r="AM32" s="30" t="n">
        <v>0.007736861</v>
      </c>
      <c r="AN32" s="30" t="n">
        <v>0.001925668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0.001306224</v>
      </c>
      <c r="AD33" s="30" t="n">
        <v>-0.003503837</v>
      </c>
      <c r="AE33" s="31" t="n"/>
      <c r="AF33" s="30" t="n">
        <v>-0.000302705</v>
      </c>
      <c r="AG33" s="30" t="n">
        <v>-0.011063612</v>
      </c>
      <c r="AH33" s="30" t="n">
        <v>3.697e-06</v>
      </c>
      <c r="AI33" s="30" t="n">
        <v>-0.001274413</v>
      </c>
      <c r="AJ33" s="31" t="n"/>
      <c r="AK33" s="30" t="n">
        <v>0.002196635</v>
      </c>
      <c r="AL33" s="30" t="n">
        <v>-0.007764504</v>
      </c>
      <c r="AM33" s="30" t="n">
        <v>0.00212752</v>
      </c>
      <c r="AN33" s="30" t="n">
        <v>-0.000362513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0.057560368</v>
      </c>
      <c r="AG35" s="24" t="n">
        <v>0.054161414</v>
      </c>
      <c r="AH35" s="24" t="n">
        <v>0.050699553</v>
      </c>
      <c r="AI35" s="24" t="n">
        <v>0.047515272</v>
      </c>
      <c r="AJ35" s="25" t="n"/>
      <c r="AK35" s="24" t="n">
        <v>0.044475387</v>
      </c>
      <c r="AL35" s="24" t="n">
        <v>0.041698034</v>
      </c>
      <c r="AM35" s="24" t="n">
        <v>0.039125547</v>
      </c>
      <c r="AN35" s="24" t="n">
        <v>0.036976219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-1.200698812</v>
      </c>
      <c r="AG36" s="24" t="n">
        <v>5.953342618</v>
      </c>
      <c r="AH36" s="24" t="n">
        <v>0.844867301</v>
      </c>
      <c r="AI36" s="24" t="n">
        <v>0.450898431</v>
      </c>
      <c r="AJ36" s="25" t="n"/>
      <c r="AK36" s="24" t="n">
        <v>0.304785423</v>
      </c>
      <c r="AL36" s="24" t="n">
        <v>0.22868695</v>
      </c>
      <c r="AM36" s="24" t="n">
        <v>0.181945482</v>
      </c>
      <c r="AN36" s="24" t="n">
        <v>0.151192639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2325</v>
      </c>
      <c r="E44" s="2" t="inlineStr">
        <is>
          <t>원 — 네이버 정규장 종가(aik 확정종가 대조 · aik 2,375원)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0.2094351431700829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0.07949468769166848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0.3998812527831379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0.01418495436989992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0.02682420084031387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20.76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0.0196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