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66789억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68537억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72084억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76066억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80855억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85856억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91113억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95308억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66789억 × 비례계수 0.0132(원점회귀; 격자 lag0~4×창8/12/19×수준·YoY·4Q합 중 최대 r=0.90, n=8, 창 8)
[yoy]</t>
      </text>
    </comment>
    <comment ref="AG5" authorId="0" shapeId="0">
      <text>
        <t>추정: 고객 매출 가중지수(t−1) 68537억 × 비례계수 0.0132(원점회귀; 격자 lag0~4×창8/12/19×수준·YoY·4Q합 중 최대 r=0.90, n=8, 창 8)
[yoy]</t>
      </text>
    </comment>
    <comment ref="AH5" authorId="0" shapeId="0">
      <text>
        <t>추정: 고객 매출 가중지수(t−1) 72084억 × 비례계수 0.0132(원점회귀; 격자 lag0~4×창8/12/19×수준·YoY·4Q합 중 최대 r=0.90, n=8, 창 8)
[yoy]</t>
      </text>
    </comment>
    <comment ref="AI5" authorId="0" shapeId="0">
      <text>
        <t>추정: 고객 매출 가중지수(t−1) 76066억 × 비례계수 0.0132(원점회귀; 격자 lag0~4×창8/12/19×수준·YoY·4Q합 중 최대 r=0.90, n=8, 창 8)
[yoy]</t>
      </text>
    </comment>
    <comment ref="AK5" authorId="0" shapeId="0">
      <text>
        <t>추정: 고객 매출 가중지수(t−1) 80855억 × 비례계수 0.0132(원점회귀; 격자 lag0~4×창8/12/19×수준·YoY·4Q합 중 최대 r=0.90, n=8, 창 8)
[yoy]</t>
      </text>
    </comment>
    <comment ref="AL5" authorId="0" shapeId="0">
      <text>
        <t>추정: 고객 매출 가중지수(t−1) 85856억 × 비례계수 0.0132(원점회귀; 격자 lag0~4×창8/12/19×수준·YoY·4Q합 중 최대 r=0.90, n=8, 창 8)
[yoy]</t>
      </text>
    </comment>
    <comment ref="AM5" authorId="0" shapeId="0">
      <text>
        <t>추정: 고객 매출 가중지수(t−1) 91113억 × 비례계수 0.0132(원점회귀; 격자 lag0~4×창8/12/19×수준·YoY·4Q합 중 최대 r=0.90, n=8, 창 8)
[yoy]</t>
      </text>
    </comment>
    <comment ref="AN5" authorId="0" shapeId="0">
      <text>
        <t>추정: 고객 매출 가중지수(t−1) 95308억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20.94%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2230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2190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2324.2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0.333351684</v>
      </c>
      <c r="AG21" s="24" t="n">
        <v>0.26139971</v>
      </c>
      <c r="AH21" s="24" t="n">
        <v>0.13838773</v>
      </c>
      <c r="AI21" s="24" t="n">
        <v>0.15339904</v>
      </c>
      <c r="AJ21" s="25" t="n"/>
      <c r="AK21" s="24" t="n">
        <v>0.210603328</v>
      </c>
      <c r="AL21" s="24" t="n">
        <v>0.252694293</v>
      </c>
      <c r="AM21" s="24" t="n">
        <v>0.26398041</v>
      </c>
      <c r="AN21" s="24" t="n">
        <v>0.252947972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0.036887059</v>
      </c>
      <c r="AG23" s="24" t="n">
        <v>0.036885563</v>
      </c>
      <c r="AH23" s="24" t="n">
        <v>0.036888735</v>
      </c>
      <c r="AI23" s="24" t="n">
        <v>0.036889491</v>
      </c>
      <c r="AJ23" s="25">
        <f>IFERROR(subQ!AJ9/subQ!AJ5,"")</f>
        <v/>
      </c>
      <c r="AK23" s="24" t="n">
        <v>0.036888164</v>
      </c>
      <c r="AL23" s="24" t="n">
        <v>0.036883438</v>
      </c>
      <c r="AM23" s="24" t="n">
        <v>0.036883985</v>
      </c>
      <c r="AN23" s="24" t="n">
        <v>0.036882184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-0.004752091</v>
      </c>
      <c r="AD32" s="30" t="n">
        <v>0.006136873</v>
      </c>
      <c r="AE32" s="31" t="n"/>
      <c r="AF32" s="30" t="n">
        <v>-0.0008438779999999999</v>
      </c>
      <c r="AG32" s="30" t="n">
        <v>0.000273465</v>
      </c>
      <c r="AH32" s="30" t="n">
        <v>-0.001711853</v>
      </c>
      <c r="AI32" s="30" t="n">
        <v>0.005459849</v>
      </c>
      <c r="AJ32" s="31" t="n"/>
      <c r="AK32" s="30" t="n">
        <v>0.004593767</v>
      </c>
      <c r="AL32" s="30" t="n">
        <v>-0.002701832</v>
      </c>
      <c r="AM32" s="30" t="n">
        <v>0.007540562</v>
      </c>
      <c r="AN32" s="30" t="n">
        <v>-0.008288373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0.002698978</v>
      </c>
      <c r="AD33" s="30" t="n">
        <v>-0.002048252</v>
      </c>
      <c r="AE33" s="31" t="n"/>
      <c r="AF33" s="30" t="n">
        <v>0.001156982</v>
      </c>
      <c r="AG33" s="30" t="n">
        <v>-0.006408877</v>
      </c>
      <c r="AH33" s="30" t="n">
        <v>0.004763514</v>
      </c>
      <c r="AI33" s="30" t="n">
        <v>0.003593691</v>
      </c>
      <c r="AJ33" s="31" t="n"/>
      <c r="AK33" s="30" t="n">
        <v>-0.002800504</v>
      </c>
      <c r="AL33" s="30" t="n">
        <v>-0.005768987</v>
      </c>
      <c r="AM33" s="30" t="n">
        <v>0.004274534</v>
      </c>
      <c r="AN33" s="30" t="n">
        <v>0.001901579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0.057567068</v>
      </c>
      <c r="AG35" s="24" t="n">
        <v>0.054154735</v>
      </c>
      <c r="AH35" s="24" t="n">
        <v>0.050693543</v>
      </c>
      <c r="AI35" s="24" t="n">
        <v>0.047515544</v>
      </c>
      <c r="AJ35" s="25" t="n"/>
      <c r="AK35" s="24" t="n">
        <v>0.04447563</v>
      </c>
      <c r="AL35" s="24" t="n">
        <v>0.041693024</v>
      </c>
      <c r="AM35" s="24" t="n">
        <v>0.039120921</v>
      </c>
      <c r="AN35" s="24" t="n">
        <v>0.036976754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-1.200698812</v>
      </c>
      <c r="AG36" s="24" t="n">
        <v>5.95264624</v>
      </c>
      <c r="AH36" s="24" t="n">
        <v>0.844951923</v>
      </c>
      <c r="AI36" s="24" t="n">
        <v>0.45092291</v>
      </c>
      <c r="AJ36" s="25" t="n"/>
      <c r="AK36" s="24" t="n">
        <v>0.30475941</v>
      </c>
      <c r="AL36" s="24" t="n">
        <v>0.228700066</v>
      </c>
      <c r="AM36" s="24" t="n">
        <v>0.181953975</v>
      </c>
      <c r="AN36" s="24" t="n">
        <v>0.151178863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2230</v>
      </c>
      <c r="E44" s="2" t="inlineStr">
        <is>
          <t>원 — 네이버 정규장 종가(aik 확정종가 대조 · aik 2,365원)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0.2094414893617021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0.07949374851626177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0.3999703176016622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0.01418541598811362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0.02682424235465481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19.91</v>
      </c>
    </row>
    <row r="32">
      <c r="C32" s="2" t="inlineStr">
        <is>
          <t>pbr_now</t>
        </is>
      </c>
      <c r="D32" t="n">
        <v>0.39</v>
      </c>
    </row>
    <row r="33">
      <c r="C33" s="2" t="inlineStr">
        <is>
          <t>roe_fwd</t>
        </is>
      </c>
      <c r="D33" t="n">
        <v>0.0196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11.39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