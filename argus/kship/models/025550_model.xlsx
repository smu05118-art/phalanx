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BS별도!$C$5:$AO$89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0.0132(원점회귀; 격자 lag0~4×창8/12/19×수준·YoY·4Q합 중 최대 r=0.90, n=8, 창 8)</t>
      </text>
    </comment>
    <comment ref="AD21" authorId="0" shapeId="0">
      <text>
        <t>모델값 역산(implied): v / 전년동기 − 1
고객 매출 가중지수(t−1) 65950억 × 비례계수 0.0132(원점회귀; 격자 lag0~4×창8/12/19×수준·YoY·4Q합 중 최대 r=0.90, n=8, 창 8)</t>
      </text>
    </comment>
    <comment ref="AF21" authorId="0" shapeId="0">
      <text>
        <t>모델값 역산(implied): v / 전년동기 − 1
고객 매출 가중지수(t−1) 67417억 × 비례계수 0.0132(원점회귀; 격자 lag0~4×창8/12/19×수준·YoY·4Q합 중 최대 r=0.90, n=8, 창 8)</t>
      </text>
    </comment>
    <comment ref="AG21" authorId="0" shapeId="0">
      <text>
        <t>모델값 역산(implied): v / 전년동기 − 1
고객 매출 가중지수(t−1) 69011억 × 비례계수 0.0132(원점회귀; 격자 lag0~4×창8/12/19×수준·YoY·4Q합 중 최대 r=0.90, n=8, 창 8)</t>
      </text>
    </comment>
    <comment ref="AH21" authorId="0" shapeId="0">
      <text>
        <t>모델값 역산(implied): v / 전년동기 − 1
고객 매출 가중지수(t−1) 72162억 × 비례계수 0.0132(원점회귀; 격자 lag0~4×창8/12/19×수준·YoY·4Q합 중 최대 r=0.90, n=8, 창 8)</t>
      </text>
    </comment>
    <comment ref="AI21" authorId="0" shapeId="0">
      <text>
        <t>모델값 역산(implied): v / 전년동기 − 1
고객 매출 가중지수(t−1) 75834억 × 비례계수 0.0132(원점회귀; 격자 lag0~4×창8/12/19×수준·YoY·4Q합 중 최대 r=0.90, n=8, 창 8)</t>
      </text>
    </comment>
    <comment ref="AK21" authorId="0" shapeId="0">
      <text>
        <t>모델값 역산(implied): v / 전년동기 − 1
고객 매출 가중지수(t−1) 80393억 × 비례계수 0.0132(원점회귀; 격자 lag0~4×창8/12/19×수준·YoY·4Q합 중 최대 r=0.90, n=8, 창 8)</t>
      </text>
    </comment>
    <comment ref="AL21" authorId="0" shapeId="0">
      <text>
        <t>모델값 역산(implied): v / 전년동기 − 1
고객 매출 가중지수(t−1) 85242억 × 비례계수 0.0132(원점회귀; 격자 lag0~4×창8/12/19×수준·YoY·4Q합 중 최대 r=0.90, n=8, 창 8)</t>
      </text>
    </comment>
    <comment ref="AM21" authorId="0" shapeId="0">
      <text>
        <t>모델값 역산(implied): v / 전년동기 − 1
고객 매출 가중지수(t−1) 90441억 × 비례계수 0.0132(원점회귀; 격자 lag0~4×창8/12/19×수준·YoY·4Q합 중 최대 r=0.90, n=8, 창 8)</t>
      </text>
    </comment>
    <comment ref="AN21" authorId="0" shapeId="0">
      <text>
        <t>모델값 역산(implied): v / 전년동기 − 1
고객 매출 가중지수(t−1) 94674억 × 비례계수 0.0132(원점회귀; 격자 lag0~4×창8/12/19×수준·YoY·4Q합 중 최대 r=0.90, n=8, 창 8)</t>
      </text>
    </comment>
    <comment ref="AC22" authorId="0" shapeId="0">
      <text>
        <t>3절 스칼라 '판관비율' 참조 — 숫자로 덮어쓰면 이 분기만 바뀐다
매출액 × 판관비율 7.95%(최근 4분기 중위)</t>
      </text>
    </comment>
    <comment ref="AD22" authorId="0" shapeId="0">
      <text>
        <t>3절 스칼라 '판관비율' 참조 — 숫자로 덮어쓰면 이 분기만 바뀐다
매출액 × 판관비율 7.95%(최근 4분기 중위)</t>
      </text>
    </comment>
    <comment ref="AF22" authorId="0" shapeId="0">
      <text>
        <t>3절 스칼라 '판관비율' 참조 — 숫자로 덮어쓰면 이 분기만 바뀐다
매출액 × 판관비율 7.95%(최근 4분기 중위)</t>
      </text>
    </comment>
    <comment ref="AG22" authorId="0" shapeId="0">
      <text>
        <t>3절 스칼라 '판관비율' 참조 — 숫자로 덮어쓰면 이 분기만 바뀐다
매출액 × 판관비율 7.95%(최근 4분기 중위)</t>
      </text>
    </comment>
    <comment ref="AH22" authorId="0" shapeId="0">
      <text>
        <t>3절 스칼라 '판관비율' 참조 — 숫자로 덮어쓰면 이 분기만 바뀐다
매출액 × 판관비율 7.95%(최근 4분기 중위)</t>
      </text>
    </comment>
    <comment ref="AI22" authorId="0" shapeId="0">
      <text>
        <t>3절 스칼라 '판관비율' 참조 — 숫자로 덮어쓰면 이 분기만 바뀐다
매출액 × 판관비율 7.95%(최근 4분기 중위)</t>
      </text>
    </comment>
    <comment ref="AK22" authorId="0" shapeId="0">
      <text>
        <t>3절 스칼라 '판관비율' 참조 — 숫자로 덮어쓰면 이 분기만 바뀐다
매출액 × 판관비율 7.95%(최근 4분기 중위)</t>
      </text>
    </comment>
    <comment ref="AL22" authorId="0" shapeId="0">
      <text>
        <t>3절 스칼라 '판관비율' 참조 — 숫자로 덮어쓰면 이 분기만 바뀐다
매출액 × 판관비율 7.95%(최근 4분기 중위)</t>
      </text>
    </comment>
    <comment ref="AM22" authorId="0" shapeId="0">
      <text>
        <t>3절 스칼라 '판관비율' 참조 — 숫자로 덮어쓰면 이 분기만 바뀐다
매출액 × 판관비율 7.95%(최근 4분기 중위)</t>
      </text>
    </comment>
    <comment ref="AN22" authorId="0" shapeId="0">
      <text>
        <t>3절 스칼라 '판관비율' 참조 — 숫자로 덮어쓰면 이 분기만 바뀐다
매출액 × 판관비율 7.95%(최근 4분기 중위)</t>
      </text>
    </comment>
    <comment ref="AC23" authorId="0" shapeId="0">
      <text>
        <t>모델값 역산(implied): v / 매출액
매출액 × OPM(최근 8분기 OPM 중위 3.7% 유지)</t>
      </text>
    </comment>
    <comment ref="AD23" authorId="0" shapeId="0">
      <text>
        <t>모델값 역산(implied): v / 매출액
매출액 × OPM(최근 8분기 OPM 중위 3.7% 유지)</t>
      </text>
    </comment>
    <comment ref="AF23" authorId="0" shapeId="0">
      <text>
        <t>모델값 역산(implied): v / 매출액
매출액 × OPM(최근 8분기 OPM 중위 3.7% 유지)</t>
      </text>
    </comment>
    <comment ref="AG23" authorId="0" shapeId="0">
      <text>
        <t>모델값 역산(implied): v / 매출액
매출액 × OPM(최근 8분기 OPM 중위 3.7% 유지)</t>
      </text>
    </comment>
    <comment ref="AH23" authorId="0" shapeId="0">
      <text>
        <t>모델값 역산(implied): v / 매출액
매출액 × OPM(최근 8분기 OPM 중위 3.7% 유지)</t>
      </text>
    </comment>
    <comment ref="AI23" authorId="0" shapeId="0">
      <text>
        <t>모델값 역산(implied): v / 매출액
매출액 × OPM(최근 8분기 OPM 중위 3.7% 유지)</t>
      </text>
    </comment>
    <comment ref="AK23" authorId="0" shapeId="0">
      <text>
        <t>모델값 역산(implied): v / 매출액
매출액 × OPM(최근 8분기 OPM 중위 3.7% 유지)</t>
      </text>
    </comment>
    <comment ref="AL23" authorId="0" shapeId="0">
      <text>
        <t>모델값 역산(implied): v / 매출액
매출액 × OPM(최근 8분기 OPM 중위 3.7% 유지)</t>
      </text>
    </comment>
    <comment ref="AM23" authorId="0" shapeId="0">
      <text>
        <t>모델값 역산(implied): v / 매출액
매출액 × OPM(최근 8분기 OPM 중위 3.7% 유지)</t>
      </text>
    </comment>
    <comment ref="AN23" authorId="0" shapeId="0">
      <text>
        <t>모델값 역산(implied): v / 매출액
매출액 × OPM(최근 8분기 OPM 중위 3.7%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4분기(2025Q2~2026Q2) 잔차 중위</t>
      </text>
    </comment>
    <comment ref="AD26" authorId="0" shapeId="0">
      <text>
        <t>모델값 역산(implied): 모델 v 그대로
최근 4분기(2025Q2~2026Q2) 잔차 중위</t>
      </text>
    </comment>
    <comment ref="AF26" authorId="0" shapeId="0">
      <text>
        <t>모델값 역산(implied): 모델 v 그대로
최근 4분기(2025Q2~2026Q2) 잔차 중위</t>
      </text>
    </comment>
    <comment ref="AG26" authorId="0" shapeId="0">
      <text>
        <t>모델값 역산(implied): 모델 v 그대로
최근 4분기(2025Q2~2026Q2) 잔차 중위</t>
      </text>
    </comment>
    <comment ref="AH26" authorId="0" shapeId="0">
      <text>
        <t>모델값 역산(implied): 모델 v 그대로
최근 4분기(2025Q2~2026Q2) 잔차 중위</t>
      </text>
    </comment>
    <comment ref="AI26" authorId="0" shapeId="0">
      <text>
        <t>모델값 역산(implied): 모델 v 그대로
최근 4분기(2025Q2~2026Q2) 잔차 중위</t>
      </text>
    </comment>
    <comment ref="AK26" authorId="0" shapeId="0">
      <text>
        <t>모델값 역산(implied): 모델 v 그대로
최근 4분기(2025Q2~2026Q2) 잔차 중위</t>
      </text>
    </comment>
    <comment ref="AL26" authorId="0" shapeId="0">
      <text>
        <t>모델값 역산(implied): 모델 v 그대로
최근 4분기(2025Q2~2026Q2) 잔차 중위</t>
      </text>
    </comment>
    <comment ref="AM26" authorId="0" shapeId="0">
      <text>
        <t>모델값 역산(implied): 모델 v 그대로
최근 4분기(2025Q2~2026Q2) 잔차 중위</t>
      </text>
    </comment>
    <comment ref="AN26" authorId="0" shapeId="0">
      <text>
        <t>모델값 역산(implied): 모델 v 그대로
최근 4분기(2025Q2~2026Q2)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D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F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G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H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I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K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L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M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N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C29" authorId="0" shapeId="0">
      <text>
        <t>3절 스칼라 '지배주주비중' 참조 — 숫자로 덮어쓰면 이 분기만 바뀐다
당기순이익 × (1 − 비지배 비중 60.0%, 최근 8분기 실측)</t>
      </text>
    </comment>
    <comment ref="AD29" authorId="0" shapeId="0">
      <text>
        <t>3절 스칼라 '지배주주비중' 참조 — 숫자로 덮어쓰면 이 분기만 바뀐다
당기순이익 × (1 − 비지배 비중 60.0%, 최근 8분기 실측)</t>
      </text>
    </comment>
    <comment ref="AF29" authorId="0" shapeId="0">
      <text>
        <t>3절 스칼라 '지배주주비중' 참조 — 숫자로 덮어쓰면 이 분기만 바뀐다
당기순이익 × (1 − 비지배 비중 60.0%, 최근 8분기 실측)</t>
      </text>
    </comment>
    <comment ref="AG29" authorId="0" shapeId="0">
      <text>
        <t>3절 스칼라 '지배주주비중' 참조 — 숫자로 덮어쓰면 이 분기만 바뀐다
당기순이익 × (1 − 비지배 비중 60.0%, 최근 8분기 실측)</t>
      </text>
    </comment>
    <comment ref="AH29" authorId="0" shapeId="0">
      <text>
        <t>3절 스칼라 '지배주주비중' 참조 — 숫자로 덮어쓰면 이 분기만 바뀐다
당기순이익 × (1 − 비지배 비중 60.0%, 최근 8분기 실측)</t>
      </text>
    </comment>
    <comment ref="AI29" authorId="0" shapeId="0">
      <text>
        <t>3절 스칼라 '지배주주비중' 참조 — 숫자로 덮어쓰면 이 분기만 바뀐다
당기순이익 × (1 − 비지배 비중 60.0%, 최근 8분기 실측)</t>
      </text>
    </comment>
    <comment ref="AK29" authorId="0" shapeId="0">
      <text>
        <t>3절 스칼라 '지배주주비중' 참조 — 숫자로 덮어쓰면 이 분기만 바뀐다
당기순이익 × (1 − 비지배 비중 60.0%, 최근 8분기 실측)</t>
      </text>
    </comment>
    <comment ref="AL29" authorId="0" shapeId="0">
      <text>
        <t>3절 스칼라 '지배주주비중' 참조 — 숫자로 덮어쓰면 이 분기만 바뀐다
당기순이익 × (1 − 비지배 비중 60.0%, 최근 8분기 실측)</t>
      </text>
    </comment>
    <comment ref="AM29" authorId="0" shapeId="0">
      <text>
        <t>3절 스칼라 '지배주주비중' 참조 — 숫자로 덮어쓰면 이 분기만 바뀐다
당기순이익 × (1 − 비지배 비중 60.0%, 최근 8분기 실측)</t>
      </text>
    </comment>
    <comment ref="AN29" authorId="0" shapeId="0">
      <text>
        <t>3절 스칼라 '지배주주비중' 참조 — 숫자로 덮어쓰면 이 분기만 바뀐다
당기순이익 × (1 − 비지배 비중 60.0%,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0.0132(원점회귀; 격자 lag0~4×창8/12/19×수준·YoY·4Q합 중 최대 r=0.90, n=8, 창 8)
[yoy]</t>
      </text>
    </comment>
    <comment ref="AD5" authorId="0" shapeId="0">
      <text>
        <t>추정: 고객 매출 가중지수(t−1) 65950억 × 비례계수 0.0132(원점회귀; 격자 lag0~4×창8/12/19×수준·YoY·4Q합 중 최대 r=0.90, n=8, 창 8)
[yoy]</t>
      </text>
    </comment>
    <comment ref="AF5" authorId="0" shapeId="0">
      <text>
        <t>추정: 고객 매출 가중지수(t−1) 67417억 × 비례계수 0.0132(원점회귀; 격자 lag0~4×창8/12/19×수준·YoY·4Q합 중 최대 r=0.90, n=8, 창 8)
[yoy]</t>
      </text>
    </comment>
    <comment ref="AG5" authorId="0" shapeId="0">
      <text>
        <t>추정: 고객 매출 가중지수(t−1) 69011억 × 비례계수 0.0132(원점회귀; 격자 lag0~4×창8/12/19×수준·YoY·4Q합 중 최대 r=0.90, n=8, 창 8)
[yoy]</t>
      </text>
    </comment>
    <comment ref="AH5" authorId="0" shapeId="0">
      <text>
        <t>추정: 고객 매출 가중지수(t−1) 72162억 × 비례계수 0.0132(원점회귀; 격자 lag0~4×창8/12/19×수준·YoY·4Q합 중 최대 r=0.90, n=8, 창 8)
[yoy]</t>
      </text>
    </comment>
    <comment ref="AI5" authorId="0" shapeId="0">
      <text>
        <t>추정: 고객 매출 가중지수(t−1) 75834억 × 비례계수 0.0132(원점회귀; 격자 lag0~4×창8/12/19×수준·YoY·4Q합 중 최대 r=0.90, n=8, 창 8)
[yoy]</t>
      </text>
    </comment>
    <comment ref="AK5" authorId="0" shapeId="0">
      <text>
        <t>추정: 고객 매출 가중지수(t−1) 80393억 × 비례계수 0.0132(원점회귀; 격자 lag0~4×창8/12/19×수준·YoY·4Q합 중 최대 r=0.90, n=8, 창 8)
[yoy]</t>
      </text>
    </comment>
    <comment ref="AL5" authorId="0" shapeId="0">
      <text>
        <t>추정: 고객 매출 가중지수(t−1) 85242억 × 비례계수 0.0132(원점회귀; 격자 lag0~4×창8/12/19×수준·YoY·4Q합 중 최대 r=0.90, n=8, 창 8)
[yoy]</t>
      </text>
    </comment>
    <comment ref="AM5" authorId="0" shapeId="0">
      <text>
        <t>추정: 고객 매출 가중지수(t−1) 90441억 × 비례계수 0.0132(원점회귀; 격자 lag0~4×창8/12/19×수준·YoY·4Q합 중 최대 r=0.90, n=8, 창 8)
[yoy]</t>
      </text>
    </comment>
    <comment ref="AN5" authorId="0" shapeId="0">
      <text>
        <t>추정: 고객 매출 가중지수(t−1) 94674억 × 비례계수 0.0132(원점회귀; 격자 lag0~4×창8/12/19×수준·YoY·4Q합 중 최대 r=0.90,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7.95%(최근 4분기 중위)
[ratio]</t>
      </text>
    </comment>
    <comment ref="AD8" authorId="0" shapeId="0">
      <text>
        <t>추정: 매출액 × 판관비율 7.95%(최근 4분기 중위)
[ratio]</t>
      </text>
    </comment>
    <comment ref="AF8" authorId="0" shapeId="0">
      <text>
        <t>추정: 매출액 × 판관비율 7.95%(최근 4분기 중위)
[ratio]</t>
      </text>
    </comment>
    <comment ref="AG8" authorId="0" shapeId="0">
      <text>
        <t>추정: 매출액 × 판관비율 7.95%(최근 4분기 중위)
[ratio]</t>
      </text>
    </comment>
    <comment ref="AH8" authorId="0" shapeId="0">
      <text>
        <t>추정: 매출액 × 판관비율 7.95%(최근 4분기 중위)
[ratio]</t>
      </text>
    </comment>
    <comment ref="AI8" authorId="0" shapeId="0">
      <text>
        <t>추정: 매출액 × 판관비율 7.95%(최근 4분기 중위)
[ratio]</t>
      </text>
    </comment>
    <comment ref="AK8" authorId="0" shapeId="0">
      <text>
        <t>추정: 매출액 × 판관비율 7.95%(최근 4분기 중위)
[ratio]</t>
      </text>
    </comment>
    <comment ref="AL8" authorId="0" shapeId="0">
      <text>
        <t>추정: 매출액 × 판관비율 7.95%(최근 4분기 중위)
[ratio]</t>
      </text>
    </comment>
    <comment ref="AM8" authorId="0" shapeId="0">
      <text>
        <t>추정: 매출액 × 판관비율 7.95%(최근 4분기 중위)
[ratio]</t>
      </text>
    </comment>
    <comment ref="AN8" authorId="0" shapeId="0">
      <text>
        <t>추정: 매출액 × 판관비율 7.95%(최근 4분기 중위)
[ratio]</t>
      </text>
    </comment>
    <comment ref="AC9" authorId="0" shapeId="0">
      <text>
        <t>추정: 매출액 × OPM(최근 8분기 OPM 중위 3.7% 유지)
[ratio]</t>
      </text>
    </comment>
    <comment ref="AD9" authorId="0" shapeId="0">
      <text>
        <t>추정: 매출액 × OPM(최근 8분기 OPM 중위 3.7% 유지)
[ratio]</t>
      </text>
    </comment>
    <comment ref="AF9" authorId="0" shapeId="0">
      <text>
        <t>추정: 매출액 × OPM(최근 8분기 OPM 중위 3.7% 유지)
[ratio]</t>
      </text>
    </comment>
    <comment ref="AG9" authorId="0" shapeId="0">
      <text>
        <t>추정: 매출액 × OPM(최근 8분기 OPM 중위 3.7% 유지)
[ratio]</t>
      </text>
    </comment>
    <comment ref="AH9" authorId="0" shapeId="0">
      <text>
        <t>추정: 매출액 × OPM(최근 8분기 OPM 중위 3.7% 유지)
[ratio]</t>
      </text>
    </comment>
    <comment ref="AI9" authorId="0" shapeId="0">
      <text>
        <t>추정: 매출액 × OPM(최근 8분기 OPM 중위 3.7% 유지)
[ratio]</t>
      </text>
    </comment>
    <comment ref="AK9" authorId="0" shapeId="0">
      <text>
        <t>추정: 매출액 × OPM(최근 8분기 OPM 중위 3.7% 유지)
[ratio]</t>
      </text>
    </comment>
    <comment ref="AL9" authorId="0" shapeId="0">
      <text>
        <t>추정: 매출액 × OPM(최근 8분기 OPM 중위 3.7% 유지)
[ratio]</t>
      </text>
    </comment>
    <comment ref="AM9" authorId="0" shapeId="0">
      <text>
        <t>추정: 매출액 × OPM(최근 8분기 OPM 중위 3.7% 유지)
[ratio]</t>
      </text>
    </comment>
    <comment ref="AN9" authorId="0" shapeId="0">
      <text>
        <t>추정: 매출액 × OPM(최근 8분기 OPM 중위 3.7% 유지)
[ratio]</t>
      </text>
    </comment>
    <comment ref="AC10" authorId="0" shapeId="0">
      <text>
        <t>추정: 최근 8분기 OPM 중위 3.7% 유지
[divide]</t>
      </text>
    </comment>
    <comment ref="AD10" authorId="0" shapeId="0">
      <text>
        <t>추정: 최근 8분기 OPM 중위 3.7% 유지
[divide]</t>
      </text>
    </comment>
    <comment ref="AF10" authorId="0" shapeId="0">
      <text>
        <t>추정: 최근 8분기 OPM 중위 3.7% 유지
[divide]</t>
      </text>
    </comment>
    <comment ref="AG10" authorId="0" shapeId="0">
      <text>
        <t>추정: 최근 8분기 OPM 중위 3.7% 유지
[divide]</t>
      </text>
    </comment>
    <comment ref="AH10" authorId="0" shapeId="0">
      <text>
        <t>추정: 최근 8분기 OPM 중위 3.7% 유지
[divide]</t>
      </text>
    </comment>
    <comment ref="AI10" authorId="0" shapeId="0">
      <text>
        <t>추정: 최근 8분기 OPM 중위 3.7% 유지
[divide]</t>
      </text>
    </comment>
    <comment ref="AK10" authorId="0" shapeId="0">
      <text>
        <t>추정: 최근 8분기 OPM 중위 3.7% 유지
[divide]</t>
      </text>
    </comment>
    <comment ref="AL10" authorId="0" shapeId="0">
      <text>
        <t>추정: 최근 8분기 OPM 중위 3.7% 유지
[divide]</t>
      </text>
    </comment>
    <comment ref="AM10" authorId="0" shapeId="0">
      <text>
        <t>추정: 최근 8분기 OPM 중위 3.7% 유지
[divide]</t>
      </text>
    </comment>
    <comment ref="AN10" authorId="0" shapeId="0">
      <text>
        <t>추정: 최근 8분기 OPM 중위 3.7% 유지
[divide]</t>
      </text>
    </comment>
    <comment ref="AC11" authorId="0" shapeId="0">
      <text>
        <t>추정: 이자손익 + 외환손익 0 + 파생상품손익 0 + 기타금융손익 -0.87억(최근 4분기(2025Q2~2026Q2) 잔차 중위) (항등식); 이자손익 = 이자발생자산 244억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-0.87억(최근 4분기(2025Q2~2026Q2) 잔차 중위) (항등식); 이자손익 = 이자발생자산 158억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-0.87억(최근 4분기(2025Q2~2026Q2) 잔차 중위) (항등식); 이자손익 = 이자발생자산 72억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-0.87억(최근 4분기(2025Q2~2026Q2) 잔차 중위) (항등식); 이자손익 = 이자발생자산 -14억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-0.87억(최근 4분기(2025Q2~2026Q2) 잔차 중위) (항등식); 이자손익 = 이자발생자산 -99억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-0.87억(최근 4분기(2025Q2~2026Q2) 잔차 중위) (항등식); 이자손익 = 이자발생자산 -184억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-0.87억(최근 4분기(2025Q2~2026Q2) 잔차 중위) (항등식); 이자손익 = 이자발생자산 -267억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-0.87억(최근 4분기(2025Q2~2026Q2) 잔차 중위) (항등식); 이자손익 = 이자발생자산 -349억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-0.87억(최근 4분기(2025Q2~2026Q2) 잔차 중위) (항등식); 이자손익 = 이자발생자산 -429억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-0.87억(최근 4분기(2025Q2~2026Q2) 잔차 중위) (항등식); 이자손익 = 이자발생자산 -507억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C12" authorId="0" shapeId="0">
      <text>
        <t>추정: 이자발생자산 244억 × 1.42%(주석 이자수익 ÷ 평균 이자발생자산(2025Q2~2026Q2)) − 총차입금 1545억 × 2.68%(주석 이자비용 ÷ 평균 총차입금(2025Q2~2026Q2)) (연율) ÷ 4
[interest]</t>
      </text>
    </comment>
    <comment ref="AD12" authorId="0" shapeId="0">
      <text>
        <t>추정: 이자발생자산 158억 × 1.42%(주석 이자수익 ÷ 평균 이자발생자산(2025Q2~2026Q2)) − 총차입금 1545억 × 2.68%(주석 이자비용 ÷ 평균 총차입금(2025Q2~2026Q2)) (연율) ÷ 4
[interest]</t>
      </text>
    </comment>
    <comment ref="AF12" authorId="0" shapeId="0">
      <text>
        <t>추정: 이자발생자산 72억 × 1.42%(주석 이자수익 ÷ 평균 이자발생자산(2025Q2~2026Q2)) − 총차입금 1545억 × 2.68%(주석 이자비용 ÷ 평균 총차입금(2025Q2~2026Q2)) (연율) ÷ 4
[interest]</t>
      </text>
    </comment>
    <comment ref="AG12" authorId="0" shapeId="0">
      <text>
        <t>추정: 이자발생자산 -14억 × 1.42%(주석 이자수익 ÷ 평균 이자발생자산(2025Q2~2026Q2)) − 총차입금 1545억 × 2.68%(주석 이자비용 ÷ 평균 총차입금(2025Q2~2026Q2)) (연율) ÷ 4
[interest]</t>
      </text>
    </comment>
    <comment ref="AH12" authorId="0" shapeId="0">
      <text>
        <t>추정: 이자발생자산 -99억 × 1.42%(주석 이자수익 ÷ 평균 이자발생자산(2025Q2~2026Q2)) − 총차입금 1545억 × 2.68%(주석 이자비용 ÷ 평균 총차입금(2025Q2~2026Q2)) (연율) ÷ 4
[interest]</t>
      </text>
    </comment>
    <comment ref="AI12" authorId="0" shapeId="0">
      <text>
        <t>추정: 이자발생자산 -184억 × 1.42%(주석 이자수익 ÷ 평균 이자발생자산(2025Q2~2026Q2)) − 총차입금 1545억 × 2.68%(주석 이자비용 ÷ 평균 총차입금(2025Q2~2026Q2)) (연율) ÷ 4
[interest]</t>
      </text>
    </comment>
    <comment ref="AK12" authorId="0" shapeId="0">
      <text>
        <t>추정: 이자발생자산 -267억 × 1.42%(주석 이자수익 ÷ 평균 이자발생자산(2025Q2~2026Q2)) − 총차입금 1545억 × 2.68%(주석 이자비용 ÷ 평균 총차입금(2025Q2~2026Q2)) (연율) ÷ 4
[interest]</t>
      </text>
    </comment>
    <comment ref="AL12" authorId="0" shapeId="0">
      <text>
        <t>추정: 이자발생자산 -349억 × 1.42%(주석 이자수익 ÷ 평균 이자발생자산(2025Q2~2026Q2)) − 총차입금 1545억 × 2.68%(주석 이자비용 ÷ 평균 총차입금(2025Q2~2026Q2)) (연율) ÷ 4
[interest]</t>
      </text>
    </comment>
    <comment ref="AM12" authorId="0" shapeId="0">
      <text>
        <t>추정: 이자발생자산 -429억 × 1.42%(주석 이자수익 ÷ 평균 이자발생자산(2025Q2~2026Q2)) − 총차입금 1545억 × 2.68%(주석 이자비용 ÷ 평균 총차입금(2025Q2~2026Q2)) (연율) ÷ 4
[interest]</t>
      </text>
    </comment>
    <comment ref="AN12" authorId="0" shapeId="0">
      <text>
        <t>추정: 이자발생자산 -507억 × 1.42%(주석 이자수익 ÷ 평균 이자발생자산(2025Q2~2026Q2)) − 총차입금 1545억 × 2.68%(주석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4분기(2025Q2~2026Q2) 잔차 중위
[abs]</t>
      </text>
    </comment>
    <comment ref="AD15" authorId="0" shapeId="0">
      <text>
        <t>추정: 최근 4분기(2025Q2~2026Q2) 잔차 중위
[abs]</t>
      </text>
    </comment>
    <comment ref="AF15" authorId="0" shapeId="0">
      <text>
        <t>추정: 최근 4분기(2025Q2~2026Q2) 잔차 중위
[abs]</t>
      </text>
    </comment>
    <comment ref="AG15" authorId="0" shapeId="0">
      <text>
        <t>추정: 최근 4분기(2025Q2~2026Q2) 잔차 중위
[abs]</t>
      </text>
    </comment>
    <comment ref="AH15" authorId="0" shapeId="0">
      <text>
        <t>추정: 최근 4분기(2025Q2~2026Q2) 잔차 중위
[abs]</t>
      </text>
    </comment>
    <comment ref="AI15" authorId="0" shapeId="0">
      <text>
        <t>추정: 최근 4분기(2025Q2~2026Q2) 잔차 중위
[abs]</t>
      </text>
    </comment>
    <comment ref="AK15" authorId="0" shapeId="0">
      <text>
        <t>추정: 최근 4분기(2025Q2~2026Q2) 잔차 중위
[abs]</t>
      </text>
    </comment>
    <comment ref="AL15" authorId="0" shapeId="0">
      <text>
        <t>추정: 최근 4분기(2025Q2~2026Q2) 잔차 중위
[abs]</t>
      </text>
    </comment>
    <comment ref="AM15" authorId="0" shapeId="0">
      <text>
        <t>추정: 최근 4분기(2025Q2~2026Q2) 잔차 중위
[abs]</t>
      </text>
    </comment>
    <comment ref="AN15" authorId="0" shapeId="0">
      <text>
        <t>추정: 최근 4분기(2025Q2~2026Q2)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D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F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G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H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I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K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L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M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N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60.0%, 최근 8분기 실측)
[ratio]</t>
      </text>
    </comment>
    <comment ref="AD20" authorId="0" shapeId="0">
      <text>
        <t>추정: 당기순이익 × (1 − 비지배 비중 60.0%, 최근 8분기 실측)
[ratio]</t>
      </text>
    </comment>
    <comment ref="AF20" authorId="0" shapeId="0">
      <text>
        <t>추정: 당기순이익 × (1 − 비지배 비중 60.0%, 최근 8분기 실측)
[ratio]</t>
      </text>
    </comment>
    <comment ref="AG20" authorId="0" shapeId="0">
      <text>
        <t>추정: 당기순이익 × (1 − 비지배 비중 60.0%, 최근 8분기 실측)
[ratio]</t>
      </text>
    </comment>
    <comment ref="AH20" authorId="0" shapeId="0">
      <text>
        <t>추정: 당기순이익 × (1 − 비지배 비중 60.0%, 최근 8분기 실측)
[ratio]</t>
      </text>
    </comment>
    <comment ref="AI20" authorId="0" shapeId="0">
      <text>
        <t>추정: 당기순이익 × (1 − 비지배 비중 60.0%, 최근 8분기 실측)
[ratio]</t>
      </text>
    </comment>
    <comment ref="AK20" authorId="0" shapeId="0">
      <text>
        <t>추정: 당기순이익 × (1 − 비지배 비중 60.0%, 최근 8분기 실측)
[ratio]</t>
      </text>
    </comment>
    <comment ref="AL20" authorId="0" shapeId="0">
      <text>
        <t>추정: 당기순이익 × (1 − 비지배 비중 60.0%, 최근 8분기 실측)
[ratio]</t>
      </text>
    </comment>
    <comment ref="AM20" authorId="0" shapeId="0">
      <text>
        <t>추정: 당기순이익 × (1 − 비지배 비중 60.0%, 최근 8분기 실측)
[ratio]</t>
      </text>
    </comment>
    <comment ref="AN20" authorId="0" shapeId="0">
      <text>
        <t>추정: 당기순이익 × (1 − 비지배 비중 60.0%,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실측(계정 매핑 없음(파생·부문·시세 행) — 모델값 직접) — 영업이익 + 감가상각비(CF)</t>
      </text>
    </comment>
    <comment ref="T22" authorId="0" shapeId="0">
      <text>
        <t>실측(계정 매핑 없음(파생·부문·시세 행) — 모델값 직접) — 영업이익 + 감가상각비(CF)</t>
      </text>
    </comment>
    <comment ref="V22" authorId="0" shapeId="0">
      <text>
        <t>실측(계정 매핑 없음(파생·부문·시세 행) — 모델값 직접) — 영업이익 + 감가상각비(CF)</t>
      </text>
    </comment>
    <comment ref="W22" authorId="0" shapeId="0">
      <text>
        <t>실측(계정 매핑 없음(파생·부문·시세 행) — 모델값 직접) — 영업이익 + 감가상각비(CF)</t>
      </text>
    </comment>
    <comment ref="X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한국선재(025550)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20.94% — 법인세 = MAX(세전,0) × 세율, 추정 전 분기 연결(Σ법인세/Σmax(세전,0) 역산, 재현 오차 ≤ 0.05억). 모델 가정 20.94% · 근거: 최근 12분기 유효세율 214.5% 가 5~27% 밖 → 클립 대신 최근 8분기 중 세전 &gt; 0 인 3분기(2025Q2~2026Q2)의 법인세/세전 중위 20.9%</t>
        </is>
      </c>
    </row>
    <row r="23">
      <c r="A23" t="inlineStr">
        <is>
          <t>· 판관비율 7.95%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1.42% / 부채 2.68% — 이자손익 = (전분기 이자발생자산 × 자산이자율 − 전분기 총차입금 × 부채이자율)/4, 최소자승 역산(모델 assumptions [0.0142, 0.0268]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16.5/18.9/30.0배(hist_quarterly(분기 평균가 ÷ TTM EPS, 8분기, 25/50/75 백분위) · 캡 5~30배 적용(원값 16.5/18.9/269.8))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assets/models/025550.json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-7/-32/-123/-16(중위 -24억) → 추정 2026Q3 -10억(차 +14억, +57%)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16.4, "op_wape_pct": 90.2,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501.41, "rev_act": 560.09, "op_pred": 10.02, "op_act": 27.88}, {"q": "2025Q4", "rev_pred": 542.95, "rev_act": 539.23, "op_pred": 10.85, "op_act": -0.36}, {"q": "2026Q1", "rev_pred": 503.83, "rev_act": 661.2, "op_pred": 10.07, "op_act": 81.6}, {"q": "2026Q2", "rev_pred": 529.64, "rev_act": 717.21, "op_pred": 10.59, "op_act": 92.26}]}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5250</v>
      </c>
      <c r="F15" s="9" t="n"/>
      <c r="G15" s="18" t="n">
        <v>7080</v>
      </c>
      <c r="H15" s="18" t="n">
        <v>4255</v>
      </c>
      <c r="I15" s="18" t="n">
        <v>3700</v>
      </c>
      <c r="J15" s="18" t="n">
        <v>4010</v>
      </c>
      <c r="K15" s="9" t="n"/>
      <c r="L15" s="18" t="n">
        <v>4050</v>
      </c>
      <c r="M15" s="18" t="n">
        <v>4340</v>
      </c>
      <c r="N15" s="18" t="n">
        <v>4010</v>
      </c>
      <c r="O15" s="18" t="n">
        <v>3820</v>
      </c>
      <c r="P15" s="9" t="n"/>
      <c r="Q15" s="18" t="n">
        <v>3590</v>
      </c>
      <c r="R15" s="18" t="n">
        <v>3495</v>
      </c>
      <c r="S15" s="18" t="n">
        <v>2980</v>
      </c>
      <c r="T15" s="18" t="n">
        <v>4010</v>
      </c>
      <c r="U15" s="9" t="n"/>
      <c r="V15" s="18" t="n">
        <v>3130</v>
      </c>
      <c r="W15" s="18" t="n">
        <v>3540</v>
      </c>
      <c r="X15" s="18" t="n">
        <v>4015</v>
      </c>
      <c r="Y15" s="18" t="n">
        <v>3380</v>
      </c>
      <c r="Z15" s="9" t="n"/>
      <c r="AA15" s="18" t="n">
        <v>3120</v>
      </c>
      <c r="AB15" s="19" t="n">
        <v>2225</v>
      </c>
      <c r="AC15" s="20" t="n">
        <v>2320</v>
      </c>
      <c r="AD15" s="20" t="n">
        <v>2170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11150</v>
      </c>
      <c r="F16" s="9" t="n"/>
      <c r="G16" s="18" t="n">
        <v>8400</v>
      </c>
      <c r="H16" s="18" t="n">
        <v>7270</v>
      </c>
      <c r="I16" s="18" t="n">
        <v>5260</v>
      </c>
      <c r="J16" s="18" t="n">
        <v>5700</v>
      </c>
      <c r="K16" s="9" t="n"/>
      <c r="L16" s="18" t="n">
        <v>4690</v>
      </c>
      <c r="M16" s="18" t="n">
        <v>4945</v>
      </c>
      <c r="N16" s="18" t="n">
        <v>4420</v>
      </c>
      <c r="O16" s="18" t="n">
        <v>4300</v>
      </c>
      <c r="P16" s="9" t="n"/>
      <c r="Q16" s="18" t="n">
        <v>3835</v>
      </c>
      <c r="R16" s="18" t="n">
        <v>4115</v>
      </c>
      <c r="S16" s="18" t="n">
        <v>3520</v>
      </c>
      <c r="T16" s="18" t="n">
        <v>5220</v>
      </c>
      <c r="U16" s="9" t="n"/>
      <c r="V16" s="18" t="n">
        <v>5020</v>
      </c>
      <c r="W16" s="18" t="n">
        <v>6150</v>
      </c>
      <c r="X16" s="18" t="n">
        <v>5050</v>
      </c>
      <c r="Y16" s="18" t="n">
        <v>4380</v>
      </c>
      <c r="Z16" s="9" t="n"/>
      <c r="AA16" s="18" t="n">
        <v>3645</v>
      </c>
      <c r="AB16" s="19" t="n">
        <v>4855</v>
      </c>
      <c r="AC16" s="20" t="n">
        <v>2870</v>
      </c>
      <c r="AD16" s="20" t="n">
        <v>2450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3990</v>
      </c>
      <c r="F17" s="9" t="n"/>
      <c r="G17" s="18" t="n">
        <v>3680</v>
      </c>
      <c r="H17" s="18" t="n">
        <v>3760</v>
      </c>
      <c r="I17" s="18" t="n">
        <v>3550</v>
      </c>
      <c r="J17" s="18" t="n">
        <v>3470</v>
      </c>
      <c r="K17" s="9" t="n"/>
      <c r="L17" s="18" t="n">
        <v>3755</v>
      </c>
      <c r="M17" s="18" t="n">
        <v>3995</v>
      </c>
      <c r="N17" s="18" t="n">
        <v>3545</v>
      </c>
      <c r="O17" s="18" t="n">
        <v>3750</v>
      </c>
      <c r="P17" s="9" t="n"/>
      <c r="Q17" s="18" t="n">
        <v>3345</v>
      </c>
      <c r="R17" s="18" t="n">
        <v>3420</v>
      </c>
      <c r="S17" s="18" t="n">
        <v>2720</v>
      </c>
      <c r="T17" s="18" t="n">
        <v>2740</v>
      </c>
      <c r="U17" s="9" t="n"/>
      <c r="V17" s="18" t="n">
        <v>3130</v>
      </c>
      <c r="W17" s="18" t="n">
        <v>3140</v>
      </c>
      <c r="X17" s="18" t="n">
        <v>3110</v>
      </c>
      <c r="Y17" s="18" t="n">
        <v>3220</v>
      </c>
      <c r="Z17" s="9" t="n"/>
      <c r="AA17" s="18" t="n">
        <v>2865</v>
      </c>
      <c r="AB17" s="19" t="n">
        <v>2015</v>
      </c>
      <c r="AC17" s="20" t="n">
        <v>1801</v>
      </c>
      <c r="AD17" s="20" t="n">
        <v>2120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6188.4</v>
      </c>
      <c r="F18" s="9" t="n"/>
      <c r="G18" s="18" t="n">
        <v>5326.4</v>
      </c>
      <c r="H18" s="18" t="n">
        <v>5585.7</v>
      </c>
      <c r="I18" s="18" t="n">
        <v>4452.3</v>
      </c>
      <c r="J18" s="18" t="n">
        <v>4333.3</v>
      </c>
      <c r="K18" s="9" t="n"/>
      <c r="L18" s="18" t="n">
        <v>4184.4</v>
      </c>
      <c r="M18" s="18" t="n">
        <v>4282.6</v>
      </c>
      <c r="N18" s="18" t="n">
        <v>4059.5</v>
      </c>
      <c r="O18" s="18" t="n">
        <v>3940.5</v>
      </c>
      <c r="P18" s="9" t="n"/>
      <c r="Q18" s="18" t="n">
        <v>3647.5</v>
      </c>
      <c r="R18" s="18" t="n">
        <v>3581</v>
      </c>
      <c r="S18" s="18" t="n">
        <v>3135.2</v>
      </c>
      <c r="T18" s="18" t="n">
        <v>3178</v>
      </c>
      <c r="U18" s="9" t="n"/>
      <c r="V18" s="18" t="n">
        <v>3817.8</v>
      </c>
      <c r="W18" s="18" t="n">
        <v>3917.4</v>
      </c>
      <c r="X18" s="18" t="n">
        <v>3593</v>
      </c>
      <c r="Y18" s="18" t="n">
        <v>3669.1</v>
      </c>
      <c r="Z18" s="9" t="n"/>
      <c r="AA18" s="18" t="n">
        <v>3322.5</v>
      </c>
      <c r="AB18" s="19" t="n">
        <v>3268.5</v>
      </c>
      <c r="AC18" s="20" t="n">
        <v>2177.3</v>
      </c>
      <c r="AD18" s="20" t="n">
        <v>2290.6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0.492327593</v>
      </c>
      <c r="AD21" s="24" t="n">
        <v>0.61441075</v>
      </c>
      <c r="AE21" s="25" t="n"/>
      <c r="AF21" s="24" t="n">
        <v>0.345904648</v>
      </c>
      <c r="AG21" s="24" t="n">
        <v>0.270127962</v>
      </c>
      <c r="AH21" s="24" t="n">
        <v>0.139620023</v>
      </c>
      <c r="AI21" s="24" t="n">
        <v>0.149861006</v>
      </c>
      <c r="AJ21" s="25" t="n"/>
      <c r="AK21" s="24" t="n">
        <v>0.192457664</v>
      </c>
      <c r="AL21" s="24" t="n">
        <v>0.235183051</v>
      </c>
      <c r="AM21" s="24" t="n">
        <v>0.253301699</v>
      </c>
      <c r="AN21" s="24" t="n">
        <v>0.248441558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0.03688505</v>
      </c>
      <c r="AD23" s="24" t="n">
        <v>0.036885152</v>
      </c>
      <c r="AE23" s="25">
        <f>IFERROR(subQ!AE9/subQ!AE5,"")</f>
        <v/>
      </c>
      <c r="AF23" s="24" t="n">
        <v>0.036880134</v>
      </c>
      <c r="AG23" s="24" t="n">
        <v>0.036884571</v>
      </c>
      <c r="AH23" s="24" t="n">
        <v>0.036880341</v>
      </c>
      <c r="AI23" s="24" t="n">
        <v>0.036883117</v>
      </c>
      <c r="AJ23" s="25">
        <f>IFERROR(subQ!AJ9/subQ!AJ5,"")</f>
        <v/>
      </c>
      <c r="AK23" s="24" t="n">
        <v>0.036883469</v>
      </c>
      <c r="AL23" s="24" t="n">
        <v>0.03688266</v>
      </c>
      <c r="AM23" s="24" t="n">
        <v>0.036881607</v>
      </c>
      <c r="AN23" s="24" t="n">
        <v>0.036889149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-0.87</v>
      </c>
      <c r="AD26" s="30" t="n">
        <v>-0.87</v>
      </c>
      <c r="AE26" s="31">
        <f>subQ!AE15</f>
        <v/>
      </c>
      <c r="AF26" s="30" t="n">
        <v>-0.87</v>
      </c>
      <c r="AG26" s="30" t="n">
        <v>-0.87</v>
      </c>
      <c r="AH26" s="30" t="n">
        <v>-0.87</v>
      </c>
      <c r="AI26" s="30" t="n">
        <v>-0.87</v>
      </c>
      <c r="AJ26" s="31">
        <f>subQ!AJ15</f>
        <v/>
      </c>
      <c r="AK26" s="30" t="n">
        <v>-0.87</v>
      </c>
      <c r="AL26" s="30" t="n">
        <v>-0.87</v>
      </c>
      <c r="AM26" s="30" t="n">
        <v>-0.87</v>
      </c>
      <c r="AN26" s="30" t="n">
        <v>-0.87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8.59</v>
      </c>
      <c r="AD30" s="30" t="n">
        <v>8.59</v>
      </c>
      <c r="AE30" s="31">
        <f>subQ!AE21</f>
        <v/>
      </c>
      <c r="AF30" s="30" t="n">
        <v>8.59</v>
      </c>
      <c r="AG30" s="30" t="n">
        <v>8.59</v>
      </c>
      <c r="AH30" s="30" t="n">
        <v>8.59</v>
      </c>
      <c r="AI30" s="30" t="n">
        <v>8.59</v>
      </c>
      <c r="AJ30" s="31">
        <f>subQ!AJ21</f>
        <v/>
      </c>
      <c r="AK30" s="30" t="n">
        <v>8.59</v>
      </c>
      <c r="AL30" s="30" t="n">
        <v>8.59</v>
      </c>
      <c r="AM30" s="30" t="n">
        <v>8.59</v>
      </c>
      <c r="AN30" s="30" t="n">
        <v>8.59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-1.982e-06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-0.00479973</v>
      </c>
      <c r="AD32" s="30" t="n">
        <v>0.00613628</v>
      </c>
      <c r="AE32" s="31" t="n"/>
      <c r="AF32" s="30" t="n">
        <v>-0.003642348</v>
      </c>
      <c r="AG32" s="30" t="n">
        <v>-0.007155186</v>
      </c>
      <c r="AH32" s="30" t="n">
        <v>0.003304379</v>
      </c>
      <c r="AI32" s="30" t="n">
        <v>-0.007937911000000001</v>
      </c>
      <c r="AJ32" s="31" t="n"/>
      <c r="AK32" s="30" t="n">
        <v>0.004048659</v>
      </c>
      <c r="AL32" s="30" t="n">
        <v>0.000978437</v>
      </c>
      <c r="AM32" s="30" t="n">
        <v>-0.003096206</v>
      </c>
      <c r="AN32" s="30" t="n">
        <v>0.004152864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0.004604662</v>
      </c>
      <c r="AD33" s="30" t="n">
        <v>-3.229e-05</v>
      </c>
      <c r="AE33" s="31" t="n"/>
      <c r="AF33" s="30" t="n">
        <v>-0.001915147</v>
      </c>
      <c r="AG33" s="30" t="n">
        <v>-0.001286664</v>
      </c>
      <c r="AH33" s="30" t="n">
        <v>0.006983819</v>
      </c>
      <c r="AI33" s="30" t="n">
        <v>-0.001407841</v>
      </c>
      <c r="AJ33" s="31" t="n"/>
      <c r="AK33" s="30" t="n">
        <v>-0.002477308</v>
      </c>
      <c r="AL33" s="30" t="n">
        <v>0.002440773</v>
      </c>
      <c r="AM33" s="30" t="n">
        <v>0.002969496</v>
      </c>
      <c r="AN33" s="30" t="n">
        <v>-4.324e-06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-2.135e-06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0.06574308800000001</v>
      </c>
      <c r="AD35" s="24" t="n">
        <v>0.061136272</v>
      </c>
      <c r="AE35" s="25" t="n"/>
      <c r="AF35" s="24" t="n">
        <v>0.057399566</v>
      </c>
      <c r="AG35" s="24" t="n">
        <v>0.054049259</v>
      </c>
      <c r="AH35" s="24" t="n">
        <v>0.050694624</v>
      </c>
      <c r="AI35" s="24" t="n">
        <v>0.047573549</v>
      </c>
      <c r="AJ35" s="25" t="n"/>
      <c r="AK35" s="24" t="n">
        <v>0.044577464</v>
      </c>
      <c r="AL35" s="24" t="n">
        <v>0.041822868</v>
      </c>
      <c r="AM35" s="24" t="n">
        <v>0.039255638</v>
      </c>
      <c r="AN35" s="24" t="n">
        <v>0.037087116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-0.355125494</v>
      </c>
      <c r="AD36" s="24" t="n">
        <v>-0.545858458</v>
      </c>
      <c r="AE36" s="25" t="n"/>
      <c r="AF36" s="24" t="n">
        <v>-1.197344514</v>
      </c>
      <c r="AG36" s="24" t="n">
        <v>6.041076487</v>
      </c>
      <c r="AH36" s="24" t="n">
        <v>0.848119091</v>
      </c>
      <c r="AI36" s="24" t="n">
        <v>0.452541635</v>
      </c>
      <c r="AJ36" s="25" t="n"/>
      <c r="AK36" s="24" t="n">
        <v>0.305856345</v>
      </c>
      <c r="AL36" s="24" t="n">
        <v>0.229513371</v>
      </c>
      <c r="AM36" s="24" t="n">
        <v>0.182516161</v>
      </c>
      <c r="AN36" s="24" t="n">
        <v>0.151562993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0.025046689</v>
      </c>
      <c r="AD38" s="24" t="n">
        <v>0.047030472</v>
      </c>
      <c r="AE38" s="25" t="n"/>
      <c r="AF38" s="24" t="n">
        <v>-0.468213186</v>
      </c>
      <c r="AG38" s="24" t="n">
        <v>-0.023896293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2170</v>
      </c>
      <c r="E44" s="2" t="inlineStr">
        <is>
          <t>원 — 네이버 정규장 종가(aik 확정종가 대조 · aik 2,245원)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20261026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16.5</v>
      </c>
      <c r="E47" s="2" t="inlineStr">
        <is>
          <t>PER 밴드 하단(배) — hist_quarterly(분기 평균가 ÷ TTM EPS, 8분기, 25/50/75 백분위) · 캡 5~30배 적용(원값 16.5/18.9/269.8)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0.20941997725401</v>
      </c>
      <c r="E51" s="2" t="inlineStr">
        <is>
          <t>연결 — 법인세 = MAX(세전,0) × 세율(역산, 재현 오차 ≤ 0.05억 · 모델 assumptions 0.2094) · 최근 12분기 유효세율 214.5% 가 5~27% 밖 → 클립 대신 최근 8분기 중 세전 &gt; 0 인 3분기(2025Q2~2026Q2)의 법인세/세전 중위 20.9%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0.07949331361873258</v>
      </c>
      <c r="E52" s="2" t="inlineStr">
        <is>
          <t>연결 — 판관비 = 매출액 × 판관비율(역산, 재현 오차 ≤ 0.05억 · 모델 assumptions 0.0795)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0.4000892945728743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0.01418389242964135</v>
      </c>
      <c r="E54" s="2" t="inlineStr">
        <is>
          <t>연결 — 이자손익 = (전분기 이자발생자산 × 자산이자율 − 전분기 총차입금 × 부채이자율)/4(역산, 재현 오차 ≤ 0.05억 · 모델 assumptions 0.0142)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0.02682559874702388</v>
      </c>
      <c r="E55" s="2" t="inlineStr">
        <is>
          <t>연결 — 같은 수식의 부채 쪽(총차입금 행이 없으면 0)(역산, 재현 오차 ≤ 0.05억 · 모델 assumptions 0.0268)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한국선재(연)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128783.58</v>
      </c>
      <c r="F5" s="37" t="n">
        <v>128783.58</v>
      </c>
      <c r="G5" s="18" t="n">
        <v>120306.92</v>
      </c>
      <c r="H5" s="18" t="n">
        <v>131396.07</v>
      </c>
      <c r="I5" s="18" t="n">
        <v>134033.31</v>
      </c>
      <c r="J5" s="18" t="n">
        <v>133702.02</v>
      </c>
      <c r="K5" s="37" t="n">
        <v>133702.02</v>
      </c>
      <c r="L5" s="18" t="n">
        <v>141614.08</v>
      </c>
      <c r="M5" s="18" t="n">
        <v>145407.39</v>
      </c>
      <c r="N5" s="18" t="n">
        <v>142787.04</v>
      </c>
      <c r="O5" s="18" t="n">
        <v>136603.81</v>
      </c>
      <c r="P5" s="37" t="n">
        <v>136603.81</v>
      </c>
      <c r="Q5" s="18" t="n">
        <v>142221.05</v>
      </c>
      <c r="R5" s="18" t="n">
        <v>140110.2</v>
      </c>
      <c r="S5" s="18" t="n">
        <v>126204.84</v>
      </c>
      <c r="T5" s="18" t="n">
        <v>135071.57</v>
      </c>
      <c r="U5" s="37" t="n">
        <v>135071.57</v>
      </c>
      <c r="V5" s="18" t="n">
        <v>139396.69</v>
      </c>
      <c r="W5" s="18" t="n">
        <v>136584.72</v>
      </c>
      <c r="X5" s="18" t="n">
        <v>136085.34</v>
      </c>
      <c r="Y5" s="18" t="n">
        <v>159679.18</v>
      </c>
      <c r="Z5" s="37" t="n">
        <v>159679.18</v>
      </c>
      <c r="AA5" s="18" t="n">
        <v>168118.69</v>
      </c>
      <c r="AB5" s="19" t="n">
        <v>158387.87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13747.89</v>
      </c>
      <c r="F6" s="37" t="n">
        <v>13747.89</v>
      </c>
      <c r="G6" s="18" t="n">
        <v>15481.2</v>
      </c>
      <c r="H6" s="18" t="n">
        <v>6807.06</v>
      </c>
      <c r="I6" s="18" t="n">
        <v>8409.030000000001</v>
      </c>
      <c r="J6" s="18" t="n">
        <v>10624.64</v>
      </c>
      <c r="K6" s="37" t="n">
        <v>10624.64</v>
      </c>
      <c r="L6" s="18" t="n">
        <v>5378.3</v>
      </c>
      <c r="M6" s="18" t="n">
        <v>6760.54</v>
      </c>
      <c r="N6" s="18" t="n">
        <v>8304.65</v>
      </c>
      <c r="O6" s="18" t="n">
        <v>17625.28</v>
      </c>
      <c r="P6" s="37" t="n">
        <v>17625.28</v>
      </c>
      <c r="Q6" s="18" t="n">
        <v>14072.42</v>
      </c>
      <c r="R6" s="18" t="n">
        <v>12155.05</v>
      </c>
      <c r="S6" s="18" t="n">
        <v>12829.42</v>
      </c>
      <c r="T6" s="18" t="n">
        <v>11545.19</v>
      </c>
      <c r="U6" s="37" t="n">
        <v>11545.19</v>
      </c>
      <c r="V6" s="18" t="n">
        <v>13828.71</v>
      </c>
      <c r="W6" s="18" t="n">
        <v>7134.25</v>
      </c>
      <c r="X6" s="18" t="n">
        <v>6909.09</v>
      </c>
      <c r="Y6" s="18" t="n">
        <v>30670.84</v>
      </c>
      <c r="Z6" s="37" t="n">
        <v>30670.84</v>
      </c>
      <c r="AA6" s="18" t="n">
        <v>19668.35</v>
      </c>
      <c r="AB6" s="19" t="n">
        <v>22556.87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30020.98</v>
      </c>
      <c r="F7" s="37" t="n">
        <v>30020.98</v>
      </c>
      <c r="G7" s="18" t="n">
        <v>34467.9</v>
      </c>
      <c r="H7" s="18" t="n">
        <v>33354.23</v>
      </c>
      <c r="I7" s="18" t="n">
        <v>37882.07</v>
      </c>
      <c r="J7" s="18" t="n">
        <v>37004.14</v>
      </c>
      <c r="K7" s="37" t="n">
        <v>37004.14</v>
      </c>
      <c r="L7" s="18" t="n">
        <v>40241.39</v>
      </c>
      <c r="M7" s="18" t="n">
        <v>38813.57</v>
      </c>
      <c r="N7" s="18" t="n">
        <v>42333.99</v>
      </c>
      <c r="O7" s="18" t="n">
        <v>37036.62</v>
      </c>
      <c r="P7" s="37" t="n">
        <v>37036.62</v>
      </c>
      <c r="Q7" s="18" t="n">
        <v>34665.73</v>
      </c>
      <c r="R7" s="18" t="n">
        <v>39956.6</v>
      </c>
      <c r="S7" s="18" t="n">
        <v>34878.15</v>
      </c>
      <c r="T7" s="18" t="n">
        <v>38211.65</v>
      </c>
      <c r="U7" s="37" t="n">
        <v>38211.65</v>
      </c>
      <c r="V7" s="18" t="n">
        <v>35341.44</v>
      </c>
      <c r="W7" s="18" t="n">
        <v>35732.61</v>
      </c>
      <c r="X7" s="18" t="n">
        <v>36441.44</v>
      </c>
      <c r="Y7" s="18" t="n">
        <v>37383.56</v>
      </c>
      <c r="Z7" s="37" t="n">
        <v>37383.56</v>
      </c>
      <c r="AA7" s="18" t="n">
        <v>42704.15</v>
      </c>
      <c r="AB7" s="19" t="n">
        <v>46207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67720.78</v>
      </c>
      <c r="F8" s="37" t="n">
        <v>67720.78</v>
      </c>
      <c r="G8" s="18" t="n">
        <v>68763.07000000001</v>
      </c>
      <c r="H8" s="18" t="n">
        <v>87510.11</v>
      </c>
      <c r="I8" s="18" t="n">
        <v>84232.85000000001</v>
      </c>
      <c r="J8" s="18" t="n">
        <v>83764.55</v>
      </c>
      <c r="K8" s="37" t="n">
        <v>83764.55</v>
      </c>
      <c r="L8" s="18" t="n">
        <v>93458.61</v>
      </c>
      <c r="M8" s="18" t="n">
        <v>97535.85000000001</v>
      </c>
      <c r="N8" s="18" t="n">
        <v>90942.64999999999</v>
      </c>
      <c r="O8" s="18" t="n">
        <v>80846.32000000001</v>
      </c>
      <c r="P8" s="37" t="n">
        <v>80846.32000000001</v>
      </c>
      <c r="Q8" s="18" t="n">
        <v>90196.25</v>
      </c>
      <c r="R8" s="18" t="n">
        <v>87004.8</v>
      </c>
      <c r="S8" s="18" t="n">
        <v>77560.77</v>
      </c>
      <c r="T8" s="18" t="n">
        <v>84041.37</v>
      </c>
      <c r="U8" s="37" t="n">
        <v>84041.37</v>
      </c>
      <c r="V8" s="18" t="n">
        <v>72455.67999999999</v>
      </c>
      <c r="W8" s="18" t="n">
        <v>80046.91</v>
      </c>
      <c r="X8" s="18" t="n">
        <v>86785.69</v>
      </c>
      <c r="Y8" s="18" t="n">
        <v>86092.85000000001</v>
      </c>
      <c r="Z8" s="37" t="n">
        <v>86092.85000000001</v>
      </c>
      <c r="AA8" s="18" t="n">
        <v>86684.45</v>
      </c>
      <c r="AB8" s="19" t="n">
        <v>87679.63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Y9" s="18" t="n">
        <v>2441.98</v>
      </c>
      <c r="Z9" s="37" t="n">
        <v>2441.98</v>
      </c>
      <c r="AA9" s="18" t="n">
        <v>8331.42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1046.73</v>
      </c>
      <c r="F10" s="37" t="n">
        <v>1046.73</v>
      </c>
      <c r="G10" s="18" t="n">
        <v>1296.03</v>
      </c>
      <c r="H10" s="18" t="n">
        <v>3424.94</v>
      </c>
      <c r="I10" s="18" t="n">
        <v>1439.7</v>
      </c>
      <c r="J10" s="18" t="n">
        <v>1898.97</v>
      </c>
      <c r="K10" s="37" t="n">
        <v>1898.97</v>
      </c>
      <c r="L10" s="18" t="n">
        <v>2146</v>
      </c>
      <c r="M10" s="18" t="n">
        <v>1904.77</v>
      </c>
      <c r="N10" s="18" t="n">
        <v>1205.75</v>
      </c>
      <c r="O10" s="18" t="n">
        <v>1005.78</v>
      </c>
      <c r="P10" s="37" t="n">
        <v>1005.78</v>
      </c>
      <c r="Q10" s="18" t="n">
        <v>1835.77</v>
      </c>
      <c r="R10" s="18" t="n">
        <v>993.76</v>
      </c>
      <c r="S10" s="18" t="n">
        <v>936.5</v>
      </c>
      <c r="T10" s="18" t="n">
        <v>1273.36</v>
      </c>
      <c r="U10" s="37" t="n">
        <v>1273.36</v>
      </c>
      <c r="V10" s="18" t="n">
        <v>651.12</v>
      </c>
      <c r="W10" s="18" t="n">
        <v>1371.05</v>
      </c>
      <c r="X10" s="18" t="n">
        <v>2649.64</v>
      </c>
      <c r="Y10" s="18" t="n">
        <v>2804.92</v>
      </c>
      <c r="Z10" s="37" t="n">
        <v>2804.92</v>
      </c>
      <c r="AA10" s="18" t="n">
        <v>2561.4</v>
      </c>
      <c r="AB10" s="19" t="n">
        <v>1819.38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120984.81</v>
      </c>
      <c r="F12" s="37" t="n">
        <v>120984.81</v>
      </c>
      <c r="G12" s="18" t="n">
        <v>122279</v>
      </c>
      <c r="H12" s="18" t="n">
        <v>123202.95</v>
      </c>
      <c r="I12" s="18" t="n">
        <v>123038.23</v>
      </c>
      <c r="J12" s="18" t="n">
        <v>121157.68</v>
      </c>
      <c r="K12" s="37" t="n">
        <v>121157.68</v>
      </c>
      <c r="L12" s="18" t="n">
        <v>120394.59</v>
      </c>
      <c r="M12" s="18" t="n">
        <v>124522.46</v>
      </c>
      <c r="N12" s="18" t="n">
        <v>130532.16</v>
      </c>
      <c r="O12" s="18" t="n">
        <v>134117.46</v>
      </c>
      <c r="P12" s="37" t="n">
        <v>134117.46</v>
      </c>
      <c r="Q12" s="18" t="n">
        <v>132563.48</v>
      </c>
      <c r="R12" s="18" t="n">
        <v>133097.98</v>
      </c>
      <c r="S12" s="18" t="n">
        <v>132563.46</v>
      </c>
      <c r="T12" s="18" t="n">
        <v>146356.79</v>
      </c>
      <c r="U12" s="37" t="n">
        <v>146356.79</v>
      </c>
      <c r="V12" s="18" t="n">
        <v>154123.63</v>
      </c>
      <c r="W12" s="18" t="n">
        <v>158729.62</v>
      </c>
      <c r="X12" s="18" t="n">
        <v>178527.47</v>
      </c>
      <c r="Y12" s="18" t="n">
        <v>175661.2</v>
      </c>
      <c r="Z12" s="37" t="n">
        <v>175661.2</v>
      </c>
      <c r="AA12" s="18" t="n">
        <v>201330.87</v>
      </c>
      <c r="AB12" s="19" t="n">
        <v>207817.27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1431.33</v>
      </c>
      <c r="F13" s="37" t="n">
        <v>1431.33</v>
      </c>
      <c r="G13" s="18" t="n">
        <v>1100.32</v>
      </c>
      <c r="H13" s="18" t="n">
        <v>1100.32</v>
      </c>
      <c r="I13" s="18" t="n">
        <v>1100.32</v>
      </c>
      <c r="J13" s="18" t="n">
        <v>1100.32</v>
      </c>
      <c r="K13" s="37" t="n">
        <v>1100.32</v>
      </c>
      <c r="L13" s="18" t="n">
        <v>1100.32</v>
      </c>
      <c r="M13" s="18" t="n">
        <v>1100.32</v>
      </c>
      <c r="N13" s="18" t="n">
        <v>1100.32</v>
      </c>
      <c r="O13" s="18" t="n">
        <v>824.4299999999999</v>
      </c>
      <c r="P13" s="37" t="n">
        <v>824.4299999999999</v>
      </c>
      <c r="Q13" s="18" t="n">
        <v>824.4299999999999</v>
      </c>
      <c r="R13" s="18" t="n">
        <v>232.43</v>
      </c>
      <c r="S13" s="18" t="n">
        <v>328.01</v>
      </c>
      <c r="T13" s="18" t="n">
        <v>13244.31</v>
      </c>
      <c r="U13" s="37" t="n">
        <v>13244.31</v>
      </c>
      <c r="V13" s="18" t="n">
        <v>13343.48</v>
      </c>
      <c r="W13" s="18" t="n">
        <v>11797.35</v>
      </c>
      <c r="X13" s="18" t="n">
        <v>19306.18</v>
      </c>
      <c r="Y13" s="18" t="n">
        <v>847.86</v>
      </c>
      <c r="Z13" s="37" t="n">
        <v>847.86</v>
      </c>
      <c r="AA13" s="18" t="n">
        <v>1753.08</v>
      </c>
      <c r="AB13" s="19" t="n">
        <v>1874.24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3232.7</v>
      </c>
      <c r="F14" s="37" t="n">
        <v>3232.7</v>
      </c>
      <c r="G14" s="18" t="n">
        <v>3627.75</v>
      </c>
      <c r="H14" s="18" t="n">
        <v>2451.16</v>
      </c>
      <c r="I14" s="18" t="n">
        <v>2200.37</v>
      </c>
      <c r="J14" s="18" t="n">
        <v>2300.91</v>
      </c>
      <c r="K14" s="37" t="n">
        <v>2300.91</v>
      </c>
      <c r="L14" s="18" t="n">
        <v>2300.65</v>
      </c>
      <c r="M14" s="18" t="n">
        <v>2460.67</v>
      </c>
      <c r="N14" s="18" t="n">
        <v>2328.31</v>
      </c>
      <c r="O14" s="18" t="n">
        <v>4078.78</v>
      </c>
      <c r="P14" s="37" t="n">
        <v>4078.78</v>
      </c>
      <c r="Q14" s="18" t="n">
        <v>3334.56</v>
      </c>
      <c r="R14" s="18" t="n">
        <v>3832.53</v>
      </c>
      <c r="S14" s="18" t="n">
        <v>3648.66</v>
      </c>
      <c r="T14" s="18" t="n">
        <v>15356.23</v>
      </c>
      <c r="U14" s="37" t="n">
        <v>15356.23</v>
      </c>
      <c r="V14" s="18" t="n">
        <v>13343.48</v>
      </c>
      <c r="W14" s="18" t="n">
        <v>11797.35</v>
      </c>
      <c r="X14" s="18" t="n">
        <v>19306.18</v>
      </c>
      <c r="Y14" s="18" t="n">
        <v>847.86</v>
      </c>
      <c r="Z14" s="37" t="n">
        <v>847.86</v>
      </c>
      <c r="AA14" s="18" t="n">
        <v>1753.08</v>
      </c>
      <c r="AB14" s="19" t="n">
        <v>1874.24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2289.28</v>
      </c>
      <c r="F15" s="37" t="n">
        <v>2289.28</v>
      </c>
      <c r="G15" s="18" t="n">
        <v>2326.96</v>
      </c>
      <c r="H15" s="18" t="n">
        <v>2676.74</v>
      </c>
      <c r="I15" s="18" t="n">
        <v>3235.92</v>
      </c>
      <c r="J15" s="18" t="n">
        <v>2234.53</v>
      </c>
      <c r="K15" s="37" t="n">
        <v>2234.53</v>
      </c>
      <c r="L15" s="18" t="n">
        <v>2264.74</v>
      </c>
      <c r="M15" s="18" t="n">
        <v>2326.5</v>
      </c>
      <c r="N15" s="18" t="n">
        <v>2478.5</v>
      </c>
      <c r="O15" s="18" t="n">
        <v>1839.79</v>
      </c>
      <c r="P15" s="37" t="n">
        <v>1839.79</v>
      </c>
      <c r="Q15" s="18" t="n">
        <v>1893.07</v>
      </c>
      <c r="R15" s="18" t="n">
        <v>1827.05</v>
      </c>
      <c r="S15" s="18" t="n">
        <v>1744.11</v>
      </c>
      <c r="T15" s="18" t="n">
        <v>1501.59</v>
      </c>
      <c r="U15" s="37" t="n">
        <v>1501.59</v>
      </c>
      <c r="V15" s="18" t="n">
        <v>1420.68</v>
      </c>
      <c r="W15" s="18" t="n">
        <v>1175.67</v>
      </c>
      <c r="X15" s="18" t="n">
        <v>726.91</v>
      </c>
      <c r="Y15" s="18" t="n">
        <v>723.1</v>
      </c>
      <c r="Z15" s="37" t="n">
        <v>723.1</v>
      </c>
      <c r="AA15" s="18" t="n">
        <v>735.62</v>
      </c>
      <c r="AB15" s="19" t="n">
        <v>554.4400000000001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1801.37</v>
      </c>
      <c r="F16" s="37" t="n">
        <v>1801.37</v>
      </c>
      <c r="G16" s="18" t="n">
        <v>2527.43</v>
      </c>
      <c r="H16" s="18" t="n">
        <v>1350.84</v>
      </c>
      <c r="I16" s="18" t="n">
        <v>1100.05</v>
      </c>
      <c r="J16" s="18" t="n">
        <v>1200.59</v>
      </c>
      <c r="K16" s="37" t="n">
        <v>1200.59</v>
      </c>
      <c r="L16" s="18" t="n">
        <v>1200.33</v>
      </c>
      <c r="M16" s="18" t="n">
        <v>1360.35</v>
      </c>
      <c r="N16" s="18" t="n">
        <v>1227.99</v>
      </c>
      <c r="O16" s="18" t="n">
        <v>3254.35</v>
      </c>
      <c r="P16" s="37" t="n">
        <v>3254.35</v>
      </c>
      <c r="Q16" s="18" t="n">
        <v>2510.13</v>
      </c>
      <c r="R16" s="18" t="n">
        <v>3600.1</v>
      </c>
      <c r="S16" s="18" t="n">
        <v>3320.65</v>
      </c>
      <c r="T16" s="18" t="n">
        <v>2111.92</v>
      </c>
      <c r="U16" s="37" t="n">
        <v>2111.92</v>
      </c>
      <c r="V16" s="18" t="n">
        <v>0</v>
      </c>
      <c r="W16" s="18" t="n">
        <v>0</v>
      </c>
      <c r="X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102120.29</v>
      </c>
      <c r="F17" s="37" t="n">
        <v>102120.29</v>
      </c>
      <c r="G17" s="18" t="n">
        <v>102657.56</v>
      </c>
      <c r="H17" s="18" t="n">
        <v>104484.87</v>
      </c>
      <c r="I17" s="18" t="n">
        <v>104156.19</v>
      </c>
      <c r="J17" s="18" t="n">
        <v>103055.01</v>
      </c>
      <c r="K17" s="37" t="n">
        <v>103055.01</v>
      </c>
      <c r="L17" s="18" t="n">
        <v>102290.88</v>
      </c>
      <c r="M17" s="18" t="n">
        <v>101453.37</v>
      </c>
      <c r="N17" s="18" t="n">
        <v>107463.27</v>
      </c>
      <c r="O17" s="18" t="n">
        <v>110158.06</v>
      </c>
      <c r="P17" s="37" t="n">
        <v>110158.06</v>
      </c>
      <c r="Q17" s="18" t="n">
        <v>109447.74</v>
      </c>
      <c r="R17" s="18" t="n">
        <v>109158.98</v>
      </c>
      <c r="S17" s="18" t="n">
        <v>106962.36</v>
      </c>
      <c r="T17" s="18" t="n">
        <v>109022.01</v>
      </c>
      <c r="U17" s="37" t="n">
        <v>109022.01</v>
      </c>
      <c r="V17" s="18" t="n">
        <v>116055.02</v>
      </c>
      <c r="W17" s="18" t="n">
        <v>121928.53</v>
      </c>
      <c r="X17" s="18" t="n">
        <v>133061.24</v>
      </c>
      <c r="Y17" s="18" t="n">
        <v>143859.13</v>
      </c>
      <c r="Z17" s="37" t="n">
        <v>143859.13</v>
      </c>
      <c r="AA17" s="18" t="n">
        <v>167857.02</v>
      </c>
      <c r="AB17" s="19" t="n">
        <v>178990.5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1148.29</v>
      </c>
      <c r="F18" s="37" t="n">
        <v>1148.29</v>
      </c>
      <c r="G18" s="18" t="n">
        <v>1151.83</v>
      </c>
      <c r="H18" s="18" t="n">
        <v>1120.97</v>
      </c>
      <c r="I18" s="18" t="n">
        <v>1015.99</v>
      </c>
      <c r="J18" s="18" t="n">
        <v>1078.31</v>
      </c>
      <c r="K18" s="37" t="n">
        <v>1078.31</v>
      </c>
      <c r="L18" s="18" t="n">
        <v>1058.42</v>
      </c>
      <c r="M18" s="18" t="n">
        <v>1074.2</v>
      </c>
      <c r="N18" s="18" t="n">
        <v>1065.28</v>
      </c>
      <c r="O18" s="18" t="n">
        <v>886.72</v>
      </c>
      <c r="P18" s="37" t="n">
        <v>886.72</v>
      </c>
      <c r="Q18" s="18" t="n">
        <v>763.3</v>
      </c>
      <c r="R18" s="18" t="n">
        <v>1074.51</v>
      </c>
      <c r="S18" s="18" t="n">
        <v>1093.72</v>
      </c>
      <c r="T18" s="18" t="n">
        <v>858.9</v>
      </c>
      <c r="U18" s="37" t="n">
        <v>858.9</v>
      </c>
      <c r="V18" s="18" t="n">
        <v>850.91</v>
      </c>
      <c r="W18" s="18" t="n">
        <v>810.54</v>
      </c>
      <c r="X18" s="18" t="n">
        <v>690.55</v>
      </c>
      <c r="Y18" s="18" t="n">
        <v>658.08</v>
      </c>
      <c r="Z18" s="37" t="n">
        <v>658.08</v>
      </c>
      <c r="AA18" s="18" t="n">
        <v>1097.31</v>
      </c>
      <c r="AB18" s="19" t="n">
        <v>1031.44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1148.29</v>
      </c>
      <c r="F19" s="37" t="n">
        <v>1148.29</v>
      </c>
      <c r="G19" s="18" t="n">
        <v>1151.83</v>
      </c>
      <c r="H19" s="18" t="n">
        <v>1120.97</v>
      </c>
      <c r="I19" s="18" t="n">
        <v>1015.99</v>
      </c>
      <c r="J19" s="18" t="n">
        <v>1078.31</v>
      </c>
      <c r="K19" s="37" t="n">
        <v>1078.31</v>
      </c>
      <c r="L19" s="18" t="n">
        <v>1058.42</v>
      </c>
      <c r="M19" s="18" t="n">
        <v>1074.2</v>
      </c>
      <c r="N19" s="18" t="n">
        <v>1065.28</v>
      </c>
      <c r="O19" s="18" t="n">
        <v>886.72</v>
      </c>
      <c r="P19" s="37" t="n">
        <v>886.72</v>
      </c>
      <c r="Q19" s="18" t="n">
        <v>763.3</v>
      </c>
      <c r="R19" s="18" t="n">
        <v>1074.51</v>
      </c>
      <c r="S19" s="18" t="n">
        <v>1093.72</v>
      </c>
      <c r="T19" s="18" t="n">
        <v>858.9</v>
      </c>
      <c r="U19" s="37" t="n">
        <v>858.9</v>
      </c>
      <c r="V19" s="18" t="n">
        <v>850.91</v>
      </c>
      <c r="W19" s="18" t="n">
        <v>810.54</v>
      </c>
      <c r="X19" s="18" t="n">
        <v>690.55</v>
      </c>
      <c r="Y19" s="18" t="n">
        <v>658.08</v>
      </c>
      <c r="Z19" s="37" t="n">
        <v>658.08</v>
      </c>
      <c r="AA19" s="18" t="n">
        <v>1097.31</v>
      </c>
      <c r="AB19" s="19" t="n">
        <v>1031.44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11754.61</v>
      </c>
      <c r="F20" s="37" t="n">
        <v>11754.61</v>
      </c>
      <c r="G20" s="18" t="n">
        <v>11734.68</v>
      </c>
      <c r="H20" s="18" t="n">
        <v>11707</v>
      </c>
      <c r="I20" s="18" t="n">
        <v>11679.31</v>
      </c>
      <c r="J20" s="18" t="n">
        <v>11651.62</v>
      </c>
      <c r="K20" s="37" t="n">
        <v>11651.62</v>
      </c>
      <c r="L20" s="18" t="n">
        <v>11623.94</v>
      </c>
      <c r="M20" s="18" t="n">
        <v>16362.66</v>
      </c>
      <c r="N20" s="18" t="n">
        <v>16317.16</v>
      </c>
      <c r="O20" s="18" t="n">
        <v>16290.49</v>
      </c>
      <c r="P20" s="37" t="n">
        <v>16290.49</v>
      </c>
      <c r="Q20" s="18" t="n">
        <v>16254.41</v>
      </c>
      <c r="R20" s="18" t="n">
        <v>16218.32</v>
      </c>
      <c r="S20" s="18" t="n">
        <v>18088.71</v>
      </c>
      <c r="T20" s="18" t="n">
        <v>18512.27</v>
      </c>
      <c r="U20" s="37" t="n">
        <v>18512.27</v>
      </c>
      <c r="V20" s="18" t="n">
        <v>18443.07</v>
      </c>
      <c r="W20" s="18" t="n">
        <v>19358.9</v>
      </c>
      <c r="X20" s="18" t="n">
        <v>21145.94</v>
      </c>
      <c r="Y20" s="18" t="n">
        <v>22230.49</v>
      </c>
      <c r="Z20" s="37" t="n">
        <v>22230.49</v>
      </c>
      <c r="AA20" s="18" t="n">
        <v>24162.53</v>
      </c>
      <c r="AB20" s="19" t="n">
        <v>18964.52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439.65</v>
      </c>
      <c r="F21" s="37" t="n">
        <v>439.65</v>
      </c>
      <c r="G21" s="18" t="n">
        <v>422.31</v>
      </c>
      <c r="H21" s="18" t="n">
        <v>404.54</v>
      </c>
      <c r="I21" s="18" t="n">
        <v>390.46</v>
      </c>
      <c r="J21" s="18" t="n">
        <v>472.6</v>
      </c>
      <c r="K21" s="37" t="n">
        <v>472.6</v>
      </c>
      <c r="L21" s="18" t="n">
        <v>491.27</v>
      </c>
      <c r="M21" s="18" t="n">
        <v>480.36</v>
      </c>
      <c r="N21" s="18" t="n">
        <v>467.97</v>
      </c>
      <c r="O21" s="18" t="n">
        <v>457.76</v>
      </c>
      <c r="P21" s="37" t="n">
        <v>457.76</v>
      </c>
      <c r="Q21" s="18" t="n">
        <v>449.13</v>
      </c>
      <c r="R21" s="18" t="n">
        <v>441.54</v>
      </c>
      <c r="S21" s="18" t="n">
        <v>453.35</v>
      </c>
      <c r="T21" s="18" t="n">
        <v>483.46</v>
      </c>
      <c r="U21" s="37" t="n">
        <v>483.46</v>
      </c>
      <c r="V21" s="18" t="n">
        <v>501.32</v>
      </c>
      <c r="W21" s="18" t="n">
        <v>1209.68</v>
      </c>
      <c r="X21" s="18" t="n">
        <v>1241.76</v>
      </c>
      <c r="Y21" s="18" t="n">
        <v>1233.54</v>
      </c>
      <c r="Z21" s="37" t="n">
        <v>1233.54</v>
      </c>
      <c r="AA21" s="18" t="n">
        <v>1809.38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249768.39</v>
      </c>
      <c r="F22" s="37" t="n">
        <v>249768.39</v>
      </c>
      <c r="G22" s="18" t="n">
        <v>242585.92</v>
      </c>
      <c r="H22" s="18" t="n">
        <v>254599.01</v>
      </c>
      <c r="I22" s="18" t="n">
        <v>257071.54</v>
      </c>
      <c r="J22" s="18" t="n">
        <v>254859.7</v>
      </c>
      <c r="K22" s="37" t="n">
        <v>254859.7</v>
      </c>
      <c r="L22" s="18" t="n">
        <v>262008.67</v>
      </c>
      <c r="M22" s="18" t="n">
        <v>269929.85</v>
      </c>
      <c r="N22" s="18" t="n">
        <v>273319.2</v>
      </c>
      <c r="O22" s="18" t="n">
        <v>270721.26</v>
      </c>
      <c r="P22" s="37" t="n">
        <v>270721.26</v>
      </c>
      <c r="Q22" s="18" t="n">
        <v>274784.53</v>
      </c>
      <c r="R22" s="18" t="n">
        <v>273208.18</v>
      </c>
      <c r="S22" s="18" t="n">
        <v>258768.3</v>
      </c>
      <c r="T22" s="18" t="n">
        <v>281428.37</v>
      </c>
      <c r="U22" s="37" t="n">
        <v>281428.37</v>
      </c>
      <c r="V22" s="18" t="n">
        <v>293520.32</v>
      </c>
      <c r="W22" s="18" t="n">
        <v>295314.34</v>
      </c>
      <c r="X22" s="18" t="n">
        <v>314612.81</v>
      </c>
      <c r="Y22" s="18" t="n">
        <v>335340.38</v>
      </c>
      <c r="Z22" s="37" t="n">
        <v>335340.38</v>
      </c>
      <c r="AA22" s="18" t="n">
        <v>369449.56</v>
      </c>
      <c r="AB22" s="19" t="n">
        <v>366205.15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124211.41</v>
      </c>
      <c r="F23" s="37" t="n">
        <v>124211.41</v>
      </c>
      <c r="G23" s="18" t="n">
        <v>106730.32</v>
      </c>
      <c r="H23" s="18" t="n">
        <v>118229.07</v>
      </c>
      <c r="I23" s="18" t="n">
        <v>120270.61</v>
      </c>
      <c r="J23" s="18" t="n">
        <v>118720.1</v>
      </c>
      <c r="K23" s="37" t="n">
        <v>118720.1</v>
      </c>
      <c r="L23" s="18" t="n">
        <v>131576.39</v>
      </c>
      <c r="M23" s="18" t="n">
        <v>120991.69</v>
      </c>
      <c r="N23" s="18" t="n">
        <v>117267.56</v>
      </c>
      <c r="O23" s="18" t="n">
        <v>93290.64</v>
      </c>
      <c r="P23" s="37" t="n">
        <v>93290.64</v>
      </c>
      <c r="Q23" s="18" t="n">
        <v>96323.7</v>
      </c>
      <c r="R23" s="18" t="n">
        <v>93227.88</v>
      </c>
      <c r="S23" s="18" t="n">
        <v>79210.86</v>
      </c>
      <c r="T23" s="18" t="n">
        <v>104619.01</v>
      </c>
      <c r="U23" s="37" t="n">
        <v>104619.01</v>
      </c>
      <c r="V23" s="18" t="n">
        <v>116134.8</v>
      </c>
      <c r="W23" s="18" t="n">
        <v>120900.32</v>
      </c>
      <c r="X23" s="18" t="n">
        <v>147396.47</v>
      </c>
      <c r="Y23" s="18" t="n">
        <v>145819.15</v>
      </c>
      <c r="Z23" s="37" t="n">
        <v>145819.15</v>
      </c>
      <c r="AA23" s="18" t="n">
        <v>143724.43</v>
      </c>
      <c r="AB23" s="19" t="n">
        <v>135250.28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15074.21</v>
      </c>
      <c r="F24" s="37" t="n">
        <v>15074.21</v>
      </c>
      <c r="G24" s="18" t="n">
        <v>13642.42</v>
      </c>
      <c r="H24" s="18" t="n">
        <v>16353.03</v>
      </c>
      <c r="I24" s="18" t="n">
        <v>15553.65</v>
      </c>
      <c r="J24" s="18" t="n">
        <v>19019.15</v>
      </c>
      <c r="K24" s="37" t="n">
        <v>19019.15</v>
      </c>
      <c r="L24" s="18" t="n">
        <v>15745</v>
      </c>
      <c r="M24" s="18" t="n">
        <v>17635.75</v>
      </c>
      <c r="N24" s="18" t="n">
        <v>12073.89</v>
      </c>
      <c r="O24" s="18" t="n">
        <v>17346.73</v>
      </c>
      <c r="P24" s="37" t="n">
        <v>17346.73</v>
      </c>
      <c r="Q24" s="18" t="n">
        <v>17382.61</v>
      </c>
      <c r="R24" s="18" t="n">
        <v>15785.18</v>
      </c>
      <c r="S24" s="18" t="n">
        <v>7584.09</v>
      </c>
      <c r="T24" s="18" t="n">
        <v>13610.57</v>
      </c>
      <c r="U24" s="37" t="n">
        <v>13610.57</v>
      </c>
      <c r="V24" s="18" t="n">
        <v>8917.889999999999</v>
      </c>
      <c r="W24" s="18" t="n">
        <v>9528.059999999999</v>
      </c>
      <c r="X24" s="18" t="n">
        <v>12880.57</v>
      </c>
      <c r="Y24" s="18" t="n">
        <v>8559.389999999999</v>
      </c>
      <c r="Z24" s="37" t="n">
        <v>8559.389999999999</v>
      </c>
      <c r="AA24" s="18" t="n">
        <v>17953.61</v>
      </c>
      <c r="AB24" s="19" t="n">
        <v>13383.58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97761.46000000001</v>
      </c>
      <c r="F25" s="37" t="n">
        <v>97761.46000000001</v>
      </c>
      <c r="G25" s="18" t="n">
        <v>69200</v>
      </c>
      <c r="H25" s="18" t="n">
        <v>76300</v>
      </c>
      <c r="I25" s="18" t="n">
        <v>81300</v>
      </c>
      <c r="J25" s="18" t="n">
        <v>73070</v>
      </c>
      <c r="K25" s="37" t="n">
        <v>73070</v>
      </c>
      <c r="L25" s="18" t="n">
        <v>82753</v>
      </c>
      <c r="M25" s="18" t="n">
        <v>86214</v>
      </c>
      <c r="N25" s="18" t="n">
        <v>92360</v>
      </c>
      <c r="O25" s="18" t="n">
        <v>62062.14</v>
      </c>
      <c r="P25" s="37" t="n">
        <v>62062.14</v>
      </c>
      <c r="Q25" s="18" t="n">
        <v>73100</v>
      </c>
      <c r="R25" s="18" t="n">
        <v>70400</v>
      </c>
      <c r="S25" s="18" t="n">
        <v>64850</v>
      </c>
      <c r="T25" s="18" t="n">
        <v>84150</v>
      </c>
      <c r="U25" s="37" t="n">
        <v>84150</v>
      </c>
      <c r="V25" s="18" t="n">
        <v>81450</v>
      </c>
      <c r="W25" s="18" t="n">
        <v>83140</v>
      </c>
      <c r="X25" s="18" t="n">
        <v>89100</v>
      </c>
      <c r="Y25" s="18" t="n">
        <v>105814.67</v>
      </c>
      <c r="Z25" s="37" t="n">
        <v>105814.67</v>
      </c>
      <c r="AA25" s="18" t="n">
        <v>104670.17</v>
      </c>
      <c r="AB25" s="19" t="n">
        <v>111400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3118.85</v>
      </c>
      <c r="F26" s="37" t="n">
        <v>3118.85</v>
      </c>
      <c r="G26" s="18" t="n">
        <v>1714.12</v>
      </c>
      <c r="H26" s="18" t="n">
        <v>4276.54</v>
      </c>
      <c r="I26" s="18" t="n">
        <v>2775.19</v>
      </c>
      <c r="J26" s="18" t="n">
        <v>3198.36</v>
      </c>
      <c r="K26" s="37" t="n">
        <v>3198.36</v>
      </c>
      <c r="L26" s="18" t="n">
        <v>1805.35</v>
      </c>
      <c r="M26" s="18" t="n">
        <v>1529.14</v>
      </c>
      <c r="N26" s="18" t="n">
        <v>766.29</v>
      </c>
      <c r="P26" s="9" t="n"/>
      <c r="R26" s="18" t="n">
        <v>909.62</v>
      </c>
      <c r="S26" s="18" t="n">
        <v>554.96</v>
      </c>
      <c r="T26" s="18" t="n">
        <v>870</v>
      </c>
      <c r="U26" s="37" t="n">
        <v>870</v>
      </c>
      <c r="V26" s="18" t="n">
        <v>563.29</v>
      </c>
      <c r="W26" s="18" t="n">
        <v>832.14</v>
      </c>
      <c r="X26" s="18" t="n">
        <v>407.83</v>
      </c>
      <c r="Y26" s="18" t="n">
        <v>891.6799999999999</v>
      </c>
      <c r="Z26" s="37" t="n">
        <v>891.6799999999999</v>
      </c>
      <c r="AA26" s="18" t="n">
        <v>516.16</v>
      </c>
      <c r="AB26" s="19" t="n">
        <v>3886.64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359.83</v>
      </c>
      <c r="F27" s="37" t="n">
        <v>359.83</v>
      </c>
      <c r="G27" s="18" t="n">
        <v>370.78</v>
      </c>
      <c r="H27" s="18" t="n">
        <v>384.94</v>
      </c>
      <c r="I27" s="18" t="n">
        <v>366.59</v>
      </c>
      <c r="J27" s="18" t="n">
        <v>383.35</v>
      </c>
      <c r="K27" s="37" t="n">
        <v>383.35</v>
      </c>
      <c r="L27" s="18" t="n">
        <v>391.6</v>
      </c>
      <c r="M27" s="18" t="n">
        <v>440.86</v>
      </c>
      <c r="N27" s="18" t="n">
        <v>517.5</v>
      </c>
      <c r="O27" s="18" t="n">
        <v>477.32</v>
      </c>
      <c r="P27" s="37" t="n">
        <v>477.32</v>
      </c>
      <c r="Q27" s="18" t="n">
        <v>428.91</v>
      </c>
      <c r="R27" s="18" t="n">
        <v>594.49</v>
      </c>
      <c r="S27" s="18" t="n">
        <v>666.15</v>
      </c>
      <c r="T27" s="18" t="n">
        <v>641.51</v>
      </c>
      <c r="U27" s="37" t="n">
        <v>641.51</v>
      </c>
      <c r="V27" s="18" t="n">
        <v>1020.1</v>
      </c>
      <c r="W27" s="18" t="n">
        <v>586.89</v>
      </c>
      <c r="X27" s="18" t="n">
        <v>481.46</v>
      </c>
      <c r="Y27" s="18" t="n">
        <v>379.18</v>
      </c>
      <c r="Z27" s="37" t="n">
        <v>379.18</v>
      </c>
      <c r="AA27" s="18" t="n">
        <v>522.92</v>
      </c>
      <c r="AB27" s="19" t="n">
        <v>565.89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1220.25</v>
      </c>
      <c r="F28" s="37" t="n">
        <v>1220.25</v>
      </c>
      <c r="G28" s="18" t="n">
        <v>1225.99</v>
      </c>
      <c r="H28" s="18" t="n">
        <v>1195.39</v>
      </c>
      <c r="I28" s="18" t="n">
        <v>1091.02</v>
      </c>
      <c r="J28" s="18" t="n">
        <v>1155.82</v>
      </c>
      <c r="K28" s="37" t="n">
        <v>1155.82</v>
      </c>
      <c r="L28" s="18" t="n">
        <v>1135.56</v>
      </c>
      <c r="M28" s="18" t="n">
        <v>1150.76</v>
      </c>
      <c r="N28" s="18" t="n">
        <v>1138.43</v>
      </c>
      <c r="O28" s="18" t="n">
        <v>1000.41</v>
      </c>
      <c r="P28" s="37" t="n">
        <v>1000.41</v>
      </c>
      <c r="Q28" s="18" t="n">
        <v>861.17</v>
      </c>
      <c r="R28" s="18" t="n">
        <v>1153.8</v>
      </c>
      <c r="S28" s="18" t="n">
        <v>1167.26</v>
      </c>
      <c r="T28" s="18" t="n">
        <v>1126.03</v>
      </c>
      <c r="U28" s="37" t="n">
        <v>1126.03</v>
      </c>
      <c r="V28" s="18" t="n">
        <v>1060.81</v>
      </c>
      <c r="W28" s="18" t="n">
        <v>972.14</v>
      </c>
      <c r="X28" s="18" t="n">
        <v>800.16</v>
      </c>
      <c r="Y28" s="18" t="n">
        <v>729.78</v>
      </c>
      <c r="Z28" s="37" t="n">
        <v>729.78</v>
      </c>
      <c r="AA28" s="18" t="n">
        <v>1110.21</v>
      </c>
      <c r="AB28" s="19" t="n">
        <v>1044.55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3608.91</v>
      </c>
      <c r="F29" s="37" t="n">
        <v>3608.91</v>
      </c>
      <c r="G29" s="18" t="n">
        <v>3599.05</v>
      </c>
      <c r="H29" s="18" t="n">
        <v>3764.4</v>
      </c>
      <c r="I29" s="18" t="n">
        <v>3545.22</v>
      </c>
      <c r="J29" s="18" t="n">
        <v>4211.84</v>
      </c>
      <c r="K29" s="37" t="n">
        <v>4211.84</v>
      </c>
      <c r="L29" s="18" t="n">
        <v>4171.71</v>
      </c>
      <c r="M29" s="18" t="n">
        <v>4180.49</v>
      </c>
      <c r="N29" s="18" t="n">
        <v>4304.32</v>
      </c>
      <c r="O29" s="18" t="n">
        <v>4552.81</v>
      </c>
      <c r="P29" s="37" t="n">
        <v>4552.81</v>
      </c>
      <c r="Q29" s="18" t="n">
        <v>3891.94</v>
      </c>
      <c r="R29" s="18" t="n">
        <v>4692.11</v>
      </c>
      <c r="S29" s="18" t="n">
        <v>4113.58</v>
      </c>
      <c r="T29" s="18" t="n">
        <v>4873.31</v>
      </c>
      <c r="U29" s="37" t="n">
        <v>4873.31</v>
      </c>
      <c r="V29" s="18" t="n">
        <v>14693.01</v>
      </c>
      <c r="W29" s="18" t="n">
        <v>11196.87</v>
      </c>
      <c r="X29" s="18" t="n">
        <v>11248.74</v>
      </c>
      <c r="Y29" s="18" t="n">
        <v>17906.2</v>
      </c>
      <c r="Z29" s="37" t="n">
        <v>17906.2</v>
      </c>
      <c r="AA29" s="18" t="n">
        <v>15371.27</v>
      </c>
      <c r="AB29" s="19" t="n">
        <v>5544.4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기타유동금융부채</t>
        </is>
      </c>
      <c r="E30" s="18" t="n">
        <v>3249.08</v>
      </c>
      <c r="F30" s="37" t="n">
        <v>3249.08</v>
      </c>
      <c r="G30" s="18" t="n">
        <v>3228.27</v>
      </c>
      <c r="H30" s="18" t="n">
        <v>3379.46</v>
      </c>
      <c r="I30" s="18" t="n">
        <v>3178.63</v>
      </c>
      <c r="J30" s="18" t="n">
        <v>3828.49</v>
      </c>
      <c r="K30" s="37" t="n">
        <v>3828.49</v>
      </c>
      <c r="L30" s="18" t="n">
        <v>3780.11</v>
      </c>
      <c r="M30" s="18" t="n">
        <v>3739.63</v>
      </c>
      <c r="N30" s="18" t="n">
        <v>3786.82</v>
      </c>
      <c r="O30" s="18" t="n">
        <v>4075.49</v>
      </c>
      <c r="P30" s="37" t="n">
        <v>4075.49</v>
      </c>
      <c r="Q30" s="18" t="n">
        <v>3463.03</v>
      </c>
      <c r="R30" s="18" t="n">
        <v>4097.62</v>
      </c>
      <c r="S30" s="18" t="n">
        <v>3447.43</v>
      </c>
      <c r="T30" s="18" t="n">
        <v>4231.8</v>
      </c>
      <c r="U30" s="37" t="n">
        <v>4231.8</v>
      </c>
      <c r="V30" s="18" t="n">
        <v>13672.91</v>
      </c>
      <c r="W30" s="18" t="n">
        <v>10609.98</v>
      </c>
      <c r="X30" s="18" t="n">
        <v>10767.28</v>
      </c>
      <c r="Y30" s="18" t="n">
        <v>17527.02</v>
      </c>
      <c r="Z30" s="37" t="n">
        <v>17527.02</v>
      </c>
      <c r="AA30" s="18" t="n">
        <v>14848.35</v>
      </c>
      <c r="AB30" s="19" t="n">
        <v>4978.51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4647.99</v>
      </c>
      <c r="F31" s="37" t="n">
        <v>4647.99</v>
      </c>
      <c r="G31" s="18" t="n">
        <v>1097.86</v>
      </c>
      <c r="H31" s="18" t="n">
        <v>856.54</v>
      </c>
      <c r="I31" s="18" t="n">
        <v>596.55</v>
      </c>
      <c r="J31" s="18" t="n">
        <v>2120.74</v>
      </c>
      <c r="K31" s="37" t="n">
        <v>2120.74</v>
      </c>
      <c r="L31" s="18" t="n">
        <v>4001.33</v>
      </c>
      <c r="M31" s="18" t="n">
        <v>1932.31</v>
      </c>
      <c r="N31" s="18" t="n">
        <v>1763.05</v>
      </c>
      <c r="O31" s="18" t="n">
        <v>3328.95</v>
      </c>
      <c r="P31" s="37" t="n">
        <v>3328.95</v>
      </c>
      <c r="Q31" s="18" t="n">
        <v>1949.16</v>
      </c>
      <c r="R31" s="18" t="n">
        <v>1440.98</v>
      </c>
      <c r="S31" s="18" t="n">
        <v>2108.22</v>
      </c>
      <c r="T31" s="18" t="n">
        <v>1115.12</v>
      </c>
      <c r="U31" s="37" t="n">
        <v>1115.12</v>
      </c>
      <c r="V31" s="18" t="n">
        <v>850.67</v>
      </c>
      <c r="W31" s="18" t="n">
        <v>344.57</v>
      </c>
      <c r="X31" s="18" t="n">
        <v>485.47</v>
      </c>
      <c r="Y31" s="18" t="n">
        <v>1742.26</v>
      </c>
      <c r="Z31" s="37" t="n">
        <v>1742.26</v>
      </c>
      <c r="AA31" s="18" t="n">
        <v>1807.83</v>
      </c>
      <c r="AB31" s="19" t="n">
        <v>1035.66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21639.56</v>
      </c>
      <c r="F32" s="37" t="n">
        <v>21639.56</v>
      </c>
      <c r="G32" s="18" t="n">
        <v>19682.05</v>
      </c>
      <c r="H32" s="18" t="n">
        <v>19430.75</v>
      </c>
      <c r="I32" s="18" t="n">
        <v>19588.83</v>
      </c>
      <c r="J32" s="18" t="n">
        <v>18862.77</v>
      </c>
      <c r="K32" s="37" t="n">
        <v>18862.77</v>
      </c>
      <c r="L32" s="18" t="n">
        <v>13023.26</v>
      </c>
      <c r="M32" s="18" t="n">
        <v>29377.71</v>
      </c>
      <c r="N32" s="18" t="n">
        <v>37094.7</v>
      </c>
      <c r="O32" s="18" t="n">
        <v>33402.75</v>
      </c>
      <c r="P32" s="37" t="n">
        <v>33402.75</v>
      </c>
      <c r="Q32" s="18" t="n">
        <v>33856.67</v>
      </c>
      <c r="R32" s="18" t="n">
        <v>33735.03</v>
      </c>
      <c r="S32" s="18" t="n">
        <v>33570.18</v>
      </c>
      <c r="T32" s="18" t="n">
        <v>31119.03</v>
      </c>
      <c r="U32" s="37" t="n">
        <v>31119.03</v>
      </c>
      <c r="V32" s="18" t="n">
        <v>36590.66</v>
      </c>
      <c r="W32" s="18" t="n">
        <v>29750.8</v>
      </c>
      <c r="X32" s="18" t="n">
        <v>12888.96</v>
      </c>
      <c r="Y32" s="18" t="n">
        <v>40031.84</v>
      </c>
      <c r="Z32" s="37" t="n">
        <v>40031.84</v>
      </c>
      <c r="AA32" s="18" t="n">
        <v>50437.97</v>
      </c>
      <c r="AB32" s="19" t="n">
        <v>51461.09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8321.4</v>
      </c>
      <c r="F33" s="37" t="n">
        <v>8321.4</v>
      </c>
      <c r="G33" s="18" t="n">
        <v>6000</v>
      </c>
      <c r="H33" s="18" t="n">
        <v>6000</v>
      </c>
      <c r="I33" s="18" t="n">
        <v>6000</v>
      </c>
      <c r="J33" s="18" t="n">
        <v>7000</v>
      </c>
      <c r="K33" s="37" t="n">
        <v>7000</v>
      </c>
      <c r="L33" s="18" t="n">
        <v>1000</v>
      </c>
      <c r="M33" s="18" t="n">
        <v>18600</v>
      </c>
      <c r="N33" s="18" t="n">
        <v>26100</v>
      </c>
      <c r="O33" s="18" t="n">
        <v>23600</v>
      </c>
      <c r="P33" s="37" t="n">
        <v>23600</v>
      </c>
      <c r="Q33" s="18" t="n">
        <v>23600</v>
      </c>
      <c r="R33" s="18" t="n">
        <v>23600</v>
      </c>
      <c r="S33" s="18" t="n">
        <v>23200</v>
      </c>
      <c r="T33" s="18" t="n">
        <v>23200</v>
      </c>
      <c r="U33" s="37" t="n">
        <v>23200</v>
      </c>
      <c r="V33" s="18" t="n">
        <v>23200</v>
      </c>
      <c r="W33" s="18" t="n">
        <v>17000</v>
      </c>
      <c r="Y33" s="18" t="n">
        <v>31760.11</v>
      </c>
      <c r="Z33" s="37" t="n">
        <v>31760.11</v>
      </c>
      <c r="AA33" s="18" t="n">
        <v>41604.61</v>
      </c>
      <c r="AB33" s="19" t="n">
        <v>43133.33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3210.15</v>
      </c>
      <c r="F34" s="37" t="n">
        <v>3210.15</v>
      </c>
      <c r="G34" s="18" t="n">
        <v>3576.07</v>
      </c>
      <c r="H34" s="18" t="n">
        <v>3283.56</v>
      </c>
      <c r="I34" s="18" t="n">
        <v>3580.49</v>
      </c>
      <c r="J34" s="18" t="n">
        <v>2990.2</v>
      </c>
      <c r="K34" s="37" t="n">
        <v>2990.2</v>
      </c>
      <c r="L34" s="18" t="n">
        <v>3136.35</v>
      </c>
      <c r="M34" s="18" t="n">
        <v>4623.58</v>
      </c>
      <c r="N34" s="18" t="n">
        <v>4849.93</v>
      </c>
      <c r="O34" s="18" t="n">
        <v>3273.5</v>
      </c>
      <c r="P34" s="37" t="n">
        <v>3273.5</v>
      </c>
      <c r="Q34" s="18" t="n">
        <v>3778.67</v>
      </c>
      <c r="R34" s="18" t="n">
        <v>4533.27</v>
      </c>
      <c r="S34" s="18" t="n">
        <v>4767.03</v>
      </c>
      <c r="T34" s="18" t="n">
        <v>3623.76</v>
      </c>
      <c r="U34" s="37" t="n">
        <v>3623.76</v>
      </c>
      <c r="V34" s="18" t="n">
        <v>4164.49</v>
      </c>
      <c r="W34" s="18" t="n">
        <v>4063.93</v>
      </c>
      <c r="X34" s="18" t="n">
        <v>4275.38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8697.59</v>
      </c>
      <c r="F35" s="37" t="n">
        <v>8697.59</v>
      </c>
      <c r="G35" s="18" t="n">
        <v>8694.76</v>
      </c>
      <c r="H35" s="18" t="n">
        <v>8780.74</v>
      </c>
      <c r="I35" s="18" t="n">
        <v>8777.91</v>
      </c>
      <c r="J35" s="18" t="n">
        <v>7594.1</v>
      </c>
      <c r="K35" s="37" t="n">
        <v>7594.1</v>
      </c>
      <c r="L35" s="18" t="n">
        <v>7586.94</v>
      </c>
      <c r="M35" s="18" t="n">
        <v>4868.24</v>
      </c>
      <c r="N35" s="18" t="n">
        <v>4867.83</v>
      </c>
      <c r="O35" s="18" t="n">
        <v>5270.16</v>
      </c>
      <c r="P35" s="37" t="n">
        <v>5270.16</v>
      </c>
      <c r="Q35" s="18" t="n">
        <v>5269.75</v>
      </c>
      <c r="R35" s="18" t="n">
        <v>4226.45</v>
      </c>
      <c r="S35" s="18" t="n">
        <v>4226.04</v>
      </c>
      <c r="T35" s="18" t="n">
        <v>3594.74</v>
      </c>
      <c r="U35" s="37" t="n">
        <v>3594.74</v>
      </c>
      <c r="V35" s="18" t="n">
        <v>4173.79</v>
      </c>
      <c r="W35" s="18" t="n">
        <v>4303.17</v>
      </c>
      <c r="X35" s="18" t="n">
        <v>4302.43</v>
      </c>
      <c r="Y35" s="18" t="n">
        <v>5519.38</v>
      </c>
      <c r="Z35" s="37" t="n">
        <v>5519.38</v>
      </c>
      <c r="AA35" s="18" t="n">
        <v>5518.99</v>
      </c>
      <c r="AB35" s="19" t="n">
        <v>4699.41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860.42</v>
      </c>
      <c r="F36" s="37" t="n">
        <v>860.42</v>
      </c>
      <c r="G36" s="18" t="n">
        <v>855.21</v>
      </c>
      <c r="H36" s="18" t="n">
        <v>810.45</v>
      </c>
      <c r="I36" s="18" t="n">
        <v>724.4299999999999</v>
      </c>
      <c r="J36" s="18" t="n">
        <v>772.47</v>
      </c>
      <c r="K36" s="37" t="n">
        <v>772.47</v>
      </c>
      <c r="L36" s="18" t="n">
        <v>743.96</v>
      </c>
      <c r="M36" s="18" t="n">
        <v>709.9</v>
      </c>
      <c r="N36" s="18" t="n">
        <v>620.9299999999999</v>
      </c>
      <c r="O36" s="18" t="n">
        <v>523.09</v>
      </c>
      <c r="P36" s="37" t="n">
        <v>523.09</v>
      </c>
      <c r="Q36" s="18" t="n">
        <v>432.26</v>
      </c>
      <c r="R36" s="18" t="n">
        <v>559.3099999999999</v>
      </c>
      <c r="S36" s="18" t="n">
        <v>501.11</v>
      </c>
      <c r="T36" s="18" t="n">
        <v>484.52</v>
      </c>
      <c r="U36" s="37" t="n">
        <v>484.52</v>
      </c>
      <c r="V36" s="18" t="n">
        <v>40.71</v>
      </c>
      <c r="W36" s="18" t="n">
        <v>385.25</v>
      </c>
      <c r="X36" s="18" t="n">
        <v>318.7</v>
      </c>
      <c r="Y36" s="18" t="n">
        <v>350.6</v>
      </c>
      <c r="Z36" s="37" t="n">
        <v>350.6</v>
      </c>
      <c r="AA36" s="18" t="n">
        <v>587.29</v>
      </c>
      <c r="AB36" s="19" t="n">
        <v>478.66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1410.42</v>
      </c>
      <c r="F37" s="37" t="n">
        <v>1410.42</v>
      </c>
      <c r="G37" s="18" t="n">
        <v>1411.21</v>
      </c>
      <c r="H37" s="18" t="n">
        <v>1366.45</v>
      </c>
      <c r="I37" s="18" t="n">
        <v>1230.43</v>
      </c>
      <c r="J37" s="18" t="n">
        <v>1278.47</v>
      </c>
      <c r="K37" s="37" t="n">
        <v>1278.47</v>
      </c>
      <c r="L37" s="18" t="n">
        <v>1299.96</v>
      </c>
      <c r="M37" s="18" t="n">
        <v>1285.9</v>
      </c>
      <c r="N37" s="18" t="n">
        <v>1276.93</v>
      </c>
      <c r="O37" s="18" t="n">
        <v>1259.09</v>
      </c>
      <c r="P37" s="37" t="n">
        <v>1259.09</v>
      </c>
      <c r="Q37" s="18" t="n">
        <v>1208.26</v>
      </c>
      <c r="R37" s="18" t="n">
        <v>1375.31</v>
      </c>
      <c r="S37" s="18" t="n">
        <v>1377.11</v>
      </c>
      <c r="T37" s="18" t="n">
        <v>700.52</v>
      </c>
      <c r="U37" s="37" t="n">
        <v>700.52</v>
      </c>
      <c r="V37" s="18" t="n">
        <v>5052.37</v>
      </c>
      <c r="W37" s="18" t="n">
        <v>4383.7</v>
      </c>
      <c r="X37" s="18" t="n">
        <v>4311.15</v>
      </c>
      <c r="Y37" s="18" t="n">
        <v>570.6</v>
      </c>
      <c r="Z37" s="37" t="n">
        <v>570.6</v>
      </c>
      <c r="AA37" s="18" t="n">
        <v>757.29</v>
      </c>
      <c r="AB37" s="19" t="n">
        <v>698.66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기타비유동금융부채</t>
        </is>
      </c>
      <c r="E38" s="18" t="n">
        <v>550</v>
      </c>
      <c r="F38" s="37" t="n">
        <v>550</v>
      </c>
      <c r="G38" s="18" t="n">
        <v>556</v>
      </c>
      <c r="H38" s="18" t="n">
        <v>556</v>
      </c>
      <c r="I38" s="18" t="n">
        <v>506</v>
      </c>
      <c r="J38" s="18" t="n">
        <v>506</v>
      </c>
      <c r="K38" s="37" t="n">
        <v>506</v>
      </c>
      <c r="L38" s="18" t="n">
        <v>556</v>
      </c>
      <c r="M38" s="18" t="n">
        <v>576</v>
      </c>
      <c r="N38" s="18" t="n">
        <v>656</v>
      </c>
      <c r="O38" s="18" t="n">
        <v>736</v>
      </c>
      <c r="P38" s="37" t="n">
        <v>736</v>
      </c>
      <c r="Q38" s="18" t="n">
        <v>776</v>
      </c>
      <c r="R38" s="18" t="n">
        <v>816</v>
      </c>
      <c r="S38" s="18" t="n">
        <v>876</v>
      </c>
      <c r="T38" s="18" t="n">
        <v>216</v>
      </c>
      <c r="U38" s="37" t="n">
        <v>216</v>
      </c>
      <c r="V38" s="18" t="n">
        <v>5011.66</v>
      </c>
      <c r="W38" s="18" t="n">
        <v>3998.45</v>
      </c>
      <c r="X38" s="18" t="n">
        <v>3992.45</v>
      </c>
      <c r="Y38" s="18" t="n">
        <v>220</v>
      </c>
      <c r="Z38" s="37" t="n">
        <v>220</v>
      </c>
      <c r="AA38" s="18" t="n">
        <v>170</v>
      </c>
      <c r="AB38" s="19" t="n">
        <v>220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145850.97</v>
      </c>
      <c r="F39" s="37" t="n">
        <v>145850.97</v>
      </c>
      <c r="G39" s="18" t="n">
        <v>126412.36</v>
      </c>
      <c r="H39" s="18" t="n">
        <v>137659.82</v>
      </c>
      <c r="I39" s="18" t="n">
        <v>139859.45</v>
      </c>
      <c r="J39" s="18" t="n">
        <v>137582.87</v>
      </c>
      <c r="K39" s="37" t="n">
        <v>137582.87</v>
      </c>
      <c r="L39" s="18" t="n">
        <v>144599.65</v>
      </c>
      <c r="M39" s="18" t="n">
        <v>150369.4</v>
      </c>
      <c r="N39" s="18" t="n">
        <v>154362.25</v>
      </c>
      <c r="O39" s="18" t="n">
        <v>126693.39</v>
      </c>
      <c r="P39" s="37" t="n">
        <v>126693.39</v>
      </c>
      <c r="Q39" s="18" t="n">
        <v>130180.38</v>
      </c>
      <c r="R39" s="18" t="n">
        <v>126962.91</v>
      </c>
      <c r="S39" s="18" t="n">
        <v>112781.04</v>
      </c>
      <c r="T39" s="18" t="n">
        <v>135738.03</v>
      </c>
      <c r="U39" s="37" t="n">
        <v>135738.03</v>
      </c>
      <c r="V39" s="18" t="n">
        <v>152725.46</v>
      </c>
      <c r="W39" s="18" t="n">
        <v>150651.12</v>
      </c>
      <c r="X39" s="18" t="n">
        <v>160285.43</v>
      </c>
      <c r="Y39" s="18" t="n">
        <v>185850.99</v>
      </c>
      <c r="Z39" s="37" t="n">
        <v>185850.99</v>
      </c>
      <c r="AA39" s="18" t="n">
        <v>194162.39</v>
      </c>
      <c r="AB39" s="19" t="n">
        <v>186711.37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100842.48</v>
      </c>
      <c r="F40" s="37" t="n">
        <v>100842.48</v>
      </c>
      <c r="G40" s="18" t="n">
        <v>112807.35</v>
      </c>
      <c r="H40" s="18" t="n">
        <v>113283.86</v>
      </c>
      <c r="I40" s="18" t="n">
        <v>113018</v>
      </c>
      <c r="J40" s="18" t="n">
        <v>113006.48</v>
      </c>
      <c r="K40" s="37" t="n">
        <v>113006.48</v>
      </c>
      <c r="L40" s="18" t="n">
        <v>112744.65</v>
      </c>
      <c r="M40" s="18" t="n">
        <v>114401.32</v>
      </c>
      <c r="N40" s="18" t="n">
        <v>113558.67</v>
      </c>
      <c r="O40" s="18" t="n">
        <v>121170.84</v>
      </c>
      <c r="P40" s="37" t="n">
        <v>121170.84</v>
      </c>
      <c r="Q40" s="18" t="n">
        <v>121035.37</v>
      </c>
      <c r="R40" s="18" t="n">
        <v>122242.98</v>
      </c>
      <c r="S40" s="18" t="n">
        <v>121814.37</v>
      </c>
      <c r="T40" s="18" t="n">
        <v>120932.72</v>
      </c>
      <c r="U40" s="37" t="n">
        <v>120932.72</v>
      </c>
      <c r="V40" s="18" t="n">
        <v>117914.45</v>
      </c>
      <c r="W40" s="18" t="n">
        <v>120198.15</v>
      </c>
      <c r="X40" s="18" t="n">
        <v>128801.65</v>
      </c>
      <c r="Y40" s="18" t="n">
        <v>123786.51</v>
      </c>
      <c r="Z40" s="37" t="n">
        <v>123786.51</v>
      </c>
      <c r="AA40" s="18" t="n">
        <v>134708.38</v>
      </c>
      <c r="AB40" s="19" t="n">
        <v>137784.22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12261.13</v>
      </c>
      <c r="F41" s="37" t="n">
        <v>12261.13</v>
      </c>
      <c r="G41" s="18" t="n">
        <v>12261.13</v>
      </c>
      <c r="H41" s="18" t="n">
        <v>12261.13</v>
      </c>
      <c r="I41" s="18" t="n">
        <v>12261.13</v>
      </c>
      <c r="J41" s="18" t="n">
        <v>12261.13</v>
      </c>
      <c r="K41" s="37" t="n">
        <v>12261.13</v>
      </c>
      <c r="L41" s="18" t="n">
        <v>12261.13</v>
      </c>
      <c r="M41" s="18" t="n">
        <v>12261.13</v>
      </c>
      <c r="N41" s="18" t="n">
        <v>12261.13</v>
      </c>
      <c r="O41" s="18" t="n">
        <v>12261.13</v>
      </c>
      <c r="P41" s="37" t="n">
        <v>12261.13</v>
      </c>
      <c r="Q41" s="18" t="n">
        <v>12261.13</v>
      </c>
      <c r="R41" s="18" t="n">
        <v>12261.13</v>
      </c>
      <c r="S41" s="18" t="n">
        <v>12261.13</v>
      </c>
      <c r="T41" s="18" t="n">
        <v>12261.13</v>
      </c>
      <c r="U41" s="37" t="n">
        <v>12261.13</v>
      </c>
      <c r="V41" s="18" t="n">
        <v>13368.13</v>
      </c>
      <c r="W41" s="18" t="n">
        <v>13368.13</v>
      </c>
      <c r="X41" s="18" t="n">
        <v>13368.13</v>
      </c>
      <c r="Y41" s="18" t="n">
        <v>13368.13</v>
      </c>
      <c r="Z41" s="37" t="n">
        <v>13368.13</v>
      </c>
      <c r="AA41" s="18" t="n">
        <v>13368.13</v>
      </c>
      <c r="AB41" s="19" t="n">
        <v>13368.13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19928.82</v>
      </c>
      <c r="F42" s="37" t="n">
        <v>19928.82</v>
      </c>
      <c r="G42" s="18" t="n">
        <v>19928.82</v>
      </c>
      <c r="H42" s="18" t="n">
        <v>19928.82</v>
      </c>
      <c r="I42" s="18" t="n">
        <v>19692.75</v>
      </c>
      <c r="J42" s="18" t="n">
        <v>18226.23</v>
      </c>
      <c r="K42" s="37" t="n">
        <v>18226.23</v>
      </c>
      <c r="L42" s="18" t="n">
        <v>18203.39</v>
      </c>
      <c r="M42" s="18" t="n">
        <v>18203.39</v>
      </c>
      <c r="N42" s="18" t="n">
        <v>17851.98</v>
      </c>
      <c r="O42" s="18" t="n">
        <v>31679.9</v>
      </c>
      <c r="P42" s="37" t="n">
        <v>31679.9</v>
      </c>
      <c r="Q42" s="18" t="n">
        <v>31679.9</v>
      </c>
      <c r="R42" s="18" t="n">
        <v>31679.9</v>
      </c>
      <c r="S42" s="18" t="n">
        <v>31679.9</v>
      </c>
      <c r="T42" s="18" t="n">
        <v>35295.98</v>
      </c>
      <c r="U42" s="37" t="n">
        <v>35295.98</v>
      </c>
      <c r="V42" s="18" t="n">
        <v>32010.34</v>
      </c>
      <c r="W42" s="18" t="n">
        <v>35507.93</v>
      </c>
      <c r="X42" s="18" t="n">
        <v>35513.41</v>
      </c>
      <c r="Y42" s="18" t="n">
        <v>35460.41</v>
      </c>
      <c r="Z42" s="37" t="n">
        <v>35460.41</v>
      </c>
      <c r="AA42" s="18" t="n">
        <v>47378.65</v>
      </c>
      <c r="AB42" s="19" t="n">
        <v>47986.08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744.12</v>
      </c>
      <c r="F43" s="37" t="n">
        <v>744.12</v>
      </c>
      <c r="G43" s="18" t="n">
        <v>1496.28</v>
      </c>
      <c r="H43" s="18" t="n">
        <v>398.14</v>
      </c>
      <c r="I43" s="18" t="n">
        <v>170.03</v>
      </c>
      <c r="J43" s="18" t="n">
        <v>510.25</v>
      </c>
      <c r="K43" s="37" t="n">
        <v>510.25</v>
      </c>
      <c r="L43" s="18" t="n">
        <v>526.6900000000001</v>
      </c>
      <c r="M43" s="18" t="n">
        <v>558.77</v>
      </c>
      <c r="N43" s="18" t="n">
        <v>423.13</v>
      </c>
      <c r="O43" s="18" t="n">
        <v>1991.49</v>
      </c>
      <c r="P43" s="37" t="n">
        <v>1991.49</v>
      </c>
      <c r="Q43" s="18" t="n">
        <v>1251.36</v>
      </c>
      <c r="R43" s="18" t="n">
        <v>2322.69</v>
      </c>
      <c r="S43" s="18" t="n">
        <v>2241.84</v>
      </c>
      <c r="T43" s="18" t="n">
        <v>-220.78</v>
      </c>
      <c r="U43" s="37" t="n">
        <v>-220.78</v>
      </c>
      <c r="V43" s="18" t="n">
        <v>-1506.73</v>
      </c>
      <c r="W43" s="18" t="n">
        <v>-5948.76</v>
      </c>
      <c r="X43" s="18" t="n">
        <v>1549.25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67908.39999999999</v>
      </c>
      <c r="F44" s="37" t="n">
        <v>67908.39999999999</v>
      </c>
      <c r="G44" s="18" t="n">
        <v>79121.12</v>
      </c>
      <c r="H44" s="18" t="n">
        <v>80695.77</v>
      </c>
      <c r="I44" s="18" t="n">
        <v>80894.10000000001</v>
      </c>
      <c r="J44" s="18" t="n">
        <v>82008.88</v>
      </c>
      <c r="K44" s="37" t="n">
        <v>82008.88</v>
      </c>
      <c r="L44" s="18" t="n">
        <v>81753.44</v>
      </c>
      <c r="M44" s="18" t="n">
        <v>83378.03</v>
      </c>
      <c r="N44" s="18" t="n">
        <v>83022.42999999999</v>
      </c>
      <c r="O44" s="18" t="n">
        <v>75238.32000000001</v>
      </c>
      <c r="P44" s="37" t="n">
        <v>75238.32000000001</v>
      </c>
      <c r="Q44" s="18" t="n">
        <v>75842.98</v>
      </c>
      <c r="R44" s="18" t="n">
        <v>75979.25999999999</v>
      </c>
      <c r="S44" s="18" t="n">
        <v>75631.5</v>
      </c>
      <c r="T44" s="18" t="n">
        <v>73596.39</v>
      </c>
      <c r="U44" s="37" t="n">
        <v>73596.39</v>
      </c>
      <c r="V44" s="18" t="n">
        <v>74042.71000000001</v>
      </c>
      <c r="W44" s="18" t="n">
        <v>77270.85000000001</v>
      </c>
      <c r="X44" s="18" t="n">
        <v>78370.85000000001</v>
      </c>
      <c r="Y44" s="18" t="n">
        <v>77377.91</v>
      </c>
      <c r="Z44" s="37" t="n">
        <v>77377.91</v>
      </c>
      <c r="AA44" s="18" t="n">
        <v>76489.74000000001</v>
      </c>
      <c r="AB44" s="19" t="n">
        <v>79155.02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3074.95</v>
      </c>
      <c r="F45" s="37" t="n">
        <v>3074.95</v>
      </c>
      <c r="G45" s="18" t="n">
        <v>3366.2</v>
      </c>
      <c r="H45" s="18" t="n">
        <v>3655.33</v>
      </c>
      <c r="I45" s="18" t="n">
        <v>4194.09</v>
      </c>
      <c r="J45" s="18" t="n">
        <v>4270.35</v>
      </c>
      <c r="K45" s="37" t="n">
        <v>4270.35</v>
      </c>
      <c r="L45" s="18" t="n">
        <v>4664.37</v>
      </c>
      <c r="M45" s="18" t="n">
        <v>5159.13</v>
      </c>
      <c r="N45" s="18" t="n">
        <v>5398.29</v>
      </c>
      <c r="O45" s="18" t="n">
        <v>22857.04</v>
      </c>
      <c r="P45" s="37" t="n">
        <v>22857.04</v>
      </c>
      <c r="Q45" s="18" t="n">
        <v>23568.78</v>
      </c>
      <c r="R45" s="18" t="n">
        <v>24002.29</v>
      </c>
      <c r="S45" s="18" t="n">
        <v>24172.9</v>
      </c>
      <c r="T45" s="18" t="n">
        <v>24757.62</v>
      </c>
      <c r="U45" s="37" t="n">
        <v>24757.62</v>
      </c>
      <c r="V45" s="18" t="n">
        <v>22880.41</v>
      </c>
      <c r="W45" s="18" t="n">
        <v>24465.07</v>
      </c>
      <c r="X45" s="18" t="n">
        <v>25525.74</v>
      </c>
      <c r="Y45" s="18" t="n">
        <v>25702.88</v>
      </c>
      <c r="Z45" s="37" t="n">
        <v>25702.88</v>
      </c>
      <c r="AA45" s="18" t="n">
        <v>40578.79</v>
      </c>
      <c r="AB45" s="19" t="n">
        <v>41709.56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103917.42</v>
      </c>
      <c r="F46" s="37" t="n">
        <v>103917.42</v>
      </c>
      <c r="G46" s="18" t="n">
        <v>116173.55</v>
      </c>
      <c r="H46" s="18" t="n">
        <v>116939.19</v>
      </c>
      <c r="I46" s="18" t="n">
        <v>117212.1</v>
      </c>
      <c r="J46" s="18" t="n">
        <v>117276.83</v>
      </c>
      <c r="K46" s="37" t="n">
        <v>117276.83</v>
      </c>
      <c r="L46" s="18" t="n">
        <v>117409.02</v>
      </c>
      <c r="M46" s="18" t="n">
        <v>119560.46</v>
      </c>
      <c r="N46" s="18" t="n">
        <v>118956.95</v>
      </c>
      <c r="O46" s="18" t="n">
        <v>144027.88</v>
      </c>
      <c r="P46" s="37" t="n">
        <v>144027.88</v>
      </c>
      <c r="Q46" s="18" t="n">
        <v>144604.15</v>
      </c>
      <c r="R46" s="18" t="n">
        <v>146245.27</v>
      </c>
      <c r="S46" s="18" t="n">
        <v>145987.27</v>
      </c>
      <c r="T46" s="18" t="n">
        <v>145690.33</v>
      </c>
      <c r="U46" s="37" t="n">
        <v>145690.33</v>
      </c>
      <c r="V46" s="18" t="n">
        <v>140794.86</v>
      </c>
      <c r="W46" s="18" t="n">
        <v>144663.22</v>
      </c>
      <c r="X46" s="18" t="n">
        <v>154327.38</v>
      </c>
      <c r="Y46" s="18" t="n">
        <v>149489.39</v>
      </c>
      <c r="Z46" s="37" t="n">
        <v>149489.39</v>
      </c>
      <c r="AA46" s="18" t="n">
        <v>175287.17</v>
      </c>
      <c r="AB46" s="19" t="n">
        <v>179493.78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249768.39</v>
      </c>
      <c r="F47" s="37" t="n">
        <v>249768.39</v>
      </c>
      <c r="G47" s="18" t="n">
        <v>242585.92</v>
      </c>
      <c r="H47" s="18" t="n">
        <v>254599.01</v>
      </c>
      <c r="I47" s="18" t="n">
        <v>257071.54</v>
      </c>
      <c r="J47" s="18" t="n">
        <v>254859.7</v>
      </c>
      <c r="K47" s="37" t="n">
        <v>254859.7</v>
      </c>
      <c r="L47" s="18" t="n">
        <v>262008.67</v>
      </c>
      <c r="M47" s="18" t="n">
        <v>269929.85</v>
      </c>
      <c r="N47" s="18" t="n">
        <v>273319.2</v>
      </c>
      <c r="O47" s="18" t="n">
        <v>270721.26</v>
      </c>
      <c r="P47" s="37" t="n">
        <v>270721.26</v>
      </c>
      <c r="Q47" s="18" t="n">
        <v>274784.53</v>
      </c>
      <c r="R47" s="18" t="n">
        <v>273208.18</v>
      </c>
      <c r="S47" s="18" t="n">
        <v>258768.3</v>
      </c>
      <c r="T47" s="18" t="n">
        <v>281428.37</v>
      </c>
      <c r="U47" s="37" t="n">
        <v>281428.37</v>
      </c>
      <c r="V47" s="18" t="n">
        <v>293520.32</v>
      </c>
      <c r="W47" s="18" t="n">
        <v>295314.34</v>
      </c>
      <c r="X47" s="18" t="n">
        <v>314612.81</v>
      </c>
      <c r="Y47" s="18" t="n">
        <v>335340.38</v>
      </c>
      <c r="Z47" s="37" t="n">
        <v>335340.38</v>
      </c>
      <c r="AA47" s="18" t="n">
        <v>369449.56</v>
      </c>
      <c r="AB47" s="19" t="n">
        <v>366205.15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125615.16</v>
      </c>
      <c r="F48" s="37" t="n">
        <v>125615.16</v>
      </c>
      <c r="G48" s="18" t="n">
        <v>92676.87</v>
      </c>
      <c r="H48" s="18" t="n">
        <v>98978.56</v>
      </c>
      <c r="I48" s="18" t="n">
        <v>103800</v>
      </c>
      <c r="J48" s="18" t="n">
        <v>97170</v>
      </c>
      <c r="K48" s="37" t="n">
        <v>97170</v>
      </c>
      <c r="L48" s="18" t="n">
        <v>106853</v>
      </c>
      <c r="M48" s="18" t="n">
        <v>114314</v>
      </c>
      <c r="N48" s="18" t="n">
        <v>124460</v>
      </c>
      <c r="O48" s="18" t="n">
        <v>91662.14</v>
      </c>
      <c r="P48" s="37" t="n">
        <v>91662.14</v>
      </c>
      <c r="Q48" s="18" t="n">
        <v>96700</v>
      </c>
      <c r="R48" s="18" t="n">
        <v>94000</v>
      </c>
      <c r="S48" s="18" t="n">
        <v>88050</v>
      </c>
      <c r="T48" s="18" t="n">
        <v>107350</v>
      </c>
      <c r="U48" s="37" t="n">
        <v>107350</v>
      </c>
      <c r="V48" s="18" t="n">
        <v>114309.95</v>
      </c>
      <c r="W48" s="18" t="n">
        <v>115998.68</v>
      </c>
      <c r="X48" s="18" t="n">
        <v>122373.85</v>
      </c>
      <c r="Y48" s="18" t="n">
        <v>148479.74</v>
      </c>
      <c r="Z48" s="37" t="n">
        <v>148479.74</v>
      </c>
      <c r="AA48" s="18" t="n">
        <v>149680.17</v>
      </c>
      <c r="AB48" s="19" t="n">
        <v>154533.33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111867.27</v>
      </c>
      <c r="F49" s="37" t="n">
        <v>111867.27</v>
      </c>
      <c r="G49" s="18" t="n">
        <v>77195.67</v>
      </c>
      <c r="H49" s="18" t="n">
        <v>92171.5</v>
      </c>
      <c r="I49" s="18" t="n">
        <v>95390.97</v>
      </c>
      <c r="J49" s="18" t="n">
        <v>86545.36</v>
      </c>
      <c r="K49" s="37" t="n">
        <v>86545.36</v>
      </c>
      <c r="L49" s="18" t="n">
        <v>101474.7</v>
      </c>
      <c r="M49" s="18" t="n">
        <v>107553.46</v>
      </c>
      <c r="N49" s="18" t="n">
        <v>116155.35</v>
      </c>
      <c r="O49" s="18" t="n">
        <v>74036.86</v>
      </c>
      <c r="P49" s="37" t="n">
        <v>74036.86</v>
      </c>
      <c r="Q49" s="18" t="n">
        <v>81284.55</v>
      </c>
      <c r="R49" s="18" t="n">
        <v>81844.95</v>
      </c>
      <c r="S49" s="18" t="n">
        <v>75220.58</v>
      </c>
      <c r="T49" s="18" t="n">
        <v>95804.81</v>
      </c>
      <c r="U49" s="37" t="n">
        <v>95804.81</v>
      </c>
      <c r="V49" s="18" t="n">
        <v>83361.5</v>
      </c>
      <c r="W49" s="18" t="n">
        <v>96564.53</v>
      </c>
      <c r="X49" s="18" t="n">
        <v>112165.27</v>
      </c>
      <c r="Y49" s="18" t="n">
        <v>117808.9</v>
      </c>
      <c r="Z49" s="37" t="n">
        <v>117808.9</v>
      </c>
      <c r="AA49" s="18" t="n">
        <v>130011.82</v>
      </c>
      <c r="AB49" s="19" t="n">
        <v>131976.46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15179.22</v>
      </c>
      <c r="F50" s="37" t="n">
        <v>15179.22</v>
      </c>
      <c r="G50" s="18" t="n">
        <v>16581.52</v>
      </c>
      <c r="H50" s="18" t="n">
        <v>7907.38</v>
      </c>
      <c r="I50" s="18" t="n">
        <v>9509.35</v>
      </c>
      <c r="J50" s="18" t="n">
        <v>11724.96</v>
      </c>
      <c r="K50" s="37" t="n">
        <v>11724.96</v>
      </c>
      <c r="L50" s="18" t="n">
        <v>6478.62</v>
      </c>
      <c r="M50" s="18" t="n">
        <v>7860.86</v>
      </c>
      <c r="N50" s="18" t="n">
        <v>9404.969999999999</v>
      </c>
      <c r="O50" s="18" t="n">
        <v>18449.71</v>
      </c>
      <c r="P50" s="37" t="n">
        <v>18449.71</v>
      </c>
      <c r="Q50" s="18" t="n">
        <v>16239.88</v>
      </c>
      <c r="R50" s="18" t="n">
        <v>12387.48</v>
      </c>
      <c r="S50" s="18" t="n">
        <v>13157.43</v>
      </c>
      <c r="T50" s="18" t="n">
        <v>24789.5</v>
      </c>
      <c r="U50" s="37" t="n">
        <v>24789.5</v>
      </c>
      <c r="V50" s="18" t="n">
        <v>44291.93</v>
      </c>
      <c r="W50" s="18" t="n">
        <v>31231.5</v>
      </c>
      <c r="X50" s="18" t="n">
        <v>29514.76</v>
      </c>
      <c r="Y50" s="18" t="n">
        <v>31518.7</v>
      </c>
      <c r="Z50" s="37" t="n">
        <v>31518.7</v>
      </c>
      <c r="AA50" s="18" t="n">
        <v>21421.43</v>
      </c>
      <c r="AB50" s="19" t="n">
        <v>24431.11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E51" s="18" t="n">
        <v>19532.3</v>
      </c>
      <c r="F51" s="37" t="n">
        <v>19532.3</v>
      </c>
      <c r="G51" s="18" t="n">
        <v>17476.87</v>
      </c>
      <c r="H51" s="18" t="n">
        <v>16678.56</v>
      </c>
      <c r="I51" s="18" t="n">
        <v>16500</v>
      </c>
      <c r="J51" s="18" t="n">
        <v>17100</v>
      </c>
      <c r="K51" s="37" t="n">
        <v>17100</v>
      </c>
      <c r="L51" s="18" t="n">
        <v>23100</v>
      </c>
      <c r="M51" s="18" t="n">
        <v>9500</v>
      </c>
      <c r="N51" s="18" t="n">
        <v>6000</v>
      </c>
      <c r="O51" s="18" t="n">
        <v>6000</v>
      </c>
      <c r="P51" s="37" t="n">
        <v>6000</v>
      </c>
      <c r="U51" s="9" t="n"/>
      <c r="V51" s="18" t="n">
        <v>9659.950000000001</v>
      </c>
      <c r="W51" s="18" t="n">
        <v>15858.68</v>
      </c>
      <c r="X51" s="18" t="n">
        <v>33273.85</v>
      </c>
      <c r="Y51" s="18" t="n">
        <v>10904.96</v>
      </c>
      <c r="Z51" s="37" t="n">
        <v>10904.96</v>
      </c>
      <c r="AA51" s="18" t="n">
        <v>3405.39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O52" s="18" t="n">
        <v>89.81</v>
      </c>
      <c r="P52" s="37" t="n">
        <v>89.81</v>
      </c>
      <c r="Q52" s="18" t="n">
        <v>107.85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단기금융상품</t>
        </is>
      </c>
      <c r="F53" s="9" t="n"/>
      <c r="K53" s="9" t="n"/>
      <c r="P53" s="9" t="n"/>
      <c r="Q53" s="18" t="n">
        <v>1343.03</v>
      </c>
      <c r="U53" s="9" t="n"/>
      <c r="V53" s="18" t="n">
        <v>17119.74</v>
      </c>
      <c r="W53" s="18" t="n">
        <v>12299.9</v>
      </c>
      <c r="X53" s="18" t="n">
        <v>3299.49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Q54" s="18" t="n">
        <v>1343.03</v>
      </c>
      <c r="U54" s="9" t="n"/>
      <c r="V54" s="18" t="n">
        <v>17119.74</v>
      </c>
      <c r="W54" s="18" t="n">
        <v>12299.9</v>
      </c>
      <c r="X54" s="18" t="n">
        <v>3299.49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105814.67</v>
      </c>
      <c r="Z55" s="37" t="n">
        <v>105814.67</v>
      </c>
      <c r="AA55" s="18" t="n">
        <v>104670.17</v>
      </c>
      <c r="AB55" s="19" t="n">
        <v>111400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-2419.94</v>
      </c>
      <c r="Z56" s="37" t="n">
        <v>-2419.94</v>
      </c>
      <c r="AA56" s="18" t="n">
        <v>-2528.14</v>
      </c>
      <c r="AB56" s="19" t="n">
        <v>-2725.01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58902.71</v>
      </c>
      <c r="F57" s="9" t="n"/>
      <c r="G57" s="18" t="n">
        <v>61406.78</v>
      </c>
      <c r="H57" s="18" t="n">
        <v>64773.02</v>
      </c>
      <c r="I57" s="18" t="n">
        <v>57703.37</v>
      </c>
      <c r="J57" s="18" t="n">
        <v>61602.39</v>
      </c>
      <c r="K57" s="37" t="n">
        <v>245485.56</v>
      </c>
      <c r="L57" s="18" t="n">
        <v>61668.68</v>
      </c>
      <c r="M57" s="18" t="n">
        <v>66477.86</v>
      </c>
      <c r="N57" s="18" t="n">
        <v>58971.11</v>
      </c>
      <c r="O57" s="18" t="n">
        <v>61330.2</v>
      </c>
      <c r="P57" s="37" t="n">
        <v>248447.85</v>
      </c>
      <c r="Q57" s="18" t="n">
        <v>52985.62</v>
      </c>
      <c r="R57" s="18" t="n">
        <v>59840.34</v>
      </c>
      <c r="S57" s="18" t="n">
        <v>53110.99</v>
      </c>
      <c r="T57" s="18" t="n">
        <v>57511.33</v>
      </c>
      <c r="U57" s="37" t="n">
        <v>223448.28</v>
      </c>
      <c r="V57" s="18" t="n">
        <v>53367.27</v>
      </c>
      <c r="W57" s="18" t="n">
        <v>56100.88</v>
      </c>
      <c r="X57" s="18" t="n">
        <v>56009.15</v>
      </c>
      <c r="Y57" s="18" t="n">
        <v>53923.08</v>
      </c>
      <c r="Z57" s="37" t="n">
        <v>219400.38</v>
      </c>
      <c r="AA57" s="18" t="n">
        <v>66119.84</v>
      </c>
      <c r="AB57" s="19" t="n">
        <v>71721.12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53502.84</v>
      </c>
      <c r="F58" s="9" t="n"/>
      <c r="G58" s="18" t="n">
        <v>53759.67</v>
      </c>
      <c r="H58" s="18" t="n">
        <v>54115.03</v>
      </c>
      <c r="I58" s="18" t="n">
        <v>52667.07</v>
      </c>
      <c r="J58" s="18" t="n">
        <v>55099.8</v>
      </c>
      <c r="K58" s="37" t="n">
        <v>215641.57</v>
      </c>
      <c r="L58" s="18" t="n">
        <v>53646.3</v>
      </c>
      <c r="M58" s="18" t="n">
        <v>58263.47</v>
      </c>
      <c r="N58" s="18" t="n">
        <v>53509.25</v>
      </c>
      <c r="O58" s="18" t="n">
        <v>56589.92</v>
      </c>
      <c r="P58" s="37" t="n">
        <v>222008.94</v>
      </c>
      <c r="Q58" s="18" t="n">
        <v>46715.52</v>
      </c>
      <c r="R58" s="18" t="n">
        <v>53533.17</v>
      </c>
      <c r="S58" s="18" t="n">
        <v>47207.51</v>
      </c>
      <c r="T58" s="18" t="n">
        <v>52613.66</v>
      </c>
      <c r="U58" s="37" t="n">
        <v>200069.86</v>
      </c>
      <c r="V58" s="18" t="n">
        <v>48720.45</v>
      </c>
      <c r="W58" s="18" t="n">
        <v>47083.91</v>
      </c>
      <c r="X58" s="18" t="n">
        <v>48593.34</v>
      </c>
      <c r="Y58" s="18" t="n">
        <v>47530.01</v>
      </c>
      <c r="Z58" s="37" t="n">
        <v>191927.71</v>
      </c>
      <c r="AA58" s="18" t="n">
        <v>53140.94</v>
      </c>
      <c r="AB58" s="19" t="n">
        <v>57018.25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5399.86</v>
      </c>
      <c r="F59" s="9" t="n"/>
      <c r="G59" s="18" t="n">
        <v>7647.11</v>
      </c>
      <c r="H59" s="18" t="n">
        <v>10657.98</v>
      </c>
      <c r="I59" s="18" t="n">
        <v>5036.3</v>
      </c>
      <c r="J59" s="18" t="n">
        <v>6502.6</v>
      </c>
      <c r="K59" s="37" t="n">
        <v>29843.99</v>
      </c>
      <c r="L59" s="18" t="n">
        <v>8022.38</v>
      </c>
      <c r="M59" s="18" t="n">
        <v>8214.389999999999</v>
      </c>
      <c r="N59" s="18" t="n">
        <v>5461.86</v>
      </c>
      <c r="O59" s="18" t="n">
        <v>4740.28</v>
      </c>
      <c r="P59" s="37" t="n">
        <v>26438.91</v>
      </c>
      <c r="Q59" s="18" t="n">
        <v>6270.1</v>
      </c>
      <c r="R59" s="18" t="n">
        <v>6307.16</v>
      </c>
      <c r="S59" s="18" t="n">
        <v>5903.47</v>
      </c>
      <c r="T59" s="18" t="n">
        <v>4897.67</v>
      </c>
      <c r="U59" s="37" t="n">
        <v>23378.4</v>
      </c>
      <c r="V59" s="18" t="n">
        <v>4646.83</v>
      </c>
      <c r="W59" s="18" t="n">
        <v>9016.959999999999</v>
      </c>
      <c r="X59" s="18" t="n">
        <v>7415.81</v>
      </c>
      <c r="Y59" s="18" t="n">
        <v>6393.07</v>
      </c>
      <c r="Z59" s="37" t="n">
        <v>27472.67</v>
      </c>
      <c r="AA59" s="18" t="n">
        <v>12978.9</v>
      </c>
      <c r="AB59" s="19" t="n">
        <v>14702.87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3114.29</v>
      </c>
      <c r="F60" s="9" t="n"/>
      <c r="G60" s="18" t="n">
        <v>4143.02</v>
      </c>
      <c r="H60" s="18" t="n">
        <v>4370.3</v>
      </c>
      <c r="I60" s="18" t="n">
        <v>4400.23</v>
      </c>
      <c r="J60" s="18" t="n">
        <v>5645.22</v>
      </c>
      <c r="K60" s="37" t="n">
        <v>18558.77</v>
      </c>
      <c r="L60" s="18" t="n">
        <v>4549.21</v>
      </c>
      <c r="M60" s="18" t="n">
        <v>4858.2</v>
      </c>
      <c r="N60" s="18" t="n">
        <v>4518.83</v>
      </c>
      <c r="O60" s="18" t="n">
        <v>7390.44</v>
      </c>
      <c r="P60" s="37" t="n">
        <v>21316.68</v>
      </c>
      <c r="Q60" s="18" t="n">
        <v>4416.81</v>
      </c>
      <c r="R60" s="18" t="n">
        <v>4176.07</v>
      </c>
      <c r="S60" s="18" t="n">
        <v>4629.26</v>
      </c>
      <c r="T60" s="18" t="n">
        <v>4125.79</v>
      </c>
      <c r="U60" s="37" t="n">
        <v>17347.93</v>
      </c>
      <c r="V60" s="18" t="n">
        <v>4392.6</v>
      </c>
      <c r="W60" s="18" t="n">
        <v>3848.44</v>
      </c>
      <c r="X60" s="18" t="n">
        <v>4627.74</v>
      </c>
      <c r="Y60" s="18" t="n">
        <v>6429.21</v>
      </c>
      <c r="Z60" s="37" t="n">
        <v>19297.99</v>
      </c>
      <c r="AA60" s="18" t="n">
        <v>4818.98</v>
      </c>
      <c r="AB60" s="19" t="n">
        <v>5476.91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2285.57</v>
      </c>
      <c r="F61" s="9" t="n"/>
      <c r="G61" s="18" t="n">
        <v>3504.09</v>
      </c>
      <c r="H61" s="18" t="n">
        <v>6287.68</v>
      </c>
      <c r="I61" s="18" t="n">
        <v>636.08</v>
      </c>
      <c r="J61" s="18" t="n">
        <v>857.38</v>
      </c>
      <c r="K61" s="37" t="n">
        <v>11285.23</v>
      </c>
      <c r="L61" s="18" t="n">
        <v>3473.17</v>
      </c>
      <c r="M61" s="18" t="n">
        <v>3356.19</v>
      </c>
      <c r="N61" s="18" t="n">
        <v>943.03</v>
      </c>
      <c r="O61" s="18" t="n">
        <v>-2650.17</v>
      </c>
      <c r="P61" s="37" t="n">
        <v>5122.22</v>
      </c>
      <c r="Q61" s="18" t="n">
        <v>1853.28</v>
      </c>
      <c r="R61" s="18" t="n">
        <v>2131.09</v>
      </c>
      <c r="S61" s="18" t="n">
        <v>1274.21</v>
      </c>
      <c r="T61" s="18" t="n">
        <v>771.87</v>
      </c>
      <c r="U61" s="37" t="n">
        <v>6030.45</v>
      </c>
      <c r="V61" s="18" t="n">
        <v>254.23</v>
      </c>
      <c r="W61" s="18" t="n">
        <v>5168.52</v>
      </c>
      <c r="X61" s="18" t="n">
        <v>2788.07</v>
      </c>
      <c r="Y61" s="18" t="n">
        <v>-36.15</v>
      </c>
      <c r="Z61" s="37" t="n">
        <v>8174.67</v>
      </c>
      <c r="AA61" s="18" t="n">
        <v>8159.92</v>
      </c>
      <c r="AB61" s="19" t="n">
        <v>9225.959999999999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139.53</v>
      </c>
      <c r="F62" s="9" t="n"/>
      <c r="G62" s="18" t="n">
        <v>288.08</v>
      </c>
      <c r="H62" s="18" t="n">
        <v>655.8</v>
      </c>
      <c r="I62" s="18" t="n">
        <v>1094.05</v>
      </c>
      <c r="J62" s="18" t="n">
        <v>-128.25</v>
      </c>
      <c r="K62" s="37" t="n">
        <v>1909.68</v>
      </c>
      <c r="L62" s="18" t="n">
        <v>666.8099999999999</v>
      </c>
      <c r="M62" s="18" t="n">
        <v>299.59</v>
      </c>
      <c r="N62" s="18" t="n">
        <v>456.46</v>
      </c>
      <c r="O62" s="18" t="n">
        <v>265.08</v>
      </c>
      <c r="P62" s="37" t="n">
        <v>1687.94</v>
      </c>
      <c r="Q62" s="18" t="n">
        <v>558.67</v>
      </c>
      <c r="R62" s="18" t="n">
        <v>372.34</v>
      </c>
      <c r="S62" s="18" t="n">
        <v>58</v>
      </c>
      <c r="T62" s="18" t="n">
        <v>1006.06</v>
      </c>
      <c r="U62" s="37" t="n">
        <v>1995.07</v>
      </c>
      <c r="V62" s="18" t="n">
        <v>388.26</v>
      </c>
      <c r="W62" s="18" t="n">
        <v>4979.8</v>
      </c>
      <c r="X62" s="18" t="n">
        <v>7.12</v>
      </c>
      <c r="Y62" s="18" t="n">
        <v>-2612.72</v>
      </c>
      <c r="Z62" s="37" t="n">
        <v>2762.46</v>
      </c>
      <c r="AA62" s="18" t="n">
        <v>6882.92</v>
      </c>
      <c r="AB62" s="19" t="n">
        <v>13660.59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824.1900000000001</v>
      </c>
      <c r="F63" s="9" t="n"/>
      <c r="G63" s="18" t="n">
        <v>1211.56</v>
      </c>
      <c r="H63" s="18" t="n">
        <v>1157.98</v>
      </c>
      <c r="I63" s="18" t="n">
        <v>1070.87</v>
      </c>
      <c r="J63" s="18" t="n">
        <v>1949.48</v>
      </c>
      <c r="K63" s="37" t="n">
        <v>5389.89</v>
      </c>
      <c r="L63" s="18" t="n">
        <v>1837.02</v>
      </c>
      <c r="M63" s="18" t="n">
        <v>1721.34</v>
      </c>
      <c r="N63" s="18" t="n">
        <v>1717.07</v>
      </c>
      <c r="O63" s="18" t="n">
        <v>1729.87</v>
      </c>
      <c r="P63" s="37" t="n">
        <v>7005.3</v>
      </c>
      <c r="Q63" s="18" t="n">
        <v>1298.12</v>
      </c>
      <c r="R63" s="18" t="n">
        <v>1266.93</v>
      </c>
      <c r="S63" s="18" t="n">
        <v>1271.32</v>
      </c>
      <c r="T63" s="18" t="n">
        <v>896.5700000000001</v>
      </c>
      <c r="U63" s="37" t="n">
        <v>4732.94</v>
      </c>
      <c r="V63" s="18" t="n">
        <v>1160.4</v>
      </c>
      <c r="W63" s="18" t="n">
        <v>2654.33</v>
      </c>
      <c r="X63" s="18" t="n">
        <v>685.3200000000001</v>
      </c>
      <c r="Y63" s="18" t="n">
        <v>577.52</v>
      </c>
      <c r="Z63" s="37" t="n">
        <v>5077.57</v>
      </c>
      <c r="AA63" s="18" t="n">
        <v>19143.94</v>
      </c>
      <c r="AB63" s="19" t="n">
        <v>15289.12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370.5</v>
      </c>
      <c r="F64" s="9" t="n"/>
      <c r="G64" s="18" t="n">
        <v>9181.549999999999</v>
      </c>
      <c r="H64" s="18" t="n">
        <v>22.39</v>
      </c>
      <c r="I64" s="18" t="n">
        <v>108.46</v>
      </c>
      <c r="J64" s="18" t="n">
        <v>2346.04</v>
      </c>
      <c r="K64" s="37" t="n">
        <v>11658.44</v>
      </c>
      <c r="L64" s="18" t="n">
        <v>166.8</v>
      </c>
      <c r="M64" s="18" t="n">
        <v>113.4</v>
      </c>
      <c r="N64" s="18" t="n">
        <v>203.61</v>
      </c>
      <c r="O64" s="18" t="n">
        <v>171.49</v>
      </c>
      <c r="P64" s="37" t="n">
        <v>655.3</v>
      </c>
      <c r="Q64" s="18" t="n">
        <v>222.98</v>
      </c>
      <c r="R64" s="18" t="n">
        <v>97.73</v>
      </c>
      <c r="S64" s="18" t="n">
        <v>121.47</v>
      </c>
      <c r="T64" s="18" t="n">
        <v>68.3</v>
      </c>
      <c r="U64" s="37" t="n">
        <v>510.48</v>
      </c>
      <c r="V64" s="18" t="n">
        <v>45.81</v>
      </c>
      <c r="W64" s="18" t="n">
        <v>147.46</v>
      </c>
      <c r="X64" s="18" t="n">
        <v>211.99</v>
      </c>
      <c r="Y64" s="18" t="n">
        <v>86.91</v>
      </c>
      <c r="Z64" s="37" t="n">
        <v>492.17</v>
      </c>
      <c r="AA64" s="18" t="n">
        <v>161.21</v>
      </c>
      <c r="AB64" s="19" t="n">
        <v>80.14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48.02</v>
      </c>
      <c r="F65" s="9" t="n"/>
      <c r="G65" s="18" t="n">
        <v>234.91</v>
      </c>
      <c r="H65" s="18" t="n">
        <v>6.07</v>
      </c>
      <c r="I65" s="18" t="n">
        <v>10.77</v>
      </c>
      <c r="J65" s="18" t="n">
        <v>456.76</v>
      </c>
      <c r="K65" s="37" t="n">
        <v>708.51</v>
      </c>
      <c r="L65" s="18" t="n">
        <v>99.75</v>
      </c>
      <c r="M65" s="18" t="n">
        <v>297.51</v>
      </c>
      <c r="N65" s="18" t="n">
        <v>86.22</v>
      </c>
      <c r="O65" s="18" t="n">
        <v>2787.3</v>
      </c>
      <c r="P65" s="37" t="n">
        <v>3270.78</v>
      </c>
      <c r="Q65" s="18" t="n">
        <v>92.15000000000001</v>
      </c>
      <c r="R65" s="18" t="n">
        <v>19</v>
      </c>
      <c r="S65" s="18" t="n">
        <v>298.16</v>
      </c>
      <c r="T65" s="18" t="n">
        <v>2754.4</v>
      </c>
      <c r="U65" s="37" t="n">
        <v>3163.71</v>
      </c>
      <c r="V65" s="18" t="n">
        <v>8.23</v>
      </c>
      <c r="W65" s="18" t="n">
        <v>790.64</v>
      </c>
      <c r="X65" s="18" t="n">
        <v>208.99</v>
      </c>
      <c r="Y65" s="18" t="n">
        <v>335.94</v>
      </c>
      <c r="Z65" s="37" t="n">
        <v>1343.8</v>
      </c>
      <c r="AA65" s="18" t="n">
        <v>255.63</v>
      </c>
      <c r="AB65" s="19" t="n">
        <v>72.59999999999999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1902.96</v>
      </c>
      <c r="F66" s="9" t="n"/>
      <c r="G66" s="18" t="n">
        <v>11501.15</v>
      </c>
      <c r="H66" s="18" t="n">
        <v>5786.34</v>
      </c>
      <c r="I66" s="18" t="n">
        <v>734.27</v>
      </c>
      <c r="J66" s="18" t="n">
        <v>642.0599999999999</v>
      </c>
      <c r="K66" s="37" t="n">
        <v>18663.82</v>
      </c>
      <c r="L66" s="18" t="n">
        <v>2353.29</v>
      </c>
      <c r="M66" s="18" t="n">
        <v>1791.16</v>
      </c>
      <c r="N66" s="18" t="n">
        <v>-196.92</v>
      </c>
      <c r="O66" s="18" t="n">
        <v>-6733.52</v>
      </c>
      <c r="P66" s="37" t="n">
        <v>-2785.99</v>
      </c>
      <c r="Q66" s="18" t="n">
        <v>1240.57</v>
      </c>
      <c r="R66" s="18" t="n">
        <v>1306.65</v>
      </c>
      <c r="S66" s="18" t="n">
        <v>-120.63</v>
      </c>
      <c r="T66" s="18" t="n">
        <v>-1816.59</v>
      </c>
      <c r="U66" s="37" t="n">
        <v>610</v>
      </c>
      <c r="V66" s="18" t="n">
        <v>-518.84</v>
      </c>
      <c r="W66" s="18" t="n">
        <v>6850.82</v>
      </c>
      <c r="X66" s="18" t="n">
        <v>2112.87</v>
      </c>
      <c r="Y66" s="18" t="n">
        <v>-3475.41</v>
      </c>
      <c r="Z66" s="37" t="n">
        <v>4969.44</v>
      </c>
      <c r="AA66" s="18" t="n">
        <v>-4195.52</v>
      </c>
      <c r="AB66" s="19" t="n">
        <v>7604.98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2873.35</v>
      </c>
      <c r="F67" s="9" t="n"/>
      <c r="G67" s="18" t="n">
        <v>-2.82</v>
      </c>
      <c r="H67" s="18" t="n">
        <v>4315.52</v>
      </c>
      <c r="I67" s="18" t="n">
        <v>-2.82</v>
      </c>
      <c r="J67" s="18" t="n">
        <v>-610.78</v>
      </c>
      <c r="K67" s="37" t="n">
        <v>3699.1</v>
      </c>
      <c r="L67" s="18" t="n">
        <v>-7.15</v>
      </c>
      <c r="M67" s="18" t="n">
        <v>-913.29</v>
      </c>
      <c r="N67" s="18" t="n">
        <v>-0.41</v>
      </c>
      <c r="O67" s="18" t="n">
        <v>-416.23</v>
      </c>
      <c r="P67" s="37" t="n">
        <v>-1337.08</v>
      </c>
      <c r="Q67" s="18" t="n">
        <v>-0.41</v>
      </c>
      <c r="R67" s="18" t="n">
        <v>288.97</v>
      </c>
      <c r="S67" s="18" t="n">
        <v>117.95</v>
      </c>
      <c r="T67" s="18" t="n">
        <v>-279.54</v>
      </c>
      <c r="U67" s="37" t="n">
        <v>126.97</v>
      </c>
      <c r="V67" s="18" t="n">
        <v>-0.41</v>
      </c>
      <c r="W67" s="18" t="n">
        <v>1434.79</v>
      </c>
      <c r="X67" s="18" t="n">
        <v>2.24</v>
      </c>
      <c r="Y67" s="18" t="n">
        <v>-192.26</v>
      </c>
      <c r="Z67" s="37" t="n">
        <v>1244.36</v>
      </c>
      <c r="AA67" s="18" t="n">
        <v>-175.94</v>
      </c>
      <c r="AB67" s="19" t="n">
        <v>3637.52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-970.39</v>
      </c>
      <c r="F68" s="9" t="n"/>
      <c r="G68" s="18" t="n">
        <v>11503.97</v>
      </c>
      <c r="H68" s="18" t="n">
        <v>1470.82</v>
      </c>
      <c r="I68" s="18" t="n">
        <v>737.1</v>
      </c>
      <c r="J68" s="18" t="n">
        <v>1252.84</v>
      </c>
      <c r="K68" s="37" t="n">
        <v>14964.73</v>
      </c>
      <c r="L68" s="18" t="n">
        <v>2360.44</v>
      </c>
      <c r="M68" s="18" t="n">
        <v>2704.45</v>
      </c>
      <c r="N68" s="18" t="n">
        <v>-196.51</v>
      </c>
      <c r="O68" s="18" t="n">
        <v>-6317.29</v>
      </c>
      <c r="P68" s="37" t="n">
        <v>-1448.91</v>
      </c>
      <c r="Q68" s="18" t="n">
        <v>1240.97</v>
      </c>
      <c r="R68" s="18" t="n">
        <v>1017.68</v>
      </c>
      <c r="S68" s="18" t="n">
        <v>-238.58</v>
      </c>
      <c r="T68" s="18" t="n">
        <v>-1537.05</v>
      </c>
      <c r="U68" s="37" t="n">
        <v>483.02</v>
      </c>
      <c r="V68" s="18" t="n">
        <v>-518.4299999999999</v>
      </c>
      <c r="W68" s="18" t="n">
        <v>5416.03</v>
      </c>
      <c r="X68" s="18" t="n">
        <v>2110.64</v>
      </c>
      <c r="Y68" s="18" t="n">
        <v>-3283.15</v>
      </c>
      <c r="Z68" s="37" t="n">
        <v>3725.09</v>
      </c>
      <c r="AA68" s="18" t="n">
        <v>-4019.58</v>
      </c>
      <c r="AB68" s="19" t="n">
        <v>3967.47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-3113.61</v>
      </c>
      <c r="F69" s="9" t="n"/>
      <c r="G69" s="18" t="n">
        <v>12256.13</v>
      </c>
      <c r="H69" s="18" t="n">
        <v>765.64</v>
      </c>
      <c r="I69" s="18" t="n">
        <v>508.98</v>
      </c>
      <c r="J69" s="18" t="n">
        <v>1334.47</v>
      </c>
      <c r="K69" s="37" t="n">
        <v>14865.22</v>
      </c>
      <c r="L69" s="18" t="n">
        <v>2376.88</v>
      </c>
      <c r="M69" s="18" t="n">
        <v>1992.69</v>
      </c>
      <c r="N69" s="18" t="n">
        <v>-332.15</v>
      </c>
      <c r="O69" s="18" t="n">
        <v>-4772.34</v>
      </c>
      <c r="P69" s="37" t="n">
        <v>-734.92</v>
      </c>
      <c r="Q69" s="18" t="n">
        <v>500.84</v>
      </c>
      <c r="R69" s="18" t="n">
        <v>1536.42</v>
      </c>
      <c r="S69" s="18" t="n">
        <v>-319.44</v>
      </c>
      <c r="T69" s="18" t="n">
        <v>-3941.98</v>
      </c>
      <c r="U69" s="37" t="n">
        <v>-2224.16</v>
      </c>
      <c r="V69" s="18" t="n">
        <v>-150.47</v>
      </c>
      <c r="W69" s="18" t="n">
        <v>2440.84</v>
      </c>
      <c r="X69" s="18" t="n">
        <v>9651.469999999999</v>
      </c>
      <c r="Y69" s="18" t="n">
        <v>-4836.34</v>
      </c>
      <c r="Z69" s="37" t="n">
        <v>7105.5</v>
      </c>
      <c r="AA69" s="18" t="n">
        <v>-2913.94</v>
      </c>
      <c r="AB69" s="19" t="n">
        <v>3357.04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-1129.46</v>
      </c>
      <c r="F70" s="9" t="n"/>
      <c r="G70" s="18" t="n">
        <v>11212.72</v>
      </c>
      <c r="H70" s="18" t="n">
        <v>1203.96</v>
      </c>
      <c r="I70" s="18" t="n">
        <v>198.34</v>
      </c>
      <c r="J70" s="18" t="n">
        <v>1206.51</v>
      </c>
      <c r="K70" s="37" t="n">
        <v>13821.53</v>
      </c>
      <c r="L70" s="18" t="n">
        <v>1966.42</v>
      </c>
      <c r="M70" s="18" t="n">
        <v>2391.05</v>
      </c>
      <c r="N70" s="18" t="n">
        <v>-355.6</v>
      </c>
      <c r="O70" s="18" t="n">
        <v>-6327.72</v>
      </c>
      <c r="P70" s="37" t="n">
        <v>-2325.85</v>
      </c>
      <c r="Q70" s="18" t="n">
        <v>604.67</v>
      </c>
      <c r="R70" s="18" t="n">
        <v>605.39</v>
      </c>
      <c r="S70" s="18" t="n">
        <v>-347.75</v>
      </c>
      <c r="T70" s="18" t="n">
        <v>-2090.79</v>
      </c>
      <c r="U70" s="37" t="n">
        <v>-1228.48</v>
      </c>
      <c r="V70" s="18" t="n">
        <v>-1207.59</v>
      </c>
      <c r="W70" s="18" t="n">
        <v>3764.89</v>
      </c>
      <c r="X70" s="18" t="n">
        <v>1099.91</v>
      </c>
      <c r="Y70" s="18" t="n">
        <v>-3330.32</v>
      </c>
      <c r="Z70" s="37" t="n">
        <v>326.89</v>
      </c>
      <c r="AA70" s="18" t="n">
        <v>-2098.52</v>
      </c>
      <c r="AB70" s="19" t="n">
        <v>3002.42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159.08</v>
      </c>
      <c r="F71" s="9" t="n"/>
      <c r="G71" s="18" t="n">
        <v>291.26</v>
      </c>
      <c r="H71" s="18" t="n">
        <v>266.86</v>
      </c>
      <c r="I71" s="18" t="n">
        <v>538.76</v>
      </c>
      <c r="J71" s="18" t="n">
        <v>46.32</v>
      </c>
      <c r="K71" s="37" t="n">
        <v>1143.2</v>
      </c>
      <c r="L71" s="18" t="n">
        <v>394.02</v>
      </c>
      <c r="M71" s="18" t="n">
        <v>313.4</v>
      </c>
      <c r="N71" s="18" t="n">
        <v>159.09</v>
      </c>
      <c r="O71" s="18" t="n">
        <v>10.43</v>
      </c>
      <c r="P71" s="37" t="n">
        <v>876.9400000000001</v>
      </c>
      <c r="Q71" s="18" t="n">
        <v>636.3099999999999</v>
      </c>
      <c r="R71" s="18" t="n">
        <v>412.29</v>
      </c>
      <c r="S71" s="18" t="n">
        <v>109.17</v>
      </c>
      <c r="T71" s="18" t="n">
        <v>553.74</v>
      </c>
      <c r="U71" s="37" t="n">
        <v>1711.51</v>
      </c>
      <c r="V71" s="18" t="n">
        <v>689.16</v>
      </c>
      <c r="W71" s="18" t="n">
        <v>1617.29</v>
      </c>
      <c r="X71" s="18" t="n">
        <v>1010.72</v>
      </c>
      <c r="Y71" s="18" t="n">
        <v>47.17</v>
      </c>
      <c r="Z71" s="37" t="n">
        <v>3364.34</v>
      </c>
      <c r="AA71" s="18" t="n">
        <v>-1921.06</v>
      </c>
      <c r="AB71" s="19" t="n">
        <v>965.04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-684.66</v>
      </c>
      <c r="F72" s="9" t="n"/>
      <c r="G72" s="18" t="n">
        <v>-923.48</v>
      </c>
      <c r="H72" s="18" t="n">
        <v>-502.18</v>
      </c>
      <c r="I72" s="18" t="n">
        <v>23.18</v>
      </c>
      <c r="J72" s="18" t="n">
        <v>-2077.73</v>
      </c>
      <c r="K72" s="37" t="n">
        <v>-3480.21</v>
      </c>
      <c r="L72" s="18" t="n">
        <v>-1170.21</v>
      </c>
      <c r="M72" s="18" t="n">
        <v>-1421.75</v>
      </c>
      <c r="N72" s="18" t="n">
        <v>-1260.61</v>
      </c>
      <c r="O72" s="18" t="n">
        <v>-1464.79</v>
      </c>
      <c r="P72" s="37" t="n">
        <v>-5317.36</v>
      </c>
      <c r="Q72" s="18" t="n">
        <v>-739.45</v>
      </c>
      <c r="R72" s="18" t="n">
        <v>-894.59</v>
      </c>
      <c r="S72" s="18" t="n">
        <v>-1213.32</v>
      </c>
      <c r="T72" s="18" t="n">
        <v>109.49</v>
      </c>
      <c r="U72" s="37" t="n">
        <v>-2737.87</v>
      </c>
      <c r="V72" s="18" t="n">
        <v>-772.14</v>
      </c>
      <c r="W72" s="18" t="n">
        <v>2325.47</v>
      </c>
      <c r="X72" s="18" t="n">
        <v>-678.2</v>
      </c>
      <c r="Y72" s="18" t="n">
        <v>-3190.24</v>
      </c>
      <c r="Z72" s="37" t="n">
        <v>-2315.11</v>
      </c>
      <c r="AA72" s="18" t="n">
        <v>-12261.02</v>
      </c>
      <c r="AB72" s="19" t="n">
        <v>-1628.53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322.48</v>
      </c>
      <c r="F73" s="9" t="n"/>
      <c r="G73" s="18" t="n">
        <v>8946.639999999999</v>
      </c>
      <c r="H73" s="18" t="n">
        <v>16.32</v>
      </c>
      <c r="I73" s="18" t="n">
        <v>97.69</v>
      </c>
      <c r="J73" s="18" t="n">
        <v>1889.28</v>
      </c>
      <c r="K73" s="37" t="n">
        <v>10949.93</v>
      </c>
      <c r="L73" s="18" t="n">
        <v>67.05</v>
      </c>
      <c r="M73" s="18" t="n">
        <v>-184.11</v>
      </c>
      <c r="N73" s="18" t="n">
        <v>117.39</v>
      </c>
      <c r="O73" s="18" t="n">
        <v>-2615.81</v>
      </c>
      <c r="P73" s="37" t="n">
        <v>-2615.48</v>
      </c>
      <c r="Q73" s="18" t="n">
        <v>130.83</v>
      </c>
      <c r="R73" s="18" t="n">
        <v>78.73</v>
      </c>
      <c r="S73" s="18" t="n">
        <v>-176.69</v>
      </c>
      <c r="T73" s="18" t="n">
        <v>-2686.1</v>
      </c>
      <c r="U73" s="37" t="n">
        <v>-2653.23</v>
      </c>
      <c r="V73" s="18" t="n">
        <v>37.58</v>
      </c>
      <c r="W73" s="18" t="n">
        <v>-643.1799999999999</v>
      </c>
      <c r="X73" s="18" t="n">
        <v>3</v>
      </c>
      <c r="Y73" s="18" t="n">
        <v>-249.03</v>
      </c>
      <c r="Z73" s="37" t="n">
        <v>-851.63</v>
      </c>
      <c r="AA73" s="18" t="n">
        <v>-94.42</v>
      </c>
      <c r="AB73" s="19" t="n">
        <v>7.54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-970.39</v>
      </c>
      <c r="F74" s="9" t="n"/>
      <c r="G74" s="18" t="n">
        <v>11503.97</v>
      </c>
      <c r="H74" s="18" t="n">
        <v>1470.82</v>
      </c>
      <c r="I74" s="18" t="n">
        <v>737.1</v>
      </c>
      <c r="J74" s="18" t="n">
        <v>1252.84</v>
      </c>
      <c r="K74" s="37" t="n">
        <v>14964.73</v>
      </c>
      <c r="L74" s="18" t="n">
        <v>2360.44</v>
      </c>
      <c r="M74" s="18" t="n">
        <v>2704.45</v>
      </c>
      <c r="N74" s="18" t="n">
        <v>-196.51</v>
      </c>
      <c r="O74" s="18" t="n">
        <v>-6317.29</v>
      </c>
      <c r="P74" s="37" t="n">
        <v>-1448.91</v>
      </c>
      <c r="Q74" s="18" t="n">
        <v>1240.97</v>
      </c>
      <c r="R74" s="18" t="n">
        <v>1017.68</v>
      </c>
      <c r="S74" s="18" t="n">
        <v>-238.58</v>
      </c>
      <c r="T74" s="18" t="n">
        <v>-1537.05</v>
      </c>
      <c r="U74" s="37" t="n">
        <v>483.02</v>
      </c>
      <c r="V74" s="18" t="n">
        <v>-518.4299999999999</v>
      </c>
      <c r="W74" s="18" t="n">
        <v>5416.03</v>
      </c>
      <c r="X74" s="18" t="n">
        <v>2110.64</v>
      </c>
      <c r="Y74" s="18" t="n">
        <v>-3283.15</v>
      </c>
      <c r="Z74" s="37" t="n">
        <v>3725.09</v>
      </c>
      <c r="AA74" s="18" t="n">
        <v>-4019.58</v>
      </c>
      <c r="AB74" s="19" t="n">
        <v>3967.47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20.98</v>
      </c>
      <c r="H75" s="18" t="n">
        <v>17.36</v>
      </c>
      <c r="I75" s="18" t="n">
        <v>33.58</v>
      </c>
      <c r="J75" s="18" t="n">
        <v>63.39</v>
      </c>
      <c r="K75" s="37" t="n">
        <v>135.31</v>
      </c>
      <c r="L75" s="18" t="n">
        <v>50.91</v>
      </c>
      <c r="M75" s="18" t="n">
        <v>47.37</v>
      </c>
      <c r="N75" s="18" t="n">
        <v>56.83</v>
      </c>
      <c r="O75" s="18" t="n">
        <v>130.86</v>
      </c>
      <c r="P75" s="37" t="n">
        <v>285.97</v>
      </c>
      <c r="Q75" s="18" t="n">
        <v>94.34999999999999</v>
      </c>
      <c r="R75" s="18" t="n">
        <v>87.65000000000001</v>
      </c>
      <c r="S75" s="18" t="n">
        <v>90.69</v>
      </c>
      <c r="T75" s="18" t="n">
        <v>108.92</v>
      </c>
      <c r="U75" s="37" t="n">
        <v>381.61</v>
      </c>
      <c r="V75" s="18" t="n">
        <v>70.33</v>
      </c>
      <c r="W75" s="18" t="n">
        <v>92.94</v>
      </c>
      <c r="X75" s="18" t="n">
        <v>-43.52</v>
      </c>
      <c r="Y75" s="18" t="n">
        <v>128.37</v>
      </c>
      <c r="Z75" s="37" t="n">
        <v>248.12</v>
      </c>
      <c r="AB75" s="19" t="n">
        <v>149.41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619.85</v>
      </c>
      <c r="H76" s="18" t="n">
        <v>712.25</v>
      </c>
      <c r="I76" s="18" t="n">
        <v>928.51</v>
      </c>
      <c r="J76" s="18" t="n">
        <v>1198.4</v>
      </c>
      <c r="K76" s="37" t="n">
        <v>3459.01</v>
      </c>
      <c r="L76" s="18" t="n">
        <v>1301.27</v>
      </c>
      <c r="M76" s="18" t="n">
        <v>1403.15</v>
      </c>
      <c r="N76" s="18" t="n">
        <v>1495.49</v>
      </c>
      <c r="O76" s="18" t="n">
        <v>1390.47</v>
      </c>
      <c r="P76" s="37" t="n">
        <v>5590.38</v>
      </c>
      <c r="Q76" s="18" t="n">
        <v>1032.8</v>
      </c>
      <c r="R76" s="18" t="n">
        <v>1091.39</v>
      </c>
      <c r="S76" s="18" t="n">
        <v>949.03</v>
      </c>
      <c r="T76" s="18" t="n">
        <v>761.7</v>
      </c>
      <c r="U76" s="37" t="n">
        <v>3834.92</v>
      </c>
      <c r="V76" s="18" t="n">
        <v>823.6799999999999</v>
      </c>
      <c r="W76" s="18" t="n">
        <v>926.95</v>
      </c>
      <c r="X76" s="18" t="n">
        <v>724.71</v>
      </c>
      <c r="Y76" s="18" t="n">
        <v>834.1799999999999</v>
      </c>
      <c r="Z76" s="37" t="n">
        <v>3309.52</v>
      </c>
      <c r="AB76" s="19" t="n">
        <v>1144.75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117.34</v>
      </c>
      <c r="H77" s="18" t="n">
        <v>355.62</v>
      </c>
      <c r="I77" s="18" t="n">
        <v>437.89</v>
      </c>
      <c r="J77" s="18" t="n">
        <v>634.27</v>
      </c>
      <c r="K77" s="37" t="n">
        <v>1545.12</v>
      </c>
      <c r="L77" s="18" t="n">
        <v>420.89</v>
      </c>
      <c r="M77" s="18" t="n">
        <v>295.15</v>
      </c>
      <c r="N77" s="18" t="n">
        <v>264.19</v>
      </c>
      <c r="O77" s="18" t="n">
        <v>300.48</v>
      </c>
      <c r="P77" s="37" t="n">
        <v>1280.71</v>
      </c>
      <c r="Q77" s="18" t="n">
        <v>293.18</v>
      </c>
      <c r="R77" s="18" t="n">
        <v>254.23</v>
      </c>
      <c r="S77" s="18" t="n">
        <v>121.92</v>
      </c>
      <c r="T77" s="18" t="n">
        <v>322.47</v>
      </c>
      <c r="U77" s="37" t="n">
        <v>991.8</v>
      </c>
      <c r="V77" s="18" t="n">
        <v>58.49</v>
      </c>
      <c r="W77" s="18" t="n">
        <v>309.75</v>
      </c>
      <c r="X77" s="18" t="n">
        <v>112.18</v>
      </c>
      <c r="Y77" s="18" t="n">
        <v>307.29</v>
      </c>
      <c r="Z77" s="37" t="n">
        <v>787.71</v>
      </c>
      <c r="AB77" s="19" t="n">
        <v>435.57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408.6</v>
      </c>
      <c r="H78" s="18" t="n">
        <v>578.83</v>
      </c>
      <c r="I78" s="18" t="n">
        <v>141.79</v>
      </c>
      <c r="J78" s="18" t="n">
        <v>332.03</v>
      </c>
      <c r="K78" s="37" t="n">
        <v>1461.25</v>
      </c>
      <c r="L78" s="18" t="n">
        <v>419.77</v>
      </c>
      <c r="M78" s="18" t="n">
        <v>327.54</v>
      </c>
      <c r="N78" s="18" t="n">
        <v>273.46</v>
      </c>
      <c r="O78" s="18" t="n">
        <v>245.88</v>
      </c>
      <c r="P78" s="37" t="n">
        <v>1266.65</v>
      </c>
      <c r="Q78" s="18" t="n">
        <v>202.25</v>
      </c>
      <c r="R78" s="18" t="n">
        <v>190.23</v>
      </c>
      <c r="S78" s="18" t="n">
        <v>131.65</v>
      </c>
      <c r="T78" s="18" t="n">
        <v>246.37</v>
      </c>
      <c r="U78" s="37" t="n">
        <v>770.5</v>
      </c>
      <c r="V78" s="18" t="n">
        <v>323.28</v>
      </c>
      <c r="W78" s="18" t="n">
        <v>358.43</v>
      </c>
      <c r="X78" s="18" t="n">
        <v>231.84</v>
      </c>
      <c r="Y78" s="18" t="n">
        <v>102.63</v>
      </c>
      <c r="Z78" s="37" t="n">
        <v>1016.18</v>
      </c>
      <c r="AB78" s="19" t="n">
        <v>197.03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149.76</v>
      </c>
      <c r="H79" s="18" t="n">
        <v>282.82</v>
      </c>
      <c r="I79" s="18" t="n">
        <v>622.58</v>
      </c>
      <c r="J79" s="18" t="n">
        <v>-825.91</v>
      </c>
      <c r="K79" s="37" t="n">
        <v>229.25</v>
      </c>
      <c r="L79" s="18" t="n">
        <v>195.01</v>
      </c>
      <c r="M79" s="18" t="n">
        <v>-42.93</v>
      </c>
      <c r="N79" s="18" t="n">
        <v>135.44</v>
      </c>
      <c r="O79" s="18" t="n">
        <v>-166.27</v>
      </c>
      <c r="P79" s="37" t="n">
        <v>121.25</v>
      </c>
      <c r="Q79" s="18" t="n">
        <v>171.14</v>
      </c>
      <c r="R79" s="18" t="n">
        <v>30.47</v>
      </c>
      <c r="S79" s="18" t="n">
        <v>-154.6</v>
      </c>
      <c r="T79" s="18" t="n">
        <v>574.66</v>
      </c>
      <c r="U79" s="37" t="n">
        <v>621.67</v>
      </c>
      <c r="V79" s="18" t="n">
        <v>189.71</v>
      </c>
      <c r="W79" s="18" t="n">
        <v>-154.92</v>
      </c>
      <c r="X79" s="18" t="n">
        <v>55.33</v>
      </c>
      <c r="Y79" s="18" t="n">
        <v>-9.02</v>
      </c>
      <c r="Z79" s="37" t="n">
        <v>81.09999999999999</v>
      </c>
      <c r="AB79" s="19" t="n">
        <v>-106.27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183.12</v>
      </c>
      <c r="H80" s="18" t="n">
        <v>-133.1</v>
      </c>
      <c r="I80" s="18" t="n">
        <v>0.57</v>
      </c>
      <c r="J80" s="18" t="n">
        <v>419.06</v>
      </c>
      <c r="K80" s="37" t="n">
        <v>469.65</v>
      </c>
      <c r="L80" s="18" t="n">
        <v>115.98</v>
      </c>
      <c r="M80" s="18" t="n">
        <v>-9.35</v>
      </c>
      <c r="N80" s="18" t="n">
        <v>-51.88</v>
      </c>
      <c r="O80" s="18" t="n">
        <v>93.52</v>
      </c>
      <c r="P80" s="37" t="n">
        <v>148.27</v>
      </c>
      <c r="Q80" s="18" t="n">
        <v>63.06</v>
      </c>
      <c r="R80" s="18" t="n">
        <v>-40.13</v>
      </c>
      <c r="S80" s="18" t="n">
        <v>190.63</v>
      </c>
      <c r="T80" s="18" t="n">
        <v>-111.49</v>
      </c>
      <c r="U80" s="37" t="n">
        <v>102.07</v>
      </c>
      <c r="V80" s="18" t="n">
        <v>13.44</v>
      </c>
      <c r="W80" s="18" t="n">
        <v>305.11</v>
      </c>
      <c r="X80" s="18" t="n">
        <v>-271.23</v>
      </c>
      <c r="Y80" s="18" t="n">
        <v>139.31</v>
      </c>
      <c r="Z80" s="37" t="n">
        <v>186.63</v>
      </c>
      <c r="AB80" s="19" t="n">
        <v>-22.96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-598.87</v>
      </c>
      <c r="H81" s="18" t="n">
        <v>-694.89</v>
      </c>
      <c r="I81" s="18" t="n">
        <v>-894.9299999999999</v>
      </c>
      <c r="J81" s="18" t="n">
        <v>-1135.01</v>
      </c>
      <c r="K81" s="37" t="n">
        <v>-3323.7</v>
      </c>
      <c r="L81" s="18" t="n">
        <v>-1250.36</v>
      </c>
      <c r="M81" s="18" t="n">
        <v>-1355.78</v>
      </c>
      <c r="N81" s="18" t="n">
        <v>-1438.66</v>
      </c>
      <c r="O81" s="18" t="n">
        <v>-1259.61</v>
      </c>
      <c r="P81" s="37" t="n">
        <v>-5304.41</v>
      </c>
      <c r="Q81" s="18" t="n">
        <v>-938.45</v>
      </c>
      <c r="R81" s="18" t="n">
        <v>-1003.74</v>
      </c>
      <c r="S81" s="18" t="n">
        <v>-858.34</v>
      </c>
      <c r="T81" s="18" t="n">
        <v>-652.78</v>
      </c>
      <c r="U81" s="37" t="n">
        <v>-3453.31</v>
      </c>
      <c r="V81" s="18" t="n">
        <v>-753.35</v>
      </c>
      <c r="W81" s="18" t="n">
        <v>-834.01</v>
      </c>
      <c r="X81" s="18" t="n">
        <v>-768.23</v>
      </c>
      <c r="Y81" s="18" t="n">
        <v>-705.8099999999999</v>
      </c>
      <c r="Z81" s="37" t="n">
        <v>-3061.4</v>
      </c>
      <c r="AB81" s="19" t="n">
        <v>-995.34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K82" s="9" t="n"/>
      <c r="P82" s="9" t="n"/>
      <c r="U82" s="9" t="n"/>
      <c r="W82" s="18" t="n">
        <v>4557.25</v>
      </c>
      <c r="X82" s="18" t="n">
        <v>0</v>
      </c>
      <c r="Y82" s="18" t="n">
        <v>-2981.47</v>
      </c>
      <c r="Z82" s="9" t="n"/>
      <c r="AB82" s="19" t="n">
        <v>13231.27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파생상품손실</t>
        </is>
      </c>
      <c r="F83" s="9" t="n"/>
      <c r="K83" s="9" t="n"/>
      <c r="P83" s="9" t="n"/>
      <c r="U83" s="9" t="n"/>
      <c r="W83" s="18" t="n">
        <v>1063.84</v>
      </c>
      <c r="X83" s="18" t="n">
        <v>0</v>
      </c>
      <c r="Y83" s="18" t="n">
        <v>-498.62</v>
      </c>
      <c r="Z83" s="9" t="n"/>
      <c r="AB83" s="19" t="n">
        <v>12408.05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23553.35</v>
      </c>
      <c r="F84" s="9" t="n"/>
      <c r="G84" s="18" t="n">
        <v>-6348.39</v>
      </c>
      <c r="H84" s="18" t="n">
        <v>-10704.54</v>
      </c>
      <c r="I84" s="18" t="n">
        <v>219.35</v>
      </c>
      <c r="J84" s="18" t="n">
        <v>7160.8</v>
      </c>
      <c r="K84" s="37" t="n">
        <v>-9672.780000000001</v>
      </c>
      <c r="L84" s="18" t="n">
        <v>-12823.7</v>
      </c>
      <c r="M84" s="18" t="n">
        <v>1188.99</v>
      </c>
      <c r="N84" s="18" t="n">
        <v>-1097.21</v>
      </c>
      <c r="O84" s="18" t="n">
        <v>17935.62</v>
      </c>
      <c r="P84" s="37" t="n">
        <v>5203.7</v>
      </c>
      <c r="Q84" s="18" t="n">
        <v>-6817.31</v>
      </c>
      <c r="R84" s="18" t="n">
        <v>-141.65</v>
      </c>
      <c r="S84" s="18" t="n">
        <v>7484.89</v>
      </c>
      <c r="T84" s="18" t="n">
        <v>-4376.7</v>
      </c>
      <c r="U84" s="37" t="n">
        <v>-3850.77</v>
      </c>
      <c r="V84" s="18" t="n">
        <v>8809.92</v>
      </c>
      <c r="W84" s="18" t="n">
        <v>-4361.97</v>
      </c>
      <c r="X84" s="18" t="n">
        <v>-1827.95</v>
      </c>
      <c r="Y84" s="18" t="n">
        <v>-5555.15</v>
      </c>
      <c r="Z84" s="37" t="n">
        <v>-2935.15</v>
      </c>
      <c r="AA84" s="18" t="n">
        <v>9937.16</v>
      </c>
      <c r="AB84" s="19" t="n">
        <v>3266.37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감가상각비</t>
        </is>
      </c>
      <c r="E85" s="18" t="n">
        <v>1278.99</v>
      </c>
      <c r="F85" s="9" t="n"/>
      <c r="G85" s="18" t="n">
        <v>1295.36</v>
      </c>
      <c r="H85" s="18" t="n">
        <v>1319.42</v>
      </c>
      <c r="I85" s="18" t="n">
        <v>1299.61</v>
      </c>
      <c r="J85" s="18" t="n">
        <v>1311.88</v>
      </c>
      <c r="K85" s="37" t="n">
        <v>5226.27</v>
      </c>
      <c r="L85" s="18" t="n">
        <v>1306.27</v>
      </c>
      <c r="M85" s="18" t="n">
        <v>1315.98</v>
      </c>
      <c r="N85" s="18" t="n">
        <v>1248.51</v>
      </c>
      <c r="O85" s="18" t="n">
        <v>1256.47</v>
      </c>
      <c r="P85" s="37" t="n">
        <v>5127.23</v>
      </c>
      <c r="Q85" s="18" t="n">
        <v>1098.99</v>
      </c>
      <c r="R85" s="18" t="n">
        <v>1073.65</v>
      </c>
      <c r="S85" s="18" t="n">
        <v>1092.27</v>
      </c>
      <c r="T85" s="18" t="n">
        <v>1114.48</v>
      </c>
      <c r="U85" s="37" t="n">
        <v>4379.39</v>
      </c>
      <c r="V85" s="18" t="n">
        <v>851.96</v>
      </c>
      <c r="W85" s="18" t="n">
        <v>866.21</v>
      </c>
      <c r="X85" s="18" t="n">
        <v>843.39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무형자산상각비</t>
        </is>
      </c>
      <c r="E86" s="18" t="n">
        <v>20.36</v>
      </c>
      <c r="F86" s="9" t="n"/>
      <c r="G86" s="18" t="n">
        <v>19.59</v>
      </c>
      <c r="H86" s="18" t="n">
        <v>17.77</v>
      </c>
      <c r="I86" s="18" t="n">
        <v>17.86</v>
      </c>
      <c r="J86" s="18" t="n">
        <v>17.86</v>
      </c>
      <c r="K86" s="37" t="n">
        <v>73.08</v>
      </c>
      <c r="L86" s="18" t="n">
        <v>12.13</v>
      </c>
      <c r="M86" s="18" t="n">
        <v>12.41</v>
      </c>
      <c r="N86" s="18" t="n">
        <v>12.39</v>
      </c>
      <c r="O86" s="18" t="n">
        <v>10.21</v>
      </c>
      <c r="P86" s="37" t="n">
        <v>47.14</v>
      </c>
      <c r="Q86" s="18" t="n">
        <v>8.630000000000001</v>
      </c>
      <c r="R86" s="18" t="n">
        <v>7.59</v>
      </c>
      <c r="S86" s="18" t="n">
        <v>8.02</v>
      </c>
      <c r="T86" s="18" t="n">
        <v>8.710000000000001</v>
      </c>
      <c r="U86" s="37" t="n">
        <v>32.95</v>
      </c>
      <c r="V86" s="18" t="n">
        <v>7.49</v>
      </c>
      <c r="W86" s="18" t="n">
        <v>6.68</v>
      </c>
      <c r="X86" s="18" t="n">
        <v>7.57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-11.17</v>
      </c>
      <c r="F87" s="9" t="n"/>
      <c r="G87" s="18" t="n">
        <v>-1404.33</v>
      </c>
      <c r="H87" s="18" t="n">
        <v>-1727.34</v>
      </c>
      <c r="I87" s="18" t="n">
        <v>-1500.5</v>
      </c>
      <c r="J87" s="18" t="n">
        <v>-17.19</v>
      </c>
      <c r="K87" s="37" t="n">
        <v>-4649.36</v>
      </c>
      <c r="L87" s="18" t="n">
        <v>-1391.98</v>
      </c>
      <c r="M87" s="18" t="n">
        <v>-1852.12</v>
      </c>
      <c r="N87" s="18" t="n">
        <v>-762.86</v>
      </c>
      <c r="O87" s="18" t="n">
        <v>-238.98</v>
      </c>
      <c r="P87" s="37" t="n">
        <v>-4245.94</v>
      </c>
      <c r="Q87" s="18" t="n">
        <v>-11.53</v>
      </c>
      <c r="R87" s="18" t="n">
        <v>-210.94</v>
      </c>
      <c r="S87" s="18" t="n">
        <v>-391.63</v>
      </c>
      <c r="T87" s="18" t="n">
        <v>-31.95</v>
      </c>
      <c r="U87" s="37" t="n">
        <v>-646.05</v>
      </c>
      <c r="V87" s="18" t="n">
        <v>-422.59</v>
      </c>
      <c r="W87" s="18" t="n">
        <v>-648.27</v>
      </c>
      <c r="X87" s="18" t="n">
        <v>-389.91</v>
      </c>
      <c r="Y87" s="18" t="n">
        <v>192.09</v>
      </c>
      <c r="Z87" s="37" t="n">
        <v>-1268.68</v>
      </c>
      <c r="AA87" s="18" t="n">
        <v>-189.75</v>
      </c>
      <c r="AB87" s="19" t="n">
        <v>-526.88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-4511.4</v>
      </c>
      <c r="F88" s="9" t="n"/>
      <c r="G88" s="18" t="n">
        <v>21693.73</v>
      </c>
      <c r="H88" s="18" t="n">
        <v>-4321.42</v>
      </c>
      <c r="I88" s="18" t="n">
        <v>-3187.64</v>
      </c>
      <c r="J88" s="18" t="n">
        <v>3453.97</v>
      </c>
      <c r="K88" s="37" t="n">
        <v>17638.64</v>
      </c>
      <c r="L88" s="18" t="n">
        <v>-2001.56</v>
      </c>
      <c r="M88" s="18" t="n">
        <v>-4935.14</v>
      </c>
      <c r="N88" s="18" t="n">
        <v>-8376.209999999999</v>
      </c>
      <c r="O88" s="18" t="n">
        <v>-4173.14</v>
      </c>
      <c r="P88" s="37" t="n">
        <v>-19486.05</v>
      </c>
      <c r="Q88" s="18" t="n">
        <v>-1645.65</v>
      </c>
      <c r="R88" s="18" t="n">
        <v>1090.63</v>
      </c>
      <c r="S88" s="18" t="n">
        <v>-661.97</v>
      </c>
      <c r="T88" s="18" t="n">
        <v>-16134.44</v>
      </c>
      <c r="U88" s="37" t="n">
        <v>-17351.43</v>
      </c>
      <c r="V88" s="18" t="n">
        <v>-24517</v>
      </c>
      <c r="W88" s="18" t="n">
        <v>-3436.67</v>
      </c>
      <c r="X88" s="18" t="n">
        <v>-4204.69</v>
      </c>
      <c r="Y88" s="18" t="n">
        <v>2914.7</v>
      </c>
      <c r="Z88" s="37" t="n">
        <v>-29243.66</v>
      </c>
      <c r="AA88" s="18" t="n">
        <v>-29771.08</v>
      </c>
      <c r="AB88" s="19" t="n">
        <v>-1704.77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1461.21</v>
      </c>
      <c r="F89" s="9" t="n"/>
      <c r="G89" s="18" t="n">
        <v>872.5</v>
      </c>
      <c r="H89" s="18" t="n">
        <v>4046.33</v>
      </c>
      <c r="I89" s="18" t="n">
        <v>1166.19</v>
      </c>
      <c r="J89" s="18" t="n">
        <v>829.17</v>
      </c>
      <c r="K89" s="37" t="n">
        <v>6914.19</v>
      </c>
      <c r="L89" s="18" t="n">
        <v>615.67</v>
      </c>
      <c r="M89" s="18" t="n">
        <v>4180.02</v>
      </c>
      <c r="N89" s="18" t="n">
        <v>7424.12</v>
      </c>
      <c r="O89" s="18" t="n">
        <v>5329.47</v>
      </c>
      <c r="P89" s="37" t="n">
        <v>17549.28</v>
      </c>
      <c r="Q89" s="18" t="n">
        <v>361.59</v>
      </c>
      <c r="R89" s="18" t="n">
        <v>725.09</v>
      </c>
      <c r="S89" s="18" t="n">
        <v>768.98</v>
      </c>
      <c r="T89" s="18" t="n">
        <v>5507.34</v>
      </c>
      <c r="U89" s="37" t="n">
        <v>7363</v>
      </c>
      <c r="V89" s="18" t="n">
        <v>7279.15</v>
      </c>
      <c r="W89" s="18" t="n">
        <v>7614.47</v>
      </c>
      <c r="X89" s="18" t="n">
        <v>11619.69</v>
      </c>
      <c r="Y89" s="18" t="n">
        <v>10652.03</v>
      </c>
      <c r="Z89" s="37" t="n">
        <v>37165.34</v>
      </c>
      <c r="AA89" s="18" t="n">
        <v>20972.69</v>
      </c>
      <c r="AB89" s="19" t="n">
        <v>11426.04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1461.21</v>
      </c>
      <c r="F90" s="9" t="n"/>
      <c r="G90" s="18" t="n">
        <v>874.75</v>
      </c>
      <c r="H90" s="18" t="n">
        <v>4046.33</v>
      </c>
      <c r="I90" s="18" t="n">
        <v>1169.97</v>
      </c>
      <c r="J90" s="18" t="n">
        <v>829.17</v>
      </c>
      <c r="K90" s="37" t="n">
        <v>6920.22</v>
      </c>
      <c r="L90" s="18" t="n">
        <v>637.27</v>
      </c>
      <c r="M90" s="18" t="n">
        <v>4190.72</v>
      </c>
      <c r="N90" s="18" t="n">
        <v>7424.12</v>
      </c>
      <c r="O90" s="18" t="n">
        <v>5329.47</v>
      </c>
      <c r="P90" s="37" t="n">
        <v>17581.58</v>
      </c>
      <c r="Q90" s="18" t="n">
        <v>361.59</v>
      </c>
      <c r="R90" s="18" t="n">
        <v>725.09</v>
      </c>
      <c r="S90" s="18" t="n">
        <v>788.8099999999999</v>
      </c>
      <c r="T90" s="18" t="n">
        <v>5546.16</v>
      </c>
      <c r="U90" s="37" t="n">
        <v>7421.65</v>
      </c>
      <c r="V90" s="18" t="n">
        <v>7303.32</v>
      </c>
      <c r="W90" s="18" t="n">
        <v>8329.51</v>
      </c>
      <c r="X90" s="18" t="n">
        <v>10880.48</v>
      </c>
      <c r="Y90" s="18" t="n">
        <v>10652.03</v>
      </c>
      <c r="Z90" s="37" t="n">
        <v>37165.34</v>
      </c>
      <c r="AA90" s="18" t="n">
        <v>20972.69</v>
      </c>
      <c r="AB90" s="19" t="n">
        <v>11426.04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G91" s="18" t="n">
        <v>2.25</v>
      </c>
      <c r="H91" s="18" t="n">
        <v>0</v>
      </c>
      <c r="I91" s="18" t="n">
        <v>3.78</v>
      </c>
      <c r="J91" s="18" t="n">
        <v>0</v>
      </c>
      <c r="K91" s="37" t="n">
        <v>6.03</v>
      </c>
      <c r="L91" s="18" t="n">
        <v>21.6</v>
      </c>
      <c r="M91" s="18" t="n">
        <v>10.7</v>
      </c>
      <c r="N91" s="18" t="n">
        <v>0</v>
      </c>
      <c r="O91" s="18" t="n">
        <v>0</v>
      </c>
      <c r="P91" s="37" t="n">
        <v>32.3</v>
      </c>
      <c r="T91" s="18" t="n">
        <v>38.82</v>
      </c>
      <c r="U91" s="9" t="n"/>
      <c r="V91" s="18" t="n">
        <v>24.17</v>
      </c>
      <c r="W91" s="18" t="n">
        <v>715.04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-7210.76</v>
      </c>
      <c r="F92" s="9" t="n"/>
      <c r="G92" s="18" t="n">
        <v>-13505.41</v>
      </c>
      <c r="H92" s="18" t="n">
        <v>6196.49</v>
      </c>
      <c r="I92" s="18" t="n">
        <v>4480.16</v>
      </c>
      <c r="J92" s="18" t="n">
        <v>-8195.42</v>
      </c>
      <c r="K92" s="37" t="n">
        <v>-11024.18</v>
      </c>
      <c r="L92" s="18" t="n">
        <v>9567.15</v>
      </c>
      <c r="M92" s="18" t="n">
        <v>5133.36</v>
      </c>
      <c r="N92" s="18" t="n">
        <v>11018.27</v>
      </c>
      <c r="O92" s="18" t="n">
        <v>-4436</v>
      </c>
      <c r="P92" s="37" t="n">
        <v>21282.78</v>
      </c>
      <c r="Q92" s="18" t="n">
        <v>4898.6</v>
      </c>
      <c r="R92" s="18" t="n">
        <v>-2853.68</v>
      </c>
      <c r="S92" s="18" t="n">
        <v>-6130.98</v>
      </c>
      <c r="T92" s="18" t="n">
        <v>19194.24</v>
      </c>
      <c r="U92" s="37" t="n">
        <v>15108.18</v>
      </c>
      <c r="V92" s="18" t="n">
        <v>17897.1</v>
      </c>
      <c r="W92" s="18" t="n">
        <v>1109.67</v>
      </c>
      <c r="X92" s="18" t="n">
        <v>5805.41</v>
      </c>
      <c r="Y92" s="18" t="n">
        <v>26479.46</v>
      </c>
      <c r="Z92" s="37" t="n">
        <v>51291.64</v>
      </c>
      <c r="AA92" s="18" t="n">
        <v>8785.690000000001</v>
      </c>
      <c r="AB92" s="19" t="n">
        <v>1349.6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26394.16</v>
      </c>
      <c r="F93" s="9" t="n"/>
      <c r="G93" s="18" t="n">
        <v>20607.81</v>
      </c>
      <c r="H93" s="18" t="n">
        <v>51739.57</v>
      </c>
      <c r="I93" s="18" t="n">
        <v>40208.48</v>
      </c>
      <c r="J93" s="18" t="n">
        <v>43501.19</v>
      </c>
      <c r="K93" s="37" t="n">
        <v>156057.05</v>
      </c>
      <c r="L93" s="18" t="n">
        <v>48530.94</v>
      </c>
      <c r="M93" s="18" t="n">
        <v>71058.95</v>
      </c>
      <c r="N93" s="18" t="n">
        <v>67856.27</v>
      </c>
      <c r="O93" s="18" t="n">
        <v>19120.18</v>
      </c>
      <c r="P93" s="37" t="n">
        <v>206566.34</v>
      </c>
      <c r="Q93" s="18" t="n">
        <v>59203.05</v>
      </c>
      <c r="R93" s="18" t="n">
        <v>40073.7</v>
      </c>
      <c r="S93" s="18" t="n">
        <v>44038.24</v>
      </c>
      <c r="T93" s="18" t="n">
        <v>53570.48</v>
      </c>
      <c r="U93" s="37" t="n">
        <v>196885.47</v>
      </c>
      <c r="V93" s="18" t="n">
        <v>54408.19</v>
      </c>
      <c r="W93" s="18" t="n">
        <v>44444.9</v>
      </c>
      <c r="X93" s="18" t="n">
        <v>54854.28</v>
      </c>
      <c r="Y93" s="18" t="n">
        <v>38109.87</v>
      </c>
      <c r="Z93" s="37" t="n">
        <v>191817.24</v>
      </c>
      <c r="AA93" s="18" t="n">
        <v>31000.03</v>
      </c>
      <c r="AB93" s="19" t="n">
        <v>23769.97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N94" s="18" t="n">
        <v>7100</v>
      </c>
      <c r="O94" s="18" t="n">
        <v>2000</v>
      </c>
      <c r="P94" s="9" t="n"/>
      <c r="T94" s="18" t="n">
        <v>0</v>
      </c>
      <c r="U94" s="9" t="n"/>
      <c r="Z94" s="9" t="n"/>
      <c r="AA94" s="18" t="n">
        <v>10000</v>
      </c>
      <c r="AB94" s="19" t="n">
        <v>2125.22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32215.18</v>
      </c>
      <c r="F95" s="9" t="n"/>
      <c r="G95" s="18" t="n">
        <v>29636.97</v>
      </c>
      <c r="H95" s="18" t="n">
        <v>45239.56</v>
      </c>
      <c r="I95" s="18" t="n">
        <v>35208.48</v>
      </c>
      <c r="J95" s="18" t="n">
        <v>51131.19</v>
      </c>
      <c r="K95" s="37" t="n">
        <v>161216.2</v>
      </c>
      <c r="L95" s="18" t="n">
        <v>38847.94</v>
      </c>
      <c r="M95" s="18" t="n">
        <v>67597.95</v>
      </c>
      <c r="N95" s="18" t="n">
        <v>60310.27</v>
      </c>
      <c r="O95" s="18" t="n">
        <v>50418.3</v>
      </c>
      <c r="P95" s="37" t="n">
        <v>217174.46</v>
      </c>
      <c r="Q95" s="18" t="n">
        <v>48165.2</v>
      </c>
      <c r="R95" s="18" t="n">
        <v>42773.69</v>
      </c>
      <c r="S95" s="18" t="n">
        <v>49588.25</v>
      </c>
      <c r="T95" s="18" t="n">
        <v>34270.47</v>
      </c>
      <c r="U95" s="37" t="n">
        <v>174797.61</v>
      </c>
      <c r="V95" s="18" t="n">
        <v>57608.19</v>
      </c>
      <c r="W95" s="18" t="n">
        <v>42754.9</v>
      </c>
      <c r="X95" s="18" t="n">
        <v>48894.28</v>
      </c>
      <c r="Y95" s="18" t="n">
        <v>37809.87</v>
      </c>
      <c r="Z95" s="37" t="n">
        <v>187067.24</v>
      </c>
      <c r="AA95" s="18" t="n">
        <v>32300.03</v>
      </c>
      <c r="AB95" s="19" t="n">
        <v>17469.97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1267.59</v>
      </c>
      <c r="F96" s="9" t="n"/>
      <c r="G96" s="18" t="n">
        <v>2055.43</v>
      </c>
      <c r="H96" s="18" t="n">
        <v>198.31</v>
      </c>
      <c r="I96" s="18" t="n">
        <v>178.56</v>
      </c>
      <c r="J96" s="18" t="n">
        <v>0</v>
      </c>
      <c r="K96" s="37" t="n">
        <v>2432.3</v>
      </c>
      <c r="N96" s="18" t="n">
        <v>3500</v>
      </c>
      <c r="O96" s="18" t="n">
        <v>0</v>
      </c>
      <c r="P96" s="9" t="n"/>
      <c r="Q96" s="18" t="n">
        <v>6000</v>
      </c>
      <c r="R96" s="18" t="n">
        <v>0</v>
      </c>
      <c r="S96" s="18" t="n">
        <v>0</v>
      </c>
      <c r="T96" s="18" t="n">
        <v>0</v>
      </c>
      <c r="U96" s="37" t="n">
        <v>6000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23662.07</v>
      </c>
      <c r="F97" s="9" t="n"/>
      <c r="G97" s="18" t="n">
        <v>1839.93</v>
      </c>
      <c r="H97" s="18" t="n">
        <v>-8829.469999999999</v>
      </c>
      <c r="I97" s="18" t="n">
        <v>1511.88</v>
      </c>
      <c r="J97" s="18" t="n">
        <v>2419.34</v>
      </c>
      <c r="K97" s="37" t="n">
        <v>-3058.32</v>
      </c>
      <c r="L97" s="18" t="n">
        <v>-5258.1</v>
      </c>
      <c r="M97" s="18" t="n">
        <v>1387.19</v>
      </c>
      <c r="N97" s="18" t="n">
        <v>1544.87</v>
      </c>
      <c r="O97" s="18" t="n">
        <v>9326.469999999999</v>
      </c>
      <c r="P97" s="37" t="n">
        <v>7000.43</v>
      </c>
      <c r="Q97" s="18" t="n">
        <v>-3564.36</v>
      </c>
      <c r="R97" s="18" t="n">
        <v>-1904.71</v>
      </c>
      <c r="S97" s="18" t="n">
        <v>691.95</v>
      </c>
      <c r="T97" s="18" t="n">
        <v>-1316.89</v>
      </c>
      <c r="U97" s="37" t="n">
        <v>-6094.01</v>
      </c>
      <c r="V97" s="18" t="n">
        <v>2190.02</v>
      </c>
      <c r="W97" s="18" t="n">
        <v>-6688.97</v>
      </c>
      <c r="X97" s="18" t="n">
        <v>-227.24</v>
      </c>
      <c r="Y97" s="18" t="n">
        <v>23839.03</v>
      </c>
      <c r="Z97" s="37" t="n">
        <v>19112.84</v>
      </c>
      <c r="AA97" s="18" t="n">
        <v>-11048.23</v>
      </c>
      <c r="AB97" s="19" t="n">
        <v>2911.2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11830.87</v>
      </c>
      <c r="F98" s="9" t="n"/>
      <c r="G98" s="18" t="n">
        <v>15481.2</v>
      </c>
      <c r="H98" s="18" t="n">
        <v>-8674.139999999999</v>
      </c>
      <c r="I98" s="18" t="n">
        <v>1601.97</v>
      </c>
      <c r="J98" s="18" t="n">
        <v>2215.61</v>
      </c>
      <c r="K98" s="37" t="n">
        <v>10624.64</v>
      </c>
      <c r="L98" s="18" t="n">
        <v>5378.3</v>
      </c>
      <c r="M98" s="18" t="n">
        <v>1382.24</v>
      </c>
      <c r="N98" s="18" t="n">
        <v>1544.11</v>
      </c>
      <c r="O98" s="18" t="n">
        <v>9320.629999999999</v>
      </c>
      <c r="P98" s="37" t="n">
        <v>17625.28</v>
      </c>
      <c r="Q98" s="18" t="n">
        <v>14072.42</v>
      </c>
      <c r="R98" s="18" t="n">
        <v>-1917.37</v>
      </c>
      <c r="S98" s="18" t="n">
        <v>674.37</v>
      </c>
      <c r="T98" s="18" t="n">
        <v>-1284.23</v>
      </c>
      <c r="U98" s="37" t="n">
        <v>11545.19</v>
      </c>
      <c r="V98" s="18" t="n">
        <v>13828.71</v>
      </c>
      <c r="W98" s="18" t="n">
        <v>-6694.46</v>
      </c>
      <c r="X98" s="18" t="n">
        <v>-225.16</v>
      </c>
      <c r="Y98" s="18" t="n">
        <v>23761.75</v>
      </c>
      <c r="Z98" s="37" t="n">
        <v>30670.84</v>
      </c>
      <c r="AA98" s="18" t="n">
        <v>19668.35</v>
      </c>
      <c r="AB98" s="19" t="n">
        <v>2888.52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25.36</v>
      </c>
      <c r="H99" s="18" t="n">
        <v>2.5</v>
      </c>
      <c r="I99" s="18" t="n">
        <v>23</v>
      </c>
      <c r="J99" s="18" t="n">
        <v>2629.27</v>
      </c>
      <c r="K99" s="37" t="n">
        <v>2680.13</v>
      </c>
      <c r="L99" s="18" t="n">
        <v>75.2</v>
      </c>
      <c r="M99" s="18" t="n">
        <v>165</v>
      </c>
      <c r="N99" s="18" t="n">
        <v>3.2</v>
      </c>
      <c r="O99" s="18" t="n">
        <v>0</v>
      </c>
      <c r="P99" s="37" t="n">
        <v>243.4</v>
      </c>
      <c r="Q99" s="18" t="n">
        <v>1.2</v>
      </c>
      <c r="R99" s="18" t="n">
        <v>51.82</v>
      </c>
      <c r="S99" s="18" t="n">
        <v>21.53</v>
      </c>
      <c r="T99" s="18" t="n">
        <v>103.6</v>
      </c>
      <c r="U99" s="37" t="n">
        <v>178.15</v>
      </c>
      <c r="V99" s="18" t="n">
        <v>18.29</v>
      </c>
      <c r="W99" s="18" t="n">
        <v>40</v>
      </c>
      <c r="X99" s="18" t="n">
        <v>173.74</v>
      </c>
      <c r="Y99" s="18" t="n">
        <v>9.65</v>
      </c>
      <c r="Z99" s="37" t="n">
        <v>241.68</v>
      </c>
      <c r="AA99" s="18" t="n">
        <v>114.1</v>
      </c>
      <c r="AB99" s="19" t="n">
        <v>26.2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2321.4</v>
      </c>
      <c r="H100" s="18" t="n">
        <v>0</v>
      </c>
      <c r="I100" s="18" t="n">
        <v>0</v>
      </c>
      <c r="J100" s="18" t="n">
        <v>0</v>
      </c>
      <c r="K100" s="37" t="n">
        <v>2321.4</v>
      </c>
      <c r="P100" s="9" t="n"/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자기주식의취득</t>
        </is>
      </c>
      <c r="F101" s="9" t="n"/>
      <c r="J101" s="18" t="n">
        <v>1466.52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K102" s="9" t="n"/>
      <c r="N102" s="18" t="n">
        <v>0</v>
      </c>
      <c r="O102" s="18" t="n">
        <v>0</v>
      </c>
      <c r="P102" s="9" t="n"/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137.58</v>
      </c>
      <c r="P103" s="9" t="n"/>
      <c r="Q103" s="18" t="n">
        <v>114.59</v>
      </c>
      <c r="R103" s="18" t="n">
        <v>53.8</v>
      </c>
      <c r="S103" s="18" t="n">
        <v>83.2</v>
      </c>
      <c r="T103" s="18" t="n">
        <v>100.2</v>
      </c>
      <c r="U103" s="37" t="n">
        <v>351.79</v>
      </c>
      <c r="V103" s="18" t="n">
        <v>54.19</v>
      </c>
      <c r="W103" s="18" t="n">
        <v>89.61</v>
      </c>
      <c r="X103" s="18" t="n">
        <v>231.57</v>
      </c>
      <c r="Y103" s="18" t="n">
        <v>85.70999999999999</v>
      </c>
      <c r="Z103" s="37" t="n">
        <v>461.08</v>
      </c>
      <c r="AA103" s="18" t="n">
        <v>70.14</v>
      </c>
      <c r="AB103" s="19" t="n">
        <v>147.15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O104" s="18" t="n">
        <v>138.01</v>
      </c>
      <c r="P104" s="9" t="n"/>
      <c r="Q104" s="18" t="n">
        <v>139.25</v>
      </c>
      <c r="R104" s="18" t="n">
        <v>153.69</v>
      </c>
      <c r="S104" s="18" t="n">
        <v>180.98</v>
      </c>
      <c r="T104" s="18" t="n">
        <v>180.9</v>
      </c>
      <c r="U104" s="37" t="n">
        <v>654.8200000000001</v>
      </c>
      <c r="V104" s="18" t="n">
        <v>191.56</v>
      </c>
      <c r="W104" s="18" t="n">
        <v>197.24</v>
      </c>
      <c r="X104" s="18" t="n">
        <v>187.01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한국선재(별)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97719.53</v>
      </c>
      <c r="F5" s="37" t="n">
        <v>97719.53</v>
      </c>
      <c r="G5" s="18" t="n">
        <v>88231.89</v>
      </c>
      <c r="H5" s="18" t="n">
        <v>95391.35000000001</v>
      </c>
      <c r="I5" s="18" t="n">
        <v>94799.39999999999</v>
      </c>
      <c r="J5" s="18" t="n">
        <v>87637.58</v>
      </c>
      <c r="K5" s="37" t="n">
        <v>87637.58</v>
      </c>
      <c r="L5" s="18" t="n">
        <v>96808.09</v>
      </c>
      <c r="M5" s="18" t="n">
        <v>91197.88</v>
      </c>
      <c r="N5" s="18" t="n">
        <v>87701.19</v>
      </c>
      <c r="O5" s="18" t="n">
        <v>85208.2</v>
      </c>
      <c r="P5" s="37" t="n">
        <v>85208.2</v>
      </c>
      <c r="Q5" s="18" t="n">
        <v>88559.27</v>
      </c>
      <c r="R5" s="18" t="n">
        <v>84293.41</v>
      </c>
      <c r="S5" s="18" t="n">
        <v>76381.12</v>
      </c>
      <c r="T5" s="18" t="n">
        <v>84323.96000000001</v>
      </c>
      <c r="U5" s="37" t="n">
        <v>84323.96000000001</v>
      </c>
      <c r="V5" s="18" t="n">
        <v>74398.52</v>
      </c>
      <c r="W5" s="18" t="n">
        <v>75022.78999999999</v>
      </c>
      <c r="X5" s="18" t="n">
        <v>80277.02</v>
      </c>
      <c r="Y5" s="18" t="n">
        <v>81554.69</v>
      </c>
      <c r="Z5" s="37" t="n">
        <v>81554.69</v>
      </c>
      <c r="AA5" s="18" t="n">
        <v>87292.75999999999</v>
      </c>
      <c r="AB5" s="19" t="n">
        <v>81965.92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10427.2</v>
      </c>
      <c r="F6" s="37" t="n">
        <v>10427.2</v>
      </c>
      <c r="G6" s="18" t="n">
        <v>13271.53</v>
      </c>
      <c r="H6" s="18" t="n">
        <v>5347.44</v>
      </c>
      <c r="I6" s="18" t="n">
        <v>7330.43</v>
      </c>
      <c r="J6" s="18" t="n">
        <v>7472.62</v>
      </c>
      <c r="K6" s="37" t="n">
        <v>7472.62</v>
      </c>
      <c r="L6" s="18" t="n">
        <v>5155.65</v>
      </c>
      <c r="M6" s="18" t="n">
        <v>6274.97</v>
      </c>
      <c r="N6" s="18" t="n">
        <v>3847.51</v>
      </c>
      <c r="O6" s="18" t="n">
        <v>9787.74</v>
      </c>
      <c r="P6" s="37" t="n">
        <v>9787.74</v>
      </c>
      <c r="Q6" s="18" t="n">
        <v>5041.55</v>
      </c>
      <c r="R6" s="18" t="n">
        <v>2907.23</v>
      </c>
      <c r="S6" s="18" t="n">
        <v>5625.18</v>
      </c>
      <c r="T6" s="18" t="n">
        <v>2079.07</v>
      </c>
      <c r="U6" s="37" t="n">
        <v>2079.07</v>
      </c>
      <c r="V6" s="18" t="n">
        <v>3761.92</v>
      </c>
      <c r="W6" s="18" t="n">
        <v>1391.17</v>
      </c>
      <c r="X6" s="18" t="n">
        <v>2893.17</v>
      </c>
      <c r="Y6" s="18" t="n">
        <v>7462.46</v>
      </c>
      <c r="Z6" s="37" t="n">
        <v>7462.46</v>
      </c>
      <c r="AA6" s="18" t="n">
        <v>11996.52</v>
      </c>
      <c r="AB6" s="19" t="n">
        <v>6209.11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25052.42</v>
      </c>
      <c r="F7" s="37" t="n">
        <v>25052.42</v>
      </c>
      <c r="G7" s="18" t="n">
        <v>28932.23</v>
      </c>
      <c r="H7" s="18" t="n">
        <v>26720.63</v>
      </c>
      <c r="I7" s="18" t="n">
        <v>30797.85</v>
      </c>
      <c r="J7" s="18" t="n">
        <v>28469.57</v>
      </c>
      <c r="K7" s="37" t="n">
        <v>28469.57</v>
      </c>
      <c r="L7" s="18" t="n">
        <v>34784.14</v>
      </c>
      <c r="M7" s="18" t="n">
        <v>26029.65</v>
      </c>
      <c r="N7" s="18" t="n">
        <v>30064.29</v>
      </c>
      <c r="O7" s="18" t="n">
        <v>26184.68</v>
      </c>
      <c r="P7" s="37" t="n">
        <v>26184.68</v>
      </c>
      <c r="Q7" s="18" t="n">
        <v>25105.07</v>
      </c>
      <c r="R7" s="18" t="n">
        <v>28181.72</v>
      </c>
      <c r="S7" s="18" t="n">
        <v>26126.19</v>
      </c>
      <c r="T7" s="18" t="n">
        <v>28460.31</v>
      </c>
      <c r="U7" s="37" t="n">
        <v>28460.31</v>
      </c>
      <c r="V7" s="18" t="n">
        <v>27441.1</v>
      </c>
      <c r="W7" s="18" t="n">
        <v>25662.96</v>
      </c>
      <c r="X7" s="18" t="n">
        <v>24458.93</v>
      </c>
      <c r="Y7" s="18" t="n">
        <v>21538.61</v>
      </c>
      <c r="Z7" s="37" t="n">
        <v>21538.61</v>
      </c>
      <c r="AA7" s="18" t="n">
        <v>23922.37</v>
      </c>
      <c r="AB7" s="19" t="n">
        <v>26729.94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45458.24</v>
      </c>
      <c r="F8" s="37" t="n">
        <v>45458.24</v>
      </c>
      <c r="G8" s="18" t="n">
        <v>45200.41</v>
      </c>
      <c r="H8" s="18" t="n">
        <v>61121.07</v>
      </c>
      <c r="I8" s="18" t="n">
        <v>54037.53</v>
      </c>
      <c r="J8" s="18" t="n">
        <v>50697.87</v>
      </c>
      <c r="K8" s="37" t="n">
        <v>50697.87</v>
      </c>
      <c r="L8" s="18" t="n">
        <v>55911.08</v>
      </c>
      <c r="M8" s="18" t="n">
        <v>57205.28</v>
      </c>
      <c r="N8" s="18" t="n">
        <v>53234.33</v>
      </c>
      <c r="O8" s="18" t="n">
        <v>48371.88</v>
      </c>
      <c r="P8" s="37" t="n">
        <v>48371.88</v>
      </c>
      <c r="Q8" s="18" t="n">
        <v>57155.34</v>
      </c>
      <c r="R8" s="18" t="n">
        <v>52699.56</v>
      </c>
      <c r="S8" s="18" t="n">
        <v>44080.18</v>
      </c>
      <c r="T8" s="18" t="n">
        <v>53338.73</v>
      </c>
      <c r="U8" s="37" t="n">
        <v>53338.73</v>
      </c>
      <c r="V8" s="18" t="n">
        <v>43144.01</v>
      </c>
      <c r="W8" s="18" t="n">
        <v>47883.59</v>
      </c>
      <c r="X8" s="18" t="n">
        <v>52070.32</v>
      </c>
      <c r="Y8" s="18" t="n">
        <v>52017.25</v>
      </c>
      <c r="Z8" s="37" t="n">
        <v>52017.25</v>
      </c>
      <c r="AA8" s="18" t="n">
        <v>51308.39</v>
      </c>
      <c r="AB8" s="19" t="n">
        <v>48997.23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534.47</v>
      </c>
      <c r="F10" s="37" t="n">
        <v>534.47</v>
      </c>
      <c r="G10" s="18" t="n">
        <v>529</v>
      </c>
      <c r="H10" s="18" t="n">
        <v>1902.5</v>
      </c>
      <c r="I10" s="18" t="n">
        <v>563.9400000000001</v>
      </c>
      <c r="J10" s="18" t="n">
        <v>587.8099999999999</v>
      </c>
      <c r="K10" s="37" t="n">
        <v>587.8099999999999</v>
      </c>
      <c r="L10" s="18" t="n">
        <v>567.4299999999999</v>
      </c>
      <c r="M10" s="18" t="n">
        <v>1295.32</v>
      </c>
      <c r="N10" s="18" t="n">
        <v>555.05</v>
      </c>
      <c r="O10" s="18" t="n">
        <v>576.72</v>
      </c>
      <c r="P10" s="37" t="n">
        <v>576.72</v>
      </c>
      <c r="Q10" s="18" t="n">
        <v>958.64</v>
      </c>
      <c r="R10" s="18" t="n">
        <v>504.9</v>
      </c>
      <c r="S10" s="18" t="n">
        <v>549.5700000000001</v>
      </c>
      <c r="T10" s="18" t="n">
        <v>445.84</v>
      </c>
      <c r="U10" s="37" t="n">
        <v>445.84</v>
      </c>
      <c r="V10" s="18" t="n">
        <v>51.49</v>
      </c>
      <c r="W10" s="18" t="n">
        <v>85.08</v>
      </c>
      <c r="X10" s="18" t="n">
        <v>827.04</v>
      </c>
      <c r="Y10" s="18" t="n">
        <v>501.31</v>
      </c>
      <c r="Z10" s="37" t="n">
        <v>501.31</v>
      </c>
      <c r="AA10" s="18" t="n">
        <v>65.48</v>
      </c>
      <c r="AB10" s="19" t="n">
        <v>29.64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95091.21000000001</v>
      </c>
      <c r="F12" s="37" t="n">
        <v>95091.21000000001</v>
      </c>
      <c r="G12" s="18" t="n">
        <v>95722.74000000001</v>
      </c>
      <c r="H12" s="18" t="n">
        <v>96657.31</v>
      </c>
      <c r="I12" s="18" t="n">
        <v>97908.56</v>
      </c>
      <c r="J12" s="18" t="n">
        <v>95475.75999999999</v>
      </c>
      <c r="K12" s="37" t="n">
        <v>95475.75999999999</v>
      </c>
      <c r="L12" s="18" t="n">
        <v>95151.24000000001</v>
      </c>
      <c r="M12" s="18" t="n">
        <v>120279.94</v>
      </c>
      <c r="N12" s="18" t="n">
        <v>119734.06</v>
      </c>
      <c r="O12" s="18" t="n">
        <v>128314.85</v>
      </c>
      <c r="P12" s="37" t="n">
        <v>128314.85</v>
      </c>
      <c r="Q12" s="18" t="n">
        <v>127326.53</v>
      </c>
      <c r="R12" s="18" t="n">
        <v>128401.52</v>
      </c>
      <c r="S12" s="18" t="n">
        <v>127175.27</v>
      </c>
      <c r="T12" s="18" t="n">
        <v>137566.02</v>
      </c>
      <c r="U12" s="37" t="n">
        <v>137566.02</v>
      </c>
      <c r="V12" s="18" t="n">
        <v>137905.17</v>
      </c>
      <c r="W12" s="18" t="n">
        <v>139397.88</v>
      </c>
      <c r="X12" s="18" t="n">
        <v>151472.56</v>
      </c>
      <c r="Y12" s="18" t="n">
        <v>140727.52</v>
      </c>
      <c r="Z12" s="37" t="n">
        <v>140727.52</v>
      </c>
      <c r="AA12" s="18" t="n">
        <v>162673.48</v>
      </c>
      <c r="AB12" s="19" t="n">
        <v>168214.53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1377.01</v>
      </c>
      <c r="F13" s="37" t="n">
        <v>1377.01</v>
      </c>
      <c r="G13" s="18" t="n">
        <v>1006.5</v>
      </c>
      <c r="H13" s="18" t="n">
        <v>1006.5</v>
      </c>
      <c r="I13" s="18" t="n">
        <v>1006.5</v>
      </c>
      <c r="J13" s="18" t="n">
        <v>1006.5</v>
      </c>
      <c r="K13" s="37" t="n">
        <v>1006.5</v>
      </c>
      <c r="L13" s="18" t="n">
        <v>1006.5</v>
      </c>
      <c r="M13" s="18" t="n">
        <v>1006.5</v>
      </c>
      <c r="N13" s="18" t="n">
        <v>1006.5</v>
      </c>
      <c r="O13" s="18" t="n">
        <v>730.61</v>
      </c>
      <c r="P13" s="37" t="n">
        <v>730.61</v>
      </c>
      <c r="Q13" s="18" t="n">
        <v>730.61</v>
      </c>
      <c r="R13" s="18" t="n">
        <v>138.61</v>
      </c>
      <c r="S13" s="18" t="n">
        <v>257.46</v>
      </c>
      <c r="T13" s="18" t="n">
        <v>12826.84</v>
      </c>
      <c r="U13" s="37" t="n">
        <v>12826.84</v>
      </c>
      <c r="V13" s="18" t="n">
        <v>12926.84</v>
      </c>
      <c r="W13" s="18" t="n">
        <v>11406.69</v>
      </c>
      <c r="X13" s="18" t="n">
        <v>18904.71</v>
      </c>
      <c r="Y13" s="18" t="n">
        <v>300.62</v>
      </c>
      <c r="Z13" s="37" t="n">
        <v>300.62</v>
      </c>
      <c r="AA13" s="18" t="n">
        <v>300.62</v>
      </c>
      <c r="AB13" s="19" t="n">
        <v>300.62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28729.26</v>
      </c>
      <c r="F14" s="37" t="n">
        <v>28729.26</v>
      </c>
      <c r="G14" s="18" t="n">
        <v>29615.21</v>
      </c>
      <c r="H14" s="18" t="n">
        <v>29312.9</v>
      </c>
      <c r="I14" s="18" t="n">
        <v>30839.95</v>
      </c>
      <c r="J14" s="18" t="n">
        <v>29567.85</v>
      </c>
      <c r="K14" s="37" t="n">
        <v>29567.85</v>
      </c>
      <c r="L14" s="18" t="n">
        <v>30346.95</v>
      </c>
      <c r="M14" s="18" t="n">
        <v>32431.12</v>
      </c>
      <c r="N14" s="18" t="n">
        <v>32491.67</v>
      </c>
      <c r="O14" s="18" t="n">
        <v>41639.6</v>
      </c>
      <c r="P14" s="37" t="n">
        <v>41639.6</v>
      </c>
      <c r="Q14" s="18" t="n">
        <v>41230.39</v>
      </c>
      <c r="R14" s="18" t="n">
        <v>42650.64</v>
      </c>
      <c r="S14" s="18" t="n">
        <v>41614.07</v>
      </c>
      <c r="T14" s="18" t="n">
        <v>52658.62</v>
      </c>
      <c r="U14" s="37" t="n">
        <v>52658.62</v>
      </c>
      <c r="V14" s="18" t="n">
        <v>52878.7</v>
      </c>
      <c r="W14" s="18" t="n">
        <v>55109.33</v>
      </c>
      <c r="X14" s="18" t="n">
        <v>64014.38</v>
      </c>
      <c r="Y14" s="18" t="n">
        <v>46609.35</v>
      </c>
      <c r="Z14" s="37" t="n">
        <v>46609.35</v>
      </c>
      <c r="AA14" s="18" t="n">
        <v>57210.77</v>
      </c>
      <c r="AB14" s="19" t="n">
        <v>300.62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27352.25</v>
      </c>
      <c r="F15" s="37" t="n">
        <v>27352.25</v>
      </c>
      <c r="G15" s="18" t="n">
        <v>28608.71</v>
      </c>
      <c r="H15" s="18" t="n">
        <v>28306.4</v>
      </c>
      <c r="I15" s="18" t="n">
        <v>29833.45</v>
      </c>
      <c r="J15" s="18" t="n">
        <v>28561.35</v>
      </c>
      <c r="K15" s="37" t="n">
        <v>28561.35</v>
      </c>
      <c r="L15" s="18" t="n">
        <v>29340.45</v>
      </c>
      <c r="M15" s="18" t="n">
        <v>31424.62</v>
      </c>
      <c r="N15" s="18" t="n">
        <v>31485.17</v>
      </c>
      <c r="O15" s="18" t="n">
        <v>40908.99</v>
      </c>
      <c r="P15" s="37" t="n">
        <v>40908.99</v>
      </c>
      <c r="Q15" s="18" t="n">
        <v>40499.78</v>
      </c>
      <c r="R15" s="18" t="n">
        <v>42512.03</v>
      </c>
      <c r="S15" s="18" t="n">
        <v>41356.61</v>
      </c>
      <c r="T15" s="18" t="n">
        <v>39831.78</v>
      </c>
      <c r="U15" s="37" t="n">
        <v>39831.78</v>
      </c>
      <c r="V15" s="18" t="n">
        <v>39951.86</v>
      </c>
      <c r="W15" s="18" t="n">
        <v>43702.64</v>
      </c>
      <c r="X15" s="18" t="n">
        <v>45109.67</v>
      </c>
      <c r="Y15" s="18" t="n">
        <v>46308.73</v>
      </c>
      <c r="Z15" s="37" t="n">
        <v>46308.73</v>
      </c>
      <c r="AA15" s="18" t="n">
        <v>56910.15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50780.77</v>
      </c>
      <c r="F16" s="37" t="n">
        <v>50780.77</v>
      </c>
      <c r="G16" s="18" t="n">
        <v>50293.77</v>
      </c>
      <c r="H16" s="18" t="n">
        <v>51643.36</v>
      </c>
      <c r="I16" s="18" t="n">
        <v>51505.09</v>
      </c>
      <c r="J16" s="18" t="n">
        <v>50383.36</v>
      </c>
      <c r="K16" s="37" t="n">
        <v>50383.36</v>
      </c>
      <c r="L16" s="18" t="n">
        <v>49828.77</v>
      </c>
      <c r="M16" s="18" t="n">
        <v>50965.9</v>
      </c>
      <c r="N16" s="18" t="n">
        <v>50520.77</v>
      </c>
      <c r="O16" s="18" t="n">
        <v>50107.9</v>
      </c>
      <c r="P16" s="37" t="n">
        <v>50107.9</v>
      </c>
      <c r="Q16" s="18" t="n">
        <v>49681.82</v>
      </c>
      <c r="R16" s="18" t="n">
        <v>49401.37</v>
      </c>
      <c r="S16" s="18" t="n">
        <v>49263.82</v>
      </c>
      <c r="T16" s="18" t="n">
        <v>48249.93</v>
      </c>
      <c r="U16" s="37" t="n">
        <v>48249.93</v>
      </c>
      <c r="V16" s="18" t="n">
        <v>48524.98</v>
      </c>
      <c r="W16" s="18" t="n">
        <v>48535.4</v>
      </c>
      <c r="X16" s="18" t="n">
        <v>49942.98</v>
      </c>
      <c r="Y16" s="18" t="n">
        <v>49825.87</v>
      </c>
      <c r="Z16" s="37" t="n">
        <v>49825.87</v>
      </c>
      <c r="AA16" s="18" t="n">
        <v>61390.1</v>
      </c>
      <c r="AB16" s="19" t="n">
        <v>61242.27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1541.63</v>
      </c>
      <c r="F17" s="37" t="n">
        <v>1541.63</v>
      </c>
      <c r="G17" s="18" t="n">
        <v>1440.85</v>
      </c>
      <c r="H17" s="18" t="n">
        <v>1366.37</v>
      </c>
      <c r="I17" s="18" t="n">
        <v>1265.04</v>
      </c>
      <c r="J17" s="18" t="n">
        <v>1164.09</v>
      </c>
      <c r="K17" s="37" t="n">
        <v>1164.09</v>
      </c>
      <c r="L17" s="18" t="n">
        <v>703.0599999999999</v>
      </c>
      <c r="M17" s="18" t="n">
        <v>653.3099999999999</v>
      </c>
      <c r="N17" s="18" t="n">
        <v>580.0700000000001</v>
      </c>
      <c r="O17" s="18" t="n">
        <v>506.83</v>
      </c>
      <c r="P17" s="37" t="n">
        <v>506.83</v>
      </c>
      <c r="Q17" s="18" t="n">
        <v>433.59</v>
      </c>
      <c r="R17" s="18" t="n">
        <v>447.6</v>
      </c>
      <c r="S17" s="18" t="n">
        <v>471.95</v>
      </c>
      <c r="T17" s="18" t="n">
        <v>347.58</v>
      </c>
      <c r="U17" s="37" t="n">
        <v>347.58</v>
      </c>
      <c r="V17" s="18" t="n">
        <v>314.89</v>
      </c>
      <c r="W17" s="18" t="n">
        <v>352.3</v>
      </c>
      <c r="X17" s="18" t="n">
        <v>351.69</v>
      </c>
      <c r="Y17" s="18" t="n">
        <v>353.89</v>
      </c>
      <c r="Z17" s="37" t="n">
        <v>353.89</v>
      </c>
      <c r="AA17" s="18" t="n">
        <v>653.48</v>
      </c>
      <c r="AB17" s="19" t="n">
        <v>577.42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1541.63</v>
      </c>
      <c r="F18" s="37" t="n">
        <v>1541.63</v>
      </c>
      <c r="G18" s="18" t="n">
        <v>1440.85</v>
      </c>
      <c r="H18" s="18" t="n">
        <v>1366.37</v>
      </c>
      <c r="I18" s="18" t="n">
        <v>1265.04</v>
      </c>
      <c r="J18" s="18" t="n">
        <v>1164.09</v>
      </c>
      <c r="K18" s="37" t="n">
        <v>1164.09</v>
      </c>
      <c r="L18" s="18" t="n">
        <v>703.0599999999999</v>
      </c>
      <c r="M18" s="18" t="n">
        <v>653.3099999999999</v>
      </c>
      <c r="N18" s="18" t="n">
        <v>580.0700000000001</v>
      </c>
      <c r="O18" s="18" t="n">
        <v>506.83</v>
      </c>
      <c r="P18" s="37" t="n">
        <v>506.83</v>
      </c>
      <c r="Q18" s="18" t="n">
        <v>433.59</v>
      </c>
      <c r="R18" s="18" t="n">
        <v>447.6</v>
      </c>
      <c r="S18" s="18" t="n">
        <v>471.95</v>
      </c>
      <c r="T18" s="18" t="n">
        <v>347.58</v>
      </c>
      <c r="U18" s="37" t="n">
        <v>347.58</v>
      </c>
      <c r="V18" s="18" t="n">
        <v>314.89</v>
      </c>
      <c r="W18" s="18" t="n">
        <v>352.3</v>
      </c>
      <c r="X18" s="18" t="n">
        <v>351.69</v>
      </c>
      <c r="Y18" s="18" t="n">
        <v>353.89</v>
      </c>
      <c r="Z18" s="37" t="n">
        <v>353.89</v>
      </c>
      <c r="AA18" s="18" t="n">
        <v>653.48</v>
      </c>
      <c r="AB18" s="19" t="n">
        <v>577.42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13704.73</v>
      </c>
      <c r="F19" s="37" t="n">
        <v>13704.73</v>
      </c>
      <c r="G19" s="18" t="n">
        <v>13673.78</v>
      </c>
      <c r="H19" s="18" t="n">
        <v>13642.83</v>
      </c>
      <c r="I19" s="18" t="n">
        <v>13611.89</v>
      </c>
      <c r="J19" s="18" t="n">
        <v>13580.94</v>
      </c>
      <c r="K19" s="37" t="n">
        <v>13580.94</v>
      </c>
      <c r="L19" s="18" t="n">
        <v>13549.99</v>
      </c>
      <c r="M19" s="18" t="n">
        <v>35514.02</v>
      </c>
      <c r="N19" s="18" t="n">
        <v>35437.82</v>
      </c>
      <c r="O19" s="18" t="n">
        <v>35361.62</v>
      </c>
      <c r="P19" s="37" t="n">
        <v>35361.62</v>
      </c>
      <c r="Q19" s="18" t="n">
        <v>35285.43</v>
      </c>
      <c r="R19" s="18" t="n">
        <v>35209.23</v>
      </c>
      <c r="S19" s="18" t="n">
        <v>35133.04</v>
      </c>
      <c r="T19" s="18" t="n">
        <v>35547.19</v>
      </c>
      <c r="U19" s="37" t="n">
        <v>35547.19</v>
      </c>
      <c r="V19" s="18" t="n">
        <v>35468.58</v>
      </c>
      <c r="W19" s="18" t="n">
        <v>34683.63</v>
      </c>
      <c r="X19" s="18" t="n">
        <v>36462.88</v>
      </c>
      <c r="Y19" s="18" t="n">
        <v>37493.46</v>
      </c>
      <c r="Z19" s="37" t="n">
        <v>37493.46</v>
      </c>
      <c r="AA19" s="18" t="n">
        <v>39417.7</v>
      </c>
      <c r="AB19" s="19" t="n">
        <v>40588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334.81</v>
      </c>
      <c r="F20" s="37" t="n">
        <v>334.81</v>
      </c>
      <c r="G20" s="18" t="n">
        <v>328.62</v>
      </c>
      <c r="H20" s="18" t="n">
        <v>321.56</v>
      </c>
      <c r="I20" s="18" t="n">
        <v>314.5</v>
      </c>
      <c r="J20" s="18" t="n">
        <v>407.44</v>
      </c>
      <c r="K20" s="37" t="n">
        <v>407.44</v>
      </c>
      <c r="L20" s="18" t="n">
        <v>400.38</v>
      </c>
      <c r="M20" s="18" t="n">
        <v>393.49</v>
      </c>
      <c r="N20" s="18" t="n">
        <v>386.63</v>
      </c>
      <c r="O20" s="18" t="n">
        <v>381.94</v>
      </c>
      <c r="P20" s="37" t="n">
        <v>381.94</v>
      </c>
      <c r="Q20" s="18" t="n">
        <v>378.34</v>
      </c>
      <c r="R20" s="18" t="n">
        <v>375.74</v>
      </c>
      <c r="S20" s="18" t="n">
        <v>375.44</v>
      </c>
      <c r="T20" s="18" t="n">
        <v>373.35</v>
      </c>
      <c r="U20" s="37" t="n">
        <v>373.35</v>
      </c>
      <c r="V20" s="18" t="n">
        <v>371.3</v>
      </c>
      <c r="W20" s="18" t="n">
        <v>370.63</v>
      </c>
      <c r="X20" s="18" t="n">
        <v>406.52</v>
      </c>
      <c r="Y20" s="18" t="n">
        <v>404.48</v>
      </c>
      <c r="Z20" s="37" t="n">
        <v>404.48</v>
      </c>
      <c r="AA20" s="18" t="n">
        <v>154.04</v>
      </c>
      <c r="AB20" s="19" t="n">
        <v>131.58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192810.75</v>
      </c>
      <c r="F21" s="37" t="n">
        <v>192810.75</v>
      </c>
      <c r="G21" s="18" t="n">
        <v>183954.63</v>
      </c>
      <c r="H21" s="18" t="n">
        <v>192048.66</v>
      </c>
      <c r="I21" s="18" t="n">
        <v>192707.97</v>
      </c>
      <c r="J21" s="18" t="n">
        <v>183113.34</v>
      </c>
      <c r="K21" s="37" t="n">
        <v>183113.34</v>
      </c>
      <c r="L21" s="18" t="n">
        <v>191959.33</v>
      </c>
      <c r="M21" s="18" t="n">
        <v>211477.81</v>
      </c>
      <c r="N21" s="18" t="n">
        <v>207435.24</v>
      </c>
      <c r="O21" s="18" t="n">
        <v>213523.05</v>
      </c>
      <c r="P21" s="37" t="n">
        <v>213523.05</v>
      </c>
      <c r="Q21" s="18" t="n">
        <v>215885.8</v>
      </c>
      <c r="R21" s="18" t="n">
        <v>212694.93</v>
      </c>
      <c r="S21" s="18" t="n">
        <v>203556.39</v>
      </c>
      <c r="T21" s="18" t="n">
        <v>221889.97</v>
      </c>
      <c r="U21" s="37" t="n">
        <v>221889.97</v>
      </c>
      <c r="V21" s="18" t="n">
        <v>212303.69</v>
      </c>
      <c r="W21" s="18" t="n">
        <v>214420.68</v>
      </c>
      <c r="X21" s="18" t="n">
        <v>231749.58</v>
      </c>
      <c r="Y21" s="18" t="n">
        <v>222282.21</v>
      </c>
      <c r="Z21" s="37" t="n">
        <v>222282.21</v>
      </c>
      <c r="AA21" s="18" t="n">
        <v>249966.24</v>
      </c>
      <c r="AB21" s="19" t="n">
        <v>250180.45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75727.66</v>
      </c>
      <c r="F22" s="37" t="n">
        <v>75727.66</v>
      </c>
      <c r="G22" s="18" t="n">
        <v>57093.91</v>
      </c>
      <c r="H22" s="18" t="n">
        <v>64734.03</v>
      </c>
      <c r="I22" s="18" t="n">
        <v>65611.24000000001</v>
      </c>
      <c r="J22" s="18" t="n">
        <v>57832.64</v>
      </c>
      <c r="K22" s="37" t="n">
        <v>57832.64</v>
      </c>
      <c r="L22" s="18" t="n">
        <v>73241.08</v>
      </c>
      <c r="M22" s="18" t="n">
        <v>73242.14</v>
      </c>
      <c r="N22" s="18" t="n">
        <v>70092.89</v>
      </c>
      <c r="O22" s="18" t="n">
        <v>68593.17999999999</v>
      </c>
      <c r="P22" s="37" t="n">
        <v>68593.17999999999</v>
      </c>
      <c r="Q22" s="18" t="n">
        <v>70893.5</v>
      </c>
      <c r="R22" s="18" t="n">
        <v>65914.64999999999</v>
      </c>
      <c r="S22" s="18" t="n">
        <v>57013.57</v>
      </c>
      <c r="T22" s="18" t="n">
        <v>77859.88</v>
      </c>
      <c r="U22" s="37" t="n">
        <v>77859.88</v>
      </c>
      <c r="V22" s="18" t="n">
        <v>70451.67</v>
      </c>
      <c r="W22" s="18" t="n">
        <v>71389.48</v>
      </c>
      <c r="X22" s="18" t="n">
        <v>96875.03999999999</v>
      </c>
      <c r="Y22" s="18" t="n">
        <v>92044.98</v>
      </c>
      <c r="Z22" s="37" t="n">
        <v>92044.98</v>
      </c>
      <c r="AA22" s="18" t="n">
        <v>98486.39999999999</v>
      </c>
      <c r="AB22" s="19" t="n">
        <v>96179.2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8893.52</v>
      </c>
      <c r="F23" s="37" t="n">
        <v>8893.52</v>
      </c>
      <c r="G23" s="18" t="n">
        <v>8497.530000000001</v>
      </c>
      <c r="H23" s="18" t="n">
        <v>12001.68</v>
      </c>
      <c r="I23" s="18" t="n">
        <v>11729.8</v>
      </c>
      <c r="J23" s="18" t="n">
        <v>10068.92</v>
      </c>
      <c r="K23" s="37" t="n">
        <v>10068.92</v>
      </c>
      <c r="L23" s="18" t="n">
        <v>10991.58</v>
      </c>
      <c r="M23" s="18" t="n">
        <v>10213.83</v>
      </c>
      <c r="N23" s="18" t="n">
        <v>6551.38</v>
      </c>
      <c r="O23" s="18" t="n">
        <v>11608.2</v>
      </c>
      <c r="P23" s="37" t="n">
        <v>11608.2</v>
      </c>
      <c r="Q23" s="18" t="n">
        <v>10392.24</v>
      </c>
      <c r="R23" s="18" t="n">
        <v>7836.15</v>
      </c>
      <c r="S23" s="18" t="n">
        <v>4128.56</v>
      </c>
      <c r="T23" s="18" t="n">
        <v>10477.3</v>
      </c>
      <c r="U23" s="37" t="n">
        <v>10477.3</v>
      </c>
      <c r="V23" s="18" t="n">
        <v>5219.2</v>
      </c>
      <c r="W23" s="18" t="n">
        <v>4916.5</v>
      </c>
      <c r="X23" s="18" t="n">
        <v>7754.14</v>
      </c>
      <c r="Y23" s="18" t="n">
        <v>3475.43</v>
      </c>
      <c r="Z23" s="37" t="n">
        <v>3475.43</v>
      </c>
      <c r="AA23" s="18" t="n">
        <v>10234.27</v>
      </c>
      <c r="AB23" s="19" t="n">
        <v>7103.53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57421.96</v>
      </c>
      <c r="F24" s="37" t="n">
        <v>57421.96</v>
      </c>
      <c r="G24" s="18" t="n">
        <v>43357.12</v>
      </c>
      <c r="H24" s="18" t="n">
        <v>46278.56</v>
      </c>
      <c r="I24" s="18" t="n">
        <v>49100</v>
      </c>
      <c r="J24" s="18" t="n">
        <v>42770</v>
      </c>
      <c r="K24" s="37" t="n">
        <v>42770</v>
      </c>
      <c r="L24" s="18" t="n">
        <v>56250</v>
      </c>
      <c r="M24" s="18" t="n">
        <v>60200</v>
      </c>
      <c r="N24" s="18" t="n">
        <v>60960</v>
      </c>
      <c r="O24" s="18" t="n">
        <v>53162.14</v>
      </c>
      <c r="P24" s="37" t="n">
        <v>53162.14</v>
      </c>
      <c r="Q24" s="18" t="n">
        <v>58200</v>
      </c>
      <c r="R24" s="18" t="n">
        <v>55500</v>
      </c>
      <c r="S24" s="18" t="n">
        <v>50000</v>
      </c>
      <c r="T24" s="18" t="n">
        <v>64700</v>
      </c>
      <c r="U24" s="37" t="n">
        <v>64700</v>
      </c>
      <c r="V24" s="18" t="n">
        <v>62000</v>
      </c>
      <c r="W24" s="18" t="n">
        <v>63690</v>
      </c>
      <c r="X24" s="18" t="n">
        <v>86700</v>
      </c>
      <c r="Y24" s="18" t="n">
        <v>86000</v>
      </c>
      <c r="Z24" s="37" t="n">
        <v>86000</v>
      </c>
      <c r="AA24" s="18" t="n">
        <v>85000</v>
      </c>
      <c r="AB24" s="19" t="n">
        <v>85000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2806.15</v>
      </c>
      <c r="F25" s="37" t="n">
        <v>2806.15</v>
      </c>
      <c r="G25" s="18" t="n">
        <v>1529.45</v>
      </c>
      <c r="H25" s="18" t="n">
        <v>3438.1</v>
      </c>
      <c r="I25" s="18" t="n">
        <v>2091.36</v>
      </c>
      <c r="J25" s="18" t="n">
        <v>2047.28</v>
      </c>
      <c r="K25" s="37" t="n">
        <v>2047.28</v>
      </c>
      <c r="L25" s="18" t="n">
        <v>1156.78</v>
      </c>
      <c r="M25" s="18" t="n">
        <v>296.86</v>
      </c>
      <c r="N25" s="18" t="n">
        <v>144.55</v>
      </c>
      <c r="P25" s="9" t="n"/>
      <c r="R25" s="18" t="n">
        <v>72.84999999999999</v>
      </c>
      <c r="S25" s="18" t="n">
        <v>54.43</v>
      </c>
      <c r="T25" s="18" t="n">
        <v>296.41</v>
      </c>
      <c r="U25" s="37" t="n">
        <v>296.41</v>
      </c>
      <c r="V25" s="18" t="n">
        <v>251.24</v>
      </c>
      <c r="W25" s="18" t="n">
        <v>0</v>
      </c>
      <c r="X25" s="18" t="n">
        <v>0</v>
      </c>
      <c r="Z25" s="9" t="n"/>
      <c r="AA25" s="18" t="n">
        <v>-39.56</v>
      </c>
      <c r="AB25" s="19" t="n">
        <v>1011.5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396.21</v>
      </c>
      <c r="F26" s="37" t="n">
        <v>396.21</v>
      </c>
      <c r="G26" s="18" t="n">
        <v>400.13</v>
      </c>
      <c r="H26" s="18" t="n">
        <v>404.33</v>
      </c>
      <c r="I26" s="18" t="n">
        <v>408.25</v>
      </c>
      <c r="J26" s="18" t="n">
        <v>412.28</v>
      </c>
      <c r="K26" s="37" t="n">
        <v>412.28</v>
      </c>
      <c r="L26" s="18" t="n">
        <v>300.01</v>
      </c>
      <c r="M26" s="18" t="n">
        <v>308.07</v>
      </c>
      <c r="N26" s="18" t="n">
        <v>303.22</v>
      </c>
      <c r="O26" s="18" t="n">
        <v>294.76</v>
      </c>
      <c r="P26" s="37" t="n">
        <v>294.76</v>
      </c>
      <c r="Q26" s="18" t="n">
        <v>277.97</v>
      </c>
      <c r="R26" s="18" t="n">
        <v>281.67</v>
      </c>
      <c r="S26" s="18" t="n">
        <v>290.57</v>
      </c>
      <c r="T26" s="18" t="n">
        <v>301.61</v>
      </c>
      <c r="U26" s="37" t="n">
        <v>301.61</v>
      </c>
      <c r="V26" s="18" t="n">
        <v>278.21</v>
      </c>
      <c r="W26" s="18" t="n">
        <v>235.33</v>
      </c>
      <c r="X26" s="18" t="n">
        <v>187.49</v>
      </c>
      <c r="Y26" s="18" t="n">
        <v>145.6</v>
      </c>
      <c r="Z26" s="37" t="n">
        <v>145.6</v>
      </c>
      <c r="AA26" s="18" t="n">
        <v>288.92</v>
      </c>
      <c r="AB26" s="19" t="n">
        <v>284.12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1615.94</v>
      </c>
      <c r="F27" s="37" t="n">
        <v>1615.94</v>
      </c>
      <c r="G27" s="18" t="n">
        <v>1518.44</v>
      </c>
      <c r="H27" s="18" t="n">
        <v>1445.06</v>
      </c>
      <c r="I27" s="18" t="n">
        <v>1345.09</v>
      </c>
      <c r="J27" s="18" t="n">
        <v>1244.72</v>
      </c>
      <c r="K27" s="37" t="n">
        <v>1244.72</v>
      </c>
      <c r="L27" s="18" t="n">
        <v>773.71</v>
      </c>
      <c r="M27" s="18" t="n">
        <v>721.89</v>
      </c>
      <c r="N27" s="18" t="n">
        <v>645.9299999999999</v>
      </c>
      <c r="O27" s="18" t="n">
        <v>569.37</v>
      </c>
      <c r="P27" s="37" t="n">
        <v>569.37</v>
      </c>
      <c r="Q27" s="18" t="n">
        <v>491.88</v>
      </c>
      <c r="R27" s="18" t="n">
        <v>500.98</v>
      </c>
      <c r="S27" s="18" t="n">
        <v>520.6799999999999</v>
      </c>
      <c r="T27" s="18" t="n">
        <v>581.75</v>
      </c>
      <c r="U27" s="37" t="n">
        <v>581.75</v>
      </c>
      <c r="V27" s="18" t="n">
        <v>503.37</v>
      </c>
      <c r="W27" s="18" t="n">
        <v>494.45</v>
      </c>
      <c r="X27" s="18" t="n">
        <v>445.76</v>
      </c>
      <c r="Y27" s="18" t="n">
        <v>401.57</v>
      </c>
      <c r="Z27" s="37" t="n">
        <v>401.57</v>
      </c>
      <c r="AA27" s="18" t="n">
        <v>669.36</v>
      </c>
      <c r="AB27" s="19" t="n">
        <v>592.46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2285.61</v>
      </c>
      <c r="F28" s="37" t="n">
        <v>2285.61</v>
      </c>
      <c r="G28" s="18" t="n">
        <v>2266.28</v>
      </c>
      <c r="H28" s="18" t="n">
        <v>2452.76</v>
      </c>
      <c r="I28" s="18" t="n">
        <v>2227.76</v>
      </c>
      <c r="J28" s="18" t="n">
        <v>2472.95</v>
      </c>
      <c r="K28" s="37" t="n">
        <v>2472.95</v>
      </c>
      <c r="L28" s="18" t="n">
        <v>2442.39</v>
      </c>
      <c r="M28" s="18" t="n">
        <v>2392.93</v>
      </c>
      <c r="N28" s="18" t="n">
        <v>2261.9</v>
      </c>
      <c r="O28" s="18" t="n">
        <v>2289.06</v>
      </c>
      <c r="P28" s="37" t="n">
        <v>2289.06</v>
      </c>
      <c r="Q28" s="18" t="n">
        <v>2182.55</v>
      </c>
      <c r="R28" s="18" t="n">
        <v>2262.82</v>
      </c>
      <c r="S28" s="18" t="n">
        <v>1883.44</v>
      </c>
      <c r="T28" s="18" t="n">
        <v>2200.53</v>
      </c>
      <c r="U28" s="37" t="n">
        <v>2200.53</v>
      </c>
      <c r="V28" s="18" t="n">
        <v>1978.52</v>
      </c>
      <c r="W28" s="18" t="n">
        <v>2185.84</v>
      </c>
      <c r="X28" s="18" t="n">
        <v>2071.44</v>
      </c>
      <c r="Y28" s="18" t="n">
        <v>2024.04</v>
      </c>
      <c r="Z28" s="37" t="n">
        <v>2024.04</v>
      </c>
      <c r="AA28" s="18" t="n">
        <v>1999.69</v>
      </c>
      <c r="AB28" s="19" t="n">
        <v>2290.45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1889.4</v>
      </c>
      <c r="F29" s="37" t="n">
        <v>1889.4</v>
      </c>
      <c r="G29" s="18" t="n">
        <v>1866.15</v>
      </c>
      <c r="H29" s="18" t="n">
        <v>2048.43</v>
      </c>
      <c r="I29" s="18" t="n">
        <v>1819.51</v>
      </c>
      <c r="J29" s="18" t="n">
        <v>2060.67</v>
      </c>
      <c r="K29" s="37" t="n">
        <v>2060.67</v>
      </c>
      <c r="L29" s="18" t="n">
        <v>2142.38</v>
      </c>
      <c r="M29" s="18" t="n">
        <v>2084.86</v>
      </c>
      <c r="N29" s="18" t="n">
        <v>1958.68</v>
      </c>
      <c r="O29" s="18" t="n">
        <v>1994.3</v>
      </c>
      <c r="P29" s="37" t="n">
        <v>1994.3</v>
      </c>
      <c r="Q29" s="18" t="n">
        <v>1904.58</v>
      </c>
      <c r="R29" s="18" t="n">
        <v>1981.15</v>
      </c>
      <c r="S29" s="18" t="n">
        <v>1592.87</v>
      </c>
      <c r="T29" s="18" t="n">
        <v>1898.92</v>
      </c>
      <c r="U29" s="37" t="n">
        <v>1898.92</v>
      </c>
      <c r="V29" s="18" t="n">
        <v>1700.31</v>
      </c>
      <c r="W29" s="18" t="n">
        <v>1950.51</v>
      </c>
      <c r="X29" s="18" t="n">
        <v>1883.95</v>
      </c>
      <c r="Y29" s="18" t="n">
        <v>1878.44</v>
      </c>
      <c r="Z29" s="37" t="n">
        <v>1878.44</v>
      </c>
      <c r="AA29" s="18" t="n">
        <v>1710.77</v>
      </c>
      <c r="AB29" s="19" t="n">
        <v>2006.33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4320.44</v>
      </c>
      <c r="F30" s="37" t="n">
        <v>4320.44</v>
      </c>
      <c r="G30" s="18" t="n">
        <v>1443.53</v>
      </c>
      <c r="H30" s="18" t="n">
        <v>562.9299999999999</v>
      </c>
      <c r="I30" s="18" t="n">
        <v>462.32</v>
      </c>
      <c r="J30" s="18" t="n">
        <v>473.49</v>
      </c>
      <c r="K30" s="37" t="n">
        <v>473.49</v>
      </c>
      <c r="L30" s="18" t="n">
        <v>2400.34</v>
      </c>
      <c r="M30" s="18" t="n">
        <v>138.52</v>
      </c>
      <c r="N30" s="18" t="n">
        <v>175.06</v>
      </c>
      <c r="O30" s="18" t="n">
        <v>1533.78</v>
      </c>
      <c r="P30" s="37" t="n">
        <v>1533.78</v>
      </c>
      <c r="Q30" s="18" t="n">
        <v>118.71</v>
      </c>
      <c r="R30" s="18" t="n">
        <v>242.83</v>
      </c>
      <c r="S30" s="18" t="n">
        <v>947.14</v>
      </c>
      <c r="T30" s="18" t="n">
        <v>185.64</v>
      </c>
      <c r="U30" s="37" t="n">
        <v>185.64</v>
      </c>
      <c r="V30" s="18" t="n">
        <v>1002.71</v>
      </c>
      <c r="W30" s="18" t="n">
        <v>597.15</v>
      </c>
      <c r="X30" s="18" t="n">
        <v>349.46</v>
      </c>
      <c r="Y30" s="18" t="n">
        <v>545.51</v>
      </c>
      <c r="Z30" s="37" t="n">
        <v>545.51</v>
      </c>
      <c r="AA30" s="18" t="n">
        <v>1291.99</v>
      </c>
      <c r="AB30" s="19" t="n">
        <v>773.71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16240.61</v>
      </c>
      <c r="F31" s="37" t="n">
        <v>16240.61</v>
      </c>
      <c r="G31" s="18" t="n">
        <v>14053.37</v>
      </c>
      <c r="H31" s="18" t="n">
        <v>14030.77</v>
      </c>
      <c r="I31" s="18" t="n">
        <v>14078.72</v>
      </c>
      <c r="J31" s="18" t="n">
        <v>12415.25</v>
      </c>
      <c r="K31" s="37" t="n">
        <v>12415.25</v>
      </c>
      <c r="L31" s="18" t="n">
        <v>6114.63</v>
      </c>
      <c r="M31" s="18" t="n">
        <v>24070.24</v>
      </c>
      <c r="N31" s="18" t="n">
        <v>24019.58</v>
      </c>
      <c r="O31" s="18" t="n">
        <v>23864.4</v>
      </c>
      <c r="P31" s="37" t="n">
        <v>23864.4</v>
      </c>
      <c r="Q31" s="18" t="n">
        <v>24062.31</v>
      </c>
      <c r="R31" s="18" t="n">
        <v>24564.24</v>
      </c>
      <c r="S31" s="18" t="n">
        <v>24755.39</v>
      </c>
      <c r="T31" s="18" t="n">
        <v>23137.72</v>
      </c>
      <c r="U31" s="37" t="n">
        <v>23137.72</v>
      </c>
      <c r="V31" s="18" t="n">
        <v>23977.91</v>
      </c>
      <c r="W31" s="18" t="n">
        <v>22862.71</v>
      </c>
      <c r="X31" s="18" t="n">
        <v>6102.54</v>
      </c>
      <c r="Y31" s="18" t="n">
        <v>6455.86</v>
      </c>
      <c r="Z31" s="37" t="n">
        <v>6455.86</v>
      </c>
      <c r="AA31" s="18" t="n">
        <v>16776.61</v>
      </c>
      <c r="AB31" s="19" t="n">
        <v>16244.05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8321.4</v>
      </c>
      <c r="F32" s="37" t="n">
        <v>8321.4</v>
      </c>
      <c r="G32" s="18" t="n">
        <v>6000</v>
      </c>
      <c r="H32" s="18" t="n">
        <v>6000</v>
      </c>
      <c r="I32" s="18" t="n">
        <v>6000</v>
      </c>
      <c r="J32" s="18" t="n">
        <v>6000</v>
      </c>
      <c r="K32" s="37" t="n">
        <v>6000</v>
      </c>
      <c r="M32" s="18" t="n">
        <v>17000</v>
      </c>
      <c r="N32" s="18" t="n">
        <v>17000</v>
      </c>
      <c r="O32" s="18" t="n">
        <v>17000</v>
      </c>
      <c r="P32" s="37" t="n">
        <v>17000</v>
      </c>
      <c r="Q32" s="18" t="n">
        <v>17000</v>
      </c>
      <c r="R32" s="18" t="n">
        <v>17000</v>
      </c>
      <c r="S32" s="18" t="n">
        <v>17000</v>
      </c>
      <c r="T32" s="18" t="n">
        <v>17000</v>
      </c>
      <c r="U32" s="37" t="n">
        <v>17000</v>
      </c>
      <c r="V32" s="18" t="n">
        <v>17000</v>
      </c>
      <c r="W32" s="18" t="n">
        <v>17000</v>
      </c>
      <c r="X32" s="18" t="n">
        <v>0</v>
      </c>
      <c r="Z32" s="9" t="n"/>
      <c r="AA32" s="18" t="n">
        <v>10000</v>
      </c>
      <c r="AB32" s="19" t="n">
        <v>10000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777.71</v>
      </c>
      <c r="F33" s="37" t="n">
        <v>777.71</v>
      </c>
      <c r="G33" s="18" t="n">
        <v>1007.29</v>
      </c>
      <c r="H33" s="18" t="n">
        <v>906.48</v>
      </c>
      <c r="I33" s="18" t="n">
        <v>1108.33</v>
      </c>
      <c r="J33" s="18" t="n">
        <v>407.94</v>
      </c>
      <c r="K33" s="37" t="n">
        <v>407.94</v>
      </c>
      <c r="L33" s="18" t="n">
        <v>436.06</v>
      </c>
      <c r="M33" s="18" t="n">
        <v>1396.25</v>
      </c>
      <c r="N33" s="18" t="n">
        <v>1416.7</v>
      </c>
      <c r="O33" s="18" t="n">
        <v>656.3200000000001</v>
      </c>
      <c r="P33" s="37" t="n">
        <v>656.3200000000001</v>
      </c>
      <c r="Q33" s="18" t="n">
        <v>914.92</v>
      </c>
      <c r="R33" s="18" t="n">
        <v>1494.88</v>
      </c>
      <c r="S33" s="18" t="n">
        <v>1689.23</v>
      </c>
      <c r="T33" s="18" t="n">
        <v>1059.96</v>
      </c>
      <c r="U33" s="37" t="n">
        <v>1059.96</v>
      </c>
      <c r="V33" s="18" t="n">
        <v>1390.68</v>
      </c>
      <c r="W33" s="18" t="n">
        <v>841.25</v>
      </c>
      <c r="X33" s="18" t="n">
        <v>1087.93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5717.77</v>
      </c>
      <c r="F34" s="37" t="n">
        <v>5717.77</v>
      </c>
      <c r="G34" s="18" t="n">
        <v>5717.77</v>
      </c>
      <c r="H34" s="18" t="n">
        <v>5873.56</v>
      </c>
      <c r="I34" s="18" t="n">
        <v>5873.56</v>
      </c>
      <c r="J34" s="18" t="n">
        <v>5014.87</v>
      </c>
      <c r="K34" s="37" t="n">
        <v>5014.87</v>
      </c>
      <c r="L34" s="18" t="n">
        <v>5014.87</v>
      </c>
      <c r="M34" s="18" t="n">
        <v>4855.17</v>
      </c>
      <c r="N34" s="18" t="n">
        <v>4855.17</v>
      </c>
      <c r="O34" s="18" t="n">
        <v>5508.48</v>
      </c>
      <c r="P34" s="37" t="n">
        <v>5508.48</v>
      </c>
      <c r="Q34" s="18" t="n">
        <v>5508.48</v>
      </c>
      <c r="R34" s="18" t="n">
        <v>5425.05</v>
      </c>
      <c r="S34" s="18" t="n">
        <v>5425.05</v>
      </c>
      <c r="T34" s="18" t="n">
        <v>4386.61</v>
      </c>
      <c r="U34" s="37" t="n">
        <v>4386.61</v>
      </c>
      <c r="V34" s="18" t="n">
        <v>4966.07</v>
      </c>
      <c r="W34" s="18" t="n">
        <v>4366.33</v>
      </c>
      <c r="X34" s="18" t="n">
        <v>4366.33</v>
      </c>
      <c r="Y34" s="18" t="n">
        <v>5687.72</v>
      </c>
      <c r="Z34" s="37" t="n">
        <v>5687.72</v>
      </c>
      <c r="AA34" s="18" t="n">
        <v>5687.72</v>
      </c>
      <c r="AB34" s="19" t="n">
        <v>5035.45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1219.73</v>
      </c>
      <c r="F35" s="37" t="n">
        <v>1219.73</v>
      </c>
      <c r="G35" s="18" t="n">
        <v>1118.31</v>
      </c>
      <c r="H35" s="18" t="n">
        <v>1040.73</v>
      </c>
      <c r="I35" s="18" t="n">
        <v>936.84</v>
      </c>
      <c r="J35" s="18" t="n">
        <v>832.4400000000001</v>
      </c>
      <c r="K35" s="37" t="n">
        <v>832.4400000000001</v>
      </c>
      <c r="L35" s="18" t="n">
        <v>473.7</v>
      </c>
      <c r="M35" s="18" t="n">
        <v>413.82</v>
      </c>
      <c r="N35" s="18" t="n">
        <v>342.71</v>
      </c>
      <c r="O35" s="18" t="n">
        <v>274.61</v>
      </c>
      <c r="P35" s="37" t="n">
        <v>274.61</v>
      </c>
      <c r="Q35" s="18" t="n">
        <v>213.91</v>
      </c>
      <c r="R35" s="18" t="n">
        <v>219.31</v>
      </c>
      <c r="S35" s="18" t="n">
        <v>230.11</v>
      </c>
      <c r="T35" s="18" t="n">
        <v>280.14</v>
      </c>
      <c r="U35" s="37" t="n">
        <v>280.14</v>
      </c>
      <c r="V35" s="18" t="n">
        <v>225.16</v>
      </c>
      <c r="W35" s="18" t="n">
        <v>259.12</v>
      </c>
      <c r="X35" s="18" t="n">
        <v>258.27</v>
      </c>
      <c r="Y35" s="18" t="n">
        <v>255.97</v>
      </c>
      <c r="Z35" s="37" t="n">
        <v>255.97</v>
      </c>
      <c r="AA35" s="18" t="n">
        <v>380.44</v>
      </c>
      <c r="AB35" s="19" t="n">
        <v>308.34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1423.73</v>
      </c>
      <c r="F36" s="37" t="n">
        <v>1423.73</v>
      </c>
      <c r="G36" s="18" t="n">
        <v>1328.31</v>
      </c>
      <c r="H36" s="18" t="n">
        <v>1250.73</v>
      </c>
      <c r="I36" s="18" t="n">
        <v>1096.84</v>
      </c>
      <c r="J36" s="18" t="n">
        <v>992.4400000000001</v>
      </c>
      <c r="K36" s="37" t="n">
        <v>992.4400000000001</v>
      </c>
      <c r="L36" s="18" t="n">
        <v>663.7</v>
      </c>
      <c r="M36" s="18" t="n">
        <v>818.8200000000001</v>
      </c>
      <c r="N36" s="18" t="n">
        <v>747.71</v>
      </c>
      <c r="O36" s="18" t="n">
        <v>699.61</v>
      </c>
      <c r="P36" s="37" t="n">
        <v>699.61</v>
      </c>
      <c r="Q36" s="18" t="n">
        <v>638.91</v>
      </c>
      <c r="R36" s="18" t="n">
        <v>644.3099999999999</v>
      </c>
      <c r="S36" s="18" t="n">
        <v>641.11</v>
      </c>
      <c r="T36" s="18" t="n">
        <v>691.14</v>
      </c>
      <c r="U36" s="37" t="n">
        <v>691.14</v>
      </c>
      <c r="V36" s="18" t="n">
        <v>621.16</v>
      </c>
      <c r="W36" s="18" t="n">
        <v>655.12</v>
      </c>
      <c r="X36" s="18" t="n">
        <v>648.27</v>
      </c>
      <c r="Y36" s="18" t="n">
        <v>655.97</v>
      </c>
      <c r="Z36" s="37" t="n">
        <v>655.97</v>
      </c>
      <c r="AA36" s="18" t="n">
        <v>730.4400000000001</v>
      </c>
      <c r="AB36" s="19" t="n">
        <v>708.34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204</v>
      </c>
      <c r="F37" s="37" t="n">
        <v>204</v>
      </c>
      <c r="G37" s="18" t="n">
        <v>210</v>
      </c>
      <c r="H37" s="18" t="n">
        <v>210</v>
      </c>
      <c r="I37" s="18" t="n">
        <v>160</v>
      </c>
      <c r="J37" s="18" t="n">
        <v>160</v>
      </c>
      <c r="K37" s="37" t="n">
        <v>160</v>
      </c>
      <c r="L37" s="18" t="n">
        <v>190</v>
      </c>
      <c r="M37" s="18" t="n">
        <v>405</v>
      </c>
      <c r="N37" s="18" t="n">
        <v>405</v>
      </c>
      <c r="O37" s="18" t="n">
        <v>425</v>
      </c>
      <c r="P37" s="37" t="n">
        <v>425</v>
      </c>
      <c r="Q37" s="18" t="n">
        <v>425</v>
      </c>
      <c r="R37" s="18" t="n">
        <v>425</v>
      </c>
      <c r="S37" s="18" t="n">
        <v>411</v>
      </c>
      <c r="T37" s="18" t="n">
        <v>411</v>
      </c>
      <c r="U37" s="37" t="n">
        <v>411</v>
      </c>
      <c r="V37" s="18" t="n">
        <v>396</v>
      </c>
      <c r="W37" s="18" t="n">
        <v>396</v>
      </c>
      <c r="X37" s="18" t="n">
        <v>390</v>
      </c>
      <c r="Y37" s="18" t="n">
        <v>400</v>
      </c>
      <c r="Z37" s="37" t="n">
        <v>400</v>
      </c>
      <c r="AA37" s="18" t="n">
        <v>350</v>
      </c>
      <c r="AB37" s="19" t="n">
        <v>400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91968.27</v>
      </c>
      <c r="F38" s="37" t="n">
        <v>91968.27</v>
      </c>
      <c r="G38" s="18" t="n">
        <v>71147.28</v>
      </c>
      <c r="H38" s="18" t="n">
        <v>78764.8</v>
      </c>
      <c r="I38" s="18" t="n">
        <v>79689.96000000001</v>
      </c>
      <c r="J38" s="18" t="n">
        <v>70247.89</v>
      </c>
      <c r="K38" s="37" t="n">
        <v>70247.89</v>
      </c>
      <c r="L38" s="18" t="n">
        <v>79355.7</v>
      </c>
      <c r="M38" s="18" t="n">
        <v>97312.39</v>
      </c>
      <c r="N38" s="18" t="n">
        <v>94112.47</v>
      </c>
      <c r="O38" s="18" t="n">
        <v>92457.59</v>
      </c>
      <c r="P38" s="37" t="n">
        <v>92457.59</v>
      </c>
      <c r="Q38" s="18" t="n">
        <v>94955.81</v>
      </c>
      <c r="R38" s="18" t="n">
        <v>90478.89</v>
      </c>
      <c r="S38" s="18" t="n">
        <v>81768.96000000001</v>
      </c>
      <c r="T38" s="18" t="n">
        <v>100997.6</v>
      </c>
      <c r="U38" s="37" t="n">
        <v>100997.6</v>
      </c>
      <c r="V38" s="18" t="n">
        <v>94429.58</v>
      </c>
      <c r="W38" s="18" t="n">
        <v>94252.17999999999</v>
      </c>
      <c r="X38" s="18" t="n">
        <v>102977.59</v>
      </c>
      <c r="Y38" s="18" t="n">
        <v>98500.84</v>
      </c>
      <c r="Z38" s="37" t="n">
        <v>98500.84</v>
      </c>
      <c r="AA38" s="18" t="n">
        <v>115263</v>
      </c>
      <c r="AB38" s="19" t="n">
        <v>112423.24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12261.13</v>
      </c>
      <c r="F39" s="37" t="n">
        <v>12261.13</v>
      </c>
      <c r="G39" s="18" t="n">
        <v>12261.13</v>
      </c>
      <c r="H39" s="18" t="n">
        <v>12261.13</v>
      </c>
      <c r="I39" s="18" t="n">
        <v>12261.13</v>
      </c>
      <c r="J39" s="18" t="n">
        <v>12261.13</v>
      </c>
      <c r="K39" s="37" t="n">
        <v>12261.13</v>
      </c>
      <c r="L39" s="18" t="n">
        <v>12261.13</v>
      </c>
      <c r="M39" s="18" t="n">
        <v>12261.13</v>
      </c>
      <c r="N39" s="18" t="n">
        <v>12261.13</v>
      </c>
      <c r="O39" s="18" t="n">
        <v>12261.13</v>
      </c>
      <c r="P39" s="37" t="n">
        <v>12261.13</v>
      </c>
      <c r="Q39" s="18" t="n">
        <v>12261.13</v>
      </c>
      <c r="R39" s="18" t="n">
        <v>12261.13</v>
      </c>
      <c r="S39" s="18" t="n">
        <v>12261.13</v>
      </c>
      <c r="T39" s="18" t="n">
        <v>12261.13</v>
      </c>
      <c r="U39" s="37" t="n">
        <v>12261.13</v>
      </c>
      <c r="V39" s="18" t="n">
        <v>13368.13</v>
      </c>
      <c r="W39" s="18" t="n">
        <v>13368.13</v>
      </c>
      <c r="X39" s="18" t="n">
        <v>13368.13</v>
      </c>
      <c r="Y39" s="18" t="n">
        <v>13368.13</v>
      </c>
      <c r="Z39" s="37" t="n">
        <v>13368.13</v>
      </c>
      <c r="AA39" s="18" t="n">
        <v>13368.13</v>
      </c>
      <c r="AB39" s="19" t="n">
        <v>13368.13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19928.82</v>
      </c>
      <c r="F40" s="37" t="n">
        <v>19928.82</v>
      </c>
      <c r="G40" s="18" t="n">
        <v>19928.82</v>
      </c>
      <c r="H40" s="18" t="n">
        <v>19928.82</v>
      </c>
      <c r="I40" s="18" t="n">
        <v>19692.75</v>
      </c>
      <c r="J40" s="18" t="n">
        <v>18226.23</v>
      </c>
      <c r="K40" s="37" t="n">
        <v>18226.23</v>
      </c>
      <c r="L40" s="18" t="n">
        <v>18203.39</v>
      </c>
      <c r="M40" s="18" t="n">
        <v>18203.39</v>
      </c>
      <c r="N40" s="18" t="n">
        <v>17851.98</v>
      </c>
      <c r="O40" s="18" t="n">
        <v>19432.24</v>
      </c>
      <c r="P40" s="37" t="n">
        <v>19432.24</v>
      </c>
      <c r="Q40" s="18" t="n">
        <v>19432.24</v>
      </c>
      <c r="R40" s="18" t="n">
        <v>19432.24</v>
      </c>
      <c r="S40" s="18" t="n">
        <v>19432.24</v>
      </c>
      <c r="T40" s="18" t="n">
        <v>23055.03</v>
      </c>
      <c r="U40" s="37" t="n">
        <v>23055.03</v>
      </c>
      <c r="V40" s="18" t="n">
        <v>19657.17</v>
      </c>
      <c r="W40" s="18" t="n">
        <v>23145.32</v>
      </c>
      <c r="X40" s="18" t="n">
        <v>23145.32</v>
      </c>
      <c r="Y40" s="18" t="n">
        <v>23092.83</v>
      </c>
      <c r="Z40" s="37" t="n">
        <v>23092.83</v>
      </c>
      <c r="AA40" s="18" t="n">
        <v>23092.83</v>
      </c>
      <c r="AB40" s="19" t="n">
        <v>23700.94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744.12</v>
      </c>
      <c r="F41" s="37" t="n">
        <v>744.12</v>
      </c>
      <c r="G41" s="18" t="n">
        <v>1496.28</v>
      </c>
      <c r="H41" s="18" t="n">
        <v>398.14</v>
      </c>
      <c r="I41" s="18" t="n">
        <v>170.03</v>
      </c>
      <c r="J41" s="18" t="n">
        <v>510.25</v>
      </c>
      <c r="K41" s="37" t="n">
        <v>510.25</v>
      </c>
      <c r="L41" s="18" t="n">
        <v>526.6900000000001</v>
      </c>
      <c r="M41" s="18" t="n">
        <v>558.77</v>
      </c>
      <c r="N41" s="18" t="n">
        <v>423.13</v>
      </c>
      <c r="O41" s="18" t="n">
        <v>1991.49</v>
      </c>
      <c r="P41" s="37" t="n">
        <v>1991.49</v>
      </c>
      <c r="Q41" s="18" t="n">
        <v>1251.36</v>
      </c>
      <c r="R41" s="18" t="n">
        <v>2322.69</v>
      </c>
      <c r="S41" s="18" t="n">
        <v>2241.84</v>
      </c>
      <c r="T41" s="18" t="n">
        <v>-220.78</v>
      </c>
      <c r="U41" s="37" t="n">
        <v>-220.78</v>
      </c>
      <c r="V41" s="18" t="n">
        <v>-1506.73</v>
      </c>
      <c r="W41" s="18" t="n">
        <v>-5948.76</v>
      </c>
      <c r="X41" s="18" t="n">
        <v>1549.25</v>
      </c>
      <c r="Y41" s="18" t="n">
        <v>-2419.94</v>
      </c>
      <c r="Z41" s="37" t="n">
        <v>-2419.94</v>
      </c>
      <c r="AA41" s="18" t="n">
        <v>-2528.14</v>
      </c>
      <c r="AB41" s="19" t="n">
        <v>-2725.01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67908.39999999999</v>
      </c>
      <c r="F42" s="37" t="n">
        <v>67908.39999999999</v>
      </c>
      <c r="G42" s="18" t="n">
        <v>79121.12</v>
      </c>
      <c r="H42" s="18" t="n">
        <v>80695.77</v>
      </c>
      <c r="I42" s="18" t="n">
        <v>80894.10000000001</v>
      </c>
      <c r="J42" s="18" t="n">
        <v>81867.85000000001</v>
      </c>
      <c r="K42" s="37" t="n">
        <v>81867.85000000001</v>
      </c>
      <c r="L42" s="18" t="n">
        <v>81612.42</v>
      </c>
      <c r="M42" s="18" t="n">
        <v>83142.14</v>
      </c>
      <c r="N42" s="18" t="n">
        <v>82786.53</v>
      </c>
      <c r="O42" s="18" t="n">
        <v>87380.59</v>
      </c>
      <c r="P42" s="37" t="n">
        <v>87380.59</v>
      </c>
      <c r="Q42" s="18" t="n">
        <v>87985.25999999999</v>
      </c>
      <c r="R42" s="18" t="n">
        <v>88199.98</v>
      </c>
      <c r="S42" s="18" t="n">
        <v>87852.22</v>
      </c>
      <c r="T42" s="18" t="n">
        <v>85797</v>
      </c>
      <c r="U42" s="37" t="n">
        <v>85797</v>
      </c>
      <c r="V42" s="18" t="n">
        <v>86355.55</v>
      </c>
      <c r="W42" s="18" t="n">
        <v>89603.8</v>
      </c>
      <c r="X42" s="18" t="n">
        <v>90709.28999999999</v>
      </c>
      <c r="Y42" s="18" t="n">
        <v>89740.36</v>
      </c>
      <c r="Z42" s="37" t="n">
        <v>89740.36</v>
      </c>
      <c r="AA42" s="18" t="n">
        <v>100770.42</v>
      </c>
      <c r="AB42" s="19" t="n">
        <v>103413.15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100842.48</v>
      </c>
      <c r="F43" s="37" t="n">
        <v>100842.48</v>
      </c>
      <c r="G43" s="18" t="n">
        <v>112807.35</v>
      </c>
      <c r="H43" s="18" t="n">
        <v>113283.86</v>
      </c>
      <c r="I43" s="18" t="n">
        <v>113018</v>
      </c>
      <c r="J43" s="18" t="n">
        <v>112865.46</v>
      </c>
      <c r="K43" s="37" t="n">
        <v>112865.46</v>
      </c>
      <c r="L43" s="18" t="n">
        <v>112603.62</v>
      </c>
      <c r="M43" s="18" t="n">
        <v>114165.43</v>
      </c>
      <c r="N43" s="18" t="n">
        <v>113322.77</v>
      </c>
      <c r="O43" s="18" t="n">
        <v>121065.46</v>
      </c>
      <c r="P43" s="37" t="n">
        <v>121065.46</v>
      </c>
      <c r="Q43" s="18" t="n">
        <v>120929.99</v>
      </c>
      <c r="R43" s="18" t="n">
        <v>122216.04</v>
      </c>
      <c r="S43" s="18" t="n">
        <v>121787.43</v>
      </c>
      <c r="T43" s="18" t="n">
        <v>120892.38</v>
      </c>
      <c r="U43" s="37" t="n">
        <v>120892.38</v>
      </c>
      <c r="V43" s="18" t="n">
        <v>117874.11</v>
      </c>
      <c r="W43" s="18" t="n">
        <v>120168.49</v>
      </c>
      <c r="X43" s="18" t="n">
        <v>128771.99</v>
      </c>
      <c r="Y43" s="18" t="n">
        <v>123781.37</v>
      </c>
      <c r="Z43" s="37" t="n">
        <v>123781.37</v>
      </c>
      <c r="AA43" s="18" t="n">
        <v>134703.24</v>
      </c>
      <c r="AB43" s="19" t="n">
        <v>137757.21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192810.75</v>
      </c>
      <c r="F44" s="37" t="n">
        <v>192810.75</v>
      </c>
      <c r="G44" s="18" t="n">
        <v>183954.63</v>
      </c>
      <c r="H44" s="18" t="n">
        <v>192048.66</v>
      </c>
      <c r="I44" s="18" t="n">
        <v>192707.97</v>
      </c>
      <c r="J44" s="18" t="n">
        <v>183113.34</v>
      </c>
      <c r="K44" s="37" t="n">
        <v>183113.34</v>
      </c>
      <c r="L44" s="18" t="n">
        <v>191959.33</v>
      </c>
      <c r="M44" s="18" t="n">
        <v>211477.81</v>
      </c>
      <c r="N44" s="18" t="n">
        <v>207435.24</v>
      </c>
      <c r="O44" s="18" t="n">
        <v>213523.05</v>
      </c>
      <c r="P44" s="37" t="n">
        <v>213523.05</v>
      </c>
      <c r="Q44" s="18" t="n">
        <v>215885.8</v>
      </c>
      <c r="R44" s="18" t="n">
        <v>212694.93</v>
      </c>
      <c r="S44" s="18" t="n">
        <v>203556.39</v>
      </c>
      <c r="T44" s="18" t="n">
        <v>221889.97</v>
      </c>
      <c r="U44" s="37" t="n">
        <v>221889.97</v>
      </c>
      <c r="V44" s="18" t="n">
        <v>212303.69</v>
      </c>
      <c r="W44" s="18" t="n">
        <v>214420.68</v>
      </c>
      <c r="X44" s="18" t="n">
        <v>231749.58</v>
      </c>
      <c r="Y44" s="18" t="n">
        <v>222282.21</v>
      </c>
      <c r="Z44" s="37" t="n">
        <v>222282.21</v>
      </c>
      <c r="AA44" s="18" t="n">
        <v>249966.24</v>
      </c>
      <c r="AB44" s="19" t="n">
        <v>250180.45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100842.48</v>
      </c>
      <c r="F45" s="37" t="n">
        <v>100842.48</v>
      </c>
      <c r="G45" s="18" t="n">
        <v>112807.35</v>
      </c>
      <c r="H45" s="18" t="n">
        <v>113283.86</v>
      </c>
      <c r="I45" s="18" t="n">
        <v>113018</v>
      </c>
      <c r="J45" s="18" t="n">
        <v>112865.46</v>
      </c>
      <c r="K45" s="37" t="n">
        <v>112865.46</v>
      </c>
      <c r="L45" s="18" t="n">
        <v>112603.62</v>
      </c>
      <c r="M45" s="18" t="n">
        <v>114165.43</v>
      </c>
      <c r="N45" s="18" t="n">
        <v>113322.77</v>
      </c>
      <c r="O45" s="18" t="n">
        <v>121065.46</v>
      </c>
      <c r="P45" s="37" t="n">
        <v>121065.46</v>
      </c>
      <c r="Q45" s="18" t="n">
        <v>120929.99</v>
      </c>
      <c r="R45" s="18" t="n">
        <v>122216.04</v>
      </c>
      <c r="S45" s="18" t="n">
        <v>121787.43</v>
      </c>
      <c r="T45" s="18" t="n">
        <v>120892.38</v>
      </c>
      <c r="U45" s="37" t="n">
        <v>120892.38</v>
      </c>
      <c r="V45" s="18" t="n">
        <v>117874.11</v>
      </c>
      <c r="W45" s="18" t="n">
        <v>120168.49</v>
      </c>
      <c r="X45" s="18" t="n">
        <v>128771.99</v>
      </c>
      <c r="Y45" s="18" t="n">
        <v>123781.37</v>
      </c>
      <c r="Z45" s="37" t="n">
        <v>123781.37</v>
      </c>
      <c r="AA45" s="18" t="n">
        <v>134703.24</v>
      </c>
      <c r="AB45" s="19" t="n">
        <v>137757.21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65743.36</v>
      </c>
      <c r="F46" s="37" t="n">
        <v>65743.36</v>
      </c>
      <c r="G46" s="18" t="n">
        <v>49357.12</v>
      </c>
      <c r="H46" s="18" t="n">
        <v>52278.56</v>
      </c>
      <c r="I46" s="18" t="n">
        <v>55100</v>
      </c>
      <c r="J46" s="18" t="n">
        <v>48770</v>
      </c>
      <c r="K46" s="37" t="n">
        <v>48770</v>
      </c>
      <c r="L46" s="18" t="n">
        <v>56250</v>
      </c>
      <c r="M46" s="18" t="n">
        <v>77200</v>
      </c>
      <c r="N46" s="18" t="n">
        <v>77960</v>
      </c>
      <c r="O46" s="18" t="n">
        <v>70162.14</v>
      </c>
      <c r="P46" s="37" t="n">
        <v>70162.14</v>
      </c>
      <c r="Q46" s="18" t="n">
        <v>75200</v>
      </c>
      <c r="R46" s="18" t="n">
        <v>72500</v>
      </c>
      <c r="S46" s="18" t="n">
        <v>67000</v>
      </c>
      <c r="T46" s="18" t="n">
        <v>81700</v>
      </c>
      <c r="U46" s="37" t="n">
        <v>81700</v>
      </c>
      <c r="V46" s="18" t="n">
        <v>79000</v>
      </c>
      <c r="W46" s="18" t="n">
        <v>80690</v>
      </c>
      <c r="X46" s="18" t="n">
        <v>86700</v>
      </c>
      <c r="Y46" s="18" t="n">
        <v>86000</v>
      </c>
      <c r="Z46" s="37" t="n">
        <v>86000</v>
      </c>
      <c r="AA46" s="18" t="n">
        <v>95000</v>
      </c>
      <c r="AB46" s="19" t="n">
        <v>95000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55316.16</v>
      </c>
      <c r="F47" s="37" t="n">
        <v>55316.16</v>
      </c>
      <c r="G47" s="18" t="n">
        <v>36085.59</v>
      </c>
      <c r="H47" s="18" t="n">
        <v>46931.12</v>
      </c>
      <c r="I47" s="18" t="n">
        <v>47769.57</v>
      </c>
      <c r="J47" s="18" t="n">
        <v>41297.38</v>
      </c>
      <c r="K47" s="37" t="n">
        <v>41297.38</v>
      </c>
      <c r="L47" s="18" t="n">
        <v>51094.35</v>
      </c>
      <c r="M47" s="18" t="n">
        <v>70925.03</v>
      </c>
      <c r="N47" s="18" t="n">
        <v>74112.49000000001</v>
      </c>
      <c r="O47" s="18" t="n">
        <v>60374.4</v>
      </c>
      <c r="P47" s="37" t="n">
        <v>60374.4</v>
      </c>
      <c r="Q47" s="18" t="n">
        <v>70158.45</v>
      </c>
      <c r="R47" s="18" t="n">
        <v>69592.77</v>
      </c>
      <c r="S47" s="18" t="n">
        <v>61374.82</v>
      </c>
      <c r="T47" s="18" t="n">
        <v>79620.92999999999</v>
      </c>
      <c r="U47" s="37" t="n">
        <v>79620.92999999999</v>
      </c>
      <c r="V47" s="18" t="n">
        <v>75238.08</v>
      </c>
      <c r="W47" s="18" t="n">
        <v>79298.83</v>
      </c>
      <c r="X47" s="18" t="n">
        <v>83806.83</v>
      </c>
      <c r="Y47" s="18" t="n">
        <v>78537.53999999999</v>
      </c>
      <c r="Z47" s="37" t="n">
        <v>78537.53999999999</v>
      </c>
      <c r="AA47" s="18" t="n">
        <v>83003.48</v>
      </c>
      <c r="AB47" s="19" t="n">
        <v>88790.89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11804.21</v>
      </c>
      <c r="F48" s="37" t="n">
        <v>11804.21</v>
      </c>
      <c r="G48" s="18" t="n">
        <v>14278.03</v>
      </c>
      <c r="H48" s="18" t="n">
        <v>6353.94</v>
      </c>
      <c r="I48" s="18" t="n">
        <v>8336.93</v>
      </c>
      <c r="J48" s="18" t="n">
        <v>8479.120000000001</v>
      </c>
      <c r="K48" s="37" t="n">
        <v>8479.120000000001</v>
      </c>
      <c r="L48" s="18" t="n">
        <v>6162.15</v>
      </c>
      <c r="M48" s="18" t="n">
        <v>7281.47</v>
      </c>
      <c r="N48" s="18" t="n">
        <v>4854.01</v>
      </c>
      <c r="O48" s="18" t="n">
        <v>10518.35</v>
      </c>
      <c r="P48" s="37" t="n">
        <v>10518.35</v>
      </c>
      <c r="Q48" s="18" t="n">
        <v>5772.16</v>
      </c>
      <c r="R48" s="18" t="n">
        <v>3045.84</v>
      </c>
      <c r="S48" s="18" t="n">
        <v>5882.64</v>
      </c>
      <c r="T48" s="18" t="n">
        <v>14905.91</v>
      </c>
      <c r="U48" s="37" t="n">
        <v>14905.91</v>
      </c>
      <c r="V48" s="18" t="n">
        <v>16688.76</v>
      </c>
      <c r="W48" s="18" t="n">
        <v>12797.86</v>
      </c>
      <c r="X48" s="18" t="n">
        <v>21797.88</v>
      </c>
      <c r="Y48" s="18" t="n">
        <v>7763.08</v>
      </c>
      <c r="Z48" s="37" t="n">
        <v>7763.08</v>
      </c>
      <c r="AA48" s="18" t="n">
        <v>12297.14</v>
      </c>
      <c r="AB48" s="19" t="n">
        <v>6509.73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G49" s="18" t="n">
        <v>43357.12</v>
      </c>
      <c r="H49" s="18" t="n">
        <v>46278.56</v>
      </c>
      <c r="I49" s="18" t="n">
        <v>49100</v>
      </c>
      <c r="J49" s="18" t="n">
        <v>42770</v>
      </c>
      <c r="K49" s="37" t="n">
        <v>42770</v>
      </c>
      <c r="L49" s="18" t="n">
        <v>56250</v>
      </c>
      <c r="M49" s="18" t="n">
        <v>60200</v>
      </c>
      <c r="N49" s="18" t="n">
        <v>60960</v>
      </c>
      <c r="O49" s="18" t="n">
        <v>53162.14</v>
      </c>
      <c r="P49" s="37" t="n">
        <v>53162.14</v>
      </c>
      <c r="Q49" s="18" t="n">
        <v>58200</v>
      </c>
      <c r="R49" s="18" t="n">
        <v>55500</v>
      </c>
      <c r="S49" s="18" t="n">
        <v>50000</v>
      </c>
      <c r="T49" s="18" t="n">
        <v>64700</v>
      </c>
      <c r="U49" s="37" t="n">
        <v>64700</v>
      </c>
      <c r="V49" s="18" t="n">
        <v>62000</v>
      </c>
      <c r="W49" s="18" t="n">
        <v>63690</v>
      </c>
      <c r="X49" s="18" t="n">
        <v>86700</v>
      </c>
      <c r="Y49" s="18" t="n">
        <v>86000</v>
      </c>
      <c r="Z49" s="37" t="n">
        <v>86000</v>
      </c>
      <c r="AA49" s="18" t="n">
        <v>85000</v>
      </c>
      <c r="AB49" s="19" t="n">
        <v>85000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장기매출채권및기타채권</t>
        </is>
      </c>
      <c r="F50" s="9" t="n"/>
      <c r="I50" s="18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당기법인세자산(선급법인세)</t>
        </is>
      </c>
      <c r="F51" s="9" t="n"/>
      <c r="K51" s="9" t="n"/>
      <c r="O51" s="18" t="n">
        <v>287.18</v>
      </c>
      <c r="P51" s="37" t="n">
        <v>287.18</v>
      </c>
      <c r="Q51" s="18" t="n">
        <v>298.66</v>
      </c>
      <c r="U51" s="9" t="n"/>
      <c r="X51" s="18" t="n">
        <v>27.56</v>
      </c>
      <c r="Y51" s="18" t="n">
        <v>35.05</v>
      </c>
      <c r="Z51" s="37" t="n">
        <v>35.05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46215.57</v>
      </c>
      <c r="F52" s="9" t="n"/>
      <c r="G52" s="18" t="n">
        <v>47671.74</v>
      </c>
      <c r="H52" s="18" t="n">
        <v>50774.88</v>
      </c>
      <c r="I52" s="18" t="n">
        <v>44356.08</v>
      </c>
      <c r="J52" s="18" t="n">
        <v>46423.34</v>
      </c>
      <c r="K52" s="37" t="n">
        <v>189226.04</v>
      </c>
      <c r="L52" s="18" t="n">
        <v>46984.17</v>
      </c>
      <c r="M52" s="18" t="n">
        <v>47481.61</v>
      </c>
      <c r="N52" s="18" t="n">
        <v>41891.87</v>
      </c>
      <c r="O52" s="18" t="n">
        <v>44113.51</v>
      </c>
      <c r="P52" s="37" t="n">
        <v>180471.16</v>
      </c>
      <c r="Q52" s="18" t="n">
        <v>38306.15</v>
      </c>
      <c r="R52" s="18" t="n">
        <v>43050.49</v>
      </c>
      <c r="S52" s="18" t="n">
        <v>39399.08</v>
      </c>
      <c r="T52" s="18" t="n">
        <v>41197.84</v>
      </c>
      <c r="U52" s="37" t="n">
        <v>161953.56</v>
      </c>
      <c r="V52" s="18" t="n">
        <v>38831.35</v>
      </c>
      <c r="W52" s="18" t="n">
        <v>39023.03</v>
      </c>
      <c r="X52" s="18" t="n">
        <v>37145.27</v>
      </c>
      <c r="Y52" s="18" t="n">
        <v>32230.74</v>
      </c>
      <c r="Z52" s="37" t="n">
        <v>147230.39</v>
      </c>
      <c r="AA52" s="18" t="n">
        <v>40729.29</v>
      </c>
      <c r="AB52" s="19" t="n">
        <v>45885.44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40067.95</v>
      </c>
      <c r="F53" s="9" t="n"/>
      <c r="G53" s="18" t="n">
        <v>41932.38</v>
      </c>
      <c r="H53" s="18" t="n">
        <v>42835.6</v>
      </c>
      <c r="I53" s="18" t="n">
        <v>42325.43</v>
      </c>
      <c r="J53" s="18" t="n">
        <v>42433.6</v>
      </c>
      <c r="K53" s="37" t="n">
        <v>169527.01</v>
      </c>
      <c r="L53" s="18" t="n">
        <v>42049.79</v>
      </c>
      <c r="M53" s="18" t="n">
        <v>43271.45</v>
      </c>
      <c r="N53" s="18" t="n">
        <v>38636.7</v>
      </c>
      <c r="O53" s="18" t="n">
        <v>40281.09</v>
      </c>
      <c r="P53" s="37" t="n">
        <v>164239.03</v>
      </c>
      <c r="Q53" s="18" t="n">
        <v>34320.24</v>
      </c>
      <c r="R53" s="18" t="n">
        <v>39451.45</v>
      </c>
      <c r="S53" s="18" t="n">
        <v>35039.7</v>
      </c>
      <c r="T53" s="18" t="n">
        <v>37016.75</v>
      </c>
      <c r="U53" s="37" t="n">
        <v>145828.14</v>
      </c>
      <c r="V53" s="18" t="n">
        <v>35702.46</v>
      </c>
      <c r="W53" s="18" t="n">
        <v>34885.46</v>
      </c>
      <c r="X53" s="18" t="n">
        <v>33700.8</v>
      </c>
      <c r="Y53" s="18" t="n">
        <v>28854.96</v>
      </c>
      <c r="Z53" s="37" t="n">
        <v>133143.68</v>
      </c>
      <c r="AA53" s="18" t="n">
        <v>35866.98</v>
      </c>
      <c r="AB53" s="19" t="n">
        <v>39410.34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6147.62</v>
      </c>
      <c r="F54" s="9" t="n"/>
      <c r="G54" s="18" t="n">
        <v>5739.36</v>
      </c>
      <c r="H54" s="18" t="n">
        <v>7939.29</v>
      </c>
      <c r="I54" s="18" t="n">
        <v>2030.65</v>
      </c>
      <c r="J54" s="18" t="n">
        <v>3989.75</v>
      </c>
      <c r="K54" s="37" t="n">
        <v>19699.05</v>
      </c>
      <c r="L54" s="18" t="n">
        <v>4934.38</v>
      </c>
      <c r="M54" s="18" t="n">
        <v>4210.17</v>
      </c>
      <c r="N54" s="18" t="n">
        <v>3255.17</v>
      </c>
      <c r="O54" s="18" t="n">
        <v>3832.42</v>
      </c>
      <c r="P54" s="37" t="n">
        <v>16232.14</v>
      </c>
      <c r="Q54" s="18" t="n">
        <v>3985.91</v>
      </c>
      <c r="R54" s="18" t="n">
        <v>3599.04</v>
      </c>
      <c r="S54" s="18" t="n">
        <v>4359.38</v>
      </c>
      <c r="T54" s="18" t="n">
        <v>4181.09</v>
      </c>
      <c r="U54" s="37" t="n">
        <v>16125.42</v>
      </c>
      <c r="V54" s="18" t="n">
        <v>3128.89</v>
      </c>
      <c r="W54" s="18" t="n">
        <v>4137.57</v>
      </c>
      <c r="X54" s="18" t="n">
        <v>3444.47</v>
      </c>
      <c r="Y54" s="18" t="n">
        <v>3375.78</v>
      </c>
      <c r="Z54" s="37" t="n">
        <v>14086.71</v>
      </c>
      <c r="AA54" s="18" t="n">
        <v>4862.3</v>
      </c>
      <c r="AB54" s="19" t="n">
        <v>6475.1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2475.64</v>
      </c>
      <c r="F55" s="9" t="n"/>
      <c r="G55" s="18" t="n">
        <v>3184.67</v>
      </c>
      <c r="H55" s="18" t="n">
        <v>3274.36</v>
      </c>
      <c r="I55" s="18" t="n">
        <v>3356.45</v>
      </c>
      <c r="J55" s="18" t="n">
        <v>3350.83</v>
      </c>
      <c r="K55" s="37" t="n">
        <v>13166.31</v>
      </c>
      <c r="L55" s="18" t="n">
        <v>3126.97</v>
      </c>
      <c r="M55" s="18" t="n">
        <v>2986.05</v>
      </c>
      <c r="N55" s="18" t="n">
        <v>2909.62</v>
      </c>
      <c r="O55" s="18" t="n">
        <v>3406.21</v>
      </c>
      <c r="P55" s="37" t="n">
        <v>12428.85</v>
      </c>
      <c r="Q55" s="18" t="n">
        <v>2935.27</v>
      </c>
      <c r="R55" s="18" t="n">
        <v>3066.13</v>
      </c>
      <c r="S55" s="18" t="n">
        <v>3089.47</v>
      </c>
      <c r="T55" s="18" t="n">
        <v>3295.48</v>
      </c>
      <c r="U55" s="37" t="n">
        <v>12386.35</v>
      </c>
      <c r="V55" s="18" t="n">
        <v>2963.75</v>
      </c>
      <c r="W55" s="18" t="n">
        <v>2942.49</v>
      </c>
      <c r="X55" s="18" t="n">
        <v>2970.03</v>
      </c>
      <c r="Y55" s="18" t="n">
        <v>3672.07</v>
      </c>
      <c r="Z55" s="37" t="n">
        <v>12548.34</v>
      </c>
      <c r="AA55" s="18" t="n">
        <v>2994.81</v>
      </c>
      <c r="AB55" s="19" t="n">
        <v>2867.54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3671.99</v>
      </c>
      <c r="F56" s="9" t="n"/>
      <c r="G56" s="18" t="n">
        <v>2554.69</v>
      </c>
      <c r="H56" s="18" t="n">
        <v>4664.92</v>
      </c>
      <c r="I56" s="18" t="n">
        <v>-1325.8</v>
      </c>
      <c r="J56" s="18" t="n">
        <v>638.9299999999999</v>
      </c>
      <c r="K56" s="37" t="n">
        <v>6532.74</v>
      </c>
      <c r="L56" s="18" t="n">
        <v>1807.41</v>
      </c>
      <c r="M56" s="18" t="n">
        <v>1224.12</v>
      </c>
      <c r="N56" s="18" t="n">
        <v>345.55</v>
      </c>
      <c r="O56" s="18" t="n">
        <v>426.22</v>
      </c>
      <c r="P56" s="37" t="n">
        <v>3803.3</v>
      </c>
      <c r="Q56" s="18" t="n">
        <v>1050.64</v>
      </c>
      <c r="R56" s="18" t="n">
        <v>532.91</v>
      </c>
      <c r="S56" s="18" t="n">
        <v>1269.9</v>
      </c>
      <c r="T56" s="18" t="n">
        <v>885.6</v>
      </c>
      <c r="U56" s="37" t="n">
        <v>3739.05</v>
      </c>
      <c r="V56" s="18" t="n">
        <v>165.14</v>
      </c>
      <c r="W56" s="18" t="n">
        <v>1195.08</v>
      </c>
      <c r="X56" s="18" t="n">
        <v>474.44</v>
      </c>
      <c r="Y56" s="18" t="n">
        <v>-296.29</v>
      </c>
      <c r="Z56" s="37" t="n">
        <v>1538.37</v>
      </c>
      <c r="AA56" s="18" t="n">
        <v>1867.49</v>
      </c>
      <c r="AB56" s="19" t="n">
        <v>3607.56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86.54000000000001</v>
      </c>
      <c r="F57" s="9" t="n"/>
      <c r="G57" s="18" t="n">
        <v>143.82</v>
      </c>
      <c r="H57" s="18" t="n">
        <v>275.17</v>
      </c>
      <c r="I57" s="18" t="n">
        <v>360.77</v>
      </c>
      <c r="J57" s="18" t="n">
        <v>344.78</v>
      </c>
      <c r="K57" s="37" t="n">
        <v>1124.54</v>
      </c>
      <c r="L57" s="18" t="n">
        <v>387.03</v>
      </c>
      <c r="M57" s="18" t="n">
        <v>224.26</v>
      </c>
      <c r="N57" s="18" t="n">
        <v>219.62</v>
      </c>
      <c r="O57" s="18" t="n">
        <v>305.15</v>
      </c>
      <c r="P57" s="37" t="n">
        <v>1136.06</v>
      </c>
      <c r="Q57" s="18" t="n">
        <v>228.12</v>
      </c>
      <c r="R57" s="18" t="n">
        <v>138.8</v>
      </c>
      <c r="S57" s="18" t="n">
        <v>137.19</v>
      </c>
      <c r="T57" s="18" t="n">
        <v>291.13</v>
      </c>
      <c r="U57" s="37" t="n">
        <v>795.24</v>
      </c>
      <c r="V57" s="18" t="n">
        <v>187.84</v>
      </c>
      <c r="W57" s="18" t="n">
        <v>226.39</v>
      </c>
      <c r="X57" s="18" t="n">
        <v>82.72</v>
      </c>
      <c r="Y57" s="18" t="n">
        <v>137.89</v>
      </c>
      <c r="Z57" s="37" t="n">
        <v>634.84</v>
      </c>
      <c r="AA57" s="18" t="n">
        <v>360.3</v>
      </c>
      <c r="AB57" s="19" t="n">
        <v>106.16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558.83</v>
      </c>
      <c r="F58" s="9" t="n"/>
      <c r="G58" s="18" t="n">
        <v>894.73</v>
      </c>
      <c r="H58" s="18" t="n">
        <v>797.53</v>
      </c>
      <c r="I58" s="18" t="n">
        <v>601.16</v>
      </c>
      <c r="J58" s="18" t="n">
        <v>935.16</v>
      </c>
      <c r="K58" s="37" t="n">
        <v>3228.58</v>
      </c>
      <c r="L58" s="18" t="n">
        <v>1038.1</v>
      </c>
      <c r="M58" s="18" t="n">
        <v>1017.41</v>
      </c>
      <c r="N58" s="18" t="n">
        <v>1098.95</v>
      </c>
      <c r="O58" s="18" t="n">
        <v>948.45</v>
      </c>
      <c r="P58" s="37" t="n">
        <v>4102.91</v>
      </c>
      <c r="Q58" s="18" t="n">
        <v>1012.51</v>
      </c>
      <c r="R58" s="18" t="n">
        <v>966.13</v>
      </c>
      <c r="S58" s="18" t="n">
        <v>815.3099999999999</v>
      </c>
      <c r="T58" s="18" t="n">
        <v>828.5</v>
      </c>
      <c r="U58" s="37" t="n">
        <v>3622.45</v>
      </c>
      <c r="V58" s="18" t="n">
        <v>847.61</v>
      </c>
      <c r="W58" s="18" t="n">
        <v>926.54</v>
      </c>
      <c r="X58" s="18" t="n">
        <v>704.29</v>
      </c>
      <c r="Y58" s="18" t="n">
        <v>799.78</v>
      </c>
      <c r="Z58" s="37" t="n">
        <v>3278.22</v>
      </c>
      <c r="AA58" s="18" t="n">
        <v>961.5599999999999</v>
      </c>
      <c r="AB58" s="19" t="n">
        <v>819.3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219.09</v>
      </c>
      <c r="F59" s="9" t="n"/>
      <c r="G59" s="18" t="n">
        <v>9131.93</v>
      </c>
      <c r="H59" s="18" t="n">
        <v>9.6</v>
      </c>
      <c r="I59" s="18" t="n">
        <v>15.35</v>
      </c>
      <c r="J59" s="18" t="n">
        <v>2018.19</v>
      </c>
      <c r="K59" s="37" t="n">
        <v>11175.07</v>
      </c>
      <c r="L59" s="18" t="n">
        <v>111.1</v>
      </c>
      <c r="M59" s="18" t="n">
        <v>89.55</v>
      </c>
      <c r="N59" s="18" t="n">
        <v>46.32</v>
      </c>
      <c r="O59" s="18" t="n">
        <v>212.77</v>
      </c>
      <c r="P59" s="37" t="n">
        <v>459.74</v>
      </c>
      <c r="Q59" s="18" t="n">
        <v>19.51</v>
      </c>
      <c r="R59" s="18" t="n">
        <v>150.3</v>
      </c>
      <c r="S59" s="18" t="n">
        <v>69.45</v>
      </c>
      <c r="T59" s="18" t="n">
        <v>27.09</v>
      </c>
      <c r="U59" s="37" t="n">
        <v>266.35</v>
      </c>
      <c r="V59" s="18" t="n">
        <v>19.52</v>
      </c>
      <c r="W59" s="18" t="n">
        <v>160.96</v>
      </c>
      <c r="X59" s="18" t="n">
        <v>57.23</v>
      </c>
      <c r="Y59" s="18" t="n">
        <v>77.23</v>
      </c>
      <c r="Z59" s="37" t="n">
        <v>314.94</v>
      </c>
      <c r="AA59" s="18" t="n">
        <v>19.16</v>
      </c>
      <c r="AB59" s="19" t="n">
        <v>33.48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6.91</v>
      </c>
      <c r="F60" s="9" t="n"/>
      <c r="G60" s="18" t="n">
        <v>227.3</v>
      </c>
      <c r="H60" s="18" t="n">
        <v>6.07</v>
      </c>
      <c r="I60" s="18" t="n">
        <v>5.98</v>
      </c>
      <c r="J60" s="18" t="n">
        <v>316.63</v>
      </c>
      <c r="K60" s="37" t="n">
        <v>555.98</v>
      </c>
      <c r="L60" s="18" t="n">
        <v>63.68</v>
      </c>
      <c r="M60" s="18" t="n">
        <v>256.77</v>
      </c>
      <c r="N60" s="18" t="n">
        <v>64.34</v>
      </c>
      <c r="O60" s="18" t="n">
        <v>1263.14</v>
      </c>
      <c r="P60" s="37" t="n">
        <v>1647.93</v>
      </c>
      <c r="Q60" s="18" t="n">
        <v>12.02</v>
      </c>
      <c r="R60" s="18" t="n">
        <v>18.72</v>
      </c>
      <c r="S60" s="18" t="n">
        <v>9.83</v>
      </c>
      <c r="T60" s="18" t="n">
        <v>2596.61</v>
      </c>
      <c r="U60" s="37" t="n">
        <v>2637.18</v>
      </c>
      <c r="V60" s="18" t="n">
        <v>4.97</v>
      </c>
      <c r="W60" s="18" t="n">
        <v>971.05</v>
      </c>
      <c r="X60" s="18" t="n">
        <v>208.67</v>
      </c>
      <c r="Y60" s="18" t="n">
        <v>33.12</v>
      </c>
      <c r="Z60" s="37" t="n">
        <v>1217.81</v>
      </c>
      <c r="AA60" s="18" t="n">
        <v>268.85</v>
      </c>
      <c r="AB60" s="19" t="n">
        <v>33.22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815.4</v>
      </c>
      <c r="F61" s="9" t="n"/>
      <c r="G61" s="18" t="n">
        <v>11212.72</v>
      </c>
      <c r="H61" s="18" t="n">
        <v>4809.31</v>
      </c>
      <c r="I61" s="18" t="n">
        <v>198.34</v>
      </c>
      <c r="J61" s="18" t="n">
        <v>225.11</v>
      </c>
      <c r="K61" s="37" t="n">
        <v>16445.48</v>
      </c>
      <c r="L61" s="18" t="n">
        <v>1966.42</v>
      </c>
      <c r="M61" s="18" t="n">
        <v>2597.25</v>
      </c>
      <c r="N61" s="18" t="n">
        <v>-355.6</v>
      </c>
      <c r="O61" s="18" t="n">
        <v>5951.39</v>
      </c>
      <c r="P61" s="37" t="n">
        <v>10159.46</v>
      </c>
      <c r="Q61" s="18" t="n">
        <v>604.67</v>
      </c>
      <c r="R61" s="18" t="n">
        <v>889.75</v>
      </c>
      <c r="S61" s="18" t="n">
        <v>-229.4</v>
      </c>
      <c r="T61" s="18" t="n">
        <v>-2474.9</v>
      </c>
      <c r="U61" s="37" t="n">
        <v>-1209.88</v>
      </c>
      <c r="V61" s="18" t="n">
        <v>-1095.37</v>
      </c>
      <c r="W61" s="18" t="n">
        <v>3588.78</v>
      </c>
      <c r="X61" s="18" t="n">
        <v>1108.37</v>
      </c>
      <c r="Y61" s="18" t="n">
        <v>-3852.33</v>
      </c>
      <c r="Z61" s="37" t="n">
        <v>-250.55</v>
      </c>
      <c r="AA61" s="18" t="n">
        <v>9814.959999999999</v>
      </c>
      <c r="AB61" s="19" t="n">
        <v>3832.87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1944.87</v>
      </c>
      <c r="F62" s="9" t="n"/>
      <c r="H62" s="18" t="n">
        <v>3605.35</v>
      </c>
      <c r="I62" s="18" t="n">
        <v>0</v>
      </c>
      <c r="J62" s="18" t="n">
        <v>-840.38</v>
      </c>
      <c r="K62" s="9" t="n"/>
      <c r="M62" s="18" t="n">
        <v>301.07</v>
      </c>
      <c r="O62" s="18" t="n">
        <v>-99.06</v>
      </c>
      <c r="P62" s="9" t="n"/>
      <c r="R62" s="18" t="n">
        <v>205.91</v>
      </c>
      <c r="S62" s="18" t="n">
        <v>118.36</v>
      </c>
      <c r="T62" s="18" t="n">
        <v>-363.99</v>
      </c>
      <c r="U62" s="9" t="n"/>
      <c r="Z62" s="9" t="n"/>
      <c r="AA62" s="18" t="n">
        <v>-1.27</v>
      </c>
      <c r="AB62" s="19" t="n">
        <v>849.51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-1129.46</v>
      </c>
      <c r="F63" s="9" t="n"/>
      <c r="G63" s="18" t="n">
        <v>11212.72</v>
      </c>
      <c r="H63" s="18" t="n">
        <v>1203.96</v>
      </c>
      <c r="I63" s="18" t="n">
        <v>198.34</v>
      </c>
      <c r="J63" s="18" t="n">
        <v>1065.49</v>
      </c>
      <c r="K63" s="37" t="n">
        <v>13680.51</v>
      </c>
      <c r="L63" s="18" t="n">
        <v>1966.42</v>
      </c>
      <c r="M63" s="18" t="n">
        <v>2296.18</v>
      </c>
      <c r="N63" s="18" t="n">
        <v>-355.6</v>
      </c>
      <c r="O63" s="18" t="n">
        <v>6050.45</v>
      </c>
      <c r="P63" s="37" t="n">
        <v>9957.450000000001</v>
      </c>
      <c r="Q63" s="18" t="n">
        <v>604.67</v>
      </c>
      <c r="R63" s="18" t="n">
        <v>683.83</v>
      </c>
      <c r="S63" s="18" t="n">
        <v>-347.75</v>
      </c>
      <c r="T63" s="18" t="n">
        <v>-2110.91</v>
      </c>
      <c r="U63" s="37" t="n">
        <v>-1170.16</v>
      </c>
      <c r="V63" s="18" t="n">
        <v>-1095.37</v>
      </c>
      <c r="W63" s="18" t="n">
        <v>3785.01</v>
      </c>
      <c r="X63" s="18" t="n">
        <v>1105.4</v>
      </c>
      <c r="Y63" s="18" t="n">
        <v>-3306.32</v>
      </c>
      <c r="Z63" s="37" t="n">
        <v>488.72</v>
      </c>
      <c r="AA63" s="18" t="n">
        <v>9816.23</v>
      </c>
      <c r="AB63" s="19" t="n">
        <v>2983.36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-3280.51</v>
      </c>
      <c r="F64" s="9" t="n"/>
      <c r="G64" s="18" t="n">
        <v>11964.88</v>
      </c>
      <c r="H64" s="18" t="n">
        <v>476.51</v>
      </c>
      <c r="I64" s="18" t="n">
        <v>-29.78</v>
      </c>
      <c r="J64" s="18" t="n">
        <v>1158.11</v>
      </c>
      <c r="K64" s="37" t="n">
        <v>13569.72</v>
      </c>
      <c r="L64" s="18" t="n">
        <v>1982.86</v>
      </c>
      <c r="M64" s="18" t="n">
        <v>1643.32</v>
      </c>
      <c r="N64" s="18" t="n">
        <v>-491.24</v>
      </c>
      <c r="O64" s="18" t="n">
        <v>7579.29</v>
      </c>
      <c r="P64" s="37" t="n">
        <v>10714.23</v>
      </c>
      <c r="Q64" s="18" t="n">
        <v>-135.47</v>
      </c>
      <c r="R64" s="18" t="n">
        <v>1286.05</v>
      </c>
      <c r="S64" s="18" t="n">
        <v>-428.61</v>
      </c>
      <c r="T64" s="18" t="n">
        <v>-4517.83</v>
      </c>
      <c r="U64" s="37" t="n">
        <v>-3795.86</v>
      </c>
      <c r="V64" s="18" t="n">
        <v>-727.41</v>
      </c>
      <c r="W64" s="18" t="n">
        <v>886.7</v>
      </c>
      <c r="X64" s="18" t="n">
        <v>8646.24</v>
      </c>
      <c r="Y64" s="18" t="n">
        <v>-4945.76</v>
      </c>
      <c r="Z64" s="37" t="n">
        <v>3859.77</v>
      </c>
      <c r="AA64" s="18" t="n">
        <v>10921.87</v>
      </c>
      <c r="AB64" s="19" t="n">
        <v>2372.94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-472.29</v>
      </c>
      <c r="F65" s="9" t="n"/>
      <c r="G65" s="18" t="n">
        <v>-750.91</v>
      </c>
      <c r="H65" s="18" t="n">
        <v>-522.36</v>
      </c>
      <c r="I65" s="18" t="n">
        <v>-240.39</v>
      </c>
      <c r="J65" s="18" t="n">
        <v>-590.38</v>
      </c>
      <c r="K65" s="37" t="n">
        <v>-2104.04</v>
      </c>
      <c r="L65" s="18" t="n">
        <v>-651.0700000000001</v>
      </c>
      <c r="M65" s="18" t="n">
        <v>-793.15</v>
      </c>
      <c r="N65" s="18" t="n">
        <v>-879.33</v>
      </c>
      <c r="O65" s="18" t="n">
        <v>-643.3</v>
      </c>
      <c r="P65" s="37" t="n">
        <v>-2966.85</v>
      </c>
      <c r="Q65" s="18" t="n">
        <v>-784.39</v>
      </c>
      <c r="R65" s="18" t="n">
        <v>-827.33</v>
      </c>
      <c r="S65" s="18" t="n">
        <v>-678.12</v>
      </c>
      <c r="T65" s="18" t="n">
        <v>-537.37</v>
      </c>
      <c r="U65" s="37" t="n">
        <v>-2827.21</v>
      </c>
      <c r="V65" s="18" t="n">
        <v>-659.77</v>
      </c>
      <c r="W65" s="18" t="n">
        <v>-700.15</v>
      </c>
      <c r="X65" s="18" t="n">
        <v>-621.5700000000001</v>
      </c>
      <c r="Y65" s="18" t="n">
        <v>-661.89</v>
      </c>
      <c r="Z65" s="37" t="n">
        <v>-2643.38</v>
      </c>
      <c r="AA65" s="18" t="n">
        <v>-601.26</v>
      </c>
      <c r="AB65" s="19" t="n">
        <v>-713.14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212.18</v>
      </c>
      <c r="F66" s="9" t="n"/>
      <c r="G66" s="18" t="n">
        <v>8904.629999999999</v>
      </c>
      <c r="H66" s="18" t="n">
        <v>3.53</v>
      </c>
      <c r="I66" s="18" t="n">
        <v>9.369999999999999</v>
      </c>
      <c r="J66" s="18" t="n">
        <v>1701.56</v>
      </c>
      <c r="K66" s="37" t="n">
        <v>10619.09</v>
      </c>
      <c r="L66" s="18" t="n">
        <v>47.42</v>
      </c>
      <c r="M66" s="18" t="n">
        <v>-167.22</v>
      </c>
      <c r="N66" s="18" t="n">
        <v>-18.02</v>
      </c>
      <c r="O66" s="18" t="n">
        <v>-1050.37</v>
      </c>
      <c r="P66" s="37" t="n">
        <v>-1188.19</v>
      </c>
      <c r="Q66" s="18" t="n">
        <v>7.49</v>
      </c>
      <c r="R66" s="18" t="n">
        <v>131.58</v>
      </c>
      <c r="S66" s="18" t="n">
        <v>59.62</v>
      </c>
      <c r="T66" s="18" t="n">
        <v>-2569.52</v>
      </c>
      <c r="U66" s="37" t="n">
        <v>-2370.83</v>
      </c>
      <c r="V66" s="18" t="n">
        <v>14.55</v>
      </c>
      <c r="W66" s="18" t="n">
        <v>-810.09</v>
      </c>
      <c r="X66" s="18" t="n">
        <v>-151.44</v>
      </c>
      <c r="Y66" s="18" t="n">
        <v>44.11</v>
      </c>
      <c r="Z66" s="37" t="n">
        <v>-902.87</v>
      </c>
      <c r="AA66" s="18" t="n">
        <v>-249.69</v>
      </c>
      <c r="AB66" s="19" t="n">
        <v>0.26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-1129.46</v>
      </c>
      <c r="F67" s="9" t="n"/>
      <c r="G67" s="18" t="n">
        <v>11212.72</v>
      </c>
      <c r="H67" s="18" t="n">
        <v>1203.96</v>
      </c>
      <c r="I67" s="18" t="n">
        <v>198.34</v>
      </c>
      <c r="J67" s="18" t="n">
        <v>1065.49</v>
      </c>
      <c r="K67" s="37" t="n">
        <v>13680.51</v>
      </c>
      <c r="L67" s="18" t="n">
        <v>1966.42</v>
      </c>
      <c r="M67" s="18" t="n">
        <v>2296.18</v>
      </c>
      <c r="N67" s="18" t="n">
        <v>-355.6</v>
      </c>
      <c r="O67" s="18" t="n">
        <v>6050.45</v>
      </c>
      <c r="P67" s="37" t="n">
        <v>9957.450000000001</v>
      </c>
      <c r="Q67" s="18" t="n">
        <v>604.67</v>
      </c>
      <c r="R67" s="18" t="n">
        <v>683.83</v>
      </c>
      <c r="S67" s="18" t="n">
        <v>-347.75</v>
      </c>
      <c r="T67" s="18" t="n">
        <v>-2110.91</v>
      </c>
      <c r="U67" s="37" t="n">
        <v>-1170.16</v>
      </c>
      <c r="V67" s="18" t="n">
        <v>-1095.37</v>
      </c>
      <c r="W67" s="18" t="n">
        <v>3785.01</v>
      </c>
      <c r="X67" s="18" t="n">
        <v>1105.4</v>
      </c>
      <c r="Y67" s="18" t="n">
        <v>-3306.32</v>
      </c>
      <c r="Z67" s="37" t="n">
        <v>488.72</v>
      </c>
      <c r="AA67" s="18" t="n">
        <v>9816.23</v>
      </c>
      <c r="AB67" s="19" t="n">
        <v>2983.36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-1129.46</v>
      </c>
      <c r="F68" s="9" t="n"/>
      <c r="G68" s="18" t="n">
        <v>11212.72</v>
      </c>
      <c r="H68" s="18" t="n">
        <v>1203.96</v>
      </c>
      <c r="I68" s="18" t="n">
        <v>198.34</v>
      </c>
      <c r="J68" s="18" t="n">
        <v>1065.49</v>
      </c>
      <c r="K68" s="37" t="n">
        <v>13680.51</v>
      </c>
      <c r="L68" s="18" t="n">
        <v>1966.42</v>
      </c>
      <c r="M68" s="18" t="n">
        <v>2296.18</v>
      </c>
      <c r="N68" s="18" t="n">
        <v>-355.6</v>
      </c>
      <c r="O68" s="18" t="n">
        <v>6050.45</v>
      </c>
      <c r="P68" s="37" t="n">
        <v>9957.450000000001</v>
      </c>
      <c r="Q68" s="18" t="n">
        <v>604.67</v>
      </c>
      <c r="R68" s="18" t="n">
        <v>683.83</v>
      </c>
      <c r="S68" s="18" t="n">
        <v>-347.75</v>
      </c>
      <c r="T68" s="18" t="n">
        <v>-2110.91</v>
      </c>
      <c r="U68" s="37" t="n">
        <v>-1170.16</v>
      </c>
      <c r="V68" s="18" t="n">
        <v>-1095.37</v>
      </c>
      <c r="W68" s="18" t="n">
        <v>3785.01</v>
      </c>
      <c r="X68" s="18" t="n">
        <v>1105.4</v>
      </c>
      <c r="Y68" s="18" t="n">
        <v>-3306.32</v>
      </c>
      <c r="Z68" s="37" t="n">
        <v>488.72</v>
      </c>
      <c r="AA68" s="18" t="n">
        <v>9816.23</v>
      </c>
      <c r="AB68" s="19" t="n">
        <v>2983.36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19516.81</v>
      </c>
      <c r="F69" s="9" t="n"/>
      <c r="G69" s="18" t="n">
        <v>-2675.43</v>
      </c>
      <c r="H69" s="18" t="n">
        <v>-8904.48</v>
      </c>
      <c r="I69" s="18" t="n">
        <v>1604.69</v>
      </c>
      <c r="J69" s="18" t="n">
        <v>4200.71</v>
      </c>
      <c r="K69" s="37" t="n">
        <v>-5774.51</v>
      </c>
      <c r="L69" s="18" t="n">
        <v>-3753.25</v>
      </c>
      <c r="M69" s="18" t="n">
        <v>168.12</v>
      </c>
      <c r="N69" s="18" t="n">
        <v>-2123.75</v>
      </c>
      <c r="O69" s="18" t="n">
        <v>11730.76</v>
      </c>
      <c r="P69" s="37" t="n">
        <v>6021.88</v>
      </c>
      <c r="Q69" s="18" t="n">
        <v>-8682.440000000001</v>
      </c>
      <c r="R69" s="18" t="n">
        <v>1136.05</v>
      </c>
      <c r="S69" s="18" t="n">
        <v>9544.780000000001</v>
      </c>
      <c r="T69" s="18" t="n">
        <v>-5947.38</v>
      </c>
      <c r="U69" s="37" t="n">
        <v>-3948.99</v>
      </c>
      <c r="V69" s="18" t="n">
        <v>5311.47</v>
      </c>
      <c r="W69" s="18" t="n">
        <v>-3604.4</v>
      </c>
      <c r="X69" s="18" t="n">
        <v>-932.25</v>
      </c>
      <c r="Y69" s="18" t="n">
        <v>-5255.26</v>
      </c>
      <c r="Z69" s="37" t="n">
        <v>-4480.44</v>
      </c>
      <c r="AA69" s="18" t="n">
        <v>7711.48</v>
      </c>
      <c r="AB69" s="19" t="n">
        <v>-649.99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감가상각비</t>
        </is>
      </c>
      <c r="E70" s="18" t="n">
        <v>756.76</v>
      </c>
      <c r="F70" s="9" t="n"/>
      <c r="G70" s="18" t="n">
        <v>738.35</v>
      </c>
      <c r="H70" s="18" t="n">
        <v>721.99</v>
      </c>
      <c r="I70" s="18" t="n">
        <v>673.8200000000001</v>
      </c>
      <c r="J70" s="18" t="n">
        <v>675.16</v>
      </c>
      <c r="K70" s="37" t="n">
        <v>2809.32</v>
      </c>
      <c r="L70" s="18" t="n">
        <v>661.21</v>
      </c>
      <c r="M70" s="18" t="n">
        <v>622.76</v>
      </c>
      <c r="N70" s="18" t="n">
        <v>552.17</v>
      </c>
      <c r="O70" s="18" t="n">
        <v>527.16</v>
      </c>
      <c r="P70" s="37" t="n">
        <v>2363.3</v>
      </c>
      <c r="Q70" s="18" t="n">
        <v>499.32</v>
      </c>
      <c r="R70" s="18" t="n">
        <v>458.29</v>
      </c>
      <c r="S70" s="18" t="n">
        <v>454.11</v>
      </c>
      <c r="T70" s="18" t="n">
        <v>445.81</v>
      </c>
      <c r="U70" s="37" t="n">
        <v>1857.53</v>
      </c>
      <c r="V70" s="18" t="n">
        <v>230.14</v>
      </c>
      <c r="W70" s="18" t="n">
        <v>235.07</v>
      </c>
      <c r="X70" s="18" t="n">
        <v>226.16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무형자산상각비</t>
        </is>
      </c>
      <c r="E71" s="18" t="n">
        <v>9.130000000000001</v>
      </c>
      <c r="F71" s="9" t="n"/>
      <c r="G71" s="18" t="n">
        <v>8.44</v>
      </c>
      <c r="H71" s="18" t="n">
        <v>7.06</v>
      </c>
      <c r="I71" s="18" t="n">
        <v>7.06</v>
      </c>
      <c r="J71" s="18" t="n">
        <v>7.06</v>
      </c>
      <c r="K71" s="37" t="n">
        <v>29.62</v>
      </c>
      <c r="L71" s="18" t="n">
        <v>7.06</v>
      </c>
      <c r="M71" s="18" t="n">
        <v>6.88</v>
      </c>
      <c r="N71" s="18" t="n">
        <v>6.87</v>
      </c>
      <c r="O71" s="18" t="n">
        <v>4.69</v>
      </c>
      <c r="P71" s="37" t="n">
        <v>25.5</v>
      </c>
      <c r="Q71" s="18" t="n">
        <v>3.6</v>
      </c>
      <c r="R71" s="18" t="n">
        <v>2.6</v>
      </c>
      <c r="S71" s="18" t="n">
        <v>2.13</v>
      </c>
      <c r="T71" s="18" t="n">
        <v>2.1</v>
      </c>
      <c r="U71" s="37" t="n">
        <v>10.43</v>
      </c>
      <c r="V71" s="18" t="n">
        <v>2.05</v>
      </c>
      <c r="W71" s="18" t="n">
        <v>0.67</v>
      </c>
      <c r="X71" s="18" t="n">
        <v>1.41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-10.7</v>
      </c>
      <c r="F72" s="9" t="n"/>
      <c r="G72" s="18" t="n">
        <v>-1276.7</v>
      </c>
      <c r="H72" s="18" t="n">
        <v>-1539.29</v>
      </c>
      <c r="I72" s="18" t="n">
        <v>-1346.74</v>
      </c>
      <c r="J72" s="18" t="n">
        <v>-13.95</v>
      </c>
      <c r="K72" s="37" t="n">
        <v>-4176.68</v>
      </c>
      <c r="L72" s="18" t="n">
        <v>-890.5</v>
      </c>
      <c r="M72" s="18" t="n">
        <v>-1200.8</v>
      </c>
      <c r="N72" s="18" t="n">
        <v>-152.3</v>
      </c>
      <c r="O72" s="18" t="n">
        <v>-151.05</v>
      </c>
      <c r="P72" s="37" t="n">
        <v>-2394.65</v>
      </c>
      <c r="Q72" s="18" t="n">
        <v>-11.48</v>
      </c>
      <c r="R72" s="18" t="n">
        <v>81.91</v>
      </c>
      <c r="S72" s="18" t="n">
        <v>-61.87</v>
      </c>
      <c r="T72" s="18" t="n">
        <v>-17.28</v>
      </c>
      <c r="U72" s="37" t="n">
        <v>-8.720000000000001</v>
      </c>
      <c r="V72" s="18" t="n">
        <v>-168.61</v>
      </c>
      <c r="W72" s="18" t="n">
        <v>-301.31</v>
      </c>
      <c r="X72" s="18" t="n">
        <v>-2.97</v>
      </c>
      <c r="Y72" s="18" t="n">
        <v>238.02</v>
      </c>
      <c r="Z72" s="37" t="n">
        <v>-234.87</v>
      </c>
      <c r="AA72" s="18" t="n">
        <v>1.27</v>
      </c>
      <c r="AB72" s="19" t="n">
        <v>28.89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-3550.16</v>
      </c>
      <c r="F73" s="9" t="n"/>
      <c r="G73" s="18" t="n">
        <v>22110.1</v>
      </c>
      <c r="H73" s="18" t="n">
        <v>-1996.48</v>
      </c>
      <c r="I73" s="18" t="n">
        <v>-2197.59</v>
      </c>
      <c r="J73" s="18" t="n">
        <v>4042.09</v>
      </c>
      <c r="K73" s="37" t="n">
        <v>21958.12</v>
      </c>
      <c r="L73" s="18" t="n">
        <v>-5963.55</v>
      </c>
      <c r="M73" s="18" t="n">
        <v>-17696.71</v>
      </c>
      <c r="N73" s="18" t="n">
        <v>-986.7</v>
      </c>
      <c r="O73" s="18" t="n">
        <v>2088.58</v>
      </c>
      <c r="P73" s="37" t="n">
        <v>-22558.38</v>
      </c>
      <c r="Q73" s="18" t="n">
        <v>-1035.47</v>
      </c>
      <c r="R73" s="18" t="n">
        <v>-479.41</v>
      </c>
      <c r="S73" s="18" t="n">
        <v>-1232.79</v>
      </c>
      <c r="T73" s="18" t="n">
        <v>-12204.25</v>
      </c>
      <c r="U73" s="37" t="n">
        <v>-14951.92</v>
      </c>
      <c r="V73" s="18" t="n">
        <v>-428.74</v>
      </c>
      <c r="W73" s="18" t="n">
        <v>-373.47</v>
      </c>
      <c r="X73" s="18" t="n">
        <v>-3491.55</v>
      </c>
      <c r="Y73" s="18" t="n">
        <v>10689.34</v>
      </c>
      <c r="Z73" s="37" t="n">
        <v>6395.58</v>
      </c>
      <c r="AA73" s="18" t="n">
        <v>-12053.88</v>
      </c>
      <c r="AB73" s="19" t="n">
        <v>-5093.34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9</v>
      </c>
      <c r="F74" s="9" t="n"/>
      <c r="G74" s="18" t="n">
        <v>13</v>
      </c>
      <c r="H74" s="18" t="n">
        <v>0</v>
      </c>
      <c r="I74" s="18" t="n">
        <v>0</v>
      </c>
      <c r="J74" s="18" t="n">
        <v>2642.53</v>
      </c>
      <c r="K74" s="37" t="n">
        <v>2655.53</v>
      </c>
      <c r="L74" s="18" t="n">
        <v>58.25</v>
      </c>
      <c r="M74" s="18" t="n">
        <v>0</v>
      </c>
      <c r="N74" s="18" t="n">
        <v>0</v>
      </c>
      <c r="O74" s="18" t="n">
        <v>0</v>
      </c>
      <c r="P74" s="37" t="n">
        <v>58.25</v>
      </c>
      <c r="T74" s="18" t="n">
        <v>0</v>
      </c>
      <c r="U74" s="9" t="n"/>
      <c r="V74" s="18" t="n">
        <v>10.91</v>
      </c>
      <c r="W74" s="18" t="n">
        <v>40</v>
      </c>
      <c r="X74" s="18" t="n">
        <v>58.64</v>
      </c>
      <c r="Y74" s="18" t="n">
        <v>6.54</v>
      </c>
      <c r="Z74" s="37" t="n">
        <v>116.09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634.86</v>
      </c>
      <c r="F75" s="9" t="n"/>
      <c r="G75" s="18" t="n">
        <v>153.38</v>
      </c>
      <c r="H75" s="18" t="n">
        <v>1996.71</v>
      </c>
      <c r="I75" s="18" t="n">
        <v>431.85</v>
      </c>
      <c r="J75" s="18" t="n">
        <v>266.81</v>
      </c>
      <c r="K75" s="37" t="n">
        <v>2848.75</v>
      </c>
      <c r="L75" s="18" t="n">
        <v>71.81</v>
      </c>
      <c r="M75" s="18" t="n">
        <v>1686.65</v>
      </c>
      <c r="N75" s="18" t="n">
        <v>33.81</v>
      </c>
      <c r="O75" s="18" t="n">
        <v>5.57</v>
      </c>
      <c r="P75" s="37" t="n">
        <v>1797.84</v>
      </c>
      <c r="Q75" s="18" t="n">
        <v>35.48</v>
      </c>
      <c r="R75" s="18" t="n">
        <v>71.40000000000001</v>
      </c>
      <c r="S75" s="18" t="n">
        <v>272.14</v>
      </c>
      <c r="T75" s="18" t="n">
        <v>1843.87</v>
      </c>
      <c r="U75" s="37" t="n">
        <v>2222.89</v>
      </c>
      <c r="V75" s="18" t="n">
        <v>349.54</v>
      </c>
      <c r="W75" s="18" t="n">
        <v>194.02</v>
      </c>
      <c r="X75" s="18" t="n">
        <v>1715.35</v>
      </c>
      <c r="Z75" s="9" t="n"/>
      <c r="AA75" s="18" t="n">
        <v>10976.64</v>
      </c>
      <c r="AB75" s="19" t="n">
        <v>781.15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634.86</v>
      </c>
      <c r="F76" s="9" t="n"/>
      <c r="G76" s="18" t="n">
        <v>155.63</v>
      </c>
      <c r="H76" s="18" t="n">
        <v>1996.71</v>
      </c>
      <c r="I76" s="18" t="n">
        <v>431.85</v>
      </c>
      <c r="J76" s="18" t="n">
        <v>266.81</v>
      </c>
      <c r="K76" s="37" t="n">
        <v>2851</v>
      </c>
      <c r="L76" s="18" t="n">
        <v>71.81</v>
      </c>
      <c r="M76" s="18" t="n">
        <v>1686.65</v>
      </c>
      <c r="N76" s="18" t="n">
        <v>33.81</v>
      </c>
      <c r="O76" s="18" t="n">
        <v>5.57</v>
      </c>
      <c r="P76" s="37" t="n">
        <v>1797.84</v>
      </c>
      <c r="Q76" s="18" t="n">
        <v>35.48</v>
      </c>
      <c r="R76" s="18" t="n">
        <v>71.40000000000001</v>
      </c>
      <c r="S76" s="18" t="n">
        <v>273.97</v>
      </c>
      <c r="T76" s="18" t="n">
        <v>1843.87</v>
      </c>
      <c r="U76" s="37" t="n">
        <v>2224.72</v>
      </c>
      <c r="V76" s="18" t="n">
        <v>349.54</v>
      </c>
      <c r="W76" s="18" t="n">
        <v>194.02</v>
      </c>
      <c r="X76" s="18" t="n">
        <v>1715.35</v>
      </c>
      <c r="Z76" s="9" t="n"/>
      <c r="AA76" s="18" t="n">
        <v>10976.64</v>
      </c>
      <c r="AB76" s="19" t="n">
        <v>781.15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-7210.75</v>
      </c>
      <c r="F77" s="9" t="n"/>
      <c r="G77" s="18" t="n">
        <v>-16483.72</v>
      </c>
      <c r="H77" s="18" t="n">
        <v>2821.57</v>
      </c>
      <c r="I77" s="18" t="n">
        <v>2485.77</v>
      </c>
      <c r="J77" s="18" t="n">
        <v>-7896.89</v>
      </c>
      <c r="K77" s="37" t="n">
        <v>-19073.27</v>
      </c>
      <c r="L77" s="18" t="n">
        <v>7388.11</v>
      </c>
      <c r="M77" s="18" t="n">
        <v>18652.83</v>
      </c>
      <c r="N77" s="18" t="n">
        <v>684.05</v>
      </c>
      <c r="O77" s="18" t="n">
        <v>-7874.69</v>
      </c>
      <c r="P77" s="37" t="n">
        <v>18850.3</v>
      </c>
      <c r="Q77" s="18" t="n">
        <v>4960.37</v>
      </c>
      <c r="R77" s="18" t="n">
        <v>-2778.45</v>
      </c>
      <c r="S77" s="18" t="n">
        <v>-5578.74</v>
      </c>
      <c r="T77" s="18" t="n">
        <v>14575.14</v>
      </c>
      <c r="U77" s="37" t="n">
        <v>11178.32</v>
      </c>
      <c r="V77" s="18" t="n">
        <v>-3293.39</v>
      </c>
      <c r="W77" s="18" t="n">
        <v>1610.92</v>
      </c>
      <c r="X77" s="18" t="n">
        <v>5924.73</v>
      </c>
      <c r="Y77" s="18" t="n">
        <v>-740.83</v>
      </c>
      <c r="Z77" s="37" t="n">
        <v>3501.43</v>
      </c>
      <c r="AA77" s="18" t="n">
        <v>8873.43</v>
      </c>
      <c r="AB77" s="19" t="n">
        <v>-41.05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18747.54</v>
      </c>
      <c r="F78" s="9" t="n"/>
      <c r="G78" s="18" t="n">
        <v>17607.81</v>
      </c>
      <c r="H78" s="18" t="n">
        <v>47739.57</v>
      </c>
      <c r="I78" s="18" t="n">
        <v>38208.48</v>
      </c>
      <c r="J78" s="18" t="n">
        <v>40791.19</v>
      </c>
      <c r="K78" s="37" t="n">
        <v>144347.05</v>
      </c>
      <c r="L78" s="18" t="n">
        <v>46327.94</v>
      </c>
      <c r="M78" s="18" t="n">
        <v>52788.81</v>
      </c>
      <c r="N78" s="18" t="n">
        <v>48243.73</v>
      </c>
      <c r="O78" s="18" t="n">
        <v>29520.18</v>
      </c>
      <c r="P78" s="37" t="n">
        <v>176880.66</v>
      </c>
      <c r="Q78" s="18" t="n">
        <v>59203.05</v>
      </c>
      <c r="R78" s="18" t="n">
        <v>40073.7</v>
      </c>
      <c r="S78" s="18" t="n">
        <v>44038.24</v>
      </c>
      <c r="T78" s="18" t="n">
        <v>47570.48</v>
      </c>
      <c r="U78" s="37" t="n">
        <v>190885.47</v>
      </c>
      <c r="V78" s="18" t="n">
        <v>54408.19</v>
      </c>
      <c r="W78" s="18" t="n">
        <v>45411.84</v>
      </c>
      <c r="X78" s="18" t="n">
        <v>53887.34</v>
      </c>
      <c r="Y78" s="18" t="n">
        <v>37109.87</v>
      </c>
      <c r="Z78" s="37" t="n">
        <v>190817.24</v>
      </c>
      <c r="AA78" s="18" t="n">
        <v>31000.03</v>
      </c>
      <c r="AB78" s="19" t="n">
        <v>17469.97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N79" s="18" t="n">
        <v>0</v>
      </c>
      <c r="O79" s="18" t="n">
        <v>0</v>
      </c>
      <c r="P79" s="9" t="n"/>
      <c r="T79" s="18" t="n">
        <v>0</v>
      </c>
      <c r="U79" s="9" t="n"/>
      <c r="Z79" s="9" t="n"/>
      <c r="AA79" s="18" t="n">
        <v>10000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24718.56</v>
      </c>
      <c r="F80" s="9" t="n"/>
      <c r="G80" s="18" t="n">
        <v>29636.97</v>
      </c>
      <c r="H80" s="18" t="n">
        <v>44639.56</v>
      </c>
      <c r="I80" s="18" t="n">
        <v>35208.48</v>
      </c>
      <c r="J80" s="18" t="n">
        <v>47121.19</v>
      </c>
      <c r="K80" s="37" t="n">
        <v>156606.2</v>
      </c>
      <c r="L80" s="18" t="n">
        <v>38847.94</v>
      </c>
      <c r="M80" s="18" t="n">
        <v>48838.81</v>
      </c>
      <c r="N80" s="18" t="n">
        <v>47483.73</v>
      </c>
      <c r="O80" s="18" t="n">
        <v>37318.3</v>
      </c>
      <c r="P80" s="37" t="n">
        <v>172488.78</v>
      </c>
      <c r="Q80" s="18" t="n">
        <v>48165.2</v>
      </c>
      <c r="R80" s="18" t="n">
        <v>42773.69</v>
      </c>
      <c r="S80" s="18" t="n">
        <v>49538.25</v>
      </c>
      <c r="T80" s="18" t="n">
        <v>32870.47</v>
      </c>
      <c r="U80" s="37" t="n">
        <v>173347.61</v>
      </c>
      <c r="V80" s="18" t="n">
        <v>57608.19</v>
      </c>
      <c r="W80" s="18" t="n">
        <v>43721.84</v>
      </c>
      <c r="X80" s="18" t="n">
        <v>47877.34</v>
      </c>
      <c r="Y80" s="18" t="n">
        <v>37809.87</v>
      </c>
      <c r="Z80" s="37" t="n">
        <v>187017.24</v>
      </c>
      <c r="AA80" s="18" t="n">
        <v>32000.03</v>
      </c>
      <c r="AB80" s="19" t="n">
        <v>17469.97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1142.84</v>
      </c>
      <c r="F81" s="9" t="n"/>
      <c r="G81" s="18" t="n">
        <v>2035.68</v>
      </c>
      <c r="H81" s="18" t="n">
        <v>178.56</v>
      </c>
      <c r="I81" s="18" t="n">
        <v>178.56</v>
      </c>
      <c r="J81" s="18" t="n">
        <v>0</v>
      </c>
      <c r="K81" s="37" t="n">
        <v>2392.8</v>
      </c>
      <c r="P81" s="9" t="n"/>
      <c r="Q81" s="18" t="n">
        <v>6000</v>
      </c>
      <c r="R81" s="18" t="n">
        <v>0</v>
      </c>
      <c r="S81" s="18" t="n">
        <v>0</v>
      </c>
      <c r="T81" s="18" t="n">
        <v>0</v>
      </c>
      <c r="U81" s="37" t="n">
        <v>6000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17511.49</v>
      </c>
      <c r="F82" s="9" t="n"/>
      <c r="G82" s="18" t="n">
        <v>2950.95</v>
      </c>
      <c r="H82" s="18" t="n">
        <v>-8079.39</v>
      </c>
      <c r="I82" s="18" t="n">
        <v>1892.87</v>
      </c>
      <c r="J82" s="18" t="n">
        <v>345.91</v>
      </c>
      <c r="K82" s="37" t="n">
        <v>-2889.66</v>
      </c>
      <c r="L82" s="18" t="n">
        <v>-2328.69</v>
      </c>
      <c r="M82" s="18" t="n">
        <v>1124.23</v>
      </c>
      <c r="N82" s="18" t="n">
        <v>-2426.39</v>
      </c>
      <c r="O82" s="18" t="n">
        <v>5944.65</v>
      </c>
      <c r="P82" s="37" t="n">
        <v>2313.8</v>
      </c>
      <c r="Q82" s="18" t="n">
        <v>-4757.55</v>
      </c>
      <c r="R82" s="18" t="n">
        <v>-2121.8</v>
      </c>
      <c r="S82" s="18" t="n">
        <v>2733.25</v>
      </c>
      <c r="T82" s="18" t="n">
        <v>-3576.49</v>
      </c>
      <c r="U82" s="37" t="n">
        <v>-7722.59</v>
      </c>
      <c r="V82" s="18" t="n">
        <v>1589.35</v>
      </c>
      <c r="W82" s="18" t="n">
        <v>-2366.96</v>
      </c>
      <c r="X82" s="18" t="n">
        <v>1500.94</v>
      </c>
      <c r="Y82" s="18" t="n">
        <v>4693.24</v>
      </c>
      <c r="Z82" s="37" t="n">
        <v>5416.57</v>
      </c>
      <c r="AA82" s="18" t="n">
        <v>4531.03</v>
      </c>
      <c r="AB82" s="19" t="n">
        <v>-5784.38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8755.58</v>
      </c>
      <c r="F83" s="9" t="n"/>
      <c r="G83" s="18" t="n">
        <v>13271.53</v>
      </c>
      <c r="H83" s="18" t="n">
        <v>-7924.09</v>
      </c>
      <c r="I83" s="18" t="n">
        <v>1982.99</v>
      </c>
      <c r="J83" s="18" t="n">
        <v>142.19</v>
      </c>
      <c r="K83" s="37" t="n">
        <v>7472.62</v>
      </c>
      <c r="L83" s="18" t="n">
        <v>5155.65</v>
      </c>
      <c r="M83" s="18" t="n">
        <v>1119.32</v>
      </c>
      <c r="N83" s="18" t="n">
        <v>-2427.46</v>
      </c>
      <c r="O83" s="18" t="n">
        <v>5940.23</v>
      </c>
      <c r="P83" s="37" t="n">
        <v>9787.74</v>
      </c>
      <c r="Q83" s="18" t="n">
        <v>5041.55</v>
      </c>
      <c r="R83" s="18" t="n">
        <v>-2134.32</v>
      </c>
      <c r="S83" s="18" t="n">
        <v>2717.95</v>
      </c>
      <c r="T83" s="18" t="n">
        <v>-3546.11</v>
      </c>
      <c r="U83" s="37" t="n">
        <v>2079.07</v>
      </c>
      <c r="V83" s="18" t="n">
        <v>3761.92</v>
      </c>
      <c r="W83" s="18" t="n">
        <v>-2370.75</v>
      </c>
      <c r="X83" s="18" t="n">
        <v>1502</v>
      </c>
      <c r="Y83" s="18" t="n">
        <v>4569.29</v>
      </c>
      <c r="Z83" s="37" t="n">
        <v>7462.46</v>
      </c>
      <c r="AA83" s="18" t="n">
        <v>11996.52</v>
      </c>
      <c r="AB83" s="19" t="n">
        <v>-5787.41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F84" s="9" t="n"/>
      <c r="G84" s="18" t="n">
        <v>2.25</v>
      </c>
      <c r="H84" s="18" t="n">
        <v>0</v>
      </c>
      <c r="I84" s="18" t="n">
        <v>0</v>
      </c>
      <c r="J84" s="18" t="n">
        <v>0</v>
      </c>
      <c r="K84" s="37" t="n">
        <v>2.25</v>
      </c>
      <c r="P84" s="9" t="n"/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F85" s="9" t="n"/>
      <c r="G85" s="18" t="n">
        <v>2321.4</v>
      </c>
      <c r="H85" s="18" t="n">
        <v>0</v>
      </c>
      <c r="I85" s="18" t="n">
        <v>0</v>
      </c>
      <c r="J85" s="18" t="n">
        <v>0</v>
      </c>
      <c r="K85" s="37" t="n">
        <v>2321.4</v>
      </c>
      <c r="P85" s="9" t="n"/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F86" s="9" t="n"/>
      <c r="J86" s="18" t="n">
        <v>1466.52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F87" s="9" t="n"/>
      <c r="K87" s="9" t="n"/>
      <c r="N87" s="18" t="n">
        <v>0</v>
      </c>
      <c r="O87" s="18" t="n">
        <v>0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75.43000000000001</v>
      </c>
      <c r="P88" s="9" t="n"/>
      <c r="Q88" s="18" t="n">
        <v>43.5</v>
      </c>
      <c r="R88" s="18" t="n">
        <v>53.94</v>
      </c>
      <c r="S88" s="18" t="n">
        <v>62.23</v>
      </c>
      <c r="T88" s="18" t="n">
        <v>73.29000000000001</v>
      </c>
      <c r="U88" s="37" t="n">
        <v>232.96</v>
      </c>
      <c r="V88" s="18" t="n">
        <v>32.68</v>
      </c>
      <c r="W88" s="18" t="n">
        <v>46.21</v>
      </c>
      <c r="X88" s="18" t="n">
        <v>33.41</v>
      </c>
      <c r="Y88" s="18" t="n">
        <v>33.2</v>
      </c>
      <c r="Z88" s="37" t="n">
        <v>145.5</v>
      </c>
      <c r="AA88" s="18" t="n">
        <v>29.26</v>
      </c>
      <c r="AB88" s="19" t="n">
        <v>10.79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O89" s="18" t="n">
        <v>76.56</v>
      </c>
      <c r="P89" s="9" t="n"/>
      <c r="Q89" s="18" t="n">
        <v>77.48999999999999</v>
      </c>
      <c r="R89" s="18" t="n">
        <v>78.44</v>
      </c>
      <c r="S89" s="18" t="n">
        <v>78.75</v>
      </c>
      <c r="T89" s="18" t="n">
        <v>78.59999999999999</v>
      </c>
      <c r="U89" s="37" t="n">
        <v>313.28</v>
      </c>
      <c r="V89" s="18" t="n">
        <v>78.39</v>
      </c>
      <c r="W89" s="18" t="n">
        <v>79.08</v>
      </c>
      <c r="X89" s="18" t="n">
        <v>79.27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35.65</v>
      </c>
      <c r="F22" s="37" t="n"/>
      <c r="G22" s="18" t="n">
        <v>47.99</v>
      </c>
      <c r="H22" s="18" t="n">
        <v>76.06999999999999</v>
      </c>
      <c r="I22" s="18" t="n">
        <v>19.36</v>
      </c>
      <c r="J22" s="18" t="n">
        <v>21.69</v>
      </c>
      <c r="K22" s="37">
        <f>SUM(G22:J22)</f>
        <v/>
      </c>
      <c r="L22" s="18" t="n">
        <v>47.79</v>
      </c>
      <c r="M22" s="18" t="n">
        <v>46.72</v>
      </c>
      <c r="N22" s="18" t="n">
        <v>21.92</v>
      </c>
      <c r="O22" s="18" t="n">
        <v>-13.94</v>
      </c>
      <c r="P22" s="37">
        <f>SUM(L22:O22)</f>
        <v/>
      </c>
      <c r="Q22" s="18" t="n">
        <v>29.52</v>
      </c>
      <c r="R22" s="18" t="n">
        <v>32.05</v>
      </c>
      <c r="S22" s="18" t="n">
        <v>23.66</v>
      </c>
      <c r="T22" s="18" t="n">
        <v>18.86</v>
      </c>
      <c r="U22" s="37">
        <f>SUM(Q22:T22)</f>
        <v/>
      </c>
      <c r="V22" s="18" t="n">
        <v>11.06</v>
      </c>
      <c r="W22" s="18" t="n">
        <v>60.35</v>
      </c>
      <c r="X22" s="18" t="n">
        <v>36.31</v>
      </c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22.651</v>
      </c>
      <c r="F33" s="28">
        <f>E33</f>
        <v/>
      </c>
      <c r="G33" s="27" t="n">
        <v>22.651</v>
      </c>
      <c r="H33" s="27" t="n">
        <v>22.651</v>
      </c>
      <c r="I33" s="27" t="n">
        <v>22.597</v>
      </c>
      <c r="J33" s="27" t="n">
        <v>22.219</v>
      </c>
      <c r="K33" s="28">
        <f>J33</f>
        <v/>
      </c>
      <c r="L33" s="27" t="n">
        <v>22.213</v>
      </c>
      <c r="M33" s="27" t="n">
        <v>22.213</v>
      </c>
      <c r="N33" s="27" t="n">
        <v>22.123</v>
      </c>
      <c r="O33" s="27" t="n">
        <v>22.123</v>
      </c>
      <c r="P33" s="28">
        <f>O33</f>
        <v/>
      </c>
      <c r="Q33" s="27" t="n">
        <v>22.123</v>
      </c>
      <c r="R33" s="27" t="n">
        <v>22.123</v>
      </c>
      <c r="S33" s="27" t="n">
        <v>22.123</v>
      </c>
      <c r="T33" s="27" t="n">
        <v>23.3</v>
      </c>
      <c r="U33" s="28">
        <f>T33</f>
        <v/>
      </c>
      <c r="V33" s="27" t="n">
        <v>24.144</v>
      </c>
      <c r="W33" s="27" t="n">
        <v>24.144</v>
      </c>
      <c r="X33" s="27" t="n">
        <v>24.144</v>
      </c>
      <c r="Y33" s="27" t="n">
        <v>24.144</v>
      </c>
      <c r="Z33" s="28">
        <f>Y33</f>
        <v/>
      </c>
      <c r="AA33" s="27" t="n">
        <v>24.144</v>
      </c>
      <c r="AB33" s="29" t="n">
        <v>24.144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100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 t="n"/>
      <c r="T37" s="13" t="n"/>
      <c r="U37" s="14">
        <f>T37</f>
        <v/>
      </c>
      <c r="V37" s="13" t="n"/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 t="n"/>
      <c r="AB37" s="15" t="n"/>
      <c r="AC37" s="39" t="n"/>
      <c r="AD37" s="39">
        <f>IFERROR(변수!$D$44/(AA34+AB34+AC34+AD34),"")</f>
        <v/>
      </c>
      <c r="AE37" s="40">
        <f>AD37</f>
        <v/>
      </c>
      <c r="AF37" s="39">
        <f>IFERROR(변수!$D$44/(AB34+AC34+AD34+AF34),"")</f>
        <v/>
      </c>
      <c r="AG37" s="39">
        <f>IFERROR(변수!$D$44/(AC34+AD34+AF34+AG34),"")</f>
        <v/>
      </c>
      <c r="AH37" s="39">
        <f>IFERROR(변수!$D$44/(AD34+AF34+AG34+AH34),"")</f>
        <v/>
      </c>
      <c r="AI37" s="39">
        <f>IFERROR(변수!$D$44/(AF34+AG34+AH34+AI34),"")</f>
        <v/>
      </c>
      <c r="AJ37" s="40">
        <f>AI37</f>
        <v/>
      </c>
      <c r="AK37" s="39">
        <f>IFERROR(변수!$D$44/(AG34+AH34+AI34+AK34),"")</f>
        <v/>
      </c>
      <c r="AL37" s="39">
        <f>IFERROR(변수!$D$44/(AH34+AI34+AK34+AL34),"")</f>
        <v/>
      </c>
      <c r="AM37" s="39">
        <f>IFERROR(변수!$D$44/(AI34+AK34+AL34+AM34),"")</f>
        <v/>
      </c>
      <c r="AN37" s="39">
        <f>IFERROR(변수!$D$44/(AK34+AL34+AM34+AN34),"")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589.03</v>
      </c>
      <c r="F39" s="37" t="n"/>
      <c r="G39" s="18" t="n">
        <v>614.0700000000001</v>
      </c>
      <c r="H39" s="18" t="n">
        <v>647.73</v>
      </c>
      <c r="I39" s="18" t="n">
        <v>577.03</v>
      </c>
      <c r="J39" s="18" t="n">
        <v>616.02</v>
      </c>
      <c r="K39" s="37">
        <f>SUM(G39:J39)</f>
        <v/>
      </c>
      <c r="L39" s="18" t="n">
        <v>616.6900000000001</v>
      </c>
      <c r="M39" s="18" t="n">
        <v>664.78</v>
      </c>
      <c r="N39" s="18" t="n">
        <v>589.71</v>
      </c>
      <c r="O39" s="18" t="n">
        <v>613.3</v>
      </c>
      <c r="P39" s="37">
        <f>SUM(L39:O39)</f>
        <v/>
      </c>
      <c r="Q39" s="18" t="n">
        <v>529.86</v>
      </c>
      <c r="R39" s="18" t="n">
        <v>598.4</v>
      </c>
      <c r="S39" s="18" t="n">
        <v>531.11</v>
      </c>
      <c r="T39" s="18" t="n">
        <v>575.11</v>
      </c>
      <c r="U39" s="37">
        <f>SUM(Q39:T39)</f>
        <v/>
      </c>
      <c r="V39" s="18" t="n">
        <v>533.67</v>
      </c>
      <c r="W39" s="18" t="n">
        <v>561.01</v>
      </c>
      <c r="X39" s="18" t="n">
        <v>560.09</v>
      </c>
      <c r="Y39" s="18" t="n">
        <v>539.23</v>
      </c>
      <c r="Z39" s="37">
        <f>SUM(V39:Y39)</f>
        <v/>
      </c>
      <c r="AA39" s="18" t="n">
        <v>661.2</v>
      </c>
      <c r="AB39" s="19" t="n">
        <v>717.21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22.86</v>
      </c>
      <c r="F40" s="37" t="n"/>
      <c r="G40" s="18" t="n">
        <v>35.04</v>
      </c>
      <c r="H40" s="18" t="n">
        <v>62.88</v>
      </c>
      <c r="I40" s="18" t="n">
        <v>6.36</v>
      </c>
      <c r="J40" s="18" t="n">
        <v>8.57</v>
      </c>
      <c r="K40" s="37">
        <f>SUM(G40:J40)</f>
        <v/>
      </c>
      <c r="L40" s="18" t="n">
        <v>34.73</v>
      </c>
      <c r="M40" s="18" t="n">
        <v>33.56</v>
      </c>
      <c r="N40" s="18" t="n">
        <v>9.43</v>
      </c>
      <c r="O40" s="18" t="n">
        <v>-26.5</v>
      </c>
      <c r="P40" s="37">
        <f>SUM(L40:O40)</f>
        <v/>
      </c>
      <c r="Q40" s="18" t="n">
        <v>18.53</v>
      </c>
      <c r="R40" s="18" t="n">
        <v>21.31</v>
      </c>
      <c r="S40" s="18" t="n">
        <v>12.74</v>
      </c>
      <c r="T40" s="18" t="n">
        <v>7.72</v>
      </c>
      <c r="U40" s="37">
        <f>SUM(Q40:T40)</f>
        <v/>
      </c>
      <c r="V40" s="18" t="n">
        <v>2.54</v>
      </c>
      <c r="W40" s="18" t="n">
        <v>51.69</v>
      </c>
      <c r="X40" s="18" t="n">
        <v>27.88</v>
      </c>
      <c r="Y40" s="18" t="n">
        <v>-0.36</v>
      </c>
      <c r="Z40" s="37">
        <f>SUM(V40:Y40)</f>
        <v/>
      </c>
      <c r="AA40" s="18" t="n">
        <v>81.59999999999999</v>
      </c>
      <c r="AB40" s="19" t="n">
        <v>92.26000000000001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112.7</v>
      </c>
    </row>
    <row r="30">
      <c r="C30" s="2" t="inlineStr">
        <is>
          <t>bps_latest</t>
        </is>
      </c>
      <c r="D30" t="n">
        <v>5706.8</v>
      </c>
    </row>
    <row r="31">
      <c r="C31" s="2" t="inlineStr">
        <is>
          <t>per_now</t>
        </is>
      </c>
      <c r="D31" t="n">
        <v>19.25</v>
      </c>
    </row>
    <row r="32">
      <c r="C32" s="2" t="inlineStr">
        <is>
          <t>pbr_now</t>
        </is>
      </c>
      <c r="D32" t="n">
        <v>0.38</v>
      </c>
    </row>
    <row r="33">
      <c r="C33" s="2" t="inlineStr">
        <is>
          <t>roe_fwd</t>
        </is>
      </c>
      <c r="D33" t="n">
        <v>0.0197</v>
      </c>
    </row>
    <row r="34">
      <c r="C34" s="2" t="inlineStr">
        <is>
          <t>fair_pbr</t>
        </is>
      </c>
      <c r="D34" t="n">
        <v>0.22</v>
      </c>
    </row>
    <row r="35">
      <c r="C35" s="2" t="inlineStr">
        <is>
          <t>fair_value_pbr</t>
        </is>
      </c>
      <c r="D35" t="n">
        <v>1300</v>
      </c>
    </row>
    <row r="36">
      <c r="C36" s="2" t="inlineStr">
        <is>
          <t>ev_ebitda</t>
        </is>
      </c>
      <c r="D36" t="n">
        <v>11.26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