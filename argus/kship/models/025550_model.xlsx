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BS별도!$C$5:$AO$89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65950억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67139억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68778억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72100억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75903억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80562억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85477억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90701억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94918억 × 비례계수 0.0132(원점회귀; 격자 lag0~4×창8/12/19×수준·YoY·4Q합 중 최대 r=0.90, n=8, 창 8)</t>
      </text>
    </comment>
    <comment ref="AC22" authorId="0" shapeId="0">
      <text>
        <t>3절 스칼라 '판관비율' 참조 — 숫자로 덮어쓰면 이 분기만 바뀐다
매출액 × 판관비율 7.95%(최근 4분기 중위)</t>
      </text>
    </comment>
    <comment ref="AD22" authorId="0" shapeId="0">
      <text>
        <t>3절 스칼라 '판관비율' 참조 — 숫자로 덮어쓰면 이 분기만 바뀐다
매출액 × 판관비율 7.95%(최근 4분기 중위)</t>
      </text>
    </comment>
    <comment ref="AF22" authorId="0" shapeId="0">
      <text>
        <t>3절 스칼라 '판관비율' 참조 — 숫자로 덮어쓰면 이 분기만 바뀐다
매출액 × 판관비율 7.95%(최근 4분기 중위)</t>
      </text>
    </comment>
    <comment ref="AG22" authorId="0" shapeId="0">
      <text>
        <t>3절 스칼라 '판관비율' 참조 — 숫자로 덮어쓰면 이 분기만 바뀐다
매출액 × 판관비율 7.95%(최근 4분기 중위)</t>
      </text>
    </comment>
    <comment ref="AH22" authorId="0" shapeId="0">
      <text>
        <t>3절 스칼라 '판관비율' 참조 — 숫자로 덮어쓰면 이 분기만 바뀐다
매출액 × 판관비율 7.95%(최근 4분기 중위)</t>
      </text>
    </comment>
    <comment ref="AI22" authorId="0" shapeId="0">
      <text>
        <t>3절 스칼라 '판관비율' 참조 — 숫자로 덮어쓰면 이 분기만 바뀐다
매출액 × 판관비율 7.95%(최근 4분기 중위)</t>
      </text>
    </comment>
    <comment ref="AK22" authorId="0" shapeId="0">
      <text>
        <t>3절 스칼라 '판관비율' 참조 — 숫자로 덮어쓰면 이 분기만 바뀐다
매출액 × 판관비율 7.95%(최근 4분기 중위)</t>
      </text>
    </comment>
    <comment ref="AL22" authorId="0" shapeId="0">
      <text>
        <t>3절 스칼라 '판관비율' 참조 — 숫자로 덮어쓰면 이 분기만 바뀐다
매출액 × 판관비율 7.95%(최근 4분기 중위)</t>
      </text>
    </comment>
    <comment ref="AM22" authorId="0" shapeId="0">
      <text>
        <t>3절 스칼라 '판관비율' 참조 — 숫자로 덮어쓰면 이 분기만 바뀐다
매출액 × 판관비율 7.95%(최근 4분기 중위)</t>
      </text>
    </comment>
    <comment ref="AN22" authorId="0" shapeId="0">
      <text>
        <t>3절 스칼라 '판관비율' 참조 — 숫자로 덮어쓰면 이 분기만 바뀐다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4분기(2025Q2~2026Q2) 잔차 중위</t>
      </text>
    </comment>
    <comment ref="AD26" authorId="0" shapeId="0">
      <text>
        <t>모델값 역산(implied): 모델 v 그대로
최근 4분기(2025Q2~2026Q2) 잔차 중위</t>
      </text>
    </comment>
    <comment ref="AF26" authorId="0" shapeId="0">
      <text>
        <t>모델값 역산(implied): 모델 v 그대로
최근 4분기(2025Q2~2026Q2) 잔차 중위</t>
      </text>
    </comment>
    <comment ref="AG26" authorId="0" shapeId="0">
      <text>
        <t>모델값 역산(implied): 모델 v 그대로
최근 4분기(2025Q2~2026Q2) 잔차 중위</t>
      </text>
    </comment>
    <comment ref="AH26" authorId="0" shapeId="0">
      <text>
        <t>모델값 역산(implied): 모델 v 그대로
최근 4분기(2025Q2~2026Q2) 잔차 중위</t>
      </text>
    </comment>
    <comment ref="AI26" authorId="0" shapeId="0">
      <text>
        <t>모델값 역산(implied): 모델 v 그대로
최근 4분기(2025Q2~2026Q2) 잔차 중위</t>
      </text>
    </comment>
    <comment ref="AK26" authorId="0" shapeId="0">
      <text>
        <t>모델값 역산(implied): 모델 v 그대로
최근 4분기(2025Q2~2026Q2) 잔차 중위</t>
      </text>
    </comment>
    <comment ref="AL26" authorId="0" shapeId="0">
      <text>
        <t>모델값 역산(implied): 모델 v 그대로
최근 4분기(2025Q2~2026Q2) 잔차 중위</t>
      </text>
    </comment>
    <comment ref="AM26" authorId="0" shapeId="0">
      <text>
        <t>모델값 역산(implied): 모델 v 그대로
최근 4분기(2025Q2~2026Q2) 잔차 중위</t>
      </text>
    </comment>
    <comment ref="AN26" authorId="0" shapeId="0">
      <text>
        <t>모델값 역산(implied): 모델 v 그대로
최근 4분기(2025Q2~2026Q2)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D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F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G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H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I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K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L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M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N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C29" authorId="0" shapeId="0">
      <text>
        <t>3절 스칼라 '지배주주비중' 참조 — 숫자로 덮어쓰면 이 분기만 바뀐다
당기순이익 × (1 − 비지배 비중 60.0%, 최근 8분기 실측)</t>
      </text>
    </comment>
    <comment ref="AD29" authorId="0" shapeId="0">
      <text>
        <t>3절 스칼라 '지배주주비중' 참조 — 숫자로 덮어쓰면 이 분기만 바뀐다
당기순이익 × (1 − 비지배 비중 60.0%, 최근 8분기 실측)</t>
      </text>
    </comment>
    <comment ref="AF29" authorId="0" shapeId="0">
      <text>
        <t>3절 스칼라 '지배주주비중' 참조 — 숫자로 덮어쓰면 이 분기만 바뀐다
당기순이익 × (1 − 비지배 비중 60.0%, 최근 8분기 실측)</t>
      </text>
    </comment>
    <comment ref="AG29" authorId="0" shapeId="0">
      <text>
        <t>3절 스칼라 '지배주주비중' 참조 — 숫자로 덮어쓰면 이 분기만 바뀐다
당기순이익 × (1 − 비지배 비중 60.0%, 최근 8분기 실측)</t>
      </text>
    </comment>
    <comment ref="AH29" authorId="0" shapeId="0">
      <text>
        <t>3절 스칼라 '지배주주비중' 참조 — 숫자로 덮어쓰면 이 분기만 바뀐다
당기순이익 × (1 − 비지배 비중 60.0%, 최근 8분기 실측)</t>
      </text>
    </comment>
    <comment ref="AI29" authorId="0" shapeId="0">
      <text>
        <t>3절 스칼라 '지배주주비중' 참조 — 숫자로 덮어쓰면 이 분기만 바뀐다
당기순이익 × (1 − 비지배 비중 60.0%, 최근 8분기 실측)</t>
      </text>
    </comment>
    <comment ref="AK29" authorId="0" shapeId="0">
      <text>
        <t>3절 스칼라 '지배주주비중' 참조 — 숫자로 덮어쓰면 이 분기만 바뀐다
당기순이익 × (1 − 비지배 비중 60.0%, 최근 8분기 실측)</t>
      </text>
    </comment>
    <comment ref="AL29" authorId="0" shapeId="0">
      <text>
        <t>3절 스칼라 '지배주주비중' 참조 — 숫자로 덮어쓰면 이 분기만 바뀐다
당기순이익 × (1 − 비지배 비중 60.0%, 최근 8분기 실측)</t>
      </text>
    </comment>
    <comment ref="AM29" authorId="0" shapeId="0">
      <text>
        <t>3절 스칼라 '지배주주비중' 참조 — 숫자로 덮어쓰면 이 분기만 바뀐다
당기순이익 × (1 − 비지배 비중 60.0%, 최근 8분기 실측)</t>
      </text>
    </comment>
    <comment ref="AN29" authorId="0" shapeId="0">
      <text>
        <t>3절 스칼라 '지배주주비중' 참조 — 숫자로 덮어쓰면 이 분기만 바뀐다
당기순이익 × (1 − 비지배 비중 60.0%,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65950억 × 비례계수 0.0132(원점회귀; 격자 lag0~4×창8/12/19×수준·YoY·4Q합 중 최대 r=0.90, n=8, 창 8)
[yoy]</t>
      </text>
    </comment>
    <comment ref="AF5" authorId="0" shapeId="0">
      <text>
        <t>추정: 고객 매출 가중지수(t−1) 67139억 × 비례계수 0.0132(원점회귀; 격자 lag0~4×창8/12/19×수준·YoY·4Q합 중 최대 r=0.90, n=8, 창 8)
[yoy]</t>
      </text>
    </comment>
    <comment ref="AG5" authorId="0" shapeId="0">
      <text>
        <t>추정: 고객 매출 가중지수(t−1) 68778억 × 비례계수 0.0132(원점회귀; 격자 lag0~4×창8/12/19×수준·YoY·4Q합 중 최대 r=0.90, n=8, 창 8)
[yoy]</t>
      </text>
    </comment>
    <comment ref="AH5" authorId="0" shapeId="0">
      <text>
        <t>추정: 고객 매출 가중지수(t−1) 72100억 × 비례계수 0.0132(원점회귀; 격자 lag0~4×창8/12/19×수준·YoY·4Q합 중 최대 r=0.90, n=8, 창 8)
[yoy]</t>
      </text>
    </comment>
    <comment ref="AI5" authorId="0" shapeId="0">
      <text>
        <t>추정: 고객 매출 가중지수(t−1) 75903억 × 비례계수 0.0132(원점회귀; 격자 lag0~4×창8/12/19×수준·YoY·4Q합 중 최대 r=0.90, n=8, 창 8)
[yoy]</t>
      </text>
    </comment>
    <comment ref="AK5" authorId="0" shapeId="0">
      <text>
        <t>추정: 고객 매출 가중지수(t−1) 80562억 × 비례계수 0.0132(원점회귀; 격자 lag0~4×창8/12/19×수준·YoY·4Q합 중 최대 r=0.90, n=8, 창 8)
[yoy]</t>
      </text>
    </comment>
    <comment ref="AL5" authorId="0" shapeId="0">
      <text>
        <t>추정: 고객 매출 가중지수(t−1) 85477억 × 비례계수 0.0132(원점회귀; 격자 lag0~4×창8/12/19×수준·YoY·4Q합 중 최대 r=0.90, n=8, 창 8)
[yoy]</t>
      </text>
    </comment>
    <comment ref="AM5" authorId="0" shapeId="0">
      <text>
        <t>추정: 고객 매출 가중지수(t−1) 90701억 × 비례계수 0.0132(원점회귀; 격자 lag0~4×창8/12/19×수준·YoY·4Q합 중 최대 r=0.90, n=8, 창 8)
[yoy]</t>
      </text>
    </comment>
    <comment ref="AN5" authorId="0" shapeId="0">
      <text>
        <t>추정: 고객 매출 가중지수(t−1) 94918억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AC10" authorId="0" shapeId="0">
      <text>
        <t>추정: 최근 8분기 OPM 중위 3.7% 유지
[divide]</t>
      </text>
    </comment>
    <comment ref="AD10" authorId="0" shapeId="0">
      <text>
        <t>추정: 최근 8분기 OPM 중위 3.7% 유지
[divide]</t>
      </text>
    </comment>
    <comment ref="AF10" authorId="0" shapeId="0">
      <text>
        <t>추정: 최근 8분기 OPM 중위 3.7% 유지
[divide]</t>
      </text>
    </comment>
    <comment ref="AG10" authorId="0" shapeId="0">
      <text>
        <t>추정: 최근 8분기 OPM 중위 3.7% 유지
[divide]</t>
      </text>
    </comment>
    <comment ref="AH10" authorId="0" shapeId="0">
      <text>
        <t>추정: 최근 8분기 OPM 중위 3.7% 유지
[divide]</t>
      </text>
    </comment>
    <comment ref="AI10" authorId="0" shapeId="0">
      <text>
        <t>추정: 최근 8분기 OPM 중위 3.7% 유지
[divide]</t>
      </text>
    </comment>
    <comment ref="AK10" authorId="0" shapeId="0">
      <text>
        <t>추정: 최근 8분기 OPM 중위 3.7% 유지
[divide]</t>
      </text>
    </comment>
    <comment ref="AL10" authorId="0" shapeId="0">
      <text>
        <t>추정: 최근 8분기 OPM 중위 3.7% 유지
[divide]</t>
      </text>
    </comment>
    <comment ref="AM10" authorId="0" shapeId="0">
      <text>
        <t>추정: 최근 8분기 OPM 중위 3.7% 유지
[divide]</t>
      </text>
    </comment>
    <comment ref="AN10" authorId="0" shapeId="0">
      <text>
        <t>추정: 최근 8분기 OPM 중위 3.7% 유지
[divide]</t>
      </text>
    </comment>
    <comment ref="AC11" authorId="0" shapeId="0">
      <text>
        <t>추정: 이자손익 + 외환손익 0 + 파생상품손익 0 + 기타금융손익 -0.87억(최근 4분기(2025Q2~2026Q2) 잔차 중위) (항등식); 이자손익 = 이자발생자산 244억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-0.87억(최근 4분기(2025Q2~2026Q2) 잔차 중위) (항등식); 이자손익 = 이자발생자산 158억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-0.87억(최근 4분기(2025Q2~2026Q2) 잔차 중위) (항등식); 이자손익 = 이자발생자산 72억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-0.87억(최근 4분기(2025Q2~2026Q2) 잔차 중위) (항등식); 이자손익 = 이자발생자산 -14억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-0.87억(최근 4분기(2025Q2~2026Q2) 잔차 중위) (항등식); 이자손익 = 이자발생자산 -100억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-0.87억(최근 4분기(2025Q2~2026Q2) 잔차 중위) (항등식); 이자손익 = 이자발생자산 -184억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-0.87억(최근 4분기(2025Q2~2026Q2) 잔차 중위) (항등식); 이자손익 = 이자발생자산 -267억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-0.87억(최근 4분기(2025Q2~2026Q2) 잔차 중위) (항등식); 이자손익 = 이자발생자산 -349억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-0.87억(최근 4분기(2025Q2~2026Q2) 잔차 중위) (항등식); 이자손익 = 이자발생자산 -429억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-0.87억(최근 4분기(2025Q2~2026Q2) 잔차 중위) (항등식); 이자손익 = 이자발생자산 -507억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C12" authorId="0" shapeId="0">
      <text>
        <t>추정: 이자발생자산 244억 × 1.42%(주석 이자수익 ÷ 평균 이자발생자산(2025Q2~2026Q2)) − 총차입금 1545억 × 2.68%(주석 이자비용 ÷ 평균 총차입금(2025Q2~2026Q2)) (연율) ÷ 4
[interest]</t>
      </text>
    </comment>
    <comment ref="AD12" authorId="0" shapeId="0">
      <text>
        <t>추정: 이자발생자산 158억 × 1.42%(주석 이자수익 ÷ 평균 이자발생자산(2025Q2~2026Q2)) − 총차입금 1545억 × 2.68%(주석 이자비용 ÷ 평균 총차입금(2025Q2~2026Q2)) (연율) ÷ 4
[interest]</t>
      </text>
    </comment>
    <comment ref="AF12" authorId="0" shapeId="0">
      <text>
        <t>추정: 이자발생자산 72억 × 1.42%(주석 이자수익 ÷ 평균 이자발생자산(2025Q2~2026Q2)) − 총차입금 1545억 × 2.68%(주석 이자비용 ÷ 평균 총차입금(2025Q2~2026Q2)) (연율) ÷ 4
[interest]</t>
      </text>
    </comment>
    <comment ref="AG12" authorId="0" shapeId="0">
      <text>
        <t>추정: 이자발생자산 -14억 × 1.42%(주석 이자수익 ÷ 평균 이자발생자산(2025Q2~2026Q2)) − 총차입금 1545억 × 2.68%(주석 이자비용 ÷ 평균 총차입금(2025Q2~2026Q2)) (연율) ÷ 4
[interest]</t>
      </text>
    </comment>
    <comment ref="AH12" authorId="0" shapeId="0">
      <text>
        <t>추정: 이자발생자산 -100억 × 1.42%(주석 이자수익 ÷ 평균 이자발생자산(2025Q2~2026Q2)) − 총차입금 1545억 × 2.68%(주석 이자비용 ÷ 평균 총차입금(2025Q2~2026Q2)) (연율) ÷ 4
[interest]</t>
      </text>
    </comment>
    <comment ref="AI12" authorId="0" shapeId="0">
      <text>
        <t>추정: 이자발생자산 -184억 × 1.42%(주석 이자수익 ÷ 평균 이자발생자산(2025Q2~2026Q2)) − 총차입금 1545억 × 2.68%(주석 이자비용 ÷ 평균 총차입금(2025Q2~2026Q2)) (연율) ÷ 4
[interest]</t>
      </text>
    </comment>
    <comment ref="AK12" authorId="0" shapeId="0">
      <text>
        <t>추정: 이자발생자산 -267억 × 1.42%(주석 이자수익 ÷ 평균 이자발생자산(2025Q2~2026Q2)) − 총차입금 1545억 × 2.68%(주석 이자비용 ÷ 평균 총차입금(2025Q2~2026Q2)) (연율) ÷ 4
[interest]</t>
      </text>
    </comment>
    <comment ref="AL12" authorId="0" shapeId="0">
      <text>
        <t>추정: 이자발생자산 -349억 × 1.42%(주석 이자수익 ÷ 평균 이자발생자산(2025Q2~2026Q2)) − 총차입금 1545억 × 2.68%(주석 이자비용 ÷ 평균 총차입금(2025Q2~2026Q2)) (연율) ÷ 4
[interest]</t>
      </text>
    </comment>
    <comment ref="AM12" authorId="0" shapeId="0">
      <text>
        <t>추정: 이자발생자산 -429억 × 1.42%(주석 이자수익 ÷ 평균 이자발생자산(2025Q2~2026Q2)) − 총차입금 1545억 × 2.68%(주석 이자비용 ÷ 평균 총차입금(2025Q2~2026Q2)) (연율) ÷ 4
[interest]</t>
      </text>
    </comment>
    <comment ref="AN12" authorId="0" shapeId="0">
      <text>
        <t>추정: 이자발생자산 -507억 × 1.42%(주석 이자수익 ÷ 평균 이자발생자산(2025Q2~2026Q2)) − 총차입금 1545억 × 2.68%(주석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4분기(2025Q2~2026Q2) 잔차 중위
[abs]</t>
      </text>
    </comment>
    <comment ref="AD15" authorId="0" shapeId="0">
      <text>
        <t>추정: 최근 4분기(2025Q2~2026Q2) 잔차 중위
[abs]</t>
      </text>
    </comment>
    <comment ref="AF15" authorId="0" shapeId="0">
      <text>
        <t>추정: 최근 4분기(2025Q2~2026Q2) 잔차 중위
[abs]</t>
      </text>
    </comment>
    <comment ref="AG15" authorId="0" shapeId="0">
      <text>
        <t>추정: 최근 4분기(2025Q2~2026Q2) 잔차 중위
[abs]</t>
      </text>
    </comment>
    <comment ref="AH15" authorId="0" shapeId="0">
      <text>
        <t>추정: 최근 4분기(2025Q2~2026Q2) 잔차 중위
[abs]</t>
      </text>
    </comment>
    <comment ref="AI15" authorId="0" shapeId="0">
      <text>
        <t>추정: 최근 4분기(2025Q2~2026Q2) 잔차 중위
[abs]</t>
      </text>
    </comment>
    <comment ref="AK15" authorId="0" shapeId="0">
      <text>
        <t>추정: 최근 4분기(2025Q2~2026Q2) 잔차 중위
[abs]</t>
      </text>
    </comment>
    <comment ref="AL15" authorId="0" shapeId="0">
      <text>
        <t>추정: 최근 4분기(2025Q2~2026Q2) 잔차 중위
[abs]</t>
      </text>
    </comment>
    <comment ref="AM15" authorId="0" shapeId="0">
      <text>
        <t>추정: 최근 4분기(2025Q2~2026Q2) 잔차 중위
[abs]</t>
      </text>
    </comment>
    <comment ref="AN15" authorId="0" shapeId="0">
      <text>
        <t>추정: 최근 4분기(2025Q2~2026Q2)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D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F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G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H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I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K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L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M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N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60.0%, 최근 8분기 실측)
[ratio]</t>
      </text>
    </comment>
    <comment ref="AD20" authorId="0" shapeId="0">
      <text>
        <t>추정: 당기순이익 × (1 − 비지배 비중 60.0%, 최근 8분기 실측)
[ratio]</t>
      </text>
    </comment>
    <comment ref="AF20" authorId="0" shapeId="0">
      <text>
        <t>추정: 당기순이익 × (1 − 비지배 비중 60.0%, 최근 8분기 실측)
[ratio]</t>
      </text>
    </comment>
    <comment ref="AG20" authorId="0" shapeId="0">
      <text>
        <t>추정: 당기순이익 × (1 − 비지배 비중 60.0%, 최근 8분기 실측)
[ratio]</t>
      </text>
    </comment>
    <comment ref="AH20" authorId="0" shapeId="0">
      <text>
        <t>추정: 당기순이익 × (1 − 비지배 비중 60.0%, 최근 8분기 실측)
[ratio]</t>
      </text>
    </comment>
    <comment ref="AI20" authorId="0" shapeId="0">
      <text>
        <t>추정: 당기순이익 × (1 − 비지배 비중 60.0%, 최근 8분기 실측)
[ratio]</t>
      </text>
    </comment>
    <comment ref="AK20" authorId="0" shapeId="0">
      <text>
        <t>추정: 당기순이익 × (1 − 비지배 비중 60.0%, 최근 8분기 실측)
[ratio]</t>
      </text>
    </comment>
    <comment ref="AL20" authorId="0" shapeId="0">
      <text>
        <t>추정: 당기순이익 × (1 − 비지배 비중 60.0%, 최근 8분기 실측)
[ratio]</t>
      </text>
    </comment>
    <comment ref="AM20" authorId="0" shapeId="0">
      <text>
        <t>추정: 당기순이익 × (1 − 비지배 비중 60.0%, 최근 8분기 실측)
[ratio]</t>
      </text>
    </comment>
    <comment ref="AN20" authorId="0" shapeId="0">
      <text>
        <t>추정: 당기순이익 × (1 − 비지배 비중 60.0%,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실측(계정 매핑 없음(파생·부문·시세 행) — 모델값 직접) — 영업이익 + 감가상각비(CF)</t>
      </text>
    </comment>
    <comment ref="T22" authorId="0" shapeId="0">
      <text>
        <t>실측(계정 매핑 없음(파생·부문·시세 행) — 모델값 직접) — 영업이익 + 감가상각비(CF)</t>
      </text>
    </comment>
    <comment ref="V22" authorId="0" shapeId="0">
      <text>
        <t>실측(계정 매핑 없음(파생·부문·시세 행) — 모델값 직접) — 영업이익 + 감가상각비(CF)</t>
      </text>
    </comment>
    <comment ref="W22" authorId="0" shapeId="0">
      <text>
        <t>실측(계정 매핑 없음(파생·부문·시세 행) — 모델값 직접) — 영업이익 + 감가상각비(CF)</t>
      </text>
    </comment>
    <comment ref="X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20.95% — 법인세 = MAX(세전,0) × 세율, 추정 전 분기 연결(Σ법인세/Σmax(세전,0) 역산, 재현 오차 ≤ 0.05억). 모델 가정 20.94% · 근거: 최근 12분기 유효세율 214.5% 가 5~27% 밖 → 클립 대신 최근 8분기 중 세전 &gt; 0 인 3분기(2025Q2~2026Q2)의 법인세/세전 중위 20.9%</t>
        </is>
      </c>
    </row>
    <row r="23">
      <c r="A23" t="inlineStr">
        <is>
          <t>· 판관비율 7.95%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1.42% / 부채 2.68% — 이자손익 = (전분기 이자발생자산 × 자산이자율 − 전분기 총차입금 × 부채이자율)/4, 최소자승 역산(모델 assumptions [0.0142, 0.0268]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16.5/18.9/30.0배(hist_quarterly(분기 평균가 ÷ TTM EPS, 8분기, 25/50/75 백분위) · 캡 5~30배 적용(원값 16.5/18.9/269.8))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assets/models/025550.json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-7/-32/-123/-16(중위 -24억) → 추정 2026Q3 -10억(차 +14억, +57%)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16.4, "op_wape_pct": 90.2,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20" t="n">
        <v>2350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20" t="n">
        <v>2450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20" t="n">
        <v>2150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20" t="n">
        <v>2320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0.492327593</v>
      </c>
      <c r="AD21" s="24" t="n">
        <v>0.61441075</v>
      </c>
      <c r="AE21" s="25" t="n"/>
      <c r="AF21" s="24" t="n">
        <v>0.340354121</v>
      </c>
      <c r="AG21" s="24" t="n">
        <v>0.265833551</v>
      </c>
      <c r="AH21" s="24" t="n">
        <v>0.13862701</v>
      </c>
      <c r="AI21" s="24" t="n">
        <v>0.150929308</v>
      </c>
      <c r="AJ21" s="25" t="n"/>
      <c r="AK21" s="24" t="n">
        <v>0.199923271</v>
      </c>
      <c r="AL21" s="24" t="n">
        <v>0.242799079</v>
      </c>
      <c r="AM21" s="24" t="n">
        <v>0.258009268</v>
      </c>
      <c r="AN21" s="24" t="n">
        <v>0.250496542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0.03688505</v>
      </c>
      <c r="AD23" s="24" t="n">
        <v>0.036885152</v>
      </c>
      <c r="AE23" s="25">
        <f>IFERROR(subQ!AE9/subQ!AE5,"")</f>
        <v/>
      </c>
      <c r="AF23" s="24" t="n">
        <v>0.036886171</v>
      </c>
      <c r="AG23" s="24" t="n">
        <v>0.036888541</v>
      </c>
      <c r="AH23" s="24" t="n">
        <v>0.036880983</v>
      </c>
      <c r="AI23" s="24" t="n">
        <v>0.036888805</v>
      </c>
      <c r="AJ23" s="25">
        <f>IFERROR(subQ!AJ9/subQ!AJ5,"")</f>
        <v/>
      </c>
      <c r="AK23" s="24" t="n">
        <v>0.036881007</v>
      </c>
      <c r="AL23" s="24" t="n">
        <v>0.036887353</v>
      </c>
      <c r="AM23" s="24" t="n">
        <v>0.036884219</v>
      </c>
      <c r="AN23" s="24" t="n">
        <v>0.036882138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-0.87</v>
      </c>
      <c r="AD26" s="30" t="n">
        <v>-0.87</v>
      </c>
      <c r="AE26" s="31">
        <f>subQ!AE15</f>
        <v/>
      </c>
      <c r="AF26" s="30" t="n">
        <v>-0.87</v>
      </c>
      <c r="AG26" s="30" t="n">
        <v>-0.87</v>
      </c>
      <c r="AH26" s="30" t="n">
        <v>-0.87</v>
      </c>
      <c r="AI26" s="30" t="n">
        <v>-0.87</v>
      </c>
      <c r="AJ26" s="31">
        <f>subQ!AJ15</f>
        <v/>
      </c>
      <c r="AK26" s="30" t="n">
        <v>-0.87</v>
      </c>
      <c r="AL26" s="30" t="n">
        <v>-0.87</v>
      </c>
      <c r="AM26" s="30" t="n">
        <v>-0.87</v>
      </c>
      <c r="AN26" s="30" t="n">
        <v>-0.87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8.59</v>
      </c>
      <c r="AD30" s="30" t="n">
        <v>8.59</v>
      </c>
      <c r="AE30" s="31">
        <f>subQ!AE21</f>
        <v/>
      </c>
      <c r="AF30" s="30" t="n">
        <v>8.59</v>
      </c>
      <c r="AG30" s="30" t="n">
        <v>8.59</v>
      </c>
      <c r="AH30" s="30" t="n">
        <v>8.59</v>
      </c>
      <c r="AI30" s="30" t="n">
        <v>8.59</v>
      </c>
      <c r="AJ30" s="31">
        <f>subQ!AJ21</f>
        <v/>
      </c>
      <c r="AK30" s="30" t="n">
        <v>8.59</v>
      </c>
      <c r="AL30" s="30" t="n">
        <v>8.59</v>
      </c>
      <c r="AM30" s="30" t="n">
        <v>8.59</v>
      </c>
      <c r="AN30" s="30" t="n">
        <v>8.59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-1.982e-06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-0.005444928</v>
      </c>
      <c r="AD32" s="30" t="n">
        <v>0.005465606</v>
      </c>
      <c r="AE32" s="31" t="n"/>
      <c r="AF32" s="30" t="n">
        <v>-0.007085991</v>
      </c>
      <c r="AG32" s="30" t="n">
        <v>0.004897543</v>
      </c>
      <c r="AH32" s="30" t="n">
        <v>-0.001659421</v>
      </c>
      <c r="AI32" s="30" t="n">
        <v>0.002305351</v>
      </c>
      <c r="AJ32" s="31" t="n"/>
      <c r="AK32" s="30" t="n">
        <v>-0.004094112</v>
      </c>
      <c r="AL32" s="30" t="n">
        <v>0.004582749</v>
      </c>
      <c r="AM32" s="30" t="n">
        <v>-0.001411877</v>
      </c>
      <c r="AN32" s="30" t="n">
        <v>0.000246245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0.00354355</v>
      </c>
      <c r="AD33" s="30" t="n">
        <v>-0.001141752</v>
      </c>
      <c r="AE33" s="31" t="n"/>
      <c r="AF33" s="30" t="n">
        <v>-0.004153767</v>
      </c>
      <c r="AG33" s="30" t="n">
        <v>0.002655191</v>
      </c>
      <c r="AH33" s="30" t="n">
        <v>-0.003926611</v>
      </c>
      <c r="AI33" s="30" t="n">
        <v>0.009708233</v>
      </c>
      <c r="AJ33" s="31" t="n"/>
      <c r="AK33" s="30" t="n">
        <v>0.001210058</v>
      </c>
      <c r="AL33" s="30" t="n">
        <v>-0.001253022</v>
      </c>
      <c r="AM33" s="30" t="n">
        <v>0.002419876</v>
      </c>
      <c r="AN33" s="30" t="n">
        <v>-0.00686129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-2.135e-06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0.06574308800000001</v>
      </c>
      <c r="AD35" s="24" t="n">
        <v>0.061136272</v>
      </c>
      <c r="AE35" s="25" t="n"/>
      <c r="AF35" s="24" t="n">
        <v>0.057473267</v>
      </c>
      <c r="AG35" s="24" t="n">
        <v>0.054102515</v>
      </c>
      <c r="AH35" s="24" t="n">
        <v>0.050700551</v>
      </c>
      <c r="AI35" s="24" t="n">
        <v>0.047550399</v>
      </c>
      <c r="AJ35" s="25" t="n"/>
      <c r="AK35" s="24" t="n">
        <v>0.044540073</v>
      </c>
      <c r="AL35" s="24" t="n">
        <v>0.041772973</v>
      </c>
      <c r="AM35" s="24" t="n">
        <v>0.039204665</v>
      </c>
      <c r="AN35" s="24" t="n">
        <v>0.037044728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-0.355125494</v>
      </c>
      <c r="AD36" s="24" t="n">
        <v>-0.545858458</v>
      </c>
      <c r="AE36" s="25" t="n"/>
      <c r="AF36" s="24" t="n">
        <v>-1.198881901</v>
      </c>
      <c r="AG36" s="24" t="n">
        <v>6</v>
      </c>
      <c r="AH36" s="24" t="n">
        <v>0.8468025300000001</v>
      </c>
      <c r="AI36" s="24" t="n">
        <v>0.451891716</v>
      </c>
      <c r="AJ36" s="25" t="n"/>
      <c r="AK36" s="24" t="n">
        <v>0.305365233</v>
      </c>
      <c r="AL36" s="24" t="n">
        <v>0.229169654</v>
      </c>
      <c r="AM36" s="24" t="n">
        <v>0.18226578</v>
      </c>
      <c r="AN36" s="24" t="n">
        <v>0.151403308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0.025046689</v>
      </c>
      <c r="AD38" s="24" t="n">
        <v>0.047030472</v>
      </c>
      <c r="AE38" s="25" t="n"/>
      <c r="AF38" s="24" t="n">
        <v>-0.468213186</v>
      </c>
      <c r="AG38" s="24" t="n">
        <v>-0.023896293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2350</v>
      </c>
      <c r="E44" s="2" t="inlineStr">
        <is>
          <t>원 — 네이버 정규장 종가(aik 확정종가 대조 · aik 2,225원)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20261019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16.5</v>
      </c>
      <c r="E47" s="2" t="inlineStr">
        <is>
          <t>PER 밴드 하단(배) — hist_quarterly(분기 평균가 ÷ TTM EPS, 8분기, 25/50/75 백분위) · 캡 5~30배 적용(원값 16.5/18.9/269.8)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0.2094599890273533</v>
      </c>
      <c r="E51" s="2" t="inlineStr">
        <is>
          <t>연결 — 법인세 = MAX(세전,0) × 세율(역산, 재현 오차 ≤ 0.05억 · 모델 assumptions 0.2094) · 최근 12분기 유효세율 214.5% 가 5~27% 밖 → 클립 대신 최근 8분기 중 세전 &gt; 0 인 3분기(2025Q2~2026Q2)의 법인세/세전 중위 20.9%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0.07949469196772589</v>
      </c>
      <c r="E52" s="2" t="inlineStr">
        <is>
          <t>연결 — 판관비 = 매출액 × 판관비율(역산, 재현 오차 ≤ 0.05억 · 모델 assumptions 0.0795)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0.4000396569672335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0.01418310904794408</v>
      </c>
      <c r="E54" s="2" t="inlineStr">
        <is>
          <t>연결 — 이자손익 = (전분기 이자발생자산 × 자산이자율 − 전분기 총차입금 × 부채이자율)/4(역산, 재현 오차 ≤ 0.05억 · 모델 assumptions 0.0142)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0.02682490664816891</v>
      </c>
      <c r="E55" s="2" t="inlineStr">
        <is>
          <t>연결 — 같은 수식의 부채 쪽(총차입금 행이 없으면 0)(역산, 재현 오차 ≤ 0.05억 · 모델 assumptions 0.0268)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7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7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7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7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7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7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7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7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7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7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7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7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7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7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7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7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7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7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7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7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7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7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7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7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7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7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7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7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7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7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7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7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7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7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7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7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7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7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7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7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7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7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7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7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7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7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7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7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7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7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7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7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7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7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7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7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7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7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7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7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7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7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7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7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7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7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7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7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7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7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7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7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7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7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7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7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7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7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7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7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7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7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7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7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7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7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7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7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7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7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7" t="n">
        <v>97761.46000000001</v>
      </c>
      <c r="G25" s="18" t="n">
        <v>69200</v>
      </c>
      <c r="H25" s="18" t="n">
        <v>76300</v>
      </c>
      <c r="I25" s="18" t="n">
        <v>81300</v>
      </c>
      <c r="J25" s="18" t="n">
        <v>73070</v>
      </c>
      <c r="K25" s="37" t="n">
        <v>73070</v>
      </c>
      <c r="L25" s="18" t="n">
        <v>82753</v>
      </c>
      <c r="M25" s="18" t="n">
        <v>86214</v>
      </c>
      <c r="N25" s="18" t="n">
        <v>92360</v>
      </c>
      <c r="O25" s="18" t="n">
        <v>62062.14</v>
      </c>
      <c r="P25" s="37" t="n">
        <v>62062.14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7" t="n">
        <v>84150</v>
      </c>
      <c r="V25" s="18" t="n">
        <v>81450</v>
      </c>
      <c r="W25" s="18" t="n">
        <v>83140</v>
      </c>
      <c r="X25" s="18" t="n">
        <v>89100</v>
      </c>
      <c r="Y25" s="18" t="n">
        <v>105814.67</v>
      </c>
      <c r="Z25" s="37" t="n">
        <v>105814.67</v>
      </c>
      <c r="AA25" s="18" t="n">
        <v>104670.17</v>
      </c>
      <c r="AB25" s="19" t="n">
        <v>111400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7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7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7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7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7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7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7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7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7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7" t="n">
        <v>1220.25</v>
      </c>
      <c r="G28" s="18" t="n">
        <v>1225.99</v>
      </c>
      <c r="H28" s="18" t="n">
        <v>1195.39</v>
      </c>
      <c r="I28" s="18" t="n">
        <v>1091.02</v>
      </c>
      <c r="J28" s="18" t="n">
        <v>1155.82</v>
      </c>
      <c r="K28" s="37" t="n">
        <v>1155.82</v>
      </c>
      <c r="L28" s="18" t="n">
        <v>1135.56</v>
      </c>
      <c r="M28" s="18" t="n">
        <v>1150.76</v>
      </c>
      <c r="N28" s="18" t="n">
        <v>1138.43</v>
      </c>
      <c r="O28" s="18" t="n">
        <v>1000.41</v>
      </c>
      <c r="P28" s="37" t="n">
        <v>1000.41</v>
      </c>
      <c r="Q28" s="18" t="n">
        <v>861.17</v>
      </c>
      <c r="R28" s="18" t="n">
        <v>1153.8</v>
      </c>
      <c r="S28" s="18" t="n">
        <v>1167.26</v>
      </c>
      <c r="T28" s="18" t="n">
        <v>1126.03</v>
      </c>
      <c r="U28" s="37" t="n">
        <v>1126.03</v>
      </c>
      <c r="V28" s="18" t="n">
        <v>1060.81</v>
      </c>
      <c r="W28" s="18" t="n">
        <v>972.14</v>
      </c>
      <c r="X28" s="18" t="n">
        <v>800.16</v>
      </c>
      <c r="Y28" s="18" t="n">
        <v>729.78</v>
      </c>
      <c r="Z28" s="37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7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7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7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7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7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7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7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7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7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7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7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7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7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7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7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7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7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7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7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7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7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7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7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7" t="n">
        <v>23200</v>
      </c>
      <c r="V33" s="18" t="n">
        <v>23200</v>
      </c>
      <c r="W33" s="18" t="n">
        <v>17000</v>
      </c>
      <c r="Y33" s="18" t="n">
        <v>31760.11</v>
      </c>
      <c r="Z33" s="37" t="n">
        <v>31760.11</v>
      </c>
      <c r="AA33" s="18" t="n">
        <v>41604.61</v>
      </c>
      <c r="AB33" s="19" t="n">
        <v>43133.33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7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7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7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7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7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7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7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7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7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7" t="n">
        <v>860.42</v>
      </c>
      <c r="G36" s="18" t="n">
        <v>855.21</v>
      </c>
      <c r="H36" s="18" t="n">
        <v>810.45</v>
      </c>
      <c r="I36" s="18" t="n">
        <v>724.4299999999999</v>
      </c>
      <c r="J36" s="18" t="n">
        <v>772.47</v>
      </c>
      <c r="K36" s="37" t="n">
        <v>772.47</v>
      </c>
      <c r="L36" s="18" t="n">
        <v>743.96</v>
      </c>
      <c r="M36" s="18" t="n">
        <v>709.9</v>
      </c>
      <c r="N36" s="18" t="n">
        <v>620.9299999999999</v>
      </c>
      <c r="O36" s="18" t="n">
        <v>523.09</v>
      </c>
      <c r="P36" s="37" t="n">
        <v>523.09</v>
      </c>
      <c r="Q36" s="18" t="n">
        <v>432.26</v>
      </c>
      <c r="R36" s="18" t="n">
        <v>559.3099999999999</v>
      </c>
      <c r="S36" s="18" t="n">
        <v>501.11</v>
      </c>
      <c r="T36" s="18" t="n">
        <v>484.52</v>
      </c>
      <c r="U36" s="37" t="n">
        <v>484.52</v>
      </c>
      <c r="V36" s="18" t="n">
        <v>40.71</v>
      </c>
      <c r="W36" s="18" t="n">
        <v>385.25</v>
      </c>
      <c r="X36" s="18" t="n">
        <v>318.7</v>
      </c>
      <c r="Y36" s="18" t="n">
        <v>350.6</v>
      </c>
      <c r="Z36" s="37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7" t="n">
        <v>1410.42</v>
      </c>
      <c r="G37" s="18" t="n">
        <v>1411.21</v>
      </c>
      <c r="H37" s="18" t="n">
        <v>1366.45</v>
      </c>
      <c r="I37" s="18" t="n">
        <v>1230.43</v>
      </c>
      <c r="J37" s="18" t="n">
        <v>1278.47</v>
      </c>
      <c r="K37" s="37" t="n">
        <v>1278.47</v>
      </c>
      <c r="L37" s="18" t="n">
        <v>1299.96</v>
      </c>
      <c r="M37" s="18" t="n">
        <v>1285.9</v>
      </c>
      <c r="N37" s="18" t="n">
        <v>1276.93</v>
      </c>
      <c r="O37" s="18" t="n">
        <v>1259.09</v>
      </c>
      <c r="P37" s="37" t="n">
        <v>1259.09</v>
      </c>
      <c r="Q37" s="18" t="n">
        <v>1208.26</v>
      </c>
      <c r="R37" s="18" t="n">
        <v>1375.31</v>
      </c>
      <c r="S37" s="18" t="n">
        <v>1377.11</v>
      </c>
      <c r="T37" s="18" t="n">
        <v>700.52</v>
      </c>
      <c r="U37" s="37" t="n">
        <v>700.52</v>
      </c>
      <c r="V37" s="18" t="n">
        <v>5052.37</v>
      </c>
      <c r="W37" s="18" t="n">
        <v>4383.7</v>
      </c>
      <c r="X37" s="18" t="n">
        <v>4311.15</v>
      </c>
      <c r="Y37" s="18" t="n">
        <v>570.6</v>
      </c>
      <c r="Z37" s="37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7" t="n">
        <v>550</v>
      </c>
      <c r="G38" s="18" t="n">
        <v>556</v>
      </c>
      <c r="H38" s="18" t="n">
        <v>556</v>
      </c>
      <c r="I38" s="18" t="n">
        <v>506</v>
      </c>
      <c r="J38" s="18" t="n">
        <v>506</v>
      </c>
      <c r="K38" s="37" t="n">
        <v>506</v>
      </c>
      <c r="L38" s="18" t="n">
        <v>556</v>
      </c>
      <c r="M38" s="18" t="n">
        <v>576</v>
      </c>
      <c r="N38" s="18" t="n">
        <v>656</v>
      </c>
      <c r="O38" s="18" t="n">
        <v>736</v>
      </c>
      <c r="P38" s="37" t="n">
        <v>736</v>
      </c>
      <c r="Q38" s="18" t="n">
        <v>776</v>
      </c>
      <c r="R38" s="18" t="n">
        <v>816</v>
      </c>
      <c r="S38" s="18" t="n">
        <v>876</v>
      </c>
      <c r="T38" s="18" t="n">
        <v>216</v>
      </c>
      <c r="U38" s="37" t="n">
        <v>216</v>
      </c>
      <c r="V38" s="18" t="n">
        <v>5011.66</v>
      </c>
      <c r="W38" s="18" t="n">
        <v>3998.45</v>
      </c>
      <c r="X38" s="18" t="n">
        <v>3992.45</v>
      </c>
      <c r="Y38" s="18" t="n">
        <v>220</v>
      </c>
      <c r="Z38" s="37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7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7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7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7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7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7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7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7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7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7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7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7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7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7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7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7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7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7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7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7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7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7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7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7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7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7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7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7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7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7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7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7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7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7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7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7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7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7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7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7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7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7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7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7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125615.16</v>
      </c>
      <c r="F48" s="37" t="n">
        <v>125615.16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7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7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7" t="n">
        <v>107350</v>
      </c>
      <c r="V48" s="18" t="n">
        <v>114309.95</v>
      </c>
      <c r="W48" s="18" t="n">
        <v>115998.68</v>
      </c>
      <c r="X48" s="18" t="n">
        <v>122373.85</v>
      </c>
      <c r="Y48" s="18" t="n">
        <v>148479.74</v>
      </c>
      <c r="Z48" s="37" t="n">
        <v>148479.74</v>
      </c>
      <c r="AA48" s="18" t="n">
        <v>149680.17</v>
      </c>
      <c r="AB48" s="19" t="n">
        <v>154533.33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111867.27</v>
      </c>
      <c r="F49" s="37" t="n">
        <v>111867.27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7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7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7" t="n">
        <v>95804.81</v>
      </c>
      <c r="V49" s="18" t="n">
        <v>83361.5</v>
      </c>
      <c r="W49" s="18" t="n">
        <v>96564.53</v>
      </c>
      <c r="X49" s="18" t="n">
        <v>112165.27</v>
      </c>
      <c r="Y49" s="18" t="n">
        <v>117808.9</v>
      </c>
      <c r="Z49" s="37" t="n">
        <v>117808.9</v>
      </c>
      <c r="AA49" s="18" t="n">
        <v>130011.82</v>
      </c>
      <c r="AB49" s="19" t="n">
        <v>131976.46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7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7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7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7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7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E51" s="18" t="n">
        <v>19532.3</v>
      </c>
      <c r="F51" s="37" t="n">
        <v>19532.3</v>
      </c>
      <c r="G51" s="18" t="n">
        <v>17476.87</v>
      </c>
      <c r="H51" s="18" t="n">
        <v>16678.56</v>
      </c>
      <c r="I51" s="18" t="n">
        <v>16500</v>
      </c>
      <c r="J51" s="18" t="n">
        <v>17100</v>
      </c>
      <c r="K51" s="37" t="n">
        <v>17100</v>
      </c>
      <c r="L51" s="18" t="n">
        <v>23100</v>
      </c>
      <c r="M51" s="18" t="n">
        <v>9500</v>
      </c>
      <c r="N51" s="18" t="n">
        <v>6000</v>
      </c>
      <c r="O51" s="18" t="n">
        <v>6000</v>
      </c>
      <c r="P51" s="37" t="n">
        <v>6000</v>
      </c>
      <c r="U51" s="9" t="n"/>
      <c r="V51" s="18" t="n">
        <v>9659.950000000001</v>
      </c>
      <c r="W51" s="18" t="n">
        <v>15858.68</v>
      </c>
      <c r="X51" s="18" t="n">
        <v>33273.85</v>
      </c>
      <c r="Y51" s="18" t="n">
        <v>10904.96</v>
      </c>
      <c r="Z51" s="37" t="n">
        <v>10904.96</v>
      </c>
      <c r="AA51" s="18" t="n">
        <v>3405.39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7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105814.67</v>
      </c>
      <c r="Z55" s="37" t="n">
        <v>105814.67</v>
      </c>
      <c r="AA55" s="18" t="n">
        <v>104670.17</v>
      </c>
      <c r="AB55" s="19" t="n">
        <v>111400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-2419.94</v>
      </c>
      <c r="Z56" s="37" t="n">
        <v>-2419.94</v>
      </c>
      <c r="AA56" s="18" t="n">
        <v>-2528.14</v>
      </c>
      <c r="AB56" s="19" t="n">
        <v>-2725.01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58902.71</v>
      </c>
      <c r="F57" s="9" t="n"/>
      <c r="G57" s="18" t="n">
        <v>61406.78</v>
      </c>
      <c r="H57" s="18" t="n">
        <v>64773.02</v>
      </c>
      <c r="I57" s="18" t="n">
        <v>57703.37</v>
      </c>
      <c r="J57" s="18" t="n">
        <v>61602.39</v>
      </c>
      <c r="K57" s="37" t="n">
        <v>245485.56</v>
      </c>
      <c r="L57" s="18" t="n">
        <v>61668.68</v>
      </c>
      <c r="M57" s="18" t="n">
        <v>66477.86</v>
      </c>
      <c r="N57" s="18" t="n">
        <v>58971.11</v>
      </c>
      <c r="O57" s="18" t="n">
        <v>61330.2</v>
      </c>
      <c r="P57" s="37" t="n">
        <v>248447.85</v>
      </c>
      <c r="Q57" s="18" t="n">
        <v>52985.62</v>
      </c>
      <c r="R57" s="18" t="n">
        <v>59840.34</v>
      </c>
      <c r="S57" s="18" t="n">
        <v>53110.99</v>
      </c>
      <c r="T57" s="18" t="n">
        <v>57511.33</v>
      </c>
      <c r="U57" s="37" t="n">
        <v>223448.28</v>
      </c>
      <c r="V57" s="18" t="n">
        <v>53367.27</v>
      </c>
      <c r="W57" s="18" t="n">
        <v>56100.88</v>
      </c>
      <c r="X57" s="18" t="n">
        <v>56009.15</v>
      </c>
      <c r="Y57" s="18" t="n">
        <v>53923.08</v>
      </c>
      <c r="Z57" s="37" t="n">
        <v>219400.38</v>
      </c>
      <c r="AA57" s="18" t="n">
        <v>66119.84</v>
      </c>
      <c r="AB57" s="19" t="n">
        <v>71721.12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53502.84</v>
      </c>
      <c r="F58" s="9" t="n"/>
      <c r="G58" s="18" t="n">
        <v>53759.67</v>
      </c>
      <c r="H58" s="18" t="n">
        <v>54115.03</v>
      </c>
      <c r="I58" s="18" t="n">
        <v>52667.07</v>
      </c>
      <c r="J58" s="18" t="n">
        <v>55099.8</v>
      </c>
      <c r="K58" s="37" t="n">
        <v>215641.57</v>
      </c>
      <c r="L58" s="18" t="n">
        <v>53646.3</v>
      </c>
      <c r="M58" s="18" t="n">
        <v>58263.47</v>
      </c>
      <c r="N58" s="18" t="n">
        <v>53509.25</v>
      </c>
      <c r="O58" s="18" t="n">
        <v>56589.92</v>
      </c>
      <c r="P58" s="37" t="n">
        <v>222008.94</v>
      </c>
      <c r="Q58" s="18" t="n">
        <v>46715.52</v>
      </c>
      <c r="R58" s="18" t="n">
        <v>53533.17</v>
      </c>
      <c r="S58" s="18" t="n">
        <v>47207.51</v>
      </c>
      <c r="T58" s="18" t="n">
        <v>52613.66</v>
      </c>
      <c r="U58" s="37" t="n">
        <v>200069.86</v>
      </c>
      <c r="V58" s="18" t="n">
        <v>48720.45</v>
      </c>
      <c r="W58" s="18" t="n">
        <v>47083.91</v>
      </c>
      <c r="X58" s="18" t="n">
        <v>48593.34</v>
      </c>
      <c r="Y58" s="18" t="n">
        <v>47530.01</v>
      </c>
      <c r="Z58" s="37" t="n">
        <v>191927.71</v>
      </c>
      <c r="AA58" s="18" t="n">
        <v>53140.94</v>
      </c>
      <c r="AB58" s="19" t="n">
        <v>57018.25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5399.86</v>
      </c>
      <c r="F59" s="9" t="n"/>
      <c r="G59" s="18" t="n">
        <v>7647.11</v>
      </c>
      <c r="H59" s="18" t="n">
        <v>10657.98</v>
      </c>
      <c r="I59" s="18" t="n">
        <v>5036.3</v>
      </c>
      <c r="J59" s="18" t="n">
        <v>6502.6</v>
      </c>
      <c r="K59" s="37" t="n">
        <v>29843.99</v>
      </c>
      <c r="L59" s="18" t="n">
        <v>8022.38</v>
      </c>
      <c r="M59" s="18" t="n">
        <v>8214.389999999999</v>
      </c>
      <c r="N59" s="18" t="n">
        <v>5461.86</v>
      </c>
      <c r="O59" s="18" t="n">
        <v>4740.28</v>
      </c>
      <c r="P59" s="37" t="n">
        <v>26438.91</v>
      </c>
      <c r="Q59" s="18" t="n">
        <v>6270.1</v>
      </c>
      <c r="R59" s="18" t="n">
        <v>6307.16</v>
      </c>
      <c r="S59" s="18" t="n">
        <v>5903.47</v>
      </c>
      <c r="T59" s="18" t="n">
        <v>4897.67</v>
      </c>
      <c r="U59" s="37" t="n">
        <v>23378.4</v>
      </c>
      <c r="V59" s="18" t="n">
        <v>4646.83</v>
      </c>
      <c r="W59" s="18" t="n">
        <v>9016.959999999999</v>
      </c>
      <c r="X59" s="18" t="n">
        <v>7415.81</v>
      </c>
      <c r="Y59" s="18" t="n">
        <v>6393.07</v>
      </c>
      <c r="Z59" s="37" t="n">
        <v>27472.67</v>
      </c>
      <c r="AA59" s="18" t="n">
        <v>12978.9</v>
      </c>
      <c r="AB59" s="19" t="n">
        <v>14702.87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3114.29</v>
      </c>
      <c r="F60" s="9" t="n"/>
      <c r="G60" s="18" t="n">
        <v>4143.02</v>
      </c>
      <c r="H60" s="18" t="n">
        <v>4370.3</v>
      </c>
      <c r="I60" s="18" t="n">
        <v>4400.23</v>
      </c>
      <c r="J60" s="18" t="n">
        <v>5645.22</v>
      </c>
      <c r="K60" s="37" t="n">
        <v>18558.77</v>
      </c>
      <c r="L60" s="18" t="n">
        <v>4549.21</v>
      </c>
      <c r="M60" s="18" t="n">
        <v>4858.2</v>
      </c>
      <c r="N60" s="18" t="n">
        <v>4518.83</v>
      </c>
      <c r="O60" s="18" t="n">
        <v>7390.44</v>
      </c>
      <c r="P60" s="37" t="n">
        <v>21316.68</v>
      </c>
      <c r="Q60" s="18" t="n">
        <v>4416.81</v>
      </c>
      <c r="R60" s="18" t="n">
        <v>4176.07</v>
      </c>
      <c r="S60" s="18" t="n">
        <v>4629.26</v>
      </c>
      <c r="T60" s="18" t="n">
        <v>4125.79</v>
      </c>
      <c r="U60" s="37" t="n">
        <v>17347.93</v>
      </c>
      <c r="V60" s="18" t="n">
        <v>4392.6</v>
      </c>
      <c r="W60" s="18" t="n">
        <v>3848.44</v>
      </c>
      <c r="X60" s="18" t="n">
        <v>4627.74</v>
      </c>
      <c r="Y60" s="18" t="n">
        <v>6429.21</v>
      </c>
      <c r="Z60" s="37" t="n">
        <v>19297.99</v>
      </c>
      <c r="AA60" s="18" t="n">
        <v>4818.98</v>
      </c>
      <c r="AB60" s="19" t="n">
        <v>5476.91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2285.57</v>
      </c>
      <c r="F61" s="9" t="n"/>
      <c r="G61" s="18" t="n">
        <v>3504.09</v>
      </c>
      <c r="H61" s="18" t="n">
        <v>6287.68</v>
      </c>
      <c r="I61" s="18" t="n">
        <v>636.08</v>
      </c>
      <c r="J61" s="18" t="n">
        <v>857.38</v>
      </c>
      <c r="K61" s="37" t="n">
        <v>11285.23</v>
      </c>
      <c r="L61" s="18" t="n">
        <v>3473.17</v>
      </c>
      <c r="M61" s="18" t="n">
        <v>3356.19</v>
      </c>
      <c r="N61" s="18" t="n">
        <v>943.03</v>
      </c>
      <c r="O61" s="18" t="n">
        <v>-2650.17</v>
      </c>
      <c r="P61" s="37" t="n">
        <v>5122.22</v>
      </c>
      <c r="Q61" s="18" t="n">
        <v>1853.28</v>
      </c>
      <c r="R61" s="18" t="n">
        <v>2131.09</v>
      </c>
      <c r="S61" s="18" t="n">
        <v>1274.21</v>
      </c>
      <c r="T61" s="18" t="n">
        <v>771.87</v>
      </c>
      <c r="U61" s="37" t="n">
        <v>6030.45</v>
      </c>
      <c r="V61" s="18" t="n">
        <v>254.23</v>
      </c>
      <c r="W61" s="18" t="n">
        <v>5168.52</v>
      </c>
      <c r="X61" s="18" t="n">
        <v>2788.07</v>
      </c>
      <c r="Y61" s="18" t="n">
        <v>-36.15</v>
      </c>
      <c r="Z61" s="37" t="n">
        <v>8174.67</v>
      </c>
      <c r="AA61" s="18" t="n">
        <v>8159.92</v>
      </c>
      <c r="AB61" s="19" t="n">
        <v>9225.959999999999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139.53</v>
      </c>
      <c r="F62" s="9" t="n"/>
      <c r="G62" s="18" t="n">
        <v>288.08</v>
      </c>
      <c r="H62" s="18" t="n">
        <v>655.8</v>
      </c>
      <c r="I62" s="18" t="n">
        <v>1094.05</v>
      </c>
      <c r="J62" s="18" t="n">
        <v>-128.25</v>
      </c>
      <c r="K62" s="37" t="n">
        <v>1909.68</v>
      </c>
      <c r="L62" s="18" t="n">
        <v>666.8099999999999</v>
      </c>
      <c r="M62" s="18" t="n">
        <v>299.59</v>
      </c>
      <c r="N62" s="18" t="n">
        <v>456.46</v>
      </c>
      <c r="O62" s="18" t="n">
        <v>265.08</v>
      </c>
      <c r="P62" s="37" t="n">
        <v>1687.94</v>
      </c>
      <c r="Q62" s="18" t="n">
        <v>558.67</v>
      </c>
      <c r="R62" s="18" t="n">
        <v>372.34</v>
      </c>
      <c r="S62" s="18" t="n">
        <v>58</v>
      </c>
      <c r="T62" s="18" t="n">
        <v>1006.06</v>
      </c>
      <c r="U62" s="37" t="n">
        <v>1995.07</v>
      </c>
      <c r="V62" s="18" t="n">
        <v>388.26</v>
      </c>
      <c r="W62" s="18" t="n">
        <v>4979.8</v>
      </c>
      <c r="X62" s="18" t="n">
        <v>7.12</v>
      </c>
      <c r="Y62" s="18" t="n">
        <v>-2612.72</v>
      </c>
      <c r="Z62" s="37" t="n">
        <v>2762.46</v>
      </c>
      <c r="AA62" s="18" t="n">
        <v>6882.92</v>
      </c>
      <c r="AB62" s="19" t="n">
        <v>13660.59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824.1900000000001</v>
      </c>
      <c r="F63" s="9" t="n"/>
      <c r="G63" s="18" t="n">
        <v>1211.56</v>
      </c>
      <c r="H63" s="18" t="n">
        <v>1157.98</v>
      </c>
      <c r="I63" s="18" t="n">
        <v>1070.87</v>
      </c>
      <c r="J63" s="18" t="n">
        <v>1949.48</v>
      </c>
      <c r="K63" s="37" t="n">
        <v>5389.89</v>
      </c>
      <c r="L63" s="18" t="n">
        <v>1837.02</v>
      </c>
      <c r="M63" s="18" t="n">
        <v>1721.34</v>
      </c>
      <c r="N63" s="18" t="n">
        <v>1717.07</v>
      </c>
      <c r="O63" s="18" t="n">
        <v>1729.87</v>
      </c>
      <c r="P63" s="37" t="n">
        <v>7005.3</v>
      </c>
      <c r="Q63" s="18" t="n">
        <v>1298.12</v>
      </c>
      <c r="R63" s="18" t="n">
        <v>1266.93</v>
      </c>
      <c r="S63" s="18" t="n">
        <v>1271.32</v>
      </c>
      <c r="T63" s="18" t="n">
        <v>896.5700000000001</v>
      </c>
      <c r="U63" s="37" t="n">
        <v>4732.94</v>
      </c>
      <c r="V63" s="18" t="n">
        <v>1160.4</v>
      </c>
      <c r="W63" s="18" t="n">
        <v>2654.33</v>
      </c>
      <c r="X63" s="18" t="n">
        <v>685.3200000000001</v>
      </c>
      <c r="Y63" s="18" t="n">
        <v>577.52</v>
      </c>
      <c r="Z63" s="37" t="n">
        <v>5077.57</v>
      </c>
      <c r="AA63" s="18" t="n">
        <v>19143.94</v>
      </c>
      <c r="AB63" s="19" t="n">
        <v>15289.12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370.5</v>
      </c>
      <c r="F64" s="9" t="n"/>
      <c r="G64" s="18" t="n">
        <v>9181.549999999999</v>
      </c>
      <c r="H64" s="18" t="n">
        <v>22.39</v>
      </c>
      <c r="I64" s="18" t="n">
        <v>108.46</v>
      </c>
      <c r="J64" s="18" t="n">
        <v>2346.04</v>
      </c>
      <c r="K64" s="37" t="n">
        <v>11658.44</v>
      </c>
      <c r="L64" s="18" t="n">
        <v>166.8</v>
      </c>
      <c r="M64" s="18" t="n">
        <v>113.4</v>
      </c>
      <c r="N64" s="18" t="n">
        <v>203.61</v>
      </c>
      <c r="O64" s="18" t="n">
        <v>171.49</v>
      </c>
      <c r="P64" s="37" t="n">
        <v>655.3</v>
      </c>
      <c r="Q64" s="18" t="n">
        <v>222.98</v>
      </c>
      <c r="R64" s="18" t="n">
        <v>97.73</v>
      </c>
      <c r="S64" s="18" t="n">
        <v>121.47</v>
      </c>
      <c r="T64" s="18" t="n">
        <v>68.3</v>
      </c>
      <c r="U64" s="37" t="n">
        <v>510.48</v>
      </c>
      <c r="V64" s="18" t="n">
        <v>45.81</v>
      </c>
      <c r="W64" s="18" t="n">
        <v>147.46</v>
      </c>
      <c r="X64" s="18" t="n">
        <v>211.99</v>
      </c>
      <c r="Y64" s="18" t="n">
        <v>86.91</v>
      </c>
      <c r="Z64" s="37" t="n">
        <v>492.17</v>
      </c>
      <c r="AA64" s="18" t="n">
        <v>161.21</v>
      </c>
      <c r="AB64" s="19" t="n">
        <v>80.14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48.02</v>
      </c>
      <c r="F65" s="9" t="n"/>
      <c r="G65" s="18" t="n">
        <v>234.91</v>
      </c>
      <c r="H65" s="18" t="n">
        <v>6.07</v>
      </c>
      <c r="I65" s="18" t="n">
        <v>10.77</v>
      </c>
      <c r="J65" s="18" t="n">
        <v>456.76</v>
      </c>
      <c r="K65" s="37" t="n">
        <v>708.51</v>
      </c>
      <c r="L65" s="18" t="n">
        <v>99.75</v>
      </c>
      <c r="M65" s="18" t="n">
        <v>297.51</v>
      </c>
      <c r="N65" s="18" t="n">
        <v>86.22</v>
      </c>
      <c r="O65" s="18" t="n">
        <v>2787.3</v>
      </c>
      <c r="P65" s="37" t="n">
        <v>3270.78</v>
      </c>
      <c r="Q65" s="18" t="n">
        <v>92.15000000000001</v>
      </c>
      <c r="R65" s="18" t="n">
        <v>19</v>
      </c>
      <c r="S65" s="18" t="n">
        <v>298.16</v>
      </c>
      <c r="T65" s="18" t="n">
        <v>2754.4</v>
      </c>
      <c r="U65" s="37" t="n">
        <v>3163.71</v>
      </c>
      <c r="V65" s="18" t="n">
        <v>8.23</v>
      </c>
      <c r="W65" s="18" t="n">
        <v>790.64</v>
      </c>
      <c r="X65" s="18" t="n">
        <v>208.99</v>
      </c>
      <c r="Y65" s="18" t="n">
        <v>335.94</v>
      </c>
      <c r="Z65" s="37" t="n">
        <v>1343.8</v>
      </c>
      <c r="AA65" s="18" t="n">
        <v>255.63</v>
      </c>
      <c r="AB65" s="19" t="n">
        <v>72.59999999999999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1902.96</v>
      </c>
      <c r="F66" s="9" t="n"/>
      <c r="G66" s="18" t="n">
        <v>11501.15</v>
      </c>
      <c r="H66" s="18" t="n">
        <v>5786.34</v>
      </c>
      <c r="I66" s="18" t="n">
        <v>734.27</v>
      </c>
      <c r="J66" s="18" t="n">
        <v>642.0599999999999</v>
      </c>
      <c r="K66" s="37" t="n">
        <v>18663.82</v>
      </c>
      <c r="L66" s="18" t="n">
        <v>2353.29</v>
      </c>
      <c r="M66" s="18" t="n">
        <v>1791.16</v>
      </c>
      <c r="N66" s="18" t="n">
        <v>-196.92</v>
      </c>
      <c r="O66" s="18" t="n">
        <v>-6733.52</v>
      </c>
      <c r="P66" s="37" t="n">
        <v>-2785.99</v>
      </c>
      <c r="Q66" s="18" t="n">
        <v>1240.57</v>
      </c>
      <c r="R66" s="18" t="n">
        <v>1306.65</v>
      </c>
      <c r="S66" s="18" t="n">
        <v>-120.63</v>
      </c>
      <c r="T66" s="18" t="n">
        <v>-1816.59</v>
      </c>
      <c r="U66" s="37" t="n">
        <v>610</v>
      </c>
      <c r="V66" s="18" t="n">
        <v>-518.84</v>
      </c>
      <c r="W66" s="18" t="n">
        <v>6850.82</v>
      </c>
      <c r="X66" s="18" t="n">
        <v>2112.87</v>
      </c>
      <c r="Y66" s="18" t="n">
        <v>-3475.41</v>
      </c>
      <c r="Z66" s="37" t="n">
        <v>4969.44</v>
      </c>
      <c r="AA66" s="18" t="n">
        <v>-4195.52</v>
      </c>
      <c r="AB66" s="19" t="n">
        <v>7604.98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2873.35</v>
      </c>
      <c r="F67" s="9" t="n"/>
      <c r="G67" s="18" t="n">
        <v>-2.82</v>
      </c>
      <c r="H67" s="18" t="n">
        <v>4315.52</v>
      </c>
      <c r="I67" s="18" t="n">
        <v>-2.82</v>
      </c>
      <c r="J67" s="18" t="n">
        <v>-610.78</v>
      </c>
      <c r="K67" s="37" t="n">
        <v>3699.1</v>
      </c>
      <c r="L67" s="18" t="n">
        <v>-7.15</v>
      </c>
      <c r="M67" s="18" t="n">
        <v>-913.29</v>
      </c>
      <c r="N67" s="18" t="n">
        <v>-0.41</v>
      </c>
      <c r="O67" s="18" t="n">
        <v>-416.23</v>
      </c>
      <c r="P67" s="37" t="n">
        <v>-1337.08</v>
      </c>
      <c r="Q67" s="18" t="n">
        <v>-0.41</v>
      </c>
      <c r="R67" s="18" t="n">
        <v>288.97</v>
      </c>
      <c r="S67" s="18" t="n">
        <v>117.95</v>
      </c>
      <c r="T67" s="18" t="n">
        <v>-279.54</v>
      </c>
      <c r="U67" s="37" t="n">
        <v>126.97</v>
      </c>
      <c r="V67" s="18" t="n">
        <v>-0.41</v>
      </c>
      <c r="W67" s="18" t="n">
        <v>1434.79</v>
      </c>
      <c r="X67" s="18" t="n">
        <v>2.24</v>
      </c>
      <c r="Y67" s="18" t="n">
        <v>-192.26</v>
      </c>
      <c r="Z67" s="37" t="n">
        <v>1244.36</v>
      </c>
      <c r="AA67" s="18" t="n">
        <v>-175.94</v>
      </c>
      <c r="AB67" s="19" t="n">
        <v>3637.52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-970.39</v>
      </c>
      <c r="F68" s="9" t="n"/>
      <c r="G68" s="18" t="n">
        <v>11503.97</v>
      </c>
      <c r="H68" s="18" t="n">
        <v>1470.82</v>
      </c>
      <c r="I68" s="18" t="n">
        <v>737.1</v>
      </c>
      <c r="J68" s="18" t="n">
        <v>1252.84</v>
      </c>
      <c r="K68" s="37" t="n">
        <v>14964.73</v>
      </c>
      <c r="L68" s="18" t="n">
        <v>2360.44</v>
      </c>
      <c r="M68" s="18" t="n">
        <v>2704.45</v>
      </c>
      <c r="N68" s="18" t="n">
        <v>-196.51</v>
      </c>
      <c r="O68" s="18" t="n">
        <v>-6317.29</v>
      </c>
      <c r="P68" s="37" t="n">
        <v>-1448.91</v>
      </c>
      <c r="Q68" s="18" t="n">
        <v>1240.97</v>
      </c>
      <c r="R68" s="18" t="n">
        <v>1017.68</v>
      </c>
      <c r="S68" s="18" t="n">
        <v>-238.58</v>
      </c>
      <c r="T68" s="18" t="n">
        <v>-1537.05</v>
      </c>
      <c r="U68" s="37" t="n">
        <v>483.02</v>
      </c>
      <c r="V68" s="18" t="n">
        <v>-518.4299999999999</v>
      </c>
      <c r="W68" s="18" t="n">
        <v>5416.03</v>
      </c>
      <c r="X68" s="18" t="n">
        <v>2110.64</v>
      </c>
      <c r="Y68" s="18" t="n">
        <v>-3283.15</v>
      </c>
      <c r="Z68" s="37" t="n">
        <v>3725.09</v>
      </c>
      <c r="AA68" s="18" t="n">
        <v>-4019.58</v>
      </c>
      <c r="AB68" s="19" t="n">
        <v>3967.47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-3113.61</v>
      </c>
      <c r="F69" s="9" t="n"/>
      <c r="G69" s="18" t="n">
        <v>12256.13</v>
      </c>
      <c r="H69" s="18" t="n">
        <v>765.64</v>
      </c>
      <c r="I69" s="18" t="n">
        <v>508.98</v>
      </c>
      <c r="J69" s="18" t="n">
        <v>1334.47</v>
      </c>
      <c r="K69" s="37" t="n">
        <v>14865.22</v>
      </c>
      <c r="L69" s="18" t="n">
        <v>2376.88</v>
      </c>
      <c r="M69" s="18" t="n">
        <v>1992.69</v>
      </c>
      <c r="N69" s="18" t="n">
        <v>-332.15</v>
      </c>
      <c r="O69" s="18" t="n">
        <v>-4772.34</v>
      </c>
      <c r="P69" s="37" t="n">
        <v>-734.92</v>
      </c>
      <c r="Q69" s="18" t="n">
        <v>500.84</v>
      </c>
      <c r="R69" s="18" t="n">
        <v>1536.42</v>
      </c>
      <c r="S69" s="18" t="n">
        <v>-319.44</v>
      </c>
      <c r="T69" s="18" t="n">
        <v>-3941.98</v>
      </c>
      <c r="U69" s="37" t="n">
        <v>-2224.16</v>
      </c>
      <c r="V69" s="18" t="n">
        <v>-150.47</v>
      </c>
      <c r="W69" s="18" t="n">
        <v>2440.84</v>
      </c>
      <c r="X69" s="18" t="n">
        <v>9651.469999999999</v>
      </c>
      <c r="Y69" s="18" t="n">
        <v>-4836.34</v>
      </c>
      <c r="Z69" s="37" t="n">
        <v>7105.5</v>
      </c>
      <c r="AA69" s="18" t="n">
        <v>-2913.94</v>
      </c>
      <c r="AB69" s="19" t="n">
        <v>3357.04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-1129.46</v>
      </c>
      <c r="F70" s="9" t="n"/>
      <c r="G70" s="18" t="n">
        <v>11212.72</v>
      </c>
      <c r="H70" s="18" t="n">
        <v>1203.96</v>
      </c>
      <c r="I70" s="18" t="n">
        <v>198.34</v>
      </c>
      <c r="J70" s="18" t="n">
        <v>1206.51</v>
      </c>
      <c r="K70" s="37" t="n">
        <v>13821.53</v>
      </c>
      <c r="L70" s="18" t="n">
        <v>1966.42</v>
      </c>
      <c r="M70" s="18" t="n">
        <v>2391.05</v>
      </c>
      <c r="N70" s="18" t="n">
        <v>-355.6</v>
      </c>
      <c r="O70" s="18" t="n">
        <v>-6327.72</v>
      </c>
      <c r="P70" s="37" t="n">
        <v>-2325.85</v>
      </c>
      <c r="Q70" s="18" t="n">
        <v>604.67</v>
      </c>
      <c r="R70" s="18" t="n">
        <v>605.39</v>
      </c>
      <c r="S70" s="18" t="n">
        <v>-347.75</v>
      </c>
      <c r="T70" s="18" t="n">
        <v>-2090.79</v>
      </c>
      <c r="U70" s="37" t="n">
        <v>-1228.48</v>
      </c>
      <c r="V70" s="18" t="n">
        <v>-1207.59</v>
      </c>
      <c r="W70" s="18" t="n">
        <v>3764.89</v>
      </c>
      <c r="X70" s="18" t="n">
        <v>1099.91</v>
      </c>
      <c r="Y70" s="18" t="n">
        <v>-3330.32</v>
      </c>
      <c r="Z70" s="37" t="n">
        <v>326.89</v>
      </c>
      <c r="AA70" s="18" t="n">
        <v>-2098.52</v>
      </c>
      <c r="AB70" s="19" t="n">
        <v>3002.42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159.08</v>
      </c>
      <c r="F71" s="9" t="n"/>
      <c r="G71" s="18" t="n">
        <v>291.26</v>
      </c>
      <c r="H71" s="18" t="n">
        <v>266.86</v>
      </c>
      <c r="I71" s="18" t="n">
        <v>538.76</v>
      </c>
      <c r="J71" s="18" t="n">
        <v>46.32</v>
      </c>
      <c r="K71" s="37" t="n">
        <v>1143.2</v>
      </c>
      <c r="L71" s="18" t="n">
        <v>394.02</v>
      </c>
      <c r="M71" s="18" t="n">
        <v>313.4</v>
      </c>
      <c r="N71" s="18" t="n">
        <v>159.09</v>
      </c>
      <c r="O71" s="18" t="n">
        <v>10.43</v>
      </c>
      <c r="P71" s="37" t="n">
        <v>876.9400000000001</v>
      </c>
      <c r="Q71" s="18" t="n">
        <v>636.3099999999999</v>
      </c>
      <c r="R71" s="18" t="n">
        <v>412.29</v>
      </c>
      <c r="S71" s="18" t="n">
        <v>109.17</v>
      </c>
      <c r="T71" s="18" t="n">
        <v>553.74</v>
      </c>
      <c r="U71" s="37" t="n">
        <v>1711.51</v>
      </c>
      <c r="V71" s="18" t="n">
        <v>689.16</v>
      </c>
      <c r="W71" s="18" t="n">
        <v>1617.29</v>
      </c>
      <c r="X71" s="18" t="n">
        <v>1010.72</v>
      </c>
      <c r="Y71" s="18" t="n">
        <v>47.17</v>
      </c>
      <c r="Z71" s="37" t="n">
        <v>3364.34</v>
      </c>
      <c r="AA71" s="18" t="n">
        <v>-1921.06</v>
      </c>
      <c r="AB71" s="19" t="n">
        <v>965.04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-684.66</v>
      </c>
      <c r="F72" s="9" t="n"/>
      <c r="G72" s="18" t="n">
        <v>-923.48</v>
      </c>
      <c r="H72" s="18" t="n">
        <v>-502.18</v>
      </c>
      <c r="I72" s="18" t="n">
        <v>23.18</v>
      </c>
      <c r="J72" s="18" t="n">
        <v>-2077.73</v>
      </c>
      <c r="K72" s="37" t="n">
        <v>-3480.21</v>
      </c>
      <c r="L72" s="18" t="n">
        <v>-1170.21</v>
      </c>
      <c r="M72" s="18" t="n">
        <v>-1421.75</v>
      </c>
      <c r="N72" s="18" t="n">
        <v>-1260.61</v>
      </c>
      <c r="O72" s="18" t="n">
        <v>-1464.79</v>
      </c>
      <c r="P72" s="37" t="n">
        <v>-5317.36</v>
      </c>
      <c r="Q72" s="18" t="n">
        <v>-739.45</v>
      </c>
      <c r="R72" s="18" t="n">
        <v>-894.59</v>
      </c>
      <c r="S72" s="18" t="n">
        <v>-1213.32</v>
      </c>
      <c r="T72" s="18" t="n">
        <v>109.49</v>
      </c>
      <c r="U72" s="37" t="n">
        <v>-2737.87</v>
      </c>
      <c r="V72" s="18" t="n">
        <v>-772.14</v>
      </c>
      <c r="W72" s="18" t="n">
        <v>2325.47</v>
      </c>
      <c r="X72" s="18" t="n">
        <v>-678.2</v>
      </c>
      <c r="Y72" s="18" t="n">
        <v>-3190.24</v>
      </c>
      <c r="Z72" s="37" t="n">
        <v>-2315.11</v>
      </c>
      <c r="AA72" s="18" t="n">
        <v>-12261.02</v>
      </c>
      <c r="AB72" s="19" t="n">
        <v>-1628.53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322.48</v>
      </c>
      <c r="F73" s="9" t="n"/>
      <c r="G73" s="18" t="n">
        <v>8946.639999999999</v>
      </c>
      <c r="H73" s="18" t="n">
        <v>16.32</v>
      </c>
      <c r="I73" s="18" t="n">
        <v>97.69</v>
      </c>
      <c r="J73" s="18" t="n">
        <v>1889.28</v>
      </c>
      <c r="K73" s="37" t="n">
        <v>10949.93</v>
      </c>
      <c r="L73" s="18" t="n">
        <v>67.05</v>
      </c>
      <c r="M73" s="18" t="n">
        <v>-184.11</v>
      </c>
      <c r="N73" s="18" t="n">
        <v>117.39</v>
      </c>
      <c r="O73" s="18" t="n">
        <v>-2615.81</v>
      </c>
      <c r="P73" s="37" t="n">
        <v>-2615.48</v>
      </c>
      <c r="Q73" s="18" t="n">
        <v>130.83</v>
      </c>
      <c r="R73" s="18" t="n">
        <v>78.73</v>
      </c>
      <c r="S73" s="18" t="n">
        <v>-176.69</v>
      </c>
      <c r="T73" s="18" t="n">
        <v>-2686.1</v>
      </c>
      <c r="U73" s="37" t="n">
        <v>-2653.23</v>
      </c>
      <c r="V73" s="18" t="n">
        <v>37.58</v>
      </c>
      <c r="W73" s="18" t="n">
        <v>-643.1799999999999</v>
      </c>
      <c r="X73" s="18" t="n">
        <v>3</v>
      </c>
      <c r="Y73" s="18" t="n">
        <v>-249.03</v>
      </c>
      <c r="Z73" s="37" t="n">
        <v>-851.63</v>
      </c>
      <c r="AA73" s="18" t="n">
        <v>-94.42</v>
      </c>
      <c r="AB73" s="19" t="n">
        <v>7.54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-970.39</v>
      </c>
      <c r="F74" s="9" t="n"/>
      <c r="G74" s="18" t="n">
        <v>11503.97</v>
      </c>
      <c r="H74" s="18" t="n">
        <v>1470.82</v>
      </c>
      <c r="I74" s="18" t="n">
        <v>737.1</v>
      </c>
      <c r="J74" s="18" t="n">
        <v>1252.84</v>
      </c>
      <c r="K74" s="37" t="n">
        <v>14964.73</v>
      </c>
      <c r="L74" s="18" t="n">
        <v>2360.44</v>
      </c>
      <c r="M74" s="18" t="n">
        <v>2704.45</v>
      </c>
      <c r="N74" s="18" t="n">
        <v>-196.51</v>
      </c>
      <c r="O74" s="18" t="n">
        <v>-6317.29</v>
      </c>
      <c r="P74" s="37" t="n">
        <v>-1448.91</v>
      </c>
      <c r="Q74" s="18" t="n">
        <v>1240.97</v>
      </c>
      <c r="R74" s="18" t="n">
        <v>1017.68</v>
      </c>
      <c r="S74" s="18" t="n">
        <v>-238.58</v>
      </c>
      <c r="T74" s="18" t="n">
        <v>-1537.05</v>
      </c>
      <c r="U74" s="37" t="n">
        <v>483.02</v>
      </c>
      <c r="V74" s="18" t="n">
        <v>-518.4299999999999</v>
      </c>
      <c r="W74" s="18" t="n">
        <v>5416.03</v>
      </c>
      <c r="X74" s="18" t="n">
        <v>2110.64</v>
      </c>
      <c r="Y74" s="18" t="n">
        <v>-3283.15</v>
      </c>
      <c r="Z74" s="37" t="n">
        <v>3725.09</v>
      </c>
      <c r="AA74" s="18" t="n">
        <v>-4019.58</v>
      </c>
      <c r="AB74" s="19" t="n">
        <v>3967.47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20.98</v>
      </c>
      <c r="H75" s="18" t="n">
        <v>17.36</v>
      </c>
      <c r="I75" s="18" t="n">
        <v>33.58</v>
      </c>
      <c r="J75" s="18" t="n">
        <v>63.39</v>
      </c>
      <c r="K75" s="37" t="n">
        <v>135.31</v>
      </c>
      <c r="L75" s="18" t="n">
        <v>50.91</v>
      </c>
      <c r="M75" s="18" t="n">
        <v>47.37</v>
      </c>
      <c r="N75" s="18" t="n">
        <v>56.83</v>
      </c>
      <c r="O75" s="18" t="n">
        <v>130.86</v>
      </c>
      <c r="P75" s="37" t="n">
        <v>285.97</v>
      </c>
      <c r="Q75" s="18" t="n">
        <v>94.34999999999999</v>
      </c>
      <c r="R75" s="18" t="n">
        <v>87.65000000000001</v>
      </c>
      <c r="S75" s="18" t="n">
        <v>90.69</v>
      </c>
      <c r="T75" s="18" t="n">
        <v>108.92</v>
      </c>
      <c r="U75" s="37" t="n">
        <v>381.61</v>
      </c>
      <c r="V75" s="18" t="n">
        <v>70.33</v>
      </c>
      <c r="W75" s="18" t="n">
        <v>92.94</v>
      </c>
      <c r="X75" s="18" t="n">
        <v>-43.52</v>
      </c>
      <c r="Y75" s="18" t="n">
        <v>128.37</v>
      </c>
      <c r="Z75" s="37" t="n">
        <v>248.12</v>
      </c>
      <c r="AB75" s="19" t="n">
        <v>149.41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619.85</v>
      </c>
      <c r="H76" s="18" t="n">
        <v>712.25</v>
      </c>
      <c r="I76" s="18" t="n">
        <v>928.51</v>
      </c>
      <c r="J76" s="18" t="n">
        <v>1198.4</v>
      </c>
      <c r="K76" s="37" t="n">
        <v>3459.01</v>
      </c>
      <c r="L76" s="18" t="n">
        <v>1301.27</v>
      </c>
      <c r="M76" s="18" t="n">
        <v>1403.15</v>
      </c>
      <c r="N76" s="18" t="n">
        <v>1495.49</v>
      </c>
      <c r="O76" s="18" t="n">
        <v>1390.47</v>
      </c>
      <c r="P76" s="37" t="n">
        <v>5590.38</v>
      </c>
      <c r="Q76" s="18" t="n">
        <v>1032.8</v>
      </c>
      <c r="R76" s="18" t="n">
        <v>1091.39</v>
      </c>
      <c r="S76" s="18" t="n">
        <v>949.03</v>
      </c>
      <c r="T76" s="18" t="n">
        <v>761.7</v>
      </c>
      <c r="U76" s="37" t="n">
        <v>3834.92</v>
      </c>
      <c r="V76" s="18" t="n">
        <v>823.6799999999999</v>
      </c>
      <c r="W76" s="18" t="n">
        <v>926.95</v>
      </c>
      <c r="X76" s="18" t="n">
        <v>724.71</v>
      </c>
      <c r="Y76" s="18" t="n">
        <v>834.1799999999999</v>
      </c>
      <c r="Z76" s="37" t="n">
        <v>3309.52</v>
      </c>
      <c r="AB76" s="19" t="n">
        <v>1144.75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117.34</v>
      </c>
      <c r="H77" s="18" t="n">
        <v>355.62</v>
      </c>
      <c r="I77" s="18" t="n">
        <v>437.89</v>
      </c>
      <c r="J77" s="18" t="n">
        <v>634.27</v>
      </c>
      <c r="K77" s="37" t="n">
        <v>1545.12</v>
      </c>
      <c r="L77" s="18" t="n">
        <v>420.89</v>
      </c>
      <c r="M77" s="18" t="n">
        <v>295.15</v>
      </c>
      <c r="N77" s="18" t="n">
        <v>264.19</v>
      </c>
      <c r="O77" s="18" t="n">
        <v>300.48</v>
      </c>
      <c r="P77" s="37" t="n">
        <v>1280.71</v>
      </c>
      <c r="Q77" s="18" t="n">
        <v>293.18</v>
      </c>
      <c r="R77" s="18" t="n">
        <v>254.23</v>
      </c>
      <c r="S77" s="18" t="n">
        <v>121.92</v>
      </c>
      <c r="T77" s="18" t="n">
        <v>322.47</v>
      </c>
      <c r="U77" s="37" t="n">
        <v>991.8</v>
      </c>
      <c r="V77" s="18" t="n">
        <v>58.49</v>
      </c>
      <c r="W77" s="18" t="n">
        <v>309.75</v>
      </c>
      <c r="X77" s="18" t="n">
        <v>112.18</v>
      </c>
      <c r="Y77" s="18" t="n">
        <v>307.29</v>
      </c>
      <c r="Z77" s="37" t="n">
        <v>787.71</v>
      </c>
      <c r="AB77" s="19" t="n">
        <v>435.57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408.6</v>
      </c>
      <c r="H78" s="18" t="n">
        <v>578.83</v>
      </c>
      <c r="I78" s="18" t="n">
        <v>141.79</v>
      </c>
      <c r="J78" s="18" t="n">
        <v>332.03</v>
      </c>
      <c r="K78" s="37" t="n">
        <v>1461.25</v>
      </c>
      <c r="L78" s="18" t="n">
        <v>419.77</v>
      </c>
      <c r="M78" s="18" t="n">
        <v>327.54</v>
      </c>
      <c r="N78" s="18" t="n">
        <v>273.46</v>
      </c>
      <c r="O78" s="18" t="n">
        <v>245.88</v>
      </c>
      <c r="P78" s="37" t="n">
        <v>1266.65</v>
      </c>
      <c r="Q78" s="18" t="n">
        <v>202.25</v>
      </c>
      <c r="R78" s="18" t="n">
        <v>190.23</v>
      </c>
      <c r="S78" s="18" t="n">
        <v>131.65</v>
      </c>
      <c r="T78" s="18" t="n">
        <v>246.37</v>
      </c>
      <c r="U78" s="37" t="n">
        <v>770.5</v>
      </c>
      <c r="V78" s="18" t="n">
        <v>323.28</v>
      </c>
      <c r="W78" s="18" t="n">
        <v>358.43</v>
      </c>
      <c r="X78" s="18" t="n">
        <v>231.84</v>
      </c>
      <c r="Y78" s="18" t="n">
        <v>102.63</v>
      </c>
      <c r="Z78" s="37" t="n">
        <v>1016.18</v>
      </c>
      <c r="AB78" s="19" t="n">
        <v>197.03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149.76</v>
      </c>
      <c r="H79" s="18" t="n">
        <v>282.82</v>
      </c>
      <c r="I79" s="18" t="n">
        <v>622.58</v>
      </c>
      <c r="J79" s="18" t="n">
        <v>-825.91</v>
      </c>
      <c r="K79" s="37" t="n">
        <v>229.25</v>
      </c>
      <c r="L79" s="18" t="n">
        <v>195.01</v>
      </c>
      <c r="M79" s="18" t="n">
        <v>-42.93</v>
      </c>
      <c r="N79" s="18" t="n">
        <v>135.44</v>
      </c>
      <c r="O79" s="18" t="n">
        <v>-166.27</v>
      </c>
      <c r="P79" s="37" t="n">
        <v>121.25</v>
      </c>
      <c r="Q79" s="18" t="n">
        <v>171.14</v>
      </c>
      <c r="R79" s="18" t="n">
        <v>30.47</v>
      </c>
      <c r="S79" s="18" t="n">
        <v>-154.6</v>
      </c>
      <c r="T79" s="18" t="n">
        <v>574.66</v>
      </c>
      <c r="U79" s="37" t="n">
        <v>621.67</v>
      </c>
      <c r="V79" s="18" t="n">
        <v>189.71</v>
      </c>
      <c r="W79" s="18" t="n">
        <v>-154.92</v>
      </c>
      <c r="X79" s="18" t="n">
        <v>55.33</v>
      </c>
      <c r="Y79" s="18" t="n">
        <v>-9.02</v>
      </c>
      <c r="Z79" s="37" t="n">
        <v>81.09999999999999</v>
      </c>
      <c r="AB79" s="19" t="n">
        <v>-106.27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183.12</v>
      </c>
      <c r="H80" s="18" t="n">
        <v>-133.1</v>
      </c>
      <c r="I80" s="18" t="n">
        <v>0.57</v>
      </c>
      <c r="J80" s="18" t="n">
        <v>419.06</v>
      </c>
      <c r="K80" s="37" t="n">
        <v>469.65</v>
      </c>
      <c r="L80" s="18" t="n">
        <v>115.98</v>
      </c>
      <c r="M80" s="18" t="n">
        <v>-9.35</v>
      </c>
      <c r="N80" s="18" t="n">
        <v>-51.88</v>
      </c>
      <c r="O80" s="18" t="n">
        <v>93.52</v>
      </c>
      <c r="P80" s="37" t="n">
        <v>148.27</v>
      </c>
      <c r="Q80" s="18" t="n">
        <v>63.06</v>
      </c>
      <c r="R80" s="18" t="n">
        <v>-40.13</v>
      </c>
      <c r="S80" s="18" t="n">
        <v>190.63</v>
      </c>
      <c r="T80" s="18" t="n">
        <v>-111.49</v>
      </c>
      <c r="U80" s="37" t="n">
        <v>102.07</v>
      </c>
      <c r="V80" s="18" t="n">
        <v>13.44</v>
      </c>
      <c r="W80" s="18" t="n">
        <v>305.11</v>
      </c>
      <c r="X80" s="18" t="n">
        <v>-271.23</v>
      </c>
      <c r="Y80" s="18" t="n">
        <v>139.31</v>
      </c>
      <c r="Z80" s="37" t="n">
        <v>186.63</v>
      </c>
      <c r="AB80" s="19" t="n">
        <v>-22.96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-598.87</v>
      </c>
      <c r="H81" s="18" t="n">
        <v>-694.89</v>
      </c>
      <c r="I81" s="18" t="n">
        <v>-894.9299999999999</v>
      </c>
      <c r="J81" s="18" t="n">
        <v>-1135.01</v>
      </c>
      <c r="K81" s="37" t="n">
        <v>-3323.7</v>
      </c>
      <c r="L81" s="18" t="n">
        <v>-1250.36</v>
      </c>
      <c r="M81" s="18" t="n">
        <v>-1355.78</v>
      </c>
      <c r="N81" s="18" t="n">
        <v>-1438.66</v>
      </c>
      <c r="O81" s="18" t="n">
        <v>-1259.61</v>
      </c>
      <c r="P81" s="37" t="n">
        <v>-5304.41</v>
      </c>
      <c r="Q81" s="18" t="n">
        <v>-938.45</v>
      </c>
      <c r="R81" s="18" t="n">
        <v>-1003.74</v>
      </c>
      <c r="S81" s="18" t="n">
        <v>-858.34</v>
      </c>
      <c r="T81" s="18" t="n">
        <v>-652.78</v>
      </c>
      <c r="U81" s="37" t="n">
        <v>-3453.31</v>
      </c>
      <c r="V81" s="18" t="n">
        <v>-753.35</v>
      </c>
      <c r="W81" s="18" t="n">
        <v>-834.01</v>
      </c>
      <c r="X81" s="18" t="n">
        <v>-768.23</v>
      </c>
      <c r="Y81" s="18" t="n">
        <v>-705.8099999999999</v>
      </c>
      <c r="Z81" s="37" t="n">
        <v>-3061.4</v>
      </c>
      <c r="AB81" s="19" t="n">
        <v>-995.34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K82" s="9" t="n"/>
      <c r="P82" s="9" t="n"/>
      <c r="U82" s="9" t="n"/>
      <c r="W82" s="18" t="n">
        <v>4557.25</v>
      </c>
      <c r="X82" s="18" t="n">
        <v>0</v>
      </c>
      <c r="Y82" s="18" t="n">
        <v>-2981.47</v>
      </c>
      <c r="Z82" s="9" t="n"/>
      <c r="AB82" s="19" t="n">
        <v>13231.27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파생상품손실</t>
        </is>
      </c>
      <c r="F83" s="9" t="n"/>
      <c r="K83" s="9" t="n"/>
      <c r="P83" s="9" t="n"/>
      <c r="U83" s="9" t="n"/>
      <c r="W83" s="18" t="n">
        <v>1063.84</v>
      </c>
      <c r="X83" s="18" t="n">
        <v>0</v>
      </c>
      <c r="Y83" s="18" t="n">
        <v>-498.62</v>
      </c>
      <c r="Z83" s="9" t="n"/>
      <c r="AB83" s="19" t="n">
        <v>12408.05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23553.35</v>
      </c>
      <c r="F84" s="9" t="n"/>
      <c r="G84" s="18" t="n">
        <v>-6348.39</v>
      </c>
      <c r="H84" s="18" t="n">
        <v>-10704.54</v>
      </c>
      <c r="I84" s="18" t="n">
        <v>219.35</v>
      </c>
      <c r="J84" s="18" t="n">
        <v>7160.8</v>
      </c>
      <c r="K84" s="37" t="n">
        <v>-9672.780000000001</v>
      </c>
      <c r="L84" s="18" t="n">
        <v>-12823.7</v>
      </c>
      <c r="M84" s="18" t="n">
        <v>1188.99</v>
      </c>
      <c r="N84" s="18" t="n">
        <v>-1097.21</v>
      </c>
      <c r="O84" s="18" t="n">
        <v>17935.62</v>
      </c>
      <c r="P84" s="37" t="n">
        <v>5203.7</v>
      </c>
      <c r="Q84" s="18" t="n">
        <v>-6817.31</v>
      </c>
      <c r="R84" s="18" t="n">
        <v>-141.65</v>
      </c>
      <c r="S84" s="18" t="n">
        <v>7484.89</v>
      </c>
      <c r="T84" s="18" t="n">
        <v>-4376.7</v>
      </c>
      <c r="U84" s="37" t="n">
        <v>-3850.77</v>
      </c>
      <c r="V84" s="18" t="n">
        <v>8809.92</v>
      </c>
      <c r="W84" s="18" t="n">
        <v>-4361.97</v>
      </c>
      <c r="X84" s="18" t="n">
        <v>-1827.95</v>
      </c>
      <c r="Y84" s="18" t="n">
        <v>-5555.15</v>
      </c>
      <c r="Z84" s="37" t="n">
        <v>-2935.15</v>
      </c>
      <c r="AA84" s="18" t="n">
        <v>9937.16</v>
      </c>
      <c r="AB84" s="19" t="n">
        <v>3266.37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감가상각비</t>
        </is>
      </c>
      <c r="E85" s="18" t="n">
        <v>1278.99</v>
      </c>
      <c r="F85" s="9" t="n"/>
      <c r="G85" s="18" t="n">
        <v>1295.36</v>
      </c>
      <c r="H85" s="18" t="n">
        <v>1319.42</v>
      </c>
      <c r="I85" s="18" t="n">
        <v>1299.61</v>
      </c>
      <c r="J85" s="18" t="n">
        <v>1311.88</v>
      </c>
      <c r="K85" s="37" t="n">
        <v>5226.27</v>
      </c>
      <c r="L85" s="18" t="n">
        <v>1306.27</v>
      </c>
      <c r="M85" s="18" t="n">
        <v>1315.98</v>
      </c>
      <c r="N85" s="18" t="n">
        <v>1248.51</v>
      </c>
      <c r="O85" s="18" t="n">
        <v>1256.47</v>
      </c>
      <c r="P85" s="37" t="n">
        <v>5127.23</v>
      </c>
      <c r="Q85" s="18" t="n">
        <v>1098.99</v>
      </c>
      <c r="R85" s="18" t="n">
        <v>1073.65</v>
      </c>
      <c r="S85" s="18" t="n">
        <v>1092.27</v>
      </c>
      <c r="T85" s="18" t="n">
        <v>1114.48</v>
      </c>
      <c r="U85" s="37" t="n">
        <v>4379.39</v>
      </c>
      <c r="V85" s="18" t="n">
        <v>851.96</v>
      </c>
      <c r="W85" s="18" t="n">
        <v>866.21</v>
      </c>
      <c r="X85" s="18" t="n">
        <v>843.39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무형자산상각비</t>
        </is>
      </c>
      <c r="E86" s="18" t="n">
        <v>20.36</v>
      </c>
      <c r="F86" s="9" t="n"/>
      <c r="G86" s="18" t="n">
        <v>19.59</v>
      </c>
      <c r="H86" s="18" t="n">
        <v>17.77</v>
      </c>
      <c r="I86" s="18" t="n">
        <v>17.86</v>
      </c>
      <c r="J86" s="18" t="n">
        <v>17.86</v>
      </c>
      <c r="K86" s="37" t="n">
        <v>73.08</v>
      </c>
      <c r="L86" s="18" t="n">
        <v>12.13</v>
      </c>
      <c r="M86" s="18" t="n">
        <v>12.41</v>
      </c>
      <c r="N86" s="18" t="n">
        <v>12.39</v>
      </c>
      <c r="O86" s="18" t="n">
        <v>10.21</v>
      </c>
      <c r="P86" s="37" t="n">
        <v>47.14</v>
      </c>
      <c r="Q86" s="18" t="n">
        <v>8.630000000000001</v>
      </c>
      <c r="R86" s="18" t="n">
        <v>7.59</v>
      </c>
      <c r="S86" s="18" t="n">
        <v>8.02</v>
      </c>
      <c r="T86" s="18" t="n">
        <v>8.710000000000001</v>
      </c>
      <c r="U86" s="37" t="n">
        <v>32.95</v>
      </c>
      <c r="V86" s="18" t="n">
        <v>7.49</v>
      </c>
      <c r="W86" s="18" t="n">
        <v>6.68</v>
      </c>
      <c r="X86" s="18" t="n">
        <v>7.57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-11.17</v>
      </c>
      <c r="F87" s="9" t="n"/>
      <c r="G87" s="18" t="n">
        <v>-1404.33</v>
      </c>
      <c r="H87" s="18" t="n">
        <v>-1727.34</v>
      </c>
      <c r="I87" s="18" t="n">
        <v>-1500.5</v>
      </c>
      <c r="J87" s="18" t="n">
        <v>-17.19</v>
      </c>
      <c r="K87" s="37" t="n">
        <v>-4649.36</v>
      </c>
      <c r="L87" s="18" t="n">
        <v>-1391.98</v>
      </c>
      <c r="M87" s="18" t="n">
        <v>-1852.12</v>
      </c>
      <c r="N87" s="18" t="n">
        <v>-762.86</v>
      </c>
      <c r="O87" s="18" t="n">
        <v>-238.98</v>
      </c>
      <c r="P87" s="37" t="n">
        <v>-4245.94</v>
      </c>
      <c r="Q87" s="18" t="n">
        <v>-11.53</v>
      </c>
      <c r="R87" s="18" t="n">
        <v>-210.94</v>
      </c>
      <c r="S87" s="18" t="n">
        <v>-391.63</v>
      </c>
      <c r="T87" s="18" t="n">
        <v>-31.95</v>
      </c>
      <c r="U87" s="37" t="n">
        <v>-646.05</v>
      </c>
      <c r="V87" s="18" t="n">
        <v>-422.59</v>
      </c>
      <c r="W87" s="18" t="n">
        <v>-648.27</v>
      </c>
      <c r="X87" s="18" t="n">
        <v>-389.91</v>
      </c>
      <c r="Y87" s="18" t="n">
        <v>192.09</v>
      </c>
      <c r="Z87" s="37" t="n">
        <v>-1268.68</v>
      </c>
      <c r="AA87" s="18" t="n">
        <v>-189.75</v>
      </c>
      <c r="AB87" s="19" t="n">
        <v>-526.88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-4511.4</v>
      </c>
      <c r="F88" s="9" t="n"/>
      <c r="G88" s="18" t="n">
        <v>21693.73</v>
      </c>
      <c r="H88" s="18" t="n">
        <v>-4321.42</v>
      </c>
      <c r="I88" s="18" t="n">
        <v>-3187.64</v>
      </c>
      <c r="J88" s="18" t="n">
        <v>3453.97</v>
      </c>
      <c r="K88" s="37" t="n">
        <v>17638.64</v>
      </c>
      <c r="L88" s="18" t="n">
        <v>-2001.56</v>
      </c>
      <c r="M88" s="18" t="n">
        <v>-4935.14</v>
      </c>
      <c r="N88" s="18" t="n">
        <v>-8376.209999999999</v>
      </c>
      <c r="O88" s="18" t="n">
        <v>-4173.14</v>
      </c>
      <c r="P88" s="37" t="n">
        <v>-19486.05</v>
      </c>
      <c r="Q88" s="18" t="n">
        <v>-1645.65</v>
      </c>
      <c r="R88" s="18" t="n">
        <v>1090.63</v>
      </c>
      <c r="S88" s="18" t="n">
        <v>-661.97</v>
      </c>
      <c r="T88" s="18" t="n">
        <v>-16134.44</v>
      </c>
      <c r="U88" s="37" t="n">
        <v>-17351.43</v>
      </c>
      <c r="V88" s="18" t="n">
        <v>-24517</v>
      </c>
      <c r="W88" s="18" t="n">
        <v>-3436.67</v>
      </c>
      <c r="X88" s="18" t="n">
        <v>-4204.69</v>
      </c>
      <c r="Y88" s="18" t="n">
        <v>2914.7</v>
      </c>
      <c r="Z88" s="37" t="n">
        <v>-29243.66</v>
      </c>
      <c r="AA88" s="18" t="n">
        <v>-29771.08</v>
      </c>
      <c r="AB88" s="19" t="n">
        <v>-1704.77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1461.21</v>
      </c>
      <c r="F89" s="9" t="n"/>
      <c r="G89" s="18" t="n">
        <v>872.5</v>
      </c>
      <c r="H89" s="18" t="n">
        <v>4046.33</v>
      </c>
      <c r="I89" s="18" t="n">
        <v>1166.19</v>
      </c>
      <c r="J89" s="18" t="n">
        <v>829.17</v>
      </c>
      <c r="K89" s="37" t="n">
        <v>6914.19</v>
      </c>
      <c r="L89" s="18" t="n">
        <v>615.67</v>
      </c>
      <c r="M89" s="18" t="n">
        <v>4180.02</v>
      </c>
      <c r="N89" s="18" t="n">
        <v>7424.12</v>
      </c>
      <c r="O89" s="18" t="n">
        <v>5329.47</v>
      </c>
      <c r="P89" s="37" t="n">
        <v>17549.28</v>
      </c>
      <c r="Q89" s="18" t="n">
        <v>361.59</v>
      </c>
      <c r="R89" s="18" t="n">
        <v>725.09</v>
      </c>
      <c r="S89" s="18" t="n">
        <v>768.98</v>
      </c>
      <c r="T89" s="18" t="n">
        <v>5507.34</v>
      </c>
      <c r="U89" s="37" t="n">
        <v>7363</v>
      </c>
      <c r="V89" s="18" t="n">
        <v>7279.15</v>
      </c>
      <c r="W89" s="18" t="n">
        <v>7614.47</v>
      </c>
      <c r="X89" s="18" t="n">
        <v>11619.69</v>
      </c>
      <c r="Y89" s="18" t="n">
        <v>10652.03</v>
      </c>
      <c r="Z89" s="37" t="n">
        <v>37165.34</v>
      </c>
      <c r="AA89" s="18" t="n">
        <v>20972.69</v>
      </c>
      <c r="AB89" s="19" t="n">
        <v>11426.04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1461.21</v>
      </c>
      <c r="F90" s="9" t="n"/>
      <c r="G90" s="18" t="n">
        <v>874.75</v>
      </c>
      <c r="H90" s="18" t="n">
        <v>4046.33</v>
      </c>
      <c r="I90" s="18" t="n">
        <v>1169.97</v>
      </c>
      <c r="J90" s="18" t="n">
        <v>829.17</v>
      </c>
      <c r="K90" s="37" t="n">
        <v>6920.22</v>
      </c>
      <c r="L90" s="18" t="n">
        <v>637.27</v>
      </c>
      <c r="M90" s="18" t="n">
        <v>4190.72</v>
      </c>
      <c r="N90" s="18" t="n">
        <v>7424.12</v>
      </c>
      <c r="O90" s="18" t="n">
        <v>5329.47</v>
      </c>
      <c r="P90" s="37" t="n">
        <v>17581.58</v>
      </c>
      <c r="Q90" s="18" t="n">
        <v>361.59</v>
      </c>
      <c r="R90" s="18" t="n">
        <v>725.09</v>
      </c>
      <c r="S90" s="18" t="n">
        <v>788.8099999999999</v>
      </c>
      <c r="T90" s="18" t="n">
        <v>5546.16</v>
      </c>
      <c r="U90" s="37" t="n">
        <v>7421.65</v>
      </c>
      <c r="V90" s="18" t="n">
        <v>7303.32</v>
      </c>
      <c r="W90" s="18" t="n">
        <v>8329.51</v>
      </c>
      <c r="X90" s="18" t="n">
        <v>10880.48</v>
      </c>
      <c r="Y90" s="18" t="n">
        <v>10652.03</v>
      </c>
      <c r="Z90" s="37" t="n">
        <v>37165.34</v>
      </c>
      <c r="AA90" s="18" t="n">
        <v>20972.69</v>
      </c>
      <c r="AB90" s="19" t="n">
        <v>11426.04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G91" s="18" t="n">
        <v>2.25</v>
      </c>
      <c r="H91" s="18" t="n">
        <v>0</v>
      </c>
      <c r="I91" s="18" t="n">
        <v>3.78</v>
      </c>
      <c r="J91" s="18" t="n">
        <v>0</v>
      </c>
      <c r="K91" s="37" t="n">
        <v>6.03</v>
      </c>
      <c r="L91" s="18" t="n">
        <v>21.6</v>
      </c>
      <c r="M91" s="18" t="n">
        <v>10.7</v>
      </c>
      <c r="N91" s="18" t="n">
        <v>0</v>
      </c>
      <c r="O91" s="18" t="n">
        <v>0</v>
      </c>
      <c r="P91" s="37" t="n">
        <v>32.3</v>
      </c>
      <c r="T91" s="18" t="n">
        <v>38.82</v>
      </c>
      <c r="U91" s="9" t="n"/>
      <c r="V91" s="18" t="n">
        <v>24.17</v>
      </c>
      <c r="W91" s="18" t="n">
        <v>715.04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-7210.76</v>
      </c>
      <c r="F92" s="9" t="n"/>
      <c r="G92" s="18" t="n">
        <v>-13505.41</v>
      </c>
      <c r="H92" s="18" t="n">
        <v>6196.49</v>
      </c>
      <c r="I92" s="18" t="n">
        <v>4480.16</v>
      </c>
      <c r="J92" s="18" t="n">
        <v>-8195.42</v>
      </c>
      <c r="K92" s="37" t="n">
        <v>-11024.18</v>
      </c>
      <c r="L92" s="18" t="n">
        <v>9567.15</v>
      </c>
      <c r="M92" s="18" t="n">
        <v>5133.36</v>
      </c>
      <c r="N92" s="18" t="n">
        <v>11018.27</v>
      </c>
      <c r="O92" s="18" t="n">
        <v>-4436</v>
      </c>
      <c r="P92" s="37" t="n">
        <v>21282.78</v>
      </c>
      <c r="Q92" s="18" t="n">
        <v>4898.6</v>
      </c>
      <c r="R92" s="18" t="n">
        <v>-2853.68</v>
      </c>
      <c r="S92" s="18" t="n">
        <v>-6130.98</v>
      </c>
      <c r="T92" s="18" t="n">
        <v>19194.24</v>
      </c>
      <c r="U92" s="37" t="n">
        <v>15108.18</v>
      </c>
      <c r="V92" s="18" t="n">
        <v>17897.1</v>
      </c>
      <c r="W92" s="18" t="n">
        <v>1109.67</v>
      </c>
      <c r="X92" s="18" t="n">
        <v>5805.41</v>
      </c>
      <c r="Y92" s="18" t="n">
        <v>26479.46</v>
      </c>
      <c r="Z92" s="37" t="n">
        <v>51291.64</v>
      </c>
      <c r="AA92" s="18" t="n">
        <v>8785.690000000001</v>
      </c>
      <c r="AB92" s="19" t="n">
        <v>1349.6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26394.16</v>
      </c>
      <c r="F93" s="9" t="n"/>
      <c r="G93" s="18" t="n">
        <v>20607.81</v>
      </c>
      <c r="H93" s="18" t="n">
        <v>51739.57</v>
      </c>
      <c r="I93" s="18" t="n">
        <v>40208.48</v>
      </c>
      <c r="J93" s="18" t="n">
        <v>43501.19</v>
      </c>
      <c r="K93" s="37" t="n">
        <v>156057.05</v>
      </c>
      <c r="L93" s="18" t="n">
        <v>48530.94</v>
      </c>
      <c r="M93" s="18" t="n">
        <v>71058.95</v>
      </c>
      <c r="N93" s="18" t="n">
        <v>67856.27</v>
      </c>
      <c r="O93" s="18" t="n">
        <v>19120.18</v>
      </c>
      <c r="P93" s="37" t="n">
        <v>206566.34</v>
      </c>
      <c r="Q93" s="18" t="n">
        <v>59203.05</v>
      </c>
      <c r="R93" s="18" t="n">
        <v>40073.7</v>
      </c>
      <c r="S93" s="18" t="n">
        <v>44038.24</v>
      </c>
      <c r="T93" s="18" t="n">
        <v>53570.48</v>
      </c>
      <c r="U93" s="37" t="n">
        <v>196885.47</v>
      </c>
      <c r="V93" s="18" t="n">
        <v>54408.19</v>
      </c>
      <c r="W93" s="18" t="n">
        <v>44444.9</v>
      </c>
      <c r="X93" s="18" t="n">
        <v>54854.28</v>
      </c>
      <c r="Y93" s="18" t="n">
        <v>38109.87</v>
      </c>
      <c r="Z93" s="37" t="n">
        <v>191817.24</v>
      </c>
      <c r="AA93" s="18" t="n">
        <v>31000.03</v>
      </c>
      <c r="AB93" s="19" t="n">
        <v>23769.97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N94" s="18" t="n">
        <v>7100</v>
      </c>
      <c r="O94" s="18" t="n">
        <v>2000</v>
      </c>
      <c r="P94" s="9" t="n"/>
      <c r="T94" s="18" t="n">
        <v>0</v>
      </c>
      <c r="U94" s="9" t="n"/>
      <c r="Z94" s="9" t="n"/>
      <c r="AA94" s="18" t="n">
        <v>10000</v>
      </c>
      <c r="AB94" s="19" t="n">
        <v>2125.22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32215.18</v>
      </c>
      <c r="F95" s="9" t="n"/>
      <c r="G95" s="18" t="n">
        <v>29636.97</v>
      </c>
      <c r="H95" s="18" t="n">
        <v>45239.56</v>
      </c>
      <c r="I95" s="18" t="n">
        <v>35208.48</v>
      </c>
      <c r="J95" s="18" t="n">
        <v>51131.19</v>
      </c>
      <c r="K95" s="37" t="n">
        <v>161216.2</v>
      </c>
      <c r="L95" s="18" t="n">
        <v>38847.94</v>
      </c>
      <c r="M95" s="18" t="n">
        <v>67597.95</v>
      </c>
      <c r="N95" s="18" t="n">
        <v>60310.27</v>
      </c>
      <c r="O95" s="18" t="n">
        <v>50418.3</v>
      </c>
      <c r="P95" s="37" t="n">
        <v>217174.46</v>
      </c>
      <c r="Q95" s="18" t="n">
        <v>48165.2</v>
      </c>
      <c r="R95" s="18" t="n">
        <v>42773.69</v>
      </c>
      <c r="S95" s="18" t="n">
        <v>49588.25</v>
      </c>
      <c r="T95" s="18" t="n">
        <v>34270.47</v>
      </c>
      <c r="U95" s="37" t="n">
        <v>174797.61</v>
      </c>
      <c r="V95" s="18" t="n">
        <v>57608.19</v>
      </c>
      <c r="W95" s="18" t="n">
        <v>42754.9</v>
      </c>
      <c r="X95" s="18" t="n">
        <v>48894.28</v>
      </c>
      <c r="Y95" s="18" t="n">
        <v>37809.87</v>
      </c>
      <c r="Z95" s="37" t="n">
        <v>187067.24</v>
      </c>
      <c r="AA95" s="18" t="n">
        <v>32300.03</v>
      </c>
      <c r="AB95" s="19" t="n">
        <v>17469.97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1267.59</v>
      </c>
      <c r="F96" s="9" t="n"/>
      <c r="G96" s="18" t="n">
        <v>2055.43</v>
      </c>
      <c r="H96" s="18" t="n">
        <v>198.31</v>
      </c>
      <c r="I96" s="18" t="n">
        <v>178.56</v>
      </c>
      <c r="J96" s="18" t="n">
        <v>0</v>
      </c>
      <c r="K96" s="37" t="n">
        <v>2432.3</v>
      </c>
      <c r="N96" s="18" t="n">
        <v>3500</v>
      </c>
      <c r="O96" s="18" t="n">
        <v>0</v>
      </c>
      <c r="P96" s="9" t="n"/>
      <c r="Q96" s="18" t="n">
        <v>6000</v>
      </c>
      <c r="R96" s="18" t="n">
        <v>0</v>
      </c>
      <c r="S96" s="18" t="n">
        <v>0</v>
      </c>
      <c r="T96" s="18" t="n">
        <v>0</v>
      </c>
      <c r="U96" s="37" t="n">
        <v>6000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23662.07</v>
      </c>
      <c r="F97" s="9" t="n"/>
      <c r="G97" s="18" t="n">
        <v>1839.93</v>
      </c>
      <c r="H97" s="18" t="n">
        <v>-8829.469999999999</v>
      </c>
      <c r="I97" s="18" t="n">
        <v>1511.88</v>
      </c>
      <c r="J97" s="18" t="n">
        <v>2419.34</v>
      </c>
      <c r="K97" s="37" t="n">
        <v>-3058.32</v>
      </c>
      <c r="L97" s="18" t="n">
        <v>-5258.1</v>
      </c>
      <c r="M97" s="18" t="n">
        <v>1387.19</v>
      </c>
      <c r="N97" s="18" t="n">
        <v>1544.87</v>
      </c>
      <c r="O97" s="18" t="n">
        <v>9326.469999999999</v>
      </c>
      <c r="P97" s="37" t="n">
        <v>7000.43</v>
      </c>
      <c r="Q97" s="18" t="n">
        <v>-3564.36</v>
      </c>
      <c r="R97" s="18" t="n">
        <v>-1904.71</v>
      </c>
      <c r="S97" s="18" t="n">
        <v>691.95</v>
      </c>
      <c r="T97" s="18" t="n">
        <v>-1316.89</v>
      </c>
      <c r="U97" s="37" t="n">
        <v>-6094.01</v>
      </c>
      <c r="V97" s="18" t="n">
        <v>2190.02</v>
      </c>
      <c r="W97" s="18" t="n">
        <v>-6688.97</v>
      </c>
      <c r="X97" s="18" t="n">
        <v>-227.24</v>
      </c>
      <c r="Y97" s="18" t="n">
        <v>23839.03</v>
      </c>
      <c r="Z97" s="37" t="n">
        <v>19112.84</v>
      </c>
      <c r="AA97" s="18" t="n">
        <v>-11048.23</v>
      </c>
      <c r="AB97" s="19" t="n">
        <v>2911.2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11830.87</v>
      </c>
      <c r="F98" s="9" t="n"/>
      <c r="G98" s="18" t="n">
        <v>15481.2</v>
      </c>
      <c r="H98" s="18" t="n">
        <v>-8674.139999999999</v>
      </c>
      <c r="I98" s="18" t="n">
        <v>1601.97</v>
      </c>
      <c r="J98" s="18" t="n">
        <v>2215.61</v>
      </c>
      <c r="K98" s="37" t="n">
        <v>10624.64</v>
      </c>
      <c r="L98" s="18" t="n">
        <v>5378.3</v>
      </c>
      <c r="M98" s="18" t="n">
        <v>1382.24</v>
      </c>
      <c r="N98" s="18" t="n">
        <v>1544.11</v>
      </c>
      <c r="O98" s="18" t="n">
        <v>9320.629999999999</v>
      </c>
      <c r="P98" s="37" t="n">
        <v>17625.28</v>
      </c>
      <c r="Q98" s="18" t="n">
        <v>14072.42</v>
      </c>
      <c r="R98" s="18" t="n">
        <v>-1917.37</v>
      </c>
      <c r="S98" s="18" t="n">
        <v>674.37</v>
      </c>
      <c r="T98" s="18" t="n">
        <v>-1284.23</v>
      </c>
      <c r="U98" s="37" t="n">
        <v>11545.19</v>
      </c>
      <c r="V98" s="18" t="n">
        <v>13828.71</v>
      </c>
      <c r="W98" s="18" t="n">
        <v>-6694.46</v>
      </c>
      <c r="X98" s="18" t="n">
        <v>-225.16</v>
      </c>
      <c r="Y98" s="18" t="n">
        <v>23761.75</v>
      </c>
      <c r="Z98" s="37" t="n">
        <v>30670.84</v>
      </c>
      <c r="AA98" s="18" t="n">
        <v>19668.35</v>
      </c>
      <c r="AB98" s="19" t="n">
        <v>2888.52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25.36</v>
      </c>
      <c r="H99" s="18" t="n">
        <v>2.5</v>
      </c>
      <c r="I99" s="18" t="n">
        <v>23</v>
      </c>
      <c r="J99" s="18" t="n">
        <v>2629.27</v>
      </c>
      <c r="K99" s="37" t="n">
        <v>2680.13</v>
      </c>
      <c r="L99" s="18" t="n">
        <v>75.2</v>
      </c>
      <c r="M99" s="18" t="n">
        <v>165</v>
      </c>
      <c r="N99" s="18" t="n">
        <v>3.2</v>
      </c>
      <c r="O99" s="18" t="n">
        <v>0</v>
      </c>
      <c r="P99" s="37" t="n">
        <v>243.4</v>
      </c>
      <c r="Q99" s="18" t="n">
        <v>1.2</v>
      </c>
      <c r="R99" s="18" t="n">
        <v>51.82</v>
      </c>
      <c r="S99" s="18" t="n">
        <v>21.53</v>
      </c>
      <c r="T99" s="18" t="n">
        <v>103.6</v>
      </c>
      <c r="U99" s="37" t="n">
        <v>178.15</v>
      </c>
      <c r="V99" s="18" t="n">
        <v>18.29</v>
      </c>
      <c r="W99" s="18" t="n">
        <v>40</v>
      </c>
      <c r="X99" s="18" t="n">
        <v>173.74</v>
      </c>
      <c r="Y99" s="18" t="n">
        <v>9.65</v>
      </c>
      <c r="Z99" s="37" t="n">
        <v>241.68</v>
      </c>
      <c r="AA99" s="18" t="n">
        <v>114.1</v>
      </c>
      <c r="AB99" s="19" t="n">
        <v>26.2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2321.4</v>
      </c>
      <c r="H100" s="18" t="n">
        <v>0</v>
      </c>
      <c r="I100" s="18" t="n">
        <v>0</v>
      </c>
      <c r="J100" s="18" t="n">
        <v>0</v>
      </c>
      <c r="K100" s="37" t="n">
        <v>2321.4</v>
      </c>
      <c r="P100" s="9" t="n"/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J101" s="18" t="n">
        <v>1466.52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K102" s="9" t="n"/>
      <c r="N102" s="18" t="n">
        <v>0</v>
      </c>
      <c r="O102" s="18" t="n">
        <v>0</v>
      </c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137.58</v>
      </c>
      <c r="P103" s="9" t="n"/>
      <c r="Q103" s="18" t="n">
        <v>114.59</v>
      </c>
      <c r="R103" s="18" t="n">
        <v>53.8</v>
      </c>
      <c r="S103" s="18" t="n">
        <v>83.2</v>
      </c>
      <c r="T103" s="18" t="n">
        <v>100.2</v>
      </c>
      <c r="U103" s="37" t="n">
        <v>351.79</v>
      </c>
      <c r="V103" s="18" t="n">
        <v>54.19</v>
      </c>
      <c r="W103" s="18" t="n">
        <v>89.61</v>
      </c>
      <c r="X103" s="18" t="n">
        <v>231.57</v>
      </c>
      <c r="Y103" s="18" t="n">
        <v>85.70999999999999</v>
      </c>
      <c r="Z103" s="37" t="n">
        <v>461.08</v>
      </c>
      <c r="AA103" s="18" t="n">
        <v>70.14</v>
      </c>
      <c r="AB103" s="19" t="n">
        <v>147.15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O104" s="18" t="n">
        <v>138.01</v>
      </c>
      <c r="P104" s="9" t="n"/>
      <c r="Q104" s="18" t="n">
        <v>139.25</v>
      </c>
      <c r="R104" s="18" t="n">
        <v>153.69</v>
      </c>
      <c r="S104" s="18" t="n">
        <v>180.98</v>
      </c>
      <c r="T104" s="18" t="n">
        <v>180.9</v>
      </c>
      <c r="U104" s="37" t="n">
        <v>654.8200000000001</v>
      </c>
      <c r="V104" s="18" t="n">
        <v>191.56</v>
      </c>
      <c r="W104" s="18" t="n">
        <v>197.24</v>
      </c>
      <c r="X104" s="18" t="n">
        <v>187.01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7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7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7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7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7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7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7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7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7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7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7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7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7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7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7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7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7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7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7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7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7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7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7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7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7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7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7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7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7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7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7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7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7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7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7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7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7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7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7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7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7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7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7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7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7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7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7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7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7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7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7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7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7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7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7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7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7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7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7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7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7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7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7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7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7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7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7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7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7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7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7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7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7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7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7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7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7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7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7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7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7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7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7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7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7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7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7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7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7" t="n">
        <v>64700</v>
      </c>
      <c r="V24" s="18" t="n">
        <v>62000</v>
      </c>
      <c r="W24" s="18" t="n">
        <v>63690</v>
      </c>
      <c r="X24" s="18" t="n">
        <v>86700</v>
      </c>
      <c r="Y24" s="18" t="n">
        <v>86000</v>
      </c>
      <c r="Z24" s="37" t="n">
        <v>86000</v>
      </c>
      <c r="AA24" s="18" t="n">
        <v>85000</v>
      </c>
      <c r="AB24" s="19" t="n">
        <v>85000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7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7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7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7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7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7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7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7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7" t="n">
        <v>1615.94</v>
      </c>
      <c r="G27" s="18" t="n">
        <v>1518.44</v>
      </c>
      <c r="H27" s="18" t="n">
        <v>1445.06</v>
      </c>
      <c r="I27" s="18" t="n">
        <v>1345.09</v>
      </c>
      <c r="J27" s="18" t="n">
        <v>1244.72</v>
      </c>
      <c r="K27" s="37" t="n">
        <v>1244.72</v>
      </c>
      <c r="L27" s="18" t="n">
        <v>773.71</v>
      </c>
      <c r="M27" s="18" t="n">
        <v>721.89</v>
      </c>
      <c r="N27" s="18" t="n">
        <v>645.9299999999999</v>
      </c>
      <c r="O27" s="18" t="n">
        <v>569.37</v>
      </c>
      <c r="P27" s="37" t="n">
        <v>569.37</v>
      </c>
      <c r="Q27" s="18" t="n">
        <v>491.88</v>
      </c>
      <c r="R27" s="18" t="n">
        <v>500.98</v>
      </c>
      <c r="S27" s="18" t="n">
        <v>520.6799999999999</v>
      </c>
      <c r="T27" s="18" t="n">
        <v>581.75</v>
      </c>
      <c r="U27" s="37" t="n">
        <v>581.75</v>
      </c>
      <c r="V27" s="18" t="n">
        <v>503.37</v>
      </c>
      <c r="W27" s="18" t="n">
        <v>494.45</v>
      </c>
      <c r="X27" s="18" t="n">
        <v>445.76</v>
      </c>
      <c r="Y27" s="18" t="n">
        <v>401.57</v>
      </c>
      <c r="Z27" s="37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7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7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7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7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7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7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7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7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7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7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7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7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7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7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7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7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7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7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7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7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7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7" t="n">
        <v>6000</v>
      </c>
      <c r="M32" s="18" t="n">
        <v>17000</v>
      </c>
      <c r="N32" s="18" t="n">
        <v>17000</v>
      </c>
      <c r="O32" s="18" t="n">
        <v>17000</v>
      </c>
      <c r="P32" s="37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7" t="n">
        <v>17000</v>
      </c>
      <c r="V32" s="18" t="n">
        <v>17000</v>
      </c>
      <c r="W32" s="18" t="n">
        <v>17000</v>
      </c>
      <c r="X32" s="18" t="n">
        <v>0</v>
      </c>
      <c r="Z32" s="9" t="n"/>
      <c r="AA32" s="18" t="n">
        <v>10000</v>
      </c>
      <c r="AB32" s="19" t="n">
        <v>10000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7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7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7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7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7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7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7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7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7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7" t="n">
        <v>1219.73</v>
      </c>
      <c r="G35" s="18" t="n">
        <v>1118.31</v>
      </c>
      <c r="H35" s="18" t="n">
        <v>1040.73</v>
      </c>
      <c r="I35" s="18" t="n">
        <v>936.84</v>
      </c>
      <c r="J35" s="18" t="n">
        <v>832.4400000000001</v>
      </c>
      <c r="K35" s="37" t="n">
        <v>832.4400000000001</v>
      </c>
      <c r="L35" s="18" t="n">
        <v>473.7</v>
      </c>
      <c r="M35" s="18" t="n">
        <v>413.82</v>
      </c>
      <c r="N35" s="18" t="n">
        <v>342.71</v>
      </c>
      <c r="O35" s="18" t="n">
        <v>274.61</v>
      </c>
      <c r="P35" s="37" t="n">
        <v>274.61</v>
      </c>
      <c r="Q35" s="18" t="n">
        <v>213.91</v>
      </c>
      <c r="R35" s="18" t="n">
        <v>219.31</v>
      </c>
      <c r="S35" s="18" t="n">
        <v>230.11</v>
      </c>
      <c r="T35" s="18" t="n">
        <v>280.14</v>
      </c>
      <c r="U35" s="37" t="n">
        <v>280.14</v>
      </c>
      <c r="V35" s="18" t="n">
        <v>225.16</v>
      </c>
      <c r="W35" s="18" t="n">
        <v>259.12</v>
      </c>
      <c r="X35" s="18" t="n">
        <v>258.27</v>
      </c>
      <c r="Y35" s="18" t="n">
        <v>255.97</v>
      </c>
      <c r="Z35" s="37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7" t="n">
        <v>1423.73</v>
      </c>
      <c r="G36" s="18" t="n">
        <v>1328.31</v>
      </c>
      <c r="H36" s="18" t="n">
        <v>1250.73</v>
      </c>
      <c r="I36" s="18" t="n">
        <v>1096.84</v>
      </c>
      <c r="J36" s="18" t="n">
        <v>992.4400000000001</v>
      </c>
      <c r="K36" s="37" t="n">
        <v>992.4400000000001</v>
      </c>
      <c r="L36" s="18" t="n">
        <v>663.7</v>
      </c>
      <c r="M36" s="18" t="n">
        <v>818.8200000000001</v>
      </c>
      <c r="N36" s="18" t="n">
        <v>747.71</v>
      </c>
      <c r="O36" s="18" t="n">
        <v>699.61</v>
      </c>
      <c r="P36" s="37" t="n">
        <v>699.61</v>
      </c>
      <c r="Q36" s="18" t="n">
        <v>638.91</v>
      </c>
      <c r="R36" s="18" t="n">
        <v>644.3099999999999</v>
      </c>
      <c r="S36" s="18" t="n">
        <v>641.11</v>
      </c>
      <c r="T36" s="18" t="n">
        <v>691.14</v>
      </c>
      <c r="U36" s="37" t="n">
        <v>691.14</v>
      </c>
      <c r="V36" s="18" t="n">
        <v>621.16</v>
      </c>
      <c r="W36" s="18" t="n">
        <v>655.12</v>
      </c>
      <c r="X36" s="18" t="n">
        <v>648.27</v>
      </c>
      <c r="Y36" s="18" t="n">
        <v>655.97</v>
      </c>
      <c r="Z36" s="37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7" t="n">
        <v>204</v>
      </c>
      <c r="G37" s="18" t="n">
        <v>210</v>
      </c>
      <c r="H37" s="18" t="n">
        <v>210</v>
      </c>
      <c r="I37" s="18" t="n">
        <v>160</v>
      </c>
      <c r="J37" s="18" t="n">
        <v>160</v>
      </c>
      <c r="K37" s="37" t="n">
        <v>160</v>
      </c>
      <c r="L37" s="18" t="n">
        <v>190</v>
      </c>
      <c r="M37" s="18" t="n">
        <v>405</v>
      </c>
      <c r="N37" s="18" t="n">
        <v>405</v>
      </c>
      <c r="O37" s="18" t="n">
        <v>425</v>
      </c>
      <c r="P37" s="37" t="n">
        <v>425</v>
      </c>
      <c r="Q37" s="18" t="n">
        <v>425</v>
      </c>
      <c r="R37" s="18" t="n">
        <v>425</v>
      </c>
      <c r="S37" s="18" t="n">
        <v>411</v>
      </c>
      <c r="T37" s="18" t="n">
        <v>411</v>
      </c>
      <c r="U37" s="37" t="n">
        <v>411</v>
      </c>
      <c r="V37" s="18" t="n">
        <v>396</v>
      </c>
      <c r="W37" s="18" t="n">
        <v>396</v>
      </c>
      <c r="X37" s="18" t="n">
        <v>390</v>
      </c>
      <c r="Y37" s="18" t="n">
        <v>400</v>
      </c>
      <c r="Z37" s="37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7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7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7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7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7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7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7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7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7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7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7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7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7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7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7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7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7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7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7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7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7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7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7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7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7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7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7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7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7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7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7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7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7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7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7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7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7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7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7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7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7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7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7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7" t="n">
        <v>81700</v>
      </c>
      <c r="V46" s="18" t="n">
        <v>79000</v>
      </c>
      <c r="W46" s="18" t="n">
        <v>80690</v>
      </c>
      <c r="X46" s="18" t="n">
        <v>86700</v>
      </c>
      <c r="Y46" s="18" t="n">
        <v>86000</v>
      </c>
      <c r="Z46" s="37" t="n">
        <v>86000</v>
      </c>
      <c r="AA46" s="18" t="n">
        <v>95000</v>
      </c>
      <c r="AB46" s="19" t="n">
        <v>95000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7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7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7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7" t="n">
        <v>79620.92999999999</v>
      </c>
      <c r="V47" s="18" t="n">
        <v>75238.08</v>
      </c>
      <c r="W47" s="18" t="n">
        <v>79298.83</v>
      </c>
      <c r="X47" s="18" t="n">
        <v>83806.83</v>
      </c>
      <c r="Y47" s="18" t="n">
        <v>78537.53999999999</v>
      </c>
      <c r="Z47" s="37" t="n">
        <v>78537.53999999999</v>
      </c>
      <c r="AA47" s="18" t="n">
        <v>83003.48</v>
      </c>
      <c r="AB47" s="19" t="n">
        <v>88790.89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7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7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7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7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7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7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7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7" t="n">
        <v>64700</v>
      </c>
      <c r="V49" s="18" t="n">
        <v>62000</v>
      </c>
      <c r="W49" s="18" t="n">
        <v>63690</v>
      </c>
      <c r="X49" s="18" t="n">
        <v>86700</v>
      </c>
      <c r="Y49" s="18" t="n">
        <v>86000</v>
      </c>
      <c r="Z49" s="37" t="n">
        <v>86000</v>
      </c>
      <c r="AA49" s="18" t="n">
        <v>85000</v>
      </c>
      <c r="AB49" s="19" t="n">
        <v>85000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7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7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7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7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7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7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7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7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7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7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7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7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7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7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7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7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7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7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7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7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7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7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7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7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7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7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7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7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7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7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7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7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7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7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7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7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7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7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7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7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7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7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7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7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7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7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7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7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7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7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7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7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7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7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7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7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7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7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7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7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7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7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7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7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7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7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7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7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7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7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7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7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7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7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7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7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7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7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7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7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7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7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7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7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7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7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7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7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7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7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7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7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7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7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7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7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7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7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7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7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7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7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7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7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7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7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7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7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7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7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7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7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7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7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7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7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7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7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7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7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35.65</v>
      </c>
      <c r="F22" s="37" t="n"/>
      <c r="G22" s="18" t="n">
        <v>47.99</v>
      </c>
      <c r="H22" s="18" t="n">
        <v>76.06999999999999</v>
      </c>
      <c r="I22" s="18" t="n">
        <v>19.36</v>
      </c>
      <c r="J22" s="18" t="n">
        <v>21.69</v>
      </c>
      <c r="K22" s="37">
        <f>SUM(G22:J22)</f>
        <v/>
      </c>
      <c r="L22" s="18" t="n">
        <v>47.79</v>
      </c>
      <c r="M22" s="18" t="n">
        <v>46.72</v>
      </c>
      <c r="N22" s="18" t="n">
        <v>21.92</v>
      </c>
      <c r="O22" s="18" t="n">
        <v>-13.94</v>
      </c>
      <c r="P22" s="37">
        <f>SUM(L22:O22)</f>
        <v/>
      </c>
      <c r="Q22" s="18" t="n">
        <v>29.52</v>
      </c>
      <c r="R22" s="18" t="n">
        <v>32.05</v>
      </c>
      <c r="S22" s="18" t="n">
        <v>23.66</v>
      </c>
      <c r="T22" s="18" t="n">
        <v>18.86</v>
      </c>
      <c r="U22" s="37">
        <f>SUM(Q22:T22)</f>
        <v/>
      </c>
      <c r="V22" s="18" t="n">
        <v>11.06</v>
      </c>
      <c r="W22" s="18" t="n">
        <v>60.35</v>
      </c>
      <c r="X22" s="18" t="n">
        <v>36.31</v>
      </c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22.651</v>
      </c>
      <c r="F33" s="28">
        <f>E33</f>
        <v/>
      </c>
      <c r="G33" s="27" t="n">
        <v>22.651</v>
      </c>
      <c r="H33" s="27" t="n">
        <v>22.651</v>
      </c>
      <c r="I33" s="27" t="n">
        <v>22.597</v>
      </c>
      <c r="J33" s="27" t="n">
        <v>22.219</v>
      </c>
      <c r="K33" s="28">
        <f>J33</f>
        <v/>
      </c>
      <c r="L33" s="27" t="n">
        <v>22.213</v>
      </c>
      <c r="M33" s="27" t="n">
        <v>22.213</v>
      </c>
      <c r="N33" s="27" t="n">
        <v>22.123</v>
      </c>
      <c r="O33" s="27" t="n">
        <v>22.123</v>
      </c>
      <c r="P33" s="28">
        <f>O33</f>
        <v/>
      </c>
      <c r="Q33" s="27" t="n">
        <v>22.123</v>
      </c>
      <c r="R33" s="27" t="n">
        <v>22.123</v>
      </c>
      <c r="S33" s="27" t="n">
        <v>22.123</v>
      </c>
      <c r="T33" s="27" t="n">
        <v>23.3</v>
      </c>
      <c r="U33" s="28">
        <f>T33</f>
        <v/>
      </c>
      <c r="V33" s="27" t="n">
        <v>24.144</v>
      </c>
      <c r="W33" s="27" t="n">
        <v>24.144</v>
      </c>
      <c r="X33" s="27" t="n">
        <v>24.144</v>
      </c>
      <c r="Y33" s="27" t="n">
        <v>24.144</v>
      </c>
      <c r="Z33" s="28">
        <f>Y33</f>
        <v/>
      </c>
      <c r="AA33" s="27" t="n">
        <v>24.144</v>
      </c>
      <c r="AB33" s="29" t="n">
        <v>24.144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100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 t="n"/>
      <c r="T37" s="13" t="n"/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 t="n"/>
      <c r="AB37" s="15" t="n"/>
      <c r="AC37" s="39" t="n"/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589.03</v>
      </c>
      <c r="F39" s="37" t="n"/>
      <c r="G39" s="18" t="n">
        <v>614.0700000000001</v>
      </c>
      <c r="H39" s="18" t="n">
        <v>647.73</v>
      </c>
      <c r="I39" s="18" t="n">
        <v>577.03</v>
      </c>
      <c r="J39" s="18" t="n">
        <v>616.02</v>
      </c>
      <c r="K39" s="37">
        <f>SUM(G39:J39)</f>
        <v/>
      </c>
      <c r="L39" s="18" t="n">
        <v>616.6900000000001</v>
      </c>
      <c r="M39" s="18" t="n">
        <v>664.78</v>
      </c>
      <c r="N39" s="18" t="n">
        <v>589.71</v>
      </c>
      <c r="O39" s="18" t="n">
        <v>613.3</v>
      </c>
      <c r="P39" s="37">
        <f>SUM(L39:O39)</f>
        <v/>
      </c>
      <c r="Q39" s="18" t="n">
        <v>529.86</v>
      </c>
      <c r="R39" s="18" t="n">
        <v>598.4</v>
      </c>
      <c r="S39" s="18" t="n">
        <v>531.11</v>
      </c>
      <c r="T39" s="18" t="n">
        <v>575.11</v>
      </c>
      <c r="U39" s="37">
        <f>SUM(Q39:T39)</f>
        <v/>
      </c>
      <c r="V39" s="18" t="n">
        <v>533.67</v>
      </c>
      <c r="W39" s="18" t="n">
        <v>561.01</v>
      </c>
      <c r="X39" s="18" t="n">
        <v>560.09</v>
      </c>
      <c r="Y39" s="18" t="n">
        <v>539.23</v>
      </c>
      <c r="Z39" s="37">
        <f>SUM(V39:Y39)</f>
        <v/>
      </c>
      <c r="AA39" s="18" t="n">
        <v>661.2</v>
      </c>
      <c r="AB39" s="19" t="n">
        <v>717.21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22.86</v>
      </c>
      <c r="F40" s="37" t="n"/>
      <c r="G40" s="18" t="n">
        <v>35.04</v>
      </c>
      <c r="H40" s="18" t="n">
        <v>62.88</v>
      </c>
      <c r="I40" s="18" t="n">
        <v>6.36</v>
      </c>
      <c r="J40" s="18" t="n">
        <v>8.57</v>
      </c>
      <c r="K40" s="37">
        <f>SUM(G40:J40)</f>
        <v/>
      </c>
      <c r="L40" s="18" t="n">
        <v>34.73</v>
      </c>
      <c r="M40" s="18" t="n">
        <v>33.56</v>
      </c>
      <c r="N40" s="18" t="n">
        <v>9.43</v>
      </c>
      <c r="O40" s="18" t="n">
        <v>-26.5</v>
      </c>
      <c r="P40" s="37">
        <f>SUM(L40:O40)</f>
        <v/>
      </c>
      <c r="Q40" s="18" t="n">
        <v>18.53</v>
      </c>
      <c r="R40" s="18" t="n">
        <v>21.31</v>
      </c>
      <c r="S40" s="18" t="n">
        <v>12.74</v>
      </c>
      <c r="T40" s="18" t="n">
        <v>7.72</v>
      </c>
      <c r="U40" s="37">
        <f>SUM(Q40:T40)</f>
        <v/>
      </c>
      <c r="V40" s="18" t="n">
        <v>2.54</v>
      </c>
      <c r="W40" s="18" t="n">
        <v>51.69</v>
      </c>
      <c r="X40" s="18" t="n">
        <v>27.88</v>
      </c>
      <c r="Y40" s="18" t="n">
        <v>-0.36</v>
      </c>
      <c r="Z40" s="37">
        <f>SUM(V40:Y40)</f>
        <v/>
      </c>
      <c r="AA40" s="18" t="n">
        <v>81.59999999999999</v>
      </c>
      <c r="AB40" s="19" t="n">
        <v>92.26000000000001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112.4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20.91</v>
      </c>
    </row>
    <row r="32">
      <c r="C32" s="2" t="inlineStr">
        <is>
          <t>pbr_now</t>
        </is>
      </c>
      <c r="D32" t="n">
        <v>0.41</v>
      </c>
    </row>
    <row r="33">
      <c r="C33" s="2" t="inlineStr">
        <is>
          <t>roe_fwd</t>
        </is>
      </c>
      <c r="D33" t="n">
        <v>0.0197</v>
      </c>
    </row>
    <row r="34">
      <c r="C34" s="2" t="inlineStr">
        <is>
          <t>fair_pbr</t>
        </is>
      </c>
      <c r="D34" t="n">
        <v>0.22</v>
      </c>
    </row>
    <row r="35">
      <c r="C35" s="2" t="inlineStr">
        <is>
          <t>fair_value_pbr</t>
        </is>
      </c>
      <c r="D35" t="n">
        <v>1300</v>
      </c>
    </row>
    <row r="36">
      <c r="C36" s="2" t="inlineStr">
        <is>
          <t>ev_ebitda</t>
        </is>
      </c>
      <c r="D36" t="n">
        <v>11.54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