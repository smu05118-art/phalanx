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BS별도!$C$5:$AO$89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65394억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66104억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68372억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72287억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76534억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81495억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86577억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91802억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95850억 × 비례계수 0.0132(원점회귀; 격자 lag0~4×창8/12/19×수준·YoY·4Q합 중 최대 r=0.90, n=8, 창 8)</t>
      </text>
    </comment>
    <comment ref="AC22" authorId="0" shapeId="0">
      <text>
        <t>모델값 역산(implied): v / 매출액
매출액 × 판관비율 7.95%(최근 4분기 중위)</t>
      </text>
    </comment>
    <comment ref="AD22" authorId="0" shapeId="0">
      <text>
        <t>모델값 역산(implied): v / 매출액
매출액 × 판관비율 7.95%(최근 4분기 중위)</t>
      </text>
    </comment>
    <comment ref="AF22" authorId="0" shapeId="0">
      <text>
        <t>모델값 역산(implied): v / 매출액
매출액 × 판관비율 7.95%(최근 4분기 중위)</t>
      </text>
    </comment>
    <comment ref="AG22" authorId="0" shapeId="0">
      <text>
        <t>모델값 역산(implied): v / 매출액
매출액 × 판관비율 7.95%(최근 4분기 중위)</t>
      </text>
    </comment>
    <comment ref="AH22" authorId="0" shapeId="0">
      <text>
        <t>모델값 역산(implied): v / 매출액
매출액 × 판관비율 7.95%(최근 4분기 중위)</t>
      </text>
    </comment>
    <comment ref="AI22" authorId="0" shapeId="0">
      <text>
        <t>모델값 역산(implied): v / 매출액
매출액 × 판관비율 7.95%(최근 4분기 중위)</t>
      </text>
    </comment>
    <comment ref="AK22" authorId="0" shapeId="0">
      <text>
        <t>모델값 역산(implied): v / 매출액
매출액 × 판관비율 7.95%(최근 4분기 중위)</t>
      </text>
    </comment>
    <comment ref="AL22" authorId="0" shapeId="0">
      <text>
        <t>모델값 역산(implied): v / 매출액
매출액 × 판관비율 7.95%(최근 4분기 중위)</t>
      </text>
    </comment>
    <comment ref="AM22" authorId="0" shapeId="0">
      <text>
        <t>모델값 역산(implied): v / 매출액
매출액 × 판관비율 7.95%(최근 4분기 중위)</t>
      </text>
    </comment>
    <comment ref="AN22" authorId="0" shapeId="0">
      <text>
        <t>모델값 역산(implied): v / 매출액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v / 전년동기 − 1
최근 8분기 OPM 중위 3.7% 유지</t>
      </text>
    </comment>
    <comment ref="AD24" authorId="0" shapeId="0">
      <text>
        <t>모델값 역산(implied): v / 전년동기 − 1
최근 8분기 OPM 중위 3.7% 유지</t>
      </text>
    </comment>
    <comment ref="AF24" authorId="0" shapeId="0">
      <text>
        <t>모델값 역산(implied): v / 전년동기 − 1
최근 8분기 OPM 중위 3.7% 유지</t>
      </text>
    </comment>
    <comment ref="AG24" authorId="0" shapeId="0">
      <text>
        <t>모델값 역산(implied): v / 전년동기 − 1
최근 8분기 OPM 중위 3.7% 유지</t>
      </text>
    </comment>
    <comment ref="AH24" authorId="0" shapeId="0">
      <text>
        <t>모델값 역산(implied): v / 전년동기 − 1
최근 8분기 OPM 중위 3.7% 유지</t>
      </text>
    </comment>
    <comment ref="AI24" authorId="0" shapeId="0">
      <text>
        <t>모델값 역산(implied): v / 전년동기 − 1
최근 8분기 OPM 중위 3.7% 유지</t>
      </text>
    </comment>
    <comment ref="AK24" authorId="0" shapeId="0">
      <text>
        <t>모델값 역산(implied): v / 전년동기 − 1
최근 8분기 OPM 중위 3.7% 유지</t>
      </text>
    </comment>
    <comment ref="AL24" authorId="0" shapeId="0">
      <text>
        <t>모델값 역산(implied): v / 전년동기 − 1
최근 8분기 OPM 중위 3.7% 유지</t>
      </text>
    </comment>
    <comment ref="AM24" authorId="0" shapeId="0">
      <text>
        <t>모델값 역산(implied): v / 전년동기 − 1
최근 8분기 OPM 중위 3.7% 유지</t>
      </text>
    </comment>
    <comment ref="AN24" authorId="0" shapeId="0">
      <text>
        <t>모델값 역산(implied): v / 전년동기 − 1
최근 8분기 OPM 중위 3.7% 유지</t>
      </text>
    </comment>
    <comment ref="AC25" authorId="0" shapeId="0">
      <text>
        <t>모델값 역산(implied): 모델 v 그대로
이자손익 + 외환손익 0 + 파생상품손익 0 + 기타금융손익 +0.00억(최근 4분기 중위 -0.87억이 이자손익 추정 +0.87억의 50% 초과 → 0(경고)) (항등식); 이자손익 = 이자발생자산 244억 × 1.42%(주석 이자수익 ÷ 평균 이자발생자산(2025Q2~2026Q2)) − 총차입금 0억 × 0.00%(없음)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+0.00억(최근 4분기 중위 -0.87억이 이자손익 추정 +0.87억의 50% 초과 → 0(경고)) (항등식); 이자손익 = 이자발생자산 269억 × 1.42%(주석 이자수익 ÷ 평균 이자발생자산(2025Q2~2026Q2)) − 총차입금 0억 × 0.00%(없음)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+0.00억(최근 4분기 중위 -0.87억이 이자손익 추정 +0.87억의 50% 초과 → 0(경고)) (항등식); 이자손익 = 이자발생자산 295억 × 1.42%(주석 이자수익 ÷ 평균 이자발생자산(2025Q2~2026Q2)) − 총차입금 0억 × 0.00%(없음)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+0.00억(최근 4분기 중위 -0.87억이 이자손익 추정 +0.87억의 50% 초과 → 0(경고)) (항등식); 이자손익 = 이자발생자산 322억 × 1.42%(주석 이자수익 ÷ 평균 이자발생자산(2025Q2~2026Q2)) − 총차입금 0억 × 0.00%(없음)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+0.00억(최근 4분기 중위 -0.87억이 이자손익 추정 +0.87억의 50% 초과 → 0(경고)) (항등식); 이자손익 = 이자발생자산 349억 × 1.42%(주석 이자수익 ÷ 평균 이자발생자산(2025Q2~2026Q2)) − 총차입금 0억 × 0.00%(없음)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+0.00억(최근 4분기 중위 -0.87억이 이자손익 추정 +0.87억의 50% 초과 → 0(경고)) (항등식); 이자손익 = 이자발생자산 378억 × 1.42%(주석 이자수익 ÷ 평균 이자발생자산(2025Q2~2026Q2)) − 총차입금 0억 × 0.00%(없음)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+0.00억(최근 4분기 중위 -0.87억이 이자손익 추정 +0.87억의 50% 초과 → 0(경고)) (항등식); 이자손익 = 이자발생자산 408억 × 1.42%(주석 이자수익 ÷ 평균 이자발생자산(2025Q2~2026Q2)) − 총차입금 0억 × 0.00%(없음)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+0.00억(최근 4분기 중위 -0.87억이 이자손익 추정 +0.87억의 50% 초과 → 0(경고)) (항등식); 이자손익 = 이자발생자산 441억 × 1.42%(주석 이자수익 ÷ 평균 이자발생자산(2025Q2~2026Q2)) − 총차입금 0억 × 0.00%(없음)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+0.00억(최근 4분기 중위 -0.87억이 이자손익 추정 +0.87억의 50% 초과 → 0(경고)) (항등식); 이자손익 = 이자발생자산 475억 × 1.42%(주석 이자수익 ÷ 평균 이자발생자산(2025Q2~2026Q2)) − 총차입금 0억 × 0.00%(없음)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+0.00억(최근 4분기 중위 -0.87억이 이자손익 추정 +0.87억의 50% 초과 → 0(경고)) (항등식); 이자손익 = 이자발생자산 512억 × 1.42%(주석 이자수익 ÷ 평균 이자발생자산(2025Q2~2026Q2)) − 총차입금 0억 × 0.00%(없음) (연율) ÷ 4; 환율 효과는 환관련손익 행 별도</t>
      </text>
    </comment>
    <comment ref="AC26" authorId="0" shapeId="0">
      <text>
        <t>모델값 역산(implied): 모델 v 그대로
이자발생자산 244억 × 1.42%(주석 이자수익 ÷ 평균 이자발생자산(2025Q2~2026Q2)) − 총차입금 0억 × 0.00%(없음) (연율) ÷ 4</t>
      </text>
    </comment>
    <comment ref="AD26" authorId="0" shapeId="0">
      <text>
        <t>모델값 역산(implied): 모델 v 그대로
이자발생자산 269억 × 1.42%(주석 이자수익 ÷ 평균 이자발생자산(2025Q2~2026Q2)) − 총차입금 0억 × 0.00%(없음) (연율) ÷ 4</t>
      </text>
    </comment>
    <comment ref="AF26" authorId="0" shapeId="0">
      <text>
        <t>모델값 역산(implied): 모델 v 그대로
이자발생자산 295억 × 1.42%(주석 이자수익 ÷ 평균 이자발생자산(2025Q2~2026Q2)) − 총차입금 0억 × 0.00%(없음) (연율) ÷ 4</t>
      </text>
    </comment>
    <comment ref="AG26" authorId="0" shapeId="0">
      <text>
        <t>모델값 역산(implied): 모델 v 그대로
이자발생자산 322억 × 1.42%(주석 이자수익 ÷ 평균 이자발생자산(2025Q2~2026Q2)) − 총차입금 0억 × 0.00%(없음) (연율) ÷ 4</t>
      </text>
    </comment>
    <comment ref="AH26" authorId="0" shapeId="0">
      <text>
        <t>모델값 역산(implied): 모델 v 그대로
이자발생자산 349억 × 1.42%(주석 이자수익 ÷ 평균 이자발생자산(2025Q2~2026Q2)) − 총차입금 0억 × 0.00%(없음) (연율) ÷ 4</t>
      </text>
    </comment>
    <comment ref="AI26" authorId="0" shapeId="0">
      <text>
        <t>모델값 역산(implied): 모델 v 그대로
이자발생자산 378억 × 1.42%(주석 이자수익 ÷ 평균 이자발생자산(2025Q2~2026Q2)) − 총차입금 0억 × 0.00%(없음) (연율) ÷ 4</t>
      </text>
    </comment>
    <comment ref="AK26" authorId="0" shapeId="0">
      <text>
        <t>모델값 역산(implied): 모델 v 그대로
이자발생자산 408억 × 1.42%(주석 이자수익 ÷ 평균 이자발생자산(2025Q2~2026Q2)) − 총차입금 0억 × 0.00%(없음) (연율) ÷ 4</t>
      </text>
    </comment>
    <comment ref="AL26" authorId="0" shapeId="0">
      <text>
        <t>모델값 역산(implied): 모델 v 그대로
이자발생자산 441억 × 1.42%(주석 이자수익 ÷ 평균 이자발생자산(2025Q2~2026Q2)) − 총차입금 0억 × 0.00%(없음) (연율) ÷ 4</t>
      </text>
    </comment>
    <comment ref="AM26" authorId="0" shapeId="0">
      <text>
        <t>모델값 역산(implied): 모델 v 그대로
이자발생자산 475억 × 1.42%(주석 이자수익 ÷ 평균 이자발생자산(2025Q2~2026Q2)) − 총차입금 0억 × 0.00%(없음) (연율) ÷ 4</t>
      </text>
    </comment>
    <comment ref="AN26" authorId="0" shapeId="0">
      <text>
        <t>모델값 역산(implied): 모델 v 그대로
이자발생자산 512억 × 1.42%(주석 이자수익 ÷ 평균 이자발생자산(2025Q2~2026Q2)) − 총차입금 0억 × 0.00%(없음)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29" authorId="0" shapeId="0">
      <text>
        <t>모델값 역산(implied): v / 전년동기 − 1
최근 4분기 중위 -0.87억이 이자손익 추정 +0.87억의 50% 초과 → 0(경고)</t>
      </text>
    </comment>
    <comment ref="AD29" authorId="0" shapeId="0">
      <text>
        <t>모델값 역산(implied): v / 전년동기 − 1
최근 4분기 중위 -0.87억이 이자손익 추정 +0.87억의 50% 초과 → 0(경고)</t>
      </text>
    </comment>
    <comment ref="AG29" authorId="0" shapeId="0">
      <text>
        <t>모델값 역산(implied): v / 전년동기 − 1
최근 4분기 중위 -0.87억이 이자손익 추정 +0.87억의 50% 초과 → 0(경고)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v / 세전이익
max(세전, 0) × 세율 20.9%(최근 12분기 유효세율 214.5% 가 5~27% 밖 → 클립 대신 최근 8분기 중 세전 &gt; 0 인 3분기(2025Q2~2026Q2)의 법인세/세전 중위 20.9%)</t>
      </text>
    </comment>
    <comment ref="AD31" authorId="0" shapeId="0">
      <text>
        <t>모델값 역산(implied): v / 세전이익
max(세전, 0) × 세율 20.9%(최근 12분기 유효세율 214.5% 가 5~27% 밖 → 클립 대신 최근 8분기 중 세전 &gt; 0 인 3분기(2025Q2~2026Q2)의 법인세/세전 중위 20.9%)</t>
      </text>
    </comment>
    <comment ref="AF31" authorId="0" shapeId="0">
      <text>
        <t>모델값 역산(implied): v / 세전이익
max(세전, 0) × 세율 20.9%(최근 12분기 유효세율 214.5% 가 5~27% 밖 → 클립 대신 최근 8분기 중 세전 &gt; 0 인 3분기(2025Q2~2026Q2)의 법인세/세전 중위 20.9%)</t>
      </text>
    </comment>
    <comment ref="AG31" authorId="0" shapeId="0">
      <text>
        <t>모델값 역산(implied): v / 세전이익
max(세전, 0) × 세율 20.9%(최근 12분기 유효세율 214.5% 가 5~27% 밖 → 클립 대신 최근 8분기 중 세전 &gt; 0 인 3분기(2025Q2~2026Q2)의 법인세/세전 중위 20.9%)</t>
      </text>
    </comment>
    <comment ref="AH31" authorId="0" shapeId="0">
      <text>
        <t>모델값 역산(implied): v / 세전이익
max(세전, 0) × 세율 20.9%(최근 12분기 유효세율 214.5% 가 5~27% 밖 → 클립 대신 최근 8분기 중 세전 &gt; 0 인 3분기(2025Q2~2026Q2)의 법인세/세전 중위 20.9%)</t>
      </text>
    </comment>
    <comment ref="AI31" authorId="0" shapeId="0">
      <text>
        <t>모델값 역산(implied): v / 세전이익
max(세전, 0) × 세율 20.9%(최근 12분기 유효세율 214.5% 가 5~27% 밖 → 클립 대신 최근 8분기 중 세전 &gt; 0 인 3분기(2025Q2~2026Q2)의 법인세/세전 중위 20.9%)</t>
      </text>
    </comment>
    <comment ref="AK31" authorId="0" shapeId="0">
      <text>
        <t>모델값 역산(implied): v / 세전이익
max(세전, 0) × 세율 20.9%(최근 12분기 유효세율 214.5% 가 5~27% 밖 → 클립 대신 최근 8분기 중 세전 &gt; 0 인 3분기(2025Q2~2026Q2)의 법인세/세전 중위 20.9%)</t>
      </text>
    </comment>
    <comment ref="AL31" authorId="0" shapeId="0">
      <text>
        <t>모델값 역산(implied): v / 세전이익
max(세전, 0) × 세율 20.9%(최근 12분기 유효세율 214.5% 가 5~27% 밖 → 클립 대신 최근 8분기 중 세전 &gt; 0 인 3분기(2025Q2~2026Q2)의 법인세/세전 중위 20.9%)</t>
      </text>
    </comment>
    <comment ref="AM31" authorId="0" shapeId="0">
      <text>
        <t>모델값 역산(implied): v / 세전이익
max(세전, 0) × 세율 20.9%(최근 12분기 유효세율 214.5% 가 5~27% 밖 → 클립 대신 최근 8분기 중 세전 &gt; 0 인 3분기(2025Q2~2026Q2)의 법인세/세전 중위 20.9%)</t>
      </text>
    </comment>
    <comment ref="AN31" authorId="0" shapeId="0">
      <text>
        <t>모델값 역산(implied): v / 세전이익
max(세전, 0) × 세율 20.9%(최근 12분기 유효세율 214.5% 가 5~27% 밖 → 클립 대신 최근 8분기 중 세전 &gt; 0 인 3분기(2025Q2~2026Q2)의 법인세/세전 중위 20.9%)</t>
      </text>
    </comment>
    <comment ref="AC32" authorId="0" shapeId="0">
      <text>
        <t>모델값 역산(implied): v / 당기순이익
당기순이익 × (1 − 비지배 비중 60.0%, 최근 8분기 실측)</t>
      </text>
    </comment>
    <comment ref="AD32" authorId="0" shapeId="0">
      <text>
        <t>모델값 역산(implied): v / 당기순이익
당기순이익 × (1 − 비지배 비중 60.0%, 최근 8분기 실측)</t>
      </text>
    </comment>
    <comment ref="AF32" authorId="0" shapeId="0">
      <text>
        <t>모델값 역산(implied): v / 당기순이익
당기순이익 × (1 − 비지배 비중 60.0%, 최근 8분기 실측)</t>
      </text>
    </comment>
    <comment ref="AG32" authorId="0" shapeId="0">
      <text>
        <t>모델값 역산(implied): v / 당기순이익
당기순이익 × (1 − 비지배 비중 60.0%, 최근 8분기 실측)</t>
      </text>
    </comment>
    <comment ref="AH32" authorId="0" shapeId="0">
      <text>
        <t>모델값 역산(implied): v / 당기순이익
당기순이익 × (1 − 비지배 비중 60.0%, 최근 8분기 실측)</t>
      </text>
    </comment>
    <comment ref="AI32" authorId="0" shapeId="0">
      <text>
        <t>모델값 역산(implied): v / 당기순이익
당기순이익 × (1 − 비지배 비중 60.0%, 최근 8분기 실측)</t>
      </text>
    </comment>
    <comment ref="AK32" authorId="0" shapeId="0">
      <text>
        <t>모델값 역산(implied): v / 당기순이익
당기순이익 × (1 − 비지배 비중 60.0%, 최근 8분기 실측)</t>
      </text>
    </comment>
    <comment ref="AL32" authorId="0" shapeId="0">
      <text>
        <t>모델값 역산(implied): v / 당기순이익
당기순이익 × (1 − 비지배 비중 60.0%, 최근 8분기 실측)</t>
      </text>
    </comment>
    <comment ref="AM32" authorId="0" shapeId="0">
      <text>
        <t>모델값 역산(implied): v / 당기순이익
당기순이익 × (1 − 비지배 비중 60.0%, 최근 8분기 실측)</t>
      </text>
    </comment>
    <comment ref="AN32" authorId="0" shapeId="0">
      <text>
        <t>모델값 역산(implied): v / 당기순이익
당기순이익 × (1 − 비지배 비중 60.0%, 최근 8분기 실측)</t>
      </text>
    </comment>
    <comment ref="AC33" authorId="0" shapeId="0">
      <text>
        <t>모델값 역산(implied): v / 전년동기 − 1
최근 4분기 감가상각비 중위 유지</t>
      </text>
    </comment>
    <comment ref="AH33" authorId="0" shapeId="0">
      <text>
        <t>모델값 역산(implied): v / 전년동기 − 1
최근 4분기 감가상각비 중위 유지</t>
      </text>
    </comment>
    <comment ref="AI33" authorId="0" shapeId="0">
      <text>
        <t>모델값 역산(implied): v / 전년동기 − 1
최근 4분기 감가상각비 중위 유지</t>
      </text>
    </comment>
    <comment ref="AK33" authorId="0" shapeId="0">
      <text>
        <t>모델값 역산(implied): v / 전년동기 − 1
최근 4분기 감가상각비 중위 유지</t>
      </text>
    </comment>
    <comment ref="AL33" authorId="0" shapeId="0">
      <text>
        <t>모델값 역산(implied): v / 전년동기 − 1
최근 4분기 감가상각비 중위 유지</t>
      </text>
    </comment>
    <comment ref="AM33" authorId="0" shapeId="0">
      <text>
        <t>모델값 역산(implied): v / 전년동기 − 1
최근 4분기 감가상각비 중위 유지</t>
      </text>
    </comment>
    <comment ref="AN33" authorId="0" shapeId="0">
      <text>
        <t>모델값 역산(implied): v / 전년동기 − 1
최근 4분기 감가상각비 중위 유지</t>
      </text>
    </comment>
    <comment ref="AC34" authorId="0" shapeId="0">
      <text>
        <t>모델값 역산(implied): v / 전년동기 − 1
영업이익 + 감가상각비</t>
      </text>
    </comment>
    <comment ref="AH34" authorId="0" shapeId="0">
      <text>
        <t>모델값 역산(implied): v / 전년동기 − 1
영업이익 + 감가상각비</t>
      </text>
    </comment>
    <comment ref="AI34" authorId="0" shapeId="0">
      <text>
        <t>모델값 역산(implied): v / 전년동기 − 1
영업이익 + 감가상각비</t>
      </text>
    </comment>
    <comment ref="AK34" authorId="0" shapeId="0">
      <text>
        <t>모델값 역산(implied): v / 전년동기 − 1
영업이익 + 감가상각비</t>
      </text>
    </comment>
    <comment ref="AL34" authorId="0" shapeId="0">
      <text>
        <t>모델값 역산(implied): v / 전년동기 − 1
영업이익 + 감가상각비</t>
      </text>
    </comment>
    <comment ref="AM34" authorId="0" shapeId="0">
      <text>
        <t>모델값 역산(implied): v / 전년동기 − 1
영업이익 + 감가상각비</t>
      </text>
    </comment>
    <comment ref="AN34" authorId="0" shapeId="0">
      <text>
        <t>모델값 역산(implied): v / 전년동기 − 1
영업이익 + 감가상각비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전분기 + 당기순이익 − v
전분기 + 당기순이익 − 배당(Q2 지급 가정)</t>
      </text>
    </comment>
    <comment ref="AD36" authorId="0" shapeId="0">
      <text>
        <t>모델값 역산(implied): 전분기 + 당기순이익 − v
전분기 + 당기순이익 − 배당(Q2 지급 가정)</t>
      </text>
    </comment>
    <comment ref="AF36" authorId="0" shapeId="0">
      <text>
        <t>모델값 역산(implied): 전분기 + 당기순이익 − v
전분기 + 당기순이익 − 배당(Q2 지급 가정)</t>
      </text>
    </comment>
    <comment ref="AG36" authorId="0" shapeId="0">
      <text>
        <t>모델값 역산(implied): 전분기 + 당기순이익 − v
전분기 + 당기순이익 − 배당(Q2 지급 가정)</t>
      </text>
    </comment>
    <comment ref="AH36" authorId="0" shapeId="0">
      <text>
        <t>모델값 역산(implied): 전분기 + 당기순이익 − v
전분기 + 당기순이익 − 배당(Q2 지급 가정)</t>
      </text>
    </comment>
    <comment ref="AI36" authorId="0" shapeId="0">
      <text>
        <t>모델값 역산(implied): 전분기 + 당기순이익 − v
전분기 + 당기순이익 − 배당(Q2 지급 가정)</t>
      </text>
    </comment>
    <comment ref="AK36" authorId="0" shapeId="0">
      <text>
        <t>모델값 역산(implied): 전분기 + 당기순이익 − v
전분기 + 당기순이익 − 배당(Q2 지급 가정)</t>
      </text>
    </comment>
    <comment ref="AL36" authorId="0" shapeId="0">
      <text>
        <t>모델값 역산(implied): 전분기 + 당기순이익 − v
전분기 + 당기순이익 − 배당(Q2 지급 가정)</t>
      </text>
    </comment>
    <comment ref="AM36" authorId="0" shapeId="0">
      <text>
        <t>모델값 역산(implied): 전분기 + 당기순이익 − v
전분기 + 당기순이익 − 배당(Q2 지급 가정)</t>
      </text>
    </comment>
    <comment ref="AN36" authorId="0" shapeId="0">
      <text>
        <t>모델값 역산(implied): 전분기 + 당기순이익 − v
전분기 + 당기순이익 − 배당(Q2 지급 가정)</t>
      </text>
    </comment>
    <comment ref="AC37" authorId="0" shapeId="0">
      <text>
        <t>모델값 역산(implied): 전분기 + 지배주주순이익 − v
전분기 + 지배주주순이익 − 배당</t>
      </text>
    </comment>
    <comment ref="AD37" authorId="0" shapeId="0">
      <text>
        <t>모델값 역산(implied): 전분기 + 지배주주순이익 − v
전분기 + 지배주주순이익 − 배당</t>
      </text>
    </comment>
    <comment ref="AF37" authorId="0" shapeId="0">
      <text>
        <t>모델값 역산(implied): 전분기 + 지배주주순이익 − v
전분기 + 지배주주순이익 − 배당</t>
      </text>
    </comment>
    <comment ref="AG37" authorId="0" shapeId="0">
      <text>
        <t>모델값 역산(implied): 전분기 + 지배주주순이익 − v
전분기 + 지배주주순이익 − 배당</t>
      </text>
    </comment>
    <comment ref="AH37" authorId="0" shapeId="0">
      <text>
        <t>모델값 역산(implied): 전분기 + 지배주주순이익 − v
전분기 + 지배주주순이익 − 배당</t>
      </text>
    </comment>
    <comment ref="AI37" authorId="0" shapeId="0">
      <text>
        <t>모델값 역산(implied): 전분기 + 지배주주순이익 − v
전분기 + 지배주주순이익 − 배당</t>
      </text>
    </comment>
    <comment ref="AK37" authorId="0" shapeId="0">
      <text>
        <t>모델값 역산(implied): 전분기 + 지배주주순이익 − v
전분기 + 지배주주순이익 − 배당</t>
      </text>
    </comment>
    <comment ref="AL37" authorId="0" shapeId="0">
      <text>
        <t>모델값 역산(implied): 전분기 + 지배주주순이익 − v
전분기 + 지배주주순이익 − 배당</t>
      </text>
    </comment>
    <comment ref="AM37" authorId="0" shapeId="0">
      <text>
        <t>모델값 역산(implied): 전분기 + 지배주주순이익 − v
전분기 + 지배주주순이익 − 배당</t>
      </text>
    </comment>
    <comment ref="AN37" authorId="0" shapeId="0">
      <text>
        <t>모델값 역산(implied): 전분기 + 지배주주순이익 − v
전분기 + 지배주주순이익 − 배당</t>
      </text>
    </comment>
    <comment ref="AC40" authorId="0" shapeId="0">
      <text>
        <t>모델값 역산(implied): v / 전분기 − 1
전분기 + (순이익 − 배당) — 순차입금 롤과 같은 가정</t>
      </text>
    </comment>
    <comment ref="AD40" authorId="0" shapeId="0">
      <text>
        <t>모델값 역산(implied): v / 전분기 − 1
전분기 + (순이익 − 배당) — 순차입금 롤과 같은 가정</t>
      </text>
    </comment>
    <comment ref="AF40" authorId="0" shapeId="0">
      <text>
        <t>모델값 역산(implied): v / 전분기 − 1
전분기 + (순이익 − 배당) — 순차입금 롤과 같은 가정</t>
      </text>
    </comment>
    <comment ref="AG40" authorId="0" shapeId="0">
      <text>
        <t>모델값 역산(implied): v / 전분기 − 1
전분기 + (순이익 − 배당) — 순차입금 롤과 같은 가정</t>
      </text>
    </comment>
    <comment ref="AH40" authorId="0" shapeId="0">
      <text>
        <t>모델값 역산(implied): v / 전분기 − 1
전분기 + (순이익 − 배당) — 순차입금 롤과 같은 가정</t>
      </text>
    </comment>
    <comment ref="AI40" authorId="0" shapeId="0">
      <text>
        <t>모델값 역산(implied): v / 전분기 − 1
전분기 + (순이익 − 배당) — 순차입금 롤과 같은 가정</t>
      </text>
    </comment>
    <comment ref="AK40" authorId="0" shapeId="0">
      <text>
        <t>모델값 역산(implied): v / 전분기 − 1
전분기 + (순이익 − 배당) — 순차입금 롤과 같은 가정</t>
      </text>
    </comment>
    <comment ref="AL40" authorId="0" shapeId="0">
      <text>
        <t>모델값 역산(implied): v / 전분기 − 1
전분기 + (순이익 − 배당) — 순차입금 롤과 같은 가정</t>
      </text>
    </comment>
    <comment ref="AM40" authorId="0" shapeId="0">
      <text>
        <t>모델값 역산(implied): v / 전분기 − 1
전분기 + (순이익 − 배당) — 순차입금 롤과 같은 가정</t>
      </text>
    </comment>
    <comment ref="AN40" authorId="0" shapeId="0">
      <text>
        <t>모델값 역산(implied): v / 전분기 − 1
전분기 + (순이익 − 배당) — 순차입금 롤과 같은 가정</t>
      </text>
    </comment>
    <comment ref="AC44" authorId="0" shapeId="0">
      <text>
        <t>모델값 역산(implied): v / 전분기 − 1
유통주식수 유지 — fin.shares.common_outstanding(2026Q2)</t>
      </text>
    </comment>
    <comment ref="AD44" authorId="0" shapeId="0">
      <text>
        <t>모델값 역산(implied): v / 전분기 − 1
유통주식수 유지 — fin.shares.common_outstanding(2026Q2)</t>
      </text>
    </comment>
    <comment ref="AF44" authorId="0" shapeId="0">
      <text>
        <t>모델값 역산(implied): v / 전분기 − 1
유통주식수 유지 — fin.shares.common_outstanding(2026Q2)</t>
      </text>
    </comment>
    <comment ref="AG44" authorId="0" shapeId="0">
      <text>
        <t>모델값 역산(implied): v / 전분기 − 1
유통주식수 유지 — fin.shares.common_outstanding(2026Q2)</t>
      </text>
    </comment>
    <comment ref="AH44" authorId="0" shapeId="0">
      <text>
        <t>모델값 역산(implied): v / 전분기 − 1
유통주식수 유지 — fin.shares.common_outstanding(2026Q2)</t>
      </text>
    </comment>
    <comment ref="AI44" authorId="0" shapeId="0">
      <text>
        <t>모델값 역산(implied): v / 전분기 − 1
유통주식수 유지 — fin.shares.common_outstanding(2026Q2)</t>
      </text>
    </comment>
    <comment ref="AK44" authorId="0" shapeId="0">
      <text>
        <t>모델값 역산(implied): v / 전분기 − 1
유통주식수 유지 — fin.shares.common_outstanding(2026Q2)</t>
      </text>
    </comment>
    <comment ref="AL44" authorId="0" shapeId="0">
      <text>
        <t>모델값 역산(implied): v / 전분기 − 1
유통주식수 유지 — fin.shares.common_outstanding(2026Q2)</t>
      </text>
    </comment>
    <comment ref="AM44" authorId="0" shapeId="0">
      <text>
        <t>모델값 역산(implied): v / 전분기 − 1
유통주식수 유지 — fin.shares.common_outstanding(2026Q2)</t>
      </text>
    </comment>
    <comment ref="AN44" authorId="0" shapeId="0">
      <text>
        <t>모델값 역산(implied): v / 전분기 − 1
유통주식수 유지 — fin.shares.common_outstanding(2026Q2)</t>
      </text>
    </comment>
    <comment ref="AD46" authorId="0" shapeId="0">
      <text>
        <t>모델값 역산(implied): v / 전년동기 − 1
현재 종가 ÷ TTM EPS(추정 포함)</t>
      </text>
    </comment>
    <comment ref="AI46" authorId="0" shapeId="0">
      <text>
        <t>모델값 역산(implied): v / 전년동기 − 1
현재 종가 ÷ TTM EPS(추정 포함)</t>
      </text>
    </comment>
    <comment ref="AK46" authorId="0" shapeId="0">
      <text>
        <t>모델값 역산(implied): v / 전년동기 − 1
현재 종가 ÷ TTM EPS(추정 포함)</t>
      </text>
    </comment>
    <comment ref="AL46" authorId="0" shapeId="0">
      <text>
        <t>모델값 역산(implied): v / 전년동기 − 1
현재 종가 ÷ TTM EPS(추정 포함)</t>
      </text>
    </comment>
    <comment ref="AM46" authorId="0" shapeId="0">
      <text>
        <t>모델값 역산(implied): v / 전년동기 − 1
현재 종가 ÷ TTM EPS(추정 포함)</t>
      </text>
    </comment>
    <comment ref="AN46" authorId="0" shapeId="0">
      <text>
        <t>모델값 역산(implied): v / 전년동기 − 1
현재 종가 ÷ TTM EPS(추정 포함)</t>
      </text>
    </comment>
    <comment ref="AC47" authorId="0" shapeId="0">
      <text>
        <t>모델값 역산(implied): v / 전년동기 − 1
현재 종가 ÷ BPS(추정 포함)</t>
      </text>
    </comment>
    <comment ref="AD47" authorId="0" shapeId="0">
      <text>
        <t>모델값 역산(implied): v / 전년동기 − 1
현재 종가 ÷ BPS(추정 포함)</t>
      </text>
    </comment>
    <comment ref="AF47" authorId="0" shapeId="0">
      <text>
        <t>모델값 역산(implied): v / 전년동기 − 1
현재 종가 ÷ BPS(추정 포함)</t>
      </text>
    </comment>
    <comment ref="AG47" authorId="0" shapeId="0">
      <text>
        <t>모델값 역산(implied): v / 전년동기 − 1
현재 종가 ÷ BPS(추정 포함)</t>
      </text>
    </comment>
    <comment ref="AH47" authorId="0" shapeId="0">
      <text>
        <t>모델값 역산(implied): v / 전년동기 − 1
현재 종가 ÷ BPS(추정 포함)</t>
      </text>
    </comment>
    <comment ref="AI47" authorId="0" shapeId="0">
      <text>
        <t>모델값 역산(implied): v / 전년동기 − 1
현재 종가 ÷ BPS(추정 포함)</t>
      </text>
    </comment>
    <comment ref="AK47" authorId="0" shapeId="0">
      <text>
        <t>모델값 역산(implied): v / 전년동기 − 1
현재 종가 ÷ BPS(추정 포함)</t>
      </text>
    </comment>
    <comment ref="AL47" authorId="0" shapeId="0">
      <text>
        <t>모델값 역산(implied): v / 전년동기 − 1
현재 종가 ÷ BPS(추정 포함)</t>
      </text>
    </comment>
    <comment ref="AM47" authorId="0" shapeId="0">
      <text>
        <t>모델값 역산(implied): v / 전년동기 − 1
현재 종가 ÷ BPS(추정 포함)</t>
      </text>
    </comment>
    <comment ref="AN47" authorId="0" shapeId="0">
      <text>
        <t>모델값 역산(implied): v / 전년동기 − 1
현재 종가 ÷ BPS(추정 포함)</t>
      </text>
    </comment>
    <comment ref="AC48" authorId="0" shapeId="0">
      <text>
        <t>모델값 역산(implied): v / 매출액
= 매출액 추정(부문 미분리)</t>
      </text>
    </comment>
    <comment ref="AD48" authorId="0" shapeId="0">
      <text>
        <t>모델값 역산(implied): v / 매출액
= 매출액 추정(부문 미분리)</t>
      </text>
    </comment>
    <comment ref="AF48" authorId="0" shapeId="0">
      <text>
        <t>모델값 역산(implied): v / 매출액
= 매출액 추정(부문 미분리)</t>
      </text>
    </comment>
    <comment ref="AG48" authorId="0" shapeId="0">
      <text>
        <t>모델값 역산(implied): v / 매출액
= 매출액 추정(부문 미분리)</t>
      </text>
    </comment>
    <comment ref="AH48" authorId="0" shapeId="0">
      <text>
        <t>모델값 역산(implied): v / 매출액
= 매출액 추정(부문 미분리)</t>
      </text>
    </comment>
    <comment ref="AI48" authorId="0" shapeId="0">
      <text>
        <t>모델값 역산(implied): v / 매출액
= 매출액 추정(부문 미분리)</t>
      </text>
    </comment>
    <comment ref="AK48" authorId="0" shapeId="0">
      <text>
        <t>모델값 역산(implied): v / 매출액
= 매출액 추정(부문 미분리)</t>
      </text>
    </comment>
    <comment ref="AL48" authorId="0" shapeId="0">
      <text>
        <t>모델값 역산(implied): v / 매출액
= 매출액 추정(부문 미분리)</t>
      </text>
    </comment>
    <comment ref="AM48" authorId="0" shapeId="0">
      <text>
        <t>모델값 역산(implied): v / 매출액
= 매출액 추정(부문 미분리)</t>
      </text>
    </comment>
    <comment ref="AN48" authorId="0" shapeId="0">
      <text>
        <t>모델값 역산(implied): v / 매출액
= 매출액 추정(부문 미분리)</t>
      </text>
    </comment>
    <comment ref="AC49" authorId="0" shapeId="0">
      <text>
        <t>모델값 역산(implied): v / 매출전사
= 매출액 × OPM(부문 미분리)</t>
      </text>
    </comment>
    <comment ref="AD49" authorId="0" shapeId="0">
      <text>
        <t>모델값 역산(implied): v / 매출전사
= 매출액 × OPM(부문 미분리)</t>
      </text>
    </comment>
    <comment ref="AF49" authorId="0" shapeId="0">
      <text>
        <t>모델값 역산(implied): v / 매출전사
= 매출액 × OPM(부문 미분리)</t>
      </text>
    </comment>
    <comment ref="AG49" authorId="0" shapeId="0">
      <text>
        <t>모델값 역산(implied): v / 매출전사
= 매출액 × OPM(부문 미분리)</t>
      </text>
    </comment>
    <comment ref="AH49" authorId="0" shapeId="0">
      <text>
        <t>모델값 역산(implied): v / 매출전사
= 매출액 × OPM(부문 미분리)</t>
      </text>
    </comment>
    <comment ref="AI49" authorId="0" shapeId="0">
      <text>
        <t>모델값 역산(implied): v / 매출전사
= 매출액 × OPM(부문 미분리)</t>
      </text>
    </comment>
    <comment ref="AK49" authorId="0" shapeId="0">
      <text>
        <t>모델값 역산(implied): v / 매출전사
= 매출액 × OPM(부문 미분리)</t>
      </text>
    </comment>
    <comment ref="AL49" authorId="0" shapeId="0">
      <text>
        <t>모델값 역산(implied): v / 매출전사
= 매출액 × OPM(부문 미분리)</t>
      </text>
    </comment>
    <comment ref="AM49" authorId="0" shapeId="0">
      <text>
        <t>모델값 역산(implied): v / 매출전사
= 매출액 × OPM(부문 미분리)</t>
      </text>
    </comment>
    <comment ref="AN49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65394억 × 비례계수 0.0132(원점회귀; 격자 lag0~4×창8/12/19×수준·YoY·4Q합 중 최대 r=0.90, n=8, 창 8)
[yoy]</t>
      </text>
    </comment>
    <comment ref="AF5" authorId="0" shapeId="0">
      <text>
        <t>추정: 고객 매출 가중지수(t−1) 66104억 × 비례계수 0.0132(원점회귀; 격자 lag0~4×창8/12/19×수준·YoY·4Q합 중 최대 r=0.90, n=8, 창 8)
[yoy]</t>
      </text>
    </comment>
    <comment ref="AG5" authorId="0" shapeId="0">
      <text>
        <t>추정: 고객 매출 가중지수(t−1) 68372억 × 비례계수 0.0132(원점회귀; 격자 lag0~4×창8/12/19×수준·YoY·4Q합 중 최대 r=0.90, n=8, 창 8)
[yoy]</t>
      </text>
    </comment>
    <comment ref="AH5" authorId="0" shapeId="0">
      <text>
        <t>추정: 고객 매출 가중지수(t−1) 72287억 × 비례계수 0.0132(원점회귀; 격자 lag0~4×창8/12/19×수준·YoY·4Q합 중 최대 r=0.90, n=8, 창 8)
[yoy]</t>
      </text>
    </comment>
    <comment ref="AI5" authorId="0" shapeId="0">
      <text>
        <t>추정: 고객 매출 가중지수(t−1) 76534억 × 비례계수 0.0132(원점회귀; 격자 lag0~4×창8/12/19×수준·YoY·4Q합 중 최대 r=0.90, n=8, 창 8)
[yoy]</t>
      </text>
    </comment>
    <comment ref="AK5" authorId="0" shapeId="0">
      <text>
        <t>추정: 고객 매출 가중지수(t−1) 81495억 × 비례계수 0.0132(원점회귀; 격자 lag0~4×창8/12/19×수준·YoY·4Q합 중 최대 r=0.90, n=8, 창 8)
[yoy]</t>
      </text>
    </comment>
    <comment ref="AL5" authorId="0" shapeId="0">
      <text>
        <t>추정: 고객 매출 가중지수(t−1) 86577억 × 비례계수 0.0132(원점회귀; 격자 lag0~4×창8/12/19×수준·YoY·4Q합 중 최대 r=0.90, n=8, 창 8)
[yoy]</t>
      </text>
    </comment>
    <comment ref="AM5" authorId="0" shapeId="0">
      <text>
        <t>추정: 고객 매출 가중지수(t−1) 91802억 × 비례계수 0.0132(원점회귀; 격자 lag0~4×창8/12/19×수준·YoY·4Q합 중 최대 r=0.90, n=8, 창 8)
[yoy]</t>
      </text>
    </comment>
    <comment ref="AN5" authorId="0" shapeId="0">
      <text>
        <t>추정: 고객 매출 가중지수(t−1) 95850억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3.7% 유지
[yoy]</t>
      </text>
    </comment>
    <comment ref="AD10" authorId="0" shapeId="0">
      <text>
        <t>추정: 최근 8분기 OPM 중위 3.7% 유지
[yoy]</t>
      </text>
    </comment>
    <comment ref="AF10" authorId="0" shapeId="0">
      <text>
        <t>추정: 최근 8분기 OPM 중위 3.7% 유지
[yoy]</t>
      </text>
    </comment>
    <comment ref="AG10" authorId="0" shapeId="0">
      <text>
        <t>추정: 최근 8분기 OPM 중위 3.7% 유지
[yoy]</t>
      </text>
    </comment>
    <comment ref="AH10" authorId="0" shapeId="0">
      <text>
        <t>추정: 최근 8분기 OPM 중위 3.7% 유지
[yoy]</t>
      </text>
    </comment>
    <comment ref="AI10" authorId="0" shapeId="0">
      <text>
        <t>추정: 최근 8분기 OPM 중위 3.7% 유지
[yoy]</t>
      </text>
    </comment>
    <comment ref="AK10" authorId="0" shapeId="0">
      <text>
        <t>추정: 최근 8분기 OPM 중위 3.7% 유지
[yoy]</t>
      </text>
    </comment>
    <comment ref="AL10" authorId="0" shapeId="0">
      <text>
        <t>추정: 최근 8분기 OPM 중위 3.7% 유지
[yoy]</t>
      </text>
    </comment>
    <comment ref="AM10" authorId="0" shapeId="0">
      <text>
        <t>추정: 최근 8분기 OPM 중위 3.7% 유지
[yoy]</t>
      </text>
    </comment>
    <comment ref="AN10" authorId="0" shapeId="0">
      <text>
        <t>추정: 최근 8분기 OPM 중위 3.7% 유지
[yoy]</t>
      </text>
    </comment>
    <comment ref="AC11" authorId="0" shapeId="0">
      <text>
        <t>추정: 이자손익 + 외환손익 0 + 파생상품손익 0 + 기타금융손익 +0.00억(최근 4분기 중위 -0.87억이 이자손익 추정 +0.87억의 50% 초과 → 0(경고)) (항등식); 이자손익 = 이자발생자산 244억 × 1.42%(주석 이자수익 ÷ 평균 이자발생자산(2025Q2~2026Q2)) − 총차입금 0억 × 0.00%(없음) (연율) ÷ 4; 환율 효과는 환관련손익 행 별도
[abs]</t>
      </text>
    </comment>
    <comment ref="AD11" authorId="0" shapeId="0">
      <text>
        <t>추정: 이자손익 + 외환손익 0 + 파생상품손익 0 + 기타금융손익 +0.00억(최근 4분기 중위 -0.87억이 이자손익 추정 +0.87억의 50% 초과 → 0(경고)) (항등식); 이자손익 = 이자발생자산 269억 × 1.42%(주석 이자수익 ÷ 평균 이자발생자산(2025Q2~2026Q2)) − 총차입금 0억 × 0.00%(없음) (연율) ÷ 4; 환율 효과는 환관련손익 행 별도
[abs]</t>
      </text>
    </comment>
    <comment ref="AF11" authorId="0" shapeId="0">
      <text>
        <t>추정: 이자손익 + 외환손익 0 + 파생상품손익 0 + 기타금융손익 +0.00억(최근 4분기 중위 -0.87억이 이자손익 추정 +0.87억의 50% 초과 → 0(경고)) (항등식); 이자손익 = 이자발생자산 295억 × 1.42%(주석 이자수익 ÷ 평균 이자발생자산(2025Q2~2026Q2)) − 총차입금 0억 × 0.00%(없음) (연율) ÷ 4; 환율 효과는 환관련손익 행 별도
[abs]</t>
      </text>
    </comment>
    <comment ref="AG11" authorId="0" shapeId="0">
      <text>
        <t>추정: 이자손익 + 외환손익 0 + 파생상품손익 0 + 기타금융손익 +0.00억(최근 4분기 중위 -0.87억이 이자손익 추정 +0.87억의 50% 초과 → 0(경고)) (항등식); 이자손익 = 이자발생자산 322억 × 1.42%(주석 이자수익 ÷ 평균 이자발생자산(2025Q2~2026Q2)) − 총차입금 0억 × 0.00%(없음) (연율) ÷ 4; 환율 효과는 환관련손익 행 별도
[abs]</t>
      </text>
    </comment>
    <comment ref="AH11" authorId="0" shapeId="0">
      <text>
        <t>추정: 이자손익 + 외환손익 0 + 파생상품손익 0 + 기타금융손익 +0.00억(최근 4분기 중위 -0.87억이 이자손익 추정 +0.87억의 50% 초과 → 0(경고)) (항등식); 이자손익 = 이자발생자산 349억 × 1.42%(주석 이자수익 ÷ 평균 이자발생자산(2025Q2~2026Q2)) − 총차입금 0억 × 0.00%(없음) (연율) ÷ 4; 환율 효과는 환관련손익 행 별도
[abs]</t>
      </text>
    </comment>
    <comment ref="AI11" authorId="0" shapeId="0">
      <text>
        <t>추정: 이자손익 + 외환손익 0 + 파생상품손익 0 + 기타금융손익 +0.00억(최근 4분기 중위 -0.87억이 이자손익 추정 +0.87억의 50% 초과 → 0(경고)) (항등식); 이자손익 = 이자발생자산 378억 × 1.42%(주석 이자수익 ÷ 평균 이자발생자산(2025Q2~2026Q2)) − 총차입금 0억 × 0.00%(없음) (연율) ÷ 4; 환율 효과는 환관련손익 행 별도
[abs]</t>
      </text>
    </comment>
    <comment ref="AK11" authorId="0" shapeId="0">
      <text>
        <t>추정: 이자손익 + 외환손익 0 + 파생상품손익 0 + 기타금융손익 +0.00억(최근 4분기 중위 -0.87억이 이자손익 추정 +0.87억의 50% 초과 → 0(경고)) (항등식); 이자손익 = 이자발생자산 408억 × 1.42%(주석 이자수익 ÷ 평균 이자발생자산(2025Q2~2026Q2)) − 총차입금 0억 × 0.00%(없음) (연율) ÷ 4; 환율 효과는 환관련손익 행 별도
[abs]</t>
      </text>
    </comment>
    <comment ref="AL11" authorId="0" shapeId="0">
      <text>
        <t>추정: 이자손익 + 외환손익 0 + 파생상품손익 0 + 기타금융손익 +0.00억(최근 4분기 중위 -0.87억이 이자손익 추정 +0.87억의 50% 초과 → 0(경고)) (항등식); 이자손익 = 이자발생자산 441억 × 1.42%(주석 이자수익 ÷ 평균 이자발생자산(2025Q2~2026Q2)) − 총차입금 0억 × 0.00%(없음) (연율) ÷ 4; 환율 효과는 환관련손익 행 별도
[abs]</t>
      </text>
    </comment>
    <comment ref="AM11" authorId="0" shapeId="0">
      <text>
        <t>추정: 이자손익 + 외환손익 0 + 파생상품손익 0 + 기타금융손익 +0.00억(최근 4분기 중위 -0.87억이 이자손익 추정 +0.87억의 50% 초과 → 0(경고)) (항등식); 이자손익 = 이자발생자산 475억 × 1.42%(주석 이자수익 ÷ 평균 이자발생자산(2025Q2~2026Q2)) − 총차입금 0억 × 0.00%(없음) (연율) ÷ 4; 환율 효과는 환관련손익 행 별도
[abs]</t>
      </text>
    </comment>
    <comment ref="AN11" authorId="0" shapeId="0">
      <text>
        <t>추정: 이자손익 + 외환손익 0 + 파생상품손익 0 + 기타금융손익 +0.00억(최근 4분기 중위 -0.87억이 이자손익 추정 +0.87억의 50% 초과 → 0(경고)) (항등식); 이자손익 = 이자발생자산 512억 × 1.42%(주석 이자수익 ÷ 평균 이자발생자산(2025Q2~2026Q2)) − 총차입금 0억 × 0.00%(없음) (연율) ÷ 4; 환율 효과는 환관련손익 행 별도
[abs]</t>
      </text>
    </comment>
    <comment ref="AC12" authorId="0" shapeId="0">
      <text>
        <t>추정: 이자발생자산 244억 × 1.42%(주석 이자수익 ÷ 평균 이자발생자산(2025Q2~2026Q2)) − 총차입금 0억 × 0.00%(없음) (연율) ÷ 4
[abs]</t>
      </text>
    </comment>
    <comment ref="AD12" authorId="0" shapeId="0">
      <text>
        <t>추정: 이자발생자산 269억 × 1.42%(주석 이자수익 ÷ 평균 이자발생자산(2025Q2~2026Q2)) − 총차입금 0억 × 0.00%(없음) (연율) ÷ 4
[abs]</t>
      </text>
    </comment>
    <comment ref="AF12" authorId="0" shapeId="0">
      <text>
        <t>추정: 이자발생자산 295억 × 1.42%(주석 이자수익 ÷ 평균 이자발생자산(2025Q2~2026Q2)) − 총차입금 0억 × 0.00%(없음) (연율) ÷ 4
[abs]</t>
      </text>
    </comment>
    <comment ref="AG12" authorId="0" shapeId="0">
      <text>
        <t>추정: 이자발생자산 322억 × 1.42%(주석 이자수익 ÷ 평균 이자발생자산(2025Q2~2026Q2)) − 총차입금 0억 × 0.00%(없음) (연율) ÷ 4
[abs]</t>
      </text>
    </comment>
    <comment ref="AH12" authorId="0" shapeId="0">
      <text>
        <t>추정: 이자발생자산 349억 × 1.42%(주석 이자수익 ÷ 평균 이자발생자산(2025Q2~2026Q2)) − 총차입금 0억 × 0.00%(없음) (연율) ÷ 4
[abs]</t>
      </text>
    </comment>
    <comment ref="AI12" authorId="0" shapeId="0">
      <text>
        <t>추정: 이자발생자산 378억 × 1.42%(주석 이자수익 ÷ 평균 이자발생자산(2025Q2~2026Q2)) − 총차입금 0억 × 0.00%(없음) (연율) ÷ 4
[abs]</t>
      </text>
    </comment>
    <comment ref="AK12" authorId="0" shapeId="0">
      <text>
        <t>추정: 이자발생자산 408억 × 1.42%(주석 이자수익 ÷ 평균 이자발생자산(2025Q2~2026Q2)) − 총차입금 0억 × 0.00%(없음) (연율) ÷ 4
[abs]</t>
      </text>
    </comment>
    <comment ref="AL12" authorId="0" shapeId="0">
      <text>
        <t>추정: 이자발생자산 441억 × 1.42%(주석 이자수익 ÷ 평균 이자발생자산(2025Q2~2026Q2)) − 총차입금 0억 × 0.00%(없음) (연율) ÷ 4
[abs]</t>
      </text>
    </comment>
    <comment ref="AM12" authorId="0" shapeId="0">
      <text>
        <t>추정: 이자발생자산 475억 × 1.42%(주석 이자수익 ÷ 평균 이자발생자산(2025Q2~2026Q2)) − 총차입금 0억 × 0.00%(없음) (연율) ÷ 4
[abs]</t>
      </text>
    </comment>
    <comment ref="AN12" authorId="0" shapeId="0">
      <text>
        <t>추정: 이자발생자산 512억 × 1.42%(주석 이자수익 ÷ 평균 이자발생자산(2025Q2~2026Q2)) − 총차입금 0억 × 0.00%(없음)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W14" authorId="0" shapeId="0">
      <text>
        <t>실측(계정 매핑 없음 — 모델값 직접) — fin.cons.is.파생상품이익 − fin.cons.is.파생상품손실</t>
      </text>
    </comment>
    <comment ref="X14" authorId="0" shapeId="0">
      <text>
        <t>실측(계정 매핑 없음 — 모델값 직접) — fin.cons.is.파생상품이익 − fin.cons.is.파생상품손실</t>
      </text>
    </comment>
    <comment ref="Y14" authorId="0" shapeId="0">
      <text>
        <t>실측(계정 매핑 없음 — 모델값 직접) — fin.cons.is.파생상품이익 − fin.cons.is.파생상품손실</t>
      </text>
    </comment>
    <comment ref="AB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W15" authorId="0" shapeId="0">
      <text>
        <t>실측(계정 매핑 없음 — 모델값 직접) — fin.cons.is.금융손익 − 이자손익 − 외환손익 − 파생상품손익(잔차)</t>
      </text>
    </comment>
    <comment ref="X15" authorId="0" shapeId="0">
      <text>
        <t>실측(계정 매핑 없음 — 모델값 직접) — fin.cons.is.금융손익 − 이자손익 − 외환손익 − 파생상품손익(잔차)</t>
      </text>
    </comment>
    <comment ref="Y15" authorId="0" shapeId="0">
      <text>
        <t>실측(계정 매핑 없음 — 모델값 직접) — fin.cons.is.금융손익 − 이자손익 − 외환손익 − 파생상품손익(잔차)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추정: 최근 4분기 중위 -0.87억이 이자손익 추정 +0.87억의 50% 초과 → 0(경고)
[yoy]</t>
      </text>
    </comment>
    <comment ref="AD15" authorId="0" shapeId="0">
      <text>
        <t>추정: 최근 4분기 중위 -0.87억이 이자손익 추정 +0.87억의 50% 초과 → 0(경고)
[yoy]</t>
      </text>
    </comment>
    <comment ref="AF15" authorId="0" shapeId="0">
      <text>
        <t>추정(가정 셀 참조 불가 — 기준값 없음, 모델값 직접): 최근 4분기 중위 -0.87억이 이자손익 추정 +0.87억의 50% 초과 → 0(경고)</t>
      </text>
    </comment>
    <comment ref="AG15" authorId="0" shapeId="0">
      <text>
        <t>추정: 최근 4분기 중위 -0.87억이 이자손익 추정 +0.87억의 50% 초과 → 0(경고)
[yoy]</t>
      </text>
    </comment>
    <comment ref="AH15" authorId="0" shapeId="0">
      <text>
        <t>추정(가정 셀 참조 불가 — 기준값 없음, 모델값 직접): 최근 4분기 중위 -0.87억이 이자손익 추정 +0.87억의 50% 초과 → 0(경고)</t>
      </text>
    </comment>
    <comment ref="AI15" authorId="0" shapeId="0">
      <text>
        <t>추정(가정 셀 참조 불가 — 기준값 없음, 모델값 직접): 최근 4분기 중위 -0.87억이 이자손익 추정 +0.87억의 50% 초과 → 0(경고)</t>
      </text>
    </comment>
    <comment ref="AK15" authorId="0" shapeId="0">
      <text>
        <t>추정(가정 셀 참조 불가 — 기준값 없음, 모델값 직접): 최근 4분기 중위 -0.87억이 이자손익 추정 +0.87억의 50% 초과 → 0(경고)</t>
      </text>
    </comment>
    <comment ref="AL15" authorId="0" shapeId="0">
      <text>
        <t>추정(가정 셀 참조 불가 — 기준값 없음, 모델값 직접): 최근 4분기 중위 -0.87억이 이자손익 추정 +0.87억의 50% 초과 → 0(경고)</t>
      </text>
    </comment>
    <comment ref="AM15" authorId="0" shapeId="0">
      <text>
        <t>추정(가정 셀 참조 불가 — 기준값 없음, 모델값 직접): 최근 4분기 중위 -0.87억이 이자손익 추정 +0.87억의 50% 초과 → 0(경고)</t>
      </text>
    </comment>
    <comment ref="AN15" authorId="0" shapeId="0">
      <text>
        <t>추정(가정 셀 참조 불가 — 기준값 없음, 모델값 직접): 최근 4분기 중위 -0.87억이 이자손익 추정 +0.87억의 50% 초과 → 0(경고)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20.9%(최근 12분기 유효세율 214.5% 가 5~27% 밖 → 클립 대신 최근 8분기 중 세전 &gt; 0 인 3분기(2025Q2~2026Q2)의 법인세/세전 중위 20.9%)
[ratio]</t>
      </text>
    </comment>
    <comment ref="AD18" authorId="0" shapeId="0">
      <text>
        <t>추정: max(세전, 0) × 세율 20.9%(최근 12분기 유효세율 214.5% 가 5~27% 밖 → 클립 대신 최근 8분기 중 세전 &gt; 0 인 3분기(2025Q2~2026Q2)의 법인세/세전 중위 20.9%)
[ratio]</t>
      </text>
    </comment>
    <comment ref="AF18" authorId="0" shapeId="0">
      <text>
        <t>추정: max(세전, 0) × 세율 20.9%(최근 12분기 유효세율 214.5% 가 5~27% 밖 → 클립 대신 최근 8분기 중 세전 &gt; 0 인 3분기(2025Q2~2026Q2)의 법인세/세전 중위 20.9%)
[ratio]</t>
      </text>
    </comment>
    <comment ref="AG18" authorId="0" shapeId="0">
      <text>
        <t>추정: max(세전, 0) × 세율 20.9%(최근 12분기 유효세율 214.5% 가 5~27% 밖 → 클립 대신 최근 8분기 중 세전 &gt; 0 인 3분기(2025Q2~2026Q2)의 법인세/세전 중위 20.9%)
[ratio]</t>
      </text>
    </comment>
    <comment ref="AH18" authorId="0" shapeId="0">
      <text>
        <t>추정: max(세전, 0) × 세율 20.9%(최근 12분기 유효세율 214.5% 가 5~27% 밖 → 클립 대신 최근 8분기 중 세전 &gt; 0 인 3분기(2025Q2~2026Q2)의 법인세/세전 중위 20.9%)
[ratio]</t>
      </text>
    </comment>
    <comment ref="AI18" authorId="0" shapeId="0">
      <text>
        <t>추정: max(세전, 0) × 세율 20.9%(최근 12분기 유효세율 214.5% 가 5~27% 밖 → 클립 대신 최근 8분기 중 세전 &gt; 0 인 3분기(2025Q2~2026Q2)의 법인세/세전 중위 20.9%)
[ratio]</t>
      </text>
    </comment>
    <comment ref="AK18" authorId="0" shapeId="0">
      <text>
        <t>추정: max(세전, 0) × 세율 20.9%(최근 12분기 유효세율 214.5% 가 5~27% 밖 → 클립 대신 최근 8분기 중 세전 &gt; 0 인 3분기(2025Q2~2026Q2)의 법인세/세전 중위 20.9%)
[ratio]</t>
      </text>
    </comment>
    <comment ref="AL18" authorId="0" shapeId="0">
      <text>
        <t>추정: max(세전, 0) × 세율 20.9%(최근 12분기 유효세율 214.5% 가 5~27% 밖 → 클립 대신 최근 8분기 중 세전 &gt; 0 인 3분기(2025Q2~2026Q2)의 법인세/세전 중위 20.9%)
[ratio]</t>
      </text>
    </comment>
    <comment ref="AM18" authorId="0" shapeId="0">
      <text>
        <t>추정: max(세전, 0) × 세율 20.9%(최근 12분기 유효세율 214.5% 가 5~27% 밖 → 클립 대신 최근 8분기 중 세전 &gt; 0 인 3분기(2025Q2~2026Q2)의 법인세/세전 중위 20.9%)
[ratio]</t>
      </text>
    </comment>
    <comment ref="AN18" authorId="0" shapeId="0">
      <text>
        <t>추정: max(세전, 0) × 세율 20.9%(최근 12분기 유효세율 214.5% 가 5~27% 밖 → 클립 대신 최근 8분기 중 세전 &gt; 0 인 3분기(2025Q2~2026Q2)의 법인세/세전 중위 20.9%)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60.0%, 최근 8분기 실측)
[ratio]</t>
      </text>
    </comment>
    <comment ref="AD20" authorId="0" shapeId="0">
      <text>
        <t>추정: 당기순이익 × (1 − 비지배 비중 60.0%, 최근 8분기 실측)
[ratio]</t>
      </text>
    </comment>
    <comment ref="AF20" authorId="0" shapeId="0">
      <text>
        <t>추정: 당기순이익 × (1 − 비지배 비중 60.0%, 최근 8분기 실측)
[ratio]</t>
      </text>
    </comment>
    <comment ref="AG20" authorId="0" shapeId="0">
      <text>
        <t>추정: 당기순이익 × (1 − 비지배 비중 60.0%, 최근 8분기 실측)
[ratio]</t>
      </text>
    </comment>
    <comment ref="AH20" authorId="0" shapeId="0">
      <text>
        <t>추정: 당기순이익 × (1 − 비지배 비중 60.0%, 최근 8분기 실측)
[ratio]</t>
      </text>
    </comment>
    <comment ref="AI20" authorId="0" shapeId="0">
      <text>
        <t>추정: 당기순이익 × (1 − 비지배 비중 60.0%, 최근 8분기 실측)
[ratio]</t>
      </text>
    </comment>
    <comment ref="AK20" authorId="0" shapeId="0">
      <text>
        <t>추정: 당기순이익 × (1 − 비지배 비중 60.0%, 최근 8분기 실측)
[ratio]</t>
      </text>
    </comment>
    <comment ref="AL20" authorId="0" shapeId="0">
      <text>
        <t>추정: 당기순이익 × (1 − 비지배 비중 60.0%, 최근 8분기 실측)
[ratio]</t>
      </text>
    </comment>
    <comment ref="AM20" authorId="0" shapeId="0">
      <text>
        <t>추정: 당기순이익 × (1 − 비지배 비중 60.0%, 최근 8분기 실측)
[ratio]</t>
      </text>
    </comment>
    <comment ref="AN20" authorId="0" shapeId="0">
      <text>
        <t>추정: 당기순이익 × (1 − 비지배 비중 60.0%, 최근 8분기 실측)
[ratio]</t>
      </text>
    </comment>
    <comment ref="AC21" authorId="0" shapeId="0">
      <text>
        <t>추정: 최근 4분기 감가상각비 중위 유지
[yoy]</t>
      </text>
    </comment>
    <comment ref="AD21" authorId="0" shapeId="0">
      <text>
        <t>추정(가정 셀 참조 불가 — 기준값 없음, 모델값 직접): 최근 4분기 감가상각비 중위 유지</t>
      </text>
    </comment>
    <comment ref="AF21" authorId="0" shapeId="0">
      <text>
        <t>추정(가정 셀 참조 불가 — 기준값 없음, 모델값 직접): 최근 4분기 감가상각비 중위 유지</t>
      </text>
    </comment>
    <comment ref="AG21" authorId="0" shapeId="0">
      <text>
        <t>추정(가정 셀 참조 불가 — 기준값 없음, 모델값 직접): 최근 4분기 감가상각비 중위 유지</t>
      </text>
    </comment>
    <comment ref="AH21" authorId="0" shapeId="0">
      <text>
        <t>추정: 최근 4분기 감가상각비 중위 유지
[yoy]</t>
      </text>
    </comment>
    <comment ref="AI21" authorId="0" shapeId="0">
      <text>
        <t>추정: 최근 4분기 감가상각비 중위 유지
[yoy]</t>
      </text>
    </comment>
    <comment ref="AK21" authorId="0" shapeId="0">
      <text>
        <t>추정: 최근 4분기 감가상각비 중위 유지
[yoy]</t>
      </text>
    </comment>
    <comment ref="AL21" authorId="0" shapeId="0">
      <text>
        <t>추정: 최근 4분기 감가상각비 중위 유지
[yoy]</t>
      </text>
    </comment>
    <comment ref="AM21" authorId="0" shapeId="0">
      <text>
        <t>추정: 최근 4분기 감가상각비 중위 유지
[yoy]</t>
      </text>
    </comment>
    <comment ref="AN21" authorId="0" shapeId="0">
      <text>
        <t>추정: 최근 4분기 감가상각비 중위 유지
[yoy]</t>
      </text>
    </comment>
    <comment ref="E22" authorId="0" shapeId="0">
      <text>
        <t>실측(계정 매핑 없음 — 모델값 직접) — 영업이익 + 감가상각비(CF)</t>
      </text>
    </comment>
    <comment ref="G22" authorId="0" shapeId="0">
      <text>
        <t>실측(계정 매핑 없음 — 모델값 직접) — 영업이익 + 감가상각비(CF)</t>
      </text>
    </comment>
    <comment ref="H22" authorId="0" shapeId="0">
      <text>
        <t>실측(계정 매핑 없음 — 모델값 직접) — 영업이익 + 감가상각비(CF)</t>
      </text>
    </comment>
    <comment ref="I22" authorId="0" shapeId="0">
      <text>
        <t>실측(계정 매핑 없음 — 모델값 직접) — 영업이익 + 감가상각비(CF)</t>
      </text>
    </comment>
    <comment ref="J22" authorId="0" shapeId="0">
      <text>
        <t>실측(계정 매핑 없음 — 모델값 직접) — 영업이익 + 감가상각비(CF)</t>
      </text>
    </comment>
    <comment ref="L22" authorId="0" shapeId="0">
      <text>
        <t>실측(계정 매핑 없음 — 모델값 직접) — 영업이익 + 감가상각비(CF)</t>
      </text>
    </comment>
    <comment ref="M22" authorId="0" shapeId="0">
      <text>
        <t>실측(계정 매핑 없음 — 모델값 직접) — 영업이익 + 감가상각비(CF)</t>
      </text>
    </comment>
    <comment ref="N22" authorId="0" shapeId="0">
      <text>
        <t>실측(계정 매핑 없음 — 모델값 직접) — 영업이익 + 감가상각비(CF)</t>
      </text>
    </comment>
    <comment ref="O22" authorId="0" shapeId="0">
      <text>
        <t>실측(계정 매핑 없음 — 모델값 직접) — 영업이익 + 감가상각비(CF)</t>
      </text>
    </comment>
    <comment ref="Q22" authorId="0" shapeId="0">
      <text>
        <t>실측(계정 매핑 없음 — 모델값 직접) — 영업이익 + 감가상각비(CF)</t>
      </text>
    </comment>
    <comment ref="R22" authorId="0" shapeId="0">
      <text>
        <t>실측(계정 매핑 없음 — 모델값 직접) — 영업이익 + 감가상각비(CF)</t>
      </text>
    </comment>
    <comment ref="S22" authorId="0" shapeId="0">
      <text>
        <t>실측(계정 매핑 없음 — 모델값 직접) — 영업이익 + 감가상각비(CF)</t>
      </text>
    </comment>
    <comment ref="T22" authorId="0" shapeId="0">
      <text>
        <t>실측(계정 매핑 없음 — 모델값 직접) — 영업이익 + 감가상각비(CF)</t>
      </text>
    </comment>
    <comment ref="V22" authorId="0" shapeId="0">
      <text>
        <t>실측(계정 매핑 없음 — 모델값 직접) — 영업이익 + 감가상각비(CF)</t>
      </text>
    </comment>
    <comment ref="W22" authorId="0" shapeId="0">
      <text>
        <t>실측(계정 매핑 없음 — 모델값 직접) — 영업이익 + 감가상각비(CF)</t>
      </text>
    </comment>
    <comment ref="X22" authorId="0" shapeId="0">
      <text>
        <t>실측(계정 매핑 없음 — 모델값 직접) — 영업이익 + 감가상각비(CF)</t>
      </text>
    </comment>
    <comment ref="AC22" authorId="0" shapeId="0">
      <text>
        <t>추정: 영업이익 + 감가상각비
[yoy]</t>
      </text>
    </comment>
    <comment ref="AD22" authorId="0" shapeId="0">
      <text>
        <t>추정(가정 셀 참조 불가 — 기준값 없음, 모델값 직접): 영업이익 + 감가상각비</t>
      </text>
    </comment>
    <comment ref="AF22" authorId="0" shapeId="0">
      <text>
        <t>추정(가정 셀 참조 불가 — 기준값 없음, 모델값 직접): 영업이익 + 감가상각비</t>
      </text>
    </comment>
    <comment ref="AG22" authorId="0" shapeId="0">
      <text>
        <t>추정(가정 셀 참조 불가 — 기준값 없음, 모델값 직접): 영업이익 + 감가상각비</t>
      </text>
    </comment>
    <comment ref="AH22" authorId="0" shapeId="0">
      <text>
        <t>추정: 영업이익 + 감가상각비
[yoy]</t>
      </text>
    </comment>
    <comment ref="AI22" authorId="0" shapeId="0">
      <text>
        <t>추정: 영업이익 + 감가상각비
[yoy]</t>
      </text>
    </comment>
    <comment ref="AK22" authorId="0" shapeId="0">
      <text>
        <t>추정: 영업이익 + 감가상각비
[yoy]</t>
      </text>
    </comment>
    <comment ref="AL22" authorId="0" shapeId="0">
      <text>
        <t>추정: 영업이익 + 감가상각비
[yoy]</t>
      </text>
    </comment>
    <comment ref="AM22" authorId="0" shapeId="0">
      <text>
        <t>추정: 영업이익 + 감가상각비
[yoy]</t>
      </text>
    </comment>
    <comment ref="AN22" authorId="0" shapeId="0">
      <text>
        <t>추정: 영업이익 + 감가상각비
[yoy]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9" authorId="0" shapeId="0">
      <text>
        <t>추정: 전분기 + (순이익 − 배당) — 순차입금 롤과 같은 가정
[qoq]</t>
      </text>
    </comment>
    <comment ref="AD29" authorId="0" shapeId="0">
      <text>
        <t>추정: 전분기 + (순이익 − 배당) — 순차입금 롤과 같은 가정
[qoq]</t>
      </text>
    </comment>
    <comment ref="AF29" authorId="0" shapeId="0">
      <text>
        <t>추정: 전분기 + (순이익 − 배당) — 순차입금 롤과 같은 가정
[qoq]</t>
      </text>
    </comment>
    <comment ref="AG29" authorId="0" shapeId="0">
      <text>
        <t>추정: 전분기 + (순이익 − 배당) — 순차입금 롤과 같은 가정
[qoq]</t>
      </text>
    </comment>
    <comment ref="AH29" authorId="0" shapeId="0">
      <text>
        <t>추정: 전분기 + (순이익 − 배당) — 순차입금 롤과 같은 가정
[qoq]</t>
      </text>
    </comment>
    <comment ref="AI29" authorId="0" shapeId="0">
      <text>
        <t>추정: 전분기 + (순이익 − 배당) — 순차입금 롤과 같은 가정
[qoq]</t>
      </text>
    </comment>
    <comment ref="AK29" authorId="0" shapeId="0">
      <text>
        <t>추정: 전분기 + (순이익 − 배당) — 순차입금 롤과 같은 가정
[qoq]</t>
      </text>
    </comment>
    <comment ref="AL29" authorId="0" shapeId="0">
      <text>
        <t>추정: 전분기 + (순이익 − 배당) — 순차입금 롤과 같은 가정
[qoq]</t>
      </text>
    </comment>
    <comment ref="AM29" authorId="0" shapeId="0">
      <text>
        <t>추정: 전분기 + (순이익 − 배당) — 순차입금 롤과 같은 가정
[qoq]</t>
      </text>
    </comment>
    <comment ref="AN29" authorId="0" shapeId="0">
      <text>
        <t>추정: 전분기 + (순이익 − 배당) — 순차입금 롤과 같은 가정
[qoq]</t>
      </text>
    </comment>
    <comment ref="E32" authorId="0" shapeId="0">
      <text>
        <t>실측(계정 매핑 없음 — 모델값 직접) — fin.cons.cf.영업활동으로인한현금흐름</t>
      </text>
    </comment>
    <comment ref="G32" authorId="0" shapeId="0">
      <text>
        <t>실측(계정 매핑 없음 — 모델값 직접) — fin.cons.cf.영업활동으로인한현금흐름</t>
      </text>
    </comment>
    <comment ref="H32" authorId="0" shapeId="0">
      <text>
        <t>실측(계정 매핑 없음 — 모델값 직접) — fin.cons.cf.영업활동으로인한현금흐름</t>
      </text>
    </comment>
    <comment ref="I32" authorId="0" shapeId="0">
      <text>
        <t>실측(계정 매핑 없음 — 모델값 직접) — fin.cons.cf.영업활동으로인한현금흐름</t>
      </text>
    </comment>
    <comment ref="J32" authorId="0" shapeId="0">
      <text>
        <t>실측(계정 매핑 없음 — 모델값 직접) — fin.cons.cf.영업활동으로인한현금흐름</t>
      </text>
    </comment>
    <comment ref="L32" authorId="0" shapeId="0">
      <text>
        <t>실측(계정 매핑 없음 — 모델값 직접) — fin.cons.cf.영업활동으로인한현금흐름</t>
      </text>
    </comment>
    <comment ref="M32" authorId="0" shapeId="0">
      <text>
        <t>실측(계정 매핑 없음 — 모델값 직접) — fin.cons.cf.영업활동으로인한현금흐름</t>
      </text>
    </comment>
    <comment ref="N32" authorId="0" shapeId="0">
      <text>
        <t>실측(계정 매핑 없음 — 모델값 직접) — fin.cons.cf.영업활동으로인한현금흐름</t>
      </text>
    </comment>
    <comment ref="O32" authorId="0" shapeId="0">
      <text>
        <t>실측(계정 매핑 없음 — 모델값 직접) — fin.cons.cf.영업활동으로인한현금흐름</t>
      </text>
    </comment>
    <comment ref="Q32" authorId="0" shapeId="0">
      <text>
        <t>실측(계정 매핑 없음 — 모델값 직접) — fin.cons.cf.영업활동으로인한현금흐름</t>
      </text>
    </comment>
    <comment ref="R32" authorId="0" shapeId="0">
      <text>
        <t>실측(계정 매핑 없음 — 모델값 직접) — fin.cons.cf.영업활동으로인한현금흐름</t>
      </text>
    </comment>
    <comment ref="S32" authorId="0" shapeId="0">
      <text>
        <t>실측(계정 매핑 없음 — 모델값 직접) — fin.cons.cf.영업활동으로인한현금흐름</t>
      </text>
    </comment>
    <comment ref="T32" authorId="0" shapeId="0">
      <text>
        <t>실측(계정 매핑 없음 — 모델값 직접) — fin.cons.cf.영업활동으로인한현금흐름</t>
      </text>
    </comment>
    <comment ref="V32" authorId="0" shapeId="0">
      <text>
        <t>실측(계정 매핑 없음 — 모델값 직접) — fin.cons.cf.영업활동으로인한현금흐름</t>
      </text>
    </comment>
    <comment ref="W32" authorId="0" shapeId="0">
      <text>
        <t>실측(계정 매핑 없음 — 모델값 직접) — fin.cons.cf.영업활동으로인한현금흐름</t>
      </text>
    </comment>
    <comment ref="X32" authorId="0" shapeId="0">
      <text>
        <t>실측(계정 매핑 없음 — 모델값 직접) — fin.cons.cf.영업활동으로인한현금흐름</t>
      </text>
    </comment>
    <comment ref="Y32" authorId="0" shapeId="0">
      <text>
        <t>실측(계정 매핑 없음 — 모델값 직접) — fin.cons.cf.영업활동으로인한현금흐름</t>
      </text>
    </comment>
    <comment ref="AA32" authorId="0" shapeId="0">
      <text>
        <t>실측(계정 매핑 없음 — 모델값 직접) — fin.cons.cf.영업활동으로인한현금흐름</t>
      </text>
    </comment>
    <comment ref="AB32" authorId="0" shapeId="0">
      <text>
        <t>실측(계정 매핑 없음 — 모델값 직접) — fin.cons.cf.영업활동으로인한현금흐름</t>
      </text>
    </comment>
    <comment ref="E33" authorId="0" shapeId="0">
      <text>
        <t>실측(계정 매핑 없음 — 모델값 직접) — fin.shares.common_outstanding</t>
      </text>
    </comment>
    <comment ref="G33" authorId="0" shapeId="0">
      <text>
        <t>실측(계정 매핑 없음 — 모델값 직접) — fin.shares.common_outstanding</t>
      </text>
    </comment>
    <comment ref="H33" authorId="0" shapeId="0">
      <text>
        <t>실측(계정 매핑 없음 — 모델값 직접) — fin.shares.common_outstanding</t>
      </text>
    </comment>
    <comment ref="I33" authorId="0" shapeId="0">
      <text>
        <t>실측(계정 매핑 없음 — 모델값 직접) — fin.shares.common_outstanding</t>
      </text>
    </comment>
    <comment ref="J33" authorId="0" shapeId="0">
      <text>
        <t>실측(계정 매핑 없음 — 모델값 직접) — fin.shares.common_outstanding</t>
      </text>
    </comment>
    <comment ref="L33" authorId="0" shapeId="0">
      <text>
        <t>실측(계정 매핑 없음 — 모델값 직접) — fin.shares.common_outstanding</t>
      </text>
    </comment>
    <comment ref="M33" authorId="0" shapeId="0">
      <text>
        <t>실측(계정 매핑 없음 — 모델값 직접) — fin.shares.common_outstanding</t>
      </text>
    </comment>
    <comment ref="N33" authorId="0" shapeId="0">
      <text>
        <t>실측(계정 매핑 없음 — 모델값 직접) — fin.shares.common_outstanding</t>
      </text>
    </comment>
    <comment ref="O33" authorId="0" shapeId="0">
      <text>
        <t>실측(계정 매핑 없음 — 모델값 직접) — fin.shares.common_outstanding</t>
      </text>
    </comment>
    <comment ref="Q33" authorId="0" shapeId="0">
      <text>
        <t>실측(계정 매핑 없음 — 모델값 직접) — fin.shares.common_outstanding</t>
      </text>
    </comment>
    <comment ref="R33" authorId="0" shapeId="0">
      <text>
        <t>실측(계정 매핑 없음 — 모델값 직접) — fin.shares.common_outstanding</t>
      </text>
    </comment>
    <comment ref="S33" authorId="0" shapeId="0">
      <text>
        <t>실측(계정 매핑 없음 — 모델값 직접) — fin.shares.common_outstanding</t>
      </text>
    </comment>
    <comment ref="T33" authorId="0" shapeId="0">
      <text>
        <t>실측(계정 매핑 없음 — 모델값 직접) — fin.shares.common_outstanding</t>
      </text>
    </comment>
    <comment ref="V33" authorId="0" shapeId="0">
      <text>
        <t>실측(계정 매핑 없음 — 모델값 직접) — fin.shares.common_outstanding</t>
      </text>
    </comment>
    <comment ref="W33" authorId="0" shapeId="0">
      <text>
        <t>실측(계정 매핑 없음 — 모델값 직접) — fin.shares.common_outstanding</t>
      </text>
    </comment>
    <comment ref="X33" authorId="0" shapeId="0">
      <text>
        <t>실측(계정 매핑 없음 — 모델값 직접) — fin.shares.common_outstanding</t>
      </text>
    </comment>
    <comment ref="Y33" authorId="0" shapeId="0">
      <text>
        <t>실측(계정 매핑 없음 — 모델값 직접) — fin.shares.common_outstanding</t>
      </text>
    </comment>
    <comment ref="AA33" authorId="0" shapeId="0">
      <text>
        <t>실측(계정 매핑 없음 — 모델값 직접) — fin.shares.common_outstanding</t>
      </text>
    </comment>
    <comment ref="AB33" authorId="0" shapeId="0">
      <text>
        <t>실측(계정 매핑 없음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 — 모델값 직접) — fin.dividend.dps_common(연간, Q4 에 표기)</t>
      </text>
    </comment>
    <comment ref="O36" authorId="0" shapeId="0">
      <text>
        <t>실측(계정 매핑 없음 — 모델값 직접) — fin.dividend.dps_common(연간, Q4 에 표기)</t>
      </text>
    </comment>
    <comment ref="T36" authorId="0" shapeId="0">
      <text>
        <t>실측(계정 매핑 없음 — 모델값 직접) — fin.dividend.dps_common(연간, Q4 에 표기)</t>
      </text>
    </comment>
    <comment ref="Y36" authorId="0" shapeId="0">
      <text>
        <t>실측(계정 매핑 없음 — 모델값 직접) — fin.dividend.dps_common(연간, Q4 에 표기)</t>
      </text>
    </comment>
    <comment ref="AD36" authorId="0" shapeId="0">
      <text>
        <t>추정(가정 셀 참조 불가 — 기준값 없음, 모델값 직접): 직전 결산 DPS 0원 유지</t>
      </text>
    </comment>
    <comment ref="AI36" authorId="0" shapeId="0">
      <text>
        <t>추정(가정 셀 참조 불가 — 기준값 없음, 모델값 직접): 직전 결산 DPS 0원 유지</t>
      </text>
    </comment>
    <comment ref="AN36" authorId="0" shapeId="0">
      <text>
        <t>추정(가정 셀 참조 불가 — 기준값 없음, 모델값 직접): 직전 결산 DPS 0원 유지</t>
      </text>
    </comment>
    <comment ref="I37" authorId="0" shapeId="0">
      <text>
        <t>실측(계정 매핑 없음 — 모델값 직접) — 토스 일봉 분기 평균 ÷ TTM EPS</t>
      </text>
    </comment>
    <comment ref="J37" authorId="0" shapeId="0">
      <text>
        <t>실측(계정 매핑 없음 — 모델값 직접) — 토스 일봉 분기 평균 ÷ TTM EPS</t>
      </text>
    </comment>
    <comment ref="L37" authorId="0" shapeId="0">
      <text>
        <t>실측(계정 매핑 없음 — 모델값 직접) — 토스 일봉 분기 평균 ÷ TTM EPS</t>
      </text>
    </comment>
    <comment ref="M37" authorId="0" shapeId="0">
      <text>
        <t>실측(계정 매핑 없음 — 모델값 직접) — 토스 일봉 분기 평균 ÷ TTM EPS</t>
      </text>
    </comment>
    <comment ref="N37" authorId="0" shapeId="0">
      <text>
        <t>실측(계정 매핑 없음 — 모델값 직접) — 토스 일봉 분기 평균 ÷ TTM EPS</t>
      </text>
    </comment>
    <comment ref="W37" authorId="0" shapeId="0">
      <text>
        <t>실측(계정 매핑 없음 — 모델값 직접) — 토스 일봉 분기 평균 ÷ TTM EPS</t>
      </text>
    </comment>
    <comment ref="X37" authorId="0" shapeId="0">
      <text>
        <t>실측(계정 매핑 없음 — 모델값 직접) — 토스 일봉 분기 평균 ÷ TTM EPS</t>
      </text>
    </comment>
    <comment ref="Y37" authorId="0" shapeId="0">
      <text>
        <t>실측(계정 매핑 없음 — 모델값 직접) — 토스 일봉 분기 평균 ÷ TTM EPS</t>
      </text>
    </comment>
    <comment ref="AD37" authorId="0" shapeId="0">
      <text>
        <t>추정: 현재 종가 ÷ TTM EPS(추정 포함)
[yoy]</t>
      </text>
    </comment>
    <comment ref="AF37" authorId="0" shapeId="0">
      <text>
        <t>추정(가정 셀 참조 불가 — 기준값 없음, 모델값 직접): 현재 종가 ÷ TTM EPS(추정 포함)</t>
      </text>
    </comment>
    <comment ref="AG37" authorId="0" shapeId="0">
      <text>
        <t>추정(가정 셀 참조 불가 — 기준값 없음, 모델값 직접): 현재 종가 ÷ TTM EPS(추정 포함)</t>
      </text>
    </comment>
    <comment ref="AH37" authorId="0" shapeId="0">
      <text>
        <t>추정(가정 셀 참조 불가 — 기준값 없음, 모델값 직접): 현재 종가 ÷ TTM EPS(추정 포함)</t>
      </text>
    </comment>
    <comment ref="AI37" authorId="0" shapeId="0">
      <text>
        <t>추정: 현재 종가 ÷ TTM EPS(추정 포함)
[yoy]</t>
      </text>
    </comment>
    <comment ref="AK37" authorId="0" shapeId="0">
      <text>
        <t>추정: 현재 종가 ÷ TTM EPS(추정 포함)
[yoy]</t>
      </text>
    </comment>
    <comment ref="AL37" authorId="0" shapeId="0">
      <text>
        <t>추정: 현재 종가 ÷ TTM EPS(추정 포함)
[yoy]</t>
      </text>
    </comment>
    <comment ref="AM37" authorId="0" shapeId="0">
      <text>
        <t>추정: 현재 종가 ÷ TTM EPS(추정 포함)
[yoy]</t>
      </text>
    </comment>
    <comment ref="AN37" authorId="0" shapeId="0">
      <text>
        <t>추정: 현재 종가 ÷ TTM EPS(추정 포함)
[yoy]</t>
      </text>
    </comment>
    <comment ref="E38" authorId="0" shapeId="0">
      <text>
        <t>실측(계정 매핑 없음 — 모델값 직접) — 토스 일봉 분기 평균 ÷ BPS</t>
      </text>
    </comment>
    <comment ref="F38" authorId="0" shapeId="0">
      <text>
        <t>연간(actual) — 분기 미완 연도, 모델 a 값 직접</t>
      </text>
    </comment>
    <comment ref="G38" authorId="0" shapeId="0">
      <text>
        <t>실측(계정 매핑 없음 — 모델값 직접) — 토스 일봉 분기 평균 ÷ BPS</t>
      </text>
    </comment>
    <comment ref="H38" authorId="0" shapeId="0">
      <text>
        <t>실측(계정 매핑 없음 — 모델값 직접) — 토스 일봉 분기 평균 ÷ BPS</t>
      </text>
    </comment>
    <comment ref="I38" authorId="0" shapeId="0">
      <text>
        <t>실측(계정 매핑 없음 — 모델값 직접) — 토스 일봉 분기 평균 ÷ BPS</t>
      </text>
    </comment>
    <comment ref="J38" authorId="0" shapeId="0">
      <text>
        <t>실측(계정 매핑 없음 — 모델값 직접) — 토스 일봉 분기 평균 ÷ BPS</t>
      </text>
    </comment>
    <comment ref="L38" authorId="0" shapeId="0">
      <text>
        <t>실측(계정 매핑 없음 — 모델값 직접) — 토스 일봉 분기 평균 ÷ BPS</t>
      </text>
    </comment>
    <comment ref="M38" authorId="0" shapeId="0">
      <text>
        <t>실측(계정 매핑 없음 — 모델값 직접) — 토스 일봉 분기 평균 ÷ BPS</t>
      </text>
    </comment>
    <comment ref="N38" authorId="0" shapeId="0">
      <text>
        <t>실측(계정 매핑 없음 — 모델값 직접) — 토스 일봉 분기 평균 ÷ BPS</t>
      </text>
    </comment>
    <comment ref="O38" authorId="0" shapeId="0">
      <text>
        <t>실측(계정 매핑 없음 — 모델값 직접) — 토스 일봉 분기 평균 ÷ BPS</t>
      </text>
    </comment>
    <comment ref="Q38" authorId="0" shapeId="0">
      <text>
        <t>실측(계정 매핑 없음 — 모델값 직접) — 토스 일봉 분기 평균 ÷ BPS</t>
      </text>
    </comment>
    <comment ref="R38" authorId="0" shapeId="0">
      <text>
        <t>실측(계정 매핑 없음 — 모델값 직접) — 토스 일봉 분기 평균 ÷ BPS</t>
      </text>
    </comment>
    <comment ref="S38" authorId="0" shapeId="0">
      <text>
        <t>실측(계정 매핑 없음 — 모델값 직접) — 토스 일봉 분기 평균 ÷ BPS</t>
      </text>
    </comment>
    <comment ref="T38" authorId="0" shapeId="0">
      <text>
        <t>실측(계정 매핑 없음 — 모델값 직접) — 토스 일봉 분기 평균 ÷ BPS</t>
      </text>
    </comment>
    <comment ref="V38" authorId="0" shapeId="0">
      <text>
        <t>실측(계정 매핑 없음 — 모델값 직접) — 토스 일봉 분기 평균 ÷ BPS</t>
      </text>
    </comment>
    <comment ref="W38" authorId="0" shapeId="0">
      <text>
        <t>실측(계정 매핑 없음 — 모델값 직접) — 토스 일봉 분기 평균 ÷ BPS</t>
      </text>
    </comment>
    <comment ref="X38" authorId="0" shapeId="0">
      <text>
        <t>실측(계정 매핑 없음 — 모델값 직접) — 토스 일봉 분기 평균 ÷ BPS</t>
      </text>
    </comment>
    <comment ref="Y38" authorId="0" shapeId="0">
      <text>
        <t>실측(계정 매핑 없음 — 모델값 직접) — 토스 일봉 분기 평균 ÷ BPS</t>
      </text>
    </comment>
    <comment ref="AA38" authorId="0" shapeId="0">
      <text>
        <t>실측(계정 매핑 없음 — 모델값 직접) — 토스 일봉 분기 평균 ÷ BPS</t>
      </text>
    </comment>
    <comment ref="AB38" authorId="0" shapeId="0">
      <text>
        <t>실측(계정 매핑 없음 — 모델값 직접) — 토스 일봉 분기 평균 ÷ BPS</t>
      </text>
    </comment>
    <comment ref="AC38" authorId="0" shapeId="0">
      <text>
        <t>추정: 현재 종가 ÷ BPS(추정 포함)
[yoy]</t>
      </text>
    </comment>
    <comment ref="AD38" authorId="0" shapeId="0">
      <text>
        <t>추정: 현재 종가 ÷ BPS(추정 포함)
[yoy]</t>
      </text>
    </comment>
    <comment ref="AF38" authorId="0" shapeId="0">
      <text>
        <t>추정: 현재 종가 ÷ BPS(추정 포함)
[yoy]</t>
      </text>
    </comment>
    <comment ref="AG38" authorId="0" shapeId="0">
      <text>
        <t>추정: 현재 종가 ÷ BPS(추정 포함)
[yoy]</t>
      </text>
    </comment>
    <comment ref="AH38" authorId="0" shapeId="0">
      <text>
        <t>추정: 현재 종가 ÷ BPS(추정 포함)
[yoy]</t>
      </text>
    </comment>
    <comment ref="AI38" authorId="0" shapeId="0">
      <text>
        <t>추정: 현재 종가 ÷ BPS(추정 포함)
[yoy]</t>
      </text>
    </comment>
    <comment ref="AK38" authorId="0" shapeId="0">
      <text>
        <t>추정: 현재 종가 ÷ BPS(추정 포함)
[yoy]</t>
      </text>
    </comment>
    <comment ref="AL38" authorId="0" shapeId="0">
      <text>
        <t>추정: 현재 종가 ÷ BPS(추정 포함)
[yoy]</t>
      </text>
    </comment>
    <comment ref="AM38" authorId="0" shapeId="0">
      <text>
        <t>추정: 현재 종가 ÷ BPS(추정 포함)
[yoy]</t>
      </text>
    </comment>
    <comment ref="AN38" authorId="0" shapeId="0">
      <text>
        <t>추정: 현재 종가 ÷ BPS(추정 포함)
[yoy]</t>
      </text>
    </comment>
    <comment ref="E39" authorId="0" shapeId="0">
      <text>
        <t>실측(계정 매핑 없음 — 모델값 직접) — = 매출액(부문 미분리)</t>
      </text>
    </comment>
    <comment ref="G39" authorId="0" shapeId="0">
      <text>
        <t>실측(계정 매핑 없음 — 모델값 직접) — = 매출액(부문 미분리)</t>
      </text>
    </comment>
    <comment ref="H39" authorId="0" shapeId="0">
      <text>
        <t>실측(계정 매핑 없음 — 모델값 직접) — = 매출액(부문 미분리)</t>
      </text>
    </comment>
    <comment ref="I39" authorId="0" shapeId="0">
      <text>
        <t>실측(계정 매핑 없음 — 모델값 직접) — = 매출액(부문 미분리)</t>
      </text>
    </comment>
    <comment ref="J39" authorId="0" shapeId="0">
      <text>
        <t>실측(계정 매핑 없음 — 모델값 직접) — = 매출액(부문 미분리)</t>
      </text>
    </comment>
    <comment ref="L39" authorId="0" shapeId="0">
      <text>
        <t>실측(계정 매핑 없음 — 모델값 직접) — = 매출액(부문 미분리)</t>
      </text>
    </comment>
    <comment ref="M39" authorId="0" shapeId="0">
      <text>
        <t>실측(계정 매핑 없음 — 모델값 직접) — = 매출액(부문 미분리)</t>
      </text>
    </comment>
    <comment ref="N39" authorId="0" shapeId="0">
      <text>
        <t>실측(계정 매핑 없음 — 모델값 직접) — = 매출액(부문 미분리)</t>
      </text>
    </comment>
    <comment ref="O39" authorId="0" shapeId="0">
      <text>
        <t>실측(계정 매핑 없음 — 모델값 직접) — = 매출액(부문 미분리)</t>
      </text>
    </comment>
    <comment ref="Q39" authorId="0" shapeId="0">
      <text>
        <t>실측(계정 매핑 없음 — 모델값 직접) — = 매출액(부문 미분리)</t>
      </text>
    </comment>
    <comment ref="R39" authorId="0" shapeId="0">
      <text>
        <t>실측(계정 매핑 없음 — 모델값 직접) — = 매출액(부문 미분리)</t>
      </text>
    </comment>
    <comment ref="S39" authorId="0" shapeId="0">
      <text>
        <t>실측(계정 매핑 없음 — 모델값 직접) — = 매출액(부문 미분리)</t>
      </text>
    </comment>
    <comment ref="T39" authorId="0" shapeId="0">
      <text>
        <t>실측(계정 매핑 없음 — 모델값 직접) — = 매출액(부문 미분리)</t>
      </text>
    </comment>
    <comment ref="V39" authorId="0" shapeId="0">
      <text>
        <t>실측(계정 매핑 없음 — 모델값 직접) — = 매출액(부문 미분리)</t>
      </text>
    </comment>
    <comment ref="W39" authorId="0" shapeId="0">
      <text>
        <t>실측(계정 매핑 없음 — 모델값 직접) — = 매출액(부문 미분리)</t>
      </text>
    </comment>
    <comment ref="X39" authorId="0" shapeId="0">
      <text>
        <t>실측(계정 매핑 없음 — 모델값 직접) — = 매출액(부문 미분리)</t>
      </text>
    </comment>
    <comment ref="Y39" authorId="0" shapeId="0">
      <text>
        <t>실측(계정 매핑 없음 — 모델값 직접) — = 매출액(부문 미분리)</t>
      </text>
    </comment>
    <comment ref="AA39" authorId="0" shapeId="0">
      <text>
        <t>실측(계정 매핑 없음 — 모델값 직접) — = 매출액(부문 미분리)</t>
      </text>
    </comment>
    <comment ref="AB39" authorId="0" shapeId="0">
      <text>
        <t>실측(계정 매핑 없음 — 모델값 직접) — = 매출액(부문 미분리)</t>
      </text>
    </comment>
    <comment ref="AC39" authorId="0" shapeId="0">
      <text>
        <t>추정: = 매출액 추정(부문 미분리)
[ratio]</t>
      </text>
    </comment>
    <comment ref="AD39" authorId="0" shapeId="0">
      <text>
        <t>추정: = 매출액 추정(부문 미분리)
[ratio]</t>
      </text>
    </comment>
    <comment ref="AF39" authorId="0" shapeId="0">
      <text>
        <t>추정: = 매출액 추정(부문 미분리)
[ratio]</t>
      </text>
    </comment>
    <comment ref="AG39" authorId="0" shapeId="0">
      <text>
        <t>추정: = 매출액 추정(부문 미분리)
[ratio]</t>
      </text>
    </comment>
    <comment ref="AH39" authorId="0" shapeId="0">
      <text>
        <t>추정: = 매출액 추정(부문 미분리)
[ratio]</t>
      </text>
    </comment>
    <comment ref="AI39" authorId="0" shapeId="0">
      <text>
        <t>추정: = 매출액 추정(부문 미분리)
[ratio]</t>
      </text>
    </comment>
    <comment ref="AK39" authorId="0" shapeId="0">
      <text>
        <t>추정: = 매출액 추정(부문 미분리)
[ratio]</t>
      </text>
    </comment>
    <comment ref="AL39" authorId="0" shapeId="0">
      <text>
        <t>추정: = 매출액 추정(부문 미분리)
[ratio]</t>
      </text>
    </comment>
    <comment ref="AM39" authorId="0" shapeId="0">
      <text>
        <t>추정: = 매출액 추정(부문 미분리)
[ratio]</t>
      </text>
    </comment>
    <comment ref="AN39" authorId="0" shapeId="0">
      <text>
        <t>추정: = 매출액 추정(부문 미분리)
[ratio]</t>
      </text>
    </comment>
    <comment ref="E40" authorId="0" shapeId="0">
      <text>
        <t>실측(계정 매핑 없음 — 모델값 직접) — = 영업이익(부문 미분리)</t>
      </text>
    </comment>
    <comment ref="G40" authorId="0" shapeId="0">
      <text>
        <t>실측(계정 매핑 없음 — 모델값 직접) — = 영업이익(부문 미분리)</t>
      </text>
    </comment>
    <comment ref="H40" authorId="0" shapeId="0">
      <text>
        <t>실측(계정 매핑 없음 — 모델값 직접) — = 영업이익(부문 미분리)</t>
      </text>
    </comment>
    <comment ref="I40" authorId="0" shapeId="0">
      <text>
        <t>실측(계정 매핑 없음 — 모델값 직접) — = 영업이익(부문 미분리)</t>
      </text>
    </comment>
    <comment ref="J40" authorId="0" shapeId="0">
      <text>
        <t>실측(계정 매핑 없음 — 모델값 직접) — = 영업이익(부문 미분리)</t>
      </text>
    </comment>
    <comment ref="L40" authorId="0" shapeId="0">
      <text>
        <t>실측(계정 매핑 없음 — 모델값 직접) — = 영업이익(부문 미분리)</t>
      </text>
    </comment>
    <comment ref="M40" authorId="0" shapeId="0">
      <text>
        <t>실측(계정 매핑 없음 — 모델값 직접) — = 영업이익(부문 미분리)</t>
      </text>
    </comment>
    <comment ref="N40" authorId="0" shapeId="0">
      <text>
        <t>실측(계정 매핑 없음 — 모델값 직접) — = 영업이익(부문 미분리)</t>
      </text>
    </comment>
    <comment ref="O40" authorId="0" shapeId="0">
      <text>
        <t>실측(계정 매핑 없음 — 모델값 직접) — = 영업이익(부문 미분리)</t>
      </text>
    </comment>
    <comment ref="Q40" authorId="0" shapeId="0">
      <text>
        <t>실측(계정 매핑 없음 — 모델값 직접) — = 영업이익(부문 미분리)</t>
      </text>
    </comment>
    <comment ref="R40" authorId="0" shapeId="0">
      <text>
        <t>실측(계정 매핑 없음 — 모델값 직접) — = 영업이익(부문 미분리)</t>
      </text>
    </comment>
    <comment ref="S40" authorId="0" shapeId="0">
      <text>
        <t>실측(계정 매핑 없음 — 모델값 직접) — = 영업이익(부문 미분리)</t>
      </text>
    </comment>
    <comment ref="T40" authorId="0" shapeId="0">
      <text>
        <t>실측(계정 매핑 없음 — 모델값 직접) — = 영업이익(부문 미분리)</t>
      </text>
    </comment>
    <comment ref="V40" authorId="0" shapeId="0">
      <text>
        <t>실측(계정 매핑 없음 — 모델값 직접) — = 영업이익(부문 미분리)</t>
      </text>
    </comment>
    <comment ref="W40" authorId="0" shapeId="0">
      <text>
        <t>실측(계정 매핑 없음 — 모델값 직접) — = 영업이익(부문 미분리)</t>
      </text>
    </comment>
    <comment ref="X40" authorId="0" shapeId="0">
      <text>
        <t>실측(계정 매핑 없음 — 모델값 직접) — = 영업이익(부문 미분리)</t>
      </text>
    </comment>
    <comment ref="Y40" authorId="0" shapeId="0">
      <text>
        <t>실측(계정 매핑 없음 — 모델값 직접) — = 영업이익(부문 미분리)</t>
      </text>
    </comment>
    <comment ref="AA40" authorId="0" shapeId="0">
      <text>
        <t>실측(계정 매핑 없음 — 모델값 직접) — = 영업이익(부문 미분리)</t>
      </text>
    </comment>
    <comment ref="AB40" authorId="0" shapeId="0">
      <text>
        <t>실측(계정 매핑 없음 — 모델값 직접) — = 영업이익(부문 미분리)</t>
      </text>
    </comment>
    <comment ref="AC40" authorId="0" shapeId="0">
      <text>
        <t>추정: = 매출액 × OPM(부문 미분리)
[ratio]</t>
      </text>
    </comment>
    <comment ref="AD40" authorId="0" shapeId="0">
      <text>
        <t>추정: = 매출액 × OPM(부문 미분리)
[ratio]</t>
      </text>
    </comment>
    <comment ref="AF40" authorId="0" shapeId="0">
      <text>
        <t>추정: = 매출액 × OPM(부문 미분리)
[ratio]</t>
      </text>
    </comment>
    <comment ref="AG40" authorId="0" shapeId="0">
      <text>
        <t>추정: = 매출액 × OPM(부문 미분리)
[ratio]</t>
      </text>
    </comment>
    <comment ref="AH40" authorId="0" shapeId="0">
      <text>
        <t>추정: = 매출액 × OPM(부문 미분리)
[ratio]</t>
      </text>
    </comment>
    <comment ref="AI40" authorId="0" shapeId="0">
      <text>
        <t>추정: = 매출액 × OPM(부문 미분리)
[ratio]</t>
      </text>
    </comment>
    <comment ref="AK40" authorId="0" shapeId="0">
      <text>
        <t>추정: = 매출액 × OPM(부문 미분리)
[ratio]</t>
      </text>
    </comment>
    <comment ref="AL40" authorId="0" shapeId="0">
      <text>
        <t>추정: = 매출액 × OPM(부문 미분리)
[ratio]</t>
      </text>
    </comment>
    <comment ref="AM40" authorId="0" shapeId="0">
      <text>
        <t>추정: = 매출액 × OPM(부문 미분리)
[ratio]</t>
      </text>
    </comment>
    <comment ref="AN40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assets/models/025550.json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기타금융손익(금융손익 − 이자 − 외환 − 파생 잔차) 최근 4분기 중위 -0.9억이 이자손익 추정 +0.9억의 50% 초과 → 추정 0 — 평가손익·재분류 여부는 주석 확인 / 금융손익 실적→추정 단절: 최근 4분기 실적 -7/-32/-123/-16(중위 -24억) → 추정 2026Q3 +1억(차 +25억, +104%)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16.4, "op_wape_pct": 90.2,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0.492328</v>
      </c>
      <c r="AD21" s="24" t="n">
        <v>0.600799</v>
      </c>
      <c r="AE21" s="25" t="n"/>
      <c r="AF21" s="24" t="n">
        <v>0.31968</v>
      </c>
      <c r="AG21" s="24" t="n">
        <v>0.25836</v>
      </c>
      <c r="AH21" s="24" t="n">
        <v>0.141594</v>
      </c>
      <c r="AI21" s="24" t="n">
        <v>0.170343</v>
      </c>
      <c r="AJ21" s="25" t="n"/>
      <c r="AK21" s="24" t="n">
        <v>0.232829</v>
      </c>
      <c r="AL21" s="24" t="n">
        <v>0.266257</v>
      </c>
      <c r="AM21" s="24" t="n">
        <v>0.269967</v>
      </c>
      <c r="AN21" s="24" t="n">
        <v>0.252395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0.079489</v>
      </c>
      <c r="AD22" s="24" t="n">
        <v>0.079495</v>
      </c>
      <c r="AE22" s="25">
        <f>IFERROR(subQ!AE8/subQ!AE5,"")</f>
        <v/>
      </c>
      <c r="AF22" s="24" t="n">
        <v>0.079489</v>
      </c>
      <c r="AG22" s="24" t="n">
        <v>0.079489</v>
      </c>
      <c r="AH22" s="24" t="n">
        <v>0.07949199999999999</v>
      </c>
      <c r="AI22" s="24" t="n">
        <v>0.079496</v>
      </c>
      <c r="AJ22" s="25">
        <f>IFERROR(subQ!AJ8/subQ!AJ5,"")</f>
        <v/>
      </c>
      <c r="AK22" s="24" t="n">
        <v>0.07949000000000001</v>
      </c>
      <c r="AL22" s="24" t="n">
        <v>0.079497</v>
      </c>
      <c r="AM22" s="24" t="n">
        <v>0.079494</v>
      </c>
      <c r="AN22" s="24" t="n">
        <v>0.079496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</v>
      </c>
      <c r="AD23" s="24" t="n">
        <v>0.036886</v>
      </c>
      <c r="AE23" s="25">
        <f>IFERROR(subQ!AE9/subQ!AE5,"")</f>
        <v/>
      </c>
      <c r="AF23" s="24" t="n">
        <v>0.03688</v>
      </c>
      <c r="AG23" s="24" t="n">
        <v>0.036886</v>
      </c>
      <c r="AH23" s="24" t="n">
        <v>0.03689</v>
      </c>
      <c r="AI23" s="24" t="n">
        <v>0.036882</v>
      </c>
      <c r="AJ23" s="25">
        <f>IFERROR(subQ!AJ9/subQ!AJ5,"")</f>
        <v/>
      </c>
      <c r="AK23" s="24" t="n">
        <v>0.036887</v>
      </c>
      <c r="AL23" s="24" t="n">
        <v>0.036883</v>
      </c>
      <c r="AM23" s="24" t="n">
        <v>0.036888</v>
      </c>
      <c r="AN23" s="24" t="n">
        <v>0.036887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IFERROR(subQ!J42/subQ!E42-1,"")</f>
        <v/>
      </c>
      <c r="K24" s="22" t="n"/>
      <c r="L24" s="21">
        <f>IFERROR(subQ!L42/subQ!G42-1,"")</f>
        <v/>
      </c>
      <c r="M24" s="21">
        <f>IFERROR(subQ!M42/subQ!H42-1,"")</f>
        <v/>
      </c>
      <c r="N24" s="21">
        <f>IFERROR(subQ!N42/subQ!I42-1,"")</f>
        <v/>
      </c>
      <c r="O24" s="21">
        <f>IFERROR(subQ!O42/subQ!J42-1,"")</f>
        <v/>
      </c>
      <c r="P24" s="22" t="n"/>
      <c r="Q24" s="21">
        <f>IFERROR(subQ!Q42/subQ!L42-1,"")</f>
        <v/>
      </c>
      <c r="R24" s="21">
        <f>IFERROR(subQ!R42/subQ!M42-1,"")</f>
        <v/>
      </c>
      <c r="S24" s="21">
        <f>IFERROR(subQ!S42/subQ!N42-1,"")</f>
        <v/>
      </c>
      <c r="T24" s="21">
        <f>IFERROR(subQ!T42/subQ!O42-1,"")</f>
        <v/>
      </c>
      <c r="U24" s="22" t="n"/>
      <c r="V24" s="21">
        <f>IFERROR(subQ!V42/subQ!Q42-1,"")</f>
        <v/>
      </c>
      <c r="W24" s="21">
        <f>IFERROR(subQ!W42/subQ!R42-1,"")</f>
        <v/>
      </c>
      <c r="X24" s="21">
        <f>IFERROR(subQ!X42/subQ!S42-1,"")</f>
        <v/>
      </c>
      <c r="Y24" s="21">
        <f>IFERROR(subQ!Y42/subQ!T42-1,"")</f>
        <v/>
      </c>
      <c r="Z24" s="22" t="n"/>
      <c r="AA24" s="21">
        <f>IFERROR(subQ!AA42/subQ!V42-1,"")</f>
        <v/>
      </c>
      <c r="AB24" s="23">
        <f>IFERROR(subQ!AB42/subQ!W42-1,"")</f>
        <v/>
      </c>
      <c r="AC24" s="24" t="n">
        <v>-0.259036</v>
      </c>
      <c r="AD24" s="24" t="n">
        <v>-53.714286</v>
      </c>
      <c r="AE24" s="25" t="n"/>
      <c r="AF24" s="24" t="n">
        <v>-0.700972</v>
      </c>
      <c r="AG24" s="24" t="n">
        <v>-0.713064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0.87</v>
      </c>
      <c r="AD25" s="29" t="n">
        <v>0.96</v>
      </c>
      <c r="AE25" s="30">
        <f>subQ!AE11</f>
        <v/>
      </c>
      <c r="AF25" s="29" t="n">
        <v>1.05</v>
      </c>
      <c r="AG25" s="29" t="n">
        <v>1.14</v>
      </c>
      <c r="AH25" s="29" t="n">
        <v>1.24</v>
      </c>
      <c r="AI25" s="29" t="n">
        <v>1.34</v>
      </c>
      <c r="AJ25" s="30">
        <f>subQ!AJ11</f>
        <v/>
      </c>
      <c r="AK25" s="29" t="n">
        <v>1.45</v>
      </c>
      <c r="AL25" s="29" t="n">
        <v>1.56</v>
      </c>
      <c r="AM25" s="29" t="n">
        <v>1.69</v>
      </c>
      <c r="AN25" s="29" t="n">
        <v>1.82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0.87</v>
      </c>
      <c r="AD26" s="29" t="n">
        <v>0.96</v>
      </c>
      <c r="AE26" s="30">
        <f>subQ!AE12</f>
        <v/>
      </c>
      <c r="AF26" s="29" t="n">
        <v>1.05</v>
      </c>
      <c r="AG26" s="29" t="n">
        <v>1.14</v>
      </c>
      <c r="AH26" s="29" t="n">
        <v>1.24</v>
      </c>
      <c r="AI26" s="29" t="n">
        <v>1.34</v>
      </c>
      <c r="AJ26" s="30">
        <f>subQ!AJ12</f>
        <v/>
      </c>
      <c r="AK26" s="29" t="n">
        <v>1.45</v>
      </c>
      <c r="AL26" s="29" t="n">
        <v>1.56</v>
      </c>
      <c r="AM26" s="29" t="n">
        <v>1.69</v>
      </c>
      <c r="AN26" s="29" t="n">
        <v>1.82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31" t="n"/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24" t="n">
        <v>-1</v>
      </c>
      <c r="AD29" s="24" t="n">
        <v>-1</v>
      </c>
      <c r="AE29" s="25" t="n"/>
      <c r="AF29" s="31" t="n"/>
      <c r="AG29" s="24" t="n">
        <v>-1</v>
      </c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drv:법인세비용</t>
        </is>
      </c>
      <c r="B31" s="2" t="inlineStr">
        <is>
          <t>ratio</t>
        </is>
      </c>
      <c r="C31" t="inlineStr">
        <is>
          <t>법인세율(/세전)</t>
        </is>
      </c>
      <c r="E31" s="21">
        <f>IFERROR(subQ!E18/subQ!E17,"")</f>
        <v/>
      </c>
      <c r="F31" s="22">
        <f>IFERROR(subQ!F18/subQ!F17,"")</f>
        <v/>
      </c>
      <c r="G31" s="21">
        <f>IFERROR(subQ!G18/subQ!G17,"")</f>
        <v/>
      </c>
      <c r="H31" s="21">
        <f>IFERROR(subQ!H18/subQ!H17,"")</f>
        <v/>
      </c>
      <c r="I31" s="21">
        <f>IFERROR(subQ!I18/subQ!I17,"")</f>
        <v/>
      </c>
      <c r="J31" s="21">
        <f>IFERROR(subQ!J18/subQ!J17,"")</f>
        <v/>
      </c>
      <c r="K31" s="22">
        <f>IFERROR(subQ!K18/subQ!K17,"")</f>
        <v/>
      </c>
      <c r="L31" s="21">
        <f>IFERROR(subQ!L18/subQ!L17,"")</f>
        <v/>
      </c>
      <c r="M31" s="21">
        <f>IFERROR(subQ!M18/subQ!M17,"")</f>
        <v/>
      </c>
      <c r="N31" s="21">
        <f>IFERROR(subQ!N18/subQ!N17,"")</f>
        <v/>
      </c>
      <c r="O31" s="21">
        <f>IFERROR(subQ!O18/subQ!O17,"")</f>
        <v/>
      </c>
      <c r="P31" s="22">
        <f>IFERROR(subQ!P18/subQ!P17,"")</f>
        <v/>
      </c>
      <c r="Q31" s="21">
        <f>IFERROR(subQ!Q18/subQ!Q17,"")</f>
        <v/>
      </c>
      <c r="R31" s="21">
        <f>IFERROR(subQ!R18/subQ!R17,"")</f>
        <v/>
      </c>
      <c r="S31" s="21">
        <f>IFERROR(subQ!S18/subQ!S17,"")</f>
        <v/>
      </c>
      <c r="T31" s="21">
        <f>IFERROR(subQ!T18/subQ!T17,"")</f>
        <v/>
      </c>
      <c r="U31" s="22">
        <f>IFERROR(subQ!U18/subQ!U17,"")</f>
        <v/>
      </c>
      <c r="V31" s="21">
        <f>IFERROR(subQ!V18/subQ!V17,"")</f>
        <v/>
      </c>
      <c r="W31" s="21">
        <f>IFERROR(subQ!W18/subQ!W17,"")</f>
        <v/>
      </c>
      <c r="X31" s="21">
        <f>IFERROR(subQ!X18/subQ!X17,"")</f>
        <v/>
      </c>
      <c r="Y31" s="21">
        <f>IFERROR(subQ!Y18/subQ!Y17,"")</f>
        <v/>
      </c>
      <c r="Z31" s="22">
        <f>IFERROR(subQ!Z18/subQ!Z17,"")</f>
        <v/>
      </c>
      <c r="AA31" s="21">
        <f>IFERROR(subQ!AA18/subQ!AA17,"")</f>
        <v/>
      </c>
      <c r="AB31" s="23">
        <f>IFERROR(subQ!AB18/subQ!AB17,"")</f>
        <v/>
      </c>
      <c r="AC31" s="24" t="n">
        <v>0.209464</v>
      </c>
      <c r="AD31" s="24" t="n">
        <v>0.209451</v>
      </c>
      <c r="AE31" s="25">
        <f>IFERROR(subQ!AE18/subQ!AE17,"")</f>
        <v/>
      </c>
      <c r="AF31" s="24" t="n">
        <v>0.209449</v>
      </c>
      <c r="AG31" s="24" t="n">
        <v>0.20941</v>
      </c>
      <c r="AH31" s="24" t="n">
        <v>0.209443</v>
      </c>
      <c r="AI31" s="24" t="n">
        <v>0.209326</v>
      </c>
      <c r="AJ31" s="25">
        <f>IFERROR(subQ!AJ18/subQ!AJ17,"")</f>
        <v/>
      </c>
      <c r="AK31" s="24" t="n">
        <v>0.209336</v>
      </c>
      <c r="AL31" s="24" t="n">
        <v>0.209515</v>
      </c>
      <c r="AM31" s="24" t="n">
        <v>0.209357</v>
      </c>
      <c r="AN31" s="24" t="n">
        <v>0.209365</v>
      </c>
      <c r="AO31" s="25">
        <f>IFERROR(subQ!AO18/subQ!AO17,"")</f>
        <v/>
      </c>
    </row>
    <row r="32">
      <c r="A32" s="12" t="inlineStr">
        <is>
          <t>drv:지배주주순이익</t>
        </is>
      </c>
      <c r="B32" s="2" t="inlineStr">
        <is>
          <t>ratio</t>
        </is>
      </c>
      <c r="C32" t="inlineStr">
        <is>
          <t>지배주주 비중(/당기순이익)</t>
        </is>
      </c>
      <c r="E32" s="21">
        <f>IFERROR(subQ!E20/subQ!E19,"")</f>
        <v/>
      </c>
      <c r="F32" s="22">
        <f>IFERROR(subQ!F20/subQ!F19,"")</f>
        <v/>
      </c>
      <c r="G32" s="21">
        <f>IFERROR(subQ!G20/subQ!G19,"")</f>
        <v/>
      </c>
      <c r="H32" s="21">
        <f>IFERROR(subQ!H20/subQ!H19,"")</f>
        <v/>
      </c>
      <c r="I32" s="21">
        <f>IFERROR(subQ!I20/subQ!I19,"")</f>
        <v/>
      </c>
      <c r="J32" s="21">
        <f>IFERROR(subQ!J20/subQ!J19,"")</f>
        <v/>
      </c>
      <c r="K32" s="22">
        <f>IFERROR(subQ!K20/subQ!K19,"")</f>
        <v/>
      </c>
      <c r="L32" s="21">
        <f>IFERROR(subQ!L20/subQ!L19,"")</f>
        <v/>
      </c>
      <c r="M32" s="21">
        <f>IFERROR(subQ!M20/subQ!M19,"")</f>
        <v/>
      </c>
      <c r="N32" s="21">
        <f>IFERROR(subQ!N20/subQ!N19,"")</f>
        <v/>
      </c>
      <c r="O32" s="21">
        <f>IFERROR(subQ!O20/subQ!O19,"")</f>
        <v/>
      </c>
      <c r="P32" s="22">
        <f>IFERROR(subQ!P20/subQ!P19,"")</f>
        <v/>
      </c>
      <c r="Q32" s="21">
        <f>IFERROR(subQ!Q20/subQ!Q19,"")</f>
        <v/>
      </c>
      <c r="R32" s="21">
        <f>IFERROR(subQ!R20/subQ!R19,"")</f>
        <v/>
      </c>
      <c r="S32" s="21">
        <f>IFERROR(subQ!S20/subQ!S19,"")</f>
        <v/>
      </c>
      <c r="T32" s="21">
        <f>IFERROR(subQ!T20/subQ!T19,"")</f>
        <v/>
      </c>
      <c r="U32" s="22">
        <f>IFERROR(subQ!U20/subQ!U19,"")</f>
        <v/>
      </c>
      <c r="V32" s="21">
        <f>IFERROR(subQ!V20/subQ!V19,"")</f>
        <v/>
      </c>
      <c r="W32" s="21">
        <f>IFERROR(subQ!W20/subQ!W19,"")</f>
        <v/>
      </c>
      <c r="X32" s="21">
        <f>IFERROR(subQ!X20/subQ!X19,"")</f>
        <v/>
      </c>
      <c r="Y32" s="21">
        <f>IFERROR(subQ!Y20/subQ!Y19,"")</f>
        <v/>
      </c>
      <c r="Z32" s="22">
        <f>IFERROR(subQ!Z20/subQ!Z19,"")</f>
        <v/>
      </c>
      <c r="AA32" s="21">
        <f>IFERROR(subQ!AA20/subQ!AA19,"")</f>
        <v/>
      </c>
      <c r="AB32" s="23">
        <f>IFERROR(subQ!AB20/subQ!AB19,"")</f>
        <v/>
      </c>
      <c r="AC32" s="24" t="n">
        <v>0.39984</v>
      </c>
      <c r="AD32" s="24" t="n">
        <v>0.399923</v>
      </c>
      <c r="AE32" s="25">
        <f>IFERROR(subQ!AE20/subQ!AE19,"")</f>
        <v/>
      </c>
      <c r="AF32" s="24" t="n">
        <v>0.400076</v>
      </c>
      <c r="AG32" s="24" t="n">
        <v>0.400073</v>
      </c>
      <c r="AH32" s="24" t="n">
        <v>0.4</v>
      </c>
      <c r="AI32" s="24" t="n">
        <v>0.400066</v>
      </c>
      <c r="AJ32" s="25">
        <f>IFERROR(subQ!AJ20/subQ!AJ19,"")</f>
        <v/>
      </c>
      <c r="AK32" s="24" t="n">
        <v>0.400185</v>
      </c>
      <c r="AL32" s="24" t="n">
        <v>0.399884</v>
      </c>
      <c r="AM32" s="24" t="n">
        <v>0.400055</v>
      </c>
      <c r="AN32" s="24" t="n">
        <v>0.399948</v>
      </c>
      <c r="AO32" s="25">
        <f>IFERROR(subQ!AO20/subQ!AO19,"")</f>
        <v/>
      </c>
    </row>
    <row r="33">
      <c r="A33" s="12" t="inlineStr">
        <is>
          <t>drv:감가상각비</t>
        </is>
      </c>
      <c r="B33" s="2" t="inlineStr">
        <is>
          <t>yoy</t>
        </is>
      </c>
      <c r="C33" t="inlineStr">
        <is>
          <t>감가상각비 YoY</t>
        </is>
      </c>
      <c r="E33" s="21" t="n"/>
      <c r="F33" s="22" t="n"/>
      <c r="G33" s="21" t="n"/>
      <c r="H33" s="21" t="n"/>
      <c r="I33" s="21" t="n"/>
      <c r="J33" s="21">
        <f>IFERROR(subQ!J21/subQ!E21-1,"")</f>
        <v/>
      </c>
      <c r="K33" s="22" t="n"/>
      <c r="L33" s="21">
        <f>IFERROR(subQ!L21/subQ!G21-1,"")</f>
        <v/>
      </c>
      <c r="M33" s="21">
        <f>IFERROR(subQ!M21/subQ!H21-1,"")</f>
        <v/>
      </c>
      <c r="N33" s="21">
        <f>IFERROR(subQ!N21/subQ!I21-1,"")</f>
        <v/>
      </c>
      <c r="O33" s="21">
        <f>IFERROR(subQ!O21/subQ!J21-1,"")</f>
        <v/>
      </c>
      <c r="P33" s="22" t="n"/>
      <c r="Q33" s="21">
        <f>IFERROR(subQ!Q21/subQ!L21-1,"")</f>
        <v/>
      </c>
      <c r="R33" s="21">
        <f>IFERROR(subQ!R21/subQ!M21-1,"")</f>
        <v/>
      </c>
      <c r="S33" s="21">
        <f>IFERROR(subQ!S21/subQ!N21-1,"")</f>
        <v/>
      </c>
      <c r="T33" s="21">
        <f>IFERROR(subQ!T21/subQ!O21-1,"")</f>
        <v/>
      </c>
      <c r="U33" s="22" t="n"/>
      <c r="V33" s="21">
        <f>IFERROR(subQ!V21/subQ!Q21-1,"")</f>
        <v/>
      </c>
      <c r="W33" s="21">
        <f>IFERROR(subQ!W21/subQ!R21-1,"")</f>
        <v/>
      </c>
      <c r="X33" s="21">
        <f>IFERROR(subQ!X21/subQ!S21-1,"")</f>
        <v/>
      </c>
      <c r="Y33" s="21">
        <f>IFERROR(subQ!Y21/subQ!T21-1,"")</f>
        <v/>
      </c>
      <c r="Z33" s="22" t="n"/>
      <c r="AA33" s="21">
        <f>IFERROR(subQ!AA21/subQ!V21-1,"")</f>
        <v/>
      </c>
      <c r="AB33" s="23">
        <f>IFERROR(subQ!AB21/subQ!W21-1,"")</f>
        <v/>
      </c>
      <c r="AC33" s="24" t="n">
        <v>0.018509</v>
      </c>
      <c r="AD33" s="31" t="n"/>
      <c r="AE33" s="25" t="n"/>
      <c r="AF33" s="31" t="n"/>
      <c r="AG33" s="31" t="n"/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drv:EBITDA</t>
        </is>
      </c>
      <c r="B34" s="2" t="inlineStr">
        <is>
          <t>yoy</t>
        </is>
      </c>
      <c r="C34" t="inlineStr">
        <is>
          <t>EBITDA YoY</t>
        </is>
      </c>
      <c r="E34" s="21" t="n"/>
      <c r="F34" s="22" t="n"/>
      <c r="G34" s="21" t="n"/>
      <c r="H34" s="21" t="n"/>
      <c r="I34" s="21" t="n"/>
      <c r="J34" s="21">
        <f>IFERROR(subQ!J22/subQ!E22-1,"")</f>
        <v/>
      </c>
      <c r="K34" s="22" t="n"/>
      <c r="L34" s="21">
        <f>IFERROR(subQ!L22/subQ!G22-1,"")</f>
        <v/>
      </c>
      <c r="M34" s="21">
        <f>IFERROR(subQ!M22/subQ!H22-1,"")</f>
        <v/>
      </c>
      <c r="N34" s="21">
        <f>IFERROR(subQ!N22/subQ!I22-1,"")</f>
        <v/>
      </c>
      <c r="O34" s="21">
        <f>IFERROR(subQ!O22/subQ!J22-1,"")</f>
        <v/>
      </c>
      <c r="P34" s="22" t="n"/>
      <c r="Q34" s="21">
        <f>IFERROR(subQ!Q22/subQ!L22-1,"")</f>
        <v/>
      </c>
      <c r="R34" s="21">
        <f>IFERROR(subQ!R22/subQ!M22-1,"")</f>
        <v/>
      </c>
      <c r="S34" s="21">
        <f>IFERROR(subQ!S22/subQ!N22-1,"")</f>
        <v/>
      </c>
      <c r="T34" s="21">
        <f>IFERROR(subQ!T22/subQ!O22-1,"")</f>
        <v/>
      </c>
      <c r="U34" s="22" t="n"/>
      <c r="V34" s="21">
        <f>IFERROR(subQ!V22/subQ!Q22-1,"")</f>
        <v/>
      </c>
      <c r="W34" s="21">
        <f>IFERROR(subQ!W22/subQ!R22-1,"")</f>
        <v/>
      </c>
      <c r="X34" s="21">
        <f>IFERROR(subQ!X22/subQ!S22-1,"")</f>
        <v/>
      </c>
      <c r="Y34" s="21">
        <f>IFERROR(subQ!Y22/subQ!T22-1,"")</f>
        <v/>
      </c>
      <c r="Z34" s="22" t="n"/>
      <c r="AA34" s="21">
        <f>IFERROR(subQ!AA22/subQ!V22-1,"")</f>
        <v/>
      </c>
      <c r="AB34" s="23">
        <f>IFERROR(subQ!AB22/subQ!W22-1,"")</f>
        <v/>
      </c>
      <c r="AC34" s="24" t="n">
        <v>0.085651</v>
      </c>
      <c r="AD34" s="31" t="n"/>
      <c r="AE34" s="25" t="n"/>
      <c r="AF34" s="31" t="n"/>
      <c r="AG34" s="31" t="n"/>
      <c r="AH34" s="24" t="n">
        <v>0.110857</v>
      </c>
      <c r="AI34" s="24" t="n">
        <v>0.134059</v>
      </c>
      <c r="AJ34" s="25" t="n"/>
      <c r="AK34" s="24" t="n">
        <v>0.183668</v>
      </c>
      <c r="AL34" s="24" t="n">
        <v>0.211557</v>
      </c>
      <c r="AM34" s="24" t="n">
        <v>0.216945</v>
      </c>
      <c r="AN34" s="24" t="n">
        <v>0.205234</v>
      </c>
      <c r="AO34" s="25" t="n"/>
    </row>
    <row r="35">
      <c r="A35" s="12" t="inlineStr">
        <is>
          <t>drv:부채총계</t>
        </is>
      </c>
      <c r="B35" s="2" t="inlineStr">
        <is>
          <t>qoq</t>
        </is>
      </c>
      <c r="C35" t="inlineStr">
        <is>
          <t>부채총계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-2e-06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drv:자본총계</t>
        </is>
      </c>
      <c r="B36" s="2" t="inlineStr">
        <is>
          <t>roll</t>
        </is>
      </c>
      <c r="C36" t="inlineStr">
        <is>
          <t>자본총계 기타변동(배당 등, 억원)</t>
        </is>
      </c>
      <c r="E36" s="26" t="n"/>
      <c r="F36" s="27" t="n"/>
      <c r="G36" s="26">
        <f>IFERROR(subQ!E25+subQ!G19-subQ!G25,"")</f>
        <v/>
      </c>
      <c r="H36" s="26">
        <f>IFERROR(subQ!G25+subQ!H19-subQ!H25,"")</f>
        <v/>
      </c>
      <c r="I36" s="26">
        <f>IFERROR(subQ!H25+subQ!I19-subQ!I25,"")</f>
        <v/>
      </c>
      <c r="J36" s="26">
        <f>IFERROR(subQ!I25+subQ!J19-subQ!J25,"")</f>
        <v/>
      </c>
      <c r="K36" s="27" t="n"/>
      <c r="L36" s="26">
        <f>IFERROR(subQ!J25+subQ!L19-subQ!L25,"")</f>
        <v/>
      </c>
      <c r="M36" s="26">
        <f>IFERROR(subQ!L25+subQ!M19-subQ!M25,"")</f>
        <v/>
      </c>
      <c r="N36" s="26">
        <f>IFERROR(subQ!M25+subQ!N19-subQ!N25,"")</f>
        <v/>
      </c>
      <c r="O36" s="26">
        <f>IFERROR(subQ!N25+subQ!O19-subQ!O25,"")</f>
        <v/>
      </c>
      <c r="P36" s="27" t="n"/>
      <c r="Q36" s="26">
        <f>IFERROR(subQ!O25+subQ!Q19-subQ!Q25,"")</f>
        <v/>
      </c>
      <c r="R36" s="26">
        <f>IFERROR(subQ!Q25+subQ!R19-subQ!R25,"")</f>
        <v/>
      </c>
      <c r="S36" s="26">
        <f>IFERROR(subQ!R25+subQ!S19-subQ!S25,"")</f>
        <v/>
      </c>
      <c r="T36" s="26">
        <f>IFERROR(subQ!S25+subQ!T19-subQ!T25,"")</f>
        <v/>
      </c>
      <c r="U36" s="27" t="n"/>
      <c r="V36" s="26">
        <f>IFERROR(subQ!T25+subQ!V19-subQ!V25,"")</f>
        <v/>
      </c>
      <c r="W36" s="26">
        <f>IFERROR(subQ!V25+subQ!W19-subQ!W25,"")</f>
        <v/>
      </c>
      <c r="X36" s="26">
        <f>IFERROR(subQ!W25+subQ!X19-subQ!X25,"")</f>
        <v/>
      </c>
      <c r="Y36" s="26">
        <f>IFERROR(subQ!X25+subQ!Y19-subQ!Y25,"")</f>
        <v/>
      </c>
      <c r="Z36" s="27" t="n"/>
      <c r="AA36" s="26">
        <f>IFERROR(subQ!Y25+subQ!AA19-subQ!AA25,"")</f>
        <v/>
      </c>
      <c r="AB36" s="28">
        <f>IFERROR(subQ!AA25+subQ!AB19-subQ!AB25,"")</f>
        <v/>
      </c>
      <c r="AC36" s="29" t="n">
        <v>-0.0022</v>
      </c>
      <c r="AD36" s="29" t="n">
        <v>0.01</v>
      </c>
      <c r="AE36" s="30" t="n"/>
      <c r="AF36" s="29" t="n">
        <v>-0.01</v>
      </c>
      <c r="AG36" s="29" t="n">
        <v>0</v>
      </c>
      <c r="AH36" s="29" t="n">
        <v>0</v>
      </c>
      <c r="AI36" s="29" t="n">
        <v>0</v>
      </c>
      <c r="AJ36" s="30" t="n"/>
      <c r="AK36" s="29" t="n">
        <v>0</v>
      </c>
      <c r="AL36" s="29" t="n">
        <v>0</v>
      </c>
      <c r="AM36" s="29" t="n">
        <v>0</v>
      </c>
      <c r="AN36" s="29" t="n">
        <v>0</v>
      </c>
      <c r="AO36" s="30" t="n"/>
    </row>
    <row r="37">
      <c r="A37" s="12" t="inlineStr">
        <is>
          <t>drv:지배주주지분</t>
        </is>
      </c>
      <c r="B37" s="2" t="inlineStr">
        <is>
          <t>roll</t>
        </is>
      </c>
      <c r="C37" t="inlineStr">
        <is>
          <t>지배주주지분 기타변동(배당 등, 억원)</t>
        </is>
      </c>
      <c r="E37" s="26" t="n"/>
      <c r="F37" s="27" t="n"/>
      <c r="G37" s="26">
        <f>IFERROR(subQ!E26+subQ!G20-subQ!G26,"")</f>
        <v/>
      </c>
      <c r="H37" s="26">
        <f>IFERROR(subQ!G26+subQ!H20-subQ!H26,"")</f>
        <v/>
      </c>
      <c r="I37" s="26">
        <f>IFERROR(subQ!H26+subQ!I20-subQ!I26,"")</f>
        <v/>
      </c>
      <c r="J37" s="26">
        <f>IFERROR(subQ!I26+subQ!J20-subQ!J26,"")</f>
        <v/>
      </c>
      <c r="K37" s="27" t="n"/>
      <c r="L37" s="26">
        <f>IFERROR(subQ!J26+subQ!L20-subQ!L26,"")</f>
        <v/>
      </c>
      <c r="M37" s="26">
        <f>IFERROR(subQ!L26+subQ!M20-subQ!M26,"")</f>
        <v/>
      </c>
      <c r="N37" s="26">
        <f>IFERROR(subQ!M26+subQ!N20-subQ!N26,"")</f>
        <v/>
      </c>
      <c r="O37" s="26">
        <f>IFERROR(subQ!N26+subQ!O20-subQ!O26,"")</f>
        <v/>
      </c>
      <c r="P37" s="27" t="n"/>
      <c r="Q37" s="26">
        <f>IFERROR(subQ!O26+subQ!Q20-subQ!Q26,"")</f>
        <v/>
      </c>
      <c r="R37" s="26">
        <f>IFERROR(subQ!Q26+subQ!R20-subQ!R26,"")</f>
        <v/>
      </c>
      <c r="S37" s="26">
        <f>IFERROR(subQ!R26+subQ!S20-subQ!S26,"")</f>
        <v/>
      </c>
      <c r="T37" s="26">
        <f>IFERROR(subQ!S26+subQ!T20-subQ!T26,"")</f>
        <v/>
      </c>
      <c r="U37" s="27" t="n"/>
      <c r="V37" s="26">
        <f>IFERROR(subQ!T26+subQ!V20-subQ!V26,"")</f>
        <v/>
      </c>
      <c r="W37" s="26">
        <f>IFERROR(subQ!V26+subQ!W20-subQ!W26,"")</f>
        <v/>
      </c>
      <c r="X37" s="26">
        <f>IFERROR(subQ!W26+subQ!X20-subQ!X26,"")</f>
        <v/>
      </c>
      <c r="Y37" s="26">
        <f>IFERROR(subQ!X26+subQ!Y20-subQ!Y26,"")</f>
        <v/>
      </c>
      <c r="Z37" s="27" t="n"/>
      <c r="AA37" s="26">
        <f>IFERROR(subQ!Y26+subQ!AA20-subQ!AA26,"")</f>
        <v/>
      </c>
      <c r="AB37" s="28">
        <f>IFERROR(subQ!AA26+subQ!AB20-subQ!AB26,"")</f>
        <v/>
      </c>
      <c r="AC37" s="29" t="n">
        <v>-0.0078</v>
      </c>
      <c r="AD37" s="29" t="n">
        <v>-0</v>
      </c>
      <c r="AE37" s="30" t="n"/>
      <c r="AF37" s="29" t="n">
        <v>0</v>
      </c>
      <c r="AG37" s="29" t="n">
        <v>0.01</v>
      </c>
      <c r="AH37" s="29" t="n">
        <v>0</v>
      </c>
      <c r="AI37" s="29" t="n">
        <v>0</v>
      </c>
      <c r="AJ37" s="30" t="n"/>
      <c r="AK37" s="29" t="n">
        <v>0</v>
      </c>
      <c r="AL37" s="29" t="n">
        <v>-0</v>
      </c>
      <c r="AM37" s="29" t="n">
        <v>0</v>
      </c>
      <c r="AN37" s="29" t="n">
        <v>-0</v>
      </c>
      <c r="AO37" s="30" t="n"/>
    </row>
    <row r="38">
      <c r="A38" s="12" t="inlineStr">
        <is>
          <t>drv:총차입금</t>
        </is>
      </c>
      <c r="B38" s="2" t="inlineStr">
        <is>
          <t>qoq</t>
        </is>
      </c>
      <c r="C38" t="inlineStr">
        <is>
          <t>총차입금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drv:순차입금</t>
        </is>
      </c>
      <c r="B39" s="2" t="inlineStr">
        <is>
          <t>qoq</t>
        </is>
      </c>
      <c r="C39" t="inlineStr">
        <is>
          <t>순차입금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drv:이자발생자산</t>
        </is>
      </c>
      <c r="B40" s="2" t="inlineStr">
        <is>
          <t>qoq</t>
        </is>
      </c>
      <c r="C40" t="inlineStr">
        <is>
          <t>이자발생자산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0.10257</v>
      </c>
      <c r="AD40" s="24" t="n">
        <v>0.096262</v>
      </c>
      <c r="AE40" s="25" t="n"/>
      <c r="AF40" s="24" t="n">
        <v>0.08896</v>
      </c>
      <c r="AG40" s="24" t="n">
        <v>0.084647</v>
      </c>
      <c r="AH40" s="24" t="n">
        <v>0.08257100000000001</v>
      </c>
      <c r="AI40" s="24" t="n">
        <v>0.080828</v>
      </c>
      <c r="AJ40" s="25" t="n"/>
      <c r="AK40" s="24" t="n">
        <v>0.079684</v>
      </c>
      <c r="AL40" s="24" t="n">
        <v>0.078433</v>
      </c>
      <c r="AM40" s="24" t="n">
        <v>0.077169</v>
      </c>
      <c r="AN40" s="24" t="n">
        <v>0.07488400000000001</v>
      </c>
      <c r="AO40" s="25" t="n"/>
    </row>
    <row r="41">
      <c r="A41" s="12" t="inlineStr">
        <is>
          <t>drv:현금및현금성자산</t>
        </is>
      </c>
      <c r="B41" s="2" t="inlineStr">
        <is>
          <t>qoq</t>
        </is>
      </c>
      <c r="C41" t="inlineStr">
        <is>
          <t>현금및현금성자산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drv:CAPEX</t>
        </is>
      </c>
      <c r="B42" s="2" t="inlineStr">
        <is>
          <t>yoy</t>
        </is>
      </c>
      <c r="C42" t="inlineStr">
        <is>
          <t>CAPEX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drv:영업활동현금흐름</t>
        </is>
      </c>
      <c r="B43" s="2" t="inlineStr">
        <is>
          <t>yoy</t>
        </is>
      </c>
      <c r="C43" t="inlineStr">
        <is>
          <t>영업활동현금흐름 YoY</t>
        </is>
      </c>
      <c r="E43" s="21" t="n"/>
      <c r="F43" s="22" t="n"/>
      <c r="G43" s="21" t="n"/>
      <c r="H43" s="21" t="n"/>
      <c r="I43" s="21" t="n"/>
      <c r="J43" s="21">
        <f>IFERROR(subQ!J32/subQ!E32-1,"")</f>
        <v/>
      </c>
      <c r="K43" s="22" t="n"/>
      <c r="L43" s="21">
        <f>IFERROR(subQ!L32/subQ!G32-1,"")</f>
        <v/>
      </c>
      <c r="M43" s="21">
        <f>IFERROR(subQ!M32/subQ!H32-1,"")</f>
        <v/>
      </c>
      <c r="N43" s="21">
        <f>IFERROR(subQ!N32/subQ!I32-1,"")</f>
        <v/>
      </c>
      <c r="O43" s="21">
        <f>IFERROR(subQ!O32/subQ!J32-1,"")</f>
        <v/>
      </c>
      <c r="P43" s="22" t="n"/>
      <c r="Q43" s="21">
        <f>IFERROR(subQ!Q32/subQ!L32-1,"")</f>
        <v/>
      </c>
      <c r="R43" s="21">
        <f>IFERROR(subQ!R32/subQ!M32-1,"")</f>
        <v/>
      </c>
      <c r="S43" s="21">
        <f>IFERROR(subQ!S32/subQ!N32-1,"")</f>
        <v/>
      </c>
      <c r="T43" s="21">
        <f>IFERROR(subQ!T32/subQ!O32-1,"")</f>
        <v/>
      </c>
      <c r="U43" s="22" t="n"/>
      <c r="V43" s="21">
        <f>IFERROR(subQ!V32/subQ!Q32-1,"")</f>
        <v/>
      </c>
      <c r="W43" s="21">
        <f>IFERROR(subQ!W32/subQ!R32-1,"")</f>
        <v/>
      </c>
      <c r="X43" s="21">
        <f>IFERROR(subQ!X32/subQ!S32-1,"")</f>
        <v/>
      </c>
      <c r="Y43" s="21">
        <f>IFERROR(subQ!Y32/subQ!T32-1,"")</f>
        <v/>
      </c>
      <c r="Z43" s="22" t="n"/>
      <c r="AA43" s="21">
        <f>IFERROR(subQ!AA32/subQ!V32-1,"")</f>
        <v/>
      </c>
      <c r="AB43" s="23">
        <f>IFERROR(subQ!AB32/subQ!W32-1,"")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drv:주식수</t>
        </is>
      </c>
      <c r="B44" s="2" t="inlineStr">
        <is>
          <t>qoq</t>
        </is>
      </c>
      <c r="C44" t="inlineStr">
        <is>
          <t>주식수 QoQ</t>
        </is>
      </c>
      <c r="E44" s="21" t="n"/>
      <c r="F44" s="22" t="n"/>
      <c r="G44" s="21">
        <f>IFERROR(subQ!G33/subQ!E33-1,"")</f>
        <v/>
      </c>
      <c r="H44" s="21">
        <f>IFERROR(subQ!H33/subQ!G33-1,"")</f>
        <v/>
      </c>
      <c r="I44" s="21">
        <f>IFERROR(subQ!I33/subQ!H33-1,"")</f>
        <v/>
      </c>
      <c r="J44" s="21">
        <f>IFERROR(subQ!J33/subQ!I33-1,"")</f>
        <v/>
      </c>
      <c r="K44" s="22" t="n"/>
      <c r="L44" s="21">
        <f>IFERROR(subQ!L33/subQ!J33-1,"")</f>
        <v/>
      </c>
      <c r="M44" s="21">
        <f>IFERROR(subQ!M33/subQ!L33-1,"")</f>
        <v/>
      </c>
      <c r="N44" s="21">
        <f>IFERROR(subQ!N33/subQ!M33-1,"")</f>
        <v/>
      </c>
      <c r="O44" s="21">
        <f>IFERROR(subQ!O33/subQ!N33-1,"")</f>
        <v/>
      </c>
      <c r="P44" s="22" t="n"/>
      <c r="Q44" s="21">
        <f>IFERROR(subQ!Q33/subQ!O33-1,"")</f>
        <v/>
      </c>
      <c r="R44" s="21">
        <f>IFERROR(subQ!R33/subQ!Q33-1,"")</f>
        <v/>
      </c>
      <c r="S44" s="21">
        <f>IFERROR(subQ!S33/subQ!R33-1,"")</f>
        <v/>
      </c>
      <c r="T44" s="21">
        <f>IFERROR(subQ!T33/subQ!S33-1,"")</f>
        <v/>
      </c>
      <c r="U44" s="22" t="n"/>
      <c r="V44" s="21">
        <f>IFERROR(subQ!V33/subQ!T33-1,"")</f>
        <v/>
      </c>
      <c r="W44" s="21">
        <f>IFERROR(subQ!W33/subQ!V33-1,"")</f>
        <v/>
      </c>
      <c r="X44" s="21">
        <f>IFERROR(subQ!X33/subQ!W33-1,"")</f>
        <v/>
      </c>
      <c r="Y44" s="21">
        <f>IFERROR(subQ!Y33/subQ!X33-1,"")</f>
        <v/>
      </c>
      <c r="Z44" s="22" t="n"/>
      <c r="AA44" s="21">
        <f>IFERROR(subQ!AA33/subQ!Y33-1,"")</f>
        <v/>
      </c>
      <c r="AB44" s="23">
        <f>IFERROR(subQ!AB33/subQ!AA33-1,"")</f>
        <v/>
      </c>
      <c r="AC44" s="24" t="n">
        <v>0</v>
      </c>
      <c r="AD44" s="24" t="n">
        <v>0</v>
      </c>
      <c r="AE44" s="25" t="n"/>
      <c r="AF44" s="24" t="n">
        <v>0</v>
      </c>
      <c r="AG44" s="24" t="n">
        <v>0</v>
      </c>
      <c r="AH44" s="24" t="n">
        <v>0</v>
      </c>
      <c r="AI44" s="24" t="n">
        <v>0</v>
      </c>
      <c r="AJ44" s="25" t="n"/>
      <c r="AK44" s="24" t="n">
        <v>0</v>
      </c>
      <c r="AL44" s="24" t="n">
        <v>0</v>
      </c>
      <c r="AM44" s="24" t="n">
        <v>0</v>
      </c>
      <c r="AN44" s="24" t="n">
        <v>0</v>
      </c>
      <c r="AO44" s="25" t="n"/>
    </row>
    <row r="45">
      <c r="A45" s="12" t="inlineStr">
        <is>
          <t>drv:DPS</t>
        </is>
      </c>
      <c r="B45" s="2" t="inlineStr">
        <is>
          <t>yoy</t>
        </is>
      </c>
      <c r="C45" t="inlineStr">
        <is>
          <t>DPS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31" t="n"/>
      <c r="AD45" s="31" t="n"/>
      <c r="AE45" s="25" t="n"/>
      <c r="AF45" s="31" t="n"/>
      <c r="AG45" s="31" t="n"/>
      <c r="AH45" s="31" t="n"/>
      <c r="AI45" s="31" t="n"/>
      <c r="AJ45" s="25" t="n"/>
      <c r="AK45" s="31" t="n"/>
      <c r="AL45" s="31" t="n"/>
      <c r="AM45" s="31" t="n"/>
      <c r="AN45" s="31" t="n"/>
      <c r="AO45" s="25" t="n"/>
    </row>
    <row r="46">
      <c r="A46" s="12" t="inlineStr">
        <is>
          <t>drv:PER</t>
        </is>
      </c>
      <c r="B46" s="2" t="inlineStr">
        <is>
          <t>yoy</t>
        </is>
      </c>
      <c r="C46" t="inlineStr">
        <is>
          <t>PER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31" t="n"/>
      <c r="AD46" s="24" t="n">
        <v>-0.930576</v>
      </c>
      <c r="AE46" s="25" t="n"/>
      <c r="AF46" s="31" t="n"/>
      <c r="AG46" s="31" t="n"/>
      <c r="AH46" s="31" t="n"/>
      <c r="AI46" s="24" t="n">
        <v>-0.347037</v>
      </c>
      <c r="AJ46" s="25" t="n"/>
      <c r="AK46" s="24" t="n">
        <v>0.279558</v>
      </c>
      <c r="AL46" s="24" t="n">
        <v>-0.173485</v>
      </c>
      <c r="AM46" s="24" t="n">
        <v>-0.193878</v>
      </c>
      <c r="AN46" s="24" t="n">
        <v>-0.206868</v>
      </c>
      <c r="AO46" s="25" t="n"/>
    </row>
    <row r="47">
      <c r="A47" s="12" t="inlineStr">
        <is>
          <t>drv:PBR</t>
        </is>
      </c>
      <c r="B47" s="2" t="inlineStr">
        <is>
          <t>yoy</t>
        </is>
      </c>
      <c r="C47" t="inlineStr">
        <is>
          <t>PBR YoY</t>
        </is>
      </c>
      <c r="E47" s="21" t="n"/>
      <c r="F47" s="22" t="n"/>
      <c r="G47" s="21" t="n"/>
      <c r="H47" s="21" t="n"/>
      <c r="I47" s="21" t="n"/>
      <c r="J47" s="21">
        <f>IFERROR(subQ!J38/subQ!E38-1,"")</f>
        <v/>
      </c>
      <c r="K47" s="22" t="n"/>
      <c r="L47" s="21">
        <f>IFERROR(subQ!L38/subQ!G38-1,"")</f>
        <v/>
      </c>
      <c r="M47" s="21">
        <f>IFERROR(subQ!M38/subQ!H38-1,"")</f>
        <v/>
      </c>
      <c r="N47" s="21">
        <f>IFERROR(subQ!N38/subQ!I38-1,"")</f>
        <v/>
      </c>
      <c r="O47" s="21">
        <f>IFERROR(subQ!O38/subQ!J38-1,"")</f>
        <v/>
      </c>
      <c r="P47" s="22" t="n"/>
      <c r="Q47" s="21">
        <f>IFERROR(subQ!Q38/subQ!L38-1,"")</f>
        <v/>
      </c>
      <c r="R47" s="21">
        <f>IFERROR(subQ!R38/subQ!M38-1,"")</f>
        <v/>
      </c>
      <c r="S47" s="21">
        <f>IFERROR(subQ!S38/subQ!N38-1,"")</f>
        <v/>
      </c>
      <c r="T47" s="21">
        <f>IFERROR(subQ!T38/subQ!O38-1,"")</f>
        <v/>
      </c>
      <c r="U47" s="22" t="n"/>
      <c r="V47" s="21">
        <f>IFERROR(subQ!V38/subQ!Q38-1,"")</f>
        <v/>
      </c>
      <c r="W47" s="21">
        <f>IFERROR(subQ!W38/subQ!R38-1,"")</f>
        <v/>
      </c>
      <c r="X47" s="21">
        <f>IFERROR(subQ!X38/subQ!S38-1,"")</f>
        <v/>
      </c>
      <c r="Y47" s="21">
        <f>IFERROR(subQ!Y38/subQ!T38-1,"")</f>
        <v/>
      </c>
      <c r="Z47" s="22" t="n"/>
      <c r="AA47" s="21">
        <f>IFERROR(subQ!AA38/subQ!V38-1,"")</f>
        <v/>
      </c>
      <c r="AB47" s="23">
        <f>IFERROR(subQ!AB38/subQ!W38-1,"")</f>
        <v/>
      </c>
      <c r="AC47" s="24" t="n">
        <v>-0.402985</v>
      </c>
      <c r="AD47" s="24" t="n">
        <v>-0.458333</v>
      </c>
      <c r="AE47" s="25" t="n"/>
      <c r="AF47" s="24" t="n">
        <v>-0.35</v>
      </c>
      <c r="AG47" s="24" t="n">
        <v>-0.315789</v>
      </c>
      <c r="AH47" s="24" t="n">
        <v>-0.025</v>
      </c>
      <c r="AI47" s="24" t="n">
        <v>-0.025641</v>
      </c>
      <c r="AJ47" s="25" t="n"/>
      <c r="AK47" s="24" t="n">
        <v>-0.025641</v>
      </c>
      <c r="AL47" s="24" t="n">
        <v>-0.025641</v>
      </c>
      <c r="AM47" s="24" t="n">
        <v>-0.051282</v>
      </c>
      <c r="AN47" s="24" t="n">
        <v>-0.026316</v>
      </c>
      <c r="AO47" s="25" t="n"/>
    </row>
    <row r="48">
      <c r="A48" s="12" t="inlineStr">
        <is>
          <t>drv:매출전사</t>
        </is>
      </c>
      <c r="B48" s="2" t="inlineStr">
        <is>
          <t>ratio</t>
        </is>
      </c>
      <c r="C48" t="inlineStr">
        <is>
          <t>매출전사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1">
        <f>IFERROR(subQ!R39/subQ!R5,"")</f>
        <v/>
      </c>
      <c r="S48" s="21">
        <f>IFERROR(subQ!S39/subQ!S5,"")</f>
        <v/>
      </c>
      <c r="T48" s="21">
        <f>IFERROR(subQ!T39/subQ!T5,"")</f>
        <v/>
      </c>
      <c r="U48" s="22">
        <f>IFERROR(subQ!U39/subQ!U5,"")</f>
        <v/>
      </c>
      <c r="V48" s="21">
        <f>IFERROR(subQ!V39/subQ!V5,"")</f>
        <v/>
      </c>
      <c r="W48" s="21">
        <f>IFERROR(subQ!W39/subQ!W5,"")</f>
        <v/>
      </c>
      <c r="X48" s="21">
        <f>IFERROR(subQ!X39/subQ!X5,"")</f>
        <v/>
      </c>
      <c r="Y48" s="21">
        <f>IFERROR(subQ!Y39/subQ!Y5,"")</f>
        <v/>
      </c>
      <c r="Z48" s="22">
        <f>IFERROR(subQ!Z39/subQ!Z5,"")</f>
        <v/>
      </c>
      <c r="AA48" s="21">
        <f>IFERROR(subQ!AA39/subQ!AA5,"")</f>
        <v/>
      </c>
      <c r="AB48" s="23">
        <f>IFERROR(subQ!AB39/subQ!AB5,"")</f>
        <v/>
      </c>
      <c r="AC48" s="24" t="n">
        <v>1</v>
      </c>
      <c r="AD48" s="24" t="n">
        <v>1</v>
      </c>
      <c r="AE48" s="25">
        <f>IFERROR(subQ!AE39/subQ!AE5,"")</f>
        <v/>
      </c>
      <c r="AF48" s="24" t="n">
        <v>1</v>
      </c>
      <c r="AG48" s="24" t="n">
        <v>1</v>
      </c>
      <c r="AH48" s="24" t="n">
        <v>1</v>
      </c>
      <c r="AI48" s="24" t="n">
        <v>1</v>
      </c>
      <c r="AJ48" s="25">
        <f>IFERROR(subQ!AJ39/subQ!AJ5,"")</f>
        <v/>
      </c>
      <c r="AK48" s="24" t="n">
        <v>1</v>
      </c>
      <c r="AL48" s="24" t="n">
        <v>1</v>
      </c>
      <c r="AM48" s="24" t="n">
        <v>1</v>
      </c>
      <c r="AN48" s="24" t="n">
        <v>1</v>
      </c>
      <c r="AO48" s="25">
        <f>IFERROR(subQ!AO39/subQ!AO5,"")</f>
        <v/>
      </c>
    </row>
    <row r="49">
      <c r="A49" s="12" t="inlineStr">
        <is>
          <t>drv:OP전사</t>
        </is>
      </c>
      <c r="B49" s="2" t="inlineStr">
        <is>
          <t>ratio</t>
        </is>
      </c>
      <c r="C49" t="inlineStr">
        <is>
          <t>OP전사 마진(/매출전사)</t>
        </is>
      </c>
      <c r="E49" s="21">
        <f>IFERROR(subQ!E40/subQ!E39,"")</f>
        <v/>
      </c>
      <c r="F49" s="22">
        <f>IFERROR(subQ!F40/subQ!F39,"")</f>
        <v/>
      </c>
      <c r="G49" s="21">
        <f>IFERROR(subQ!G40/subQ!G39,"")</f>
        <v/>
      </c>
      <c r="H49" s="21">
        <f>IFERROR(subQ!H40/subQ!H39,"")</f>
        <v/>
      </c>
      <c r="I49" s="21">
        <f>IFERROR(subQ!I40/subQ!I39,"")</f>
        <v/>
      </c>
      <c r="J49" s="21">
        <f>IFERROR(subQ!J40/subQ!J39,"")</f>
        <v/>
      </c>
      <c r="K49" s="22">
        <f>IFERROR(subQ!K40/subQ!K39,"")</f>
        <v/>
      </c>
      <c r="L49" s="21">
        <f>IFERROR(subQ!L40/subQ!L39,"")</f>
        <v/>
      </c>
      <c r="M49" s="21">
        <f>IFERROR(subQ!M40/subQ!M39,"")</f>
        <v/>
      </c>
      <c r="N49" s="21">
        <f>IFERROR(subQ!N40/subQ!N39,"")</f>
        <v/>
      </c>
      <c r="O49" s="21">
        <f>IFERROR(subQ!O40/subQ!O39,"")</f>
        <v/>
      </c>
      <c r="P49" s="22">
        <f>IFERROR(subQ!P40/subQ!P39,"")</f>
        <v/>
      </c>
      <c r="Q49" s="21">
        <f>IFERROR(subQ!Q40/subQ!Q39,"")</f>
        <v/>
      </c>
      <c r="R49" s="21">
        <f>IFERROR(subQ!R40/subQ!R39,"")</f>
        <v/>
      </c>
      <c r="S49" s="21">
        <f>IFERROR(subQ!S40/subQ!S39,"")</f>
        <v/>
      </c>
      <c r="T49" s="21">
        <f>IFERROR(subQ!T40/subQ!T39,"")</f>
        <v/>
      </c>
      <c r="U49" s="22">
        <f>IFERROR(subQ!U40/subQ!U39,"")</f>
        <v/>
      </c>
      <c r="V49" s="21">
        <f>IFERROR(subQ!V40/subQ!V39,"")</f>
        <v/>
      </c>
      <c r="W49" s="21">
        <f>IFERROR(subQ!W40/subQ!W39,"")</f>
        <v/>
      </c>
      <c r="X49" s="21">
        <f>IFERROR(subQ!X40/subQ!X39,"")</f>
        <v/>
      </c>
      <c r="Y49" s="21">
        <f>IFERROR(subQ!Y40/subQ!Y39,"")</f>
        <v/>
      </c>
      <c r="Z49" s="22">
        <f>IFERROR(subQ!Z40/subQ!Z39,"")</f>
        <v/>
      </c>
      <c r="AA49" s="21">
        <f>IFERROR(subQ!AA40/subQ!AA39,"")</f>
        <v/>
      </c>
      <c r="AB49" s="23">
        <f>IFERROR(subQ!AB40/subQ!AB39,"")</f>
        <v/>
      </c>
      <c r="AC49" s="24" t="n">
        <v>0.036885</v>
      </c>
      <c r="AD49" s="24" t="n">
        <v>0.036886</v>
      </c>
      <c r="AE49" s="25">
        <f>IFERROR(subQ!AE40/subQ!AE39,"")</f>
        <v/>
      </c>
      <c r="AF49" s="24" t="n">
        <v>0.03688</v>
      </c>
      <c r="AG49" s="24" t="n">
        <v>0.036886</v>
      </c>
      <c r="AH49" s="24" t="n">
        <v>0.03689</v>
      </c>
      <c r="AI49" s="24" t="n">
        <v>0.036882</v>
      </c>
      <c r="AJ49" s="25">
        <f>IFERROR(subQ!AJ40/subQ!AJ39,"")</f>
        <v/>
      </c>
      <c r="AK49" s="24" t="n">
        <v>0.036887</v>
      </c>
      <c r="AL49" s="24" t="n">
        <v>0.036883</v>
      </c>
      <c r="AM49" s="24" t="n">
        <v>0.036888</v>
      </c>
      <c r="AN49" s="24" t="n">
        <v>0.036887</v>
      </c>
      <c r="AO49" s="25">
        <f>IFERROR(subQ!AO40/subQ!AO39,"")</f>
        <v/>
      </c>
    </row>
    <row r="50"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B51" s="1" t="inlineStr">
        <is>
          <t>3. 밸류에이션·스칼라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sc:종가</t>
        </is>
      </c>
      <c r="C52" t="inlineStr">
        <is>
          <t>종가</t>
        </is>
      </c>
      <c r="D52" s="32" t="n">
        <v>2285</v>
      </c>
      <c r="E52" s="2" t="inlineStr">
        <is>
          <t>원 — aikstockdata(금융위 T+1)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sc:기준일</t>
        </is>
      </c>
      <c r="C53" t="inlineStr">
        <is>
          <t>기준일</t>
        </is>
      </c>
      <c r="D53" s="33" t="inlineStr">
        <is>
          <t>20260929</t>
        </is>
      </c>
      <c r="E53" s="2" t="inlineStr">
        <is>
          <t>종가 기준일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sc:COE</t>
        </is>
      </c>
      <c r="C54" t="inlineStr">
        <is>
          <t>COE</t>
        </is>
      </c>
      <c r="D54" s="24" t="n">
        <v>0.09</v>
      </c>
      <c r="E54" s="2" t="inlineStr">
        <is>
          <t>자기자본비용(가정)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sc:PER_lo</t>
        </is>
      </c>
      <c r="C55" t="inlineStr">
        <is>
          <t>PER_lo</t>
        </is>
      </c>
      <c r="D55" s="29" t="n">
        <v>16.5</v>
      </c>
      <c r="E55" s="2" t="inlineStr">
        <is>
          <t>PER 밴드 하단(배) — hist_quarterly(분기 평균가 ÷ TTM EPS, 8분기, 25/50/75 백분위) · 캡 5~30배 적용(원값 16.5/18.9/269.8)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sc:PER_mid</t>
        </is>
      </c>
      <c r="C56" t="inlineStr">
        <is>
          <t>PER_mid</t>
        </is>
      </c>
      <c r="D56" s="29" t="n">
        <v>18.9</v>
      </c>
      <c r="E56" s="2" t="inlineStr">
        <is>
          <t>PER 밴드 중단(배)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sc:PER_hi</t>
        </is>
      </c>
      <c r="C57" t="inlineStr">
        <is>
          <t>PER_hi</t>
        </is>
      </c>
      <c r="D57" s="29" t="n">
        <v>30</v>
      </c>
      <c r="E57" s="2" t="inlineStr">
        <is>
          <t>PER 밴드 상단(배)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sc:EPS_Y1가중</t>
        </is>
      </c>
      <c r="C58" t="inlineStr">
        <is>
          <t>EPS_Y1가중</t>
        </is>
      </c>
      <c r="D58" s="24" t="n">
        <v>0.5</v>
      </c>
      <c r="E58" s="2" t="inlineStr">
        <is>
          <t>12M fwd EPS = FY(last_actual연도)E × w + FY+1E × (1−w) — 기준 분기 2Q 이면 0.5(가정)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sc:세율</t>
        </is>
      </c>
      <c r="C59" t="inlineStr">
        <is>
          <t>세율</t>
        </is>
      </c>
      <c r="D59" s="24" t="n">
        <v>0.2094</v>
      </c>
      <c r="E59" s="2" t="inlineStr">
        <is>
          <t>법인세율 가정(참고 — 추정 수식은 드라이버 행 참조)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sc:판관비율</t>
        </is>
      </c>
      <c r="C60" t="inlineStr">
        <is>
          <t>판관비율</t>
        </is>
      </c>
      <c r="D60" s="24" t="n">
        <v>0.0795</v>
      </c>
      <c r="E60" s="2" t="inlineStr">
        <is>
          <t>판관비율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sc:배당성향</t>
        </is>
      </c>
      <c r="C61" t="inlineStr">
        <is>
          <t>배당성향</t>
        </is>
      </c>
      <c r="D61" s="24" t="n">
        <v>0</v>
      </c>
      <c r="E61" s="2" t="inlineStr">
        <is>
          <t>배당성향 가정(참고)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sc:외화순노출_백만$</t>
        </is>
      </c>
      <c r="C62" t="inlineStr">
        <is>
          <t>외화순노출_백만$</t>
        </is>
      </c>
      <c r="D62" s="29" t="n"/>
      <c r="E62" s="2" t="inlineStr">
        <is>
          <t>외화 순노출 × Δ기말환율 (외화 시트 방식)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4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4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4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4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4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4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4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4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4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4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4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4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4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4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4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4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4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4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4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4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4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4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4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4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4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4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4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4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4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4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4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4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4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4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4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4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4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4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4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4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4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4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4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4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4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4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4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4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4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4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4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4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4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4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4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4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4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4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4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4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4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4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4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4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4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4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4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4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4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4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4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4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4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4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4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4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4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4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4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4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4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4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4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4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4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4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4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4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4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4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4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4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4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4" t="n">
        <v>97761.46000000001</v>
      </c>
      <c r="G25" s="18" t="n">
        <v>86676.87</v>
      </c>
      <c r="H25" s="18" t="n">
        <v>92978.56</v>
      </c>
      <c r="I25" s="18" t="n">
        <v>97800</v>
      </c>
      <c r="J25" s="18" t="n">
        <v>90170</v>
      </c>
      <c r="K25" s="34" t="n">
        <v>90170</v>
      </c>
      <c r="L25" s="18" t="n">
        <v>105853</v>
      </c>
      <c r="M25" s="18" t="n">
        <v>95714</v>
      </c>
      <c r="N25" s="18" t="n">
        <v>98360</v>
      </c>
      <c r="O25" s="18" t="n">
        <v>68062.14</v>
      </c>
      <c r="P25" s="34" t="n">
        <v>68062.14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4" t="n">
        <v>84150</v>
      </c>
      <c r="V25" s="18" t="n">
        <v>81450</v>
      </c>
      <c r="W25" s="18" t="n">
        <v>88940</v>
      </c>
      <c r="X25" s="18" t="n">
        <v>111900</v>
      </c>
      <c r="Y25" s="18" t="n">
        <v>88400</v>
      </c>
      <c r="Z25" s="34" t="n">
        <v>88400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4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4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4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4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4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4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4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4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4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4" t="n">
        <v>1220.25</v>
      </c>
      <c r="G28" s="18" t="n">
        <v>370.78</v>
      </c>
      <c r="H28" s="18" t="n">
        <v>384.94</v>
      </c>
      <c r="I28" s="18" t="n">
        <v>366.59</v>
      </c>
      <c r="J28" s="18" t="n">
        <v>383.35</v>
      </c>
      <c r="K28" s="34" t="n">
        <v>383.35</v>
      </c>
      <c r="L28" s="18" t="n">
        <v>391.6</v>
      </c>
      <c r="M28" s="18" t="n">
        <v>440.86</v>
      </c>
      <c r="N28" s="18" t="n">
        <v>517.5</v>
      </c>
      <c r="O28" s="18" t="n">
        <v>477.32</v>
      </c>
      <c r="P28" s="34" t="n">
        <v>477.32</v>
      </c>
      <c r="Q28" s="18" t="n">
        <v>428.91</v>
      </c>
      <c r="R28" s="18" t="n">
        <v>594.49</v>
      </c>
      <c r="S28" s="18" t="n">
        <v>666.15</v>
      </c>
      <c r="T28" s="18" t="n">
        <v>641.51</v>
      </c>
      <c r="U28" s="34" t="n">
        <v>641.51</v>
      </c>
      <c r="V28" s="18" t="n">
        <v>1020.1</v>
      </c>
      <c r="W28" s="18" t="n">
        <v>586.89</v>
      </c>
      <c r="X28" s="18" t="n">
        <v>481.46</v>
      </c>
      <c r="Y28" s="18" t="n">
        <v>729.78</v>
      </c>
      <c r="Z28" s="34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4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4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4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4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4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4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4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4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4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4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4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4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4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4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4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4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4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4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4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4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4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4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4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4" t="n">
        <v>23200</v>
      </c>
      <c r="V33" s="18" t="n">
        <v>23200</v>
      </c>
      <c r="W33" s="18" t="n">
        <v>17000</v>
      </c>
      <c r="Y33" s="18" t="n">
        <v>49174.78</v>
      </c>
      <c r="Z33" s="34" t="n">
        <v>49174.78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4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4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4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4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4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4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4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4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4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4" t="n">
        <v>860.42</v>
      </c>
      <c r="K36" s="9" t="n"/>
      <c r="P36" s="9" t="n"/>
      <c r="U36" s="9" t="n"/>
      <c r="Y36" s="18" t="n">
        <v>350.6</v>
      </c>
      <c r="Z36" s="34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4" t="n">
        <v>1410.42</v>
      </c>
      <c r="K37" s="9" t="n"/>
      <c r="P37" s="9" t="n"/>
      <c r="U37" s="9" t="n"/>
      <c r="Y37" s="18" t="n">
        <v>570.6</v>
      </c>
      <c r="Z37" s="34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4" t="n">
        <v>550</v>
      </c>
      <c r="K38" s="9" t="n"/>
      <c r="P38" s="9" t="n"/>
      <c r="U38" s="9" t="n"/>
      <c r="Y38" s="18" t="n">
        <v>220</v>
      </c>
      <c r="Z38" s="34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4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4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4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4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4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4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4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4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4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4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4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4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4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4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4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4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4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4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4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4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4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4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4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4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4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4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4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4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4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4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4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4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4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4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4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4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4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4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4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4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4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4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4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4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106082.86</v>
      </c>
      <c r="F48" s="34" t="n">
        <v>106082.86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4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4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4" t="n">
        <v>107350</v>
      </c>
      <c r="V48" s="18" t="n">
        <v>104650</v>
      </c>
      <c r="W48" s="18" t="n">
        <v>105940</v>
      </c>
      <c r="X48" s="18" t="n">
        <v>111900</v>
      </c>
      <c r="Y48" s="18" t="n">
        <v>137574.78</v>
      </c>
      <c r="Z48" s="34" t="n">
        <v>137574.78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92334.97</v>
      </c>
      <c r="F49" s="34" t="n">
        <v>92334.97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4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4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4" t="n">
        <v>95804.81</v>
      </c>
      <c r="V49" s="18" t="n">
        <v>73701.55</v>
      </c>
      <c r="W49" s="18" t="n">
        <v>86505.85000000001</v>
      </c>
      <c r="X49" s="18" t="n">
        <v>101691.42</v>
      </c>
      <c r="Y49" s="18" t="n">
        <v>106903.94</v>
      </c>
      <c r="Z49" s="34" t="n">
        <v>106903.94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4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4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4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4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4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G51" s="18" t="n">
        <v>86676.87</v>
      </c>
      <c r="H51" s="18" t="n">
        <v>92978.56</v>
      </c>
      <c r="I51" s="18" t="n">
        <v>97800</v>
      </c>
      <c r="J51" s="18" t="n">
        <v>90170</v>
      </c>
      <c r="K51" s="34" t="n">
        <v>90170</v>
      </c>
      <c r="L51" s="18" t="n">
        <v>105853</v>
      </c>
      <c r="M51" s="18" t="n">
        <v>95714</v>
      </c>
      <c r="N51" s="18" t="n">
        <v>98360</v>
      </c>
      <c r="O51" s="18" t="n">
        <v>68062.14</v>
      </c>
      <c r="P51" s="34" t="n">
        <v>68062.14</v>
      </c>
      <c r="U51" s="9" t="n"/>
      <c r="W51" s="18" t="n">
        <v>88940</v>
      </c>
      <c r="X51" s="18" t="n">
        <v>111900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4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Y55" s="18" t="n">
        <v>-2419.94</v>
      </c>
      <c r="Z55" s="34" t="n">
        <v>-2419.94</v>
      </c>
      <c r="AA55" s="18" t="n">
        <v>-2528.14</v>
      </c>
      <c r="AB55" s="19" t="n">
        <v>-2725.01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58902.71</v>
      </c>
      <c r="F56" s="9" t="n"/>
      <c r="G56" s="18" t="n">
        <v>61406.78</v>
      </c>
      <c r="H56" s="18" t="n">
        <v>64773.02</v>
      </c>
      <c r="I56" s="18" t="n">
        <v>57703.37</v>
      </c>
      <c r="J56" s="18" t="n">
        <v>61602.39</v>
      </c>
      <c r="K56" s="34" t="n">
        <v>245485.56</v>
      </c>
      <c r="L56" s="18" t="n">
        <v>61668.68</v>
      </c>
      <c r="M56" s="18" t="n">
        <v>66477.86</v>
      </c>
      <c r="N56" s="18" t="n">
        <v>58971.11</v>
      </c>
      <c r="O56" s="18" t="n">
        <v>61330.2</v>
      </c>
      <c r="P56" s="34" t="n">
        <v>248447.85</v>
      </c>
      <c r="Q56" s="18" t="n">
        <v>52985.62</v>
      </c>
      <c r="R56" s="18" t="n">
        <v>59840.34</v>
      </c>
      <c r="S56" s="18" t="n">
        <v>53110.99</v>
      </c>
      <c r="T56" s="18" t="n">
        <v>57511.33</v>
      </c>
      <c r="U56" s="34" t="n">
        <v>223448.28</v>
      </c>
      <c r="V56" s="18" t="n">
        <v>53367.27</v>
      </c>
      <c r="W56" s="18" t="n">
        <v>56100.88</v>
      </c>
      <c r="X56" s="18" t="n">
        <v>56009.15</v>
      </c>
      <c r="Y56" s="18" t="n">
        <v>53923.08</v>
      </c>
      <c r="Z56" s="34" t="n">
        <v>219400.38</v>
      </c>
      <c r="AA56" s="18" t="n">
        <v>66119.84</v>
      </c>
      <c r="AB56" s="19" t="n">
        <v>71721.12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53502.84</v>
      </c>
      <c r="F57" s="9" t="n"/>
      <c r="G57" s="18" t="n">
        <v>53759.67</v>
      </c>
      <c r="H57" s="18" t="n">
        <v>54115.03</v>
      </c>
      <c r="I57" s="18" t="n">
        <v>52667.07</v>
      </c>
      <c r="J57" s="18" t="n">
        <v>55099.8</v>
      </c>
      <c r="K57" s="34" t="n">
        <v>215641.57</v>
      </c>
      <c r="L57" s="18" t="n">
        <v>53646.3</v>
      </c>
      <c r="M57" s="18" t="n">
        <v>58263.47</v>
      </c>
      <c r="N57" s="18" t="n">
        <v>53509.25</v>
      </c>
      <c r="O57" s="18" t="n">
        <v>56589.92</v>
      </c>
      <c r="P57" s="34" t="n">
        <v>222008.94</v>
      </c>
      <c r="Q57" s="18" t="n">
        <v>46715.52</v>
      </c>
      <c r="R57" s="18" t="n">
        <v>53533.17</v>
      </c>
      <c r="S57" s="18" t="n">
        <v>47207.51</v>
      </c>
      <c r="T57" s="18" t="n">
        <v>52613.66</v>
      </c>
      <c r="U57" s="34" t="n">
        <v>200069.86</v>
      </c>
      <c r="V57" s="18" t="n">
        <v>48720.45</v>
      </c>
      <c r="W57" s="18" t="n">
        <v>47083.91</v>
      </c>
      <c r="X57" s="18" t="n">
        <v>48593.34</v>
      </c>
      <c r="Y57" s="18" t="n">
        <v>47530.01</v>
      </c>
      <c r="Z57" s="34" t="n">
        <v>191927.71</v>
      </c>
      <c r="AA57" s="18" t="n">
        <v>53140.94</v>
      </c>
      <c r="AB57" s="19" t="n">
        <v>57018.25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5399.86</v>
      </c>
      <c r="F58" s="9" t="n"/>
      <c r="G58" s="18" t="n">
        <v>7647.11</v>
      </c>
      <c r="H58" s="18" t="n">
        <v>10657.98</v>
      </c>
      <c r="I58" s="18" t="n">
        <v>5036.3</v>
      </c>
      <c r="J58" s="18" t="n">
        <v>6502.6</v>
      </c>
      <c r="K58" s="34" t="n">
        <v>29843.99</v>
      </c>
      <c r="L58" s="18" t="n">
        <v>8022.38</v>
      </c>
      <c r="M58" s="18" t="n">
        <v>8214.389999999999</v>
      </c>
      <c r="N58" s="18" t="n">
        <v>5461.86</v>
      </c>
      <c r="O58" s="18" t="n">
        <v>4740.28</v>
      </c>
      <c r="P58" s="34" t="n">
        <v>26438.91</v>
      </c>
      <c r="Q58" s="18" t="n">
        <v>6270.1</v>
      </c>
      <c r="R58" s="18" t="n">
        <v>6307.16</v>
      </c>
      <c r="S58" s="18" t="n">
        <v>5903.47</v>
      </c>
      <c r="T58" s="18" t="n">
        <v>4897.67</v>
      </c>
      <c r="U58" s="34" t="n">
        <v>23378.4</v>
      </c>
      <c r="V58" s="18" t="n">
        <v>4646.83</v>
      </c>
      <c r="W58" s="18" t="n">
        <v>9016.959999999999</v>
      </c>
      <c r="X58" s="18" t="n">
        <v>7415.81</v>
      </c>
      <c r="Y58" s="18" t="n">
        <v>6393.07</v>
      </c>
      <c r="Z58" s="34" t="n">
        <v>27472.67</v>
      </c>
      <c r="AA58" s="18" t="n">
        <v>12978.9</v>
      </c>
      <c r="AB58" s="19" t="n">
        <v>14702.87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3114.29</v>
      </c>
      <c r="F59" s="9" t="n"/>
      <c r="G59" s="18" t="n">
        <v>4143.02</v>
      </c>
      <c r="H59" s="18" t="n">
        <v>4370.3</v>
      </c>
      <c r="I59" s="18" t="n">
        <v>4400.23</v>
      </c>
      <c r="J59" s="18" t="n">
        <v>5645.22</v>
      </c>
      <c r="K59" s="34" t="n">
        <v>18558.77</v>
      </c>
      <c r="L59" s="18" t="n">
        <v>4549.21</v>
      </c>
      <c r="M59" s="18" t="n">
        <v>4858.2</v>
      </c>
      <c r="N59" s="18" t="n">
        <v>4518.83</v>
      </c>
      <c r="O59" s="18" t="n">
        <v>7390.44</v>
      </c>
      <c r="P59" s="34" t="n">
        <v>21316.68</v>
      </c>
      <c r="Q59" s="18" t="n">
        <v>4416.81</v>
      </c>
      <c r="R59" s="18" t="n">
        <v>4176.07</v>
      </c>
      <c r="S59" s="18" t="n">
        <v>4629.26</v>
      </c>
      <c r="T59" s="18" t="n">
        <v>4125.79</v>
      </c>
      <c r="U59" s="34" t="n">
        <v>17347.93</v>
      </c>
      <c r="V59" s="18" t="n">
        <v>4392.6</v>
      </c>
      <c r="W59" s="18" t="n">
        <v>3848.44</v>
      </c>
      <c r="X59" s="18" t="n">
        <v>4627.74</v>
      </c>
      <c r="Y59" s="18" t="n">
        <v>6429.21</v>
      </c>
      <c r="Z59" s="34" t="n">
        <v>19297.99</v>
      </c>
      <c r="AA59" s="18" t="n">
        <v>4818.98</v>
      </c>
      <c r="AB59" s="19" t="n">
        <v>5476.91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2285.57</v>
      </c>
      <c r="F60" s="9" t="n"/>
      <c r="G60" s="18" t="n">
        <v>3504.09</v>
      </c>
      <c r="H60" s="18" t="n">
        <v>6287.68</v>
      </c>
      <c r="I60" s="18" t="n">
        <v>636.08</v>
      </c>
      <c r="J60" s="18" t="n">
        <v>857.38</v>
      </c>
      <c r="K60" s="34" t="n">
        <v>11285.23</v>
      </c>
      <c r="L60" s="18" t="n">
        <v>3473.17</v>
      </c>
      <c r="M60" s="18" t="n">
        <v>3356.19</v>
      </c>
      <c r="N60" s="18" t="n">
        <v>943.03</v>
      </c>
      <c r="O60" s="18" t="n">
        <v>-2650.17</v>
      </c>
      <c r="P60" s="34" t="n">
        <v>5122.22</v>
      </c>
      <c r="Q60" s="18" t="n">
        <v>1853.28</v>
      </c>
      <c r="R60" s="18" t="n">
        <v>2131.09</v>
      </c>
      <c r="S60" s="18" t="n">
        <v>1274.21</v>
      </c>
      <c r="T60" s="18" t="n">
        <v>771.87</v>
      </c>
      <c r="U60" s="34" t="n">
        <v>6030.45</v>
      </c>
      <c r="V60" s="18" t="n">
        <v>254.23</v>
      </c>
      <c r="W60" s="18" t="n">
        <v>5168.52</v>
      </c>
      <c r="X60" s="18" t="n">
        <v>2788.07</v>
      </c>
      <c r="Y60" s="18" t="n">
        <v>-36.15</v>
      </c>
      <c r="Z60" s="34" t="n">
        <v>8174.67</v>
      </c>
      <c r="AA60" s="18" t="n">
        <v>8159.92</v>
      </c>
      <c r="AB60" s="19" t="n">
        <v>9225.959999999999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139.53</v>
      </c>
      <c r="F61" s="9" t="n"/>
      <c r="G61" s="18" t="n">
        <v>288.08</v>
      </c>
      <c r="H61" s="18" t="n">
        <v>655.8</v>
      </c>
      <c r="I61" s="18" t="n">
        <v>1094.05</v>
      </c>
      <c r="J61" s="18" t="n">
        <v>-128.25</v>
      </c>
      <c r="K61" s="34" t="n">
        <v>1909.68</v>
      </c>
      <c r="L61" s="18" t="n">
        <v>666.8099999999999</v>
      </c>
      <c r="M61" s="18" t="n">
        <v>299.59</v>
      </c>
      <c r="N61" s="18" t="n">
        <v>456.46</v>
      </c>
      <c r="O61" s="18" t="n">
        <v>265.08</v>
      </c>
      <c r="P61" s="34" t="n">
        <v>1687.94</v>
      </c>
      <c r="Q61" s="18" t="n">
        <v>558.67</v>
      </c>
      <c r="R61" s="18" t="n">
        <v>372.34</v>
      </c>
      <c r="S61" s="18" t="n">
        <v>58</v>
      </c>
      <c r="T61" s="18" t="n">
        <v>1006.06</v>
      </c>
      <c r="U61" s="34" t="n">
        <v>1995.07</v>
      </c>
      <c r="V61" s="18" t="n">
        <v>388.26</v>
      </c>
      <c r="W61" s="18" t="n">
        <v>4979.8</v>
      </c>
      <c r="X61" s="18" t="n">
        <v>7.12</v>
      </c>
      <c r="Y61" s="18" t="n">
        <v>-2612.72</v>
      </c>
      <c r="Z61" s="34" t="n">
        <v>2762.46</v>
      </c>
      <c r="AA61" s="18" t="n">
        <v>6882.92</v>
      </c>
      <c r="AB61" s="19" t="n">
        <v>13660.59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824.1900000000001</v>
      </c>
      <c r="F62" s="9" t="n"/>
      <c r="G62" s="18" t="n">
        <v>1211.56</v>
      </c>
      <c r="H62" s="18" t="n">
        <v>1157.98</v>
      </c>
      <c r="I62" s="18" t="n">
        <v>1070.87</v>
      </c>
      <c r="J62" s="18" t="n">
        <v>1949.48</v>
      </c>
      <c r="K62" s="34" t="n">
        <v>5389.89</v>
      </c>
      <c r="L62" s="18" t="n">
        <v>1837.02</v>
      </c>
      <c r="M62" s="18" t="n">
        <v>1721.34</v>
      </c>
      <c r="N62" s="18" t="n">
        <v>1717.07</v>
      </c>
      <c r="O62" s="18" t="n">
        <v>1729.87</v>
      </c>
      <c r="P62" s="34" t="n">
        <v>7005.3</v>
      </c>
      <c r="Q62" s="18" t="n">
        <v>1298.12</v>
      </c>
      <c r="R62" s="18" t="n">
        <v>1266.93</v>
      </c>
      <c r="S62" s="18" t="n">
        <v>1271.32</v>
      </c>
      <c r="T62" s="18" t="n">
        <v>896.5700000000001</v>
      </c>
      <c r="U62" s="34" t="n">
        <v>4732.94</v>
      </c>
      <c r="V62" s="18" t="n">
        <v>1160.4</v>
      </c>
      <c r="W62" s="18" t="n">
        <v>2654.33</v>
      </c>
      <c r="X62" s="18" t="n">
        <v>685.3200000000001</v>
      </c>
      <c r="Y62" s="18" t="n">
        <v>577.52</v>
      </c>
      <c r="Z62" s="34" t="n">
        <v>5077.57</v>
      </c>
      <c r="AA62" s="18" t="n">
        <v>19143.94</v>
      </c>
      <c r="AB62" s="19" t="n">
        <v>15289.12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370.5</v>
      </c>
      <c r="F63" s="9" t="n"/>
      <c r="G63" s="18" t="n">
        <v>9181.549999999999</v>
      </c>
      <c r="H63" s="18" t="n">
        <v>22.39</v>
      </c>
      <c r="I63" s="18" t="n">
        <v>108.46</v>
      </c>
      <c r="J63" s="18" t="n">
        <v>2346.04</v>
      </c>
      <c r="K63" s="34" t="n">
        <v>11658.44</v>
      </c>
      <c r="L63" s="18" t="n">
        <v>166.8</v>
      </c>
      <c r="M63" s="18" t="n">
        <v>113.4</v>
      </c>
      <c r="N63" s="18" t="n">
        <v>203.61</v>
      </c>
      <c r="O63" s="18" t="n">
        <v>171.49</v>
      </c>
      <c r="P63" s="34" t="n">
        <v>655.3</v>
      </c>
      <c r="Q63" s="18" t="n">
        <v>222.98</v>
      </c>
      <c r="R63" s="18" t="n">
        <v>97.73</v>
      </c>
      <c r="S63" s="18" t="n">
        <v>121.47</v>
      </c>
      <c r="T63" s="18" t="n">
        <v>68.3</v>
      </c>
      <c r="U63" s="34" t="n">
        <v>510.48</v>
      </c>
      <c r="V63" s="18" t="n">
        <v>45.81</v>
      </c>
      <c r="W63" s="18" t="n">
        <v>147.46</v>
      </c>
      <c r="X63" s="18" t="n">
        <v>211.99</v>
      </c>
      <c r="Y63" s="18" t="n">
        <v>86.91</v>
      </c>
      <c r="Z63" s="34" t="n">
        <v>492.17</v>
      </c>
      <c r="AA63" s="18" t="n">
        <v>161.21</v>
      </c>
      <c r="AB63" s="19" t="n">
        <v>80.14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48.02</v>
      </c>
      <c r="F64" s="9" t="n"/>
      <c r="G64" s="18" t="n">
        <v>234.91</v>
      </c>
      <c r="H64" s="18" t="n">
        <v>6.07</v>
      </c>
      <c r="I64" s="18" t="n">
        <v>10.77</v>
      </c>
      <c r="J64" s="18" t="n">
        <v>456.76</v>
      </c>
      <c r="K64" s="34" t="n">
        <v>708.51</v>
      </c>
      <c r="L64" s="18" t="n">
        <v>99.75</v>
      </c>
      <c r="M64" s="18" t="n">
        <v>297.51</v>
      </c>
      <c r="N64" s="18" t="n">
        <v>86.22</v>
      </c>
      <c r="O64" s="18" t="n">
        <v>2787.3</v>
      </c>
      <c r="P64" s="34" t="n">
        <v>3270.78</v>
      </c>
      <c r="Q64" s="18" t="n">
        <v>92.15000000000001</v>
      </c>
      <c r="R64" s="18" t="n">
        <v>19</v>
      </c>
      <c r="S64" s="18" t="n">
        <v>298.16</v>
      </c>
      <c r="T64" s="18" t="n">
        <v>2754.4</v>
      </c>
      <c r="U64" s="34" t="n">
        <v>3163.71</v>
      </c>
      <c r="V64" s="18" t="n">
        <v>8.23</v>
      </c>
      <c r="W64" s="18" t="n">
        <v>790.64</v>
      </c>
      <c r="X64" s="18" t="n">
        <v>208.99</v>
      </c>
      <c r="Y64" s="18" t="n">
        <v>335.94</v>
      </c>
      <c r="Z64" s="34" t="n">
        <v>1343.8</v>
      </c>
      <c r="AA64" s="18" t="n">
        <v>255.63</v>
      </c>
      <c r="AB64" s="19" t="n">
        <v>72.59999999999999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1902.96</v>
      </c>
      <c r="F65" s="9" t="n"/>
      <c r="G65" s="18" t="n">
        <v>11501.15</v>
      </c>
      <c r="H65" s="18" t="n">
        <v>5786.34</v>
      </c>
      <c r="I65" s="18" t="n">
        <v>734.27</v>
      </c>
      <c r="J65" s="18" t="n">
        <v>642.0599999999999</v>
      </c>
      <c r="K65" s="34" t="n">
        <v>18663.82</v>
      </c>
      <c r="L65" s="18" t="n">
        <v>2353.29</v>
      </c>
      <c r="M65" s="18" t="n">
        <v>1791.16</v>
      </c>
      <c r="N65" s="18" t="n">
        <v>-196.92</v>
      </c>
      <c r="O65" s="18" t="n">
        <v>-6733.52</v>
      </c>
      <c r="P65" s="34" t="n">
        <v>-2785.99</v>
      </c>
      <c r="Q65" s="18" t="n">
        <v>1240.57</v>
      </c>
      <c r="R65" s="18" t="n">
        <v>1306.65</v>
      </c>
      <c r="S65" s="18" t="n">
        <v>-120.63</v>
      </c>
      <c r="T65" s="18" t="n">
        <v>-1816.59</v>
      </c>
      <c r="U65" s="34" t="n">
        <v>610</v>
      </c>
      <c r="V65" s="18" t="n">
        <v>-518.84</v>
      </c>
      <c r="W65" s="18" t="n">
        <v>6850.82</v>
      </c>
      <c r="X65" s="18" t="n">
        <v>2112.87</v>
      </c>
      <c r="Y65" s="18" t="n">
        <v>-3475.41</v>
      </c>
      <c r="Z65" s="34" t="n">
        <v>4969.44</v>
      </c>
      <c r="AA65" s="18" t="n">
        <v>-4195.52</v>
      </c>
      <c r="AB65" s="19" t="n">
        <v>7604.98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2873.35</v>
      </c>
      <c r="F66" s="9" t="n"/>
      <c r="G66" s="18" t="n">
        <v>-2.82</v>
      </c>
      <c r="H66" s="18" t="n">
        <v>4315.52</v>
      </c>
      <c r="I66" s="18" t="n">
        <v>-2.82</v>
      </c>
      <c r="J66" s="18" t="n">
        <v>-610.78</v>
      </c>
      <c r="K66" s="34" t="n">
        <v>3699.1</v>
      </c>
      <c r="L66" s="18" t="n">
        <v>-7.15</v>
      </c>
      <c r="M66" s="18" t="n">
        <v>-913.29</v>
      </c>
      <c r="N66" s="18" t="n">
        <v>-0.41</v>
      </c>
      <c r="O66" s="18" t="n">
        <v>-416.23</v>
      </c>
      <c r="P66" s="34" t="n">
        <v>-1337.08</v>
      </c>
      <c r="Q66" s="18" t="n">
        <v>-0.41</v>
      </c>
      <c r="R66" s="18" t="n">
        <v>288.97</v>
      </c>
      <c r="S66" s="18" t="n">
        <v>117.95</v>
      </c>
      <c r="T66" s="18" t="n">
        <v>-279.54</v>
      </c>
      <c r="U66" s="34" t="n">
        <v>126.97</v>
      </c>
      <c r="V66" s="18" t="n">
        <v>-0.41</v>
      </c>
      <c r="W66" s="18" t="n">
        <v>1434.79</v>
      </c>
      <c r="X66" s="18" t="n">
        <v>2.24</v>
      </c>
      <c r="Y66" s="18" t="n">
        <v>-192.26</v>
      </c>
      <c r="Z66" s="34" t="n">
        <v>1244.36</v>
      </c>
      <c r="AA66" s="18" t="n">
        <v>-175.94</v>
      </c>
      <c r="AB66" s="19" t="n">
        <v>3637.52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-970.39</v>
      </c>
      <c r="F67" s="9" t="n"/>
      <c r="G67" s="18" t="n">
        <v>11503.97</v>
      </c>
      <c r="H67" s="18" t="n">
        <v>1470.82</v>
      </c>
      <c r="I67" s="18" t="n">
        <v>737.1</v>
      </c>
      <c r="J67" s="18" t="n">
        <v>1252.84</v>
      </c>
      <c r="K67" s="34" t="n">
        <v>14964.73</v>
      </c>
      <c r="L67" s="18" t="n">
        <v>2360.44</v>
      </c>
      <c r="M67" s="18" t="n">
        <v>2704.45</v>
      </c>
      <c r="N67" s="18" t="n">
        <v>-196.51</v>
      </c>
      <c r="O67" s="18" t="n">
        <v>-6317.29</v>
      </c>
      <c r="P67" s="34" t="n">
        <v>-1448.91</v>
      </c>
      <c r="Q67" s="18" t="n">
        <v>1240.97</v>
      </c>
      <c r="R67" s="18" t="n">
        <v>1017.68</v>
      </c>
      <c r="S67" s="18" t="n">
        <v>-238.58</v>
      </c>
      <c r="T67" s="18" t="n">
        <v>-1537.05</v>
      </c>
      <c r="U67" s="34" t="n">
        <v>483.02</v>
      </c>
      <c r="V67" s="18" t="n">
        <v>-518.4299999999999</v>
      </c>
      <c r="W67" s="18" t="n">
        <v>5416.03</v>
      </c>
      <c r="X67" s="18" t="n">
        <v>2110.64</v>
      </c>
      <c r="Y67" s="18" t="n">
        <v>-3283.15</v>
      </c>
      <c r="Z67" s="34" t="n">
        <v>3725.09</v>
      </c>
      <c r="AA67" s="18" t="n">
        <v>-4019.58</v>
      </c>
      <c r="AB67" s="19" t="n">
        <v>3967.47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-3113.61</v>
      </c>
      <c r="F68" s="9" t="n"/>
      <c r="G68" s="18" t="n">
        <v>12256.13</v>
      </c>
      <c r="H68" s="18" t="n">
        <v>765.64</v>
      </c>
      <c r="I68" s="18" t="n">
        <v>508.98</v>
      </c>
      <c r="J68" s="18" t="n">
        <v>1334.47</v>
      </c>
      <c r="K68" s="34" t="n">
        <v>14865.22</v>
      </c>
      <c r="L68" s="18" t="n">
        <v>2376.88</v>
      </c>
      <c r="M68" s="18" t="n">
        <v>1992.69</v>
      </c>
      <c r="N68" s="18" t="n">
        <v>-332.15</v>
      </c>
      <c r="O68" s="18" t="n">
        <v>-4772.34</v>
      </c>
      <c r="P68" s="34" t="n">
        <v>-734.92</v>
      </c>
      <c r="Q68" s="18" t="n">
        <v>500.84</v>
      </c>
      <c r="R68" s="18" t="n">
        <v>1536.42</v>
      </c>
      <c r="S68" s="18" t="n">
        <v>-319.44</v>
      </c>
      <c r="T68" s="18" t="n">
        <v>-3941.98</v>
      </c>
      <c r="U68" s="34" t="n">
        <v>-2224.16</v>
      </c>
      <c r="V68" s="18" t="n">
        <v>-150.47</v>
      </c>
      <c r="W68" s="18" t="n">
        <v>2440.84</v>
      </c>
      <c r="X68" s="18" t="n">
        <v>9651.469999999999</v>
      </c>
      <c r="Y68" s="18" t="n">
        <v>-4836.34</v>
      </c>
      <c r="Z68" s="34" t="n">
        <v>7105.5</v>
      </c>
      <c r="AA68" s="18" t="n">
        <v>-2913.94</v>
      </c>
      <c r="AB68" s="19" t="n">
        <v>3357.04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-1129.46</v>
      </c>
      <c r="F69" s="9" t="n"/>
      <c r="G69" s="18" t="n">
        <v>11212.72</v>
      </c>
      <c r="H69" s="18" t="n">
        <v>1203.96</v>
      </c>
      <c r="I69" s="18" t="n">
        <v>198.34</v>
      </c>
      <c r="J69" s="18" t="n">
        <v>1206.51</v>
      </c>
      <c r="K69" s="34" t="n">
        <v>13821.53</v>
      </c>
      <c r="L69" s="18" t="n">
        <v>1966.42</v>
      </c>
      <c r="M69" s="18" t="n">
        <v>2391.05</v>
      </c>
      <c r="N69" s="18" t="n">
        <v>-355.6</v>
      </c>
      <c r="O69" s="18" t="n">
        <v>-6327.72</v>
      </c>
      <c r="P69" s="34" t="n">
        <v>-2325.85</v>
      </c>
      <c r="Q69" s="18" t="n">
        <v>604.67</v>
      </c>
      <c r="R69" s="18" t="n">
        <v>605.39</v>
      </c>
      <c r="S69" s="18" t="n">
        <v>-347.75</v>
      </c>
      <c r="T69" s="18" t="n">
        <v>-2090.79</v>
      </c>
      <c r="U69" s="34" t="n">
        <v>-1228.48</v>
      </c>
      <c r="V69" s="18" t="n">
        <v>-1207.59</v>
      </c>
      <c r="W69" s="18" t="n">
        <v>3764.89</v>
      </c>
      <c r="X69" s="18" t="n">
        <v>1099.91</v>
      </c>
      <c r="Y69" s="18" t="n">
        <v>-3330.32</v>
      </c>
      <c r="Z69" s="34" t="n">
        <v>326.89</v>
      </c>
      <c r="AA69" s="18" t="n">
        <v>-2098.52</v>
      </c>
      <c r="AB69" s="19" t="n">
        <v>3002.42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E70" s="18" t="n">
        <v>159.08</v>
      </c>
      <c r="F70" s="9" t="n"/>
      <c r="G70" s="18" t="n">
        <v>291.26</v>
      </c>
      <c r="H70" s="18" t="n">
        <v>266.86</v>
      </c>
      <c r="I70" s="18" t="n">
        <v>538.76</v>
      </c>
      <c r="J70" s="18" t="n">
        <v>46.32</v>
      </c>
      <c r="K70" s="34" t="n">
        <v>1143.2</v>
      </c>
      <c r="L70" s="18" t="n">
        <v>394.02</v>
      </c>
      <c r="M70" s="18" t="n">
        <v>313.4</v>
      </c>
      <c r="N70" s="18" t="n">
        <v>159.09</v>
      </c>
      <c r="O70" s="18" t="n">
        <v>10.43</v>
      </c>
      <c r="P70" s="34" t="n">
        <v>876.9400000000001</v>
      </c>
      <c r="Q70" s="18" t="n">
        <v>636.3099999999999</v>
      </c>
      <c r="R70" s="18" t="n">
        <v>412.29</v>
      </c>
      <c r="S70" s="18" t="n">
        <v>109.17</v>
      </c>
      <c r="T70" s="18" t="n">
        <v>553.74</v>
      </c>
      <c r="U70" s="34" t="n">
        <v>1711.51</v>
      </c>
      <c r="V70" s="18" t="n">
        <v>689.16</v>
      </c>
      <c r="W70" s="18" t="n">
        <v>1617.29</v>
      </c>
      <c r="X70" s="18" t="n">
        <v>1010.72</v>
      </c>
      <c r="Y70" s="18" t="n">
        <v>47.17</v>
      </c>
      <c r="Z70" s="34" t="n">
        <v>3364.34</v>
      </c>
      <c r="AA70" s="18" t="n">
        <v>-1921.06</v>
      </c>
      <c r="AB70" s="19" t="n">
        <v>965.04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-684.66</v>
      </c>
      <c r="F71" s="9" t="n"/>
      <c r="G71" s="18" t="n">
        <v>-923.48</v>
      </c>
      <c r="H71" s="18" t="n">
        <v>-502.18</v>
      </c>
      <c r="I71" s="18" t="n">
        <v>23.18</v>
      </c>
      <c r="J71" s="18" t="n">
        <v>-2077.73</v>
      </c>
      <c r="K71" s="34" t="n">
        <v>-3480.21</v>
      </c>
      <c r="L71" s="18" t="n">
        <v>-1170.21</v>
      </c>
      <c r="M71" s="18" t="n">
        <v>-1421.75</v>
      </c>
      <c r="N71" s="18" t="n">
        <v>-1260.61</v>
      </c>
      <c r="O71" s="18" t="n">
        <v>-1464.79</v>
      </c>
      <c r="P71" s="34" t="n">
        <v>-5317.36</v>
      </c>
      <c r="Q71" s="18" t="n">
        <v>-739.45</v>
      </c>
      <c r="R71" s="18" t="n">
        <v>-894.59</v>
      </c>
      <c r="S71" s="18" t="n">
        <v>-1213.32</v>
      </c>
      <c r="T71" s="18" t="n">
        <v>109.49</v>
      </c>
      <c r="U71" s="34" t="n">
        <v>-2737.87</v>
      </c>
      <c r="V71" s="18" t="n">
        <v>-772.14</v>
      </c>
      <c r="W71" s="18" t="n">
        <v>2325.47</v>
      </c>
      <c r="X71" s="18" t="n">
        <v>-678.2</v>
      </c>
      <c r="Y71" s="18" t="n">
        <v>-3190.24</v>
      </c>
      <c r="Z71" s="34" t="n">
        <v>-2315.11</v>
      </c>
      <c r="AA71" s="18" t="n">
        <v>-12261.02</v>
      </c>
      <c r="AB71" s="19" t="n">
        <v>-1628.53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322.48</v>
      </c>
      <c r="F72" s="9" t="n"/>
      <c r="G72" s="18" t="n">
        <v>8946.639999999999</v>
      </c>
      <c r="H72" s="18" t="n">
        <v>16.32</v>
      </c>
      <c r="I72" s="18" t="n">
        <v>97.69</v>
      </c>
      <c r="J72" s="18" t="n">
        <v>1889.28</v>
      </c>
      <c r="K72" s="34" t="n">
        <v>10949.93</v>
      </c>
      <c r="L72" s="18" t="n">
        <v>67.05</v>
      </c>
      <c r="M72" s="18" t="n">
        <v>-184.11</v>
      </c>
      <c r="N72" s="18" t="n">
        <v>117.39</v>
      </c>
      <c r="O72" s="18" t="n">
        <v>-2615.81</v>
      </c>
      <c r="P72" s="34" t="n">
        <v>-2615.48</v>
      </c>
      <c r="Q72" s="18" t="n">
        <v>130.83</v>
      </c>
      <c r="R72" s="18" t="n">
        <v>78.73</v>
      </c>
      <c r="S72" s="18" t="n">
        <v>-176.69</v>
      </c>
      <c r="T72" s="18" t="n">
        <v>-2686.1</v>
      </c>
      <c r="U72" s="34" t="n">
        <v>-2653.23</v>
      </c>
      <c r="V72" s="18" t="n">
        <v>37.58</v>
      </c>
      <c r="W72" s="18" t="n">
        <v>-643.1799999999999</v>
      </c>
      <c r="X72" s="18" t="n">
        <v>3</v>
      </c>
      <c r="Y72" s="18" t="n">
        <v>-249.03</v>
      </c>
      <c r="Z72" s="34" t="n">
        <v>-851.63</v>
      </c>
      <c r="AA72" s="18" t="n">
        <v>-94.42</v>
      </c>
      <c r="AB72" s="19" t="n">
        <v>7.54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-970.39</v>
      </c>
      <c r="F73" s="9" t="n"/>
      <c r="G73" s="18" t="n">
        <v>11503.97</v>
      </c>
      <c r="H73" s="18" t="n">
        <v>1470.82</v>
      </c>
      <c r="I73" s="18" t="n">
        <v>737.1</v>
      </c>
      <c r="J73" s="18" t="n">
        <v>1252.84</v>
      </c>
      <c r="K73" s="34" t="n">
        <v>14964.73</v>
      </c>
      <c r="L73" s="18" t="n">
        <v>2360.44</v>
      </c>
      <c r="M73" s="18" t="n">
        <v>2704.45</v>
      </c>
      <c r="N73" s="18" t="n">
        <v>-196.51</v>
      </c>
      <c r="O73" s="18" t="n">
        <v>-6317.29</v>
      </c>
      <c r="P73" s="34" t="n">
        <v>-1448.91</v>
      </c>
      <c r="Q73" s="18" t="n">
        <v>1240.97</v>
      </c>
      <c r="R73" s="18" t="n">
        <v>1017.68</v>
      </c>
      <c r="S73" s="18" t="n">
        <v>-238.58</v>
      </c>
      <c r="T73" s="18" t="n">
        <v>-1537.05</v>
      </c>
      <c r="U73" s="34" t="n">
        <v>483.02</v>
      </c>
      <c r="V73" s="18" t="n">
        <v>-518.4299999999999</v>
      </c>
      <c r="W73" s="18" t="n">
        <v>5416.03</v>
      </c>
      <c r="X73" s="18" t="n">
        <v>2110.64</v>
      </c>
      <c r="Y73" s="18" t="n">
        <v>-3283.15</v>
      </c>
      <c r="Z73" s="34" t="n">
        <v>3725.09</v>
      </c>
      <c r="AA73" s="18" t="n">
        <v>-4019.58</v>
      </c>
      <c r="AB73" s="19" t="n">
        <v>3967.47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20.98</v>
      </c>
      <c r="H74" s="18" t="n">
        <v>17.36</v>
      </c>
      <c r="I74" s="18" t="n">
        <v>33.58</v>
      </c>
      <c r="J74" s="18" t="n">
        <v>63.39</v>
      </c>
      <c r="K74" s="34" t="n">
        <v>135.31</v>
      </c>
      <c r="L74" s="18" t="n">
        <v>50.91</v>
      </c>
      <c r="M74" s="18" t="n">
        <v>47.37</v>
      </c>
      <c r="N74" s="18" t="n">
        <v>56.83</v>
      </c>
      <c r="O74" s="18" t="n">
        <v>130.86</v>
      </c>
      <c r="P74" s="34" t="n">
        <v>285.97</v>
      </c>
      <c r="Q74" s="18" t="n">
        <v>94.34999999999999</v>
      </c>
      <c r="R74" s="18" t="n">
        <v>87.65000000000001</v>
      </c>
      <c r="S74" s="18" t="n">
        <v>90.69</v>
      </c>
      <c r="T74" s="18" t="n">
        <v>108.92</v>
      </c>
      <c r="U74" s="34" t="n">
        <v>381.61</v>
      </c>
      <c r="V74" s="18" t="n">
        <v>70.33</v>
      </c>
      <c r="W74" s="18" t="n">
        <v>92.94</v>
      </c>
      <c r="X74" s="18" t="n">
        <v>-43.52</v>
      </c>
      <c r="Y74" s="18" t="n">
        <v>128.37</v>
      </c>
      <c r="Z74" s="34" t="n">
        <v>248.12</v>
      </c>
      <c r="AB74" s="19" t="n">
        <v>149.41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619.85</v>
      </c>
      <c r="H75" s="18" t="n">
        <v>712.25</v>
      </c>
      <c r="I75" s="18" t="n">
        <v>928.51</v>
      </c>
      <c r="J75" s="18" t="n">
        <v>1198.4</v>
      </c>
      <c r="K75" s="34" t="n">
        <v>3459.01</v>
      </c>
      <c r="L75" s="18" t="n">
        <v>1301.27</v>
      </c>
      <c r="M75" s="18" t="n">
        <v>1403.15</v>
      </c>
      <c r="N75" s="18" t="n">
        <v>1495.49</v>
      </c>
      <c r="O75" s="18" t="n">
        <v>1390.47</v>
      </c>
      <c r="P75" s="34" t="n">
        <v>5590.38</v>
      </c>
      <c r="Q75" s="18" t="n">
        <v>1032.8</v>
      </c>
      <c r="R75" s="18" t="n">
        <v>1091.39</v>
      </c>
      <c r="S75" s="18" t="n">
        <v>949.03</v>
      </c>
      <c r="T75" s="18" t="n">
        <v>761.7</v>
      </c>
      <c r="U75" s="34" t="n">
        <v>3834.92</v>
      </c>
      <c r="V75" s="18" t="n">
        <v>823.6799999999999</v>
      </c>
      <c r="W75" s="18" t="n">
        <v>926.95</v>
      </c>
      <c r="X75" s="18" t="n">
        <v>724.71</v>
      </c>
      <c r="Y75" s="18" t="n">
        <v>834.1799999999999</v>
      </c>
      <c r="Z75" s="34" t="n">
        <v>3309.52</v>
      </c>
      <c r="AB75" s="19" t="n">
        <v>1144.75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117.34</v>
      </c>
      <c r="H76" s="18" t="n">
        <v>355.62</v>
      </c>
      <c r="I76" s="18" t="n">
        <v>437.89</v>
      </c>
      <c r="J76" s="18" t="n">
        <v>634.27</v>
      </c>
      <c r="K76" s="34" t="n">
        <v>1545.12</v>
      </c>
      <c r="L76" s="18" t="n">
        <v>420.89</v>
      </c>
      <c r="M76" s="18" t="n">
        <v>295.15</v>
      </c>
      <c r="N76" s="18" t="n">
        <v>264.19</v>
      </c>
      <c r="O76" s="18" t="n">
        <v>300.48</v>
      </c>
      <c r="P76" s="34" t="n">
        <v>1280.71</v>
      </c>
      <c r="Q76" s="18" t="n">
        <v>293.18</v>
      </c>
      <c r="R76" s="18" t="n">
        <v>254.23</v>
      </c>
      <c r="S76" s="18" t="n">
        <v>121.92</v>
      </c>
      <c r="T76" s="18" t="n">
        <v>322.47</v>
      </c>
      <c r="U76" s="34" t="n">
        <v>991.8</v>
      </c>
      <c r="V76" s="18" t="n">
        <v>58.49</v>
      </c>
      <c r="W76" s="18" t="n">
        <v>309.75</v>
      </c>
      <c r="X76" s="18" t="n">
        <v>112.18</v>
      </c>
      <c r="Y76" s="18" t="n">
        <v>307.29</v>
      </c>
      <c r="Z76" s="34" t="n">
        <v>787.71</v>
      </c>
      <c r="AB76" s="19" t="n">
        <v>435.57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408.6</v>
      </c>
      <c r="H77" s="18" t="n">
        <v>578.83</v>
      </c>
      <c r="I77" s="18" t="n">
        <v>141.79</v>
      </c>
      <c r="J77" s="18" t="n">
        <v>332.03</v>
      </c>
      <c r="K77" s="34" t="n">
        <v>1461.25</v>
      </c>
      <c r="L77" s="18" t="n">
        <v>419.77</v>
      </c>
      <c r="M77" s="18" t="n">
        <v>327.54</v>
      </c>
      <c r="N77" s="18" t="n">
        <v>273.46</v>
      </c>
      <c r="O77" s="18" t="n">
        <v>245.88</v>
      </c>
      <c r="P77" s="34" t="n">
        <v>1266.65</v>
      </c>
      <c r="Q77" s="18" t="n">
        <v>202.25</v>
      </c>
      <c r="R77" s="18" t="n">
        <v>190.23</v>
      </c>
      <c r="S77" s="18" t="n">
        <v>131.65</v>
      </c>
      <c r="T77" s="18" t="n">
        <v>246.37</v>
      </c>
      <c r="U77" s="34" t="n">
        <v>770.5</v>
      </c>
      <c r="V77" s="18" t="n">
        <v>323.28</v>
      </c>
      <c r="W77" s="18" t="n">
        <v>358.43</v>
      </c>
      <c r="X77" s="18" t="n">
        <v>231.84</v>
      </c>
      <c r="Y77" s="18" t="n">
        <v>102.63</v>
      </c>
      <c r="Z77" s="34" t="n">
        <v>1016.18</v>
      </c>
      <c r="AB77" s="19" t="n">
        <v>197.03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149.76</v>
      </c>
      <c r="H78" s="18" t="n">
        <v>282.82</v>
      </c>
      <c r="I78" s="18" t="n">
        <v>622.58</v>
      </c>
      <c r="J78" s="18" t="n">
        <v>-825.91</v>
      </c>
      <c r="K78" s="34" t="n">
        <v>229.25</v>
      </c>
      <c r="L78" s="18" t="n">
        <v>195.01</v>
      </c>
      <c r="M78" s="18" t="n">
        <v>-42.93</v>
      </c>
      <c r="N78" s="18" t="n">
        <v>135.44</v>
      </c>
      <c r="O78" s="18" t="n">
        <v>-166.27</v>
      </c>
      <c r="P78" s="34" t="n">
        <v>121.25</v>
      </c>
      <c r="Q78" s="18" t="n">
        <v>171.14</v>
      </c>
      <c r="R78" s="18" t="n">
        <v>30.47</v>
      </c>
      <c r="S78" s="18" t="n">
        <v>-154.6</v>
      </c>
      <c r="T78" s="18" t="n">
        <v>574.66</v>
      </c>
      <c r="U78" s="34" t="n">
        <v>621.67</v>
      </c>
      <c r="V78" s="18" t="n">
        <v>189.71</v>
      </c>
      <c r="W78" s="18" t="n">
        <v>-154.92</v>
      </c>
      <c r="X78" s="18" t="n">
        <v>55.33</v>
      </c>
      <c r="Y78" s="18" t="n">
        <v>-9.02</v>
      </c>
      <c r="Z78" s="34" t="n">
        <v>81.09999999999999</v>
      </c>
      <c r="AB78" s="19" t="n">
        <v>-106.27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183.12</v>
      </c>
      <c r="H79" s="18" t="n">
        <v>-133.1</v>
      </c>
      <c r="I79" s="18" t="n">
        <v>0.57</v>
      </c>
      <c r="J79" s="18" t="n">
        <v>419.06</v>
      </c>
      <c r="K79" s="34" t="n">
        <v>469.65</v>
      </c>
      <c r="L79" s="18" t="n">
        <v>115.98</v>
      </c>
      <c r="M79" s="18" t="n">
        <v>-9.35</v>
      </c>
      <c r="N79" s="18" t="n">
        <v>-51.88</v>
      </c>
      <c r="O79" s="18" t="n">
        <v>93.52</v>
      </c>
      <c r="P79" s="34" t="n">
        <v>148.27</v>
      </c>
      <c r="Q79" s="18" t="n">
        <v>63.06</v>
      </c>
      <c r="R79" s="18" t="n">
        <v>-40.13</v>
      </c>
      <c r="S79" s="18" t="n">
        <v>190.63</v>
      </c>
      <c r="T79" s="18" t="n">
        <v>-111.49</v>
      </c>
      <c r="U79" s="34" t="n">
        <v>102.07</v>
      </c>
      <c r="V79" s="18" t="n">
        <v>13.44</v>
      </c>
      <c r="W79" s="18" t="n">
        <v>305.11</v>
      </c>
      <c r="X79" s="18" t="n">
        <v>-271.23</v>
      </c>
      <c r="Y79" s="18" t="n">
        <v>139.31</v>
      </c>
      <c r="Z79" s="34" t="n">
        <v>186.63</v>
      </c>
      <c r="AB79" s="19" t="n">
        <v>-22.96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-598.87</v>
      </c>
      <c r="H80" s="18" t="n">
        <v>-694.89</v>
      </c>
      <c r="I80" s="18" t="n">
        <v>-894.9299999999999</v>
      </c>
      <c r="J80" s="18" t="n">
        <v>-1135.01</v>
      </c>
      <c r="K80" s="34" t="n">
        <v>-3323.7</v>
      </c>
      <c r="L80" s="18" t="n">
        <v>-1250.36</v>
      </c>
      <c r="M80" s="18" t="n">
        <v>-1355.78</v>
      </c>
      <c r="N80" s="18" t="n">
        <v>-1438.66</v>
      </c>
      <c r="O80" s="18" t="n">
        <v>-1259.61</v>
      </c>
      <c r="P80" s="34" t="n">
        <v>-5304.41</v>
      </c>
      <c r="Q80" s="18" t="n">
        <v>-938.45</v>
      </c>
      <c r="R80" s="18" t="n">
        <v>-1003.74</v>
      </c>
      <c r="S80" s="18" t="n">
        <v>-858.34</v>
      </c>
      <c r="T80" s="18" t="n">
        <v>-652.78</v>
      </c>
      <c r="U80" s="34" t="n">
        <v>-3453.31</v>
      </c>
      <c r="V80" s="18" t="n">
        <v>-753.35</v>
      </c>
      <c r="W80" s="18" t="n">
        <v>-834.01</v>
      </c>
      <c r="X80" s="18" t="n">
        <v>-768.23</v>
      </c>
      <c r="Y80" s="18" t="n">
        <v>-705.8099999999999</v>
      </c>
      <c r="Z80" s="34" t="n">
        <v>-3061.4</v>
      </c>
      <c r="AB80" s="19" t="n">
        <v>-995.34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파생상품이익</t>
        </is>
      </c>
      <c r="F81" s="9" t="n"/>
      <c r="K81" s="9" t="n"/>
      <c r="P81" s="9" t="n"/>
      <c r="U81" s="9" t="n"/>
      <c r="W81" s="18" t="n">
        <v>4557.25</v>
      </c>
      <c r="X81" s="18" t="n">
        <v>0</v>
      </c>
      <c r="Y81" s="18" t="n">
        <v>-2981.47</v>
      </c>
      <c r="Z81" s="9" t="n"/>
      <c r="AB81" s="19" t="n">
        <v>13231.27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파생상품손실</t>
        </is>
      </c>
      <c r="F82" s="9" t="n"/>
      <c r="K82" s="9" t="n"/>
      <c r="P82" s="9" t="n"/>
      <c r="U82" s="9" t="n"/>
      <c r="W82" s="18" t="n">
        <v>1063.84</v>
      </c>
      <c r="X82" s="18" t="n">
        <v>0</v>
      </c>
      <c r="Y82" s="18" t="n">
        <v>-498.62</v>
      </c>
      <c r="Z82" s="9" t="n"/>
      <c r="AB82" s="19" t="n">
        <v>12408.05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23553.35</v>
      </c>
      <c r="F83" s="9" t="n"/>
      <c r="G83" s="18" t="n">
        <v>-6348.39</v>
      </c>
      <c r="H83" s="18" t="n">
        <v>-10704.54</v>
      </c>
      <c r="I83" s="18" t="n">
        <v>219.35</v>
      </c>
      <c r="J83" s="18" t="n">
        <v>7160.8</v>
      </c>
      <c r="K83" s="34" t="n">
        <v>-9672.780000000001</v>
      </c>
      <c r="L83" s="18" t="n">
        <v>-12823.7</v>
      </c>
      <c r="M83" s="18" t="n">
        <v>1188.99</v>
      </c>
      <c r="N83" s="18" t="n">
        <v>-1097.21</v>
      </c>
      <c r="O83" s="18" t="n">
        <v>17935.62</v>
      </c>
      <c r="P83" s="34" t="n">
        <v>5203.7</v>
      </c>
      <c r="Q83" s="18" t="n">
        <v>-6817.31</v>
      </c>
      <c r="R83" s="18" t="n">
        <v>-141.65</v>
      </c>
      <c r="S83" s="18" t="n">
        <v>7484.89</v>
      </c>
      <c r="T83" s="18" t="n">
        <v>-4376.7</v>
      </c>
      <c r="U83" s="34" t="n">
        <v>-3850.77</v>
      </c>
      <c r="V83" s="18" t="n">
        <v>8809.92</v>
      </c>
      <c r="W83" s="18" t="n">
        <v>-4361.97</v>
      </c>
      <c r="X83" s="18" t="n">
        <v>-1827.95</v>
      </c>
      <c r="Y83" s="18" t="n">
        <v>-5555.15</v>
      </c>
      <c r="Z83" s="34" t="n">
        <v>-2935.15</v>
      </c>
      <c r="AA83" s="18" t="n">
        <v>9937.16</v>
      </c>
      <c r="AB83" s="19" t="n">
        <v>3266.37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감가상각비</t>
        </is>
      </c>
      <c r="E84" s="18" t="n">
        <v>1278.99</v>
      </c>
      <c r="F84" s="9" t="n"/>
      <c r="G84" s="18" t="n">
        <v>1295.36</v>
      </c>
      <c r="H84" s="18" t="n">
        <v>1319.42</v>
      </c>
      <c r="I84" s="18" t="n">
        <v>1299.61</v>
      </c>
      <c r="J84" s="18" t="n">
        <v>1311.88</v>
      </c>
      <c r="K84" s="34" t="n">
        <v>5226.27</v>
      </c>
      <c r="L84" s="18" t="n">
        <v>1306.27</v>
      </c>
      <c r="M84" s="18" t="n">
        <v>1315.98</v>
      </c>
      <c r="N84" s="18" t="n">
        <v>1248.51</v>
      </c>
      <c r="O84" s="18" t="n">
        <v>1256.47</v>
      </c>
      <c r="P84" s="34" t="n">
        <v>5127.23</v>
      </c>
      <c r="Q84" s="18" t="n">
        <v>1098.99</v>
      </c>
      <c r="R84" s="18" t="n">
        <v>1073.65</v>
      </c>
      <c r="S84" s="18" t="n">
        <v>1092.27</v>
      </c>
      <c r="T84" s="18" t="n">
        <v>1114.48</v>
      </c>
      <c r="U84" s="34" t="n">
        <v>4379.39</v>
      </c>
      <c r="V84" s="18" t="n">
        <v>851.96</v>
      </c>
      <c r="W84" s="18" t="n">
        <v>866.21</v>
      </c>
      <c r="X84" s="18" t="n">
        <v>843.39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E85" s="18" t="n">
        <v>20.36</v>
      </c>
      <c r="F85" s="9" t="n"/>
      <c r="G85" s="18" t="n">
        <v>19.59</v>
      </c>
      <c r="H85" s="18" t="n">
        <v>17.77</v>
      </c>
      <c r="I85" s="18" t="n">
        <v>17.86</v>
      </c>
      <c r="J85" s="18" t="n">
        <v>17.86</v>
      </c>
      <c r="K85" s="34" t="n">
        <v>73.08</v>
      </c>
      <c r="L85" s="18" t="n">
        <v>12.13</v>
      </c>
      <c r="M85" s="18" t="n">
        <v>12.41</v>
      </c>
      <c r="N85" s="18" t="n">
        <v>12.39</v>
      </c>
      <c r="O85" s="18" t="n">
        <v>10.21</v>
      </c>
      <c r="P85" s="34" t="n">
        <v>47.14</v>
      </c>
      <c r="Q85" s="18" t="n">
        <v>8.630000000000001</v>
      </c>
      <c r="R85" s="18" t="n">
        <v>7.59</v>
      </c>
      <c r="S85" s="18" t="n">
        <v>8.02</v>
      </c>
      <c r="T85" s="18" t="n">
        <v>8.710000000000001</v>
      </c>
      <c r="U85" s="34" t="n">
        <v>32.95</v>
      </c>
      <c r="V85" s="18" t="n">
        <v>7.49</v>
      </c>
      <c r="W85" s="18" t="n">
        <v>6.68</v>
      </c>
      <c r="X85" s="18" t="n">
        <v>7.57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-11.17</v>
      </c>
      <c r="F86" s="9" t="n"/>
      <c r="G86" s="18" t="n">
        <v>-1404.33</v>
      </c>
      <c r="H86" s="18" t="n">
        <v>-1727.34</v>
      </c>
      <c r="I86" s="18" t="n">
        <v>-1500.5</v>
      </c>
      <c r="J86" s="18" t="n">
        <v>-17.19</v>
      </c>
      <c r="K86" s="34" t="n">
        <v>-4649.36</v>
      </c>
      <c r="L86" s="18" t="n">
        <v>-1391.98</v>
      </c>
      <c r="M86" s="18" t="n">
        <v>-1852.12</v>
      </c>
      <c r="N86" s="18" t="n">
        <v>-762.86</v>
      </c>
      <c r="O86" s="18" t="n">
        <v>-238.98</v>
      </c>
      <c r="P86" s="34" t="n">
        <v>-4245.94</v>
      </c>
      <c r="Q86" s="18" t="n">
        <v>-11.53</v>
      </c>
      <c r="R86" s="18" t="n">
        <v>-210.94</v>
      </c>
      <c r="S86" s="18" t="n">
        <v>-391.63</v>
      </c>
      <c r="T86" s="18" t="n">
        <v>-31.95</v>
      </c>
      <c r="U86" s="34" t="n">
        <v>-646.05</v>
      </c>
      <c r="V86" s="18" t="n">
        <v>-422.59</v>
      </c>
      <c r="W86" s="18" t="n">
        <v>-648.27</v>
      </c>
      <c r="X86" s="18" t="n">
        <v>-389.91</v>
      </c>
      <c r="Y86" s="18" t="n">
        <v>192.09</v>
      </c>
      <c r="Z86" s="34" t="n">
        <v>-1268.68</v>
      </c>
      <c r="AA86" s="18" t="n">
        <v>-189.75</v>
      </c>
      <c r="AB86" s="19" t="n">
        <v>-526.88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-4511.4</v>
      </c>
      <c r="F87" s="9" t="n"/>
      <c r="G87" s="18" t="n">
        <v>21693.73</v>
      </c>
      <c r="H87" s="18" t="n">
        <v>-4321.42</v>
      </c>
      <c r="I87" s="18" t="n">
        <v>-3187.64</v>
      </c>
      <c r="J87" s="18" t="n">
        <v>3453.97</v>
      </c>
      <c r="K87" s="34" t="n">
        <v>17638.64</v>
      </c>
      <c r="L87" s="18" t="n">
        <v>-2001.56</v>
      </c>
      <c r="M87" s="18" t="n">
        <v>-4935.14</v>
      </c>
      <c r="N87" s="18" t="n">
        <v>-8376.209999999999</v>
      </c>
      <c r="O87" s="18" t="n">
        <v>-4173.14</v>
      </c>
      <c r="P87" s="34" t="n">
        <v>-19486.05</v>
      </c>
      <c r="Q87" s="18" t="n">
        <v>-1645.65</v>
      </c>
      <c r="R87" s="18" t="n">
        <v>1090.63</v>
      </c>
      <c r="S87" s="18" t="n">
        <v>-661.97</v>
      </c>
      <c r="T87" s="18" t="n">
        <v>-16134.44</v>
      </c>
      <c r="U87" s="34" t="n">
        <v>-17351.43</v>
      </c>
      <c r="V87" s="18" t="n">
        <v>-24517</v>
      </c>
      <c r="W87" s="18" t="n">
        <v>-3436.67</v>
      </c>
      <c r="X87" s="18" t="n">
        <v>-4204.69</v>
      </c>
      <c r="Y87" s="18" t="n">
        <v>2914.7</v>
      </c>
      <c r="Z87" s="34" t="n">
        <v>-29243.66</v>
      </c>
      <c r="AA87" s="18" t="n">
        <v>-29771.08</v>
      </c>
      <c r="AB87" s="19" t="n">
        <v>-1704.77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1461.21</v>
      </c>
      <c r="F88" s="9" t="n"/>
      <c r="G88" s="18" t="n">
        <v>872.5</v>
      </c>
      <c r="H88" s="18" t="n">
        <v>4046.33</v>
      </c>
      <c r="I88" s="18" t="n">
        <v>1166.19</v>
      </c>
      <c r="J88" s="18" t="n">
        <v>829.17</v>
      </c>
      <c r="K88" s="34" t="n">
        <v>6914.19</v>
      </c>
      <c r="L88" s="18" t="n">
        <v>615.67</v>
      </c>
      <c r="M88" s="18" t="n">
        <v>4180.02</v>
      </c>
      <c r="N88" s="18" t="n">
        <v>7424.12</v>
      </c>
      <c r="O88" s="18" t="n">
        <v>5329.47</v>
      </c>
      <c r="P88" s="34" t="n">
        <v>17549.28</v>
      </c>
      <c r="Q88" s="18" t="n">
        <v>361.59</v>
      </c>
      <c r="R88" s="18" t="n">
        <v>725.09</v>
      </c>
      <c r="S88" s="18" t="n">
        <v>768.98</v>
      </c>
      <c r="T88" s="18" t="n">
        <v>5507.34</v>
      </c>
      <c r="U88" s="34" t="n">
        <v>7363</v>
      </c>
      <c r="V88" s="18" t="n">
        <v>7279.15</v>
      </c>
      <c r="W88" s="18" t="n">
        <v>7614.47</v>
      </c>
      <c r="X88" s="18" t="n">
        <v>11619.69</v>
      </c>
      <c r="Y88" s="18" t="n">
        <v>10652.03</v>
      </c>
      <c r="Z88" s="34" t="n">
        <v>37165.34</v>
      </c>
      <c r="AA88" s="18" t="n">
        <v>20972.69</v>
      </c>
      <c r="AB88" s="19" t="n">
        <v>11426.04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1461.21</v>
      </c>
      <c r="F89" s="9" t="n"/>
      <c r="G89" s="18" t="n">
        <v>874.75</v>
      </c>
      <c r="H89" s="18" t="n">
        <v>4046.33</v>
      </c>
      <c r="I89" s="18" t="n">
        <v>1169.97</v>
      </c>
      <c r="J89" s="18" t="n">
        <v>829.17</v>
      </c>
      <c r="K89" s="34" t="n">
        <v>6920.22</v>
      </c>
      <c r="L89" s="18" t="n">
        <v>637.27</v>
      </c>
      <c r="M89" s="18" t="n">
        <v>4190.72</v>
      </c>
      <c r="N89" s="18" t="n">
        <v>7424.12</v>
      </c>
      <c r="O89" s="18" t="n">
        <v>5329.47</v>
      </c>
      <c r="P89" s="34" t="n">
        <v>17581.58</v>
      </c>
      <c r="Q89" s="18" t="n">
        <v>361.59</v>
      </c>
      <c r="R89" s="18" t="n">
        <v>725.09</v>
      </c>
      <c r="S89" s="18" t="n">
        <v>788.8099999999999</v>
      </c>
      <c r="T89" s="18" t="n">
        <v>5546.16</v>
      </c>
      <c r="U89" s="34" t="n">
        <v>7421.65</v>
      </c>
      <c r="V89" s="18" t="n">
        <v>7303.32</v>
      </c>
      <c r="W89" s="18" t="n">
        <v>8329.51</v>
      </c>
      <c r="X89" s="18" t="n">
        <v>10880.48</v>
      </c>
      <c r="Y89" s="18" t="n">
        <v>10652.03</v>
      </c>
      <c r="Z89" s="34" t="n">
        <v>37165.34</v>
      </c>
      <c r="AA89" s="18" t="n">
        <v>20972.69</v>
      </c>
      <c r="AB89" s="19" t="n">
        <v>11426.04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2.25</v>
      </c>
      <c r="H90" s="18" t="n">
        <v>0</v>
      </c>
      <c r="I90" s="18" t="n">
        <v>3.78</v>
      </c>
      <c r="J90" s="18" t="n">
        <v>0</v>
      </c>
      <c r="K90" s="34" t="n">
        <v>6.03</v>
      </c>
      <c r="L90" s="18" t="n">
        <v>21.6</v>
      </c>
      <c r="M90" s="18" t="n">
        <v>10.7</v>
      </c>
      <c r="N90" s="18" t="n">
        <v>0</v>
      </c>
      <c r="O90" s="18" t="n">
        <v>0</v>
      </c>
      <c r="P90" s="34" t="n">
        <v>32.3</v>
      </c>
      <c r="T90" s="18" t="n">
        <v>38.82</v>
      </c>
      <c r="U90" s="9" t="n"/>
      <c r="V90" s="18" t="n">
        <v>24.17</v>
      </c>
      <c r="W90" s="18" t="n">
        <v>715.04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-7210.76</v>
      </c>
      <c r="F91" s="9" t="n"/>
      <c r="G91" s="18" t="n">
        <v>-13505.41</v>
      </c>
      <c r="H91" s="18" t="n">
        <v>6196.49</v>
      </c>
      <c r="I91" s="18" t="n">
        <v>4480.16</v>
      </c>
      <c r="J91" s="18" t="n">
        <v>-8195.42</v>
      </c>
      <c r="K91" s="34" t="n">
        <v>-11024.18</v>
      </c>
      <c r="L91" s="18" t="n">
        <v>9567.15</v>
      </c>
      <c r="M91" s="18" t="n">
        <v>5133.36</v>
      </c>
      <c r="N91" s="18" t="n">
        <v>11018.27</v>
      </c>
      <c r="O91" s="18" t="n">
        <v>-4436</v>
      </c>
      <c r="P91" s="34" t="n">
        <v>21282.78</v>
      </c>
      <c r="Q91" s="18" t="n">
        <v>4898.6</v>
      </c>
      <c r="R91" s="18" t="n">
        <v>-2853.68</v>
      </c>
      <c r="S91" s="18" t="n">
        <v>-6130.98</v>
      </c>
      <c r="T91" s="18" t="n">
        <v>19194.24</v>
      </c>
      <c r="U91" s="34" t="n">
        <v>15108.18</v>
      </c>
      <c r="V91" s="18" t="n">
        <v>17897.1</v>
      </c>
      <c r="W91" s="18" t="n">
        <v>1109.67</v>
      </c>
      <c r="X91" s="18" t="n">
        <v>5805.41</v>
      </c>
      <c r="Y91" s="18" t="n">
        <v>26479.46</v>
      </c>
      <c r="Z91" s="34" t="n">
        <v>51291.64</v>
      </c>
      <c r="AA91" s="18" t="n">
        <v>8785.690000000001</v>
      </c>
      <c r="AB91" s="19" t="n">
        <v>1349.6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단기차입금의증가</t>
        </is>
      </c>
      <c r="E92" s="18" t="n">
        <v>26394.16</v>
      </c>
      <c r="F92" s="9" t="n"/>
      <c r="G92" s="18" t="n">
        <v>20607.81</v>
      </c>
      <c r="H92" s="18" t="n">
        <v>51739.57</v>
      </c>
      <c r="I92" s="18" t="n">
        <v>40208.48</v>
      </c>
      <c r="J92" s="18" t="n">
        <v>43501.19</v>
      </c>
      <c r="K92" s="34" t="n">
        <v>156057.05</v>
      </c>
      <c r="L92" s="18" t="n">
        <v>48530.94</v>
      </c>
      <c r="M92" s="18" t="n">
        <v>71058.95</v>
      </c>
      <c r="N92" s="18" t="n">
        <v>67856.27</v>
      </c>
      <c r="O92" s="18" t="n">
        <v>19120.18</v>
      </c>
      <c r="P92" s="34" t="n">
        <v>206566.34</v>
      </c>
      <c r="Q92" s="18" t="n">
        <v>59203.05</v>
      </c>
      <c r="R92" s="18" t="n">
        <v>40073.7</v>
      </c>
      <c r="S92" s="18" t="n">
        <v>44038.24</v>
      </c>
      <c r="T92" s="18" t="n">
        <v>53570.48</v>
      </c>
      <c r="U92" s="34" t="n">
        <v>196885.47</v>
      </c>
      <c r="V92" s="18" t="n">
        <v>54408.19</v>
      </c>
      <c r="W92" s="18" t="n">
        <v>44444.9</v>
      </c>
      <c r="X92" s="18" t="n">
        <v>54854.28</v>
      </c>
      <c r="Y92" s="18" t="n">
        <v>38109.87</v>
      </c>
      <c r="Z92" s="34" t="n">
        <v>191817.24</v>
      </c>
      <c r="AA92" s="18" t="n">
        <v>31000.03</v>
      </c>
      <c r="AB92" s="19" t="n">
        <v>23769.97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0</v>
      </c>
      <c r="F93" s="9" t="n"/>
      <c r="K93" s="9" t="n"/>
      <c r="N93" s="18" t="n">
        <v>7100</v>
      </c>
      <c r="O93" s="18" t="n">
        <v>2000</v>
      </c>
      <c r="P93" s="9" t="n"/>
      <c r="T93" s="18" t="n">
        <v>0</v>
      </c>
      <c r="U93" s="9" t="n"/>
      <c r="Z93" s="9" t="n"/>
      <c r="AA93" s="18" t="n">
        <v>10000</v>
      </c>
      <c r="AB93" s="19" t="n">
        <v>2125.22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32215.18</v>
      </c>
      <c r="F94" s="9" t="n"/>
      <c r="G94" s="18" t="n">
        <v>29636.97</v>
      </c>
      <c r="H94" s="18" t="n">
        <v>45239.56</v>
      </c>
      <c r="I94" s="18" t="n">
        <v>35208.48</v>
      </c>
      <c r="J94" s="18" t="n">
        <v>51131.19</v>
      </c>
      <c r="K94" s="34" t="n">
        <v>161216.2</v>
      </c>
      <c r="L94" s="18" t="n">
        <v>38847.94</v>
      </c>
      <c r="M94" s="18" t="n">
        <v>67597.95</v>
      </c>
      <c r="N94" s="18" t="n">
        <v>60310.27</v>
      </c>
      <c r="O94" s="18" t="n">
        <v>50418.3</v>
      </c>
      <c r="P94" s="34" t="n">
        <v>217174.46</v>
      </c>
      <c r="Q94" s="18" t="n">
        <v>48165.2</v>
      </c>
      <c r="R94" s="18" t="n">
        <v>42773.69</v>
      </c>
      <c r="S94" s="18" t="n">
        <v>49588.25</v>
      </c>
      <c r="T94" s="18" t="n">
        <v>34270.47</v>
      </c>
      <c r="U94" s="34" t="n">
        <v>174797.61</v>
      </c>
      <c r="V94" s="18" t="n">
        <v>57608.19</v>
      </c>
      <c r="W94" s="18" t="n">
        <v>42754.9</v>
      </c>
      <c r="X94" s="18" t="n">
        <v>48894.28</v>
      </c>
      <c r="Y94" s="18" t="n">
        <v>37809.87</v>
      </c>
      <c r="Z94" s="34" t="n">
        <v>187067.24</v>
      </c>
      <c r="AA94" s="18" t="n">
        <v>32300.03</v>
      </c>
      <c r="AB94" s="19" t="n">
        <v>17469.97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1267.59</v>
      </c>
      <c r="F95" s="9" t="n"/>
      <c r="G95" s="18" t="n">
        <v>2055.43</v>
      </c>
      <c r="H95" s="18" t="n">
        <v>198.31</v>
      </c>
      <c r="I95" s="18" t="n">
        <v>178.56</v>
      </c>
      <c r="J95" s="18" t="n">
        <v>0</v>
      </c>
      <c r="K95" s="34" t="n">
        <v>2432.3</v>
      </c>
      <c r="N95" s="18" t="n">
        <v>3500</v>
      </c>
      <c r="O95" s="18" t="n">
        <v>0</v>
      </c>
      <c r="P95" s="9" t="n"/>
      <c r="Q95" s="18" t="n">
        <v>6000</v>
      </c>
      <c r="R95" s="18" t="n">
        <v>0</v>
      </c>
      <c r="S95" s="18" t="n">
        <v>0</v>
      </c>
      <c r="T95" s="18" t="n">
        <v>0</v>
      </c>
      <c r="U95" s="34" t="n">
        <v>6000</v>
      </c>
      <c r="X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23662.07</v>
      </c>
      <c r="F96" s="9" t="n"/>
      <c r="G96" s="18" t="n">
        <v>1839.93</v>
      </c>
      <c r="H96" s="18" t="n">
        <v>-8829.469999999999</v>
      </c>
      <c r="I96" s="18" t="n">
        <v>1511.88</v>
      </c>
      <c r="J96" s="18" t="n">
        <v>2419.34</v>
      </c>
      <c r="K96" s="34" t="n">
        <v>-3058.32</v>
      </c>
      <c r="L96" s="18" t="n">
        <v>-5258.1</v>
      </c>
      <c r="M96" s="18" t="n">
        <v>1387.19</v>
      </c>
      <c r="N96" s="18" t="n">
        <v>1544.87</v>
      </c>
      <c r="O96" s="18" t="n">
        <v>9326.469999999999</v>
      </c>
      <c r="P96" s="34" t="n">
        <v>7000.43</v>
      </c>
      <c r="Q96" s="18" t="n">
        <v>-3564.36</v>
      </c>
      <c r="R96" s="18" t="n">
        <v>-1904.71</v>
      </c>
      <c r="S96" s="18" t="n">
        <v>691.95</v>
      </c>
      <c r="T96" s="18" t="n">
        <v>-1316.89</v>
      </c>
      <c r="U96" s="34" t="n">
        <v>-6094.01</v>
      </c>
      <c r="V96" s="18" t="n">
        <v>2190.02</v>
      </c>
      <c r="W96" s="18" t="n">
        <v>-6688.97</v>
      </c>
      <c r="X96" s="18" t="n">
        <v>-227.24</v>
      </c>
      <c r="Y96" s="18" t="n">
        <v>23839.03</v>
      </c>
      <c r="Z96" s="34" t="n">
        <v>19112.84</v>
      </c>
      <c r="AA96" s="18" t="n">
        <v>-11048.23</v>
      </c>
      <c r="AB96" s="19" t="n">
        <v>2911.2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11830.87</v>
      </c>
      <c r="F97" s="9" t="n"/>
      <c r="G97" s="18" t="n">
        <v>15481.2</v>
      </c>
      <c r="H97" s="18" t="n">
        <v>-8674.139999999999</v>
      </c>
      <c r="I97" s="18" t="n">
        <v>1601.97</v>
      </c>
      <c r="J97" s="18" t="n">
        <v>2215.61</v>
      </c>
      <c r="K97" s="34" t="n">
        <v>10624.64</v>
      </c>
      <c r="L97" s="18" t="n">
        <v>5378.3</v>
      </c>
      <c r="M97" s="18" t="n">
        <v>1382.24</v>
      </c>
      <c r="N97" s="18" t="n">
        <v>1544.11</v>
      </c>
      <c r="O97" s="18" t="n">
        <v>9320.629999999999</v>
      </c>
      <c r="P97" s="34" t="n">
        <v>17625.28</v>
      </c>
      <c r="Q97" s="18" t="n">
        <v>14072.42</v>
      </c>
      <c r="R97" s="18" t="n">
        <v>-1917.37</v>
      </c>
      <c r="S97" s="18" t="n">
        <v>674.37</v>
      </c>
      <c r="T97" s="18" t="n">
        <v>-1284.23</v>
      </c>
      <c r="U97" s="34" t="n">
        <v>11545.19</v>
      </c>
      <c r="V97" s="18" t="n">
        <v>13828.71</v>
      </c>
      <c r="W97" s="18" t="n">
        <v>-6694.46</v>
      </c>
      <c r="X97" s="18" t="n">
        <v>-225.16</v>
      </c>
      <c r="Y97" s="18" t="n">
        <v>23761.75</v>
      </c>
      <c r="Z97" s="34" t="n">
        <v>30670.84</v>
      </c>
      <c r="AA97" s="18" t="n">
        <v>19668.35</v>
      </c>
      <c r="AB97" s="19" t="n">
        <v>2888.52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25.36</v>
      </c>
      <c r="H98" s="18" t="n">
        <v>2.5</v>
      </c>
      <c r="I98" s="18" t="n">
        <v>23</v>
      </c>
      <c r="J98" s="18" t="n">
        <v>2629.27</v>
      </c>
      <c r="K98" s="34" t="n">
        <v>2680.13</v>
      </c>
      <c r="L98" s="18" t="n">
        <v>75.2</v>
      </c>
      <c r="M98" s="18" t="n">
        <v>165</v>
      </c>
      <c r="N98" s="18" t="n">
        <v>3.2</v>
      </c>
      <c r="O98" s="18" t="n">
        <v>0</v>
      </c>
      <c r="P98" s="34" t="n">
        <v>243.4</v>
      </c>
      <c r="Q98" s="18" t="n">
        <v>1.2</v>
      </c>
      <c r="R98" s="18" t="n">
        <v>51.82</v>
      </c>
      <c r="S98" s="18" t="n">
        <v>21.53</v>
      </c>
      <c r="T98" s="18" t="n">
        <v>103.6</v>
      </c>
      <c r="U98" s="34" t="n">
        <v>178.15</v>
      </c>
      <c r="V98" s="18" t="n">
        <v>18.29</v>
      </c>
      <c r="W98" s="18" t="n">
        <v>40</v>
      </c>
      <c r="X98" s="18" t="n">
        <v>173.74</v>
      </c>
      <c r="Y98" s="18" t="n">
        <v>9.65</v>
      </c>
      <c r="Z98" s="34" t="n">
        <v>241.68</v>
      </c>
      <c r="AA98" s="18" t="n">
        <v>114.1</v>
      </c>
      <c r="AB98" s="19" t="n">
        <v>26.2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F99" s="9" t="n"/>
      <c r="G99" s="18" t="n">
        <v>2321.4</v>
      </c>
      <c r="H99" s="18" t="n">
        <v>0</v>
      </c>
      <c r="I99" s="18" t="n">
        <v>0</v>
      </c>
      <c r="J99" s="18" t="n">
        <v>0</v>
      </c>
      <c r="K99" s="34" t="n">
        <v>2321.4</v>
      </c>
      <c r="P99" s="9" t="n"/>
      <c r="T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F100" s="9" t="n"/>
      <c r="J100" s="18" t="n">
        <v>1466.52</v>
      </c>
      <c r="K100" s="9" t="n"/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F101" s="9" t="n"/>
      <c r="K101" s="9" t="n"/>
      <c r="N101" s="18" t="n">
        <v>0</v>
      </c>
      <c r="O101" s="18" t="n">
        <v>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137.58</v>
      </c>
      <c r="P102" s="9" t="n"/>
      <c r="Q102" s="18" t="n">
        <v>114.59</v>
      </c>
      <c r="R102" s="18" t="n">
        <v>53.8</v>
      </c>
      <c r="S102" s="18" t="n">
        <v>83.2</v>
      </c>
      <c r="T102" s="18" t="n">
        <v>100.2</v>
      </c>
      <c r="U102" s="34" t="n">
        <v>351.79</v>
      </c>
      <c r="V102" s="18" t="n">
        <v>54.19</v>
      </c>
      <c r="W102" s="18" t="n">
        <v>89.61</v>
      </c>
      <c r="X102" s="18" t="n">
        <v>231.57</v>
      </c>
      <c r="Y102" s="18" t="n">
        <v>85.70999999999999</v>
      </c>
      <c r="Z102" s="34" t="n">
        <v>461.08</v>
      </c>
      <c r="AA102" s="18" t="n">
        <v>70.14</v>
      </c>
      <c r="AB102" s="19" t="n">
        <v>147.15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O103" s="18" t="n">
        <v>138.01</v>
      </c>
      <c r="P103" s="9" t="n"/>
      <c r="Q103" s="18" t="n">
        <v>139.25</v>
      </c>
      <c r="R103" s="18" t="n">
        <v>153.69</v>
      </c>
      <c r="S103" s="18" t="n">
        <v>180.98</v>
      </c>
      <c r="T103" s="18" t="n">
        <v>180.9</v>
      </c>
      <c r="U103" s="34" t="n">
        <v>654.8200000000001</v>
      </c>
      <c r="V103" s="18" t="n">
        <v>191.56</v>
      </c>
      <c r="W103" s="18" t="n">
        <v>197.24</v>
      </c>
      <c r="X103" s="18" t="n">
        <v>187.01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4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4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4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4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4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4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4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4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4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4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4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4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4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4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4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4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4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4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4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4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4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4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4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4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4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4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4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4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4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4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4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4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4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4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4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4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4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4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4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4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4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4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4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4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4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4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4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4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4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4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4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4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4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4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4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4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4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4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4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4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4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4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4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4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4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4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4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4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4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4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4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4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4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4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4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4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4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4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4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4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4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4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4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4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4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4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4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4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4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4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4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4" t="n">
        <v>64700</v>
      </c>
      <c r="V24" s="18" t="n">
        <v>62000</v>
      </c>
      <c r="W24" s="18" t="n">
        <v>63690</v>
      </c>
      <c r="X24" s="18" t="n">
        <v>86700</v>
      </c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4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4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4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4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4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4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4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4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4" t="n">
        <v>1615.94</v>
      </c>
      <c r="G27" s="18" t="n">
        <v>400.13</v>
      </c>
      <c r="H27" s="18" t="n">
        <v>404.33</v>
      </c>
      <c r="I27" s="18" t="n">
        <v>408.25</v>
      </c>
      <c r="J27" s="18" t="n">
        <v>412.28</v>
      </c>
      <c r="K27" s="34" t="n">
        <v>412.28</v>
      </c>
      <c r="L27" s="18" t="n">
        <v>300.01</v>
      </c>
      <c r="M27" s="18" t="n">
        <v>308.07</v>
      </c>
      <c r="N27" s="18" t="n">
        <v>303.22</v>
      </c>
      <c r="O27" s="18" t="n">
        <v>294.76</v>
      </c>
      <c r="P27" s="34" t="n">
        <v>294.76</v>
      </c>
      <c r="Q27" s="18" t="n">
        <v>277.97</v>
      </c>
      <c r="R27" s="18" t="n">
        <v>281.67</v>
      </c>
      <c r="S27" s="18" t="n">
        <v>290.57</v>
      </c>
      <c r="T27" s="18" t="n">
        <v>301.61</v>
      </c>
      <c r="U27" s="34" t="n">
        <v>301.61</v>
      </c>
      <c r="V27" s="18" t="n">
        <v>278.21</v>
      </c>
      <c r="W27" s="18" t="n">
        <v>235.33</v>
      </c>
      <c r="X27" s="18" t="n">
        <v>187.49</v>
      </c>
      <c r="Y27" s="18" t="n">
        <v>401.57</v>
      </c>
      <c r="Z27" s="34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4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4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4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4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4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4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4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4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4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4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4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4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4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4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4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4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4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4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4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4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4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4" t="n">
        <v>6000</v>
      </c>
      <c r="M32" s="18" t="n">
        <v>17000</v>
      </c>
      <c r="N32" s="18" t="n">
        <v>17000</v>
      </c>
      <c r="O32" s="18" t="n">
        <v>17000</v>
      </c>
      <c r="P32" s="34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4" t="n">
        <v>17000</v>
      </c>
      <c r="V32" s="18" t="n">
        <v>17000</v>
      </c>
      <c r="W32" s="18" t="n">
        <v>17000</v>
      </c>
      <c r="X32" s="18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4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4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4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4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4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4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4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4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4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4" t="n">
        <v>1219.73</v>
      </c>
      <c r="K35" s="9" t="n"/>
      <c r="P35" s="9" t="n"/>
      <c r="U35" s="9" t="n"/>
      <c r="Y35" s="18" t="n">
        <v>255.97</v>
      </c>
      <c r="Z35" s="34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4" t="n">
        <v>1423.73</v>
      </c>
      <c r="K36" s="9" t="n"/>
      <c r="P36" s="9" t="n"/>
      <c r="U36" s="9" t="n"/>
      <c r="Y36" s="18" t="n">
        <v>655.97</v>
      </c>
      <c r="Z36" s="34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4" t="n">
        <v>204</v>
      </c>
      <c r="K37" s="9" t="n"/>
      <c r="P37" s="9" t="n"/>
      <c r="U37" s="9" t="n"/>
      <c r="Y37" s="18" t="n">
        <v>400</v>
      </c>
      <c r="Z37" s="34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4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4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4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4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4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4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4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4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4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4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4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4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4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4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4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4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4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4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4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4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4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4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4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4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4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4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4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4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4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4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4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4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4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4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4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4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4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4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4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4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4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4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4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4" t="n">
        <v>81700</v>
      </c>
      <c r="V46" s="18" t="n">
        <v>79000</v>
      </c>
      <c r="W46" s="18" t="n">
        <v>80690</v>
      </c>
      <c r="X46" s="18" t="n">
        <v>86700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4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4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4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4" t="n">
        <v>79620.92999999999</v>
      </c>
      <c r="V47" s="18" t="n">
        <v>75238.08</v>
      </c>
      <c r="W47" s="18" t="n">
        <v>79298.83</v>
      </c>
      <c r="X47" s="18" t="n">
        <v>83806.83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4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4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4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4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4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4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4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4" t="n">
        <v>64700</v>
      </c>
      <c r="V49" s="18" t="n">
        <v>62000</v>
      </c>
      <c r="W49" s="18" t="n">
        <v>63690</v>
      </c>
      <c r="X49" s="18" t="n">
        <v>86700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4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4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4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4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4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4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4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4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4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4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4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4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4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4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4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4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4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4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4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4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4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4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4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4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4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4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4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4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4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4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4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4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4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4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4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4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4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4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4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4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4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4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4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4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4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4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4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4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4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4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4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4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4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4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4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4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4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4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4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4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4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4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4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4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4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4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4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4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4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4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4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4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4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4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4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4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4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4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4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4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4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4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4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4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4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4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4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4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4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4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4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4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4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4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4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4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4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4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4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4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4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4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4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4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4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4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4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4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4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4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4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4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4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4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4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4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4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4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4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4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0.0388</v>
      </c>
      <c r="F10" s="34" t="n"/>
      <c r="G10" s="18" t="n">
        <v>0.0571</v>
      </c>
      <c r="H10" s="18" t="n">
        <v>0.09710000000000001</v>
      </c>
      <c r="I10" s="18" t="n">
        <v>0.011</v>
      </c>
      <c r="J10" s="18" t="n">
        <v>0.0139</v>
      </c>
      <c r="K10" s="34">
        <f>SUM(G10:J10)</f>
        <v/>
      </c>
      <c r="L10" s="18" t="n">
        <v>0.0563</v>
      </c>
      <c r="M10" s="18" t="n">
        <v>0.0505</v>
      </c>
      <c r="N10" s="18" t="n">
        <v>0.016</v>
      </c>
      <c r="O10" s="18" t="n">
        <v>-0.0432</v>
      </c>
      <c r="P10" s="34">
        <f>SUM(L10:O10)</f>
        <v/>
      </c>
      <c r="Q10" s="18" t="n">
        <v>0.035</v>
      </c>
      <c r="R10" s="18" t="n">
        <v>0.0356</v>
      </c>
      <c r="S10" s="18" t="n">
        <v>0.024</v>
      </c>
      <c r="T10" s="18" t="n">
        <v>0.0134</v>
      </c>
      <c r="U10" s="34">
        <f>SUM(Q10:T10)</f>
        <v/>
      </c>
      <c r="V10" s="18" t="n">
        <v>0.0048</v>
      </c>
      <c r="W10" s="18" t="n">
        <v>0.0921</v>
      </c>
      <c r="X10" s="18" t="n">
        <v>0.0498</v>
      </c>
      <c r="Y10" s="18" t="n">
        <v>-0.0007</v>
      </c>
      <c r="Z10" s="34">
        <f>SUM(V10:Y10)</f>
        <v/>
      </c>
      <c r="AA10" s="18" t="n">
        <v>0.1234</v>
      </c>
      <c r="AB10" s="19" t="n">
        <v>0.1286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-3.25</v>
      </c>
      <c r="H13" s="18" t="n">
        <v>1.93</v>
      </c>
      <c r="I13" s="18" t="n">
        <v>9.18</v>
      </c>
      <c r="J13" s="18" t="n">
        <v>-9.43</v>
      </c>
      <c r="K13" s="34">
        <f>SUM(G13:J13)</f>
        <v/>
      </c>
      <c r="L13" s="18" t="n">
        <v>0.8</v>
      </c>
      <c r="M13" s="18" t="n">
        <v>-0.66</v>
      </c>
      <c r="N13" s="18" t="n">
        <v>1.78</v>
      </c>
      <c r="O13" s="18" t="n">
        <v>-2.05</v>
      </c>
      <c r="P13" s="34">
        <f>SUM(L13:O13)</f>
        <v/>
      </c>
      <c r="Q13" s="18" t="n">
        <v>1.99</v>
      </c>
      <c r="R13" s="18" t="n">
        <v>1.35</v>
      </c>
      <c r="S13" s="18" t="n">
        <v>-3.55</v>
      </c>
      <c r="T13" s="18" t="n">
        <v>7.62</v>
      </c>
      <c r="U13" s="34">
        <f>SUM(Q13:T13)</f>
        <v/>
      </c>
      <c r="V13" s="18" t="n">
        <v>-0.89</v>
      </c>
      <c r="W13" s="18" t="n">
        <v>-5.09</v>
      </c>
      <c r="X13" s="18" t="n">
        <v>2.07</v>
      </c>
      <c r="Y13" s="18" t="n">
        <v>0.5600000000000001</v>
      </c>
      <c r="Z13" s="34">
        <f>SUM(V13:Y13)</f>
        <v/>
      </c>
      <c r="AA13" s="18" t="n"/>
      <c r="AB13" s="19" t="n">
        <v>1.55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 t="n">
        <v>0</v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>
        <v>34.93</v>
      </c>
      <c r="X14" s="18" t="n">
        <v>0</v>
      </c>
      <c r="Y14" s="18" t="n">
        <v>-24.83</v>
      </c>
      <c r="Z14" s="34">
        <f>SUM(V14:Y14)</f>
        <v/>
      </c>
      <c r="AA14" s="18" t="n"/>
      <c r="AB14" s="19" t="n">
        <v>8.23</v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>
        <v>1.75</v>
      </c>
      <c r="X15" s="18" t="n">
        <v>-1.17</v>
      </c>
      <c r="Y15" s="18" t="n">
        <v>-0.57</v>
      </c>
      <c r="Z15" s="34">
        <f>SUM(V15:Y15)</f>
        <v/>
      </c>
      <c r="AA15" s="18" t="n"/>
      <c r="AB15" s="19" t="n">
        <v>-16.12</v>
      </c>
      <c r="AC15" s="20">
        <f>IFERROR(X15*(1+변수!AC29),"")</f>
        <v/>
      </c>
      <c r="AD15" s="20">
        <f>IFERROR(Y15*(1+변수!AD29),"")</f>
        <v/>
      </c>
      <c r="AE15" s="35">
        <f>SUM(AA15:AD15)</f>
        <v/>
      </c>
      <c r="AF15" s="20" t="n">
        <v>0</v>
      </c>
      <c r="AG15" s="20">
        <f>IFERROR(AB15*(1+변수!AG29),"")</f>
        <v/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5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5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5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IFERROR(AC17*변수!AC31,"")</f>
        <v/>
      </c>
      <c r="AD18" s="20">
        <f>IFERROR(AD17*변수!AD31,"")</f>
        <v/>
      </c>
      <c r="AE18" s="35">
        <f>SUM(AA18:AD18)</f>
        <v/>
      </c>
      <c r="AF18" s="20">
        <f>IFERROR(AF17*변수!AF31,"")</f>
        <v/>
      </c>
      <c r="AG18" s="20">
        <f>IFERROR(AG17*변수!AG31,"")</f>
        <v/>
      </c>
      <c r="AH18" s="20">
        <f>IFERROR(AH17*변수!AH31,"")</f>
        <v/>
      </c>
      <c r="AI18" s="20">
        <f>IFERROR(AI17*변수!AI31,"")</f>
        <v/>
      </c>
      <c r="AJ18" s="35">
        <f>SUM(AF18:AI18)</f>
        <v/>
      </c>
      <c r="AK18" s="20">
        <f>IFERROR(AK17*변수!AK31,"")</f>
        <v/>
      </c>
      <c r="AL18" s="20">
        <f>IFERROR(AL17*변수!AL31,"")</f>
        <v/>
      </c>
      <c r="AM18" s="20">
        <f>IFERROR(AM17*변수!AM31,"")</f>
        <v/>
      </c>
      <c r="AN18" s="20">
        <f>IFERROR(AN17*변수!AN31,"")</f>
        <v/>
      </c>
      <c r="AO18" s="35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5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5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5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IFERROR(AC19*변수!AC32,"")</f>
        <v/>
      </c>
      <c r="AD20" s="20">
        <f>IFERROR(AD19*변수!AD32,"")</f>
        <v/>
      </c>
      <c r="AE20" s="35">
        <f>SUM(AA20:AD20)</f>
        <v/>
      </c>
      <c r="AF20" s="20">
        <f>IFERROR(AF19*변수!AF32,"")</f>
        <v/>
      </c>
      <c r="AG20" s="20">
        <f>IFERROR(AG19*변수!AG32,"")</f>
        <v/>
      </c>
      <c r="AH20" s="20">
        <f>IFERROR(AH19*변수!AH32,"")</f>
        <v/>
      </c>
      <c r="AI20" s="20">
        <f>IFERROR(AI19*변수!AI32,"")</f>
        <v/>
      </c>
      <c r="AJ20" s="35">
        <f>SUM(AF20:AI20)</f>
        <v/>
      </c>
      <c r="AK20" s="20">
        <f>IFERROR(AK19*변수!AK32,"")</f>
        <v/>
      </c>
      <c r="AL20" s="20">
        <f>IFERROR(AL19*변수!AL32,"")</f>
        <v/>
      </c>
      <c r="AM20" s="20">
        <f>IFERROR(AM19*변수!AM32,"")</f>
        <v/>
      </c>
      <c r="AN20" s="20">
        <f>IFERROR(AN19*변수!AN32,"")</f>
        <v/>
      </c>
      <c r="AO20" s="35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4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4">
        <f>SUM(V21:Y21)</f>
        <v/>
      </c>
      <c r="AA21" s="18" t="n"/>
      <c r="AB21" s="19" t="n"/>
      <c r="AC21" s="20">
        <f>IFERROR(X21*(1+변수!AC33),"")</f>
        <v/>
      </c>
      <c r="AD21" s="20" t="n">
        <v>8.59</v>
      </c>
      <c r="AE21" s="35">
        <f>SUM(AA21:AD21)</f>
        <v/>
      </c>
      <c r="AF21" s="20" t="n">
        <v>8.59</v>
      </c>
      <c r="AG21" s="20" t="n">
        <v>8.59</v>
      </c>
      <c r="AH21" s="20">
        <f>IFERROR(AC21*(1+변수!AH33),"")</f>
        <v/>
      </c>
      <c r="AI21" s="20">
        <f>IFERROR(AD21*(1+변수!AI33),"")</f>
        <v/>
      </c>
      <c r="AJ21" s="35">
        <f>SUM(AF21:AI21)</f>
        <v/>
      </c>
      <c r="AK21" s="20">
        <f>IFERROR(AF21*(1+변수!AK33),"")</f>
        <v/>
      </c>
      <c r="AL21" s="20">
        <f>IFERROR(AG21*(1+변수!AL33),"")</f>
        <v/>
      </c>
      <c r="AM21" s="20">
        <f>IFERROR(AH21*(1+변수!AM33),"")</f>
        <v/>
      </c>
      <c r="AN21" s="20">
        <f>IFERROR(AI21*(1+변수!AN33),"")</f>
        <v/>
      </c>
      <c r="AO21" s="35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35.65</v>
      </c>
      <c r="F22" s="34" t="n"/>
      <c r="G22" s="18" t="n">
        <v>47.99</v>
      </c>
      <c r="H22" s="18" t="n">
        <v>76.06999999999999</v>
      </c>
      <c r="I22" s="18" t="n">
        <v>19.36</v>
      </c>
      <c r="J22" s="18" t="n">
        <v>21.69</v>
      </c>
      <c r="K22" s="34">
        <f>SUM(G22:J22)</f>
        <v/>
      </c>
      <c r="L22" s="18" t="n">
        <v>47.79</v>
      </c>
      <c r="M22" s="18" t="n">
        <v>46.72</v>
      </c>
      <c r="N22" s="18" t="n">
        <v>21.92</v>
      </c>
      <c r="O22" s="18" t="n">
        <v>-13.94</v>
      </c>
      <c r="P22" s="34">
        <f>SUM(L22:O22)</f>
        <v/>
      </c>
      <c r="Q22" s="18" t="n">
        <v>29.52</v>
      </c>
      <c r="R22" s="18" t="n">
        <v>32.05</v>
      </c>
      <c r="S22" s="18" t="n">
        <v>23.66</v>
      </c>
      <c r="T22" s="18" t="n">
        <v>18.86</v>
      </c>
      <c r="U22" s="34">
        <f>SUM(Q22:T22)</f>
        <v/>
      </c>
      <c r="V22" s="18" t="n">
        <v>11.06</v>
      </c>
      <c r="W22" s="18" t="n">
        <v>60.35</v>
      </c>
      <c r="X22" s="18" t="n">
        <v>36.31</v>
      </c>
      <c r="Y22" s="18" t="n"/>
      <c r="Z22" s="34">
        <f>SUM(V22:Y22)</f>
        <v/>
      </c>
      <c r="AA22" s="18" t="n"/>
      <c r="AB22" s="19" t="n"/>
      <c r="AC22" s="20">
        <f>IFERROR(X22*(1+변수!AC34),"")</f>
        <v/>
      </c>
      <c r="AD22" s="20" t="n">
        <v>40.43</v>
      </c>
      <c r="AE22" s="35">
        <f>SUM(AA22:AD22)</f>
        <v/>
      </c>
      <c r="AF22" s="20" t="n">
        <v>40.78</v>
      </c>
      <c r="AG22" s="20" t="n">
        <v>41.88</v>
      </c>
      <c r="AH22" s="20">
        <f>IFERROR(AC22*(1+변수!AH34),"")</f>
        <v/>
      </c>
      <c r="AI22" s="20">
        <f>IFERROR(AD22*(1+변수!AI34),"")</f>
        <v/>
      </c>
      <c r="AJ22" s="35">
        <f>SUM(AF22:AI22)</f>
        <v/>
      </c>
      <c r="AK22" s="20">
        <f>IFERROR(AF22*(1+변수!AK34),"")</f>
        <v/>
      </c>
      <c r="AL22" s="20">
        <f>IFERROR(AG22*(1+변수!AL34),"")</f>
        <v/>
      </c>
      <c r="AM22" s="20">
        <f>IFERROR(AH22*(1+변수!AM34),"")</f>
        <v/>
      </c>
      <c r="AN22" s="20">
        <f>IFERROR(AI22*(1+변수!AN34),"")</f>
        <v/>
      </c>
      <c r="AO22" s="35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5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5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5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IFERROR(AB25+AC19-변수!AC36,"")</f>
        <v/>
      </c>
      <c r="AD25" s="20">
        <f>IFERROR(AC25+AD19-변수!AD36,"")</f>
        <v/>
      </c>
      <c r="AE25" s="35">
        <f>AD25</f>
        <v/>
      </c>
      <c r="AF25" s="20">
        <f>IFERROR(AD25+AF19-변수!AF36,"")</f>
        <v/>
      </c>
      <c r="AG25" s="20">
        <f>IFERROR(AF25+AG19-변수!AG36,"")</f>
        <v/>
      </c>
      <c r="AH25" s="20">
        <f>IFERROR(AG25+AH19-변수!AH36,"")</f>
        <v/>
      </c>
      <c r="AI25" s="20">
        <f>IFERROR(AH25+AI19-변수!AI36,"")</f>
        <v/>
      </c>
      <c r="AJ25" s="35">
        <f>AI25</f>
        <v/>
      </c>
      <c r="AK25" s="20">
        <f>IFERROR(AI25+AK19-변수!AK36,"")</f>
        <v/>
      </c>
      <c r="AL25" s="20">
        <f>IFERROR(AK25+AL19-변수!AL36,"")</f>
        <v/>
      </c>
      <c r="AM25" s="20">
        <f>IFERROR(AL25+AM19-변수!AM36,"")</f>
        <v/>
      </c>
      <c r="AN25" s="20">
        <f>IFERROR(AM25+AN19-변수!AN36,"")</f>
        <v/>
      </c>
      <c r="AO25" s="35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IFERROR(AB26+AC20-변수!AC37,"")</f>
        <v/>
      </c>
      <c r="AD26" s="20">
        <f>IFERROR(AC26+AD20-변수!AD37,"")</f>
        <v/>
      </c>
      <c r="AE26" s="35">
        <f>AD26</f>
        <v/>
      </c>
      <c r="AF26" s="20">
        <f>IFERROR(AD26+AF20-변수!AF37,"")</f>
        <v/>
      </c>
      <c r="AG26" s="20">
        <f>IFERROR(AF26+AG20-변수!AG37,"")</f>
        <v/>
      </c>
      <c r="AH26" s="20">
        <f>IFERROR(AG26+AH20-변수!AH37,"")</f>
        <v/>
      </c>
      <c r="AI26" s="20">
        <f>IFERROR(AH26+AI20-변수!AI37,"")</f>
        <v/>
      </c>
      <c r="AJ26" s="35">
        <f>AI26</f>
        <v/>
      </c>
      <c r="AK26" s="20">
        <f>IFERROR(AI26+AK20-변수!AK37,"")</f>
        <v/>
      </c>
      <c r="AL26" s="20">
        <f>IFERROR(AK26+AL20-변수!AL37,"")</f>
        <v/>
      </c>
      <c r="AM26" s="20">
        <f>IFERROR(AL26+AM20-변수!AM37,"")</f>
        <v/>
      </c>
      <c r="AN26" s="20">
        <f>IFERROR(AM26+AN20-변수!AN37,"")</f>
        <v/>
      </c>
      <c r="AO26" s="35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 t="n"/>
      <c r="AB27" s="19" t="n"/>
      <c r="AC27" s="20" t="n"/>
      <c r="AD27" s="20" t="n"/>
      <c r="AE27" s="35">
        <f>AD27</f>
        <v/>
      </c>
      <c r="AF27" s="20" t="n"/>
      <c r="AG27" s="20" t="n"/>
      <c r="AH27" s="20" t="n"/>
      <c r="AI27" s="20" t="n"/>
      <c r="AJ27" s="35">
        <f>AI27</f>
        <v/>
      </c>
      <c r="AK27" s="20" t="n"/>
      <c r="AL27" s="20" t="n"/>
      <c r="AM27" s="20" t="n"/>
      <c r="AN27" s="20" t="n"/>
      <c r="AO27" s="35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 t="n"/>
      <c r="AB28" s="19" t="n"/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IFERROR(AB29*(1+변수!AC40),"")</f>
        <v/>
      </c>
      <c r="AD29" s="20">
        <f>IFERROR(AC29*(1+변수!AD40),"")</f>
        <v/>
      </c>
      <c r="AE29" s="35">
        <f>AD29</f>
        <v/>
      </c>
      <c r="AF29" s="20">
        <f>IFERROR(AD29*(1+변수!AF40),"")</f>
        <v/>
      </c>
      <c r="AG29" s="20">
        <f>IFERROR(AF29*(1+변수!AG40),"")</f>
        <v/>
      </c>
      <c r="AH29" s="20">
        <f>IFERROR(AG29*(1+변수!AH40),"")</f>
        <v/>
      </c>
      <c r="AI29" s="20">
        <f>IFERROR(AH29*(1+변수!AI40),"")</f>
        <v/>
      </c>
      <c r="AJ29" s="35">
        <f>AI29</f>
        <v/>
      </c>
      <c r="AK29" s="20">
        <f>IFERROR(AI29*(1+변수!AK40),"")</f>
        <v/>
      </c>
      <c r="AL29" s="20">
        <f>IFERROR(AK29*(1+변수!AL40),"")</f>
        <v/>
      </c>
      <c r="AM29" s="20">
        <f>IFERROR(AL29*(1+변수!AM40),"")</f>
        <v/>
      </c>
      <c r="AN29" s="20">
        <f>IFERROR(AM29*(1+변수!AN40),"")</f>
        <v/>
      </c>
      <c r="AO29" s="35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4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4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5">
        <f>AD30</f>
        <v/>
      </c>
      <c r="AF30" s="20" t="n"/>
      <c r="AG30" s="20" t="n"/>
      <c r="AH30" s="20" t="n"/>
      <c r="AI30" s="20" t="n"/>
      <c r="AJ30" s="35">
        <f>AI30</f>
        <v/>
      </c>
      <c r="AK30" s="20" t="n"/>
      <c r="AL30" s="20" t="n"/>
      <c r="AM30" s="20" t="n"/>
      <c r="AN30" s="20" t="n"/>
      <c r="AO30" s="35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4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4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4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4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4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영업활동현금흐름</t>
        </is>
      </c>
      <c r="E32" s="18" t="n">
        <v>235.53</v>
      </c>
      <c r="F32" s="34" t="n"/>
      <c r="G32" s="18" t="n">
        <v>-63.48</v>
      </c>
      <c r="H32" s="18" t="n">
        <v>-107.05</v>
      </c>
      <c r="I32" s="18" t="n">
        <v>2.19</v>
      </c>
      <c r="J32" s="18" t="n">
        <v>71.61</v>
      </c>
      <c r="K32" s="34">
        <f>SUM(G32:J32)</f>
        <v/>
      </c>
      <c r="L32" s="18" t="n">
        <v>-128.24</v>
      </c>
      <c r="M32" s="18" t="n">
        <v>11.89</v>
      </c>
      <c r="N32" s="18" t="n">
        <v>-10.97</v>
      </c>
      <c r="O32" s="18" t="n">
        <v>179.36</v>
      </c>
      <c r="P32" s="34">
        <f>SUM(L32:O32)</f>
        <v/>
      </c>
      <c r="Q32" s="18" t="n">
        <v>-68.17</v>
      </c>
      <c r="R32" s="18" t="n">
        <v>-1.42</v>
      </c>
      <c r="S32" s="18" t="n">
        <v>74.84999999999999</v>
      </c>
      <c r="T32" s="18" t="n">
        <v>-43.77</v>
      </c>
      <c r="U32" s="34">
        <f>SUM(Q32:T32)</f>
        <v/>
      </c>
      <c r="V32" s="18" t="n">
        <v>88.09999999999999</v>
      </c>
      <c r="W32" s="18" t="n">
        <v>-43.62</v>
      </c>
      <c r="X32" s="18" t="n">
        <v>-18.28</v>
      </c>
      <c r="Y32" s="18" t="n">
        <v>-55.55</v>
      </c>
      <c r="Z32" s="34">
        <f>SUM(V32:Y32)</f>
        <v/>
      </c>
      <c r="AA32" s="18" t="n">
        <v>99.37</v>
      </c>
      <c r="AB32" s="19" t="n">
        <v>32.66</v>
      </c>
      <c r="AC32" s="20" t="n"/>
      <c r="AD32" s="20" t="n"/>
      <c r="AE32" s="35">
        <f>SUM(AA32:AD32)</f>
        <v/>
      </c>
      <c r="AF32" s="20" t="n"/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22.651</v>
      </c>
      <c r="F33" s="27">
        <f>E33</f>
        <v/>
      </c>
      <c r="G33" s="26" t="n">
        <v>22.651</v>
      </c>
      <c r="H33" s="26" t="n">
        <v>22.651</v>
      </c>
      <c r="I33" s="26" t="n">
        <v>22.597</v>
      </c>
      <c r="J33" s="26" t="n">
        <v>22.219</v>
      </c>
      <c r="K33" s="27">
        <f>J33</f>
        <v/>
      </c>
      <c r="L33" s="26" t="n">
        <v>22.213</v>
      </c>
      <c r="M33" s="26" t="n">
        <v>22.213</v>
      </c>
      <c r="N33" s="26" t="n">
        <v>22.123</v>
      </c>
      <c r="O33" s="26" t="n">
        <v>22.123</v>
      </c>
      <c r="P33" s="27">
        <f>O33</f>
        <v/>
      </c>
      <c r="Q33" s="26" t="n">
        <v>22.123</v>
      </c>
      <c r="R33" s="26" t="n">
        <v>22.123</v>
      </c>
      <c r="S33" s="26" t="n">
        <v>22.123</v>
      </c>
      <c r="T33" s="26" t="n">
        <v>23.3</v>
      </c>
      <c r="U33" s="27">
        <f>T33</f>
        <v/>
      </c>
      <c r="V33" s="26" t="n">
        <v>24.144</v>
      </c>
      <c r="W33" s="26" t="n">
        <v>24.144</v>
      </c>
      <c r="X33" s="26" t="n">
        <v>24.144</v>
      </c>
      <c r="Y33" s="26" t="n">
        <v>24.144</v>
      </c>
      <c r="Z33" s="27">
        <f>Y33</f>
        <v/>
      </c>
      <c r="AA33" s="26" t="n">
        <v>24.144</v>
      </c>
      <c r="AB33" s="28" t="n">
        <v>24.144</v>
      </c>
      <c r="AC33" s="36">
        <f>IFERROR(AB33*(1+변수!AC44),"")</f>
        <v/>
      </c>
      <c r="AD33" s="36">
        <f>IFERROR(AC33*(1+변수!AD44),"")</f>
        <v/>
      </c>
      <c r="AE33" s="30">
        <f>AD33</f>
        <v/>
      </c>
      <c r="AF33" s="36">
        <f>IFERROR(AD33*(1+변수!AF44),"")</f>
        <v/>
      </c>
      <c r="AG33" s="36">
        <f>IFERROR(AF33*(1+변수!AG44),"")</f>
        <v/>
      </c>
      <c r="AH33" s="36">
        <f>IFERROR(AG33*(1+변수!AH44),"")</f>
        <v/>
      </c>
      <c r="AI33" s="36">
        <f>IFERROR(AH33*(1+변수!AI44),"")</f>
        <v/>
      </c>
      <c r="AJ33" s="30">
        <f>AI33</f>
        <v/>
      </c>
      <c r="AK33" s="36">
        <f>IFERROR(AI33*(1+변수!AK44),"")</f>
        <v/>
      </c>
      <c r="AL33" s="36">
        <f>IFERROR(AK33*(1+변수!AL44),"")</f>
        <v/>
      </c>
      <c r="AM33" s="36">
        <f>IFERROR(AL33*(1+변수!AM44),"")</f>
        <v/>
      </c>
      <c r="AN33" s="36">
        <f>IFERROR(AM33*(1+변수!AN44),"")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4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4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4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4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4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5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5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5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4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4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4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4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4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5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5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5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4" t="n">
        <v>0</v>
      </c>
      <c r="G36" s="18" t="n"/>
      <c r="H36" s="18" t="n"/>
      <c r="I36" s="18" t="n"/>
      <c r="J36" s="18" t="n">
        <v>100</v>
      </c>
      <c r="K36" s="34">
        <f>SUM(G36:J36)</f>
        <v/>
      </c>
      <c r="L36" s="18" t="n"/>
      <c r="M36" s="18" t="n"/>
      <c r="N36" s="18" t="n"/>
      <c r="O36" s="18" t="n">
        <v>0</v>
      </c>
      <c r="P36" s="34">
        <f>SUM(L36:O36)</f>
        <v/>
      </c>
      <c r="Q36" s="18" t="n"/>
      <c r="R36" s="18" t="n"/>
      <c r="S36" s="18" t="n"/>
      <c r="T36" s="18" t="n">
        <v>0</v>
      </c>
      <c r="U36" s="34">
        <f>SUM(Q36:T36)</f>
        <v/>
      </c>
      <c r="V36" s="18" t="n"/>
      <c r="W36" s="18" t="n"/>
      <c r="X36" s="18" t="n"/>
      <c r="Y36" s="18" t="n">
        <v>0</v>
      </c>
      <c r="Z36" s="34">
        <f>SUM(V36:Y36)</f>
        <v/>
      </c>
      <c r="AA36" s="18" t="n"/>
      <c r="AB36" s="19" t="n"/>
      <c r="AC36" s="20" t="n"/>
      <c r="AD36" s="20" t="n">
        <v>0</v>
      </c>
      <c r="AE36" s="35">
        <f>SUM(AA36:AD36)</f>
        <v/>
      </c>
      <c r="AF36" s="20" t="n"/>
      <c r="AG36" s="20" t="n"/>
      <c r="AH36" s="20" t="n"/>
      <c r="AI36" s="20" t="n">
        <v>0</v>
      </c>
      <c r="AJ36" s="35">
        <f>SUM(AF36:AI36)</f>
        <v/>
      </c>
      <c r="AK36" s="20" t="n"/>
      <c r="AL36" s="20" t="n"/>
      <c r="AM36" s="20" t="n"/>
      <c r="AN36" s="20" t="n">
        <v>0</v>
      </c>
      <c r="AO36" s="35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8" t="n"/>
      <c r="F37" s="34" t="n"/>
      <c r="G37" s="18" t="n"/>
      <c r="H37" s="18" t="n"/>
      <c r="I37" s="18" t="n">
        <v>8.779999999999999</v>
      </c>
      <c r="J37" s="18" t="n">
        <v>7.09</v>
      </c>
      <c r="K37" s="34">
        <f>SUM(G37:J37)</f>
        <v/>
      </c>
      <c r="L37" s="18" t="n">
        <v>20.43</v>
      </c>
      <c r="M37" s="18" t="n">
        <v>16.52</v>
      </c>
      <c r="N37" s="18" t="n">
        <v>17.33</v>
      </c>
      <c r="O37" s="18" t="n"/>
      <c r="P37" s="34">
        <f>SUM(L37:O37)</f>
        <v/>
      </c>
      <c r="Q37" s="18" t="n"/>
      <c r="R37" s="18" t="n"/>
      <c r="S37" s="18" t="n"/>
      <c r="T37" s="18" t="n"/>
      <c r="U37" s="34">
        <f>SUM(Q37:T37)</f>
        <v/>
      </c>
      <c r="V37" s="18" t="n"/>
      <c r="W37" s="18" t="n">
        <v>7834.8</v>
      </c>
      <c r="X37" s="18" t="n">
        <v>58.14</v>
      </c>
      <c r="Y37" s="18" t="n">
        <v>269.79</v>
      </c>
      <c r="Z37" s="34">
        <f>SUM(V37:Y37)</f>
        <v/>
      </c>
      <c r="AA37" s="18" t="n"/>
      <c r="AB37" s="19" t="n"/>
      <c r="AC37" s="20" t="n"/>
      <c r="AD37" s="20">
        <f>IFERROR(Y37*(1+변수!AD46),"")</f>
        <v/>
      </c>
      <c r="AE37" s="35">
        <f>SUM(AA37:AD37)</f>
        <v/>
      </c>
      <c r="AF37" s="20" t="n">
        <v>9.050000000000001</v>
      </c>
      <c r="AG37" s="20" t="n">
        <v>13.2</v>
      </c>
      <c r="AH37" s="20" t="n">
        <v>12.74</v>
      </c>
      <c r="AI37" s="20">
        <f>IFERROR(AD37*(1+변수!AI46),"")</f>
        <v/>
      </c>
      <c r="AJ37" s="35">
        <f>SUM(AF37:AI37)</f>
        <v/>
      </c>
      <c r="AK37" s="20">
        <f>IFERROR(AF37*(1+변수!AK46),"")</f>
        <v/>
      </c>
      <c r="AL37" s="20">
        <f>IFERROR(AG37*(1+변수!AL46),"")</f>
        <v/>
      </c>
      <c r="AM37" s="20">
        <f>IFERROR(AH37*(1+변수!AM46),"")</f>
        <v/>
      </c>
      <c r="AN37" s="20">
        <f>IFERROR(AI37*(1+변수!AN46),"")</f>
        <v/>
      </c>
      <c r="AO37" s="35">
        <f>SUM(AK37:AN37)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8" t="n">
        <v>1.39</v>
      </c>
      <c r="F38" s="34" t="n">
        <v>1.18</v>
      </c>
      <c r="G38" s="18" t="n">
        <v>1.07</v>
      </c>
      <c r="H38" s="18" t="n">
        <v>1.12</v>
      </c>
      <c r="I38" s="18" t="n">
        <v>0.89</v>
      </c>
      <c r="J38" s="18" t="n">
        <v>0.85</v>
      </c>
      <c r="K38" s="34">
        <f>SUM(G38:J38)</f>
        <v/>
      </c>
      <c r="L38" s="18" t="n">
        <v>0.82</v>
      </c>
      <c r="M38" s="18" t="n">
        <v>0.83</v>
      </c>
      <c r="N38" s="18" t="n">
        <v>0.79</v>
      </c>
      <c r="O38" s="18" t="n">
        <v>0.72</v>
      </c>
      <c r="P38" s="34">
        <f>SUM(L38:O38)</f>
        <v/>
      </c>
      <c r="Q38" s="18" t="n">
        <v>0.67</v>
      </c>
      <c r="R38" s="18" t="n">
        <v>0.65</v>
      </c>
      <c r="S38" s="18" t="n">
        <v>0.57</v>
      </c>
      <c r="T38" s="18" t="n">
        <v>0.61</v>
      </c>
      <c r="U38" s="34">
        <f>SUM(Q38:T38)</f>
        <v/>
      </c>
      <c r="V38" s="18" t="n">
        <v>0.78</v>
      </c>
      <c r="W38" s="18" t="n">
        <v>0.79</v>
      </c>
      <c r="X38" s="18" t="n">
        <v>0.67</v>
      </c>
      <c r="Y38" s="18" t="n">
        <v>0.72</v>
      </c>
      <c r="Z38" s="34">
        <f>SUM(V38:Y38)</f>
        <v/>
      </c>
      <c r="AA38" s="18" t="n">
        <v>0.6</v>
      </c>
      <c r="AB38" s="19" t="n">
        <v>0.57</v>
      </c>
      <c r="AC38" s="20">
        <f>IFERROR(X38*(1+변수!AC47),"")</f>
        <v/>
      </c>
      <c r="AD38" s="20">
        <f>IFERROR(Y38*(1+변수!AD47),"")</f>
        <v/>
      </c>
      <c r="AE38" s="35">
        <f>SUM(AA38:AD38)</f>
        <v/>
      </c>
      <c r="AF38" s="20">
        <f>IFERROR(AA38*(1+변수!AF47),"")</f>
        <v/>
      </c>
      <c r="AG38" s="20">
        <f>IFERROR(AB38*(1+변수!AG47),"")</f>
        <v/>
      </c>
      <c r="AH38" s="20">
        <f>IFERROR(AC38*(1+변수!AH47),"")</f>
        <v/>
      </c>
      <c r="AI38" s="20">
        <f>IFERROR(AD38*(1+변수!AI47),"")</f>
        <v/>
      </c>
      <c r="AJ38" s="35">
        <f>SUM(AF38:AI38)</f>
        <v/>
      </c>
      <c r="AK38" s="20">
        <f>IFERROR(AF38*(1+변수!AK47),"")</f>
        <v/>
      </c>
      <c r="AL38" s="20">
        <f>IFERROR(AG38*(1+변수!AL47),"")</f>
        <v/>
      </c>
      <c r="AM38" s="20">
        <f>IFERROR(AH38*(1+변수!AM47),"")</f>
        <v/>
      </c>
      <c r="AN38" s="20">
        <f>IFERROR(AI38*(1+변수!AN47),"")</f>
        <v/>
      </c>
      <c r="AO38" s="35">
        <f>SUM(AK38:AN38)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589.03</v>
      </c>
      <c r="F39" s="34" t="n"/>
      <c r="G39" s="18" t="n">
        <v>614.0700000000001</v>
      </c>
      <c r="H39" s="18" t="n">
        <v>647.73</v>
      </c>
      <c r="I39" s="18" t="n">
        <v>577.03</v>
      </c>
      <c r="J39" s="18" t="n">
        <v>616.02</v>
      </c>
      <c r="K39" s="34">
        <f>SUM(G39:J39)</f>
        <v/>
      </c>
      <c r="L39" s="18" t="n">
        <v>616.6900000000001</v>
      </c>
      <c r="M39" s="18" t="n">
        <v>664.78</v>
      </c>
      <c r="N39" s="18" t="n">
        <v>589.71</v>
      </c>
      <c r="O39" s="18" t="n">
        <v>613.3</v>
      </c>
      <c r="P39" s="34">
        <f>SUM(L39:O39)</f>
        <v/>
      </c>
      <c r="Q39" s="18" t="n">
        <v>529.86</v>
      </c>
      <c r="R39" s="18" t="n">
        <v>598.4</v>
      </c>
      <c r="S39" s="18" t="n">
        <v>531.11</v>
      </c>
      <c r="T39" s="18" t="n">
        <v>575.11</v>
      </c>
      <c r="U39" s="34">
        <f>SUM(Q39:T39)</f>
        <v/>
      </c>
      <c r="V39" s="18" t="n">
        <v>533.67</v>
      </c>
      <c r="W39" s="18" t="n">
        <v>561.01</v>
      </c>
      <c r="X39" s="18" t="n">
        <v>560.09</v>
      </c>
      <c r="Y39" s="18" t="n">
        <v>539.23</v>
      </c>
      <c r="Z39" s="34">
        <f>SUM(V39:Y39)</f>
        <v/>
      </c>
      <c r="AA39" s="18" t="n">
        <v>661.2</v>
      </c>
      <c r="AB39" s="19" t="n">
        <v>717.21</v>
      </c>
      <c r="AC39" s="20">
        <f>IFERROR(AC5*변수!AC48,"")</f>
        <v/>
      </c>
      <c r="AD39" s="20">
        <f>IFERROR(AD5*변수!AD48,"")</f>
        <v/>
      </c>
      <c r="AE39" s="35">
        <f>SUM(AA39:AD39)</f>
        <v/>
      </c>
      <c r="AF39" s="20">
        <f>IFERROR(AF5*변수!AF48,"")</f>
        <v/>
      </c>
      <c r="AG39" s="20">
        <f>IFERROR(AG5*변수!AG48,"")</f>
        <v/>
      </c>
      <c r="AH39" s="20">
        <f>IFERROR(AH5*변수!AH48,"")</f>
        <v/>
      </c>
      <c r="AI39" s="20">
        <f>IFERROR(AI5*변수!AI48,"")</f>
        <v/>
      </c>
      <c r="AJ39" s="35">
        <f>SUM(AF39:AI39)</f>
        <v/>
      </c>
      <c r="AK39" s="20">
        <f>IFERROR(AK5*변수!AK48,"")</f>
        <v/>
      </c>
      <c r="AL39" s="20">
        <f>IFERROR(AL5*변수!AL48,"")</f>
        <v/>
      </c>
      <c r="AM39" s="20">
        <f>IFERROR(AM5*변수!AM48,"")</f>
        <v/>
      </c>
      <c r="AN39" s="20">
        <f>IFERROR(AN5*변수!AN48,"")</f>
        <v/>
      </c>
      <c r="AO39" s="35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22.86</v>
      </c>
      <c r="F40" s="34" t="n"/>
      <c r="G40" s="18" t="n">
        <v>35.04</v>
      </c>
      <c r="H40" s="18" t="n">
        <v>62.88</v>
      </c>
      <c r="I40" s="18" t="n">
        <v>6.36</v>
      </c>
      <c r="J40" s="18" t="n">
        <v>8.57</v>
      </c>
      <c r="K40" s="34">
        <f>SUM(G40:J40)</f>
        <v/>
      </c>
      <c r="L40" s="18" t="n">
        <v>34.73</v>
      </c>
      <c r="M40" s="18" t="n">
        <v>33.56</v>
      </c>
      <c r="N40" s="18" t="n">
        <v>9.43</v>
      </c>
      <c r="O40" s="18" t="n">
        <v>-26.5</v>
      </c>
      <c r="P40" s="34">
        <f>SUM(L40:O40)</f>
        <v/>
      </c>
      <c r="Q40" s="18" t="n">
        <v>18.53</v>
      </c>
      <c r="R40" s="18" t="n">
        <v>21.31</v>
      </c>
      <c r="S40" s="18" t="n">
        <v>12.74</v>
      </c>
      <c r="T40" s="18" t="n">
        <v>7.72</v>
      </c>
      <c r="U40" s="34">
        <f>SUM(Q40:T40)</f>
        <v/>
      </c>
      <c r="V40" s="18" t="n">
        <v>2.54</v>
      </c>
      <c r="W40" s="18" t="n">
        <v>51.69</v>
      </c>
      <c r="X40" s="18" t="n">
        <v>27.88</v>
      </c>
      <c r="Y40" s="18" t="n">
        <v>-0.36</v>
      </c>
      <c r="Z40" s="34">
        <f>SUM(V40:Y40)</f>
        <v/>
      </c>
      <c r="AA40" s="18" t="n">
        <v>81.59999999999999</v>
      </c>
      <c r="AB40" s="19" t="n">
        <v>92.26000000000001</v>
      </c>
      <c r="AC40" s="20">
        <f>IFERROR(AC39*변수!AC49,"")</f>
        <v/>
      </c>
      <c r="AD40" s="20">
        <f>IFERROR(AD39*변수!AD49,"")</f>
        <v/>
      </c>
      <c r="AE40" s="35">
        <f>SUM(AA40:AD40)</f>
        <v/>
      </c>
      <c r="AF40" s="20">
        <f>IFERROR(AF39*변수!AF49,"")</f>
        <v/>
      </c>
      <c r="AG40" s="20">
        <f>IFERROR(AG39*변수!AG49,"")</f>
        <v/>
      </c>
      <c r="AH40" s="20">
        <f>IFERROR(AH39*변수!AH49,"")</f>
        <v/>
      </c>
      <c r="AI40" s="20">
        <f>IFERROR(AI39*변수!AI49,"")</f>
        <v/>
      </c>
      <c r="AJ40" s="35">
        <f>SUM(AF40:AI40)</f>
        <v/>
      </c>
      <c r="AK40" s="20">
        <f>IFERROR(AK39*변수!AK49,"")</f>
        <v/>
      </c>
      <c r="AL40" s="20">
        <f>IFERROR(AL39*변수!AL49,"")</f>
        <v/>
      </c>
      <c r="AM40" s="20">
        <f>IFERROR(AM39*변수!AM49,"")</f>
        <v/>
      </c>
      <c r="AN40" s="20">
        <f>IFERROR(AN39*변수!AN49,"")</f>
        <v/>
      </c>
      <c r="AO40" s="35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OPM</t>
        </is>
      </c>
      <c r="C42" t="inlineStr">
        <is>
          <t>%</t>
        </is>
      </c>
      <c r="D42" t="inlineStr">
        <is>
          <t>영업이익 / 매출액</t>
        </is>
      </c>
      <c r="E42" s="21">
        <f>IFERROR(E9/E5,"")</f>
        <v/>
      </c>
      <c r="F42" s="22">
        <f>IFERROR(F9/F5,"")</f>
        <v/>
      </c>
      <c r="G42" s="21">
        <f>IFERROR(G9/G5,"")</f>
        <v/>
      </c>
      <c r="H42" s="21">
        <f>IFERROR(H9/H5,"")</f>
        <v/>
      </c>
      <c r="I42" s="21">
        <f>IFERROR(I9/I5,"")</f>
        <v/>
      </c>
      <c r="J42" s="21">
        <f>IFERROR(J9/J5,"")</f>
        <v/>
      </c>
      <c r="K42" s="22">
        <f>IFERROR(K9/K5,"")</f>
        <v/>
      </c>
      <c r="L42" s="21">
        <f>IFERROR(L9/L5,"")</f>
        <v/>
      </c>
      <c r="M42" s="21">
        <f>IFERROR(M9/M5,"")</f>
        <v/>
      </c>
      <c r="N42" s="21">
        <f>IFERROR(N9/N5,"")</f>
        <v/>
      </c>
      <c r="O42" s="21">
        <f>IFERROR(O9/O5,"")</f>
        <v/>
      </c>
      <c r="P42" s="22">
        <f>IFERROR(P9/P5,"")</f>
        <v/>
      </c>
      <c r="Q42" s="21">
        <f>IFERROR(Q9/Q5,"")</f>
        <v/>
      </c>
      <c r="R42" s="21">
        <f>IFERROR(R9/R5,"")</f>
        <v/>
      </c>
      <c r="S42" s="21">
        <f>IFERROR(S9/S5,"")</f>
        <v/>
      </c>
      <c r="T42" s="21">
        <f>IFERROR(T9/T5,"")</f>
        <v/>
      </c>
      <c r="U42" s="22">
        <f>IFERROR(U9/U5,"")</f>
        <v/>
      </c>
      <c r="V42" s="21">
        <f>IFERROR(V9/V5,"")</f>
        <v/>
      </c>
      <c r="W42" s="21">
        <f>IFERROR(W9/W5,"")</f>
        <v/>
      </c>
      <c r="X42" s="21">
        <f>IFERROR(X9/X5,"")</f>
        <v/>
      </c>
      <c r="Y42" s="21">
        <f>IFERROR(Y9/Y5,"")</f>
        <v/>
      </c>
      <c r="Z42" s="22">
        <f>IFERROR(Z9/Z5,"")</f>
        <v/>
      </c>
      <c r="AA42" s="21">
        <f>IFERROR(AA9/AA5,"")</f>
        <v/>
      </c>
      <c r="AB42" s="23">
        <f>IFERROR(AB9/AB5,"")</f>
        <v/>
      </c>
      <c r="AC42" s="31">
        <f>IFERROR(AC9/AC5,"")</f>
        <v/>
      </c>
      <c r="AD42" s="31">
        <f>IFERROR(AD9/AD5,"")</f>
        <v/>
      </c>
      <c r="AE42" s="25">
        <f>IFERROR(AE9/AE5,"")</f>
        <v/>
      </c>
      <c r="AF42" s="31">
        <f>IFERROR(AF9/AF5,"")</f>
        <v/>
      </c>
      <c r="AG42" s="31">
        <f>IFERROR(AG9/AG5,"")</f>
        <v/>
      </c>
      <c r="AH42" s="31">
        <f>IFERROR(AH9/AH5,"")</f>
        <v/>
      </c>
      <c r="AI42" s="31">
        <f>IFERROR(AI9/AI5,"")</f>
        <v/>
      </c>
      <c r="AJ42" s="25">
        <f>IFERROR(AJ9/AJ5,"")</f>
        <v/>
      </c>
      <c r="AK42" s="31">
        <f>IFERROR(AK9/AK5,"")</f>
        <v/>
      </c>
      <c r="AL42" s="31">
        <f>IFERROR(AL9/AL5,"")</f>
        <v/>
      </c>
      <c r="AM42" s="31">
        <f>IFERROR(AM9/AM5,"")</f>
        <v/>
      </c>
      <c r="AN42" s="31">
        <f>IFERROR(AN9/AN5,"")</f>
        <v/>
      </c>
      <c r="AO42" s="25">
        <f>IFERROR(AO9/AO5,"")</f>
        <v/>
      </c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IFERROR(E20/E5,"")</f>
        <v/>
      </c>
      <c r="F43" s="22">
        <f>IFERROR(F20/F5,"")</f>
        <v/>
      </c>
      <c r="G43" s="21">
        <f>IFERROR(G20/G5,"")</f>
        <v/>
      </c>
      <c r="H43" s="21">
        <f>IFERROR(H20/H5,"")</f>
        <v/>
      </c>
      <c r="I43" s="21">
        <f>IFERROR(I20/I5,"")</f>
        <v/>
      </c>
      <c r="J43" s="21">
        <f>IFERROR(J20/J5,"")</f>
        <v/>
      </c>
      <c r="K43" s="22">
        <f>IFERROR(K20/K5,"")</f>
        <v/>
      </c>
      <c r="L43" s="21">
        <f>IFERROR(L20/L5,"")</f>
        <v/>
      </c>
      <c r="M43" s="21">
        <f>IFERROR(M20/M5,"")</f>
        <v/>
      </c>
      <c r="N43" s="21">
        <f>IFERROR(N20/N5,"")</f>
        <v/>
      </c>
      <c r="O43" s="21">
        <f>IFERROR(O20/O5,"")</f>
        <v/>
      </c>
      <c r="P43" s="22">
        <f>IFERROR(P20/P5,"")</f>
        <v/>
      </c>
      <c r="Q43" s="21">
        <f>IFERROR(Q20/Q5,"")</f>
        <v/>
      </c>
      <c r="R43" s="21">
        <f>IFERROR(R20/R5,"")</f>
        <v/>
      </c>
      <c r="S43" s="21">
        <f>IFERROR(S20/S5,"")</f>
        <v/>
      </c>
      <c r="T43" s="21">
        <f>IFERROR(T20/T5,"")</f>
        <v/>
      </c>
      <c r="U43" s="22">
        <f>IFERROR(U20/U5,"")</f>
        <v/>
      </c>
      <c r="V43" s="21">
        <f>IFERROR(V20/V5,"")</f>
        <v/>
      </c>
      <c r="W43" s="21">
        <f>IFERROR(W20/W5,"")</f>
        <v/>
      </c>
      <c r="X43" s="21">
        <f>IFERROR(X20/X5,"")</f>
        <v/>
      </c>
      <c r="Y43" s="21">
        <f>IFERROR(Y20/Y5,"")</f>
        <v/>
      </c>
      <c r="Z43" s="22">
        <f>IFERROR(Z20/Z5,"")</f>
        <v/>
      </c>
      <c r="AA43" s="21">
        <f>IFERROR(AA20/AA5,"")</f>
        <v/>
      </c>
      <c r="AB43" s="23">
        <f>IFERROR(AB20/AB5,"")</f>
        <v/>
      </c>
      <c r="AC43" s="31">
        <f>IFERROR(AC20/AC5,"")</f>
        <v/>
      </c>
      <c r="AD43" s="31">
        <f>IFERROR(AD20/AD5,"")</f>
        <v/>
      </c>
      <c r="AE43" s="25">
        <f>IFERROR(AE20/AE5,"")</f>
        <v/>
      </c>
      <c r="AF43" s="31">
        <f>IFERROR(AF20/AF5,"")</f>
        <v/>
      </c>
      <c r="AG43" s="31">
        <f>IFERROR(AG20/AG5,"")</f>
        <v/>
      </c>
      <c r="AH43" s="31">
        <f>IFERROR(AH20/AH5,"")</f>
        <v/>
      </c>
      <c r="AI43" s="31">
        <f>IFERROR(AI20/AI5,"")</f>
        <v/>
      </c>
      <c r="AJ43" s="25">
        <f>IFERROR(AJ20/AJ5,"")</f>
        <v/>
      </c>
      <c r="AK43" s="31">
        <f>IFERROR(AK20/AK5,"")</f>
        <v/>
      </c>
      <c r="AL43" s="31">
        <f>IFERROR(AL20/AL5,"")</f>
        <v/>
      </c>
      <c r="AM43" s="31">
        <f>IFERROR(AM20/AM5,"")</f>
        <v/>
      </c>
      <c r="AN43" s="31">
        <f>IFERROR(AN20/AN5,"")</f>
        <v/>
      </c>
      <c r="AO43" s="25">
        <f>IFERROR(AO20/AO5,"")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1">
        <f>IFERROR(AC6/AC5,"")</f>
        <v/>
      </c>
      <c r="AD44" s="31">
        <f>IFERROR(AD6/AD5,"")</f>
        <v/>
      </c>
      <c r="AE44" s="25">
        <f>IFERROR(AE6/AE5,"")</f>
        <v/>
      </c>
      <c r="AF44" s="31">
        <f>IFERROR(AF6/AF5,"")</f>
        <v/>
      </c>
      <c r="AG44" s="31">
        <f>IFERROR(AG6/AG5,"")</f>
        <v/>
      </c>
      <c r="AH44" s="31">
        <f>IFERROR(AH6/AH5,"")</f>
        <v/>
      </c>
      <c r="AI44" s="31">
        <f>IFERROR(AI6/AI5,"")</f>
        <v/>
      </c>
      <c r="AJ44" s="25">
        <f>IFERROR(AJ6/AJ5,"")</f>
        <v/>
      </c>
      <c r="AK44" s="31">
        <f>IFERROR(AK6/AK5,"")</f>
        <v/>
      </c>
      <c r="AL44" s="31">
        <f>IFERROR(AL6/AL5,"")</f>
        <v/>
      </c>
      <c r="AM44" s="31">
        <f>IFERROR(AM6/AM5,"")</f>
        <v/>
      </c>
      <c r="AN44" s="31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1">
        <f>IFERROR(AC8/AC5,"")</f>
        <v/>
      </c>
      <c r="AD45" s="31">
        <f>IFERROR(AD8/AD5,"")</f>
        <v/>
      </c>
      <c r="AE45" s="25">
        <f>IFERROR(AE8/AE5,"")</f>
        <v/>
      </c>
      <c r="AF45" s="31">
        <f>IFERROR(AF8/AF5,"")</f>
        <v/>
      </c>
      <c r="AG45" s="31">
        <f>IFERROR(AG8/AG5,"")</f>
        <v/>
      </c>
      <c r="AH45" s="31">
        <f>IFERROR(AH8/AH5,"")</f>
        <v/>
      </c>
      <c r="AI45" s="31">
        <f>IFERROR(AI8/AI5,"")</f>
        <v/>
      </c>
      <c r="AJ45" s="25">
        <f>IFERROR(AJ8/AJ5,"")</f>
        <v/>
      </c>
      <c r="AK45" s="31">
        <f>IFERROR(AK8/AK5,"")</f>
        <v/>
      </c>
      <c r="AL45" s="31">
        <f>IFERROR(AL8/AL5,"")</f>
        <v/>
      </c>
      <c r="AM45" s="31">
        <f>IFERROR(AM8/AM5,"")</f>
        <v/>
      </c>
      <c r="AN45" s="31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변수!D52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43">
        <f>IFERROR(VLOOKUP($A33,subQ,MATCH(W$1,SUBQH,0),0),"")</f>
        <v/>
      </c>
      <c r="X33" s="36">
        <f>IFERROR(VLOOKUP($A33,subQ,MATCH(X$1,SUBQH,0),0),"")</f>
        <v/>
      </c>
      <c r="Y33" s="36">
        <f>IFERROR(VLOOKUP($A33,subQ,MATCH(Y$1,SUBQH,0),0),"")</f>
        <v/>
      </c>
      <c r="Z33" s="36">
        <f>IFERROR(VLOOKUP($A33,subQ,MATCH(Z$1,SUBQH,0),0),"")</f>
        <v/>
      </c>
      <c r="AA33" s="36">
        <f>IFERROR(VLOOKUP($A33,subQ,MATCH(AA$1,SUBQH,0),0),"")</f>
        <v/>
      </c>
      <c r="AB33" s="36">
        <f>IFERROR(VLOOKUP($A33,subQ,MATCH(AB$1,SUBQH,0),0),"")</f>
        <v/>
      </c>
      <c r="AC33" s="36">
        <f>IFERROR(VLOOKUP($A33,subQ,MATCH(AC$1,SUBQH,0),0),"")</f>
        <v/>
      </c>
      <c r="AD33" s="36">
        <f>IFERROR(VLOOKUP($A33,subQ,MATCH(AD$1,SUBQH,0),0),"")</f>
        <v/>
      </c>
      <c r="AE33" s="36">
        <f>IFERROR(VLOOKUP($A33,subQ,MATCH(AE$1,SUBQH,0),0),"")</f>
        <v/>
      </c>
      <c r="AF33" s="36">
        <f>IFERROR(VLOOKUP($A33,subQ,MATCH(AF$1,SUBQH,0),0),"")</f>
        <v/>
      </c>
      <c r="AG33" s="36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1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2">
        <f>IFERROR(VLOOKUP($A42,subQ,MATCH(W$1,SUBQH,0),0),"")</f>
        <v/>
      </c>
      <c r="X42" s="31">
        <f>IFERROR(VLOOKUP($A42,subQ,MATCH(X$1,SUBQH,0),0),"")</f>
        <v/>
      </c>
      <c r="Y42" s="31">
        <f>IFERROR(VLOOKUP($A42,subQ,MATCH(Y$1,SUBQH,0),0),"")</f>
        <v/>
      </c>
      <c r="Z42" s="31">
        <f>IFERROR(VLOOKUP($A42,subQ,MATCH(Z$1,SUBQH,0),0),"")</f>
        <v/>
      </c>
      <c r="AA42" s="31">
        <f>IFERROR(VLOOKUP($A42,subQ,MATCH(AA$1,SUBQH,0),0),"")</f>
        <v/>
      </c>
      <c r="AB42" s="31">
        <f>IFERROR(VLOOKUP($A42,subQ,MATCH(AB$1,SUBQH,0),0),"")</f>
        <v/>
      </c>
      <c r="AC42" s="31">
        <f>IFERROR(VLOOKUP($A42,subQ,MATCH(AC$1,SUBQH,0),0),"")</f>
        <v/>
      </c>
      <c r="AD42" s="31">
        <f>IFERROR(VLOOKUP($A42,subQ,MATCH(AD$1,SUBQH,0),0),"")</f>
        <v/>
      </c>
      <c r="AE42" s="31">
        <f>IFERROR(VLOOKUP($A42,subQ,MATCH(AE$1,SUBQH,0),0),"")</f>
        <v/>
      </c>
      <c r="AF42" s="31">
        <f>IFERROR(VLOOKUP($A42,subQ,MATCH(AF$1,SUBQH,0),0),"")</f>
        <v/>
      </c>
      <c r="AG42" s="31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2">
        <f>IFERROR(W5/S5-1,"")</f>
        <v/>
      </c>
      <c r="X43" s="31">
        <f>IFERROR(X5/T5-1,"")</f>
        <v/>
      </c>
      <c r="Y43" s="31">
        <f>IFERROR(Y5/U5-1,"")</f>
        <v/>
      </c>
      <c r="Z43" s="31">
        <f>IFERROR(Z5/V5-1,"")</f>
        <v/>
      </c>
      <c r="AA43" s="31">
        <f>IFERROR(AA5/W5-1,"")</f>
        <v/>
      </c>
      <c r="AB43" s="31">
        <f>IFERROR(AB5/X5-1,"")</f>
        <v/>
      </c>
      <c r="AC43" s="31">
        <f>IFERROR(AC5/Y5-1,"")</f>
        <v/>
      </c>
      <c r="AD43" s="31">
        <f>IFERROR(AD5/Z5-1,"")</f>
        <v/>
      </c>
      <c r="AE43" s="31">
        <f>IFERROR(AE5/AA5-1,"")</f>
        <v/>
      </c>
      <c r="AF43" s="31">
        <f>IFERROR(AF5/AB5-1,"")</f>
        <v/>
      </c>
      <c r="AG43" s="31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2">
        <f>IFERROR(W9/S9-1,"")</f>
        <v/>
      </c>
      <c r="X44" s="31">
        <f>IFERROR(X9/T9-1,"")</f>
        <v/>
      </c>
      <c r="Y44" s="31">
        <f>IFERROR(Y9/U9-1,"")</f>
        <v/>
      </c>
      <c r="Z44" s="31">
        <f>IFERROR(Z9/V9-1,"")</f>
        <v/>
      </c>
      <c r="AA44" s="31">
        <f>IFERROR(AA9/W9-1,"")</f>
        <v/>
      </c>
      <c r="AB44" s="31">
        <f>IFERROR(AB9/X9-1,"")</f>
        <v/>
      </c>
      <c r="AC44" s="31">
        <f>IFERROR(AC9/Y9-1,"")</f>
        <v/>
      </c>
      <c r="AD44" s="31">
        <f>IFERROR(AD9/Z9-1,"")</f>
        <v/>
      </c>
      <c r="AE44" s="31">
        <f>IFERROR(AE9/AA9-1,"")</f>
        <v/>
      </c>
      <c r="AF44" s="31">
        <f>IFERROR(AF9/AB9-1,"")</f>
        <v/>
      </c>
      <c r="AG44" s="31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IFERROR(I20/E20-1,"")</f>
        <v/>
      </c>
      <c r="J45" s="21">
        <f>IFERROR(J20/F20-1,"")</f>
        <v/>
      </c>
      <c r="K45" s="21">
        <f>IFERROR(K20/G20-1,"")</f>
        <v/>
      </c>
      <c r="L45" s="21">
        <f>IFERROR(L20/H20-1,"")</f>
        <v/>
      </c>
      <c r="M45" s="21">
        <f>IFERROR(M20/I20-1,"")</f>
        <v/>
      </c>
      <c r="N45" s="21">
        <f>IFERROR(N20/J20-1,"")</f>
        <v/>
      </c>
      <c r="O45" s="21">
        <f>IFERROR(O20/K20-1,"")</f>
        <v/>
      </c>
      <c r="P45" s="21">
        <f>IFERROR(P20/L20-1,"")</f>
        <v/>
      </c>
      <c r="Q45" s="21">
        <f>IFERROR(Q20/M20-1,"")</f>
        <v/>
      </c>
      <c r="R45" s="21">
        <f>IFERROR(R20/N20-1,"")</f>
        <v/>
      </c>
      <c r="S45" s="21">
        <f>IFERROR(S20/O20-1,"")</f>
        <v/>
      </c>
      <c r="T45" s="21">
        <f>IFERROR(T20/P20-1,"")</f>
        <v/>
      </c>
      <c r="U45" s="21">
        <f>IFERROR(U20/Q20-1,"")</f>
        <v/>
      </c>
      <c r="V45" s="21">
        <f>IFERROR(V20/R20-1,"")</f>
        <v/>
      </c>
      <c r="W45" s="42">
        <f>IFERROR(W20/S20-1,"")</f>
        <v/>
      </c>
      <c r="X45" s="31">
        <f>IFERROR(X20/T20-1,"")</f>
        <v/>
      </c>
      <c r="Y45" s="31">
        <f>IFERROR(Y20/U20-1,"")</f>
        <v/>
      </c>
      <c r="Z45" s="31">
        <f>IFERROR(Z20/V20-1,"")</f>
        <v/>
      </c>
      <c r="AA45" s="31">
        <f>IFERROR(AA20/W20-1,"")</f>
        <v/>
      </c>
      <c r="AB45" s="31">
        <f>IFERROR(AB20/X20-1,"")</f>
        <v/>
      </c>
      <c r="AC45" s="31">
        <f>IFERROR(AC20/Y20-1,"")</f>
        <v/>
      </c>
      <c r="AD45" s="31">
        <f>IFERROR(AD20/Z20-1,"")</f>
        <v/>
      </c>
      <c r="AE45" s="31">
        <f>IFERROR(AE20/AA20-1,"")</f>
        <v/>
      </c>
      <c r="AF45" s="31">
        <f>IFERROR(AF20/AB20-1,"")</f>
        <v/>
      </c>
      <c r="AG45" s="31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변수!D52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43">
        <f>IFERROR(VLOOKUP($A33,subQ,MATCH(I$1,SUBQH,0),0),"")</f>
        <v/>
      </c>
      <c r="J33" s="36">
        <f>IFERROR(VLOOKUP($A33,subQ,MATCH(J$1,SUBQH,0),0),"")</f>
        <v/>
      </c>
      <c r="K33" s="36">
        <f>IFERROR(VLOOKUP($A33,subQ,MATCH(K$1,SUBQH,0),0),"")</f>
        <v/>
      </c>
      <c r="L33" s="36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1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2">
        <f>IFERROR(VLOOKUP($A42,subQ,MATCH(I$1,SUBQH,0),0),"")</f>
        <v/>
      </c>
      <c r="J42" s="31">
        <f>IFERROR(VLOOKUP($A42,subQ,MATCH(J$1,SUBQH,0),0),"")</f>
        <v/>
      </c>
      <c r="K42" s="31">
        <f>IFERROR(VLOOKUP($A42,subQ,MATCH(K$1,SUBQH,0),0),"")</f>
        <v/>
      </c>
      <c r="L42" s="31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2">
        <f>IFERROR(I5/H5-1,"")</f>
        <v/>
      </c>
      <c r="J43" s="31">
        <f>IFERROR(J5/I5-1,"")</f>
        <v/>
      </c>
      <c r="K43" s="31">
        <f>IFERROR(K5/J5-1,"")</f>
        <v/>
      </c>
      <c r="L43" s="31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2">
        <f>IFERROR(I9/H9-1,"")</f>
        <v/>
      </c>
      <c r="J44" s="31">
        <f>IFERROR(J9/I9-1,"")</f>
        <v/>
      </c>
      <c r="K44" s="31">
        <f>IFERROR(K9/J9-1,"")</f>
        <v/>
      </c>
      <c r="L44" s="31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IFERROR(F20/E20-1,"")</f>
        <v/>
      </c>
      <c r="G45" s="21">
        <f>IFERROR(G20/F20-1,"")</f>
        <v/>
      </c>
      <c r="H45" s="21">
        <f>IFERROR(H20/G20-1,"")</f>
        <v/>
      </c>
      <c r="I45" s="42">
        <f>IFERROR(I20/H20-1,"")</f>
        <v/>
      </c>
      <c r="J45" s="31">
        <f>IFERROR(J20/I20-1,"")</f>
        <v/>
      </c>
      <c r="K45" s="31">
        <f>IFERROR(K20/J20-1,"")</f>
        <v/>
      </c>
      <c r="L45" s="31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변수!D52</f>
        <v/>
      </c>
    </row>
    <row r="2">
      <c r="B2" s="1" t="inlineStr">
        <is>
          <t>기준일</t>
        </is>
      </c>
      <c r="C2">
        <f>변수!D53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IFERROR(E7*변수!D58+F7*(1-변수!D58),"")</f>
        <v/>
      </c>
    </row>
    <row r="15">
      <c r="C15" t="inlineStr">
        <is>
          <t>적정가치 @PER_lo</t>
        </is>
      </c>
      <c r="D15" s="26">
        <f>변수!D55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173.1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13.2</v>
      </c>
    </row>
    <row r="32">
      <c r="C32" s="2" t="inlineStr">
        <is>
          <t>pbr_now</t>
        </is>
      </c>
      <c r="D32" t="n">
        <v>0.4</v>
      </c>
    </row>
    <row r="33">
      <c r="C33" s="2" t="inlineStr">
        <is>
          <t>roe_fwd</t>
        </is>
      </c>
      <c r="D33" t="n">
        <v>0.0303</v>
      </c>
    </row>
    <row r="34">
      <c r="C34" s="2" t="inlineStr">
        <is>
          <t>fair_pbr</t>
        </is>
      </c>
      <c r="D34" t="n">
        <v>0.34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