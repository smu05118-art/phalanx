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BS연결!$C$5:$AO$94</definedName>
    <definedName name="BS별도H">BS별도!$C$1:$AO$1</definedName>
    <definedName name="BS별도">BS별도!$C$5:$AO$89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65954억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66113억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65637억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64655억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64668억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63916억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63012억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62370억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61037억 × 비례계수 0.0132(원점회귀; 격자 lag0~4×창8/12/19×수준·YoY·4Q합 중 최대 r=0.90, n=8, 창 8)</t>
      </text>
    </comment>
    <comment ref="AC22" authorId="0" shapeId="0">
      <text>
        <t>모델값 역산(implied): v / 매출액
매출액 × 판관비율 7.95%(최근 4분기 중위)</t>
      </text>
    </comment>
    <comment ref="AD22" authorId="0" shapeId="0">
      <text>
        <t>모델값 역산(implied): v / 매출액
매출액 × 판관비율 7.95%(최근 4분기 중위)</t>
      </text>
    </comment>
    <comment ref="AF22" authorId="0" shapeId="0">
      <text>
        <t>모델값 역산(implied): v / 매출액
매출액 × 판관비율 7.95%(최근 4분기 중위)</t>
      </text>
    </comment>
    <comment ref="AG22" authorId="0" shapeId="0">
      <text>
        <t>모델값 역산(implied): v / 매출액
매출액 × 판관비율 7.95%(최근 4분기 중위)</t>
      </text>
    </comment>
    <comment ref="AH22" authorId="0" shapeId="0">
      <text>
        <t>모델값 역산(implied): v / 매출액
매출액 × 판관비율 7.95%(최근 4분기 중위)</t>
      </text>
    </comment>
    <comment ref="AI22" authorId="0" shapeId="0">
      <text>
        <t>모델값 역산(implied): v / 매출액
매출액 × 판관비율 7.95%(최근 4분기 중위)</t>
      </text>
    </comment>
    <comment ref="AK22" authorId="0" shapeId="0">
      <text>
        <t>모델값 역산(implied): v / 매출액
매출액 × 판관비율 7.95%(최근 4분기 중위)</t>
      </text>
    </comment>
    <comment ref="AL22" authorId="0" shapeId="0">
      <text>
        <t>모델값 역산(implied): v / 매출액
매출액 × 판관비율 7.95%(최근 4분기 중위)</t>
      </text>
    </comment>
    <comment ref="AM22" authorId="0" shapeId="0">
      <text>
        <t>모델값 역산(implied): v / 매출액
매출액 × 판관비율 7.95%(최근 4분기 중위)</t>
      </text>
    </comment>
    <comment ref="AN22" authorId="0" shapeId="0">
      <text>
        <t>모델값 역산(implied): v / 매출액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v / 전년동기 − 1
최근 8분기 OPM 중위 3.7% 유지</t>
      </text>
    </comment>
    <comment ref="AD24" authorId="0" shapeId="0">
      <text>
        <t>모델값 역산(implied): v / 전년동기 − 1
최근 8분기 OPM 중위 3.7% 유지</t>
      </text>
    </comment>
    <comment ref="AF24" authorId="0" shapeId="0">
      <text>
        <t>모델값 역산(implied): v / 전년동기 − 1
최근 8분기 OPM 중위 3.7% 유지</t>
      </text>
    </comment>
    <comment ref="AG24" authorId="0" shapeId="0">
      <text>
        <t>모델값 역산(implied): v / 전년동기 − 1
최근 8분기 OPM 중위 3.7% 유지</t>
      </text>
    </comment>
    <comment ref="AH24" authorId="0" shapeId="0">
      <text>
        <t>모델값 역산(implied): v / 전년동기 − 1
최근 8분기 OPM 중위 3.7% 유지</t>
      </text>
    </comment>
    <comment ref="AI24" authorId="0" shapeId="0">
      <text>
        <t>모델값 역산(implied): v / 전년동기 − 1
최근 8분기 OPM 중위 3.7% 유지</t>
      </text>
    </comment>
    <comment ref="AK24" authorId="0" shapeId="0">
      <text>
        <t>모델값 역산(implied): v / 전년동기 − 1
최근 8분기 OPM 중위 3.7% 유지</t>
      </text>
    </comment>
    <comment ref="AL24" authorId="0" shapeId="0">
      <text>
        <t>모델값 역산(implied): v / 전년동기 − 1
최근 8분기 OPM 중위 3.7% 유지</t>
      </text>
    </comment>
    <comment ref="AM24" authorId="0" shapeId="0">
      <text>
        <t>모델값 역산(implied): v / 전년동기 − 1
최근 8분기 OPM 중위 3.7% 유지</t>
      </text>
    </comment>
    <comment ref="AN24" authorId="0" shapeId="0">
      <text>
        <t>모델값 역산(implied): v / 전년동기 − 1
최근 8분기 OPM 중위 3.7% 유지</t>
      </text>
    </comment>
    <comment ref="AC25" authorId="0" shapeId="0">
      <text>
        <t>모델값 역산(implied): 모델 v 그대로
이자손익 = 이자발생자산 244억 × 2.00% − 총차입금 0억 × 0.00% (연율, CF 실측) ÷ 4; 환·평가손익 0 가정</t>
      </text>
    </comment>
    <comment ref="AD25" authorId="0" shapeId="0">
      <text>
        <t>모델값 역산(implied): 모델 v 그대로
이자손익 = 이자발생자산 268억 × 2.00% − 총차입금 0억 × 0.00% (연율, CF 실측) ÷ 4; 환·평가손익 0 가정</t>
      </text>
    </comment>
    <comment ref="AF25" authorId="0" shapeId="0">
      <text>
        <t>모델값 역산(implied): 모델 v 그대로
이자손익 = 이자발생자산 292억 × 2.00% − 총차입금 0억 × 0.00% (연율, CF 실측) ÷ 4; 환·평가손익 0 가정</t>
      </text>
    </comment>
    <comment ref="AG25" authorId="0" shapeId="0">
      <text>
        <t>모델값 역산(implied): 모델 v 그대로
이자손익 = 이자발생자산 317억 × 2.00% − 총차입금 0억 × 0.00% (연율, CF 실측) ÷ 4; 환·평가손익 0 가정</t>
      </text>
    </comment>
    <comment ref="AH25" authorId="0" shapeId="0">
      <text>
        <t>모델값 역산(implied): 모델 v 그대로
이자손익 = 이자발생자산 341억 × 2.00% − 총차입금 0억 × 0.00% (연율, CF 실측) ÷ 4; 환·평가손익 0 가정</t>
      </text>
    </comment>
    <comment ref="AI25" authorId="0" shapeId="0">
      <text>
        <t>모델값 역산(implied): 모델 v 그대로
이자손익 = 이자발생자산 365억 × 2.00% − 총차입금 0억 × 0.00% (연율, CF 실측) ÷ 4; 환·평가손익 0 가정</t>
      </text>
    </comment>
    <comment ref="AK25" authorId="0" shapeId="0">
      <text>
        <t>모델값 역산(implied): 모델 v 그대로
이자손익 = 이자발생자산 390억 × 2.00% − 총차입금 0억 × 0.00% (연율, CF 실측) ÷ 4; 환·평가손익 0 가정</t>
      </text>
    </comment>
    <comment ref="AL25" authorId="0" shapeId="0">
      <text>
        <t>모델값 역산(implied): 모델 v 그대로
이자손익 = 이자발생자산 414억 × 2.00% − 총차입금 0억 × 0.00% (연율, CF 실측) ÷ 4; 환·평가손익 0 가정</t>
      </text>
    </comment>
    <comment ref="AM25" authorId="0" shapeId="0">
      <text>
        <t>모델값 역산(implied): 모델 v 그대로
이자손익 = 이자발생자산 438억 × 2.00% − 총차입금 0억 × 0.00% (연율, CF 실측) ÷ 4; 환·평가손익 0 가정</t>
      </text>
    </comment>
    <comment ref="AN25" authorId="0" shapeId="0">
      <text>
        <t>모델값 역산(implied): 모델 v 그대로
이자손익 = 이자발생자산 462억 × 2.00%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27.0%(최근 12분기 유효세율 214.5% → 5~27% 클립)</t>
      </text>
    </comment>
    <comment ref="AD27" authorId="0" shapeId="0">
      <text>
        <t>모델값 역산(implied): v / 세전이익
max(세전, 0) × 세율 27.0%(최근 12분기 유효세율 214.5% → 5~27% 클립)</t>
      </text>
    </comment>
    <comment ref="AF27" authorId="0" shapeId="0">
      <text>
        <t>모델값 역산(implied): v / 세전이익
max(세전, 0) × 세율 27.0%(최근 12분기 유효세율 214.5% → 5~27% 클립)</t>
      </text>
    </comment>
    <comment ref="AG27" authorId="0" shapeId="0">
      <text>
        <t>모델값 역산(implied): v / 세전이익
max(세전, 0) × 세율 27.0%(최근 12분기 유효세율 214.5% → 5~27% 클립)</t>
      </text>
    </comment>
    <comment ref="AH27" authorId="0" shapeId="0">
      <text>
        <t>모델값 역산(implied): v / 세전이익
max(세전, 0) × 세율 27.0%(최근 12분기 유효세율 214.5% → 5~27% 클립)</t>
      </text>
    </comment>
    <comment ref="AI27" authorId="0" shapeId="0">
      <text>
        <t>모델값 역산(implied): v / 세전이익
max(세전, 0) × 세율 27.0%(최근 12분기 유효세율 214.5% → 5~27% 클립)</t>
      </text>
    </comment>
    <comment ref="AK27" authorId="0" shapeId="0">
      <text>
        <t>모델값 역산(implied): v / 세전이익
max(세전, 0) × 세율 27.0%(최근 12분기 유효세율 214.5% → 5~27% 클립)</t>
      </text>
    </comment>
    <comment ref="AL27" authorId="0" shapeId="0">
      <text>
        <t>모델값 역산(implied): v / 세전이익
max(세전, 0) × 세율 27.0%(최근 12분기 유효세율 214.5% → 5~27% 클립)</t>
      </text>
    </comment>
    <comment ref="AM27" authorId="0" shapeId="0">
      <text>
        <t>모델값 역산(implied): v / 세전이익
max(세전, 0) × 세율 27.0%(최근 12분기 유효세율 214.5% → 5~27% 클립)</t>
      </text>
    </comment>
    <comment ref="AN27" authorId="0" shapeId="0">
      <text>
        <t>모델값 역산(implied): v / 세전이익
max(세전, 0) × 세율 27.0%(최근 12분기 유효세율 214.5% → 5~27% 클립)</t>
      </text>
    </comment>
    <comment ref="AC28" authorId="0" shapeId="0">
      <text>
        <t>모델값 역산(implied): v / 당기순이익
당기순이익 × (1 − 비지배 비중 60.0%, 최근 8분기 실측)</t>
      </text>
    </comment>
    <comment ref="AD28" authorId="0" shapeId="0">
      <text>
        <t>모델값 역산(implied): v / 당기순이익
당기순이익 × (1 − 비지배 비중 60.0%, 최근 8분기 실측)</t>
      </text>
    </comment>
    <comment ref="AF28" authorId="0" shapeId="0">
      <text>
        <t>모델값 역산(implied): v / 당기순이익
당기순이익 × (1 − 비지배 비중 60.0%, 최근 8분기 실측)</t>
      </text>
    </comment>
    <comment ref="AG28" authorId="0" shapeId="0">
      <text>
        <t>모델값 역산(implied): v / 당기순이익
당기순이익 × (1 − 비지배 비중 60.0%, 최근 8분기 실측)</t>
      </text>
    </comment>
    <comment ref="AH28" authorId="0" shapeId="0">
      <text>
        <t>모델값 역산(implied): v / 당기순이익
당기순이익 × (1 − 비지배 비중 60.0%, 최근 8분기 실측)</t>
      </text>
    </comment>
    <comment ref="AI28" authorId="0" shapeId="0">
      <text>
        <t>모델값 역산(implied): v / 당기순이익
당기순이익 × (1 − 비지배 비중 60.0%, 최근 8분기 실측)</t>
      </text>
    </comment>
    <comment ref="AK28" authorId="0" shapeId="0">
      <text>
        <t>모델값 역산(implied): v / 당기순이익
당기순이익 × (1 − 비지배 비중 60.0%, 최근 8분기 실측)</t>
      </text>
    </comment>
    <comment ref="AL28" authorId="0" shapeId="0">
      <text>
        <t>모델값 역산(implied): v / 당기순이익
당기순이익 × (1 − 비지배 비중 60.0%, 최근 8분기 실측)</t>
      </text>
    </comment>
    <comment ref="AM28" authorId="0" shapeId="0">
      <text>
        <t>모델값 역산(implied): v / 당기순이익
당기순이익 × (1 − 비지배 비중 60.0%, 최근 8분기 실측)</t>
      </text>
    </comment>
    <comment ref="AN28" authorId="0" shapeId="0">
      <text>
        <t>모델값 역산(implied): v / 당기순이익
당기순이익 × (1 − 비지배 비중 60.0%, 최근 8분기 실측)</t>
      </text>
    </comment>
    <comment ref="AC29" authorId="0" shapeId="0">
      <text>
        <t>모델값 역산(implied): v / 전년동기 − 1
최근 4분기 감가상각비 중위 유지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C30" authorId="0" shapeId="0">
      <text>
        <t>모델값 역산(implied): v / 전년동기 − 1
영업이익 + 감가상각비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65954억 × 비례계수 0.0132(원점회귀; 격자 lag0~4×창8/12/19×수준·YoY·4Q합 중 최대 r=0.90, n=8, 창 8)
[yoy]</t>
      </text>
    </comment>
    <comment ref="AF5" authorId="0" shapeId="0">
      <text>
        <t>추정: 고객 매출 가중지수(t−1) 66113억 × 비례계수 0.0132(원점회귀; 격자 lag0~4×창8/12/19×수준·YoY·4Q합 중 최대 r=0.90, n=8, 창 8)
[yoy]</t>
      </text>
    </comment>
    <comment ref="AG5" authorId="0" shapeId="0">
      <text>
        <t>추정: 고객 매출 가중지수(t−1) 65637억 × 비례계수 0.0132(원점회귀; 격자 lag0~4×창8/12/19×수준·YoY·4Q합 중 최대 r=0.90, n=8, 창 8)
[yoy]</t>
      </text>
    </comment>
    <comment ref="AH5" authorId="0" shapeId="0">
      <text>
        <t>추정: 고객 매출 가중지수(t−1) 64655억 × 비례계수 0.0132(원점회귀; 격자 lag0~4×창8/12/19×수준·YoY·4Q합 중 최대 r=0.90, n=8, 창 8)
[yoy]</t>
      </text>
    </comment>
    <comment ref="AI5" authorId="0" shapeId="0">
      <text>
        <t>추정: 고객 매출 가중지수(t−1) 64668억 × 비례계수 0.0132(원점회귀; 격자 lag0~4×창8/12/19×수준·YoY·4Q합 중 최대 r=0.90, n=8, 창 8)
[yoy]</t>
      </text>
    </comment>
    <comment ref="AK5" authorId="0" shapeId="0">
      <text>
        <t>추정: 고객 매출 가중지수(t−1) 63916억 × 비례계수 0.0132(원점회귀; 격자 lag0~4×창8/12/19×수준·YoY·4Q합 중 최대 r=0.90, n=8, 창 8)
[yoy]</t>
      </text>
    </comment>
    <comment ref="AL5" authorId="0" shapeId="0">
      <text>
        <t>추정: 고객 매출 가중지수(t−1) 63012억 × 비례계수 0.0132(원점회귀; 격자 lag0~4×창8/12/19×수준·YoY·4Q합 중 최대 r=0.90, n=8, 창 8)
[yoy]</t>
      </text>
    </comment>
    <comment ref="AM5" authorId="0" shapeId="0">
      <text>
        <t>추정: 고객 매출 가중지수(t−1) 62370억 × 비례계수 0.0132(원점회귀; 격자 lag0~4×창8/12/19×수준·YoY·4Q합 중 최대 r=0.90, n=8, 창 8)
[yoy]</t>
      </text>
    </comment>
    <comment ref="AN5" authorId="0" shapeId="0">
      <text>
        <t>추정: 고객 매출 가중지수(t−1) 61037억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3.7% 유지
[yoy]</t>
      </text>
    </comment>
    <comment ref="AD10" authorId="0" shapeId="0">
      <text>
        <t>추정: 최근 8분기 OPM 중위 3.7% 유지
[yoy]</t>
      </text>
    </comment>
    <comment ref="AF10" authorId="0" shapeId="0">
      <text>
        <t>추정: 최근 8분기 OPM 중위 3.7% 유지
[yoy]</t>
      </text>
    </comment>
    <comment ref="AG10" authorId="0" shapeId="0">
      <text>
        <t>추정: 최근 8분기 OPM 중위 3.7% 유지
[yoy]</t>
      </text>
    </comment>
    <comment ref="AH10" authorId="0" shapeId="0">
      <text>
        <t>추정: 최근 8분기 OPM 중위 3.7% 유지
[yoy]</t>
      </text>
    </comment>
    <comment ref="AI10" authorId="0" shapeId="0">
      <text>
        <t>추정: 최근 8분기 OPM 중위 3.7% 유지
[yoy]</t>
      </text>
    </comment>
    <comment ref="AK10" authorId="0" shapeId="0">
      <text>
        <t>추정: 최근 8분기 OPM 중위 3.7% 유지
[yoy]</t>
      </text>
    </comment>
    <comment ref="AL10" authorId="0" shapeId="0">
      <text>
        <t>추정: 최근 8분기 OPM 중위 3.7% 유지
[yoy]</t>
      </text>
    </comment>
    <comment ref="AM10" authorId="0" shapeId="0">
      <text>
        <t>추정: 최근 8분기 OPM 중위 3.7% 유지
[yoy]</t>
      </text>
    </comment>
    <comment ref="AN10" authorId="0" shapeId="0">
      <text>
        <t>추정: 최근 8분기 OPM 중위 3.7% 유지
[yoy]</t>
      </text>
    </comment>
    <comment ref="AC11" authorId="0" shapeId="0">
      <text>
        <t>추정: 이자손익 = 이자발생자산 244억 × 2.00% − 총차입금 0억 × 0.00% (연율, CF 실측) ÷ 4; 환·평가손익 0 가정
[abs]</t>
      </text>
    </comment>
    <comment ref="AD11" authorId="0" shapeId="0">
      <text>
        <t>추정: 이자손익 = 이자발생자산 268억 × 2.00% − 총차입금 0억 × 0.00% (연율, CF 실측) ÷ 4; 환·평가손익 0 가정
[abs]</t>
      </text>
    </comment>
    <comment ref="AF11" authorId="0" shapeId="0">
      <text>
        <t>추정: 이자손익 = 이자발생자산 292억 × 2.00% − 총차입금 0억 × 0.00% (연율, CF 실측) ÷ 4; 환·평가손익 0 가정
[abs]</t>
      </text>
    </comment>
    <comment ref="AG11" authorId="0" shapeId="0">
      <text>
        <t>추정: 이자손익 = 이자발생자산 317억 × 2.00% − 총차입금 0억 × 0.00% (연율, CF 실측) ÷ 4; 환·평가손익 0 가정
[abs]</t>
      </text>
    </comment>
    <comment ref="AH11" authorId="0" shapeId="0">
      <text>
        <t>추정: 이자손익 = 이자발생자산 341억 × 2.00% − 총차입금 0억 × 0.00% (연율, CF 실측) ÷ 4; 환·평가손익 0 가정
[abs]</t>
      </text>
    </comment>
    <comment ref="AI11" authorId="0" shapeId="0">
      <text>
        <t>추정: 이자손익 = 이자발생자산 365억 × 2.00% − 총차입금 0억 × 0.00% (연율, CF 실측) ÷ 4; 환·평가손익 0 가정
[abs]</t>
      </text>
    </comment>
    <comment ref="AK11" authorId="0" shapeId="0">
      <text>
        <t>추정: 이자손익 = 이자발생자산 390억 × 2.00% − 총차입금 0억 × 0.00% (연율, CF 실측) ÷ 4; 환·평가손익 0 가정
[abs]</t>
      </text>
    </comment>
    <comment ref="AL11" authorId="0" shapeId="0">
      <text>
        <t>추정: 이자손익 = 이자발생자산 414억 × 2.00% − 총차입금 0억 × 0.00% (연율, CF 실측) ÷ 4; 환·평가손익 0 가정
[abs]</t>
      </text>
    </comment>
    <comment ref="AM11" authorId="0" shapeId="0">
      <text>
        <t>추정: 이자손익 = 이자발생자산 438억 × 2.00% − 총차입금 0억 × 0.00% (연율, CF 실측) ÷ 4; 환·평가손익 0 가정
[abs]</t>
      </text>
    </comment>
    <comment ref="AN11" authorId="0" shapeId="0">
      <text>
        <t>추정: 이자손익 = 이자발생자산 462억 × 2.00%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27.0%(최근 12분기 유효세율 214.5% → 5~27% 클립)
[ratio]</t>
      </text>
    </comment>
    <comment ref="AD14" authorId="0" shapeId="0">
      <text>
        <t>추정: max(세전, 0) × 세율 27.0%(최근 12분기 유효세율 214.5% → 5~27% 클립)
[ratio]</t>
      </text>
    </comment>
    <comment ref="AF14" authorId="0" shapeId="0">
      <text>
        <t>추정: max(세전, 0) × 세율 27.0%(최근 12분기 유효세율 214.5% → 5~27% 클립)
[ratio]</t>
      </text>
    </comment>
    <comment ref="AG14" authorId="0" shapeId="0">
      <text>
        <t>추정: max(세전, 0) × 세율 27.0%(최근 12분기 유효세율 214.5% → 5~27% 클립)
[ratio]</t>
      </text>
    </comment>
    <comment ref="AH14" authorId="0" shapeId="0">
      <text>
        <t>추정: max(세전, 0) × 세율 27.0%(최근 12분기 유효세율 214.5% → 5~27% 클립)
[ratio]</t>
      </text>
    </comment>
    <comment ref="AI14" authorId="0" shapeId="0">
      <text>
        <t>추정: max(세전, 0) × 세율 27.0%(최근 12분기 유효세율 214.5% → 5~27% 클립)
[ratio]</t>
      </text>
    </comment>
    <comment ref="AK14" authorId="0" shapeId="0">
      <text>
        <t>추정: max(세전, 0) × 세율 27.0%(최근 12분기 유효세율 214.5% → 5~27% 클립)
[ratio]</t>
      </text>
    </comment>
    <comment ref="AL14" authorId="0" shapeId="0">
      <text>
        <t>추정: max(세전, 0) × 세율 27.0%(최근 12분기 유효세율 214.5% → 5~27% 클립)
[ratio]</t>
      </text>
    </comment>
    <comment ref="AM14" authorId="0" shapeId="0">
      <text>
        <t>추정: max(세전, 0) × 세율 27.0%(최근 12분기 유효세율 214.5% → 5~27% 클립)
[ratio]</t>
      </text>
    </comment>
    <comment ref="AN14" authorId="0" shapeId="0">
      <text>
        <t>추정: max(세전, 0) × 세율 27.0%(최근 12분기 유효세율 214.5%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60.0%, 최근 8분기 실측)
[ratio]</t>
      </text>
    </comment>
    <comment ref="AD16" authorId="0" shapeId="0">
      <text>
        <t>추정: 당기순이익 × (1 − 비지배 비중 60.0%, 최근 8분기 실측)
[ratio]</t>
      </text>
    </comment>
    <comment ref="AF16" authorId="0" shapeId="0">
      <text>
        <t>추정: 당기순이익 × (1 − 비지배 비중 60.0%, 최근 8분기 실측)
[ratio]</t>
      </text>
    </comment>
    <comment ref="AG16" authorId="0" shapeId="0">
      <text>
        <t>추정: 당기순이익 × (1 − 비지배 비중 60.0%, 최근 8분기 실측)
[ratio]</t>
      </text>
    </comment>
    <comment ref="AH16" authorId="0" shapeId="0">
      <text>
        <t>추정: 당기순이익 × (1 − 비지배 비중 60.0%, 최근 8분기 실측)
[ratio]</t>
      </text>
    </comment>
    <comment ref="AI16" authorId="0" shapeId="0">
      <text>
        <t>추정: 당기순이익 × (1 − 비지배 비중 60.0%, 최근 8분기 실측)
[ratio]</t>
      </text>
    </comment>
    <comment ref="AK16" authorId="0" shapeId="0">
      <text>
        <t>추정: 당기순이익 × (1 − 비지배 비중 60.0%, 최근 8분기 실측)
[ratio]</t>
      </text>
    </comment>
    <comment ref="AL16" authorId="0" shapeId="0">
      <text>
        <t>추정: 당기순이익 × (1 − 비지배 비중 60.0%, 최근 8분기 실측)
[ratio]</t>
      </text>
    </comment>
    <comment ref="AM16" authorId="0" shapeId="0">
      <text>
        <t>추정: 당기순이익 × (1 − 비지배 비중 60.0%, 최근 8분기 실측)
[ratio]</t>
      </text>
    </comment>
    <comment ref="AN16" authorId="0" shapeId="0">
      <text>
        <t>추정: 당기순이익 × (1 − 비지배 비중 60.0%, 최근 8분기 실측)
[ratio]</t>
      </text>
    </comment>
    <comment ref="AC17" authorId="0" shapeId="0">
      <text>
        <t>추정: 최근 4분기 감가상각비 중위 유지
[yoy]</t>
      </text>
    </comment>
    <comment ref="AD17" authorId="0" shapeId="0">
      <text>
        <t>추정(가정 셀 참조 불가 — 기준값 없음, 모델값 직접): 최근 4분기 감가상각비 중위 유지</t>
      </text>
    </comment>
    <comment ref="AF17" authorId="0" shapeId="0">
      <text>
        <t>추정(가정 셀 참조 불가 — 기준값 없음, 모델값 직접): 최근 4분기 감가상각비 중위 유지</t>
      </text>
    </comment>
    <comment ref="AG17" authorId="0" shapeId="0">
      <text>
        <t>추정(가정 셀 참조 불가 — 기준값 없음, 모델값 직접): 최근 4분기 감가상각비 중위 유지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N18" authorId="0" shapeId="0">
      <text>
        <t>실측(계정 매핑 없음 — 모델값 직접) — 영업이익 + 감가상각비(CF)</t>
      </text>
    </comment>
    <comment ref="O18" authorId="0" shapeId="0">
      <text>
        <t>실측(계정 매핑 없음 — 모델값 직접) — 영업이익 + 감가상각비(CF)</t>
      </text>
    </comment>
    <comment ref="Q18" authorId="0" shapeId="0">
      <text>
        <t>실측(계정 매핑 없음 — 모델값 직접) — 영업이익 + 감가상각비(CF)</t>
      </text>
    </comment>
    <comment ref="R18" authorId="0" shapeId="0">
      <text>
        <t>실측(계정 매핑 없음 — 모델값 직접) — 영업이익 + 감가상각비(CF)</t>
      </text>
    </comment>
    <comment ref="S18" authorId="0" shapeId="0">
      <text>
        <t>실측(계정 매핑 없음 — 모델값 직접) — 영업이익 + 감가상각비(CF)</t>
      </text>
    </comment>
    <comment ref="T18" authorId="0" shapeId="0">
      <text>
        <t>실측(계정 매핑 없음 — 모델값 직접) — 영업이익 + 감가상각비(CF)</t>
      </text>
    </comment>
    <comment ref="V18" authorId="0" shapeId="0">
      <text>
        <t>실측(계정 매핑 없음 — 모델값 직접) — 영업이익 + 감가상각비(CF)</t>
      </text>
    </comment>
    <comment ref="W18" authorId="0" shapeId="0">
      <text>
        <t>실측(계정 매핑 없음 — 모델값 직접) — 영업이익 + 감가상각비(CF)</t>
      </text>
    </comment>
    <comment ref="X18" authorId="0" shapeId="0">
      <text>
        <t>실측(계정 매핑 없음 — 모델값 직접) — 영업이익 + 감가상각비(CF)</t>
      </text>
    </comment>
    <comment ref="AC18" authorId="0" shapeId="0">
      <text>
        <t>추정: 영업이익 + 감가상각비
[yoy]</t>
      </text>
    </comment>
    <comment ref="AD18" authorId="0" shapeId="0">
      <text>
        <t>추정(가정 셀 참조 불가 — 기준값 없음, 모델값 직접): 영업이익 + 감가상각비</t>
      </text>
    </comment>
    <comment ref="AF18" authorId="0" shapeId="0">
      <text>
        <t>추정(가정 셀 참조 불가 — 기준값 없음, 모델값 직접): 영업이익 + 감가상각비</t>
      </text>
    </comment>
    <comment ref="AG18" authorId="0" shapeId="0">
      <text>
        <t>추정(가정 셀 참조 불가 — 기준값 없음, 모델값 직접): 영업이익 + 감가상각비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D33" authorId="0" shapeId="0">
      <text>
        <t>추정: 현재 종가 ÷ TTM EPS(추정 포함)
[yoy]</t>
      </text>
    </comment>
    <comment ref="AF33" authorId="0" shapeId="0">
      <text>
        <t>추정(가정 셀 참조 불가 — 기준값 없음, 모델값 직접): 현재 종가 ÷ TTM EPS(추정 포함)</t>
      </text>
    </comment>
    <comment ref="AG33" authorId="0" shapeId="0">
      <text>
        <t>추정(가정 셀 참조 불가 — 기준값 없음, 모델값 직접): 현재 종가 ÷ TTM EPS(추정 포함)</t>
      </text>
    </comment>
    <comment ref="AH33" authorId="0" shapeId="0">
      <text>
        <t>추정(가정 셀 참조 불가 — 기준값 없음, 모델값 직접): 현재 종가 ÷ TTM EPS(추정 포함)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assets/models/025550.json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(없음)</t>
        </is>
      </c>
    </row>
    <row r="22">
      <c r="A22" t="inlineStr">
        <is>
          <t>백테스트: {"freeze": "2025Q2", "horizon": 4, "revenue_wape_pct": 16.4, "op_wape_pct": 90.2,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0.492328</v>
      </c>
      <c r="AD21" s="24" t="n">
        <v>0.614522</v>
      </c>
      <c r="AE21" s="25" t="n"/>
      <c r="AF21" s="24" t="n">
        <v>0.319861</v>
      </c>
      <c r="AG21" s="24" t="n">
        <v>0.208026</v>
      </c>
      <c r="AH21" s="24" t="n">
        <v>0.021069</v>
      </c>
      <c r="AI21" s="24" t="n">
        <v>-0.019504</v>
      </c>
      <c r="AJ21" s="25" t="n"/>
      <c r="AK21" s="24" t="n">
        <v>-0.033231</v>
      </c>
      <c r="AL21" s="24" t="n">
        <v>-0.039993</v>
      </c>
      <c r="AM21" s="24" t="n">
        <v>-0.035339</v>
      </c>
      <c r="AN21" s="24" t="n">
        <v>-0.056149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0.079489</v>
      </c>
      <c r="AD22" s="24" t="n">
        <v>0.079497</v>
      </c>
      <c r="AE22" s="25">
        <f>IFERROR(subQ!AE8/subQ!AE5,"")</f>
        <v/>
      </c>
      <c r="AF22" s="24" t="n">
        <v>0.07949000000000001</v>
      </c>
      <c r="AG22" s="24" t="n">
        <v>0.079489</v>
      </c>
      <c r="AH22" s="24" t="n">
        <v>0.079489</v>
      </c>
      <c r="AI22" s="24" t="n">
        <v>0.079497</v>
      </c>
      <c r="AJ22" s="25">
        <f>IFERROR(subQ!AJ8/subQ!AJ5,"")</f>
        <v/>
      </c>
      <c r="AK22" s="24" t="n">
        <v>0.079496</v>
      </c>
      <c r="AL22" s="24" t="n">
        <v>0.079494</v>
      </c>
      <c r="AM22" s="24" t="n">
        <v>0.079498</v>
      </c>
      <c r="AN22" s="24" t="n">
        <v>0.079497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</v>
      </c>
      <c r="AD23" s="24" t="n">
        <v>0.036883</v>
      </c>
      <c r="AE23" s="25">
        <f>IFERROR(subQ!AE9/subQ!AE5,"")</f>
        <v/>
      </c>
      <c r="AF23" s="24" t="n">
        <v>0.036886</v>
      </c>
      <c r="AG23" s="24" t="n">
        <v>0.036888</v>
      </c>
      <c r="AH23" s="24" t="n">
        <v>0.036886</v>
      </c>
      <c r="AI23" s="24" t="n">
        <v>0.03689</v>
      </c>
      <c r="AJ23" s="25">
        <f>IFERROR(subQ!AJ9/subQ!AJ5,"")</f>
        <v/>
      </c>
      <c r="AK23" s="24" t="n">
        <v>0.036886</v>
      </c>
      <c r="AL23" s="24" t="n">
        <v>0.036886</v>
      </c>
      <c r="AM23" s="24" t="n">
        <v>0.036889</v>
      </c>
      <c r="AN23" s="24" t="n">
        <v>0.036888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-0.259036</v>
      </c>
      <c r="AD24" s="24" t="n">
        <v>-53.714286</v>
      </c>
      <c r="AE24" s="25" t="n"/>
      <c r="AF24" s="24" t="n">
        <v>-0.700972</v>
      </c>
      <c r="AG24" s="24" t="n">
        <v>-0.713064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1.22</v>
      </c>
      <c r="AD25" s="29" t="n">
        <v>1.34</v>
      </c>
      <c r="AE25" s="30">
        <f>subQ!AE11</f>
        <v/>
      </c>
      <c r="AF25" s="29" t="n">
        <v>1.46</v>
      </c>
      <c r="AG25" s="29" t="n">
        <v>1.58</v>
      </c>
      <c r="AH25" s="29" t="n">
        <v>1.71</v>
      </c>
      <c r="AI25" s="29" t="n">
        <v>1.83</v>
      </c>
      <c r="AJ25" s="30">
        <f>subQ!AJ11</f>
        <v/>
      </c>
      <c r="AK25" s="29" t="n">
        <v>1.95</v>
      </c>
      <c r="AL25" s="29" t="n">
        <v>2.07</v>
      </c>
      <c r="AM25" s="29" t="n">
        <v>2.19</v>
      </c>
      <c r="AN25" s="29" t="n">
        <v>2.31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0.269891</v>
      </c>
      <c r="AD27" s="24" t="n">
        <v>0.269955</v>
      </c>
      <c r="AE27" s="25">
        <f>IFERROR(subQ!AE14/subQ!AE13,"")</f>
        <v/>
      </c>
      <c r="AF27" s="24" t="n">
        <v>0.270134</v>
      </c>
      <c r="AG27" s="24" t="n">
        <v>0.270125</v>
      </c>
      <c r="AH27" s="24" t="n">
        <v>0.269961</v>
      </c>
      <c r="AI27" s="24" t="n">
        <v>0.269889</v>
      </c>
      <c r="AJ27" s="25">
        <f>IFERROR(subQ!AJ14/subQ!AJ13,"")</f>
        <v/>
      </c>
      <c r="AK27" s="24" t="n">
        <v>0.270033</v>
      </c>
      <c r="AL27" s="24" t="n">
        <v>0.269924</v>
      </c>
      <c r="AM27" s="24" t="n">
        <v>0.269963</v>
      </c>
      <c r="AN27" s="24" t="n">
        <v>0.270059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0.4</v>
      </c>
      <c r="AD28" s="24" t="n">
        <v>0.400082</v>
      </c>
      <c r="AE28" s="25">
        <f>IFERROR(subQ!AE16/subQ!AE15,"")</f>
        <v/>
      </c>
      <c r="AF28" s="24" t="n">
        <v>0.400244</v>
      </c>
      <c r="AG28" s="24" t="n">
        <v>0.399755</v>
      </c>
      <c r="AH28" s="24" t="n">
        <v>0.399917</v>
      </c>
      <c r="AI28" s="24" t="n">
        <v>0.400082</v>
      </c>
      <c r="AJ28" s="25">
        <f>IFERROR(subQ!AJ16/subQ!AJ15,"")</f>
        <v/>
      </c>
      <c r="AK28" s="24" t="n">
        <v>0.400166</v>
      </c>
      <c r="AL28" s="24" t="n">
        <v>0.399833</v>
      </c>
      <c r="AM28" s="24" t="n">
        <v>0.400084</v>
      </c>
      <c r="AN28" s="24" t="n">
        <v>0.399914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24" t="n">
        <v>0.018509</v>
      </c>
      <c r="AD29" s="31" t="n"/>
      <c r="AE29" s="25" t="n"/>
      <c r="AF29" s="31" t="n"/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24" t="n">
        <v>0.085651</v>
      </c>
      <c r="AD30" s="31" t="n"/>
      <c r="AE30" s="25" t="n"/>
      <c r="AF30" s="31" t="n"/>
      <c r="AG30" s="31" t="n"/>
      <c r="AH30" s="24" t="n">
        <v>0.016489</v>
      </c>
      <c r="AI30" s="24" t="n">
        <v>-0.015233</v>
      </c>
      <c r="AJ30" s="25" t="n"/>
      <c r="AK30" s="24" t="n">
        <v>-0.026238</v>
      </c>
      <c r="AL30" s="24" t="n">
        <v>-0.031566</v>
      </c>
      <c r="AM30" s="24" t="n">
        <v>-0.027702</v>
      </c>
      <c r="AN30" s="24" t="n">
        <v>-0.044162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-0.0022</v>
      </c>
      <c r="AD32" s="29" t="n">
        <v>0</v>
      </c>
      <c r="AE32" s="30" t="n"/>
      <c r="AF32" s="29" t="n">
        <v>0</v>
      </c>
      <c r="AG32" s="29" t="n">
        <v>0</v>
      </c>
      <c r="AH32" s="29" t="n">
        <v>0.01</v>
      </c>
      <c r="AI32" s="29" t="n">
        <v>0</v>
      </c>
      <c r="AJ32" s="30" t="n"/>
      <c r="AK32" s="29" t="n">
        <v>0</v>
      </c>
      <c r="AL32" s="29" t="n">
        <v>0</v>
      </c>
      <c r="AM32" s="29" t="n">
        <v>0.01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0.0022</v>
      </c>
      <c r="AD33" s="29" t="n">
        <v>0</v>
      </c>
      <c r="AE33" s="30" t="n"/>
      <c r="AF33" s="29" t="n">
        <v>0</v>
      </c>
      <c r="AG33" s="29" t="n">
        <v>0</v>
      </c>
      <c r="AH33" s="29" t="n">
        <v>0</v>
      </c>
      <c r="AI33" s="29" t="n">
        <v>0</v>
      </c>
      <c r="AJ33" s="30" t="n"/>
      <c r="AK33" s="29" t="n">
        <v>0.01</v>
      </c>
      <c r="AL33" s="29" t="n">
        <v>-0.01</v>
      </c>
      <c r="AM33" s="29" t="n">
        <v>0.01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0.095775</v>
      </c>
      <c r="AD36" s="24" t="n">
        <v>0.09121799999999999</v>
      </c>
      <c r="AE36" s="25" t="n"/>
      <c r="AF36" s="24" t="n">
        <v>0.08407199999999999</v>
      </c>
      <c r="AG36" s="24" t="n">
        <v>0.077331</v>
      </c>
      <c r="AH36" s="24" t="n">
        <v>0.070989</v>
      </c>
      <c r="AI36" s="24" t="n">
        <v>0.06655700000000001</v>
      </c>
      <c r="AJ36" s="25" t="n"/>
      <c r="AK36" s="24" t="n">
        <v>0.061942</v>
      </c>
      <c r="AL36" s="24" t="n">
        <v>0.057773</v>
      </c>
      <c r="AM36" s="24" t="n">
        <v>0.054298</v>
      </c>
      <c r="AN36" s="24" t="n">
        <v>0.050656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24" t="n">
        <v>-0.927499</v>
      </c>
      <c r="AE42" s="25" t="n"/>
      <c r="AF42" s="31" t="n"/>
      <c r="AG42" s="31" t="n"/>
      <c r="AH42" s="31" t="n"/>
      <c r="AI42" s="24" t="n">
        <v>-0.277607</v>
      </c>
      <c r="AJ42" s="25" t="n"/>
      <c r="AK42" s="24" t="n">
        <v>0.517647</v>
      </c>
      <c r="AL42" s="24" t="n">
        <v>0.003514</v>
      </c>
      <c r="AM42" s="24" t="n">
        <v>0.0163</v>
      </c>
      <c r="AN42" s="24" t="n">
        <v>0.025478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-0.402985</v>
      </c>
      <c r="AD43" s="24" t="n">
        <v>-0.458333</v>
      </c>
      <c r="AE43" s="25" t="n"/>
      <c r="AF43" s="24" t="n">
        <v>-0.35</v>
      </c>
      <c r="AG43" s="24" t="n">
        <v>-0.315789</v>
      </c>
      <c r="AH43" s="24" t="n">
        <v>-0.025</v>
      </c>
      <c r="AI43" s="24" t="n">
        <v>-0.025641</v>
      </c>
      <c r="AJ43" s="25" t="n"/>
      <c r="AK43" s="24" t="n">
        <v>-0.025641</v>
      </c>
      <c r="AL43" s="24" t="n">
        <v>-0.025641</v>
      </c>
      <c r="AM43" s="24" t="n">
        <v>-0.025641</v>
      </c>
      <c r="AN43" s="24" t="n">
        <v>-0.026316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0.036885</v>
      </c>
      <c r="AD45" s="24" t="n">
        <v>0.036883</v>
      </c>
      <c r="AE45" s="25">
        <f>IFERROR(subQ!AE36/subQ!AE35,"")</f>
        <v/>
      </c>
      <c r="AF45" s="24" t="n">
        <v>0.036886</v>
      </c>
      <c r="AG45" s="24" t="n">
        <v>0.036888</v>
      </c>
      <c r="AH45" s="24" t="n">
        <v>0.036886</v>
      </c>
      <c r="AI45" s="24" t="n">
        <v>0.03689</v>
      </c>
      <c r="AJ45" s="25">
        <f>IFERROR(subQ!AJ36/subQ!AJ35,"")</f>
        <v/>
      </c>
      <c r="AK45" s="24" t="n">
        <v>0.036886</v>
      </c>
      <c r="AL45" s="24" t="n">
        <v>0.036886</v>
      </c>
      <c r="AM45" s="24" t="n">
        <v>0.036889</v>
      </c>
      <c r="AN45" s="24" t="n">
        <v>0.036888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2285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16.5</v>
      </c>
      <c r="E51" s="2" t="inlineStr">
        <is>
          <t>PER 밴드 하단(배) — hist_quarterly(분기 평균가 ÷ TTM EPS, 8분기, 25/50/75 백분위) · 캡 5~30배 적용(원값 16.5/18.9/269.8)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18.9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30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0.27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0.0795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4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4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4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4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4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4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4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4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4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4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4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4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4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4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4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4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4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4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4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4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4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4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4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4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4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4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4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4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4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4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4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4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4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4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4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4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4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4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4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4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4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4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4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4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4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4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4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4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4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4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4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4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4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4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4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4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4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4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4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4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4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4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4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4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4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4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4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4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4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4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4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4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4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4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4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4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4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4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4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4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4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4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4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4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4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4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4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4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4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4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4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4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4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4" t="n">
        <v>97761.46000000001</v>
      </c>
      <c r="G25" s="18" t="n">
        <v>86676.87</v>
      </c>
      <c r="H25" s="18" t="n">
        <v>92978.56</v>
      </c>
      <c r="I25" s="18" t="n">
        <v>97800</v>
      </c>
      <c r="J25" s="18" t="n">
        <v>90170</v>
      </c>
      <c r="K25" s="34" t="n">
        <v>90170</v>
      </c>
      <c r="L25" s="18" t="n">
        <v>105853</v>
      </c>
      <c r="M25" s="18" t="n">
        <v>95714</v>
      </c>
      <c r="N25" s="18" t="n">
        <v>98360</v>
      </c>
      <c r="O25" s="18" t="n">
        <v>68062.14</v>
      </c>
      <c r="P25" s="34" t="n">
        <v>68062.14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4" t="n">
        <v>84150</v>
      </c>
      <c r="V25" s="18" t="n">
        <v>81450</v>
      </c>
      <c r="W25" s="18" t="n">
        <v>88940</v>
      </c>
      <c r="X25" s="18" t="n">
        <v>111900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4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4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4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4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4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4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4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4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4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4" t="n">
        <v>1220.25</v>
      </c>
      <c r="G28" s="18" t="n">
        <v>370.78</v>
      </c>
      <c r="H28" s="18" t="n">
        <v>384.94</v>
      </c>
      <c r="I28" s="18" t="n">
        <v>366.59</v>
      </c>
      <c r="J28" s="18" t="n">
        <v>383.35</v>
      </c>
      <c r="K28" s="34" t="n">
        <v>383.35</v>
      </c>
      <c r="L28" s="18" t="n">
        <v>391.6</v>
      </c>
      <c r="M28" s="18" t="n">
        <v>440.86</v>
      </c>
      <c r="N28" s="18" t="n">
        <v>517.5</v>
      </c>
      <c r="O28" s="18" t="n">
        <v>477.32</v>
      </c>
      <c r="P28" s="34" t="n">
        <v>477.32</v>
      </c>
      <c r="Q28" s="18" t="n">
        <v>428.91</v>
      </c>
      <c r="R28" s="18" t="n">
        <v>594.49</v>
      </c>
      <c r="S28" s="18" t="n">
        <v>666.15</v>
      </c>
      <c r="T28" s="18" t="n">
        <v>641.51</v>
      </c>
      <c r="U28" s="34" t="n">
        <v>641.51</v>
      </c>
      <c r="V28" s="18" t="n">
        <v>1020.1</v>
      </c>
      <c r="W28" s="18" t="n">
        <v>586.89</v>
      </c>
      <c r="X28" s="18" t="n">
        <v>481.46</v>
      </c>
      <c r="Y28" s="18" t="n">
        <v>729.78</v>
      </c>
      <c r="Z28" s="34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4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4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4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4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4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4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4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4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4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4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4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4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4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4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4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4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4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4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4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4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4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4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4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4" t="n">
        <v>23200</v>
      </c>
      <c r="V33" s="18" t="n">
        <v>23200</v>
      </c>
      <c r="W33" s="18" t="n">
        <v>17000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4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4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4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4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4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4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4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4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4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4" t="n">
        <v>860.42</v>
      </c>
      <c r="K36" s="9" t="n"/>
      <c r="P36" s="9" t="n"/>
      <c r="U36" s="9" t="n"/>
      <c r="Y36" s="18" t="n">
        <v>350.6</v>
      </c>
      <c r="Z36" s="34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4" t="n">
        <v>1410.42</v>
      </c>
      <c r="K37" s="9" t="n"/>
      <c r="P37" s="9" t="n"/>
      <c r="U37" s="9" t="n"/>
      <c r="Y37" s="18" t="n">
        <v>570.6</v>
      </c>
      <c r="Z37" s="34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4" t="n">
        <v>550</v>
      </c>
      <c r="K38" s="9" t="n"/>
      <c r="P38" s="9" t="n"/>
      <c r="U38" s="9" t="n"/>
      <c r="Y38" s="18" t="n">
        <v>220</v>
      </c>
      <c r="Z38" s="34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4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4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4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4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4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4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4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4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4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4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4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4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4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4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4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4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4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4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4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4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4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4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4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4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4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4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4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4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4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4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4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4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4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4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4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4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4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4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4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4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4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4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4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4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106082.86</v>
      </c>
      <c r="F48" s="34" t="n">
        <v>106082.86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4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4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4" t="n">
        <v>107350</v>
      </c>
      <c r="V48" s="18" t="n">
        <v>104650</v>
      </c>
      <c r="W48" s="18" t="n">
        <v>105940</v>
      </c>
      <c r="X48" s="18" t="n">
        <v>111900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92334.97</v>
      </c>
      <c r="F49" s="34" t="n">
        <v>92334.97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4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4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4" t="n">
        <v>95804.81</v>
      </c>
      <c r="V49" s="18" t="n">
        <v>73701.55</v>
      </c>
      <c r="W49" s="18" t="n">
        <v>86505.85000000001</v>
      </c>
      <c r="X49" s="18" t="n">
        <v>101691.42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4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4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4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4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4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G51" s="18" t="n">
        <v>86676.87</v>
      </c>
      <c r="H51" s="18" t="n">
        <v>92978.56</v>
      </c>
      <c r="I51" s="18" t="n">
        <v>97800</v>
      </c>
      <c r="J51" s="18" t="n">
        <v>90170</v>
      </c>
      <c r="K51" s="34" t="n">
        <v>90170</v>
      </c>
      <c r="L51" s="18" t="n">
        <v>105853</v>
      </c>
      <c r="M51" s="18" t="n">
        <v>95714</v>
      </c>
      <c r="N51" s="18" t="n">
        <v>98360</v>
      </c>
      <c r="O51" s="18" t="n">
        <v>68062.14</v>
      </c>
      <c r="P51" s="34" t="n">
        <v>68062.14</v>
      </c>
      <c r="Q51" s="18" t="n">
        <v>73100</v>
      </c>
      <c r="R51" s="18" t="n">
        <v>70400</v>
      </c>
      <c r="S51" s="18" t="n">
        <v>64850</v>
      </c>
      <c r="T51" s="18" t="n">
        <v>84150</v>
      </c>
      <c r="U51" s="34" t="n">
        <v>84150</v>
      </c>
      <c r="V51" s="18" t="n">
        <v>81450</v>
      </c>
      <c r="W51" s="18" t="n">
        <v>88940</v>
      </c>
      <c r="X51" s="18" t="n">
        <v>111900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4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Y55" s="18" t="n">
        <v>-2419.94</v>
      </c>
      <c r="Z55" s="34" t="n">
        <v>-2419.94</v>
      </c>
      <c r="AA55" s="18" t="n">
        <v>-2528.14</v>
      </c>
      <c r="AB55" s="19" t="n">
        <v>-2725.01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58902.71</v>
      </c>
      <c r="F56" s="9" t="n"/>
      <c r="G56" s="18" t="n">
        <v>61406.78</v>
      </c>
      <c r="H56" s="18" t="n">
        <v>64773.02</v>
      </c>
      <c r="I56" s="18" t="n">
        <v>57703.37</v>
      </c>
      <c r="J56" s="18" t="n">
        <v>61602.39</v>
      </c>
      <c r="K56" s="34" t="n">
        <v>245485.56</v>
      </c>
      <c r="L56" s="18" t="n">
        <v>61668.68</v>
      </c>
      <c r="M56" s="18" t="n">
        <v>66477.86</v>
      </c>
      <c r="N56" s="18" t="n">
        <v>58971.11</v>
      </c>
      <c r="O56" s="18" t="n">
        <v>61330.2</v>
      </c>
      <c r="P56" s="34" t="n">
        <v>248447.85</v>
      </c>
      <c r="Q56" s="18" t="n">
        <v>52985.62</v>
      </c>
      <c r="R56" s="18" t="n">
        <v>59840.34</v>
      </c>
      <c r="S56" s="18" t="n">
        <v>53110.99</v>
      </c>
      <c r="T56" s="18" t="n">
        <v>57511.33</v>
      </c>
      <c r="U56" s="34" t="n">
        <v>223448.28</v>
      </c>
      <c r="V56" s="18" t="n">
        <v>53367.27</v>
      </c>
      <c r="W56" s="18" t="n">
        <v>56100.88</v>
      </c>
      <c r="X56" s="18" t="n">
        <v>56009.15</v>
      </c>
      <c r="Y56" s="18" t="n">
        <v>53923.08</v>
      </c>
      <c r="Z56" s="34" t="n">
        <v>219400.38</v>
      </c>
      <c r="AA56" s="18" t="n">
        <v>66119.84</v>
      </c>
      <c r="AB56" s="19" t="n">
        <v>71721.12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53502.84</v>
      </c>
      <c r="F57" s="9" t="n"/>
      <c r="G57" s="18" t="n">
        <v>53759.67</v>
      </c>
      <c r="H57" s="18" t="n">
        <v>54115.03</v>
      </c>
      <c r="I57" s="18" t="n">
        <v>52667.07</v>
      </c>
      <c r="J57" s="18" t="n">
        <v>55099.8</v>
      </c>
      <c r="K57" s="34" t="n">
        <v>215641.57</v>
      </c>
      <c r="L57" s="18" t="n">
        <v>53646.3</v>
      </c>
      <c r="M57" s="18" t="n">
        <v>58263.47</v>
      </c>
      <c r="N57" s="18" t="n">
        <v>53509.25</v>
      </c>
      <c r="O57" s="18" t="n">
        <v>56589.92</v>
      </c>
      <c r="P57" s="34" t="n">
        <v>222008.94</v>
      </c>
      <c r="Q57" s="18" t="n">
        <v>46715.52</v>
      </c>
      <c r="R57" s="18" t="n">
        <v>53533.17</v>
      </c>
      <c r="S57" s="18" t="n">
        <v>47207.51</v>
      </c>
      <c r="T57" s="18" t="n">
        <v>52613.66</v>
      </c>
      <c r="U57" s="34" t="n">
        <v>200069.86</v>
      </c>
      <c r="V57" s="18" t="n">
        <v>48720.45</v>
      </c>
      <c r="W57" s="18" t="n">
        <v>47083.91</v>
      </c>
      <c r="X57" s="18" t="n">
        <v>48593.34</v>
      </c>
      <c r="Y57" s="18" t="n">
        <v>47530.01</v>
      </c>
      <c r="Z57" s="34" t="n">
        <v>191927.71</v>
      </c>
      <c r="AA57" s="18" t="n">
        <v>53140.94</v>
      </c>
      <c r="AB57" s="19" t="n">
        <v>57018.25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5399.86</v>
      </c>
      <c r="F58" s="9" t="n"/>
      <c r="G58" s="18" t="n">
        <v>7647.11</v>
      </c>
      <c r="H58" s="18" t="n">
        <v>10657.98</v>
      </c>
      <c r="I58" s="18" t="n">
        <v>5036.3</v>
      </c>
      <c r="J58" s="18" t="n">
        <v>6502.6</v>
      </c>
      <c r="K58" s="34" t="n">
        <v>29843.99</v>
      </c>
      <c r="L58" s="18" t="n">
        <v>8022.38</v>
      </c>
      <c r="M58" s="18" t="n">
        <v>8214.389999999999</v>
      </c>
      <c r="N58" s="18" t="n">
        <v>5461.86</v>
      </c>
      <c r="O58" s="18" t="n">
        <v>4740.28</v>
      </c>
      <c r="P58" s="34" t="n">
        <v>26438.91</v>
      </c>
      <c r="Q58" s="18" t="n">
        <v>6270.1</v>
      </c>
      <c r="R58" s="18" t="n">
        <v>6307.16</v>
      </c>
      <c r="S58" s="18" t="n">
        <v>5903.47</v>
      </c>
      <c r="T58" s="18" t="n">
        <v>4897.67</v>
      </c>
      <c r="U58" s="34" t="n">
        <v>23378.4</v>
      </c>
      <c r="V58" s="18" t="n">
        <v>4646.83</v>
      </c>
      <c r="W58" s="18" t="n">
        <v>9016.959999999999</v>
      </c>
      <c r="X58" s="18" t="n">
        <v>7415.81</v>
      </c>
      <c r="Y58" s="18" t="n">
        <v>6393.07</v>
      </c>
      <c r="Z58" s="34" t="n">
        <v>27472.67</v>
      </c>
      <c r="AA58" s="18" t="n">
        <v>12978.9</v>
      </c>
      <c r="AB58" s="19" t="n">
        <v>14702.87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3114.29</v>
      </c>
      <c r="F59" s="9" t="n"/>
      <c r="G59" s="18" t="n">
        <v>4143.02</v>
      </c>
      <c r="H59" s="18" t="n">
        <v>4370.3</v>
      </c>
      <c r="I59" s="18" t="n">
        <v>4400.23</v>
      </c>
      <c r="J59" s="18" t="n">
        <v>5645.22</v>
      </c>
      <c r="K59" s="34" t="n">
        <v>18558.77</v>
      </c>
      <c r="L59" s="18" t="n">
        <v>4549.21</v>
      </c>
      <c r="M59" s="18" t="n">
        <v>4858.2</v>
      </c>
      <c r="N59" s="18" t="n">
        <v>4518.83</v>
      </c>
      <c r="O59" s="18" t="n">
        <v>7390.44</v>
      </c>
      <c r="P59" s="34" t="n">
        <v>21316.68</v>
      </c>
      <c r="Q59" s="18" t="n">
        <v>4416.81</v>
      </c>
      <c r="R59" s="18" t="n">
        <v>4176.07</v>
      </c>
      <c r="S59" s="18" t="n">
        <v>4629.26</v>
      </c>
      <c r="T59" s="18" t="n">
        <v>4125.79</v>
      </c>
      <c r="U59" s="34" t="n">
        <v>17347.93</v>
      </c>
      <c r="V59" s="18" t="n">
        <v>4392.6</v>
      </c>
      <c r="W59" s="18" t="n">
        <v>3848.44</v>
      </c>
      <c r="X59" s="18" t="n">
        <v>4627.74</v>
      </c>
      <c r="Y59" s="18" t="n">
        <v>6429.21</v>
      </c>
      <c r="Z59" s="34" t="n">
        <v>19297.99</v>
      </c>
      <c r="AA59" s="18" t="n">
        <v>4818.98</v>
      </c>
      <c r="AB59" s="19" t="n">
        <v>5476.91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2285.57</v>
      </c>
      <c r="F60" s="9" t="n"/>
      <c r="G60" s="18" t="n">
        <v>3504.09</v>
      </c>
      <c r="H60" s="18" t="n">
        <v>6287.68</v>
      </c>
      <c r="I60" s="18" t="n">
        <v>636.08</v>
      </c>
      <c r="J60" s="18" t="n">
        <v>857.38</v>
      </c>
      <c r="K60" s="34" t="n">
        <v>11285.23</v>
      </c>
      <c r="L60" s="18" t="n">
        <v>3473.17</v>
      </c>
      <c r="M60" s="18" t="n">
        <v>3356.19</v>
      </c>
      <c r="N60" s="18" t="n">
        <v>943.03</v>
      </c>
      <c r="O60" s="18" t="n">
        <v>-2650.17</v>
      </c>
      <c r="P60" s="34" t="n">
        <v>5122.22</v>
      </c>
      <c r="Q60" s="18" t="n">
        <v>1853.28</v>
      </c>
      <c r="R60" s="18" t="n">
        <v>2131.09</v>
      </c>
      <c r="S60" s="18" t="n">
        <v>1274.21</v>
      </c>
      <c r="T60" s="18" t="n">
        <v>771.87</v>
      </c>
      <c r="U60" s="34" t="n">
        <v>6030.45</v>
      </c>
      <c r="V60" s="18" t="n">
        <v>254.23</v>
      </c>
      <c r="W60" s="18" t="n">
        <v>5168.52</v>
      </c>
      <c r="X60" s="18" t="n">
        <v>2788.07</v>
      </c>
      <c r="Y60" s="18" t="n">
        <v>-36.15</v>
      </c>
      <c r="Z60" s="34" t="n">
        <v>8174.67</v>
      </c>
      <c r="AA60" s="18" t="n">
        <v>8159.92</v>
      </c>
      <c r="AB60" s="19" t="n">
        <v>9225.959999999999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139.53</v>
      </c>
      <c r="F61" s="9" t="n"/>
      <c r="G61" s="18" t="n">
        <v>288.08</v>
      </c>
      <c r="H61" s="18" t="n">
        <v>655.8</v>
      </c>
      <c r="I61" s="18" t="n">
        <v>1094.05</v>
      </c>
      <c r="J61" s="18" t="n">
        <v>-128.25</v>
      </c>
      <c r="K61" s="34" t="n">
        <v>1909.68</v>
      </c>
      <c r="L61" s="18" t="n">
        <v>666.8099999999999</v>
      </c>
      <c r="M61" s="18" t="n">
        <v>299.59</v>
      </c>
      <c r="N61" s="18" t="n">
        <v>456.46</v>
      </c>
      <c r="O61" s="18" t="n">
        <v>265.08</v>
      </c>
      <c r="P61" s="34" t="n">
        <v>1687.94</v>
      </c>
      <c r="Q61" s="18" t="n">
        <v>558.67</v>
      </c>
      <c r="R61" s="18" t="n">
        <v>372.34</v>
      </c>
      <c r="S61" s="18" t="n">
        <v>58</v>
      </c>
      <c r="T61" s="18" t="n">
        <v>1006.06</v>
      </c>
      <c r="U61" s="34" t="n">
        <v>1995.07</v>
      </c>
      <c r="V61" s="18" t="n">
        <v>388.26</v>
      </c>
      <c r="W61" s="18" t="n">
        <v>4979.8</v>
      </c>
      <c r="X61" s="18" t="n">
        <v>7.12</v>
      </c>
      <c r="Y61" s="18" t="n">
        <v>-2612.72</v>
      </c>
      <c r="Z61" s="34" t="n">
        <v>2762.46</v>
      </c>
      <c r="AA61" s="18" t="n">
        <v>6882.92</v>
      </c>
      <c r="AB61" s="19" t="n">
        <v>13660.59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824.1900000000001</v>
      </c>
      <c r="F62" s="9" t="n"/>
      <c r="G62" s="18" t="n">
        <v>1211.56</v>
      </c>
      <c r="H62" s="18" t="n">
        <v>1157.98</v>
      </c>
      <c r="I62" s="18" t="n">
        <v>1070.87</v>
      </c>
      <c r="J62" s="18" t="n">
        <v>1949.48</v>
      </c>
      <c r="K62" s="34" t="n">
        <v>5389.89</v>
      </c>
      <c r="L62" s="18" t="n">
        <v>1837.02</v>
      </c>
      <c r="M62" s="18" t="n">
        <v>1721.34</v>
      </c>
      <c r="N62" s="18" t="n">
        <v>1717.07</v>
      </c>
      <c r="O62" s="18" t="n">
        <v>1729.87</v>
      </c>
      <c r="P62" s="34" t="n">
        <v>7005.3</v>
      </c>
      <c r="Q62" s="18" t="n">
        <v>1298.12</v>
      </c>
      <c r="R62" s="18" t="n">
        <v>1266.93</v>
      </c>
      <c r="S62" s="18" t="n">
        <v>1271.32</v>
      </c>
      <c r="T62" s="18" t="n">
        <v>896.5700000000001</v>
      </c>
      <c r="U62" s="34" t="n">
        <v>4732.94</v>
      </c>
      <c r="V62" s="18" t="n">
        <v>1160.4</v>
      </c>
      <c r="W62" s="18" t="n">
        <v>2654.33</v>
      </c>
      <c r="X62" s="18" t="n">
        <v>685.3200000000001</v>
      </c>
      <c r="Y62" s="18" t="n">
        <v>577.52</v>
      </c>
      <c r="Z62" s="34" t="n">
        <v>5077.57</v>
      </c>
      <c r="AA62" s="18" t="n">
        <v>19143.94</v>
      </c>
      <c r="AB62" s="19" t="n">
        <v>15289.12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370.5</v>
      </c>
      <c r="F63" s="9" t="n"/>
      <c r="G63" s="18" t="n">
        <v>9181.549999999999</v>
      </c>
      <c r="H63" s="18" t="n">
        <v>22.39</v>
      </c>
      <c r="I63" s="18" t="n">
        <v>108.46</v>
      </c>
      <c r="J63" s="18" t="n">
        <v>2346.04</v>
      </c>
      <c r="K63" s="34" t="n">
        <v>11658.44</v>
      </c>
      <c r="L63" s="18" t="n">
        <v>166.8</v>
      </c>
      <c r="M63" s="18" t="n">
        <v>113.4</v>
      </c>
      <c r="N63" s="18" t="n">
        <v>203.61</v>
      </c>
      <c r="O63" s="18" t="n">
        <v>171.49</v>
      </c>
      <c r="P63" s="34" t="n">
        <v>655.3</v>
      </c>
      <c r="Q63" s="18" t="n">
        <v>222.98</v>
      </c>
      <c r="R63" s="18" t="n">
        <v>97.73</v>
      </c>
      <c r="S63" s="18" t="n">
        <v>121.47</v>
      </c>
      <c r="T63" s="18" t="n">
        <v>68.3</v>
      </c>
      <c r="U63" s="34" t="n">
        <v>510.48</v>
      </c>
      <c r="V63" s="18" t="n">
        <v>45.81</v>
      </c>
      <c r="W63" s="18" t="n">
        <v>147.46</v>
      </c>
      <c r="X63" s="18" t="n">
        <v>211.99</v>
      </c>
      <c r="Y63" s="18" t="n">
        <v>86.91</v>
      </c>
      <c r="Z63" s="34" t="n">
        <v>492.17</v>
      </c>
      <c r="AA63" s="18" t="n">
        <v>161.21</v>
      </c>
      <c r="AB63" s="19" t="n">
        <v>80.14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48.02</v>
      </c>
      <c r="F64" s="9" t="n"/>
      <c r="G64" s="18" t="n">
        <v>234.91</v>
      </c>
      <c r="H64" s="18" t="n">
        <v>6.07</v>
      </c>
      <c r="I64" s="18" t="n">
        <v>10.77</v>
      </c>
      <c r="J64" s="18" t="n">
        <v>456.76</v>
      </c>
      <c r="K64" s="34" t="n">
        <v>708.51</v>
      </c>
      <c r="L64" s="18" t="n">
        <v>99.75</v>
      </c>
      <c r="M64" s="18" t="n">
        <v>297.51</v>
      </c>
      <c r="N64" s="18" t="n">
        <v>86.22</v>
      </c>
      <c r="O64" s="18" t="n">
        <v>2787.3</v>
      </c>
      <c r="P64" s="34" t="n">
        <v>3270.78</v>
      </c>
      <c r="Q64" s="18" t="n">
        <v>92.15000000000001</v>
      </c>
      <c r="R64" s="18" t="n">
        <v>19</v>
      </c>
      <c r="S64" s="18" t="n">
        <v>298.16</v>
      </c>
      <c r="T64" s="18" t="n">
        <v>2754.4</v>
      </c>
      <c r="U64" s="34" t="n">
        <v>3163.71</v>
      </c>
      <c r="V64" s="18" t="n">
        <v>8.23</v>
      </c>
      <c r="W64" s="18" t="n">
        <v>790.64</v>
      </c>
      <c r="X64" s="18" t="n">
        <v>208.99</v>
      </c>
      <c r="Y64" s="18" t="n">
        <v>335.94</v>
      </c>
      <c r="Z64" s="34" t="n">
        <v>1343.8</v>
      </c>
      <c r="AA64" s="18" t="n">
        <v>255.63</v>
      </c>
      <c r="AB64" s="19" t="n">
        <v>72.59999999999999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1902.96</v>
      </c>
      <c r="F65" s="9" t="n"/>
      <c r="G65" s="18" t="n">
        <v>11501.15</v>
      </c>
      <c r="H65" s="18" t="n">
        <v>5786.34</v>
      </c>
      <c r="I65" s="18" t="n">
        <v>734.27</v>
      </c>
      <c r="J65" s="18" t="n">
        <v>642.0599999999999</v>
      </c>
      <c r="K65" s="34" t="n">
        <v>18663.82</v>
      </c>
      <c r="L65" s="18" t="n">
        <v>2353.29</v>
      </c>
      <c r="M65" s="18" t="n">
        <v>1791.16</v>
      </c>
      <c r="N65" s="18" t="n">
        <v>-196.92</v>
      </c>
      <c r="O65" s="18" t="n">
        <v>-6733.52</v>
      </c>
      <c r="P65" s="34" t="n">
        <v>-2785.99</v>
      </c>
      <c r="Q65" s="18" t="n">
        <v>1240.57</v>
      </c>
      <c r="R65" s="18" t="n">
        <v>1306.65</v>
      </c>
      <c r="S65" s="18" t="n">
        <v>-120.63</v>
      </c>
      <c r="T65" s="18" t="n">
        <v>-1816.59</v>
      </c>
      <c r="U65" s="34" t="n">
        <v>610</v>
      </c>
      <c r="V65" s="18" t="n">
        <v>-518.84</v>
      </c>
      <c r="W65" s="18" t="n">
        <v>6850.82</v>
      </c>
      <c r="X65" s="18" t="n">
        <v>2112.87</v>
      </c>
      <c r="Y65" s="18" t="n">
        <v>-3475.41</v>
      </c>
      <c r="Z65" s="34" t="n">
        <v>4969.44</v>
      </c>
      <c r="AA65" s="18" t="n">
        <v>-4195.52</v>
      </c>
      <c r="AB65" s="19" t="n">
        <v>7604.98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2873.35</v>
      </c>
      <c r="F66" s="9" t="n"/>
      <c r="G66" s="18" t="n">
        <v>-2.82</v>
      </c>
      <c r="H66" s="18" t="n">
        <v>4315.52</v>
      </c>
      <c r="I66" s="18" t="n">
        <v>-2.82</v>
      </c>
      <c r="J66" s="18" t="n">
        <v>-610.78</v>
      </c>
      <c r="K66" s="34" t="n">
        <v>3699.1</v>
      </c>
      <c r="L66" s="18" t="n">
        <v>-7.15</v>
      </c>
      <c r="M66" s="18" t="n">
        <v>-913.29</v>
      </c>
      <c r="N66" s="18" t="n">
        <v>-0.41</v>
      </c>
      <c r="O66" s="18" t="n">
        <v>-416.23</v>
      </c>
      <c r="P66" s="34" t="n">
        <v>-1337.08</v>
      </c>
      <c r="Q66" s="18" t="n">
        <v>-0.41</v>
      </c>
      <c r="R66" s="18" t="n">
        <v>288.97</v>
      </c>
      <c r="S66" s="18" t="n">
        <v>117.95</v>
      </c>
      <c r="T66" s="18" t="n">
        <v>-279.54</v>
      </c>
      <c r="U66" s="34" t="n">
        <v>126.97</v>
      </c>
      <c r="V66" s="18" t="n">
        <v>-0.41</v>
      </c>
      <c r="W66" s="18" t="n">
        <v>1434.79</v>
      </c>
      <c r="X66" s="18" t="n">
        <v>2.24</v>
      </c>
      <c r="Y66" s="18" t="n">
        <v>-192.26</v>
      </c>
      <c r="Z66" s="34" t="n">
        <v>1244.36</v>
      </c>
      <c r="AA66" s="18" t="n">
        <v>-175.94</v>
      </c>
      <c r="AB66" s="19" t="n">
        <v>3637.52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-970.39</v>
      </c>
      <c r="F67" s="9" t="n"/>
      <c r="G67" s="18" t="n">
        <v>11503.97</v>
      </c>
      <c r="H67" s="18" t="n">
        <v>1470.82</v>
      </c>
      <c r="I67" s="18" t="n">
        <v>737.1</v>
      </c>
      <c r="J67" s="18" t="n">
        <v>1252.84</v>
      </c>
      <c r="K67" s="34" t="n">
        <v>14964.73</v>
      </c>
      <c r="L67" s="18" t="n">
        <v>2360.44</v>
      </c>
      <c r="M67" s="18" t="n">
        <v>2704.45</v>
      </c>
      <c r="N67" s="18" t="n">
        <v>-196.51</v>
      </c>
      <c r="O67" s="18" t="n">
        <v>-6317.29</v>
      </c>
      <c r="P67" s="34" t="n">
        <v>-1448.91</v>
      </c>
      <c r="Q67" s="18" t="n">
        <v>1240.97</v>
      </c>
      <c r="R67" s="18" t="n">
        <v>1017.68</v>
      </c>
      <c r="S67" s="18" t="n">
        <v>-238.58</v>
      </c>
      <c r="T67" s="18" t="n">
        <v>-1537.05</v>
      </c>
      <c r="U67" s="34" t="n">
        <v>483.02</v>
      </c>
      <c r="V67" s="18" t="n">
        <v>-518.4299999999999</v>
      </c>
      <c r="W67" s="18" t="n">
        <v>5416.03</v>
      </c>
      <c r="X67" s="18" t="n">
        <v>2110.64</v>
      </c>
      <c r="Y67" s="18" t="n">
        <v>-3283.15</v>
      </c>
      <c r="Z67" s="34" t="n">
        <v>3725.09</v>
      </c>
      <c r="AA67" s="18" t="n">
        <v>-4019.58</v>
      </c>
      <c r="AB67" s="19" t="n">
        <v>3967.47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-3113.61</v>
      </c>
      <c r="F68" s="9" t="n"/>
      <c r="G68" s="18" t="n">
        <v>12256.13</v>
      </c>
      <c r="H68" s="18" t="n">
        <v>765.64</v>
      </c>
      <c r="I68" s="18" t="n">
        <v>508.98</v>
      </c>
      <c r="J68" s="18" t="n">
        <v>1334.47</v>
      </c>
      <c r="K68" s="34" t="n">
        <v>14865.22</v>
      </c>
      <c r="L68" s="18" t="n">
        <v>2376.88</v>
      </c>
      <c r="M68" s="18" t="n">
        <v>1992.69</v>
      </c>
      <c r="N68" s="18" t="n">
        <v>-332.15</v>
      </c>
      <c r="O68" s="18" t="n">
        <v>-4772.34</v>
      </c>
      <c r="P68" s="34" t="n">
        <v>-734.92</v>
      </c>
      <c r="Q68" s="18" t="n">
        <v>500.84</v>
      </c>
      <c r="R68" s="18" t="n">
        <v>1536.42</v>
      </c>
      <c r="S68" s="18" t="n">
        <v>-319.44</v>
      </c>
      <c r="T68" s="18" t="n">
        <v>-3941.98</v>
      </c>
      <c r="U68" s="34" t="n">
        <v>-2224.16</v>
      </c>
      <c r="V68" s="18" t="n">
        <v>-150.47</v>
      </c>
      <c r="W68" s="18" t="n">
        <v>2440.84</v>
      </c>
      <c r="X68" s="18" t="n">
        <v>9651.469999999999</v>
      </c>
      <c r="Y68" s="18" t="n">
        <v>-4836.34</v>
      </c>
      <c r="Z68" s="34" t="n">
        <v>7105.5</v>
      </c>
      <c r="AA68" s="18" t="n">
        <v>-2913.94</v>
      </c>
      <c r="AB68" s="19" t="n">
        <v>3357.04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-1129.46</v>
      </c>
      <c r="F69" s="9" t="n"/>
      <c r="G69" s="18" t="n">
        <v>11212.72</v>
      </c>
      <c r="H69" s="18" t="n">
        <v>1203.96</v>
      </c>
      <c r="I69" s="18" t="n">
        <v>198.34</v>
      </c>
      <c r="J69" s="18" t="n">
        <v>1206.51</v>
      </c>
      <c r="K69" s="34" t="n">
        <v>13821.53</v>
      </c>
      <c r="L69" s="18" t="n">
        <v>1966.42</v>
      </c>
      <c r="M69" s="18" t="n">
        <v>2391.05</v>
      </c>
      <c r="N69" s="18" t="n">
        <v>-355.6</v>
      </c>
      <c r="O69" s="18" t="n">
        <v>-6327.72</v>
      </c>
      <c r="P69" s="34" t="n">
        <v>-2325.85</v>
      </c>
      <c r="Q69" s="18" t="n">
        <v>604.67</v>
      </c>
      <c r="R69" s="18" t="n">
        <v>605.39</v>
      </c>
      <c r="S69" s="18" t="n">
        <v>-347.75</v>
      </c>
      <c r="T69" s="18" t="n">
        <v>-2090.79</v>
      </c>
      <c r="U69" s="34" t="n">
        <v>-1228.48</v>
      </c>
      <c r="V69" s="18" t="n">
        <v>-1207.59</v>
      </c>
      <c r="W69" s="18" t="n">
        <v>3764.89</v>
      </c>
      <c r="X69" s="18" t="n">
        <v>1099.91</v>
      </c>
      <c r="Y69" s="18" t="n">
        <v>-3330.32</v>
      </c>
      <c r="Z69" s="34" t="n">
        <v>326.89</v>
      </c>
      <c r="AA69" s="18" t="n">
        <v>-2098.52</v>
      </c>
      <c r="AB69" s="19" t="n">
        <v>3002.42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E70" s="18" t="n">
        <v>159.08</v>
      </c>
      <c r="F70" s="9" t="n"/>
      <c r="G70" s="18" t="n">
        <v>291.26</v>
      </c>
      <c r="H70" s="18" t="n">
        <v>266.86</v>
      </c>
      <c r="I70" s="18" t="n">
        <v>538.76</v>
      </c>
      <c r="J70" s="18" t="n">
        <v>46.32</v>
      </c>
      <c r="K70" s="34" t="n">
        <v>1143.2</v>
      </c>
      <c r="L70" s="18" t="n">
        <v>394.02</v>
      </c>
      <c r="M70" s="18" t="n">
        <v>313.4</v>
      </c>
      <c r="N70" s="18" t="n">
        <v>159.09</v>
      </c>
      <c r="O70" s="18" t="n">
        <v>10.43</v>
      </c>
      <c r="P70" s="34" t="n">
        <v>876.9400000000001</v>
      </c>
      <c r="Q70" s="18" t="n">
        <v>636.3099999999999</v>
      </c>
      <c r="R70" s="18" t="n">
        <v>412.29</v>
      </c>
      <c r="S70" s="18" t="n">
        <v>109.17</v>
      </c>
      <c r="T70" s="18" t="n">
        <v>553.74</v>
      </c>
      <c r="U70" s="34" t="n">
        <v>1711.51</v>
      </c>
      <c r="V70" s="18" t="n">
        <v>689.16</v>
      </c>
      <c r="W70" s="18" t="n">
        <v>1617.29</v>
      </c>
      <c r="X70" s="18" t="n">
        <v>1010.72</v>
      </c>
      <c r="Y70" s="18" t="n">
        <v>47.17</v>
      </c>
      <c r="Z70" s="34" t="n">
        <v>3364.34</v>
      </c>
      <c r="AA70" s="18" t="n">
        <v>-1921.06</v>
      </c>
      <c r="AB70" s="19" t="n">
        <v>965.04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-684.66</v>
      </c>
      <c r="F71" s="9" t="n"/>
      <c r="G71" s="18" t="n">
        <v>-923.48</v>
      </c>
      <c r="H71" s="18" t="n">
        <v>-502.18</v>
      </c>
      <c r="I71" s="18" t="n">
        <v>23.18</v>
      </c>
      <c r="J71" s="18" t="n">
        <v>-2077.73</v>
      </c>
      <c r="K71" s="34" t="n">
        <v>-3480.21</v>
      </c>
      <c r="L71" s="18" t="n">
        <v>-1170.21</v>
      </c>
      <c r="M71" s="18" t="n">
        <v>-1421.75</v>
      </c>
      <c r="N71" s="18" t="n">
        <v>-1260.61</v>
      </c>
      <c r="O71" s="18" t="n">
        <v>-1464.79</v>
      </c>
      <c r="P71" s="34" t="n">
        <v>-5317.36</v>
      </c>
      <c r="Q71" s="18" t="n">
        <v>-739.45</v>
      </c>
      <c r="R71" s="18" t="n">
        <v>-894.59</v>
      </c>
      <c r="S71" s="18" t="n">
        <v>-1213.32</v>
      </c>
      <c r="T71" s="18" t="n">
        <v>109.49</v>
      </c>
      <c r="U71" s="34" t="n">
        <v>-2737.87</v>
      </c>
      <c r="V71" s="18" t="n">
        <v>-772.14</v>
      </c>
      <c r="W71" s="18" t="n">
        <v>2325.47</v>
      </c>
      <c r="X71" s="18" t="n">
        <v>-678.2</v>
      </c>
      <c r="Y71" s="18" t="n">
        <v>-3190.24</v>
      </c>
      <c r="Z71" s="34" t="n">
        <v>-2315.11</v>
      </c>
      <c r="AA71" s="18" t="n">
        <v>-12261.02</v>
      </c>
      <c r="AB71" s="19" t="n">
        <v>-1628.53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322.48</v>
      </c>
      <c r="F72" s="9" t="n"/>
      <c r="G72" s="18" t="n">
        <v>8946.639999999999</v>
      </c>
      <c r="H72" s="18" t="n">
        <v>16.32</v>
      </c>
      <c r="I72" s="18" t="n">
        <v>97.69</v>
      </c>
      <c r="J72" s="18" t="n">
        <v>1889.28</v>
      </c>
      <c r="K72" s="34" t="n">
        <v>10949.93</v>
      </c>
      <c r="L72" s="18" t="n">
        <v>67.05</v>
      </c>
      <c r="M72" s="18" t="n">
        <v>-184.11</v>
      </c>
      <c r="N72" s="18" t="n">
        <v>117.39</v>
      </c>
      <c r="O72" s="18" t="n">
        <v>-2615.81</v>
      </c>
      <c r="P72" s="34" t="n">
        <v>-2615.48</v>
      </c>
      <c r="Q72" s="18" t="n">
        <v>130.83</v>
      </c>
      <c r="R72" s="18" t="n">
        <v>78.73</v>
      </c>
      <c r="S72" s="18" t="n">
        <v>-176.69</v>
      </c>
      <c r="T72" s="18" t="n">
        <v>-2686.1</v>
      </c>
      <c r="U72" s="34" t="n">
        <v>-2653.23</v>
      </c>
      <c r="V72" s="18" t="n">
        <v>37.58</v>
      </c>
      <c r="W72" s="18" t="n">
        <v>-643.1799999999999</v>
      </c>
      <c r="X72" s="18" t="n">
        <v>3</v>
      </c>
      <c r="Y72" s="18" t="n">
        <v>-249.03</v>
      </c>
      <c r="Z72" s="34" t="n">
        <v>-851.63</v>
      </c>
      <c r="AA72" s="18" t="n">
        <v>-94.42</v>
      </c>
      <c r="AB72" s="19" t="n">
        <v>7.54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-970.39</v>
      </c>
      <c r="F73" s="9" t="n"/>
      <c r="G73" s="18" t="n">
        <v>11503.97</v>
      </c>
      <c r="H73" s="18" t="n">
        <v>1470.82</v>
      </c>
      <c r="I73" s="18" t="n">
        <v>737.1</v>
      </c>
      <c r="J73" s="18" t="n">
        <v>1252.84</v>
      </c>
      <c r="K73" s="34" t="n">
        <v>14964.73</v>
      </c>
      <c r="L73" s="18" t="n">
        <v>2360.44</v>
      </c>
      <c r="M73" s="18" t="n">
        <v>2704.45</v>
      </c>
      <c r="N73" s="18" t="n">
        <v>-196.51</v>
      </c>
      <c r="O73" s="18" t="n">
        <v>-6317.29</v>
      </c>
      <c r="P73" s="34" t="n">
        <v>-1448.91</v>
      </c>
      <c r="Q73" s="18" t="n">
        <v>1240.97</v>
      </c>
      <c r="R73" s="18" t="n">
        <v>1017.68</v>
      </c>
      <c r="S73" s="18" t="n">
        <v>-238.58</v>
      </c>
      <c r="T73" s="18" t="n">
        <v>-1537.05</v>
      </c>
      <c r="U73" s="34" t="n">
        <v>483.02</v>
      </c>
      <c r="V73" s="18" t="n">
        <v>-518.4299999999999</v>
      </c>
      <c r="W73" s="18" t="n">
        <v>5416.03</v>
      </c>
      <c r="X73" s="18" t="n">
        <v>2110.64</v>
      </c>
      <c r="Y73" s="18" t="n">
        <v>-3283.15</v>
      </c>
      <c r="Z73" s="34" t="n">
        <v>3725.09</v>
      </c>
      <c r="AA73" s="18" t="n">
        <v>-4019.58</v>
      </c>
      <c r="AB73" s="19" t="n">
        <v>3967.47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23553.35</v>
      </c>
      <c r="F74" s="9" t="n"/>
      <c r="G74" s="18" t="n">
        <v>-6348.39</v>
      </c>
      <c r="H74" s="18" t="n">
        <v>-10704.54</v>
      </c>
      <c r="I74" s="18" t="n">
        <v>219.35</v>
      </c>
      <c r="J74" s="18" t="n">
        <v>7160.8</v>
      </c>
      <c r="K74" s="34" t="n">
        <v>-9672.780000000001</v>
      </c>
      <c r="L74" s="18" t="n">
        <v>-12823.7</v>
      </c>
      <c r="M74" s="18" t="n">
        <v>1188.99</v>
      </c>
      <c r="N74" s="18" t="n">
        <v>-1097.21</v>
      </c>
      <c r="O74" s="18" t="n">
        <v>17935.62</v>
      </c>
      <c r="P74" s="34" t="n">
        <v>5203.7</v>
      </c>
      <c r="Q74" s="18" t="n">
        <v>-6817.31</v>
      </c>
      <c r="R74" s="18" t="n">
        <v>-141.65</v>
      </c>
      <c r="S74" s="18" t="n">
        <v>7484.89</v>
      </c>
      <c r="T74" s="18" t="n">
        <v>-4376.7</v>
      </c>
      <c r="U74" s="34" t="n">
        <v>-3850.77</v>
      </c>
      <c r="V74" s="18" t="n">
        <v>8809.92</v>
      </c>
      <c r="W74" s="18" t="n">
        <v>-4361.97</v>
      </c>
      <c r="X74" s="18" t="n">
        <v>-1827.95</v>
      </c>
      <c r="Y74" s="18" t="n">
        <v>-5555.15</v>
      </c>
      <c r="Z74" s="34" t="n">
        <v>-2935.15</v>
      </c>
      <c r="AA74" s="18" t="n">
        <v>9937.16</v>
      </c>
      <c r="AB74" s="19" t="n">
        <v>3266.37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감가상각비</t>
        </is>
      </c>
      <c r="E75" s="18" t="n">
        <v>1278.99</v>
      </c>
      <c r="F75" s="9" t="n"/>
      <c r="G75" s="18" t="n">
        <v>1295.36</v>
      </c>
      <c r="H75" s="18" t="n">
        <v>1319.42</v>
      </c>
      <c r="I75" s="18" t="n">
        <v>1299.61</v>
      </c>
      <c r="J75" s="18" t="n">
        <v>1311.88</v>
      </c>
      <c r="K75" s="34" t="n">
        <v>5226.27</v>
      </c>
      <c r="L75" s="18" t="n">
        <v>1306.27</v>
      </c>
      <c r="M75" s="18" t="n">
        <v>1315.98</v>
      </c>
      <c r="N75" s="18" t="n">
        <v>1248.51</v>
      </c>
      <c r="O75" s="18" t="n">
        <v>1256.47</v>
      </c>
      <c r="P75" s="34" t="n">
        <v>5127.23</v>
      </c>
      <c r="Q75" s="18" t="n">
        <v>1098.99</v>
      </c>
      <c r="R75" s="18" t="n">
        <v>1073.65</v>
      </c>
      <c r="S75" s="18" t="n">
        <v>1092.27</v>
      </c>
      <c r="T75" s="18" t="n">
        <v>1114.48</v>
      </c>
      <c r="U75" s="34" t="n">
        <v>4379.39</v>
      </c>
      <c r="V75" s="18" t="n">
        <v>851.96</v>
      </c>
      <c r="W75" s="18" t="n">
        <v>866.21</v>
      </c>
      <c r="X75" s="18" t="n">
        <v>843.39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무형자산상각비</t>
        </is>
      </c>
      <c r="E76" s="18" t="n">
        <v>20.36</v>
      </c>
      <c r="F76" s="9" t="n"/>
      <c r="G76" s="18" t="n">
        <v>19.59</v>
      </c>
      <c r="H76" s="18" t="n">
        <v>17.77</v>
      </c>
      <c r="I76" s="18" t="n">
        <v>17.86</v>
      </c>
      <c r="J76" s="18" t="n">
        <v>17.86</v>
      </c>
      <c r="K76" s="34" t="n">
        <v>73.08</v>
      </c>
      <c r="L76" s="18" t="n">
        <v>12.13</v>
      </c>
      <c r="M76" s="18" t="n">
        <v>12.41</v>
      </c>
      <c r="N76" s="18" t="n">
        <v>12.39</v>
      </c>
      <c r="O76" s="18" t="n">
        <v>10.21</v>
      </c>
      <c r="P76" s="34" t="n">
        <v>47.14</v>
      </c>
      <c r="Q76" s="18" t="n">
        <v>8.630000000000001</v>
      </c>
      <c r="R76" s="18" t="n">
        <v>7.59</v>
      </c>
      <c r="S76" s="18" t="n">
        <v>8.02</v>
      </c>
      <c r="T76" s="18" t="n">
        <v>8.710000000000001</v>
      </c>
      <c r="U76" s="34" t="n">
        <v>32.95</v>
      </c>
      <c r="V76" s="18" t="n">
        <v>7.49</v>
      </c>
      <c r="W76" s="18" t="n">
        <v>6.68</v>
      </c>
      <c r="X76" s="18" t="n">
        <v>7.57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-11.17</v>
      </c>
      <c r="F77" s="9" t="n"/>
      <c r="G77" s="18" t="n">
        <v>-1404.33</v>
      </c>
      <c r="H77" s="18" t="n">
        <v>-1727.34</v>
      </c>
      <c r="I77" s="18" t="n">
        <v>-1500.5</v>
      </c>
      <c r="J77" s="18" t="n">
        <v>-17.19</v>
      </c>
      <c r="K77" s="34" t="n">
        <v>-4649.36</v>
      </c>
      <c r="L77" s="18" t="n">
        <v>-1391.98</v>
      </c>
      <c r="M77" s="18" t="n">
        <v>-1852.12</v>
      </c>
      <c r="N77" s="18" t="n">
        <v>-762.86</v>
      </c>
      <c r="O77" s="18" t="n">
        <v>-238.98</v>
      </c>
      <c r="P77" s="34" t="n">
        <v>-4245.94</v>
      </c>
      <c r="Q77" s="18" t="n">
        <v>-11.53</v>
      </c>
      <c r="R77" s="18" t="n">
        <v>-210.94</v>
      </c>
      <c r="S77" s="18" t="n">
        <v>-391.63</v>
      </c>
      <c r="T77" s="18" t="n">
        <v>-31.95</v>
      </c>
      <c r="U77" s="34" t="n">
        <v>-646.05</v>
      </c>
      <c r="V77" s="18" t="n">
        <v>-422.59</v>
      </c>
      <c r="W77" s="18" t="n">
        <v>-648.27</v>
      </c>
      <c r="X77" s="18" t="n">
        <v>-389.91</v>
      </c>
      <c r="Y77" s="18" t="n">
        <v>192.09</v>
      </c>
      <c r="Z77" s="34" t="n">
        <v>-1268.68</v>
      </c>
      <c r="AA77" s="18" t="n">
        <v>-189.75</v>
      </c>
      <c r="AB77" s="19" t="n">
        <v>-526.88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-4511.4</v>
      </c>
      <c r="F78" s="9" t="n"/>
      <c r="G78" s="18" t="n">
        <v>21693.73</v>
      </c>
      <c r="H78" s="18" t="n">
        <v>-4321.42</v>
      </c>
      <c r="I78" s="18" t="n">
        <v>-3187.64</v>
      </c>
      <c r="J78" s="18" t="n">
        <v>3453.97</v>
      </c>
      <c r="K78" s="34" t="n">
        <v>17638.64</v>
      </c>
      <c r="L78" s="18" t="n">
        <v>-2001.56</v>
      </c>
      <c r="M78" s="18" t="n">
        <v>-4935.14</v>
      </c>
      <c r="N78" s="18" t="n">
        <v>-8376.209999999999</v>
      </c>
      <c r="O78" s="18" t="n">
        <v>-4173.14</v>
      </c>
      <c r="P78" s="34" t="n">
        <v>-19486.05</v>
      </c>
      <c r="Q78" s="18" t="n">
        <v>-1645.65</v>
      </c>
      <c r="R78" s="18" t="n">
        <v>1090.63</v>
      </c>
      <c r="S78" s="18" t="n">
        <v>-661.97</v>
      </c>
      <c r="T78" s="18" t="n">
        <v>-16134.44</v>
      </c>
      <c r="U78" s="34" t="n">
        <v>-17351.43</v>
      </c>
      <c r="V78" s="18" t="n">
        <v>-24517</v>
      </c>
      <c r="W78" s="18" t="n">
        <v>-3436.67</v>
      </c>
      <c r="X78" s="18" t="n">
        <v>-4204.69</v>
      </c>
      <c r="Y78" s="18" t="n">
        <v>2914.7</v>
      </c>
      <c r="Z78" s="34" t="n">
        <v>-29243.66</v>
      </c>
      <c r="AA78" s="18" t="n">
        <v>-29771.08</v>
      </c>
      <c r="AB78" s="19" t="n">
        <v>-1704.77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1461.21</v>
      </c>
      <c r="F79" s="9" t="n"/>
      <c r="G79" s="18" t="n">
        <v>872.5</v>
      </c>
      <c r="H79" s="18" t="n">
        <v>4046.33</v>
      </c>
      <c r="I79" s="18" t="n">
        <v>1166.19</v>
      </c>
      <c r="J79" s="18" t="n">
        <v>829.17</v>
      </c>
      <c r="K79" s="34" t="n">
        <v>6914.19</v>
      </c>
      <c r="L79" s="18" t="n">
        <v>615.67</v>
      </c>
      <c r="M79" s="18" t="n">
        <v>4180.02</v>
      </c>
      <c r="N79" s="18" t="n">
        <v>7424.12</v>
      </c>
      <c r="O79" s="18" t="n">
        <v>5329.47</v>
      </c>
      <c r="P79" s="34" t="n">
        <v>17549.28</v>
      </c>
      <c r="Q79" s="18" t="n">
        <v>361.59</v>
      </c>
      <c r="R79" s="18" t="n">
        <v>725.09</v>
      </c>
      <c r="S79" s="18" t="n">
        <v>768.98</v>
      </c>
      <c r="T79" s="18" t="n">
        <v>5507.34</v>
      </c>
      <c r="U79" s="34" t="n">
        <v>7363</v>
      </c>
      <c r="V79" s="18" t="n">
        <v>7279.15</v>
      </c>
      <c r="W79" s="18" t="n">
        <v>7614.47</v>
      </c>
      <c r="X79" s="18" t="n">
        <v>11619.69</v>
      </c>
      <c r="Y79" s="18" t="n">
        <v>10652.03</v>
      </c>
      <c r="Z79" s="34" t="n">
        <v>37165.34</v>
      </c>
      <c r="AA79" s="18" t="n">
        <v>20972.69</v>
      </c>
      <c r="AB79" s="19" t="n">
        <v>11426.04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1461.21</v>
      </c>
      <c r="F80" s="9" t="n"/>
      <c r="G80" s="18" t="n">
        <v>874.75</v>
      </c>
      <c r="H80" s="18" t="n">
        <v>4046.33</v>
      </c>
      <c r="I80" s="18" t="n">
        <v>1169.97</v>
      </c>
      <c r="J80" s="18" t="n">
        <v>829.17</v>
      </c>
      <c r="K80" s="34" t="n">
        <v>6920.22</v>
      </c>
      <c r="L80" s="18" t="n">
        <v>637.27</v>
      </c>
      <c r="M80" s="18" t="n">
        <v>4190.72</v>
      </c>
      <c r="N80" s="18" t="n">
        <v>7424.12</v>
      </c>
      <c r="O80" s="18" t="n">
        <v>5329.47</v>
      </c>
      <c r="P80" s="34" t="n">
        <v>17581.58</v>
      </c>
      <c r="Q80" s="18" t="n">
        <v>361.59</v>
      </c>
      <c r="R80" s="18" t="n">
        <v>725.09</v>
      </c>
      <c r="S80" s="18" t="n">
        <v>788.8099999999999</v>
      </c>
      <c r="T80" s="18" t="n">
        <v>5546.16</v>
      </c>
      <c r="U80" s="34" t="n">
        <v>7421.65</v>
      </c>
      <c r="V80" s="18" t="n">
        <v>7303.32</v>
      </c>
      <c r="W80" s="18" t="n">
        <v>8329.51</v>
      </c>
      <c r="X80" s="18" t="n">
        <v>10880.48</v>
      </c>
      <c r="Y80" s="18" t="n">
        <v>10652.03</v>
      </c>
      <c r="Z80" s="34" t="n">
        <v>37165.34</v>
      </c>
      <c r="AA80" s="18" t="n">
        <v>20972.69</v>
      </c>
      <c r="AB80" s="19" t="n">
        <v>11426.04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G81" s="18" t="n">
        <v>2.25</v>
      </c>
      <c r="H81" s="18" t="n">
        <v>0</v>
      </c>
      <c r="I81" s="18" t="n">
        <v>3.78</v>
      </c>
      <c r="J81" s="18" t="n">
        <v>0</v>
      </c>
      <c r="K81" s="34" t="n">
        <v>6.03</v>
      </c>
      <c r="L81" s="18" t="n">
        <v>21.6</v>
      </c>
      <c r="M81" s="18" t="n">
        <v>10.7</v>
      </c>
      <c r="N81" s="18" t="n">
        <v>0</v>
      </c>
      <c r="O81" s="18" t="n">
        <v>0</v>
      </c>
      <c r="P81" s="34" t="n">
        <v>32.3</v>
      </c>
      <c r="T81" s="18" t="n">
        <v>38.82</v>
      </c>
      <c r="U81" s="9" t="n"/>
      <c r="V81" s="18" t="n">
        <v>24.17</v>
      </c>
      <c r="W81" s="18" t="n">
        <v>715.04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-7210.76</v>
      </c>
      <c r="F82" s="9" t="n"/>
      <c r="G82" s="18" t="n">
        <v>-13505.41</v>
      </c>
      <c r="H82" s="18" t="n">
        <v>6196.49</v>
      </c>
      <c r="I82" s="18" t="n">
        <v>4480.16</v>
      </c>
      <c r="J82" s="18" t="n">
        <v>-8195.42</v>
      </c>
      <c r="K82" s="34" t="n">
        <v>-11024.18</v>
      </c>
      <c r="L82" s="18" t="n">
        <v>9567.15</v>
      </c>
      <c r="M82" s="18" t="n">
        <v>5133.36</v>
      </c>
      <c r="N82" s="18" t="n">
        <v>11018.27</v>
      </c>
      <c r="O82" s="18" t="n">
        <v>-4436</v>
      </c>
      <c r="P82" s="34" t="n">
        <v>21282.78</v>
      </c>
      <c r="Q82" s="18" t="n">
        <v>4898.6</v>
      </c>
      <c r="R82" s="18" t="n">
        <v>-2853.68</v>
      </c>
      <c r="S82" s="18" t="n">
        <v>-6130.98</v>
      </c>
      <c r="T82" s="18" t="n">
        <v>19194.24</v>
      </c>
      <c r="U82" s="34" t="n">
        <v>15108.18</v>
      </c>
      <c r="V82" s="18" t="n">
        <v>17897.1</v>
      </c>
      <c r="W82" s="18" t="n">
        <v>1109.67</v>
      </c>
      <c r="X82" s="18" t="n">
        <v>5805.41</v>
      </c>
      <c r="Y82" s="18" t="n">
        <v>26479.46</v>
      </c>
      <c r="Z82" s="34" t="n">
        <v>51291.64</v>
      </c>
      <c r="AA82" s="18" t="n">
        <v>8785.690000000001</v>
      </c>
      <c r="AB82" s="19" t="n">
        <v>1349.6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26394.16</v>
      </c>
      <c r="F83" s="9" t="n"/>
      <c r="G83" s="18" t="n">
        <v>20607.81</v>
      </c>
      <c r="H83" s="18" t="n">
        <v>51739.57</v>
      </c>
      <c r="I83" s="18" t="n">
        <v>40208.48</v>
      </c>
      <c r="J83" s="18" t="n">
        <v>43501.19</v>
      </c>
      <c r="K83" s="34" t="n">
        <v>156057.05</v>
      </c>
      <c r="L83" s="18" t="n">
        <v>48530.94</v>
      </c>
      <c r="M83" s="18" t="n">
        <v>71058.95</v>
      </c>
      <c r="N83" s="18" t="n">
        <v>67856.27</v>
      </c>
      <c r="O83" s="18" t="n">
        <v>19120.18</v>
      </c>
      <c r="P83" s="34" t="n">
        <v>206566.34</v>
      </c>
      <c r="Q83" s="18" t="n">
        <v>59203.05</v>
      </c>
      <c r="R83" s="18" t="n">
        <v>40073.7</v>
      </c>
      <c r="S83" s="18" t="n">
        <v>44038.24</v>
      </c>
      <c r="T83" s="18" t="n">
        <v>53570.48</v>
      </c>
      <c r="U83" s="34" t="n">
        <v>196885.47</v>
      </c>
      <c r="V83" s="18" t="n">
        <v>54408.19</v>
      </c>
      <c r="W83" s="18" t="n">
        <v>44444.9</v>
      </c>
      <c r="X83" s="18" t="n">
        <v>54854.28</v>
      </c>
      <c r="Y83" s="18" t="n">
        <v>38109.87</v>
      </c>
      <c r="Z83" s="34" t="n">
        <v>191817.24</v>
      </c>
      <c r="AA83" s="18" t="n">
        <v>31000.03</v>
      </c>
      <c r="AB83" s="19" t="n">
        <v>23769.97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0</v>
      </c>
      <c r="F84" s="9" t="n"/>
      <c r="K84" s="9" t="n"/>
      <c r="N84" s="18" t="n">
        <v>7100</v>
      </c>
      <c r="O84" s="18" t="n">
        <v>2000</v>
      </c>
      <c r="P84" s="9" t="n"/>
      <c r="T84" s="18" t="n">
        <v>0</v>
      </c>
      <c r="U84" s="9" t="n"/>
      <c r="Z84" s="9" t="n"/>
      <c r="AA84" s="18" t="n">
        <v>10000</v>
      </c>
      <c r="AB84" s="19" t="n">
        <v>2125.22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단기차입금의감소</t>
        </is>
      </c>
      <c r="E85" s="18" t="n">
        <v>32215.18</v>
      </c>
      <c r="F85" s="9" t="n"/>
      <c r="G85" s="18" t="n">
        <v>29636.97</v>
      </c>
      <c r="H85" s="18" t="n">
        <v>45239.56</v>
      </c>
      <c r="I85" s="18" t="n">
        <v>35208.48</v>
      </c>
      <c r="J85" s="18" t="n">
        <v>51131.19</v>
      </c>
      <c r="K85" s="34" t="n">
        <v>161216.2</v>
      </c>
      <c r="L85" s="18" t="n">
        <v>38847.94</v>
      </c>
      <c r="M85" s="18" t="n">
        <v>67597.95</v>
      </c>
      <c r="N85" s="18" t="n">
        <v>60310.27</v>
      </c>
      <c r="O85" s="18" t="n">
        <v>50418.3</v>
      </c>
      <c r="P85" s="34" t="n">
        <v>217174.46</v>
      </c>
      <c r="Q85" s="18" t="n">
        <v>48165.2</v>
      </c>
      <c r="R85" s="18" t="n">
        <v>42773.69</v>
      </c>
      <c r="S85" s="18" t="n">
        <v>49588.25</v>
      </c>
      <c r="T85" s="18" t="n">
        <v>34270.47</v>
      </c>
      <c r="U85" s="34" t="n">
        <v>174797.61</v>
      </c>
      <c r="V85" s="18" t="n">
        <v>57608.19</v>
      </c>
      <c r="W85" s="18" t="n">
        <v>42754.9</v>
      </c>
      <c r="X85" s="18" t="n">
        <v>48894.28</v>
      </c>
      <c r="Y85" s="18" t="n">
        <v>37809.87</v>
      </c>
      <c r="Z85" s="34" t="n">
        <v>187067.24</v>
      </c>
      <c r="AA85" s="18" t="n">
        <v>32300.03</v>
      </c>
      <c r="AB85" s="19" t="n">
        <v>17469.97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E86" s="18" t="n">
        <v>1267.59</v>
      </c>
      <c r="F86" s="9" t="n"/>
      <c r="G86" s="18" t="n">
        <v>2055.43</v>
      </c>
      <c r="H86" s="18" t="n">
        <v>198.31</v>
      </c>
      <c r="I86" s="18" t="n">
        <v>178.56</v>
      </c>
      <c r="J86" s="18" t="n">
        <v>0</v>
      </c>
      <c r="K86" s="34" t="n">
        <v>2432.3</v>
      </c>
      <c r="N86" s="18" t="n">
        <v>3500</v>
      </c>
      <c r="O86" s="18" t="n">
        <v>0</v>
      </c>
      <c r="P86" s="9" t="n"/>
      <c r="Q86" s="18" t="n">
        <v>6000</v>
      </c>
      <c r="R86" s="18" t="n">
        <v>0</v>
      </c>
      <c r="S86" s="18" t="n">
        <v>0</v>
      </c>
      <c r="T86" s="18" t="n">
        <v>0</v>
      </c>
      <c r="U86" s="34" t="n">
        <v>6000</v>
      </c>
      <c r="X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23662.07</v>
      </c>
      <c r="F87" s="9" t="n"/>
      <c r="G87" s="18" t="n">
        <v>1839.93</v>
      </c>
      <c r="H87" s="18" t="n">
        <v>-8829.469999999999</v>
      </c>
      <c r="I87" s="18" t="n">
        <v>1511.88</v>
      </c>
      <c r="J87" s="18" t="n">
        <v>2419.34</v>
      </c>
      <c r="K87" s="34" t="n">
        <v>-3058.32</v>
      </c>
      <c r="L87" s="18" t="n">
        <v>-5258.1</v>
      </c>
      <c r="M87" s="18" t="n">
        <v>1387.19</v>
      </c>
      <c r="N87" s="18" t="n">
        <v>1544.87</v>
      </c>
      <c r="O87" s="18" t="n">
        <v>9326.469999999999</v>
      </c>
      <c r="P87" s="34" t="n">
        <v>7000.43</v>
      </c>
      <c r="Q87" s="18" t="n">
        <v>-3564.36</v>
      </c>
      <c r="R87" s="18" t="n">
        <v>-1904.71</v>
      </c>
      <c r="S87" s="18" t="n">
        <v>691.95</v>
      </c>
      <c r="T87" s="18" t="n">
        <v>-1316.89</v>
      </c>
      <c r="U87" s="34" t="n">
        <v>-6094.01</v>
      </c>
      <c r="V87" s="18" t="n">
        <v>2190.02</v>
      </c>
      <c r="W87" s="18" t="n">
        <v>-6688.97</v>
      </c>
      <c r="X87" s="18" t="n">
        <v>-227.24</v>
      </c>
      <c r="Y87" s="18" t="n">
        <v>23839.03</v>
      </c>
      <c r="Z87" s="34" t="n">
        <v>19112.84</v>
      </c>
      <c r="AA87" s="18" t="n">
        <v>-11048.23</v>
      </c>
      <c r="AB87" s="19" t="n">
        <v>2911.2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11830.87</v>
      </c>
      <c r="F88" s="9" t="n"/>
      <c r="G88" s="18" t="n">
        <v>15481.2</v>
      </c>
      <c r="H88" s="18" t="n">
        <v>-8674.139999999999</v>
      </c>
      <c r="I88" s="18" t="n">
        <v>1601.97</v>
      </c>
      <c r="J88" s="18" t="n">
        <v>2215.61</v>
      </c>
      <c r="K88" s="34" t="n">
        <v>10624.64</v>
      </c>
      <c r="L88" s="18" t="n">
        <v>5378.3</v>
      </c>
      <c r="M88" s="18" t="n">
        <v>1382.24</v>
      </c>
      <c r="N88" s="18" t="n">
        <v>1544.11</v>
      </c>
      <c r="O88" s="18" t="n">
        <v>9320.629999999999</v>
      </c>
      <c r="P88" s="34" t="n">
        <v>17625.28</v>
      </c>
      <c r="Q88" s="18" t="n">
        <v>14072.42</v>
      </c>
      <c r="R88" s="18" t="n">
        <v>-1917.37</v>
      </c>
      <c r="S88" s="18" t="n">
        <v>674.37</v>
      </c>
      <c r="T88" s="18" t="n">
        <v>-1284.23</v>
      </c>
      <c r="U88" s="34" t="n">
        <v>11545.19</v>
      </c>
      <c r="V88" s="18" t="n">
        <v>13828.71</v>
      </c>
      <c r="W88" s="18" t="n">
        <v>-6694.46</v>
      </c>
      <c r="X88" s="18" t="n">
        <v>-225.16</v>
      </c>
      <c r="Y88" s="18" t="n">
        <v>23761.75</v>
      </c>
      <c r="Z88" s="34" t="n">
        <v>30670.84</v>
      </c>
      <c r="AA88" s="18" t="n">
        <v>19668.35</v>
      </c>
      <c r="AB88" s="19" t="n">
        <v>2888.52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F89" s="9" t="n"/>
      <c r="G89" s="18" t="n">
        <v>25.36</v>
      </c>
      <c r="H89" s="18" t="n">
        <v>2.5</v>
      </c>
      <c r="I89" s="18" t="n">
        <v>23</v>
      </c>
      <c r="J89" s="18" t="n">
        <v>2629.27</v>
      </c>
      <c r="K89" s="34" t="n">
        <v>2680.13</v>
      </c>
      <c r="L89" s="18" t="n">
        <v>75.2</v>
      </c>
      <c r="M89" s="18" t="n">
        <v>165</v>
      </c>
      <c r="N89" s="18" t="n">
        <v>3.2</v>
      </c>
      <c r="O89" s="18" t="n">
        <v>0</v>
      </c>
      <c r="P89" s="34" t="n">
        <v>243.4</v>
      </c>
      <c r="Q89" s="18" t="n">
        <v>1.2</v>
      </c>
      <c r="R89" s="18" t="n">
        <v>51.82</v>
      </c>
      <c r="S89" s="18" t="n">
        <v>21.53</v>
      </c>
      <c r="T89" s="18" t="n">
        <v>103.6</v>
      </c>
      <c r="U89" s="34" t="n">
        <v>178.15</v>
      </c>
      <c r="V89" s="18" t="n">
        <v>18.29</v>
      </c>
      <c r="W89" s="18" t="n">
        <v>40</v>
      </c>
      <c r="X89" s="18" t="n">
        <v>173.74</v>
      </c>
      <c r="Y89" s="18" t="n">
        <v>9.65</v>
      </c>
      <c r="Z89" s="34" t="n">
        <v>241.68</v>
      </c>
      <c r="AA89" s="18" t="n">
        <v>114.1</v>
      </c>
      <c r="AB89" s="19" t="n">
        <v>26.2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2321.4</v>
      </c>
      <c r="H90" s="18" t="n">
        <v>0</v>
      </c>
      <c r="I90" s="18" t="n">
        <v>0</v>
      </c>
      <c r="J90" s="18" t="n">
        <v>0</v>
      </c>
      <c r="K90" s="34" t="n">
        <v>2321.4</v>
      </c>
      <c r="P90" s="9" t="n"/>
      <c r="T90" s="18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J91" s="18" t="n">
        <v>1466.52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N92" s="18" t="n">
        <v>0</v>
      </c>
      <c r="O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137.58</v>
      </c>
      <c r="P93" s="9" t="n"/>
      <c r="Q93" s="18" t="n">
        <v>114.59</v>
      </c>
      <c r="R93" s="18" t="n">
        <v>53.8</v>
      </c>
      <c r="S93" s="18" t="n">
        <v>83.2</v>
      </c>
      <c r="T93" s="18" t="n">
        <v>100.2</v>
      </c>
      <c r="U93" s="34" t="n">
        <v>351.79</v>
      </c>
      <c r="V93" s="18" t="n">
        <v>54.19</v>
      </c>
      <c r="W93" s="18" t="n">
        <v>89.61</v>
      </c>
      <c r="X93" s="18" t="n">
        <v>231.57</v>
      </c>
      <c r="Y93" s="18" t="n">
        <v>85.70999999999999</v>
      </c>
      <c r="Z93" s="34" t="n">
        <v>461.08</v>
      </c>
      <c r="AA93" s="18" t="n">
        <v>70.14</v>
      </c>
      <c r="AB93" s="19" t="n">
        <v>147.15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O94" s="18" t="n">
        <v>138.01</v>
      </c>
      <c r="P94" s="9" t="n"/>
      <c r="Q94" s="18" t="n">
        <v>139.25</v>
      </c>
      <c r="R94" s="18" t="n">
        <v>153.69</v>
      </c>
      <c r="S94" s="18" t="n">
        <v>180.98</v>
      </c>
      <c r="T94" s="18" t="n">
        <v>180.9</v>
      </c>
      <c r="U94" s="34" t="n">
        <v>654.8200000000001</v>
      </c>
      <c r="V94" s="18" t="n">
        <v>191.56</v>
      </c>
      <c r="W94" s="18" t="n">
        <v>197.24</v>
      </c>
      <c r="X94" s="18" t="n">
        <v>187.01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4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4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4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4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4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4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4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4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4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4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4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4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4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4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4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4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4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4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4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4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4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4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4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4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4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4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4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4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4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4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4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4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4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4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4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4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4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4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4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4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4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4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4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4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4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4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4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4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4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4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4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4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4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4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4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4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4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4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4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4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4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4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4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4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4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4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4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4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4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4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4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4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4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4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4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4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4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4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4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4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4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4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4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4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4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4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4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4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4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4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4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4" t="n">
        <v>64700</v>
      </c>
      <c r="V24" s="18" t="n">
        <v>62000</v>
      </c>
      <c r="W24" s="18" t="n">
        <v>63690</v>
      </c>
      <c r="X24" s="18" t="n">
        <v>86700</v>
      </c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4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4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4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4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4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4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4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4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4" t="n">
        <v>1615.94</v>
      </c>
      <c r="G27" s="18" t="n">
        <v>400.13</v>
      </c>
      <c r="H27" s="18" t="n">
        <v>404.33</v>
      </c>
      <c r="I27" s="18" t="n">
        <v>408.25</v>
      </c>
      <c r="J27" s="18" t="n">
        <v>412.28</v>
      </c>
      <c r="K27" s="34" t="n">
        <v>412.28</v>
      </c>
      <c r="L27" s="18" t="n">
        <v>300.01</v>
      </c>
      <c r="M27" s="18" t="n">
        <v>308.07</v>
      </c>
      <c r="N27" s="18" t="n">
        <v>303.22</v>
      </c>
      <c r="O27" s="18" t="n">
        <v>294.76</v>
      </c>
      <c r="P27" s="34" t="n">
        <v>294.76</v>
      </c>
      <c r="Q27" s="18" t="n">
        <v>277.97</v>
      </c>
      <c r="R27" s="18" t="n">
        <v>281.67</v>
      </c>
      <c r="S27" s="18" t="n">
        <v>290.57</v>
      </c>
      <c r="T27" s="18" t="n">
        <v>301.61</v>
      </c>
      <c r="U27" s="34" t="n">
        <v>301.61</v>
      </c>
      <c r="V27" s="18" t="n">
        <v>278.21</v>
      </c>
      <c r="W27" s="18" t="n">
        <v>235.33</v>
      </c>
      <c r="X27" s="18" t="n">
        <v>187.49</v>
      </c>
      <c r="Y27" s="18" t="n">
        <v>401.57</v>
      </c>
      <c r="Z27" s="34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4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4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4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4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4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4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4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4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4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4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4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4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4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4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4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4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4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4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4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4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4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4" t="n">
        <v>6000</v>
      </c>
      <c r="M32" s="18" t="n">
        <v>17000</v>
      </c>
      <c r="N32" s="18" t="n">
        <v>17000</v>
      </c>
      <c r="O32" s="18" t="n">
        <v>17000</v>
      </c>
      <c r="P32" s="34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4" t="n">
        <v>17000</v>
      </c>
      <c r="V32" s="18" t="n">
        <v>17000</v>
      </c>
      <c r="W32" s="18" t="n">
        <v>17000</v>
      </c>
      <c r="X32" s="18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4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4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4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4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4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4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4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4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4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4" t="n">
        <v>1219.73</v>
      </c>
      <c r="K35" s="9" t="n"/>
      <c r="P35" s="9" t="n"/>
      <c r="U35" s="9" t="n"/>
      <c r="Y35" s="18" t="n">
        <v>255.97</v>
      </c>
      <c r="Z35" s="34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4" t="n">
        <v>1423.73</v>
      </c>
      <c r="K36" s="9" t="n"/>
      <c r="P36" s="9" t="n"/>
      <c r="U36" s="9" t="n"/>
      <c r="Y36" s="18" t="n">
        <v>655.97</v>
      </c>
      <c r="Z36" s="34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4" t="n">
        <v>204</v>
      </c>
      <c r="K37" s="9" t="n"/>
      <c r="P37" s="9" t="n"/>
      <c r="U37" s="9" t="n"/>
      <c r="Y37" s="18" t="n">
        <v>400</v>
      </c>
      <c r="Z37" s="34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4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4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4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4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4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4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4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4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4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4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4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4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4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4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4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4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4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4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4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4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4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4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4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4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4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4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4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4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4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4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4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4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4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4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4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4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4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4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4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4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4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4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4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4" t="n">
        <v>81700</v>
      </c>
      <c r="V46" s="18" t="n">
        <v>79000</v>
      </c>
      <c r="W46" s="18" t="n">
        <v>80690</v>
      </c>
      <c r="X46" s="18" t="n">
        <v>86700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4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4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4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4" t="n">
        <v>79620.92999999999</v>
      </c>
      <c r="V47" s="18" t="n">
        <v>75238.08</v>
      </c>
      <c r="W47" s="18" t="n">
        <v>79298.83</v>
      </c>
      <c r="X47" s="18" t="n">
        <v>83806.83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4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4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4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4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4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4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4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4" t="n">
        <v>64700</v>
      </c>
      <c r="V49" s="18" t="n">
        <v>62000</v>
      </c>
      <c r="W49" s="18" t="n">
        <v>63690</v>
      </c>
      <c r="X49" s="18" t="n">
        <v>86700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4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4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4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4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4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4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4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4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4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4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4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4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4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4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4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4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4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4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4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4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4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4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4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4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4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4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4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4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4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4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4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4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4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4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4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4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4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4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4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4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4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4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4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4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4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4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4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4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4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4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4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4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4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4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4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4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4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4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4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4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4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4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4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4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4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4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4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4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4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4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4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4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4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4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4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4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4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4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4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4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4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4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4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4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4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4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4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4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4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4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4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4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4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4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4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4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4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4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4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4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4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4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4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4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4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4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4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4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4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4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4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4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4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4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4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4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4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4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4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4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0.0388</v>
      </c>
      <c r="F10" s="34" t="n"/>
      <c r="G10" s="18" t="n">
        <v>0.0571</v>
      </c>
      <c r="H10" s="18" t="n">
        <v>0.09710000000000001</v>
      </c>
      <c r="I10" s="18" t="n">
        <v>0.011</v>
      </c>
      <c r="J10" s="18" t="n">
        <v>0.0139</v>
      </c>
      <c r="K10" s="34">
        <f>SUM(G10:J10)</f>
        <v/>
      </c>
      <c r="L10" s="18" t="n">
        <v>0.0563</v>
      </c>
      <c r="M10" s="18" t="n">
        <v>0.0505</v>
      </c>
      <c r="N10" s="18" t="n">
        <v>0.016</v>
      </c>
      <c r="O10" s="18" t="n">
        <v>-0.0432</v>
      </c>
      <c r="P10" s="34">
        <f>SUM(L10:O10)</f>
        <v/>
      </c>
      <c r="Q10" s="18" t="n">
        <v>0.035</v>
      </c>
      <c r="R10" s="18" t="n">
        <v>0.0356</v>
      </c>
      <c r="S10" s="18" t="n">
        <v>0.024</v>
      </c>
      <c r="T10" s="18" t="n">
        <v>0.0134</v>
      </c>
      <c r="U10" s="34">
        <f>SUM(Q10:T10)</f>
        <v/>
      </c>
      <c r="V10" s="18" t="n">
        <v>0.0048</v>
      </c>
      <c r="W10" s="18" t="n">
        <v>0.0921</v>
      </c>
      <c r="X10" s="18" t="n">
        <v>0.0498</v>
      </c>
      <c r="Y10" s="18" t="n">
        <v>-0.0007</v>
      </c>
      <c r="Z10" s="34">
        <f>SUM(V10:Y10)</f>
        <v/>
      </c>
      <c r="AA10" s="18" t="n">
        <v>0.1234</v>
      </c>
      <c r="AB10" s="19" t="n">
        <v>0.1286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4">
        <f>SUM(V17:Y17)</f>
        <v/>
      </c>
      <c r="AA17" s="18" t="n"/>
      <c r="AB17" s="19" t="n"/>
      <c r="AC17" s="20">
        <f>IFERROR(X17*(1+변수!AC29),"")</f>
        <v/>
      </c>
      <c r="AD17" s="20" t="n">
        <v>8.59</v>
      </c>
      <c r="AE17" s="35">
        <f>SUM(AA17:AD17)</f>
        <v/>
      </c>
      <c r="AF17" s="20" t="n">
        <v>8.59</v>
      </c>
      <c r="AG17" s="20" t="n">
        <v>8.59</v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35.65</v>
      </c>
      <c r="F18" s="34" t="n"/>
      <c r="G18" s="18" t="n">
        <v>47.99</v>
      </c>
      <c r="H18" s="18" t="n">
        <v>76.06999999999999</v>
      </c>
      <c r="I18" s="18" t="n">
        <v>19.36</v>
      </c>
      <c r="J18" s="18" t="n">
        <v>21.69</v>
      </c>
      <c r="K18" s="34">
        <f>SUM(G18:J18)</f>
        <v/>
      </c>
      <c r="L18" s="18" t="n">
        <v>47.79</v>
      </c>
      <c r="M18" s="18" t="n">
        <v>46.72</v>
      </c>
      <c r="N18" s="18" t="n">
        <v>21.92</v>
      </c>
      <c r="O18" s="18" t="n">
        <v>-13.94</v>
      </c>
      <c r="P18" s="34">
        <f>SUM(L18:O18)</f>
        <v/>
      </c>
      <c r="Q18" s="18" t="n">
        <v>29.52</v>
      </c>
      <c r="R18" s="18" t="n">
        <v>32.05</v>
      </c>
      <c r="S18" s="18" t="n">
        <v>23.66</v>
      </c>
      <c r="T18" s="18" t="n">
        <v>18.86</v>
      </c>
      <c r="U18" s="34">
        <f>SUM(Q18:T18)</f>
        <v/>
      </c>
      <c r="V18" s="18" t="n">
        <v>11.06</v>
      </c>
      <c r="W18" s="18" t="n">
        <v>60.35</v>
      </c>
      <c r="X18" s="18" t="n">
        <v>36.31</v>
      </c>
      <c r="Y18" s="18" t="n"/>
      <c r="Z18" s="34">
        <f>SUM(V18:Y18)</f>
        <v/>
      </c>
      <c r="AA18" s="18" t="n"/>
      <c r="AB18" s="19" t="n"/>
      <c r="AC18" s="20">
        <f>IFERROR(X18*(1+변수!AC30),"")</f>
        <v/>
      </c>
      <c r="AD18" s="20" t="n">
        <v>40.7</v>
      </c>
      <c r="AE18" s="35">
        <f>SUM(AA18:AD18)</f>
        <v/>
      </c>
      <c r="AF18" s="20" t="n">
        <v>40.78</v>
      </c>
      <c r="AG18" s="20" t="n">
        <v>40.55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 t="n"/>
      <c r="Z23" s="34">
        <f>Y23</f>
        <v/>
      </c>
      <c r="AA23" s="18" t="n"/>
      <c r="AB23" s="19" t="n"/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 t="n"/>
      <c r="Z24" s="34">
        <f>Y24</f>
        <v/>
      </c>
      <c r="AA24" s="18" t="n"/>
      <c r="AB24" s="19" t="n"/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235.53</v>
      </c>
      <c r="F28" s="34" t="n"/>
      <c r="G28" s="18" t="n">
        <v>-63.48</v>
      </c>
      <c r="H28" s="18" t="n">
        <v>-107.05</v>
      </c>
      <c r="I28" s="18" t="n">
        <v>2.19</v>
      </c>
      <c r="J28" s="18" t="n">
        <v>71.61</v>
      </c>
      <c r="K28" s="34">
        <f>SUM(G28:J28)</f>
        <v/>
      </c>
      <c r="L28" s="18" t="n">
        <v>-128.24</v>
      </c>
      <c r="M28" s="18" t="n">
        <v>11.89</v>
      </c>
      <c r="N28" s="18" t="n">
        <v>-10.97</v>
      </c>
      <c r="O28" s="18" t="n">
        <v>179.36</v>
      </c>
      <c r="P28" s="34">
        <f>SUM(L28:O28)</f>
        <v/>
      </c>
      <c r="Q28" s="18" t="n">
        <v>-68.17</v>
      </c>
      <c r="R28" s="18" t="n">
        <v>-1.42</v>
      </c>
      <c r="S28" s="18" t="n">
        <v>74.84999999999999</v>
      </c>
      <c r="T28" s="18" t="n">
        <v>-43.77</v>
      </c>
      <c r="U28" s="34">
        <f>SUM(Q28:T28)</f>
        <v/>
      </c>
      <c r="V28" s="18" t="n">
        <v>88.09999999999999</v>
      </c>
      <c r="W28" s="18" t="n">
        <v>-43.62</v>
      </c>
      <c r="X28" s="18" t="n">
        <v>-18.28</v>
      </c>
      <c r="Y28" s="18" t="n">
        <v>-55.55</v>
      </c>
      <c r="Z28" s="34">
        <f>SUM(V28:Y28)</f>
        <v/>
      </c>
      <c r="AA28" s="18" t="n">
        <v>99.37</v>
      </c>
      <c r="AB28" s="19" t="n">
        <v>32.66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22.651</v>
      </c>
      <c r="F29" s="27">
        <f>E29</f>
        <v/>
      </c>
      <c r="G29" s="26" t="n">
        <v>22.651</v>
      </c>
      <c r="H29" s="26" t="n">
        <v>22.651</v>
      </c>
      <c r="I29" s="26" t="n">
        <v>22.597</v>
      </c>
      <c r="J29" s="26" t="n">
        <v>22.219</v>
      </c>
      <c r="K29" s="27">
        <f>J29</f>
        <v/>
      </c>
      <c r="L29" s="26" t="n">
        <v>22.213</v>
      </c>
      <c r="M29" s="26" t="n">
        <v>22.213</v>
      </c>
      <c r="N29" s="26" t="n">
        <v>22.123</v>
      </c>
      <c r="O29" s="26" t="n">
        <v>22.123</v>
      </c>
      <c r="P29" s="27">
        <f>O29</f>
        <v/>
      </c>
      <c r="Q29" s="26" t="n">
        <v>22.123</v>
      </c>
      <c r="R29" s="26" t="n">
        <v>22.123</v>
      </c>
      <c r="S29" s="26" t="n">
        <v>22.123</v>
      </c>
      <c r="T29" s="26" t="n">
        <v>23.3</v>
      </c>
      <c r="U29" s="27">
        <f>T29</f>
        <v/>
      </c>
      <c r="V29" s="26" t="n">
        <v>24.144</v>
      </c>
      <c r="W29" s="26" t="n">
        <v>24.144</v>
      </c>
      <c r="X29" s="26" t="n">
        <v>24.144</v>
      </c>
      <c r="Y29" s="26" t="n">
        <v>24.144</v>
      </c>
      <c r="Z29" s="27">
        <f>Y29</f>
        <v/>
      </c>
      <c r="AA29" s="26" t="n">
        <v>24.144</v>
      </c>
      <c r="AB29" s="28" t="n">
        <v>24.144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100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8.779999999999999</v>
      </c>
      <c r="J33" s="18" t="n">
        <v>7.09</v>
      </c>
      <c r="K33" s="34">
        <f>SUM(G33:J33)</f>
        <v/>
      </c>
      <c r="L33" s="18" t="n">
        <v>20.43</v>
      </c>
      <c r="M33" s="18" t="n">
        <v>16.52</v>
      </c>
      <c r="N33" s="18" t="n">
        <v>17.33</v>
      </c>
      <c r="O33" s="18" t="n"/>
      <c r="P33" s="34">
        <f>SUM(L33:O33)</f>
        <v/>
      </c>
      <c r="Q33" s="18" t="n"/>
      <c r="R33" s="18" t="n"/>
      <c r="S33" s="18" t="n"/>
      <c r="T33" s="18" t="n"/>
      <c r="U33" s="34">
        <f>SUM(Q33:T33)</f>
        <v/>
      </c>
      <c r="V33" s="18" t="n"/>
      <c r="W33" s="18" t="n">
        <v>7834.8</v>
      </c>
      <c r="X33" s="18" t="n">
        <v>58.14</v>
      </c>
      <c r="Y33" s="18" t="n">
        <v>269.79</v>
      </c>
      <c r="Z33" s="34">
        <f>SUM(V33:Y33)</f>
        <v/>
      </c>
      <c r="AA33" s="18" t="n"/>
      <c r="AB33" s="19" t="n"/>
      <c r="AC33" s="20" t="n"/>
      <c r="AD33" s="20">
        <f>IFERROR(Y33*(1+변수!AD42),"")</f>
        <v/>
      </c>
      <c r="AE33" s="35">
        <f>SUM(AA33:AD33)</f>
        <v/>
      </c>
      <c r="AF33" s="20" t="n">
        <v>9.35</v>
      </c>
      <c r="AG33" s="20" t="n">
        <v>14.23</v>
      </c>
      <c r="AH33" s="20" t="n">
        <v>14.11</v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1.39</v>
      </c>
      <c r="F34" s="34" t="n">
        <v>1.18</v>
      </c>
      <c r="G34" s="18" t="n">
        <v>1.07</v>
      </c>
      <c r="H34" s="18" t="n">
        <v>1.12</v>
      </c>
      <c r="I34" s="18" t="n">
        <v>0.89</v>
      </c>
      <c r="J34" s="18" t="n">
        <v>0.85</v>
      </c>
      <c r="K34" s="34">
        <f>SUM(G34:J34)</f>
        <v/>
      </c>
      <c r="L34" s="18" t="n">
        <v>0.82</v>
      </c>
      <c r="M34" s="18" t="n">
        <v>0.83</v>
      </c>
      <c r="N34" s="18" t="n">
        <v>0.79</v>
      </c>
      <c r="O34" s="18" t="n">
        <v>0.72</v>
      </c>
      <c r="P34" s="34">
        <f>SUM(L34:O34)</f>
        <v/>
      </c>
      <c r="Q34" s="18" t="n">
        <v>0.67</v>
      </c>
      <c r="R34" s="18" t="n">
        <v>0.65</v>
      </c>
      <c r="S34" s="18" t="n">
        <v>0.57</v>
      </c>
      <c r="T34" s="18" t="n">
        <v>0.61</v>
      </c>
      <c r="U34" s="34">
        <f>SUM(Q34:T34)</f>
        <v/>
      </c>
      <c r="V34" s="18" t="n">
        <v>0.78</v>
      </c>
      <c r="W34" s="18" t="n">
        <v>0.79</v>
      </c>
      <c r="X34" s="18" t="n">
        <v>0.67</v>
      </c>
      <c r="Y34" s="18" t="n">
        <v>0.72</v>
      </c>
      <c r="Z34" s="34">
        <f>SUM(V34:Y34)</f>
        <v/>
      </c>
      <c r="AA34" s="18" t="n">
        <v>0.6</v>
      </c>
      <c r="AB34" s="19" t="n">
        <v>0.57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589.03</v>
      </c>
      <c r="F35" s="34" t="n"/>
      <c r="G35" s="18" t="n">
        <v>614.0700000000001</v>
      </c>
      <c r="H35" s="18" t="n">
        <v>647.73</v>
      </c>
      <c r="I35" s="18" t="n">
        <v>577.03</v>
      </c>
      <c r="J35" s="18" t="n">
        <v>616.02</v>
      </c>
      <c r="K35" s="34">
        <f>SUM(G35:J35)</f>
        <v/>
      </c>
      <c r="L35" s="18" t="n">
        <v>616.6900000000001</v>
      </c>
      <c r="M35" s="18" t="n">
        <v>664.78</v>
      </c>
      <c r="N35" s="18" t="n">
        <v>589.71</v>
      </c>
      <c r="O35" s="18" t="n">
        <v>613.3</v>
      </c>
      <c r="P35" s="34">
        <f>SUM(L35:O35)</f>
        <v/>
      </c>
      <c r="Q35" s="18" t="n">
        <v>529.86</v>
      </c>
      <c r="R35" s="18" t="n">
        <v>598.4</v>
      </c>
      <c r="S35" s="18" t="n">
        <v>531.11</v>
      </c>
      <c r="T35" s="18" t="n">
        <v>575.11</v>
      </c>
      <c r="U35" s="34">
        <f>SUM(Q35:T35)</f>
        <v/>
      </c>
      <c r="V35" s="18" t="n">
        <v>533.67</v>
      </c>
      <c r="W35" s="18" t="n">
        <v>561.01</v>
      </c>
      <c r="X35" s="18" t="n">
        <v>560.09</v>
      </c>
      <c r="Y35" s="18" t="n">
        <v>539.23</v>
      </c>
      <c r="Z35" s="34">
        <f>SUM(V35:Y35)</f>
        <v/>
      </c>
      <c r="AA35" s="18" t="n">
        <v>661.2</v>
      </c>
      <c r="AB35" s="19" t="n">
        <v>717.21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22.86</v>
      </c>
      <c r="F36" s="34" t="n"/>
      <c r="G36" s="18" t="n">
        <v>35.04</v>
      </c>
      <c r="H36" s="18" t="n">
        <v>62.88</v>
      </c>
      <c r="I36" s="18" t="n">
        <v>6.36</v>
      </c>
      <c r="J36" s="18" t="n">
        <v>8.57</v>
      </c>
      <c r="K36" s="34">
        <f>SUM(G36:J36)</f>
        <v/>
      </c>
      <c r="L36" s="18" t="n">
        <v>34.73</v>
      </c>
      <c r="M36" s="18" t="n">
        <v>33.56</v>
      </c>
      <c r="N36" s="18" t="n">
        <v>9.43</v>
      </c>
      <c r="O36" s="18" t="n">
        <v>-26.5</v>
      </c>
      <c r="P36" s="34">
        <f>SUM(L36:O36)</f>
        <v/>
      </c>
      <c r="Q36" s="18" t="n">
        <v>18.53</v>
      </c>
      <c r="R36" s="18" t="n">
        <v>21.31</v>
      </c>
      <c r="S36" s="18" t="n">
        <v>12.74</v>
      </c>
      <c r="T36" s="18" t="n">
        <v>7.72</v>
      </c>
      <c r="U36" s="34">
        <f>SUM(Q36:T36)</f>
        <v/>
      </c>
      <c r="V36" s="18" t="n">
        <v>2.54</v>
      </c>
      <c r="W36" s="18" t="n">
        <v>51.69</v>
      </c>
      <c r="X36" s="18" t="n">
        <v>27.88</v>
      </c>
      <c r="Y36" s="18" t="n">
        <v>-0.36</v>
      </c>
      <c r="Z36" s="34">
        <f>SUM(V36:Y36)</f>
        <v/>
      </c>
      <c r="AA36" s="18" t="n">
        <v>81.59999999999999</v>
      </c>
      <c r="AB36" s="19" t="n">
        <v>92.26000000000001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160.6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14.23</v>
      </c>
    </row>
    <row r="32">
      <c r="C32" s="2" t="inlineStr">
        <is>
          <t>pbr_now</t>
        </is>
      </c>
      <c r="D32" t="n">
        <v>0.4</v>
      </c>
    </row>
    <row r="33">
      <c r="C33" s="2" t="inlineStr">
        <is>
          <t>roe_fwd</t>
        </is>
      </c>
      <c r="D33" t="n">
        <v>0.0281</v>
      </c>
    </row>
    <row r="34">
      <c r="C34" s="2" t="inlineStr">
        <is>
          <t>fair_pbr</t>
        </is>
      </c>
      <c r="D34" t="n">
        <v>0.31</v>
      </c>
    </row>
    <row r="35">
      <c r="C35" s="2" t="inlineStr">
        <is>
          <t>fair_value_pbr</t>
        </is>
      </c>
      <c r="D35" t="n">
        <v>1800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