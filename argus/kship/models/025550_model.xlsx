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65394억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66071억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68300억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72216억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76466억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81430억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86515억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91743억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95795억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65394억 × 비례계수 0.0132(원점회귀; 격자 lag0~4×창8/12/19×수준·YoY·4Q합 중 최대 r=0.90, n=8, 창 8)
[yoy]</t>
      </text>
    </comment>
    <comment ref="AF5" authorId="0" shapeId="0">
      <text>
        <t>추정: 고객 매출 가중지수(t−1) 66071억 × 비례계수 0.0132(원점회귀; 격자 lag0~4×창8/12/19×수준·YoY·4Q합 중 최대 r=0.90, n=8, 창 8)
[yoy]</t>
      </text>
    </comment>
    <comment ref="AG5" authorId="0" shapeId="0">
      <text>
        <t>추정: 고객 매출 가중지수(t−1) 68300억 × 비례계수 0.0132(원점회귀; 격자 lag0~4×창8/12/19×수준·YoY·4Q합 중 최대 r=0.90, n=8, 창 8)
[yoy]</t>
      </text>
    </comment>
    <comment ref="AH5" authorId="0" shapeId="0">
      <text>
        <t>추정: 고객 매출 가중지수(t−1) 72216억 × 비례계수 0.0132(원점회귀; 격자 lag0~4×창8/12/19×수준·YoY·4Q합 중 최대 r=0.90, n=8, 창 8)
[yoy]</t>
      </text>
    </comment>
    <comment ref="AI5" authorId="0" shapeId="0">
      <text>
        <t>추정: 고객 매출 가중지수(t−1) 76466억 × 비례계수 0.0132(원점회귀; 격자 lag0~4×창8/12/19×수준·YoY·4Q합 중 최대 r=0.90, n=8, 창 8)
[yoy]</t>
      </text>
    </comment>
    <comment ref="AK5" authorId="0" shapeId="0">
      <text>
        <t>추정: 고객 매출 가중지수(t−1) 81430억 × 비례계수 0.0132(원점회귀; 격자 lag0~4×창8/12/19×수준·YoY·4Q합 중 최대 r=0.90, n=8, 창 8)
[yoy]</t>
      </text>
    </comment>
    <comment ref="AL5" authorId="0" shapeId="0">
      <text>
        <t>추정: 고객 매출 가중지수(t−1) 86515억 × 비례계수 0.0132(원점회귀; 격자 lag0~4×창8/12/19×수준·YoY·4Q합 중 최대 r=0.90, n=8, 창 8)
[yoy]</t>
      </text>
    </comment>
    <comment ref="AM5" authorId="0" shapeId="0">
      <text>
        <t>추정: 고객 매출 가중지수(t−1) 91743억 × 비례계수 0.0132(원점회귀; 격자 lag0~4×창8/12/19×수준·YoY·4Q합 중 최대 r=0.90, n=8, 창 8)
[yoy]</t>
      </text>
    </comment>
    <comment ref="AN5" authorId="0" shapeId="0">
      <text>
        <t>추정: 고객 매출 가중지수(t−1) 95795억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71억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71억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-15억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-185억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-268억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20.95%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2351.2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0.600798767</v>
      </c>
      <c r="AE21" s="25" t="n"/>
      <c r="AF21" s="24" t="n">
        <v>0.319029205</v>
      </c>
      <c r="AG21" s="24" t="n">
        <v>0.257035584</v>
      </c>
      <c r="AH21" s="24" t="n">
        <v>0.140481432</v>
      </c>
      <c r="AI21" s="24" t="n">
        <v>0.169311863</v>
      </c>
      <c r="AJ21" s="25" t="n"/>
      <c r="AK21" s="24" t="n">
        <v>0.232451212</v>
      </c>
      <c r="AL21" s="24" t="n">
        <v>0.266693287</v>
      </c>
      <c r="AM21" s="24" t="n">
        <v>0.270377442</v>
      </c>
      <c r="AN21" s="24" t="n">
        <v>0.252776539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0.036886006</v>
      </c>
      <c r="AE23" s="25">
        <f>IFERROR(subQ!AE9/subQ!AE5,"")</f>
        <v/>
      </c>
      <c r="AF23" s="24" t="n">
        <v>0.03688628</v>
      </c>
      <c r="AG23" s="24" t="n">
        <v>0.036880518</v>
      </c>
      <c r="AH23" s="24" t="n">
        <v>0.036883956</v>
      </c>
      <c r="AI23" s="24" t="n">
        <v>0.036885124</v>
      </c>
      <c r="AJ23" s="25">
        <f>IFERROR(subQ!AJ9/subQ!AJ5,"")</f>
        <v/>
      </c>
      <c r="AK23" s="24" t="n">
        <v>0.036888182</v>
      </c>
      <c r="AL23" s="24" t="n">
        <v>0.036882662</v>
      </c>
      <c r="AM23" s="24" t="n">
        <v>0.03688687</v>
      </c>
      <c r="AN23" s="24" t="n">
        <v>0.036884436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-0.005637848</v>
      </c>
      <c r="AD32" s="30" t="n">
        <v>0.001864303</v>
      </c>
      <c r="AE32" s="31" t="n"/>
      <c r="AF32" s="30" t="n">
        <v>0.001123739</v>
      </c>
      <c r="AG32" s="30" t="n">
        <v>-0.006653433</v>
      </c>
      <c r="AH32" s="30" t="n">
        <v>0.003430525</v>
      </c>
      <c r="AI32" s="30" t="n">
        <v>-0.006411211</v>
      </c>
      <c r="AJ32" s="31" t="n"/>
      <c r="AK32" s="30" t="n">
        <v>0.004333215</v>
      </c>
      <c r="AL32" s="30" t="n">
        <v>-0.00068705</v>
      </c>
      <c r="AM32" s="30" t="n">
        <v>0.002384663</v>
      </c>
      <c r="AN32" s="30" t="n">
        <v>0.001958988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0.002345886</v>
      </c>
      <c r="AD33" s="30" t="n">
        <v>-0.007749695</v>
      </c>
      <c r="AE33" s="31" t="n"/>
      <c r="AF33" s="30" t="n">
        <v>-4.6491e-05</v>
      </c>
      <c r="AG33" s="30" t="n">
        <v>0.004824513</v>
      </c>
      <c r="AH33" s="30" t="n">
        <v>-0.007179511</v>
      </c>
      <c r="AI33" s="30" t="n">
        <v>0.002842339</v>
      </c>
      <c r="AJ33" s="31" t="n"/>
      <c r="AK33" s="30" t="n">
        <v>-0.004909657</v>
      </c>
      <c r="AL33" s="30" t="n">
        <v>0.005031161</v>
      </c>
      <c r="AM33" s="30" t="n">
        <v>0.002206756</v>
      </c>
      <c r="AN33" s="30" t="n">
        <v>-0.002003179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0.061292685</v>
      </c>
      <c r="AE35" s="25" t="n"/>
      <c r="AF35" s="24" t="n">
        <v>0.057739459</v>
      </c>
      <c r="AG35" s="24" t="n">
        <v>0.054194929</v>
      </c>
      <c r="AH35" s="24" t="n">
        <v>0.050651847</v>
      </c>
      <c r="AI35" s="24" t="n">
        <v>0.047409381</v>
      </c>
      <c r="AJ35" s="25" t="n"/>
      <c r="AK35" s="24" t="n">
        <v>0.044346297</v>
      </c>
      <c r="AL35" s="24" t="n">
        <v>0.041558849</v>
      </c>
      <c r="AM35" s="24" t="n">
        <v>0.039002233</v>
      </c>
      <c r="AN35" s="24" t="n">
        <v>0.036890868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-0.547191368</v>
      </c>
      <c r="AE36" s="25" t="n"/>
      <c r="AF36" s="24" t="n">
        <v>-1.208158116</v>
      </c>
      <c r="AG36" s="24" t="n">
        <v>5.762962963</v>
      </c>
      <c r="AH36" s="24" t="n">
        <v>0.83939062</v>
      </c>
      <c r="AI36" s="24" t="n">
        <v>0.448817193</v>
      </c>
      <c r="AJ36" s="25" t="n"/>
      <c r="AK36" s="24" t="n">
        <v>0.303504708</v>
      </c>
      <c r="AL36" s="24" t="n">
        <v>0.227878579</v>
      </c>
      <c r="AM36" s="24" t="n">
        <v>0.181408595</v>
      </c>
      <c r="AN36" s="24" t="n">
        <v>0.150904995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2345</v>
      </c>
      <c r="E44" s="2" t="inlineStr">
        <is>
          <t>원 — 네이버 정규장 종가(aik 확정종가 대조 · aik 2,330원)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0.2094565599032497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0.07949477226342382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0.3999703908409001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0.01418107371011599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0.02682544629119341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7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7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7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K36" s="9" t="n"/>
      <c r="P36" s="9" t="n"/>
      <c r="U36" s="9" t="n"/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556</v>
      </c>
      <c r="H37" s="18" t="n">
        <v>556</v>
      </c>
      <c r="I37" s="18" t="n">
        <v>506</v>
      </c>
      <c r="J37" s="18" t="n">
        <v>506</v>
      </c>
      <c r="K37" s="37" t="n">
        <v>506</v>
      </c>
      <c r="L37" s="18" t="n">
        <v>556</v>
      </c>
      <c r="M37" s="18" t="n">
        <v>576</v>
      </c>
      <c r="N37" s="18" t="n">
        <v>656</v>
      </c>
      <c r="O37" s="18" t="n">
        <v>736</v>
      </c>
      <c r="P37" s="37" t="n">
        <v>736</v>
      </c>
      <c r="Q37" s="18" t="n">
        <v>776</v>
      </c>
      <c r="R37" s="18" t="n">
        <v>816</v>
      </c>
      <c r="S37" s="18" t="n">
        <v>876</v>
      </c>
      <c r="T37" s="18" t="n">
        <v>216</v>
      </c>
      <c r="U37" s="37" t="n">
        <v>216</v>
      </c>
      <c r="V37" s="18" t="n">
        <v>5011.66</v>
      </c>
      <c r="W37" s="18" t="n">
        <v>3998.45</v>
      </c>
      <c r="X37" s="18" t="n">
        <v>3992.45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7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7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7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K35" s="9" t="n"/>
      <c r="P35" s="9" t="n"/>
      <c r="U35" s="9" t="n"/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210</v>
      </c>
      <c r="H36" s="18" t="n">
        <v>210</v>
      </c>
      <c r="I36" s="18" t="n">
        <v>160</v>
      </c>
      <c r="J36" s="18" t="n">
        <v>160</v>
      </c>
      <c r="K36" s="37" t="n">
        <v>160</v>
      </c>
      <c r="L36" s="18" t="n">
        <v>190</v>
      </c>
      <c r="M36" s="18" t="n">
        <v>405</v>
      </c>
      <c r="N36" s="18" t="n">
        <v>405</v>
      </c>
      <c r="O36" s="18" t="n">
        <v>425</v>
      </c>
      <c r="P36" s="37" t="n">
        <v>425</v>
      </c>
      <c r="Q36" s="18" t="n">
        <v>425</v>
      </c>
      <c r="R36" s="18" t="n">
        <v>425</v>
      </c>
      <c r="S36" s="18" t="n">
        <v>411</v>
      </c>
      <c r="T36" s="18" t="n">
        <v>411</v>
      </c>
      <c r="U36" s="37" t="n">
        <v>411</v>
      </c>
      <c r="V36" s="18" t="n">
        <v>396</v>
      </c>
      <c r="W36" s="18" t="n">
        <v>396</v>
      </c>
      <c r="X36" s="18" t="n">
        <v>390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111.1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21.11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0.0195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11.61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