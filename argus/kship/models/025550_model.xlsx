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변수" sheetId="2" state="visible" r:id="rId2"/>
    <sheet name="BS연결" sheetId="3" state="visible" r:id="rId3"/>
    <sheet name="BS별도" sheetId="4" state="visible" r:id="rId4"/>
    <sheet name="subQ" sheetId="5" state="visible" r:id="rId5"/>
    <sheet name="분기" sheetId="6" state="visible" r:id="rId6"/>
    <sheet name="연간예상" sheetId="7" state="visible" r:id="rId7"/>
    <sheet name="TP" sheetId="8" state="visible" r:id="rId8"/>
    <sheet name="외화" sheetId="9" state="visible" r:id="rId9"/>
  </sheets>
  <definedNames>
    <definedName name="변수H">변수!$C$1:$AO$1</definedName>
    <definedName name="환율">변수!$C$6:$AO$13</definedName>
    <definedName name="BS연결H">BS연결!$C$1:$AO$1</definedName>
    <definedName name="BS연결">BS연결!$C$5:$AO$104</definedName>
    <definedName name="BS별도H">BS별도!$C$1:$AO$1</definedName>
    <definedName name="BS별도">BS별도!$C$5:$AO$89</definedName>
    <definedName name="SUBQH">subQ!$A$1:$AO$1</definedName>
    <definedName name="subQ">subQ!$A$5:$AO$44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5">
    <font>
      <name val="Calibri"/>
      <family val="2"/>
      <color theme="1"/>
      <sz val="11"/>
      <scheme val="minor"/>
    </font>
    <font>
      <b val="1"/>
    </font>
    <font>
      <i val="1"/>
      <color rgb="00666666"/>
      <sz val="9"/>
    </font>
    <font>
      <b val="1"/>
      <color rgb="00FFFFFF"/>
    </font>
    <font>
      <color rgb="001F4E79"/>
    </font>
  </fonts>
  <fills count="7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FFF2AB"/>
      </patternFill>
    </fill>
    <fill>
      <patternFill patternType="solid">
        <fgColor rgb="00EDEDED"/>
      </patternFill>
    </fill>
    <fill>
      <patternFill patternType="solid">
        <fgColor rgb="00FFF9DB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/>
      <right style="medium">
        <color rgb="00000000"/>
      </right>
      <top/>
      <bottom/>
    </border>
    <border>
      <right style="medium">
        <color rgb="00000000"/>
      </right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1" fillId="4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4" fillId="0" borderId="0" pivotButton="0" quotePrefix="0" xfId="0"/>
    <xf numFmtId="4" fontId="0" fillId="0" borderId="0" pivotButton="0" quotePrefix="0" xfId="0"/>
    <xf numFmtId="4" fontId="1" fillId="4" borderId="0" pivotButton="0" quotePrefix="0" xfId="0"/>
    <xf numFmtId="4" fontId="0" fillId="0" borderId="1" pivotButton="0" quotePrefix="0" xfId="0"/>
    <xf numFmtId="4" fontId="0" fillId="3" borderId="0" pivotButton="0" quotePrefix="0" xfId="0"/>
    <xf numFmtId="4" fontId="1" fillId="3" borderId="0" pivotButton="0" quotePrefix="0" xfId="0"/>
    <xf numFmtId="3" fontId="0" fillId="0" borderId="0" pivotButton="0" quotePrefix="0" xfId="0"/>
    <xf numFmtId="3" fontId="0" fillId="0" borderId="1" pivotButton="0" quotePrefix="0" xfId="0"/>
    <xf numFmtId="3" fontId="0" fillId="5" borderId="0" pivotButton="0" quotePrefix="0" xfId="0"/>
    <xf numFmtId="164" fontId="0" fillId="0" borderId="0" pivotButton="0" quotePrefix="0" xfId="0"/>
    <xf numFmtId="164" fontId="1" fillId="4" borderId="0" pivotButton="0" quotePrefix="0" xfId="0"/>
    <xf numFmtId="164" fontId="0" fillId="0" borderId="1" pivotButton="0" quotePrefix="0" xfId="0"/>
    <xf numFmtId="164" fontId="0" fillId="3" borderId="0" pivotButton="0" quotePrefix="0" xfId="0"/>
    <xf numFmtId="164" fontId="1" fillId="5" borderId="0" pivotButton="0" quotePrefix="0" xfId="0"/>
    <xf numFmtId="164" fontId="0" fillId="6" borderId="0" pivotButton="0" quotePrefix="0" xfId="0"/>
    <xf numFmtId="165" fontId="0" fillId="0" borderId="0" pivotButton="0" quotePrefix="0" xfId="0"/>
    <xf numFmtId="165" fontId="1" fillId="4" borderId="0" pivotButton="0" quotePrefix="0" xfId="0"/>
    <xf numFmtId="165" fontId="0" fillId="0" borderId="1" pivotButton="0" quotePrefix="0" xfId="0"/>
    <xf numFmtId="165" fontId="0" fillId="3" borderId="0" pivotButton="0" quotePrefix="0" xfId="0"/>
    <xf numFmtId="165" fontId="1" fillId="5" borderId="0" pivotButton="0" quotePrefix="0" xfId="0"/>
    <xf numFmtId="164" fontId="0" fillId="5" borderId="0" pivotButton="0" quotePrefix="0" xfId="0"/>
    <xf numFmtId="165" fontId="0" fillId="5" borderId="0" pivotButton="0" quotePrefix="0" xfId="0"/>
    <xf numFmtId="3" fontId="0" fillId="3" borderId="0" pivotButton="0" quotePrefix="0" xfId="0"/>
    <xf numFmtId="0" fontId="0" fillId="3" borderId="0" pivotButton="0" quotePrefix="0" xfId="0"/>
    <xf numFmtId="10" fontId="0" fillId="3" borderId="0" pivotButton="0" quotePrefix="0" xfId="0"/>
    <xf numFmtId="3" fontId="1" fillId="4" borderId="0" pivotButton="0" quotePrefix="0" xfId="0"/>
    <xf numFmtId="3" fontId="1" fillId="5" borderId="0" pivotButton="0" quotePrefix="0" xfId="0"/>
    <xf numFmtId="4" fontId="0" fillId="5" borderId="0" pivotButton="0" quotePrefix="0" xfId="0"/>
    <xf numFmtId="4" fontId="1" fillId="5" borderId="0" pivotButton="0" quotePrefix="0" xfId="0"/>
    <xf numFmtId="0" fontId="3" fillId="2" borderId="2" applyAlignment="1" pivotButton="0" quotePrefix="0" xfId="0">
      <alignment horizontal="center"/>
    </xf>
    <xf numFmtId="0" fontId="0" fillId="0" borderId="2" pivotButton="0" quotePrefix="0" xfId="0"/>
    <xf numFmtId="0" fontId="2" fillId="0" borderId="2" pivotButton="0" quotePrefix="0" xfId="0"/>
    <xf numFmtId="0" fontId="2" fillId="0" borderId="2" applyAlignment="1" pivotButton="0" quotePrefix="0" xfId="0">
      <alignment horizontal="center"/>
    </xf>
    <xf numFmtId="3" fontId="0" fillId="0" borderId="2" pivotButton="0" quotePrefix="0" xfId="0"/>
    <xf numFmtId="164" fontId="0" fillId="0" borderId="2" pivotButton="0" quotePrefix="0" xfId="0"/>
    <xf numFmtId="165" fontId="0" fillId="0" borderId="2" pivotButton="0" quotePrefix="0" xfId="0"/>
    <xf numFmtId="4" fontId="0" fillId="0" borderId="2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kship</author>
  </authors>
  <commentList>
    <comment ref="AC6" authorId="0" shapeId="0">
      <text>
        <t>모델 assumptions.fx — 가정 — 마지막 ECB 관측치를 2028Q4 까지 평평하게 둔다. 선도환율·컨센서스 아님.</t>
      </text>
    </comment>
    <comment ref="AD6" authorId="0" shapeId="0">
      <text>
        <t>모델 assumptions.fx — 가정 — 마지막 ECB 관측치를 2028Q4 까지 평평하게 둔다. 선도환율·컨센서스 아님.</t>
      </text>
    </comment>
    <comment ref="AF6" authorId="0" shapeId="0">
      <text>
        <t>모델 assumptions.fx — 가정 — 마지막 ECB 관측치를 2028Q4 까지 평평하게 둔다. 선도환율·컨센서스 아님.</t>
      </text>
    </comment>
    <comment ref="AG6" authorId="0" shapeId="0">
      <text>
        <t>모델 assumptions.fx — 가정 — 마지막 ECB 관측치를 2028Q4 까지 평평하게 둔다. 선도환율·컨센서스 아님.</t>
      </text>
    </comment>
    <comment ref="AH6" authorId="0" shapeId="0">
      <text>
        <t>모델 assumptions.fx — 가정 — 마지막 ECB 관측치를 2028Q4 까지 평평하게 둔다. 선도환율·컨센서스 아님.</t>
      </text>
    </comment>
    <comment ref="AI6" authorId="0" shapeId="0">
      <text>
        <t>모델 assumptions.fx — 가정 — 마지막 ECB 관측치를 2028Q4 까지 평평하게 둔다. 선도환율·컨센서스 아님.</t>
      </text>
    </comment>
    <comment ref="AK6" authorId="0" shapeId="0">
      <text>
        <t>모델 assumptions.fx — 가정 — 마지막 ECB 관측치를 2028Q4 까지 평평하게 둔다. 선도환율·컨센서스 아님.</t>
      </text>
    </comment>
    <comment ref="AL6" authorId="0" shapeId="0">
      <text>
        <t>모델 assumptions.fx — 가정 — 마지막 ECB 관측치를 2028Q4 까지 평평하게 둔다. 선도환율·컨센서스 아님.</t>
      </text>
    </comment>
    <comment ref="AM6" authorId="0" shapeId="0">
      <text>
        <t>모델 assumptions.fx — 가정 — 마지막 ECB 관측치를 2028Q4 까지 평평하게 둔다. 선도환율·컨센서스 아님.</t>
      </text>
    </comment>
    <comment ref="AN6" authorId="0" shapeId="0">
      <text>
        <t>모델 assumptions.fx — 가정 — 마지막 ECB 관측치를 2028Q4 까지 평평하게 둔다. 선도환율·컨센서스 아님.</t>
      </text>
    </comment>
    <comment ref="AC7" authorId="0" shapeId="0">
      <text>
        <t>모델 assumptions.fx — 가정 — 마지막 ECB 관측치를 2028Q4 까지 평평하게 둔다. 선도환율·컨센서스 아님.</t>
      </text>
    </comment>
    <comment ref="AD7" authorId="0" shapeId="0">
      <text>
        <t>모델 assumptions.fx — 가정 — 마지막 ECB 관측치를 2028Q4 까지 평평하게 둔다. 선도환율·컨센서스 아님.</t>
      </text>
    </comment>
    <comment ref="AF7" authorId="0" shapeId="0">
      <text>
        <t>모델 assumptions.fx — 가정 — 마지막 ECB 관측치를 2028Q4 까지 평평하게 둔다. 선도환율·컨센서스 아님.</t>
      </text>
    </comment>
    <comment ref="AG7" authorId="0" shapeId="0">
      <text>
        <t>모델 assumptions.fx — 가정 — 마지막 ECB 관측치를 2028Q4 까지 평평하게 둔다. 선도환율·컨센서스 아님.</t>
      </text>
    </comment>
    <comment ref="AH7" authorId="0" shapeId="0">
      <text>
        <t>모델 assumptions.fx — 가정 — 마지막 ECB 관측치를 2028Q4 까지 평평하게 둔다. 선도환율·컨센서스 아님.</t>
      </text>
    </comment>
    <comment ref="AI7" authorId="0" shapeId="0">
      <text>
        <t>모델 assumptions.fx — 가정 — 마지막 ECB 관측치를 2028Q4 까지 평평하게 둔다. 선도환율·컨센서스 아님.</t>
      </text>
    </comment>
    <comment ref="AK7" authorId="0" shapeId="0">
      <text>
        <t>모델 assumptions.fx — 가정 — 마지막 ECB 관측치를 2028Q4 까지 평평하게 둔다. 선도환율·컨센서스 아님.</t>
      </text>
    </comment>
    <comment ref="AL7" authorId="0" shapeId="0">
      <text>
        <t>모델 assumptions.fx — 가정 — 마지막 ECB 관측치를 2028Q4 까지 평평하게 둔다. 선도환율·컨센서스 아님.</t>
      </text>
    </comment>
    <comment ref="AM7" authorId="0" shapeId="0">
      <text>
        <t>모델 assumptions.fx — 가정 — 마지막 ECB 관측치를 2028Q4 까지 평평하게 둔다. 선도환율·컨센서스 아님.</t>
      </text>
    </comment>
    <comment ref="AN7" authorId="0" shapeId="0">
      <text>
        <t>모델 assumptions.fx — 가정 — 마지막 ECB 관측치를 2028Q4 까지 평평하게 둔다. 선도환율·컨센서스 아님.</t>
      </text>
    </comment>
    <comment ref="AD8" authorId="0" shapeId="0">
      <text>
        <t>fx.json quarters(partial — 분기 진행 중 실측 평균)</t>
      </text>
    </comment>
    <comment ref="AF8" authorId="0" shapeId="0">
      <text>
        <t>fx.json forward(flat_last_end) — 가정</t>
      </text>
    </comment>
    <comment ref="AG8" authorId="0" shapeId="0">
      <text>
        <t>fx.json forward(flat_last_end) — 가정</t>
      </text>
    </comment>
    <comment ref="AH8" authorId="0" shapeId="0">
      <text>
        <t>fx.json forward(flat_last_end) — 가정</t>
      </text>
    </comment>
    <comment ref="AI8" authorId="0" shapeId="0">
      <text>
        <t>fx.json forward(flat_last_end) — 가정</t>
      </text>
    </comment>
    <comment ref="AK8" authorId="0" shapeId="0">
      <text>
        <t>fx.json forward(flat_last_end) — 가정</t>
      </text>
    </comment>
    <comment ref="AL8" authorId="0" shapeId="0">
      <text>
        <t>fx.json forward(flat_last_end) — 가정</t>
      </text>
    </comment>
    <comment ref="AM8" authorId="0" shapeId="0">
      <text>
        <t>fx.json forward(flat_last_end) — 가정</t>
      </text>
    </comment>
    <comment ref="AN8" authorId="0" shapeId="0">
      <text>
        <t>fx.json forward(flat_last_end) — 가정</t>
      </text>
    </comment>
    <comment ref="AD9" authorId="0" shapeId="0">
      <text>
        <t>fx.json quarters(partial — 분기 진행 중 실측 평균)</t>
      </text>
    </comment>
    <comment ref="AF9" authorId="0" shapeId="0">
      <text>
        <t>fx.json forward(flat_last_end) — 가정</t>
      </text>
    </comment>
    <comment ref="AG9" authorId="0" shapeId="0">
      <text>
        <t>fx.json forward(flat_last_end) — 가정</t>
      </text>
    </comment>
    <comment ref="AH9" authorId="0" shapeId="0">
      <text>
        <t>fx.json forward(flat_last_end) — 가정</t>
      </text>
    </comment>
    <comment ref="AI9" authorId="0" shapeId="0">
      <text>
        <t>fx.json forward(flat_last_end) — 가정</t>
      </text>
    </comment>
    <comment ref="AK9" authorId="0" shapeId="0">
      <text>
        <t>fx.json forward(flat_last_end) — 가정</t>
      </text>
    </comment>
    <comment ref="AL9" authorId="0" shapeId="0">
      <text>
        <t>fx.json forward(flat_last_end) — 가정</t>
      </text>
    </comment>
    <comment ref="AM9" authorId="0" shapeId="0">
      <text>
        <t>fx.json forward(flat_last_end) — 가정</t>
      </text>
    </comment>
    <comment ref="AN9" authorId="0" shapeId="0">
      <text>
        <t>fx.json forward(flat_last_end) — 가정</t>
      </text>
    </comment>
    <comment ref="AD10" authorId="0" shapeId="0">
      <text>
        <t>fx.json quarters(partial — 분기 진행 중 실측 평균)</t>
      </text>
    </comment>
    <comment ref="AF10" authorId="0" shapeId="0">
      <text>
        <t>fx.json forward(flat_last_end) — 가정</t>
      </text>
    </comment>
    <comment ref="AG10" authorId="0" shapeId="0">
      <text>
        <t>fx.json forward(flat_last_end) — 가정</t>
      </text>
    </comment>
    <comment ref="AH10" authorId="0" shapeId="0">
      <text>
        <t>fx.json forward(flat_last_end) — 가정</t>
      </text>
    </comment>
    <comment ref="AI10" authorId="0" shapeId="0">
      <text>
        <t>fx.json forward(flat_last_end) — 가정</t>
      </text>
    </comment>
    <comment ref="AK10" authorId="0" shapeId="0">
      <text>
        <t>fx.json forward(flat_last_end) — 가정</t>
      </text>
    </comment>
    <comment ref="AL10" authorId="0" shapeId="0">
      <text>
        <t>fx.json forward(flat_last_end) — 가정</t>
      </text>
    </comment>
    <comment ref="AM10" authorId="0" shapeId="0">
      <text>
        <t>fx.json forward(flat_last_end) — 가정</t>
      </text>
    </comment>
    <comment ref="AN10" authorId="0" shapeId="0">
      <text>
        <t>fx.json forward(flat_last_end) — 가정</t>
      </text>
    </comment>
    <comment ref="AD11" authorId="0" shapeId="0">
      <text>
        <t>fx.json quarters(partial — 분기 진행 중 실측 평균)</t>
      </text>
    </comment>
    <comment ref="AF11" authorId="0" shapeId="0">
      <text>
        <t>fx.json forward(flat_last_end) — 가정</t>
      </text>
    </comment>
    <comment ref="AG11" authorId="0" shapeId="0">
      <text>
        <t>fx.json forward(flat_last_end) — 가정</t>
      </text>
    </comment>
    <comment ref="AH11" authorId="0" shapeId="0">
      <text>
        <t>fx.json forward(flat_last_end) — 가정</t>
      </text>
    </comment>
    <comment ref="AI11" authorId="0" shapeId="0">
      <text>
        <t>fx.json forward(flat_last_end) — 가정</t>
      </text>
    </comment>
    <comment ref="AK11" authorId="0" shapeId="0">
      <text>
        <t>fx.json forward(flat_last_end) — 가정</t>
      </text>
    </comment>
    <comment ref="AL11" authorId="0" shapeId="0">
      <text>
        <t>fx.json forward(flat_last_end) — 가정</t>
      </text>
    </comment>
    <comment ref="AM11" authorId="0" shapeId="0">
      <text>
        <t>fx.json forward(flat_last_end) — 가정</t>
      </text>
    </comment>
    <comment ref="AN11" authorId="0" shapeId="0">
      <text>
        <t>fx.json forward(flat_last_end) — 가정</t>
      </text>
    </comment>
    <comment ref="AD12" authorId="0" shapeId="0">
      <text>
        <t>fx.json quarters(partial — 분기 진행 중 실측 평균)</t>
      </text>
    </comment>
    <comment ref="AF12" authorId="0" shapeId="0">
      <text>
        <t>fx.json forward(flat_last_end) — 가정</t>
      </text>
    </comment>
    <comment ref="AG12" authorId="0" shapeId="0">
      <text>
        <t>fx.json forward(flat_last_end) — 가정</t>
      </text>
    </comment>
    <comment ref="AH12" authorId="0" shapeId="0">
      <text>
        <t>fx.json forward(flat_last_end) — 가정</t>
      </text>
    </comment>
    <comment ref="AI12" authorId="0" shapeId="0">
      <text>
        <t>fx.json forward(flat_last_end) — 가정</t>
      </text>
    </comment>
    <comment ref="AK12" authorId="0" shapeId="0">
      <text>
        <t>fx.json forward(flat_last_end) — 가정</t>
      </text>
    </comment>
    <comment ref="AL12" authorId="0" shapeId="0">
      <text>
        <t>fx.json forward(flat_last_end) — 가정</t>
      </text>
    </comment>
    <comment ref="AM12" authorId="0" shapeId="0">
      <text>
        <t>fx.json forward(flat_last_end) — 가정</t>
      </text>
    </comment>
    <comment ref="AN12" authorId="0" shapeId="0">
      <text>
        <t>fx.json forward(flat_last_end) — 가정</t>
      </text>
    </comment>
    <comment ref="AD13" authorId="0" shapeId="0">
      <text>
        <t>fx.json quarters(partial — 분기 진행 중 실측 평균)</t>
      </text>
    </comment>
    <comment ref="AF13" authorId="0" shapeId="0">
      <text>
        <t>fx.json forward(flat_last_end) — 가정</t>
      </text>
    </comment>
    <comment ref="AG13" authorId="0" shapeId="0">
      <text>
        <t>fx.json forward(flat_last_end) — 가정</t>
      </text>
    </comment>
    <comment ref="AH13" authorId="0" shapeId="0">
      <text>
        <t>fx.json forward(flat_last_end) — 가정</t>
      </text>
    </comment>
    <comment ref="AI13" authorId="0" shapeId="0">
      <text>
        <t>fx.json forward(flat_last_end) — 가정</t>
      </text>
    </comment>
    <comment ref="AK13" authorId="0" shapeId="0">
      <text>
        <t>fx.json forward(flat_last_end) — 가정</t>
      </text>
    </comment>
    <comment ref="AL13" authorId="0" shapeId="0">
      <text>
        <t>fx.json forward(flat_last_end) — 가정</t>
      </text>
    </comment>
    <comment ref="AM13" authorId="0" shapeId="0">
      <text>
        <t>fx.json forward(flat_last_end) — 가정</t>
      </text>
    </comment>
    <comment ref="AN13" authorId="0" shapeId="0">
      <text>
        <t>fx.json forward(flat_last_end) — 가정</t>
      </text>
    </comment>
    <comment ref="AD15" authorId="0" shapeId="0">
      <text>
        <t>분기 진행 중(partial) — aikstockdata/토스 일봉</t>
      </text>
    </comment>
    <comment ref="AD16" authorId="0" shapeId="0">
      <text>
        <t>분기 진행 중(partial) — aikstockdata/토스 일봉</t>
      </text>
    </comment>
    <comment ref="AD17" authorId="0" shapeId="0">
      <text>
        <t>분기 진행 중(partial) — aikstockdata/토스 일봉</t>
      </text>
    </comment>
    <comment ref="AD18" authorId="0" shapeId="0">
      <text>
        <t>분기 진행 중(partial) — aikstockdata/토스 일봉</t>
      </text>
    </comment>
    <comment ref="AC21" authorId="0" shapeId="0">
      <text>
        <t>모델값 역산(implied): v / 전년동기 − 1
고객 매출 가중지수(t−1) 63322억 × 비례계수 0.0132(원점회귀; 격자 lag0~4×창8/12/19×수준·YoY·4Q합 중 최대 r=0.90, n=8, 창 8)</t>
      </text>
    </comment>
    <comment ref="AD21" authorId="0" shapeId="0">
      <text>
        <t>모델값 역산(implied): v / 전년동기 − 1
고객 매출 가중지수(t−1) 65950억 × 비례계수 0.0132(원점회귀; 격자 lag0~4×창8/12/19×수준·YoY·4Q합 중 최대 r=0.90, n=8, 창 8)</t>
      </text>
    </comment>
    <comment ref="AF21" authorId="0" shapeId="0">
      <text>
        <t>모델값 역산(implied): v / 전년동기 − 1
고객 매출 가중지수(t−1) 66782억 × 비례계수 0.0132(원점회귀; 격자 lag0~4×창8/12/19×수준·YoY·4Q합 중 최대 r=0.90, n=8, 창 8)</t>
      </text>
    </comment>
    <comment ref="AG21" authorId="0" shapeId="0">
      <text>
        <t>모델값 역산(implied): v / 전년동기 − 1
고객 매출 가중지수(t−1) 68498억 × 비례계수 0.0132(원점회귀; 격자 lag0~4×창8/12/19×수준·YoY·4Q합 중 최대 r=0.90, n=8, 창 8)</t>
      </text>
    </comment>
    <comment ref="AH21" authorId="0" shapeId="0">
      <text>
        <t>모델값 역산(implied): v / 전년동기 − 1
고객 매출 가중지수(t−1) 72044억 × 비례계수 0.0132(원점회귀; 격자 lag0~4×창8/12/19×수준·YoY·4Q합 중 최대 r=0.90, n=8, 창 8)</t>
      </text>
    </comment>
    <comment ref="AI21" authorId="0" shapeId="0">
      <text>
        <t>모델값 역산(implied): v / 전년동기 − 1
고객 매출 가중지수(t−1) 76023억 × 비례계수 0.0132(원점회귀; 격자 lag0~4×창8/12/19×수준·YoY·4Q합 중 최대 r=0.90, n=8, 창 8)</t>
      </text>
    </comment>
    <comment ref="AK21" authorId="0" shapeId="0">
      <text>
        <t>모델값 역산(implied): v / 전년동기 − 1
고객 매출 가중지수(t−1) 80813억 × 비례계수 0.0132(원점회귀; 격자 lag0~4×창8/12/19×수준·YoY·4Q합 중 최대 r=0.90, n=8, 창 8)</t>
      </text>
    </comment>
    <comment ref="AL21" authorId="0" shapeId="0">
      <text>
        <t>모델값 역산(implied): v / 전년동기 − 1
고객 매출 가중지수(t−1) 85815억 × 비례계수 0.0132(원점회귀; 격자 lag0~4×창8/12/19×수준·YoY·4Q합 중 최대 r=0.90, n=8, 창 8)</t>
      </text>
    </comment>
    <comment ref="AM21" authorId="0" shapeId="0">
      <text>
        <t>모델값 역산(implied): v / 전년동기 − 1
고객 매출 가중지수(t−1) 91074억 × 비례계수 0.0132(원점회귀; 격자 lag0~4×창8/12/19×수준·YoY·4Q합 중 최대 r=0.90, n=8, 창 8)</t>
      </text>
    </comment>
    <comment ref="AN21" authorId="0" shapeId="0">
      <text>
        <t>모델값 역산(implied): v / 전년동기 − 1
고객 매출 가중지수(t−1) 95271억 × 비례계수 0.0132(원점회귀; 격자 lag0~4×창8/12/19×수준·YoY·4Q합 중 최대 r=0.90, n=8, 창 8)</t>
      </text>
    </comment>
    <comment ref="AC22" authorId="0" shapeId="0">
      <text>
        <t>3절 스칼라 '판관비율' 참조 — 숫자로 덮어쓰면 이 분기만 바뀐다
매출액 × 판관비율 7.95%(최근 4분기 중위)</t>
      </text>
    </comment>
    <comment ref="AD22" authorId="0" shapeId="0">
      <text>
        <t>3절 스칼라 '판관비율' 참조 — 숫자로 덮어쓰면 이 분기만 바뀐다
매출액 × 판관비율 7.95%(최근 4분기 중위)</t>
      </text>
    </comment>
    <comment ref="AF22" authorId="0" shapeId="0">
      <text>
        <t>3절 스칼라 '판관비율' 참조 — 숫자로 덮어쓰면 이 분기만 바뀐다
매출액 × 판관비율 7.95%(최근 4분기 중위)</t>
      </text>
    </comment>
    <comment ref="AG22" authorId="0" shapeId="0">
      <text>
        <t>3절 스칼라 '판관비율' 참조 — 숫자로 덮어쓰면 이 분기만 바뀐다
매출액 × 판관비율 7.95%(최근 4분기 중위)</t>
      </text>
    </comment>
    <comment ref="AH22" authorId="0" shapeId="0">
      <text>
        <t>3절 스칼라 '판관비율' 참조 — 숫자로 덮어쓰면 이 분기만 바뀐다
매출액 × 판관비율 7.95%(최근 4분기 중위)</t>
      </text>
    </comment>
    <comment ref="AI22" authorId="0" shapeId="0">
      <text>
        <t>3절 스칼라 '판관비율' 참조 — 숫자로 덮어쓰면 이 분기만 바뀐다
매출액 × 판관비율 7.95%(최근 4분기 중위)</t>
      </text>
    </comment>
    <comment ref="AK22" authorId="0" shapeId="0">
      <text>
        <t>3절 스칼라 '판관비율' 참조 — 숫자로 덮어쓰면 이 분기만 바뀐다
매출액 × 판관비율 7.95%(최근 4분기 중위)</t>
      </text>
    </comment>
    <comment ref="AL22" authorId="0" shapeId="0">
      <text>
        <t>3절 스칼라 '판관비율' 참조 — 숫자로 덮어쓰면 이 분기만 바뀐다
매출액 × 판관비율 7.95%(최근 4분기 중위)</t>
      </text>
    </comment>
    <comment ref="AM22" authorId="0" shapeId="0">
      <text>
        <t>3절 스칼라 '판관비율' 참조 — 숫자로 덮어쓰면 이 분기만 바뀐다
매출액 × 판관비율 7.95%(최근 4분기 중위)</t>
      </text>
    </comment>
    <comment ref="AN22" authorId="0" shapeId="0">
      <text>
        <t>3절 스칼라 '판관비율' 참조 — 숫자로 덮어쓰면 이 분기만 바뀐다
매출액 × 판관비율 7.95%(최근 4분기 중위)</t>
      </text>
    </comment>
    <comment ref="AC23" authorId="0" shapeId="0">
      <text>
        <t>모델값 역산(implied): v / 매출액
매출액 × OPM(최근 8분기 OPM 중위 3.7% 유지)</t>
      </text>
    </comment>
    <comment ref="AD23" authorId="0" shapeId="0">
      <text>
        <t>모델값 역산(implied): v / 매출액
매출액 × OPM(최근 8분기 OPM 중위 3.7% 유지)</t>
      </text>
    </comment>
    <comment ref="AF23" authorId="0" shapeId="0">
      <text>
        <t>모델값 역산(implied): v / 매출액
매출액 × OPM(최근 8분기 OPM 중위 3.7% 유지)</t>
      </text>
    </comment>
    <comment ref="AG23" authorId="0" shapeId="0">
      <text>
        <t>모델값 역산(implied): v / 매출액
매출액 × OPM(최근 8분기 OPM 중위 3.7% 유지)</t>
      </text>
    </comment>
    <comment ref="AH23" authorId="0" shapeId="0">
      <text>
        <t>모델값 역산(implied): v / 매출액
매출액 × OPM(최근 8분기 OPM 중위 3.7% 유지)</t>
      </text>
    </comment>
    <comment ref="AI23" authorId="0" shapeId="0">
      <text>
        <t>모델값 역산(implied): v / 매출액
매출액 × OPM(최근 8분기 OPM 중위 3.7% 유지)</t>
      </text>
    </comment>
    <comment ref="AK23" authorId="0" shapeId="0">
      <text>
        <t>모델값 역산(implied): v / 매출액
매출액 × OPM(최근 8분기 OPM 중위 3.7% 유지)</t>
      </text>
    </comment>
    <comment ref="AL23" authorId="0" shapeId="0">
      <text>
        <t>모델값 역산(implied): v / 매출액
매출액 × OPM(최근 8분기 OPM 중위 3.7% 유지)</t>
      </text>
    </comment>
    <comment ref="AM23" authorId="0" shapeId="0">
      <text>
        <t>모델값 역산(implied): v / 매출액
매출액 × OPM(최근 8분기 OPM 중위 3.7% 유지)</t>
      </text>
    </comment>
    <comment ref="AN23" authorId="0" shapeId="0">
      <text>
        <t>모델값 역산(implied): v / 매출액
매출액 × OPM(최근 8분기 OPM 중위 3.7% 유지)</t>
      </text>
    </comment>
    <comment ref="AC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D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F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G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H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I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K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L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M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N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C25" authorId="0" shapeId="0">
      <text>
        <t>모델값 역산(implied): 모델 v 그대로
파생상품 평가·거래손익 0 가정</t>
      </text>
    </comment>
    <comment ref="AD25" authorId="0" shapeId="0">
      <text>
        <t>모델값 역산(implied): 모델 v 그대로
파생상품 평가·거래손익 0 가정</t>
      </text>
    </comment>
    <comment ref="AF25" authorId="0" shapeId="0">
      <text>
        <t>모델값 역산(implied): 모델 v 그대로
파생상품 평가·거래손익 0 가정</t>
      </text>
    </comment>
    <comment ref="AG25" authorId="0" shapeId="0">
      <text>
        <t>모델값 역산(implied): 모델 v 그대로
파생상품 평가·거래손익 0 가정</t>
      </text>
    </comment>
    <comment ref="AH25" authorId="0" shapeId="0">
      <text>
        <t>모델값 역산(implied): 모델 v 그대로
파생상품 평가·거래손익 0 가정</t>
      </text>
    </comment>
    <comment ref="AI25" authorId="0" shapeId="0">
      <text>
        <t>모델값 역산(implied): 모델 v 그대로
파생상품 평가·거래손익 0 가정</t>
      </text>
    </comment>
    <comment ref="AK25" authorId="0" shapeId="0">
      <text>
        <t>모델값 역산(implied): 모델 v 그대로
파생상품 평가·거래손익 0 가정</t>
      </text>
    </comment>
    <comment ref="AL25" authorId="0" shapeId="0">
      <text>
        <t>모델값 역산(implied): 모델 v 그대로
파생상품 평가·거래손익 0 가정</t>
      </text>
    </comment>
    <comment ref="AM25" authorId="0" shapeId="0">
      <text>
        <t>모델값 역산(implied): 모델 v 그대로
파생상품 평가·거래손익 0 가정</t>
      </text>
    </comment>
    <comment ref="AN25" authorId="0" shapeId="0">
      <text>
        <t>모델값 역산(implied): 모델 v 그대로
파생상품 평가·거래손익 0 가정</t>
      </text>
    </comment>
    <comment ref="AC26" authorId="0" shapeId="0">
      <text>
        <t>모델값 역산(implied): 모델 v 그대로
최근 4분기(2025Q2~2026Q2) 잔차 중위</t>
      </text>
    </comment>
    <comment ref="AD26" authorId="0" shapeId="0">
      <text>
        <t>모델값 역산(implied): 모델 v 그대로
최근 4분기(2025Q2~2026Q2) 잔차 중위</t>
      </text>
    </comment>
    <comment ref="AF26" authorId="0" shapeId="0">
      <text>
        <t>모델값 역산(implied): 모델 v 그대로
최근 4분기(2025Q2~2026Q2) 잔차 중위</t>
      </text>
    </comment>
    <comment ref="AG26" authorId="0" shapeId="0">
      <text>
        <t>모델값 역산(implied): 모델 v 그대로
최근 4분기(2025Q2~2026Q2) 잔차 중위</t>
      </text>
    </comment>
    <comment ref="AH26" authorId="0" shapeId="0">
      <text>
        <t>모델값 역산(implied): 모델 v 그대로
최근 4분기(2025Q2~2026Q2) 잔차 중위</t>
      </text>
    </comment>
    <comment ref="AI26" authorId="0" shapeId="0">
      <text>
        <t>모델값 역산(implied): 모델 v 그대로
최근 4분기(2025Q2~2026Q2) 잔차 중위</t>
      </text>
    </comment>
    <comment ref="AK26" authorId="0" shapeId="0">
      <text>
        <t>모델값 역산(implied): 모델 v 그대로
최근 4분기(2025Q2~2026Q2) 잔차 중위</t>
      </text>
    </comment>
    <comment ref="AL26" authorId="0" shapeId="0">
      <text>
        <t>모델값 역산(implied): 모델 v 그대로
최근 4분기(2025Q2~2026Q2) 잔차 중위</t>
      </text>
    </comment>
    <comment ref="AM26" authorId="0" shapeId="0">
      <text>
        <t>모델값 역산(implied): 모델 v 그대로
최근 4분기(2025Q2~2026Q2) 잔차 중위</t>
      </text>
    </comment>
    <comment ref="AN26" authorId="0" shapeId="0">
      <text>
        <t>모델값 역산(implied): 모델 v 그대로
최근 4분기(2025Q2~2026Q2) 잔차 중위</t>
      </text>
    </comment>
    <comment ref="AC27" authorId="0" shapeId="0">
      <text>
        <t>모델값 역산(implied): 모델 v 그대로
일회성 미가정 → 0</t>
      </text>
    </comment>
    <comment ref="AD27" authorId="0" shapeId="0">
      <text>
        <t>모델값 역산(implied): 모델 v 그대로
일회성 미가정 → 0</t>
      </text>
    </comment>
    <comment ref="AF27" authorId="0" shapeId="0">
      <text>
        <t>모델값 역산(implied): 모델 v 그대로
일회성 미가정 → 0</t>
      </text>
    </comment>
    <comment ref="AG27" authorId="0" shapeId="0">
      <text>
        <t>모델값 역산(implied): 모델 v 그대로
일회성 미가정 → 0</t>
      </text>
    </comment>
    <comment ref="AH27" authorId="0" shapeId="0">
      <text>
        <t>모델값 역산(implied): 모델 v 그대로
일회성 미가정 → 0</t>
      </text>
    </comment>
    <comment ref="AI27" authorId="0" shapeId="0">
      <text>
        <t>모델값 역산(implied): 모델 v 그대로
일회성 미가정 → 0</t>
      </text>
    </comment>
    <comment ref="AK27" authorId="0" shapeId="0">
      <text>
        <t>모델값 역산(implied): 모델 v 그대로
일회성 미가정 → 0</t>
      </text>
    </comment>
    <comment ref="AL27" authorId="0" shapeId="0">
      <text>
        <t>모델값 역산(implied): 모델 v 그대로
일회성 미가정 → 0</t>
      </text>
    </comment>
    <comment ref="AM27" authorId="0" shapeId="0">
      <text>
        <t>모델값 역산(implied): 모델 v 그대로
일회성 미가정 → 0</t>
      </text>
    </comment>
    <comment ref="AN27" authorId="0" shapeId="0">
      <text>
        <t>모델값 역산(implied): 모델 v 그대로
일회성 미가정 → 0</t>
      </text>
    </comment>
    <comment ref="AC28" authorId="0" shapeId="0">
      <text>
        <t>3절 스칼라 '세율' 참조 — 숫자로 덮어쓰면 이 분기만 바뀐다
max(세전, 0) × 세율 20.9%(최근 12분기 유효세율 214.5% 가 5~27% 밖 → 클립 대신 최근 8분기 중 세전 &gt; 0 인 3분기(2025Q2~2026Q2)의 법인세/세전 중위 20.9%)</t>
      </text>
    </comment>
    <comment ref="AD28" authorId="0" shapeId="0">
      <text>
        <t>3절 스칼라 '세율' 참조 — 숫자로 덮어쓰면 이 분기만 바뀐다
max(세전, 0) × 세율 20.9%(최근 12분기 유효세율 214.5% 가 5~27% 밖 → 클립 대신 최근 8분기 중 세전 &gt; 0 인 3분기(2025Q2~2026Q2)의 법인세/세전 중위 20.9%)</t>
      </text>
    </comment>
    <comment ref="AF28" authorId="0" shapeId="0">
      <text>
        <t>3절 스칼라 '세율' 참조 — 숫자로 덮어쓰면 이 분기만 바뀐다
max(세전, 0) × 세율 20.9%(최근 12분기 유효세율 214.5% 가 5~27% 밖 → 클립 대신 최근 8분기 중 세전 &gt; 0 인 3분기(2025Q2~2026Q2)의 법인세/세전 중위 20.9%)</t>
      </text>
    </comment>
    <comment ref="AG28" authorId="0" shapeId="0">
      <text>
        <t>3절 스칼라 '세율' 참조 — 숫자로 덮어쓰면 이 분기만 바뀐다
max(세전, 0) × 세율 20.9%(최근 12분기 유효세율 214.5% 가 5~27% 밖 → 클립 대신 최근 8분기 중 세전 &gt; 0 인 3분기(2025Q2~2026Q2)의 법인세/세전 중위 20.9%)</t>
      </text>
    </comment>
    <comment ref="AH28" authorId="0" shapeId="0">
      <text>
        <t>3절 스칼라 '세율' 참조 — 숫자로 덮어쓰면 이 분기만 바뀐다
max(세전, 0) × 세율 20.9%(최근 12분기 유효세율 214.5% 가 5~27% 밖 → 클립 대신 최근 8분기 중 세전 &gt; 0 인 3분기(2025Q2~2026Q2)의 법인세/세전 중위 20.9%)</t>
      </text>
    </comment>
    <comment ref="AI28" authorId="0" shapeId="0">
      <text>
        <t>3절 스칼라 '세율' 참조 — 숫자로 덮어쓰면 이 분기만 바뀐다
max(세전, 0) × 세율 20.9%(최근 12분기 유효세율 214.5% 가 5~27% 밖 → 클립 대신 최근 8분기 중 세전 &gt; 0 인 3분기(2025Q2~2026Q2)의 법인세/세전 중위 20.9%)</t>
      </text>
    </comment>
    <comment ref="AK28" authorId="0" shapeId="0">
      <text>
        <t>3절 스칼라 '세율' 참조 — 숫자로 덮어쓰면 이 분기만 바뀐다
max(세전, 0) × 세율 20.9%(최근 12분기 유효세율 214.5% 가 5~27% 밖 → 클립 대신 최근 8분기 중 세전 &gt; 0 인 3분기(2025Q2~2026Q2)의 법인세/세전 중위 20.9%)</t>
      </text>
    </comment>
    <comment ref="AL28" authorId="0" shapeId="0">
      <text>
        <t>3절 스칼라 '세율' 참조 — 숫자로 덮어쓰면 이 분기만 바뀐다
max(세전, 0) × 세율 20.9%(최근 12분기 유효세율 214.5% 가 5~27% 밖 → 클립 대신 최근 8분기 중 세전 &gt; 0 인 3분기(2025Q2~2026Q2)의 법인세/세전 중위 20.9%)</t>
      </text>
    </comment>
    <comment ref="AM28" authorId="0" shapeId="0">
      <text>
        <t>3절 스칼라 '세율' 참조 — 숫자로 덮어쓰면 이 분기만 바뀐다
max(세전, 0) × 세율 20.9%(최근 12분기 유효세율 214.5% 가 5~27% 밖 → 클립 대신 최근 8분기 중 세전 &gt; 0 인 3분기(2025Q2~2026Q2)의 법인세/세전 중위 20.9%)</t>
      </text>
    </comment>
    <comment ref="AN28" authorId="0" shapeId="0">
      <text>
        <t>3절 스칼라 '세율' 참조 — 숫자로 덮어쓰면 이 분기만 바뀐다
max(세전, 0) × 세율 20.9%(최근 12분기 유효세율 214.5% 가 5~27% 밖 → 클립 대신 최근 8분기 중 세전 &gt; 0 인 3분기(2025Q2~2026Q2)의 법인세/세전 중위 20.9%)</t>
      </text>
    </comment>
    <comment ref="AC29" authorId="0" shapeId="0">
      <text>
        <t>3절 스칼라 '지배주주비중' 참조 — 숫자로 덮어쓰면 이 분기만 바뀐다
당기순이익 × (1 − 비지배 비중 60.0%, 최근 8분기 실측)</t>
      </text>
    </comment>
    <comment ref="AD29" authorId="0" shapeId="0">
      <text>
        <t>3절 스칼라 '지배주주비중' 참조 — 숫자로 덮어쓰면 이 분기만 바뀐다
당기순이익 × (1 − 비지배 비중 60.0%, 최근 8분기 실측)</t>
      </text>
    </comment>
    <comment ref="AF29" authorId="0" shapeId="0">
      <text>
        <t>3절 스칼라 '지배주주비중' 참조 — 숫자로 덮어쓰면 이 분기만 바뀐다
당기순이익 × (1 − 비지배 비중 60.0%, 최근 8분기 실측)</t>
      </text>
    </comment>
    <comment ref="AG29" authorId="0" shapeId="0">
      <text>
        <t>3절 스칼라 '지배주주비중' 참조 — 숫자로 덮어쓰면 이 분기만 바뀐다
당기순이익 × (1 − 비지배 비중 60.0%, 최근 8분기 실측)</t>
      </text>
    </comment>
    <comment ref="AH29" authorId="0" shapeId="0">
      <text>
        <t>3절 스칼라 '지배주주비중' 참조 — 숫자로 덮어쓰면 이 분기만 바뀐다
당기순이익 × (1 − 비지배 비중 60.0%, 최근 8분기 실측)</t>
      </text>
    </comment>
    <comment ref="AI29" authorId="0" shapeId="0">
      <text>
        <t>3절 스칼라 '지배주주비중' 참조 — 숫자로 덮어쓰면 이 분기만 바뀐다
당기순이익 × (1 − 비지배 비중 60.0%, 최근 8분기 실측)</t>
      </text>
    </comment>
    <comment ref="AK29" authorId="0" shapeId="0">
      <text>
        <t>3절 스칼라 '지배주주비중' 참조 — 숫자로 덮어쓰면 이 분기만 바뀐다
당기순이익 × (1 − 비지배 비중 60.0%, 최근 8분기 실측)</t>
      </text>
    </comment>
    <comment ref="AL29" authorId="0" shapeId="0">
      <text>
        <t>3절 스칼라 '지배주주비중' 참조 — 숫자로 덮어쓰면 이 분기만 바뀐다
당기순이익 × (1 − 비지배 비중 60.0%, 최근 8분기 실측)</t>
      </text>
    </comment>
    <comment ref="AM29" authorId="0" shapeId="0">
      <text>
        <t>3절 스칼라 '지배주주비중' 참조 — 숫자로 덮어쓰면 이 분기만 바뀐다
당기순이익 × (1 − 비지배 비중 60.0%, 최근 8분기 실측)</t>
      </text>
    </comment>
    <comment ref="AN29" authorId="0" shapeId="0">
      <text>
        <t>3절 스칼라 '지배주주비중' 참조 — 숫자로 덮어쓰면 이 분기만 바뀐다
당기순이익 × (1 − 비지배 비중 60.0%, 최근 8분기 실측)</t>
      </text>
    </comment>
    <comment ref="AC30" authorId="0" shapeId="0">
      <text>
        <t>모델값 역산(implied): 모델 v 그대로
최근 4분기 감가상각비 중위 유지</t>
      </text>
    </comment>
    <comment ref="AD30" authorId="0" shapeId="0">
      <text>
        <t>모델값 역산(implied): 모델 v 그대로
최근 4분기 감가상각비 중위 유지</t>
      </text>
    </comment>
    <comment ref="AF30" authorId="0" shapeId="0">
      <text>
        <t>모델값 역산(implied): 모델 v 그대로
최근 4분기 감가상각비 중위 유지</t>
      </text>
    </comment>
    <comment ref="AG30" authorId="0" shapeId="0">
      <text>
        <t>모델값 역산(implied): 모델 v 그대로
최근 4분기 감가상각비 중위 유지</t>
      </text>
    </comment>
    <comment ref="AH30" authorId="0" shapeId="0">
      <text>
        <t>모델값 역산(implied): 모델 v 그대로
최근 4분기 감가상각비 중위 유지</t>
      </text>
    </comment>
    <comment ref="AI30" authorId="0" shapeId="0">
      <text>
        <t>모델값 역산(implied): 모델 v 그대로
최근 4분기 감가상각비 중위 유지</t>
      </text>
    </comment>
    <comment ref="AK30" authorId="0" shapeId="0">
      <text>
        <t>모델값 역산(implied): 모델 v 그대로
최근 4분기 감가상각비 중위 유지</t>
      </text>
    </comment>
    <comment ref="AL30" authorId="0" shapeId="0">
      <text>
        <t>모델값 역산(implied): 모델 v 그대로
최근 4분기 감가상각비 중위 유지</t>
      </text>
    </comment>
    <comment ref="AM30" authorId="0" shapeId="0">
      <text>
        <t>모델값 역산(implied): 모델 v 그대로
최근 4분기 감가상각비 중위 유지</t>
      </text>
    </comment>
    <comment ref="AN30" authorId="0" shapeId="0">
      <text>
        <t>모델값 역산(implied): 모델 v 그대로
최근 4분기 감가상각비 중위 유지</t>
      </text>
    </comment>
    <comment ref="AC31" authorId="0" shapeId="0">
      <text>
        <t>모델값 역산(implied): v / 전분기 − 1
마지막 실적 유지(가정)</t>
      </text>
    </comment>
    <comment ref="AD31" authorId="0" shapeId="0">
      <text>
        <t>모델값 역산(implied): v / 전분기 − 1
마지막 실적 유지(가정)</t>
      </text>
    </comment>
    <comment ref="AF31" authorId="0" shapeId="0">
      <text>
        <t>모델값 역산(implied): v / 전분기 − 1
마지막 실적 유지(가정)</t>
      </text>
    </comment>
    <comment ref="AG31" authorId="0" shapeId="0">
      <text>
        <t>모델값 역산(implied): v / 전분기 − 1
마지막 실적 유지(가정)</t>
      </text>
    </comment>
    <comment ref="AH31" authorId="0" shapeId="0">
      <text>
        <t>모델값 역산(implied): v / 전분기 − 1
마지막 실적 유지(가정)</t>
      </text>
    </comment>
    <comment ref="AI31" authorId="0" shapeId="0">
      <text>
        <t>모델값 역산(implied): v / 전분기 − 1
마지막 실적 유지(가정)</t>
      </text>
    </comment>
    <comment ref="AK31" authorId="0" shapeId="0">
      <text>
        <t>모델값 역산(implied): v / 전분기 − 1
마지막 실적 유지(가정)</t>
      </text>
    </comment>
    <comment ref="AL31" authorId="0" shapeId="0">
      <text>
        <t>모델값 역산(implied): v / 전분기 − 1
마지막 실적 유지(가정)</t>
      </text>
    </comment>
    <comment ref="AM31" authorId="0" shapeId="0">
      <text>
        <t>모델값 역산(implied): v / 전분기 − 1
마지막 실적 유지(가정)</t>
      </text>
    </comment>
    <comment ref="AN31" authorId="0" shapeId="0">
      <text>
        <t>모델값 역산(implied): v / 전분기 − 1
마지막 실적 유지(가정)</t>
      </text>
    </comment>
    <comment ref="AC32" authorId="0" shapeId="0">
      <text>
        <t>모델값 역산(implied): 전분기(시트값) + 당기순이익(시트 수식값) − v
전분기 + 당기순이익 − 배당(Q2 지급 가정)</t>
      </text>
    </comment>
    <comment ref="AD32" authorId="0" shapeId="0">
      <text>
        <t>모델값 역산(implied): 전분기(시트값) + 당기순이익(시트 수식값) − v
전분기 + 당기순이익 − 배당(Q2 지급 가정)</t>
      </text>
    </comment>
    <comment ref="AF32" authorId="0" shapeId="0">
      <text>
        <t>모델값 역산(implied): 전분기(시트값) + 당기순이익(시트 수식값) − v
전분기 + 당기순이익 − 배당(Q2 지급 가정)</t>
      </text>
    </comment>
    <comment ref="AG32" authorId="0" shapeId="0">
      <text>
        <t>모델값 역산(implied): 전분기(시트값) + 당기순이익(시트 수식값) − v
전분기 + 당기순이익 − 배당(Q2 지급 가정)</t>
      </text>
    </comment>
    <comment ref="AH32" authorId="0" shapeId="0">
      <text>
        <t>모델값 역산(implied): 전분기(시트값) + 당기순이익(시트 수식값) − v
전분기 + 당기순이익 − 배당(Q2 지급 가정)</t>
      </text>
    </comment>
    <comment ref="AI32" authorId="0" shapeId="0">
      <text>
        <t>모델값 역산(implied): 전분기(시트값) + 당기순이익(시트 수식값) − v
전분기 + 당기순이익 − 배당(Q2 지급 가정)</t>
      </text>
    </comment>
    <comment ref="AK32" authorId="0" shapeId="0">
      <text>
        <t>모델값 역산(implied): 전분기(시트값) + 당기순이익(시트 수식값) − v
전분기 + 당기순이익 − 배당(Q2 지급 가정)</t>
      </text>
    </comment>
    <comment ref="AL32" authorId="0" shapeId="0">
      <text>
        <t>모델값 역산(implied): 전분기(시트값) + 당기순이익(시트 수식값) − v
전분기 + 당기순이익 − 배당(Q2 지급 가정)</t>
      </text>
    </comment>
    <comment ref="AM32" authorId="0" shapeId="0">
      <text>
        <t>모델값 역산(implied): 전분기(시트값) + 당기순이익(시트 수식값) − v
전분기 + 당기순이익 − 배당(Q2 지급 가정)</t>
      </text>
    </comment>
    <comment ref="AN32" authorId="0" shapeId="0">
      <text>
        <t>모델값 역산(implied): 전분기(시트값) + 당기순이익(시트 수식값) − v
전분기 + 당기순이익 − 배당(Q2 지급 가정)</t>
      </text>
    </comment>
    <comment ref="AC33" authorId="0" shapeId="0">
      <text>
        <t>모델값 역산(implied): 전분기(시트값) + 지배주주순이익(시트 수식값) − v
전분기 + 지배주주순이익 − 배당</t>
      </text>
    </comment>
    <comment ref="AD33" authorId="0" shapeId="0">
      <text>
        <t>모델값 역산(implied): 전분기(시트값) + 지배주주순이익(시트 수식값) − v
전분기 + 지배주주순이익 − 배당</t>
      </text>
    </comment>
    <comment ref="AF33" authorId="0" shapeId="0">
      <text>
        <t>모델값 역산(implied): 전분기(시트값) + 지배주주순이익(시트 수식값) − v
전분기 + 지배주주순이익 − 배당</t>
      </text>
    </comment>
    <comment ref="AG33" authorId="0" shapeId="0">
      <text>
        <t>모델값 역산(implied): 전분기(시트값) + 지배주주순이익(시트 수식값) − v
전분기 + 지배주주순이익 − 배당</t>
      </text>
    </comment>
    <comment ref="AH33" authorId="0" shapeId="0">
      <text>
        <t>모델값 역산(implied): 전분기(시트값) + 지배주주순이익(시트 수식값) − v
전분기 + 지배주주순이익 − 배당</t>
      </text>
    </comment>
    <comment ref="AI33" authorId="0" shapeId="0">
      <text>
        <t>모델값 역산(implied): 전분기(시트값) + 지배주주순이익(시트 수식값) − v
전분기 + 지배주주순이익 − 배당</t>
      </text>
    </comment>
    <comment ref="AK33" authorId="0" shapeId="0">
      <text>
        <t>모델값 역산(implied): 전분기(시트값) + 지배주주순이익(시트 수식값) − v
전분기 + 지배주주순이익 − 배당</t>
      </text>
    </comment>
    <comment ref="AL33" authorId="0" shapeId="0">
      <text>
        <t>모델값 역산(implied): 전분기(시트값) + 지배주주순이익(시트 수식값) − v
전분기 + 지배주주순이익 − 배당</t>
      </text>
    </comment>
    <comment ref="AM33" authorId="0" shapeId="0">
      <text>
        <t>모델값 역산(implied): 전분기(시트값) + 지배주주순이익(시트 수식값) − v
전분기 + 지배주주순이익 − 배당</t>
      </text>
    </comment>
    <comment ref="AN33" authorId="0" shapeId="0">
      <text>
        <t>모델값 역산(implied): 전분기(시트값) + 지배주주순이익(시트 수식값) − v
전분기 + 지배주주순이익 − 배당</t>
      </text>
    </comment>
    <comment ref="AC34" authorId="0" shapeId="0">
      <text>
        <t>모델값 역산(implied): v / 전분기 − 1
마지막 실적 유지(가정)</t>
      </text>
    </comment>
    <comment ref="AD34" authorId="0" shapeId="0">
      <text>
        <t>모델값 역산(implied): v / 전분기 − 1
마지막 실적 유지(가정)</t>
      </text>
    </comment>
    <comment ref="AF34" authorId="0" shapeId="0">
      <text>
        <t>모델값 역산(implied): v / 전분기 − 1
마지막 실적 유지(가정)</t>
      </text>
    </comment>
    <comment ref="AG34" authorId="0" shapeId="0">
      <text>
        <t>모델값 역산(implied): v / 전분기 − 1
마지막 실적 유지(가정)</t>
      </text>
    </comment>
    <comment ref="AH34" authorId="0" shapeId="0">
      <text>
        <t>모델값 역산(implied): v / 전분기 − 1
마지막 실적 유지(가정)</t>
      </text>
    </comment>
    <comment ref="AI34" authorId="0" shapeId="0">
      <text>
        <t>모델값 역산(implied): v / 전분기 − 1
마지막 실적 유지(가정)</t>
      </text>
    </comment>
    <comment ref="AK34" authorId="0" shapeId="0">
      <text>
        <t>모델값 역산(implied): v / 전분기 − 1
마지막 실적 유지(가정)</t>
      </text>
    </comment>
    <comment ref="AL34" authorId="0" shapeId="0">
      <text>
        <t>모델값 역산(implied): v / 전분기 − 1
마지막 실적 유지(가정)</t>
      </text>
    </comment>
    <comment ref="AM34" authorId="0" shapeId="0">
      <text>
        <t>모델값 역산(implied): v / 전분기 − 1
마지막 실적 유지(가정)</t>
      </text>
    </comment>
    <comment ref="AN34" authorId="0" shapeId="0">
      <text>
        <t>모델값 역산(implied): v / 전분기 − 1
마지막 실적 유지(가정)</t>
      </text>
    </comment>
    <comment ref="AC35" authorId="0" shapeId="0">
      <text>
        <t>모델값 역산(implied): v / 전분기 − 1
전분기 − FCF 근사[순이익 + 감가상각비 9억 − CAPEX 112억(각 최근 4분기 중위) − 배당] (운전자본 불변·총차입금 유지 가정 → 변동은 전부 현금)</t>
      </text>
    </comment>
    <comment ref="AD35" authorId="0" shapeId="0">
      <text>
        <t>모델값 역산(implied): v / 전분기 − 1
전분기 − FCF 근사[순이익 + 감가상각비 9억 − CAPEX 112억(각 최근 4분기 중위) − 배당] (운전자본 불변·총차입금 유지 가정 → 변동은 전부 현금)</t>
      </text>
    </comment>
    <comment ref="AF35" authorId="0" shapeId="0">
      <text>
        <t>모델값 역산(implied): v / 전분기 − 1
전분기 − FCF 근사[순이익 + 감가상각비 9억 − CAPEX 112억(각 최근 4분기 중위) − 배당] (운전자본 불변·총차입금 유지 가정 → 변동은 전부 현금)</t>
      </text>
    </comment>
    <comment ref="AG35" authorId="0" shapeId="0">
      <text>
        <t>모델값 역산(implied): v / 전분기 − 1
전분기 − FCF 근사[순이익 + 감가상각비 9억 − CAPEX 112억(각 최근 4분기 중위) − 배당] (운전자본 불변·총차입금 유지 가정 → 변동은 전부 현금)</t>
      </text>
    </comment>
    <comment ref="AH35" authorId="0" shapeId="0">
      <text>
        <t>모델값 역산(implied): v / 전분기 − 1
전분기 − FCF 근사[순이익 + 감가상각비 9억 − CAPEX 112억(각 최근 4분기 중위) − 배당] (운전자본 불변·총차입금 유지 가정 → 변동은 전부 현금)</t>
      </text>
    </comment>
    <comment ref="AI35" authorId="0" shapeId="0">
      <text>
        <t>모델값 역산(implied): v / 전분기 − 1
전분기 − FCF 근사[순이익 + 감가상각비 9억 − CAPEX 112억(각 최근 4분기 중위) − 배당] (운전자본 불변·총차입금 유지 가정 → 변동은 전부 현금)</t>
      </text>
    </comment>
    <comment ref="AK35" authorId="0" shapeId="0">
      <text>
        <t>모델값 역산(implied): v / 전분기 − 1
전분기 − FCF 근사[순이익 + 감가상각비 9억 − CAPEX 112억(각 최근 4분기 중위) − 배당] (운전자본 불변·총차입금 유지 가정 → 변동은 전부 현금)</t>
      </text>
    </comment>
    <comment ref="AL35" authorId="0" shapeId="0">
      <text>
        <t>모델값 역산(implied): v / 전분기 − 1
전분기 − FCF 근사[순이익 + 감가상각비 9억 − CAPEX 112억(각 최근 4분기 중위) − 배당] (운전자본 불변·총차입금 유지 가정 → 변동은 전부 현금)</t>
      </text>
    </comment>
    <comment ref="AM35" authorId="0" shapeId="0">
      <text>
        <t>모델값 역산(implied): v / 전분기 − 1
전분기 − FCF 근사[순이익 + 감가상각비 9억 − CAPEX 112억(각 최근 4분기 중위) − 배당] (운전자본 불변·총차입금 유지 가정 → 변동은 전부 현금)</t>
      </text>
    </comment>
    <comment ref="AN35" authorId="0" shapeId="0">
      <text>
        <t>모델값 역산(implied): v / 전분기 − 1
전분기 − FCF 근사[순이익 + 감가상각비 9억 − CAPEX 112억(각 최근 4분기 중위) − 배당] (운전자본 불변·총차입금 유지 가정 → 변동은 전부 현금)</t>
      </text>
    </comment>
    <comment ref="AC36" authorId="0" shapeId="0">
      <text>
        <t>모델값 역산(implied): v / 전분기 − 1
전분기 + FCF 근사 — 순차입금 롤과 같은 가정</t>
      </text>
    </comment>
    <comment ref="AD36" authorId="0" shapeId="0">
      <text>
        <t>모델값 역산(implied): v / 전분기 − 1
전분기 + FCF 근사 — 순차입금 롤과 같은 가정</t>
      </text>
    </comment>
    <comment ref="AF36" authorId="0" shapeId="0">
      <text>
        <t>모델값 역산(implied): v / 전분기 − 1
전분기 + FCF 근사 — 순차입금 롤과 같은 가정</t>
      </text>
    </comment>
    <comment ref="AG36" authorId="0" shapeId="0">
      <text>
        <t>모델값 역산(implied): v / 전분기 − 1
전분기 + FCF 근사 — 순차입금 롤과 같은 가정</t>
      </text>
    </comment>
    <comment ref="AH36" authorId="0" shapeId="0">
      <text>
        <t>모델값 역산(implied): v / 전분기 − 1
전분기 + FCF 근사 — 순차입금 롤과 같은 가정</t>
      </text>
    </comment>
    <comment ref="AI36" authorId="0" shapeId="0">
      <text>
        <t>모델값 역산(implied): v / 전분기 − 1
전분기 + FCF 근사 — 순차입금 롤과 같은 가정</t>
      </text>
    </comment>
    <comment ref="AK36" authorId="0" shapeId="0">
      <text>
        <t>모델값 역산(implied): v / 전분기 − 1
전분기 + FCF 근사 — 순차입금 롤과 같은 가정</t>
      </text>
    </comment>
    <comment ref="AL36" authorId="0" shapeId="0">
      <text>
        <t>모델값 역산(implied): v / 전분기 − 1
전분기 + FCF 근사 — 순차입금 롤과 같은 가정</t>
      </text>
    </comment>
    <comment ref="AM36" authorId="0" shapeId="0">
      <text>
        <t>모델값 역산(implied): v / 전분기 − 1
전분기 + FCF 근사 — 순차입금 롤과 같은 가정</t>
      </text>
    </comment>
    <comment ref="AN36" authorId="0" shapeId="0">
      <text>
        <t>모델값 역산(implied): v / 전분기 − 1
전분기 + FCF 근사 — 순차입금 롤과 같은 가정</t>
      </text>
    </comment>
    <comment ref="AC38" authorId="0" shapeId="0">
      <text>
        <t>모델값 역산(implied): v / 전년동기 − 1
최근 4분기(2025Q3~2026Q2) CAPEX 중위 유지 — 순차입금 롤에 반영(FCF 근사)</t>
      </text>
    </comment>
    <comment ref="AD38" authorId="0" shapeId="0">
      <text>
        <t>모델값 역산(implied): v / 전년동기 − 1
최근 4분기(2025Q3~2026Q2) CAPEX 중위 유지 — 순차입금 롤에 반영(FCF 근사)</t>
      </text>
    </comment>
    <comment ref="AF38" authorId="0" shapeId="0">
      <text>
        <t>모델값 역산(implied): v / 전년동기 − 1
최근 4분기(2025Q3~2026Q2) CAPEX 중위 유지 — 순차입금 롤에 반영(FCF 근사)</t>
      </text>
    </comment>
    <comment ref="AG38" authorId="0" shapeId="0">
      <text>
        <t>모델값 역산(implied): v / 전년동기 − 1
최근 4분기(2025Q3~2026Q2) CAPEX 중위 유지 — 순차입금 롤에 반영(FCF 근사)</t>
      </text>
    </comment>
    <comment ref="AH38" authorId="0" shapeId="0">
      <text>
        <t>모델값 역산(implied): v / 전년동기 − 1
최근 4분기(2025Q3~2026Q2) CAPEX 중위 유지 — 순차입금 롤에 반영(FCF 근사)</t>
      </text>
    </comment>
    <comment ref="AI38" authorId="0" shapeId="0">
      <text>
        <t>모델값 역산(implied): v / 전년동기 − 1
최근 4분기(2025Q3~2026Q2) CAPEX 중위 유지 — 순차입금 롤에 반영(FCF 근사)</t>
      </text>
    </comment>
    <comment ref="AK38" authorId="0" shapeId="0">
      <text>
        <t>모델값 역산(implied): v / 전년동기 − 1
최근 4분기(2025Q3~2026Q2) CAPEX 중위 유지 — 순차입금 롤에 반영(FCF 근사)</t>
      </text>
    </comment>
    <comment ref="AL38" authorId="0" shapeId="0">
      <text>
        <t>모델값 역산(implied): v / 전년동기 − 1
최근 4분기(2025Q3~2026Q2) CAPEX 중위 유지 — 순차입금 롤에 반영(FCF 근사)</t>
      </text>
    </comment>
    <comment ref="AM38" authorId="0" shapeId="0">
      <text>
        <t>모델값 역산(implied): v / 전년동기 − 1
최근 4분기(2025Q3~2026Q2) CAPEX 중위 유지 — 순차입금 롤에 반영(FCF 근사)</t>
      </text>
    </comment>
    <comment ref="AN38" authorId="0" shapeId="0">
      <text>
        <t>모델값 역산(implied): v / 전년동기 − 1
최근 4분기(2025Q3~2026Q2) CAPEX 중위 유지 — 순차입금 롤에 반영(FCF 근사)</t>
      </text>
    </comment>
    <comment ref="AC40" authorId="0" shapeId="0">
      <text>
        <t>모델값 역산(implied): v / 전분기 − 1
유통주식수 유지 — fin.shares.common_outstanding(2026Q2)</t>
      </text>
    </comment>
    <comment ref="AD40" authorId="0" shapeId="0">
      <text>
        <t>모델값 역산(implied): v / 전분기 − 1
유통주식수 유지 — fin.shares.common_outstanding(2026Q2)</t>
      </text>
    </comment>
    <comment ref="AF40" authorId="0" shapeId="0">
      <text>
        <t>모델값 역산(implied): v / 전분기 − 1
유통주식수 유지 — fin.shares.common_outstanding(2026Q2)</t>
      </text>
    </comment>
    <comment ref="AG40" authorId="0" shapeId="0">
      <text>
        <t>모델값 역산(implied): v / 전분기 − 1
유통주식수 유지 — fin.shares.common_outstanding(2026Q2)</t>
      </text>
    </comment>
    <comment ref="AH40" authorId="0" shapeId="0">
      <text>
        <t>모델값 역산(implied): v / 전분기 − 1
유통주식수 유지 — fin.shares.common_outstanding(2026Q2)</t>
      </text>
    </comment>
    <comment ref="AI40" authorId="0" shapeId="0">
      <text>
        <t>모델값 역산(implied): v / 전분기 − 1
유통주식수 유지 — fin.shares.common_outstanding(2026Q2)</t>
      </text>
    </comment>
    <comment ref="AK40" authorId="0" shapeId="0">
      <text>
        <t>모델값 역산(implied): v / 전분기 − 1
유통주식수 유지 — fin.shares.common_outstanding(2026Q2)</t>
      </text>
    </comment>
    <comment ref="AL40" authorId="0" shapeId="0">
      <text>
        <t>모델값 역산(implied): v / 전분기 − 1
유통주식수 유지 — fin.shares.common_outstanding(2026Q2)</t>
      </text>
    </comment>
    <comment ref="AM40" authorId="0" shapeId="0">
      <text>
        <t>모델값 역산(implied): v / 전분기 − 1
유통주식수 유지 — fin.shares.common_outstanding(2026Q2)</t>
      </text>
    </comment>
    <comment ref="AN40" authorId="0" shapeId="0">
      <text>
        <t>모델값 역산(implied): v / 전분기 − 1
유통주식수 유지 — fin.shares.common_outstanding(2026Q2)</t>
      </text>
    </comment>
    <comment ref="AD41" authorId="0" shapeId="0">
      <text>
        <t>모델값 역산(implied): 모델 v 그대로
직전 결산 DPS 0원 유지</t>
      </text>
    </comment>
    <comment ref="AI41" authorId="0" shapeId="0">
      <text>
        <t>모델값 역산(implied): 모델 v 그대로
직전 결산 DPS 0원 유지</t>
      </text>
    </comment>
    <comment ref="AN41" authorId="0" shapeId="0">
      <text>
        <t>모델값 역산(implied): 모델 v 그대로
직전 결산 DPS 0원 유지</t>
      </text>
    </comment>
  </commentList>
</comments>
</file>

<file path=xl/comments/comment2.xml><?xml version="1.0" encoding="utf-8"?>
<comments xmlns="http://schemas.openxmlformats.org/spreadsheetml/2006/main">
  <authors>
    <author>kship</author>
  </authors>
  <commentList>
    <comment ref="AC5" authorId="0" shapeId="0">
      <text>
        <t>추정: 고객 매출 가중지수(t−1) 63322억 × 비례계수 0.0132(원점회귀; 격자 lag0~4×창8/12/19×수준·YoY·4Q합 중 최대 r=0.90, n=8, 창 8)
[yoy]</t>
      </text>
    </comment>
    <comment ref="AD5" authorId="0" shapeId="0">
      <text>
        <t>추정: 고객 매출 가중지수(t−1) 65950억 × 비례계수 0.0132(원점회귀; 격자 lag0~4×창8/12/19×수준·YoY·4Q합 중 최대 r=0.90, n=8, 창 8)
[yoy]</t>
      </text>
    </comment>
    <comment ref="AF5" authorId="0" shapeId="0">
      <text>
        <t>추정: 고객 매출 가중지수(t−1) 66782억 × 비례계수 0.0132(원점회귀; 격자 lag0~4×창8/12/19×수준·YoY·4Q합 중 최대 r=0.90, n=8, 창 8)
[yoy]</t>
      </text>
    </comment>
    <comment ref="AG5" authorId="0" shapeId="0">
      <text>
        <t>추정: 고객 매출 가중지수(t−1) 68498억 × 비례계수 0.0132(원점회귀; 격자 lag0~4×창8/12/19×수준·YoY·4Q합 중 최대 r=0.90, n=8, 창 8)
[yoy]</t>
      </text>
    </comment>
    <comment ref="AH5" authorId="0" shapeId="0">
      <text>
        <t>추정: 고객 매출 가중지수(t−1) 72044억 × 비례계수 0.0132(원점회귀; 격자 lag0~4×창8/12/19×수준·YoY·4Q합 중 최대 r=0.90, n=8, 창 8)
[yoy]</t>
      </text>
    </comment>
    <comment ref="AI5" authorId="0" shapeId="0">
      <text>
        <t>추정: 고객 매출 가중지수(t−1) 76023억 × 비례계수 0.0132(원점회귀; 격자 lag0~4×창8/12/19×수준·YoY·4Q합 중 최대 r=0.90, n=8, 창 8)
[yoy]</t>
      </text>
    </comment>
    <comment ref="AK5" authorId="0" shapeId="0">
      <text>
        <t>추정: 고객 매출 가중지수(t−1) 80813억 × 비례계수 0.0132(원점회귀; 격자 lag0~4×창8/12/19×수준·YoY·4Q합 중 최대 r=0.90, n=8, 창 8)
[yoy]</t>
      </text>
    </comment>
    <comment ref="AL5" authorId="0" shapeId="0">
      <text>
        <t>추정: 고객 매출 가중지수(t−1) 85815억 × 비례계수 0.0132(원점회귀; 격자 lag0~4×창8/12/19×수준·YoY·4Q합 중 최대 r=0.90, n=8, 창 8)
[yoy]</t>
      </text>
    </comment>
    <comment ref="AM5" authorId="0" shapeId="0">
      <text>
        <t>추정: 고객 매출 가중지수(t−1) 91074억 × 비례계수 0.0132(원점회귀; 격자 lag0~4×창8/12/19×수준·YoY·4Q합 중 최대 r=0.90, n=8, 창 8)
[yoy]</t>
      </text>
    </comment>
    <comment ref="AN5" authorId="0" shapeId="0">
      <text>
        <t>추정: 고객 매출 가중지수(t−1) 95271억 × 비례계수 0.0132(원점회귀; 격자 lag0~4×창8/12/19×수준·YoY·4Q합 중 최대 r=0.90, n=8, 창 8)
[yoy]</t>
      </text>
    </comment>
    <comment ref="AC6" authorId="0" shapeId="0">
      <text>
        <t>추정: 매출액 − 매출총이익(항등식)
[identity]</t>
      </text>
    </comment>
    <comment ref="AD6" authorId="0" shapeId="0">
      <text>
        <t>추정: 매출액 − 매출총이익(항등식)
[identity]</t>
      </text>
    </comment>
    <comment ref="AF6" authorId="0" shapeId="0">
      <text>
        <t>추정: 매출액 − 매출총이익(항등식)
[identity]</t>
      </text>
    </comment>
    <comment ref="AG6" authorId="0" shapeId="0">
      <text>
        <t>추정: 매출액 − 매출총이익(항등식)
[identity]</t>
      </text>
    </comment>
    <comment ref="AH6" authorId="0" shapeId="0">
      <text>
        <t>추정: 매출액 − 매출총이익(항등식)
[identity]</t>
      </text>
    </comment>
    <comment ref="AI6" authorId="0" shapeId="0">
      <text>
        <t>추정: 매출액 − 매출총이익(항등식)
[identity]</t>
      </text>
    </comment>
    <comment ref="AK6" authorId="0" shapeId="0">
      <text>
        <t>추정: 매출액 − 매출총이익(항등식)
[identity]</t>
      </text>
    </comment>
    <comment ref="AL6" authorId="0" shapeId="0">
      <text>
        <t>추정: 매출액 − 매출총이익(항등식)
[identity]</t>
      </text>
    </comment>
    <comment ref="AM6" authorId="0" shapeId="0">
      <text>
        <t>추정: 매출액 − 매출총이익(항등식)
[identity]</t>
      </text>
    </comment>
    <comment ref="AN6" authorId="0" shapeId="0">
      <text>
        <t>추정: 매출액 − 매출총이익(항등식)
[identity]</t>
      </text>
    </comment>
    <comment ref="AC7" authorId="0" shapeId="0">
      <text>
        <t>추정: 영업이익 + 판관비 − 기타영업손익(항등식)
[identity]</t>
      </text>
    </comment>
    <comment ref="AD7" authorId="0" shapeId="0">
      <text>
        <t>추정: 영업이익 + 판관비 − 기타영업손익(항등식)
[identity]</t>
      </text>
    </comment>
    <comment ref="AF7" authorId="0" shapeId="0">
      <text>
        <t>추정: 영업이익 + 판관비 − 기타영업손익(항등식)
[identity]</t>
      </text>
    </comment>
    <comment ref="AG7" authorId="0" shapeId="0">
      <text>
        <t>추정: 영업이익 + 판관비 − 기타영업손익(항등식)
[identity]</t>
      </text>
    </comment>
    <comment ref="AH7" authorId="0" shapeId="0">
      <text>
        <t>추정: 영업이익 + 판관비 − 기타영업손익(항등식)
[identity]</t>
      </text>
    </comment>
    <comment ref="AI7" authorId="0" shapeId="0">
      <text>
        <t>추정: 영업이익 + 판관비 − 기타영업손익(항등식)
[identity]</t>
      </text>
    </comment>
    <comment ref="AK7" authorId="0" shapeId="0">
      <text>
        <t>추정: 영업이익 + 판관비 − 기타영업손익(항등식)
[identity]</t>
      </text>
    </comment>
    <comment ref="AL7" authorId="0" shapeId="0">
      <text>
        <t>추정: 영업이익 + 판관비 − 기타영업손익(항등식)
[identity]</t>
      </text>
    </comment>
    <comment ref="AM7" authorId="0" shapeId="0">
      <text>
        <t>추정: 영업이익 + 판관비 − 기타영업손익(항등식)
[identity]</t>
      </text>
    </comment>
    <comment ref="AN7" authorId="0" shapeId="0">
      <text>
        <t>추정: 영업이익 + 판관비 − 기타영업손익(항등식)
[identity]</t>
      </text>
    </comment>
    <comment ref="AC8" authorId="0" shapeId="0">
      <text>
        <t>추정: 매출액 × 판관비율 7.95%(최근 4분기 중위)
[ratio]</t>
      </text>
    </comment>
    <comment ref="AD8" authorId="0" shapeId="0">
      <text>
        <t>추정: 매출액 × 판관비율 7.95%(최근 4분기 중위)
[ratio]</t>
      </text>
    </comment>
    <comment ref="AF8" authorId="0" shapeId="0">
      <text>
        <t>추정: 매출액 × 판관비율 7.95%(최근 4분기 중위)
[ratio]</t>
      </text>
    </comment>
    <comment ref="AG8" authorId="0" shapeId="0">
      <text>
        <t>추정: 매출액 × 판관비율 7.95%(최근 4분기 중위)
[ratio]</t>
      </text>
    </comment>
    <comment ref="AH8" authorId="0" shapeId="0">
      <text>
        <t>추정: 매출액 × 판관비율 7.95%(최근 4분기 중위)
[ratio]</t>
      </text>
    </comment>
    <comment ref="AI8" authorId="0" shapeId="0">
      <text>
        <t>추정: 매출액 × 판관비율 7.95%(최근 4분기 중위)
[ratio]</t>
      </text>
    </comment>
    <comment ref="AK8" authorId="0" shapeId="0">
      <text>
        <t>추정: 매출액 × 판관비율 7.95%(최근 4분기 중위)
[ratio]</t>
      </text>
    </comment>
    <comment ref="AL8" authorId="0" shapeId="0">
      <text>
        <t>추정: 매출액 × 판관비율 7.95%(최근 4분기 중위)
[ratio]</t>
      </text>
    </comment>
    <comment ref="AM8" authorId="0" shapeId="0">
      <text>
        <t>추정: 매출액 × 판관비율 7.95%(최근 4분기 중위)
[ratio]</t>
      </text>
    </comment>
    <comment ref="AN8" authorId="0" shapeId="0">
      <text>
        <t>추정: 매출액 × 판관비율 7.95%(최근 4분기 중위)
[ratio]</t>
      </text>
    </comment>
    <comment ref="AC9" authorId="0" shapeId="0">
      <text>
        <t>추정: 매출액 × OPM(최근 8분기 OPM 중위 3.7% 유지)
[ratio]</t>
      </text>
    </comment>
    <comment ref="AD9" authorId="0" shapeId="0">
      <text>
        <t>추정: 매출액 × OPM(최근 8분기 OPM 중위 3.7% 유지)
[ratio]</t>
      </text>
    </comment>
    <comment ref="AF9" authorId="0" shapeId="0">
      <text>
        <t>추정: 매출액 × OPM(최근 8분기 OPM 중위 3.7% 유지)
[ratio]</t>
      </text>
    </comment>
    <comment ref="AG9" authorId="0" shapeId="0">
      <text>
        <t>추정: 매출액 × OPM(최근 8분기 OPM 중위 3.7% 유지)
[ratio]</t>
      </text>
    </comment>
    <comment ref="AH9" authorId="0" shapeId="0">
      <text>
        <t>추정: 매출액 × OPM(최근 8분기 OPM 중위 3.7% 유지)
[ratio]</t>
      </text>
    </comment>
    <comment ref="AI9" authorId="0" shapeId="0">
      <text>
        <t>추정: 매출액 × OPM(최근 8분기 OPM 중위 3.7% 유지)
[ratio]</t>
      </text>
    </comment>
    <comment ref="AK9" authorId="0" shapeId="0">
      <text>
        <t>추정: 매출액 × OPM(최근 8분기 OPM 중위 3.7% 유지)
[ratio]</t>
      </text>
    </comment>
    <comment ref="AL9" authorId="0" shapeId="0">
      <text>
        <t>추정: 매출액 × OPM(최근 8분기 OPM 중위 3.7% 유지)
[ratio]</t>
      </text>
    </comment>
    <comment ref="AM9" authorId="0" shapeId="0">
      <text>
        <t>추정: 매출액 × OPM(최근 8분기 OPM 중위 3.7% 유지)
[ratio]</t>
      </text>
    </comment>
    <comment ref="AN9" authorId="0" shapeId="0">
      <text>
        <t>추정: 매출액 × OPM(최근 8분기 OPM 중위 3.7% 유지)
[ratio]</t>
      </text>
    </comment>
    <comment ref="AC10" authorId="0" shapeId="0">
      <text>
        <t>추정: 최근 8분기 OPM 중위 3.7% 유지
[divide]</t>
      </text>
    </comment>
    <comment ref="AD10" authorId="0" shapeId="0">
      <text>
        <t>추정: 최근 8분기 OPM 중위 3.7% 유지
[divide]</t>
      </text>
    </comment>
    <comment ref="AF10" authorId="0" shapeId="0">
      <text>
        <t>추정: 최근 8분기 OPM 중위 3.7% 유지
[divide]</t>
      </text>
    </comment>
    <comment ref="AG10" authorId="0" shapeId="0">
      <text>
        <t>추정: 최근 8분기 OPM 중위 3.7% 유지
[divide]</t>
      </text>
    </comment>
    <comment ref="AH10" authorId="0" shapeId="0">
      <text>
        <t>추정: 최근 8분기 OPM 중위 3.7% 유지
[divide]</t>
      </text>
    </comment>
    <comment ref="AI10" authorId="0" shapeId="0">
      <text>
        <t>추정: 최근 8분기 OPM 중위 3.7% 유지
[divide]</t>
      </text>
    </comment>
    <comment ref="AK10" authorId="0" shapeId="0">
      <text>
        <t>추정: 최근 8분기 OPM 중위 3.7% 유지
[divide]</t>
      </text>
    </comment>
    <comment ref="AL10" authorId="0" shapeId="0">
      <text>
        <t>추정: 최근 8분기 OPM 중위 3.7% 유지
[divide]</t>
      </text>
    </comment>
    <comment ref="AM10" authorId="0" shapeId="0">
      <text>
        <t>추정: 최근 8분기 OPM 중위 3.7% 유지
[divide]</t>
      </text>
    </comment>
    <comment ref="AN10" authorId="0" shapeId="0">
      <text>
        <t>추정: 최근 8분기 OPM 중위 3.7% 유지
[divide]</t>
      </text>
    </comment>
    <comment ref="AC11" authorId="0" shapeId="0">
      <text>
        <t>추정: 이자손익 + 외환손익 0 + 파생상품손익 0 + 기타금융손익 -0.87억(최근 4분기(2025Q2~2026Q2) 잔차 중위) (항등식); 이자손익 = 이자발생자산 244억 × 1.42%(주석 이자수익 ÷ 평균 이자발생자산(2025Q2~2026Q2)) − 총차입금 1545억 × 2.68%(주석 이자비용 ÷ 평균 총차입금(2025Q2~2026Q2)) (연율) ÷ 4; 환율 효과는 환관련손익 행 별도
[identity]</t>
      </text>
    </comment>
    <comment ref="AD11" authorId="0" shapeId="0">
      <text>
        <t>추정: 이자손익 + 외환손익 0 + 파생상품손익 0 + 기타금융손익 -0.87억(최근 4분기(2025Q2~2026Q2) 잔차 중위) (항등식); 이자손익 = 이자발생자산 158억 × 1.42%(주석 이자수익 ÷ 평균 이자발생자산(2025Q2~2026Q2)) − 총차입금 1545억 × 2.68%(주석 이자비용 ÷ 평균 총차입금(2025Q2~2026Q2)) (연율) ÷ 4; 환율 효과는 환관련손익 행 별도
[identity]</t>
      </text>
    </comment>
    <comment ref="AF11" authorId="0" shapeId="0">
      <text>
        <t>추정: 이자손익 + 외환손익 0 + 파생상품손익 0 + 기타금융손익 -0.87억(최근 4분기(2025Q2~2026Q2) 잔차 중위) (항등식); 이자손익 = 이자발생자산 72억 × 1.42%(주석 이자수익 ÷ 평균 이자발생자산(2025Q2~2026Q2)) − 총차입금 1545억 × 2.68%(주석 이자비용 ÷ 평균 총차입금(2025Q2~2026Q2)) (연율) ÷ 4; 환율 효과는 환관련손익 행 별도
[identity]</t>
      </text>
    </comment>
    <comment ref="AG11" authorId="0" shapeId="0">
      <text>
        <t>추정: 이자손익 + 외환손익 0 + 파생상품손익 0 + 기타금융손익 -0.87억(최근 4분기(2025Q2~2026Q2) 잔차 중위) (항등식); 이자손익 = 이자발생자산 -14억 × 1.42%(주석 이자수익 ÷ 평균 이자발생자산(2025Q2~2026Q2)) − 총차입금 1545억 × 2.68%(주석 이자비용 ÷ 평균 총차입금(2025Q2~2026Q2)) (연율) ÷ 4; 환율 효과는 환관련손익 행 별도
[identity]</t>
      </text>
    </comment>
    <comment ref="AH11" authorId="0" shapeId="0">
      <text>
        <t>추정: 이자손익 + 외환손익 0 + 파생상품손익 0 + 기타금융손익 -0.87억(최근 4분기(2025Q2~2026Q2) 잔차 중위) (항등식); 이자손익 = 이자발생자산 -100억 × 1.42%(주석 이자수익 ÷ 평균 이자발생자산(2025Q2~2026Q2)) − 총차입금 1545억 × 2.68%(주석 이자비용 ÷ 평균 총차입금(2025Q2~2026Q2)) (연율) ÷ 4; 환율 효과는 환관련손익 행 별도
[identity]</t>
      </text>
    </comment>
    <comment ref="AI11" authorId="0" shapeId="0">
      <text>
        <t>추정: 이자손익 + 외환손익 0 + 파생상품손익 0 + 기타금융손익 -0.87억(최근 4분기(2025Q2~2026Q2) 잔차 중위) (항등식); 이자손익 = 이자발생자산 -184억 × 1.42%(주석 이자수익 ÷ 평균 이자발생자산(2025Q2~2026Q2)) − 총차입금 1545억 × 2.68%(주석 이자비용 ÷ 평균 총차입금(2025Q2~2026Q2)) (연율) ÷ 4; 환율 효과는 환관련손익 행 별도
[identity]</t>
      </text>
    </comment>
    <comment ref="AK11" authorId="0" shapeId="0">
      <text>
        <t>추정: 이자손익 + 외환손익 0 + 파생상품손익 0 + 기타금융손익 -0.87억(최근 4분기(2025Q2~2026Q2) 잔차 중위) (항등식); 이자손익 = 이자발생자산 -267억 × 1.42%(주석 이자수익 ÷ 평균 이자발생자산(2025Q2~2026Q2)) − 총차입금 1545억 × 2.68%(주석 이자비용 ÷ 평균 총차입금(2025Q2~2026Q2)) (연율) ÷ 4; 환율 효과는 환관련손익 행 별도
[identity]</t>
      </text>
    </comment>
    <comment ref="AL11" authorId="0" shapeId="0">
      <text>
        <t>추정: 이자손익 + 외환손익 0 + 파생상품손익 0 + 기타금융손익 -0.87억(최근 4분기(2025Q2~2026Q2) 잔차 중위) (항등식); 이자손익 = 이자발생자산 -349억 × 1.42%(주석 이자수익 ÷ 평균 이자발생자산(2025Q2~2026Q2)) − 총차입금 1545억 × 2.68%(주석 이자비용 ÷ 평균 총차입금(2025Q2~2026Q2)) (연율) ÷ 4; 환율 효과는 환관련손익 행 별도
[identity]</t>
      </text>
    </comment>
    <comment ref="AM11" authorId="0" shapeId="0">
      <text>
        <t>추정: 이자손익 + 외환손익 0 + 파생상품손익 0 + 기타금융손익 -0.87억(최근 4분기(2025Q2~2026Q2) 잔차 중위) (항등식); 이자손익 = 이자발생자산 -429억 × 1.42%(주석 이자수익 ÷ 평균 이자발생자산(2025Q2~2026Q2)) − 총차입금 1545억 × 2.68%(주석 이자비용 ÷ 평균 총차입금(2025Q2~2026Q2)) (연율) ÷ 4; 환율 효과는 환관련손익 행 별도
[identity]</t>
      </text>
    </comment>
    <comment ref="AN11" authorId="0" shapeId="0">
      <text>
        <t>추정: 이자손익 + 외환손익 0 + 파생상품손익 0 + 기타금융손익 -0.87억(최근 4분기(2025Q2~2026Q2) 잔차 중위) (항등식); 이자손익 = 이자발생자산 -507억 × 1.42%(주석 이자수익 ÷ 평균 이자발생자산(2025Q2~2026Q2)) − 총차입금 1545억 × 2.68%(주석 이자비용 ÷ 평균 총차입금(2025Q2~2026Q2)) (연율) ÷ 4; 환율 효과는 환관련손익 행 별도
[identity]</t>
      </text>
    </comment>
    <comment ref="AC12" authorId="0" shapeId="0">
      <text>
        <t>추정: 이자발생자산 244억 × 1.42%(주석 이자수익 ÷ 평균 이자발생자산(2025Q2~2026Q2)) − 총차입금 1545억 × 2.68%(주석 이자비용 ÷ 평균 총차입금(2025Q2~2026Q2)) (연율) ÷ 4
[interest]</t>
      </text>
    </comment>
    <comment ref="AD12" authorId="0" shapeId="0">
      <text>
        <t>추정: 이자발생자산 158억 × 1.42%(주석 이자수익 ÷ 평균 이자발생자산(2025Q2~2026Q2)) − 총차입금 1545억 × 2.68%(주석 이자비용 ÷ 평균 총차입금(2025Q2~2026Q2)) (연율) ÷ 4
[interest]</t>
      </text>
    </comment>
    <comment ref="AF12" authorId="0" shapeId="0">
      <text>
        <t>추정: 이자발생자산 72억 × 1.42%(주석 이자수익 ÷ 평균 이자발생자산(2025Q2~2026Q2)) − 총차입금 1545억 × 2.68%(주석 이자비용 ÷ 평균 총차입금(2025Q2~2026Q2)) (연율) ÷ 4
[interest]</t>
      </text>
    </comment>
    <comment ref="AG12" authorId="0" shapeId="0">
      <text>
        <t>추정: 이자발생자산 -14억 × 1.42%(주석 이자수익 ÷ 평균 이자발생자산(2025Q2~2026Q2)) − 총차입금 1545억 × 2.68%(주석 이자비용 ÷ 평균 총차입금(2025Q2~2026Q2)) (연율) ÷ 4
[interest]</t>
      </text>
    </comment>
    <comment ref="AH12" authorId="0" shapeId="0">
      <text>
        <t>추정: 이자발생자산 -100억 × 1.42%(주석 이자수익 ÷ 평균 이자발생자산(2025Q2~2026Q2)) − 총차입금 1545억 × 2.68%(주석 이자비용 ÷ 평균 총차입금(2025Q2~2026Q2)) (연율) ÷ 4
[interest]</t>
      </text>
    </comment>
    <comment ref="AI12" authorId="0" shapeId="0">
      <text>
        <t>추정: 이자발생자산 -184억 × 1.42%(주석 이자수익 ÷ 평균 이자발생자산(2025Q2~2026Q2)) − 총차입금 1545억 × 2.68%(주석 이자비용 ÷ 평균 총차입금(2025Q2~2026Q2)) (연율) ÷ 4
[interest]</t>
      </text>
    </comment>
    <comment ref="AK12" authorId="0" shapeId="0">
      <text>
        <t>추정: 이자발생자산 -267억 × 1.42%(주석 이자수익 ÷ 평균 이자발생자산(2025Q2~2026Q2)) − 총차입금 1545억 × 2.68%(주석 이자비용 ÷ 평균 총차입금(2025Q2~2026Q2)) (연율) ÷ 4
[interest]</t>
      </text>
    </comment>
    <comment ref="AL12" authorId="0" shapeId="0">
      <text>
        <t>추정: 이자발생자산 -349억 × 1.42%(주석 이자수익 ÷ 평균 이자발생자산(2025Q2~2026Q2)) − 총차입금 1545억 × 2.68%(주석 이자비용 ÷ 평균 총차입금(2025Q2~2026Q2)) (연율) ÷ 4
[interest]</t>
      </text>
    </comment>
    <comment ref="AM12" authorId="0" shapeId="0">
      <text>
        <t>추정: 이자발생자산 -429억 × 1.42%(주석 이자수익 ÷ 평균 이자발생자산(2025Q2~2026Q2)) − 총차입금 1545억 × 2.68%(주석 이자비용 ÷ 평균 총차입금(2025Q2~2026Q2)) (연율) ÷ 4
[interest]</t>
      </text>
    </comment>
    <comment ref="AN12" authorId="0" shapeId="0">
      <text>
        <t>추정: 이자발생자산 -507억 × 1.42%(주석 이자수익 ÷ 평균 이자발생자산(2025Q2~2026Q2)) − 총차입금 1545억 × 2.68%(주석 이자비용 ÷ 평균 총차입금(2025Q2~2026Q2)) (연율) ÷ 4
[interest]</t>
      </text>
    </comment>
    <comment ref="G13" authorId="0" shapeId="0">
      <text>
        <t>BS 계정 합·차: +외환차익 -외환차손 +외화환산이익 -외화환산손실</t>
      </text>
    </comment>
    <comment ref="H13" authorId="0" shapeId="0">
      <text>
        <t>BS 계정 합·차: +외환차익 -외환차손 +외화환산이익 -외화환산손실</t>
      </text>
    </comment>
    <comment ref="I13" authorId="0" shapeId="0">
      <text>
        <t>BS 계정 합·차: +외환차익 -외환차손 +외화환산이익 -외화환산손실</t>
      </text>
    </comment>
    <comment ref="J13" authorId="0" shapeId="0">
      <text>
        <t>BS 계정 합·차: +외환차익 -외환차손 +외화환산이익 -외화환산손실</t>
      </text>
    </comment>
    <comment ref="L13" authorId="0" shapeId="0">
      <text>
        <t>BS 계정 합·차: +외환차익 -외환차손 +외화환산이익 -외화환산손실</t>
      </text>
    </comment>
    <comment ref="M13" authorId="0" shapeId="0">
      <text>
        <t>BS 계정 합·차: +외환차익 -외환차손 +외화환산이익 -외화환산손실</t>
      </text>
    </comment>
    <comment ref="N13" authorId="0" shapeId="0">
      <text>
        <t>BS 계정 합·차: +외환차익 -외환차손 +외화환산이익 -외화환산손실</t>
      </text>
    </comment>
    <comment ref="O13" authorId="0" shapeId="0">
      <text>
        <t>BS 계정 합·차: +외환차익 -외환차손 +외화환산이익 -외화환산손실</t>
      </text>
    </comment>
    <comment ref="Q13" authorId="0" shapeId="0">
      <text>
        <t>BS 계정 합·차: +외환차익 -외환차손 +외화환산이익 -외화환산손실</t>
      </text>
    </comment>
    <comment ref="R13" authorId="0" shapeId="0">
      <text>
        <t>BS 계정 합·차: +외환차익 -외환차손 +외화환산이익 -외화환산손실</t>
      </text>
    </comment>
    <comment ref="S13" authorId="0" shapeId="0">
      <text>
        <t>BS 계정 합·차: +외환차익 -외환차손 +외화환산이익 -외화환산손실</t>
      </text>
    </comment>
    <comment ref="T13" authorId="0" shapeId="0">
      <text>
        <t>BS 계정 합·차: +외환차익 -외환차손 +외화환산이익 -외화환산손실</t>
      </text>
    </comment>
    <comment ref="V13" authorId="0" shapeId="0">
      <text>
        <t>BS 계정 합·차: +외환차익 -외환차손 +외화환산이익 -외화환산손실</t>
      </text>
    </comment>
    <comment ref="W13" authorId="0" shapeId="0">
      <text>
        <t>BS 계정 합·차: +외환차익 -외환차손 +외화환산이익 -외화환산손실</t>
      </text>
    </comment>
    <comment ref="X13" authorId="0" shapeId="0">
      <text>
        <t>BS 계정 합·차: +외환차익 -외환차손 +외화환산이익 -외화환산손실</t>
      </text>
    </comment>
    <comment ref="Y13" authorId="0" shapeId="0">
      <text>
        <t>BS 계정 합·차: +외환차익 -외환차손 +외화환산이익 -외화환산손실</t>
      </text>
    </comment>
    <comment ref="AB13" authorId="0" shapeId="0">
      <text>
        <t>BS 계정 합·차: +외환차익 -외환차손 +외화환산이익 -외화환산손실</t>
      </text>
    </comment>
    <comment ref="AC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D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F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G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H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I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K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L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M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N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W14" authorId="0" shapeId="0">
      <text>
        <t>BS 계정 합·차: +파생상품이익 -파생상품손실</t>
      </text>
    </comment>
    <comment ref="X14" authorId="0" shapeId="0">
      <text>
        <t>BS 계정 합·차: +파생상품이익 -파생상품손실</t>
      </text>
    </comment>
    <comment ref="Y14" authorId="0" shapeId="0">
      <text>
        <t>BS 계정 합·차: +파생상품이익 -파생상품손실</t>
      </text>
    </comment>
    <comment ref="AB14" authorId="0" shapeId="0">
      <text>
        <t>BS 계정 합·차: +파생상품이익 -파생상품손실</t>
      </text>
    </comment>
    <comment ref="AC14" authorId="0" shapeId="0">
      <text>
        <t>추정: 파생상품 평가·거래손익 0 가정
[abs]</t>
      </text>
    </comment>
    <comment ref="AD14" authorId="0" shapeId="0">
      <text>
        <t>추정: 파생상품 평가·거래손익 0 가정
[abs]</t>
      </text>
    </comment>
    <comment ref="AF14" authorId="0" shapeId="0">
      <text>
        <t>추정: 파생상품 평가·거래손익 0 가정
[abs]</t>
      </text>
    </comment>
    <comment ref="AG14" authorId="0" shapeId="0">
      <text>
        <t>추정: 파생상품 평가·거래손익 0 가정
[abs]</t>
      </text>
    </comment>
    <comment ref="AH14" authorId="0" shapeId="0">
      <text>
        <t>추정: 파생상품 평가·거래손익 0 가정
[abs]</t>
      </text>
    </comment>
    <comment ref="AI14" authorId="0" shapeId="0">
      <text>
        <t>추정: 파생상품 평가·거래손익 0 가정
[abs]</t>
      </text>
    </comment>
    <comment ref="AK14" authorId="0" shapeId="0">
      <text>
        <t>추정: 파생상품 평가·거래손익 0 가정
[abs]</t>
      </text>
    </comment>
    <comment ref="AL14" authorId="0" shapeId="0">
      <text>
        <t>추정: 파생상품 평가·거래손익 0 가정
[abs]</t>
      </text>
    </comment>
    <comment ref="AM14" authorId="0" shapeId="0">
      <text>
        <t>추정: 파생상품 평가·거래손익 0 가정
[abs]</t>
      </text>
    </comment>
    <comment ref="AN14" authorId="0" shapeId="0">
      <text>
        <t>추정: 파생상품 평가·거래손익 0 가정
[abs]</t>
      </text>
    </comment>
    <comment ref="AC15" authorId="0" shapeId="0">
      <text>
        <t>추정: 최근 4분기(2025Q2~2026Q2) 잔차 중위
[abs]</t>
      </text>
    </comment>
    <comment ref="AD15" authorId="0" shapeId="0">
      <text>
        <t>추정: 최근 4분기(2025Q2~2026Q2) 잔차 중위
[abs]</t>
      </text>
    </comment>
    <comment ref="AF15" authorId="0" shapeId="0">
      <text>
        <t>추정: 최근 4분기(2025Q2~2026Q2) 잔차 중위
[abs]</t>
      </text>
    </comment>
    <comment ref="AG15" authorId="0" shapeId="0">
      <text>
        <t>추정: 최근 4분기(2025Q2~2026Q2) 잔차 중위
[abs]</t>
      </text>
    </comment>
    <comment ref="AH15" authorId="0" shapeId="0">
      <text>
        <t>추정: 최근 4분기(2025Q2~2026Q2) 잔차 중위
[abs]</t>
      </text>
    </comment>
    <comment ref="AI15" authorId="0" shapeId="0">
      <text>
        <t>추정: 최근 4분기(2025Q2~2026Q2) 잔차 중위
[abs]</t>
      </text>
    </comment>
    <comment ref="AK15" authorId="0" shapeId="0">
      <text>
        <t>추정: 최근 4분기(2025Q2~2026Q2) 잔차 중위
[abs]</t>
      </text>
    </comment>
    <comment ref="AL15" authorId="0" shapeId="0">
      <text>
        <t>추정: 최근 4분기(2025Q2~2026Q2) 잔차 중위
[abs]</t>
      </text>
    </comment>
    <comment ref="AM15" authorId="0" shapeId="0">
      <text>
        <t>추정: 최근 4분기(2025Q2~2026Q2) 잔차 중위
[abs]</t>
      </text>
    </comment>
    <comment ref="AN15" authorId="0" shapeId="0">
      <text>
        <t>추정: 최근 4분기(2025Q2~2026Q2) 잔차 중위
[abs]</t>
      </text>
    </comment>
    <comment ref="AC16" authorId="0" shapeId="0">
      <text>
        <t>추정: 일회성 미가정 → 0
[abs]</t>
      </text>
    </comment>
    <comment ref="AD16" authorId="0" shapeId="0">
      <text>
        <t>추정: 일회성 미가정 → 0
[abs]</t>
      </text>
    </comment>
    <comment ref="AF16" authorId="0" shapeId="0">
      <text>
        <t>추정: 일회성 미가정 → 0
[abs]</t>
      </text>
    </comment>
    <comment ref="AG16" authorId="0" shapeId="0">
      <text>
        <t>추정: 일회성 미가정 → 0
[abs]</t>
      </text>
    </comment>
    <comment ref="AH16" authorId="0" shapeId="0">
      <text>
        <t>추정: 일회성 미가정 → 0
[abs]</t>
      </text>
    </comment>
    <comment ref="AI16" authorId="0" shapeId="0">
      <text>
        <t>추정: 일회성 미가정 → 0
[abs]</t>
      </text>
    </comment>
    <comment ref="AK16" authorId="0" shapeId="0">
      <text>
        <t>추정: 일회성 미가정 → 0
[abs]</t>
      </text>
    </comment>
    <comment ref="AL16" authorId="0" shapeId="0">
      <text>
        <t>추정: 일회성 미가정 → 0
[abs]</t>
      </text>
    </comment>
    <comment ref="AM16" authorId="0" shapeId="0">
      <text>
        <t>추정: 일회성 미가정 → 0
[abs]</t>
      </text>
    </comment>
    <comment ref="AN16" authorId="0" shapeId="0">
      <text>
        <t>추정: 일회성 미가정 → 0
[abs]</t>
      </text>
    </comment>
    <comment ref="AC17" authorId="0" shapeId="0">
      <text>
        <t>추정: 영업이익 + 금융손익 + 기타영업외 + 지분법 + 환관련(항등식)
[identity]</t>
      </text>
    </comment>
    <comment ref="AD17" authorId="0" shapeId="0">
      <text>
        <t>추정: 영업이익 + 금융손익 + 기타영업외 + 지분법 + 환관련(항등식)
[identity]</t>
      </text>
    </comment>
    <comment ref="AF17" authorId="0" shapeId="0">
      <text>
        <t>추정: 영업이익 + 금융손익 + 기타영업외 + 지분법 + 환관련(항등식)
[identity]</t>
      </text>
    </comment>
    <comment ref="AG17" authorId="0" shapeId="0">
      <text>
        <t>추정: 영업이익 + 금융손익 + 기타영업외 + 지분법 + 환관련(항등식)
[identity]</t>
      </text>
    </comment>
    <comment ref="AH17" authorId="0" shapeId="0">
      <text>
        <t>추정: 영업이익 + 금융손익 + 기타영업외 + 지분법 + 환관련(항등식)
[identity]</t>
      </text>
    </comment>
    <comment ref="AI17" authorId="0" shapeId="0">
      <text>
        <t>추정: 영업이익 + 금융손익 + 기타영업외 + 지분법 + 환관련(항등식)
[identity]</t>
      </text>
    </comment>
    <comment ref="AK17" authorId="0" shapeId="0">
      <text>
        <t>추정: 영업이익 + 금융손익 + 기타영업외 + 지분법 + 환관련(항등식)
[identity]</t>
      </text>
    </comment>
    <comment ref="AL17" authorId="0" shapeId="0">
      <text>
        <t>추정: 영업이익 + 금융손익 + 기타영업외 + 지분법 + 환관련(항등식)
[identity]</t>
      </text>
    </comment>
    <comment ref="AM17" authorId="0" shapeId="0">
      <text>
        <t>추정: 영업이익 + 금융손익 + 기타영업외 + 지분법 + 환관련(항등식)
[identity]</t>
      </text>
    </comment>
    <comment ref="AN17" authorId="0" shapeId="0">
      <text>
        <t>추정: 영업이익 + 금융손익 + 기타영업외 + 지분법 + 환관련(항등식)
[identity]</t>
      </text>
    </comment>
    <comment ref="AC18" authorId="0" shapeId="0">
      <text>
        <t>추정: max(세전, 0) × 세율 20.9%(최근 12분기 유효세율 214.5% 가 5~27% 밖 → 클립 대신 최근 8분기 중 세전 &gt; 0 인 3분기(2025Q2~2026Q2)의 법인세/세전 중위 20.9%)
[tax]</t>
      </text>
    </comment>
    <comment ref="AD18" authorId="0" shapeId="0">
      <text>
        <t>추정: max(세전, 0) × 세율 20.9%(최근 12분기 유효세율 214.5% 가 5~27% 밖 → 클립 대신 최근 8분기 중 세전 &gt; 0 인 3분기(2025Q2~2026Q2)의 법인세/세전 중위 20.9%)
[tax]</t>
      </text>
    </comment>
    <comment ref="AF18" authorId="0" shapeId="0">
      <text>
        <t>추정: max(세전, 0) × 세율 20.9%(최근 12분기 유효세율 214.5% 가 5~27% 밖 → 클립 대신 최근 8분기 중 세전 &gt; 0 인 3분기(2025Q2~2026Q2)의 법인세/세전 중위 20.9%)
[tax]</t>
      </text>
    </comment>
    <comment ref="AG18" authorId="0" shapeId="0">
      <text>
        <t>추정: max(세전, 0) × 세율 20.9%(최근 12분기 유효세율 214.5% 가 5~27% 밖 → 클립 대신 최근 8분기 중 세전 &gt; 0 인 3분기(2025Q2~2026Q2)의 법인세/세전 중위 20.9%)
[tax]</t>
      </text>
    </comment>
    <comment ref="AH18" authorId="0" shapeId="0">
      <text>
        <t>추정: max(세전, 0) × 세율 20.9%(최근 12분기 유효세율 214.5% 가 5~27% 밖 → 클립 대신 최근 8분기 중 세전 &gt; 0 인 3분기(2025Q2~2026Q2)의 법인세/세전 중위 20.9%)
[tax]</t>
      </text>
    </comment>
    <comment ref="AI18" authorId="0" shapeId="0">
      <text>
        <t>추정: max(세전, 0) × 세율 20.9%(최근 12분기 유효세율 214.5% 가 5~27% 밖 → 클립 대신 최근 8분기 중 세전 &gt; 0 인 3분기(2025Q2~2026Q2)의 법인세/세전 중위 20.9%)
[tax]</t>
      </text>
    </comment>
    <comment ref="AK18" authorId="0" shapeId="0">
      <text>
        <t>추정: max(세전, 0) × 세율 20.9%(최근 12분기 유효세율 214.5% 가 5~27% 밖 → 클립 대신 최근 8분기 중 세전 &gt; 0 인 3분기(2025Q2~2026Q2)의 법인세/세전 중위 20.9%)
[tax]</t>
      </text>
    </comment>
    <comment ref="AL18" authorId="0" shapeId="0">
      <text>
        <t>추정: max(세전, 0) × 세율 20.9%(최근 12분기 유효세율 214.5% 가 5~27% 밖 → 클립 대신 최근 8분기 중 세전 &gt; 0 인 3분기(2025Q2~2026Q2)의 법인세/세전 중위 20.9%)
[tax]</t>
      </text>
    </comment>
    <comment ref="AM18" authorId="0" shapeId="0">
      <text>
        <t>추정: max(세전, 0) × 세율 20.9%(최근 12분기 유효세율 214.5% 가 5~27% 밖 → 클립 대신 최근 8분기 중 세전 &gt; 0 인 3분기(2025Q2~2026Q2)의 법인세/세전 중위 20.9%)
[tax]</t>
      </text>
    </comment>
    <comment ref="AN18" authorId="0" shapeId="0">
      <text>
        <t>추정: max(세전, 0) × 세율 20.9%(최근 12분기 유효세율 214.5% 가 5~27% 밖 → 클립 대신 최근 8분기 중 세전 &gt; 0 인 3분기(2025Q2~2026Q2)의 법인세/세전 중위 20.9%)
[tax]</t>
      </text>
    </comment>
    <comment ref="AC19" authorId="0" shapeId="0">
      <text>
        <t>추정: 세전이익 − 법인세비용(항등식)
[identity]</t>
      </text>
    </comment>
    <comment ref="AD19" authorId="0" shapeId="0">
      <text>
        <t>추정: 세전이익 − 법인세비용(항등식)
[identity]</t>
      </text>
    </comment>
    <comment ref="AF19" authorId="0" shapeId="0">
      <text>
        <t>추정: 세전이익 − 법인세비용(항등식)
[identity]</t>
      </text>
    </comment>
    <comment ref="AG19" authorId="0" shapeId="0">
      <text>
        <t>추정: 세전이익 − 법인세비용(항등식)
[identity]</t>
      </text>
    </comment>
    <comment ref="AH19" authorId="0" shapeId="0">
      <text>
        <t>추정: 세전이익 − 법인세비용(항등식)
[identity]</t>
      </text>
    </comment>
    <comment ref="AI19" authorId="0" shapeId="0">
      <text>
        <t>추정: 세전이익 − 법인세비용(항등식)
[identity]</t>
      </text>
    </comment>
    <comment ref="AK19" authorId="0" shapeId="0">
      <text>
        <t>추정: 세전이익 − 법인세비용(항등식)
[identity]</t>
      </text>
    </comment>
    <comment ref="AL19" authorId="0" shapeId="0">
      <text>
        <t>추정: 세전이익 − 법인세비용(항등식)
[identity]</t>
      </text>
    </comment>
    <comment ref="AM19" authorId="0" shapeId="0">
      <text>
        <t>추정: 세전이익 − 법인세비용(항등식)
[identity]</t>
      </text>
    </comment>
    <comment ref="AN19" authorId="0" shapeId="0">
      <text>
        <t>추정: 세전이익 − 법인세비용(항등식)
[identity]</t>
      </text>
    </comment>
    <comment ref="AC20" authorId="0" shapeId="0">
      <text>
        <t>추정: 당기순이익 × (1 − 비지배 비중 60.0%, 최근 8분기 실측)
[ratio]</t>
      </text>
    </comment>
    <comment ref="AD20" authorId="0" shapeId="0">
      <text>
        <t>추정: 당기순이익 × (1 − 비지배 비중 60.0%, 최근 8분기 실측)
[ratio]</t>
      </text>
    </comment>
    <comment ref="AF20" authorId="0" shapeId="0">
      <text>
        <t>추정: 당기순이익 × (1 − 비지배 비중 60.0%, 최근 8분기 실측)
[ratio]</t>
      </text>
    </comment>
    <comment ref="AG20" authorId="0" shapeId="0">
      <text>
        <t>추정: 당기순이익 × (1 − 비지배 비중 60.0%, 최근 8분기 실측)
[ratio]</t>
      </text>
    </comment>
    <comment ref="AH20" authorId="0" shapeId="0">
      <text>
        <t>추정: 당기순이익 × (1 − 비지배 비중 60.0%, 최근 8분기 실측)
[ratio]</t>
      </text>
    </comment>
    <comment ref="AI20" authorId="0" shapeId="0">
      <text>
        <t>추정: 당기순이익 × (1 − 비지배 비중 60.0%, 최근 8분기 실측)
[ratio]</t>
      </text>
    </comment>
    <comment ref="AK20" authorId="0" shapeId="0">
      <text>
        <t>추정: 당기순이익 × (1 − 비지배 비중 60.0%, 최근 8분기 실측)
[ratio]</t>
      </text>
    </comment>
    <comment ref="AL20" authorId="0" shapeId="0">
      <text>
        <t>추정: 당기순이익 × (1 − 비지배 비중 60.0%, 최근 8분기 실측)
[ratio]</t>
      </text>
    </comment>
    <comment ref="AM20" authorId="0" shapeId="0">
      <text>
        <t>추정: 당기순이익 × (1 − 비지배 비중 60.0%, 최근 8분기 실측)
[ratio]</t>
      </text>
    </comment>
    <comment ref="AN20" authorId="0" shapeId="0">
      <text>
        <t>추정: 당기순이익 × (1 − 비지배 비중 60.0%, 최근 8분기 실측)
[ratio]</t>
      </text>
    </comment>
    <comment ref="AC21" authorId="0" shapeId="0">
      <text>
        <t>추정: 최근 4분기 감가상각비 중위 유지
[abs]</t>
      </text>
    </comment>
    <comment ref="AD21" authorId="0" shapeId="0">
      <text>
        <t>추정: 최근 4분기 감가상각비 중위 유지
[abs]</t>
      </text>
    </comment>
    <comment ref="AF21" authorId="0" shapeId="0">
      <text>
        <t>추정: 최근 4분기 감가상각비 중위 유지
[abs]</t>
      </text>
    </comment>
    <comment ref="AG21" authorId="0" shapeId="0">
      <text>
        <t>추정: 최근 4분기 감가상각비 중위 유지
[abs]</t>
      </text>
    </comment>
    <comment ref="AH21" authorId="0" shapeId="0">
      <text>
        <t>추정: 최근 4분기 감가상각비 중위 유지
[abs]</t>
      </text>
    </comment>
    <comment ref="AI21" authorId="0" shapeId="0">
      <text>
        <t>추정: 최근 4분기 감가상각비 중위 유지
[abs]</t>
      </text>
    </comment>
    <comment ref="AK21" authorId="0" shapeId="0">
      <text>
        <t>추정: 최근 4분기 감가상각비 중위 유지
[abs]</t>
      </text>
    </comment>
    <comment ref="AL21" authorId="0" shapeId="0">
      <text>
        <t>추정: 최근 4분기 감가상각비 중위 유지
[abs]</t>
      </text>
    </comment>
    <comment ref="AM21" authorId="0" shapeId="0">
      <text>
        <t>추정: 최근 4분기 감가상각비 중위 유지
[abs]</t>
      </text>
    </comment>
    <comment ref="AN21" authorId="0" shapeId="0">
      <text>
        <t>추정: 최근 4분기 감가상각비 중위 유지
[abs]</t>
      </text>
    </comment>
    <comment ref="E22" authorId="0" shapeId="0">
      <text>
        <t>실측(계정 매핑 없음(파생·부문·시세 행) — 모델값 직접) — 영업이익 + 감가상각비(CF)</t>
      </text>
    </comment>
    <comment ref="G22" authorId="0" shapeId="0">
      <text>
        <t>실측(계정 매핑 없음(파생·부문·시세 행) — 모델값 직접) — 영업이익 + 감가상각비(CF)</t>
      </text>
    </comment>
    <comment ref="H22" authorId="0" shapeId="0">
      <text>
        <t>실측(계정 매핑 없음(파생·부문·시세 행) — 모델값 직접) — 영업이익 + 감가상각비(CF)</t>
      </text>
    </comment>
    <comment ref="I22" authorId="0" shapeId="0">
      <text>
        <t>실측(계정 매핑 없음(파생·부문·시세 행) — 모델값 직접) — 영업이익 + 감가상각비(CF)</t>
      </text>
    </comment>
    <comment ref="J22" authorId="0" shapeId="0">
      <text>
        <t>실측(계정 매핑 없음(파생·부문·시세 행) — 모델값 직접) — 영업이익 + 감가상각비(CF)</t>
      </text>
    </comment>
    <comment ref="L22" authorId="0" shapeId="0">
      <text>
        <t>실측(계정 매핑 없음(파생·부문·시세 행) — 모델값 직접) — 영업이익 + 감가상각비(CF)</t>
      </text>
    </comment>
    <comment ref="M22" authorId="0" shapeId="0">
      <text>
        <t>실측(계정 매핑 없음(파생·부문·시세 행) — 모델값 직접) — 영업이익 + 감가상각비(CF)</t>
      </text>
    </comment>
    <comment ref="N22" authorId="0" shapeId="0">
      <text>
        <t>실측(계정 매핑 없음(파생·부문·시세 행) — 모델값 직접) — 영업이익 + 감가상각비(CF)</t>
      </text>
    </comment>
    <comment ref="O22" authorId="0" shapeId="0">
      <text>
        <t>실측(계정 매핑 없음(파생·부문·시세 행) — 모델값 직접) — 영업이익 + 감가상각비(CF)</t>
      </text>
    </comment>
    <comment ref="Q22" authorId="0" shapeId="0">
      <text>
        <t>실측(계정 매핑 없음(파생·부문·시세 행) — 모델값 직접) — 영업이익 + 감가상각비(CF)</t>
      </text>
    </comment>
    <comment ref="R22" authorId="0" shapeId="0">
      <text>
        <t>실측(계정 매핑 없음(파생·부문·시세 행) — 모델값 직접) — 영업이익 + 감가상각비(CF)</t>
      </text>
    </comment>
    <comment ref="S22" authorId="0" shapeId="0">
      <text>
        <t>실측(계정 매핑 없음(파생·부문·시세 행) — 모델값 직접) — 영업이익 + 감가상각비(CF)</t>
      </text>
    </comment>
    <comment ref="T22" authorId="0" shapeId="0">
      <text>
        <t>실측(계정 매핑 없음(파생·부문·시세 행) — 모델값 직접) — 영업이익 + 감가상각비(CF)</t>
      </text>
    </comment>
    <comment ref="V22" authorId="0" shapeId="0">
      <text>
        <t>실측(계정 매핑 없음(파생·부문·시세 행) — 모델값 직접) — 영업이익 + 감가상각비(CF)</t>
      </text>
    </comment>
    <comment ref="W22" authorId="0" shapeId="0">
      <text>
        <t>실측(계정 매핑 없음(파생·부문·시세 행) — 모델값 직접) — 영업이익 + 감가상각비(CF)</t>
      </text>
    </comment>
    <comment ref="X22" authorId="0" shapeId="0">
      <text>
        <t>실측(계정 매핑 없음(파생·부문·시세 행) — 모델값 직접) — 영업이익 + 감가상각비(CF)</t>
      </text>
    </comment>
    <comment ref="AC22" authorId="0" shapeId="0">
      <text>
        <t>추정: 영업이익 + 감가상각비
[identity]</t>
      </text>
    </comment>
    <comment ref="AD22" authorId="0" shapeId="0">
      <text>
        <t>추정: 영업이익 + 감가상각비
[identity]</t>
      </text>
    </comment>
    <comment ref="AF22" authorId="0" shapeId="0">
      <text>
        <t>추정: 영업이익 + 감가상각비
[identity]</t>
      </text>
    </comment>
    <comment ref="AG22" authorId="0" shapeId="0">
      <text>
        <t>추정: 영업이익 + 감가상각비
[identity]</t>
      </text>
    </comment>
    <comment ref="AH22" authorId="0" shapeId="0">
      <text>
        <t>추정: 영업이익 + 감가상각비
[identity]</t>
      </text>
    </comment>
    <comment ref="AI22" authorId="0" shapeId="0">
      <text>
        <t>추정: 영업이익 + 감가상각비
[identity]</t>
      </text>
    </comment>
    <comment ref="AK22" authorId="0" shapeId="0">
      <text>
        <t>추정: 영업이익 + 감가상각비
[identity]</t>
      </text>
    </comment>
    <comment ref="AL22" authorId="0" shapeId="0">
      <text>
        <t>추정: 영업이익 + 감가상각비
[identity]</t>
      </text>
    </comment>
    <comment ref="AM22" authorId="0" shapeId="0">
      <text>
        <t>추정: 영업이익 + 감가상각비
[identity]</t>
      </text>
    </comment>
    <comment ref="AN22" authorId="0" shapeId="0">
      <text>
        <t>추정: 영업이익 + 감가상각비
[identity]</t>
      </text>
    </comment>
    <comment ref="AC23" authorId="0" shapeId="0">
      <text>
        <t>추정: 부채총계 + 자본총계(항등식)
[identity]</t>
      </text>
    </comment>
    <comment ref="AD23" authorId="0" shapeId="0">
      <text>
        <t>추정: 부채총계 + 자본총계(항등식)
[identity]</t>
      </text>
    </comment>
    <comment ref="AF23" authorId="0" shapeId="0">
      <text>
        <t>추정: 부채총계 + 자본총계(항등식)
[identity]</t>
      </text>
    </comment>
    <comment ref="AG23" authorId="0" shapeId="0">
      <text>
        <t>추정: 부채총계 + 자본총계(항등식)
[identity]</t>
      </text>
    </comment>
    <comment ref="AH23" authorId="0" shapeId="0">
      <text>
        <t>추정: 부채총계 + 자본총계(항등식)
[identity]</t>
      </text>
    </comment>
    <comment ref="AI23" authorId="0" shapeId="0">
      <text>
        <t>추정: 부채총계 + 자본총계(항등식)
[identity]</t>
      </text>
    </comment>
    <comment ref="AK23" authorId="0" shapeId="0">
      <text>
        <t>추정: 부채총계 + 자본총계(항등식)
[identity]</t>
      </text>
    </comment>
    <comment ref="AL23" authorId="0" shapeId="0">
      <text>
        <t>추정: 부채총계 + 자본총계(항등식)
[identity]</t>
      </text>
    </comment>
    <comment ref="AM23" authorId="0" shapeId="0">
      <text>
        <t>추정: 부채총계 + 자본총계(항등식)
[identity]</t>
      </text>
    </comment>
    <comment ref="AN23" authorId="0" shapeId="0">
      <text>
        <t>추정: 부채총계 + 자본총계(항등식)
[identity]</t>
      </text>
    </comment>
    <comment ref="AC24" authorId="0" shapeId="0">
      <text>
        <t>추정: 마지막 실적 유지(가정)
[qoq]</t>
      </text>
    </comment>
    <comment ref="AD24" authorId="0" shapeId="0">
      <text>
        <t>추정: 마지막 실적 유지(가정)
[qoq]</t>
      </text>
    </comment>
    <comment ref="AF24" authorId="0" shapeId="0">
      <text>
        <t>추정: 마지막 실적 유지(가정)
[qoq]</t>
      </text>
    </comment>
    <comment ref="AG24" authorId="0" shapeId="0">
      <text>
        <t>추정: 마지막 실적 유지(가정)
[qoq]</t>
      </text>
    </comment>
    <comment ref="AH24" authorId="0" shapeId="0">
      <text>
        <t>추정: 마지막 실적 유지(가정)
[qoq]</t>
      </text>
    </comment>
    <comment ref="AI24" authorId="0" shapeId="0">
      <text>
        <t>추정: 마지막 실적 유지(가정)
[qoq]</t>
      </text>
    </comment>
    <comment ref="AK24" authorId="0" shapeId="0">
      <text>
        <t>추정: 마지막 실적 유지(가정)
[qoq]</t>
      </text>
    </comment>
    <comment ref="AL24" authorId="0" shapeId="0">
      <text>
        <t>추정: 마지막 실적 유지(가정)
[qoq]</t>
      </text>
    </comment>
    <comment ref="AM24" authorId="0" shapeId="0">
      <text>
        <t>추정: 마지막 실적 유지(가정)
[qoq]</t>
      </text>
    </comment>
    <comment ref="AN24" authorId="0" shapeId="0">
      <text>
        <t>추정: 마지막 실적 유지(가정)
[qoq]</t>
      </text>
    </comment>
    <comment ref="AC25" authorId="0" shapeId="0">
      <text>
        <t>추정: 전분기 + 당기순이익 − 배당(Q2 지급 가정)
[roll]</t>
      </text>
    </comment>
    <comment ref="AD25" authorId="0" shapeId="0">
      <text>
        <t>추정: 전분기 + 당기순이익 − 배당(Q2 지급 가정)
[roll]</t>
      </text>
    </comment>
    <comment ref="AF25" authorId="0" shapeId="0">
      <text>
        <t>추정: 전분기 + 당기순이익 − 배당(Q2 지급 가정)
[roll]</t>
      </text>
    </comment>
    <comment ref="AG25" authorId="0" shapeId="0">
      <text>
        <t>추정: 전분기 + 당기순이익 − 배당(Q2 지급 가정)
[roll]</t>
      </text>
    </comment>
    <comment ref="AH25" authorId="0" shapeId="0">
      <text>
        <t>추정: 전분기 + 당기순이익 − 배당(Q2 지급 가정)
[roll]</t>
      </text>
    </comment>
    <comment ref="AI25" authorId="0" shapeId="0">
      <text>
        <t>추정: 전분기 + 당기순이익 − 배당(Q2 지급 가정)
[roll]</t>
      </text>
    </comment>
    <comment ref="AK25" authorId="0" shapeId="0">
      <text>
        <t>추정: 전분기 + 당기순이익 − 배당(Q2 지급 가정)
[roll]</t>
      </text>
    </comment>
    <comment ref="AL25" authorId="0" shapeId="0">
      <text>
        <t>추정: 전분기 + 당기순이익 − 배당(Q2 지급 가정)
[roll]</t>
      </text>
    </comment>
    <comment ref="AM25" authorId="0" shapeId="0">
      <text>
        <t>추정: 전분기 + 당기순이익 − 배당(Q2 지급 가정)
[roll]</t>
      </text>
    </comment>
    <comment ref="AN25" authorId="0" shapeId="0">
      <text>
        <t>추정: 전분기 + 당기순이익 − 배당(Q2 지급 가정)
[roll]</t>
      </text>
    </comment>
    <comment ref="AC26" authorId="0" shapeId="0">
      <text>
        <t>추정: 전분기 + 지배주주순이익 − 배당
[roll]</t>
      </text>
    </comment>
    <comment ref="AD26" authorId="0" shapeId="0">
      <text>
        <t>추정: 전분기 + 지배주주순이익 − 배당
[roll]</t>
      </text>
    </comment>
    <comment ref="AF26" authorId="0" shapeId="0">
      <text>
        <t>추정: 전분기 + 지배주주순이익 − 배당
[roll]</t>
      </text>
    </comment>
    <comment ref="AG26" authorId="0" shapeId="0">
      <text>
        <t>추정: 전분기 + 지배주주순이익 − 배당
[roll]</t>
      </text>
    </comment>
    <comment ref="AH26" authorId="0" shapeId="0">
      <text>
        <t>추정: 전분기 + 지배주주순이익 − 배당
[roll]</t>
      </text>
    </comment>
    <comment ref="AI26" authorId="0" shapeId="0">
      <text>
        <t>추정: 전분기 + 지배주주순이익 − 배당
[roll]</t>
      </text>
    </comment>
    <comment ref="AK26" authorId="0" shapeId="0">
      <text>
        <t>추정: 전분기 + 지배주주순이익 − 배당
[roll]</t>
      </text>
    </comment>
    <comment ref="AL26" authorId="0" shapeId="0">
      <text>
        <t>추정: 전분기 + 지배주주순이익 − 배당
[roll]</t>
      </text>
    </comment>
    <comment ref="AM26" authorId="0" shapeId="0">
      <text>
        <t>추정: 전분기 + 지배주주순이익 − 배당
[roll]</t>
      </text>
    </comment>
    <comment ref="AN26" authorId="0" shapeId="0">
      <text>
        <t>추정: 전분기 + 지배주주순이익 − 배당
[roll]</t>
      </text>
    </comment>
    <comment ref="AC27" authorId="0" shapeId="0">
      <text>
        <t>추정: 마지막 실적 유지(가정)
[qoq]</t>
      </text>
    </comment>
    <comment ref="AD27" authorId="0" shapeId="0">
      <text>
        <t>추정: 마지막 실적 유지(가정)
[qoq]</t>
      </text>
    </comment>
    <comment ref="AF27" authorId="0" shapeId="0">
      <text>
        <t>추정: 마지막 실적 유지(가정)
[qoq]</t>
      </text>
    </comment>
    <comment ref="AG27" authorId="0" shapeId="0">
      <text>
        <t>추정: 마지막 실적 유지(가정)
[qoq]</t>
      </text>
    </comment>
    <comment ref="AH27" authorId="0" shapeId="0">
      <text>
        <t>추정: 마지막 실적 유지(가정)
[qoq]</t>
      </text>
    </comment>
    <comment ref="AI27" authorId="0" shapeId="0">
      <text>
        <t>추정: 마지막 실적 유지(가정)
[qoq]</t>
      </text>
    </comment>
    <comment ref="AK27" authorId="0" shapeId="0">
      <text>
        <t>추정: 마지막 실적 유지(가정)
[qoq]</t>
      </text>
    </comment>
    <comment ref="AL27" authorId="0" shapeId="0">
      <text>
        <t>추정: 마지막 실적 유지(가정)
[qoq]</t>
      </text>
    </comment>
    <comment ref="AM27" authorId="0" shapeId="0">
      <text>
        <t>추정: 마지막 실적 유지(가정)
[qoq]</t>
      </text>
    </comment>
    <comment ref="AN27" authorId="0" shapeId="0">
      <text>
        <t>추정: 마지막 실적 유지(가정)
[qoq]</t>
      </text>
    </comment>
    <comment ref="AC28" authorId="0" shapeId="0">
      <text>
        <t>추정: 전분기 − FCF 근사[순이익 + 감가상각비 9억 − CAPEX 112억(각 최근 4분기 중위) − 배당] (운전자본 불변·총차입금 유지 가정 → 변동은 전부 현금)
[qoq]</t>
      </text>
    </comment>
    <comment ref="AD28" authorId="0" shapeId="0">
      <text>
        <t>추정: 전분기 − FCF 근사[순이익 + 감가상각비 9억 − CAPEX 112억(각 최근 4분기 중위) − 배당] (운전자본 불변·총차입금 유지 가정 → 변동은 전부 현금)
[qoq]</t>
      </text>
    </comment>
    <comment ref="AF28" authorId="0" shapeId="0">
      <text>
        <t>추정: 전분기 − FCF 근사[순이익 + 감가상각비 9억 − CAPEX 112억(각 최근 4분기 중위) − 배당] (운전자본 불변·총차입금 유지 가정 → 변동은 전부 현금)
[qoq]</t>
      </text>
    </comment>
    <comment ref="AG28" authorId="0" shapeId="0">
      <text>
        <t>추정: 전분기 − FCF 근사[순이익 + 감가상각비 9억 − CAPEX 112억(각 최근 4분기 중위) − 배당] (운전자본 불변·총차입금 유지 가정 → 변동은 전부 현금)
[qoq]</t>
      </text>
    </comment>
    <comment ref="AH28" authorId="0" shapeId="0">
      <text>
        <t>추정: 전분기 − FCF 근사[순이익 + 감가상각비 9억 − CAPEX 112억(각 최근 4분기 중위) − 배당] (운전자본 불변·총차입금 유지 가정 → 변동은 전부 현금)
[qoq]</t>
      </text>
    </comment>
    <comment ref="AI28" authorId="0" shapeId="0">
      <text>
        <t>추정: 전분기 − FCF 근사[순이익 + 감가상각비 9억 − CAPEX 112억(각 최근 4분기 중위) − 배당] (운전자본 불변·총차입금 유지 가정 → 변동은 전부 현금)
[qoq]</t>
      </text>
    </comment>
    <comment ref="AK28" authorId="0" shapeId="0">
      <text>
        <t>추정: 전분기 − FCF 근사[순이익 + 감가상각비 9억 − CAPEX 112억(각 최근 4분기 중위) − 배당] (운전자본 불변·총차입금 유지 가정 → 변동은 전부 현금)
[qoq]</t>
      </text>
    </comment>
    <comment ref="AL28" authorId="0" shapeId="0">
      <text>
        <t>추정: 전분기 − FCF 근사[순이익 + 감가상각비 9억 − CAPEX 112억(각 최근 4분기 중위) − 배당] (운전자본 불변·총차입금 유지 가정 → 변동은 전부 현금)
[qoq]</t>
      </text>
    </comment>
    <comment ref="AM28" authorId="0" shapeId="0">
      <text>
        <t>추정: 전분기 − FCF 근사[순이익 + 감가상각비 9억 − CAPEX 112억(각 최근 4분기 중위) − 배당] (운전자본 불변·총차입금 유지 가정 → 변동은 전부 현금)
[qoq]</t>
      </text>
    </comment>
    <comment ref="AN28" authorId="0" shapeId="0">
      <text>
        <t>추정: 전분기 − FCF 근사[순이익 + 감가상각비 9억 − CAPEX 112억(각 최근 4분기 중위) − 배당] (운전자본 불변·총차입금 유지 가정 → 변동은 전부 현금)
[qoq]</t>
      </text>
    </comment>
    <comment ref="AC29" authorId="0" shapeId="0">
      <text>
        <t>추정: 전분기 + FCF 근사 — 순차입금 롤과 같은 가정
[qoq]</t>
      </text>
    </comment>
    <comment ref="AD29" authorId="0" shapeId="0">
      <text>
        <t>추정: 전분기 + FCF 근사 — 순차입금 롤과 같은 가정
[qoq]</t>
      </text>
    </comment>
    <comment ref="AF29" authorId="0" shapeId="0">
      <text>
        <t>추정: 전분기 + FCF 근사 — 순차입금 롤과 같은 가정
[qoq]</t>
      </text>
    </comment>
    <comment ref="AG29" authorId="0" shapeId="0">
      <text>
        <t>추정: 전분기 + FCF 근사 — 순차입금 롤과 같은 가정
[qoq]</t>
      </text>
    </comment>
    <comment ref="AH29" authorId="0" shapeId="0">
      <text>
        <t>추정: 전분기 + FCF 근사 — 순차입금 롤과 같은 가정
[qoq]</t>
      </text>
    </comment>
    <comment ref="AI29" authorId="0" shapeId="0">
      <text>
        <t>추정: 전분기 + FCF 근사 — 순차입금 롤과 같은 가정
[qoq]</t>
      </text>
    </comment>
    <comment ref="AK29" authorId="0" shapeId="0">
      <text>
        <t>추정: 전분기 + FCF 근사 — 순차입금 롤과 같은 가정
[qoq]</t>
      </text>
    </comment>
    <comment ref="AL29" authorId="0" shapeId="0">
      <text>
        <t>추정: 전분기 + FCF 근사 — 순차입금 롤과 같은 가정
[qoq]</t>
      </text>
    </comment>
    <comment ref="AM29" authorId="0" shapeId="0">
      <text>
        <t>추정: 전분기 + FCF 근사 — 순차입금 롤과 같은 가정
[qoq]</t>
      </text>
    </comment>
    <comment ref="AN29" authorId="0" shapeId="0">
      <text>
        <t>추정: 전분기 + FCF 근사 — 순차입금 롤과 같은 가정
[qoq]</t>
      </text>
    </comment>
    <comment ref="AC31" authorId="0" shapeId="0">
      <text>
        <t>추정: 최근 4분기(2025Q3~2026Q2) CAPEX 중위 유지 — 순차입금 롤에 반영(FCF 근사)
[yoy]</t>
      </text>
    </comment>
    <comment ref="AD31" authorId="0" shapeId="0">
      <text>
        <t>추정: 최근 4분기(2025Q3~2026Q2) CAPEX 중위 유지 — 순차입금 롤에 반영(FCF 근사)
[yoy]</t>
      </text>
    </comment>
    <comment ref="AF31" authorId="0" shapeId="0">
      <text>
        <t>추정: 최근 4분기(2025Q3~2026Q2) CAPEX 중위 유지 — 순차입금 롤에 반영(FCF 근사)
[yoy]</t>
      </text>
    </comment>
    <comment ref="AG31" authorId="0" shapeId="0">
      <text>
        <t>추정: 최근 4분기(2025Q3~2026Q2) CAPEX 중위 유지 — 순차입금 롤에 반영(FCF 근사)
[yoy]</t>
      </text>
    </comment>
    <comment ref="AH31" authorId="0" shapeId="0">
      <text>
        <t>추정: 최근 4분기(2025Q3~2026Q2) CAPEX 중위 유지 — 순차입금 롤에 반영(FCF 근사)
[yoy]</t>
      </text>
    </comment>
    <comment ref="AI31" authorId="0" shapeId="0">
      <text>
        <t>추정: 최근 4분기(2025Q3~2026Q2) CAPEX 중위 유지 — 순차입금 롤에 반영(FCF 근사)
[yoy]</t>
      </text>
    </comment>
    <comment ref="AK31" authorId="0" shapeId="0">
      <text>
        <t>추정: 최근 4분기(2025Q3~2026Q2) CAPEX 중위 유지 — 순차입금 롤에 반영(FCF 근사)
[yoy]</t>
      </text>
    </comment>
    <comment ref="AL31" authorId="0" shapeId="0">
      <text>
        <t>추정: 최근 4분기(2025Q3~2026Q2) CAPEX 중위 유지 — 순차입금 롤에 반영(FCF 근사)
[yoy]</t>
      </text>
    </comment>
    <comment ref="AM31" authorId="0" shapeId="0">
      <text>
        <t>추정: 최근 4분기(2025Q3~2026Q2) CAPEX 중위 유지 — 순차입금 롤에 반영(FCF 근사)
[yoy]</t>
      </text>
    </comment>
    <comment ref="AN31" authorId="0" shapeId="0">
      <text>
        <t>추정: 최근 4분기(2025Q3~2026Q2) CAPEX 중위 유지 — 순차입금 롤에 반영(FCF 근사)
[yoy]</t>
      </text>
    </comment>
    <comment ref="E33" authorId="0" shapeId="0">
      <text>
        <t>실측(계정 매핑 없음(파생·부문·시세 행) — 모델값 직접) — fin.shares.common_outstanding</t>
      </text>
    </comment>
    <comment ref="G33" authorId="0" shapeId="0">
      <text>
        <t>실측(계정 매핑 없음(파생·부문·시세 행) — 모델값 직접) — fin.shares.common_outstanding</t>
      </text>
    </comment>
    <comment ref="H33" authorId="0" shapeId="0">
      <text>
        <t>실측(계정 매핑 없음(파생·부문·시세 행) — 모델값 직접) — fin.shares.common_outstanding</t>
      </text>
    </comment>
    <comment ref="I33" authorId="0" shapeId="0">
      <text>
        <t>실측(계정 매핑 없음(파생·부문·시세 행) — 모델값 직접) — fin.shares.common_outstanding</t>
      </text>
    </comment>
    <comment ref="J33" authorId="0" shapeId="0">
      <text>
        <t>실측(계정 매핑 없음(파생·부문·시세 행) — 모델값 직접) — fin.shares.common_outstanding</t>
      </text>
    </comment>
    <comment ref="L33" authorId="0" shapeId="0">
      <text>
        <t>실측(계정 매핑 없음(파생·부문·시세 행) — 모델값 직접) — fin.shares.common_outstanding</t>
      </text>
    </comment>
    <comment ref="M33" authorId="0" shapeId="0">
      <text>
        <t>실측(계정 매핑 없음(파생·부문·시세 행) — 모델값 직접) — fin.shares.common_outstanding</t>
      </text>
    </comment>
    <comment ref="N33" authorId="0" shapeId="0">
      <text>
        <t>실측(계정 매핑 없음(파생·부문·시세 행) — 모델값 직접) — fin.shares.common_outstanding</t>
      </text>
    </comment>
    <comment ref="O33" authorId="0" shapeId="0">
      <text>
        <t>실측(계정 매핑 없음(파생·부문·시세 행) — 모델값 직접) — fin.shares.common_outstanding</t>
      </text>
    </comment>
    <comment ref="Q33" authorId="0" shapeId="0">
      <text>
        <t>실측(계정 매핑 없음(파생·부문·시세 행) — 모델값 직접) — fin.shares.common_outstanding</t>
      </text>
    </comment>
    <comment ref="R33" authorId="0" shapeId="0">
      <text>
        <t>실측(계정 매핑 없음(파생·부문·시세 행) — 모델값 직접) — fin.shares.common_outstanding</t>
      </text>
    </comment>
    <comment ref="S33" authorId="0" shapeId="0">
      <text>
        <t>실측(계정 매핑 없음(파생·부문·시세 행) — 모델값 직접) — fin.shares.common_outstanding</t>
      </text>
    </comment>
    <comment ref="T33" authorId="0" shapeId="0">
      <text>
        <t>실측(계정 매핑 없음(파생·부문·시세 행) — 모델값 직접) — fin.shares.common_outstanding</t>
      </text>
    </comment>
    <comment ref="V33" authorId="0" shapeId="0">
      <text>
        <t>실측(계정 매핑 없음(파생·부문·시세 행) — 모델값 직접) — fin.shares.common_outstanding</t>
      </text>
    </comment>
    <comment ref="W33" authorId="0" shapeId="0">
      <text>
        <t>실측(계정 매핑 없음(파생·부문·시세 행) — 모델값 직접) — fin.shares.common_outstanding</t>
      </text>
    </comment>
    <comment ref="X33" authorId="0" shapeId="0">
      <text>
        <t>실측(계정 매핑 없음(파생·부문·시세 행) — 모델값 직접) — fin.shares.common_outstanding</t>
      </text>
    </comment>
    <comment ref="Y33" authorId="0" shapeId="0">
      <text>
        <t>실측(계정 매핑 없음(파생·부문·시세 행) — 모델값 직접) — fin.shares.common_outstanding</t>
      </text>
    </comment>
    <comment ref="AA33" authorId="0" shapeId="0">
      <text>
        <t>실측(계정 매핑 없음(파생·부문·시세 행) — 모델값 직접) — fin.shares.common_outstanding</t>
      </text>
    </comment>
    <comment ref="AB33" authorId="0" shapeId="0">
      <text>
        <t>실측(계정 매핑 없음(파생·부문·시세 행) — 모델값 직접) — fin.shares.common_outstanding</t>
      </text>
    </comment>
    <comment ref="AC33" authorId="0" shapeId="0">
      <text>
        <t>추정: 유통주식수 유지 — fin.shares.common_outstanding(2026Q2)
[qoq]</t>
      </text>
    </comment>
    <comment ref="AD33" authorId="0" shapeId="0">
      <text>
        <t>추정: 유통주식수 유지 — fin.shares.common_outstanding(2026Q2)
[qoq]</t>
      </text>
    </comment>
    <comment ref="AF33" authorId="0" shapeId="0">
      <text>
        <t>추정: 유통주식수 유지 — fin.shares.common_outstanding(2026Q2)
[qoq]</t>
      </text>
    </comment>
    <comment ref="AG33" authorId="0" shapeId="0">
      <text>
        <t>추정: 유통주식수 유지 — fin.shares.common_outstanding(2026Q2)
[qoq]</t>
      </text>
    </comment>
    <comment ref="AH33" authorId="0" shapeId="0">
      <text>
        <t>추정: 유통주식수 유지 — fin.shares.common_outstanding(2026Q2)
[qoq]</t>
      </text>
    </comment>
    <comment ref="AI33" authorId="0" shapeId="0">
      <text>
        <t>추정: 유통주식수 유지 — fin.shares.common_outstanding(2026Q2)
[qoq]</t>
      </text>
    </comment>
    <comment ref="AK33" authorId="0" shapeId="0">
      <text>
        <t>추정: 유통주식수 유지 — fin.shares.common_outstanding(2026Q2)
[qoq]</t>
      </text>
    </comment>
    <comment ref="AL33" authorId="0" shapeId="0">
      <text>
        <t>추정: 유통주식수 유지 — fin.shares.common_outstanding(2026Q2)
[qoq]</t>
      </text>
    </comment>
    <comment ref="AM33" authorId="0" shapeId="0">
      <text>
        <t>추정: 유통주식수 유지 — fin.shares.common_outstanding(2026Q2)
[qoq]</t>
      </text>
    </comment>
    <comment ref="AN33" authorId="0" shapeId="0">
      <text>
        <t>추정: 유통주식수 유지 — fin.shares.common_outstanding(2026Q2)
[qoq]</t>
      </text>
    </comment>
    <comment ref="AC34" authorId="0" shapeId="0">
      <text>
        <t>추정: 지배주주순이익 ÷ 유통주식수
[per_share]</t>
      </text>
    </comment>
    <comment ref="AD34" authorId="0" shapeId="0">
      <text>
        <t>추정: 지배주주순이익 ÷ 유통주식수
[per_share]</t>
      </text>
    </comment>
    <comment ref="AF34" authorId="0" shapeId="0">
      <text>
        <t>추정: 지배주주순이익 ÷ 유통주식수
[per_share]</t>
      </text>
    </comment>
    <comment ref="AG34" authorId="0" shapeId="0">
      <text>
        <t>추정: 지배주주순이익 ÷ 유통주식수
[per_share]</t>
      </text>
    </comment>
    <comment ref="AH34" authorId="0" shapeId="0">
      <text>
        <t>추정: 지배주주순이익 ÷ 유통주식수
[per_share]</t>
      </text>
    </comment>
    <comment ref="AI34" authorId="0" shapeId="0">
      <text>
        <t>추정: 지배주주순이익 ÷ 유통주식수
[per_share]</t>
      </text>
    </comment>
    <comment ref="AK34" authorId="0" shapeId="0">
      <text>
        <t>추정: 지배주주순이익 ÷ 유통주식수
[per_share]</t>
      </text>
    </comment>
    <comment ref="AL34" authorId="0" shapeId="0">
      <text>
        <t>추정: 지배주주순이익 ÷ 유통주식수
[per_share]</t>
      </text>
    </comment>
    <comment ref="AM34" authorId="0" shapeId="0">
      <text>
        <t>추정: 지배주주순이익 ÷ 유통주식수
[per_share]</t>
      </text>
    </comment>
    <comment ref="AN34" authorId="0" shapeId="0">
      <text>
        <t>추정: 지배주주순이익 ÷ 유통주식수
[per_share]</t>
      </text>
    </comment>
    <comment ref="AC35" authorId="0" shapeId="0">
      <text>
        <t>추정: 지배주주지분 ÷ 유통주식수
[per_share]</t>
      </text>
    </comment>
    <comment ref="AD35" authorId="0" shapeId="0">
      <text>
        <t>추정: 지배주주지분 ÷ 유통주식수
[per_share]</t>
      </text>
    </comment>
    <comment ref="AF35" authorId="0" shapeId="0">
      <text>
        <t>추정: 지배주주지분 ÷ 유통주식수
[per_share]</t>
      </text>
    </comment>
    <comment ref="AG35" authorId="0" shapeId="0">
      <text>
        <t>추정: 지배주주지분 ÷ 유통주식수
[per_share]</t>
      </text>
    </comment>
    <comment ref="AH35" authorId="0" shapeId="0">
      <text>
        <t>추정: 지배주주지분 ÷ 유통주식수
[per_share]</t>
      </text>
    </comment>
    <comment ref="AI35" authorId="0" shapeId="0">
      <text>
        <t>추정: 지배주주지분 ÷ 유통주식수
[per_share]</t>
      </text>
    </comment>
    <comment ref="AK35" authorId="0" shapeId="0">
      <text>
        <t>추정: 지배주주지분 ÷ 유통주식수
[per_share]</t>
      </text>
    </comment>
    <comment ref="AL35" authorId="0" shapeId="0">
      <text>
        <t>추정: 지배주주지분 ÷ 유통주식수
[per_share]</t>
      </text>
    </comment>
    <comment ref="AM35" authorId="0" shapeId="0">
      <text>
        <t>추정: 지배주주지분 ÷ 유통주식수
[per_share]</t>
      </text>
    </comment>
    <comment ref="AN35" authorId="0" shapeId="0">
      <text>
        <t>추정: 지배주주지분 ÷ 유통주식수
[per_share]</t>
      </text>
    </comment>
    <comment ref="E36" authorId="0" shapeId="0">
      <text>
        <t>실측(계정 매핑 없음(파생·부문·시세 행) — 모델값 직접) — fin.dividend.dps_common(연간, Q4 에 표기)</t>
      </text>
    </comment>
    <comment ref="F36" authorId="0" shapeId="0">
      <text>
        <t>연간(actual) — 분기 미완 연도, 모델 a 값 직접</t>
      </text>
    </comment>
    <comment ref="J36" authorId="0" shapeId="0">
      <text>
        <t>실측(계정 매핑 없음(파생·부문·시세 행) — 모델값 직접) — fin.dividend.dps_common(연간, Q4 에 표기)</t>
      </text>
    </comment>
    <comment ref="O36" authorId="0" shapeId="0">
      <text>
        <t>실측(계정 매핑 없음(파생·부문·시세 행) — 모델값 직접) — fin.dividend.dps_common(연간, Q4 에 표기)</t>
      </text>
    </comment>
    <comment ref="T36" authorId="0" shapeId="0">
      <text>
        <t>실측(계정 매핑 없음(파생·부문·시세 행) — 모델값 직접) — fin.dividend.dps_common(연간, Q4 에 표기)</t>
      </text>
    </comment>
    <comment ref="Y36" authorId="0" shapeId="0">
      <text>
        <t>실측(계정 매핑 없음(파생·부문·시세 행) — 모델값 직접) — fin.dividend.dps_common(연간, Q4 에 표기)</t>
      </text>
    </comment>
    <comment ref="AD36" authorId="0" shapeId="0">
      <text>
        <t>추정: 직전 결산 DPS 0원 유지
[abs]</t>
      </text>
    </comment>
    <comment ref="AI36" authorId="0" shapeId="0">
      <text>
        <t>추정: 직전 결산 DPS 0원 유지
[abs]</t>
      </text>
    </comment>
    <comment ref="AN36" authorId="0" shapeId="0">
      <text>
        <t>추정: 직전 결산 DPS 0원 유지
[abs]</t>
      </text>
    </comment>
    <comment ref="AD37" authorId="0" shapeId="0">
      <text>
        <t>추정: 현재 종가 ÷ TTM EPS(추정 포함)
[valuation]</t>
      </text>
    </comment>
    <comment ref="AF37" authorId="0" shapeId="0">
      <text>
        <t>추정: 현재 종가 ÷ TTM EPS(추정 포함)
[valuation]</t>
      </text>
    </comment>
    <comment ref="AG37" authorId="0" shapeId="0">
      <text>
        <t>추정: 현재 종가 ÷ TTM EPS(추정 포함)
[valuation]</t>
      </text>
    </comment>
    <comment ref="AH37" authorId="0" shapeId="0">
      <text>
        <t>추정: 현재 종가 ÷ TTM EPS(추정 포함)
[valuation]</t>
      </text>
    </comment>
    <comment ref="AI37" authorId="0" shapeId="0">
      <text>
        <t>추정: 현재 종가 ÷ TTM EPS(추정 포함)
[valuation]</t>
      </text>
    </comment>
    <comment ref="AK37" authorId="0" shapeId="0">
      <text>
        <t>추정: 현재 종가 ÷ TTM EPS(추정 포함)
[valuation]</t>
      </text>
    </comment>
    <comment ref="AL37" authorId="0" shapeId="0">
      <text>
        <t>추정: 현재 종가 ÷ TTM EPS(추정 포함)
[valuation]</t>
      </text>
    </comment>
    <comment ref="AM37" authorId="0" shapeId="0">
      <text>
        <t>추정: 현재 종가 ÷ TTM EPS(추정 포함)
[valuation]</t>
      </text>
    </comment>
    <comment ref="AN37" authorId="0" shapeId="0">
      <text>
        <t>추정: 현재 종가 ÷ TTM EPS(추정 포함)
[valuation]</t>
      </text>
    </comment>
    <comment ref="AC38" authorId="0" shapeId="0">
      <text>
        <t>추정: 현재 종가 ÷ BPS(추정 포함)
[valuation]</t>
      </text>
    </comment>
    <comment ref="AD38" authorId="0" shapeId="0">
      <text>
        <t>추정: 현재 종가 ÷ BPS(추정 포함)
[valuation]</t>
      </text>
    </comment>
    <comment ref="AF38" authorId="0" shapeId="0">
      <text>
        <t>추정: 현재 종가 ÷ BPS(추정 포함)
[valuation]</t>
      </text>
    </comment>
    <comment ref="AG38" authorId="0" shapeId="0">
      <text>
        <t>추정: 현재 종가 ÷ BPS(추정 포함)
[valuation]</t>
      </text>
    </comment>
    <comment ref="AH38" authorId="0" shapeId="0">
      <text>
        <t>추정: 현재 종가 ÷ BPS(추정 포함)
[valuation]</t>
      </text>
    </comment>
    <comment ref="AI38" authorId="0" shapeId="0">
      <text>
        <t>추정: 현재 종가 ÷ BPS(추정 포함)
[valuation]</t>
      </text>
    </comment>
    <comment ref="AK38" authorId="0" shapeId="0">
      <text>
        <t>추정: 현재 종가 ÷ BPS(추정 포함)
[valuation]</t>
      </text>
    </comment>
    <comment ref="AL38" authorId="0" shapeId="0">
      <text>
        <t>추정: 현재 종가 ÷ BPS(추정 포함)
[valuation]</t>
      </text>
    </comment>
    <comment ref="AM38" authorId="0" shapeId="0">
      <text>
        <t>추정: 현재 종가 ÷ BPS(추정 포함)
[valuation]</t>
      </text>
    </comment>
    <comment ref="AN38" authorId="0" shapeId="0">
      <text>
        <t>추정: 현재 종가 ÷ BPS(추정 포함)
[valuation]</t>
      </text>
    </comment>
    <comment ref="E39" authorId="0" shapeId="0">
      <text>
        <t>실측(계정 매핑 없음(파생·부문·시세 행) — 모델값 직접) — = 매출액(부문 미분리)</t>
      </text>
    </comment>
    <comment ref="G39" authorId="0" shapeId="0">
      <text>
        <t>실측(계정 매핑 없음(파생·부문·시세 행) — 모델값 직접) — = 매출액(부문 미분리)</t>
      </text>
    </comment>
    <comment ref="H39" authorId="0" shapeId="0">
      <text>
        <t>실측(계정 매핑 없음(파생·부문·시세 행) — 모델값 직접) — = 매출액(부문 미분리)</t>
      </text>
    </comment>
    <comment ref="I39" authorId="0" shapeId="0">
      <text>
        <t>실측(계정 매핑 없음(파생·부문·시세 행) — 모델값 직접) — = 매출액(부문 미분리)</t>
      </text>
    </comment>
    <comment ref="J39" authorId="0" shapeId="0">
      <text>
        <t>실측(계정 매핑 없음(파생·부문·시세 행) — 모델값 직접) — = 매출액(부문 미분리)</t>
      </text>
    </comment>
    <comment ref="L39" authorId="0" shapeId="0">
      <text>
        <t>실측(계정 매핑 없음(파생·부문·시세 행) — 모델값 직접) — = 매출액(부문 미분리)</t>
      </text>
    </comment>
    <comment ref="M39" authorId="0" shapeId="0">
      <text>
        <t>실측(계정 매핑 없음(파생·부문·시세 행) — 모델값 직접) — = 매출액(부문 미분리)</t>
      </text>
    </comment>
    <comment ref="N39" authorId="0" shapeId="0">
      <text>
        <t>실측(계정 매핑 없음(파생·부문·시세 행) — 모델값 직접) — = 매출액(부문 미분리)</t>
      </text>
    </comment>
    <comment ref="O39" authorId="0" shapeId="0">
      <text>
        <t>실측(계정 매핑 없음(파생·부문·시세 행) — 모델값 직접) — = 매출액(부문 미분리)</t>
      </text>
    </comment>
    <comment ref="Q39" authorId="0" shapeId="0">
      <text>
        <t>실측(계정 매핑 없음(파생·부문·시세 행) — 모델값 직접) — = 매출액(부문 미분리)</t>
      </text>
    </comment>
    <comment ref="R39" authorId="0" shapeId="0">
      <text>
        <t>실측(계정 매핑 없음(파생·부문·시세 행) — 모델값 직접) — = 매출액(부문 미분리)</t>
      </text>
    </comment>
    <comment ref="S39" authorId="0" shapeId="0">
      <text>
        <t>실측(계정 매핑 없음(파생·부문·시세 행) — 모델값 직접) — = 매출액(부문 미분리)</t>
      </text>
    </comment>
    <comment ref="T39" authorId="0" shapeId="0">
      <text>
        <t>실측(계정 매핑 없음(파생·부문·시세 행) — 모델값 직접) — = 매출액(부문 미분리)</t>
      </text>
    </comment>
    <comment ref="V39" authorId="0" shapeId="0">
      <text>
        <t>실측(계정 매핑 없음(파생·부문·시세 행) — 모델값 직접) — = 매출액(부문 미분리)</t>
      </text>
    </comment>
    <comment ref="W39" authorId="0" shapeId="0">
      <text>
        <t>실측(계정 매핑 없음(파생·부문·시세 행) — 모델값 직접) — = 매출액(부문 미분리)</t>
      </text>
    </comment>
    <comment ref="X39" authorId="0" shapeId="0">
      <text>
        <t>실측(계정 매핑 없음(파생·부문·시세 행) — 모델값 직접) — = 매출액(부문 미분리)</t>
      </text>
    </comment>
    <comment ref="Y39" authorId="0" shapeId="0">
      <text>
        <t>실측(계정 매핑 없음(파생·부문·시세 행) — 모델값 직접) — = 매출액(부문 미분리)</t>
      </text>
    </comment>
    <comment ref="AA39" authorId="0" shapeId="0">
      <text>
        <t>실측(계정 매핑 없음(파생·부문·시세 행) — 모델값 직접) — = 매출액(부문 미분리)</t>
      </text>
    </comment>
    <comment ref="AB39" authorId="0" shapeId="0">
      <text>
        <t>실측(계정 매핑 없음(파생·부문·시세 행) — 모델값 직접) — = 매출액(부문 미분리)</t>
      </text>
    </comment>
    <comment ref="AC39" authorId="0" shapeId="0">
      <text>
        <t>추정: = 매출액 추정(부문 미분리)
[identity]</t>
      </text>
    </comment>
    <comment ref="AD39" authorId="0" shapeId="0">
      <text>
        <t>추정: = 매출액 추정(부문 미분리)
[identity]</t>
      </text>
    </comment>
    <comment ref="AF39" authorId="0" shapeId="0">
      <text>
        <t>추정: = 매출액 추정(부문 미분리)
[identity]</t>
      </text>
    </comment>
    <comment ref="AG39" authorId="0" shapeId="0">
      <text>
        <t>추정: = 매출액 추정(부문 미분리)
[identity]</t>
      </text>
    </comment>
    <comment ref="AH39" authorId="0" shapeId="0">
      <text>
        <t>추정: = 매출액 추정(부문 미분리)
[identity]</t>
      </text>
    </comment>
    <comment ref="AI39" authorId="0" shapeId="0">
      <text>
        <t>추정: = 매출액 추정(부문 미분리)
[identity]</t>
      </text>
    </comment>
    <comment ref="AK39" authorId="0" shapeId="0">
      <text>
        <t>추정: = 매출액 추정(부문 미분리)
[identity]</t>
      </text>
    </comment>
    <comment ref="AL39" authorId="0" shapeId="0">
      <text>
        <t>추정: = 매출액 추정(부문 미분리)
[identity]</t>
      </text>
    </comment>
    <comment ref="AM39" authorId="0" shapeId="0">
      <text>
        <t>추정: = 매출액 추정(부문 미분리)
[identity]</t>
      </text>
    </comment>
    <comment ref="AN39" authorId="0" shapeId="0">
      <text>
        <t>추정: = 매출액 추정(부문 미분리)
[identity]</t>
      </text>
    </comment>
    <comment ref="E40" authorId="0" shapeId="0">
      <text>
        <t>실측(계정 매핑 없음(파생·부문·시세 행) — 모델값 직접) — = 영업이익(부문 미분리)</t>
      </text>
    </comment>
    <comment ref="G40" authorId="0" shapeId="0">
      <text>
        <t>실측(계정 매핑 없음(파생·부문·시세 행) — 모델값 직접) — = 영업이익(부문 미분리)</t>
      </text>
    </comment>
    <comment ref="H40" authorId="0" shapeId="0">
      <text>
        <t>실측(계정 매핑 없음(파생·부문·시세 행) — 모델값 직접) — = 영업이익(부문 미분리)</t>
      </text>
    </comment>
    <comment ref="I40" authorId="0" shapeId="0">
      <text>
        <t>실측(계정 매핑 없음(파생·부문·시세 행) — 모델값 직접) — = 영업이익(부문 미분리)</t>
      </text>
    </comment>
    <comment ref="J40" authorId="0" shapeId="0">
      <text>
        <t>실측(계정 매핑 없음(파생·부문·시세 행) — 모델값 직접) — = 영업이익(부문 미분리)</t>
      </text>
    </comment>
    <comment ref="L40" authorId="0" shapeId="0">
      <text>
        <t>실측(계정 매핑 없음(파생·부문·시세 행) — 모델값 직접) — = 영업이익(부문 미분리)</t>
      </text>
    </comment>
    <comment ref="M40" authorId="0" shapeId="0">
      <text>
        <t>실측(계정 매핑 없음(파생·부문·시세 행) — 모델값 직접) — = 영업이익(부문 미분리)</t>
      </text>
    </comment>
    <comment ref="N40" authorId="0" shapeId="0">
      <text>
        <t>실측(계정 매핑 없음(파생·부문·시세 행) — 모델값 직접) — = 영업이익(부문 미분리)</t>
      </text>
    </comment>
    <comment ref="O40" authorId="0" shapeId="0">
      <text>
        <t>실측(계정 매핑 없음(파생·부문·시세 행) — 모델값 직접) — = 영업이익(부문 미분리)</t>
      </text>
    </comment>
    <comment ref="Q40" authorId="0" shapeId="0">
      <text>
        <t>실측(계정 매핑 없음(파생·부문·시세 행) — 모델값 직접) — = 영업이익(부문 미분리)</t>
      </text>
    </comment>
    <comment ref="R40" authorId="0" shapeId="0">
      <text>
        <t>실측(계정 매핑 없음(파생·부문·시세 행) — 모델값 직접) — = 영업이익(부문 미분리)</t>
      </text>
    </comment>
    <comment ref="S40" authorId="0" shapeId="0">
      <text>
        <t>실측(계정 매핑 없음(파생·부문·시세 행) — 모델값 직접) — = 영업이익(부문 미분리)</t>
      </text>
    </comment>
    <comment ref="T40" authorId="0" shapeId="0">
      <text>
        <t>실측(계정 매핑 없음(파생·부문·시세 행) — 모델값 직접) — = 영업이익(부문 미분리)</t>
      </text>
    </comment>
    <comment ref="V40" authorId="0" shapeId="0">
      <text>
        <t>실측(계정 매핑 없음(파생·부문·시세 행) — 모델값 직접) — = 영업이익(부문 미분리)</t>
      </text>
    </comment>
    <comment ref="W40" authorId="0" shapeId="0">
      <text>
        <t>실측(계정 매핑 없음(파생·부문·시세 행) — 모델값 직접) — = 영업이익(부문 미분리)</t>
      </text>
    </comment>
    <comment ref="X40" authorId="0" shapeId="0">
      <text>
        <t>실측(계정 매핑 없음(파생·부문·시세 행) — 모델값 직접) — = 영업이익(부문 미분리)</t>
      </text>
    </comment>
    <comment ref="Y40" authorId="0" shapeId="0">
      <text>
        <t>실측(계정 매핑 없음(파생·부문·시세 행) — 모델값 직접) — = 영업이익(부문 미분리)</t>
      </text>
    </comment>
    <comment ref="AA40" authorId="0" shapeId="0">
      <text>
        <t>실측(계정 매핑 없음(파생·부문·시세 행) — 모델값 직접) — = 영업이익(부문 미분리)</t>
      </text>
    </comment>
    <comment ref="AB40" authorId="0" shapeId="0">
      <text>
        <t>실측(계정 매핑 없음(파생·부문·시세 행) — 모델값 직접) — = 영업이익(부문 미분리)</t>
      </text>
    </comment>
    <comment ref="AC40" authorId="0" shapeId="0">
      <text>
        <t>추정: = 매출액 × OPM(부문 미분리)
[identity]</t>
      </text>
    </comment>
    <comment ref="AD40" authorId="0" shapeId="0">
      <text>
        <t>추정: = 매출액 × OPM(부문 미분리)
[identity]</t>
      </text>
    </comment>
    <comment ref="AF40" authorId="0" shapeId="0">
      <text>
        <t>추정: = 매출액 × OPM(부문 미분리)
[identity]</t>
      </text>
    </comment>
    <comment ref="AG40" authorId="0" shapeId="0">
      <text>
        <t>추정: = 매출액 × OPM(부문 미분리)
[identity]</t>
      </text>
    </comment>
    <comment ref="AH40" authorId="0" shapeId="0">
      <text>
        <t>추정: = 매출액 × OPM(부문 미분리)
[identity]</t>
      </text>
    </comment>
    <comment ref="AI40" authorId="0" shapeId="0">
      <text>
        <t>추정: = 매출액 × OPM(부문 미분리)
[identity]</t>
      </text>
    </comment>
    <comment ref="AK40" authorId="0" shapeId="0">
      <text>
        <t>추정: = 매출액 × OPM(부문 미분리)
[identity]</t>
      </text>
    </comment>
    <comment ref="AL40" authorId="0" shapeId="0">
      <text>
        <t>추정: = 매출액 × OPM(부문 미분리)
[identity]</t>
      </text>
    </comment>
    <comment ref="AM40" authorId="0" shapeId="0">
      <text>
        <t>추정: = 매출액 × OPM(부문 미분리)
[identity]</t>
      </text>
    </comment>
    <comment ref="AN40" authorId="0" shapeId="0">
      <text>
        <t>추정: = 매출액 × OPM(부문 미분리)
[identity]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한국선재(025550) 실적 모델 — ARGUS 한국조선</t>
        </is>
      </c>
    </row>
    <row r="2">
      <c r="A2" t="inlineStr">
        <is>
          <t>기준 분기 2026Q2 · 마지막 실적 2026Q2 · 생성 2026-10-13</t>
        </is>
      </c>
    </row>
    <row r="3">
      <c r="A3" s="1" t="inlineStr">
        <is>
          <t>모든 수치는 모델 산출값(DART 공개 재무제표 + 우리 추정)이다 — 목표주가·투자 추천 아님. 참고용 · 투자조언 아님.</t>
        </is>
      </c>
    </row>
    <row r="4">
      <c r="A4" t="inlineStr"/>
    </row>
    <row r="5">
      <c r="A5" s="1" t="inlineStr">
        <is>
          <t>시트</t>
        </is>
      </c>
    </row>
    <row r="6">
      <c r="A6" t="inlineStr">
        <is>
          <t>변수      가정 시계열. 환율 8행(ECB via frankfurter — L2 fx.json; 추정 분기 = 노란 가정), 추정 드라이버(노란 셀 = 모델값에서 역산한 가정, 바꾸면 재계산; 연녹 셀 = 3절 스칼라 참조 수식), 3절 스칼라 가정(세율·판관비율·지배주주비중·이자율·종가·PER 밴드·COE·외화 순노출·헤지비율)</t>
        </is>
      </c>
    </row>
    <row r="7">
      <c r="A7" t="inlineStr">
        <is>
          <t>BS연결/BS별도  FnGuide 계정명 × 기간 값 덤프(백만원). 행1 분기라벨, 행4 YYYY.MM / YYYY.12A. 이름정의 BS연결H·BS연결(계정명 C열부터)</t>
        </is>
      </c>
    </row>
    <row r="8">
      <c r="A8" t="inlineStr">
        <is>
          <t>subQ      분기 서브모델(억원 = 백만원/100). 확정 행: =IFERROR(VLOOKUP($D행,BS연결,MATCH(E$1,BS연결H,0),0)/100,"")  추정 행: 변수 시트 가정 셀 참조 수식. 외환손익·파생상품손익은 BS 계정 합·차, 기타금융손익은 잔차, OPM·EPS·BPS·PER·PBR 은 파생 수식</t>
        </is>
      </c>
    </row>
    <row r="9">
      <c r="A9" t="inlineStr">
        <is>
          <t>SLS       선표(조선사만, sls json 있을 때): 요약 행(sls 저장값) + 계약별 스케줄(백만$) × (헤지비율 × 헤지환율 + (1−헤지비율) × 건조시점 환율[변수 원/달러(평균)]) → 원화 수식 블록 → 합계 행이 subQ 매출조선에 연결</t>
        </is>
      </c>
    </row>
    <row r="10">
      <c r="A10" t="inlineStr">
        <is>
          <t>시나리오   신규수주 보수/기준/낙관(forecast_panel 패널, 모델에 scenarios 가 있을 때만): 매출액·영업이익 = subQ 기준값 ± (시나리오 신규 − base 신규) × OPM. base 만 subQ 행에 포함, 나머지는 합산 안 함</t>
        </is>
      </c>
    </row>
    <row r="11">
      <c r="A11" t="inlineStr">
        <is>
          <t>분기/연간예상  subQ 를 이름(A열 key)으로 VLOOKUP 한 보고서 표(억원)</t>
        </is>
      </c>
    </row>
    <row r="12">
      <c r="A12" t="inlineStr">
        <is>
          <t>TP        PER 밴드 × 12M fwd EPS, PBR = ROE/COE × BPS — 모델 산출값 구간, 목표주가·추천 아님</t>
        </is>
      </c>
    </row>
    <row r="13">
      <c r="A13" t="inlineStr">
        <is>
          <t>외화      환율 QoQ, 외화 순노출 × Δ기말환율 → 환관련손익 추정</t>
        </is>
      </c>
    </row>
    <row r="14">
      <c r="A14" t="inlineStr"/>
    </row>
    <row r="15">
      <c r="A15" s="1" t="inlineStr">
        <is>
          <t>규약</t>
        </is>
      </c>
    </row>
    <row r="16">
      <c r="A16" t="inlineStr">
        <is>
          <t>· 데이터는 E열부터, 4분기 뒤 연간 1열(라벨은 숫자 연도). 실적/추정 경계 = 굵은 세로선, 추정 열 = 연노랑, 연간 열 = 회색, 가정 입력 = 노란 셀, 스칼라 참조 수식 = 연녹 셀(숫자로 덮어쓰면 그 분기만 바뀜)</t>
        </is>
      </c>
    </row>
    <row r="17">
      <c r="A17" t="inlineStr">
        <is>
          <t>· 숫자 서식 #,##0(억원) · EPS/BPS 원 · 주식수 백만주 · 환율 원 · 선표 백만$/백만원</t>
        </is>
      </c>
    </row>
    <row r="18">
      <c r="A18" t="inlineStr">
        <is>
          <t>· 추정 셀 메모 = 모델 json 의 basis. 변수 시트 노란 셀 메모 = 역산 방법. 출처 없는 숫자는 없다 — 가정이면 가정이라고 적었다</t>
        </is>
      </c>
    </row>
    <row r="19">
      <c r="A19" t="inlineStr">
        <is>
          <t>· BS 시트에 값이 없거나 모델값과 다른(비용 부호 반전 등) 기간의 확정 셀은 모델값 직접 + 메모. fin(L1) 수집 후 재생성</t>
        </is>
      </c>
    </row>
    <row r="20">
      <c r="A20" t="inlineStr"/>
    </row>
    <row r="21">
      <c r="A21" s="1" t="inlineStr">
        <is>
          <t>가정 요약 — 변수 시트 3절 노란 셀을 바꾸면 subQ·분기·연간예상·TP·시나리오가 재계산된다(연결된 항목만)</t>
        </is>
      </c>
    </row>
    <row r="22">
      <c r="A22" t="inlineStr">
        <is>
          <t>· 세율 20.95% — 법인세 = MAX(세전,0) × 세율, 추정 전 분기 연결(Σ법인세/Σmax(세전,0) 역산, 재현 오차 ≤ 0.05억). 모델 가정 20.94% · 근거: 최근 12분기 유효세율 214.5% 가 5~27% 밖 → 클립 대신 최근 8분기 중 세전 &gt; 0 인 3분기(2025Q2~2026Q2)의 법인세/세전 중위 20.9%</t>
        </is>
      </c>
    </row>
    <row r="23">
      <c r="A23" t="inlineStr">
        <is>
          <t>· 판관비율 7.95% — 판관비 = 매출액 × 판관비율, 추정 전 분기 연결</t>
        </is>
      </c>
    </row>
    <row r="24">
      <c r="A24" t="inlineStr">
        <is>
          <t>· 지배주주 비중 40.0% — 지배주주순이익 = 당기순이익 × 비중, 추정 전 분기 연결</t>
        </is>
      </c>
    </row>
    <row r="25">
      <c r="A25" t="inlineStr">
        <is>
          <t>· 이자율 자산 1.42% / 부채 2.68% — 이자손익 = (전분기 이자발생자산 × 자산이자율 − 전분기 총차입금 × 부채이자율)/4, 최소자승 역산(모델 assumptions [0.0142, 0.0268] 는 4자리 반올림이라 그대로 쓰면 ±1억 어긋남) · 출처: {"asset": "주석 이자수익 ÷ 평균 이자발생자산(2025Q2~2026Q2)", "debt": "주석 이자비용 ÷ 평균 총차입금(2025Q2~2026Q2)"}</t>
        </is>
      </c>
    </row>
    <row r="26">
      <c r="A26" t="inlineStr">
        <is>
          <t>· 환율 — 변수 1절 8행. 실적 분기 = ECB 분기 평균/기말(fx.json), 추정 분기(노란) = 가정 — 마지막 ECB 관측치를 2028Q4 까지 평평하게 둔다. 선도환율·컨센서스 아님.. 원/달러(평균) → SLS 건조시점 환율 → 매출조선(조선사, 선표 연결 시) ; 원/달러(기말) → 환관련손익 행 없음(외화 순노출 미공시(face) → 0 + 표기)</t>
        </is>
      </c>
    </row>
    <row r="27">
      <c r="A27" t="inlineStr">
        <is>
          <t>· 연결된 가정: 세율, 판관비율, 지배주주비중, 이자율 · 연결 안 된 가정(모델값·분기별 역산 그대로): 없음</t>
        </is>
      </c>
    </row>
    <row r="28">
      <c r="A28" t="inlineStr">
        <is>
          <t>· 밸류에이션 — PER 밴드 16.5/18.9/30.0배(hist_quarterly(분기 평균가 ÷ TTM EPS, 8분기, 25/50/75 백분위) · 캡 5~30배 적용(원값 16.5/18.9/269.8)) · COE 9.0% · 12M fwd EPS 가중 0.5(가정). 모델 산출값 구간이며 추천이 아니다</t>
        </is>
      </c>
    </row>
    <row r="29">
      <c r="A29" t="inlineStr"/>
    </row>
    <row r="30">
      <c r="A30" t="inlineStr">
        <is>
          <t>출처: DART 정기보고서(연결/별도 재무제표·주석), FnGuide 계정명 규약, ECB 환율(api.frankfurter.app), 종가 네이버 정규장(aikstockdata 금융위 확정종가 대조·출처표기·비영리), 척당 계약 공시(contracts.json), forecast_panel(신규수주 패널)</t>
        </is>
      </c>
    </row>
    <row r="31">
      <c r="A31" t="inlineStr">
        <is>
          <t>재현: cd argus/kship/tools &amp;&amp; python3 kship_model_xlsx.py --model assets/models/025550.json --verify   (모델 json 부터: kship_model.py --build --all --xlsx · xlsx 58사 일괄: kship_model_xlsx.py --all --verify)</t>
        </is>
      </c>
    </row>
    <row r="32">
      <c r="A32" t="inlineStr">
        <is>
          <t>검증(--verify): 추정 전 분기·실적 수식 셀을 자체 계산기로 재계산해 모델값과 대조(억원 ±0.05), 세율·OPM·환율 forward·이자율·신규수주 셀을 바꿔 종속 셀이 기대만큼 움직이는지 확인. Excel 실개봉은 미확인(LibreOffice/Excel 없음)</t>
        </is>
      </c>
    </row>
    <row r="33">
      <c r="A33" t="inlineStr">
        <is>
          <t>한계: 모델 quality.warnings — 금융손익 실적→추정 단절: 최근 4분기 실적 -7/-32/-123/-16(중위 -24억) → 추정 2026Q3 -10억(차 +14억, +57%) — 추정은 이자손익 + 기타금융 중위, 외환·파생 평가손익 0 가정(환율 효과는 환관련손익 행). 값은 바꾸지 않음 — 지배NI·EPS 해석 시 참고</t>
        </is>
      </c>
    </row>
    <row r="34">
      <c r="A34" t="inlineStr">
        <is>
          <t>백테스트: {"freeze": "2025Q2", "horizon": 4, "revenue_wape_pct": 16.4, "op_wape_pct": 90.2, "n": 4, "note": "단일 회사 4분기 — 통계 아님", "driver_at_freeze": "trend_seasonal", "selection_oos_at_freeze": {"wape_link": null, "wape_trend": null, "adopted": false, "decision": "rejected", "note": "유의성 조건 미달 → OOS 비교 전 기각"}, "frozen_inputs": "fin(연결/별도)·고객 조선사 모델·지주 자회사 모델은 2025Q2 까지의 분기만; 선표는 체결일 ≤ 2025Q2 말일 계약(원장 최신 금액·코호트 등급, 환산 없음); 잔고는 yards_cache 2025Q2; 시세·환율 forward·prices·forecast_panel 신규수주 미사용. 고객 가중치(suppliers.json 언급 비중)와 합병 체인링크는 현재 지식; 고객 연동 채택은 동결 모델 안에서도 자기 la−4분기 OOS 규칙(selection_oos_at_freeze)", "detail": [{"q": "2025Q3", "rev_pred": 501.41, "rev_act": 560.09, "op_pred": 10.02, "op_act": 27.88}, {"q": "2025Q4", "rev_pred": 542.95, "rev_act": 539.23, "op_pred": 10.85, "op_act": -0.36}, {"q": "2026Q1", "rev_pred": 503.83, "rev_act": 661.2, "op_pred": 10.07, "op_act": 81.6}, {"q": "2026Q2", "rev_pred": 529.64, "rev_act": 717.21, "op_pred": 10.59, "op_act": 92.26}]}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5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C1" s="2" t="inlineStr">
        <is>
          <t>이름: 변수H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A2" s="2" t="inlineStr">
        <is>
          <t>가정 시계열 — 노란 셀은 추정 가정(모델값에서 역산), 연녹 셀은 3절 스칼라 참조 수식. 바꾸면 subQ·분기·연간예상·TP·시나리오가 재계산됩니다.</t>
        </is>
      </c>
      <c r="AB2" s="5" t="n"/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B5" s="1" t="inlineStr">
        <is>
          <t>1. FX</t>
        </is>
      </c>
      <c r="C5" s="2" t="inlineStr">
        <is>
          <t>이름: 환율</t>
        </is>
      </c>
      <c r="F5" s="9" t="n"/>
      <c r="K5" s="9" t="n"/>
      <c r="P5" s="9" t="n"/>
      <c r="U5" s="9" t="n"/>
      <c r="Z5" s="9" t="n"/>
      <c r="AB5" s="5" t="n"/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s="12" t="inlineStr">
        <is>
          <t>USDKRW_avg</t>
        </is>
      </c>
      <c r="C6" t="inlineStr">
        <is>
          <t xml:space="preserve"> 원/달러(평균)</t>
        </is>
      </c>
      <c r="E6" s="13" t="n">
        <v>1183.5</v>
      </c>
      <c r="F6" s="14" t="n">
        <v>1145.51</v>
      </c>
      <c r="G6" s="13" t="n">
        <v>1205.78</v>
      </c>
      <c r="H6" s="13" t="n">
        <v>1262.09</v>
      </c>
      <c r="I6" s="13" t="n">
        <v>1341.93</v>
      </c>
      <c r="J6" s="13" t="n">
        <v>1360.12</v>
      </c>
      <c r="K6" s="14" t="n">
        <v>1292.98</v>
      </c>
      <c r="L6" s="13" t="n">
        <v>1276.95</v>
      </c>
      <c r="M6" s="13" t="n">
        <v>1315.69</v>
      </c>
      <c r="N6" s="13" t="n">
        <v>1313.62</v>
      </c>
      <c r="O6" s="13" t="n">
        <v>1322.01</v>
      </c>
      <c r="P6" s="14" t="n">
        <v>1306.85</v>
      </c>
      <c r="Q6" s="13" t="n">
        <v>1330.14</v>
      </c>
      <c r="R6" s="13" t="n">
        <v>1371.28</v>
      </c>
      <c r="S6" s="13" t="n">
        <v>1356.22</v>
      </c>
      <c r="T6" s="13" t="n">
        <v>1396.3</v>
      </c>
      <c r="U6" s="14" t="n">
        <v>1363.53</v>
      </c>
      <c r="V6" s="13" t="n">
        <v>1452.28</v>
      </c>
      <c r="W6" s="13" t="n">
        <v>1398.52</v>
      </c>
      <c r="X6" s="13" t="n">
        <v>1386.95</v>
      </c>
      <c r="Y6" s="13" t="n">
        <v>1449.19</v>
      </c>
      <c r="Z6" s="14" t="n">
        <v>1421.52</v>
      </c>
      <c r="AA6" s="13" t="n">
        <v>1466.12</v>
      </c>
      <c r="AB6" s="15" t="n">
        <v>1501.75</v>
      </c>
      <c r="AC6" s="16" t="n">
        <v>1418.75</v>
      </c>
      <c r="AD6" s="16" t="n">
        <v>1343.63</v>
      </c>
      <c r="AE6" s="17" t="n">
        <v>1456.58</v>
      </c>
      <c r="AF6" s="16" t="n">
        <v>1333.09</v>
      </c>
      <c r="AG6" s="16" t="n">
        <v>1333.09</v>
      </c>
      <c r="AH6" s="16" t="n">
        <v>1333.09</v>
      </c>
      <c r="AI6" s="16" t="n">
        <v>1333.09</v>
      </c>
      <c r="AJ6" s="11" t="n"/>
      <c r="AK6" s="16" t="n">
        <v>1333.09</v>
      </c>
      <c r="AL6" s="16" t="n">
        <v>1333.09</v>
      </c>
      <c r="AM6" s="16" t="n">
        <v>1333.09</v>
      </c>
      <c r="AN6" s="16" t="n">
        <v>1333.09</v>
      </c>
      <c r="AO6" s="11" t="n"/>
    </row>
    <row r="7">
      <c r="A7" s="12" t="inlineStr">
        <is>
          <t>USDKRW_end</t>
        </is>
      </c>
      <c r="C7" t="inlineStr">
        <is>
          <t xml:space="preserve"> 원/달러(기말)</t>
        </is>
      </c>
      <c r="E7" s="13" t="n">
        <v>1188.75</v>
      </c>
      <c r="F7" s="14" t="n">
        <v>1188.75</v>
      </c>
      <c r="G7" s="13" t="n">
        <v>1213.74</v>
      </c>
      <c r="H7" s="13" t="n">
        <v>1301.24</v>
      </c>
      <c r="I7" s="13" t="n">
        <v>1436.9</v>
      </c>
      <c r="J7" s="13" t="n">
        <v>1260.16</v>
      </c>
      <c r="K7" s="14" t="n">
        <v>1260.16</v>
      </c>
      <c r="L7" s="13" t="n">
        <v>1305.99</v>
      </c>
      <c r="M7" s="13" t="n">
        <v>1321.44</v>
      </c>
      <c r="N7" s="13" t="n">
        <v>1345.35</v>
      </c>
      <c r="O7" s="13" t="n">
        <v>1297.43</v>
      </c>
      <c r="P7" s="14" t="n">
        <v>1297.43</v>
      </c>
      <c r="Q7" s="13" t="n">
        <v>1349.25</v>
      </c>
      <c r="R7" s="13" t="n">
        <v>1377.73</v>
      </c>
      <c r="S7" s="13" t="n">
        <v>1312.17</v>
      </c>
      <c r="T7" s="13" t="n">
        <v>1474.78</v>
      </c>
      <c r="U7" s="14" t="n">
        <v>1474.78</v>
      </c>
      <c r="V7" s="13" t="n">
        <v>1474.54</v>
      </c>
      <c r="W7" s="13" t="n">
        <v>1355.13</v>
      </c>
      <c r="X7" s="13" t="n">
        <v>1403.67</v>
      </c>
      <c r="Y7" s="13" t="n">
        <v>1444.2</v>
      </c>
      <c r="Z7" s="14" t="n">
        <v>1444.2</v>
      </c>
      <c r="AA7" s="13" t="n">
        <v>1524.8</v>
      </c>
      <c r="AB7" s="15" t="n">
        <v>1550.89</v>
      </c>
      <c r="AC7" s="16" t="n">
        <v>1355.4</v>
      </c>
      <c r="AD7" s="16" t="n">
        <v>1333.09</v>
      </c>
      <c r="AE7" s="17" t="n">
        <v>1333.09</v>
      </c>
      <c r="AF7" s="16" t="n">
        <v>1333.09</v>
      </c>
      <c r="AG7" s="16" t="n">
        <v>1333.09</v>
      </c>
      <c r="AH7" s="16" t="n">
        <v>1333.09</v>
      </c>
      <c r="AI7" s="16" t="n">
        <v>1333.09</v>
      </c>
      <c r="AJ7" s="11" t="n"/>
      <c r="AK7" s="16" t="n">
        <v>1333.09</v>
      </c>
      <c r="AL7" s="16" t="n">
        <v>1333.09</v>
      </c>
      <c r="AM7" s="16" t="n">
        <v>1333.09</v>
      </c>
      <c r="AN7" s="16" t="n">
        <v>1333.09</v>
      </c>
      <c r="AO7" s="11" t="n"/>
    </row>
    <row r="8">
      <c r="A8" s="12" t="inlineStr">
        <is>
          <t>JPY100KRW_avg</t>
        </is>
      </c>
      <c r="C8" t="inlineStr">
        <is>
          <t xml:space="preserve"> 원/100Y(평균)</t>
        </is>
      </c>
      <c r="E8" s="13" t="n">
        <v>1041.02</v>
      </c>
      <c r="F8" s="14" t="n">
        <v>1042.74</v>
      </c>
      <c r="G8" s="13" t="n">
        <v>1036.79</v>
      </c>
      <c r="H8" s="13" t="n">
        <v>972.23</v>
      </c>
      <c r="I8" s="13" t="n">
        <v>970.61</v>
      </c>
      <c r="J8" s="13" t="n">
        <v>961.03</v>
      </c>
      <c r="K8" s="14" t="n">
        <v>985.1</v>
      </c>
      <c r="L8" s="13" t="n">
        <v>964.89</v>
      </c>
      <c r="M8" s="13" t="n">
        <v>957.36</v>
      </c>
      <c r="N8" s="13" t="n">
        <v>909</v>
      </c>
      <c r="O8" s="13" t="n">
        <v>893.22</v>
      </c>
      <c r="P8" s="14" t="n">
        <v>931.11</v>
      </c>
      <c r="Q8" s="13" t="n">
        <v>896.29</v>
      </c>
      <c r="R8" s="13" t="n">
        <v>880.14</v>
      </c>
      <c r="S8" s="13" t="n">
        <v>909.35</v>
      </c>
      <c r="T8" s="13" t="n">
        <v>917.25</v>
      </c>
      <c r="U8" s="14" t="n">
        <v>900.92</v>
      </c>
      <c r="V8" s="13" t="n">
        <v>952.59</v>
      </c>
      <c r="W8" s="13" t="n">
        <v>967.92</v>
      </c>
      <c r="X8" s="13" t="n">
        <v>940.3200000000001</v>
      </c>
      <c r="Y8" s="13" t="n">
        <v>940.77</v>
      </c>
      <c r="Z8" s="14" t="n">
        <v>950.17</v>
      </c>
      <c r="AA8" s="13" t="n">
        <v>934.39</v>
      </c>
      <c r="AB8" s="15" t="n">
        <v>942.16</v>
      </c>
      <c r="AC8" s="16" t="n">
        <v>890.41</v>
      </c>
      <c r="AD8" s="16" t="n">
        <v>849.51</v>
      </c>
      <c r="AE8" s="17" t="n">
        <v>918.8099999999999</v>
      </c>
      <c r="AF8" s="16" t="n">
        <v>840.54</v>
      </c>
      <c r="AG8" s="16" t="n">
        <v>840.54</v>
      </c>
      <c r="AH8" s="16" t="n">
        <v>840.54</v>
      </c>
      <c r="AI8" s="16" t="n">
        <v>840.54</v>
      </c>
      <c r="AJ8" s="11" t="n"/>
      <c r="AK8" s="16" t="n">
        <v>840.54</v>
      </c>
      <c r="AL8" s="16" t="n">
        <v>840.54</v>
      </c>
      <c r="AM8" s="16" t="n">
        <v>840.54</v>
      </c>
      <c r="AN8" s="16" t="n">
        <v>840.54</v>
      </c>
      <c r="AO8" s="11" t="n"/>
    </row>
    <row r="9">
      <c r="A9" s="12" t="inlineStr">
        <is>
          <t>JPY100KRW_end</t>
        </is>
      </c>
      <c r="C9" t="inlineStr">
        <is>
          <t xml:space="preserve"> 원/100Y(기말)</t>
        </is>
      </c>
      <c r="E9" s="13" t="n">
        <v>1032.62</v>
      </c>
      <c r="F9" s="14" t="n">
        <v>1032.62</v>
      </c>
      <c r="G9" s="13" t="n">
        <v>996.83</v>
      </c>
      <c r="H9" s="13" t="n">
        <v>954.9</v>
      </c>
      <c r="I9" s="13" t="n">
        <v>993.29</v>
      </c>
      <c r="J9" s="13" t="n">
        <v>955.54</v>
      </c>
      <c r="K9" s="14" t="n">
        <v>955.54</v>
      </c>
      <c r="L9" s="13" t="n">
        <v>980.62</v>
      </c>
      <c r="M9" s="13" t="n">
        <v>913.67</v>
      </c>
      <c r="N9" s="13" t="n">
        <v>901.47</v>
      </c>
      <c r="O9" s="13" t="n">
        <v>917.04</v>
      </c>
      <c r="P9" s="14" t="n">
        <v>917.04</v>
      </c>
      <c r="Q9" s="13" t="n">
        <v>892.42</v>
      </c>
      <c r="R9" s="13" t="n">
        <v>857.76</v>
      </c>
      <c r="S9" s="13" t="n">
        <v>919.21</v>
      </c>
      <c r="T9" s="13" t="n">
        <v>939.65</v>
      </c>
      <c r="U9" s="14" t="n">
        <v>939.65</v>
      </c>
      <c r="V9" s="13" t="n">
        <v>986.84</v>
      </c>
      <c r="W9" s="13" t="n">
        <v>938.85</v>
      </c>
      <c r="X9" s="13" t="n">
        <v>948.49</v>
      </c>
      <c r="Y9" s="13" t="n">
        <v>921.8099999999999</v>
      </c>
      <c r="Z9" s="14" t="n">
        <v>921.8099999999999</v>
      </c>
      <c r="AA9" s="13" t="n">
        <v>955.99</v>
      </c>
      <c r="AB9" s="15" t="n">
        <v>954.75</v>
      </c>
      <c r="AC9" s="16" t="n">
        <v>863.3099999999999</v>
      </c>
      <c r="AD9" s="16" t="n">
        <v>840.54</v>
      </c>
      <c r="AE9" s="17" t="n">
        <v>840.54</v>
      </c>
      <c r="AF9" s="16" t="n">
        <v>840.54</v>
      </c>
      <c r="AG9" s="16" t="n">
        <v>840.54</v>
      </c>
      <c r="AH9" s="16" t="n">
        <v>840.54</v>
      </c>
      <c r="AI9" s="16" t="n">
        <v>840.54</v>
      </c>
      <c r="AJ9" s="11" t="n"/>
      <c r="AK9" s="16" t="n">
        <v>840.54</v>
      </c>
      <c r="AL9" s="16" t="n">
        <v>840.54</v>
      </c>
      <c r="AM9" s="16" t="n">
        <v>840.54</v>
      </c>
      <c r="AN9" s="16" t="n">
        <v>840.54</v>
      </c>
      <c r="AO9" s="11" t="n"/>
    </row>
    <row r="10">
      <c r="A10" s="12" t="inlineStr">
        <is>
          <t>EURKRW_avg</t>
        </is>
      </c>
      <c r="C10" t="inlineStr">
        <is>
          <t xml:space="preserve"> W/Euro(평균)</t>
        </is>
      </c>
      <c r="E10" s="13" t="n">
        <v>1353.32</v>
      </c>
      <c r="F10" s="14" t="n">
        <v>1354.06</v>
      </c>
      <c r="G10" s="13" t="n">
        <v>1352.29</v>
      </c>
      <c r="H10" s="13" t="n">
        <v>1343.31</v>
      </c>
      <c r="I10" s="13" t="n">
        <v>1350.63</v>
      </c>
      <c r="J10" s="13" t="n">
        <v>1386.07</v>
      </c>
      <c r="K10" s="14" t="n">
        <v>1358.07</v>
      </c>
      <c r="L10" s="13" t="n">
        <v>1369.93</v>
      </c>
      <c r="M10" s="13" t="n">
        <v>1432.41</v>
      </c>
      <c r="N10" s="13" t="n">
        <v>1429.41</v>
      </c>
      <c r="O10" s="13" t="n">
        <v>1420.91</v>
      </c>
      <c r="P10" s="14" t="n">
        <v>1412.88</v>
      </c>
      <c r="Q10" s="13" t="n">
        <v>1444.21</v>
      </c>
      <c r="R10" s="13" t="n">
        <v>1476.42</v>
      </c>
      <c r="S10" s="13" t="n">
        <v>1489.3</v>
      </c>
      <c r="T10" s="13" t="n">
        <v>1490.78</v>
      </c>
      <c r="U10" s="14" t="n">
        <v>1475.4</v>
      </c>
      <c r="V10" s="13" t="n">
        <v>1528.33</v>
      </c>
      <c r="W10" s="13" t="n">
        <v>1585.13</v>
      </c>
      <c r="X10" s="13" t="n">
        <v>1620.04</v>
      </c>
      <c r="Y10" s="13" t="n">
        <v>1686.02</v>
      </c>
      <c r="Z10" s="14" t="n">
        <v>1605.45</v>
      </c>
      <c r="AA10" s="13" t="n">
        <v>1715.47</v>
      </c>
      <c r="AB10" s="15" t="n">
        <v>1746.09</v>
      </c>
      <c r="AC10" s="16" t="n">
        <v>1631.97</v>
      </c>
      <c r="AD10" s="16" t="n">
        <v>1507.34</v>
      </c>
      <c r="AE10" s="17" t="n">
        <v>1688.95</v>
      </c>
      <c r="AF10" s="16" t="n">
        <v>1490.54</v>
      </c>
      <c r="AG10" s="16" t="n">
        <v>1490.54</v>
      </c>
      <c r="AH10" s="16" t="n">
        <v>1490.54</v>
      </c>
      <c r="AI10" s="16" t="n">
        <v>1490.54</v>
      </c>
      <c r="AJ10" s="11" t="n"/>
      <c r="AK10" s="16" t="n">
        <v>1490.54</v>
      </c>
      <c r="AL10" s="16" t="n">
        <v>1490.54</v>
      </c>
      <c r="AM10" s="16" t="n">
        <v>1490.54</v>
      </c>
      <c r="AN10" s="16" t="n">
        <v>1490.54</v>
      </c>
      <c r="AO10" s="11" t="n"/>
    </row>
    <row r="11">
      <c r="A11" s="12" t="inlineStr">
        <is>
          <t>EURKRW_end</t>
        </is>
      </c>
      <c r="C11" t="inlineStr">
        <is>
          <t xml:space="preserve"> W/Euro(기말)</t>
        </is>
      </c>
      <c r="E11" s="13" t="n">
        <v>1346.38</v>
      </c>
      <c r="F11" s="14" t="n">
        <v>1346.38</v>
      </c>
      <c r="G11" s="13" t="n">
        <v>1347.37</v>
      </c>
      <c r="H11" s="13" t="n">
        <v>1351.6</v>
      </c>
      <c r="I11" s="13" t="n">
        <v>1400.62</v>
      </c>
      <c r="J11" s="13" t="n">
        <v>1344.08</v>
      </c>
      <c r="K11" s="14" t="n">
        <v>1344.08</v>
      </c>
      <c r="L11" s="13" t="n">
        <v>1420.26</v>
      </c>
      <c r="M11" s="13" t="n">
        <v>1435.88</v>
      </c>
      <c r="N11" s="13" t="n">
        <v>1425.26</v>
      </c>
      <c r="O11" s="13" t="n">
        <v>1433.66</v>
      </c>
      <c r="P11" s="14" t="n">
        <v>1433.66</v>
      </c>
      <c r="Q11" s="13" t="n">
        <v>1458.68</v>
      </c>
      <c r="R11" s="13" t="n">
        <v>1474.86</v>
      </c>
      <c r="S11" s="13" t="n">
        <v>1469.1</v>
      </c>
      <c r="T11" s="13" t="n">
        <v>1532.14</v>
      </c>
      <c r="U11" s="14" t="n">
        <v>1532.14</v>
      </c>
      <c r="V11" s="13" t="n">
        <v>1594.72</v>
      </c>
      <c r="W11" s="13" t="n">
        <v>1588.22</v>
      </c>
      <c r="X11" s="13" t="n">
        <v>1648.04</v>
      </c>
      <c r="Y11" s="13" t="n">
        <v>1696.94</v>
      </c>
      <c r="Z11" s="14" t="n">
        <v>1696.94</v>
      </c>
      <c r="AA11" s="13" t="n">
        <v>1753.21</v>
      </c>
      <c r="AB11" s="15" t="n">
        <v>1767.09</v>
      </c>
      <c r="AC11" s="16" t="n">
        <v>1539.06</v>
      </c>
      <c r="AD11" s="16" t="n">
        <v>1490.54</v>
      </c>
      <c r="AE11" s="17" t="n">
        <v>1490.54</v>
      </c>
      <c r="AF11" s="16" t="n">
        <v>1490.54</v>
      </c>
      <c r="AG11" s="16" t="n">
        <v>1490.54</v>
      </c>
      <c r="AH11" s="16" t="n">
        <v>1490.54</v>
      </c>
      <c r="AI11" s="16" t="n">
        <v>1490.54</v>
      </c>
      <c r="AJ11" s="11" t="n"/>
      <c r="AK11" s="16" t="n">
        <v>1490.54</v>
      </c>
      <c r="AL11" s="16" t="n">
        <v>1490.54</v>
      </c>
      <c r="AM11" s="16" t="n">
        <v>1490.54</v>
      </c>
      <c r="AN11" s="16" t="n">
        <v>1490.54</v>
      </c>
      <c r="AO11" s="11" t="n"/>
    </row>
    <row r="12">
      <c r="A12" s="12" t="inlineStr">
        <is>
          <t>CNYKRW_avg</t>
        </is>
      </c>
      <c r="C12" t="inlineStr">
        <is>
          <t xml:space="preserve"> 원/중국원(평균)</t>
        </is>
      </c>
      <c r="E12" s="13" t="n">
        <v>185.14</v>
      </c>
      <c r="F12" s="14" t="n">
        <v>177.65</v>
      </c>
      <c r="G12" s="13" t="n">
        <v>189.93</v>
      </c>
      <c r="H12" s="13" t="n">
        <v>190.76</v>
      </c>
      <c r="I12" s="13" t="n">
        <v>195.79</v>
      </c>
      <c r="J12" s="13" t="n">
        <v>191.09</v>
      </c>
      <c r="K12" s="14" t="n">
        <v>191.93</v>
      </c>
      <c r="L12" s="13" t="n">
        <v>186.59</v>
      </c>
      <c r="M12" s="13" t="n">
        <v>187.45</v>
      </c>
      <c r="N12" s="13" t="n">
        <v>181.28</v>
      </c>
      <c r="O12" s="13" t="n">
        <v>182.86</v>
      </c>
      <c r="P12" s="14" t="n">
        <v>184.52</v>
      </c>
      <c r="Q12" s="13" t="n">
        <v>185.04</v>
      </c>
      <c r="R12" s="13" t="n">
        <v>189.35</v>
      </c>
      <c r="S12" s="13" t="n">
        <v>189.24</v>
      </c>
      <c r="T12" s="13" t="n">
        <v>194.24</v>
      </c>
      <c r="U12" s="14" t="n">
        <v>189.49</v>
      </c>
      <c r="V12" s="13" t="n">
        <v>199.63</v>
      </c>
      <c r="W12" s="13" t="n">
        <v>193.41</v>
      </c>
      <c r="X12" s="13" t="n">
        <v>193.79</v>
      </c>
      <c r="Y12" s="13" t="n">
        <v>204.38</v>
      </c>
      <c r="Z12" s="14" t="n">
        <v>197.8</v>
      </c>
      <c r="AA12" s="13" t="n">
        <v>211.75</v>
      </c>
      <c r="AB12" s="15" t="n">
        <v>220.8</v>
      </c>
      <c r="AC12" s="16" t="n">
        <v>210.43</v>
      </c>
      <c r="AD12" s="16" t="n">
        <v>200.5</v>
      </c>
      <c r="AE12" s="17" t="n">
        <v>213.68</v>
      </c>
      <c r="AF12" s="16" t="n">
        <v>199.18</v>
      </c>
      <c r="AG12" s="16" t="n">
        <v>199.18</v>
      </c>
      <c r="AH12" s="16" t="n">
        <v>199.18</v>
      </c>
      <c r="AI12" s="16" t="n">
        <v>199.18</v>
      </c>
      <c r="AJ12" s="11" t="n"/>
      <c r="AK12" s="16" t="n">
        <v>199.18</v>
      </c>
      <c r="AL12" s="16" t="n">
        <v>199.18</v>
      </c>
      <c r="AM12" s="16" t="n">
        <v>199.18</v>
      </c>
      <c r="AN12" s="16" t="n">
        <v>199.18</v>
      </c>
      <c r="AO12" s="11" t="n"/>
    </row>
    <row r="13">
      <c r="A13" s="12" t="inlineStr">
        <is>
          <t>CNYKRW_end</t>
        </is>
      </c>
      <c r="C13" t="inlineStr">
        <is>
          <t xml:space="preserve"> 원/중국원(기말)</t>
        </is>
      </c>
      <c r="E13" s="13" t="n">
        <v>187.13</v>
      </c>
      <c r="F13" s="14" t="n">
        <v>187.13</v>
      </c>
      <c r="G13" s="13" t="n">
        <v>191.38</v>
      </c>
      <c r="H13" s="13" t="n">
        <v>194.13</v>
      </c>
      <c r="I13" s="13" t="n">
        <v>201.92</v>
      </c>
      <c r="J13" s="13" t="n">
        <v>182.67</v>
      </c>
      <c r="K13" s="14" t="n">
        <v>182.67</v>
      </c>
      <c r="L13" s="13" t="n">
        <v>189.97</v>
      </c>
      <c r="M13" s="13" t="n">
        <v>181.8</v>
      </c>
      <c r="N13" s="13" t="n">
        <v>184.26</v>
      </c>
      <c r="O13" s="13" t="n">
        <v>182.61</v>
      </c>
      <c r="P13" s="14" t="n">
        <v>182.61</v>
      </c>
      <c r="Q13" s="13" t="n">
        <v>186.66</v>
      </c>
      <c r="R13" s="13" t="n">
        <v>189.7</v>
      </c>
      <c r="S13" s="13" t="n">
        <v>187.12</v>
      </c>
      <c r="T13" s="13" t="n">
        <v>202.04</v>
      </c>
      <c r="U13" s="14" t="n">
        <v>202.04</v>
      </c>
      <c r="V13" s="13" t="n">
        <v>203.3</v>
      </c>
      <c r="W13" s="13" t="n">
        <v>189.14</v>
      </c>
      <c r="X13" s="13" t="n">
        <v>197.16</v>
      </c>
      <c r="Y13" s="13" t="n">
        <v>206.28</v>
      </c>
      <c r="Z13" s="14" t="n">
        <v>206.28</v>
      </c>
      <c r="AA13" s="13" t="n">
        <v>220.97</v>
      </c>
      <c r="AB13" s="15" t="n">
        <v>228.56</v>
      </c>
      <c r="AC13" s="16" t="n">
        <v>202.16</v>
      </c>
      <c r="AD13" s="16" t="n">
        <v>199.18</v>
      </c>
      <c r="AE13" s="17" t="n">
        <v>199.18</v>
      </c>
      <c r="AF13" s="16" t="n">
        <v>199.18</v>
      </c>
      <c r="AG13" s="16" t="n">
        <v>199.18</v>
      </c>
      <c r="AH13" s="16" t="n">
        <v>199.18</v>
      </c>
      <c r="AI13" s="16" t="n">
        <v>199.18</v>
      </c>
      <c r="AJ13" s="11" t="n"/>
      <c r="AK13" s="16" t="n">
        <v>199.18</v>
      </c>
      <c r="AL13" s="16" t="n">
        <v>199.18</v>
      </c>
      <c r="AM13" s="16" t="n">
        <v>199.18</v>
      </c>
      <c r="AN13" s="16" t="n">
        <v>199.18</v>
      </c>
      <c r="AO13" s="11" t="n"/>
    </row>
    <row r="14">
      <c r="B14" s="1" t="inlineStr">
        <is>
          <t>1b. 종가</t>
        </is>
      </c>
      <c r="F14" s="9" t="n"/>
      <c r="K14" s="9" t="n"/>
      <c r="P14" s="9" t="n"/>
      <c r="U14" s="9" t="n"/>
      <c r="Z14" s="9" t="n"/>
      <c r="AB14" s="5" t="n"/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s="12" t="inlineStr">
        <is>
          <t>price_close_end</t>
        </is>
      </c>
      <c r="C15" t="inlineStr">
        <is>
          <t>종가(기말)</t>
        </is>
      </c>
      <c r="E15" s="18" t="n">
        <v>5250</v>
      </c>
      <c r="F15" s="9" t="n"/>
      <c r="G15" s="18" t="n">
        <v>7080</v>
      </c>
      <c r="H15" s="18" t="n">
        <v>4255</v>
      </c>
      <c r="I15" s="18" t="n">
        <v>3700</v>
      </c>
      <c r="J15" s="18" t="n">
        <v>4010</v>
      </c>
      <c r="K15" s="9" t="n"/>
      <c r="L15" s="18" t="n">
        <v>4050</v>
      </c>
      <c r="M15" s="18" t="n">
        <v>4340</v>
      </c>
      <c r="N15" s="18" t="n">
        <v>4010</v>
      </c>
      <c r="O15" s="18" t="n">
        <v>3820</v>
      </c>
      <c r="P15" s="9" t="n"/>
      <c r="Q15" s="18" t="n">
        <v>3590</v>
      </c>
      <c r="R15" s="18" t="n">
        <v>3495</v>
      </c>
      <c r="S15" s="18" t="n">
        <v>2980</v>
      </c>
      <c r="T15" s="18" t="n">
        <v>4010</v>
      </c>
      <c r="U15" s="9" t="n"/>
      <c r="V15" s="18" t="n">
        <v>3130</v>
      </c>
      <c r="W15" s="18" t="n">
        <v>3540</v>
      </c>
      <c r="X15" s="18" t="n">
        <v>4015</v>
      </c>
      <c r="Y15" s="18" t="n">
        <v>3380</v>
      </c>
      <c r="Z15" s="9" t="n"/>
      <c r="AA15" s="18" t="n">
        <v>3120</v>
      </c>
      <c r="AB15" s="19" t="n">
        <v>2225</v>
      </c>
      <c r="AC15" s="20" t="n">
        <v>2320</v>
      </c>
      <c r="AD15" s="20" t="n">
        <v>2200</v>
      </c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s="12" t="inlineStr">
        <is>
          <t>price_high</t>
        </is>
      </c>
      <c r="C16" t="inlineStr">
        <is>
          <t>종가(최고)</t>
        </is>
      </c>
      <c r="E16" s="18" t="n">
        <v>11150</v>
      </c>
      <c r="F16" s="9" t="n"/>
      <c r="G16" s="18" t="n">
        <v>8400</v>
      </c>
      <c r="H16" s="18" t="n">
        <v>7270</v>
      </c>
      <c r="I16" s="18" t="n">
        <v>5260</v>
      </c>
      <c r="J16" s="18" t="n">
        <v>5700</v>
      </c>
      <c r="K16" s="9" t="n"/>
      <c r="L16" s="18" t="n">
        <v>4690</v>
      </c>
      <c r="M16" s="18" t="n">
        <v>4945</v>
      </c>
      <c r="N16" s="18" t="n">
        <v>4420</v>
      </c>
      <c r="O16" s="18" t="n">
        <v>4300</v>
      </c>
      <c r="P16" s="9" t="n"/>
      <c r="Q16" s="18" t="n">
        <v>3835</v>
      </c>
      <c r="R16" s="18" t="n">
        <v>4115</v>
      </c>
      <c r="S16" s="18" t="n">
        <v>3520</v>
      </c>
      <c r="T16" s="18" t="n">
        <v>5220</v>
      </c>
      <c r="U16" s="9" t="n"/>
      <c r="V16" s="18" t="n">
        <v>5020</v>
      </c>
      <c r="W16" s="18" t="n">
        <v>6150</v>
      </c>
      <c r="X16" s="18" t="n">
        <v>5050</v>
      </c>
      <c r="Y16" s="18" t="n">
        <v>4380</v>
      </c>
      <c r="Z16" s="9" t="n"/>
      <c r="AA16" s="18" t="n">
        <v>3645</v>
      </c>
      <c r="AB16" s="19" t="n">
        <v>4855</v>
      </c>
      <c r="AC16" s="20" t="n">
        <v>2870</v>
      </c>
      <c r="AD16" s="20" t="n">
        <v>2410</v>
      </c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s="12" t="inlineStr">
        <is>
          <t>price_low</t>
        </is>
      </c>
      <c r="C17" t="inlineStr">
        <is>
          <t>종가(최저)</t>
        </is>
      </c>
      <c r="E17" s="18" t="n">
        <v>3990</v>
      </c>
      <c r="F17" s="9" t="n"/>
      <c r="G17" s="18" t="n">
        <v>3680</v>
      </c>
      <c r="H17" s="18" t="n">
        <v>3760</v>
      </c>
      <c r="I17" s="18" t="n">
        <v>3550</v>
      </c>
      <c r="J17" s="18" t="n">
        <v>3470</v>
      </c>
      <c r="K17" s="9" t="n"/>
      <c r="L17" s="18" t="n">
        <v>3755</v>
      </c>
      <c r="M17" s="18" t="n">
        <v>3995</v>
      </c>
      <c r="N17" s="18" t="n">
        <v>3545</v>
      </c>
      <c r="O17" s="18" t="n">
        <v>3750</v>
      </c>
      <c r="P17" s="9" t="n"/>
      <c r="Q17" s="18" t="n">
        <v>3345</v>
      </c>
      <c r="R17" s="18" t="n">
        <v>3420</v>
      </c>
      <c r="S17" s="18" t="n">
        <v>2720</v>
      </c>
      <c r="T17" s="18" t="n">
        <v>2740</v>
      </c>
      <c r="U17" s="9" t="n"/>
      <c r="V17" s="18" t="n">
        <v>3130</v>
      </c>
      <c r="W17" s="18" t="n">
        <v>3140</v>
      </c>
      <c r="X17" s="18" t="n">
        <v>3110</v>
      </c>
      <c r="Y17" s="18" t="n">
        <v>3220</v>
      </c>
      <c r="Z17" s="9" t="n"/>
      <c r="AA17" s="18" t="n">
        <v>2865</v>
      </c>
      <c r="AB17" s="19" t="n">
        <v>2015</v>
      </c>
      <c r="AC17" s="20" t="n">
        <v>1801</v>
      </c>
      <c r="AD17" s="20" t="n">
        <v>2150</v>
      </c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s="12" t="inlineStr">
        <is>
          <t>price_avg</t>
        </is>
      </c>
      <c r="C18" t="inlineStr">
        <is>
          <t>종가(평균)</t>
        </is>
      </c>
      <c r="E18" s="18" t="n">
        <v>6188.4</v>
      </c>
      <c r="F18" s="9" t="n"/>
      <c r="G18" s="18" t="n">
        <v>5326.4</v>
      </c>
      <c r="H18" s="18" t="n">
        <v>5585.7</v>
      </c>
      <c r="I18" s="18" t="n">
        <v>4452.3</v>
      </c>
      <c r="J18" s="18" t="n">
        <v>4333.3</v>
      </c>
      <c r="K18" s="9" t="n"/>
      <c r="L18" s="18" t="n">
        <v>4184.4</v>
      </c>
      <c r="M18" s="18" t="n">
        <v>4282.6</v>
      </c>
      <c r="N18" s="18" t="n">
        <v>4059.5</v>
      </c>
      <c r="O18" s="18" t="n">
        <v>3940.5</v>
      </c>
      <c r="P18" s="9" t="n"/>
      <c r="Q18" s="18" t="n">
        <v>3647.5</v>
      </c>
      <c r="R18" s="18" t="n">
        <v>3581</v>
      </c>
      <c r="S18" s="18" t="n">
        <v>3135.2</v>
      </c>
      <c r="T18" s="18" t="n">
        <v>3178</v>
      </c>
      <c r="U18" s="9" t="n"/>
      <c r="V18" s="18" t="n">
        <v>3817.8</v>
      </c>
      <c r="W18" s="18" t="n">
        <v>3917.4</v>
      </c>
      <c r="X18" s="18" t="n">
        <v>3593</v>
      </c>
      <c r="Y18" s="18" t="n">
        <v>3669.1</v>
      </c>
      <c r="Z18" s="9" t="n"/>
      <c r="AA18" s="18" t="n">
        <v>3322.5</v>
      </c>
      <c r="AB18" s="19" t="n">
        <v>3268.5</v>
      </c>
      <c r="AC18" s="20" t="n">
        <v>2177.3</v>
      </c>
      <c r="AD18" s="20" t="n">
        <v>2314.3</v>
      </c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F19" s="9" t="n"/>
      <c r="K19" s="9" t="n"/>
      <c r="P19" s="9" t="n"/>
      <c r="U19" s="9" t="n"/>
      <c r="Z19" s="9" t="n"/>
      <c r="AB19" s="5" t="n"/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B20" s="1" t="inlineStr">
        <is>
          <t>2. 추정 드라이버</t>
        </is>
      </c>
      <c r="C20" s="2" t="inlineStr">
        <is>
          <t>실적 열 = subQ 실현값(수식), 추정 열 = 가정(노란 = 모델값 역산, 연녹 = 3절 스칼라 참조)</t>
        </is>
      </c>
      <c r="F20" s="9" t="n"/>
      <c r="K20" s="9" t="n"/>
      <c r="P20" s="9" t="n"/>
      <c r="U20" s="9" t="n"/>
      <c r="Z20" s="9" t="n"/>
      <c r="AB20" s="5" t="n"/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s="12" t="inlineStr">
        <is>
          <t>drv:매출액</t>
        </is>
      </c>
      <c r="B21" s="2" t="inlineStr">
        <is>
          <t>yoy</t>
        </is>
      </c>
      <c r="C21" t="inlineStr">
        <is>
          <t>매출액 YoY</t>
        </is>
      </c>
      <c r="E21" s="21" t="n"/>
      <c r="F21" s="22" t="n"/>
      <c r="G21" s="21" t="n"/>
      <c r="H21" s="21" t="n"/>
      <c r="I21" s="21" t="n"/>
      <c r="J21" s="21">
        <f>IFERROR(subQ!J5/subQ!E5-1,"")</f>
        <v/>
      </c>
      <c r="K21" s="22" t="n"/>
      <c r="L21" s="21">
        <f>IFERROR(subQ!L5/subQ!G5-1,"")</f>
        <v/>
      </c>
      <c r="M21" s="21">
        <f>IFERROR(subQ!M5/subQ!H5-1,"")</f>
        <v/>
      </c>
      <c r="N21" s="21">
        <f>IFERROR(subQ!N5/subQ!I5-1,"")</f>
        <v/>
      </c>
      <c r="O21" s="21">
        <f>IFERROR(subQ!O5/subQ!J5-1,"")</f>
        <v/>
      </c>
      <c r="P21" s="22" t="n"/>
      <c r="Q21" s="21">
        <f>IFERROR(subQ!Q5/subQ!L5-1,"")</f>
        <v/>
      </c>
      <c r="R21" s="21">
        <f>IFERROR(subQ!R5/subQ!M5-1,"")</f>
        <v/>
      </c>
      <c r="S21" s="21">
        <f>IFERROR(subQ!S5/subQ!N5-1,"")</f>
        <v/>
      </c>
      <c r="T21" s="21">
        <f>IFERROR(subQ!T5/subQ!O5-1,"")</f>
        <v/>
      </c>
      <c r="U21" s="22" t="n"/>
      <c r="V21" s="21">
        <f>IFERROR(subQ!V5/subQ!Q5-1,"")</f>
        <v/>
      </c>
      <c r="W21" s="21">
        <f>IFERROR(subQ!W5/subQ!R5-1,"")</f>
        <v/>
      </c>
      <c r="X21" s="21">
        <f>IFERROR(subQ!X5/subQ!S5-1,"")</f>
        <v/>
      </c>
      <c r="Y21" s="21">
        <f>IFERROR(subQ!Y5/subQ!T5-1,"")</f>
        <v/>
      </c>
      <c r="Z21" s="22" t="n"/>
      <c r="AA21" s="21">
        <f>IFERROR(subQ!AA5/subQ!V5-1,"")</f>
        <v/>
      </c>
      <c r="AB21" s="23">
        <f>IFERROR(subQ!AB5/subQ!W5-1,"")</f>
        <v/>
      </c>
      <c r="AC21" s="24" t="n">
        <v>0.492327593</v>
      </c>
      <c r="AD21" s="24" t="n">
        <v>0.61441075</v>
      </c>
      <c r="AE21" s="25" t="n"/>
      <c r="AF21" s="24" t="n">
        <v>0.333215567</v>
      </c>
      <c r="AG21" s="24" t="n">
        <v>0.260688623</v>
      </c>
      <c r="AH21" s="24" t="n">
        <v>0.137753637</v>
      </c>
      <c r="AI21" s="24" t="n">
        <v>0.152732787</v>
      </c>
      <c r="AJ21" s="25" t="n"/>
      <c r="AK21" s="24" t="n">
        <v>0.210103004</v>
      </c>
      <c r="AL21" s="24" t="n">
        <v>0.252803645</v>
      </c>
      <c r="AM21" s="24" t="n">
        <v>0.264138047</v>
      </c>
      <c r="AN21" s="24" t="n">
        <v>0.253193822</v>
      </c>
      <c r="AO21" s="25" t="n"/>
    </row>
    <row r="22">
      <c r="A22" s="12" t="inlineStr">
        <is>
          <t>drv:판관비</t>
        </is>
      </c>
      <c r="B22" s="2" t="inlineStr">
        <is>
          <t>ratio</t>
        </is>
      </c>
      <c r="C22" t="inlineStr">
        <is>
          <t>판관비율(/매출)</t>
        </is>
      </c>
      <c r="E22" s="21">
        <f>IFERROR(subQ!E8/subQ!E5,"")</f>
        <v/>
      </c>
      <c r="F22" s="22">
        <f>IFERROR(subQ!F8/subQ!F5,"")</f>
        <v/>
      </c>
      <c r="G22" s="21">
        <f>IFERROR(subQ!G8/subQ!G5,"")</f>
        <v/>
      </c>
      <c r="H22" s="21">
        <f>IFERROR(subQ!H8/subQ!H5,"")</f>
        <v/>
      </c>
      <c r="I22" s="21">
        <f>IFERROR(subQ!I8/subQ!I5,"")</f>
        <v/>
      </c>
      <c r="J22" s="21">
        <f>IFERROR(subQ!J8/subQ!J5,"")</f>
        <v/>
      </c>
      <c r="K22" s="22">
        <f>IFERROR(subQ!K8/subQ!K5,"")</f>
        <v/>
      </c>
      <c r="L22" s="21">
        <f>IFERROR(subQ!L8/subQ!L5,"")</f>
        <v/>
      </c>
      <c r="M22" s="21">
        <f>IFERROR(subQ!M8/subQ!M5,"")</f>
        <v/>
      </c>
      <c r="N22" s="21">
        <f>IFERROR(subQ!N8/subQ!N5,"")</f>
        <v/>
      </c>
      <c r="O22" s="21">
        <f>IFERROR(subQ!O8/subQ!O5,"")</f>
        <v/>
      </c>
      <c r="P22" s="22">
        <f>IFERROR(subQ!P8/subQ!P5,"")</f>
        <v/>
      </c>
      <c r="Q22" s="21">
        <f>IFERROR(subQ!Q8/subQ!Q5,"")</f>
        <v/>
      </c>
      <c r="R22" s="21">
        <f>IFERROR(subQ!R8/subQ!R5,"")</f>
        <v/>
      </c>
      <c r="S22" s="21">
        <f>IFERROR(subQ!S8/subQ!S5,"")</f>
        <v/>
      </c>
      <c r="T22" s="21">
        <f>IFERROR(subQ!T8/subQ!T5,"")</f>
        <v/>
      </c>
      <c r="U22" s="22">
        <f>IFERROR(subQ!U8/subQ!U5,"")</f>
        <v/>
      </c>
      <c r="V22" s="21">
        <f>IFERROR(subQ!V8/subQ!V5,"")</f>
        <v/>
      </c>
      <c r="W22" s="21">
        <f>IFERROR(subQ!W8/subQ!W5,"")</f>
        <v/>
      </c>
      <c r="X22" s="21">
        <f>IFERROR(subQ!X8/subQ!X5,"")</f>
        <v/>
      </c>
      <c r="Y22" s="21">
        <f>IFERROR(subQ!Y8/subQ!Y5,"")</f>
        <v/>
      </c>
      <c r="Z22" s="22">
        <f>IFERROR(subQ!Z8/subQ!Z5,"")</f>
        <v/>
      </c>
      <c r="AA22" s="21">
        <f>IFERROR(subQ!AA8/subQ!AA5,"")</f>
        <v/>
      </c>
      <c r="AB22" s="23">
        <f>IFERROR(subQ!AB8/subQ!AB5,"")</f>
        <v/>
      </c>
      <c r="AC22" s="26">
        <f>$D$52</f>
        <v/>
      </c>
      <c r="AD22" s="26">
        <f>$D$52</f>
        <v/>
      </c>
      <c r="AE22" s="25">
        <f>IFERROR(subQ!AE8/subQ!AE5,"")</f>
        <v/>
      </c>
      <c r="AF22" s="26">
        <f>$D$52</f>
        <v/>
      </c>
      <c r="AG22" s="26">
        <f>$D$52</f>
        <v/>
      </c>
      <c r="AH22" s="26">
        <f>$D$52</f>
        <v/>
      </c>
      <c r="AI22" s="26">
        <f>$D$52</f>
        <v/>
      </c>
      <c r="AJ22" s="25">
        <f>IFERROR(subQ!AJ8/subQ!AJ5,"")</f>
        <v/>
      </c>
      <c r="AK22" s="26">
        <f>$D$52</f>
        <v/>
      </c>
      <c r="AL22" s="26">
        <f>$D$52</f>
        <v/>
      </c>
      <c r="AM22" s="26">
        <f>$D$52</f>
        <v/>
      </c>
      <c r="AN22" s="26">
        <f>$D$52</f>
        <v/>
      </c>
      <c r="AO22" s="25">
        <f>IFERROR(subQ!AO8/subQ!AO5,"")</f>
        <v/>
      </c>
    </row>
    <row r="23">
      <c r="A23" s="12" t="inlineStr">
        <is>
          <t>drv:영업이익</t>
        </is>
      </c>
      <c r="B23" s="2" t="inlineStr">
        <is>
          <t>ratio</t>
        </is>
      </c>
      <c r="C23" t="inlineStr">
        <is>
          <t>영업이익률(OPM)</t>
        </is>
      </c>
      <c r="E23" s="21">
        <f>IFERROR(subQ!E9/subQ!E5,"")</f>
        <v/>
      </c>
      <c r="F23" s="22">
        <f>IFERROR(subQ!F9/subQ!F5,"")</f>
        <v/>
      </c>
      <c r="G23" s="21">
        <f>IFERROR(subQ!G9/subQ!G5,"")</f>
        <v/>
      </c>
      <c r="H23" s="21">
        <f>IFERROR(subQ!H9/subQ!H5,"")</f>
        <v/>
      </c>
      <c r="I23" s="21">
        <f>IFERROR(subQ!I9/subQ!I5,"")</f>
        <v/>
      </c>
      <c r="J23" s="21">
        <f>IFERROR(subQ!J9/subQ!J5,"")</f>
        <v/>
      </c>
      <c r="K23" s="22">
        <f>IFERROR(subQ!K9/subQ!K5,"")</f>
        <v/>
      </c>
      <c r="L23" s="21">
        <f>IFERROR(subQ!L9/subQ!L5,"")</f>
        <v/>
      </c>
      <c r="M23" s="21">
        <f>IFERROR(subQ!M9/subQ!M5,"")</f>
        <v/>
      </c>
      <c r="N23" s="21">
        <f>IFERROR(subQ!N9/subQ!N5,"")</f>
        <v/>
      </c>
      <c r="O23" s="21">
        <f>IFERROR(subQ!O9/subQ!O5,"")</f>
        <v/>
      </c>
      <c r="P23" s="22">
        <f>IFERROR(subQ!P9/subQ!P5,"")</f>
        <v/>
      </c>
      <c r="Q23" s="21">
        <f>IFERROR(subQ!Q9/subQ!Q5,"")</f>
        <v/>
      </c>
      <c r="R23" s="21">
        <f>IFERROR(subQ!R9/subQ!R5,"")</f>
        <v/>
      </c>
      <c r="S23" s="21">
        <f>IFERROR(subQ!S9/subQ!S5,"")</f>
        <v/>
      </c>
      <c r="T23" s="21">
        <f>IFERROR(subQ!T9/subQ!T5,"")</f>
        <v/>
      </c>
      <c r="U23" s="22">
        <f>IFERROR(subQ!U9/subQ!U5,"")</f>
        <v/>
      </c>
      <c r="V23" s="21">
        <f>IFERROR(subQ!V9/subQ!V5,"")</f>
        <v/>
      </c>
      <c r="W23" s="21">
        <f>IFERROR(subQ!W9/subQ!W5,"")</f>
        <v/>
      </c>
      <c r="X23" s="21">
        <f>IFERROR(subQ!X9/subQ!X5,"")</f>
        <v/>
      </c>
      <c r="Y23" s="21">
        <f>IFERROR(subQ!Y9/subQ!Y5,"")</f>
        <v/>
      </c>
      <c r="Z23" s="22">
        <f>IFERROR(subQ!Z9/subQ!Z5,"")</f>
        <v/>
      </c>
      <c r="AA23" s="21">
        <f>IFERROR(subQ!AA9/subQ!AA5,"")</f>
        <v/>
      </c>
      <c r="AB23" s="23">
        <f>IFERROR(subQ!AB9/subQ!AB5,"")</f>
        <v/>
      </c>
      <c r="AC23" s="24" t="n">
        <v>0.03688505</v>
      </c>
      <c r="AD23" s="24" t="n">
        <v>0.036885152</v>
      </c>
      <c r="AE23" s="25">
        <f>IFERROR(subQ!AE9/subQ!AE5,"")</f>
        <v/>
      </c>
      <c r="AF23" s="24" t="n">
        <v>0.036879481</v>
      </c>
      <c r="AG23" s="24" t="n">
        <v>0.036884249</v>
      </c>
      <c r="AH23" s="24" t="n">
        <v>0.036888263</v>
      </c>
      <c r="AI23" s="24" t="n">
        <v>0.036880917</v>
      </c>
      <c r="AJ23" s="25">
        <f>IFERROR(subQ!AJ9/subQ!AJ5,"")</f>
        <v/>
      </c>
      <c r="AK23" s="24" t="n">
        <v>0.036888435</v>
      </c>
      <c r="AL23" s="24" t="n">
        <v>0.036883365</v>
      </c>
      <c r="AM23" s="24" t="n">
        <v>0.036883303</v>
      </c>
      <c r="AN23" s="24" t="n">
        <v>0.036888309</v>
      </c>
      <c r="AO23" s="25">
        <f>IFERROR(subQ!AO9/subQ!AO5,"")</f>
        <v/>
      </c>
    </row>
    <row r="24">
      <c r="A24" s="12" t="inlineStr">
        <is>
          <t>drv:외환손익</t>
        </is>
      </c>
      <c r="B24" s="2" t="inlineStr">
        <is>
          <t>abs</t>
        </is>
      </c>
      <c r="C24" t="inlineStr">
        <is>
          <t>외환손익 (가정, 억원)</t>
        </is>
      </c>
      <c r="E24" s="27">
        <f>subQ!E13</f>
        <v/>
      </c>
      <c r="F24" s="28">
        <f>subQ!F13</f>
        <v/>
      </c>
      <c r="G24" s="27">
        <f>subQ!G13</f>
        <v/>
      </c>
      <c r="H24" s="27">
        <f>subQ!H13</f>
        <v/>
      </c>
      <c r="I24" s="27">
        <f>subQ!I13</f>
        <v/>
      </c>
      <c r="J24" s="27">
        <f>subQ!J13</f>
        <v/>
      </c>
      <c r="K24" s="28">
        <f>subQ!K13</f>
        <v/>
      </c>
      <c r="L24" s="27">
        <f>subQ!L13</f>
        <v/>
      </c>
      <c r="M24" s="27">
        <f>subQ!M13</f>
        <v/>
      </c>
      <c r="N24" s="27">
        <f>subQ!N13</f>
        <v/>
      </c>
      <c r="O24" s="27">
        <f>subQ!O13</f>
        <v/>
      </c>
      <c r="P24" s="28">
        <f>subQ!P13</f>
        <v/>
      </c>
      <c r="Q24" s="27">
        <f>subQ!Q13</f>
        <v/>
      </c>
      <c r="R24" s="27">
        <f>subQ!R13</f>
        <v/>
      </c>
      <c r="S24" s="27">
        <f>subQ!S13</f>
        <v/>
      </c>
      <c r="T24" s="27">
        <f>subQ!T13</f>
        <v/>
      </c>
      <c r="U24" s="28">
        <f>subQ!U13</f>
        <v/>
      </c>
      <c r="V24" s="27">
        <f>subQ!V13</f>
        <v/>
      </c>
      <c r="W24" s="27">
        <f>subQ!W13</f>
        <v/>
      </c>
      <c r="X24" s="27">
        <f>subQ!X13</f>
        <v/>
      </c>
      <c r="Y24" s="27">
        <f>subQ!Y13</f>
        <v/>
      </c>
      <c r="Z24" s="28">
        <f>subQ!Z13</f>
        <v/>
      </c>
      <c r="AA24" s="27">
        <f>subQ!AA13</f>
        <v/>
      </c>
      <c r="AB24" s="29">
        <f>subQ!AB13</f>
        <v/>
      </c>
      <c r="AC24" s="30" t="n">
        <v>0</v>
      </c>
      <c r="AD24" s="30" t="n">
        <v>0</v>
      </c>
      <c r="AE24" s="31">
        <f>subQ!AE13</f>
        <v/>
      </c>
      <c r="AF24" s="30" t="n">
        <v>0</v>
      </c>
      <c r="AG24" s="30" t="n">
        <v>0</v>
      </c>
      <c r="AH24" s="30" t="n">
        <v>0</v>
      </c>
      <c r="AI24" s="30" t="n">
        <v>0</v>
      </c>
      <c r="AJ24" s="31">
        <f>subQ!AJ13</f>
        <v/>
      </c>
      <c r="AK24" s="30" t="n">
        <v>0</v>
      </c>
      <c r="AL24" s="30" t="n">
        <v>0</v>
      </c>
      <c r="AM24" s="30" t="n">
        <v>0</v>
      </c>
      <c r="AN24" s="30" t="n">
        <v>0</v>
      </c>
      <c r="AO24" s="31">
        <f>subQ!AO13</f>
        <v/>
      </c>
    </row>
    <row r="25">
      <c r="A25" s="12" t="inlineStr">
        <is>
          <t>drv:파생상품손익</t>
        </is>
      </c>
      <c r="B25" s="2" t="inlineStr">
        <is>
          <t>abs</t>
        </is>
      </c>
      <c r="C25" t="inlineStr">
        <is>
          <t>파생상품손익 (가정, 억원)</t>
        </is>
      </c>
      <c r="E25" s="27">
        <f>subQ!E14</f>
        <v/>
      </c>
      <c r="F25" s="28">
        <f>subQ!F14</f>
        <v/>
      </c>
      <c r="G25" s="27">
        <f>subQ!G14</f>
        <v/>
      </c>
      <c r="H25" s="27">
        <f>subQ!H14</f>
        <v/>
      </c>
      <c r="I25" s="27">
        <f>subQ!I14</f>
        <v/>
      </c>
      <c r="J25" s="27">
        <f>subQ!J14</f>
        <v/>
      </c>
      <c r="K25" s="28">
        <f>subQ!K14</f>
        <v/>
      </c>
      <c r="L25" s="27">
        <f>subQ!L14</f>
        <v/>
      </c>
      <c r="M25" s="27">
        <f>subQ!M14</f>
        <v/>
      </c>
      <c r="N25" s="27">
        <f>subQ!N14</f>
        <v/>
      </c>
      <c r="O25" s="27">
        <f>subQ!O14</f>
        <v/>
      </c>
      <c r="P25" s="28">
        <f>subQ!P14</f>
        <v/>
      </c>
      <c r="Q25" s="27">
        <f>subQ!Q14</f>
        <v/>
      </c>
      <c r="R25" s="27">
        <f>subQ!R14</f>
        <v/>
      </c>
      <c r="S25" s="27">
        <f>subQ!S14</f>
        <v/>
      </c>
      <c r="T25" s="27">
        <f>subQ!T14</f>
        <v/>
      </c>
      <c r="U25" s="28">
        <f>subQ!U14</f>
        <v/>
      </c>
      <c r="V25" s="27">
        <f>subQ!V14</f>
        <v/>
      </c>
      <c r="W25" s="27">
        <f>subQ!W14</f>
        <v/>
      </c>
      <c r="X25" s="27">
        <f>subQ!X14</f>
        <v/>
      </c>
      <c r="Y25" s="27">
        <f>subQ!Y14</f>
        <v/>
      </c>
      <c r="Z25" s="28">
        <f>subQ!Z14</f>
        <v/>
      </c>
      <c r="AA25" s="27">
        <f>subQ!AA14</f>
        <v/>
      </c>
      <c r="AB25" s="29">
        <f>subQ!AB14</f>
        <v/>
      </c>
      <c r="AC25" s="30" t="n">
        <v>0</v>
      </c>
      <c r="AD25" s="30" t="n">
        <v>0</v>
      </c>
      <c r="AE25" s="31">
        <f>subQ!AE14</f>
        <v/>
      </c>
      <c r="AF25" s="30" t="n">
        <v>0</v>
      </c>
      <c r="AG25" s="30" t="n">
        <v>0</v>
      </c>
      <c r="AH25" s="30" t="n">
        <v>0</v>
      </c>
      <c r="AI25" s="30" t="n">
        <v>0</v>
      </c>
      <c r="AJ25" s="31">
        <f>subQ!AJ14</f>
        <v/>
      </c>
      <c r="AK25" s="30" t="n">
        <v>0</v>
      </c>
      <c r="AL25" s="30" t="n">
        <v>0</v>
      </c>
      <c r="AM25" s="30" t="n">
        <v>0</v>
      </c>
      <c r="AN25" s="30" t="n">
        <v>0</v>
      </c>
      <c r="AO25" s="31">
        <f>subQ!AO14</f>
        <v/>
      </c>
    </row>
    <row r="26">
      <c r="A26" s="12" t="inlineStr">
        <is>
          <t>drv:기타금융손익</t>
        </is>
      </c>
      <c r="B26" s="2" t="inlineStr">
        <is>
          <t>abs</t>
        </is>
      </c>
      <c r="C26" t="inlineStr">
        <is>
          <t>기타금융손익 (가정, 억원)</t>
        </is>
      </c>
      <c r="E26" s="27">
        <f>subQ!E15</f>
        <v/>
      </c>
      <c r="F26" s="28">
        <f>subQ!F15</f>
        <v/>
      </c>
      <c r="G26" s="27">
        <f>subQ!G15</f>
        <v/>
      </c>
      <c r="H26" s="27">
        <f>subQ!H15</f>
        <v/>
      </c>
      <c r="I26" s="27">
        <f>subQ!I15</f>
        <v/>
      </c>
      <c r="J26" s="27">
        <f>subQ!J15</f>
        <v/>
      </c>
      <c r="K26" s="28">
        <f>subQ!K15</f>
        <v/>
      </c>
      <c r="L26" s="27">
        <f>subQ!L15</f>
        <v/>
      </c>
      <c r="M26" s="27">
        <f>subQ!M15</f>
        <v/>
      </c>
      <c r="N26" s="27">
        <f>subQ!N15</f>
        <v/>
      </c>
      <c r="O26" s="27">
        <f>subQ!O15</f>
        <v/>
      </c>
      <c r="P26" s="28">
        <f>subQ!P15</f>
        <v/>
      </c>
      <c r="Q26" s="27">
        <f>subQ!Q15</f>
        <v/>
      </c>
      <c r="R26" s="27">
        <f>subQ!R15</f>
        <v/>
      </c>
      <c r="S26" s="27">
        <f>subQ!S15</f>
        <v/>
      </c>
      <c r="T26" s="27">
        <f>subQ!T15</f>
        <v/>
      </c>
      <c r="U26" s="28">
        <f>subQ!U15</f>
        <v/>
      </c>
      <c r="V26" s="27">
        <f>subQ!V15</f>
        <v/>
      </c>
      <c r="W26" s="27">
        <f>subQ!W15</f>
        <v/>
      </c>
      <c r="X26" s="27">
        <f>subQ!X15</f>
        <v/>
      </c>
      <c r="Y26" s="27">
        <f>subQ!Y15</f>
        <v/>
      </c>
      <c r="Z26" s="28">
        <f>subQ!Z15</f>
        <v/>
      </c>
      <c r="AA26" s="27">
        <f>subQ!AA15</f>
        <v/>
      </c>
      <c r="AB26" s="29">
        <f>subQ!AB15</f>
        <v/>
      </c>
      <c r="AC26" s="30" t="n">
        <v>-0.87</v>
      </c>
      <c r="AD26" s="30" t="n">
        <v>-0.87</v>
      </c>
      <c r="AE26" s="31">
        <f>subQ!AE15</f>
        <v/>
      </c>
      <c r="AF26" s="30" t="n">
        <v>-0.87</v>
      </c>
      <c r="AG26" s="30" t="n">
        <v>-0.87</v>
      </c>
      <c r="AH26" s="30" t="n">
        <v>-0.87</v>
      </c>
      <c r="AI26" s="30" t="n">
        <v>-0.87</v>
      </c>
      <c r="AJ26" s="31">
        <f>subQ!AJ15</f>
        <v/>
      </c>
      <c r="AK26" s="30" t="n">
        <v>-0.87</v>
      </c>
      <c r="AL26" s="30" t="n">
        <v>-0.87</v>
      </c>
      <c r="AM26" s="30" t="n">
        <v>-0.87</v>
      </c>
      <c r="AN26" s="30" t="n">
        <v>-0.87</v>
      </c>
      <c r="AO26" s="31">
        <f>subQ!AO15</f>
        <v/>
      </c>
    </row>
    <row r="27">
      <c r="A27" s="12" t="inlineStr">
        <is>
          <t>drv:기타영업외손익</t>
        </is>
      </c>
      <c r="B27" s="2" t="inlineStr">
        <is>
          <t>abs</t>
        </is>
      </c>
      <c r="C27" t="inlineStr">
        <is>
          <t>기타영업외손익 (가정, 억원)</t>
        </is>
      </c>
      <c r="E27" s="27">
        <f>subQ!E16</f>
        <v/>
      </c>
      <c r="F27" s="28">
        <f>subQ!F16</f>
        <v/>
      </c>
      <c r="G27" s="27">
        <f>subQ!G16</f>
        <v/>
      </c>
      <c r="H27" s="27">
        <f>subQ!H16</f>
        <v/>
      </c>
      <c r="I27" s="27">
        <f>subQ!I16</f>
        <v/>
      </c>
      <c r="J27" s="27">
        <f>subQ!J16</f>
        <v/>
      </c>
      <c r="K27" s="28">
        <f>subQ!K16</f>
        <v/>
      </c>
      <c r="L27" s="27">
        <f>subQ!L16</f>
        <v/>
      </c>
      <c r="M27" s="27">
        <f>subQ!M16</f>
        <v/>
      </c>
      <c r="N27" s="27">
        <f>subQ!N16</f>
        <v/>
      </c>
      <c r="O27" s="27">
        <f>subQ!O16</f>
        <v/>
      </c>
      <c r="P27" s="28">
        <f>subQ!P16</f>
        <v/>
      </c>
      <c r="Q27" s="27">
        <f>subQ!Q16</f>
        <v/>
      </c>
      <c r="R27" s="27">
        <f>subQ!R16</f>
        <v/>
      </c>
      <c r="S27" s="27">
        <f>subQ!S16</f>
        <v/>
      </c>
      <c r="T27" s="27">
        <f>subQ!T16</f>
        <v/>
      </c>
      <c r="U27" s="28">
        <f>subQ!U16</f>
        <v/>
      </c>
      <c r="V27" s="27">
        <f>subQ!V16</f>
        <v/>
      </c>
      <c r="W27" s="27">
        <f>subQ!W16</f>
        <v/>
      </c>
      <c r="X27" s="27">
        <f>subQ!X16</f>
        <v/>
      </c>
      <c r="Y27" s="27">
        <f>subQ!Y16</f>
        <v/>
      </c>
      <c r="Z27" s="28">
        <f>subQ!Z16</f>
        <v/>
      </c>
      <c r="AA27" s="27">
        <f>subQ!AA16</f>
        <v/>
      </c>
      <c r="AB27" s="29">
        <f>subQ!AB16</f>
        <v/>
      </c>
      <c r="AC27" s="30" t="n">
        <v>0</v>
      </c>
      <c r="AD27" s="30" t="n">
        <v>0</v>
      </c>
      <c r="AE27" s="31">
        <f>subQ!AE16</f>
        <v/>
      </c>
      <c r="AF27" s="30" t="n">
        <v>0</v>
      </c>
      <c r="AG27" s="30" t="n">
        <v>0</v>
      </c>
      <c r="AH27" s="30" t="n">
        <v>0</v>
      </c>
      <c r="AI27" s="30" t="n">
        <v>0</v>
      </c>
      <c r="AJ27" s="31">
        <f>subQ!AJ16</f>
        <v/>
      </c>
      <c r="AK27" s="30" t="n">
        <v>0</v>
      </c>
      <c r="AL27" s="30" t="n">
        <v>0</v>
      </c>
      <c r="AM27" s="30" t="n">
        <v>0</v>
      </c>
      <c r="AN27" s="30" t="n">
        <v>0</v>
      </c>
      <c r="AO27" s="31">
        <f>subQ!AO16</f>
        <v/>
      </c>
    </row>
    <row r="28">
      <c r="A28" s="12" t="inlineStr">
        <is>
          <t>drv:법인세비용</t>
        </is>
      </c>
      <c r="B28" s="2" t="inlineStr">
        <is>
          <t>tax</t>
        </is>
      </c>
      <c r="C28" t="inlineStr">
        <is>
          <t>법인세율(/세전) — 법인세 = MAX(세전,0) × 세율</t>
        </is>
      </c>
      <c r="E28" s="21">
        <f>IFERROR(subQ!E18/subQ!E17,"")</f>
        <v/>
      </c>
      <c r="F28" s="22">
        <f>IFERROR(subQ!F18/subQ!F17,"")</f>
        <v/>
      </c>
      <c r="G28" s="21">
        <f>IFERROR(subQ!G18/subQ!G17,"")</f>
        <v/>
      </c>
      <c r="H28" s="21">
        <f>IFERROR(subQ!H18/subQ!H17,"")</f>
        <v/>
      </c>
      <c r="I28" s="21">
        <f>IFERROR(subQ!I18/subQ!I17,"")</f>
        <v/>
      </c>
      <c r="J28" s="21">
        <f>IFERROR(subQ!J18/subQ!J17,"")</f>
        <v/>
      </c>
      <c r="K28" s="22">
        <f>IFERROR(subQ!K18/subQ!K17,"")</f>
        <v/>
      </c>
      <c r="L28" s="21">
        <f>IFERROR(subQ!L18/subQ!L17,"")</f>
        <v/>
      </c>
      <c r="M28" s="21">
        <f>IFERROR(subQ!M18/subQ!M17,"")</f>
        <v/>
      </c>
      <c r="N28" s="21">
        <f>IFERROR(subQ!N18/subQ!N17,"")</f>
        <v/>
      </c>
      <c r="O28" s="21">
        <f>IFERROR(subQ!O18/subQ!O17,"")</f>
        <v/>
      </c>
      <c r="P28" s="22">
        <f>IFERROR(subQ!P18/subQ!P17,"")</f>
        <v/>
      </c>
      <c r="Q28" s="21">
        <f>IFERROR(subQ!Q18/subQ!Q17,"")</f>
        <v/>
      </c>
      <c r="R28" s="21">
        <f>IFERROR(subQ!R18/subQ!R17,"")</f>
        <v/>
      </c>
      <c r="S28" s="21">
        <f>IFERROR(subQ!S18/subQ!S17,"")</f>
        <v/>
      </c>
      <c r="T28" s="21">
        <f>IFERROR(subQ!T18/subQ!T17,"")</f>
        <v/>
      </c>
      <c r="U28" s="22">
        <f>IFERROR(subQ!U18/subQ!U17,"")</f>
        <v/>
      </c>
      <c r="V28" s="21">
        <f>IFERROR(subQ!V18/subQ!V17,"")</f>
        <v/>
      </c>
      <c r="W28" s="21">
        <f>IFERROR(subQ!W18/subQ!W17,"")</f>
        <v/>
      </c>
      <c r="X28" s="21">
        <f>IFERROR(subQ!X18/subQ!X17,"")</f>
        <v/>
      </c>
      <c r="Y28" s="21">
        <f>IFERROR(subQ!Y18/subQ!Y17,"")</f>
        <v/>
      </c>
      <c r="Z28" s="22">
        <f>IFERROR(subQ!Z18/subQ!Z17,"")</f>
        <v/>
      </c>
      <c r="AA28" s="21">
        <f>IFERROR(subQ!AA18/subQ!AA17,"")</f>
        <v/>
      </c>
      <c r="AB28" s="23">
        <f>IFERROR(subQ!AB18/subQ!AB17,"")</f>
        <v/>
      </c>
      <c r="AC28" s="26">
        <f>$D$51</f>
        <v/>
      </c>
      <c r="AD28" s="26">
        <f>$D$51</f>
        <v/>
      </c>
      <c r="AE28" s="25">
        <f>IFERROR(subQ!AE18/subQ!AE17,"")</f>
        <v/>
      </c>
      <c r="AF28" s="26">
        <f>$D$51</f>
        <v/>
      </c>
      <c r="AG28" s="26">
        <f>$D$51</f>
        <v/>
      </c>
      <c r="AH28" s="26">
        <f>$D$51</f>
        <v/>
      </c>
      <c r="AI28" s="26">
        <f>$D$51</f>
        <v/>
      </c>
      <c r="AJ28" s="25">
        <f>IFERROR(subQ!AJ18/subQ!AJ17,"")</f>
        <v/>
      </c>
      <c r="AK28" s="26">
        <f>$D$51</f>
        <v/>
      </c>
      <c r="AL28" s="26">
        <f>$D$51</f>
        <v/>
      </c>
      <c r="AM28" s="26">
        <f>$D$51</f>
        <v/>
      </c>
      <c r="AN28" s="26">
        <f>$D$51</f>
        <v/>
      </c>
      <c r="AO28" s="25">
        <f>IFERROR(subQ!AO18/subQ!AO17,"")</f>
        <v/>
      </c>
    </row>
    <row r="29">
      <c r="A29" s="12" t="inlineStr">
        <is>
          <t>drv:지배주주순이익</t>
        </is>
      </c>
      <c r="B29" s="2" t="inlineStr">
        <is>
          <t>ratio</t>
        </is>
      </c>
      <c r="C29" t="inlineStr">
        <is>
          <t>지배주주 비중(/당기순이익)</t>
        </is>
      </c>
      <c r="E29" s="21">
        <f>IFERROR(subQ!E20/subQ!E19,"")</f>
        <v/>
      </c>
      <c r="F29" s="22">
        <f>IFERROR(subQ!F20/subQ!F19,"")</f>
        <v/>
      </c>
      <c r="G29" s="21">
        <f>IFERROR(subQ!G20/subQ!G19,"")</f>
        <v/>
      </c>
      <c r="H29" s="21">
        <f>IFERROR(subQ!H20/subQ!H19,"")</f>
        <v/>
      </c>
      <c r="I29" s="21">
        <f>IFERROR(subQ!I20/subQ!I19,"")</f>
        <v/>
      </c>
      <c r="J29" s="21">
        <f>IFERROR(subQ!J20/subQ!J19,"")</f>
        <v/>
      </c>
      <c r="K29" s="22">
        <f>IFERROR(subQ!K20/subQ!K19,"")</f>
        <v/>
      </c>
      <c r="L29" s="21">
        <f>IFERROR(subQ!L20/subQ!L19,"")</f>
        <v/>
      </c>
      <c r="M29" s="21">
        <f>IFERROR(subQ!M20/subQ!M19,"")</f>
        <v/>
      </c>
      <c r="N29" s="21">
        <f>IFERROR(subQ!N20/subQ!N19,"")</f>
        <v/>
      </c>
      <c r="O29" s="21">
        <f>IFERROR(subQ!O20/subQ!O19,"")</f>
        <v/>
      </c>
      <c r="P29" s="22">
        <f>IFERROR(subQ!P20/subQ!P19,"")</f>
        <v/>
      </c>
      <c r="Q29" s="21">
        <f>IFERROR(subQ!Q20/subQ!Q19,"")</f>
        <v/>
      </c>
      <c r="R29" s="21">
        <f>IFERROR(subQ!R20/subQ!R19,"")</f>
        <v/>
      </c>
      <c r="S29" s="21">
        <f>IFERROR(subQ!S20/subQ!S19,"")</f>
        <v/>
      </c>
      <c r="T29" s="21">
        <f>IFERROR(subQ!T20/subQ!T19,"")</f>
        <v/>
      </c>
      <c r="U29" s="22">
        <f>IFERROR(subQ!U20/subQ!U19,"")</f>
        <v/>
      </c>
      <c r="V29" s="21">
        <f>IFERROR(subQ!V20/subQ!V19,"")</f>
        <v/>
      </c>
      <c r="W29" s="21">
        <f>IFERROR(subQ!W20/subQ!W19,"")</f>
        <v/>
      </c>
      <c r="X29" s="21">
        <f>IFERROR(subQ!X20/subQ!X19,"")</f>
        <v/>
      </c>
      <c r="Y29" s="21">
        <f>IFERROR(subQ!Y20/subQ!Y19,"")</f>
        <v/>
      </c>
      <c r="Z29" s="22">
        <f>IFERROR(subQ!Z20/subQ!Z19,"")</f>
        <v/>
      </c>
      <c r="AA29" s="21">
        <f>IFERROR(subQ!AA20/subQ!AA19,"")</f>
        <v/>
      </c>
      <c r="AB29" s="23">
        <f>IFERROR(subQ!AB20/subQ!AB19,"")</f>
        <v/>
      </c>
      <c r="AC29" s="26">
        <f>$D$53</f>
        <v/>
      </c>
      <c r="AD29" s="26">
        <f>$D$53</f>
        <v/>
      </c>
      <c r="AE29" s="25">
        <f>IFERROR(subQ!AE20/subQ!AE19,"")</f>
        <v/>
      </c>
      <c r="AF29" s="26">
        <f>$D$53</f>
        <v/>
      </c>
      <c r="AG29" s="26">
        <f>$D$53</f>
        <v/>
      </c>
      <c r="AH29" s="26">
        <f>$D$53</f>
        <v/>
      </c>
      <c r="AI29" s="26">
        <f>$D$53</f>
        <v/>
      </c>
      <c r="AJ29" s="25">
        <f>IFERROR(subQ!AJ20/subQ!AJ19,"")</f>
        <v/>
      </c>
      <c r="AK29" s="26">
        <f>$D$53</f>
        <v/>
      </c>
      <c r="AL29" s="26">
        <f>$D$53</f>
        <v/>
      </c>
      <c r="AM29" s="26">
        <f>$D$53</f>
        <v/>
      </c>
      <c r="AN29" s="26">
        <f>$D$53</f>
        <v/>
      </c>
      <c r="AO29" s="25">
        <f>IFERROR(subQ!AO20/subQ!AO19,"")</f>
        <v/>
      </c>
    </row>
    <row r="30">
      <c r="A30" s="12" t="inlineStr">
        <is>
          <t>drv:감가상각비</t>
        </is>
      </c>
      <c r="B30" s="2" t="inlineStr">
        <is>
          <t>abs</t>
        </is>
      </c>
      <c r="C30" t="inlineStr">
        <is>
          <t>감가상각비 (가정, 억원)</t>
        </is>
      </c>
      <c r="E30" s="27">
        <f>subQ!E21</f>
        <v/>
      </c>
      <c r="F30" s="28">
        <f>subQ!F21</f>
        <v/>
      </c>
      <c r="G30" s="27">
        <f>subQ!G21</f>
        <v/>
      </c>
      <c r="H30" s="27">
        <f>subQ!H21</f>
        <v/>
      </c>
      <c r="I30" s="27">
        <f>subQ!I21</f>
        <v/>
      </c>
      <c r="J30" s="27">
        <f>subQ!J21</f>
        <v/>
      </c>
      <c r="K30" s="28">
        <f>subQ!K21</f>
        <v/>
      </c>
      <c r="L30" s="27">
        <f>subQ!L21</f>
        <v/>
      </c>
      <c r="M30" s="27">
        <f>subQ!M21</f>
        <v/>
      </c>
      <c r="N30" s="27">
        <f>subQ!N21</f>
        <v/>
      </c>
      <c r="O30" s="27">
        <f>subQ!O21</f>
        <v/>
      </c>
      <c r="P30" s="28">
        <f>subQ!P21</f>
        <v/>
      </c>
      <c r="Q30" s="27">
        <f>subQ!Q21</f>
        <v/>
      </c>
      <c r="R30" s="27">
        <f>subQ!R21</f>
        <v/>
      </c>
      <c r="S30" s="27">
        <f>subQ!S21</f>
        <v/>
      </c>
      <c r="T30" s="27">
        <f>subQ!T21</f>
        <v/>
      </c>
      <c r="U30" s="28">
        <f>subQ!U21</f>
        <v/>
      </c>
      <c r="V30" s="27">
        <f>subQ!V21</f>
        <v/>
      </c>
      <c r="W30" s="27">
        <f>subQ!W21</f>
        <v/>
      </c>
      <c r="X30" s="27">
        <f>subQ!X21</f>
        <v/>
      </c>
      <c r="Y30" s="27">
        <f>subQ!Y21</f>
        <v/>
      </c>
      <c r="Z30" s="28">
        <f>subQ!Z21</f>
        <v/>
      </c>
      <c r="AA30" s="27">
        <f>subQ!AA21</f>
        <v/>
      </c>
      <c r="AB30" s="29">
        <f>subQ!AB21</f>
        <v/>
      </c>
      <c r="AC30" s="30" t="n">
        <v>8.59</v>
      </c>
      <c r="AD30" s="30" t="n">
        <v>8.59</v>
      </c>
      <c r="AE30" s="31">
        <f>subQ!AE21</f>
        <v/>
      </c>
      <c r="AF30" s="30" t="n">
        <v>8.59</v>
      </c>
      <c r="AG30" s="30" t="n">
        <v>8.59</v>
      </c>
      <c r="AH30" s="30" t="n">
        <v>8.59</v>
      </c>
      <c r="AI30" s="30" t="n">
        <v>8.59</v>
      </c>
      <c r="AJ30" s="31">
        <f>subQ!AJ21</f>
        <v/>
      </c>
      <c r="AK30" s="30" t="n">
        <v>8.59</v>
      </c>
      <c r="AL30" s="30" t="n">
        <v>8.59</v>
      </c>
      <c r="AM30" s="30" t="n">
        <v>8.59</v>
      </c>
      <c r="AN30" s="30" t="n">
        <v>8.59</v>
      </c>
      <c r="AO30" s="31">
        <f>subQ!AO21</f>
        <v/>
      </c>
    </row>
    <row r="31">
      <c r="A31" s="12" t="inlineStr">
        <is>
          <t>drv:부채총계</t>
        </is>
      </c>
      <c r="B31" s="2" t="inlineStr">
        <is>
          <t>qoq</t>
        </is>
      </c>
      <c r="C31" t="inlineStr">
        <is>
          <t>부채총계 QoQ</t>
        </is>
      </c>
      <c r="E31" s="21" t="n"/>
      <c r="F31" s="22" t="n"/>
      <c r="G31" s="21">
        <f>IFERROR(subQ!G24/subQ!E24-1,"")</f>
        <v/>
      </c>
      <c r="H31" s="21">
        <f>IFERROR(subQ!H24/subQ!G24-1,"")</f>
        <v/>
      </c>
      <c r="I31" s="21">
        <f>IFERROR(subQ!I24/subQ!H24-1,"")</f>
        <v/>
      </c>
      <c r="J31" s="21">
        <f>IFERROR(subQ!J24/subQ!I24-1,"")</f>
        <v/>
      </c>
      <c r="K31" s="22" t="n"/>
      <c r="L31" s="21">
        <f>IFERROR(subQ!L24/subQ!J24-1,"")</f>
        <v/>
      </c>
      <c r="M31" s="21">
        <f>IFERROR(subQ!M24/subQ!L24-1,"")</f>
        <v/>
      </c>
      <c r="N31" s="21">
        <f>IFERROR(subQ!N24/subQ!M24-1,"")</f>
        <v/>
      </c>
      <c r="O31" s="21">
        <f>IFERROR(subQ!O24/subQ!N24-1,"")</f>
        <v/>
      </c>
      <c r="P31" s="22" t="n"/>
      <c r="Q31" s="21">
        <f>IFERROR(subQ!Q24/subQ!O24-1,"")</f>
        <v/>
      </c>
      <c r="R31" s="21">
        <f>IFERROR(subQ!R24/subQ!Q24-1,"")</f>
        <v/>
      </c>
      <c r="S31" s="21">
        <f>IFERROR(subQ!S24/subQ!R24-1,"")</f>
        <v/>
      </c>
      <c r="T31" s="21">
        <f>IFERROR(subQ!T24/subQ!S24-1,"")</f>
        <v/>
      </c>
      <c r="U31" s="22" t="n"/>
      <c r="V31" s="21">
        <f>IFERROR(subQ!V24/subQ!T24-1,"")</f>
        <v/>
      </c>
      <c r="W31" s="21">
        <f>IFERROR(subQ!W24/subQ!V24-1,"")</f>
        <v/>
      </c>
      <c r="X31" s="21">
        <f>IFERROR(subQ!X24/subQ!W24-1,"")</f>
        <v/>
      </c>
      <c r="Y31" s="21">
        <f>IFERROR(subQ!Y24/subQ!X24-1,"")</f>
        <v/>
      </c>
      <c r="Z31" s="22" t="n"/>
      <c r="AA31" s="21">
        <f>IFERROR(subQ!AA24/subQ!Y24-1,"")</f>
        <v/>
      </c>
      <c r="AB31" s="23">
        <f>IFERROR(subQ!AB24/subQ!AA24-1,"")</f>
        <v/>
      </c>
      <c r="AC31" s="24" t="n">
        <v>-1.982e-06</v>
      </c>
      <c r="AD31" s="24" t="n">
        <v>0</v>
      </c>
      <c r="AE31" s="25" t="n"/>
      <c r="AF31" s="24" t="n">
        <v>0</v>
      </c>
      <c r="AG31" s="24" t="n">
        <v>0</v>
      </c>
      <c r="AH31" s="24" t="n">
        <v>0</v>
      </c>
      <c r="AI31" s="24" t="n">
        <v>0</v>
      </c>
      <c r="AJ31" s="25" t="n"/>
      <c r="AK31" s="24" t="n">
        <v>0</v>
      </c>
      <c r="AL31" s="24" t="n">
        <v>0</v>
      </c>
      <c r="AM31" s="24" t="n">
        <v>0</v>
      </c>
      <c r="AN31" s="24" t="n">
        <v>0</v>
      </c>
      <c r="AO31" s="25" t="n"/>
    </row>
    <row r="32">
      <c r="A32" s="12" t="inlineStr">
        <is>
          <t>drv:자본총계</t>
        </is>
      </c>
      <c r="B32" s="2" t="inlineStr">
        <is>
          <t>roll</t>
        </is>
      </c>
      <c r="C32" t="inlineStr">
        <is>
          <t>자본총계 기타변동(배당 등, 억원)</t>
        </is>
      </c>
      <c r="E32" s="27" t="n"/>
      <c r="F32" s="28" t="n"/>
      <c r="G32" s="27">
        <f>IFERROR(subQ!E25+subQ!G19-subQ!G25,"")</f>
        <v/>
      </c>
      <c r="H32" s="27">
        <f>IFERROR(subQ!G25+subQ!H19-subQ!H25,"")</f>
        <v/>
      </c>
      <c r="I32" s="27">
        <f>IFERROR(subQ!H25+subQ!I19-subQ!I25,"")</f>
        <v/>
      </c>
      <c r="J32" s="27">
        <f>IFERROR(subQ!I25+subQ!J19-subQ!J25,"")</f>
        <v/>
      </c>
      <c r="K32" s="28" t="n"/>
      <c r="L32" s="27">
        <f>IFERROR(subQ!J25+subQ!L19-subQ!L25,"")</f>
        <v/>
      </c>
      <c r="M32" s="27">
        <f>IFERROR(subQ!L25+subQ!M19-subQ!M25,"")</f>
        <v/>
      </c>
      <c r="N32" s="27">
        <f>IFERROR(subQ!M25+subQ!N19-subQ!N25,"")</f>
        <v/>
      </c>
      <c r="O32" s="27">
        <f>IFERROR(subQ!N25+subQ!O19-subQ!O25,"")</f>
        <v/>
      </c>
      <c r="P32" s="28" t="n"/>
      <c r="Q32" s="27">
        <f>IFERROR(subQ!O25+subQ!Q19-subQ!Q25,"")</f>
        <v/>
      </c>
      <c r="R32" s="27">
        <f>IFERROR(subQ!Q25+subQ!R19-subQ!R25,"")</f>
        <v/>
      </c>
      <c r="S32" s="27">
        <f>IFERROR(subQ!R25+subQ!S19-subQ!S25,"")</f>
        <v/>
      </c>
      <c r="T32" s="27">
        <f>IFERROR(subQ!S25+subQ!T19-subQ!T25,"")</f>
        <v/>
      </c>
      <c r="U32" s="28" t="n"/>
      <c r="V32" s="27">
        <f>IFERROR(subQ!T25+subQ!V19-subQ!V25,"")</f>
        <v/>
      </c>
      <c r="W32" s="27">
        <f>IFERROR(subQ!V25+subQ!W19-subQ!W25,"")</f>
        <v/>
      </c>
      <c r="X32" s="27">
        <f>IFERROR(subQ!W25+subQ!X19-subQ!X25,"")</f>
        <v/>
      </c>
      <c r="Y32" s="27">
        <f>IFERROR(subQ!X25+subQ!Y19-subQ!Y25,"")</f>
        <v/>
      </c>
      <c r="Z32" s="28" t="n"/>
      <c r="AA32" s="27">
        <f>IFERROR(subQ!Y25+subQ!AA19-subQ!AA25,"")</f>
        <v/>
      </c>
      <c r="AB32" s="29">
        <f>IFERROR(subQ!AA25+subQ!AB19-subQ!AB25,"")</f>
        <v/>
      </c>
      <c r="AC32" s="30" t="n">
        <v>-0.005551127</v>
      </c>
      <c r="AD32" s="30" t="n">
        <v>0.005336598</v>
      </c>
      <c r="AE32" s="31" t="n"/>
      <c r="AF32" s="30" t="n">
        <v>-0.009519283</v>
      </c>
      <c r="AG32" s="30" t="n">
        <v>0.003707072</v>
      </c>
      <c r="AH32" s="30" t="n">
        <v>0.001647216</v>
      </c>
      <c r="AI32" s="30" t="n">
        <v>-0.009140911</v>
      </c>
      <c r="AJ32" s="31" t="n"/>
      <c r="AK32" s="30" t="n">
        <v>0.007801071</v>
      </c>
      <c r="AL32" s="30" t="n">
        <v>-0.009596812999999999</v>
      </c>
      <c r="AM32" s="30" t="n">
        <v>0.000538047</v>
      </c>
      <c r="AN32" s="30" t="n">
        <v>0.002579829</v>
      </c>
      <c r="AO32" s="31" t="n"/>
    </row>
    <row r="33">
      <c r="A33" s="12" t="inlineStr">
        <is>
          <t>drv:지배주주지분</t>
        </is>
      </c>
      <c r="B33" s="2" t="inlineStr">
        <is>
          <t>roll</t>
        </is>
      </c>
      <c r="C33" t="inlineStr">
        <is>
          <t>지배주주지분 기타변동(배당 등, 억원)</t>
        </is>
      </c>
      <c r="E33" s="27" t="n"/>
      <c r="F33" s="28" t="n"/>
      <c r="G33" s="27">
        <f>IFERROR(subQ!E26+subQ!G20-subQ!G26,"")</f>
        <v/>
      </c>
      <c r="H33" s="27">
        <f>IFERROR(subQ!G26+subQ!H20-subQ!H26,"")</f>
        <v/>
      </c>
      <c r="I33" s="27">
        <f>IFERROR(subQ!H26+subQ!I20-subQ!I26,"")</f>
        <v/>
      </c>
      <c r="J33" s="27">
        <f>IFERROR(subQ!I26+subQ!J20-subQ!J26,"")</f>
        <v/>
      </c>
      <c r="K33" s="28" t="n"/>
      <c r="L33" s="27">
        <f>IFERROR(subQ!J26+subQ!L20-subQ!L26,"")</f>
        <v/>
      </c>
      <c r="M33" s="27">
        <f>IFERROR(subQ!L26+subQ!M20-subQ!M26,"")</f>
        <v/>
      </c>
      <c r="N33" s="27">
        <f>IFERROR(subQ!M26+subQ!N20-subQ!N26,"")</f>
        <v/>
      </c>
      <c r="O33" s="27">
        <f>IFERROR(subQ!N26+subQ!O20-subQ!O26,"")</f>
        <v/>
      </c>
      <c r="P33" s="28" t="n"/>
      <c r="Q33" s="27">
        <f>IFERROR(subQ!O26+subQ!Q20-subQ!Q26,"")</f>
        <v/>
      </c>
      <c r="R33" s="27">
        <f>IFERROR(subQ!Q26+subQ!R20-subQ!R26,"")</f>
        <v/>
      </c>
      <c r="S33" s="27">
        <f>IFERROR(subQ!R26+subQ!S20-subQ!S26,"")</f>
        <v/>
      </c>
      <c r="T33" s="27">
        <f>IFERROR(subQ!S26+subQ!T20-subQ!T26,"")</f>
        <v/>
      </c>
      <c r="U33" s="28" t="n"/>
      <c r="V33" s="27">
        <f>IFERROR(subQ!T26+subQ!V20-subQ!V26,"")</f>
        <v/>
      </c>
      <c r="W33" s="27">
        <f>IFERROR(subQ!V26+subQ!W20-subQ!W26,"")</f>
        <v/>
      </c>
      <c r="X33" s="27">
        <f>IFERROR(subQ!W26+subQ!X20-subQ!X26,"")</f>
        <v/>
      </c>
      <c r="Y33" s="27">
        <f>IFERROR(subQ!X26+subQ!Y20-subQ!Y26,"")</f>
        <v/>
      </c>
      <c r="Z33" s="28" t="n"/>
      <c r="AA33" s="27">
        <f>IFERROR(subQ!Y26+subQ!AA20-subQ!AA26,"")</f>
        <v/>
      </c>
      <c r="AB33" s="29">
        <f>IFERROR(subQ!AA26+subQ!AB20-subQ!AB26,"")</f>
        <v/>
      </c>
      <c r="AC33" s="30" t="n">
        <v>0.003500113</v>
      </c>
      <c r="AD33" s="30" t="n">
        <v>-0.001194358</v>
      </c>
      <c r="AE33" s="31" t="n"/>
      <c r="AF33" s="30" t="n">
        <v>-0.001133734</v>
      </c>
      <c r="AG33" s="30" t="n">
        <v>-0.001826434</v>
      </c>
      <c r="AH33" s="30" t="n">
        <v>-0.000605712</v>
      </c>
      <c r="AI33" s="30" t="n">
        <v>0.005130087</v>
      </c>
      <c r="AJ33" s="31" t="n"/>
      <c r="AK33" s="30" t="n">
        <v>0.001970908</v>
      </c>
      <c r="AL33" s="30" t="n">
        <v>-0.000921222</v>
      </c>
      <c r="AM33" s="30" t="n">
        <v>-0.000795995</v>
      </c>
      <c r="AN33" s="30" t="n">
        <v>7.6235e-05</v>
      </c>
      <c r="AO33" s="31" t="n"/>
    </row>
    <row r="34">
      <c r="A34" s="12" t="inlineStr">
        <is>
          <t>drv:총차입금</t>
        </is>
      </c>
      <c r="B34" s="2" t="inlineStr">
        <is>
          <t>qoq</t>
        </is>
      </c>
      <c r="C34" t="inlineStr">
        <is>
          <t>총차입금 QoQ</t>
        </is>
      </c>
      <c r="E34" s="21" t="n"/>
      <c r="F34" s="22" t="n"/>
      <c r="G34" s="21">
        <f>IFERROR(subQ!G27/subQ!E27-1,"")</f>
        <v/>
      </c>
      <c r="H34" s="21">
        <f>IFERROR(subQ!H27/subQ!G27-1,"")</f>
        <v/>
      </c>
      <c r="I34" s="21">
        <f>IFERROR(subQ!I27/subQ!H27-1,"")</f>
        <v/>
      </c>
      <c r="J34" s="21">
        <f>IFERROR(subQ!J27/subQ!I27-1,"")</f>
        <v/>
      </c>
      <c r="K34" s="22" t="n"/>
      <c r="L34" s="21">
        <f>IFERROR(subQ!L27/subQ!J27-1,"")</f>
        <v/>
      </c>
      <c r="M34" s="21">
        <f>IFERROR(subQ!M27/subQ!L27-1,"")</f>
        <v/>
      </c>
      <c r="N34" s="21">
        <f>IFERROR(subQ!N27/subQ!M27-1,"")</f>
        <v/>
      </c>
      <c r="O34" s="21">
        <f>IFERROR(subQ!O27/subQ!N27-1,"")</f>
        <v/>
      </c>
      <c r="P34" s="22" t="n"/>
      <c r="Q34" s="21">
        <f>IFERROR(subQ!Q27/subQ!O27-1,"")</f>
        <v/>
      </c>
      <c r="R34" s="21">
        <f>IFERROR(subQ!R27/subQ!Q27-1,"")</f>
        <v/>
      </c>
      <c r="S34" s="21">
        <f>IFERROR(subQ!S27/subQ!R27-1,"")</f>
        <v/>
      </c>
      <c r="T34" s="21">
        <f>IFERROR(subQ!T27/subQ!S27-1,"")</f>
        <v/>
      </c>
      <c r="U34" s="22" t="n"/>
      <c r="V34" s="21">
        <f>IFERROR(subQ!V27/subQ!T27-1,"")</f>
        <v/>
      </c>
      <c r="W34" s="21">
        <f>IFERROR(subQ!W27/subQ!V27-1,"")</f>
        <v/>
      </c>
      <c r="X34" s="21">
        <f>IFERROR(subQ!X27/subQ!W27-1,"")</f>
        <v/>
      </c>
      <c r="Y34" s="21">
        <f>IFERROR(subQ!Y27/subQ!X27-1,"")</f>
        <v/>
      </c>
      <c r="Z34" s="22" t="n"/>
      <c r="AA34" s="21">
        <f>IFERROR(subQ!AA27/subQ!Y27-1,"")</f>
        <v/>
      </c>
      <c r="AB34" s="23">
        <f>IFERROR(subQ!AB27/subQ!AA27-1,"")</f>
        <v/>
      </c>
      <c r="AC34" s="24" t="n">
        <v>-2.135e-06</v>
      </c>
      <c r="AD34" s="24" t="n">
        <v>0</v>
      </c>
      <c r="AE34" s="25" t="n"/>
      <c r="AF34" s="24" t="n">
        <v>0</v>
      </c>
      <c r="AG34" s="24" t="n">
        <v>0</v>
      </c>
      <c r="AH34" s="24" t="n">
        <v>0</v>
      </c>
      <c r="AI34" s="24" t="n">
        <v>0</v>
      </c>
      <c r="AJ34" s="25" t="n"/>
      <c r="AK34" s="24" t="n">
        <v>0</v>
      </c>
      <c r="AL34" s="24" t="n">
        <v>0</v>
      </c>
      <c r="AM34" s="24" t="n">
        <v>0</v>
      </c>
      <c r="AN34" s="24" t="n">
        <v>0</v>
      </c>
      <c r="AO34" s="25" t="n"/>
    </row>
    <row r="35">
      <c r="A35" s="12" t="inlineStr">
        <is>
          <t>drv:순차입금</t>
        </is>
      </c>
      <c r="B35" s="2" t="inlineStr">
        <is>
          <t>qoq</t>
        </is>
      </c>
      <c r="C35" t="inlineStr">
        <is>
          <t>순차입금 QoQ</t>
        </is>
      </c>
      <c r="E35" s="21" t="n"/>
      <c r="F35" s="22" t="n"/>
      <c r="G35" s="21">
        <f>IFERROR(subQ!G28/subQ!E28-1,"")</f>
        <v/>
      </c>
      <c r="H35" s="21">
        <f>IFERROR(subQ!H28/subQ!G28-1,"")</f>
        <v/>
      </c>
      <c r="I35" s="21">
        <f>IFERROR(subQ!I28/subQ!H28-1,"")</f>
        <v/>
      </c>
      <c r="J35" s="21">
        <f>IFERROR(subQ!J28/subQ!I28-1,"")</f>
        <v/>
      </c>
      <c r="K35" s="22" t="n"/>
      <c r="L35" s="21">
        <f>IFERROR(subQ!L28/subQ!J28-1,"")</f>
        <v/>
      </c>
      <c r="M35" s="21">
        <f>IFERROR(subQ!M28/subQ!L28-1,"")</f>
        <v/>
      </c>
      <c r="N35" s="21">
        <f>IFERROR(subQ!N28/subQ!M28-1,"")</f>
        <v/>
      </c>
      <c r="O35" s="21">
        <f>IFERROR(subQ!O28/subQ!N28-1,"")</f>
        <v/>
      </c>
      <c r="P35" s="22" t="n"/>
      <c r="Q35" s="21">
        <f>IFERROR(subQ!Q28/subQ!O28-1,"")</f>
        <v/>
      </c>
      <c r="R35" s="21">
        <f>IFERROR(subQ!R28/subQ!Q28-1,"")</f>
        <v/>
      </c>
      <c r="S35" s="21">
        <f>IFERROR(subQ!S28/subQ!R28-1,"")</f>
        <v/>
      </c>
      <c r="T35" s="21">
        <f>IFERROR(subQ!T28/subQ!S28-1,"")</f>
        <v/>
      </c>
      <c r="U35" s="22" t="n"/>
      <c r="V35" s="21">
        <f>IFERROR(subQ!V28/subQ!T28-1,"")</f>
        <v/>
      </c>
      <c r="W35" s="21">
        <f>IFERROR(subQ!W28/subQ!V28-1,"")</f>
        <v/>
      </c>
      <c r="X35" s="21">
        <f>IFERROR(subQ!X28/subQ!W28-1,"")</f>
        <v/>
      </c>
      <c r="Y35" s="21">
        <f>IFERROR(subQ!Y28/subQ!X28-1,"")</f>
        <v/>
      </c>
      <c r="Z35" s="22" t="n"/>
      <c r="AA35" s="21">
        <f>IFERROR(subQ!AA28/subQ!Y28-1,"")</f>
        <v/>
      </c>
      <c r="AB35" s="23">
        <f>IFERROR(subQ!AB28/subQ!AA28-1,"")</f>
        <v/>
      </c>
      <c r="AC35" s="24" t="n">
        <v>0.06574308800000001</v>
      </c>
      <c r="AD35" s="24" t="n">
        <v>0.061136272</v>
      </c>
      <c r="AE35" s="25" t="n"/>
      <c r="AF35" s="24" t="n">
        <v>0.057567068</v>
      </c>
      <c r="AG35" s="24" t="n">
        <v>0.054167406</v>
      </c>
      <c r="AH35" s="24" t="n">
        <v>0.050704953</v>
      </c>
      <c r="AI35" s="24" t="n">
        <v>0.047514457</v>
      </c>
      <c r="AJ35" s="25" t="n"/>
      <c r="AK35" s="24" t="n">
        <v>0.044485579</v>
      </c>
      <c r="AL35" s="24" t="n">
        <v>0.041702172</v>
      </c>
      <c r="AM35" s="24" t="n">
        <v>0.039129387</v>
      </c>
      <c r="AN35" s="24" t="n">
        <v>0.036979798</v>
      </c>
      <c r="AO35" s="25" t="n"/>
    </row>
    <row r="36">
      <c r="A36" s="12" t="inlineStr">
        <is>
          <t>drv:이자발생자산</t>
        </is>
      </c>
      <c r="B36" s="2" t="inlineStr">
        <is>
          <t>qoq</t>
        </is>
      </c>
      <c r="C36" t="inlineStr">
        <is>
          <t>이자발생자산 QoQ</t>
        </is>
      </c>
      <c r="E36" s="21" t="n"/>
      <c r="F36" s="22" t="n"/>
      <c r="G36" s="21">
        <f>IFERROR(subQ!G29/subQ!E29-1,"")</f>
        <v/>
      </c>
      <c r="H36" s="21">
        <f>IFERROR(subQ!H29/subQ!G29-1,"")</f>
        <v/>
      </c>
      <c r="I36" s="21">
        <f>IFERROR(subQ!I29/subQ!H29-1,"")</f>
        <v/>
      </c>
      <c r="J36" s="21">
        <f>IFERROR(subQ!J29/subQ!I29-1,"")</f>
        <v/>
      </c>
      <c r="K36" s="22" t="n"/>
      <c r="L36" s="21">
        <f>IFERROR(subQ!L29/subQ!J29-1,"")</f>
        <v/>
      </c>
      <c r="M36" s="21">
        <f>IFERROR(subQ!M29/subQ!L29-1,"")</f>
        <v/>
      </c>
      <c r="N36" s="21">
        <f>IFERROR(subQ!N29/subQ!M29-1,"")</f>
        <v/>
      </c>
      <c r="O36" s="21">
        <f>IFERROR(subQ!O29/subQ!N29-1,"")</f>
        <v/>
      </c>
      <c r="P36" s="22" t="n"/>
      <c r="Q36" s="21">
        <f>IFERROR(subQ!Q29/subQ!O29-1,"")</f>
        <v/>
      </c>
      <c r="R36" s="21">
        <f>IFERROR(subQ!R29/subQ!Q29-1,"")</f>
        <v/>
      </c>
      <c r="S36" s="21">
        <f>IFERROR(subQ!S29/subQ!R29-1,"")</f>
        <v/>
      </c>
      <c r="T36" s="21">
        <f>IFERROR(subQ!T29/subQ!S29-1,"")</f>
        <v/>
      </c>
      <c r="U36" s="22" t="n"/>
      <c r="V36" s="21">
        <f>IFERROR(subQ!V29/subQ!T29-1,"")</f>
        <v/>
      </c>
      <c r="W36" s="21">
        <f>IFERROR(subQ!W29/subQ!V29-1,"")</f>
        <v/>
      </c>
      <c r="X36" s="21">
        <f>IFERROR(subQ!X29/subQ!W29-1,"")</f>
        <v/>
      </c>
      <c r="Y36" s="21">
        <f>IFERROR(subQ!Y29/subQ!X29-1,"")</f>
        <v/>
      </c>
      <c r="Z36" s="22" t="n"/>
      <c r="AA36" s="21">
        <f>IFERROR(subQ!AA29/subQ!Y29-1,"")</f>
        <v/>
      </c>
      <c r="AB36" s="23">
        <f>IFERROR(subQ!AB29/subQ!AA29-1,"")</f>
        <v/>
      </c>
      <c r="AC36" s="24" t="n">
        <v>-0.355125494</v>
      </c>
      <c r="AD36" s="24" t="n">
        <v>-0.545858458</v>
      </c>
      <c r="AE36" s="25" t="n"/>
      <c r="AF36" s="24" t="n">
        <v>-1.200698812</v>
      </c>
      <c r="AG36" s="24" t="n">
        <v>5.954038997</v>
      </c>
      <c r="AH36" s="24" t="n">
        <v>0.844882836</v>
      </c>
      <c r="AI36" s="24" t="n">
        <v>0.450958042</v>
      </c>
      <c r="AJ36" s="25" t="n"/>
      <c r="AK36" s="24" t="n">
        <v>0.304777225</v>
      </c>
      <c r="AL36" s="24" t="n">
        <v>0.228711509</v>
      </c>
      <c r="AM36" s="24" t="n">
        <v>0.181915762</v>
      </c>
      <c r="AN36" s="24" t="n">
        <v>0.151191487</v>
      </c>
      <c r="AO36" s="25" t="n"/>
    </row>
    <row r="37">
      <c r="A37" s="12" t="inlineStr">
        <is>
          <t>drv:현금및현금성자산</t>
        </is>
      </c>
      <c r="B37" s="2" t="inlineStr">
        <is>
          <t>qoq</t>
        </is>
      </c>
      <c r="C37" t="inlineStr">
        <is>
          <t>현금및현금성자산 QoQ</t>
        </is>
      </c>
      <c r="E37" s="21" t="n"/>
      <c r="F37" s="22" t="n"/>
      <c r="G37" s="21">
        <f>IFERROR(subQ!G30/subQ!E30-1,"")</f>
        <v/>
      </c>
      <c r="H37" s="21">
        <f>IFERROR(subQ!H30/subQ!G30-1,"")</f>
        <v/>
      </c>
      <c r="I37" s="21">
        <f>IFERROR(subQ!I30/subQ!H30-1,"")</f>
        <v/>
      </c>
      <c r="J37" s="21">
        <f>IFERROR(subQ!J30/subQ!I30-1,"")</f>
        <v/>
      </c>
      <c r="K37" s="22" t="n"/>
      <c r="L37" s="21">
        <f>IFERROR(subQ!L30/subQ!J30-1,"")</f>
        <v/>
      </c>
      <c r="M37" s="21">
        <f>IFERROR(subQ!M30/subQ!L30-1,"")</f>
        <v/>
      </c>
      <c r="N37" s="21">
        <f>IFERROR(subQ!N30/subQ!M30-1,"")</f>
        <v/>
      </c>
      <c r="O37" s="21">
        <f>IFERROR(subQ!O30/subQ!N30-1,"")</f>
        <v/>
      </c>
      <c r="P37" s="22" t="n"/>
      <c r="Q37" s="21">
        <f>IFERROR(subQ!Q30/subQ!O30-1,"")</f>
        <v/>
      </c>
      <c r="R37" s="21">
        <f>IFERROR(subQ!R30/subQ!Q30-1,"")</f>
        <v/>
      </c>
      <c r="S37" s="21">
        <f>IFERROR(subQ!S30/subQ!R30-1,"")</f>
        <v/>
      </c>
      <c r="T37" s="21">
        <f>IFERROR(subQ!T30/subQ!S30-1,"")</f>
        <v/>
      </c>
      <c r="U37" s="22" t="n"/>
      <c r="V37" s="21">
        <f>IFERROR(subQ!V30/subQ!T30-1,"")</f>
        <v/>
      </c>
      <c r="W37" s="21">
        <f>IFERROR(subQ!W30/subQ!V30-1,"")</f>
        <v/>
      </c>
      <c r="X37" s="21">
        <f>IFERROR(subQ!X30/subQ!W30-1,"")</f>
        <v/>
      </c>
      <c r="Y37" s="21">
        <f>IFERROR(subQ!Y30/subQ!X30-1,"")</f>
        <v/>
      </c>
      <c r="Z37" s="22" t="n"/>
      <c r="AA37" s="21">
        <f>IFERROR(subQ!AA30/subQ!Y30-1,"")</f>
        <v/>
      </c>
      <c r="AB37" s="23">
        <f>IFERROR(subQ!AB30/subQ!AA30-1,"")</f>
        <v/>
      </c>
      <c r="AC37" s="32" t="n"/>
      <c r="AD37" s="32" t="n"/>
      <c r="AE37" s="25" t="n"/>
      <c r="AF37" s="32" t="n"/>
      <c r="AG37" s="32" t="n"/>
      <c r="AH37" s="32" t="n"/>
      <c r="AI37" s="32" t="n"/>
      <c r="AJ37" s="25" t="n"/>
      <c r="AK37" s="32" t="n"/>
      <c r="AL37" s="32" t="n"/>
      <c r="AM37" s="32" t="n"/>
      <c r="AN37" s="32" t="n"/>
      <c r="AO37" s="25" t="n"/>
    </row>
    <row r="38">
      <c r="A38" s="12" t="inlineStr">
        <is>
          <t>drv:CAPEX</t>
        </is>
      </c>
      <c r="B38" s="2" t="inlineStr">
        <is>
          <t>yoy</t>
        </is>
      </c>
      <c r="C38" t="inlineStr">
        <is>
          <t>CAPEX YoY</t>
        </is>
      </c>
      <c r="E38" s="21" t="n"/>
      <c r="F38" s="22" t="n"/>
      <c r="G38" s="21" t="n"/>
      <c r="H38" s="21" t="n"/>
      <c r="I38" s="21" t="n"/>
      <c r="J38" s="21">
        <f>IFERROR(subQ!J31/subQ!E31-1,"")</f>
        <v/>
      </c>
      <c r="K38" s="22" t="n"/>
      <c r="L38" s="21">
        <f>IFERROR(subQ!L31/subQ!G31-1,"")</f>
        <v/>
      </c>
      <c r="M38" s="21">
        <f>IFERROR(subQ!M31/subQ!H31-1,"")</f>
        <v/>
      </c>
      <c r="N38" s="21">
        <f>IFERROR(subQ!N31/subQ!I31-1,"")</f>
        <v/>
      </c>
      <c r="O38" s="21">
        <f>IFERROR(subQ!O31/subQ!J31-1,"")</f>
        <v/>
      </c>
      <c r="P38" s="22" t="n"/>
      <c r="Q38" s="21">
        <f>IFERROR(subQ!Q31/subQ!L31-1,"")</f>
        <v/>
      </c>
      <c r="R38" s="21">
        <f>IFERROR(subQ!R31/subQ!M31-1,"")</f>
        <v/>
      </c>
      <c r="S38" s="21">
        <f>IFERROR(subQ!S31/subQ!N31-1,"")</f>
        <v/>
      </c>
      <c r="T38" s="21">
        <f>IFERROR(subQ!T31/subQ!O31-1,"")</f>
        <v/>
      </c>
      <c r="U38" s="22" t="n"/>
      <c r="V38" s="21">
        <f>IFERROR(subQ!V31/subQ!Q31-1,"")</f>
        <v/>
      </c>
      <c r="W38" s="21">
        <f>IFERROR(subQ!W31/subQ!R31-1,"")</f>
        <v/>
      </c>
      <c r="X38" s="21">
        <f>IFERROR(subQ!X31/subQ!S31-1,"")</f>
        <v/>
      </c>
      <c r="Y38" s="21">
        <f>IFERROR(subQ!Y31/subQ!T31-1,"")</f>
        <v/>
      </c>
      <c r="Z38" s="22" t="n"/>
      <c r="AA38" s="21">
        <f>IFERROR(subQ!AA31/subQ!V31-1,"")</f>
        <v/>
      </c>
      <c r="AB38" s="23">
        <f>IFERROR(subQ!AB31/subQ!W31-1,"")</f>
        <v/>
      </c>
      <c r="AC38" s="24" t="n">
        <v>0.025046689</v>
      </c>
      <c r="AD38" s="24" t="n">
        <v>0.047030472</v>
      </c>
      <c r="AE38" s="25" t="n"/>
      <c r="AF38" s="24" t="n">
        <v>-0.468213186</v>
      </c>
      <c r="AG38" s="24" t="n">
        <v>-0.023896293</v>
      </c>
      <c r="AH38" s="24" t="n">
        <v>0</v>
      </c>
      <c r="AI38" s="24" t="n">
        <v>0</v>
      </c>
      <c r="AJ38" s="25" t="n"/>
      <c r="AK38" s="24" t="n">
        <v>0</v>
      </c>
      <c r="AL38" s="24" t="n">
        <v>0</v>
      </c>
      <c r="AM38" s="24" t="n">
        <v>0</v>
      </c>
      <c r="AN38" s="24" t="n">
        <v>0</v>
      </c>
      <c r="AO38" s="25" t="n"/>
    </row>
    <row r="39">
      <c r="A39" s="12" t="inlineStr">
        <is>
          <t>drv:영업활동현금흐름</t>
        </is>
      </c>
      <c r="B39" s="2" t="inlineStr">
        <is>
          <t>yoy</t>
        </is>
      </c>
      <c r="C39" t="inlineStr">
        <is>
          <t>영업활동현금흐름 YoY</t>
        </is>
      </c>
      <c r="E39" s="21" t="n"/>
      <c r="F39" s="22" t="n"/>
      <c r="G39" s="21" t="n"/>
      <c r="H39" s="21" t="n"/>
      <c r="I39" s="21" t="n"/>
      <c r="J39" s="21">
        <f>IFERROR(subQ!J32/subQ!E32-1,"")</f>
        <v/>
      </c>
      <c r="K39" s="22" t="n"/>
      <c r="L39" s="21">
        <f>IFERROR(subQ!L32/subQ!G32-1,"")</f>
        <v/>
      </c>
      <c r="M39" s="21">
        <f>IFERROR(subQ!M32/subQ!H32-1,"")</f>
        <v/>
      </c>
      <c r="N39" s="21">
        <f>IFERROR(subQ!N32/subQ!I32-1,"")</f>
        <v/>
      </c>
      <c r="O39" s="21">
        <f>IFERROR(subQ!O32/subQ!J32-1,"")</f>
        <v/>
      </c>
      <c r="P39" s="22" t="n"/>
      <c r="Q39" s="21">
        <f>IFERROR(subQ!Q32/subQ!L32-1,"")</f>
        <v/>
      </c>
      <c r="R39" s="21">
        <f>IFERROR(subQ!R32/subQ!M32-1,"")</f>
        <v/>
      </c>
      <c r="S39" s="21">
        <f>IFERROR(subQ!S32/subQ!N32-1,"")</f>
        <v/>
      </c>
      <c r="T39" s="21">
        <f>IFERROR(subQ!T32/subQ!O32-1,"")</f>
        <v/>
      </c>
      <c r="U39" s="22" t="n"/>
      <c r="V39" s="21">
        <f>IFERROR(subQ!V32/subQ!Q32-1,"")</f>
        <v/>
      </c>
      <c r="W39" s="21">
        <f>IFERROR(subQ!W32/subQ!R32-1,"")</f>
        <v/>
      </c>
      <c r="X39" s="21">
        <f>IFERROR(subQ!X32/subQ!S32-1,"")</f>
        <v/>
      </c>
      <c r="Y39" s="21">
        <f>IFERROR(subQ!Y32/subQ!T32-1,"")</f>
        <v/>
      </c>
      <c r="Z39" s="22" t="n"/>
      <c r="AA39" s="21">
        <f>IFERROR(subQ!AA32/subQ!V32-1,"")</f>
        <v/>
      </c>
      <c r="AB39" s="23">
        <f>IFERROR(subQ!AB32/subQ!W32-1,"")</f>
        <v/>
      </c>
      <c r="AC39" s="32" t="n"/>
      <c r="AD39" s="32" t="n"/>
      <c r="AE39" s="25" t="n"/>
      <c r="AF39" s="32" t="n"/>
      <c r="AG39" s="32" t="n"/>
      <c r="AH39" s="32" t="n"/>
      <c r="AI39" s="32" t="n"/>
      <c r="AJ39" s="25" t="n"/>
      <c r="AK39" s="32" t="n"/>
      <c r="AL39" s="32" t="n"/>
      <c r="AM39" s="32" t="n"/>
      <c r="AN39" s="32" t="n"/>
      <c r="AO39" s="25" t="n"/>
    </row>
    <row r="40">
      <c r="A40" s="12" t="inlineStr">
        <is>
          <t>drv:주식수</t>
        </is>
      </c>
      <c r="B40" s="2" t="inlineStr">
        <is>
          <t>qoq</t>
        </is>
      </c>
      <c r="C40" t="inlineStr">
        <is>
          <t>주식수 QoQ</t>
        </is>
      </c>
      <c r="E40" s="21" t="n"/>
      <c r="F40" s="22" t="n"/>
      <c r="G40" s="21">
        <f>IFERROR(subQ!G33/subQ!E33-1,"")</f>
        <v/>
      </c>
      <c r="H40" s="21">
        <f>IFERROR(subQ!H33/subQ!G33-1,"")</f>
        <v/>
      </c>
      <c r="I40" s="21">
        <f>IFERROR(subQ!I33/subQ!H33-1,"")</f>
        <v/>
      </c>
      <c r="J40" s="21">
        <f>IFERROR(subQ!J33/subQ!I33-1,"")</f>
        <v/>
      </c>
      <c r="K40" s="22" t="n"/>
      <c r="L40" s="21">
        <f>IFERROR(subQ!L33/subQ!J33-1,"")</f>
        <v/>
      </c>
      <c r="M40" s="21">
        <f>IFERROR(subQ!M33/subQ!L33-1,"")</f>
        <v/>
      </c>
      <c r="N40" s="21">
        <f>IFERROR(subQ!N33/subQ!M33-1,"")</f>
        <v/>
      </c>
      <c r="O40" s="21">
        <f>IFERROR(subQ!O33/subQ!N33-1,"")</f>
        <v/>
      </c>
      <c r="P40" s="22" t="n"/>
      <c r="Q40" s="21">
        <f>IFERROR(subQ!Q33/subQ!O33-1,"")</f>
        <v/>
      </c>
      <c r="R40" s="21">
        <f>IFERROR(subQ!R33/subQ!Q33-1,"")</f>
        <v/>
      </c>
      <c r="S40" s="21">
        <f>IFERROR(subQ!S33/subQ!R33-1,"")</f>
        <v/>
      </c>
      <c r="T40" s="21">
        <f>IFERROR(subQ!T33/subQ!S33-1,"")</f>
        <v/>
      </c>
      <c r="U40" s="22" t="n"/>
      <c r="V40" s="21">
        <f>IFERROR(subQ!V33/subQ!T33-1,"")</f>
        <v/>
      </c>
      <c r="W40" s="21">
        <f>IFERROR(subQ!W33/subQ!V33-1,"")</f>
        <v/>
      </c>
      <c r="X40" s="21">
        <f>IFERROR(subQ!X33/subQ!W33-1,"")</f>
        <v/>
      </c>
      <c r="Y40" s="21">
        <f>IFERROR(subQ!Y33/subQ!X33-1,"")</f>
        <v/>
      </c>
      <c r="Z40" s="22" t="n"/>
      <c r="AA40" s="21">
        <f>IFERROR(subQ!AA33/subQ!Y33-1,"")</f>
        <v/>
      </c>
      <c r="AB40" s="23">
        <f>IFERROR(subQ!AB33/subQ!AA33-1,"")</f>
        <v/>
      </c>
      <c r="AC40" s="24" t="n">
        <v>0</v>
      </c>
      <c r="AD40" s="24" t="n">
        <v>0</v>
      </c>
      <c r="AE40" s="25" t="n"/>
      <c r="AF40" s="24" t="n">
        <v>0</v>
      </c>
      <c r="AG40" s="24" t="n">
        <v>0</v>
      </c>
      <c r="AH40" s="24" t="n">
        <v>0</v>
      </c>
      <c r="AI40" s="24" t="n">
        <v>0</v>
      </c>
      <c r="AJ40" s="25" t="n"/>
      <c r="AK40" s="24" t="n">
        <v>0</v>
      </c>
      <c r="AL40" s="24" t="n">
        <v>0</v>
      </c>
      <c r="AM40" s="24" t="n">
        <v>0</v>
      </c>
      <c r="AN40" s="24" t="n">
        <v>0</v>
      </c>
      <c r="AO40" s="25" t="n"/>
    </row>
    <row r="41">
      <c r="A41" s="12" t="inlineStr">
        <is>
          <t>drv:DPS</t>
        </is>
      </c>
      <c r="B41" s="2" t="inlineStr">
        <is>
          <t>abs</t>
        </is>
      </c>
      <c r="C41" t="inlineStr">
        <is>
          <t>DPS (가정, 원)</t>
        </is>
      </c>
      <c r="E41" s="27">
        <f>subQ!E36</f>
        <v/>
      </c>
      <c r="F41" s="28">
        <f>subQ!F36</f>
        <v/>
      </c>
      <c r="G41" s="27">
        <f>subQ!G36</f>
        <v/>
      </c>
      <c r="H41" s="27">
        <f>subQ!H36</f>
        <v/>
      </c>
      <c r="I41" s="27">
        <f>subQ!I36</f>
        <v/>
      </c>
      <c r="J41" s="27">
        <f>subQ!J36</f>
        <v/>
      </c>
      <c r="K41" s="28">
        <f>subQ!K36</f>
        <v/>
      </c>
      <c r="L41" s="27">
        <f>subQ!L36</f>
        <v/>
      </c>
      <c r="M41" s="27">
        <f>subQ!M36</f>
        <v/>
      </c>
      <c r="N41" s="27">
        <f>subQ!N36</f>
        <v/>
      </c>
      <c r="O41" s="27">
        <f>subQ!O36</f>
        <v/>
      </c>
      <c r="P41" s="28">
        <f>subQ!P36</f>
        <v/>
      </c>
      <c r="Q41" s="27">
        <f>subQ!Q36</f>
        <v/>
      </c>
      <c r="R41" s="27">
        <f>subQ!R36</f>
        <v/>
      </c>
      <c r="S41" s="27">
        <f>subQ!S36</f>
        <v/>
      </c>
      <c r="T41" s="27">
        <f>subQ!T36</f>
        <v/>
      </c>
      <c r="U41" s="28">
        <f>subQ!U36</f>
        <v/>
      </c>
      <c r="V41" s="27">
        <f>subQ!V36</f>
        <v/>
      </c>
      <c r="W41" s="27">
        <f>subQ!W36</f>
        <v/>
      </c>
      <c r="X41" s="27">
        <f>subQ!X36</f>
        <v/>
      </c>
      <c r="Y41" s="27">
        <f>subQ!Y36</f>
        <v/>
      </c>
      <c r="Z41" s="28">
        <f>subQ!Z36</f>
        <v/>
      </c>
      <c r="AA41" s="27">
        <f>subQ!AA36</f>
        <v/>
      </c>
      <c r="AB41" s="29">
        <f>subQ!AB36</f>
        <v/>
      </c>
      <c r="AC41" s="33" t="n"/>
      <c r="AD41" s="30" t="n">
        <v>0</v>
      </c>
      <c r="AE41" s="31">
        <f>subQ!AE36</f>
        <v/>
      </c>
      <c r="AF41" s="33" t="n"/>
      <c r="AG41" s="33" t="n"/>
      <c r="AH41" s="33" t="n"/>
      <c r="AI41" s="30" t="n">
        <v>0</v>
      </c>
      <c r="AJ41" s="31">
        <f>subQ!AJ36</f>
        <v/>
      </c>
      <c r="AK41" s="33" t="n"/>
      <c r="AL41" s="33" t="n"/>
      <c r="AM41" s="33" t="n"/>
      <c r="AN41" s="30" t="n">
        <v>0</v>
      </c>
      <c r="AO41" s="31">
        <f>subQ!AO36</f>
        <v/>
      </c>
    </row>
    <row r="42">
      <c r="F42" s="9" t="n"/>
      <c r="K42" s="9" t="n"/>
      <c r="P42" s="9" t="n"/>
      <c r="U42" s="9" t="n"/>
      <c r="Z42" s="9" t="n"/>
      <c r="AB42" s="5" t="n"/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B43" s="1" t="inlineStr">
        <is>
          <t>3. 밸류에이션·스칼라</t>
        </is>
      </c>
      <c r="C43" s="2" t="inlineStr">
        <is>
          <t>노란 셀 = 가정. '연결' 표시는 추정 전 분기 수식이 이 셀을 참조한다는 뜻</t>
        </is>
      </c>
      <c r="F43" s="9" t="n"/>
      <c r="K43" s="9" t="n"/>
      <c r="P43" s="9" t="n"/>
      <c r="U43" s="9" t="n"/>
      <c r="Z43" s="9" t="n"/>
      <c r="AB43" s="5" t="n"/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s="12" t="inlineStr">
        <is>
          <t>sc:종가</t>
        </is>
      </c>
      <c r="C44" t="inlineStr">
        <is>
          <t>종가</t>
        </is>
      </c>
      <c r="D44" s="34" t="n">
        <v>2200</v>
      </c>
      <c r="E44" s="2" t="inlineStr">
        <is>
          <t>원 — 네이버 정규장 종가(aik 확정종가 대조 · aik 2,300원)</t>
        </is>
      </c>
      <c r="F44" s="9" t="n"/>
      <c r="K44" s="9" t="n"/>
      <c r="P44" s="9" t="n"/>
      <c r="U44" s="9" t="n"/>
      <c r="Z44" s="9" t="n"/>
      <c r="AB44" s="5" t="n"/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s="12" t="inlineStr">
        <is>
          <t>sc:기준일</t>
        </is>
      </c>
      <c r="C45" t="inlineStr">
        <is>
          <t>기준일</t>
        </is>
      </c>
      <c r="D45" s="35" t="inlineStr">
        <is>
          <t>20261013</t>
        </is>
      </c>
      <c r="E45" s="2" t="inlineStr">
        <is>
          <t>종가 기준일</t>
        </is>
      </c>
      <c r="F45" s="9" t="n"/>
      <c r="K45" s="9" t="n"/>
      <c r="P45" s="9" t="n"/>
      <c r="U45" s="9" t="n"/>
      <c r="Z45" s="9" t="n"/>
      <c r="AB45" s="5" t="n"/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s="12" t="inlineStr">
        <is>
          <t>sc:COE</t>
        </is>
      </c>
      <c r="C46" t="inlineStr">
        <is>
          <t>COE</t>
        </is>
      </c>
      <c r="D46" s="24" t="n">
        <v>0.09</v>
      </c>
      <c r="E46" s="2" t="inlineStr">
        <is>
          <t>자기자본비용(가정) — TP 적정 PBR = ROE/COE</t>
        </is>
      </c>
      <c r="F46" s="9" t="n"/>
      <c r="K46" s="9" t="n"/>
      <c r="P46" s="9" t="n"/>
      <c r="U46" s="9" t="n"/>
      <c r="Z46" s="9" t="n"/>
      <c r="AB46" s="5" t="n"/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s="12" t="inlineStr">
        <is>
          <t>sc:PER_lo</t>
        </is>
      </c>
      <c r="C47" t="inlineStr">
        <is>
          <t>PER_lo</t>
        </is>
      </c>
      <c r="D47" s="30" t="n">
        <v>16.5</v>
      </c>
      <c r="E47" s="2" t="inlineStr">
        <is>
          <t>PER 밴드 하단(배) — hist_quarterly(분기 평균가 ÷ TTM EPS, 8분기, 25/50/75 백분위) · 캡 5~30배 적용(원값 16.5/18.9/269.8)</t>
        </is>
      </c>
      <c r="F47" s="9" t="n"/>
      <c r="K47" s="9" t="n"/>
      <c r="P47" s="9" t="n"/>
      <c r="U47" s="9" t="n"/>
      <c r="Z47" s="9" t="n"/>
      <c r="AB47" s="5" t="n"/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s="12" t="inlineStr">
        <is>
          <t>sc:PER_mid</t>
        </is>
      </c>
      <c r="C48" t="inlineStr">
        <is>
          <t>PER_mid</t>
        </is>
      </c>
      <c r="D48" s="30" t="n">
        <v>18.9</v>
      </c>
      <c r="E48" s="2" t="inlineStr">
        <is>
          <t>PER 밴드 중단(배)</t>
        </is>
      </c>
      <c r="F48" s="9" t="n"/>
      <c r="K48" s="9" t="n"/>
      <c r="P48" s="9" t="n"/>
      <c r="U48" s="9" t="n"/>
      <c r="Z48" s="9" t="n"/>
      <c r="AB48" s="5" t="n"/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s="12" t="inlineStr">
        <is>
          <t>sc:PER_hi</t>
        </is>
      </c>
      <c r="C49" t="inlineStr">
        <is>
          <t>PER_hi</t>
        </is>
      </c>
      <c r="D49" s="30" t="n">
        <v>30</v>
      </c>
      <c r="E49" s="2" t="inlineStr">
        <is>
          <t>PER 밴드 상단(배)</t>
        </is>
      </c>
      <c r="F49" s="9" t="n"/>
      <c r="K49" s="9" t="n"/>
      <c r="P49" s="9" t="n"/>
      <c r="U49" s="9" t="n"/>
      <c r="Z49" s="9" t="n"/>
      <c r="AB49" s="5" t="n"/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s="12" t="inlineStr">
        <is>
          <t>sc:EPS_Y1가중</t>
        </is>
      </c>
      <c r="C50" t="inlineStr">
        <is>
          <t>EPS_Y1가중</t>
        </is>
      </c>
      <c r="D50" s="24" t="n">
        <v>0.5</v>
      </c>
      <c r="E50" s="2" t="inlineStr">
        <is>
          <t>12M fwd EPS = FY(last_actual연도)E × w + FY+1E × (1−w) — 기준 분기 2Q 이면 0.5(가정)</t>
        </is>
      </c>
      <c r="F50" s="9" t="n"/>
      <c r="K50" s="9" t="n"/>
      <c r="P50" s="9" t="n"/>
      <c r="U50" s="9" t="n"/>
      <c r="Z50" s="9" t="n"/>
      <c r="AB50" s="5" t="n"/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s="12" t="inlineStr">
        <is>
          <t>sc:세율</t>
        </is>
      </c>
      <c r="C51" t="inlineStr">
        <is>
          <t>세율</t>
        </is>
      </c>
      <c r="D51" s="36" t="n">
        <v>0.2094779682241528</v>
      </c>
      <c r="E51" s="2" t="inlineStr">
        <is>
          <t>연결 — 법인세 = MAX(세전,0) × 세율(역산, 재현 오차 ≤ 0.05억 · 모델 assumptions 0.2094) · 최근 12분기 유효세율 214.5% 가 5~27% 밖 → 클립 대신 최근 8분기 중 세전 &gt; 0 인 3분기(2025Q2~2026Q2)의 법인세/세전 중위 20.9%</t>
        </is>
      </c>
      <c r="F51" s="9" t="n"/>
      <c r="K51" s="9" t="n"/>
      <c r="P51" s="9" t="n"/>
      <c r="U51" s="9" t="n"/>
      <c r="Z51" s="9" t="n"/>
      <c r="AB51" s="5" t="n"/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s="12" t="inlineStr">
        <is>
          <t>sc:판관비율</t>
        </is>
      </c>
      <c r="C52" t="inlineStr">
        <is>
          <t>판관비율</t>
        </is>
      </c>
      <c r="D52" s="36" t="n">
        <v>0.07949494349779335</v>
      </c>
      <c r="E52" s="2" t="inlineStr">
        <is>
          <t>연결 — 판관비 = 매출액 × 판관비율(역산, 재현 오차 ≤ 0.05억 · 모델 assumptions 0.0795)</t>
        </is>
      </c>
      <c r="F52" s="9" t="n"/>
      <c r="K52" s="9" t="n"/>
      <c r="P52" s="9" t="n"/>
      <c r="U52" s="9" t="n"/>
      <c r="Z52" s="9" t="n"/>
      <c r="AB52" s="5" t="n"/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s="12" t="inlineStr">
        <is>
          <t>sc:지배주주비중</t>
        </is>
      </c>
      <c r="C53" t="inlineStr">
        <is>
          <t>지배주주비중</t>
        </is>
      </c>
      <c r="D53" s="36" t="n">
        <v>0.4000395980794931</v>
      </c>
      <c r="E53" s="2" t="inlineStr">
        <is>
          <t>연결 — 지배주주순이익 = 당기순이익 × 비중(역산, 재현 오차 ≤ 0.05억)</t>
        </is>
      </c>
      <c r="F53" s="9" t="n"/>
      <c r="K53" s="9" t="n"/>
      <c r="P53" s="9" t="n"/>
      <c r="U53" s="9" t="n"/>
      <c r="Z53" s="9" t="n"/>
      <c r="AB53" s="5" t="n"/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s="12" t="inlineStr">
        <is>
          <t>sc:이자율_자산</t>
        </is>
      </c>
      <c r="C54" t="inlineStr">
        <is>
          <t>이자율_자산</t>
        </is>
      </c>
      <c r="D54" s="36" t="n">
        <v>0.01418341974327973</v>
      </c>
      <c r="E54" s="2" t="inlineStr">
        <is>
          <t>연결 — 이자손익 = (전분기 이자발생자산 × 자산이자율 − 전분기 총차입금 × 부채이자율)/4(역산, 재현 오차 ≤ 0.05억 · 모델 assumptions 0.0142)</t>
        </is>
      </c>
      <c r="F54" s="9" t="n"/>
      <c r="K54" s="9" t="n"/>
      <c r="P54" s="9" t="n"/>
      <c r="U54" s="9" t="n"/>
      <c r="Z54" s="9" t="n"/>
      <c r="AB54" s="5" t="n"/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s="12" t="inlineStr">
        <is>
          <t>sc:이자율_부채</t>
        </is>
      </c>
      <c r="C55" t="inlineStr">
        <is>
          <t>이자율_부채</t>
        </is>
      </c>
      <c r="D55" s="36" t="n">
        <v>0.02682409884577916</v>
      </c>
      <c r="E55" s="2" t="inlineStr">
        <is>
          <t>연결 — 같은 수식의 부채 쪽(총차입금 행이 없으면 0)(역산, 재현 오차 ≤ 0.05억 · 모델 assumptions 0.0268)</t>
        </is>
      </c>
      <c r="F55" s="9" t="n"/>
      <c r="K55" s="9" t="n"/>
      <c r="P55" s="9" t="n"/>
      <c r="U55" s="9" t="n"/>
      <c r="Z55" s="9" t="n"/>
      <c r="AB55" s="5" t="n"/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s="12" t="inlineStr">
        <is>
          <t>sc:배당성향</t>
        </is>
      </c>
      <c r="C56" t="inlineStr">
        <is>
          <t>배당성향</t>
        </is>
      </c>
      <c r="D56" s="24" t="n">
        <v>0</v>
      </c>
      <c r="E56" s="2" t="inlineStr">
        <is>
          <t>배당성향(참고 — 모델은 직전 DPS 유지·Q2 지급 가정)</t>
        </is>
      </c>
      <c r="F56" s="9" t="n"/>
      <c r="K56" s="9" t="n"/>
      <c r="P56" s="9" t="n"/>
      <c r="U56" s="9" t="n"/>
      <c r="Z56" s="9" t="n"/>
      <c r="AB56" s="5" t="n"/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s="12" t="inlineStr">
        <is>
          <t>sc:외화순노출_백만$</t>
        </is>
      </c>
      <c r="C57" t="inlineStr">
        <is>
          <t>외화순노출_백만$</t>
        </is>
      </c>
      <c r="D57" s="30" t="n"/>
      <c r="E57" s="2" t="inlineStr">
        <is>
          <t>외화 순노출 × Δ기말환율 (외화 시트 방식) — 외화 순노출 미공시(face) → 0 + 표기</t>
        </is>
      </c>
      <c r="F57" s="9" t="n"/>
      <c r="K57" s="9" t="n"/>
      <c r="P57" s="9" t="n"/>
      <c r="U57" s="9" t="n"/>
      <c r="Z57" s="9" t="n"/>
      <c r="AB57" s="5" t="n"/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s="12" t="inlineStr">
        <is>
          <t>sc:헤지비율</t>
        </is>
      </c>
      <c r="C58" t="inlineStr">
        <is>
          <t>헤지비율</t>
        </is>
      </c>
      <c r="D58" s="24" t="n"/>
      <c r="E58" s="2" t="inlineStr">
        <is>
          <t>sls 없음</t>
        </is>
      </c>
      <c r="F58" s="9" t="n"/>
      <c r="K58" s="9" t="n"/>
      <c r="P58" s="9" t="n"/>
      <c r="U58" s="9" t="n"/>
      <c r="Z58" s="9" t="n"/>
      <c r="AB58" s="5" t="n"/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  <row r="59">
      <c r="A59" s="12" t="inlineStr">
        <is>
          <t>sc:헤지환율_약정</t>
        </is>
      </c>
      <c r="C59" t="inlineStr">
        <is>
          <t>헤지환율_약정</t>
        </is>
      </c>
      <c r="D59" s="16" t="n"/>
      <c r="E59" s="2" t="inlineStr">
        <is>
          <t>sls 없음</t>
        </is>
      </c>
      <c r="F59" s="9" t="n"/>
      <c r="K59" s="9" t="n"/>
      <c r="P59" s="9" t="n"/>
      <c r="U59" s="9" t="n"/>
      <c r="Z59" s="9" t="n"/>
      <c r="AB59" s="5" t="n"/>
      <c r="AC59" s="10" t="n"/>
      <c r="AD59" s="10" t="n"/>
      <c r="AE59" s="11" t="n"/>
      <c r="AF59" s="10" t="n"/>
      <c r="AG59" s="10" t="n"/>
      <c r="AH59" s="10" t="n"/>
      <c r="AI59" s="10" t="n"/>
      <c r="AJ59" s="11" t="n"/>
      <c r="AK59" s="10" t="n"/>
      <c r="AL59" s="10" t="n"/>
      <c r="AM59" s="10" t="n"/>
      <c r="AN59" s="10" t="n"/>
      <c r="AO59" s="11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04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B1" s="2" t="inlineStr">
        <is>
          <t>(백만원)</t>
        </is>
      </c>
      <c r="C1" s="2" t="inlineStr">
        <is>
          <t>이름: BS연결H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B2" t="inlineStr">
        <is>
          <t>연결</t>
        </is>
      </c>
      <c r="D2" s="2" t="inlineStr">
        <is>
          <t>fin json(kship_fin.py)</t>
        </is>
      </c>
      <c r="AB2" s="5" t="n"/>
    </row>
    <row r="3">
      <c r="B3" t="inlineStr">
        <is>
          <t>한국선재(연)</t>
        </is>
      </c>
      <c r="C3" s="2" t="inlineStr">
        <is>
          <t>UPDATE: 26-10-13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B4" s="2" t="inlineStr">
        <is>
          <t>Account Code</t>
        </is>
      </c>
      <c r="C4" s="2" t="inlineStr">
        <is>
          <t>AccountNAME</t>
        </is>
      </c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t="n">
        <v>1</v>
      </c>
      <c r="C5" t="inlineStr">
        <is>
          <t>유동자산</t>
        </is>
      </c>
      <c r="E5" s="18" t="n">
        <v>128783.58</v>
      </c>
      <c r="F5" s="37" t="n">
        <v>128783.58</v>
      </c>
      <c r="G5" s="18" t="n">
        <v>120306.92</v>
      </c>
      <c r="H5" s="18" t="n">
        <v>131396.07</v>
      </c>
      <c r="I5" s="18" t="n">
        <v>134033.31</v>
      </c>
      <c r="J5" s="18" t="n">
        <v>133702.02</v>
      </c>
      <c r="K5" s="37" t="n">
        <v>133702.02</v>
      </c>
      <c r="L5" s="18" t="n">
        <v>141614.08</v>
      </c>
      <c r="M5" s="18" t="n">
        <v>145407.39</v>
      </c>
      <c r="N5" s="18" t="n">
        <v>142787.04</v>
      </c>
      <c r="O5" s="18" t="n">
        <v>136603.81</v>
      </c>
      <c r="P5" s="37" t="n">
        <v>136603.81</v>
      </c>
      <c r="Q5" s="18" t="n">
        <v>142221.05</v>
      </c>
      <c r="R5" s="18" t="n">
        <v>140110.2</v>
      </c>
      <c r="S5" s="18" t="n">
        <v>126204.84</v>
      </c>
      <c r="T5" s="18" t="n">
        <v>135071.57</v>
      </c>
      <c r="U5" s="37" t="n">
        <v>135071.57</v>
      </c>
      <c r="V5" s="18" t="n">
        <v>139396.69</v>
      </c>
      <c r="W5" s="18" t="n">
        <v>136584.72</v>
      </c>
      <c r="X5" s="18" t="n">
        <v>136085.34</v>
      </c>
      <c r="Y5" s="18" t="n">
        <v>159679.18</v>
      </c>
      <c r="Z5" s="37" t="n">
        <v>159679.18</v>
      </c>
      <c r="AA5" s="18" t="n">
        <v>168118.69</v>
      </c>
      <c r="AB5" s="19" t="n">
        <v>158387.87</v>
      </c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t="n">
        <v>1</v>
      </c>
      <c r="C6" t="inlineStr">
        <is>
          <t>현금및현금성자산</t>
        </is>
      </c>
      <c r="E6" s="18" t="n">
        <v>13747.89</v>
      </c>
      <c r="F6" s="37" t="n">
        <v>13747.89</v>
      </c>
      <c r="G6" s="18" t="n">
        <v>15481.2</v>
      </c>
      <c r="H6" s="18" t="n">
        <v>6807.06</v>
      </c>
      <c r="I6" s="18" t="n">
        <v>8409.030000000001</v>
      </c>
      <c r="J6" s="18" t="n">
        <v>10624.64</v>
      </c>
      <c r="K6" s="37" t="n">
        <v>10624.64</v>
      </c>
      <c r="L6" s="18" t="n">
        <v>5378.3</v>
      </c>
      <c r="M6" s="18" t="n">
        <v>6760.54</v>
      </c>
      <c r="N6" s="18" t="n">
        <v>8304.65</v>
      </c>
      <c r="O6" s="18" t="n">
        <v>17625.28</v>
      </c>
      <c r="P6" s="37" t="n">
        <v>17625.28</v>
      </c>
      <c r="Q6" s="18" t="n">
        <v>14072.42</v>
      </c>
      <c r="R6" s="18" t="n">
        <v>12155.05</v>
      </c>
      <c r="S6" s="18" t="n">
        <v>12829.42</v>
      </c>
      <c r="T6" s="18" t="n">
        <v>11545.19</v>
      </c>
      <c r="U6" s="37" t="n">
        <v>11545.19</v>
      </c>
      <c r="V6" s="18" t="n">
        <v>13828.71</v>
      </c>
      <c r="W6" s="18" t="n">
        <v>7134.25</v>
      </c>
      <c r="X6" s="18" t="n">
        <v>6909.09</v>
      </c>
      <c r="Y6" s="18" t="n">
        <v>30670.84</v>
      </c>
      <c r="Z6" s="37" t="n">
        <v>30670.84</v>
      </c>
      <c r="AA6" s="18" t="n">
        <v>19668.35</v>
      </c>
      <c r="AB6" s="19" t="n">
        <v>22556.87</v>
      </c>
      <c r="AC6" s="10" t="n"/>
      <c r="AD6" s="10" t="n"/>
      <c r="AE6" s="11" t="n"/>
      <c r="AF6" s="10" t="n"/>
      <c r="AG6" s="10" t="n"/>
      <c r="AH6" s="10" t="n"/>
      <c r="AI6" s="10" t="n"/>
      <c r="AJ6" s="11" t="n"/>
      <c r="AK6" s="10" t="n"/>
      <c r="AL6" s="10" t="n"/>
      <c r="AM6" s="10" t="n"/>
      <c r="AN6" s="10" t="n"/>
      <c r="AO6" s="11" t="n"/>
    </row>
    <row r="7">
      <c r="A7" t="n">
        <v>1</v>
      </c>
      <c r="C7" t="inlineStr">
        <is>
          <t>매출채권및기타채권</t>
        </is>
      </c>
      <c r="E7" s="18" t="n">
        <v>30020.98</v>
      </c>
      <c r="F7" s="37" t="n">
        <v>30020.98</v>
      </c>
      <c r="G7" s="18" t="n">
        <v>34467.9</v>
      </c>
      <c r="H7" s="18" t="n">
        <v>33354.23</v>
      </c>
      <c r="I7" s="18" t="n">
        <v>37882.07</v>
      </c>
      <c r="J7" s="18" t="n">
        <v>37004.14</v>
      </c>
      <c r="K7" s="37" t="n">
        <v>37004.14</v>
      </c>
      <c r="L7" s="18" t="n">
        <v>40241.39</v>
      </c>
      <c r="M7" s="18" t="n">
        <v>38813.57</v>
      </c>
      <c r="N7" s="18" t="n">
        <v>42333.99</v>
      </c>
      <c r="O7" s="18" t="n">
        <v>37036.62</v>
      </c>
      <c r="P7" s="37" t="n">
        <v>37036.62</v>
      </c>
      <c r="Q7" s="18" t="n">
        <v>34665.73</v>
      </c>
      <c r="R7" s="18" t="n">
        <v>39956.6</v>
      </c>
      <c r="S7" s="18" t="n">
        <v>34878.15</v>
      </c>
      <c r="T7" s="18" t="n">
        <v>38211.65</v>
      </c>
      <c r="U7" s="37" t="n">
        <v>38211.65</v>
      </c>
      <c r="V7" s="18" t="n">
        <v>35341.44</v>
      </c>
      <c r="W7" s="18" t="n">
        <v>35732.61</v>
      </c>
      <c r="X7" s="18" t="n">
        <v>36441.44</v>
      </c>
      <c r="Y7" s="18" t="n">
        <v>37383.56</v>
      </c>
      <c r="Z7" s="37" t="n">
        <v>37383.56</v>
      </c>
      <c r="AA7" s="18" t="n">
        <v>42704.15</v>
      </c>
      <c r="AB7" s="19" t="n">
        <v>46207</v>
      </c>
      <c r="AC7" s="10" t="n"/>
      <c r="AD7" s="10" t="n"/>
      <c r="AE7" s="11" t="n"/>
      <c r="AF7" s="10" t="n"/>
      <c r="AG7" s="10" t="n"/>
      <c r="AH7" s="10" t="n"/>
      <c r="AI7" s="10" t="n"/>
      <c r="AJ7" s="11" t="n"/>
      <c r="AK7" s="10" t="n"/>
      <c r="AL7" s="10" t="n"/>
      <c r="AM7" s="10" t="n"/>
      <c r="AN7" s="10" t="n"/>
      <c r="AO7" s="11" t="n"/>
    </row>
    <row r="8">
      <c r="A8" t="n">
        <v>1</v>
      </c>
      <c r="C8" t="inlineStr">
        <is>
          <t>재고자산</t>
        </is>
      </c>
      <c r="E8" s="18" t="n">
        <v>67720.78</v>
      </c>
      <c r="F8" s="37" t="n">
        <v>67720.78</v>
      </c>
      <c r="G8" s="18" t="n">
        <v>68763.07000000001</v>
      </c>
      <c r="H8" s="18" t="n">
        <v>87510.11</v>
      </c>
      <c r="I8" s="18" t="n">
        <v>84232.85000000001</v>
      </c>
      <c r="J8" s="18" t="n">
        <v>83764.55</v>
      </c>
      <c r="K8" s="37" t="n">
        <v>83764.55</v>
      </c>
      <c r="L8" s="18" t="n">
        <v>93458.61</v>
      </c>
      <c r="M8" s="18" t="n">
        <v>97535.85000000001</v>
      </c>
      <c r="N8" s="18" t="n">
        <v>90942.64999999999</v>
      </c>
      <c r="O8" s="18" t="n">
        <v>80846.32000000001</v>
      </c>
      <c r="P8" s="37" t="n">
        <v>80846.32000000001</v>
      </c>
      <c r="Q8" s="18" t="n">
        <v>90196.25</v>
      </c>
      <c r="R8" s="18" t="n">
        <v>87004.8</v>
      </c>
      <c r="S8" s="18" t="n">
        <v>77560.77</v>
      </c>
      <c r="T8" s="18" t="n">
        <v>84041.37</v>
      </c>
      <c r="U8" s="37" t="n">
        <v>84041.37</v>
      </c>
      <c r="V8" s="18" t="n">
        <v>72455.67999999999</v>
      </c>
      <c r="W8" s="18" t="n">
        <v>80046.91</v>
      </c>
      <c r="X8" s="18" t="n">
        <v>86785.69</v>
      </c>
      <c r="Y8" s="18" t="n">
        <v>86092.85000000001</v>
      </c>
      <c r="Z8" s="37" t="n">
        <v>86092.85000000001</v>
      </c>
      <c r="AA8" s="18" t="n">
        <v>86684.45</v>
      </c>
      <c r="AB8" s="19" t="n">
        <v>87679.63</v>
      </c>
      <c r="AC8" s="10" t="n"/>
      <c r="AD8" s="10" t="n"/>
      <c r="AE8" s="11" t="n"/>
      <c r="AF8" s="10" t="n"/>
      <c r="AG8" s="10" t="n"/>
      <c r="AH8" s="10" t="n"/>
      <c r="AI8" s="10" t="n"/>
      <c r="AJ8" s="11" t="n"/>
      <c r="AK8" s="10" t="n"/>
      <c r="AL8" s="10" t="n"/>
      <c r="AM8" s="10" t="n"/>
      <c r="AN8" s="10" t="n"/>
      <c r="AO8" s="11" t="n"/>
    </row>
    <row r="9">
      <c r="A9" t="n">
        <v>1</v>
      </c>
      <c r="C9" t="inlineStr">
        <is>
          <t>기타유동금융자산</t>
        </is>
      </c>
      <c r="E9" s="18" t="n">
        <v>297.98</v>
      </c>
      <c r="F9" s="37" t="n">
        <v>297.98</v>
      </c>
      <c r="G9" s="18" t="n">
        <v>298.73</v>
      </c>
      <c r="H9" s="18" t="n">
        <v>299.72</v>
      </c>
      <c r="I9" s="18" t="n">
        <v>2069.66</v>
      </c>
      <c r="J9" s="18" t="n">
        <v>409.71</v>
      </c>
      <c r="K9" s="37" t="n">
        <v>409.71</v>
      </c>
      <c r="L9" s="18" t="n">
        <v>389.79</v>
      </c>
      <c r="M9" s="18" t="n">
        <v>392.66</v>
      </c>
      <c r="P9" s="9" t="n"/>
      <c r="U9" s="9" t="n"/>
      <c r="Y9" s="18" t="n">
        <v>2441.98</v>
      </c>
      <c r="Z9" s="37" t="n">
        <v>2441.98</v>
      </c>
      <c r="AA9" s="18" t="n">
        <v>8331.42</v>
      </c>
      <c r="AB9" s="5" t="n"/>
      <c r="AC9" s="10" t="n"/>
      <c r="AD9" s="10" t="n"/>
      <c r="AE9" s="11" t="n"/>
      <c r="AF9" s="10" t="n"/>
      <c r="AG9" s="10" t="n"/>
      <c r="AH9" s="10" t="n"/>
      <c r="AI9" s="10" t="n"/>
      <c r="AJ9" s="11" t="n"/>
      <c r="AK9" s="10" t="n"/>
      <c r="AL9" s="10" t="n"/>
      <c r="AM9" s="10" t="n"/>
      <c r="AN9" s="10" t="n"/>
      <c r="AO9" s="11" t="n"/>
    </row>
    <row r="10">
      <c r="A10" t="n">
        <v>1</v>
      </c>
      <c r="C10" t="inlineStr">
        <is>
          <t>기타유동자산</t>
        </is>
      </c>
      <c r="E10" s="18" t="n">
        <v>1046.73</v>
      </c>
      <c r="F10" s="37" t="n">
        <v>1046.73</v>
      </c>
      <c r="G10" s="18" t="n">
        <v>1296.03</v>
      </c>
      <c r="H10" s="18" t="n">
        <v>3424.94</v>
      </c>
      <c r="I10" s="18" t="n">
        <v>1439.7</v>
      </c>
      <c r="J10" s="18" t="n">
        <v>1898.97</v>
      </c>
      <c r="K10" s="37" t="n">
        <v>1898.97</v>
      </c>
      <c r="L10" s="18" t="n">
        <v>2146</v>
      </c>
      <c r="M10" s="18" t="n">
        <v>1904.77</v>
      </c>
      <c r="N10" s="18" t="n">
        <v>1205.75</v>
      </c>
      <c r="O10" s="18" t="n">
        <v>1005.78</v>
      </c>
      <c r="P10" s="37" t="n">
        <v>1005.78</v>
      </c>
      <c r="Q10" s="18" t="n">
        <v>1835.77</v>
      </c>
      <c r="R10" s="18" t="n">
        <v>993.76</v>
      </c>
      <c r="S10" s="18" t="n">
        <v>936.5</v>
      </c>
      <c r="T10" s="18" t="n">
        <v>1273.36</v>
      </c>
      <c r="U10" s="37" t="n">
        <v>1273.36</v>
      </c>
      <c r="V10" s="18" t="n">
        <v>651.12</v>
      </c>
      <c r="W10" s="18" t="n">
        <v>1371.05</v>
      </c>
      <c r="X10" s="18" t="n">
        <v>2649.64</v>
      </c>
      <c r="Y10" s="18" t="n">
        <v>2804.92</v>
      </c>
      <c r="Z10" s="37" t="n">
        <v>2804.92</v>
      </c>
      <c r="AA10" s="18" t="n">
        <v>2561.4</v>
      </c>
      <c r="AB10" s="19" t="n">
        <v>1819.38</v>
      </c>
      <c r="AC10" s="10" t="n"/>
      <c r="AD10" s="10" t="n"/>
      <c r="AE10" s="11" t="n"/>
      <c r="AF10" s="10" t="n"/>
      <c r="AG10" s="10" t="n"/>
      <c r="AH10" s="10" t="n"/>
      <c r="AI10" s="10" t="n"/>
      <c r="AJ10" s="11" t="n"/>
      <c r="AK10" s="10" t="n"/>
      <c r="AL10" s="10" t="n"/>
      <c r="AM10" s="10" t="n"/>
      <c r="AN10" s="10" t="n"/>
      <c r="AO10" s="11" t="n"/>
    </row>
    <row r="11">
      <c r="A11" t="n">
        <v>1</v>
      </c>
      <c r="C11" t="inlineStr">
        <is>
          <t>매각예정비유동자산및처분자산</t>
        </is>
      </c>
      <c r="E11" s="18" t="n">
        <v>15949.22</v>
      </c>
      <c r="F11" s="37" t="n">
        <v>15949.22</v>
      </c>
      <c r="I11" s="18" t="n">
        <v>0</v>
      </c>
      <c r="K11" s="9" t="n"/>
      <c r="P11" s="9" t="n"/>
      <c r="U11" s="9" t="n"/>
      <c r="Z11" s="9" t="n"/>
      <c r="AB11" s="5" t="n"/>
      <c r="AC11" s="10" t="n"/>
      <c r="AD11" s="10" t="n"/>
      <c r="AE11" s="11" t="n"/>
      <c r="AF11" s="10" t="n"/>
      <c r="AG11" s="10" t="n"/>
      <c r="AH11" s="10" t="n"/>
      <c r="AI11" s="10" t="n"/>
      <c r="AJ11" s="11" t="n"/>
      <c r="AK11" s="10" t="n"/>
      <c r="AL11" s="10" t="n"/>
      <c r="AM11" s="10" t="n"/>
      <c r="AN11" s="10" t="n"/>
      <c r="AO11" s="11" t="n"/>
    </row>
    <row r="12">
      <c r="A12" t="n">
        <v>1</v>
      </c>
      <c r="C12" t="inlineStr">
        <is>
          <t>비유동자산</t>
        </is>
      </c>
      <c r="E12" s="18" t="n">
        <v>120984.81</v>
      </c>
      <c r="F12" s="37" t="n">
        <v>120984.81</v>
      </c>
      <c r="G12" s="18" t="n">
        <v>122279</v>
      </c>
      <c r="H12" s="18" t="n">
        <v>123202.95</v>
      </c>
      <c r="I12" s="18" t="n">
        <v>123038.23</v>
      </c>
      <c r="J12" s="18" t="n">
        <v>121157.68</v>
      </c>
      <c r="K12" s="37" t="n">
        <v>121157.68</v>
      </c>
      <c r="L12" s="18" t="n">
        <v>120394.59</v>
      </c>
      <c r="M12" s="18" t="n">
        <v>124522.46</v>
      </c>
      <c r="N12" s="18" t="n">
        <v>130532.16</v>
      </c>
      <c r="O12" s="18" t="n">
        <v>134117.46</v>
      </c>
      <c r="P12" s="37" t="n">
        <v>134117.46</v>
      </c>
      <c r="Q12" s="18" t="n">
        <v>132563.48</v>
      </c>
      <c r="R12" s="18" t="n">
        <v>133097.98</v>
      </c>
      <c r="S12" s="18" t="n">
        <v>132563.46</v>
      </c>
      <c r="T12" s="18" t="n">
        <v>146356.79</v>
      </c>
      <c r="U12" s="37" t="n">
        <v>146356.79</v>
      </c>
      <c r="V12" s="18" t="n">
        <v>154123.63</v>
      </c>
      <c r="W12" s="18" t="n">
        <v>158729.62</v>
      </c>
      <c r="X12" s="18" t="n">
        <v>178527.47</v>
      </c>
      <c r="Y12" s="18" t="n">
        <v>175661.2</v>
      </c>
      <c r="Z12" s="37" t="n">
        <v>175661.2</v>
      </c>
      <c r="AA12" s="18" t="n">
        <v>201330.87</v>
      </c>
      <c r="AB12" s="19" t="n">
        <v>207817.27</v>
      </c>
      <c r="AC12" s="10" t="n"/>
      <c r="AD12" s="10" t="n"/>
      <c r="AE12" s="11" t="n"/>
      <c r="AF12" s="10" t="n"/>
      <c r="AG12" s="10" t="n"/>
      <c r="AH12" s="10" t="n"/>
      <c r="AI12" s="10" t="n"/>
      <c r="AJ12" s="11" t="n"/>
      <c r="AK12" s="10" t="n"/>
      <c r="AL12" s="10" t="n"/>
      <c r="AM12" s="10" t="n"/>
      <c r="AN12" s="10" t="n"/>
      <c r="AO12" s="11" t="n"/>
    </row>
    <row r="13">
      <c r="A13" t="n">
        <v>1</v>
      </c>
      <c r="C13" t="inlineStr">
        <is>
          <t>장기금융자산</t>
        </is>
      </c>
      <c r="E13" s="18" t="n">
        <v>1431.33</v>
      </c>
      <c r="F13" s="37" t="n">
        <v>1431.33</v>
      </c>
      <c r="G13" s="18" t="n">
        <v>1100.32</v>
      </c>
      <c r="H13" s="18" t="n">
        <v>1100.32</v>
      </c>
      <c r="I13" s="18" t="n">
        <v>1100.32</v>
      </c>
      <c r="J13" s="18" t="n">
        <v>1100.32</v>
      </c>
      <c r="K13" s="37" t="n">
        <v>1100.32</v>
      </c>
      <c r="L13" s="18" t="n">
        <v>1100.32</v>
      </c>
      <c r="M13" s="18" t="n">
        <v>1100.32</v>
      </c>
      <c r="N13" s="18" t="n">
        <v>1100.32</v>
      </c>
      <c r="O13" s="18" t="n">
        <v>824.4299999999999</v>
      </c>
      <c r="P13" s="37" t="n">
        <v>824.4299999999999</v>
      </c>
      <c r="Q13" s="18" t="n">
        <v>824.4299999999999</v>
      </c>
      <c r="R13" s="18" t="n">
        <v>232.43</v>
      </c>
      <c r="S13" s="18" t="n">
        <v>328.01</v>
      </c>
      <c r="T13" s="18" t="n">
        <v>13244.31</v>
      </c>
      <c r="U13" s="37" t="n">
        <v>13244.31</v>
      </c>
      <c r="V13" s="18" t="n">
        <v>13343.48</v>
      </c>
      <c r="W13" s="18" t="n">
        <v>11797.35</v>
      </c>
      <c r="X13" s="18" t="n">
        <v>19306.18</v>
      </c>
      <c r="Y13" s="18" t="n">
        <v>847.86</v>
      </c>
      <c r="Z13" s="37" t="n">
        <v>847.86</v>
      </c>
      <c r="AA13" s="18" t="n">
        <v>1753.08</v>
      </c>
      <c r="AB13" s="19" t="n">
        <v>1874.24</v>
      </c>
      <c r="AC13" s="10" t="n"/>
      <c r="AD13" s="10" t="n"/>
      <c r="AE13" s="11" t="n"/>
      <c r="AF13" s="10" t="n"/>
      <c r="AG13" s="10" t="n"/>
      <c r="AH13" s="10" t="n"/>
      <c r="AI13" s="10" t="n"/>
      <c r="AJ13" s="11" t="n"/>
      <c r="AK13" s="10" t="n"/>
      <c r="AL13" s="10" t="n"/>
      <c r="AM13" s="10" t="n"/>
      <c r="AN13" s="10" t="n"/>
      <c r="AO13" s="11" t="n"/>
    </row>
    <row r="14">
      <c r="A14" t="n">
        <v>1</v>
      </c>
      <c r="C14" t="inlineStr">
        <is>
          <t>투자자산</t>
        </is>
      </c>
      <c r="E14" s="18" t="n">
        <v>3232.7</v>
      </c>
      <c r="F14" s="37" t="n">
        <v>3232.7</v>
      </c>
      <c r="G14" s="18" t="n">
        <v>3627.75</v>
      </c>
      <c r="H14" s="18" t="n">
        <v>2451.16</v>
      </c>
      <c r="I14" s="18" t="n">
        <v>2200.37</v>
      </c>
      <c r="J14" s="18" t="n">
        <v>2300.91</v>
      </c>
      <c r="K14" s="37" t="n">
        <v>2300.91</v>
      </c>
      <c r="L14" s="18" t="n">
        <v>2300.65</v>
      </c>
      <c r="M14" s="18" t="n">
        <v>2460.67</v>
      </c>
      <c r="N14" s="18" t="n">
        <v>2328.31</v>
      </c>
      <c r="O14" s="18" t="n">
        <v>4078.78</v>
      </c>
      <c r="P14" s="37" t="n">
        <v>4078.78</v>
      </c>
      <c r="Q14" s="18" t="n">
        <v>3334.56</v>
      </c>
      <c r="R14" s="18" t="n">
        <v>3832.53</v>
      </c>
      <c r="S14" s="18" t="n">
        <v>3648.66</v>
      </c>
      <c r="T14" s="18" t="n">
        <v>15356.23</v>
      </c>
      <c r="U14" s="37" t="n">
        <v>15356.23</v>
      </c>
      <c r="V14" s="18" t="n">
        <v>13343.48</v>
      </c>
      <c r="W14" s="18" t="n">
        <v>11797.35</v>
      </c>
      <c r="X14" s="18" t="n">
        <v>19306.18</v>
      </c>
      <c r="Y14" s="18" t="n">
        <v>847.86</v>
      </c>
      <c r="Z14" s="37" t="n">
        <v>847.86</v>
      </c>
      <c r="AA14" s="18" t="n">
        <v>1753.08</v>
      </c>
      <c r="AB14" s="19" t="n">
        <v>1874.24</v>
      </c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t="n">
        <v>1</v>
      </c>
      <c r="C15" t="inlineStr">
        <is>
          <t>장기매출채권및기타채권</t>
        </is>
      </c>
      <c r="E15" s="18" t="n">
        <v>2289.28</v>
      </c>
      <c r="F15" s="37" t="n">
        <v>2289.28</v>
      </c>
      <c r="G15" s="18" t="n">
        <v>2326.96</v>
      </c>
      <c r="H15" s="18" t="n">
        <v>2676.74</v>
      </c>
      <c r="I15" s="18" t="n">
        <v>3235.92</v>
      </c>
      <c r="J15" s="18" t="n">
        <v>2234.53</v>
      </c>
      <c r="K15" s="37" t="n">
        <v>2234.53</v>
      </c>
      <c r="L15" s="18" t="n">
        <v>2264.74</v>
      </c>
      <c r="M15" s="18" t="n">
        <v>2326.5</v>
      </c>
      <c r="N15" s="18" t="n">
        <v>2478.5</v>
      </c>
      <c r="O15" s="18" t="n">
        <v>1839.79</v>
      </c>
      <c r="P15" s="37" t="n">
        <v>1839.79</v>
      </c>
      <c r="Q15" s="18" t="n">
        <v>1893.07</v>
      </c>
      <c r="R15" s="18" t="n">
        <v>1827.05</v>
      </c>
      <c r="S15" s="18" t="n">
        <v>1744.11</v>
      </c>
      <c r="T15" s="18" t="n">
        <v>1501.59</v>
      </c>
      <c r="U15" s="37" t="n">
        <v>1501.59</v>
      </c>
      <c r="V15" s="18" t="n">
        <v>1420.68</v>
      </c>
      <c r="W15" s="18" t="n">
        <v>1175.67</v>
      </c>
      <c r="X15" s="18" t="n">
        <v>726.91</v>
      </c>
      <c r="Y15" s="18" t="n">
        <v>723.1</v>
      </c>
      <c r="Z15" s="37" t="n">
        <v>723.1</v>
      </c>
      <c r="AA15" s="18" t="n">
        <v>735.62</v>
      </c>
      <c r="AB15" s="19" t="n">
        <v>554.4400000000001</v>
      </c>
      <c r="AC15" s="10" t="n"/>
      <c r="AD15" s="10" t="n"/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t="n">
        <v>1</v>
      </c>
      <c r="C16" t="inlineStr">
        <is>
          <t>종속기업및관계기업투자</t>
        </is>
      </c>
      <c r="E16" s="18" t="n">
        <v>1801.37</v>
      </c>
      <c r="F16" s="37" t="n">
        <v>1801.37</v>
      </c>
      <c r="G16" s="18" t="n">
        <v>2527.43</v>
      </c>
      <c r="H16" s="18" t="n">
        <v>1350.84</v>
      </c>
      <c r="I16" s="18" t="n">
        <v>1100.05</v>
      </c>
      <c r="J16" s="18" t="n">
        <v>1200.59</v>
      </c>
      <c r="K16" s="37" t="n">
        <v>1200.59</v>
      </c>
      <c r="L16" s="18" t="n">
        <v>1200.33</v>
      </c>
      <c r="M16" s="18" t="n">
        <v>1360.35</v>
      </c>
      <c r="N16" s="18" t="n">
        <v>1227.99</v>
      </c>
      <c r="O16" s="18" t="n">
        <v>3254.35</v>
      </c>
      <c r="P16" s="37" t="n">
        <v>3254.35</v>
      </c>
      <c r="Q16" s="18" t="n">
        <v>2510.13</v>
      </c>
      <c r="R16" s="18" t="n">
        <v>3600.1</v>
      </c>
      <c r="S16" s="18" t="n">
        <v>3320.65</v>
      </c>
      <c r="T16" s="18" t="n">
        <v>2111.92</v>
      </c>
      <c r="U16" s="37" t="n">
        <v>2111.92</v>
      </c>
      <c r="V16" s="18" t="n">
        <v>0</v>
      </c>
      <c r="W16" s="18" t="n">
        <v>0</v>
      </c>
      <c r="X16" s="18" t="n">
        <v>0</v>
      </c>
      <c r="Z16" s="9" t="n"/>
      <c r="AB16" s="5" t="n"/>
      <c r="AC16" s="10" t="n"/>
      <c r="AD16" s="10" t="n"/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t="n">
        <v>1</v>
      </c>
      <c r="C17" t="inlineStr">
        <is>
          <t>유형자산</t>
        </is>
      </c>
      <c r="E17" s="18" t="n">
        <v>102120.29</v>
      </c>
      <c r="F17" s="37" t="n">
        <v>102120.29</v>
      </c>
      <c r="G17" s="18" t="n">
        <v>102657.56</v>
      </c>
      <c r="H17" s="18" t="n">
        <v>104484.87</v>
      </c>
      <c r="I17" s="18" t="n">
        <v>104156.19</v>
      </c>
      <c r="J17" s="18" t="n">
        <v>103055.01</v>
      </c>
      <c r="K17" s="37" t="n">
        <v>103055.01</v>
      </c>
      <c r="L17" s="18" t="n">
        <v>102290.88</v>
      </c>
      <c r="M17" s="18" t="n">
        <v>101453.37</v>
      </c>
      <c r="N17" s="18" t="n">
        <v>107463.27</v>
      </c>
      <c r="O17" s="18" t="n">
        <v>110158.06</v>
      </c>
      <c r="P17" s="37" t="n">
        <v>110158.06</v>
      </c>
      <c r="Q17" s="18" t="n">
        <v>109447.74</v>
      </c>
      <c r="R17" s="18" t="n">
        <v>109158.98</v>
      </c>
      <c r="S17" s="18" t="n">
        <v>106962.36</v>
      </c>
      <c r="T17" s="18" t="n">
        <v>109022.01</v>
      </c>
      <c r="U17" s="37" t="n">
        <v>109022.01</v>
      </c>
      <c r="V17" s="18" t="n">
        <v>116055.02</v>
      </c>
      <c r="W17" s="18" t="n">
        <v>121928.53</v>
      </c>
      <c r="X17" s="18" t="n">
        <v>133061.24</v>
      </c>
      <c r="Y17" s="18" t="n">
        <v>143859.13</v>
      </c>
      <c r="Z17" s="37" t="n">
        <v>143859.13</v>
      </c>
      <c r="AA17" s="18" t="n">
        <v>167857.02</v>
      </c>
      <c r="AB17" s="19" t="n">
        <v>178990.5</v>
      </c>
      <c r="AC17" s="10" t="n"/>
      <c r="AD17" s="10" t="n"/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t="n">
        <v>1</v>
      </c>
      <c r="C18" t="inlineStr">
        <is>
          <t>사용권자산</t>
        </is>
      </c>
      <c r="E18" s="18" t="n">
        <v>1148.29</v>
      </c>
      <c r="F18" s="37" t="n">
        <v>1148.29</v>
      </c>
      <c r="G18" s="18" t="n">
        <v>1151.83</v>
      </c>
      <c r="H18" s="18" t="n">
        <v>1120.97</v>
      </c>
      <c r="I18" s="18" t="n">
        <v>1015.99</v>
      </c>
      <c r="J18" s="18" t="n">
        <v>1078.31</v>
      </c>
      <c r="K18" s="37" t="n">
        <v>1078.31</v>
      </c>
      <c r="L18" s="18" t="n">
        <v>1058.42</v>
      </c>
      <c r="M18" s="18" t="n">
        <v>1074.2</v>
      </c>
      <c r="N18" s="18" t="n">
        <v>1065.28</v>
      </c>
      <c r="O18" s="18" t="n">
        <v>886.72</v>
      </c>
      <c r="P18" s="37" t="n">
        <v>886.72</v>
      </c>
      <c r="Q18" s="18" t="n">
        <v>763.3</v>
      </c>
      <c r="R18" s="18" t="n">
        <v>1074.51</v>
      </c>
      <c r="S18" s="18" t="n">
        <v>1093.72</v>
      </c>
      <c r="T18" s="18" t="n">
        <v>858.9</v>
      </c>
      <c r="U18" s="37" t="n">
        <v>858.9</v>
      </c>
      <c r="V18" s="18" t="n">
        <v>850.91</v>
      </c>
      <c r="W18" s="18" t="n">
        <v>810.54</v>
      </c>
      <c r="X18" s="18" t="n">
        <v>690.55</v>
      </c>
      <c r="Y18" s="18" t="n">
        <v>658.08</v>
      </c>
      <c r="Z18" s="37" t="n">
        <v>658.08</v>
      </c>
      <c r="AA18" s="18" t="n">
        <v>1097.31</v>
      </c>
      <c r="AB18" s="19" t="n">
        <v>1031.44</v>
      </c>
      <c r="AC18" s="10" t="n"/>
      <c r="AD18" s="10" t="n"/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A19" t="n">
        <v>1</v>
      </c>
      <c r="C19" t="inlineStr">
        <is>
          <t>기타비유동자산</t>
        </is>
      </c>
      <c r="E19" s="18" t="n">
        <v>1148.29</v>
      </c>
      <c r="F19" s="37" t="n">
        <v>1148.29</v>
      </c>
      <c r="G19" s="18" t="n">
        <v>1151.83</v>
      </c>
      <c r="H19" s="18" t="n">
        <v>1120.97</v>
      </c>
      <c r="I19" s="18" t="n">
        <v>1015.99</v>
      </c>
      <c r="J19" s="18" t="n">
        <v>1078.31</v>
      </c>
      <c r="K19" s="37" t="n">
        <v>1078.31</v>
      </c>
      <c r="L19" s="18" t="n">
        <v>1058.42</v>
      </c>
      <c r="M19" s="18" t="n">
        <v>1074.2</v>
      </c>
      <c r="N19" s="18" t="n">
        <v>1065.28</v>
      </c>
      <c r="O19" s="18" t="n">
        <v>886.72</v>
      </c>
      <c r="P19" s="37" t="n">
        <v>886.72</v>
      </c>
      <c r="Q19" s="18" t="n">
        <v>763.3</v>
      </c>
      <c r="R19" s="18" t="n">
        <v>1074.51</v>
      </c>
      <c r="S19" s="18" t="n">
        <v>1093.72</v>
      </c>
      <c r="T19" s="18" t="n">
        <v>858.9</v>
      </c>
      <c r="U19" s="37" t="n">
        <v>858.9</v>
      </c>
      <c r="V19" s="18" t="n">
        <v>850.91</v>
      </c>
      <c r="W19" s="18" t="n">
        <v>810.54</v>
      </c>
      <c r="X19" s="18" t="n">
        <v>690.55</v>
      </c>
      <c r="Y19" s="18" t="n">
        <v>658.08</v>
      </c>
      <c r="Z19" s="37" t="n">
        <v>658.08</v>
      </c>
      <c r="AA19" s="18" t="n">
        <v>1097.31</v>
      </c>
      <c r="AB19" s="19" t="n">
        <v>1031.44</v>
      </c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A20" t="n">
        <v>1</v>
      </c>
      <c r="C20" t="inlineStr">
        <is>
          <t>투자부동산</t>
        </is>
      </c>
      <c r="E20" s="18" t="n">
        <v>11754.61</v>
      </c>
      <c r="F20" s="37" t="n">
        <v>11754.61</v>
      </c>
      <c r="G20" s="18" t="n">
        <v>11734.68</v>
      </c>
      <c r="H20" s="18" t="n">
        <v>11707</v>
      </c>
      <c r="I20" s="18" t="n">
        <v>11679.31</v>
      </c>
      <c r="J20" s="18" t="n">
        <v>11651.62</v>
      </c>
      <c r="K20" s="37" t="n">
        <v>11651.62</v>
      </c>
      <c r="L20" s="18" t="n">
        <v>11623.94</v>
      </c>
      <c r="M20" s="18" t="n">
        <v>16362.66</v>
      </c>
      <c r="N20" s="18" t="n">
        <v>16317.16</v>
      </c>
      <c r="O20" s="18" t="n">
        <v>16290.49</v>
      </c>
      <c r="P20" s="37" t="n">
        <v>16290.49</v>
      </c>
      <c r="Q20" s="18" t="n">
        <v>16254.41</v>
      </c>
      <c r="R20" s="18" t="n">
        <v>16218.32</v>
      </c>
      <c r="S20" s="18" t="n">
        <v>18088.71</v>
      </c>
      <c r="T20" s="18" t="n">
        <v>18512.27</v>
      </c>
      <c r="U20" s="37" t="n">
        <v>18512.27</v>
      </c>
      <c r="V20" s="18" t="n">
        <v>18443.07</v>
      </c>
      <c r="W20" s="18" t="n">
        <v>19358.9</v>
      </c>
      <c r="X20" s="18" t="n">
        <v>21145.94</v>
      </c>
      <c r="Y20" s="18" t="n">
        <v>22230.49</v>
      </c>
      <c r="Z20" s="37" t="n">
        <v>22230.49</v>
      </c>
      <c r="AA20" s="18" t="n">
        <v>24162.53</v>
      </c>
      <c r="AB20" s="19" t="n">
        <v>18964.52</v>
      </c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t="n">
        <v>1</v>
      </c>
      <c r="C21" t="inlineStr">
        <is>
          <t>무형자산</t>
        </is>
      </c>
      <c r="E21" s="18" t="n">
        <v>439.65</v>
      </c>
      <c r="F21" s="37" t="n">
        <v>439.65</v>
      </c>
      <c r="G21" s="18" t="n">
        <v>422.31</v>
      </c>
      <c r="H21" s="18" t="n">
        <v>404.54</v>
      </c>
      <c r="I21" s="18" t="n">
        <v>390.46</v>
      </c>
      <c r="J21" s="18" t="n">
        <v>472.6</v>
      </c>
      <c r="K21" s="37" t="n">
        <v>472.6</v>
      </c>
      <c r="L21" s="18" t="n">
        <v>491.27</v>
      </c>
      <c r="M21" s="18" t="n">
        <v>480.36</v>
      </c>
      <c r="N21" s="18" t="n">
        <v>467.97</v>
      </c>
      <c r="O21" s="18" t="n">
        <v>457.76</v>
      </c>
      <c r="P21" s="37" t="n">
        <v>457.76</v>
      </c>
      <c r="Q21" s="18" t="n">
        <v>449.13</v>
      </c>
      <c r="R21" s="18" t="n">
        <v>441.54</v>
      </c>
      <c r="S21" s="18" t="n">
        <v>453.35</v>
      </c>
      <c r="T21" s="18" t="n">
        <v>483.46</v>
      </c>
      <c r="U21" s="37" t="n">
        <v>483.46</v>
      </c>
      <c r="V21" s="18" t="n">
        <v>501.32</v>
      </c>
      <c r="W21" s="18" t="n">
        <v>1209.68</v>
      </c>
      <c r="X21" s="18" t="n">
        <v>1241.76</v>
      </c>
      <c r="Y21" s="18" t="n">
        <v>1233.54</v>
      </c>
      <c r="Z21" s="37" t="n">
        <v>1233.54</v>
      </c>
      <c r="AA21" s="18" t="n">
        <v>1809.38</v>
      </c>
      <c r="AB21" s="5" t="n"/>
      <c r="AC21" s="10" t="n"/>
      <c r="AD21" s="10" t="n"/>
      <c r="AE21" s="11" t="n"/>
      <c r="AF21" s="10" t="n"/>
      <c r="AG21" s="10" t="n"/>
      <c r="AH21" s="10" t="n"/>
      <c r="AI21" s="10" t="n"/>
      <c r="AJ21" s="11" t="n"/>
      <c r="AK21" s="10" t="n"/>
      <c r="AL21" s="10" t="n"/>
      <c r="AM21" s="10" t="n"/>
      <c r="AN21" s="10" t="n"/>
      <c r="AO21" s="11" t="n"/>
    </row>
    <row r="22">
      <c r="A22" t="n">
        <v>1</v>
      </c>
      <c r="C22" t="inlineStr">
        <is>
          <t>자산총계</t>
        </is>
      </c>
      <c r="E22" s="18" t="n">
        <v>249768.39</v>
      </c>
      <c r="F22" s="37" t="n">
        <v>249768.39</v>
      </c>
      <c r="G22" s="18" t="n">
        <v>242585.92</v>
      </c>
      <c r="H22" s="18" t="n">
        <v>254599.01</v>
      </c>
      <c r="I22" s="18" t="n">
        <v>257071.54</v>
      </c>
      <c r="J22" s="18" t="n">
        <v>254859.7</v>
      </c>
      <c r="K22" s="37" t="n">
        <v>254859.7</v>
      </c>
      <c r="L22" s="18" t="n">
        <v>262008.67</v>
      </c>
      <c r="M22" s="18" t="n">
        <v>269929.85</v>
      </c>
      <c r="N22" s="18" t="n">
        <v>273319.2</v>
      </c>
      <c r="O22" s="18" t="n">
        <v>270721.26</v>
      </c>
      <c r="P22" s="37" t="n">
        <v>270721.26</v>
      </c>
      <c r="Q22" s="18" t="n">
        <v>274784.53</v>
      </c>
      <c r="R22" s="18" t="n">
        <v>273208.18</v>
      </c>
      <c r="S22" s="18" t="n">
        <v>258768.3</v>
      </c>
      <c r="T22" s="18" t="n">
        <v>281428.37</v>
      </c>
      <c r="U22" s="37" t="n">
        <v>281428.37</v>
      </c>
      <c r="V22" s="18" t="n">
        <v>293520.32</v>
      </c>
      <c r="W22" s="18" t="n">
        <v>295314.34</v>
      </c>
      <c r="X22" s="18" t="n">
        <v>314612.81</v>
      </c>
      <c r="Y22" s="18" t="n">
        <v>335340.38</v>
      </c>
      <c r="Z22" s="37" t="n">
        <v>335340.38</v>
      </c>
      <c r="AA22" s="18" t="n">
        <v>369449.56</v>
      </c>
      <c r="AB22" s="19" t="n">
        <v>366205.15</v>
      </c>
      <c r="AC22" s="10" t="n"/>
      <c r="AD22" s="10" t="n"/>
      <c r="AE22" s="11" t="n"/>
      <c r="AF22" s="10" t="n"/>
      <c r="AG22" s="10" t="n"/>
      <c r="AH22" s="10" t="n"/>
      <c r="AI22" s="10" t="n"/>
      <c r="AJ22" s="11" t="n"/>
      <c r="AK22" s="10" t="n"/>
      <c r="AL22" s="10" t="n"/>
      <c r="AM22" s="10" t="n"/>
      <c r="AN22" s="10" t="n"/>
      <c r="AO22" s="11" t="n"/>
    </row>
    <row r="23">
      <c r="A23" t="n">
        <v>1</v>
      </c>
      <c r="C23" t="inlineStr">
        <is>
          <t>유동부채</t>
        </is>
      </c>
      <c r="E23" s="18" t="n">
        <v>124211.41</v>
      </c>
      <c r="F23" s="37" t="n">
        <v>124211.41</v>
      </c>
      <c r="G23" s="18" t="n">
        <v>106730.32</v>
      </c>
      <c r="H23" s="18" t="n">
        <v>118229.07</v>
      </c>
      <c r="I23" s="18" t="n">
        <v>120270.61</v>
      </c>
      <c r="J23" s="18" t="n">
        <v>118720.1</v>
      </c>
      <c r="K23" s="37" t="n">
        <v>118720.1</v>
      </c>
      <c r="L23" s="18" t="n">
        <v>131576.39</v>
      </c>
      <c r="M23" s="18" t="n">
        <v>120991.69</v>
      </c>
      <c r="N23" s="18" t="n">
        <v>117267.56</v>
      </c>
      <c r="O23" s="18" t="n">
        <v>93290.64</v>
      </c>
      <c r="P23" s="37" t="n">
        <v>93290.64</v>
      </c>
      <c r="Q23" s="18" t="n">
        <v>96323.7</v>
      </c>
      <c r="R23" s="18" t="n">
        <v>93227.88</v>
      </c>
      <c r="S23" s="18" t="n">
        <v>79210.86</v>
      </c>
      <c r="T23" s="18" t="n">
        <v>104619.01</v>
      </c>
      <c r="U23" s="37" t="n">
        <v>104619.01</v>
      </c>
      <c r="V23" s="18" t="n">
        <v>116134.8</v>
      </c>
      <c r="W23" s="18" t="n">
        <v>120900.32</v>
      </c>
      <c r="X23" s="18" t="n">
        <v>147396.47</v>
      </c>
      <c r="Y23" s="18" t="n">
        <v>145819.15</v>
      </c>
      <c r="Z23" s="37" t="n">
        <v>145819.15</v>
      </c>
      <c r="AA23" s="18" t="n">
        <v>143724.43</v>
      </c>
      <c r="AB23" s="19" t="n">
        <v>135250.28</v>
      </c>
      <c r="AC23" s="10" t="n"/>
      <c r="AD23" s="10" t="n"/>
      <c r="AE23" s="11" t="n"/>
      <c r="AF23" s="10" t="n"/>
      <c r="AG23" s="10" t="n"/>
      <c r="AH23" s="10" t="n"/>
      <c r="AI23" s="10" t="n"/>
      <c r="AJ23" s="11" t="n"/>
      <c r="AK23" s="10" t="n"/>
      <c r="AL23" s="10" t="n"/>
      <c r="AM23" s="10" t="n"/>
      <c r="AN23" s="10" t="n"/>
      <c r="AO23" s="11" t="n"/>
    </row>
    <row r="24">
      <c r="A24" t="n">
        <v>1</v>
      </c>
      <c r="C24" t="inlineStr">
        <is>
          <t>매입채무및기타채무</t>
        </is>
      </c>
      <c r="E24" s="18" t="n">
        <v>15074.21</v>
      </c>
      <c r="F24" s="37" t="n">
        <v>15074.21</v>
      </c>
      <c r="G24" s="18" t="n">
        <v>13642.42</v>
      </c>
      <c r="H24" s="18" t="n">
        <v>16353.03</v>
      </c>
      <c r="I24" s="18" t="n">
        <v>15553.65</v>
      </c>
      <c r="J24" s="18" t="n">
        <v>19019.15</v>
      </c>
      <c r="K24" s="37" t="n">
        <v>19019.15</v>
      </c>
      <c r="L24" s="18" t="n">
        <v>15745</v>
      </c>
      <c r="M24" s="18" t="n">
        <v>17635.75</v>
      </c>
      <c r="N24" s="18" t="n">
        <v>12073.89</v>
      </c>
      <c r="O24" s="18" t="n">
        <v>17346.73</v>
      </c>
      <c r="P24" s="37" t="n">
        <v>17346.73</v>
      </c>
      <c r="Q24" s="18" t="n">
        <v>17382.61</v>
      </c>
      <c r="R24" s="18" t="n">
        <v>15785.18</v>
      </c>
      <c r="S24" s="18" t="n">
        <v>7584.09</v>
      </c>
      <c r="T24" s="18" t="n">
        <v>13610.57</v>
      </c>
      <c r="U24" s="37" t="n">
        <v>13610.57</v>
      </c>
      <c r="V24" s="18" t="n">
        <v>8917.889999999999</v>
      </c>
      <c r="W24" s="18" t="n">
        <v>9528.059999999999</v>
      </c>
      <c r="X24" s="18" t="n">
        <v>12880.57</v>
      </c>
      <c r="Y24" s="18" t="n">
        <v>8559.389999999999</v>
      </c>
      <c r="Z24" s="37" t="n">
        <v>8559.389999999999</v>
      </c>
      <c r="AA24" s="18" t="n">
        <v>17953.61</v>
      </c>
      <c r="AB24" s="19" t="n">
        <v>13383.58</v>
      </c>
      <c r="AC24" s="10" t="n"/>
      <c r="AD24" s="10" t="n"/>
      <c r="AE24" s="11" t="n"/>
      <c r="AF24" s="10" t="n"/>
      <c r="AG24" s="10" t="n"/>
      <c r="AH24" s="10" t="n"/>
      <c r="AI24" s="10" t="n"/>
      <c r="AJ24" s="11" t="n"/>
      <c r="AK24" s="10" t="n"/>
      <c r="AL24" s="10" t="n"/>
      <c r="AM24" s="10" t="n"/>
      <c r="AN24" s="10" t="n"/>
      <c r="AO24" s="11" t="n"/>
    </row>
    <row r="25">
      <c r="A25" t="n">
        <v>1</v>
      </c>
      <c r="C25" t="inlineStr">
        <is>
          <t>단기차입금</t>
        </is>
      </c>
      <c r="E25" s="18" t="n">
        <v>97761.46000000001</v>
      </c>
      <c r="F25" s="37" t="n">
        <v>97761.46000000001</v>
      </c>
      <c r="G25" s="18" t="n">
        <v>69200</v>
      </c>
      <c r="H25" s="18" t="n">
        <v>76300</v>
      </c>
      <c r="I25" s="18" t="n">
        <v>81300</v>
      </c>
      <c r="J25" s="18" t="n">
        <v>73070</v>
      </c>
      <c r="K25" s="37" t="n">
        <v>73070</v>
      </c>
      <c r="L25" s="18" t="n">
        <v>82753</v>
      </c>
      <c r="M25" s="18" t="n">
        <v>86214</v>
      </c>
      <c r="N25" s="18" t="n">
        <v>92360</v>
      </c>
      <c r="O25" s="18" t="n">
        <v>62062.14</v>
      </c>
      <c r="P25" s="37" t="n">
        <v>62062.14</v>
      </c>
      <c r="Q25" s="18" t="n">
        <v>73100</v>
      </c>
      <c r="R25" s="18" t="n">
        <v>70400</v>
      </c>
      <c r="S25" s="18" t="n">
        <v>64850</v>
      </c>
      <c r="T25" s="18" t="n">
        <v>84150</v>
      </c>
      <c r="U25" s="37" t="n">
        <v>84150</v>
      </c>
      <c r="V25" s="18" t="n">
        <v>81450</v>
      </c>
      <c r="W25" s="18" t="n">
        <v>83140</v>
      </c>
      <c r="X25" s="18" t="n">
        <v>89100</v>
      </c>
      <c r="Y25" s="18" t="n">
        <v>105814.67</v>
      </c>
      <c r="Z25" s="37" t="n">
        <v>105814.67</v>
      </c>
      <c r="AA25" s="18" t="n">
        <v>104670.17</v>
      </c>
      <c r="AB25" s="19" t="n">
        <v>111400</v>
      </c>
      <c r="AC25" s="10" t="n"/>
      <c r="AD25" s="10" t="n"/>
      <c r="AE25" s="11" t="n"/>
      <c r="AF25" s="10" t="n"/>
      <c r="AG25" s="10" t="n"/>
      <c r="AH25" s="10" t="n"/>
      <c r="AI25" s="10" t="n"/>
      <c r="AJ25" s="11" t="n"/>
      <c r="AK25" s="10" t="n"/>
      <c r="AL25" s="10" t="n"/>
      <c r="AM25" s="10" t="n"/>
      <c r="AN25" s="10" t="n"/>
      <c r="AO25" s="11" t="n"/>
    </row>
    <row r="26">
      <c r="A26" t="n">
        <v>1</v>
      </c>
      <c r="C26" t="inlineStr">
        <is>
          <t>당기법인세부채(미지급법인세)</t>
        </is>
      </c>
      <c r="E26" s="18" t="n">
        <v>3118.85</v>
      </c>
      <c r="F26" s="37" t="n">
        <v>3118.85</v>
      </c>
      <c r="G26" s="18" t="n">
        <v>1714.12</v>
      </c>
      <c r="H26" s="18" t="n">
        <v>4276.54</v>
      </c>
      <c r="I26" s="18" t="n">
        <v>2775.19</v>
      </c>
      <c r="J26" s="18" t="n">
        <v>3198.36</v>
      </c>
      <c r="K26" s="37" t="n">
        <v>3198.36</v>
      </c>
      <c r="L26" s="18" t="n">
        <v>1805.35</v>
      </c>
      <c r="M26" s="18" t="n">
        <v>1529.14</v>
      </c>
      <c r="N26" s="18" t="n">
        <v>766.29</v>
      </c>
      <c r="P26" s="9" t="n"/>
      <c r="R26" s="18" t="n">
        <v>909.62</v>
      </c>
      <c r="S26" s="18" t="n">
        <v>554.96</v>
      </c>
      <c r="T26" s="18" t="n">
        <v>870</v>
      </c>
      <c r="U26" s="37" t="n">
        <v>870</v>
      </c>
      <c r="V26" s="18" t="n">
        <v>563.29</v>
      </c>
      <c r="W26" s="18" t="n">
        <v>832.14</v>
      </c>
      <c r="X26" s="18" t="n">
        <v>407.83</v>
      </c>
      <c r="Y26" s="18" t="n">
        <v>891.6799999999999</v>
      </c>
      <c r="Z26" s="37" t="n">
        <v>891.6799999999999</v>
      </c>
      <c r="AA26" s="18" t="n">
        <v>516.16</v>
      </c>
      <c r="AB26" s="19" t="n">
        <v>3886.64</v>
      </c>
      <c r="AC26" s="10" t="n"/>
      <c r="AD26" s="10" t="n"/>
      <c r="AE26" s="11" t="n"/>
      <c r="AF26" s="10" t="n"/>
      <c r="AG26" s="10" t="n"/>
      <c r="AH26" s="10" t="n"/>
      <c r="AI26" s="10" t="n"/>
      <c r="AJ26" s="11" t="n"/>
      <c r="AK26" s="10" t="n"/>
      <c r="AL26" s="10" t="n"/>
      <c r="AM26" s="10" t="n"/>
      <c r="AN26" s="10" t="n"/>
      <c r="AO26" s="11" t="n"/>
    </row>
    <row r="27">
      <c r="A27" t="n">
        <v>1</v>
      </c>
      <c r="C27" t="inlineStr">
        <is>
          <t>유동리스부채</t>
        </is>
      </c>
      <c r="E27" s="18" t="n">
        <v>359.83</v>
      </c>
      <c r="F27" s="37" t="n">
        <v>359.83</v>
      </c>
      <c r="G27" s="18" t="n">
        <v>370.78</v>
      </c>
      <c r="H27" s="18" t="n">
        <v>384.94</v>
      </c>
      <c r="I27" s="18" t="n">
        <v>366.59</v>
      </c>
      <c r="J27" s="18" t="n">
        <v>383.35</v>
      </c>
      <c r="K27" s="37" t="n">
        <v>383.35</v>
      </c>
      <c r="L27" s="18" t="n">
        <v>391.6</v>
      </c>
      <c r="M27" s="18" t="n">
        <v>440.86</v>
      </c>
      <c r="N27" s="18" t="n">
        <v>517.5</v>
      </c>
      <c r="O27" s="18" t="n">
        <v>477.32</v>
      </c>
      <c r="P27" s="37" t="n">
        <v>477.32</v>
      </c>
      <c r="Q27" s="18" t="n">
        <v>428.91</v>
      </c>
      <c r="R27" s="18" t="n">
        <v>594.49</v>
      </c>
      <c r="S27" s="18" t="n">
        <v>666.15</v>
      </c>
      <c r="T27" s="18" t="n">
        <v>641.51</v>
      </c>
      <c r="U27" s="37" t="n">
        <v>641.51</v>
      </c>
      <c r="V27" s="18" t="n">
        <v>1020.1</v>
      </c>
      <c r="W27" s="18" t="n">
        <v>586.89</v>
      </c>
      <c r="X27" s="18" t="n">
        <v>481.46</v>
      </c>
      <c r="Y27" s="18" t="n">
        <v>379.18</v>
      </c>
      <c r="Z27" s="37" t="n">
        <v>379.18</v>
      </c>
      <c r="AA27" s="18" t="n">
        <v>522.92</v>
      </c>
      <c r="AB27" s="19" t="n">
        <v>565.89</v>
      </c>
      <c r="AC27" s="10" t="n"/>
      <c r="AD27" s="10" t="n"/>
      <c r="AE27" s="11" t="n"/>
      <c r="AF27" s="10" t="n"/>
      <c r="AG27" s="10" t="n"/>
      <c r="AH27" s="10" t="n"/>
      <c r="AI27" s="10" t="n"/>
      <c r="AJ27" s="11" t="n"/>
      <c r="AK27" s="10" t="n"/>
      <c r="AL27" s="10" t="n"/>
      <c r="AM27" s="10" t="n"/>
      <c r="AN27" s="10" t="n"/>
      <c r="AO27" s="11" t="n"/>
    </row>
    <row r="28">
      <c r="A28" t="n">
        <v>1</v>
      </c>
      <c r="C28" t="inlineStr">
        <is>
          <t>리스부채</t>
        </is>
      </c>
      <c r="E28" s="18" t="n">
        <v>1220.25</v>
      </c>
      <c r="F28" s="37" t="n">
        <v>1220.25</v>
      </c>
      <c r="G28" s="18" t="n">
        <v>1225.99</v>
      </c>
      <c r="H28" s="18" t="n">
        <v>1195.39</v>
      </c>
      <c r="I28" s="18" t="n">
        <v>1091.02</v>
      </c>
      <c r="J28" s="18" t="n">
        <v>1155.82</v>
      </c>
      <c r="K28" s="37" t="n">
        <v>1155.82</v>
      </c>
      <c r="L28" s="18" t="n">
        <v>1135.56</v>
      </c>
      <c r="M28" s="18" t="n">
        <v>1150.76</v>
      </c>
      <c r="N28" s="18" t="n">
        <v>1138.43</v>
      </c>
      <c r="O28" s="18" t="n">
        <v>1000.41</v>
      </c>
      <c r="P28" s="37" t="n">
        <v>1000.41</v>
      </c>
      <c r="Q28" s="18" t="n">
        <v>861.17</v>
      </c>
      <c r="R28" s="18" t="n">
        <v>1153.8</v>
      </c>
      <c r="S28" s="18" t="n">
        <v>1167.26</v>
      </c>
      <c r="T28" s="18" t="n">
        <v>1126.03</v>
      </c>
      <c r="U28" s="37" t="n">
        <v>1126.03</v>
      </c>
      <c r="V28" s="18" t="n">
        <v>1060.81</v>
      </c>
      <c r="W28" s="18" t="n">
        <v>972.14</v>
      </c>
      <c r="X28" s="18" t="n">
        <v>800.16</v>
      </c>
      <c r="Y28" s="18" t="n">
        <v>729.78</v>
      </c>
      <c r="Z28" s="37" t="n">
        <v>729.78</v>
      </c>
      <c r="AA28" s="18" t="n">
        <v>1110.21</v>
      </c>
      <c r="AB28" s="19" t="n">
        <v>1044.55</v>
      </c>
      <c r="AC28" s="10" t="n"/>
      <c r="AD28" s="10" t="n"/>
      <c r="AE28" s="11" t="n"/>
      <c r="AF28" s="10" t="n"/>
      <c r="AG28" s="10" t="n"/>
      <c r="AH28" s="10" t="n"/>
      <c r="AI28" s="10" t="n"/>
      <c r="AJ28" s="11" t="n"/>
      <c r="AK28" s="10" t="n"/>
      <c r="AL28" s="10" t="n"/>
      <c r="AM28" s="10" t="n"/>
      <c r="AN28" s="10" t="n"/>
      <c r="AO28" s="11" t="n"/>
    </row>
    <row r="29">
      <c r="A29" t="n">
        <v>1</v>
      </c>
      <c r="C29" t="inlineStr">
        <is>
          <t>단기금융부채</t>
        </is>
      </c>
      <c r="E29" s="18" t="n">
        <v>3608.91</v>
      </c>
      <c r="F29" s="37" t="n">
        <v>3608.91</v>
      </c>
      <c r="G29" s="18" t="n">
        <v>3599.05</v>
      </c>
      <c r="H29" s="18" t="n">
        <v>3764.4</v>
      </c>
      <c r="I29" s="18" t="n">
        <v>3545.22</v>
      </c>
      <c r="J29" s="18" t="n">
        <v>4211.84</v>
      </c>
      <c r="K29" s="37" t="n">
        <v>4211.84</v>
      </c>
      <c r="L29" s="18" t="n">
        <v>4171.71</v>
      </c>
      <c r="M29" s="18" t="n">
        <v>4180.49</v>
      </c>
      <c r="N29" s="18" t="n">
        <v>4304.32</v>
      </c>
      <c r="O29" s="18" t="n">
        <v>4552.81</v>
      </c>
      <c r="P29" s="37" t="n">
        <v>4552.81</v>
      </c>
      <c r="Q29" s="18" t="n">
        <v>3891.94</v>
      </c>
      <c r="R29" s="18" t="n">
        <v>4692.11</v>
      </c>
      <c r="S29" s="18" t="n">
        <v>4113.58</v>
      </c>
      <c r="T29" s="18" t="n">
        <v>4873.31</v>
      </c>
      <c r="U29" s="37" t="n">
        <v>4873.31</v>
      </c>
      <c r="V29" s="18" t="n">
        <v>14693.01</v>
      </c>
      <c r="W29" s="18" t="n">
        <v>11196.87</v>
      </c>
      <c r="X29" s="18" t="n">
        <v>11248.74</v>
      </c>
      <c r="Y29" s="18" t="n">
        <v>17906.2</v>
      </c>
      <c r="Z29" s="37" t="n">
        <v>17906.2</v>
      </c>
      <c r="AA29" s="18" t="n">
        <v>15371.27</v>
      </c>
      <c r="AB29" s="19" t="n">
        <v>5544.4</v>
      </c>
      <c r="AC29" s="10" t="n"/>
      <c r="AD29" s="10" t="n"/>
      <c r="AE29" s="11" t="n"/>
      <c r="AF29" s="10" t="n"/>
      <c r="AG29" s="10" t="n"/>
      <c r="AH29" s="10" t="n"/>
      <c r="AI29" s="10" t="n"/>
      <c r="AJ29" s="11" t="n"/>
      <c r="AK29" s="10" t="n"/>
      <c r="AL29" s="10" t="n"/>
      <c r="AM29" s="10" t="n"/>
      <c r="AN29" s="10" t="n"/>
      <c r="AO29" s="11" t="n"/>
    </row>
    <row r="30">
      <c r="A30" t="n">
        <v>1</v>
      </c>
      <c r="C30" t="inlineStr">
        <is>
          <t>기타유동금융부채</t>
        </is>
      </c>
      <c r="E30" s="18" t="n">
        <v>3249.08</v>
      </c>
      <c r="F30" s="37" t="n">
        <v>3249.08</v>
      </c>
      <c r="G30" s="18" t="n">
        <v>3228.27</v>
      </c>
      <c r="H30" s="18" t="n">
        <v>3379.46</v>
      </c>
      <c r="I30" s="18" t="n">
        <v>3178.63</v>
      </c>
      <c r="J30" s="18" t="n">
        <v>3828.49</v>
      </c>
      <c r="K30" s="37" t="n">
        <v>3828.49</v>
      </c>
      <c r="L30" s="18" t="n">
        <v>3780.11</v>
      </c>
      <c r="M30" s="18" t="n">
        <v>3739.63</v>
      </c>
      <c r="N30" s="18" t="n">
        <v>3786.82</v>
      </c>
      <c r="O30" s="18" t="n">
        <v>4075.49</v>
      </c>
      <c r="P30" s="37" t="n">
        <v>4075.49</v>
      </c>
      <c r="Q30" s="18" t="n">
        <v>3463.03</v>
      </c>
      <c r="R30" s="18" t="n">
        <v>4097.62</v>
      </c>
      <c r="S30" s="18" t="n">
        <v>3447.43</v>
      </c>
      <c r="T30" s="18" t="n">
        <v>4231.8</v>
      </c>
      <c r="U30" s="37" t="n">
        <v>4231.8</v>
      </c>
      <c r="V30" s="18" t="n">
        <v>13672.91</v>
      </c>
      <c r="W30" s="18" t="n">
        <v>10609.98</v>
      </c>
      <c r="X30" s="18" t="n">
        <v>10767.28</v>
      </c>
      <c r="Y30" s="18" t="n">
        <v>17527.02</v>
      </c>
      <c r="Z30" s="37" t="n">
        <v>17527.02</v>
      </c>
      <c r="AA30" s="18" t="n">
        <v>14848.35</v>
      </c>
      <c r="AB30" s="19" t="n">
        <v>4978.51</v>
      </c>
      <c r="AC30" s="10" t="n"/>
      <c r="AD30" s="10" t="n"/>
      <c r="AE30" s="11" t="n"/>
      <c r="AF30" s="10" t="n"/>
      <c r="AG30" s="10" t="n"/>
      <c r="AH30" s="10" t="n"/>
      <c r="AI30" s="10" t="n"/>
      <c r="AJ30" s="11" t="n"/>
      <c r="AK30" s="10" t="n"/>
      <c r="AL30" s="10" t="n"/>
      <c r="AM30" s="10" t="n"/>
      <c r="AN30" s="10" t="n"/>
      <c r="AO30" s="11" t="n"/>
    </row>
    <row r="31">
      <c r="A31" t="n">
        <v>1</v>
      </c>
      <c r="C31" t="inlineStr">
        <is>
          <t>기타유동부채</t>
        </is>
      </c>
      <c r="E31" s="18" t="n">
        <v>4647.99</v>
      </c>
      <c r="F31" s="37" t="n">
        <v>4647.99</v>
      </c>
      <c r="G31" s="18" t="n">
        <v>1097.86</v>
      </c>
      <c r="H31" s="18" t="n">
        <v>856.54</v>
      </c>
      <c r="I31" s="18" t="n">
        <v>596.55</v>
      </c>
      <c r="J31" s="18" t="n">
        <v>2120.74</v>
      </c>
      <c r="K31" s="37" t="n">
        <v>2120.74</v>
      </c>
      <c r="L31" s="18" t="n">
        <v>4001.33</v>
      </c>
      <c r="M31" s="18" t="n">
        <v>1932.31</v>
      </c>
      <c r="N31" s="18" t="n">
        <v>1763.05</v>
      </c>
      <c r="O31" s="18" t="n">
        <v>3328.95</v>
      </c>
      <c r="P31" s="37" t="n">
        <v>3328.95</v>
      </c>
      <c r="Q31" s="18" t="n">
        <v>1949.16</v>
      </c>
      <c r="R31" s="18" t="n">
        <v>1440.98</v>
      </c>
      <c r="S31" s="18" t="n">
        <v>2108.22</v>
      </c>
      <c r="T31" s="18" t="n">
        <v>1115.12</v>
      </c>
      <c r="U31" s="37" t="n">
        <v>1115.12</v>
      </c>
      <c r="V31" s="18" t="n">
        <v>850.67</v>
      </c>
      <c r="W31" s="18" t="n">
        <v>344.57</v>
      </c>
      <c r="X31" s="18" t="n">
        <v>485.47</v>
      </c>
      <c r="Y31" s="18" t="n">
        <v>1742.26</v>
      </c>
      <c r="Z31" s="37" t="n">
        <v>1742.26</v>
      </c>
      <c r="AA31" s="18" t="n">
        <v>1807.83</v>
      </c>
      <c r="AB31" s="19" t="n">
        <v>1035.66</v>
      </c>
      <c r="AC31" s="10" t="n"/>
      <c r="AD31" s="10" t="n"/>
      <c r="AE31" s="11" t="n"/>
      <c r="AF31" s="10" t="n"/>
      <c r="AG31" s="10" t="n"/>
      <c r="AH31" s="10" t="n"/>
      <c r="AI31" s="10" t="n"/>
      <c r="AJ31" s="11" t="n"/>
      <c r="AK31" s="10" t="n"/>
      <c r="AL31" s="10" t="n"/>
      <c r="AM31" s="10" t="n"/>
      <c r="AN31" s="10" t="n"/>
      <c r="AO31" s="11" t="n"/>
    </row>
    <row r="32">
      <c r="A32" t="n">
        <v>1</v>
      </c>
      <c r="C32" t="inlineStr">
        <is>
          <t>비유동부채</t>
        </is>
      </c>
      <c r="E32" s="18" t="n">
        <v>21639.56</v>
      </c>
      <c r="F32" s="37" t="n">
        <v>21639.56</v>
      </c>
      <c r="G32" s="18" t="n">
        <v>19682.05</v>
      </c>
      <c r="H32" s="18" t="n">
        <v>19430.75</v>
      </c>
      <c r="I32" s="18" t="n">
        <v>19588.83</v>
      </c>
      <c r="J32" s="18" t="n">
        <v>18862.77</v>
      </c>
      <c r="K32" s="37" t="n">
        <v>18862.77</v>
      </c>
      <c r="L32" s="18" t="n">
        <v>13023.26</v>
      </c>
      <c r="M32" s="18" t="n">
        <v>29377.71</v>
      </c>
      <c r="N32" s="18" t="n">
        <v>37094.7</v>
      </c>
      <c r="O32" s="18" t="n">
        <v>33402.75</v>
      </c>
      <c r="P32" s="37" t="n">
        <v>33402.75</v>
      </c>
      <c r="Q32" s="18" t="n">
        <v>33856.67</v>
      </c>
      <c r="R32" s="18" t="n">
        <v>33735.03</v>
      </c>
      <c r="S32" s="18" t="n">
        <v>33570.18</v>
      </c>
      <c r="T32" s="18" t="n">
        <v>31119.03</v>
      </c>
      <c r="U32" s="37" t="n">
        <v>31119.03</v>
      </c>
      <c r="V32" s="18" t="n">
        <v>36590.66</v>
      </c>
      <c r="W32" s="18" t="n">
        <v>29750.8</v>
      </c>
      <c r="X32" s="18" t="n">
        <v>12888.96</v>
      </c>
      <c r="Y32" s="18" t="n">
        <v>40031.84</v>
      </c>
      <c r="Z32" s="37" t="n">
        <v>40031.84</v>
      </c>
      <c r="AA32" s="18" t="n">
        <v>50437.97</v>
      </c>
      <c r="AB32" s="19" t="n">
        <v>51461.09</v>
      </c>
      <c r="AC32" s="10" t="n"/>
      <c r="AD32" s="10" t="n"/>
      <c r="AE32" s="11" t="n"/>
      <c r="AF32" s="10" t="n"/>
      <c r="AG32" s="10" t="n"/>
      <c r="AH32" s="10" t="n"/>
      <c r="AI32" s="10" t="n"/>
      <c r="AJ32" s="11" t="n"/>
      <c r="AK32" s="10" t="n"/>
      <c r="AL32" s="10" t="n"/>
      <c r="AM32" s="10" t="n"/>
      <c r="AN32" s="10" t="n"/>
      <c r="AO32" s="11" t="n"/>
    </row>
    <row r="33">
      <c r="A33" t="n">
        <v>1</v>
      </c>
      <c r="C33" t="inlineStr">
        <is>
          <t>장기차입금</t>
        </is>
      </c>
      <c r="E33" s="18" t="n">
        <v>8321.4</v>
      </c>
      <c r="F33" s="37" t="n">
        <v>8321.4</v>
      </c>
      <c r="G33" s="18" t="n">
        <v>6000</v>
      </c>
      <c r="H33" s="18" t="n">
        <v>6000</v>
      </c>
      <c r="I33" s="18" t="n">
        <v>6000</v>
      </c>
      <c r="J33" s="18" t="n">
        <v>7000</v>
      </c>
      <c r="K33" s="37" t="n">
        <v>7000</v>
      </c>
      <c r="L33" s="18" t="n">
        <v>1000</v>
      </c>
      <c r="M33" s="18" t="n">
        <v>18600</v>
      </c>
      <c r="N33" s="18" t="n">
        <v>26100</v>
      </c>
      <c r="O33" s="18" t="n">
        <v>23600</v>
      </c>
      <c r="P33" s="37" t="n">
        <v>23600</v>
      </c>
      <c r="Q33" s="18" t="n">
        <v>23600</v>
      </c>
      <c r="R33" s="18" t="n">
        <v>23600</v>
      </c>
      <c r="S33" s="18" t="n">
        <v>23200</v>
      </c>
      <c r="T33" s="18" t="n">
        <v>23200</v>
      </c>
      <c r="U33" s="37" t="n">
        <v>23200</v>
      </c>
      <c r="V33" s="18" t="n">
        <v>23200</v>
      </c>
      <c r="W33" s="18" t="n">
        <v>17000</v>
      </c>
      <c r="Y33" s="18" t="n">
        <v>31760.11</v>
      </c>
      <c r="Z33" s="37" t="n">
        <v>31760.11</v>
      </c>
      <c r="AA33" s="18" t="n">
        <v>41604.61</v>
      </c>
      <c r="AB33" s="19" t="n">
        <v>43133.33</v>
      </c>
      <c r="AC33" s="10" t="n"/>
      <c r="AD33" s="10" t="n"/>
      <c r="AE33" s="11" t="n"/>
      <c r="AF33" s="10" t="n"/>
      <c r="AG33" s="10" t="n"/>
      <c r="AH33" s="10" t="n"/>
      <c r="AI33" s="10" t="n"/>
      <c r="AJ33" s="11" t="n"/>
      <c r="AK33" s="10" t="n"/>
      <c r="AL33" s="10" t="n"/>
      <c r="AM33" s="10" t="n"/>
      <c r="AN33" s="10" t="n"/>
      <c r="AO33" s="11" t="n"/>
    </row>
    <row r="34">
      <c r="A34" t="n">
        <v>1</v>
      </c>
      <c r="C34" t="inlineStr">
        <is>
          <t>확정급여부채</t>
        </is>
      </c>
      <c r="E34" s="18" t="n">
        <v>3210.15</v>
      </c>
      <c r="F34" s="37" t="n">
        <v>3210.15</v>
      </c>
      <c r="G34" s="18" t="n">
        <v>3576.07</v>
      </c>
      <c r="H34" s="18" t="n">
        <v>3283.56</v>
      </c>
      <c r="I34" s="18" t="n">
        <v>3580.49</v>
      </c>
      <c r="J34" s="18" t="n">
        <v>2990.2</v>
      </c>
      <c r="K34" s="37" t="n">
        <v>2990.2</v>
      </c>
      <c r="L34" s="18" t="n">
        <v>3136.35</v>
      </c>
      <c r="M34" s="18" t="n">
        <v>4623.58</v>
      </c>
      <c r="N34" s="18" t="n">
        <v>4849.93</v>
      </c>
      <c r="O34" s="18" t="n">
        <v>3273.5</v>
      </c>
      <c r="P34" s="37" t="n">
        <v>3273.5</v>
      </c>
      <c r="Q34" s="18" t="n">
        <v>3778.67</v>
      </c>
      <c r="R34" s="18" t="n">
        <v>4533.27</v>
      </c>
      <c r="S34" s="18" t="n">
        <v>4767.03</v>
      </c>
      <c r="T34" s="18" t="n">
        <v>3623.76</v>
      </c>
      <c r="U34" s="37" t="n">
        <v>3623.76</v>
      </c>
      <c r="V34" s="18" t="n">
        <v>4164.49</v>
      </c>
      <c r="W34" s="18" t="n">
        <v>4063.93</v>
      </c>
      <c r="X34" s="18" t="n">
        <v>4275.38</v>
      </c>
      <c r="Z34" s="9" t="n"/>
      <c r="AB34" s="5" t="n"/>
      <c r="AC34" s="10" t="n"/>
      <c r="AD34" s="10" t="n"/>
      <c r="AE34" s="11" t="n"/>
      <c r="AF34" s="10" t="n"/>
      <c r="AG34" s="10" t="n"/>
      <c r="AH34" s="10" t="n"/>
      <c r="AI34" s="10" t="n"/>
      <c r="AJ34" s="11" t="n"/>
      <c r="AK34" s="10" t="n"/>
      <c r="AL34" s="10" t="n"/>
      <c r="AM34" s="10" t="n"/>
      <c r="AN34" s="10" t="n"/>
      <c r="AO34" s="11" t="n"/>
    </row>
    <row r="35">
      <c r="A35" t="n">
        <v>1</v>
      </c>
      <c r="C35" t="inlineStr">
        <is>
          <t>이연법인세부채</t>
        </is>
      </c>
      <c r="E35" s="18" t="n">
        <v>8697.59</v>
      </c>
      <c r="F35" s="37" t="n">
        <v>8697.59</v>
      </c>
      <c r="G35" s="18" t="n">
        <v>8694.76</v>
      </c>
      <c r="H35" s="18" t="n">
        <v>8780.74</v>
      </c>
      <c r="I35" s="18" t="n">
        <v>8777.91</v>
      </c>
      <c r="J35" s="18" t="n">
        <v>7594.1</v>
      </c>
      <c r="K35" s="37" t="n">
        <v>7594.1</v>
      </c>
      <c r="L35" s="18" t="n">
        <v>7586.94</v>
      </c>
      <c r="M35" s="18" t="n">
        <v>4868.24</v>
      </c>
      <c r="N35" s="18" t="n">
        <v>4867.83</v>
      </c>
      <c r="O35" s="18" t="n">
        <v>5270.16</v>
      </c>
      <c r="P35" s="37" t="n">
        <v>5270.16</v>
      </c>
      <c r="Q35" s="18" t="n">
        <v>5269.75</v>
      </c>
      <c r="R35" s="18" t="n">
        <v>4226.45</v>
      </c>
      <c r="S35" s="18" t="n">
        <v>4226.04</v>
      </c>
      <c r="T35" s="18" t="n">
        <v>3594.74</v>
      </c>
      <c r="U35" s="37" t="n">
        <v>3594.74</v>
      </c>
      <c r="V35" s="18" t="n">
        <v>4173.79</v>
      </c>
      <c r="W35" s="18" t="n">
        <v>4303.17</v>
      </c>
      <c r="X35" s="18" t="n">
        <v>4302.43</v>
      </c>
      <c r="Y35" s="18" t="n">
        <v>5519.38</v>
      </c>
      <c r="Z35" s="37" t="n">
        <v>5519.38</v>
      </c>
      <c r="AA35" s="18" t="n">
        <v>5518.99</v>
      </c>
      <c r="AB35" s="19" t="n">
        <v>4699.41</v>
      </c>
      <c r="AC35" s="10" t="n"/>
      <c r="AD35" s="10" t="n"/>
      <c r="AE35" s="11" t="n"/>
      <c r="AF35" s="10" t="n"/>
      <c r="AG35" s="10" t="n"/>
      <c r="AH35" s="10" t="n"/>
      <c r="AI35" s="10" t="n"/>
      <c r="AJ35" s="11" t="n"/>
      <c r="AK35" s="10" t="n"/>
      <c r="AL35" s="10" t="n"/>
      <c r="AM35" s="10" t="n"/>
      <c r="AN35" s="10" t="n"/>
      <c r="AO35" s="11" t="n"/>
    </row>
    <row r="36">
      <c r="A36" t="n">
        <v>1</v>
      </c>
      <c r="C36" t="inlineStr">
        <is>
          <t>비유동리스부채</t>
        </is>
      </c>
      <c r="E36" s="18" t="n">
        <v>860.42</v>
      </c>
      <c r="F36" s="37" t="n">
        <v>860.42</v>
      </c>
      <c r="G36" s="18" t="n">
        <v>855.21</v>
      </c>
      <c r="H36" s="18" t="n">
        <v>810.45</v>
      </c>
      <c r="I36" s="18" t="n">
        <v>724.4299999999999</v>
      </c>
      <c r="J36" s="18" t="n">
        <v>772.47</v>
      </c>
      <c r="K36" s="37" t="n">
        <v>772.47</v>
      </c>
      <c r="L36" s="18" t="n">
        <v>743.96</v>
      </c>
      <c r="M36" s="18" t="n">
        <v>709.9</v>
      </c>
      <c r="N36" s="18" t="n">
        <v>620.9299999999999</v>
      </c>
      <c r="O36" s="18" t="n">
        <v>523.09</v>
      </c>
      <c r="P36" s="37" t="n">
        <v>523.09</v>
      </c>
      <c r="Q36" s="18" t="n">
        <v>432.26</v>
      </c>
      <c r="R36" s="18" t="n">
        <v>559.3099999999999</v>
      </c>
      <c r="S36" s="18" t="n">
        <v>501.11</v>
      </c>
      <c r="T36" s="18" t="n">
        <v>484.52</v>
      </c>
      <c r="U36" s="37" t="n">
        <v>484.52</v>
      </c>
      <c r="V36" s="18" t="n">
        <v>40.71</v>
      </c>
      <c r="W36" s="18" t="n">
        <v>385.25</v>
      </c>
      <c r="X36" s="18" t="n">
        <v>318.7</v>
      </c>
      <c r="Y36" s="18" t="n">
        <v>350.6</v>
      </c>
      <c r="Z36" s="37" t="n">
        <v>350.6</v>
      </c>
      <c r="AA36" s="18" t="n">
        <v>587.29</v>
      </c>
      <c r="AB36" s="19" t="n">
        <v>478.66</v>
      </c>
      <c r="AC36" s="10" t="n"/>
      <c r="AD36" s="10" t="n"/>
      <c r="AE36" s="11" t="n"/>
      <c r="AF36" s="10" t="n"/>
      <c r="AG36" s="10" t="n"/>
      <c r="AH36" s="10" t="n"/>
      <c r="AI36" s="10" t="n"/>
      <c r="AJ36" s="11" t="n"/>
      <c r="AK36" s="10" t="n"/>
      <c r="AL36" s="10" t="n"/>
      <c r="AM36" s="10" t="n"/>
      <c r="AN36" s="10" t="n"/>
      <c r="AO36" s="11" t="n"/>
    </row>
    <row r="37">
      <c r="A37" t="n">
        <v>1</v>
      </c>
      <c r="C37" t="inlineStr">
        <is>
          <t>장기금융부채</t>
        </is>
      </c>
      <c r="E37" s="18" t="n">
        <v>1410.42</v>
      </c>
      <c r="F37" s="37" t="n">
        <v>1410.42</v>
      </c>
      <c r="G37" s="18" t="n">
        <v>1411.21</v>
      </c>
      <c r="H37" s="18" t="n">
        <v>1366.45</v>
      </c>
      <c r="I37" s="18" t="n">
        <v>1230.43</v>
      </c>
      <c r="J37" s="18" t="n">
        <v>1278.47</v>
      </c>
      <c r="K37" s="37" t="n">
        <v>1278.47</v>
      </c>
      <c r="L37" s="18" t="n">
        <v>1299.96</v>
      </c>
      <c r="M37" s="18" t="n">
        <v>1285.9</v>
      </c>
      <c r="N37" s="18" t="n">
        <v>1276.93</v>
      </c>
      <c r="O37" s="18" t="n">
        <v>1259.09</v>
      </c>
      <c r="P37" s="37" t="n">
        <v>1259.09</v>
      </c>
      <c r="Q37" s="18" t="n">
        <v>1208.26</v>
      </c>
      <c r="R37" s="18" t="n">
        <v>1375.31</v>
      </c>
      <c r="S37" s="18" t="n">
        <v>1377.11</v>
      </c>
      <c r="T37" s="18" t="n">
        <v>700.52</v>
      </c>
      <c r="U37" s="37" t="n">
        <v>700.52</v>
      </c>
      <c r="V37" s="18" t="n">
        <v>5052.37</v>
      </c>
      <c r="W37" s="18" t="n">
        <v>4383.7</v>
      </c>
      <c r="X37" s="18" t="n">
        <v>4311.15</v>
      </c>
      <c r="Y37" s="18" t="n">
        <v>570.6</v>
      </c>
      <c r="Z37" s="37" t="n">
        <v>570.6</v>
      </c>
      <c r="AA37" s="18" t="n">
        <v>757.29</v>
      </c>
      <c r="AB37" s="19" t="n">
        <v>698.66</v>
      </c>
      <c r="AC37" s="10" t="n"/>
      <c r="AD37" s="10" t="n"/>
      <c r="AE37" s="11" t="n"/>
      <c r="AF37" s="10" t="n"/>
      <c r="AG37" s="10" t="n"/>
      <c r="AH37" s="10" t="n"/>
      <c r="AI37" s="10" t="n"/>
      <c r="AJ37" s="11" t="n"/>
      <c r="AK37" s="10" t="n"/>
      <c r="AL37" s="10" t="n"/>
      <c r="AM37" s="10" t="n"/>
      <c r="AN37" s="10" t="n"/>
      <c r="AO37" s="11" t="n"/>
    </row>
    <row r="38">
      <c r="A38" t="n">
        <v>1</v>
      </c>
      <c r="C38" t="inlineStr">
        <is>
          <t>기타비유동금융부채</t>
        </is>
      </c>
      <c r="E38" s="18" t="n">
        <v>550</v>
      </c>
      <c r="F38" s="37" t="n">
        <v>550</v>
      </c>
      <c r="G38" s="18" t="n">
        <v>556</v>
      </c>
      <c r="H38" s="18" t="n">
        <v>556</v>
      </c>
      <c r="I38" s="18" t="n">
        <v>506</v>
      </c>
      <c r="J38" s="18" t="n">
        <v>506</v>
      </c>
      <c r="K38" s="37" t="n">
        <v>506</v>
      </c>
      <c r="L38" s="18" t="n">
        <v>556</v>
      </c>
      <c r="M38" s="18" t="n">
        <v>576</v>
      </c>
      <c r="N38" s="18" t="n">
        <v>656</v>
      </c>
      <c r="O38" s="18" t="n">
        <v>736</v>
      </c>
      <c r="P38" s="37" t="n">
        <v>736</v>
      </c>
      <c r="Q38" s="18" t="n">
        <v>776</v>
      </c>
      <c r="R38" s="18" t="n">
        <v>816</v>
      </c>
      <c r="S38" s="18" t="n">
        <v>876</v>
      </c>
      <c r="T38" s="18" t="n">
        <v>216</v>
      </c>
      <c r="U38" s="37" t="n">
        <v>216</v>
      </c>
      <c r="V38" s="18" t="n">
        <v>5011.66</v>
      </c>
      <c r="W38" s="18" t="n">
        <v>3998.45</v>
      </c>
      <c r="X38" s="18" t="n">
        <v>3992.45</v>
      </c>
      <c r="Y38" s="18" t="n">
        <v>220</v>
      </c>
      <c r="Z38" s="37" t="n">
        <v>220</v>
      </c>
      <c r="AA38" s="18" t="n">
        <v>170</v>
      </c>
      <c r="AB38" s="19" t="n">
        <v>220</v>
      </c>
      <c r="AC38" s="10" t="n"/>
      <c r="AD38" s="10" t="n"/>
      <c r="AE38" s="11" t="n"/>
      <c r="AF38" s="10" t="n"/>
      <c r="AG38" s="10" t="n"/>
      <c r="AH38" s="10" t="n"/>
      <c r="AI38" s="10" t="n"/>
      <c r="AJ38" s="11" t="n"/>
      <c r="AK38" s="10" t="n"/>
      <c r="AL38" s="10" t="n"/>
      <c r="AM38" s="10" t="n"/>
      <c r="AN38" s="10" t="n"/>
      <c r="AO38" s="11" t="n"/>
    </row>
    <row r="39">
      <c r="A39" t="n">
        <v>1</v>
      </c>
      <c r="C39" t="inlineStr">
        <is>
          <t>부채총계</t>
        </is>
      </c>
      <c r="E39" s="18" t="n">
        <v>145850.97</v>
      </c>
      <c r="F39" s="37" t="n">
        <v>145850.97</v>
      </c>
      <c r="G39" s="18" t="n">
        <v>126412.36</v>
      </c>
      <c r="H39" s="18" t="n">
        <v>137659.82</v>
      </c>
      <c r="I39" s="18" t="n">
        <v>139859.45</v>
      </c>
      <c r="J39" s="18" t="n">
        <v>137582.87</v>
      </c>
      <c r="K39" s="37" t="n">
        <v>137582.87</v>
      </c>
      <c r="L39" s="18" t="n">
        <v>144599.65</v>
      </c>
      <c r="M39" s="18" t="n">
        <v>150369.4</v>
      </c>
      <c r="N39" s="18" t="n">
        <v>154362.25</v>
      </c>
      <c r="O39" s="18" t="n">
        <v>126693.39</v>
      </c>
      <c r="P39" s="37" t="n">
        <v>126693.39</v>
      </c>
      <c r="Q39" s="18" t="n">
        <v>130180.38</v>
      </c>
      <c r="R39" s="18" t="n">
        <v>126962.91</v>
      </c>
      <c r="S39" s="18" t="n">
        <v>112781.04</v>
      </c>
      <c r="T39" s="18" t="n">
        <v>135738.03</v>
      </c>
      <c r="U39" s="37" t="n">
        <v>135738.03</v>
      </c>
      <c r="V39" s="18" t="n">
        <v>152725.46</v>
      </c>
      <c r="W39" s="18" t="n">
        <v>150651.12</v>
      </c>
      <c r="X39" s="18" t="n">
        <v>160285.43</v>
      </c>
      <c r="Y39" s="18" t="n">
        <v>185850.99</v>
      </c>
      <c r="Z39" s="37" t="n">
        <v>185850.99</v>
      </c>
      <c r="AA39" s="18" t="n">
        <v>194162.39</v>
      </c>
      <c r="AB39" s="19" t="n">
        <v>186711.37</v>
      </c>
      <c r="AC39" s="10" t="n"/>
      <c r="AD39" s="10" t="n"/>
      <c r="AE39" s="11" t="n"/>
      <c r="AF39" s="10" t="n"/>
      <c r="AG39" s="10" t="n"/>
      <c r="AH39" s="10" t="n"/>
      <c r="AI39" s="10" t="n"/>
      <c r="AJ39" s="11" t="n"/>
      <c r="AK39" s="10" t="n"/>
      <c r="AL39" s="10" t="n"/>
      <c r="AM39" s="10" t="n"/>
      <c r="AN39" s="10" t="n"/>
      <c r="AO39" s="11" t="n"/>
    </row>
    <row r="40">
      <c r="A40" t="n">
        <v>1</v>
      </c>
      <c r="C40" t="inlineStr">
        <is>
          <t>지배주주지분</t>
        </is>
      </c>
      <c r="E40" s="18" t="n">
        <v>100842.48</v>
      </c>
      <c r="F40" s="37" t="n">
        <v>100842.48</v>
      </c>
      <c r="G40" s="18" t="n">
        <v>112807.35</v>
      </c>
      <c r="H40" s="18" t="n">
        <v>113283.86</v>
      </c>
      <c r="I40" s="18" t="n">
        <v>113018</v>
      </c>
      <c r="J40" s="18" t="n">
        <v>113006.48</v>
      </c>
      <c r="K40" s="37" t="n">
        <v>113006.48</v>
      </c>
      <c r="L40" s="18" t="n">
        <v>112744.65</v>
      </c>
      <c r="M40" s="18" t="n">
        <v>114401.32</v>
      </c>
      <c r="N40" s="18" t="n">
        <v>113558.67</v>
      </c>
      <c r="O40" s="18" t="n">
        <v>121170.84</v>
      </c>
      <c r="P40" s="37" t="n">
        <v>121170.84</v>
      </c>
      <c r="Q40" s="18" t="n">
        <v>121035.37</v>
      </c>
      <c r="R40" s="18" t="n">
        <v>122242.98</v>
      </c>
      <c r="S40" s="18" t="n">
        <v>121814.37</v>
      </c>
      <c r="T40" s="18" t="n">
        <v>120932.72</v>
      </c>
      <c r="U40" s="37" t="n">
        <v>120932.72</v>
      </c>
      <c r="V40" s="18" t="n">
        <v>117914.45</v>
      </c>
      <c r="W40" s="18" t="n">
        <v>120198.15</v>
      </c>
      <c r="X40" s="18" t="n">
        <v>128801.65</v>
      </c>
      <c r="Y40" s="18" t="n">
        <v>123786.51</v>
      </c>
      <c r="Z40" s="37" t="n">
        <v>123786.51</v>
      </c>
      <c r="AA40" s="18" t="n">
        <v>134708.38</v>
      </c>
      <c r="AB40" s="19" t="n">
        <v>137784.22</v>
      </c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A41" t="n">
        <v>1</v>
      </c>
      <c r="C41" t="inlineStr">
        <is>
          <t>자본금</t>
        </is>
      </c>
      <c r="E41" s="18" t="n">
        <v>12261.13</v>
      </c>
      <c r="F41" s="37" t="n">
        <v>12261.13</v>
      </c>
      <c r="G41" s="18" t="n">
        <v>12261.13</v>
      </c>
      <c r="H41" s="18" t="n">
        <v>12261.13</v>
      </c>
      <c r="I41" s="18" t="n">
        <v>12261.13</v>
      </c>
      <c r="J41" s="18" t="n">
        <v>12261.13</v>
      </c>
      <c r="K41" s="37" t="n">
        <v>12261.13</v>
      </c>
      <c r="L41" s="18" t="n">
        <v>12261.13</v>
      </c>
      <c r="M41" s="18" t="n">
        <v>12261.13</v>
      </c>
      <c r="N41" s="18" t="n">
        <v>12261.13</v>
      </c>
      <c r="O41" s="18" t="n">
        <v>12261.13</v>
      </c>
      <c r="P41" s="37" t="n">
        <v>12261.13</v>
      </c>
      <c r="Q41" s="18" t="n">
        <v>12261.13</v>
      </c>
      <c r="R41" s="18" t="n">
        <v>12261.13</v>
      </c>
      <c r="S41" s="18" t="n">
        <v>12261.13</v>
      </c>
      <c r="T41" s="18" t="n">
        <v>12261.13</v>
      </c>
      <c r="U41" s="37" t="n">
        <v>12261.13</v>
      </c>
      <c r="V41" s="18" t="n">
        <v>13368.13</v>
      </c>
      <c r="W41" s="18" t="n">
        <v>13368.13</v>
      </c>
      <c r="X41" s="18" t="n">
        <v>13368.13</v>
      </c>
      <c r="Y41" s="18" t="n">
        <v>13368.13</v>
      </c>
      <c r="Z41" s="37" t="n">
        <v>13368.13</v>
      </c>
      <c r="AA41" s="18" t="n">
        <v>13368.13</v>
      </c>
      <c r="AB41" s="19" t="n">
        <v>13368.13</v>
      </c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t="n">
        <v>1</v>
      </c>
      <c r="C42" t="inlineStr">
        <is>
          <t>자본잉여금</t>
        </is>
      </c>
      <c r="E42" s="18" t="n">
        <v>19928.82</v>
      </c>
      <c r="F42" s="37" t="n">
        <v>19928.82</v>
      </c>
      <c r="G42" s="18" t="n">
        <v>19928.82</v>
      </c>
      <c r="H42" s="18" t="n">
        <v>19928.82</v>
      </c>
      <c r="I42" s="18" t="n">
        <v>19692.75</v>
      </c>
      <c r="J42" s="18" t="n">
        <v>18226.23</v>
      </c>
      <c r="K42" s="37" t="n">
        <v>18226.23</v>
      </c>
      <c r="L42" s="18" t="n">
        <v>18203.39</v>
      </c>
      <c r="M42" s="18" t="n">
        <v>18203.39</v>
      </c>
      <c r="N42" s="18" t="n">
        <v>17851.98</v>
      </c>
      <c r="O42" s="18" t="n">
        <v>31679.9</v>
      </c>
      <c r="P42" s="37" t="n">
        <v>31679.9</v>
      </c>
      <c r="Q42" s="18" t="n">
        <v>31679.9</v>
      </c>
      <c r="R42" s="18" t="n">
        <v>31679.9</v>
      </c>
      <c r="S42" s="18" t="n">
        <v>31679.9</v>
      </c>
      <c r="T42" s="18" t="n">
        <v>35295.98</v>
      </c>
      <c r="U42" s="37" t="n">
        <v>35295.98</v>
      </c>
      <c r="V42" s="18" t="n">
        <v>32010.34</v>
      </c>
      <c r="W42" s="18" t="n">
        <v>35507.93</v>
      </c>
      <c r="X42" s="18" t="n">
        <v>35513.41</v>
      </c>
      <c r="Y42" s="18" t="n">
        <v>35460.41</v>
      </c>
      <c r="Z42" s="37" t="n">
        <v>35460.41</v>
      </c>
      <c r="AA42" s="18" t="n">
        <v>47378.65</v>
      </c>
      <c r="AB42" s="19" t="n">
        <v>47986.08</v>
      </c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t="n">
        <v>1</v>
      </c>
      <c r="C43" t="inlineStr">
        <is>
          <t>기타자본</t>
        </is>
      </c>
      <c r="E43" s="18" t="n">
        <v>744.12</v>
      </c>
      <c r="F43" s="37" t="n">
        <v>744.12</v>
      </c>
      <c r="G43" s="18" t="n">
        <v>1496.28</v>
      </c>
      <c r="H43" s="18" t="n">
        <v>398.14</v>
      </c>
      <c r="I43" s="18" t="n">
        <v>170.03</v>
      </c>
      <c r="J43" s="18" t="n">
        <v>510.25</v>
      </c>
      <c r="K43" s="37" t="n">
        <v>510.25</v>
      </c>
      <c r="L43" s="18" t="n">
        <v>526.6900000000001</v>
      </c>
      <c r="M43" s="18" t="n">
        <v>558.77</v>
      </c>
      <c r="N43" s="18" t="n">
        <v>423.13</v>
      </c>
      <c r="O43" s="18" t="n">
        <v>1991.49</v>
      </c>
      <c r="P43" s="37" t="n">
        <v>1991.49</v>
      </c>
      <c r="Q43" s="18" t="n">
        <v>1251.36</v>
      </c>
      <c r="R43" s="18" t="n">
        <v>2322.69</v>
      </c>
      <c r="S43" s="18" t="n">
        <v>2241.84</v>
      </c>
      <c r="T43" s="18" t="n">
        <v>-220.78</v>
      </c>
      <c r="U43" s="37" t="n">
        <v>-220.78</v>
      </c>
      <c r="V43" s="18" t="n">
        <v>-1506.73</v>
      </c>
      <c r="W43" s="18" t="n">
        <v>-5948.76</v>
      </c>
      <c r="X43" s="18" t="n">
        <v>1549.25</v>
      </c>
      <c r="Z43" s="9" t="n"/>
      <c r="AB43" s="5" t="n"/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t="n">
        <v>1</v>
      </c>
      <c r="C44" t="inlineStr">
        <is>
          <t>이익잉여금</t>
        </is>
      </c>
      <c r="E44" s="18" t="n">
        <v>67908.39999999999</v>
      </c>
      <c r="F44" s="37" t="n">
        <v>67908.39999999999</v>
      </c>
      <c r="G44" s="18" t="n">
        <v>79121.12</v>
      </c>
      <c r="H44" s="18" t="n">
        <v>80695.77</v>
      </c>
      <c r="I44" s="18" t="n">
        <v>80894.10000000001</v>
      </c>
      <c r="J44" s="18" t="n">
        <v>82008.88</v>
      </c>
      <c r="K44" s="37" t="n">
        <v>82008.88</v>
      </c>
      <c r="L44" s="18" t="n">
        <v>81753.44</v>
      </c>
      <c r="M44" s="18" t="n">
        <v>83378.03</v>
      </c>
      <c r="N44" s="18" t="n">
        <v>83022.42999999999</v>
      </c>
      <c r="O44" s="18" t="n">
        <v>75238.32000000001</v>
      </c>
      <c r="P44" s="37" t="n">
        <v>75238.32000000001</v>
      </c>
      <c r="Q44" s="18" t="n">
        <v>75842.98</v>
      </c>
      <c r="R44" s="18" t="n">
        <v>75979.25999999999</v>
      </c>
      <c r="S44" s="18" t="n">
        <v>75631.5</v>
      </c>
      <c r="T44" s="18" t="n">
        <v>73596.39</v>
      </c>
      <c r="U44" s="37" t="n">
        <v>73596.39</v>
      </c>
      <c r="V44" s="18" t="n">
        <v>74042.71000000001</v>
      </c>
      <c r="W44" s="18" t="n">
        <v>77270.85000000001</v>
      </c>
      <c r="X44" s="18" t="n">
        <v>78370.85000000001</v>
      </c>
      <c r="Y44" s="18" t="n">
        <v>77377.91</v>
      </c>
      <c r="Z44" s="37" t="n">
        <v>77377.91</v>
      </c>
      <c r="AA44" s="18" t="n">
        <v>76489.74000000001</v>
      </c>
      <c r="AB44" s="19" t="n">
        <v>79155.02</v>
      </c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t="n">
        <v>1</v>
      </c>
      <c r="C45" t="inlineStr">
        <is>
          <t>비지배주주지분</t>
        </is>
      </c>
      <c r="E45" s="18" t="n">
        <v>3074.95</v>
      </c>
      <c r="F45" s="37" t="n">
        <v>3074.95</v>
      </c>
      <c r="G45" s="18" t="n">
        <v>3366.2</v>
      </c>
      <c r="H45" s="18" t="n">
        <v>3655.33</v>
      </c>
      <c r="I45" s="18" t="n">
        <v>4194.09</v>
      </c>
      <c r="J45" s="18" t="n">
        <v>4270.35</v>
      </c>
      <c r="K45" s="37" t="n">
        <v>4270.35</v>
      </c>
      <c r="L45" s="18" t="n">
        <v>4664.37</v>
      </c>
      <c r="M45" s="18" t="n">
        <v>5159.13</v>
      </c>
      <c r="N45" s="18" t="n">
        <v>5398.29</v>
      </c>
      <c r="O45" s="18" t="n">
        <v>22857.04</v>
      </c>
      <c r="P45" s="37" t="n">
        <v>22857.04</v>
      </c>
      <c r="Q45" s="18" t="n">
        <v>23568.78</v>
      </c>
      <c r="R45" s="18" t="n">
        <v>24002.29</v>
      </c>
      <c r="S45" s="18" t="n">
        <v>24172.9</v>
      </c>
      <c r="T45" s="18" t="n">
        <v>24757.62</v>
      </c>
      <c r="U45" s="37" t="n">
        <v>24757.62</v>
      </c>
      <c r="V45" s="18" t="n">
        <v>22880.41</v>
      </c>
      <c r="W45" s="18" t="n">
        <v>24465.07</v>
      </c>
      <c r="X45" s="18" t="n">
        <v>25525.74</v>
      </c>
      <c r="Y45" s="18" t="n">
        <v>25702.88</v>
      </c>
      <c r="Z45" s="37" t="n">
        <v>25702.88</v>
      </c>
      <c r="AA45" s="18" t="n">
        <v>40578.79</v>
      </c>
      <c r="AB45" s="19" t="n">
        <v>41709.56</v>
      </c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t="n">
        <v>1</v>
      </c>
      <c r="C46" t="inlineStr">
        <is>
          <t>자본총계</t>
        </is>
      </c>
      <c r="E46" s="18" t="n">
        <v>103917.42</v>
      </c>
      <c r="F46" s="37" t="n">
        <v>103917.42</v>
      </c>
      <c r="G46" s="18" t="n">
        <v>116173.55</v>
      </c>
      <c r="H46" s="18" t="n">
        <v>116939.19</v>
      </c>
      <c r="I46" s="18" t="n">
        <v>117212.1</v>
      </c>
      <c r="J46" s="18" t="n">
        <v>117276.83</v>
      </c>
      <c r="K46" s="37" t="n">
        <v>117276.83</v>
      </c>
      <c r="L46" s="18" t="n">
        <v>117409.02</v>
      </c>
      <c r="M46" s="18" t="n">
        <v>119560.46</v>
      </c>
      <c r="N46" s="18" t="n">
        <v>118956.95</v>
      </c>
      <c r="O46" s="18" t="n">
        <v>144027.88</v>
      </c>
      <c r="P46" s="37" t="n">
        <v>144027.88</v>
      </c>
      <c r="Q46" s="18" t="n">
        <v>144604.15</v>
      </c>
      <c r="R46" s="18" t="n">
        <v>146245.27</v>
      </c>
      <c r="S46" s="18" t="n">
        <v>145987.27</v>
      </c>
      <c r="T46" s="18" t="n">
        <v>145690.33</v>
      </c>
      <c r="U46" s="37" t="n">
        <v>145690.33</v>
      </c>
      <c r="V46" s="18" t="n">
        <v>140794.86</v>
      </c>
      <c r="W46" s="18" t="n">
        <v>144663.22</v>
      </c>
      <c r="X46" s="18" t="n">
        <v>154327.38</v>
      </c>
      <c r="Y46" s="18" t="n">
        <v>149489.39</v>
      </c>
      <c r="Z46" s="37" t="n">
        <v>149489.39</v>
      </c>
      <c r="AA46" s="18" t="n">
        <v>175287.17</v>
      </c>
      <c r="AB46" s="19" t="n">
        <v>179493.78</v>
      </c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t="n">
        <v>1</v>
      </c>
      <c r="C47" t="inlineStr">
        <is>
          <t>부채와자본총계</t>
        </is>
      </c>
      <c r="E47" s="18" t="n">
        <v>249768.39</v>
      </c>
      <c r="F47" s="37" t="n">
        <v>249768.39</v>
      </c>
      <c r="G47" s="18" t="n">
        <v>242585.92</v>
      </c>
      <c r="H47" s="18" t="n">
        <v>254599.01</v>
      </c>
      <c r="I47" s="18" t="n">
        <v>257071.54</v>
      </c>
      <c r="J47" s="18" t="n">
        <v>254859.7</v>
      </c>
      <c r="K47" s="37" t="n">
        <v>254859.7</v>
      </c>
      <c r="L47" s="18" t="n">
        <v>262008.67</v>
      </c>
      <c r="M47" s="18" t="n">
        <v>269929.85</v>
      </c>
      <c r="N47" s="18" t="n">
        <v>273319.2</v>
      </c>
      <c r="O47" s="18" t="n">
        <v>270721.26</v>
      </c>
      <c r="P47" s="37" t="n">
        <v>270721.26</v>
      </c>
      <c r="Q47" s="18" t="n">
        <v>274784.53</v>
      </c>
      <c r="R47" s="18" t="n">
        <v>273208.18</v>
      </c>
      <c r="S47" s="18" t="n">
        <v>258768.3</v>
      </c>
      <c r="T47" s="18" t="n">
        <v>281428.37</v>
      </c>
      <c r="U47" s="37" t="n">
        <v>281428.37</v>
      </c>
      <c r="V47" s="18" t="n">
        <v>293520.32</v>
      </c>
      <c r="W47" s="18" t="n">
        <v>295314.34</v>
      </c>
      <c r="X47" s="18" t="n">
        <v>314612.81</v>
      </c>
      <c r="Y47" s="18" t="n">
        <v>335340.38</v>
      </c>
      <c r="Z47" s="37" t="n">
        <v>335340.38</v>
      </c>
      <c r="AA47" s="18" t="n">
        <v>369449.56</v>
      </c>
      <c r="AB47" s="19" t="n">
        <v>366205.15</v>
      </c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t="n">
        <v>1</v>
      </c>
      <c r="C48" t="inlineStr">
        <is>
          <t>총차입금</t>
        </is>
      </c>
      <c r="E48" s="18" t="n">
        <v>125615.16</v>
      </c>
      <c r="F48" s="37" t="n">
        <v>125615.16</v>
      </c>
      <c r="G48" s="18" t="n">
        <v>92676.87</v>
      </c>
      <c r="H48" s="18" t="n">
        <v>98978.56</v>
      </c>
      <c r="I48" s="18" t="n">
        <v>103800</v>
      </c>
      <c r="J48" s="18" t="n">
        <v>97170</v>
      </c>
      <c r="K48" s="37" t="n">
        <v>97170</v>
      </c>
      <c r="L48" s="18" t="n">
        <v>106853</v>
      </c>
      <c r="M48" s="18" t="n">
        <v>114314</v>
      </c>
      <c r="N48" s="18" t="n">
        <v>124460</v>
      </c>
      <c r="O48" s="18" t="n">
        <v>91662.14</v>
      </c>
      <c r="P48" s="37" t="n">
        <v>91662.14</v>
      </c>
      <c r="Q48" s="18" t="n">
        <v>96700</v>
      </c>
      <c r="R48" s="18" t="n">
        <v>94000</v>
      </c>
      <c r="S48" s="18" t="n">
        <v>88050</v>
      </c>
      <c r="T48" s="18" t="n">
        <v>107350</v>
      </c>
      <c r="U48" s="37" t="n">
        <v>107350</v>
      </c>
      <c r="V48" s="18" t="n">
        <v>114309.95</v>
      </c>
      <c r="W48" s="18" t="n">
        <v>115998.68</v>
      </c>
      <c r="X48" s="18" t="n">
        <v>122373.85</v>
      </c>
      <c r="Y48" s="18" t="n">
        <v>148479.74</v>
      </c>
      <c r="Z48" s="37" t="n">
        <v>148479.74</v>
      </c>
      <c r="AA48" s="18" t="n">
        <v>149680.17</v>
      </c>
      <c r="AB48" s="19" t="n">
        <v>154533.33</v>
      </c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t="n">
        <v>1</v>
      </c>
      <c r="C49" t="inlineStr">
        <is>
          <t>순차입금</t>
        </is>
      </c>
      <c r="E49" s="18" t="n">
        <v>111867.27</v>
      </c>
      <c r="F49" s="37" t="n">
        <v>111867.27</v>
      </c>
      <c r="G49" s="18" t="n">
        <v>77195.67</v>
      </c>
      <c r="H49" s="18" t="n">
        <v>92171.5</v>
      </c>
      <c r="I49" s="18" t="n">
        <v>95390.97</v>
      </c>
      <c r="J49" s="18" t="n">
        <v>86545.36</v>
      </c>
      <c r="K49" s="37" t="n">
        <v>86545.36</v>
      </c>
      <c r="L49" s="18" t="n">
        <v>101474.7</v>
      </c>
      <c r="M49" s="18" t="n">
        <v>107553.46</v>
      </c>
      <c r="N49" s="18" t="n">
        <v>116155.35</v>
      </c>
      <c r="O49" s="18" t="n">
        <v>74036.86</v>
      </c>
      <c r="P49" s="37" t="n">
        <v>74036.86</v>
      </c>
      <c r="Q49" s="18" t="n">
        <v>81284.55</v>
      </c>
      <c r="R49" s="18" t="n">
        <v>81844.95</v>
      </c>
      <c r="S49" s="18" t="n">
        <v>75220.58</v>
      </c>
      <c r="T49" s="18" t="n">
        <v>95804.81</v>
      </c>
      <c r="U49" s="37" t="n">
        <v>95804.81</v>
      </c>
      <c r="V49" s="18" t="n">
        <v>83361.5</v>
      </c>
      <c r="W49" s="18" t="n">
        <v>96564.53</v>
      </c>
      <c r="X49" s="18" t="n">
        <v>112165.27</v>
      </c>
      <c r="Y49" s="18" t="n">
        <v>117808.9</v>
      </c>
      <c r="Z49" s="37" t="n">
        <v>117808.9</v>
      </c>
      <c r="AA49" s="18" t="n">
        <v>130011.82</v>
      </c>
      <c r="AB49" s="19" t="n">
        <v>131976.46</v>
      </c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t="n">
        <v>1</v>
      </c>
      <c r="C50" t="inlineStr">
        <is>
          <t>이자발생자산</t>
        </is>
      </c>
      <c r="E50" s="18" t="n">
        <v>15179.22</v>
      </c>
      <c r="F50" s="37" t="n">
        <v>15179.22</v>
      </c>
      <c r="G50" s="18" t="n">
        <v>16581.52</v>
      </c>
      <c r="H50" s="18" t="n">
        <v>7907.38</v>
      </c>
      <c r="I50" s="18" t="n">
        <v>9509.35</v>
      </c>
      <c r="J50" s="18" t="n">
        <v>11724.96</v>
      </c>
      <c r="K50" s="37" t="n">
        <v>11724.96</v>
      </c>
      <c r="L50" s="18" t="n">
        <v>6478.62</v>
      </c>
      <c r="M50" s="18" t="n">
        <v>7860.86</v>
      </c>
      <c r="N50" s="18" t="n">
        <v>9404.969999999999</v>
      </c>
      <c r="O50" s="18" t="n">
        <v>18449.71</v>
      </c>
      <c r="P50" s="37" t="n">
        <v>18449.71</v>
      </c>
      <c r="Q50" s="18" t="n">
        <v>16239.88</v>
      </c>
      <c r="R50" s="18" t="n">
        <v>12387.48</v>
      </c>
      <c r="S50" s="18" t="n">
        <v>13157.43</v>
      </c>
      <c r="T50" s="18" t="n">
        <v>24789.5</v>
      </c>
      <c r="U50" s="37" t="n">
        <v>24789.5</v>
      </c>
      <c r="V50" s="18" t="n">
        <v>44291.93</v>
      </c>
      <c r="W50" s="18" t="n">
        <v>31231.5</v>
      </c>
      <c r="X50" s="18" t="n">
        <v>29514.76</v>
      </c>
      <c r="Y50" s="18" t="n">
        <v>31518.7</v>
      </c>
      <c r="Z50" s="37" t="n">
        <v>31518.7</v>
      </c>
      <c r="AA50" s="18" t="n">
        <v>21421.43</v>
      </c>
      <c r="AB50" s="19" t="n">
        <v>24431.11</v>
      </c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t="n">
        <v>1</v>
      </c>
      <c r="C51" t="inlineStr">
        <is>
          <t>유동성장기부채</t>
        </is>
      </c>
      <c r="E51" s="18" t="n">
        <v>19532.3</v>
      </c>
      <c r="F51" s="37" t="n">
        <v>19532.3</v>
      </c>
      <c r="G51" s="18" t="n">
        <v>17476.87</v>
      </c>
      <c r="H51" s="18" t="n">
        <v>16678.56</v>
      </c>
      <c r="I51" s="18" t="n">
        <v>16500</v>
      </c>
      <c r="J51" s="18" t="n">
        <v>17100</v>
      </c>
      <c r="K51" s="37" t="n">
        <v>17100</v>
      </c>
      <c r="L51" s="18" t="n">
        <v>23100</v>
      </c>
      <c r="M51" s="18" t="n">
        <v>9500</v>
      </c>
      <c r="N51" s="18" t="n">
        <v>6000</v>
      </c>
      <c r="O51" s="18" t="n">
        <v>6000</v>
      </c>
      <c r="P51" s="37" t="n">
        <v>6000</v>
      </c>
      <c r="U51" s="9" t="n"/>
      <c r="V51" s="18" t="n">
        <v>9659.950000000001</v>
      </c>
      <c r="W51" s="18" t="n">
        <v>15858.68</v>
      </c>
      <c r="X51" s="18" t="n">
        <v>33273.85</v>
      </c>
      <c r="Y51" s="18" t="n">
        <v>10904.96</v>
      </c>
      <c r="Z51" s="37" t="n">
        <v>10904.96</v>
      </c>
      <c r="AA51" s="18" t="n">
        <v>3405.39</v>
      </c>
      <c r="AB51" s="19" t="n">
        <v>0</v>
      </c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t="n">
        <v>1</v>
      </c>
      <c r="C52" t="inlineStr">
        <is>
          <t>당기법인세자산(선급법인세)</t>
        </is>
      </c>
      <c r="F52" s="9" t="n"/>
      <c r="K52" s="9" t="n"/>
      <c r="O52" s="18" t="n">
        <v>89.81</v>
      </c>
      <c r="P52" s="37" t="n">
        <v>89.81</v>
      </c>
      <c r="Q52" s="18" t="n">
        <v>107.85</v>
      </c>
      <c r="U52" s="9" t="n"/>
      <c r="Z52" s="9" t="n"/>
      <c r="AB52" s="5" t="n"/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t="n">
        <v>1</v>
      </c>
      <c r="C53" t="inlineStr">
        <is>
          <t>단기금융상품</t>
        </is>
      </c>
      <c r="F53" s="9" t="n"/>
      <c r="K53" s="9" t="n"/>
      <c r="P53" s="9" t="n"/>
      <c r="Q53" s="18" t="n">
        <v>1343.03</v>
      </c>
      <c r="U53" s="9" t="n"/>
      <c r="V53" s="18" t="n">
        <v>17119.74</v>
      </c>
      <c r="W53" s="18" t="n">
        <v>12299.9</v>
      </c>
      <c r="X53" s="18" t="n">
        <v>3299.49</v>
      </c>
      <c r="Z53" s="9" t="n"/>
      <c r="AB53" s="5" t="n"/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t="n">
        <v>1</v>
      </c>
      <c r="C54" t="inlineStr">
        <is>
          <t>단기금융자산</t>
        </is>
      </c>
      <c r="F54" s="9" t="n"/>
      <c r="K54" s="9" t="n"/>
      <c r="P54" s="9" t="n"/>
      <c r="Q54" s="18" t="n">
        <v>1343.03</v>
      </c>
      <c r="U54" s="9" t="n"/>
      <c r="V54" s="18" t="n">
        <v>17119.74</v>
      </c>
      <c r="W54" s="18" t="n">
        <v>12299.9</v>
      </c>
      <c r="X54" s="18" t="n">
        <v>3299.49</v>
      </c>
      <c r="Z54" s="9" t="n"/>
      <c r="AB54" s="5" t="n"/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t="n">
        <v>1</v>
      </c>
      <c r="C55" t="inlineStr">
        <is>
          <t>단기금융부채(face)</t>
        </is>
      </c>
      <c r="F55" s="9" t="n"/>
      <c r="K55" s="9" t="n"/>
      <c r="P55" s="9" t="n"/>
      <c r="U55" s="9" t="n"/>
      <c r="Y55" s="18" t="n">
        <v>105814.67</v>
      </c>
      <c r="Z55" s="37" t="n">
        <v>105814.67</v>
      </c>
      <c r="AA55" s="18" t="n">
        <v>104670.17</v>
      </c>
      <c r="AB55" s="19" t="n">
        <v>111400</v>
      </c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t="n">
        <v>1</v>
      </c>
      <c r="C56" t="inlineStr">
        <is>
          <t>기타포괄이익누계액</t>
        </is>
      </c>
      <c r="F56" s="9" t="n"/>
      <c r="K56" s="9" t="n"/>
      <c r="P56" s="9" t="n"/>
      <c r="U56" s="9" t="n"/>
      <c r="Y56" s="18" t="n">
        <v>-2419.94</v>
      </c>
      <c r="Z56" s="37" t="n">
        <v>-2419.94</v>
      </c>
      <c r="AA56" s="18" t="n">
        <v>-2528.14</v>
      </c>
      <c r="AB56" s="19" t="n">
        <v>-2725.01</v>
      </c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t="n">
        <v>1</v>
      </c>
      <c r="C57" t="inlineStr">
        <is>
          <t>매출액(수익)</t>
        </is>
      </c>
      <c r="E57" s="18" t="n">
        <v>58902.71</v>
      </c>
      <c r="F57" s="9" t="n"/>
      <c r="G57" s="18" t="n">
        <v>61406.78</v>
      </c>
      <c r="H57" s="18" t="n">
        <v>64773.02</v>
      </c>
      <c r="I57" s="18" t="n">
        <v>57703.37</v>
      </c>
      <c r="J57" s="18" t="n">
        <v>61602.39</v>
      </c>
      <c r="K57" s="37" t="n">
        <v>245485.56</v>
      </c>
      <c r="L57" s="18" t="n">
        <v>61668.68</v>
      </c>
      <c r="M57" s="18" t="n">
        <v>66477.86</v>
      </c>
      <c r="N57" s="18" t="n">
        <v>58971.11</v>
      </c>
      <c r="O57" s="18" t="n">
        <v>61330.2</v>
      </c>
      <c r="P57" s="37" t="n">
        <v>248447.85</v>
      </c>
      <c r="Q57" s="18" t="n">
        <v>52985.62</v>
      </c>
      <c r="R57" s="18" t="n">
        <v>59840.34</v>
      </c>
      <c r="S57" s="18" t="n">
        <v>53110.99</v>
      </c>
      <c r="T57" s="18" t="n">
        <v>57511.33</v>
      </c>
      <c r="U57" s="37" t="n">
        <v>223448.28</v>
      </c>
      <c r="V57" s="18" t="n">
        <v>53367.27</v>
      </c>
      <c r="W57" s="18" t="n">
        <v>56100.88</v>
      </c>
      <c r="X57" s="18" t="n">
        <v>56009.15</v>
      </c>
      <c r="Y57" s="18" t="n">
        <v>53923.08</v>
      </c>
      <c r="Z57" s="37" t="n">
        <v>219400.38</v>
      </c>
      <c r="AA57" s="18" t="n">
        <v>66119.84</v>
      </c>
      <c r="AB57" s="19" t="n">
        <v>71721.12</v>
      </c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t="n">
        <v>1</v>
      </c>
      <c r="C58" t="inlineStr">
        <is>
          <t>매출원가</t>
        </is>
      </c>
      <c r="E58" s="18" t="n">
        <v>53502.84</v>
      </c>
      <c r="F58" s="9" t="n"/>
      <c r="G58" s="18" t="n">
        <v>53759.67</v>
      </c>
      <c r="H58" s="18" t="n">
        <v>54115.03</v>
      </c>
      <c r="I58" s="18" t="n">
        <v>52667.07</v>
      </c>
      <c r="J58" s="18" t="n">
        <v>55099.8</v>
      </c>
      <c r="K58" s="37" t="n">
        <v>215641.57</v>
      </c>
      <c r="L58" s="18" t="n">
        <v>53646.3</v>
      </c>
      <c r="M58" s="18" t="n">
        <v>58263.47</v>
      </c>
      <c r="N58" s="18" t="n">
        <v>53509.25</v>
      </c>
      <c r="O58" s="18" t="n">
        <v>56589.92</v>
      </c>
      <c r="P58" s="37" t="n">
        <v>222008.94</v>
      </c>
      <c r="Q58" s="18" t="n">
        <v>46715.52</v>
      </c>
      <c r="R58" s="18" t="n">
        <v>53533.17</v>
      </c>
      <c r="S58" s="18" t="n">
        <v>47207.51</v>
      </c>
      <c r="T58" s="18" t="n">
        <v>52613.66</v>
      </c>
      <c r="U58" s="37" t="n">
        <v>200069.86</v>
      </c>
      <c r="V58" s="18" t="n">
        <v>48720.45</v>
      </c>
      <c r="W58" s="18" t="n">
        <v>47083.91</v>
      </c>
      <c r="X58" s="18" t="n">
        <v>48593.34</v>
      </c>
      <c r="Y58" s="18" t="n">
        <v>47530.01</v>
      </c>
      <c r="Z58" s="37" t="n">
        <v>191927.71</v>
      </c>
      <c r="AA58" s="18" t="n">
        <v>53140.94</v>
      </c>
      <c r="AB58" s="19" t="n">
        <v>57018.25</v>
      </c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  <row r="59">
      <c r="A59" t="n">
        <v>1</v>
      </c>
      <c r="C59" t="inlineStr">
        <is>
          <t>매출총이익</t>
        </is>
      </c>
      <c r="E59" s="18" t="n">
        <v>5399.86</v>
      </c>
      <c r="F59" s="9" t="n"/>
      <c r="G59" s="18" t="n">
        <v>7647.11</v>
      </c>
      <c r="H59" s="18" t="n">
        <v>10657.98</v>
      </c>
      <c r="I59" s="18" t="n">
        <v>5036.3</v>
      </c>
      <c r="J59" s="18" t="n">
        <v>6502.6</v>
      </c>
      <c r="K59" s="37" t="n">
        <v>29843.99</v>
      </c>
      <c r="L59" s="18" t="n">
        <v>8022.38</v>
      </c>
      <c r="M59" s="18" t="n">
        <v>8214.389999999999</v>
      </c>
      <c r="N59" s="18" t="n">
        <v>5461.86</v>
      </c>
      <c r="O59" s="18" t="n">
        <v>4740.28</v>
      </c>
      <c r="P59" s="37" t="n">
        <v>26438.91</v>
      </c>
      <c r="Q59" s="18" t="n">
        <v>6270.1</v>
      </c>
      <c r="R59" s="18" t="n">
        <v>6307.16</v>
      </c>
      <c r="S59" s="18" t="n">
        <v>5903.47</v>
      </c>
      <c r="T59" s="18" t="n">
        <v>4897.67</v>
      </c>
      <c r="U59" s="37" t="n">
        <v>23378.4</v>
      </c>
      <c r="V59" s="18" t="n">
        <v>4646.83</v>
      </c>
      <c r="W59" s="18" t="n">
        <v>9016.959999999999</v>
      </c>
      <c r="X59" s="18" t="n">
        <v>7415.81</v>
      </c>
      <c r="Y59" s="18" t="n">
        <v>6393.07</v>
      </c>
      <c r="Z59" s="37" t="n">
        <v>27472.67</v>
      </c>
      <c r="AA59" s="18" t="n">
        <v>12978.9</v>
      </c>
      <c r="AB59" s="19" t="n">
        <v>14702.87</v>
      </c>
      <c r="AC59" s="10" t="n"/>
      <c r="AD59" s="10" t="n"/>
      <c r="AE59" s="11" t="n"/>
      <c r="AF59" s="10" t="n"/>
      <c r="AG59" s="10" t="n"/>
      <c r="AH59" s="10" t="n"/>
      <c r="AI59" s="10" t="n"/>
      <c r="AJ59" s="11" t="n"/>
      <c r="AK59" s="10" t="n"/>
      <c r="AL59" s="10" t="n"/>
      <c r="AM59" s="10" t="n"/>
      <c r="AN59" s="10" t="n"/>
      <c r="AO59" s="11" t="n"/>
    </row>
    <row r="60">
      <c r="A60" t="n">
        <v>1</v>
      </c>
      <c r="C60" t="inlineStr">
        <is>
          <t>판관비</t>
        </is>
      </c>
      <c r="E60" s="18" t="n">
        <v>3114.29</v>
      </c>
      <c r="F60" s="9" t="n"/>
      <c r="G60" s="18" t="n">
        <v>4143.02</v>
      </c>
      <c r="H60" s="18" t="n">
        <v>4370.3</v>
      </c>
      <c r="I60" s="18" t="n">
        <v>4400.23</v>
      </c>
      <c r="J60" s="18" t="n">
        <v>5645.22</v>
      </c>
      <c r="K60" s="37" t="n">
        <v>18558.77</v>
      </c>
      <c r="L60" s="18" t="n">
        <v>4549.21</v>
      </c>
      <c r="M60" s="18" t="n">
        <v>4858.2</v>
      </c>
      <c r="N60" s="18" t="n">
        <v>4518.83</v>
      </c>
      <c r="O60" s="18" t="n">
        <v>7390.44</v>
      </c>
      <c r="P60" s="37" t="n">
        <v>21316.68</v>
      </c>
      <c r="Q60" s="18" t="n">
        <v>4416.81</v>
      </c>
      <c r="R60" s="18" t="n">
        <v>4176.07</v>
      </c>
      <c r="S60" s="18" t="n">
        <v>4629.26</v>
      </c>
      <c r="T60" s="18" t="n">
        <v>4125.79</v>
      </c>
      <c r="U60" s="37" t="n">
        <v>17347.93</v>
      </c>
      <c r="V60" s="18" t="n">
        <v>4392.6</v>
      </c>
      <c r="W60" s="18" t="n">
        <v>3848.44</v>
      </c>
      <c r="X60" s="18" t="n">
        <v>4627.74</v>
      </c>
      <c r="Y60" s="18" t="n">
        <v>6429.21</v>
      </c>
      <c r="Z60" s="37" t="n">
        <v>19297.99</v>
      </c>
      <c r="AA60" s="18" t="n">
        <v>4818.98</v>
      </c>
      <c r="AB60" s="19" t="n">
        <v>5476.91</v>
      </c>
      <c r="AC60" s="10" t="n"/>
      <c r="AD60" s="10" t="n"/>
      <c r="AE60" s="11" t="n"/>
      <c r="AF60" s="10" t="n"/>
      <c r="AG60" s="10" t="n"/>
      <c r="AH60" s="10" t="n"/>
      <c r="AI60" s="10" t="n"/>
      <c r="AJ60" s="11" t="n"/>
      <c r="AK60" s="10" t="n"/>
      <c r="AL60" s="10" t="n"/>
      <c r="AM60" s="10" t="n"/>
      <c r="AN60" s="10" t="n"/>
      <c r="AO60" s="11" t="n"/>
    </row>
    <row r="61">
      <c r="A61" t="n">
        <v>1</v>
      </c>
      <c r="C61" t="inlineStr">
        <is>
          <t>영업이익</t>
        </is>
      </c>
      <c r="E61" s="18" t="n">
        <v>2285.57</v>
      </c>
      <c r="F61" s="9" t="n"/>
      <c r="G61" s="18" t="n">
        <v>3504.09</v>
      </c>
      <c r="H61" s="18" t="n">
        <v>6287.68</v>
      </c>
      <c r="I61" s="18" t="n">
        <v>636.08</v>
      </c>
      <c r="J61" s="18" t="n">
        <v>857.38</v>
      </c>
      <c r="K61" s="37" t="n">
        <v>11285.23</v>
      </c>
      <c r="L61" s="18" t="n">
        <v>3473.17</v>
      </c>
      <c r="M61" s="18" t="n">
        <v>3356.19</v>
      </c>
      <c r="N61" s="18" t="n">
        <v>943.03</v>
      </c>
      <c r="O61" s="18" t="n">
        <v>-2650.17</v>
      </c>
      <c r="P61" s="37" t="n">
        <v>5122.22</v>
      </c>
      <c r="Q61" s="18" t="n">
        <v>1853.28</v>
      </c>
      <c r="R61" s="18" t="n">
        <v>2131.09</v>
      </c>
      <c r="S61" s="18" t="n">
        <v>1274.21</v>
      </c>
      <c r="T61" s="18" t="n">
        <v>771.87</v>
      </c>
      <c r="U61" s="37" t="n">
        <v>6030.45</v>
      </c>
      <c r="V61" s="18" t="n">
        <v>254.23</v>
      </c>
      <c r="W61" s="18" t="n">
        <v>5168.52</v>
      </c>
      <c r="X61" s="18" t="n">
        <v>2788.07</v>
      </c>
      <c r="Y61" s="18" t="n">
        <v>-36.15</v>
      </c>
      <c r="Z61" s="37" t="n">
        <v>8174.67</v>
      </c>
      <c r="AA61" s="18" t="n">
        <v>8159.92</v>
      </c>
      <c r="AB61" s="19" t="n">
        <v>9225.959999999999</v>
      </c>
      <c r="AC61" s="10" t="n"/>
      <c r="AD61" s="10" t="n"/>
      <c r="AE61" s="11" t="n"/>
      <c r="AF61" s="10" t="n"/>
      <c r="AG61" s="10" t="n"/>
      <c r="AH61" s="10" t="n"/>
      <c r="AI61" s="10" t="n"/>
      <c r="AJ61" s="11" t="n"/>
      <c r="AK61" s="10" t="n"/>
      <c r="AL61" s="10" t="n"/>
      <c r="AM61" s="10" t="n"/>
      <c r="AN61" s="10" t="n"/>
      <c r="AO61" s="11" t="n"/>
    </row>
    <row r="62">
      <c r="A62" t="n">
        <v>1</v>
      </c>
      <c r="C62" t="inlineStr">
        <is>
          <t>금융수익</t>
        </is>
      </c>
      <c r="E62" s="18" t="n">
        <v>139.53</v>
      </c>
      <c r="F62" s="9" t="n"/>
      <c r="G62" s="18" t="n">
        <v>288.08</v>
      </c>
      <c r="H62" s="18" t="n">
        <v>655.8</v>
      </c>
      <c r="I62" s="18" t="n">
        <v>1094.05</v>
      </c>
      <c r="J62" s="18" t="n">
        <v>-128.25</v>
      </c>
      <c r="K62" s="37" t="n">
        <v>1909.68</v>
      </c>
      <c r="L62" s="18" t="n">
        <v>666.8099999999999</v>
      </c>
      <c r="M62" s="18" t="n">
        <v>299.59</v>
      </c>
      <c r="N62" s="18" t="n">
        <v>456.46</v>
      </c>
      <c r="O62" s="18" t="n">
        <v>265.08</v>
      </c>
      <c r="P62" s="37" t="n">
        <v>1687.94</v>
      </c>
      <c r="Q62" s="18" t="n">
        <v>558.67</v>
      </c>
      <c r="R62" s="18" t="n">
        <v>372.34</v>
      </c>
      <c r="S62" s="18" t="n">
        <v>58</v>
      </c>
      <c r="T62" s="18" t="n">
        <v>1006.06</v>
      </c>
      <c r="U62" s="37" t="n">
        <v>1995.07</v>
      </c>
      <c r="V62" s="18" t="n">
        <v>388.26</v>
      </c>
      <c r="W62" s="18" t="n">
        <v>4979.8</v>
      </c>
      <c r="X62" s="18" t="n">
        <v>7.12</v>
      </c>
      <c r="Y62" s="18" t="n">
        <v>-2612.72</v>
      </c>
      <c r="Z62" s="37" t="n">
        <v>2762.46</v>
      </c>
      <c r="AA62" s="18" t="n">
        <v>6882.92</v>
      </c>
      <c r="AB62" s="19" t="n">
        <v>13660.59</v>
      </c>
      <c r="AC62" s="10" t="n"/>
      <c r="AD62" s="10" t="n"/>
      <c r="AE62" s="11" t="n"/>
      <c r="AF62" s="10" t="n"/>
      <c r="AG62" s="10" t="n"/>
      <c r="AH62" s="10" t="n"/>
      <c r="AI62" s="10" t="n"/>
      <c r="AJ62" s="11" t="n"/>
      <c r="AK62" s="10" t="n"/>
      <c r="AL62" s="10" t="n"/>
      <c r="AM62" s="10" t="n"/>
      <c r="AN62" s="10" t="n"/>
      <c r="AO62" s="11" t="n"/>
    </row>
    <row r="63">
      <c r="A63" t="n">
        <v>1</v>
      </c>
      <c r="C63" t="inlineStr">
        <is>
          <t>금융비용</t>
        </is>
      </c>
      <c r="E63" s="18" t="n">
        <v>824.1900000000001</v>
      </c>
      <c r="F63" s="9" t="n"/>
      <c r="G63" s="18" t="n">
        <v>1211.56</v>
      </c>
      <c r="H63" s="18" t="n">
        <v>1157.98</v>
      </c>
      <c r="I63" s="18" t="n">
        <v>1070.87</v>
      </c>
      <c r="J63" s="18" t="n">
        <v>1949.48</v>
      </c>
      <c r="K63" s="37" t="n">
        <v>5389.89</v>
      </c>
      <c r="L63" s="18" t="n">
        <v>1837.02</v>
      </c>
      <c r="M63" s="18" t="n">
        <v>1721.34</v>
      </c>
      <c r="N63" s="18" t="n">
        <v>1717.07</v>
      </c>
      <c r="O63" s="18" t="n">
        <v>1729.87</v>
      </c>
      <c r="P63" s="37" t="n">
        <v>7005.3</v>
      </c>
      <c r="Q63" s="18" t="n">
        <v>1298.12</v>
      </c>
      <c r="R63" s="18" t="n">
        <v>1266.93</v>
      </c>
      <c r="S63" s="18" t="n">
        <v>1271.32</v>
      </c>
      <c r="T63" s="18" t="n">
        <v>896.5700000000001</v>
      </c>
      <c r="U63" s="37" t="n">
        <v>4732.94</v>
      </c>
      <c r="V63" s="18" t="n">
        <v>1160.4</v>
      </c>
      <c r="W63" s="18" t="n">
        <v>2654.33</v>
      </c>
      <c r="X63" s="18" t="n">
        <v>685.3200000000001</v>
      </c>
      <c r="Y63" s="18" t="n">
        <v>577.52</v>
      </c>
      <c r="Z63" s="37" t="n">
        <v>5077.57</v>
      </c>
      <c r="AA63" s="18" t="n">
        <v>19143.94</v>
      </c>
      <c r="AB63" s="19" t="n">
        <v>15289.12</v>
      </c>
      <c r="AC63" s="10" t="n"/>
      <c r="AD63" s="10" t="n"/>
      <c r="AE63" s="11" t="n"/>
      <c r="AF63" s="10" t="n"/>
      <c r="AG63" s="10" t="n"/>
      <c r="AH63" s="10" t="n"/>
      <c r="AI63" s="10" t="n"/>
      <c r="AJ63" s="11" t="n"/>
      <c r="AK63" s="10" t="n"/>
      <c r="AL63" s="10" t="n"/>
      <c r="AM63" s="10" t="n"/>
      <c r="AN63" s="10" t="n"/>
      <c r="AO63" s="11" t="n"/>
    </row>
    <row r="64">
      <c r="A64" t="n">
        <v>1</v>
      </c>
      <c r="C64" t="inlineStr">
        <is>
          <t>기타영업외수익</t>
        </is>
      </c>
      <c r="E64" s="18" t="n">
        <v>370.5</v>
      </c>
      <c r="F64" s="9" t="n"/>
      <c r="G64" s="18" t="n">
        <v>9181.549999999999</v>
      </c>
      <c r="H64" s="18" t="n">
        <v>22.39</v>
      </c>
      <c r="I64" s="18" t="n">
        <v>108.46</v>
      </c>
      <c r="J64" s="18" t="n">
        <v>2346.04</v>
      </c>
      <c r="K64" s="37" t="n">
        <v>11658.44</v>
      </c>
      <c r="L64" s="18" t="n">
        <v>166.8</v>
      </c>
      <c r="M64" s="18" t="n">
        <v>113.4</v>
      </c>
      <c r="N64" s="18" t="n">
        <v>203.61</v>
      </c>
      <c r="O64" s="18" t="n">
        <v>171.49</v>
      </c>
      <c r="P64" s="37" t="n">
        <v>655.3</v>
      </c>
      <c r="Q64" s="18" t="n">
        <v>222.98</v>
      </c>
      <c r="R64" s="18" t="n">
        <v>97.73</v>
      </c>
      <c r="S64" s="18" t="n">
        <v>121.47</v>
      </c>
      <c r="T64" s="18" t="n">
        <v>68.3</v>
      </c>
      <c r="U64" s="37" t="n">
        <v>510.48</v>
      </c>
      <c r="V64" s="18" t="n">
        <v>45.81</v>
      </c>
      <c r="W64" s="18" t="n">
        <v>147.46</v>
      </c>
      <c r="X64" s="18" t="n">
        <v>211.99</v>
      </c>
      <c r="Y64" s="18" t="n">
        <v>86.91</v>
      </c>
      <c r="Z64" s="37" t="n">
        <v>492.17</v>
      </c>
      <c r="AA64" s="18" t="n">
        <v>161.21</v>
      </c>
      <c r="AB64" s="19" t="n">
        <v>80.14</v>
      </c>
      <c r="AC64" s="10" t="n"/>
      <c r="AD64" s="10" t="n"/>
      <c r="AE64" s="11" t="n"/>
      <c r="AF64" s="10" t="n"/>
      <c r="AG64" s="10" t="n"/>
      <c r="AH64" s="10" t="n"/>
      <c r="AI64" s="10" t="n"/>
      <c r="AJ64" s="11" t="n"/>
      <c r="AK64" s="10" t="n"/>
      <c r="AL64" s="10" t="n"/>
      <c r="AM64" s="10" t="n"/>
      <c r="AN64" s="10" t="n"/>
      <c r="AO64" s="11" t="n"/>
    </row>
    <row r="65">
      <c r="A65" t="n">
        <v>1</v>
      </c>
      <c r="C65" t="inlineStr">
        <is>
          <t>기타영업외비용</t>
        </is>
      </c>
      <c r="E65" s="18" t="n">
        <v>48.02</v>
      </c>
      <c r="F65" s="9" t="n"/>
      <c r="G65" s="18" t="n">
        <v>234.91</v>
      </c>
      <c r="H65" s="18" t="n">
        <v>6.07</v>
      </c>
      <c r="I65" s="18" t="n">
        <v>10.77</v>
      </c>
      <c r="J65" s="18" t="n">
        <v>456.76</v>
      </c>
      <c r="K65" s="37" t="n">
        <v>708.51</v>
      </c>
      <c r="L65" s="18" t="n">
        <v>99.75</v>
      </c>
      <c r="M65" s="18" t="n">
        <v>297.51</v>
      </c>
      <c r="N65" s="18" t="n">
        <v>86.22</v>
      </c>
      <c r="O65" s="18" t="n">
        <v>2787.3</v>
      </c>
      <c r="P65" s="37" t="n">
        <v>3270.78</v>
      </c>
      <c r="Q65" s="18" t="n">
        <v>92.15000000000001</v>
      </c>
      <c r="R65" s="18" t="n">
        <v>19</v>
      </c>
      <c r="S65" s="18" t="n">
        <v>298.16</v>
      </c>
      <c r="T65" s="18" t="n">
        <v>2754.4</v>
      </c>
      <c r="U65" s="37" t="n">
        <v>3163.71</v>
      </c>
      <c r="V65" s="18" t="n">
        <v>8.23</v>
      </c>
      <c r="W65" s="18" t="n">
        <v>790.64</v>
      </c>
      <c r="X65" s="18" t="n">
        <v>208.99</v>
      </c>
      <c r="Y65" s="18" t="n">
        <v>335.94</v>
      </c>
      <c r="Z65" s="37" t="n">
        <v>1343.8</v>
      </c>
      <c r="AA65" s="18" t="n">
        <v>255.63</v>
      </c>
      <c r="AB65" s="19" t="n">
        <v>72.59999999999999</v>
      </c>
      <c r="AC65" s="10" t="n"/>
      <c r="AD65" s="10" t="n"/>
      <c r="AE65" s="11" t="n"/>
      <c r="AF65" s="10" t="n"/>
      <c r="AG65" s="10" t="n"/>
      <c r="AH65" s="10" t="n"/>
      <c r="AI65" s="10" t="n"/>
      <c r="AJ65" s="11" t="n"/>
      <c r="AK65" s="10" t="n"/>
      <c r="AL65" s="10" t="n"/>
      <c r="AM65" s="10" t="n"/>
      <c r="AN65" s="10" t="n"/>
      <c r="AO65" s="11" t="n"/>
    </row>
    <row r="66">
      <c r="A66" t="n">
        <v>1</v>
      </c>
      <c r="C66" t="inlineStr">
        <is>
          <t>법인세비용차감전계속사업이익</t>
        </is>
      </c>
      <c r="E66" s="18" t="n">
        <v>1902.96</v>
      </c>
      <c r="F66" s="9" t="n"/>
      <c r="G66" s="18" t="n">
        <v>11501.15</v>
      </c>
      <c r="H66" s="18" t="n">
        <v>5786.34</v>
      </c>
      <c r="I66" s="18" t="n">
        <v>734.27</v>
      </c>
      <c r="J66" s="18" t="n">
        <v>642.0599999999999</v>
      </c>
      <c r="K66" s="37" t="n">
        <v>18663.82</v>
      </c>
      <c r="L66" s="18" t="n">
        <v>2353.29</v>
      </c>
      <c r="M66" s="18" t="n">
        <v>1791.16</v>
      </c>
      <c r="N66" s="18" t="n">
        <v>-196.92</v>
      </c>
      <c r="O66" s="18" t="n">
        <v>-6733.52</v>
      </c>
      <c r="P66" s="37" t="n">
        <v>-2785.99</v>
      </c>
      <c r="Q66" s="18" t="n">
        <v>1240.57</v>
      </c>
      <c r="R66" s="18" t="n">
        <v>1306.65</v>
      </c>
      <c r="S66" s="18" t="n">
        <v>-120.63</v>
      </c>
      <c r="T66" s="18" t="n">
        <v>-1816.59</v>
      </c>
      <c r="U66" s="37" t="n">
        <v>610</v>
      </c>
      <c r="V66" s="18" t="n">
        <v>-518.84</v>
      </c>
      <c r="W66" s="18" t="n">
        <v>6850.82</v>
      </c>
      <c r="X66" s="18" t="n">
        <v>2112.87</v>
      </c>
      <c r="Y66" s="18" t="n">
        <v>-3475.41</v>
      </c>
      <c r="Z66" s="37" t="n">
        <v>4969.44</v>
      </c>
      <c r="AA66" s="18" t="n">
        <v>-4195.52</v>
      </c>
      <c r="AB66" s="19" t="n">
        <v>7604.98</v>
      </c>
      <c r="AC66" s="10" t="n"/>
      <c r="AD66" s="10" t="n"/>
      <c r="AE66" s="11" t="n"/>
      <c r="AF66" s="10" t="n"/>
      <c r="AG66" s="10" t="n"/>
      <c r="AH66" s="10" t="n"/>
      <c r="AI66" s="10" t="n"/>
      <c r="AJ66" s="11" t="n"/>
      <c r="AK66" s="10" t="n"/>
      <c r="AL66" s="10" t="n"/>
      <c r="AM66" s="10" t="n"/>
      <c r="AN66" s="10" t="n"/>
      <c r="AO66" s="11" t="n"/>
    </row>
    <row r="67">
      <c r="A67" t="n">
        <v>1</v>
      </c>
      <c r="C67" t="inlineStr">
        <is>
          <t>법인세비용</t>
        </is>
      </c>
      <c r="E67" s="18" t="n">
        <v>2873.35</v>
      </c>
      <c r="F67" s="9" t="n"/>
      <c r="G67" s="18" t="n">
        <v>-2.82</v>
      </c>
      <c r="H67" s="18" t="n">
        <v>4315.52</v>
      </c>
      <c r="I67" s="18" t="n">
        <v>-2.82</v>
      </c>
      <c r="J67" s="18" t="n">
        <v>-610.78</v>
      </c>
      <c r="K67" s="37" t="n">
        <v>3699.1</v>
      </c>
      <c r="L67" s="18" t="n">
        <v>-7.15</v>
      </c>
      <c r="M67" s="18" t="n">
        <v>-913.29</v>
      </c>
      <c r="N67" s="18" t="n">
        <v>-0.41</v>
      </c>
      <c r="O67" s="18" t="n">
        <v>-416.23</v>
      </c>
      <c r="P67" s="37" t="n">
        <v>-1337.08</v>
      </c>
      <c r="Q67" s="18" t="n">
        <v>-0.41</v>
      </c>
      <c r="R67" s="18" t="n">
        <v>288.97</v>
      </c>
      <c r="S67" s="18" t="n">
        <v>117.95</v>
      </c>
      <c r="T67" s="18" t="n">
        <v>-279.54</v>
      </c>
      <c r="U67" s="37" t="n">
        <v>126.97</v>
      </c>
      <c r="V67" s="18" t="n">
        <v>-0.41</v>
      </c>
      <c r="W67" s="18" t="n">
        <v>1434.79</v>
      </c>
      <c r="X67" s="18" t="n">
        <v>2.24</v>
      </c>
      <c r="Y67" s="18" t="n">
        <v>-192.26</v>
      </c>
      <c r="Z67" s="37" t="n">
        <v>1244.36</v>
      </c>
      <c r="AA67" s="18" t="n">
        <v>-175.94</v>
      </c>
      <c r="AB67" s="19" t="n">
        <v>3637.52</v>
      </c>
      <c r="AC67" s="10" t="n"/>
      <c r="AD67" s="10" t="n"/>
      <c r="AE67" s="11" t="n"/>
      <c r="AF67" s="10" t="n"/>
      <c r="AG67" s="10" t="n"/>
      <c r="AH67" s="10" t="n"/>
      <c r="AI67" s="10" t="n"/>
      <c r="AJ67" s="11" t="n"/>
      <c r="AK67" s="10" t="n"/>
      <c r="AL67" s="10" t="n"/>
      <c r="AM67" s="10" t="n"/>
      <c r="AN67" s="10" t="n"/>
      <c r="AO67" s="11" t="n"/>
    </row>
    <row r="68">
      <c r="A68" t="n">
        <v>1</v>
      </c>
      <c r="C68" t="inlineStr">
        <is>
          <t>당기순이익</t>
        </is>
      </c>
      <c r="E68" s="18" t="n">
        <v>-970.39</v>
      </c>
      <c r="F68" s="9" t="n"/>
      <c r="G68" s="18" t="n">
        <v>11503.97</v>
      </c>
      <c r="H68" s="18" t="n">
        <v>1470.82</v>
      </c>
      <c r="I68" s="18" t="n">
        <v>737.1</v>
      </c>
      <c r="J68" s="18" t="n">
        <v>1252.84</v>
      </c>
      <c r="K68" s="37" t="n">
        <v>14964.73</v>
      </c>
      <c r="L68" s="18" t="n">
        <v>2360.44</v>
      </c>
      <c r="M68" s="18" t="n">
        <v>2704.45</v>
      </c>
      <c r="N68" s="18" t="n">
        <v>-196.51</v>
      </c>
      <c r="O68" s="18" t="n">
        <v>-6317.29</v>
      </c>
      <c r="P68" s="37" t="n">
        <v>-1448.91</v>
      </c>
      <c r="Q68" s="18" t="n">
        <v>1240.97</v>
      </c>
      <c r="R68" s="18" t="n">
        <v>1017.68</v>
      </c>
      <c r="S68" s="18" t="n">
        <v>-238.58</v>
      </c>
      <c r="T68" s="18" t="n">
        <v>-1537.05</v>
      </c>
      <c r="U68" s="37" t="n">
        <v>483.02</v>
      </c>
      <c r="V68" s="18" t="n">
        <v>-518.4299999999999</v>
      </c>
      <c r="W68" s="18" t="n">
        <v>5416.03</v>
      </c>
      <c r="X68" s="18" t="n">
        <v>2110.64</v>
      </c>
      <c r="Y68" s="18" t="n">
        <v>-3283.15</v>
      </c>
      <c r="Z68" s="37" t="n">
        <v>3725.09</v>
      </c>
      <c r="AA68" s="18" t="n">
        <v>-4019.58</v>
      </c>
      <c r="AB68" s="19" t="n">
        <v>3967.47</v>
      </c>
      <c r="AC68" s="10" t="n"/>
      <c r="AD68" s="10" t="n"/>
      <c r="AE68" s="11" t="n"/>
      <c r="AF68" s="10" t="n"/>
      <c r="AG68" s="10" t="n"/>
      <c r="AH68" s="10" t="n"/>
      <c r="AI68" s="10" t="n"/>
      <c r="AJ68" s="11" t="n"/>
      <c r="AK68" s="10" t="n"/>
      <c r="AL68" s="10" t="n"/>
      <c r="AM68" s="10" t="n"/>
      <c r="AN68" s="10" t="n"/>
      <c r="AO68" s="11" t="n"/>
    </row>
    <row r="69">
      <c r="A69" t="n">
        <v>1</v>
      </c>
      <c r="C69" t="inlineStr">
        <is>
          <t>총포괄손익</t>
        </is>
      </c>
      <c r="E69" s="18" t="n">
        <v>-3113.61</v>
      </c>
      <c r="F69" s="9" t="n"/>
      <c r="G69" s="18" t="n">
        <v>12256.13</v>
      </c>
      <c r="H69" s="18" t="n">
        <v>765.64</v>
      </c>
      <c r="I69" s="18" t="n">
        <v>508.98</v>
      </c>
      <c r="J69" s="18" t="n">
        <v>1334.47</v>
      </c>
      <c r="K69" s="37" t="n">
        <v>14865.22</v>
      </c>
      <c r="L69" s="18" t="n">
        <v>2376.88</v>
      </c>
      <c r="M69" s="18" t="n">
        <v>1992.69</v>
      </c>
      <c r="N69" s="18" t="n">
        <v>-332.15</v>
      </c>
      <c r="O69" s="18" t="n">
        <v>-4772.34</v>
      </c>
      <c r="P69" s="37" t="n">
        <v>-734.92</v>
      </c>
      <c r="Q69" s="18" t="n">
        <v>500.84</v>
      </c>
      <c r="R69" s="18" t="n">
        <v>1536.42</v>
      </c>
      <c r="S69" s="18" t="n">
        <v>-319.44</v>
      </c>
      <c r="T69" s="18" t="n">
        <v>-3941.98</v>
      </c>
      <c r="U69" s="37" t="n">
        <v>-2224.16</v>
      </c>
      <c r="V69" s="18" t="n">
        <v>-150.47</v>
      </c>
      <c r="W69" s="18" t="n">
        <v>2440.84</v>
      </c>
      <c r="X69" s="18" t="n">
        <v>9651.469999999999</v>
      </c>
      <c r="Y69" s="18" t="n">
        <v>-4836.34</v>
      </c>
      <c r="Z69" s="37" t="n">
        <v>7105.5</v>
      </c>
      <c r="AA69" s="18" t="n">
        <v>-2913.94</v>
      </c>
      <c r="AB69" s="19" t="n">
        <v>3357.04</v>
      </c>
      <c r="AC69" s="10" t="n"/>
      <c r="AD69" s="10" t="n"/>
      <c r="AE69" s="11" t="n"/>
      <c r="AF69" s="10" t="n"/>
      <c r="AG69" s="10" t="n"/>
      <c r="AH69" s="10" t="n"/>
      <c r="AI69" s="10" t="n"/>
      <c r="AJ69" s="11" t="n"/>
      <c r="AK69" s="10" t="n"/>
      <c r="AL69" s="10" t="n"/>
      <c r="AM69" s="10" t="n"/>
      <c r="AN69" s="10" t="n"/>
      <c r="AO69" s="11" t="n"/>
    </row>
    <row r="70">
      <c r="A70" t="n">
        <v>1</v>
      </c>
      <c r="C70" t="inlineStr">
        <is>
          <t>(지배주주지분)당기순이익</t>
        </is>
      </c>
      <c r="E70" s="18" t="n">
        <v>-1129.46</v>
      </c>
      <c r="F70" s="9" t="n"/>
      <c r="G70" s="18" t="n">
        <v>11212.72</v>
      </c>
      <c r="H70" s="18" t="n">
        <v>1203.96</v>
      </c>
      <c r="I70" s="18" t="n">
        <v>198.34</v>
      </c>
      <c r="J70" s="18" t="n">
        <v>1206.51</v>
      </c>
      <c r="K70" s="37" t="n">
        <v>13821.53</v>
      </c>
      <c r="L70" s="18" t="n">
        <v>1966.42</v>
      </c>
      <c r="M70" s="18" t="n">
        <v>2391.05</v>
      </c>
      <c r="N70" s="18" t="n">
        <v>-355.6</v>
      </c>
      <c r="O70" s="18" t="n">
        <v>-6327.72</v>
      </c>
      <c r="P70" s="37" t="n">
        <v>-2325.85</v>
      </c>
      <c r="Q70" s="18" t="n">
        <v>604.67</v>
      </c>
      <c r="R70" s="18" t="n">
        <v>605.39</v>
      </c>
      <c r="S70" s="18" t="n">
        <v>-347.75</v>
      </c>
      <c r="T70" s="18" t="n">
        <v>-2090.79</v>
      </c>
      <c r="U70" s="37" t="n">
        <v>-1228.48</v>
      </c>
      <c r="V70" s="18" t="n">
        <v>-1207.59</v>
      </c>
      <c r="W70" s="18" t="n">
        <v>3764.89</v>
      </c>
      <c r="X70" s="18" t="n">
        <v>1099.91</v>
      </c>
      <c r="Y70" s="18" t="n">
        <v>-3330.32</v>
      </c>
      <c r="Z70" s="37" t="n">
        <v>326.89</v>
      </c>
      <c r="AA70" s="18" t="n">
        <v>-2098.52</v>
      </c>
      <c r="AB70" s="19" t="n">
        <v>3002.42</v>
      </c>
      <c r="AC70" s="10" t="n"/>
      <c r="AD70" s="10" t="n"/>
      <c r="AE70" s="11" t="n"/>
      <c r="AF70" s="10" t="n"/>
      <c r="AG70" s="10" t="n"/>
      <c r="AH70" s="10" t="n"/>
      <c r="AI70" s="10" t="n"/>
      <c r="AJ70" s="11" t="n"/>
      <c r="AK70" s="10" t="n"/>
      <c r="AL70" s="10" t="n"/>
      <c r="AM70" s="10" t="n"/>
      <c r="AN70" s="10" t="n"/>
      <c r="AO70" s="11" t="n"/>
    </row>
    <row r="71">
      <c r="A71" t="n">
        <v>1</v>
      </c>
      <c r="C71" t="inlineStr">
        <is>
          <t>(비지배주주지분)당기순이익</t>
        </is>
      </c>
      <c r="E71" s="18" t="n">
        <v>159.08</v>
      </c>
      <c r="F71" s="9" t="n"/>
      <c r="G71" s="18" t="n">
        <v>291.26</v>
      </c>
      <c r="H71" s="18" t="n">
        <v>266.86</v>
      </c>
      <c r="I71" s="18" t="n">
        <v>538.76</v>
      </c>
      <c r="J71" s="18" t="n">
        <v>46.32</v>
      </c>
      <c r="K71" s="37" t="n">
        <v>1143.2</v>
      </c>
      <c r="L71" s="18" t="n">
        <v>394.02</v>
      </c>
      <c r="M71" s="18" t="n">
        <v>313.4</v>
      </c>
      <c r="N71" s="18" t="n">
        <v>159.09</v>
      </c>
      <c r="O71" s="18" t="n">
        <v>10.43</v>
      </c>
      <c r="P71" s="37" t="n">
        <v>876.9400000000001</v>
      </c>
      <c r="Q71" s="18" t="n">
        <v>636.3099999999999</v>
      </c>
      <c r="R71" s="18" t="n">
        <v>412.29</v>
      </c>
      <c r="S71" s="18" t="n">
        <v>109.17</v>
      </c>
      <c r="T71" s="18" t="n">
        <v>553.74</v>
      </c>
      <c r="U71" s="37" t="n">
        <v>1711.51</v>
      </c>
      <c r="V71" s="18" t="n">
        <v>689.16</v>
      </c>
      <c r="W71" s="18" t="n">
        <v>1617.29</v>
      </c>
      <c r="X71" s="18" t="n">
        <v>1010.72</v>
      </c>
      <c r="Y71" s="18" t="n">
        <v>47.17</v>
      </c>
      <c r="Z71" s="37" t="n">
        <v>3364.34</v>
      </c>
      <c r="AA71" s="18" t="n">
        <v>-1921.06</v>
      </c>
      <c r="AB71" s="19" t="n">
        <v>965.04</v>
      </c>
      <c r="AC71" s="10" t="n"/>
      <c r="AD71" s="10" t="n"/>
      <c r="AE71" s="11" t="n"/>
      <c r="AF71" s="10" t="n"/>
      <c r="AG71" s="10" t="n"/>
      <c r="AH71" s="10" t="n"/>
      <c r="AI71" s="10" t="n"/>
      <c r="AJ71" s="11" t="n"/>
      <c r="AK71" s="10" t="n"/>
      <c r="AL71" s="10" t="n"/>
      <c r="AM71" s="10" t="n"/>
      <c r="AN71" s="10" t="n"/>
      <c r="AO71" s="11" t="n"/>
    </row>
    <row r="72">
      <c r="A72" t="n">
        <v>1</v>
      </c>
      <c r="C72" t="inlineStr">
        <is>
          <t>금융손익</t>
        </is>
      </c>
      <c r="E72" s="18" t="n">
        <v>-684.66</v>
      </c>
      <c r="F72" s="9" t="n"/>
      <c r="G72" s="18" t="n">
        <v>-923.48</v>
      </c>
      <c r="H72" s="18" t="n">
        <v>-502.18</v>
      </c>
      <c r="I72" s="18" t="n">
        <v>23.18</v>
      </c>
      <c r="J72" s="18" t="n">
        <v>-2077.73</v>
      </c>
      <c r="K72" s="37" t="n">
        <v>-3480.21</v>
      </c>
      <c r="L72" s="18" t="n">
        <v>-1170.21</v>
      </c>
      <c r="M72" s="18" t="n">
        <v>-1421.75</v>
      </c>
      <c r="N72" s="18" t="n">
        <v>-1260.61</v>
      </c>
      <c r="O72" s="18" t="n">
        <v>-1464.79</v>
      </c>
      <c r="P72" s="37" t="n">
        <v>-5317.36</v>
      </c>
      <c r="Q72" s="18" t="n">
        <v>-739.45</v>
      </c>
      <c r="R72" s="18" t="n">
        <v>-894.59</v>
      </c>
      <c r="S72" s="18" t="n">
        <v>-1213.32</v>
      </c>
      <c r="T72" s="18" t="n">
        <v>109.49</v>
      </c>
      <c r="U72" s="37" t="n">
        <v>-2737.87</v>
      </c>
      <c r="V72" s="18" t="n">
        <v>-772.14</v>
      </c>
      <c r="W72" s="18" t="n">
        <v>2325.47</v>
      </c>
      <c r="X72" s="18" t="n">
        <v>-678.2</v>
      </c>
      <c r="Y72" s="18" t="n">
        <v>-3190.24</v>
      </c>
      <c r="Z72" s="37" t="n">
        <v>-2315.11</v>
      </c>
      <c r="AA72" s="18" t="n">
        <v>-12261.02</v>
      </c>
      <c r="AB72" s="19" t="n">
        <v>-1628.53</v>
      </c>
      <c r="AC72" s="10" t="n"/>
      <c r="AD72" s="10" t="n"/>
      <c r="AE72" s="11" t="n"/>
      <c r="AF72" s="10" t="n"/>
      <c r="AG72" s="10" t="n"/>
      <c r="AH72" s="10" t="n"/>
      <c r="AI72" s="10" t="n"/>
      <c r="AJ72" s="11" t="n"/>
      <c r="AK72" s="10" t="n"/>
      <c r="AL72" s="10" t="n"/>
      <c r="AM72" s="10" t="n"/>
      <c r="AN72" s="10" t="n"/>
      <c r="AO72" s="11" t="n"/>
    </row>
    <row r="73">
      <c r="A73" t="n">
        <v>1</v>
      </c>
      <c r="C73" t="inlineStr">
        <is>
          <t>기타영업외손익</t>
        </is>
      </c>
      <c r="E73" s="18" t="n">
        <v>322.48</v>
      </c>
      <c r="F73" s="9" t="n"/>
      <c r="G73" s="18" t="n">
        <v>8946.639999999999</v>
      </c>
      <c r="H73" s="18" t="n">
        <v>16.32</v>
      </c>
      <c r="I73" s="18" t="n">
        <v>97.69</v>
      </c>
      <c r="J73" s="18" t="n">
        <v>1889.28</v>
      </c>
      <c r="K73" s="37" t="n">
        <v>10949.93</v>
      </c>
      <c r="L73" s="18" t="n">
        <v>67.05</v>
      </c>
      <c r="M73" s="18" t="n">
        <v>-184.11</v>
      </c>
      <c r="N73" s="18" t="n">
        <v>117.39</v>
      </c>
      <c r="O73" s="18" t="n">
        <v>-2615.81</v>
      </c>
      <c r="P73" s="37" t="n">
        <v>-2615.48</v>
      </c>
      <c r="Q73" s="18" t="n">
        <v>130.83</v>
      </c>
      <c r="R73" s="18" t="n">
        <v>78.73</v>
      </c>
      <c r="S73" s="18" t="n">
        <v>-176.69</v>
      </c>
      <c r="T73" s="18" t="n">
        <v>-2686.1</v>
      </c>
      <c r="U73" s="37" t="n">
        <v>-2653.23</v>
      </c>
      <c r="V73" s="18" t="n">
        <v>37.58</v>
      </c>
      <c r="W73" s="18" t="n">
        <v>-643.1799999999999</v>
      </c>
      <c r="X73" s="18" t="n">
        <v>3</v>
      </c>
      <c r="Y73" s="18" t="n">
        <v>-249.03</v>
      </c>
      <c r="Z73" s="37" t="n">
        <v>-851.63</v>
      </c>
      <c r="AA73" s="18" t="n">
        <v>-94.42</v>
      </c>
      <c r="AB73" s="19" t="n">
        <v>7.54</v>
      </c>
      <c r="AC73" s="10" t="n"/>
      <c r="AD73" s="10" t="n"/>
      <c r="AE73" s="11" t="n"/>
      <c r="AF73" s="10" t="n"/>
      <c r="AG73" s="10" t="n"/>
      <c r="AH73" s="10" t="n"/>
      <c r="AI73" s="10" t="n"/>
      <c r="AJ73" s="11" t="n"/>
      <c r="AK73" s="10" t="n"/>
      <c r="AL73" s="10" t="n"/>
      <c r="AM73" s="10" t="n"/>
      <c r="AN73" s="10" t="n"/>
      <c r="AO73" s="11" t="n"/>
    </row>
    <row r="74">
      <c r="A74" t="n">
        <v>1</v>
      </c>
      <c r="C74" t="inlineStr">
        <is>
          <t>계속사업이익</t>
        </is>
      </c>
      <c r="E74" s="18" t="n">
        <v>-970.39</v>
      </c>
      <c r="F74" s="9" t="n"/>
      <c r="G74" s="18" t="n">
        <v>11503.97</v>
      </c>
      <c r="H74" s="18" t="n">
        <v>1470.82</v>
      </c>
      <c r="I74" s="18" t="n">
        <v>737.1</v>
      </c>
      <c r="J74" s="18" t="n">
        <v>1252.84</v>
      </c>
      <c r="K74" s="37" t="n">
        <v>14964.73</v>
      </c>
      <c r="L74" s="18" t="n">
        <v>2360.44</v>
      </c>
      <c r="M74" s="18" t="n">
        <v>2704.45</v>
      </c>
      <c r="N74" s="18" t="n">
        <v>-196.51</v>
      </c>
      <c r="O74" s="18" t="n">
        <v>-6317.29</v>
      </c>
      <c r="P74" s="37" t="n">
        <v>-1448.91</v>
      </c>
      <c r="Q74" s="18" t="n">
        <v>1240.97</v>
      </c>
      <c r="R74" s="18" t="n">
        <v>1017.68</v>
      </c>
      <c r="S74" s="18" t="n">
        <v>-238.58</v>
      </c>
      <c r="T74" s="18" t="n">
        <v>-1537.05</v>
      </c>
      <c r="U74" s="37" t="n">
        <v>483.02</v>
      </c>
      <c r="V74" s="18" t="n">
        <v>-518.4299999999999</v>
      </c>
      <c r="W74" s="18" t="n">
        <v>5416.03</v>
      </c>
      <c r="X74" s="18" t="n">
        <v>2110.64</v>
      </c>
      <c r="Y74" s="18" t="n">
        <v>-3283.15</v>
      </c>
      <c r="Z74" s="37" t="n">
        <v>3725.09</v>
      </c>
      <c r="AA74" s="18" t="n">
        <v>-4019.58</v>
      </c>
      <c r="AB74" s="19" t="n">
        <v>3967.47</v>
      </c>
      <c r="AC74" s="10" t="n"/>
      <c r="AD74" s="10" t="n"/>
      <c r="AE74" s="11" t="n"/>
      <c r="AF74" s="10" t="n"/>
      <c r="AG74" s="10" t="n"/>
      <c r="AH74" s="10" t="n"/>
      <c r="AI74" s="10" t="n"/>
      <c r="AJ74" s="11" t="n"/>
      <c r="AK74" s="10" t="n"/>
      <c r="AL74" s="10" t="n"/>
      <c r="AM74" s="10" t="n"/>
      <c r="AN74" s="10" t="n"/>
      <c r="AO74" s="11" t="n"/>
    </row>
    <row r="75">
      <c r="A75" t="n">
        <v>1</v>
      </c>
      <c r="C75" t="inlineStr">
        <is>
          <t>이자수익</t>
        </is>
      </c>
      <c r="F75" s="9" t="n"/>
      <c r="G75" s="18" t="n">
        <v>20.98</v>
      </c>
      <c r="H75" s="18" t="n">
        <v>17.36</v>
      </c>
      <c r="I75" s="18" t="n">
        <v>33.58</v>
      </c>
      <c r="J75" s="18" t="n">
        <v>63.39</v>
      </c>
      <c r="K75" s="37" t="n">
        <v>135.31</v>
      </c>
      <c r="L75" s="18" t="n">
        <v>50.91</v>
      </c>
      <c r="M75" s="18" t="n">
        <v>47.37</v>
      </c>
      <c r="N75" s="18" t="n">
        <v>56.83</v>
      </c>
      <c r="O75" s="18" t="n">
        <v>130.86</v>
      </c>
      <c r="P75" s="37" t="n">
        <v>285.97</v>
      </c>
      <c r="Q75" s="18" t="n">
        <v>94.34999999999999</v>
      </c>
      <c r="R75" s="18" t="n">
        <v>87.65000000000001</v>
      </c>
      <c r="S75" s="18" t="n">
        <v>90.69</v>
      </c>
      <c r="T75" s="18" t="n">
        <v>108.92</v>
      </c>
      <c r="U75" s="37" t="n">
        <v>381.61</v>
      </c>
      <c r="V75" s="18" t="n">
        <v>70.33</v>
      </c>
      <c r="W75" s="18" t="n">
        <v>92.94</v>
      </c>
      <c r="X75" s="18" t="n">
        <v>-43.52</v>
      </c>
      <c r="Y75" s="18" t="n">
        <v>128.37</v>
      </c>
      <c r="Z75" s="37" t="n">
        <v>248.12</v>
      </c>
      <c r="AB75" s="19" t="n">
        <v>149.41</v>
      </c>
      <c r="AC75" s="10" t="n"/>
      <c r="AD75" s="10" t="n"/>
      <c r="AE75" s="11" t="n"/>
      <c r="AF75" s="10" t="n"/>
      <c r="AG75" s="10" t="n"/>
      <c r="AH75" s="10" t="n"/>
      <c r="AI75" s="10" t="n"/>
      <c r="AJ75" s="11" t="n"/>
      <c r="AK75" s="10" t="n"/>
      <c r="AL75" s="10" t="n"/>
      <c r="AM75" s="10" t="n"/>
      <c r="AN75" s="10" t="n"/>
      <c r="AO75" s="11" t="n"/>
    </row>
    <row r="76">
      <c r="A76" t="n">
        <v>1</v>
      </c>
      <c r="C76" t="inlineStr">
        <is>
          <t>이자비용</t>
        </is>
      </c>
      <c r="F76" s="9" t="n"/>
      <c r="G76" s="18" t="n">
        <v>619.85</v>
      </c>
      <c r="H76" s="18" t="n">
        <v>712.25</v>
      </c>
      <c r="I76" s="18" t="n">
        <v>928.51</v>
      </c>
      <c r="J76" s="18" t="n">
        <v>1198.4</v>
      </c>
      <c r="K76" s="37" t="n">
        <v>3459.01</v>
      </c>
      <c r="L76" s="18" t="n">
        <v>1301.27</v>
      </c>
      <c r="M76" s="18" t="n">
        <v>1403.15</v>
      </c>
      <c r="N76" s="18" t="n">
        <v>1495.49</v>
      </c>
      <c r="O76" s="18" t="n">
        <v>1390.47</v>
      </c>
      <c r="P76" s="37" t="n">
        <v>5590.38</v>
      </c>
      <c r="Q76" s="18" t="n">
        <v>1032.8</v>
      </c>
      <c r="R76" s="18" t="n">
        <v>1091.39</v>
      </c>
      <c r="S76" s="18" t="n">
        <v>949.03</v>
      </c>
      <c r="T76" s="18" t="n">
        <v>761.7</v>
      </c>
      <c r="U76" s="37" t="n">
        <v>3834.92</v>
      </c>
      <c r="V76" s="18" t="n">
        <v>823.6799999999999</v>
      </c>
      <c r="W76" s="18" t="n">
        <v>926.95</v>
      </c>
      <c r="X76" s="18" t="n">
        <v>724.71</v>
      </c>
      <c r="Y76" s="18" t="n">
        <v>834.1799999999999</v>
      </c>
      <c r="Z76" s="37" t="n">
        <v>3309.52</v>
      </c>
      <c r="AB76" s="19" t="n">
        <v>1144.75</v>
      </c>
      <c r="AC76" s="10" t="n"/>
      <c r="AD76" s="10" t="n"/>
      <c r="AE76" s="11" t="n"/>
      <c r="AF76" s="10" t="n"/>
      <c r="AG76" s="10" t="n"/>
      <c r="AH76" s="10" t="n"/>
      <c r="AI76" s="10" t="n"/>
      <c r="AJ76" s="11" t="n"/>
      <c r="AK76" s="10" t="n"/>
      <c r="AL76" s="10" t="n"/>
      <c r="AM76" s="10" t="n"/>
      <c r="AN76" s="10" t="n"/>
      <c r="AO76" s="11" t="n"/>
    </row>
    <row r="77">
      <c r="A77" t="n">
        <v>1</v>
      </c>
      <c r="C77" t="inlineStr">
        <is>
          <t>외환차익</t>
        </is>
      </c>
      <c r="F77" s="9" t="n"/>
      <c r="G77" s="18" t="n">
        <v>117.34</v>
      </c>
      <c r="H77" s="18" t="n">
        <v>355.62</v>
      </c>
      <c r="I77" s="18" t="n">
        <v>437.89</v>
      </c>
      <c r="J77" s="18" t="n">
        <v>634.27</v>
      </c>
      <c r="K77" s="37" t="n">
        <v>1545.12</v>
      </c>
      <c r="L77" s="18" t="n">
        <v>420.89</v>
      </c>
      <c r="M77" s="18" t="n">
        <v>295.15</v>
      </c>
      <c r="N77" s="18" t="n">
        <v>264.19</v>
      </c>
      <c r="O77" s="18" t="n">
        <v>300.48</v>
      </c>
      <c r="P77" s="37" t="n">
        <v>1280.71</v>
      </c>
      <c r="Q77" s="18" t="n">
        <v>293.18</v>
      </c>
      <c r="R77" s="18" t="n">
        <v>254.23</v>
      </c>
      <c r="S77" s="18" t="n">
        <v>121.92</v>
      </c>
      <c r="T77" s="18" t="n">
        <v>322.47</v>
      </c>
      <c r="U77" s="37" t="n">
        <v>991.8</v>
      </c>
      <c r="V77" s="18" t="n">
        <v>58.49</v>
      </c>
      <c r="W77" s="18" t="n">
        <v>309.75</v>
      </c>
      <c r="X77" s="18" t="n">
        <v>112.18</v>
      </c>
      <c r="Y77" s="18" t="n">
        <v>307.29</v>
      </c>
      <c r="Z77" s="37" t="n">
        <v>787.71</v>
      </c>
      <c r="AB77" s="19" t="n">
        <v>435.57</v>
      </c>
      <c r="AC77" s="10" t="n"/>
      <c r="AD77" s="10" t="n"/>
      <c r="AE77" s="11" t="n"/>
      <c r="AF77" s="10" t="n"/>
      <c r="AG77" s="10" t="n"/>
      <c r="AH77" s="10" t="n"/>
      <c r="AI77" s="10" t="n"/>
      <c r="AJ77" s="11" t="n"/>
      <c r="AK77" s="10" t="n"/>
      <c r="AL77" s="10" t="n"/>
      <c r="AM77" s="10" t="n"/>
      <c r="AN77" s="10" t="n"/>
      <c r="AO77" s="11" t="n"/>
    </row>
    <row r="78">
      <c r="A78" t="n">
        <v>1</v>
      </c>
      <c r="C78" t="inlineStr">
        <is>
          <t>외환차손</t>
        </is>
      </c>
      <c r="F78" s="9" t="n"/>
      <c r="G78" s="18" t="n">
        <v>408.6</v>
      </c>
      <c r="H78" s="18" t="n">
        <v>578.83</v>
      </c>
      <c r="I78" s="18" t="n">
        <v>141.79</v>
      </c>
      <c r="J78" s="18" t="n">
        <v>332.03</v>
      </c>
      <c r="K78" s="37" t="n">
        <v>1461.25</v>
      </c>
      <c r="L78" s="18" t="n">
        <v>419.77</v>
      </c>
      <c r="M78" s="18" t="n">
        <v>327.54</v>
      </c>
      <c r="N78" s="18" t="n">
        <v>273.46</v>
      </c>
      <c r="O78" s="18" t="n">
        <v>245.88</v>
      </c>
      <c r="P78" s="37" t="n">
        <v>1266.65</v>
      </c>
      <c r="Q78" s="18" t="n">
        <v>202.25</v>
      </c>
      <c r="R78" s="18" t="n">
        <v>190.23</v>
      </c>
      <c r="S78" s="18" t="n">
        <v>131.65</v>
      </c>
      <c r="T78" s="18" t="n">
        <v>246.37</v>
      </c>
      <c r="U78" s="37" t="n">
        <v>770.5</v>
      </c>
      <c r="V78" s="18" t="n">
        <v>323.28</v>
      </c>
      <c r="W78" s="18" t="n">
        <v>358.43</v>
      </c>
      <c r="X78" s="18" t="n">
        <v>231.84</v>
      </c>
      <c r="Y78" s="18" t="n">
        <v>102.63</v>
      </c>
      <c r="Z78" s="37" t="n">
        <v>1016.18</v>
      </c>
      <c r="AB78" s="19" t="n">
        <v>197.03</v>
      </c>
      <c r="AC78" s="10" t="n"/>
      <c r="AD78" s="10" t="n"/>
      <c r="AE78" s="11" t="n"/>
      <c r="AF78" s="10" t="n"/>
      <c r="AG78" s="10" t="n"/>
      <c r="AH78" s="10" t="n"/>
      <c r="AI78" s="10" t="n"/>
      <c r="AJ78" s="11" t="n"/>
      <c r="AK78" s="10" t="n"/>
      <c r="AL78" s="10" t="n"/>
      <c r="AM78" s="10" t="n"/>
      <c r="AN78" s="10" t="n"/>
      <c r="AO78" s="11" t="n"/>
    </row>
    <row r="79">
      <c r="A79" t="n">
        <v>1</v>
      </c>
      <c r="C79" t="inlineStr">
        <is>
          <t>외화환산이익</t>
        </is>
      </c>
      <c r="F79" s="9" t="n"/>
      <c r="G79" s="18" t="n">
        <v>149.76</v>
      </c>
      <c r="H79" s="18" t="n">
        <v>282.82</v>
      </c>
      <c r="I79" s="18" t="n">
        <v>622.58</v>
      </c>
      <c r="J79" s="18" t="n">
        <v>-825.91</v>
      </c>
      <c r="K79" s="37" t="n">
        <v>229.25</v>
      </c>
      <c r="L79" s="18" t="n">
        <v>195.01</v>
      </c>
      <c r="M79" s="18" t="n">
        <v>-42.93</v>
      </c>
      <c r="N79" s="18" t="n">
        <v>135.44</v>
      </c>
      <c r="O79" s="18" t="n">
        <v>-166.27</v>
      </c>
      <c r="P79" s="37" t="n">
        <v>121.25</v>
      </c>
      <c r="Q79" s="18" t="n">
        <v>171.14</v>
      </c>
      <c r="R79" s="18" t="n">
        <v>30.47</v>
      </c>
      <c r="S79" s="18" t="n">
        <v>-154.6</v>
      </c>
      <c r="T79" s="18" t="n">
        <v>574.66</v>
      </c>
      <c r="U79" s="37" t="n">
        <v>621.67</v>
      </c>
      <c r="V79" s="18" t="n">
        <v>189.71</v>
      </c>
      <c r="W79" s="18" t="n">
        <v>-154.92</v>
      </c>
      <c r="X79" s="18" t="n">
        <v>55.33</v>
      </c>
      <c r="Y79" s="18" t="n">
        <v>-9.02</v>
      </c>
      <c r="Z79" s="37" t="n">
        <v>81.09999999999999</v>
      </c>
      <c r="AB79" s="19" t="n">
        <v>-106.27</v>
      </c>
      <c r="AC79" s="10" t="n"/>
      <c r="AD79" s="10" t="n"/>
      <c r="AE79" s="11" t="n"/>
      <c r="AF79" s="10" t="n"/>
      <c r="AG79" s="10" t="n"/>
      <c r="AH79" s="10" t="n"/>
      <c r="AI79" s="10" t="n"/>
      <c r="AJ79" s="11" t="n"/>
      <c r="AK79" s="10" t="n"/>
      <c r="AL79" s="10" t="n"/>
      <c r="AM79" s="10" t="n"/>
      <c r="AN79" s="10" t="n"/>
      <c r="AO79" s="11" t="n"/>
    </row>
    <row r="80">
      <c r="A80" t="n">
        <v>1</v>
      </c>
      <c r="C80" t="inlineStr">
        <is>
          <t>외화환산손실</t>
        </is>
      </c>
      <c r="F80" s="9" t="n"/>
      <c r="G80" s="18" t="n">
        <v>183.12</v>
      </c>
      <c r="H80" s="18" t="n">
        <v>-133.1</v>
      </c>
      <c r="I80" s="18" t="n">
        <v>0.57</v>
      </c>
      <c r="J80" s="18" t="n">
        <v>419.06</v>
      </c>
      <c r="K80" s="37" t="n">
        <v>469.65</v>
      </c>
      <c r="L80" s="18" t="n">
        <v>115.98</v>
      </c>
      <c r="M80" s="18" t="n">
        <v>-9.35</v>
      </c>
      <c r="N80" s="18" t="n">
        <v>-51.88</v>
      </c>
      <c r="O80" s="18" t="n">
        <v>93.52</v>
      </c>
      <c r="P80" s="37" t="n">
        <v>148.27</v>
      </c>
      <c r="Q80" s="18" t="n">
        <v>63.06</v>
      </c>
      <c r="R80" s="18" t="n">
        <v>-40.13</v>
      </c>
      <c r="S80" s="18" t="n">
        <v>190.63</v>
      </c>
      <c r="T80" s="18" t="n">
        <v>-111.49</v>
      </c>
      <c r="U80" s="37" t="n">
        <v>102.07</v>
      </c>
      <c r="V80" s="18" t="n">
        <v>13.44</v>
      </c>
      <c r="W80" s="18" t="n">
        <v>305.11</v>
      </c>
      <c r="X80" s="18" t="n">
        <v>-271.23</v>
      </c>
      <c r="Y80" s="18" t="n">
        <v>139.31</v>
      </c>
      <c r="Z80" s="37" t="n">
        <v>186.63</v>
      </c>
      <c r="AB80" s="19" t="n">
        <v>-22.96</v>
      </c>
      <c r="AC80" s="10" t="n"/>
      <c r="AD80" s="10" t="n"/>
      <c r="AE80" s="11" t="n"/>
      <c r="AF80" s="10" t="n"/>
      <c r="AG80" s="10" t="n"/>
      <c r="AH80" s="10" t="n"/>
      <c r="AI80" s="10" t="n"/>
      <c r="AJ80" s="11" t="n"/>
      <c r="AK80" s="10" t="n"/>
      <c r="AL80" s="10" t="n"/>
      <c r="AM80" s="10" t="n"/>
      <c r="AN80" s="10" t="n"/>
      <c r="AO80" s="11" t="n"/>
    </row>
    <row r="81">
      <c r="A81" t="n">
        <v>1</v>
      </c>
      <c r="C81" t="inlineStr">
        <is>
          <t>이자손익</t>
        </is>
      </c>
      <c r="F81" s="9" t="n"/>
      <c r="G81" s="18" t="n">
        <v>-598.87</v>
      </c>
      <c r="H81" s="18" t="n">
        <v>-694.89</v>
      </c>
      <c r="I81" s="18" t="n">
        <v>-894.9299999999999</v>
      </c>
      <c r="J81" s="18" t="n">
        <v>-1135.01</v>
      </c>
      <c r="K81" s="37" t="n">
        <v>-3323.7</v>
      </c>
      <c r="L81" s="18" t="n">
        <v>-1250.36</v>
      </c>
      <c r="M81" s="18" t="n">
        <v>-1355.78</v>
      </c>
      <c r="N81" s="18" t="n">
        <v>-1438.66</v>
      </c>
      <c r="O81" s="18" t="n">
        <v>-1259.61</v>
      </c>
      <c r="P81" s="37" t="n">
        <v>-5304.41</v>
      </c>
      <c r="Q81" s="18" t="n">
        <v>-938.45</v>
      </c>
      <c r="R81" s="18" t="n">
        <v>-1003.74</v>
      </c>
      <c r="S81" s="18" t="n">
        <v>-858.34</v>
      </c>
      <c r="T81" s="18" t="n">
        <v>-652.78</v>
      </c>
      <c r="U81" s="37" t="n">
        <v>-3453.31</v>
      </c>
      <c r="V81" s="18" t="n">
        <v>-753.35</v>
      </c>
      <c r="W81" s="18" t="n">
        <v>-834.01</v>
      </c>
      <c r="X81" s="18" t="n">
        <v>-768.23</v>
      </c>
      <c r="Y81" s="18" t="n">
        <v>-705.8099999999999</v>
      </c>
      <c r="Z81" s="37" t="n">
        <v>-3061.4</v>
      </c>
      <c r="AB81" s="19" t="n">
        <v>-995.34</v>
      </c>
      <c r="AC81" s="10" t="n"/>
      <c r="AD81" s="10" t="n"/>
      <c r="AE81" s="11" t="n"/>
      <c r="AF81" s="10" t="n"/>
      <c r="AG81" s="10" t="n"/>
      <c r="AH81" s="10" t="n"/>
      <c r="AI81" s="10" t="n"/>
      <c r="AJ81" s="11" t="n"/>
      <c r="AK81" s="10" t="n"/>
      <c r="AL81" s="10" t="n"/>
      <c r="AM81" s="10" t="n"/>
      <c r="AN81" s="10" t="n"/>
      <c r="AO81" s="11" t="n"/>
    </row>
    <row r="82">
      <c r="A82" t="n">
        <v>1</v>
      </c>
      <c r="C82" t="inlineStr">
        <is>
          <t>파생상품이익</t>
        </is>
      </c>
      <c r="F82" s="9" t="n"/>
      <c r="K82" s="9" t="n"/>
      <c r="P82" s="9" t="n"/>
      <c r="U82" s="9" t="n"/>
      <c r="W82" s="18" t="n">
        <v>4557.25</v>
      </c>
      <c r="X82" s="18" t="n">
        <v>0</v>
      </c>
      <c r="Y82" s="18" t="n">
        <v>-2981.47</v>
      </c>
      <c r="Z82" s="9" t="n"/>
      <c r="AB82" s="19" t="n">
        <v>13231.27</v>
      </c>
      <c r="AC82" s="10" t="n"/>
      <c r="AD82" s="10" t="n"/>
      <c r="AE82" s="11" t="n"/>
      <c r="AF82" s="10" t="n"/>
      <c r="AG82" s="10" t="n"/>
      <c r="AH82" s="10" t="n"/>
      <c r="AI82" s="10" t="n"/>
      <c r="AJ82" s="11" t="n"/>
      <c r="AK82" s="10" t="n"/>
      <c r="AL82" s="10" t="n"/>
      <c r="AM82" s="10" t="n"/>
      <c r="AN82" s="10" t="n"/>
      <c r="AO82" s="11" t="n"/>
    </row>
    <row r="83">
      <c r="A83" t="n">
        <v>1</v>
      </c>
      <c r="C83" t="inlineStr">
        <is>
          <t>파생상품손실</t>
        </is>
      </c>
      <c r="F83" s="9" t="n"/>
      <c r="K83" s="9" t="n"/>
      <c r="P83" s="9" t="n"/>
      <c r="U83" s="9" t="n"/>
      <c r="W83" s="18" t="n">
        <v>1063.84</v>
      </c>
      <c r="X83" s="18" t="n">
        <v>0</v>
      </c>
      <c r="Y83" s="18" t="n">
        <v>-498.62</v>
      </c>
      <c r="Z83" s="9" t="n"/>
      <c r="AB83" s="19" t="n">
        <v>12408.05</v>
      </c>
      <c r="AC83" s="10" t="n"/>
      <c r="AD83" s="10" t="n"/>
      <c r="AE83" s="11" t="n"/>
      <c r="AF83" s="10" t="n"/>
      <c r="AG83" s="10" t="n"/>
      <c r="AH83" s="10" t="n"/>
      <c r="AI83" s="10" t="n"/>
      <c r="AJ83" s="11" t="n"/>
      <c r="AK83" s="10" t="n"/>
      <c r="AL83" s="10" t="n"/>
      <c r="AM83" s="10" t="n"/>
      <c r="AN83" s="10" t="n"/>
      <c r="AO83" s="11" t="n"/>
    </row>
    <row r="84">
      <c r="A84" t="n">
        <v>1</v>
      </c>
      <c r="C84" t="inlineStr">
        <is>
          <t>영업활동으로인한현금흐름</t>
        </is>
      </c>
      <c r="E84" s="18" t="n">
        <v>23553.35</v>
      </c>
      <c r="F84" s="9" t="n"/>
      <c r="G84" s="18" t="n">
        <v>-6348.39</v>
      </c>
      <c r="H84" s="18" t="n">
        <v>-10704.54</v>
      </c>
      <c r="I84" s="18" t="n">
        <v>219.35</v>
      </c>
      <c r="J84" s="18" t="n">
        <v>7160.8</v>
      </c>
      <c r="K84" s="37" t="n">
        <v>-9672.780000000001</v>
      </c>
      <c r="L84" s="18" t="n">
        <v>-12823.7</v>
      </c>
      <c r="M84" s="18" t="n">
        <v>1188.99</v>
      </c>
      <c r="N84" s="18" t="n">
        <v>-1097.21</v>
      </c>
      <c r="O84" s="18" t="n">
        <v>17935.62</v>
      </c>
      <c r="P84" s="37" t="n">
        <v>5203.7</v>
      </c>
      <c r="Q84" s="18" t="n">
        <v>-6817.31</v>
      </c>
      <c r="R84" s="18" t="n">
        <v>-141.65</v>
      </c>
      <c r="S84" s="18" t="n">
        <v>7484.89</v>
      </c>
      <c r="T84" s="18" t="n">
        <v>-4376.7</v>
      </c>
      <c r="U84" s="37" t="n">
        <v>-3850.77</v>
      </c>
      <c r="V84" s="18" t="n">
        <v>8809.92</v>
      </c>
      <c r="W84" s="18" t="n">
        <v>-4361.97</v>
      </c>
      <c r="X84" s="18" t="n">
        <v>-1827.95</v>
      </c>
      <c r="Y84" s="18" t="n">
        <v>-5555.15</v>
      </c>
      <c r="Z84" s="37" t="n">
        <v>-2935.15</v>
      </c>
      <c r="AA84" s="18" t="n">
        <v>9937.16</v>
      </c>
      <c r="AB84" s="19" t="n">
        <v>3266.37</v>
      </c>
      <c r="AC84" s="10" t="n"/>
      <c r="AD84" s="10" t="n"/>
      <c r="AE84" s="11" t="n"/>
      <c r="AF84" s="10" t="n"/>
      <c r="AG84" s="10" t="n"/>
      <c r="AH84" s="10" t="n"/>
      <c r="AI84" s="10" t="n"/>
      <c r="AJ84" s="11" t="n"/>
      <c r="AK84" s="10" t="n"/>
      <c r="AL84" s="10" t="n"/>
      <c r="AM84" s="10" t="n"/>
      <c r="AN84" s="10" t="n"/>
      <c r="AO84" s="11" t="n"/>
    </row>
    <row r="85">
      <c r="A85" t="n">
        <v>1</v>
      </c>
      <c r="C85" t="inlineStr">
        <is>
          <t>감가상각비</t>
        </is>
      </c>
      <c r="E85" s="18" t="n">
        <v>1278.99</v>
      </c>
      <c r="F85" s="9" t="n"/>
      <c r="G85" s="18" t="n">
        <v>1295.36</v>
      </c>
      <c r="H85" s="18" t="n">
        <v>1319.42</v>
      </c>
      <c r="I85" s="18" t="n">
        <v>1299.61</v>
      </c>
      <c r="J85" s="18" t="n">
        <v>1311.88</v>
      </c>
      <c r="K85" s="37" t="n">
        <v>5226.27</v>
      </c>
      <c r="L85" s="18" t="n">
        <v>1306.27</v>
      </c>
      <c r="M85" s="18" t="n">
        <v>1315.98</v>
      </c>
      <c r="N85" s="18" t="n">
        <v>1248.51</v>
      </c>
      <c r="O85" s="18" t="n">
        <v>1256.47</v>
      </c>
      <c r="P85" s="37" t="n">
        <v>5127.23</v>
      </c>
      <c r="Q85" s="18" t="n">
        <v>1098.99</v>
      </c>
      <c r="R85" s="18" t="n">
        <v>1073.65</v>
      </c>
      <c r="S85" s="18" t="n">
        <v>1092.27</v>
      </c>
      <c r="T85" s="18" t="n">
        <v>1114.48</v>
      </c>
      <c r="U85" s="37" t="n">
        <v>4379.39</v>
      </c>
      <c r="V85" s="18" t="n">
        <v>851.96</v>
      </c>
      <c r="W85" s="18" t="n">
        <v>866.21</v>
      </c>
      <c r="X85" s="18" t="n">
        <v>843.39</v>
      </c>
      <c r="Z85" s="9" t="n"/>
      <c r="AB85" s="5" t="n"/>
      <c r="AC85" s="10" t="n"/>
      <c r="AD85" s="10" t="n"/>
      <c r="AE85" s="11" t="n"/>
      <c r="AF85" s="10" t="n"/>
      <c r="AG85" s="10" t="n"/>
      <c r="AH85" s="10" t="n"/>
      <c r="AI85" s="10" t="n"/>
      <c r="AJ85" s="11" t="n"/>
      <c r="AK85" s="10" t="n"/>
      <c r="AL85" s="10" t="n"/>
      <c r="AM85" s="10" t="n"/>
      <c r="AN85" s="10" t="n"/>
      <c r="AO85" s="11" t="n"/>
    </row>
    <row r="86">
      <c r="A86" t="n">
        <v>1</v>
      </c>
      <c r="C86" t="inlineStr">
        <is>
          <t>무형자산상각비</t>
        </is>
      </c>
      <c r="E86" s="18" t="n">
        <v>20.36</v>
      </c>
      <c r="F86" s="9" t="n"/>
      <c r="G86" s="18" t="n">
        <v>19.59</v>
      </c>
      <c r="H86" s="18" t="n">
        <v>17.77</v>
      </c>
      <c r="I86" s="18" t="n">
        <v>17.86</v>
      </c>
      <c r="J86" s="18" t="n">
        <v>17.86</v>
      </c>
      <c r="K86" s="37" t="n">
        <v>73.08</v>
      </c>
      <c r="L86" s="18" t="n">
        <v>12.13</v>
      </c>
      <c r="M86" s="18" t="n">
        <v>12.41</v>
      </c>
      <c r="N86" s="18" t="n">
        <v>12.39</v>
      </c>
      <c r="O86" s="18" t="n">
        <v>10.21</v>
      </c>
      <c r="P86" s="37" t="n">
        <v>47.14</v>
      </c>
      <c r="Q86" s="18" t="n">
        <v>8.630000000000001</v>
      </c>
      <c r="R86" s="18" t="n">
        <v>7.59</v>
      </c>
      <c r="S86" s="18" t="n">
        <v>8.02</v>
      </c>
      <c r="T86" s="18" t="n">
        <v>8.710000000000001</v>
      </c>
      <c r="U86" s="37" t="n">
        <v>32.95</v>
      </c>
      <c r="V86" s="18" t="n">
        <v>7.49</v>
      </c>
      <c r="W86" s="18" t="n">
        <v>6.68</v>
      </c>
      <c r="X86" s="18" t="n">
        <v>7.57</v>
      </c>
      <c r="Z86" s="9" t="n"/>
      <c r="AB86" s="5" t="n"/>
      <c r="AC86" s="10" t="n"/>
      <c r="AD86" s="10" t="n"/>
      <c r="AE86" s="11" t="n"/>
      <c r="AF86" s="10" t="n"/>
      <c r="AG86" s="10" t="n"/>
      <c r="AH86" s="10" t="n"/>
      <c r="AI86" s="10" t="n"/>
      <c r="AJ86" s="11" t="n"/>
      <c r="AK86" s="10" t="n"/>
      <c r="AL86" s="10" t="n"/>
      <c r="AM86" s="10" t="n"/>
      <c r="AN86" s="10" t="n"/>
      <c r="AO86" s="11" t="n"/>
    </row>
    <row r="87">
      <c r="A87" t="n">
        <v>1</v>
      </c>
      <c r="C87" t="inlineStr">
        <is>
          <t>법인세납부(CF)</t>
        </is>
      </c>
      <c r="E87" s="18" t="n">
        <v>-11.17</v>
      </c>
      <c r="F87" s="9" t="n"/>
      <c r="G87" s="18" t="n">
        <v>-1404.33</v>
      </c>
      <c r="H87" s="18" t="n">
        <v>-1727.34</v>
      </c>
      <c r="I87" s="18" t="n">
        <v>-1500.5</v>
      </c>
      <c r="J87" s="18" t="n">
        <v>-17.19</v>
      </c>
      <c r="K87" s="37" t="n">
        <v>-4649.36</v>
      </c>
      <c r="L87" s="18" t="n">
        <v>-1391.98</v>
      </c>
      <c r="M87" s="18" t="n">
        <v>-1852.12</v>
      </c>
      <c r="N87" s="18" t="n">
        <v>-762.86</v>
      </c>
      <c r="O87" s="18" t="n">
        <v>-238.98</v>
      </c>
      <c r="P87" s="37" t="n">
        <v>-4245.94</v>
      </c>
      <c r="Q87" s="18" t="n">
        <v>-11.53</v>
      </c>
      <c r="R87" s="18" t="n">
        <v>-210.94</v>
      </c>
      <c r="S87" s="18" t="n">
        <v>-391.63</v>
      </c>
      <c r="T87" s="18" t="n">
        <v>-31.95</v>
      </c>
      <c r="U87" s="37" t="n">
        <v>-646.05</v>
      </c>
      <c r="V87" s="18" t="n">
        <v>-422.59</v>
      </c>
      <c r="W87" s="18" t="n">
        <v>-648.27</v>
      </c>
      <c r="X87" s="18" t="n">
        <v>-389.91</v>
      </c>
      <c r="Y87" s="18" t="n">
        <v>192.09</v>
      </c>
      <c r="Z87" s="37" t="n">
        <v>-1268.68</v>
      </c>
      <c r="AA87" s="18" t="n">
        <v>-189.75</v>
      </c>
      <c r="AB87" s="19" t="n">
        <v>-526.88</v>
      </c>
      <c r="AC87" s="10" t="n"/>
      <c r="AD87" s="10" t="n"/>
      <c r="AE87" s="11" t="n"/>
      <c r="AF87" s="10" t="n"/>
      <c r="AG87" s="10" t="n"/>
      <c r="AH87" s="10" t="n"/>
      <c r="AI87" s="10" t="n"/>
      <c r="AJ87" s="11" t="n"/>
      <c r="AK87" s="10" t="n"/>
      <c r="AL87" s="10" t="n"/>
      <c r="AM87" s="10" t="n"/>
      <c r="AN87" s="10" t="n"/>
      <c r="AO87" s="11" t="n"/>
    </row>
    <row r="88">
      <c r="A88" t="n">
        <v>1</v>
      </c>
      <c r="C88" t="inlineStr">
        <is>
          <t>투자활동으로인한현금흐름</t>
        </is>
      </c>
      <c r="E88" s="18" t="n">
        <v>-4511.4</v>
      </c>
      <c r="F88" s="9" t="n"/>
      <c r="G88" s="18" t="n">
        <v>21693.73</v>
      </c>
      <c r="H88" s="18" t="n">
        <v>-4321.42</v>
      </c>
      <c r="I88" s="18" t="n">
        <v>-3187.64</v>
      </c>
      <c r="J88" s="18" t="n">
        <v>3453.97</v>
      </c>
      <c r="K88" s="37" t="n">
        <v>17638.64</v>
      </c>
      <c r="L88" s="18" t="n">
        <v>-2001.56</v>
      </c>
      <c r="M88" s="18" t="n">
        <v>-4935.14</v>
      </c>
      <c r="N88" s="18" t="n">
        <v>-8376.209999999999</v>
      </c>
      <c r="O88" s="18" t="n">
        <v>-4173.14</v>
      </c>
      <c r="P88" s="37" t="n">
        <v>-19486.05</v>
      </c>
      <c r="Q88" s="18" t="n">
        <v>-1645.65</v>
      </c>
      <c r="R88" s="18" t="n">
        <v>1090.63</v>
      </c>
      <c r="S88" s="18" t="n">
        <v>-661.97</v>
      </c>
      <c r="T88" s="18" t="n">
        <v>-16134.44</v>
      </c>
      <c r="U88" s="37" t="n">
        <v>-17351.43</v>
      </c>
      <c r="V88" s="18" t="n">
        <v>-24517</v>
      </c>
      <c r="W88" s="18" t="n">
        <v>-3436.67</v>
      </c>
      <c r="X88" s="18" t="n">
        <v>-4204.69</v>
      </c>
      <c r="Y88" s="18" t="n">
        <v>2914.7</v>
      </c>
      <c r="Z88" s="37" t="n">
        <v>-29243.66</v>
      </c>
      <c r="AA88" s="18" t="n">
        <v>-29771.08</v>
      </c>
      <c r="AB88" s="19" t="n">
        <v>-1704.77</v>
      </c>
      <c r="AC88" s="10" t="n"/>
      <c r="AD88" s="10" t="n"/>
      <c r="AE88" s="11" t="n"/>
      <c r="AF88" s="10" t="n"/>
      <c r="AG88" s="10" t="n"/>
      <c r="AH88" s="10" t="n"/>
      <c r="AI88" s="10" t="n"/>
      <c r="AJ88" s="11" t="n"/>
      <c r="AK88" s="10" t="n"/>
      <c r="AL88" s="10" t="n"/>
      <c r="AM88" s="10" t="n"/>
      <c r="AN88" s="10" t="n"/>
      <c r="AO88" s="11" t="n"/>
    </row>
    <row r="89">
      <c r="A89" t="n">
        <v>1</v>
      </c>
      <c r="C89" t="inlineStr">
        <is>
          <t>유형자산의증가</t>
        </is>
      </c>
      <c r="E89" s="18" t="n">
        <v>1461.21</v>
      </c>
      <c r="F89" s="9" t="n"/>
      <c r="G89" s="18" t="n">
        <v>872.5</v>
      </c>
      <c r="H89" s="18" t="n">
        <v>4046.33</v>
      </c>
      <c r="I89" s="18" t="n">
        <v>1166.19</v>
      </c>
      <c r="J89" s="18" t="n">
        <v>829.17</v>
      </c>
      <c r="K89" s="37" t="n">
        <v>6914.19</v>
      </c>
      <c r="L89" s="18" t="n">
        <v>615.67</v>
      </c>
      <c r="M89" s="18" t="n">
        <v>4180.02</v>
      </c>
      <c r="N89" s="18" t="n">
        <v>7424.12</v>
      </c>
      <c r="O89" s="18" t="n">
        <v>5329.47</v>
      </c>
      <c r="P89" s="37" t="n">
        <v>17549.28</v>
      </c>
      <c r="Q89" s="18" t="n">
        <v>361.59</v>
      </c>
      <c r="R89" s="18" t="n">
        <v>725.09</v>
      </c>
      <c r="S89" s="18" t="n">
        <v>768.98</v>
      </c>
      <c r="T89" s="18" t="n">
        <v>5507.34</v>
      </c>
      <c r="U89" s="37" t="n">
        <v>7363</v>
      </c>
      <c r="V89" s="18" t="n">
        <v>7279.15</v>
      </c>
      <c r="W89" s="18" t="n">
        <v>7614.47</v>
      </c>
      <c r="X89" s="18" t="n">
        <v>11619.69</v>
      </c>
      <c r="Y89" s="18" t="n">
        <v>10652.03</v>
      </c>
      <c r="Z89" s="37" t="n">
        <v>37165.34</v>
      </c>
      <c r="AA89" s="18" t="n">
        <v>20972.69</v>
      </c>
      <c r="AB89" s="19" t="n">
        <v>11426.04</v>
      </c>
      <c r="AC89" s="10" t="n"/>
      <c r="AD89" s="10" t="n"/>
      <c r="AE89" s="11" t="n"/>
      <c r="AF89" s="10" t="n"/>
      <c r="AG89" s="10" t="n"/>
      <c r="AH89" s="10" t="n"/>
      <c r="AI89" s="10" t="n"/>
      <c r="AJ89" s="11" t="n"/>
      <c r="AK89" s="10" t="n"/>
      <c r="AL89" s="10" t="n"/>
      <c r="AM89" s="10" t="n"/>
      <c r="AN89" s="10" t="n"/>
      <c r="AO89" s="11" t="n"/>
    </row>
    <row r="90">
      <c r="A90" t="n">
        <v>1</v>
      </c>
      <c r="C90" t="inlineStr">
        <is>
          <t>CAPEX</t>
        </is>
      </c>
      <c r="E90" s="18" t="n">
        <v>1461.21</v>
      </c>
      <c r="F90" s="9" t="n"/>
      <c r="G90" s="18" t="n">
        <v>874.75</v>
      </c>
      <c r="H90" s="18" t="n">
        <v>4046.33</v>
      </c>
      <c r="I90" s="18" t="n">
        <v>1169.97</v>
      </c>
      <c r="J90" s="18" t="n">
        <v>829.17</v>
      </c>
      <c r="K90" s="37" t="n">
        <v>6920.22</v>
      </c>
      <c r="L90" s="18" t="n">
        <v>637.27</v>
      </c>
      <c r="M90" s="18" t="n">
        <v>4190.72</v>
      </c>
      <c r="N90" s="18" t="n">
        <v>7424.12</v>
      </c>
      <c r="O90" s="18" t="n">
        <v>5329.47</v>
      </c>
      <c r="P90" s="37" t="n">
        <v>17581.58</v>
      </c>
      <c r="Q90" s="18" t="n">
        <v>361.59</v>
      </c>
      <c r="R90" s="18" t="n">
        <v>725.09</v>
      </c>
      <c r="S90" s="18" t="n">
        <v>788.8099999999999</v>
      </c>
      <c r="T90" s="18" t="n">
        <v>5546.16</v>
      </c>
      <c r="U90" s="37" t="n">
        <v>7421.65</v>
      </c>
      <c r="V90" s="18" t="n">
        <v>7303.32</v>
      </c>
      <c r="W90" s="18" t="n">
        <v>8329.51</v>
      </c>
      <c r="X90" s="18" t="n">
        <v>10880.48</v>
      </c>
      <c r="Y90" s="18" t="n">
        <v>10652.03</v>
      </c>
      <c r="Z90" s="37" t="n">
        <v>37165.34</v>
      </c>
      <c r="AA90" s="18" t="n">
        <v>20972.69</v>
      </c>
      <c r="AB90" s="19" t="n">
        <v>11426.04</v>
      </c>
      <c r="AC90" s="10" t="n"/>
      <c r="AD90" s="10" t="n"/>
      <c r="AE90" s="11" t="n"/>
      <c r="AF90" s="10" t="n"/>
      <c r="AG90" s="10" t="n"/>
      <c r="AH90" s="10" t="n"/>
      <c r="AI90" s="10" t="n"/>
      <c r="AJ90" s="11" t="n"/>
      <c r="AK90" s="10" t="n"/>
      <c r="AL90" s="10" t="n"/>
      <c r="AM90" s="10" t="n"/>
      <c r="AN90" s="10" t="n"/>
      <c r="AO90" s="11" t="n"/>
    </row>
    <row r="91">
      <c r="A91" t="n">
        <v>1</v>
      </c>
      <c r="C91" t="inlineStr">
        <is>
          <t>무형자산의증가</t>
        </is>
      </c>
      <c r="E91" s="18" t="n">
        <v>0</v>
      </c>
      <c r="F91" s="9" t="n"/>
      <c r="G91" s="18" t="n">
        <v>2.25</v>
      </c>
      <c r="H91" s="18" t="n">
        <v>0</v>
      </c>
      <c r="I91" s="18" t="n">
        <v>3.78</v>
      </c>
      <c r="J91" s="18" t="n">
        <v>0</v>
      </c>
      <c r="K91" s="37" t="n">
        <v>6.03</v>
      </c>
      <c r="L91" s="18" t="n">
        <v>21.6</v>
      </c>
      <c r="M91" s="18" t="n">
        <v>10.7</v>
      </c>
      <c r="N91" s="18" t="n">
        <v>0</v>
      </c>
      <c r="O91" s="18" t="n">
        <v>0</v>
      </c>
      <c r="P91" s="37" t="n">
        <v>32.3</v>
      </c>
      <c r="T91" s="18" t="n">
        <v>38.82</v>
      </c>
      <c r="U91" s="9" t="n"/>
      <c r="V91" s="18" t="n">
        <v>24.17</v>
      </c>
      <c r="W91" s="18" t="n">
        <v>715.04</v>
      </c>
      <c r="Z91" s="9" t="n"/>
      <c r="AB91" s="5" t="n"/>
      <c r="AC91" s="10" t="n"/>
      <c r="AD91" s="10" t="n"/>
      <c r="AE91" s="11" t="n"/>
      <c r="AF91" s="10" t="n"/>
      <c r="AG91" s="10" t="n"/>
      <c r="AH91" s="10" t="n"/>
      <c r="AI91" s="10" t="n"/>
      <c r="AJ91" s="11" t="n"/>
      <c r="AK91" s="10" t="n"/>
      <c r="AL91" s="10" t="n"/>
      <c r="AM91" s="10" t="n"/>
      <c r="AN91" s="10" t="n"/>
      <c r="AO91" s="11" t="n"/>
    </row>
    <row r="92">
      <c r="A92" t="n">
        <v>1</v>
      </c>
      <c r="C92" t="inlineStr">
        <is>
          <t>재무활동으로인한현금흐름</t>
        </is>
      </c>
      <c r="E92" s="18" t="n">
        <v>-7210.76</v>
      </c>
      <c r="F92" s="9" t="n"/>
      <c r="G92" s="18" t="n">
        <v>-13505.41</v>
      </c>
      <c r="H92" s="18" t="n">
        <v>6196.49</v>
      </c>
      <c r="I92" s="18" t="n">
        <v>4480.16</v>
      </c>
      <c r="J92" s="18" t="n">
        <v>-8195.42</v>
      </c>
      <c r="K92" s="37" t="n">
        <v>-11024.18</v>
      </c>
      <c r="L92" s="18" t="n">
        <v>9567.15</v>
      </c>
      <c r="M92" s="18" t="n">
        <v>5133.36</v>
      </c>
      <c r="N92" s="18" t="n">
        <v>11018.27</v>
      </c>
      <c r="O92" s="18" t="n">
        <v>-4436</v>
      </c>
      <c r="P92" s="37" t="n">
        <v>21282.78</v>
      </c>
      <c r="Q92" s="18" t="n">
        <v>4898.6</v>
      </c>
      <c r="R92" s="18" t="n">
        <v>-2853.68</v>
      </c>
      <c r="S92" s="18" t="n">
        <v>-6130.98</v>
      </c>
      <c r="T92" s="18" t="n">
        <v>19194.24</v>
      </c>
      <c r="U92" s="37" t="n">
        <v>15108.18</v>
      </c>
      <c r="V92" s="18" t="n">
        <v>17897.1</v>
      </c>
      <c r="W92" s="18" t="n">
        <v>1109.67</v>
      </c>
      <c r="X92" s="18" t="n">
        <v>5805.41</v>
      </c>
      <c r="Y92" s="18" t="n">
        <v>26479.46</v>
      </c>
      <c r="Z92" s="37" t="n">
        <v>51291.64</v>
      </c>
      <c r="AA92" s="18" t="n">
        <v>8785.690000000001</v>
      </c>
      <c r="AB92" s="19" t="n">
        <v>1349.6</v>
      </c>
      <c r="AC92" s="10" t="n"/>
      <c r="AD92" s="10" t="n"/>
      <c r="AE92" s="11" t="n"/>
      <c r="AF92" s="10" t="n"/>
      <c r="AG92" s="10" t="n"/>
      <c r="AH92" s="10" t="n"/>
      <c r="AI92" s="10" t="n"/>
      <c r="AJ92" s="11" t="n"/>
      <c r="AK92" s="10" t="n"/>
      <c r="AL92" s="10" t="n"/>
      <c r="AM92" s="10" t="n"/>
      <c r="AN92" s="10" t="n"/>
      <c r="AO92" s="11" t="n"/>
    </row>
    <row r="93">
      <c r="A93" t="n">
        <v>1</v>
      </c>
      <c r="C93" t="inlineStr">
        <is>
          <t>단기차입금의증가</t>
        </is>
      </c>
      <c r="E93" s="18" t="n">
        <v>26394.16</v>
      </c>
      <c r="F93" s="9" t="n"/>
      <c r="G93" s="18" t="n">
        <v>20607.81</v>
      </c>
      <c r="H93" s="18" t="n">
        <v>51739.57</v>
      </c>
      <c r="I93" s="18" t="n">
        <v>40208.48</v>
      </c>
      <c r="J93" s="18" t="n">
        <v>43501.19</v>
      </c>
      <c r="K93" s="37" t="n">
        <v>156057.05</v>
      </c>
      <c r="L93" s="18" t="n">
        <v>48530.94</v>
      </c>
      <c r="M93" s="18" t="n">
        <v>71058.95</v>
      </c>
      <c r="N93" s="18" t="n">
        <v>67856.27</v>
      </c>
      <c r="O93" s="18" t="n">
        <v>19120.18</v>
      </c>
      <c r="P93" s="37" t="n">
        <v>206566.34</v>
      </c>
      <c r="Q93" s="18" t="n">
        <v>59203.05</v>
      </c>
      <c r="R93" s="18" t="n">
        <v>40073.7</v>
      </c>
      <c r="S93" s="18" t="n">
        <v>44038.24</v>
      </c>
      <c r="T93" s="18" t="n">
        <v>53570.48</v>
      </c>
      <c r="U93" s="37" t="n">
        <v>196885.47</v>
      </c>
      <c r="V93" s="18" t="n">
        <v>54408.19</v>
      </c>
      <c r="W93" s="18" t="n">
        <v>44444.9</v>
      </c>
      <c r="X93" s="18" t="n">
        <v>54854.28</v>
      </c>
      <c r="Y93" s="18" t="n">
        <v>38109.87</v>
      </c>
      <c r="Z93" s="37" t="n">
        <v>191817.24</v>
      </c>
      <c r="AA93" s="18" t="n">
        <v>31000.03</v>
      </c>
      <c r="AB93" s="19" t="n">
        <v>23769.97</v>
      </c>
      <c r="AC93" s="10" t="n"/>
      <c r="AD93" s="10" t="n"/>
      <c r="AE93" s="11" t="n"/>
      <c r="AF93" s="10" t="n"/>
      <c r="AG93" s="10" t="n"/>
      <c r="AH93" s="10" t="n"/>
      <c r="AI93" s="10" t="n"/>
      <c r="AJ93" s="11" t="n"/>
      <c r="AK93" s="10" t="n"/>
      <c r="AL93" s="10" t="n"/>
      <c r="AM93" s="10" t="n"/>
      <c r="AN93" s="10" t="n"/>
      <c r="AO93" s="11" t="n"/>
    </row>
    <row r="94">
      <c r="A94" t="n">
        <v>1</v>
      </c>
      <c r="C94" t="inlineStr">
        <is>
          <t>장기차입금의증가</t>
        </is>
      </c>
      <c r="E94" s="18" t="n">
        <v>0</v>
      </c>
      <c r="F94" s="9" t="n"/>
      <c r="K94" s="9" t="n"/>
      <c r="N94" s="18" t="n">
        <v>7100</v>
      </c>
      <c r="O94" s="18" t="n">
        <v>2000</v>
      </c>
      <c r="P94" s="9" t="n"/>
      <c r="T94" s="18" t="n">
        <v>0</v>
      </c>
      <c r="U94" s="9" t="n"/>
      <c r="Z94" s="9" t="n"/>
      <c r="AA94" s="18" t="n">
        <v>10000</v>
      </c>
      <c r="AB94" s="19" t="n">
        <v>2125.22</v>
      </c>
      <c r="AC94" s="10" t="n"/>
      <c r="AD94" s="10" t="n"/>
      <c r="AE94" s="11" t="n"/>
      <c r="AF94" s="10" t="n"/>
      <c r="AG94" s="10" t="n"/>
      <c r="AH94" s="10" t="n"/>
      <c r="AI94" s="10" t="n"/>
      <c r="AJ94" s="11" t="n"/>
      <c r="AK94" s="10" t="n"/>
      <c r="AL94" s="10" t="n"/>
      <c r="AM94" s="10" t="n"/>
      <c r="AN94" s="10" t="n"/>
      <c r="AO94" s="11" t="n"/>
    </row>
    <row r="95">
      <c r="A95" t="n">
        <v>1</v>
      </c>
      <c r="C95" t="inlineStr">
        <is>
          <t>단기차입금의감소</t>
        </is>
      </c>
      <c r="E95" s="18" t="n">
        <v>32215.18</v>
      </c>
      <c r="F95" s="9" t="n"/>
      <c r="G95" s="18" t="n">
        <v>29636.97</v>
      </c>
      <c r="H95" s="18" t="n">
        <v>45239.56</v>
      </c>
      <c r="I95" s="18" t="n">
        <v>35208.48</v>
      </c>
      <c r="J95" s="18" t="n">
        <v>51131.19</v>
      </c>
      <c r="K95" s="37" t="n">
        <v>161216.2</v>
      </c>
      <c r="L95" s="18" t="n">
        <v>38847.94</v>
      </c>
      <c r="M95" s="18" t="n">
        <v>67597.95</v>
      </c>
      <c r="N95" s="18" t="n">
        <v>60310.27</v>
      </c>
      <c r="O95" s="18" t="n">
        <v>50418.3</v>
      </c>
      <c r="P95" s="37" t="n">
        <v>217174.46</v>
      </c>
      <c r="Q95" s="18" t="n">
        <v>48165.2</v>
      </c>
      <c r="R95" s="18" t="n">
        <v>42773.69</v>
      </c>
      <c r="S95" s="18" t="n">
        <v>49588.25</v>
      </c>
      <c r="T95" s="18" t="n">
        <v>34270.47</v>
      </c>
      <c r="U95" s="37" t="n">
        <v>174797.61</v>
      </c>
      <c r="V95" s="18" t="n">
        <v>57608.19</v>
      </c>
      <c r="W95" s="18" t="n">
        <v>42754.9</v>
      </c>
      <c r="X95" s="18" t="n">
        <v>48894.28</v>
      </c>
      <c r="Y95" s="18" t="n">
        <v>37809.87</v>
      </c>
      <c r="Z95" s="37" t="n">
        <v>187067.24</v>
      </c>
      <c r="AA95" s="18" t="n">
        <v>32300.03</v>
      </c>
      <c r="AB95" s="19" t="n">
        <v>17469.97</v>
      </c>
      <c r="AC95" s="10" t="n"/>
      <c r="AD95" s="10" t="n"/>
      <c r="AE95" s="11" t="n"/>
      <c r="AF95" s="10" t="n"/>
      <c r="AG95" s="10" t="n"/>
      <c r="AH95" s="10" t="n"/>
      <c r="AI95" s="10" t="n"/>
      <c r="AJ95" s="11" t="n"/>
      <c r="AK95" s="10" t="n"/>
      <c r="AL95" s="10" t="n"/>
      <c r="AM95" s="10" t="n"/>
      <c r="AN95" s="10" t="n"/>
      <c r="AO95" s="11" t="n"/>
    </row>
    <row r="96">
      <c r="A96" t="n">
        <v>1</v>
      </c>
      <c r="C96" t="inlineStr">
        <is>
          <t>유동성장기부채의감소</t>
        </is>
      </c>
      <c r="E96" s="18" t="n">
        <v>1267.59</v>
      </c>
      <c r="F96" s="9" t="n"/>
      <c r="G96" s="18" t="n">
        <v>2055.43</v>
      </c>
      <c r="H96" s="18" t="n">
        <v>198.31</v>
      </c>
      <c r="I96" s="18" t="n">
        <v>178.56</v>
      </c>
      <c r="J96" s="18" t="n">
        <v>0</v>
      </c>
      <c r="K96" s="37" t="n">
        <v>2432.3</v>
      </c>
      <c r="N96" s="18" t="n">
        <v>3500</v>
      </c>
      <c r="O96" s="18" t="n">
        <v>0</v>
      </c>
      <c r="P96" s="9" t="n"/>
      <c r="Q96" s="18" t="n">
        <v>6000</v>
      </c>
      <c r="R96" s="18" t="n">
        <v>0</v>
      </c>
      <c r="S96" s="18" t="n">
        <v>0</v>
      </c>
      <c r="T96" s="18" t="n">
        <v>0</v>
      </c>
      <c r="U96" s="37" t="n">
        <v>6000</v>
      </c>
      <c r="X96" s="18" t="n">
        <v>0</v>
      </c>
      <c r="Z96" s="9" t="n"/>
      <c r="AB96" s="5" t="n"/>
      <c r="AC96" s="10" t="n"/>
      <c r="AD96" s="10" t="n"/>
      <c r="AE96" s="11" t="n"/>
      <c r="AF96" s="10" t="n"/>
      <c r="AG96" s="10" t="n"/>
      <c r="AH96" s="10" t="n"/>
      <c r="AI96" s="10" t="n"/>
      <c r="AJ96" s="11" t="n"/>
      <c r="AK96" s="10" t="n"/>
      <c r="AL96" s="10" t="n"/>
      <c r="AM96" s="10" t="n"/>
      <c r="AN96" s="10" t="n"/>
      <c r="AO96" s="11" t="n"/>
    </row>
    <row r="97">
      <c r="A97" t="n">
        <v>1</v>
      </c>
      <c r="C97" t="inlineStr">
        <is>
          <t>현금및현금성자산의증감</t>
        </is>
      </c>
      <c r="E97" s="18" t="n">
        <v>23662.07</v>
      </c>
      <c r="F97" s="9" t="n"/>
      <c r="G97" s="18" t="n">
        <v>1839.93</v>
      </c>
      <c r="H97" s="18" t="n">
        <v>-8829.469999999999</v>
      </c>
      <c r="I97" s="18" t="n">
        <v>1511.88</v>
      </c>
      <c r="J97" s="18" t="n">
        <v>2419.34</v>
      </c>
      <c r="K97" s="37" t="n">
        <v>-3058.32</v>
      </c>
      <c r="L97" s="18" t="n">
        <v>-5258.1</v>
      </c>
      <c r="M97" s="18" t="n">
        <v>1387.19</v>
      </c>
      <c r="N97" s="18" t="n">
        <v>1544.87</v>
      </c>
      <c r="O97" s="18" t="n">
        <v>9326.469999999999</v>
      </c>
      <c r="P97" s="37" t="n">
        <v>7000.43</v>
      </c>
      <c r="Q97" s="18" t="n">
        <v>-3564.36</v>
      </c>
      <c r="R97" s="18" t="n">
        <v>-1904.71</v>
      </c>
      <c r="S97" s="18" t="n">
        <v>691.95</v>
      </c>
      <c r="T97" s="18" t="n">
        <v>-1316.89</v>
      </c>
      <c r="U97" s="37" t="n">
        <v>-6094.01</v>
      </c>
      <c r="V97" s="18" t="n">
        <v>2190.02</v>
      </c>
      <c r="W97" s="18" t="n">
        <v>-6688.97</v>
      </c>
      <c r="X97" s="18" t="n">
        <v>-227.24</v>
      </c>
      <c r="Y97" s="18" t="n">
        <v>23839.03</v>
      </c>
      <c r="Z97" s="37" t="n">
        <v>19112.84</v>
      </c>
      <c r="AA97" s="18" t="n">
        <v>-11048.23</v>
      </c>
      <c r="AB97" s="19" t="n">
        <v>2911.2</v>
      </c>
      <c r="AC97" s="10" t="n"/>
      <c r="AD97" s="10" t="n"/>
      <c r="AE97" s="11" t="n"/>
      <c r="AF97" s="10" t="n"/>
      <c r="AG97" s="10" t="n"/>
      <c r="AH97" s="10" t="n"/>
      <c r="AI97" s="10" t="n"/>
      <c r="AJ97" s="11" t="n"/>
      <c r="AK97" s="10" t="n"/>
      <c r="AL97" s="10" t="n"/>
      <c r="AM97" s="10" t="n"/>
      <c r="AN97" s="10" t="n"/>
      <c r="AO97" s="11" t="n"/>
    </row>
    <row r="98">
      <c r="A98" t="n">
        <v>1</v>
      </c>
      <c r="C98" t="inlineStr">
        <is>
          <t>기말현금및현금성자산</t>
        </is>
      </c>
      <c r="E98" s="18" t="n">
        <v>11830.87</v>
      </c>
      <c r="F98" s="9" t="n"/>
      <c r="G98" s="18" t="n">
        <v>15481.2</v>
      </c>
      <c r="H98" s="18" t="n">
        <v>-8674.139999999999</v>
      </c>
      <c r="I98" s="18" t="n">
        <v>1601.97</v>
      </c>
      <c r="J98" s="18" t="n">
        <v>2215.61</v>
      </c>
      <c r="K98" s="37" t="n">
        <v>10624.64</v>
      </c>
      <c r="L98" s="18" t="n">
        <v>5378.3</v>
      </c>
      <c r="M98" s="18" t="n">
        <v>1382.24</v>
      </c>
      <c r="N98" s="18" t="n">
        <v>1544.11</v>
      </c>
      <c r="O98" s="18" t="n">
        <v>9320.629999999999</v>
      </c>
      <c r="P98" s="37" t="n">
        <v>17625.28</v>
      </c>
      <c r="Q98" s="18" t="n">
        <v>14072.42</v>
      </c>
      <c r="R98" s="18" t="n">
        <v>-1917.37</v>
      </c>
      <c r="S98" s="18" t="n">
        <v>674.37</v>
      </c>
      <c r="T98" s="18" t="n">
        <v>-1284.23</v>
      </c>
      <c r="U98" s="37" t="n">
        <v>11545.19</v>
      </c>
      <c r="V98" s="18" t="n">
        <v>13828.71</v>
      </c>
      <c r="W98" s="18" t="n">
        <v>-6694.46</v>
      </c>
      <c r="X98" s="18" t="n">
        <v>-225.16</v>
      </c>
      <c r="Y98" s="18" t="n">
        <v>23761.75</v>
      </c>
      <c r="Z98" s="37" t="n">
        <v>30670.84</v>
      </c>
      <c r="AA98" s="18" t="n">
        <v>19668.35</v>
      </c>
      <c r="AB98" s="19" t="n">
        <v>2888.52</v>
      </c>
      <c r="AC98" s="10" t="n"/>
      <c r="AD98" s="10" t="n"/>
      <c r="AE98" s="11" t="n"/>
      <c r="AF98" s="10" t="n"/>
      <c r="AG98" s="10" t="n"/>
      <c r="AH98" s="10" t="n"/>
      <c r="AI98" s="10" t="n"/>
      <c r="AJ98" s="11" t="n"/>
      <c r="AK98" s="10" t="n"/>
      <c r="AL98" s="10" t="n"/>
      <c r="AM98" s="10" t="n"/>
      <c r="AN98" s="10" t="n"/>
      <c r="AO98" s="11" t="n"/>
    </row>
    <row r="99">
      <c r="A99" t="n">
        <v>1</v>
      </c>
      <c r="C99" t="inlineStr">
        <is>
          <t>유형자산의감소</t>
        </is>
      </c>
      <c r="F99" s="9" t="n"/>
      <c r="G99" s="18" t="n">
        <v>25.36</v>
      </c>
      <c r="H99" s="18" t="n">
        <v>2.5</v>
      </c>
      <c r="I99" s="18" t="n">
        <v>23</v>
      </c>
      <c r="J99" s="18" t="n">
        <v>2629.27</v>
      </c>
      <c r="K99" s="37" t="n">
        <v>2680.13</v>
      </c>
      <c r="L99" s="18" t="n">
        <v>75.2</v>
      </c>
      <c r="M99" s="18" t="n">
        <v>165</v>
      </c>
      <c r="N99" s="18" t="n">
        <v>3.2</v>
      </c>
      <c r="O99" s="18" t="n">
        <v>0</v>
      </c>
      <c r="P99" s="37" t="n">
        <v>243.4</v>
      </c>
      <c r="Q99" s="18" t="n">
        <v>1.2</v>
      </c>
      <c r="R99" s="18" t="n">
        <v>51.82</v>
      </c>
      <c r="S99" s="18" t="n">
        <v>21.53</v>
      </c>
      <c r="T99" s="18" t="n">
        <v>103.6</v>
      </c>
      <c r="U99" s="37" t="n">
        <v>178.15</v>
      </c>
      <c r="V99" s="18" t="n">
        <v>18.29</v>
      </c>
      <c r="W99" s="18" t="n">
        <v>40</v>
      </c>
      <c r="X99" s="18" t="n">
        <v>173.74</v>
      </c>
      <c r="Y99" s="18" t="n">
        <v>9.65</v>
      </c>
      <c r="Z99" s="37" t="n">
        <v>241.68</v>
      </c>
      <c r="AA99" s="18" t="n">
        <v>114.1</v>
      </c>
      <c r="AB99" s="19" t="n">
        <v>26.2</v>
      </c>
      <c r="AC99" s="10" t="n"/>
      <c r="AD99" s="10" t="n"/>
      <c r="AE99" s="11" t="n"/>
      <c r="AF99" s="10" t="n"/>
      <c r="AG99" s="10" t="n"/>
      <c r="AH99" s="10" t="n"/>
      <c r="AI99" s="10" t="n"/>
      <c r="AJ99" s="11" t="n"/>
      <c r="AK99" s="10" t="n"/>
      <c r="AL99" s="10" t="n"/>
      <c r="AM99" s="10" t="n"/>
      <c r="AN99" s="10" t="n"/>
      <c r="AO99" s="11" t="n"/>
    </row>
    <row r="100">
      <c r="A100" t="n">
        <v>1</v>
      </c>
      <c r="C100" t="inlineStr">
        <is>
          <t>장기차입금의감소</t>
        </is>
      </c>
      <c r="F100" s="9" t="n"/>
      <c r="G100" s="18" t="n">
        <v>2321.4</v>
      </c>
      <c r="H100" s="18" t="n">
        <v>0</v>
      </c>
      <c r="I100" s="18" t="n">
        <v>0</v>
      </c>
      <c r="J100" s="18" t="n">
        <v>0</v>
      </c>
      <c r="K100" s="37" t="n">
        <v>2321.4</v>
      </c>
      <c r="P100" s="9" t="n"/>
      <c r="T100" s="18" t="n">
        <v>0</v>
      </c>
      <c r="U100" s="9" t="n"/>
      <c r="Z100" s="9" t="n"/>
      <c r="AB100" s="5" t="n"/>
      <c r="AC100" s="10" t="n"/>
      <c r="AD100" s="10" t="n"/>
      <c r="AE100" s="11" t="n"/>
      <c r="AF100" s="10" t="n"/>
      <c r="AG100" s="10" t="n"/>
      <c r="AH100" s="10" t="n"/>
      <c r="AI100" s="10" t="n"/>
      <c r="AJ100" s="11" t="n"/>
      <c r="AK100" s="10" t="n"/>
      <c r="AL100" s="10" t="n"/>
      <c r="AM100" s="10" t="n"/>
      <c r="AN100" s="10" t="n"/>
      <c r="AO100" s="11" t="n"/>
    </row>
    <row r="101">
      <c r="A101" t="n">
        <v>1</v>
      </c>
      <c r="C101" t="inlineStr">
        <is>
          <t>자기주식의취득</t>
        </is>
      </c>
      <c r="F101" s="9" t="n"/>
      <c r="J101" s="18" t="n">
        <v>1466.52</v>
      </c>
      <c r="K101" s="9" t="n"/>
      <c r="P101" s="9" t="n"/>
      <c r="U101" s="9" t="n"/>
      <c r="Z101" s="9" t="n"/>
      <c r="AB101" s="5" t="n"/>
      <c r="AC101" s="10" t="n"/>
      <c r="AD101" s="10" t="n"/>
      <c r="AE101" s="11" t="n"/>
      <c r="AF101" s="10" t="n"/>
      <c r="AG101" s="10" t="n"/>
      <c r="AH101" s="10" t="n"/>
      <c r="AI101" s="10" t="n"/>
      <c r="AJ101" s="11" t="n"/>
      <c r="AK101" s="10" t="n"/>
      <c r="AL101" s="10" t="n"/>
      <c r="AM101" s="10" t="n"/>
      <c r="AN101" s="10" t="n"/>
      <c r="AO101" s="11" t="n"/>
    </row>
    <row r="102">
      <c r="A102" t="n">
        <v>1</v>
      </c>
      <c r="C102" t="inlineStr">
        <is>
          <t>배당금지급</t>
        </is>
      </c>
      <c r="F102" s="9" t="n"/>
      <c r="K102" s="9" t="n"/>
      <c r="N102" s="18" t="n">
        <v>0</v>
      </c>
      <c r="O102" s="18" t="n">
        <v>0</v>
      </c>
      <c r="P102" s="9" t="n"/>
      <c r="U102" s="9" t="n"/>
      <c r="Z102" s="9" t="n"/>
      <c r="AB102" s="5" t="n"/>
      <c r="AC102" s="10" t="n"/>
      <c r="AD102" s="10" t="n"/>
      <c r="AE102" s="11" t="n"/>
      <c r="AF102" s="10" t="n"/>
      <c r="AG102" s="10" t="n"/>
      <c r="AH102" s="10" t="n"/>
      <c r="AI102" s="10" t="n"/>
      <c r="AJ102" s="11" t="n"/>
      <c r="AK102" s="10" t="n"/>
      <c r="AL102" s="10" t="n"/>
      <c r="AM102" s="10" t="n"/>
      <c r="AN102" s="10" t="n"/>
      <c r="AO102" s="11" t="n"/>
    </row>
    <row r="103">
      <c r="A103" t="n">
        <v>1</v>
      </c>
      <c r="C103" t="inlineStr">
        <is>
          <t>이자수취(CF)</t>
        </is>
      </c>
      <c r="F103" s="9" t="n"/>
      <c r="K103" s="9" t="n"/>
      <c r="O103" s="18" t="n">
        <v>137.58</v>
      </c>
      <c r="P103" s="9" t="n"/>
      <c r="Q103" s="18" t="n">
        <v>114.59</v>
      </c>
      <c r="R103" s="18" t="n">
        <v>53.8</v>
      </c>
      <c r="S103" s="18" t="n">
        <v>83.2</v>
      </c>
      <c r="T103" s="18" t="n">
        <v>100.2</v>
      </c>
      <c r="U103" s="37" t="n">
        <v>351.79</v>
      </c>
      <c r="V103" s="18" t="n">
        <v>54.19</v>
      </c>
      <c r="W103" s="18" t="n">
        <v>89.61</v>
      </c>
      <c r="X103" s="18" t="n">
        <v>231.57</v>
      </c>
      <c r="Y103" s="18" t="n">
        <v>85.70999999999999</v>
      </c>
      <c r="Z103" s="37" t="n">
        <v>461.08</v>
      </c>
      <c r="AA103" s="18" t="n">
        <v>70.14</v>
      </c>
      <c r="AB103" s="19" t="n">
        <v>147.15</v>
      </c>
      <c r="AC103" s="10" t="n"/>
      <c r="AD103" s="10" t="n"/>
      <c r="AE103" s="11" t="n"/>
      <c r="AF103" s="10" t="n"/>
      <c r="AG103" s="10" t="n"/>
      <c r="AH103" s="10" t="n"/>
      <c r="AI103" s="10" t="n"/>
      <c r="AJ103" s="11" t="n"/>
      <c r="AK103" s="10" t="n"/>
      <c r="AL103" s="10" t="n"/>
      <c r="AM103" s="10" t="n"/>
      <c r="AN103" s="10" t="n"/>
      <c r="AO103" s="11" t="n"/>
    </row>
    <row r="104">
      <c r="A104" t="n">
        <v>1</v>
      </c>
      <c r="C104" t="inlineStr">
        <is>
          <t>리스부채의상환</t>
        </is>
      </c>
      <c r="F104" s="9" t="n"/>
      <c r="K104" s="9" t="n"/>
      <c r="O104" s="18" t="n">
        <v>138.01</v>
      </c>
      <c r="P104" s="9" t="n"/>
      <c r="Q104" s="18" t="n">
        <v>139.25</v>
      </c>
      <c r="R104" s="18" t="n">
        <v>153.69</v>
      </c>
      <c r="S104" s="18" t="n">
        <v>180.98</v>
      </c>
      <c r="T104" s="18" t="n">
        <v>180.9</v>
      </c>
      <c r="U104" s="37" t="n">
        <v>654.8200000000001</v>
      </c>
      <c r="V104" s="18" t="n">
        <v>191.56</v>
      </c>
      <c r="W104" s="18" t="n">
        <v>197.24</v>
      </c>
      <c r="X104" s="18" t="n">
        <v>187.01</v>
      </c>
      <c r="Z104" s="9" t="n"/>
      <c r="AB104" s="5" t="n"/>
      <c r="AC104" s="10" t="n"/>
      <c r="AD104" s="10" t="n"/>
      <c r="AE104" s="11" t="n"/>
      <c r="AF104" s="10" t="n"/>
      <c r="AG104" s="10" t="n"/>
      <c r="AH104" s="10" t="n"/>
      <c r="AI104" s="10" t="n"/>
      <c r="AJ104" s="11" t="n"/>
      <c r="AK104" s="10" t="n"/>
      <c r="AL104" s="10" t="n"/>
      <c r="AM104" s="10" t="n"/>
      <c r="AN104" s="10" t="n"/>
      <c r="AO104" s="1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8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B1" s="2" t="inlineStr">
        <is>
          <t>(백만원)</t>
        </is>
      </c>
      <c r="C1" s="2" t="inlineStr">
        <is>
          <t>이름: BS별도H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B2" t="inlineStr">
        <is>
          <t>별도</t>
        </is>
      </c>
      <c r="D2" s="2" t="inlineStr">
        <is>
          <t>fin json(kship_fin.py)</t>
        </is>
      </c>
      <c r="AB2" s="5" t="n"/>
    </row>
    <row r="3">
      <c r="B3" t="inlineStr">
        <is>
          <t>한국선재(별)</t>
        </is>
      </c>
      <c r="C3" s="2" t="inlineStr">
        <is>
          <t>UPDATE: 26-10-13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B4" s="2" t="inlineStr">
        <is>
          <t>Account Code</t>
        </is>
      </c>
      <c r="C4" s="2" t="inlineStr">
        <is>
          <t>AccountNAME</t>
        </is>
      </c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t="n">
        <v>1</v>
      </c>
      <c r="C5" t="inlineStr">
        <is>
          <t>유동자산</t>
        </is>
      </c>
      <c r="E5" s="18" t="n">
        <v>97719.53</v>
      </c>
      <c r="F5" s="37" t="n">
        <v>97719.53</v>
      </c>
      <c r="G5" s="18" t="n">
        <v>88231.89</v>
      </c>
      <c r="H5" s="18" t="n">
        <v>95391.35000000001</v>
      </c>
      <c r="I5" s="18" t="n">
        <v>94799.39999999999</v>
      </c>
      <c r="J5" s="18" t="n">
        <v>87637.58</v>
      </c>
      <c r="K5" s="37" t="n">
        <v>87637.58</v>
      </c>
      <c r="L5" s="18" t="n">
        <v>96808.09</v>
      </c>
      <c r="M5" s="18" t="n">
        <v>91197.88</v>
      </c>
      <c r="N5" s="18" t="n">
        <v>87701.19</v>
      </c>
      <c r="O5" s="18" t="n">
        <v>85208.2</v>
      </c>
      <c r="P5" s="37" t="n">
        <v>85208.2</v>
      </c>
      <c r="Q5" s="18" t="n">
        <v>88559.27</v>
      </c>
      <c r="R5" s="18" t="n">
        <v>84293.41</v>
      </c>
      <c r="S5" s="18" t="n">
        <v>76381.12</v>
      </c>
      <c r="T5" s="18" t="n">
        <v>84323.96000000001</v>
      </c>
      <c r="U5" s="37" t="n">
        <v>84323.96000000001</v>
      </c>
      <c r="V5" s="18" t="n">
        <v>74398.52</v>
      </c>
      <c r="W5" s="18" t="n">
        <v>75022.78999999999</v>
      </c>
      <c r="X5" s="18" t="n">
        <v>80277.02</v>
      </c>
      <c r="Y5" s="18" t="n">
        <v>81554.69</v>
      </c>
      <c r="Z5" s="37" t="n">
        <v>81554.69</v>
      </c>
      <c r="AA5" s="18" t="n">
        <v>87292.75999999999</v>
      </c>
      <c r="AB5" s="19" t="n">
        <v>81965.92</v>
      </c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t="n">
        <v>1</v>
      </c>
      <c r="C6" t="inlineStr">
        <is>
          <t>현금및현금성자산</t>
        </is>
      </c>
      <c r="E6" s="18" t="n">
        <v>10427.2</v>
      </c>
      <c r="F6" s="37" t="n">
        <v>10427.2</v>
      </c>
      <c r="G6" s="18" t="n">
        <v>13271.53</v>
      </c>
      <c r="H6" s="18" t="n">
        <v>5347.44</v>
      </c>
      <c r="I6" s="18" t="n">
        <v>7330.43</v>
      </c>
      <c r="J6" s="18" t="n">
        <v>7472.62</v>
      </c>
      <c r="K6" s="37" t="n">
        <v>7472.62</v>
      </c>
      <c r="L6" s="18" t="n">
        <v>5155.65</v>
      </c>
      <c r="M6" s="18" t="n">
        <v>6274.97</v>
      </c>
      <c r="N6" s="18" t="n">
        <v>3847.51</v>
      </c>
      <c r="O6" s="18" t="n">
        <v>9787.74</v>
      </c>
      <c r="P6" s="37" t="n">
        <v>9787.74</v>
      </c>
      <c r="Q6" s="18" t="n">
        <v>5041.55</v>
      </c>
      <c r="R6" s="18" t="n">
        <v>2907.23</v>
      </c>
      <c r="S6" s="18" t="n">
        <v>5625.18</v>
      </c>
      <c r="T6" s="18" t="n">
        <v>2079.07</v>
      </c>
      <c r="U6" s="37" t="n">
        <v>2079.07</v>
      </c>
      <c r="V6" s="18" t="n">
        <v>3761.92</v>
      </c>
      <c r="W6" s="18" t="n">
        <v>1391.17</v>
      </c>
      <c r="X6" s="18" t="n">
        <v>2893.17</v>
      </c>
      <c r="Y6" s="18" t="n">
        <v>7462.46</v>
      </c>
      <c r="Z6" s="37" t="n">
        <v>7462.46</v>
      </c>
      <c r="AA6" s="18" t="n">
        <v>11996.52</v>
      </c>
      <c r="AB6" s="19" t="n">
        <v>6209.11</v>
      </c>
      <c r="AC6" s="10" t="n"/>
      <c r="AD6" s="10" t="n"/>
      <c r="AE6" s="11" t="n"/>
      <c r="AF6" s="10" t="n"/>
      <c r="AG6" s="10" t="n"/>
      <c r="AH6" s="10" t="n"/>
      <c r="AI6" s="10" t="n"/>
      <c r="AJ6" s="11" t="n"/>
      <c r="AK6" s="10" t="n"/>
      <c r="AL6" s="10" t="n"/>
      <c r="AM6" s="10" t="n"/>
      <c r="AN6" s="10" t="n"/>
      <c r="AO6" s="11" t="n"/>
    </row>
    <row r="7">
      <c r="A7" t="n">
        <v>1</v>
      </c>
      <c r="C7" t="inlineStr">
        <is>
          <t>매출채권및기타채권</t>
        </is>
      </c>
      <c r="E7" s="18" t="n">
        <v>25052.42</v>
      </c>
      <c r="F7" s="37" t="n">
        <v>25052.42</v>
      </c>
      <c r="G7" s="18" t="n">
        <v>28932.23</v>
      </c>
      <c r="H7" s="18" t="n">
        <v>26720.63</v>
      </c>
      <c r="I7" s="18" t="n">
        <v>30797.85</v>
      </c>
      <c r="J7" s="18" t="n">
        <v>28469.57</v>
      </c>
      <c r="K7" s="37" t="n">
        <v>28469.57</v>
      </c>
      <c r="L7" s="18" t="n">
        <v>34784.14</v>
      </c>
      <c r="M7" s="18" t="n">
        <v>26029.65</v>
      </c>
      <c r="N7" s="18" t="n">
        <v>30064.29</v>
      </c>
      <c r="O7" s="18" t="n">
        <v>26184.68</v>
      </c>
      <c r="P7" s="37" t="n">
        <v>26184.68</v>
      </c>
      <c r="Q7" s="18" t="n">
        <v>25105.07</v>
      </c>
      <c r="R7" s="18" t="n">
        <v>28181.72</v>
      </c>
      <c r="S7" s="18" t="n">
        <v>26126.19</v>
      </c>
      <c r="T7" s="18" t="n">
        <v>28460.31</v>
      </c>
      <c r="U7" s="37" t="n">
        <v>28460.31</v>
      </c>
      <c r="V7" s="18" t="n">
        <v>27441.1</v>
      </c>
      <c r="W7" s="18" t="n">
        <v>25662.96</v>
      </c>
      <c r="X7" s="18" t="n">
        <v>24458.93</v>
      </c>
      <c r="Y7" s="18" t="n">
        <v>21538.61</v>
      </c>
      <c r="Z7" s="37" t="n">
        <v>21538.61</v>
      </c>
      <c r="AA7" s="18" t="n">
        <v>23922.37</v>
      </c>
      <c r="AB7" s="19" t="n">
        <v>26729.94</v>
      </c>
      <c r="AC7" s="10" t="n"/>
      <c r="AD7" s="10" t="n"/>
      <c r="AE7" s="11" t="n"/>
      <c r="AF7" s="10" t="n"/>
      <c r="AG7" s="10" t="n"/>
      <c r="AH7" s="10" t="n"/>
      <c r="AI7" s="10" t="n"/>
      <c r="AJ7" s="11" t="n"/>
      <c r="AK7" s="10" t="n"/>
      <c r="AL7" s="10" t="n"/>
      <c r="AM7" s="10" t="n"/>
      <c r="AN7" s="10" t="n"/>
      <c r="AO7" s="11" t="n"/>
    </row>
    <row r="8">
      <c r="A8" t="n">
        <v>1</v>
      </c>
      <c r="C8" t="inlineStr">
        <is>
          <t>재고자산</t>
        </is>
      </c>
      <c r="E8" s="18" t="n">
        <v>45458.24</v>
      </c>
      <c r="F8" s="37" t="n">
        <v>45458.24</v>
      </c>
      <c r="G8" s="18" t="n">
        <v>45200.41</v>
      </c>
      <c r="H8" s="18" t="n">
        <v>61121.07</v>
      </c>
      <c r="I8" s="18" t="n">
        <v>54037.53</v>
      </c>
      <c r="J8" s="18" t="n">
        <v>50697.87</v>
      </c>
      <c r="K8" s="37" t="n">
        <v>50697.87</v>
      </c>
      <c r="L8" s="18" t="n">
        <v>55911.08</v>
      </c>
      <c r="M8" s="18" t="n">
        <v>57205.28</v>
      </c>
      <c r="N8" s="18" t="n">
        <v>53234.33</v>
      </c>
      <c r="O8" s="18" t="n">
        <v>48371.88</v>
      </c>
      <c r="P8" s="37" t="n">
        <v>48371.88</v>
      </c>
      <c r="Q8" s="18" t="n">
        <v>57155.34</v>
      </c>
      <c r="R8" s="18" t="n">
        <v>52699.56</v>
      </c>
      <c r="S8" s="18" t="n">
        <v>44080.18</v>
      </c>
      <c r="T8" s="18" t="n">
        <v>53338.73</v>
      </c>
      <c r="U8" s="37" t="n">
        <v>53338.73</v>
      </c>
      <c r="V8" s="18" t="n">
        <v>43144.01</v>
      </c>
      <c r="W8" s="18" t="n">
        <v>47883.59</v>
      </c>
      <c r="X8" s="18" t="n">
        <v>52070.32</v>
      </c>
      <c r="Y8" s="18" t="n">
        <v>52017.25</v>
      </c>
      <c r="Z8" s="37" t="n">
        <v>52017.25</v>
      </c>
      <c r="AA8" s="18" t="n">
        <v>51308.39</v>
      </c>
      <c r="AB8" s="19" t="n">
        <v>48997.23</v>
      </c>
      <c r="AC8" s="10" t="n"/>
      <c r="AD8" s="10" t="n"/>
      <c r="AE8" s="11" t="n"/>
      <c r="AF8" s="10" t="n"/>
      <c r="AG8" s="10" t="n"/>
      <c r="AH8" s="10" t="n"/>
      <c r="AI8" s="10" t="n"/>
      <c r="AJ8" s="11" t="n"/>
      <c r="AK8" s="10" t="n"/>
      <c r="AL8" s="10" t="n"/>
      <c r="AM8" s="10" t="n"/>
      <c r="AN8" s="10" t="n"/>
      <c r="AO8" s="11" t="n"/>
    </row>
    <row r="9">
      <c r="A9" t="n">
        <v>1</v>
      </c>
      <c r="C9" t="inlineStr">
        <is>
          <t>기타유동금융자산</t>
        </is>
      </c>
      <c r="E9" s="18" t="n">
        <v>297.98</v>
      </c>
      <c r="F9" s="37" t="n">
        <v>297.98</v>
      </c>
      <c r="G9" s="18" t="n">
        <v>298.73</v>
      </c>
      <c r="H9" s="18" t="n">
        <v>299.72</v>
      </c>
      <c r="I9" s="18" t="n">
        <v>2069.66</v>
      </c>
      <c r="J9" s="18" t="n">
        <v>409.71</v>
      </c>
      <c r="K9" s="37" t="n">
        <v>409.71</v>
      </c>
      <c r="L9" s="18" t="n">
        <v>389.79</v>
      </c>
      <c r="M9" s="18" t="n">
        <v>392.66</v>
      </c>
      <c r="P9" s="9" t="n"/>
      <c r="U9" s="9" t="n"/>
      <c r="Z9" s="9" t="n"/>
      <c r="AB9" s="5" t="n"/>
      <c r="AC9" s="10" t="n"/>
      <c r="AD9" s="10" t="n"/>
      <c r="AE9" s="11" t="n"/>
      <c r="AF9" s="10" t="n"/>
      <c r="AG9" s="10" t="n"/>
      <c r="AH9" s="10" t="n"/>
      <c r="AI9" s="10" t="n"/>
      <c r="AJ9" s="11" t="n"/>
      <c r="AK9" s="10" t="n"/>
      <c r="AL9" s="10" t="n"/>
      <c r="AM9" s="10" t="n"/>
      <c r="AN9" s="10" t="n"/>
      <c r="AO9" s="11" t="n"/>
    </row>
    <row r="10">
      <c r="A10" t="n">
        <v>1</v>
      </c>
      <c r="C10" t="inlineStr">
        <is>
          <t>기타유동자산</t>
        </is>
      </c>
      <c r="E10" s="18" t="n">
        <v>534.47</v>
      </c>
      <c r="F10" s="37" t="n">
        <v>534.47</v>
      </c>
      <c r="G10" s="18" t="n">
        <v>529</v>
      </c>
      <c r="H10" s="18" t="n">
        <v>1902.5</v>
      </c>
      <c r="I10" s="18" t="n">
        <v>563.9400000000001</v>
      </c>
      <c r="J10" s="18" t="n">
        <v>587.8099999999999</v>
      </c>
      <c r="K10" s="37" t="n">
        <v>587.8099999999999</v>
      </c>
      <c r="L10" s="18" t="n">
        <v>567.4299999999999</v>
      </c>
      <c r="M10" s="18" t="n">
        <v>1295.32</v>
      </c>
      <c r="N10" s="18" t="n">
        <v>555.05</v>
      </c>
      <c r="O10" s="18" t="n">
        <v>576.72</v>
      </c>
      <c r="P10" s="37" t="n">
        <v>576.72</v>
      </c>
      <c r="Q10" s="18" t="n">
        <v>958.64</v>
      </c>
      <c r="R10" s="18" t="n">
        <v>504.9</v>
      </c>
      <c r="S10" s="18" t="n">
        <v>549.5700000000001</v>
      </c>
      <c r="T10" s="18" t="n">
        <v>445.84</v>
      </c>
      <c r="U10" s="37" t="n">
        <v>445.84</v>
      </c>
      <c r="V10" s="18" t="n">
        <v>51.49</v>
      </c>
      <c r="W10" s="18" t="n">
        <v>85.08</v>
      </c>
      <c r="X10" s="18" t="n">
        <v>827.04</v>
      </c>
      <c r="Y10" s="18" t="n">
        <v>501.31</v>
      </c>
      <c r="Z10" s="37" t="n">
        <v>501.31</v>
      </c>
      <c r="AA10" s="18" t="n">
        <v>65.48</v>
      </c>
      <c r="AB10" s="19" t="n">
        <v>29.64</v>
      </c>
      <c r="AC10" s="10" t="n"/>
      <c r="AD10" s="10" t="n"/>
      <c r="AE10" s="11" t="n"/>
      <c r="AF10" s="10" t="n"/>
      <c r="AG10" s="10" t="n"/>
      <c r="AH10" s="10" t="n"/>
      <c r="AI10" s="10" t="n"/>
      <c r="AJ10" s="11" t="n"/>
      <c r="AK10" s="10" t="n"/>
      <c r="AL10" s="10" t="n"/>
      <c r="AM10" s="10" t="n"/>
      <c r="AN10" s="10" t="n"/>
      <c r="AO10" s="11" t="n"/>
    </row>
    <row r="11">
      <c r="A11" t="n">
        <v>1</v>
      </c>
      <c r="C11" t="inlineStr">
        <is>
          <t>매각예정비유동자산및처분자산</t>
        </is>
      </c>
      <c r="E11" s="18" t="n">
        <v>15949.22</v>
      </c>
      <c r="F11" s="37" t="n">
        <v>15949.22</v>
      </c>
      <c r="I11" s="18" t="n">
        <v>0</v>
      </c>
      <c r="K11" s="9" t="n"/>
      <c r="P11" s="9" t="n"/>
      <c r="U11" s="9" t="n"/>
      <c r="Z11" s="9" t="n"/>
      <c r="AB11" s="5" t="n"/>
      <c r="AC11" s="10" t="n"/>
      <c r="AD11" s="10" t="n"/>
      <c r="AE11" s="11" t="n"/>
      <c r="AF11" s="10" t="n"/>
      <c r="AG11" s="10" t="n"/>
      <c r="AH11" s="10" t="n"/>
      <c r="AI11" s="10" t="n"/>
      <c r="AJ11" s="11" t="n"/>
      <c r="AK11" s="10" t="n"/>
      <c r="AL11" s="10" t="n"/>
      <c r="AM11" s="10" t="n"/>
      <c r="AN11" s="10" t="n"/>
      <c r="AO11" s="11" t="n"/>
    </row>
    <row r="12">
      <c r="A12" t="n">
        <v>1</v>
      </c>
      <c r="C12" t="inlineStr">
        <is>
          <t>비유동자산</t>
        </is>
      </c>
      <c r="E12" s="18" t="n">
        <v>95091.21000000001</v>
      </c>
      <c r="F12" s="37" t="n">
        <v>95091.21000000001</v>
      </c>
      <c r="G12" s="18" t="n">
        <v>95722.74000000001</v>
      </c>
      <c r="H12" s="18" t="n">
        <v>96657.31</v>
      </c>
      <c r="I12" s="18" t="n">
        <v>97908.56</v>
      </c>
      <c r="J12" s="18" t="n">
        <v>95475.75999999999</v>
      </c>
      <c r="K12" s="37" t="n">
        <v>95475.75999999999</v>
      </c>
      <c r="L12" s="18" t="n">
        <v>95151.24000000001</v>
      </c>
      <c r="M12" s="18" t="n">
        <v>120279.94</v>
      </c>
      <c r="N12" s="18" t="n">
        <v>119734.06</v>
      </c>
      <c r="O12" s="18" t="n">
        <v>128314.85</v>
      </c>
      <c r="P12" s="37" t="n">
        <v>128314.85</v>
      </c>
      <c r="Q12" s="18" t="n">
        <v>127326.53</v>
      </c>
      <c r="R12" s="18" t="n">
        <v>128401.52</v>
      </c>
      <c r="S12" s="18" t="n">
        <v>127175.27</v>
      </c>
      <c r="T12" s="18" t="n">
        <v>137566.02</v>
      </c>
      <c r="U12" s="37" t="n">
        <v>137566.02</v>
      </c>
      <c r="V12" s="18" t="n">
        <v>137905.17</v>
      </c>
      <c r="W12" s="18" t="n">
        <v>139397.88</v>
      </c>
      <c r="X12" s="18" t="n">
        <v>151472.56</v>
      </c>
      <c r="Y12" s="18" t="n">
        <v>140727.52</v>
      </c>
      <c r="Z12" s="37" t="n">
        <v>140727.52</v>
      </c>
      <c r="AA12" s="18" t="n">
        <v>162673.48</v>
      </c>
      <c r="AB12" s="19" t="n">
        <v>168214.53</v>
      </c>
      <c r="AC12" s="10" t="n"/>
      <c r="AD12" s="10" t="n"/>
      <c r="AE12" s="11" t="n"/>
      <c r="AF12" s="10" t="n"/>
      <c r="AG12" s="10" t="n"/>
      <c r="AH12" s="10" t="n"/>
      <c r="AI12" s="10" t="n"/>
      <c r="AJ12" s="11" t="n"/>
      <c r="AK12" s="10" t="n"/>
      <c r="AL12" s="10" t="n"/>
      <c r="AM12" s="10" t="n"/>
      <c r="AN12" s="10" t="n"/>
      <c r="AO12" s="11" t="n"/>
    </row>
    <row r="13">
      <c r="A13" t="n">
        <v>1</v>
      </c>
      <c r="C13" t="inlineStr">
        <is>
          <t>장기금융자산</t>
        </is>
      </c>
      <c r="E13" s="18" t="n">
        <v>1377.01</v>
      </c>
      <c r="F13" s="37" t="n">
        <v>1377.01</v>
      </c>
      <c r="G13" s="18" t="n">
        <v>1006.5</v>
      </c>
      <c r="H13" s="18" t="n">
        <v>1006.5</v>
      </c>
      <c r="I13" s="18" t="n">
        <v>1006.5</v>
      </c>
      <c r="J13" s="18" t="n">
        <v>1006.5</v>
      </c>
      <c r="K13" s="37" t="n">
        <v>1006.5</v>
      </c>
      <c r="L13" s="18" t="n">
        <v>1006.5</v>
      </c>
      <c r="M13" s="18" t="n">
        <v>1006.5</v>
      </c>
      <c r="N13" s="18" t="n">
        <v>1006.5</v>
      </c>
      <c r="O13" s="18" t="n">
        <v>730.61</v>
      </c>
      <c r="P13" s="37" t="n">
        <v>730.61</v>
      </c>
      <c r="Q13" s="18" t="n">
        <v>730.61</v>
      </c>
      <c r="R13" s="18" t="n">
        <v>138.61</v>
      </c>
      <c r="S13" s="18" t="n">
        <v>257.46</v>
      </c>
      <c r="T13" s="18" t="n">
        <v>12826.84</v>
      </c>
      <c r="U13" s="37" t="n">
        <v>12826.84</v>
      </c>
      <c r="V13" s="18" t="n">
        <v>12926.84</v>
      </c>
      <c r="W13" s="18" t="n">
        <v>11406.69</v>
      </c>
      <c r="X13" s="18" t="n">
        <v>18904.71</v>
      </c>
      <c r="Y13" s="18" t="n">
        <v>300.62</v>
      </c>
      <c r="Z13" s="37" t="n">
        <v>300.62</v>
      </c>
      <c r="AA13" s="18" t="n">
        <v>300.62</v>
      </c>
      <c r="AB13" s="19" t="n">
        <v>300.62</v>
      </c>
      <c r="AC13" s="10" t="n"/>
      <c r="AD13" s="10" t="n"/>
      <c r="AE13" s="11" t="n"/>
      <c r="AF13" s="10" t="n"/>
      <c r="AG13" s="10" t="n"/>
      <c r="AH13" s="10" t="n"/>
      <c r="AI13" s="10" t="n"/>
      <c r="AJ13" s="11" t="n"/>
      <c r="AK13" s="10" t="n"/>
      <c r="AL13" s="10" t="n"/>
      <c r="AM13" s="10" t="n"/>
      <c r="AN13" s="10" t="n"/>
      <c r="AO13" s="11" t="n"/>
    </row>
    <row r="14">
      <c r="A14" t="n">
        <v>1</v>
      </c>
      <c r="C14" t="inlineStr">
        <is>
          <t>투자자산</t>
        </is>
      </c>
      <c r="E14" s="18" t="n">
        <v>28729.26</v>
      </c>
      <c r="F14" s="37" t="n">
        <v>28729.26</v>
      </c>
      <c r="G14" s="18" t="n">
        <v>29615.21</v>
      </c>
      <c r="H14" s="18" t="n">
        <v>29312.9</v>
      </c>
      <c r="I14" s="18" t="n">
        <v>30839.95</v>
      </c>
      <c r="J14" s="18" t="n">
        <v>29567.85</v>
      </c>
      <c r="K14" s="37" t="n">
        <v>29567.85</v>
      </c>
      <c r="L14" s="18" t="n">
        <v>30346.95</v>
      </c>
      <c r="M14" s="18" t="n">
        <v>32431.12</v>
      </c>
      <c r="N14" s="18" t="n">
        <v>32491.67</v>
      </c>
      <c r="O14" s="18" t="n">
        <v>41639.6</v>
      </c>
      <c r="P14" s="37" t="n">
        <v>41639.6</v>
      </c>
      <c r="Q14" s="18" t="n">
        <v>41230.39</v>
      </c>
      <c r="R14" s="18" t="n">
        <v>42650.64</v>
      </c>
      <c r="S14" s="18" t="n">
        <v>41614.07</v>
      </c>
      <c r="T14" s="18" t="n">
        <v>52658.62</v>
      </c>
      <c r="U14" s="37" t="n">
        <v>52658.62</v>
      </c>
      <c r="V14" s="18" t="n">
        <v>52878.7</v>
      </c>
      <c r="W14" s="18" t="n">
        <v>55109.33</v>
      </c>
      <c r="X14" s="18" t="n">
        <v>64014.38</v>
      </c>
      <c r="Y14" s="18" t="n">
        <v>46609.35</v>
      </c>
      <c r="Z14" s="37" t="n">
        <v>46609.35</v>
      </c>
      <c r="AA14" s="18" t="n">
        <v>57210.77</v>
      </c>
      <c r="AB14" s="19" t="n">
        <v>300.62</v>
      </c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t="n">
        <v>1</v>
      </c>
      <c r="C15" t="inlineStr">
        <is>
          <t>종속기업및관계기업투자</t>
        </is>
      </c>
      <c r="E15" s="18" t="n">
        <v>27352.25</v>
      </c>
      <c r="F15" s="37" t="n">
        <v>27352.25</v>
      </c>
      <c r="G15" s="18" t="n">
        <v>28608.71</v>
      </c>
      <c r="H15" s="18" t="n">
        <v>28306.4</v>
      </c>
      <c r="I15" s="18" t="n">
        <v>29833.45</v>
      </c>
      <c r="J15" s="18" t="n">
        <v>28561.35</v>
      </c>
      <c r="K15" s="37" t="n">
        <v>28561.35</v>
      </c>
      <c r="L15" s="18" t="n">
        <v>29340.45</v>
      </c>
      <c r="M15" s="18" t="n">
        <v>31424.62</v>
      </c>
      <c r="N15" s="18" t="n">
        <v>31485.17</v>
      </c>
      <c r="O15" s="18" t="n">
        <v>40908.99</v>
      </c>
      <c r="P15" s="37" t="n">
        <v>40908.99</v>
      </c>
      <c r="Q15" s="18" t="n">
        <v>40499.78</v>
      </c>
      <c r="R15" s="18" t="n">
        <v>42512.03</v>
      </c>
      <c r="S15" s="18" t="n">
        <v>41356.61</v>
      </c>
      <c r="T15" s="18" t="n">
        <v>39831.78</v>
      </c>
      <c r="U15" s="37" t="n">
        <v>39831.78</v>
      </c>
      <c r="V15" s="18" t="n">
        <v>39951.86</v>
      </c>
      <c r="W15" s="18" t="n">
        <v>43702.64</v>
      </c>
      <c r="X15" s="18" t="n">
        <v>45109.67</v>
      </c>
      <c r="Y15" s="18" t="n">
        <v>46308.73</v>
      </c>
      <c r="Z15" s="37" t="n">
        <v>46308.73</v>
      </c>
      <c r="AA15" s="18" t="n">
        <v>56910.15</v>
      </c>
      <c r="AB15" s="5" t="n"/>
      <c r="AC15" s="10" t="n"/>
      <c r="AD15" s="10" t="n"/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t="n">
        <v>1</v>
      </c>
      <c r="C16" t="inlineStr">
        <is>
          <t>유형자산</t>
        </is>
      </c>
      <c r="E16" s="18" t="n">
        <v>50780.77</v>
      </c>
      <c r="F16" s="37" t="n">
        <v>50780.77</v>
      </c>
      <c r="G16" s="18" t="n">
        <v>50293.77</v>
      </c>
      <c r="H16" s="18" t="n">
        <v>51643.36</v>
      </c>
      <c r="I16" s="18" t="n">
        <v>51505.09</v>
      </c>
      <c r="J16" s="18" t="n">
        <v>50383.36</v>
      </c>
      <c r="K16" s="37" t="n">
        <v>50383.36</v>
      </c>
      <c r="L16" s="18" t="n">
        <v>49828.77</v>
      </c>
      <c r="M16" s="18" t="n">
        <v>50965.9</v>
      </c>
      <c r="N16" s="18" t="n">
        <v>50520.77</v>
      </c>
      <c r="O16" s="18" t="n">
        <v>50107.9</v>
      </c>
      <c r="P16" s="37" t="n">
        <v>50107.9</v>
      </c>
      <c r="Q16" s="18" t="n">
        <v>49681.82</v>
      </c>
      <c r="R16" s="18" t="n">
        <v>49401.37</v>
      </c>
      <c r="S16" s="18" t="n">
        <v>49263.82</v>
      </c>
      <c r="T16" s="18" t="n">
        <v>48249.93</v>
      </c>
      <c r="U16" s="37" t="n">
        <v>48249.93</v>
      </c>
      <c r="V16" s="18" t="n">
        <v>48524.98</v>
      </c>
      <c r="W16" s="18" t="n">
        <v>48535.4</v>
      </c>
      <c r="X16" s="18" t="n">
        <v>49942.98</v>
      </c>
      <c r="Y16" s="18" t="n">
        <v>49825.87</v>
      </c>
      <c r="Z16" s="37" t="n">
        <v>49825.87</v>
      </c>
      <c r="AA16" s="18" t="n">
        <v>61390.1</v>
      </c>
      <c r="AB16" s="19" t="n">
        <v>61242.27</v>
      </c>
      <c r="AC16" s="10" t="n"/>
      <c r="AD16" s="10" t="n"/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t="n">
        <v>1</v>
      </c>
      <c r="C17" t="inlineStr">
        <is>
          <t>사용권자산</t>
        </is>
      </c>
      <c r="E17" s="18" t="n">
        <v>1541.63</v>
      </c>
      <c r="F17" s="37" t="n">
        <v>1541.63</v>
      </c>
      <c r="G17" s="18" t="n">
        <v>1440.85</v>
      </c>
      <c r="H17" s="18" t="n">
        <v>1366.37</v>
      </c>
      <c r="I17" s="18" t="n">
        <v>1265.04</v>
      </c>
      <c r="J17" s="18" t="n">
        <v>1164.09</v>
      </c>
      <c r="K17" s="37" t="n">
        <v>1164.09</v>
      </c>
      <c r="L17" s="18" t="n">
        <v>703.0599999999999</v>
      </c>
      <c r="M17" s="18" t="n">
        <v>653.3099999999999</v>
      </c>
      <c r="N17" s="18" t="n">
        <v>580.0700000000001</v>
      </c>
      <c r="O17" s="18" t="n">
        <v>506.83</v>
      </c>
      <c r="P17" s="37" t="n">
        <v>506.83</v>
      </c>
      <c r="Q17" s="18" t="n">
        <v>433.59</v>
      </c>
      <c r="R17" s="18" t="n">
        <v>447.6</v>
      </c>
      <c r="S17" s="18" t="n">
        <v>471.95</v>
      </c>
      <c r="T17" s="18" t="n">
        <v>347.58</v>
      </c>
      <c r="U17" s="37" t="n">
        <v>347.58</v>
      </c>
      <c r="V17" s="18" t="n">
        <v>314.89</v>
      </c>
      <c r="W17" s="18" t="n">
        <v>352.3</v>
      </c>
      <c r="X17" s="18" t="n">
        <v>351.69</v>
      </c>
      <c r="Y17" s="18" t="n">
        <v>353.89</v>
      </c>
      <c r="Z17" s="37" t="n">
        <v>353.89</v>
      </c>
      <c r="AA17" s="18" t="n">
        <v>653.48</v>
      </c>
      <c r="AB17" s="19" t="n">
        <v>577.42</v>
      </c>
      <c r="AC17" s="10" t="n"/>
      <c r="AD17" s="10" t="n"/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t="n">
        <v>1</v>
      </c>
      <c r="C18" t="inlineStr">
        <is>
          <t>기타비유동자산</t>
        </is>
      </c>
      <c r="E18" s="18" t="n">
        <v>1541.63</v>
      </c>
      <c r="F18" s="37" t="n">
        <v>1541.63</v>
      </c>
      <c r="G18" s="18" t="n">
        <v>1440.85</v>
      </c>
      <c r="H18" s="18" t="n">
        <v>1366.37</v>
      </c>
      <c r="I18" s="18" t="n">
        <v>1265.04</v>
      </c>
      <c r="J18" s="18" t="n">
        <v>1164.09</v>
      </c>
      <c r="K18" s="37" t="n">
        <v>1164.09</v>
      </c>
      <c r="L18" s="18" t="n">
        <v>703.0599999999999</v>
      </c>
      <c r="M18" s="18" t="n">
        <v>653.3099999999999</v>
      </c>
      <c r="N18" s="18" t="n">
        <v>580.0700000000001</v>
      </c>
      <c r="O18" s="18" t="n">
        <v>506.83</v>
      </c>
      <c r="P18" s="37" t="n">
        <v>506.83</v>
      </c>
      <c r="Q18" s="18" t="n">
        <v>433.59</v>
      </c>
      <c r="R18" s="18" t="n">
        <v>447.6</v>
      </c>
      <c r="S18" s="18" t="n">
        <v>471.95</v>
      </c>
      <c r="T18" s="18" t="n">
        <v>347.58</v>
      </c>
      <c r="U18" s="37" t="n">
        <v>347.58</v>
      </c>
      <c r="V18" s="18" t="n">
        <v>314.89</v>
      </c>
      <c r="W18" s="18" t="n">
        <v>352.3</v>
      </c>
      <c r="X18" s="18" t="n">
        <v>351.69</v>
      </c>
      <c r="Y18" s="18" t="n">
        <v>353.89</v>
      </c>
      <c r="Z18" s="37" t="n">
        <v>353.89</v>
      </c>
      <c r="AA18" s="18" t="n">
        <v>653.48</v>
      </c>
      <c r="AB18" s="19" t="n">
        <v>577.42</v>
      </c>
      <c r="AC18" s="10" t="n"/>
      <c r="AD18" s="10" t="n"/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A19" t="n">
        <v>1</v>
      </c>
      <c r="C19" t="inlineStr">
        <is>
          <t>투자부동산</t>
        </is>
      </c>
      <c r="E19" s="18" t="n">
        <v>13704.73</v>
      </c>
      <c r="F19" s="37" t="n">
        <v>13704.73</v>
      </c>
      <c r="G19" s="18" t="n">
        <v>13673.78</v>
      </c>
      <c r="H19" s="18" t="n">
        <v>13642.83</v>
      </c>
      <c r="I19" s="18" t="n">
        <v>13611.89</v>
      </c>
      <c r="J19" s="18" t="n">
        <v>13580.94</v>
      </c>
      <c r="K19" s="37" t="n">
        <v>13580.94</v>
      </c>
      <c r="L19" s="18" t="n">
        <v>13549.99</v>
      </c>
      <c r="M19" s="18" t="n">
        <v>35514.02</v>
      </c>
      <c r="N19" s="18" t="n">
        <v>35437.82</v>
      </c>
      <c r="O19" s="18" t="n">
        <v>35361.62</v>
      </c>
      <c r="P19" s="37" t="n">
        <v>35361.62</v>
      </c>
      <c r="Q19" s="18" t="n">
        <v>35285.43</v>
      </c>
      <c r="R19" s="18" t="n">
        <v>35209.23</v>
      </c>
      <c r="S19" s="18" t="n">
        <v>35133.04</v>
      </c>
      <c r="T19" s="18" t="n">
        <v>35547.19</v>
      </c>
      <c r="U19" s="37" t="n">
        <v>35547.19</v>
      </c>
      <c r="V19" s="18" t="n">
        <v>35468.58</v>
      </c>
      <c r="W19" s="18" t="n">
        <v>34683.63</v>
      </c>
      <c r="X19" s="18" t="n">
        <v>36462.88</v>
      </c>
      <c r="Y19" s="18" t="n">
        <v>37493.46</v>
      </c>
      <c r="Z19" s="37" t="n">
        <v>37493.46</v>
      </c>
      <c r="AA19" s="18" t="n">
        <v>39417.7</v>
      </c>
      <c r="AB19" s="19" t="n">
        <v>40588</v>
      </c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A20" t="n">
        <v>1</v>
      </c>
      <c r="C20" t="inlineStr">
        <is>
          <t>무형자산</t>
        </is>
      </c>
      <c r="E20" s="18" t="n">
        <v>334.81</v>
      </c>
      <c r="F20" s="37" t="n">
        <v>334.81</v>
      </c>
      <c r="G20" s="18" t="n">
        <v>328.62</v>
      </c>
      <c r="H20" s="18" t="n">
        <v>321.56</v>
      </c>
      <c r="I20" s="18" t="n">
        <v>314.5</v>
      </c>
      <c r="J20" s="18" t="n">
        <v>407.44</v>
      </c>
      <c r="K20" s="37" t="n">
        <v>407.44</v>
      </c>
      <c r="L20" s="18" t="n">
        <v>400.38</v>
      </c>
      <c r="M20" s="18" t="n">
        <v>393.49</v>
      </c>
      <c r="N20" s="18" t="n">
        <v>386.63</v>
      </c>
      <c r="O20" s="18" t="n">
        <v>381.94</v>
      </c>
      <c r="P20" s="37" t="n">
        <v>381.94</v>
      </c>
      <c r="Q20" s="18" t="n">
        <v>378.34</v>
      </c>
      <c r="R20" s="18" t="n">
        <v>375.74</v>
      </c>
      <c r="S20" s="18" t="n">
        <v>375.44</v>
      </c>
      <c r="T20" s="18" t="n">
        <v>373.35</v>
      </c>
      <c r="U20" s="37" t="n">
        <v>373.35</v>
      </c>
      <c r="V20" s="18" t="n">
        <v>371.3</v>
      </c>
      <c r="W20" s="18" t="n">
        <v>370.63</v>
      </c>
      <c r="X20" s="18" t="n">
        <v>406.52</v>
      </c>
      <c r="Y20" s="18" t="n">
        <v>404.48</v>
      </c>
      <c r="Z20" s="37" t="n">
        <v>404.48</v>
      </c>
      <c r="AA20" s="18" t="n">
        <v>154.04</v>
      </c>
      <c r="AB20" s="19" t="n">
        <v>131.58</v>
      </c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t="n">
        <v>1</v>
      </c>
      <c r="C21" t="inlineStr">
        <is>
          <t>자산총계</t>
        </is>
      </c>
      <c r="E21" s="18" t="n">
        <v>192810.75</v>
      </c>
      <c r="F21" s="37" t="n">
        <v>192810.75</v>
      </c>
      <c r="G21" s="18" t="n">
        <v>183954.63</v>
      </c>
      <c r="H21" s="18" t="n">
        <v>192048.66</v>
      </c>
      <c r="I21" s="18" t="n">
        <v>192707.97</v>
      </c>
      <c r="J21" s="18" t="n">
        <v>183113.34</v>
      </c>
      <c r="K21" s="37" t="n">
        <v>183113.34</v>
      </c>
      <c r="L21" s="18" t="n">
        <v>191959.33</v>
      </c>
      <c r="M21" s="18" t="n">
        <v>211477.81</v>
      </c>
      <c r="N21" s="18" t="n">
        <v>207435.24</v>
      </c>
      <c r="O21" s="18" t="n">
        <v>213523.05</v>
      </c>
      <c r="P21" s="37" t="n">
        <v>213523.05</v>
      </c>
      <c r="Q21" s="18" t="n">
        <v>215885.8</v>
      </c>
      <c r="R21" s="18" t="n">
        <v>212694.93</v>
      </c>
      <c r="S21" s="18" t="n">
        <v>203556.39</v>
      </c>
      <c r="T21" s="18" t="n">
        <v>221889.97</v>
      </c>
      <c r="U21" s="37" t="n">
        <v>221889.97</v>
      </c>
      <c r="V21" s="18" t="n">
        <v>212303.69</v>
      </c>
      <c r="W21" s="18" t="n">
        <v>214420.68</v>
      </c>
      <c r="X21" s="18" t="n">
        <v>231749.58</v>
      </c>
      <c r="Y21" s="18" t="n">
        <v>222282.21</v>
      </c>
      <c r="Z21" s="37" t="n">
        <v>222282.21</v>
      </c>
      <c r="AA21" s="18" t="n">
        <v>249966.24</v>
      </c>
      <c r="AB21" s="19" t="n">
        <v>250180.45</v>
      </c>
      <c r="AC21" s="10" t="n"/>
      <c r="AD21" s="10" t="n"/>
      <c r="AE21" s="11" t="n"/>
      <c r="AF21" s="10" t="n"/>
      <c r="AG21" s="10" t="n"/>
      <c r="AH21" s="10" t="n"/>
      <c r="AI21" s="10" t="n"/>
      <c r="AJ21" s="11" t="n"/>
      <c r="AK21" s="10" t="n"/>
      <c r="AL21" s="10" t="n"/>
      <c r="AM21" s="10" t="n"/>
      <c r="AN21" s="10" t="n"/>
      <c r="AO21" s="11" t="n"/>
    </row>
    <row r="22">
      <c r="A22" t="n">
        <v>1</v>
      </c>
      <c r="C22" t="inlineStr">
        <is>
          <t>유동부채</t>
        </is>
      </c>
      <c r="E22" s="18" t="n">
        <v>75727.66</v>
      </c>
      <c r="F22" s="37" t="n">
        <v>75727.66</v>
      </c>
      <c r="G22" s="18" t="n">
        <v>57093.91</v>
      </c>
      <c r="H22" s="18" t="n">
        <v>64734.03</v>
      </c>
      <c r="I22" s="18" t="n">
        <v>65611.24000000001</v>
      </c>
      <c r="J22" s="18" t="n">
        <v>57832.64</v>
      </c>
      <c r="K22" s="37" t="n">
        <v>57832.64</v>
      </c>
      <c r="L22" s="18" t="n">
        <v>73241.08</v>
      </c>
      <c r="M22" s="18" t="n">
        <v>73242.14</v>
      </c>
      <c r="N22" s="18" t="n">
        <v>70092.89</v>
      </c>
      <c r="O22" s="18" t="n">
        <v>68593.17999999999</v>
      </c>
      <c r="P22" s="37" t="n">
        <v>68593.17999999999</v>
      </c>
      <c r="Q22" s="18" t="n">
        <v>70893.5</v>
      </c>
      <c r="R22" s="18" t="n">
        <v>65914.64999999999</v>
      </c>
      <c r="S22" s="18" t="n">
        <v>57013.57</v>
      </c>
      <c r="T22" s="18" t="n">
        <v>77859.88</v>
      </c>
      <c r="U22" s="37" t="n">
        <v>77859.88</v>
      </c>
      <c r="V22" s="18" t="n">
        <v>70451.67</v>
      </c>
      <c r="W22" s="18" t="n">
        <v>71389.48</v>
      </c>
      <c r="X22" s="18" t="n">
        <v>96875.03999999999</v>
      </c>
      <c r="Y22" s="18" t="n">
        <v>92044.98</v>
      </c>
      <c r="Z22" s="37" t="n">
        <v>92044.98</v>
      </c>
      <c r="AA22" s="18" t="n">
        <v>98486.39999999999</v>
      </c>
      <c r="AB22" s="19" t="n">
        <v>96179.2</v>
      </c>
      <c r="AC22" s="10" t="n"/>
      <c r="AD22" s="10" t="n"/>
      <c r="AE22" s="11" t="n"/>
      <c r="AF22" s="10" t="n"/>
      <c r="AG22" s="10" t="n"/>
      <c r="AH22" s="10" t="n"/>
      <c r="AI22" s="10" t="n"/>
      <c r="AJ22" s="11" t="n"/>
      <c r="AK22" s="10" t="n"/>
      <c r="AL22" s="10" t="n"/>
      <c r="AM22" s="10" t="n"/>
      <c r="AN22" s="10" t="n"/>
      <c r="AO22" s="11" t="n"/>
    </row>
    <row r="23">
      <c r="A23" t="n">
        <v>1</v>
      </c>
      <c r="C23" t="inlineStr">
        <is>
          <t>매입채무및기타채무</t>
        </is>
      </c>
      <c r="E23" s="18" t="n">
        <v>8893.52</v>
      </c>
      <c r="F23" s="37" t="n">
        <v>8893.52</v>
      </c>
      <c r="G23" s="18" t="n">
        <v>8497.530000000001</v>
      </c>
      <c r="H23" s="18" t="n">
        <v>12001.68</v>
      </c>
      <c r="I23" s="18" t="n">
        <v>11729.8</v>
      </c>
      <c r="J23" s="18" t="n">
        <v>10068.92</v>
      </c>
      <c r="K23" s="37" t="n">
        <v>10068.92</v>
      </c>
      <c r="L23" s="18" t="n">
        <v>10991.58</v>
      </c>
      <c r="M23" s="18" t="n">
        <v>10213.83</v>
      </c>
      <c r="N23" s="18" t="n">
        <v>6551.38</v>
      </c>
      <c r="O23" s="18" t="n">
        <v>11608.2</v>
      </c>
      <c r="P23" s="37" t="n">
        <v>11608.2</v>
      </c>
      <c r="Q23" s="18" t="n">
        <v>10392.24</v>
      </c>
      <c r="R23" s="18" t="n">
        <v>7836.15</v>
      </c>
      <c r="S23" s="18" t="n">
        <v>4128.56</v>
      </c>
      <c r="T23" s="18" t="n">
        <v>10477.3</v>
      </c>
      <c r="U23" s="37" t="n">
        <v>10477.3</v>
      </c>
      <c r="V23" s="18" t="n">
        <v>5219.2</v>
      </c>
      <c r="W23" s="18" t="n">
        <v>4916.5</v>
      </c>
      <c r="X23" s="18" t="n">
        <v>7754.14</v>
      </c>
      <c r="Y23" s="18" t="n">
        <v>3475.43</v>
      </c>
      <c r="Z23" s="37" t="n">
        <v>3475.43</v>
      </c>
      <c r="AA23" s="18" t="n">
        <v>10234.27</v>
      </c>
      <c r="AB23" s="19" t="n">
        <v>7103.53</v>
      </c>
      <c r="AC23" s="10" t="n"/>
      <c r="AD23" s="10" t="n"/>
      <c r="AE23" s="11" t="n"/>
      <c r="AF23" s="10" t="n"/>
      <c r="AG23" s="10" t="n"/>
      <c r="AH23" s="10" t="n"/>
      <c r="AI23" s="10" t="n"/>
      <c r="AJ23" s="11" t="n"/>
      <c r="AK23" s="10" t="n"/>
      <c r="AL23" s="10" t="n"/>
      <c r="AM23" s="10" t="n"/>
      <c r="AN23" s="10" t="n"/>
      <c r="AO23" s="11" t="n"/>
    </row>
    <row r="24">
      <c r="A24" t="n">
        <v>1</v>
      </c>
      <c r="C24" t="inlineStr">
        <is>
          <t>단기차입금</t>
        </is>
      </c>
      <c r="E24" s="18" t="n">
        <v>57421.96</v>
      </c>
      <c r="F24" s="37" t="n">
        <v>57421.96</v>
      </c>
      <c r="G24" s="18" t="n">
        <v>43357.12</v>
      </c>
      <c r="H24" s="18" t="n">
        <v>46278.56</v>
      </c>
      <c r="I24" s="18" t="n">
        <v>49100</v>
      </c>
      <c r="J24" s="18" t="n">
        <v>42770</v>
      </c>
      <c r="K24" s="37" t="n">
        <v>42770</v>
      </c>
      <c r="L24" s="18" t="n">
        <v>56250</v>
      </c>
      <c r="M24" s="18" t="n">
        <v>60200</v>
      </c>
      <c r="N24" s="18" t="n">
        <v>60960</v>
      </c>
      <c r="O24" s="18" t="n">
        <v>53162.14</v>
      </c>
      <c r="P24" s="37" t="n">
        <v>53162.14</v>
      </c>
      <c r="Q24" s="18" t="n">
        <v>58200</v>
      </c>
      <c r="R24" s="18" t="n">
        <v>55500</v>
      </c>
      <c r="S24" s="18" t="n">
        <v>50000</v>
      </c>
      <c r="T24" s="18" t="n">
        <v>64700</v>
      </c>
      <c r="U24" s="37" t="n">
        <v>64700</v>
      </c>
      <c r="V24" s="18" t="n">
        <v>62000</v>
      </c>
      <c r="W24" s="18" t="n">
        <v>63690</v>
      </c>
      <c r="X24" s="18" t="n">
        <v>86700</v>
      </c>
      <c r="Y24" s="18" t="n">
        <v>86000</v>
      </c>
      <c r="Z24" s="37" t="n">
        <v>86000</v>
      </c>
      <c r="AA24" s="18" t="n">
        <v>85000</v>
      </c>
      <c r="AB24" s="19" t="n">
        <v>85000</v>
      </c>
      <c r="AC24" s="10" t="n"/>
      <c r="AD24" s="10" t="n"/>
      <c r="AE24" s="11" t="n"/>
      <c r="AF24" s="10" t="n"/>
      <c r="AG24" s="10" t="n"/>
      <c r="AH24" s="10" t="n"/>
      <c r="AI24" s="10" t="n"/>
      <c r="AJ24" s="11" t="n"/>
      <c r="AK24" s="10" t="n"/>
      <c r="AL24" s="10" t="n"/>
      <c r="AM24" s="10" t="n"/>
      <c r="AN24" s="10" t="n"/>
      <c r="AO24" s="11" t="n"/>
    </row>
    <row r="25">
      <c r="A25" t="n">
        <v>1</v>
      </c>
      <c r="C25" t="inlineStr">
        <is>
          <t>당기법인세부채(미지급법인세)</t>
        </is>
      </c>
      <c r="E25" s="18" t="n">
        <v>2806.15</v>
      </c>
      <c r="F25" s="37" t="n">
        <v>2806.15</v>
      </c>
      <c r="G25" s="18" t="n">
        <v>1529.45</v>
      </c>
      <c r="H25" s="18" t="n">
        <v>3438.1</v>
      </c>
      <c r="I25" s="18" t="n">
        <v>2091.36</v>
      </c>
      <c r="J25" s="18" t="n">
        <v>2047.28</v>
      </c>
      <c r="K25" s="37" t="n">
        <v>2047.28</v>
      </c>
      <c r="L25" s="18" t="n">
        <v>1156.78</v>
      </c>
      <c r="M25" s="18" t="n">
        <v>296.86</v>
      </c>
      <c r="N25" s="18" t="n">
        <v>144.55</v>
      </c>
      <c r="P25" s="9" t="n"/>
      <c r="R25" s="18" t="n">
        <v>72.84999999999999</v>
      </c>
      <c r="S25" s="18" t="n">
        <v>54.43</v>
      </c>
      <c r="T25" s="18" t="n">
        <v>296.41</v>
      </c>
      <c r="U25" s="37" t="n">
        <v>296.41</v>
      </c>
      <c r="V25" s="18" t="n">
        <v>251.24</v>
      </c>
      <c r="W25" s="18" t="n">
        <v>0</v>
      </c>
      <c r="X25" s="18" t="n">
        <v>0</v>
      </c>
      <c r="Z25" s="9" t="n"/>
      <c r="AA25" s="18" t="n">
        <v>-39.56</v>
      </c>
      <c r="AB25" s="19" t="n">
        <v>1011.5</v>
      </c>
      <c r="AC25" s="10" t="n"/>
      <c r="AD25" s="10" t="n"/>
      <c r="AE25" s="11" t="n"/>
      <c r="AF25" s="10" t="n"/>
      <c r="AG25" s="10" t="n"/>
      <c r="AH25" s="10" t="n"/>
      <c r="AI25" s="10" t="n"/>
      <c r="AJ25" s="11" t="n"/>
      <c r="AK25" s="10" t="n"/>
      <c r="AL25" s="10" t="n"/>
      <c r="AM25" s="10" t="n"/>
      <c r="AN25" s="10" t="n"/>
      <c r="AO25" s="11" t="n"/>
    </row>
    <row r="26">
      <c r="A26" t="n">
        <v>1</v>
      </c>
      <c r="C26" t="inlineStr">
        <is>
          <t>유동리스부채</t>
        </is>
      </c>
      <c r="E26" s="18" t="n">
        <v>396.21</v>
      </c>
      <c r="F26" s="37" t="n">
        <v>396.21</v>
      </c>
      <c r="G26" s="18" t="n">
        <v>400.13</v>
      </c>
      <c r="H26" s="18" t="n">
        <v>404.33</v>
      </c>
      <c r="I26" s="18" t="n">
        <v>408.25</v>
      </c>
      <c r="J26" s="18" t="n">
        <v>412.28</v>
      </c>
      <c r="K26" s="37" t="n">
        <v>412.28</v>
      </c>
      <c r="L26" s="18" t="n">
        <v>300.01</v>
      </c>
      <c r="M26" s="18" t="n">
        <v>308.07</v>
      </c>
      <c r="N26" s="18" t="n">
        <v>303.22</v>
      </c>
      <c r="O26" s="18" t="n">
        <v>294.76</v>
      </c>
      <c r="P26" s="37" t="n">
        <v>294.76</v>
      </c>
      <c r="Q26" s="18" t="n">
        <v>277.97</v>
      </c>
      <c r="R26" s="18" t="n">
        <v>281.67</v>
      </c>
      <c r="S26" s="18" t="n">
        <v>290.57</v>
      </c>
      <c r="T26" s="18" t="n">
        <v>301.61</v>
      </c>
      <c r="U26" s="37" t="n">
        <v>301.61</v>
      </c>
      <c r="V26" s="18" t="n">
        <v>278.21</v>
      </c>
      <c r="W26" s="18" t="n">
        <v>235.33</v>
      </c>
      <c r="X26" s="18" t="n">
        <v>187.49</v>
      </c>
      <c r="Y26" s="18" t="n">
        <v>145.6</v>
      </c>
      <c r="Z26" s="37" t="n">
        <v>145.6</v>
      </c>
      <c r="AA26" s="18" t="n">
        <v>288.92</v>
      </c>
      <c r="AB26" s="19" t="n">
        <v>284.12</v>
      </c>
      <c r="AC26" s="10" t="n"/>
      <c r="AD26" s="10" t="n"/>
      <c r="AE26" s="11" t="n"/>
      <c r="AF26" s="10" t="n"/>
      <c r="AG26" s="10" t="n"/>
      <c r="AH26" s="10" t="n"/>
      <c r="AI26" s="10" t="n"/>
      <c r="AJ26" s="11" t="n"/>
      <c r="AK26" s="10" t="n"/>
      <c r="AL26" s="10" t="n"/>
      <c r="AM26" s="10" t="n"/>
      <c r="AN26" s="10" t="n"/>
      <c r="AO26" s="11" t="n"/>
    </row>
    <row r="27">
      <c r="A27" t="n">
        <v>1</v>
      </c>
      <c r="C27" t="inlineStr">
        <is>
          <t>리스부채</t>
        </is>
      </c>
      <c r="E27" s="18" t="n">
        <v>1615.94</v>
      </c>
      <c r="F27" s="37" t="n">
        <v>1615.94</v>
      </c>
      <c r="G27" s="18" t="n">
        <v>1518.44</v>
      </c>
      <c r="H27" s="18" t="n">
        <v>1445.06</v>
      </c>
      <c r="I27" s="18" t="n">
        <v>1345.09</v>
      </c>
      <c r="J27" s="18" t="n">
        <v>1244.72</v>
      </c>
      <c r="K27" s="37" t="n">
        <v>1244.72</v>
      </c>
      <c r="L27" s="18" t="n">
        <v>773.71</v>
      </c>
      <c r="M27" s="18" t="n">
        <v>721.89</v>
      </c>
      <c r="N27" s="18" t="n">
        <v>645.9299999999999</v>
      </c>
      <c r="O27" s="18" t="n">
        <v>569.37</v>
      </c>
      <c r="P27" s="37" t="n">
        <v>569.37</v>
      </c>
      <c r="Q27" s="18" t="n">
        <v>491.88</v>
      </c>
      <c r="R27" s="18" t="n">
        <v>500.98</v>
      </c>
      <c r="S27" s="18" t="n">
        <v>520.6799999999999</v>
      </c>
      <c r="T27" s="18" t="n">
        <v>581.75</v>
      </c>
      <c r="U27" s="37" t="n">
        <v>581.75</v>
      </c>
      <c r="V27" s="18" t="n">
        <v>503.37</v>
      </c>
      <c r="W27" s="18" t="n">
        <v>494.45</v>
      </c>
      <c r="X27" s="18" t="n">
        <v>445.76</v>
      </c>
      <c r="Y27" s="18" t="n">
        <v>401.57</v>
      </c>
      <c r="Z27" s="37" t="n">
        <v>401.57</v>
      </c>
      <c r="AA27" s="18" t="n">
        <v>669.36</v>
      </c>
      <c r="AB27" s="19" t="n">
        <v>592.46</v>
      </c>
      <c r="AC27" s="10" t="n"/>
      <c r="AD27" s="10" t="n"/>
      <c r="AE27" s="11" t="n"/>
      <c r="AF27" s="10" t="n"/>
      <c r="AG27" s="10" t="n"/>
      <c r="AH27" s="10" t="n"/>
      <c r="AI27" s="10" t="n"/>
      <c r="AJ27" s="11" t="n"/>
      <c r="AK27" s="10" t="n"/>
      <c r="AL27" s="10" t="n"/>
      <c r="AM27" s="10" t="n"/>
      <c r="AN27" s="10" t="n"/>
      <c r="AO27" s="11" t="n"/>
    </row>
    <row r="28">
      <c r="A28" t="n">
        <v>1</v>
      </c>
      <c r="C28" t="inlineStr">
        <is>
          <t>단기금융부채</t>
        </is>
      </c>
      <c r="E28" s="18" t="n">
        <v>2285.61</v>
      </c>
      <c r="F28" s="37" t="n">
        <v>2285.61</v>
      </c>
      <c r="G28" s="18" t="n">
        <v>2266.28</v>
      </c>
      <c r="H28" s="18" t="n">
        <v>2452.76</v>
      </c>
      <c r="I28" s="18" t="n">
        <v>2227.76</v>
      </c>
      <c r="J28" s="18" t="n">
        <v>2472.95</v>
      </c>
      <c r="K28" s="37" t="n">
        <v>2472.95</v>
      </c>
      <c r="L28" s="18" t="n">
        <v>2442.39</v>
      </c>
      <c r="M28" s="18" t="n">
        <v>2392.93</v>
      </c>
      <c r="N28" s="18" t="n">
        <v>2261.9</v>
      </c>
      <c r="O28" s="18" t="n">
        <v>2289.06</v>
      </c>
      <c r="P28" s="37" t="n">
        <v>2289.06</v>
      </c>
      <c r="Q28" s="18" t="n">
        <v>2182.55</v>
      </c>
      <c r="R28" s="18" t="n">
        <v>2262.82</v>
      </c>
      <c r="S28" s="18" t="n">
        <v>1883.44</v>
      </c>
      <c r="T28" s="18" t="n">
        <v>2200.53</v>
      </c>
      <c r="U28" s="37" t="n">
        <v>2200.53</v>
      </c>
      <c r="V28" s="18" t="n">
        <v>1978.52</v>
      </c>
      <c r="W28" s="18" t="n">
        <v>2185.84</v>
      </c>
      <c r="X28" s="18" t="n">
        <v>2071.44</v>
      </c>
      <c r="Y28" s="18" t="n">
        <v>2024.04</v>
      </c>
      <c r="Z28" s="37" t="n">
        <v>2024.04</v>
      </c>
      <c r="AA28" s="18" t="n">
        <v>1999.69</v>
      </c>
      <c r="AB28" s="19" t="n">
        <v>2290.45</v>
      </c>
      <c r="AC28" s="10" t="n"/>
      <c r="AD28" s="10" t="n"/>
      <c r="AE28" s="11" t="n"/>
      <c r="AF28" s="10" t="n"/>
      <c r="AG28" s="10" t="n"/>
      <c r="AH28" s="10" t="n"/>
      <c r="AI28" s="10" t="n"/>
      <c r="AJ28" s="11" t="n"/>
      <c r="AK28" s="10" t="n"/>
      <c r="AL28" s="10" t="n"/>
      <c r="AM28" s="10" t="n"/>
      <c r="AN28" s="10" t="n"/>
      <c r="AO28" s="11" t="n"/>
    </row>
    <row r="29">
      <c r="A29" t="n">
        <v>1</v>
      </c>
      <c r="C29" t="inlineStr">
        <is>
          <t>기타유동금융부채</t>
        </is>
      </c>
      <c r="E29" s="18" t="n">
        <v>1889.4</v>
      </c>
      <c r="F29" s="37" t="n">
        <v>1889.4</v>
      </c>
      <c r="G29" s="18" t="n">
        <v>1866.15</v>
      </c>
      <c r="H29" s="18" t="n">
        <v>2048.43</v>
      </c>
      <c r="I29" s="18" t="n">
        <v>1819.51</v>
      </c>
      <c r="J29" s="18" t="n">
        <v>2060.67</v>
      </c>
      <c r="K29" s="37" t="n">
        <v>2060.67</v>
      </c>
      <c r="L29" s="18" t="n">
        <v>2142.38</v>
      </c>
      <c r="M29" s="18" t="n">
        <v>2084.86</v>
      </c>
      <c r="N29" s="18" t="n">
        <v>1958.68</v>
      </c>
      <c r="O29" s="18" t="n">
        <v>1994.3</v>
      </c>
      <c r="P29" s="37" t="n">
        <v>1994.3</v>
      </c>
      <c r="Q29" s="18" t="n">
        <v>1904.58</v>
      </c>
      <c r="R29" s="18" t="n">
        <v>1981.15</v>
      </c>
      <c r="S29" s="18" t="n">
        <v>1592.87</v>
      </c>
      <c r="T29" s="18" t="n">
        <v>1898.92</v>
      </c>
      <c r="U29" s="37" t="n">
        <v>1898.92</v>
      </c>
      <c r="V29" s="18" t="n">
        <v>1700.31</v>
      </c>
      <c r="W29" s="18" t="n">
        <v>1950.51</v>
      </c>
      <c r="X29" s="18" t="n">
        <v>1883.95</v>
      </c>
      <c r="Y29" s="18" t="n">
        <v>1878.44</v>
      </c>
      <c r="Z29" s="37" t="n">
        <v>1878.44</v>
      </c>
      <c r="AA29" s="18" t="n">
        <v>1710.77</v>
      </c>
      <c r="AB29" s="19" t="n">
        <v>2006.33</v>
      </c>
      <c r="AC29" s="10" t="n"/>
      <c r="AD29" s="10" t="n"/>
      <c r="AE29" s="11" t="n"/>
      <c r="AF29" s="10" t="n"/>
      <c r="AG29" s="10" t="n"/>
      <c r="AH29" s="10" t="n"/>
      <c r="AI29" s="10" t="n"/>
      <c r="AJ29" s="11" t="n"/>
      <c r="AK29" s="10" t="n"/>
      <c r="AL29" s="10" t="n"/>
      <c r="AM29" s="10" t="n"/>
      <c r="AN29" s="10" t="n"/>
      <c r="AO29" s="11" t="n"/>
    </row>
    <row r="30">
      <c r="A30" t="n">
        <v>1</v>
      </c>
      <c r="C30" t="inlineStr">
        <is>
          <t>기타유동부채</t>
        </is>
      </c>
      <c r="E30" s="18" t="n">
        <v>4320.44</v>
      </c>
      <c r="F30" s="37" t="n">
        <v>4320.44</v>
      </c>
      <c r="G30" s="18" t="n">
        <v>1443.53</v>
      </c>
      <c r="H30" s="18" t="n">
        <v>562.9299999999999</v>
      </c>
      <c r="I30" s="18" t="n">
        <v>462.32</v>
      </c>
      <c r="J30" s="18" t="n">
        <v>473.49</v>
      </c>
      <c r="K30" s="37" t="n">
        <v>473.49</v>
      </c>
      <c r="L30" s="18" t="n">
        <v>2400.34</v>
      </c>
      <c r="M30" s="18" t="n">
        <v>138.52</v>
      </c>
      <c r="N30" s="18" t="n">
        <v>175.06</v>
      </c>
      <c r="O30" s="18" t="n">
        <v>1533.78</v>
      </c>
      <c r="P30" s="37" t="n">
        <v>1533.78</v>
      </c>
      <c r="Q30" s="18" t="n">
        <v>118.71</v>
      </c>
      <c r="R30" s="18" t="n">
        <v>242.83</v>
      </c>
      <c r="S30" s="18" t="n">
        <v>947.14</v>
      </c>
      <c r="T30" s="18" t="n">
        <v>185.64</v>
      </c>
      <c r="U30" s="37" t="n">
        <v>185.64</v>
      </c>
      <c r="V30" s="18" t="n">
        <v>1002.71</v>
      </c>
      <c r="W30" s="18" t="n">
        <v>597.15</v>
      </c>
      <c r="X30" s="18" t="n">
        <v>349.46</v>
      </c>
      <c r="Y30" s="18" t="n">
        <v>545.51</v>
      </c>
      <c r="Z30" s="37" t="n">
        <v>545.51</v>
      </c>
      <c r="AA30" s="18" t="n">
        <v>1291.99</v>
      </c>
      <c r="AB30" s="19" t="n">
        <v>773.71</v>
      </c>
      <c r="AC30" s="10" t="n"/>
      <c r="AD30" s="10" t="n"/>
      <c r="AE30" s="11" t="n"/>
      <c r="AF30" s="10" t="n"/>
      <c r="AG30" s="10" t="n"/>
      <c r="AH30" s="10" t="n"/>
      <c r="AI30" s="10" t="n"/>
      <c r="AJ30" s="11" t="n"/>
      <c r="AK30" s="10" t="n"/>
      <c r="AL30" s="10" t="n"/>
      <c r="AM30" s="10" t="n"/>
      <c r="AN30" s="10" t="n"/>
      <c r="AO30" s="11" t="n"/>
    </row>
    <row r="31">
      <c r="A31" t="n">
        <v>1</v>
      </c>
      <c r="C31" t="inlineStr">
        <is>
          <t>비유동부채</t>
        </is>
      </c>
      <c r="E31" s="18" t="n">
        <v>16240.61</v>
      </c>
      <c r="F31" s="37" t="n">
        <v>16240.61</v>
      </c>
      <c r="G31" s="18" t="n">
        <v>14053.37</v>
      </c>
      <c r="H31" s="18" t="n">
        <v>14030.77</v>
      </c>
      <c r="I31" s="18" t="n">
        <v>14078.72</v>
      </c>
      <c r="J31" s="18" t="n">
        <v>12415.25</v>
      </c>
      <c r="K31" s="37" t="n">
        <v>12415.25</v>
      </c>
      <c r="L31" s="18" t="n">
        <v>6114.63</v>
      </c>
      <c r="M31" s="18" t="n">
        <v>24070.24</v>
      </c>
      <c r="N31" s="18" t="n">
        <v>24019.58</v>
      </c>
      <c r="O31" s="18" t="n">
        <v>23864.4</v>
      </c>
      <c r="P31" s="37" t="n">
        <v>23864.4</v>
      </c>
      <c r="Q31" s="18" t="n">
        <v>24062.31</v>
      </c>
      <c r="R31" s="18" t="n">
        <v>24564.24</v>
      </c>
      <c r="S31" s="18" t="n">
        <v>24755.39</v>
      </c>
      <c r="T31" s="18" t="n">
        <v>23137.72</v>
      </c>
      <c r="U31" s="37" t="n">
        <v>23137.72</v>
      </c>
      <c r="V31" s="18" t="n">
        <v>23977.91</v>
      </c>
      <c r="W31" s="18" t="n">
        <v>22862.71</v>
      </c>
      <c r="X31" s="18" t="n">
        <v>6102.54</v>
      </c>
      <c r="Y31" s="18" t="n">
        <v>6455.86</v>
      </c>
      <c r="Z31" s="37" t="n">
        <v>6455.86</v>
      </c>
      <c r="AA31" s="18" t="n">
        <v>16776.61</v>
      </c>
      <c r="AB31" s="19" t="n">
        <v>16244.05</v>
      </c>
      <c r="AC31" s="10" t="n"/>
      <c r="AD31" s="10" t="n"/>
      <c r="AE31" s="11" t="n"/>
      <c r="AF31" s="10" t="n"/>
      <c r="AG31" s="10" t="n"/>
      <c r="AH31" s="10" t="n"/>
      <c r="AI31" s="10" t="n"/>
      <c r="AJ31" s="11" t="n"/>
      <c r="AK31" s="10" t="n"/>
      <c r="AL31" s="10" t="n"/>
      <c r="AM31" s="10" t="n"/>
      <c r="AN31" s="10" t="n"/>
      <c r="AO31" s="11" t="n"/>
    </row>
    <row r="32">
      <c r="A32" t="n">
        <v>1</v>
      </c>
      <c r="C32" t="inlineStr">
        <is>
          <t>장기차입금</t>
        </is>
      </c>
      <c r="E32" s="18" t="n">
        <v>8321.4</v>
      </c>
      <c r="F32" s="37" t="n">
        <v>8321.4</v>
      </c>
      <c r="G32" s="18" t="n">
        <v>6000</v>
      </c>
      <c r="H32" s="18" t="n">
        <v>6000</v>
      </c>
      <c r="I32" s="18" t="n">
        <v>6000</v>
      </c>
      <c r="J32" s="18" t="n">
        <v>6000</v>
      </c>
      <c r="K32" s="37" t="n">
        <v>6000</v>
      </c>
      <c r="M32" s="18" t="n">
        <v>17000</v>
      </c>
      <c r="N32" s="18" t="n">
        <v>17000</v>
      </c>
      <c r="O32" s="18" t="n">
        <v>17000</v>
      </c>
      <c r="P32" s="37" t="n">
        <v>17000</v>
      </c>
      <c r="Q32" s="18" t="n">
        <v>17000</v>
      </c>
      <c r="R32" s="18" t="n">
        <v>17000</v>
      </c>
      <c r="S32" s="18" t="n">
        <v>17000</v>
      </c>
      <c r="T32" s="18" t="n">
        <v>17000</v>
      </c>
      <c r="U32" s="37" t="n">
        <v>17000</v>
      </c>
      <c r="V32" s="18" t="n">
        <v>17000</v>
      </c>
      <c r="W32" s="18" t="n">
        <v>17000</v>
      </c>
      <c r="X32" s="18" t="n">
        <v>0</v>
      </c>
      <c r="Z32" s="9" t="n"/>
      <c r="AA32" s="18" t="n">
        <v>10000</v>
      </c>
      <c r="AB32" s="19" t="n">
        <v>10000</v>
      </c>
      <c r="AC32" s="10" t="n"/>
      <c r="AD32" s="10" t="n"/>
      <c r="AE32" s="11" t="n"/>
      <c r="AF32" s="10" t="n"/>
      <c r="AG32" s="10" t="n"/>
      <c r="AH32" s="10" t="n"/>
      <c r="AI32" s="10" t="n"/>
      <c r="AJ32" s="11" t="n"/>
      <c r="AK32" s="10" t="n"/>
      <c r="AL32" s="10" t="n"/>
      <c r="AM32" s="10" t="n"/>
      <c r="AN32" s="10" t="n"/>
      <c r="AO32" s="11" t="n"/>
    </row>
    <row r="33">
      <c r="A33" t="n">
        <v>1</v>
      </c>
      <c r="C33" t="inlineStr">
        <is>
          <t>확정급여부채</t>
        </is>
      </c>
      <c r="E33" s="18" t="n">
        <v>777.71</v>
      </c>
      <c r="F33" s="37" t="n">
        <v>777.71</v>
      </c>
      <c r="G33" s="18" t="n">
        <v>1007.29</v>
      </c>
      <c r="H33" s="18" t="n">
        <v>906.48</v>
      </c>
      <c r="I33" s="18" t="n">
        <v>1108.33</v>
      </c>
      <c r="J33" s="18" t="n">
        <v>407.94</v>
      </c>
      <c r="K33" s="37" t="n">
        <v>407.94</v>
      </c>
      <c r="L33" s="18" t="n">
        <v>436.06</v>
      </c>
      <c r="M33" s="18" t="n">
        <v>1396.25</v>
      </c>
      <c r="N33" s="18" t="n">
        <v>1416.7</v>
      </c>
      <c r="O33" s="18" t="n">
        <v>656.3200000000001</v>
      </c>
      <c r="P33" s="37" t="n">
        <v>656.3200000000001</v>
      </c>
      <c r="Q33" s="18" t="n">
        <v>914.92</v>
      </c>
      <c r="R33" s="18" t="n">
        <v>1494.88</v>
      </c>
      <c r="S33" s="18" t="n">
        <v>1689.23</v>
      </c>
      <c r="T33" s="18" t="n">
        <v>1059.96</v>
      </c>
      <c r="U33" s="37" t="n">
        <v>1059.96</v>
      </c>
      <c r="V33" s="18" t="n">
        <v>1390.68</v>
      </c>
      <c r="W33" s="18" t="n">
        <v>841.25</v>
      </c>
      <c r="X33" s="18" t="n">
        <v>1087.93</v>
      </c>
      <c r="Z33" s="9" t="n"/>
      <c r="AB33" s="5" t="n"/>
      <c r="AC33" s="10" t="n"/>
      <c r="AD33" s="10" t="n"/>
      <c r="AE33" s="11" t="n"/>
      <c r="AF33" s="10" t="n"/>
      <c r="AG33" s="10" t="n"/>
      <c r="AH33" s="10" t="n"/>
      <c r="AI33" s="10" t="n"/>
      <c r="AJ33" s="11" t="n"/>
      <c r="AK33" s="10" t="n"/>
      <c r="AL33" s="10" t="n"/>
      <c r="AM33" s="10" t="n"/>
      <c r="AN33" s="10" t="n"/>
      <c r="AO33" s="11" t="n"/>
    </row>
    <row r="34">
      <c r="A34" t="n">
        <v>1</v>
      </c>
      <c r="C34" t="inlineStr">
        <is>
          <t>이연법인세부채</t>
        </is>
      </c>
      <c r="E34" s="18" t="n">
        <v>5717.77</v>
      </c>
      <c r="F34" s="37" t="n">
        <v>5717.77</v>
      </c>
      <c r="G34" s="18" t="n">
        <v>5717.77</v>
      </c>
      <c r="H34" s="18" t="n">
        <v>5873.56</v>
      </c>
      <c r="I34" s="18" t="n">
        <v>5873.56</v>
      </c>
      <c r="J34" s="18" t="n">
        <v>5014.87</v>
      </c>
      <c r="K34" s="37" t="n">
        <v>5014.87</v>
      </c>
      <c r="L34" s="18" t="n">
        <v>5014.87</v>
      </c>
      <c r="M34" s="18" t="n">
        <v>4855.17</v>
      </c>
      <c r="N34" s="18" t="n">
        <v>4855.17</v>
      </c>
      <c r="O34" s="18" t="n">
        <v>5508.48</v>
      </c>
      <c r="P34" s="37" t="n">
        <v>5508.48</v>
      </c>
      <c r="Q34" s="18" t="n">
        <v>5508.48</v>
      </c>
      <c r="R34" s="18" t="n">
        <v>5425.05</v>
      </c>
      <c r="S34" s="18" t="n">
        <v>5425.05</v>
      </c>
      <c r="T34" s="18" t="n">
        <v>4386.61</v>
      </c>
      <c r="U34" s="37" t="n">
        <v>4386.61</v>
      </c>
      <c r="V34" s="18" t="n">
        <v>4966.07</v>
      </c>
      <c r="W34" s="18" t="n">
        <v>4366.33</v>
      </c>
      <c r="X34" s="18" t="n">
        <v>4366.33</v>
      </c>
      <c r="Y34" s="18" t="n">
        <v>5687.72</v>
      </c>
      <c r="Z34" s="37" t="n">
        <v>5687.72</v>
      </c>
      <c r="AA34" s="18" t="n">
        <v>5687.72</v>
      </c>
      <c r="AB34" s="19" t="n">
        <v>5035.45</v>
      </c>
      <c r="AC34" s="10" t="n"/>
      <c r="AD34" s="10" t="n"/>
      <c r="AE34" s="11" t="n"/>
      <c r="AF34" s="10" t="n"/>
      <c r="AG34" s="10" t="n"/>
      <c r="AH34" s="10" t="n"/>
      <c r="AI34" s="10" t="n"/>
      <c r="AJ34" s="11" t="n"/>
      <c r="AK34" s="10" t="n"/>
      <c r="AL34" s="10" t="n"/>
      <c r="AM34" s="10" t="n"/>
      <c r="AN34" s="10" t="n"/>
      <c r="AO34" s="11" t="n"/>
    </row>
    <row r="35">
      <c r="A35" t="n">
        <v>1</v>
      </c>
      <c r="C35" t="inlineStr">
        <is>
          <t>비유동리스부채</t>
        </is>
      </c>
      <c r="E35" s="18" t="n">
        <v>1219.73</v>
      </c>
      <c r="F35" s="37" t="n">
        <v>1219.73</v>
      </c>
      <c r="G35" s="18" t="n">
        <v>1118.31</v>
      </c>
      <c r="H35" s="18" t="n">
        <v>1040.73</v>
      </c>
      <c r="I35" s="18" t="n">
        <v>936.84</v>
      </c>
      <c r="J35" s="18" t="n">
        <v>832.4400000000001</v>
      </c>
      <c r="K35" s="37" t="n">
        <v>832.4400000000001</v>
      </c>
      <c r="L35" s="18" t="n">
        <v>473.7</v>
      </c>
      <c r="M35" s="18" t="n">
        <v>413.82</v>
      </c>
      <c r="N35" s="18" t="n">
        <v>342.71</v>
      </c>
      <c r="O35" s="18" t="n">
        <v>274.61</v>
      </c>
      <c r="P35" s="37" t="n">
        <v>274.61</v>
      </c>
      <c r="Q35" s="18" t="n">
        <v>213.91</v>
      </c>
      <c r="R35" s="18" t="n">
        <v>219.31</v>
      </c>
      <c r="S35" s="18" t="n">
        <v>230.11</v>
      </c>
      <c r="T35" s="18" t="n">
        <v>280.14</v>
      </c>
      <c r="U35" s="37" t="n">
        <v>280.14</v>
      </c>
      <c r="V35" s="18" t="n">
        <v>225.16</v>
      </c>
      <c r="W35" s="18" t="n">
        <v>259.12</v>
      </c>
      <c r="X35" s="18" t="n">
        <v>258.27</v>
      </c>
      <c r="Y35" s="18" t="n">
        <v>255.97</v>
      </c>
      <c r="Z35" s="37" t="n">
        <v>255.97</v>
      </c>
      <c r="AA35" s="18" t="n">
        <v>380.44</v>
      </c>
      <c r="AB35" s="19" t="n">
        <v>308.34</v>
      </c>
      <c r="AC35" s="10" t="n"/>
      <c r="AD35" s="10" t="n"/>
      <c r="AE35" s="11" t="n"/>
      <c r="AF35" s="10" t="n"/>
      <c r="AG35" s="10" t="n"/>
      <c r="AH35" s="10" t="n"/>
      <c r="AI35" s="10" t="n"/>
      <c r="AJ35" s="11" t="n"/>
      <c r="AK35" s="10" t="n"/>
      <c r="AL35" s="10" t="n"/>
      <c r="AM35" s="10" t="n"/>
      <c r="AN35" s="10" t="n"/>
      <c r="AO35" s="11" t="n"/>
    </row>
    <row r="36">
      <c r="A36" t="n">
        <v>1</v>
      </c>
      <c r="C36" t="inlineStr">
        <is>
          <t>장기금융부채</t>
        </is>
      </c>
      <c r="E36" s="18" t="n">
        <v>1423.73</v>
      </c>
      <c r="F36" s="37" t="n">
        <v>1423.73</v>
      </c>
      <c r="G36" s="18" t="n">
        <v>1328.31</v>
      </c>
      <c r="H36" s="18" t="n">
        <v>1250.73</v>
      </c>
      <c r="I36" s="18" t="n">
        <v>1096.84</v>
      </c>
      <c r="J36" s="18" t="n">
        <v>992.4400000000001</v>
      </c>
      <c r="K36" s="37" t="n">
        <v>992.4400000000001</v>
      </c>
      <c r="L36" s="18" t="n">
        <v>663.7</v>
      </c>
      <c r="M36" s="18" t="n">
        <v>818.8200000000001</v>
      </c>
      <c r="N36" s="18" t="n">
        <v>747.71</v>
      </c>
      <c r="O36" s="18" t="n">
        <v>699.61</v>
      </c>
      <c r="P36" s="37" t="n">
        <v>699.61</v>
      </c>
      <c r="Q36" s="18" t="n">
        <v>638.91</v>
      </c>
      <c r="R36" s="18" t="n">
        <v>644.3099999999999</v>
      </c>
      <c r="S36" s="18" t="n">
        <v>641.11</v>
      </c>
      <c r="T36" s="18" t="n">
        <v>691.14</v>
      </c>
      <c r="U36" s="37" t="n">
        <v>691.14</v>
      </c>
      <c r="V36" s="18" t="n">
        <v>621.16</v>
      </c>
      <c r="W36" s="18" t="n">
        <v>655.12</v>
      </c>
      <c r="X36" s="18" t="n">
        <v>648.27</v>
      </c>
      <c r="Y36" s="18" t="n">
        <v>655.97</v>
      </c>
      <c r="Z36" s="37" t="n">
        <v>655.97</v>
      </c>
      <c r="AA36" s="18" t="n">
        <v>730.4400000000001</v>
      </c>
      <c r="AB36" s="19" t="n">
        <v>708.34</v>
      </c>
      <c r="AC36" s="10" t="n"/>
      <c r="AD36" s="10" t="n"/>
      <c r="AE36" s="11" t="n"/>
      <c r="AF36" s="10" t="n"/>
      <c r="AG36" s="10" t="n"/>
      <c r="AH36" s="10" t="n"/>
      <c r="AI36" s="10" t="n"/>
      <c r="AJ36" s="11" t="n"/>
      <c r="AK36" s="10" t="n"/>
      <c r="AL36" s="10" t="n"/>
      <c r="AM36" s="10" t="n"/>
      <c r="AN36" s="10" t="n"/>
      <c r="AO36" s="11" t="n"/>
    </row>
    <row r="37">
      <c r="A37" t="n">
        <v>1</v>
      </c>
      <c r="C37" t="inlineStr">
        <is>
          <t>기타비유동금융부채</t>
        </is>
      </c>
      <c r="E37" s="18" t="n">
        <v>204</v>
      </c>
      <c r="F37" s="37" t="n">
        <v>204</v>
      </c>
      <c r="G37" s="18" t="n">
        <v>210</v>
      </c>
      <c r="H37" s="18" t="n">
        <v>210</v>
      </c>
      <c r="I37" s="18" t="n">
        <v>160</v>
      </c>
      <c r="J37" s="18" t="n">
        <v>160</v>
      </c>
      <c r="K37" s="37" t="n">
        <v>160</v>
      </c>
      <c r="L37" s="18" t="n">
        <v>190</v>
      </c>
      <c r="M37" s="18" t="n">
        <v>405</v>
      </c>
      <c r="N37" s="18" t="n">
        <v>405</v>
      </c>
      <c r="O37" s="18" t="n">
        <v>425</v>
      </c>
      <c r="P37" s="37" t="n">
        <v>425</v>
      </c>
      <c r="Q37" s="18" t="n">
        <v>425</v>
      </c>
      <c r="R37" s="18" t="n">
        <v>425</v>
      </c>
      <c r="S37" s="18" t="n">
        <v>411</v>
      </c>
      <c r="T37" s="18" t="n">
        <v>411</v>
      </c>
      <c r="U37" s="37" t="n">
        <v>411</v>
      </c>
      <c r="V37" s="18" t="n">
        <v>396</v>
      </c>
      <c r="W37" s="18" t="n">
        <v>396</v>
      </c>
      <c r="X37" s="18" t="n">
        <v>390</v>
      </c>
      <c r="Y37" s="18" t="n">
        <v>400</v>
      </c>
      <c r="Z37" s="37" t="n">
        <v>400</v>
      </c>
      <c r="AA37" s="18" t="n">
        <v>350</v>
      </c>
      <c r="AB37" s="19" t="n">
        <v>400</v>
      </c>
      <c r="AC37" s="10" t="n"/>
      <c r="AD37" s="10" t="n"/>
      <c r="AE37" s="11" t="n"/>
      <c r="AF37" s="10" t="n"/>
      <c r="AG37" s="10" t="n"/>
      <c r="AH37" s="10" t="n"/>
      <c r="AI37" s="10" t="n"/>
      <c r="AJ37" s="11" t="n"/>
      <c r="AK37" s="10" t="n"/>
      <c r="AL37" s="10" t="n"/>
      <c r="AM37" s="10" t="n"/>
      <c r="AN37" s="10" t="n"/>
      <c r="AO37" s="11" t="n"/>
    </row>
    <row r="38">
      <c r="A38" t="n">
        <v>1</v>
      </c>
      <c r="C38" t="inlineStr">
        <is>
          <t>부채총계</t>
        </is>
      </c>
      <c r="E38" s="18" t="n">
        <v>91968.27</v>
      </c>
      <c r="F38" s="37" t="n">
        <v>91968.27</v>
      </c>
      <c r="G38" s="18" t="n">
        <v>71147.28</v>
      </c>
      <c r="H38" s="18" t="n">
        <v>78764.8</v>
      </c>
      <c r="I38" s="18" t="n">
        <v>79689.96000000001</v>
      </c>
      <c r="J38" s="18" t="n">
        <v>70247.89</v>
      </c>
      <c r="K38" s="37" t="n">
        <v>70247.89</v>
      </c>
      <c r="L38" s="18" t="n">
        <v>79355.7</v>
      </c>
      <c r="M38" s="18" t="n">
        <v>97312.39</v>
      </c>
      <c r="N38" s="18" t="n">
        <v>94112.47</v>
      </c>
      <c r="O38" s="18" t="n">
        <v>92457.59</v>
      </c>
      <c r="P38" s="37" t="n">
        <v>92457.59</v>
      </c>
      <c r="Q38" s="18" t="n">
        <v>94955.81</v>
      </c>
      <c r="R38" s="18" t="n">
        <v>90478.89</v>
      </c>
      <c r="S38" s="18" t="n">
        <v>81768.96000000001</v>
      </c>
      <c r="T38" s="18" t="n">
        <v>100997.6</v>
      </c>
      <c r="U38" s="37" t="n">
        <v>100997.6</v>
      </c>
      <c r="V38" s="18" t="n">
        <v>94429.58</v>
      </c>
      <c r="W38" s="18" t="n">
        <v>94252.17999999999</v>
      </c>
      <c r="X38" s="18" t="n">
        <v>102977.59</v>
      </c>
      <c r="Y38" s="18" t="n">
        <v>98500.84</v>
      </c>
      <c r="Z38" s="37" t="n">
        <v>98500.84</v>
      </c>
      <c r="AA38" s="18" t="n">
        <v>115263</v>
      </c>
      <c r="AB38" s="19" t="n">
        <v>112423.24</v>
      </c>
      <c r="AC38" s="10" t="n"/>
      <c r="AD38" s="10" t="n"/>
      <c r="AE38" s="11" t="n"/>
      <c r="AF38" s="10" t="n"/>
      <c r="AG38" s="10" t="n"/>
      <c r="AH38" s="10" t="n"/>
      <c r="AI38" s="10" t="n"/>
      <c r="AJ38" s="11" t="n"/>
      <c r="AK38" s="10" t="n"/>
      <c r="AL38" s="10" t="n"/>
      <c r="AM38" s="10" t="n"/>
      <c r="AN38" s="10" t="n"/>
      <c r="AO38" s="11" t="n"/>
    </row>
    <row r="39">
      <c r="A39" t="n">
        <v>1</v>
      </c>
      <c r="C39" t="inlineStr">
        <is>
          <t>자본금</t>
        </is>
      </c>
      <c r="E39" s="18" t="n">
        <v>12261.13</v>
      </c>
      <c r="F39" s="37" t="n">
        <v>12261.13</v>
      </c>
      <c r="G39" s="18" t="n">
        <v>12261.13</v>
      </c>
      <c r="H39" s="18" t="n">
        <v>12261.13</v>
      </c>
      <c r="I39" s="18" t="n">
        <v>12261.13</v>
      </c>
      <c r="J39" s="18" t="n">
        <v>12261.13</v>
      </c>
      <c r="K39" s="37" t="n">
        <v>12261.13</v>
      </c>
      <c r="L39" s="18" t="n">
        <v>12261.13</v>
      </c>
      <c r="M39" s="18" t="n">
        <v>12261.13</v>
      </c>
      <c r="N39" s="18" t="n">
        <v>12261.13</v>
      </c>
      <c r="O39" s="18" t="n">
        <v>12261.13</v>
      </c>
      <c r="P39" s="37" t="n">
        <v>12261.13</v>
      </c>
      <c r="Q39" s="18" t="n">
        <v>12261.13</v>
      </c>
      <c r="R39" s="18" t="n">
        <v>12261.13</v>
      </c>
      <c r="S39" s="18" t="n">
        <v>12261.13</v>
      </c>
      <c r="T39" s="18" t="n">
        <v>12261.13</v>
      </c>
      <c r="U39" s="37" t="n">
        <v>12261.13</v>
      </c>
      <c r="V39" s="18" t="n">
        <v>13368.13</v>
      </c>
      <c r="W39" s="18" t="n">
        <v>13368.13</v>
      </c>
      <c r="X39" s="18" t="n">
        <v>13368.13</v>
      </c>
      <c r="Y39" s="18" t="n">
        <v>13368.13</v>
      </c>
      <c r="Z39" s="37" t="n">
        <v>13368.13</v>
      </c>
      <c r="AA39" s="18" t="n">
        <v>13368.13</v>
      </c>
      <c r="AB39" s="19" t="n">
        <v>13368.13</v>
      </c>
      <c r="AC39" s="10" t="n"/>
      <c r="AD39" s="10" t="n"/>
      <c r="AE39" s="11" t="n"/>
      <c r="AF39" s="10" t="n"/>
      <c r="AG39" s="10" t="n"/>
      <c r="AH39" s="10" t="n"/>
      <c r="AI39" s="10" t="n"/>
      <c r="AJ39" s="11" t="n"/>
      <c r="AK39" s="10" t="n"/>
      <c r="AL39" s="10" t="n"/>
      <c r="AM39" s="10" t="n"/>
      <c r="AN39" s="10" t="n"/>
      <c r="AO39" s="11" t="n"/>
    </row>
    <row r="40">
      <c r="A40" t="n">
        <v>1</v>
      </c>
      <c r="C40" t="inlineStr">
        <is>
          <t>자본잉여금</t>
        </is>
      </c>
      <c r="E40" s="18" t="n">
        <v>19928.82</v>
      </c>
      <c r="F40" s="37" t="n">
        <v>19928.82</v>
      </c>
      <c r="G40" s="18" t="n">
        <v>19928.82</v>
      </c>
      <c r="H40" s="18" t="n">
        <v>19928.82</v>
      </c>
      <c r="I40" s="18" t="n">
        <v>19692.75</v>
      </c>
      <c r="J40" s="18" t="n">
        <v>18226.23</v>
      </c>
      <c r="K40" s="37" t="n">
        <v>18226.23</v>
      </c>
      <c r="L40" s="18" t="n">
        <v>18203.39</v>
      </c>
      <c r="M40" s="18" t="n">
        <v>18203.39</v>
      </c>
      <c r="N40" s="18" t="n">
        <v>17851.98</v>
      </c>
      <c r="O40" s="18" t="n">
        <v>19432.24</v>
      </c>
      <c r="P40" s="37" t="n">
        <v>19432.24</v>
      </c>
      <c r="Q40" s="18" t="n">
        <v>19432.24</v>
      </c>
      <c r="R40" s="18" t="n">
        <v>19432.24</v>
      </c>
      <c r="S40" s="18" t="n">
        <v>19432.24</v>
      </c>
      <c r="T40" s="18" t="n">
        <v>23055.03</v>
      </c>
      <c r="U40" s="37" t="n">
        <v>23055.03</v>
      </c>
      <c r="V40" s="18" t="n">
        <v>19657.17</v>
      </c>
      <c r="W40" s="18" t="n">
        <v>23145.32</v>
      </c>
      <c r="X40" s="18" t="n">
        <v>23145.32</v>
      </c>
      <c r="Y40" s="18" t="n">
        <v>23092.83</v>
      </c>
      <c r="Z40" s="37" t="n">
        <v>23092.83</v>
      </c>
      <c r="AA40" s="18" t="n">
        <v>23092.83</v>
      </c>
      <c r="AB40" s="19" t="n">
        <v>23700.94</v>
      </c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A41" t="n">
        <v>1</v>
      </c>
      <c r="C41" t="inlineStr">
        <is>
          <t>기타자본</t>
        </is>
      </c>
      <c r="E41" s="18" t="n">
        <v>744.12</v>
      </c>
      <c r="F41" s="37" t="n">
        <v>744.12</v>
      </c>
      <c r="G41" s="18" t="n">
        <v>1496.28</v>
      </c>
      <c r="H41" s="18" t="n">
        <v>398.14</v>
      </c>
      <c r="I41" s="18" t="n">
        <v>170.03</v>
      </c>
      <c r="J41" s="18" t="n">
        <v>510.25</v>
      </c>
      <c r="K41" s="37" t="n">
        <v>510.25</v>
      </c>
      <c r="L41" s="18" t="n">
        <v>526.6900000000001</v>
      </c>
      <c r="M41" s="18" t="n">
        <v>558.77</v>
      </c>
      <c r="N41" s="18" t="n">
        <v>423.13</v>
      </c>
      <c r="O41" s="18" t="n">
        <v>1991.49</v>
      </c>
      <c r="P41" s="37" t="n">
        <v>1991.49</v>
      </c>
      <c r="Q41" s="18" t="n">
        <v>1251.36</v>
      </c>
      <c r="R41" s="18" t="n">
        <v>2322.69</v>
      </c>
      <c r="S41" s="18" t="n">
        <v>2241.84</v>
      </c>
      <c r="T41" s="18" t="n">
        <v>-220.78</v>
      </c>
      <c r="U41" s="37" t="n">
        <v>-220.78</v>
      </c>
      <c r="V41" s="18" t="n">
        <v>-1506.73</v>
      </c>
      <c r="W41" s="18" t="n">
        <v>-5948.76</v>
      </c>
      <c r="X41" s="18" t="n">
        <v>1549.25</v>
      </c>
      <c r="Y41" s="18" t="n">
        <v>-2419.94</v>
      </c>
      <c r="Z41" s="37" t="n">
        <v>-2419.94</v>
      </c>
      <c r="AA41" s="18" t="n">
        <v>-2528.14</v>
      </c>
      <c r="AB41" s="19" t="n">
        <v>-2725.01</v>
      </c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t="n">
        <v>1</v>
      </c>
      <c r="C42" t="inlineStr">
        <is>
          <t>이익잉여금</t>
        </is>
      </c>
      <c r="E42" s="18" t="n">
        <v>67908.39999999999</v>
      </c>
      <c r="F42" s="37" t="n">
        <v>67908.39999999999</v>
      </c>
      <c r="G42" s="18" t="n">
        <v>79121.12</v>
      </c>
      <c r="H42" s="18" t="n">
        <v>80695.77</v>
      </c>
      <c r="I42" s="18" t="n">
        <v>80894.10000000001</v>
      </c>
      <c r="J42" s="18" t="n">
        <v>81867.85000000001</v>
      </c>
      <c r="K42" s="37" t="n">
        <v>81867.85000000001</v>
      </c>
      <c r="L42" s="18" t="n">
        <v>81612.42</v>
      </c>
      <c r="M42" s="18" t="n">
        <v>83142.14</v>
      </c>
      <c r="N42" s="18" t="n">
        <v>82786.53</v>
      </c>
      <c r="O42" s="18" t="n">
        <v>87380.59</v>
      </c>
      <c r="P42" s="37" t="n">
        <v>87380.59</v>
      </c>
      <c r="Q42" s="18" t="n">
        <v>87985.25999999999</v>
      </c>
      <c r="R42" s="18" t="n">
        <v>88199.98</v>
      </c>
      <c r="S42" s="18" t="n">
        <v>87852.22</v>
      </c>
      <c r="T42" s="18" t="n">
        <v>85797</v>
      </c>
      <c r="U42" s="37" t="n">
        <v>85797</v>
      </c>
      <c r="V42" s="18" t="n">
        <v>86355.55</v>
      </c>
      <c r="W42" s="18" t="n">
        <v>89603.8</v>
      </c>
      <c r="X42" s="18" t="n">
        <v>90709.28999999999</v>
      </c>
      <c r="Y42" s="18" t="n">
        <v>89740.36</v>
      </c>
      <c r="Z42" s="37" t="n">
        <v>89740.36</v>
      </c>
      <c r="AA42" s="18" t="n">
        <v>100770.42</v>
      </c>
      <c r="AB42" s="19" t="n">
        <v>103413.15</v>
      </c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t="n">
        <v>1</v>
      </c>
      <c r="C43" t="inlineStr">
        <is>
          <t>자본총계</t>
        </is>
      </c>
      <c r="E43" s="18" t="n">
        <v>100842.48</v>
      </c>
      <c r="F43" s="37" t="n">
        <v>100842.48</v>
      </c>
      <c r="G43" s="18" t="n">
        <v>112807.35</v>
      </c>
      <c r="H43" s="18" t="n">
        <v>113283.86</v>
      </c>
      <c r="I43" s="18" t="n">
        <v>113018</v>
      </c>
      <c r="J43" s="18" t="n">
        <v>112865.46</v>
      </c>
      <c r="K43" s="37" t="n">
        <v>112865.46</v>
      </c>
      <c r="L43" s="18" t="n">
        <v>112603.62</v>
      </c>
      <c r="M43" s="18" t="n">
        <v>114165.43</v>
      </c>
      <c r="N43" s="18" t="n">
        <v>113322.77</v>
      </c>
      <c r="O43" s="18" t="n">
        <v>121065.46</v>
      </c>
      <c r="P43" s="37" t="n">
        <v>121065.46</v>
      </c>
      <c r="Q43" s="18" t="n">
        <v>120929.99</v>
      </c>
      <c r="R43" s="18" t="n">
        <v>122216.04</v>
      </c>
      <c r="S43" s="18" t="n">
        <v>121787.43</v>
      </c>
      <c r="T43" s="18" t="n">
        <v>120892.38</v>
      </c>
      <c r="U43" s="37" t="n">
        <v>120892.38</v>
      </c>
      <c r="V43" s="18" t="n">
        <v>117874.11</v>
      </c>
      <c r="W43" s="18" t="n">
        <v>120168.49</v>
      </c>
      <c r="X43" s="18" t="n">
        <v>128771.99</v>
      </c>
      <c r="Y43" s="18" t="n">
        <v>123781.37</v>
      </c>
      <c r="Z43" s="37" t="n">
        <v>123781.37</v>
      </c>
      <c r="AA43" s="18" t="n">
        <v>134703.24</v>
      </c>
      <c r="AB43" s="19" t="n">
        <v>137757.21</v>
      </c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t="n">
        <v>1</v>
      </c>
      <c r="C44" t="inlineStr">
        <is>
          <t>부채와자본총계</t>
        </is>
      </c>
      <c r="E44" s="18" t="n">
        <v>192810.75</v>
      </c>
      <c r="F44" s="37" t="n">
        <v>192810.75</v>
      </c>
      <c r="G44" s="18" t="n">
        <v>183954.63</v>
      </c>
      <c r="H44" s="18" t="n">
        <v>192048.66</v>
      </c>
      <c r="I44" s="18" t="n">
        <v>192707.97</v>
      </c>
      <c r="J44" s="18" t="n">
        <v>183113.34</v>
      </c>
      <c r="K44" s="37" t="n">
        <v>183113.34</v>
      </c>
      <c r="L44" s="18" t="n">
        <v>191959.33</v>
      </c>
      <c r="M44" s="18" t="n">
        <v>211477.81</v>
      </c>
      <c r="N44" s="18" t="n">
        <v>207435.24</v>
      </c>
      <c r="O44" s="18" t="n">
        <v>213523.05</v>
      </c>
      <c r="P44" s="37" t="n">
        <v>213523.05</v>
      </c>
      <c r="Q44" s="18" t="n">
        <v>215885.8</v>
      </c>
      <c r="R44" s="18" t="n">
        <v>212694.93</v>
      </c>
      <c r="S44" s="18" t="n">
        <v>203556.39</v>
      </c>
      <c r="T44" s="18" t="n">
        <v>221889.97</v>
      </c>
      <c r="U44" s="37" t="n">
        <v>221889.97</v>
      </c>
      <c r="V44" s="18" t="n">
        <v>212303.69</v>
      </c>
      <c r="W44" s="18" t="n">
        <v>214420.68</v>
      </c>
      <c r="X44" s="18" t="n">
        <v>231749.58</v>
      </c>
      <c r="Y44" s="18" t="n">
        <v>222282.21</v>
      </c>
      <c r="Z44" s="37" t="n">
        <v>222282.21</v>
      </c>
      <c r="AA44" s="18" t="n">
        <v>249966.24</v>
      </c>
      <c r="AB44" s="19" t="n">
        <v>250180.45</v>
      </c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t="n">
        <v>1</v>
      </c>
      <c r="C45" t="inlineStr">
        <is>
          <t>지배주주지분</t>
        </is>
      </c>
      <c r="E45" s="18" t="n">
        <v>100842.48</v>
      </c>
      <c r="F45" s="37" t="n">
        <v>100842.48</v>
      </c>
      <c r="G45" s="18" t="n">
        <v>112807.35</v>
      </c>
      <c r="H45" s="18" t="n">
        <v>113283.86</v>
      </c>
      <c r="I45" s="18" t="n">
        <v>113018</v>
      </c>
      <c r="J45" s="18" t="n">
        <v>112865.46</v>
      </c>
      <c r="K45" s="37" t="n">
        <v>112865.46</v>
      </c>
      <c r="L45" s="18" t="n">
        <v>112603.62</v>
      </c>
      <c r="M45" s="18" t="n">
        <v>114165.43</v>
      </c>
      <c r="N45" s="18" t="n">
        <v>113322.77</v>
      </c>
      <c r="O45" s="18" t="n">
        <v>121065.46</v>
      </c>
      <c r="P45" s="37" t="n">
        <v>121065.46</v>
      </c>
      <c r="Q45" s="18" t="n">
        <v>120929.99</v>
      </c>
      <c r="R45" s="18" t="n">
        <v>122216.04</v>
      </c>
      <c r="S45" s="18" t="n">
        <v>121787.43</v>
      </c>
      <c r="T45" s="18" t="n">
        <v>120892.38</v>
      </c>
      <c r="U45" s="37" t="n">
        <v>120892.38</v>
      </c>
      <c r="V45" s="18" t="n">
        <v>117874.11</v>
      </c>
      <c r="W45" s="18" t="n">
        <v>120168.49</v>
      </c>
      <c r="X45" s="18" t="n">
        <v>128771.99</v>
      </c>
      <c r="Y45" s="18" t="n">
        <v>123781.37</v>
      </c>
      <c r="Z45" s="37" t="n">
        <v>123781.37</v>
      </c>
      <c r="AA45" s="18" t="n">
        <v>134703.24</v>
      </c>
      <c r="AB45" s="19" t="n">
        <v>137757.21</v>
      </c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t="n">
        <v>1</v>
      </c>
      <c r="C46" t="inlineStr">
        <is>
          <t>총차입금</t>
        </is>
      </c>
      <c r="E46" s="18" t="n">
        <v>65743.36</v>
      </c>
      <c r="F46" s="37" t="n">
        <v>65743.36</v>
      </c>
      <c r="G46" s="18" t="n">
        <v>49357.12</v>
      </c>
      <c r="H46" s="18" t="n">
        <v>52278.56</v>
      </c>
      <c r="I46" s="18" t="n">
        <v>55100</v>
      </c>
      <c r="J46" s="18" t="n">
        <v>48770</v>
      </c>
      <c r="K46" s="37" t="n">
        <v>48770</v>
      </c>
      <c r="L46" s="18" t="n">
        <v>56250</v>
      </c>
      <c r="M46" s="18" t="n">
        <v>77200</v>
      </c>
      <c r="N46" s="18" t="n">
        <v>77960</v>
      </c>
      <c r="O46" s="18" t="n">
        <v>70162.14</v>
      </c>
      <c r="P46" s="37" t="n">
        <v>70162.14</v>
      </c>
      <c r="Q46" s="18" t="n">
        <v>75200</v>
      </c>
      <c r="R46" s="18" t="n">
        <v>72500</v>
      </c>
      <c r="S46" s="18" t="n">
        <v>67000</v>
      </c>
      <c r="T46" s="18" t="n">
        <v>81700</v>
      </c>
      <c r="U46" s="37" t="n">
        <v>81700</v>
      </c>
      <c r="V46" s="18" t="n">
        <v>79000</v>
      </c>
      <c r="W46" s="18" t="n">
        <v>80690</v>
      </c>
      <c r="X46" s="18" t="n">
        <v>86700</v>
      </c>
      <c r="Y46" s="18" t="n">
        <v>86000</v>
      </c>
      <c r="Z46" s="37" t="n">
        <v>86000</v>
      </c>
      <c r="AA46" s="18" t="n">
        <v>95000</v>
      </c>
      <c r="AB46" s="19" t="n">
        <v>95000</v>
      </c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t="n">
        <v>1</v>
      </c>
      <c r="C47" t="inlineStr">
        <is>
          <t>순차입금</t>
        </is>
      </c>
      <c r="E47" s="18" t="n">
        <v>55316.16</v>
      </c>
      <c r="F47" s="37" t="n">
        <v>55316.16</v>
      </c>
      <c r="G47" s="18" t="n">
        <v>36085.59</v>
      </c>
      <c r="H47" s="18" t="n">
        <v>46931.12</v>
      </c>
      <c r="I47" s="18" t="n">
        <v>47769.57</v>
      </c>
      <c r="J47" s="18" t="n">
        <v>41297.38</v>
      </c>
      <c r="K47" s="37" t="n">
        <v>41297.38</v>
      </c>
      <c r="L47" s="18" t="n">
        <v>51094.35</v>
      </c>
      <c r="M47" s="18" t="n">
        <v>70925.03</v>
      </c>
      <c r="N47" s="18" t="n">
        <v>74112.49000000001</v>
      </c>
      <c r="O47" s="18" t="n">
        <v>60374.4</v>
      </c>
      <c r="P47" s="37" t="n">
        <v>60374.4</v>
      </c>
      <c r="Q47" s="18" t="n">
        <v>70158.45</v>
      </c>
      <c r="R47" s="18" t="n">
        <v>69592.77</v>
      </c>
      <c r="S47" s="18" t="n">
        <v>61374.82</v>
      </c>
      <c r="T47" s="18" t="n">
        <v>79620.92999999999</v>
      </c>
      <c r="U47" s="37" t="n">
        <v>79620.92999999999</v>
      </c>
      <c r="V47" s="18" t="n">
        <v>75238.08</v>
      </c>
      <c r="W47" s="18" t="n">
        <v>79298.83</v>
      </c>
      <c r="X47" s="18" t="n">
        <v>83806.83</v>
      </c>
      <c r="Y47" s="18" t="n">
        <v>78537.53999999999</v>
      </c>
      <c r="Z47" s="37" t="n">
        <v>78537.53999999999</v>
      </c>
      <c r="AA47" s="18" t="n">
        <v>83003.48</v>
      </c>
      <c r="AB47" s="19" t="n">
        <v>88790.89</v>
      </c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t="n">
        <v>1</v>
      </c>
      <c r="C48" t="inlineStr">
        <is>
          <t>이자발생자산</t>
        </is>
      </c>
      <c r="E48" s="18" t="n">
        <v>11804.21</v>
      </c>
      <c r="F48" s="37" t="n">
        <v>11804.21</v>
      </c>
      <c r="G48" s="18" t="n">
        <v>14278.03</v>
      </c>
      <c r="H48" s="18" t="n">
        <v>6353.94</v>
      </c>
      <c r="I48" s="18" t="n">
        <v>8336.93</v>
      </c>
      <c r="J48" s="18" t="n">
        <v>8479.120000000001</v>
      </c>
      <c r="K48" s="37" t="n">
        <v>8479.120000000001</v>
      </c>
      <c r="L48" s="18" t="n">
        <v>6162.15</v>
      </c>
      <c r="M48" s="18" t="n">
        <v>7281.47</v>
      </c>
      <c r="N48" s="18" t="n">
        <v>4854.01</v>
      </c>
      <c r="O48" s="18" t="n">
        <v>10518.35</v>
      </c>
      <c r="P48" s="37" t="n">
        <v>10518.35</v>
      </c>
      <c r="Q48" s="18" t="n">
        <v>5772.16</v>
      </c>
      <c r="R48" s="18" t="n">
        <v>3045.84</v>
      </c>
      <c r="S48" s="18" t="n">
        <v>5882.64</v>
      </c>
      <c r="T48" s="18" t="n">
        <v>14905.91</v>
      </c>
      <c r="U48" s="37" t="n">
        <v>14905.91</v>
      </c>
      <c r="V48" s="18" t="n">
        <v>16688.76</v>
      </c>
      <c r="W48" s="18" t="n">
        <v>12797.86</v>
      </c>
      <c r="X48" s="18" t="n">
        <v>21797.88</v>
      </c>
      <c r="Y48" s="18" t="n">
        <v>7763.08</v>
      </c>
      <c r="Z48" s="37" t="n">
        <v>7763.08</v>
      </c>
      <c r="AA48" s="18" t="n">
        <v>12297.14</v>
      </c>
      <c r="AB48" s="19" t="n">
        <v>6509.73</v>
      </c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t="n">
        <v>1</v>
      </c>
      <c r="C49" t="inlineStr">
        <is>
          <t>단기금융부채(face)</t>
        </is>
      </c>
      <c r="F49" s="9" t="n"/>
      <c r="G49" s="18" t="n">
        <v>43357.12</v>
      </c>
      <c r="H49" s="18" t="n">
        <v>46278.56</v>
      </c>
      <c r="I49" s="18" t="n">
        <v>49100</v>
      </c>
      <c r="J49" s="18" t="n">
        <v>42770</v>
      </c>
      <c r="K49" s="37" t="n">
        <v>42770</v>
      </c>
      <c r="L49" s="18" t="n">
        <v>56250</v>
      </c>
      <c r="M49" s="18" t="n">
        <v>60200</v>
      </c>
      <c r="N49" s="18" t="n">
        <v>60960</v>
      </c>
      <c r="O49" s="18" t="n">
        <v>53162.14</v>
      </c>
      <c r="P49" s="37" t="n">
        <v>53162.14</v>
      </c>
      <c r="Q49" s="18" t="n">
        <v>58200</v>
      </c>
      <c r="R49" s="18" t="n">
        <v>55500</v>
      </c>
      <c r="S49" s="18" t="n">
        <v>50000</v>
      </c>
      <c r="T49" s="18" t="n">
        <v>64700</v>
      </c>
      <c r="U49" s="37" t="n">
        <v>64700</v>
      </c>
      <c r="V49" s="18" t="n">
        <v>62000</v>
      </c>
      <c r="W49" s="18" t="n">
        <v>63690</v>
      </c>
      <c r="X49" s="18" t="n">
        <v>86700</v>
      </c>
      <c r="Y49" s="18" t="n">
        <v>86000</v>
      </c>
      <c r="Z49" s="37" t="n">
        <v>86000</v>
      </c>
      <c r="AA49" s="18" t="n">
        <v>85000</v>
      </c>
      <c r="AB49" s="19" t="n">
        <v>85000</v>
      </c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t="n">
        <v>1</v>
      </c>
      <c r="C50" t="inlineStr">
        <is>
          <t>장기매출채권및기타채권</t>
        </is>
      </c>
      <c r="F50" s="9" t="n"/>
      <c r="I50" s="18" t="n">
        <v>0</v>
      </c>
      <c r="K50" s="9" t="n"/>
      <c r="P50" s="9" t="n"/>
      <c r="U50" s="9" t="n"/>
      <c r="Z50" s="9" t="n"/>
      <c r="AB50" s="5" t="n"/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t="n">
        <v>1</v>
      </c>
      <c r="C51" t="inlineStr">
        <is>
          <t>당기법인세자산(선급법인세)</t>
        </is>
      </c>
      <c r="F51" s="9" t="n"/>
      <c r="K51" s="9" t="n"/>
      <c r="O51" s="18" t="n">
        <v>287.18</v>
      </c>
      <c r="P51" s="37" t="n">
        <v>287.18</v>
      </c>
      <c r="Q51" s="18" t="n">
        <v>298.66</v>
      </c>
      <c r="U51" s="9" t="n"/>
      <c r="X51" s="18" t="n">
        <v>27.56</v>
      </c>
      <c r="Y51" s="18" t="n">
        <v>35.05</v>
      </c>
      <c r="Z51" s="37" t="n">
        <v>35.05</v>
      </c>
      <c r="AA51" s="18" t="n">
        <v>0</v>
      </c>
      <c r="AB51" s="19" t="n">
        <v>0</v>
      </c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t="n">
        <v>1</v>
      </c>
      <c r="C52" t="inlineStr">
        <is>
          <t>매출액(수익)</t>
        </is>
      </c>
      <c r="E52" s="18" t="n">
        <v>46215.57</v>
      </c>
      <c r="F52" s="9" t="n"/>
      <c r="G52" s="18" t="n">
        <v>47671.74</v>
      </c>
      <c r="H52" s="18" t="n">
        <v>50774.88</v>
      </c>
      <c r="I52" s="18" t="n">
        <v>44356.08</v>
      </c>
      <c r="J52" s="18" t="n">
        <v>46423.34</v>
      </c>
      <c r="K52" s="37" t="n">
        <v>189226.04</v>
      </c>
      <c r="L52" s="18" t="n">
        <v>46984.17</v>
      </c>
      <c r="M52" s="18" t="n">
        <v>47481.61</v>
      </c>
      <c r="N52" s="18" t="n">
        <v>41891.87</v>
      </c>
      <c r="O52" s="18" t="n">
        <v>44113.51</v>
      </c>
      <c r="P52" s="37" t="n">
        <v>180471.16</v>
      </c>
      <c r="Q52" s="18" t="n">
        <v>38306.15</v>
      </c>
      <c r="R52" s="18" t="n">
        <v>43050.49</v>
      </c>
      <c r="S52" s="18" t="n">
        <v>39399.08</v>
      </c>
      <c r="T52" s="18" t="n">
        <v>41197.84</v>
      </c>
      <c r="U52" s="37" t="n">
        <v>161953.56</v>
      </c>
      <c r="V52" s="18" t="n">
        <v>38831.35</v>
      </c>
      <c r="W52" s="18" t="n">
        <v>39023.03</v>
      </c>
      <c r="X52" s="18" t="n">
        <v>37145.27</v>
      </c>
      <c r="Y52" s="18" t="n">
        <v>32230.74</v>
      </c>
      <c r="Z52" s="37" t="n">
        <v>147230.39</v>
      </c>
      <c r="AA52" s="18" t="n">
        <v>40729.29</v>
      </c>
      <c r="AB52" s="19" t="n">
        <v>45885.44</v>
      </c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t="n">
        <v>1</v>
      </c>
      <c r="C53" t="inlineStr">
        <is>
          <t>매출원가</t>
        </is>
      </c>
      <c r="E53" s="18" t="n">
        <v>40067.95</v>
      </c>
      <c r="F53" s="9" t="n"/>
      <c r="G53" s="18" t="n">
        <v>41932.38</v>
      </c>
      <c r="H53" s="18" t="n">
        <v>42835.6</v>
      </c>
      <c r="I53" s="18" t="n">
        <v>42325.43</v>
      </c>
      <c r="J53" s="18" t="n">
        <v>42433.6</v>
      </c>
      <c r="K53" s="37" t="n">
        <v>169527.01</v>
      </c>
      <c r="L53" s="18" t="n">
        <v>42049.79</v>
      </c>
      <c r="M53" s="18" t="n">
        <v>43271.45</v>
      </c>
      <c r="N53" s="18" t="n">
        <v>38636.7</v>
      </c>
      <c r="O53" s="18" t="n">
        <v>40281.09</v>
      </c>
      <c r="P53" s="37" t="n">
        <v>164239.03</v>
      </c>
      <c r="Q53" s="18" t="n">
        <v>34320.24</v>
      </c>
      <c r="R53" s="18" t="n">
        <v>39451.45</v>
      </c>
      <c r="S53" s="18" t="n">
        <v>35039.7</v>
      </c>
      <c r="T53" s="18" t="n">
        <v>37016.75</v>
      </c>
      <c r="U53" s="37" t="n">
        <v>145828.14</v>
      </c>
      <c r="V53" s="18" t="n">
        <v>35702.46</v>
      </c>
      <c r="W53" s="18" t="n">
        <v>34885.46</v>
      </c>
      <c r="X53" s="18" t="n">
        <v>33700.8</v>
      </c>
      <c r="Y53" s="18" t="n">
        <v>28854.96</v>
      </c>
      <c r="Z53" s="37" t="n">
        <v>133143.68</v>
      </c>
      <c r="AA53" s="18" t="n">
        <v>35866.98</v>
      </c>
      <c r="AB53" s="19" t="n">
        <v>39410.34</v>
      </c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t="n">
        <v>1</v>
      </c>
      <c r="C54" t="inlineStr">
        <is>
          <t>매출총이익</t>
        </is>
      </c>
      <c r="E54" s="18" t="n">
        <v>6147.62</v>
      </c>
      <c r="F54" s="9" t="n"/>
      <c r="G54" s="18" t="n">
        <v>5739.36</v>
      </c>
      <c r="H54" s="18" t="n">
        <v>7939.29</v>
      </c>
      <c r="I54" s="18" t="n">
        <v>2030.65</v>
      </c>
      <c r="J54" s="18" t="n">
        <v>3989.75</v>
      </c>
      <c r="K54" s="37" t="n">
        <v>19699.05</v>
      </c>
      <c r="L54" s="18" t="n">
        <v>4934.38</v>
      </c>
      <c r="M54" s="18" t="n">
        <v>4210.17</v>
      </c>
      <c r="N54" s="18" t="n">
        <v>3255.17</v>
      </c>
      <c r="O54" s="18" t="n">
        <v>3832.42</v>
      </c>
      <c r="P54" s="37" t="n">
        <v>16232.14</v>
      </c>
      <c r="Q54" s="18" t="n">
        <v>3985.91</v>
      </c>
      <c r="R54" s="18" t="n">
        <v>3599.04</v>
      </c>
      <c r="S54" s="18" t="n">
        <v>4359.38</v>
      </c>
      <c r="T54" s="18" t="n">
        <v>4181.09</v>
      </c>
      <c r="U54" s="37" t="n">
        <v>16125.42</v>
      </c>
      <c r="V54" s="18" t="n">
        <v>3128.89</v>
      </c>
      <c r="W54" s="18" t="n">
        <v>4137.57</v>
      </c>
      <c r="X54" s="18" t="n">
        <v>3444.47</v>
      </c>
      <c r="Y54" s="18" t="n">
        <v>3375.78</v>
      </c>
      <c r="Z54" s="37" t="n">
        <v>14086.71</v>
      </c>
      <c r="AA54" s="18" t="n">
        <v>4862.3</v>
      </c>
      <c r="AB54" s="19" t="n">
        <v>6475.1</v>
      </c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t="n">
        <v>1</v>
      </c>
      <c r="C55" t="inlineStr">
        <is>
          <t>판관비</t>
        </is>
      </c>
      <c r="E55" s="18" t="n">
        <v>2475.64</v>
      </c>
      <c r="F55" s="9" t="n"/>
      <c r="G55" s="18" t="n">
        <v>3184.67</v>
      </c>
      <c r="H55" s="18" t="n">
        <v>3274.36</v>
      </c>
      <c r="I55" s="18" t="n">
        <v>3356.45</v>
      </c>
      <c r="J55" s="18" t="n">
        <v>3350.83</v>
      </c>
      <c r="K55" s="37" t="n">
        <v>13166.31</v>
      </c>
      <c r="L55" s="18" t="n">
        <v>3126.97</v>
      </c>
      <c r="M55" s="18" t="n">
        <v>2986.05</v>
      </c>
      <c r="N55" s="18" t="n">
        <v>2909.62</v>
      </c>
      <c r="O55" s="18" t="n">
        <v>3406.21</v>
      </c>
      <c r="P55" s="37" t="n">
        <v>12428.85</v>
      </c>
      <c r="Q55" s="18" t="n">
        <v>2935.27</v>
      </c>
      <c r="R55" s="18" t="n">
        <v>3066.13</v>
      </c>
      <c r="S55" s="18" t="n">
        <v>3089.47</v>
      </c>
      <c r="T55" s="18" t="n">
        <v>3295.48</v>
      </c>
      <c r="U55" s="37" t="n">
        <v>12386.35</v>
      </c>
      <c r="V55" s="18" t="n">
        <v>2963.75</v>
      </c>
      <c r="W55" s="18" t="n">
        <v>2942.49</v>
      </c>
      <c r="X55" s="18" t="n">
        <v>2970.03</v>
      </c>
      <c r="Y55" s="18" t="n">
        <v>3672.07</v>
      </c>
      <c r="Z55" s="37" t="n">
        <v>12548.34</v>
      </c>
      <c r="AA55" s="18" t="n">
        <v>2994.81</v>
      </c>
      <c r="AB55" s="19" t="n">
        <v>2867.54</v>
      </c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t="n">
        <v>1</v>
      </c>
      <c r="C56" t="inlineStr">
        <is>
          <t>영업이익</t>
        </is>
      </c>
      <c r="E56" s="18" t="n">
        <v>3671.99</v>
      </c>
      <c r="F56" s="9" t="n"/>
      <c r="G56" s="18" t="n">
        <v>2554.69</v>
      </c>
      <c r="H56" s="18" t="n">
        <v>4664.92</v>
      </c>
      <c r="I56" s="18" t="n">
        <v>-1325.8</v>
      </c>
      <c r="J56" s="18" t="n">
        <v>638.9299999999999</v>
      </c>
      <c r="K56" s="37" t="n">
        <v>6532.74</v>
      </c>
      <c r="L56" s="18" t="n">
        <v>1807.41</v>
      </c>
      <c r="M56" s="18" t="n">
        <v>1224.12</v>
      </c>
      <c r="N56" s="18" t="n">
        <v>345.55</v>
      </c>
      <c r="O56" s="18" t="n">
        <v>426.22</v>
      </c>
      <c r="P56" s="37" t="n">
        <v>3803.3</v>
      </c>
      <c r="Q56" s="18" t="n">
        <v>1050.64</v>
      </c>
      <c r="R56" s="18" t="n">
        <v>532.91</v>
      </c>
      <c r="S56" s="18" t="n">
        <v>1269.9</v>
      </c>
      <c r="T56" s="18" t="n">
        <v>885.6</v>
      </c>
      <c r="U56" s="37" t="n">
        <v>3739.05</v>
      </c>
      <c r="V56" s="18" t="n">
        <v>165.14</v>
      </c>
      <c r="W56" s="18" t="n">
        <v>1195.08</v>
      </c>
      <c r="X56" s="18" t="n">
        <v>474.44</v>
      </c>
      <c r="Y56" s="18" t="n">
        <v>-296.29</v>
      </c>
      <c r="Z56" s="37" t="n">
        <v>1538.37</v>
      </c>
      <c r="AA56" s="18" t="n">
        <v>1867.49</v>
      </c>
      <c r="AB56" s="19" t="n">
        <v>3607.56</v>
      </c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t="n">
        <v>1</v>
      </c>
      <c r="C57" t="inlineStr">
        <is>
          <t>금융수익</t>
        </is>
      </c>
      <c r="E57" s="18" t="n">
        <v>86.54000000000001</v>
      </c>
      <c r="F57" s="9" t="n"/>
      <c r="G57" s="18" t="n">
        <v>143.82</v>
      </c>
      <c r="H57" s="18" t="n">
        <v>275.17</v>
      </c>
      <c r="I57" s="18" t="n">
        <v>360.77</v>
      </c>
      <c r="J57" s="18" t="n">
        <v>344.78</v>
      </c>
      <c r="K57" s="37" t="n">
        <v>1124.54</v>
      </c>
      <c r="L57" s="18" t="n">
        <v>387.03</v>
      </c>
      <c r="M57" s="18" t="n">
        <v>224.26</v>
      </c>
      <c r="N57" s="18" t="n">
        <v>219.62</v>
      </c>
      <c r="O57" s="18" t="n">
        <v>305.15</v>
      </c>
      <c r="P57" s="37" t="n">
        <v>1136.06</v>
      </c>
      <c r="Q57" s="18" t="n">
        <v>228.12</v>
      </c>
      <c r="R57" s="18" t="n">
        <v>138.8</v>
      </c>
      <c r="S57" s="18" t="n">
        <v>137.19</v>
      </c>
      <c r="T57" s="18" t="n">
        <v>291.13</v>
      </c>
      <c r="U57" s="37" t="n">
        <v>795.24</v>
      </c>
      <c r="V57" s="18" t="n">
        <v>187.84</v>
      </c>
      <c r="W57" s="18" t="n">
        <v>226.39</v>
      </c>
      <c r="X57" s="18" t="n">
        <v>82.72</v>
      </c>
      <c r="Y57" s="18" t="n">
        <v>137.89</v>
      </c>
      <c r="Z57" s="37" t="n">
        <v>634.84</v>
      </c>
      <c r="AA57" s="18" t="n">
        <v>360.3</v>
      </c>
      <c r="AB57" s="19" t="n">
        <v>106.16</v>
      </c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t="n">
        <v>1</v>
      </c>
      <c r="C58" t="inlineStr">
        <is>
          <t>금융비용</t>
        </is>
      </c>
      <c r="E58" s="18" t="n">
        <v>558.83</v>
      </c>
      <c r="F58" s="9" t="n"/>
      <c r="G58" s="18" t="n">
        <v>894.73</v>
      </c>
      <c r="H58" s="18" t="n">
        <v>797.53</v>
      </c>
      <c r="I58" s="18" t="n">
        <v>601.16</v>
      </c>
      <c r="J58" s="18" t="n">
        <v>935.16</v>
      </c>
      <c r="K58" s="37" t="n">
        <v>3228.58</v>
      </c>
      <c r="L58" s="18" t="n">
        <v>1038.1</v>
      </c>
      <c r="M58" s="18" t="n">
        <v>1017.41</v>
      </c>
      <c r="N58" s="18" t="n">
        <v>1098.95</v>
      </c>
      <c r="O58" s="18" t="n">
        <v>948.45</v>
      </c>
      <c r="P58" s="37" t="n">
        <v>4102.91</v>
      </c>
      <c r="Q58" s="18" t="n">
        <v>1012.51</v>
      </c>
      <c r="R58" s="18" t="n">
        <v>966.13</v>
      </c>
      <c r="S58" s="18" t="n">
        <v>815.3099999999999</v>
      </c>
      <c r="T58" s="18" t="n">
        <v>828.5</v>
      </c>
      <c r="U58" s="37" t="n">
        <v>3622.45</v>
      </c>
      <c r="V58" s="18" t="n">
        <v>847.61</v>
      </c>
      <c r="W58" s="18" t="n">
        <v>926.54</v>
      </c>
      <c r="X58" s="18" t="n">
        <v>704.29</v>
      </c>
      <c r="Y58" s="18" t="n">
        <v>799.78</v>
      </c>
      <c r="Z58" s="37" t="n">
        <v>3278.22</v>
      </c>
      <c r="AA58" s="18" t="n">
        <v>961.5599999999999</v>
      </c>
      <c r="AB58" s="19" t="n">
        <v>819.3</v>
      </c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  <row r="59">
      <c r="A59" t="n">
        <v>1</v>
      </c>
      <c r="C59" t="inlineStr">
        <is>
          <t>기타영업외수익</t>
        </is>
      </c>
      <c r="E59" s="18" t="n">
        <v>219.09</v>
      </c>
      <c r="F59" s="9" t="n"/>
      <c r="G59" s="18" t="n">
        <v>9131.93</v>
      </c>
      <c r="H59" s="18" t="n">
        <v>9.6</v>
      </c>
      <c r="I59" s="18" t="n">
        <v>15.35</v>
      </c>
      <c r="J59" s="18" t="n">
        <v>2018.19</v>
      </c>
      <c r="K59" s="37" t="n">
        <v>11175.07</v>
      </c>
      <c r="L59" s="18" t="n">
        <v>111.1</v>
      </c>
      <c r="M59" s="18" t="n">
        <v>89.55</v>
      </c>
      <c r="N59" s="18" t="n">
        <v>46.32</v>
      </c>
      <c r="O59" s="18" t="n">
        <v>212.77</v>
      </c>
      <c r="P59" s="37" t="n">
        <v>459.74</v>
      </c>
      <c r="Q59" s="18" t="n">
        <v>19.51</v>
      </c>
      <c r="R59" s="18" t="n">
        <v>150.3</v>
      </c>
      <c r="S59" s="18" t="n">
        <v>69.45</v>
      </c>
      <c r="T59" s="18" t="n">
        <v>27.09</v>
      </c>
      <c r="U59" s="37" t="n">
        <v>266.35</v>
      </c>
      <c r="V59" s="18" t="n">
        <v>19.52</v>
      </c>
      <c r="W59" s="18" t="n">
        <v>160.96</v>
      </c>
      <c r="X59" s="18" t="n">
        <v>57.23</v>
      </c>
      <c r="Y59" s="18" t="n">
        <v>77.23</v>
      </c>
      <c r="Z59" s="37" t="n">
        <v>314.94</v>
      </c>
      <c r="AA59" s="18" t="n">
        <v>19.16</v>
      </c>
      <c r="AB59" s="19" t="n">
        <v>33.48</v>
      </c>
      <c r="AC59" s="10" t="n"/>
      <c r="AD59" s="10" t="n"/>
      <c r="AE59" s="11" t="n"/>
      <c r="AF59" s="10" t="n"/>
      <c r="AG59" s="10" t="n"/>
      <c r="AH59" s="10" t="n"/>
      <c r="AI59" s="10" t="n"/>
      <c r="AJ59" s="11" t="n"/>
      <c r="AK59" s="10" t="n"/>
      <c r="AL59" s="10" t="n"/>
      <c r="AM59" s="10" t="n"/>
      <c r="AN59" s="10" t="n"/>
      <c r="AO59" s="11" t="n"/>
    </row>
    <row r="60">
      <c r="A60" t="n">
        <v>1</v>
      </c>
      <c r="C60" t="inlineStr">
        <is>
          <t>기타영업외비용</t>
        </is>
      </c>
      <c r="E60" s="18" t="n">
        <v>6.91</v>
      </c>
      <c r="F60" s="9" t="n"/>
      <c r="G60" s="18" t="n">
        <v>227.3</v>
      </c>
      <c r="H60" s="18" t="n">
        <v>6.07</v>
      </c>
      <c r="I60" s="18" t="n">
        <v>5.98</v>
      </c>
      <c r="J60" s="18" t="n">
        <v>316.63</v>
      </c>
      <c r="K60" s="37" t="n">
        <v>555.98</v>
      </c>
      <c r="L60" s="18" t="n">
        <v>63.68</v>
      </c>
      <c r="M60" s="18" t="n">
        <v>256.77</v>
      </c>
      <c r="N60" s="18" t="n">
        <v>64.34</v>
      </c>
      <c r="O60" s="18" t="n">
        <v>1263.14</v>
      </c>
      <c r="P60" s="37" t="n">
        <v>1647.93</v>
      </c>
      <c r="Q60" s="18" t="n">
        <v>12.02</v>
      </c>
      <c r="R60" s="18" t="n">
        <v>18.72</v>
      </c>
      <c r="S60" s="18" t="n">
        <v>9.83</v>
      </c>
      <c r="T60" s="18" t="n">
        <v>2596.61</v>
      </c>
      <c r="U60" s="37" t="n">
        <v>2637.18</v>
      </c>
      <c r="V60" s="18" t="n">
        <v>4.97</v>
      </c>
      <c r="W60" s="18" t="n">
        <v>971.05</v>
      </c>
      <c r="X60" s="18" t="n">
        <v>208.67</v>
      </c>
      <c r="Y60" s="18" t="n">
        <v>33.12</v>
      </c>
      <c r="Z60" s="37" t="n">
        <v>1217.81</v>
      </c>
      <c r="AA60" s="18" t="n">
        <v>268.85</v>
      </c>
      <c r="AB60" s="19" t="n">
        <v>33.22</v>
      </c>
      <c r="AC60" s="10" t="n"/>
      <c r="AD60" s="10" t="n"/>
      <c r="AE60" s="11" t="n"/>
      <c r="AF60" s="10" t="n"/>
      <c r="AG60" s="10" t="n"/>
      <c r="AH60" s="10" t="n"/>
      <c r="AI60" s="10" t="n"/>
      <c r="AJ60" s="11" t="n"/>
      <c r="AK60" s="10" t="n"/>
      <c r="AL60" s="10" t="n"/>
      <c r="AM60" s="10" t="n"/>
      <c r="AN60" s="10" t="n"/>
      <c r="AO60" s="11" t="n"/>
    </row>
    <row r="61">
      <c r="A61" t="n">
        <v>1</v>
      </c>
      <c r="C61" t="inlineStr">
        <is>
          <t>법인세비용차감전계속사업이익</t>
        </is>
      </c>
      <c r="E61" s="18" t="n">
        <v>815.4</v>
      </c>
      <c r="F61" s="9" t="n"/>
      <c r="G61" s="18" t="n">
        <v>11212.72</v>
      </c>
      <c r="H61" s="18" t="n">
        <v>4809.31</v>
      </c>
      <c r="I61" s="18" t="n">
        <v>198.34</v>
      </c>
      <c r="J61" s="18" t="n">
        <v>225.11</v>
      </c>
      <c r="K61" s="37" t="n">
        <v>16445.48</v>
      </c>
      <c r="L61" s="18" t="n">
        <v>1966.42</v>
      </c>
      <c r="M61" s="18" t="n">
        <v>2597.25</v>
      </c>
      <c r="N61" s="18" t="n">
        <v>-355.6</v>
      </c>
      <c r="O61" s="18" t="n">
        <v>5951.39</v>
      </c>
      <c r="P61" s="37" t="n">
        <v>10159.46</v>
      </c>
      <c r="Q61" s="18" t="n">
        <v>604.67</v>
      </c>
      <c r="R61" s="18" t="n">
        <v>889.75</v>
      </c>
      <c r="S61" s="18" t="n">
        <v>-229.4</v>
      </c>
      <c r="T61" s="18" t="n">
        <v>-2474.9</v>
      </c>
      <c r="U61" s="37" t="n">
        <v>-1209.88</v>
      </c>
      <c r="V61" s="18" t="n">
        <v>-1095.37</v>
      </c>
      <c r="W61" s="18" t="n">
        <v>3588.78</v>
      </c>
      <c r="X61" s="18" t="n">
        <v>1108.37</v>
      </c>
      <c r="Y61" s="18" t="n">
        <v>-3852.33</v>
      </c>
      <c r="Z61" s="37" t="n">
        <v>-250.55</v>
      </c>
      <c r="AA61" s="18" t="n">
        <v>9814.959999999999</v>
      </c>
      <c r="AB61" s="19" t="n">
        <v>3832.87</v>
      </c>
      <c r="AC61" s="10" t="n"/>
      <c r="AD61" s="10" t="n"/>
      <c r="AE61" s="11" t="n"/>
      <c r="AF61" s="10" t="n"/>
      <c r="AG61" s="10" t="n"/>
      <c r="AH61" s="10" t="n"/>
      <c r="AI61" s="10" t="n"/>
      <c r="AJ61" s="11" t="n"/>
      <c r="AK61" s="10" t="n"/>
      <c r="AL61" s="10" t="n"/>
      <c r="AM61" s="10" t="n"/>
      <c r="AN61" s="10" t="n"/>
      <c r="AO61" s="11" t="n"/>
    </row>
    <row r="62">
      <c r="A62" t="n">
        <v>1</v>
      </c>
      <c r="C62" t="inlineStr">
        <is>
          <t>법인세비용</t>
        </is>
      </c>
      <c r="E62" s="18" t="n">
        <v>1944.87</v>
      </c>
      <c r="F62" s="9" t="n"/>
      <c r="H62" s="18" t="n">
        <v>3605.35</v>
      </c>
      <c r="I62" s="18" t="n">
        <v>0</v>
      </c>
      <c r="J62" s="18" t="n">
        <v>-840.38</v>
      </c>
      <c r="K62" s="9" t="n"/>
      <c r="M62" s="18" t="n">
        <v>301.07</v>
      </c>
      <c r="O62" s="18" t="n">
        <v>-99.06</v>
      </c>
      <c r="P62" s="9" t="n"/>
      <c r="R62" s="18" t="n">
        <v>205.91</v>
      </c>
      <c r="S62" s="18" t="n">
        <v>118.36</v>
      </c>
      <c r="T62" s="18" t="n">
        <v>-363.99</v>
      </c>
      <c r="U62" s="9" t="n"/>
      <c r="Z62" s="9" t="n"/>
      <c r="AA62" s="18" t="n">
        <v>-1.27</v>
      </c>
      <c r="AB62" s="19" t="n">
        <v>849.51</v>
      </c>
      <c r="AC62" s="10" t="n"/>
      <c r="AD62" s="10" t="n"/>
      <c r="AE62" s="11" t="n"/>
      <c r="AF62" s="10" t="n"/>
      <c r="AG62" s="10" t="n"/>
      <c r="AH62" s="10" t="n"/>
      <c r="AI62" s="10" t="n"/>
      <c r="AJ62" s="11" t="n"/>
      <c r="AK62" s="10" t="n"/>
      <c r="AL62" s="10" t="n"/>
      <c r="AM62" s="10" t="n"/>
      <c r="AN62" s="10" t="n"/>
      <c r="AO62" s="11" t="n"/>
    </row>
    <row r="63">
      <c r="A63" t="n">
        <v>1</v>
      </c>
      <c r="C63" t="inlineStr">
        <is>
          <t>당기순이익</t>
        </is>
      </c>
      <c r="E63" s="18" t="n">
        <v>-1129.46</v>
      </c>
      <c r="F63" s="9" t="n"/>
      <c r="G63" s="18" t="n">
        <v>11212.72</v>
      </c>
      <c r="H63" s="18" t="n">
        <v>1203.96</v>
      </c>
      <c r="I63" s="18" t="n">
        <v>198.34</v>
      </c>
      <c r="J63" s="18" t="n">
        <v>1065.49</v>
      </c>
      <c r="K63" s="37" t="n">
        <v>13680.51</v>
      </c>
      <c r="L63" s="18" t="n">
        <v>1966.42</v>
      </c>
      <c r="M63" s="18" t="n">
        <v>2296.18</v>
      </c>
      <c r="N63" s="18" t="n">
        <v>-355.6</v>
      </c>
      <c r="O63" s="18" t="n">
        <v>6050.45</v>
      </c>
      <c r="P63" s="37" t="n">
        <v>9957.450000000001</v>
      </c>
      <c r="Q63" s="18" t="n">
        <v>604.67</v>
      </c>
      <c r="R63" s="18" t="n">
        <v>683.83</v>
      </c>
      <c r="S63" s="18" t="n">
        <v>-347.75</v>
      </c>
      <c r="T63" s="18" t="n">
        <v>-2110.91</v>
      </c>
      <c r="U63" s="37" t="n">
        <v>-1170.16</v>
      </c>
      <c r="V63" s="18" t="n">
        <v>-1095.37</v>
      </c>
      <c r="W63" s="18" t="n">
        <v>3785.01</v>
      </c>
      <c r="X63" s="18" t="n">
        <v>1105.4</v>
      </c>
      <c r="Y63" s="18" t="n">
        <v>-3306.32</v>
      </c>
      <c r="Z63" s="37" t="n">
        <v>488.72</v>
      </c>
      <c r="AA63" s="18" t="n">
        <v>9816.23</v>
      </c>
      <c r="AB63" s="19" t="n">
        <v>2983.36</v>
      </c>
      <c r="AC63" s="10" t="n"/>
      <c r="AD63" s="10" t="n"/>
      <c r="AE63" s="11" t="n"/>
      <c r="AF63" s="10" t="n"/>
      <c r="AG63" s="10" t="n"/>
      <c r="AH63" s="10" t="n"/>
      <c r="AI63" s="10" t="n"/>
      <c r="AJ63" s="11" t="n"/>
      <c r="AK63" s="10" t="n"/>
      <c r="AL63" s="10" t="n"/>
      <c r="AM63" s="10" t="n"/>
      <c r="AN63" s="10" t="n"/>
      <c r="AO63" s="11" t="n"/>
    </row>
    <row r="64">
      <c r="A64" t="n">
        <v>1</v>
      </c>
      <c r="C64" t="inlineStr">
        <is>
          <t>총포괄손익</t>
        </is>
      </c>
      <c r="E64" s="18" t="n">
        <v>-3280.51</v>
      </c>
      <c r="F64" s="9" t="n"/>
      <c r="G64" s="18" t="n">
        <v>11964.88</v>
      </c>
      <c r="H64" s="18" t="n">
        <v>476.51</v>
      </c>
      <c r="I64" s="18" t="n">
        <v>-29.78</v>
      </c>
      <c r="J64" s="18" t="n">
        <v>1158.11</v>
      </c>
      <c r="K64" s="37" t="n">
        <v>13569.72</v>
      </c>
      <c r="L64" s="18" t="n">
        <v>1982.86</v>
      </c>
      <c r="M64" s="18" t="n">
        <v>1643.32</v>
      </c>
      <c r="N64" s="18" t="n">
        <v>-491.24</v>
      </c>
      <c r="O64" s="18" t="n">
        <v>7579.29</v>
      </c>
      <c r="P64" s="37" t="n">
        <v>10714.23</v>
      </c>
      <c r="Q64" s="18" t="n">
        <v>-135.47</v>
      </c>
      <c r="R64" s="18" t="n">
        <v>1286.05</v>
      </c>
      <c r="S64" s="18" t="n">
        <v>-428.61</v>
      </c>
      <c r="T64" s="18" t="n">
        <v>-4517.83</v>
      </c>
      <c r="U64" s="37" t="n">
        <v>-3795.86</v>
      </c>
      <c r="V64" s="18" t="n">
        <v>-727.41</v>
      </c>
      <c r="W64" s="18" t="n">
        <v>886.7</v>
      </c>
      <c r="X64" s="18" t="n">
        <v>8646.24</v>
      </c>
      <c r="Y64" s="18" t="n">
        <v>-4945.76</v>
      </c>
      <c r="Z64" s="37" t="n">
        <v>3859.77</v>
      </c>
      <c r="AA64" s="18" t="n">
        <v>10921.87</v>
      </c>
      <c r="AB64" s="19" t="n">
        <v>2372.94</v>
      </c>
      <c r="AC64" s="10" t="n"/>
      <c r="AD64" s="10" t="n"/>
      <c r="AE64" s="11" t="n"/>
      <c r="AF64" s="10" t="n"/>
      <c r="AG64" s="10" t="n"/>
      <c r="AH64" s="10" t="n"/>
      <c r="AI64" s="10" t="n"/>
      <c r="AJ64" s="11" t="n"/>
      <c r="AK64" s="10" t="n"/>
      <c r="AL64" s="10" t="n"/>
      <c r="AM64" s="10" t="n"/>
      <c r="AN64" s="10" t="n"/>
      <c r="AO64" s="11" t="n"/>
    </row>
    <row r="65">
      <c r="A65" t="n">
        <v>1</v>
      </c>
      <c r="C65" t="inlineStr">
        <is>
          <t>금융손익</t>
        </is>
      </c>
      <c r="E65" s="18" t="n">
        <v>-472.29</v>
      </c>
      <c r="F65" s="9" t="n"/>
      <c r="G65" s="18" t="n">
        <v>-750.91</v>
      </c>
      <c r="H65" s="18" t="n">
        <v>-522.36</v>
      </c>
      <c r="I65" s="18" t="n">
        <v>-240.39</v>
      </c>
      <c r="J65" s="18" t="n">
        <v>-590.38</v>
      </c>
      <c r="K65" s="37" t="n">
        <v>-2104.04</v>
      </c>
      <c r="L65" s="18" t="n">
        <v>-651.0700000000001</v>
      </c>
      <c r="M65" s="18" t="n">
        <v>-793.15</v>
      </c>
      <c r="N65" s="18" t="n">
        <v>-879.33</v>
      </c>
      <c r="O65" s="18" t="n">
        <v>-643.3</v>
      </c>
      <c r="P65" s="37" t="n">
        <v>-2966.85</v>
      </c>
      <c r="Q65" s="18" t="n">
        <v>-784.39</v>
      </c>
      <c r="R65" s="18" t="n">
        <v>-827.33</v>
      </c>
      <c r="S65" s="18" t="n">
        <v>-678.12</v>
      </c>
      <c r="T65" s="18" t="n">
        <v>-537.37</v>
      </c>
      <c r="U65" s="37" t="n">
        <v>-2827.21</v>
      </c>
      <c r="V65" s="18" t="n">
        <v>-659.77</v>
      </c>
      <c r="W65" s="18" t="n">
        <v>-700.15</v>
      </c>
      <c r="X65" s="18" t="n">
        <v>-621.5700000000001</v>
      </c>
      <c r="Y65" s="18" t="n">
        <v>-661.89</v>
      </c>
      <c r="Z65" s="37" t="n">
        <v>-2643.38</v>
      </c>
      <c r="AA65" s="18" t="n">
        <v>-601.26</v>
      </c>
      <c r="AB65" s="19" t="n">
        <v>-713.14</v>
      </c>
      <c r="AC65" s="10" t="n"/>
      <c r="AD65" s="10" t="n"/>
      <c r="AE65" s="11" t="n"/>
      <c r="AF65" s="10" t="n"/>
      <c r="AG65" s="10" t="n"/>
      <c r="AH65" s="10" t="n"/>
      <c r="AI65" s="10" t="n"/>
      <c r="AJ65" s="11" t="n"/>
      <c r="AK65" s="10" t="n"/>
      <c r="AL65" s="10" t="n"/>
      <c r="AM65" s="10" t="n"/>
      <c r="AN65" s="10" t="n"/>
      <c r="AO65" s="11" t="n"/>
    </row>
    <row r="66">
      <c r="A66" t="n">
        <v>1</v>
      </c>
      <c r="C66" t="inlineStr">
        <is>
          <t>기타영업외손익</t>
        </is>
      </c>
      <c r="E66" s="18" t="n">
        <v>212.18</v>
      </c>
      <c r="F66" s="9" t="n"/>
      <c r="G66" s="18" t="n">
        <v>8904.629999999999</v>
      </c>
      <c r="H66" s="18" t="n">
        <v>3.53</v>
      </c>
      <c r="I66" s="18" t="n">
        <v>9.369999999999999</v>
      </c>
      <c r="J66" s="18" t="n">
        <v>1701.56</v>
      </c>
      <c r="K66" s="37" t="n">
        <v>10619.09</v>
      </c>
      <c r="L66" s="18" t="n">
        <v>47.42</v>
      </c>
      <c r="M66" s="18" t="n">
        <v>-167.22</v>
      </c>
      <c r="N66" s="18" t="n">
        <v>-18.02</v>
      </c>
      <c r="O66" s="18" t="n">
        <v>-1050.37</v>
      </c>
      <c r="P66" s="37" t="n">
        <v>-1188.19</v>
      </c>
      <c r="Q66" s="18" t="n">
        <v>7.49</v>
      </c>
      <c r="R66" s="18" t="n">
        <v>131.58</v>
      </c>
      <c r="S66" s="18" t="n">
        <v>59.62</v>
      </c>
      <c r="T66" s="18" t="n">
        <v>-2569.52</v>
      </c>
      <c r="U66" s="37" t="n">
        <v>-2370.83</v>
      </c>
      <c r="V66" s="18" t="n">
        <v>14.55</v>
      </c>
      <c r="W66" s="18" t="n">
        <v>-810.09</v>
      </c>
      <c r="X66" s="18" t="n">
        <v>-151.44</v>
      </c>
      <c r="Y66" s="18" t="n">
        <v>44.11</v>
      </c>
      <c r="Z66" s="37" t="n">
        <v>-902.87</v>
      </c>
      <c r="AA66" s="18" t="n">
        <v>-249.69</v>
      </c>
      <c r="AB66" s="19" t="n">
        <v>0.26</v>
      </c>
      <c r="AC66" s="10" t="n"/>
      <c r="AD66" s="10" t="n"/>
      <c r="AE66" s="11" t="n"/>
      <c r="AF66" s="10" t="n"/>
      <c r="AG66" s="10" t="n"/>
      <c r="AH66" s="10" t="n"/>
      <c r="AI66" s="10" t="n"/>
      <c r="AJ66" s="11" t="n"/>
      <c r="AK66" s="10" t="n"/>
      <c r="AL66" s="10" t="n"/>
      <c r="AM66" s="10" t="n"/>
      <c r="AN66" s="10" t="n"/>
      <c r="AO66" s="11" t="n"/>
    </row>
    <row r="67">
      <c r="A67" t="n">
        <v>1</v>
      </c>
      <c r="C67" t="inlineStr">
        <is>
          <t>(지배주주지분)당기순이익</t>
        </is>
      </c>
      <c r="E67" s="18" t="n">
        <v>-1129.46</v>
      </c>
      <c r="F67" s="9" t="n"/>
      <c r="G67" s="18" t="n">
        <v>11212.72</v>
      </c>
      <c r="H67" s="18" t="n">
        <v>1203.96</v>
      </c>
      <c r="I67" s="18" t="n">
        <v>198.34</v>
      </c>
      <c r="J67" s="18" t="n">
        <v>1065.49</v>
      </c>
      <c r="K67" s="37" t="n">
        <v>13680.51</v>
      </c>
      <c r="L67" s="18" t="n">
        <v>1966.42</v>
      </c>
      <c r="M67" s="18" t="n">
        <v>2296.18</v>
      </c>
      <c r="N67" s="18" t="n">
        <v>-355.6</v>
      </c>
      <c r="O67" s="18" t="n">
        <v>6050.45</v>
      </c>
      <c r="P67" s="37" t="n">
        <v>9957.450000000001</v>
      </c>
      <c r="Q67" s="18" t="n">
        <v>604.67</v>
      </c>
      <c r="R67" s="18" t="n">
        <v>683.83</v>
      </c>
      <c r="S67" s="18" t="n">
        <v>-347.75</v>
      </c>
      <c r="T67" s="18" t="n">
        <v>-2110.91</v>
      </c>
      <c r="U67" s="37" t="n">
        <v>-1170.16</v>
      </c>
      <c r="V67" s="18" t="n">
        <v>-1095.37</v>
      </c>
      <c r="W67" s="18" t="n">
        <v>3785.01</v>
      </c>
      <c r="X67" s="18" t="n">
        <v>1105.4</v>
      </c>
      <c r="Y67" s="18" t="n">
        <v>-3306.32</v>
      </c>
      <c r="Z67" s="37" t="n">
        <v>488.72</v>
      </c>
      <c r="AA67" s="18" t="n">
        <v>9816.23</v>
      </c>
      <c r="AB67" s="19" t="n">
        <v>2983.36</v>
      </c>
      <c r="AC67" s="10" t="n"/>
      <c r="AD67" s="10" t="n"/>
      <c r="AE67" s="11" t="n"/>
      <c r="AF67" s="10" t="n"/>
      <c r="AG67" s="10" t="n"/>
      <c r="AH67" s="10" t="n"/>
      <c r="AI67" s="10" t="n"/>
      <c r="AJ67" s="11" t="n"/>
      <c r="AK67" s="10" t="n"/>
      <c r="AL67" s="10" t="n"/>
      <c r="AM67" s="10" t="n"/>
      <c r="AN67" s="10" t="n"/>
      <c r="AO67" s="11" t="n"/>
    </row>
    <row r="68">
      <c r="A68" t="n">
        <v>1</v>
      </c>
      <c r="C68" t="inlineStr">
        <is>
          <t>계속사업이익</t>
        </is>
      </c>
      <c r="E68" s="18" t="n">
        <v>-1129.46</v>
      </c>
      <c r="F68" s="9" t="n"/>
      <c r="G68" s="18" t="n">
        <v>11212.72</v>
      </c>
      <c r="H68" s="18" t="n">
        <v>1203.96</v>
      </c>
      <c r="I68" s="18" t="n">
        <v>198.34</v>
      </c>
      <c r="J68" s="18" t="n">
        <v>1065.49</v>
      </c>
      <c r="K68" s="37" t="n">
        <v>13680.51</v>
      </c>
      <c r="L68" s="18" t="n">
        <v>1966.42</v>
      </c>
      <c r="M68" s="18" t="n">
        <v>2296.18</v>
      </c>
      <c r="N68" s="18" t="n">
        <v>-355.6</v>
      </c>
      <c r="O68" s="18" t="n">
        <v>6050.45</v>
      </c>
      <c r="P68" s="37" t="n">
        <v>9957.450000000001</v>
      </c>
      <c r="Q68" s="18" t="n">
        <v>604.67</v>
      </c>
      <c r="R68" s="18" t="n">
        <v>683.83</v>
      </c>
      <c r="S68" s="18" t="n">
        <v>-347.75</v>
      </c>
      <c r="T68" s="18" t="n">
        <v>-2110.91</v>
      </c>
      <c r="U68" s="37" t="n">
        <v>-1170.16</v>
      </c>
      <c r="V68" s="18" t="n">
        <v>-1095.37</v>
      </c>
      <c r="W68" s="18" t="n">
        <v>3785.01</v>
      </c>
      <c r="X68" s="18" t="n">
        <v>1105.4</v>
      </c>
      <c r="Y68" s="18" t="n">
        <v>-3306.32</v>
      </c>
      <c r="Z68" s="37" t="n">
        <v>488.72</v>
      </c>
      <c r="AA68" s="18" t="n">
        <v>9816.23</v>
      </c>
      <c r="AB68" s="19" t="n">
        <v>2983.36</v>
      </c>
      <c r="AC68" s="10" t="n"/>
      <c r="AD68" s="10" t="n"/>
      <c r="AE68" s="11" t="n"/>
      <c r="AF68" s="10" t="n"/>
      <c r="AG68" s="10" t="n"/>
      <c r="AH68" s="10" t="n"/>
      <c r="AI68" s="10" t="n"/>
      <c r="AJ68" s="11" t="n"/>
      <c r="AK68" s="10" t="n"/>
      <c r="AL68" s="10" t="n"/>
      <c r="AM68" s="10" t="n"/>
      <c r="AN68" s="10" t="n"/>
      <c r="AO68" s="11" t="n"/>
    </row>
    <row r="69">
      <c r="A69" t="n">
        <v>1</v>
      </c>
      <c r="C69" t="inlineStr">
        <is>
          <t>영업활동으로인한현금흐름</t>
        </is>
      </c>
      <c r="E69" s="18" t="n">
        <v>19516.81</v>
      </c>
      <c r="F69" s="9" t="n"/>
      <c r="G69" s="18" t="n">
        <v>-2675.43</v>
      </c>
      <c r="H69" s="18" t="n">
        <v>-8904.48</v>
      </c>
      <c r="I69" s="18" t="n">
        <v>1604.69</v>
      </c>
      <c r="J69" s="18" t="n">
        <v>4200.71</v>
      </c>
      <c r="K69" s="37" t="n">
        <v>-5774.51</v>
      </c>
      <c r="L69" s="18" t="n">
        <v>-3753.25</v>
      </c>
      <c r="M69" s="18" t="n">
        <v>168.12</v>
      </c>
      <c r="N69" s="18" t="n">
        <v>-2123.75</v>
      </c>
      <c r="O69" s="18" t="n">
        <v>11730.76</v>
      </c>
      <c r="P69" s="37" t="n">
        <v>6021.88</v>
      </c>
      <c r="Q69" s="18" t="n">
        <v>-8682.440000000001</v>
      </c>
      <c r="R69" s="18" t="n">
        <v>1136.05</v>
      </c>
      <c r="S69" s="18" t="n">
        <v>9544.780000000001</v>
      </c>
      <c r="T69" s="18" t="n">
        <v>-5947.38</v>
      </c>
      <c r="U69" s="37" t="n">
        <v>-3948.99</v>
      </c>
      <c r="V69" s="18" t="n">
        <v>5311.47</v>
      </c>
      <c r="W69" s="18" t="n">
        <v>-3604.4</v>
      </c>
      <c r="X69" s="18" t="n">
        <v>-932.25</v>
      </c>
      <c r="Y69" s="18" t="n">
        <v>-5255.26</v>
      </c>
      <c r="Z69" s="37" t="n">
        <v>-4480.44</v>
      </c>
      <c r="AA69" s="18" t="n">
        <v>7711.48</v>
      </c>
      <c r="AB69" s="19" t="n">
        <v>-649.99</v>
      </c>
      <c r="AC69" s="10" t="n"/>
      <c r="AD69" s="10" t="n"/>
      <c r="AE69" s="11" t="n"/>
      <c r="AF69" s="10" t="n"/>
      <c r="AG69" s="10" t="n"/>
      <c r="AH69" s="10" t="n"/>
      <c r="AI69" s="10" t="n"/>
      <c r="AJ69" s="11" t="n"/>
      <c r="AK69" s="10" t="n"/>
      <c r="AL69" s="10" t="n"/>
      <c r="AM69" s="10" t="n"/>
      <c r="AN69" s="10" t="n"/>
      <c r="AO69" s="11" t="n"/>
    </row>
    <row r="70">
      <c r="A70" t="n">
        <v>1</v>
      </c>
      <c r="C70" t="inlineStr">
        <is>
          <t>감가상각비</t>
        </is>
      </c>
      <c r="E70" s="18" t="n">
        <v>756.76</v>
      </c>
      <c r="F70" s="9" t="n"/>
      <c r="G70" s="18" t="n">
        <v>738.35</v>
      </c>
      <c r="H70" s="18" t="n">
        <v>721.99</v>
      </c>
      <c r="I70" s="18" t="n">
        <v>673.8200000000001</v>
      </c>
      <c r="J70" s="18" t="n">
        <v>675.16</v>
      </c>
      <c r="K70" s="37" t="n">
        <v>2809.32</v>
      </c>
      <c r="L70" s="18" t="n">
        <v>661.21</v>
      </c>
      <c r="M70" s="18" t="n">
        <v>622.76</v>
      </c>
      <c r="N70" s="18" t="n">
        <v>552.17</v>
      </c>
      <c r="O70" s="18" t="n">
        <v>527.16</v>
      </c>
      <c r="P70" s="37" t="n">
        <v>2363.3</v>
      </c>
      <c r="Q70" s="18" t="n">
        <v>499.32</v>
      </c>
      <c r="R70" s="18" t="n">
        <v>458.29</v>
      </c>
      <c r="S70" s="18" t="n">
        <v>454.11</v>
      </c>
      <c r="T70" s="18" t="n">
        <v>445.81</v>
      </c>
      <c r="U70" s="37" t="n">
        <v>1857.53</v>
      </c>
      <c r="V70" s="18" t="n">
        <v>230.14</v>
      </c>
      <c r="W70" s="18" t="n">
        <v>235.07</v>
      </c>
      <c r="X70" s="18" t="n">
        <v>226.16</v>
      </c>
      <c r="Z70" s="9" t="n"/>
      <c r="AB70" s="5" t="n"/>
      <c r="AC70" s="10" t="n"/>
      <c r="AD70" s="10" t="n"/>
      <c r="AE70" s="11" t="n"/>
      <c r="AF70" s="10" t="n"/>
      <c r="AG70" s="10" t="n"/>
      <c r="AH70" s="10" t="n"/>
      <c r="AI70" s="10" t="n"/>
      <c r="AJ70" s="11" t="n"/>
      <c r="AK70" s="10" t="n"/>
      <c r="AL70" s="10" t="n"/>
      <c r="AM70" s="10" t="n"/>
      <c r="AN70" s="10" t="n"/>
      <c r="AO70" s="11" t="n"/>
    </row>
    <row r="71">
      <c r="A71" t="n">
        <v>1</v>
      </c>
      <c r="C71" t="inlineStr">
        <is>
          <t>무형자산상각비</t>
        </is>
      </c>
      <c r="E71" s="18" t="n">
        <v>9.130000000000001</v>
      </c>
      <c r="F71" s="9" t="n"/>
      <c r="G71" s="18" t="n">
        <v>8.44</v>
      </c>
      <c r="H71" s="18" t="n">
        <v>7.06</v>
      </c>
      <c r="I71" s="18" t="n">
        <v>7.06</v>
      </c>
      <c r="J71" s="18" t="n">
        <v>7.06</v>
      </c>
      <c r="K71" s="37" t="n">
        <v>29.62</v>
      </c>
      <c r="L71" s="18" t="n">
        <v>7.06</v>
      </c>
      <c r="M71" s="18" t="n">
        <v>6.88</v>
      </c>
      <c r="N71" s="18" t="n">
        <v>6.87</v>
      </c>
      <c r="O71" s="18" t="n">
        <v>4.69</v>
      </c>
      <c r="P71" s="37" t="n">
        <v>25.5</v>
      </c>
      <c r="Q71" s="18" t="n">
        <v>3.6</v>
      </c>
      <c r="R71" s="18" t="n">
        <v>2.6</v>
      </c>
      <c r="S71" s="18" t="n">
        <v>2.13</v>
      </c>
      <c r="T71" s="18" t="n">
        <v>2.1</v>
      </c>
      <c r="U71" s="37" t="n">
        <v>10.43</v>
      </c>
      <c r="V71" s="18" t="n">
        <v>2.05</v>
      </c>
      <c r="W71" s="18" t="n">
        <v>0.67</v>
      </c>
      <c r="X71" s="18" t="n">
        <v>1.41</v>
      </c>
      <c r="Z71" s="9" t="n"/>
      <c r="AB71" s="5" t="n"/>
      <c r="AC71" s="10" t="n"/>
      <c r="AD71" s="10" t="n"/>
      <c r="AE71" s="11" t="n"/>
      <c r="AF71" s="10" t="n"/>
      <c r="AG71" s="10" t="n"/>
      <c r="AH71" s="10" t="n"/>
      <c r="AI71" s="10" t="n"/>
      <c r="AJ71" s="11" t="n"/>
      <c r="AK71" s="10" t="n"/>
      <c r="AL71" s="10" t="n"/>
      <c r="AM71" s="10" t="n"/>
      <c r="AN71" s="10" t="n"/>
      <c r="AO71" s="11" t="n"/>
    </row>
    <row r="72">
      <c r="A72" t="n">
        <v>1</v>
      </c>
      <c r="C72" t="inlineStr">
        <is>
          <t>법인세납부(CF)</t>
        </is>
      </c>
      <c r="E72" s="18" t="n">
        <v>-10.7</v>
      </c>
      <c r="F72" s="9" t="n"/>
      <c r="G72" s="18" t="n">
        <v>-1276.7</v>
      </c>
      <c r="H72" s="18" t="n">
        <v>-1539.29</v>
      </c>
      <c r="I72" s="18" t="n">
        <v>-1346.74</v>
      </c>
      <c r="J72" s="18" t="n">
        <v>-13.95</v>
      </c>
      <c r="K72" s="37" t="n">
        <v>-4176.68</v>
      </c>
      <c r="L72" s="18" t="n">
        <v>-890.5</v>
      </c>
      <c r="M72" s="18" t="n">
        <v>-1200.8</v>
      </c>
      <c r="N72" s="18" t="n">
        <v>-152.3</v>
      </c>
      <c r="O72" s="18" t="n">
        <v>-151.05</v>
      </c>
      <c r="P72" s="37" t="n">
        <v>-2394.65</v>
      </c>
      <c r="Q72" s="18" t="n">
        <v>-11.48</v>
      </c>
      <c r="R72" s="18" t="n">
        <v>81.91</v>
      </c>
      <c r="S72" s="18" t="n">
        <v>-61.87</v>
      </c>
      <c r="T72" s="18" t="n">
        <v>-17.28</v>
      </c>
      <c r="U72" s="37" t="n">
        <v>-8.720000000000001</v>
      </c>
      <c r="V72" s="18" t="n">
        <v>-168.61</v>
      </c>
      <c r="W72" s="18" t="n">
        <v>-301.31</v>
      </c>
      <c r="X72" s="18" t="n">
        <v>-2.97</v>
      </c>
      <c r="Y72" s="18" t="n">
        <v>238.02</v>
      </c>
      <c r="Z72" s="37" t="n">
        <v>-234.87</v>
      </c>
      <c r="AA72" s="18" t="n">
        <v>1.27</v>
      </c>
      <c r="AB72" s="19" t="n">
        <v>28.89</v>
      </c>
      <c r="AC72" s="10" t="n"/>
      <c r="AD72" s="10" t="n"/>
      <c r="AE72" s="11" t="n"/>
      <c r="AF72" s="10" t="n"/>
      <c r="AG72" s="10" t="n"/>
      <c r="AH72" s="10" t="n"/>
      <c r="AI72" s="10" t="n"/>
      <c r="AJ72" s="11" t="n"/>
      <c r="AK72" s="10" t="n"/>
      <c r="AL72" s="10" t="n"/>
      <c r="AM72" s="10" t="n"/>
      <c r="AN72" s="10" t="n"/>
      <c r="AO72" s="11" t="n"/>
    </row>
    <row r="73">
      <c r="A73" t="n">
        <v>1</v>
      </c>
      <c r="C73" t="inlineStr">
        <is>
          <t>투자활동으로인한현금흐름</t>
        </is>
      </c>
      <c r="E73" s="18" t="n">
        <v>-3550.16</v>
      </c>
      <c r="F73" s="9" t="n"/>
      <c r="G73" s="18" t="n">
        <v>22110.1</v>
      </c>
      <c r="H73" s="18" t="n">
        <v>-1996.48</v>
      </c>
      <c r="I73" s="18" t="n">
        <v>-2197.59</v>
      </c>
      <c r="J73" s="18" t="n">
        <v>4042.09</v>
      </c>
      <c r="K73" s="37" t="n">
        <v>21958.12</v>
      </c>
      <c r="L73" s="18" t="n">
        <v>-5963.55</v>
      </c>
      <c r="M73" s="18" t="n">
        <v>-17696.71</v>
      </c>
      <c r="N73" s="18" t="n">
        <v>-986.7</v>
      </c>
      <c r="O73" s="18" t="n">
        <v>2088.58</v>
      </c>
      <c r="P73" s="37" t="n">
        <v>-22558.38</v>
      </c>
      <c r="Q73" s="18" t="n">
        <v>-1035.47</v>
      </c>
      <c r="R73" s="18" t="n">
        <v>-479.41</v>
      </c>
      <c r="S73" s="18" t="n">
        <v>-1232.79</v>
      </c>
      <c r="T73" s="18" t="n">
        <v>-12204.25</v>
      </c>
      <c r="U73" s="37" t="n">
        <v>-14951.92</v>
      </c>
      <c r="V73" s="18" t="n">
        <v>-428.74</v>
      </c>
      <c r="W73" s="18" t="n">
        <v>-373.47</v>
      </c>
      <c r="X73" s="18" t="n">
        <v>-3491.55</v>
      </c>
      <c r="Y73" s="18" t="n">
        <v>10689.34</v>
      </c>
      <c r="Z73" s="37" t="n">
        <v>6395.58</v>
      </c>
      <c r="AA73" s="18" t="n">
        <v>-12053.88</v>
      </c>
      <c r="AB73" s="19" t="n">
        <v>-5093.34</v>
      </c>
      <c r="AC73" s="10" t="n"/>
      <c r="AD73" s="10" t="n"/>
      <c r="AE73" s="11" t="n"/>
      <c r="AF73" s="10" t="n"/>
      <c r="AG73" s="10" t="n"/>
      <c r="AH73" s="10" t="n"/>
      <c r="AI73" s="10" t="n"/>
      <c r="AJ73" s="11" t="n"/>
      <c r="AK73" s="10" t="n"/>
      <c r="AL73" s="10" t="n"/>
      <c r="AM73" s="10" t="n"/>
      <c r="AN73" s="10" t="n"/>
      <c r="AO73" s="11" t="n"/>
    </row>
    <row r="74">
      <c r="A74" t="n">
        <v>1</v>
      </c>
      <c r="C74" t="inlineStr">
        <is>
          <t>유형자산의감소</t>
        </is>
      </c>
      <c r="E74" s="18" t="n">
        <v>9</v>
      </c>
      <c r="F74" s="9" t="n"/>
      <c r="G74" s="18" t="n">
        <v>13</v>
      </c>
      <c r="H74" s="18" t="n">
        <v>0</v>
      </c>
      <c r="I74" s="18" t="n">
        <v>0</v>
      </c>
      <c r="J74" s="18" t="n">
        <v>2642.53</v>
      </c>
      <c r="K74" s="37" t="n">
        <v>2655.53</v>
      </c>
      <c r="L74" s="18" t="n">
        <v>58.25</v>
      </c>
      <c r="M74" s="18" t="n">
        <v>0</v>
      </c>
      <c r="N74" s="18" t="n">
        <v>0</v>
      </c>
      <c r="O74" s="18" t="n">
        <v>0</v>
      </c>
      <c r="P74" s="37" t="n">
        <v>58.25</v>
      </c>
      <c r="T74" s="18" t="n">
        <v>0</v>
      </c>
      <c r="U74" s="9" t="n"/>
      <c r="V74" s="18" t="n">
        <v>10.91</v>
      </c>
      <c r="W74" s="18" t="n">
        <v>40</v>
      </c>
      <c r="X74" s="18" t="n">
        <v>58.64</v>
      </c>
      <c r="Y74" s="18" t="n">
        <v>6.54</v>
      </c>
      <c r="Z74" s="37" t="n">
        <v>116.09</v>
      </c>
      <c r="AB74" s="5" t="n"/>
      <c r="AC74" s="10" t="n"/>
      <c r="AD74" s="10" t="n"/>
      <c r="AE74" s="11" t="n"/>
      <c r="AF74" s="10" t="n"/>
      <c r="AG74" s="10" t="n"/>
      <c r="AH74" s="10" t="n"/>
      <c r="AI74" s="10" t="n"/>
      <c r="AJ74" s="11" t="n"/>
      <c r="AK74" s="10" t="n"/>
      <c r="AL74" s="10" t="n"/>
      <c r="AM74" s="10" t="n"/>
      <c r="AN74" s="10" t="n"/>
      <c r="AO74" s="11" t="n"/>
    </row>
    <row r="75">
      <c r="A75" t="n">
        <v>1</v>
      </c>
      <c r="C75" t="inlineStr">
        <is>
          <t>유형자산의증가</t>
        </is>
      </c>
      <c r="E75" s="18" t="n">
        <v>634.86</v>
      </c>
      <c r="F75" s="9" t="n"/>
      <c r="G75" s="18" t="n">
        <v>153.38</v>
      </c>
      <c r="H75" s="18" t="n">
        <v>1996.71</v>
      </c>
      <c r="I75" s="18" t="n">
        <v>431.85</v>
      </c>
      <c r="J75" s="18" t="n">
        <v>266.81</v>
      </c>
      <c r="K75" s="37" t="n">
        <v>2848.75</v>
      </c>
      <c r="L75" s="18" t="n">
        <v>71.81</v>
      </c>
      <c r="M75" s="18" t="n">
        <v>1686.65</v>
      </c>
      <c r="N75" s="18" t="n">
        <v>33.81</v>
      </c>
      <c r="O75" s="18" t="n">
        <v>5.57</v>
      </c>
      <c r="P75" s="37" t="n">
        <v>1797.84</v>
      </c>
      <c r="Q75" s="18" t="n">
        <v>35.48</v>
      </c>
      <c r="R75" s="18" t="n">
        <v>71.40000000000001</v>
      </c>
      <c r="S75" s="18" t="n">
        <v>272.14</v>
      </c>
      <c r="T75" s="18" t="n">
        <v>1843.87</v>
      </c>
      <c r="U75" s="37" t="n">
        <v>2222.89</v>
      </c>
      <c r="V75" s="18" t="n">
        <v>349.54</v>
      </c>
      <c r="W75" s="18" t="n">
        <v>194.02</v>
      </c>
      <c r="X75" s="18" t="n">
        <v>1715.35</v>
      </c>
      <c r="Z75" s="9" t="n"/>
      <c r="AA75" s="18" t="n">
        <v>10976.64</v>
      </c>
      <c r="AB75" s="19" t="n">
        <v>781.15</v>
      </c>
      <c r="AC75" s="10" t="n"/>
      <c r="AD75" s="10" t="n"/>
      <c r="AE75" s="11" t="n"/>
      <c r="AF75" s="10" t="n"/>
      <c r="AG75" s="10" t="n"/>
      <c r="AH75" s="10" t="n"/>
      <c r="AI75" s="10" t="n"/>
      <c r="AJ75" s="11" t="n"/>
      <c r="AK75" s="10" t="n"/>
      <c r="AL75" s="10" t="n"/>
      <c r="AM75" s="10" t="n"/>
      <c r="AN75" s="10" t="n"/>
      <c r="AO75" s="11" t="n"/>
    </row>
    <row r="76">
      <c r="A76" t="n">
        <v>1</v>
      </c>
      <c r="C76" t="inlineStr">
        <is>
          <t>CAPEX</t>
        </is>
      </c>
      <c r="E76" s="18" t="n">
        <v>634.86</v>
      </c>
      <c r="F76" s="9" t="n"/>
      <c r="G76" s="18" t="n">
        <v>155.63</v>
      </c>
      <c r="H76" s="18" t="n">
        <v>1996.71</v>
      </c>
      <c r="I76" s="18" t="n">
        <v>431.85</v>
      </c>
      <c r="J76" s="18" t="n">
        <v>266.81</v>
      </c>
      <c r="K76" s="37" t="n">
        <v>2851</v>
      </c>
      <c r="L76" s="18" t="n">
        <v>71.81</v>
      </c>
      <c r="M76" s="18" t="n">
        <v>1686.65</v>
      </c>
      <c r="N76" s="18" t="n">
        <v>33.81</v>
      </c>
      <c r="O76" s="18" t="n">
        <v>5.57</v>
      </c>
      <c r="P76" s="37" t="n">
        <v>1797.84</v>
      </c>
      <c r="Q76" s="18" t="n">
        <v>35.48</v>
      </c>
      <c r="R76" s="18" t="n">
        <v>71.40000000000001</v>
      </c>
      <c r="S76" s="18" t="n">
        <v>273.97</v>
      </c>
      <c r="T76" s="18" t="n">
        <v>1843.87</v>
      </c>
      <c r="U76" s="37" t="n">
        <v>2224.72</v>
      </c>
      <c r="V76" s="18" t="n">
        <v>349.54</v>
      </c>
      <c r="W76" s="18" t="n">
        <v>194.02</v>
      </c>
      <c r="X76" s="18" t="n">
        <v>1715.35</v>
      </c>
      <c r="Z76" s="9" t="n"/>
      <c r="AA76" s="18" t="n">
        <v>10976.64</v>
      </c>
      <c r="AB76" s="19" t="n">
        <v>781.15</v>
      </c>
      <c r="AC76" s="10" t="n"/>
      <c r="AD76" s="10" t="n"/>
      <c r="AE76" s="11" t="n"/>
      <c r="AF76" s="10" t="n"/>
      <c r="AG76" s="10" t="n"/>
      <c r="AH76" s="10" t="n"/>
      <c r="AI76" s="10" t="n"/>
      <c r="AJ76" s="11" t="n"/>
      <c r="AK76" s="10" t="n"/>
      <c r="AL76" s="10" t="n"/>
      <c r="AM76" s="10" t="n"/>
      <c r="AN76" s="10" t="n"/>
      <c r="AO76" s="11" t="n"/>
    </row>
    <row r="77">
      <c r="A77" t="n">
        <v>1</v>
      </c>
      <c r="C77" t="inlineStr">
        <is>
          <t>재무활동으로인한현금흐름</t>
        </is>
      </c>
      <c r="E77" s="18" t="n">
        <v>-7210.75</v>
      </c>
      <c r="F77" s="9" t="n"/>
      <c r="G77" s="18" t="n">
        <v>-16483.72</v>
      </c>
      <c r="H77" s="18" t="n">
        <v>2821.57</v>
      </c>
      <c r="I77" s="18" t="n">
        <v>2485.77</v>
      </c>
      <c r="J77" s="18" t="n">
        <v>-7896.89</v>
      </c>
      <c r="K77" s="37" t="n">
        <v>-19073.27</v>
      </c>
      <c r="L77" s="18" t="n">
        <v>7388.11</v>
      </c>
      <c r="M77" s="18" t="n">
        <v>18652.83</v>
      </c>
      <c r="N77" s="18" t="n">
        <v>684.05</v>
      </c>
      <c r="O77" s="18" t="n">
        <v>-7874.69</v>
      </c>
      <c r="P77" s="37" t="n">
        <v>18850.3</v>
      </c>
      <c r="Q77" s="18" t="n">
        <v>4960.37</v>
      </c>
      <c r="R77" s="18" t="n">
        <v>-2778.45</v>
      </c>
      <c r="S77" s="18" t="n">
        <v>-5578.74</v>
      </c>
      <c r="T77" s="18" t="n">
        <v>14575.14</v>
      </c>
      <c r="U77" s="37" t="n">
        <v>11178.32</v>
      </c>
      <c r="V77" s="18" t="n">
        <v>-3293.39</v>
      </c>
      <c r="W77" s="18" t="n">
        <v>1610.92</v>
      </c>
      <c r="X77" s="18" t="n">
        <v>5924.73</v>
      </c>
      <c r="Y77" s="18" t="n">
        <v>-740.83</v>
      </c>
      <c r="Z77" s="37" t="n">
        <v>3501.43</v>
      </c>
      <c r="AA77" s="18" t="n">
        <v>8873.43</v>
      </c>
      <c r="AB77" s="19" t="n">
        <v>-41.05</v>
      </c>
      <c r="AC77" s="10" t="n"/>
      <c r="AD77" s="10" t="n"/>
      <c r="AE77" s="11" t="n"/>
      <c r="AF77" s="10" t="n"/>
      <c r="AG77" s="10" t="n"/>
      <c r="AH77" s="10" t="n"/>
      <c r="AI77" s="10" t="n"/>
      <c r="AJ77" s="11" t="n"/>
      <c r="AK77" s="10" t="n"/>
      <c r="AL77" s="10" t="n"/>
      <c r="AM77" s="10" t="n"/>
      <c r="AN77" s="10" t="n"/>
      <c r="AO77" s="11" t="n"/>
    </row>
    <row r="78">
      <c r="A78" t="n">
        <v>1</v>
      </c>
      <c r="C78" t="inlineStr">
        <is>
          <t>단기차입금의증가</t>
        </is>
      </c>
      <c r="E78" s="18" t="n">
        <v>18747.54</v>
      </c>
      <c r="F78" s="9" t="n"/>
      <c r="G78" s="18" t="n">
        <v>17607.81</v>
      </c>
      <c r="H78" s="18" t="n">
        <v>47739.57</v>
      </c>
      <c r="I78" s="18" t="n">
        <v>38208.48</v>
      </c>
      <c r="J78" s="18" t="n">
        <v>40791.19</v>
      </c>
      <c r="K78" s="37" t="n">
        <v>144347.05</v>
      </c>
      <c r="L78" s="18" t="n">
        <v>46327.94</v>
      </c>
      <c r="M78" s="18" t="n">
        <v>52788.81</v>
      </c>
      <c r="N78" s="18" t="n">
        <v>48243.73</v>
      </c>
      <c r="O78" s="18" t="n">
        <v>29520.18</v>
      </c>
      <c r="P78" s="37" t="n">
        <v>176880.66</v>
      </c>
      <c r="Q78" s="18" t="n">
        <v>59203.05</v>
      </c>
      <c r="R78" s="18" t="n">
        <v>40073.7</v>
      </c>
      <c r="S78" s="18" t="n">
        <v>44038.24</v>
      </c>
      <c r="T78" s="18" t="n">
        <v>47570.48</v>
      </c>
      <c r="U78" s="37" t="n">
        <v>190885.47</v>
      </c>
      <c r="V78" s="18" t="n">
        <v>54408.19</v>
      </c>
      <c r="W78" s="18" t="n">
        <v>45411.84</v>
      </c>
      <c r="X78" s="18" t="n">
        <v>53887.34</v>
      </c>
      <c r="Y78" s="18" t="n">
        <v>37109.87</v>
      </c>
      <c r="Z78" s="37" t="n">
        <v>190817.24</v>
      </c>
      <c r="AA78" s="18" t="n">
        <v>31000.03</v>
      </c>
      <c r="AB78" s="19" t="n">
        <v>17469.97</v>
      </c>
      <c r="AC78" s="10" t="n"/>
      <c r="AD78" s="10" t="n"/>
      <c r="AE78" s="11" t="n"/>
      <c r="AF78" s="10" t="n"/>
      <c r="AG78" s="10" t="n"/>
      <c r="AH78" s="10" t="n"/>
      <c r="AI78" s="10" t="n"/>
      <c r="AJ78" s="11" t="n"/>
      <c r="AK78" s="10" t="n"/>
      <c r="AL78" s="10" t="n"/>
      <c r="AM78" s="10" t="n"/>
      <c r="AN78" s="10" t="n"/>
      <c r="AO78" s="11" t="n"/>
    </row>
    <row r="79">
      <c r="A79" t="n">
        <v>1</v>
      </c>
      <c r="C79" t="inlineStr">
        <is>
          <t>장기차입금의증가</t>
        </is>
      </c>
      <c r="E79" s="18" t="n">
        <v>0</v>
      </c>
      <c r="F79" s="9" t="n"/>
      <c r="K79" s="9" t="n"/>
      <c r="N79" s="18" t="n">
        <v>0</v>
      </c>
      <c r="O79" s="18" t="n">
        <v>0</v>
      </c>
      <c r="P79" s="9" t="n"/>
      <c r="T79" s="18" t="n">
        <v>0</v>
      </c>
      <c r="U79" s="9" t="n"/>
      <c r="Z79" s="9" t="n"/>
      <c r="AA79" s="18" t="n">
        <v>10000</v>
      </c>
      <c r="AB79" s="19" t="n">
        <v>0</v>
      </c>
      <c r="AC79" s="10" t="n"/>
      <c r="AD79" s="10" t="n"/>
      <c r="AE79" s="11" t="n"/>
      <c r="AF79" s="10" t="n"/>
      <c r="AG79" s="10" t="n"/>
      <c r="AH79" s="10" t="n"/>
      <c r="AI79" s="10" t="n"/>
      <c r="AJ79" s="11" t="n"/>
      <c r="AK79" s="10" t="n"/>
      <c r="AL79" s="10" t="n"/>
      <c r="AM79" s="10" t="n"/>
      <c r="AN79" s="10" t="n"/>
      <c r="AO79" s="11" t="n"/>
    </row>
    <row r="80">
      <c r="A80" t="n">
        <v>1</v>
      </c>
      <c r="C80" t="inlineStr">
        <is>
          <t>단기차입금의감소</t>
        </is>
      </c>
      <c r="E80" s="18" t="n">
        <v>24718.56</v>
      </c>
      <c r="F80" s="9" t="n"/>
      <c r="G80" s="18" t="n">
        <v>29636.97</v>
      </c>
      <c r="H80" s="18" t="n">
        <v>44639.56</v>
      </c>
      <c r="I80" s="18" t="n">
        <v>35208.48</v>
      </c>
      <c r="J80" s="18" t="n">
        <v>47121.19</v>
      </c>
      <c r="K80" s="37" t="n">
        <v>156606.2</v>
      </c>
      <c r="L80" s="18" t="n">
        <v>38847.94</v>
      </c>
      <c r="M80" s="18" t="n">
        <v>48838.81</v>
      </c>
      <c r="N80" s="18" t="n">
        <v>47483.73</v>
      </c>
      <c r="O80" s="18" t="n">
        <v>37318.3</v>
      </c>
      <c r="P80" s="37" t="n">
        <v>172488.78</v>
      </c>
      <c r="Q80" s="18" t="n">
        <v>48165.2</v>
      </c>
      <c r="R80" s="18" t="n">
        <v>42773.69</v>
      </c>
      <c r="S80" s="18" t="n">
        <v>49538.25</v>
      </c>
      <c r="T80" s="18" t="n">
        <v>32870.47</v>
      </c>
      <c r="U80" s="37" t="n">
        <v>173347.61</v>
      </c>
      <c r="V80" s="18" t="n">
        <v>57608.19</v>
      </c>
      <c r="W80" s="18" t="n">
        <v>43721.84</v>
      </c>
      <c r="X80" s="18" t="n">
        <v>47877.34</v>
      </c>
      <c r="Y80" s="18" t="n">
        <v>37809.87</v>
      </c>
      <c r="Z80" s="37" t="n">
        <v>187017.24</v>
      </c>
      <c r="AA80" s="18" t="n">
        <v>32000.03</v>
      </c>
      <c r="AB80" s="19" t="n">
        <v>17469.97</v>
      </c>
      <c r="AC80" s="10" t="n"/>
      <c r="AD80" s="10" t="n"/>
      <c r="AE80" s="11" t="n"/>
      <c r="AF80" s="10" t="n"/>
      <c r="AG80" s="10" t="n"/>
      <c r="AH80" s="10" t="n"/>
      <c r="AI80" s="10" t="n"/>
      <c r="AJ80" s="11" t="n"/>
      <c r="AK80" s="10" t="n"/>
      <c r="AL80" s="10" t="n"/>
      <c r="AM80" s="10" t="n"/>
      <c r="AN80" s="10" t="n"/>
      <c r="AO80" s="11" t="n"/>
    </row>
    <row r="81">
      <c r="A81" t="n">
        <v>1</v>
      </c>
      <c r="C81" t="inlineStr">
        <is>
          <t>유동성장기부채의감소</t>
        </is>
      </c>
      <c r="E81" s="18" t="n">
        <v>1142.84</v>
      </c>
      <c r="F81" s="9" t="n"/>
      <c r="G81" s="18" t="n">
        <v>2035.68</v>
      </c>
      <c r="H81" s="18" t="n">
        <v>178.56</v>
      </c>
      <c r="I81" s="18" t="n">
        <v>178.56</v>
      </c>
      <c r="J81" s="18" t="n">
        <v>0</v>
      </c>
      <c r="K81" s="37" t="n">
        <v>2392.8</v>
      </c>
      <c r="P81" s="9" t="n"/>
      <c r="Q81" s="18" t="n">
        <v>6000</v>
      </c>
      <c r="R81" s="18" t="n">
        <v>0</v>
      </c>
      <c r="S81" s="18" t="n">
        <v>0</v>
      </c>
      <c r="T81" s="18" t="n">
        <v>0</v>
      </c>
      <c r="U81" s="37" t="n">
        <v>6000</v>
      </c>
      <c r="Z81" s="9" t="n"/>
      <c r="AB81" s="5" t="n"/>
      <c r="AC81" s="10" t="n"/>
      <c r="AD81" s="10" t="n"/>
      <c r="AE81" s="11" t="n"/>
      <c r="AF81" s="10" t="n"/>
      <c r="AG81" s="10" t="n"/>
      <c r="AH81" s="10" t="n"/>
      <c r="AI81" s="10" t="n"/>
      <c r="AJ81" s="11" t="n"/>
      <c r="AK81" s="10" t="n"/>
      <c r="AL81" s="10" t="n"/>
      <c r="AM81" s="10" t="n"/>
      <c r="AN81" s="10" t="n"/>
      <c r="AO81" s="11" t="n"/>
    </row>
    <row r="82">
      <c r="A82" t="n">
        <v>1</v>
      </c>
      <c r="C82" t="inlineStr">
        <is>
          <t>현금및현금성자산의증감</t>
        </is>
      </c>
      <c r="E82" s="18" t="n">
        <v>17511.49</v>
      </c>
      <c r="F82" s="9" t="n"/>
      <c r="G82" s="18" t="n">
        <v>2950.95</v>
      </c>
      <c r="H82" s="18" t="n">
        <v>-8079.39</v>
      </c>
      <c r="I82" s="18" t="n">
        <v>1892.87</v>
      </c>
      <c r="J82" s="18" t="n">
        <v>345.91</v>
      </c>
      <c r="K82" s="37" t="n">
        <v>-2889.66</v>
      </c>
      <c r="L82" s="18" t="n">
        <v>-2328.69</v>
      </c>
      <c r="M82" s="18" t="n">
        <v>1124.23</v>
      </c>
      <c r="N82" s="18" t="n">
        <v>-2426.39</v>
      </c>
      <c r="O82" s="18" t="n">
        <v>5944.65</v>
      </c>
      <c r="P82" s="37" t="n">
        <v>2313.8</v>
      </c>
      <c r="Q82" s="18" t="n">
        <v>-4757.55</v>
      </c>
      <c r="R82" s="18" t="n">
        <v>-2121.8</v>
      </c>
      <c r="S82" s="18" t="n">
        <v>2733.25</v>
      </c>
      <c r="T82" s="18" t="n">
        <v>-3576.49</v>
      </c>
      <c r="U82" s="37" t="n">
        <v>-7722.59</v>
      </c>
      <c r="V82" s="18" t="n">
        <v>1589.35</v>
      </c>
      <c r="W82" s="18" t="n">
        <v>-2366.96</v>
      </c>
      <c r="X82" s="18" t="n">
        <v>1500.94</v>
      </c>
      <c r="Y82" s="18" t="n">
        <v>4693.24</v>
      </c>
      <c r="Z82" s="37" t="n">
        <v>5416.57</v>
      </c>
      <c r="AA82" s="18" t="n">
        <v>4531.03</v>
      </c>
      <c r="AB82" s="19" t="n">
        <v>-5784.38</v>
      </c>
      <c r="AC82" s="10" t="n"/>
      <c r="AD82" s="10" t="n"/>
      <c r="AE82" s="11" t="n"/>
      <c r="AF82" s="10" t="n"/>
      <c r="AG82" s="10" t="n"/>
      <c r="AH82" s="10" t="n"/>
      <c r="AI82" s="10" t="n"/>
      <c r="AJ82" s="11" t="n"/>
      <c r="AK82" s="10" t="n"/>
      <c r="AL82" s="10" t="n"/>
      <c r="AM82" s="10" t="n"/>
      <c r="AN82" s="10" t="n"/>
      <c r="AO82" s="11" t="n"/>
    </row>
    <row r="83">
      <c r="A83" t="n">
        <v>1</v>
      </c>
      <c r="C83" t="inlineStr">
        <is>
          <t>기말현금및현금성자산</t>
        </is>
      </c>
      <c r="E83" s="18" t="n">
        <v>8755.58</v>
      </c>
      <c r="F83" s="9" t="n"/>
      <c r="G83" s="18" t="n">
        <v>13271.53</v>
      </c>
      <c r="H83" s="18" t="n">
        <v>-7924.09</v>
      </c>
      <c r="I83" s="18" t="n">
        <v>1982.99</v>
      </c>
      <c r="J83" s="18" t="n">
        <v>142.19</v>
      </c>
      <c r="K83" s="37" t="n">
        <v>7472.62</v>
      </c>
      <c r="L83" s="18" t="n">
        <v>5155.65</v>
      </c>
      <c r="M83" s="18" t="n">
        <v>1119.32</v>
      </c>
      <c r="N83" s="18" t="n">
        <v>-2427.46</v>
      </c>
      <c r="O83" s="18" t="n">
        <v>5940.23</v>
      </c>
      <c r="P83" s="37" t="n">
        <v>9787.74</v>
      </c>
      <c r="Q83" s="18" t="n">
        <v>5041.55</v>
      </c>
      <c r="R83" s="18" t="n">
        <v>-2134.32</v>
      </c>
      <c r="S83" s="18" t="n">
        <v>2717.95</v>
      </c>
      <c r="T83" s="18" t="n">
        <v>-3546.11</v>
      </c>
      <c r="U83" s="37" t="n">
        <v>2079.07</v>
      </c>
      <c r="V83" s="18" t="n">
        <v>3761.92</v>
      </c>
      <c r="W83" s="18" t="n">
        <v>-2370.75</v>
      </c>
      <c r="X83" s="18" t="n">
        <v>1502</v>
      </c>
      <c r="Y83" s="18" t="n">
        <v>4569.29</v>
      </c>
      <c r="Z83" s="37" t="n">
        <v>7462.46</v>
      </c>
      <c r="AA83" s="18" t="n">
        <v>11996.52</v>
      </c>
      <c r="AB83" s="19" t="n">
        <v>-5787.41</v>
      </c>
      <c r="AC83" s="10" t="n"/>
      <c r="AD83" s="10" t="n"/>
      <c r="AE83" s="11" t="n"/>
      <c r="AF83" s="10" t="n"/>
      <c r="AG83" s="10" t="n"/>
      <c r="AH83" s="10" t="n"/>
      <c r="AI83" s="10" t="n"/>
      <c r="AJ83" s="11" t="n"/>
      <c r="AK83" s="10" t="n"/>
      <c r="AL83" s="10" t="n"/>
      <c r="AM83" s="10" t="n"/>
      <c r="AN83" s="10" t="n"/>
      <c r="AO83" s="11" t="n"/>
    </row>
    <row r="84">
      <c r="A84" t="n">
        <v>1</v>
      </c>
      <c r="C84" t="inlineStr">
        <is>
          <t>무형자산의증가</t>
        </is>
      </c>
      <c r="F84" s="9" t="n"/>
      <c r="G84" s="18" t="n">
        <v>2.25</v>
      </c>
      <c r="H84" s="18" t="n">
        <v>0</v>
      </c>
      <c r="I84" s="18" t="n">
        <v>0</v>
      </c>
      <c r="J84" s="18" t="n">
        <v>0</v>
      </c>
      <c r="K84" s="37" t="n">
        <v>2.25</v>
      </c>
      <c r="P84" s="9" t="n"/>
      <c r="T84" s="18" t="n">
        <v>0</v>
      </c>
      <c r="U84" s="9" t="n"/>
      <c r="Z84" s="9" t="n"/>
      <c r="AB84" s="5" t="n"/>
      <c r="AC84" s="10" t="n"/>
      <c r="AD84" s="10" t="n"/>
      <c r="AE84" s="11" t="n"/>
      <c r="AF84" s="10" t="n"/>
      <c r="AG84" s="10" t="n"/>
      <c r="AH84" s="10" t="n"/>
      <c r="AI84" s="10" t="n"/>
      <c r="AJ84" s="11" t="n"/>
      <c r="AK84" s="10" t="n"/>
      <c r="AL84" s="10" t="n"/>
      <c r="AM84" s="10" t="n"/>
      <c r="AN84" s="10" t="n"/>
      <c r="AO84" s="11" t="n"/>
    </row>
    <row r="85">
      <c r="A85" t="n">
        <v>1</v>
      </c>
      <c r="C85" t="inlineStr">
        <is>
          <t>장기차입금의감소</t>
        </is>
      </c>
      <c r="F85" s="9" t="n"/>
      <c r="G85" s="18" t="n">
        <v>2321.4</v>
      </c>
      <c r="H85" s="18" t="n">
        <v>0</v>
      </c>
      <c r="I85" s="18" t="n">
        <v>0</v>
      </c>
      <c r="J85" s="18" t="n">
        <v>0</v>
      </c>
      <c r="K85" s="37" t="n">
        <v>2321.4</v>
      </c>
      <c r="P85" s="9" t="n"/>
      <c r="T85" s="18" t="n">
        <v>0</v>
      </c>
      <c r="U85" s="9" t="n"/>
      <c r="Z85" s="9" t="n"/>
      <c r="AB85" s="5" t="n"/>
      <c r="AC85" s="10" t="n"/>
      <c r="AD85" s="10" t="n"/>
      <c r="AE85" s="11" t="n"/>
      <c r="AF85" s="10" t="n"/>
      <c r="AG85" s="10" t="n"/>
      <c r="AH85" s="10" t="n"/>
      <c r="AI85" s="10" t="n"/>
      <c r="AJ85" s="11" t="n"/>
      <c r="AK85" s="10" t="n"/>
      <c r="AL85" s="10" t="n"/>
      <c r="AM85" s="10" t="n"/>
      <c r="AN85" s="10" t="n"/>
      <c r="AO85" s="11" t="n"/>
    </row>
    <row r="86">
      <c r="A86" t="n">
        <v>1</v>
      </c>
      <c r="C86" t="inlineStr">
        <is>
          <t>자기주식의취득</t>
        </is>
      </c>
      <c r="F86" s="9" t="n"/>
      <c r="J86" s="18" t="n">
        <v>1466.52</v>
      </c>
      <c r="K86" s="9" t="n"/>
      <c r="P86" s="9" t="n"/>
      <c r="U86" s="9" t="n"/>
      <c r="Z86" s="9" t="n"/>
      <c r="AB86" s="5" t="n"/>
      <c r="AC86" s="10" t="n"/>
      <c r="AD86" s="10" t="n"/>
      <c r="AE86" s="11" t="n"/>
      <c r="AF86" s="10" t="n"/>
      <c r="AG86" s="10" t="n"/>
      <c r="AH86" s="10" t="n"/>
      <c r="AI86" s="10" t="n"/>
      <c r="AJ86" s="11" t="n"/>
      <c r="AK86" s="10" t="n"/>
      <c r="AL86" s="10" t="n"/>
      <c r="AM86" s="10" t="n"/>
      <c r="AN86" s="10" t="n"/>
      <c r="AO86" s="11" t="n"/>
    </row>
    <row r="87">
      <c r="A87" t="n">
        <v>1</v>
      </c>
      <c r="C87" t="inlineStr">
        <is>
          <t>배당금지급</t>
        </is>
      </c>
      <c r="F87" s="9" t="n"/>
      <c r="K87" s="9" t="n"/>
      <c r="N87" s="18" t="n">
        <v>0</v>
      </c>
      <c r="O87" s="18" t="n">
        <v>0</v>
      </c>
      <c r="P87" s="9" t="n"/>
      <c r="U87" s="9" t="n"/>
      <c r="Z87" s="9" t="n"/>
      <c r="AB87" s="5" t="n"/>
      <c r="AC87" s="10" t="n"/>
      <c r="AD87" s="10" t="n"/>
      <c r="AE87" s="11" t="n"/>
      <c r="AF87" s="10" t="n"/>
      <c r="AG87" s="10" t="n"/>
      <c r="AH87" s="10" t="n"/>
      <c r="AI87" s="10" t="n"/>
      <c r="AJ87" s="11" t="n"/>
      <c r="AK87" s="10" t="n"/>
      <c r="AL87" s="10" t="n"/>
      <c r="AM87" s="10" t="n"/>
      <c r="AN87" s="10" t="n"/>
      <c r="AO87" s="11" t="n"/>
    </row>
    <row r="88">
      <c r="A88" t="n">
        <v>1</v>
      </c>
      <c r="C88" t="inlineStr">
        <is>
          <t>이자수취(CF)</t>
        </is>
      </c>
      <c r="F88" s="9" t="n"/>
      <c r="K88" s="9" t="n"/>
      <c r="O88" s="18" t="n">
        <v>75.43000000000001</v>
      </c>
      <c r="P88" s="9" t="n"/>
      <c r="Q88" s="18" t="n">
        <v>43.5</v>
      </c>
      <c r="R88" s="18" t="n">
        <v>53.94</v>
      </c>
      <c r="S88" s="18" t="n">
        <v>62.23</v>
      </c>
      <c r="T88" s="18" t="n">
        <v>73.29000000000001</v>
      </c>
      <c r="U88" s="37" t="n">
        <v>232.96</v>
      </c>
      <c r="V88" s="18" t="n">
        <v>32.68</v>
      </c>
      <c r="W88" s="18" t="n">
        <v>46.21</v>
      </c>
      <c r="X88" s="18" t="n">
        <v>33.41</v>
      </c>
      <c r="Y88" s="18" t="n">
        <v>33.2</v>
      </c>
      <c r="Z88" s="37" t="n">
        <v>145.5</v>
      </c>
      <c r="AA88" s="18" t="n">
        <v>29.26</v>
      </c>
      <c r="AB88" s="19" t="n">
        <v>10.79</v>
      </c>
      <c r="AC88" s="10" t="n"/>
      <c r="AD88" s="10" t="n"/>
      <c r="AE88" s="11" t="n"/>
      <c r="AF88" s="10" t="n"/>
      <c r="AG88" s="10" t="n"/>
      <c r="AH88" s="10" t="n"/>
      <c r="AI88" s="10" t="n"/>
      <c r="AJ88" s="11" t="n"/>
      <c r="AK88" s="10" t="n"/>
      <c r="AL88" s="10" t="n"/>
      <c r="AM88" s="10" t="n"/>
      <c r="AN88" s="10" t="n"/>
      <c r="AO88" s="11" t="n"/>
    </row>
    <row r="89">
      <c r="A89" t="n">
        <v>1</v>
      </c>
      <c r="C89" t="inlineStr">
        <is>
          <t>리스부채의상환</t>
        </is>
      </c>
      <c r="F89" s="9" t="n"/>
      <c r="K89" s="9" t="n"/>
      <c r="O89" s="18" t="n">
        <v>76.56</v>
      </c>
      <c r="P89" s="9" t="n"/>
      <c r="Q89" s="18" t="n">
        <v>77.48999999999999</v>
      </c>
      <c r="R89" s="18" t="n">
        <v>78.44</v>
      </c>
      <c r="S89" s="18" t="n">
        <v>78.75</v>
      </c>
      <c r="T89" s="18" t="n">
        <v>78.59999999999999</v>
      </c>
      <c r="U89" s="37" t="n">
        <v>313.28</v>
      </c>
      <c r="V89" s="18" t="n">
        <v>78.39</v>
      </c>
      <c r="W89" s="18" t="n">
        <v>79.08</v>
      </c>
      <c r="X89" s="18" t="n">
        <v>79.27</v>
      </c>
      <c r="Z89" s="9" t="n"/>
      <c r="AB89" s="5" t="n"/>
      <c r="AC89" s="10" t="n"/>
      <c r="AD89" s="10" t="n"/>
      <c r="AE89" s="11" t="n"/>
      <c r="AF89" s="10" t="n"/>
      <c r="AG89" s="10" t="n"/>
      <c r="AH89" s="10" t="n"/>
      <c r="AI89" s="10" t="n"/>
      <c r="AJ89" s="11" t="n"/>
      <c r="AK89" s="10" t="n"/>
      <c r="AL89" s="10" t="n"/>
      <c r="AM89" s="10" t="n"/>
      <c r="AN89" s="10" t="n"/>
      <c r="AO89" s="1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44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A1" s="1" t="inlineStr">
        <is>
          <t>YQ</t>
        </is>
      </c>
      <c r="C1" s="2" t="inlineStr">
        <is>
          <t>subQ 분기 서브모델(억원, U=100)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A2" s="2" t="inlineStr">
        <is>
          <t>A=이름(key) B=그룹 C=단위 D=FnGuide 계정명(VLOOKUP 키). 확정=VLOOKUP(BS), 추정=변수 가정 참조</t>
        </is>
      </c>
      <c r="AB2" s="5" t="n"/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s="12" t="inlineStr">
        <is>
          <t>매출액</t>
        </is>
      </c>
      <c r="B5" t="inlineStr">
        <is>
          <t>손익</t>
        </is>
      </c>
      <c r="C5" t="inlineStr">
        <is>
          <t>억원</t>
        </is>
      </c>
      <c r="D5" t="inlineStr">
        <is>
          <t>매출액(수익)</t>
        </is>
      </c>
      <c r="E5" s="18">
        <f>IFERROR(VLOOKUP($D5,BS연결,MATCH(E$1,BS연결H,0),0)/100,"")</f>
        <v/>
      </c>
      <c r="F5" s="37" t="n"/>
      <c r="G5" s="18">
        <f>IFERROR(VLOOKUP($D5,BS연결,MATCH(G$1,BS연결H,0),0)/100,"")</f>
        <v/>
      </c>
      <c r="H5" s="18">
        <f>IFERROR(VLOOKUP($D5,BS연결,MATCH(H$1,BS연결H,0),0)/100,"")</f>
        <v/>
      </c>
      <c r="I5" s="18">
        <f>IFERROR(VLOOKUP($D5,BS연결,MATCH(I$1,BS연결H,0),0)/100,"")</f>
        <v/>
      </c>
      <c r="J5" s="18">
        <f>IFERROR(VLOOKUP($D5,BS연결,MATCH(J$1,BS연결H,0),0)/100,"")</f>
        <v/>
      </c>
      <c r="K5" s="37">
        <f>IFERROR(VLOOKUP($D5,BS연결,MATCH(K$1,BS연결H,0),0)/100,"")</f>
        <v/>
      </c>
      <c r="L5" s="18">
        <f>IFERROR(VLOOKUP($D5,BS연결,MATCH(L$1,BS연결H,0),0)/100,"")</f>
        <v/>
      </c>
      <c r="M5" s="18">
        <f>IFERROR(VLOOKUP($D5,BS연결,MATCH(M$1,BS연결H,0),0)/100,"")</f>
        <v/>
      </c>
      <c r="N5" s="18">
        <f>IFERROR(VLOOKUP($D5,BS연결,MATCH(N$1,BS연결H,0),0)/100,"")</f>
        <v/>
      </c>
      <c r="O5" s="18">
        <f>IFERROR(VLOOKUP($D5,BS연결,MATCH(O$1,BS연결H,0),0)/100,"")</f>
        <v/>
      </c>
      <c r="P5" s="37">
        <f>IFERROR(VLOOKUP($D5,BS연결,MATCH(P$1,BS연결H,0),0)/100,"")</f>
        <v/>
      </c>
      <c r="Q5" s="18">
        <f>IFERROR(VLOOKUP($D5,BS연결,MATCH(Q$1,BS연결H,0),0)/100,"")</f>
        <v/>
      </c>
      <c r="R5" s="18">
        <f>IFERROR(VLOOKUP($D5,BS연결,MATCH(R$1,BS연결H,0),0)/100,"")</f>
        <v/>
      </c>
      <c r="S5" s="18">
        <f>IFERROR(VLOOKUP($D5,BS연결,MATCH(S$1,BS연결H,0),0)/100,"")</f>
        <v/>
      </c>
      <c r="T5" s="18">
        <f>IFERROR(VLOOKUP($D5,BS연결,MATCH(T$1,BS연결H,0),0)/100,"")</f>
        <v/>
      </c>
      <c r="U5" s="37">
        <f>IFERROR(VLOOKUP($D5,BS연결,MATCH(U$1,BS연결H,0),0)/100,"")</f>
        <v/>
      </c>
      <c r="V5" s="18">
        <f>IFERROR(VLOOKUP($D5,BS연결,MATCH(V$1,BS연결H,0),0)/100,"")</f>
        <v/>
      </c>
      <c r="W5" s="18">
        <f>IFERROR(VLOOKUP($D5,BS연결,MATCH(W$1,BS연결H,0),0)/100,"")</f>
        <v/>
      </c>
      <c r="X5" s="18">
        <f>IFERROR(VLOOKUP($D5,BS연결,MATCH(X$1,BS연결H,0),0)/100,"")</f>
        <v/>
      </c>
      <c r="Y5" s="18">
        <f>IFERROR(VLOOKUP($D5,BS연결,MATCH(Y$1,BS연결H,0),0)/100,"")</f>
        <v/>
      </c>
      <c r="Z5" s="37">
        <f>IFERROR(VLOOKUP($D5,BS연결,MATCH(Z$1,BS연결H,0),0)/100,"")</f>
        <v/>
      </c>
      <c r="AA5" s="18">
        <f>IFERROR(VLOOKUP($D5,BS연결,MATCH(AA$1,BS연결H,0),0)/100,"")</f>
        <v/>
      </c>
      <c r="AB5" s="19">
        <f>IFERROR(VLOOKUP($D5,BS연결,MATCH(AB$1,BS연결H,0),0)/100,"")</f>
        <v/>
      </c>
      <c r="AC5" s="20">
        <f>IFERROR(X5*(1+변수!AC21),"")</f>
        <v/>
      </c>
      <c r="AD5" s="20">
        <f>IFERROR(Y5*(1+변수!AD21),"")</f>
        <v/>
      </c>
      <c r="AE5" s="38">
        <f>SUM(AA5:AD5)</f>
        <v/>
      </c>
      <c r="AF5" s="20">
        <f>IFERROR(AA5*(1+변수!AF21),"")</f>
        <v/>
      </c>
      <c r="AG5" s="20">
        <f>IFERROR(AB5*(1+변수!AG21),"")</f>
        <v/>
      </c>
      <c r="AH5" s="20">
        <f>IFERROR(AC5*(1+변수!AH21),"")</f>
        <v/>
      </c>
      <c r="AI5" s="20">
        <f>IFERROR(AD5*(1+변수!AI21),"")</f>
        <v/>
      </c>
      <c r="AJ5" s="38">
        <f>SUM(AF5:AI5)</f>
        <v/>
      </c>
      <c r="AK5" s="20">
        <f>IFERROR(AF5*(1+변수!AK21),"")</f>
        <v/>
      </c>
      <c r="AL5" s="20">
        <f>IFERROR(AG5*(1+변수!AL21),"")</f>
        <v/>
      </c>
      <c r="AM5" s="20">
        <f>IFERROR(AH5*(1+변수!AM21),"")</f>
        <v/>
      </c>
      <c r="AN5" s="20">
        <f>IFERROR(AI5*(1+변수!AN21),"")</f>
        <v/>
      </c>
      <c r="AO5" s="38">
        <f>SUM(AK5:AN5)</f>
        <v/>
      </c>
    </row>
    <row r="6">
      <c r="A6" s="12" t="inlineStr">
        <is>
          <t>매출원가</t>
        </is>
      </c>
      <c r="B6" t="inlineStr">
        <is>
          <t>손익</t>
        </is>
      </c>
      <c r="C6" t="inlineStr">
        <is>
          <t>억원</t>
        </is>
      </c>
      <c r="D6" t="inlineStr">
        <is>
          <t>매출원가</t>
        </is>
      </c>
      <c r="E6" s="18">
        <f>IFERROR(VLOOKUP($D6,BS연결,MATCH(E$1,BS연결H,0),0)/100,"")</f>
        <v/>
      </c>
      <c r="F6" s="37" t="n"/>
      <c r="G6" s="18">
        <f>IFERROR(VLOOKUP($D6,BS연결,MATCH(G$1,BS연결H,0),0)/100,"")</f>
        <v/>
      </c>
      <c r="H6" s="18">
        <f>IFERROR(VLOOKUP($D6,BS연결,MATCH(H$1,BS연결H,0),0)/100,"")</f>
        <v/>
      </c>
      <c r="I6" s="18">
        <f>IFERROR(VLOOKUP($D6,BS연결,MATCH(I$1,BS연결H,0),0)/100,"")</f>
        <v/>
      </c>
      <c r="J6" s="18">
        <f>IFERROR(VLOOKUP($D6,BS연결,MATCH(J$1,BS연결H,0),0)/100,"")</f>
        <v/>
      </c>
      <c r="K6" s="37">
        <f>IFERROR(VLOOKUP($D6,BS연결,MATCH(K$1,BS연결H,0),0)/100,"")</f>
        <v/>
      </c>
      <c r="L6" s="18">
        <f>IFERROR(VLOOKUP($D6,BS연결,MATCH(L$1,BS연결H,0),0)/100,"")</f>
        <v/>
      </c>
      <c r="M6" s="18">
        <f>IFERROR(VLOOKUP($D6,BS연결,MATCH(M$1,BS연결H,0),0)/100,"")</f>
        <v/>
      </c>
      <c r="N6" s="18">
        <f>IFERROR(VLOOKUP($D6,BS연결,MATCH(N$1,BS연결H,0),0)/100,"")</f>
        <v/>
      </c>
      <c r="O6" s="18">
        <f>IFERROR(VLOOKUP($D6,BS연결,MATCH(O$1,BS연결H,0),0)/100,"")</f>
        <v/>
      </c>
      <c r="P6" s="37">
        <f>IFERROR(VLOOKUP($D6,BS연결,MATCH(P$1,BS연결H,0),0)/100,"")</f>
        <v/>
      </c>
      <c r="Q6" s="18">
        <f>IFERROR(VLOOKUP($D6,BS연결,MATCH(Q$1,BS연결H,0),0)/100,"")</f>
        <v/>
      </c>
      <c r="R6" s="18">
        <f>IFERROR(VLOOKUP($D6,BS연결,MATCH(R$1,BS연결H,0),0)/100,"")</f>
        <v/>
      </c>
      <c r="S6" s="18">
        <f>IFERROR(VLOOKUP($D6,BS연결,MATCH(S$1,BS연결H,0),0)/100,"")</f>
        <v/>
      </c>
      <c r="T6" s="18">
        <f>IFERROR(VLOOKUP($D6,BS연결,MATCH(T$1,BS연결H,0),0)/100,"")</f>
        <v/>
      </c>
      <c r="U6" s="37">
        <f>IFERROR(VLOOKUP($D6,BS연결,MATCH(U$1,BS연결H,0),0)/100,"")</f>
        <v/>
      </c>
      <c r="V6" s="18">
        <f>IFERROR(VLOOKUP($D6,BS연결,MATCH(V$1,BS연결H,0),0)/100,"")</f>
        <v/>
      </c>
      <c r="W6" s="18">
        <f>IFERROR(VLOOKUP($D6,BS연결,MATCH(W$1,BS연결H,0),0)/100,"")</f>
        <v/>
      </c>
      <c r="X6" s="18">
        <f>IFERROR(VLOOKUP($D6,BS연결,MATCH(X$1,BS연결H,0),0)/100,"")</f>
        <v/>
      </c>
      <c r="Y6" s="18">
        <f>IFERROR(VLOOKUP($D6,BS연결,MATCH(Y$1,BS연결H,0),0)/100,"")</f>
        <v/>
      </c>
      <c r="Z6" s="37">
        <f>IFERROR(VLOOKUP($D6,BS연결,MATCH(Z$1,BS연결H,0),0)/100,"")</f>
        <v/>
      </c>
      <c r="AA6" s="18">
        <f>IFERROR(VLOOKUP($D6,BS연결,MATCH(AA$1,BS연결H,0),0)/100,"")</f>
        <v/>
      </c>
      <c r="AB6" s="19">
        <f>IFERROR(VLOOKUP($D6,BS연결,MATCH(AB$1,BS연결H,0),0)/100,"")</f>
        <v/>
      </c>
      <c r="AC6" s="20">
        <f>IFERROR(AC5-AC7,"")</f>
        <v/>
      </c>
      <c r="AD6" s="20">
        <f>IFERROR(AD5-AD7,"")</f>
        <v/>
      </c>
      <c r="AE6" s="38">
        <f>SUM(AA6:AD6)</f>
        <v/>
      </c>
      <c r="AF6" s="20">
        <f>IFERROR(AF5-AF7,"")</f>
        <v/>
      </c>
      <c r="AG6" s="20">
        <f>IFERROR(AG5-AG7,"")</f>
        <v/>
      </c>
      <c r="AH6" s="20">
        <f>IFERROR(AH5-AH7,"")</f>
        <v/>
      </c>
      <c r="AI6" s="20">
        <f>IFERROR(AI5-AI7,"")</f>
        <v/>
      </c>
      <c r="AJ6" s="38">
        <f>SUM(AF6:AI6)</f>
        <v/>
      </c>
      <c r="AK6" s="20">
        <f>IFERROR(AK5-AK7,"")</f>
        <v/>
      </c>
      <c r="AL6" s="20">
        <f>IFERROR(AL5-AL7,"")</f>
        <v/>
      </c>
      <c r="AM6" s="20">
        <f>IFERROR(AM5-AM7,"")</f>
        <v/>
      </c>
      <c r="AN6" s="20">
        <f>IFERROR(AN5-AN7,"")</f>
        <v/>
      </c>
      <c r="AO6" s="38">
        <f>SUM(AK6:AN6)</f>
        <v/>
      </c>
    </row>
    <row r="7">
      <c r="A7" s="12" t="inlineStr">
        <is>
          <t>매출총이익</t>
        </is>
      </c>
      <c r="B7" t="inlineStr">
        <is>
          <t>손익</t>
        </is>
      </c>
      <c r="C7" t="inlineStr">
        <is>
          <t>억원</t>
        </is>
      </c>
      <c r="D7" t="inlineStr">
        <is>
          <t>매출총이익</t>
        </is>
      </c>
      <c r="E7" s="18">
        <f>IFERROR(VLOOKUP($D7,BS연결,MATCH(E$1,BS연결H,0),0)/100,"")</f>
        <v/>
      </c>
      <c r="F7" s="37" t="n"/>
      <c r="G7" s="18">
        <f>IFERROR(VLOOKUP($D7,BS연결,MATCH(G$1,BS연결H,0),0)/100,"")</f>
        <v/>
      </c>
      <c r="H7" s="18">
        <f>IFERROR(VLOOKUP($D7,BS연결,MATCH(H$1,BS연결H,0),0)/100,"")</f>
        <v/>
      </c>
      <c r="I7" s="18">
        <f>IFERROR(VLOOKUP($D7,BS연결,MATCH(I$1,BS연결H,0),0)/100,"")</f>
        <v/>
      </c>
      <c r="J7" s="18">
        <f>IFERROR(VLOOKUP($D7,BS연결,MATCH(J$1,BS연결H,0),0)/100,"")</f>
        <v/>
      </c>
      <c r="K7" s="37">
        <f>IFERROR(VLOOKUP($D7,BS연결,MATCH(K$1,BS연결H,0),0)/100,"")</f>
        <v/>
      </c>
      <c r="L7" s="18">
        <f>IFERROR(VLOOKUP($D7,BS연결,MATCH(L$1,BS연결H,0),0)/100,"")</f>
        <v/>
      </c>
      <c r="M7" s="18">
        <f>IFERROR(VLOOKUP($D7,BS연결,MATCH(M$1,BS연결H,0),0)/100,"")</f>
        <v/>
      </c>
      <c r="N7" s="18">
        <f>IFERROR(VLOOKUP($D7,BS연결,MATCH(N$1,BS연결H,0),0)/100,"")</f>
        <v/>
      </c>
      <c r="O7" s="18">
        <f>IFERROR(VLOOKUP($D7,BS연결,MATCH(O$1,BS연결H,0),0)/100,"")</f>
        <v/>
      </c>
      <c r="P7" s="37">
        <f>IFERROR(VLOOKUP($D7,BS연결,MATCH(P$1,BS연결H,0),0)/100,"")</f>
        <v/>
      </c>
      <c r="Q7" s="18">
        <f>IFERROR(VLOOKUP($D7,BS연결,MATCH(Q$1,BS연결H,0),0)/100,"")</f>
        <v/>
      </c>
      <c r="R7" s="18">
        <f>IFERROR(VLOOKUP($D7,BS연결,MATCH(R$1,BS연결H,0),0)/100,"")</f>
        <v/>
      </c>
      <c r="S7" s="18">
        <f>IFERROR(VLOOKUP($D7,BS연결,MATCH(S$1,BS연결H,0),0)/100,"")</f>
        <v/>
      </c>
      <c r="T7" s="18">
        <f>IFERROR(VLOOKUP($D7,BS연결,MATCH(T$1,BS연결H,0),0)/100,"")</f>
        <v/>
      </c>
      <c r="U7" s="37">
        <f>IFERROR(VLOOKUP($D7,BS연결,MATCH(U$1,BS연결H,0),0)/100,"")</f>
        <v/>
      </c>
      <c r="V7" s="18">
        <f>IFERROR(VLOOKUP($D7,BS연결,MATCH(V$1,BS연결H,0),0)/100,"")</f>
        <v/>
      </c>
      <c r="W7" s="18">
        <f>IFERROR(VLOOKUP($D7,BS연결,MATCH(W$1,BS연결H,0),0)/100,"")</f>
        <v/>
      </c>
      <c r="X7" s="18">
        <f>IFERROR(VLOOKUP($D7,BS연결,MATCH(X$1,BS연결H,0),0)/100,"")</f>
        <v/>
      </c>
      <c r="Y7" s="18">
        <f>IFERROR(VLOOKUP($D7,BS연결,MATCH(Y$1,BS연결H,0),0)/100,"")</f>
        <v/>
      </c>
      <c r="Z7" s="37">
        <f>IFERROR(VLOOKUP($D7,BS연결,MATCH(Z$1,BS연결H,0),0)/100,"")</f>
        <v/>
      </c>
      <c r="AA7" s="18">
        <f>IFERROR(VLOOKUP($D7,BS연결,MATCH(AA$1,BS연결H,0),0)/100,"")</f>
        <v/>
      </c>
      <c r="AB7" s="19">
        <f>IFERROR(VLOOKUP($D7,BS연결,MATCH(AB$1,BS연결H,0),0)/100,"")</f>
        <v/>
      </c>
      <c r="AC7" s="20">
        <f>IFERROR(AC9+AC8,"")</f>
        <v/>
      </c>
      <c r="AD7" s="20">
        <f>IFERROR(AD9+AD8,"")</f>
        <v/>
      </c>
      <c r="AE7" s="38">
        <f>SUM(AA7:AD7)</f>
        <v/>
      </c>
      <c r="AF7" s="20">
        <f>IFERROR(AF9+AF8,"")</f>
        <v/>
      </c>
      <c r="AG7" s="20">
        <f>IFERROR(AG9+AG8,"")</f>
        <v/>
      </c>
      <c r="AH7" s="20">
        <f>IFERROR(AH9+AH8,"")</f>
        <v/>
      </c>
      <c r="AI7" s="20">
        <f>IFERROR(AI9+AI8,"")</f>
        <v/>
      </c>
      <c r="AJ7" s="38">
        <f>SUM(AF7:AI7)</f>
        <v/>
      </c>
      <c r="AK7" s="20">
        <f>IFERROR(AK9+AK8,"")</f>
        <v/>
      </c>
      <c r="AL7" s="20">
        <f>IFERROR(AL9+AL8,"")</f>
        <v/>
      </c>
      <c r="AM7" s="20">
        <f>IFERROR(AM9+AM8,"")</f>
        <v/>
      </c>
      <c r="AN7" s="20">
        <f>IFERROR(AN9+AN8,"")</f>
        <v/>
      </c>
      <c r="AO7" s="38">
        <f>SUM(AK7:AN7)</f>
        <v/>
      </c>
    </row>
    <row r="8">
      <c r="A8" s="12" t="inlineStr">
        <is>
          <t>판관비</t>
        </is>
      </c>
      <c r="B8" t="inlineStr">
        <is>
          <t>손익</t>
        </is>
      </c>
      <c r="C8" t="inlineStr">
        <is>
          <t>억원</t>
        </is>
      </c>
      <c r="D8" t="inlineStr">
        <is>
          <t>판관비</t>
        </is>
      </c>
      <c r="E8" s="18">
        <f>IFERROR(VLOOKUP($D8,BS연결,MATCH(E$1,BS연결H,0),0)/100,"")</f>
        <v/>
      </c>
      <c r="F8" s="37" t="n"/>
      <c r="G8" s="18">
        <f>IFERROR(VLOOKUP($D8,BS연결,MATCH(G$1,BS연결H,0),0)/100,"")</f>
        <v/>
      </c>
      <c r="H8" s="18">
        <f>IFERROR(VLOOKUP($D8,BS연결,MATCH(H$1,BS연결H,0),0)/100,"")</f>
        <v/>
      </c>
      <c r="I8" s="18">
        <f>IFERROR(VLOOKUP($D8,BS연결,MATCH(I$1,BS연결H,0),0)/100,"")</f>
        <v/>
      </c>
      <c r="J8" s="18">
        <f>IFERROR(VLOOKUP($D8,BS연결,MATCH(J$1,BS연결H,0),0)/100,"")</f>
        <v/>
      </c>
      <c r="K8" s="37">
        <f>IFERROR(VLOOKUP($D8,BS연결,MATCH(K$1,BS연결H,0),0)/100,"")</f>
        <v/>
      </c>
      <c r="L8" s="18">
        <f>IFERROR(VLOOKUP($D8,BS연결,MATCH(L$1,BS연결H,0),0)/100,"")</f>
        <v/>
      </c>
      <c r="M8" s="18">
        <f>IFERROR(VLOOKUP($D8,BS연결,MATCH(M$1,BS연결H,0),0)/100,"")</f>
        <v/>
      </c>
      <c r="N8" s="18">
        <f>IFERROR(VLOOKUP($D8,BS연결,MATCH(N$1,BS연결H,0),0)/100,"")</f>
        <v/>
      </c>
      <c r="O8" s="18">
        <f>IFERROR(VLOOKUP($D8,BS연결,MATCH(O$1,BS연결H,0),0)/100,"")</f>
        <v/>
      </c>
      <c r="P8" s="37">
        <f>IFERROR(VLOOKUP($D8,BS연결,MATCH(P$1,BS연결H,0),0)/100,"")</f>
        <v/>
      </c>
      <c r="Q8" s="18">
        <f>IFERROR(VLOOKUP($D8,BS연결,MATCH(Q$1,BS연결H,0),0)/100,"")</f>
        <v/>
      </c>
      <c r="R8" s="18">
        <f>IFERROR(VLOOKUP($D8,BS연결,MATCH(R$1,BS연결H,0),0)/100,"")</f>
        <v/>
      </c>
      <c r="S8" s="18">
        <f>IFERROR(VLOOKUP($D8,BS연결,MATCH(S$1,BS연결H,0),0)/100,"")</f>
        <v/>
      </c>
      <c r="T8" s="18">
        <f>IFERROR(VLOOKUP($D8,BS연결,MATCH(T$1,BS연결H,0),0)/100,"")</f>
        <v/>
      </c>
      <c r="U8" s="37">
        <f>IFERROR(VLOOKUP($D8,BS연결,MATCH(U$1,BS연결H,0),0)/100,"")</f>
        <v/>
      </c>
      <c r="V8" s="18">
        <f>IFERROR(VLOOKUP($D8,BS연결,MATCH(V$1,BS연결H,0),0)/100,"")</f>
        <v/>
      </c>
      <c r="W8" s="18">
        <f>IFERROR(VLOOKUP($D8,BS연결,MATCH(W$1,BS연결H,0),0)/100,"")</f>
        <v/>
      </c>
      <c r="X8" s="18">
        <f>IFERROR(VLOOKUP($D8,BS연결,MATCH(X$1,BS연결H,0),0)/100,"")</f>
        <v/>
      </c>
      <c r="Y8" s="18">
        <f>IFERROR(VLOOKUP($D8,BS연결,MATCH(Y$1,BS연결H,0),0)/100,"")</f>
        <v/>
      </c>
      <c r="Z8" s="37">
        <f>IFERROR(VLOOKUP($D8,BS연결,MATCH(Z$1,BS연결H,0),0)/100,"")</f>
        <v/>
      </c>
      <c r="AA8" s="18">
        <f>IFERROR(VLOOKUP($D8,BS연결,MATCH(AA$1,BS연결H,0),0)/100,"")</f>
        <v/>
      </c>
      <c r="AB8" s="19">
        <f>IFERROR(VLOOKUP($D8,BS연결,MATCH(AB$1,BS연결H,0),0)/100,"")</f>
        <v/>
      </c>
      <c r="AC8" s="20">
        <f>IFERROR(AC5*변수!AC22,"")</f>
        <v/>
      </c>
      <c r="AD8" s="20">
        <f>IFERROR(AD5*변수!AD22,"")</f>
        <v/>
      </c>
      <c r="AE8" s="38">
        <f>SUM(AA8:AD8)</f>
        <v/>
      </c>
      <c r="AF8" s="20">
        <f>IFERROR(AF5*변수!AF22,"")</f>
        <v/>
      </c>
      <c r="AG8" s="20">
        <f>IFERROR(AG5*변수!AG22,"")</f>
        <v/>
      </c>
      <c r="AH8" s="20">
        <f>IFERROR(AH5*변수!AH22,"")</f>
        <v/>
      </c>
      <c r="AI8" s="20">
        <f>IFERROR(AI5*변수!AI22,"")</f>
        <v/>
      </c>
      <c r="AJ8" s="38">
        <f>SUM(AF8:AI8)</f>
        <v/>
      </c>
      <c r="AK8" s="20">
        <f>IFERROR(AK5*변수!AK22,"")</f>
        <v/>
      </c>
      <c r="AL8" s="20">
        <f>IFERROR(AL5*변수!AL22,"")</f>
        <v/>
      </c>
      <c r="AM8" s="20">
        <f>IFERROR(AM5*변수!AM22,"")</f>
        <v/>
      </c>
      <c r="AN8" s="20">
        <f>IFERROR(AN5*변수!AN22,"")</f>
        <v/>
      </c>
      <c r="AO8" s="38">
        <f>SUM(AK8:AN8)</f>
        <v/>
      </c>
    </row>
    <row r="9">
      <c r="A9" s="12" t="inlineStr">
        <is>
          <t>영업이익</t>
        </is>
      </c>
      <c r="B9" t="inlineStr">
        <is>
          <t>손익</t>
        </is>
      </c>
      <c r="C9" t="inlineStr">
        <is>
          <t>억원</t>
        </is>
      </c>
      <c r="D9" t="inlineStr">
        <is>
          <t>영업이익</t>
        </is>
      </c>
      <c r="E9" s="18">
        <f>IFERROR(VLOOKUP($D9,BS연결,MATCH(E$1,BS연결H,0),0)/100,"")</f>
        <v/>
      </c>
      <c r="F9" s="37" t="n"/>
      <c r="G9" s="18">
        <f>IFERROR(VLOOKUP($D9,BS연결,MATCH(G$1,BS연결H,0),0)/100,"")</f>
        <v/>
      </c>
      <c r="H9" s="18">
        <f>IFERROR(VLOOKUP($D9,BS연결,MATCH(H$1,BS연결H,0),0)/100,"")</f>
        <v/>
      </c>
      <c r="I9" s="18">
        <f>IFERROR(VLOOKUP($D9,BS연결,MATCH(I$1,BS연결H,0),0)/100,"")</f>
        <v/>
      </c>
      <c r="J9" s="18">
        <f>IFERROR(VLOOKUP($D9,BS연결,MATCH(J$1,BS연결H,0),0)/100,"")</f>
        <v/>
      </c>
      <c r="K9" s="37">
        <f>IFERROR(VLOOKUP($D9,BS연결,MATCH(K$1,BS연결H,0),0)/100,"")</f>
        <v/>
      </c>
      <c r="L9" s="18">
        <f>IFERROR(VLOOKUP($D9,BS연결,MATCH(L$1,BS연결H,0),0)/100,"")</f>
        <v/>
      </c>
      <c r="M9" s="18">
        <f>IFERROR(VLOOKUP($D9,BS연결,MATCH(M$1,BS연결H,0),0)/100,"")</f>
        <v/>
      </c>
      <c r="N9" s="18">
        <f>IFERROR(VLOOKUP($D9,BS연결,MATCH(N$1,BS연결H,0),0)/100,"")</f>
        <v/>
      </c>
      <c r="O9" s="18">
        <f>IFERROR(VLOOKUP($D9,BS연결,MATCH(O$1,BS연결H,0),0)/100,"")</f>
        <v/>
      </c>
      <c r="P9" s="37">
        <f>IFERROR(VLOOKUP($D9,BS연결,MATCH(P$1,BS연결H,0),0)/100,"")</f>
        <v/>
      </c>
      <c r="Q9" s="18">
        <f>IFERROR(VLOOKUP($D9,BS연결,MATCH(Q$1,BS연결H,0),0)/100,"")</f>
        <v/>
      </c>
      <c r="R9" s="18">
        <f>IFERROR(VLOOKUP($D9,BS연결,MATCH(R$1,BS연결H,0),0)/100,"")</f>
        <v/>
      </c>
      <c r="S9" s="18">
        <f>IFERROR(VLOOKUP($D9,BS연결,MATCH(S$1,BS연결H,0),0)/100,"")</f>
        <v/>
      </c>
      <c r="T9" s="18">
        <f>IFERROR(VLOOKUP($D9,BS연결,MATCH(T$1,BS연결H,0),0)/100,"")</f>
        <v/>
      </c>
      <c r="U9" s="37">
        <f>IFERROR(VLOOKUP($D9,BS연결,MATCH(U$1,BS연결H,0),0)/100,"")</f>
        <v/>
      </c>
      <c r="V9" s="18">
        <f>IFERROR(VLOOKUP($D9,BS연결,MATCH(V$1,BS연결H,0),0)/100,"")</f>
        <v/>
      </c>
      <c r="W9" s="18">
        <f>IFERROR(VLOOKUP($D9,BS연결,MATCH(W$1,BS연결H,0),0)/100,"")</f>
        <v/>
      </c>
      <c r="X9" s="18">
        <f>IFERROR(VLOOKUP($D9,BS연결,MATCH(X$1,BS연결H,0),0)/100,"")</f>
        <v/>
      </c>
      <c r="Y9" s="18">
        <f>IFERROR(VLOOKUP($D9,BS연결,MATCH(Y$1,BS연결H,0),0)/100,"")</f>
        <v/>
      </c>
      <c r="Z9" s="37">
        <f>IFERROR(VLOOKUP($D9,BS연결,MATCH(Z$1,BS연결H,0),0)/100,"")</f>
        <v/>
      </c>
      <c r="AA9" s="18">
        <f>IFERROR(VLOOKUP($D9,BS연결,MATCH(AA$1,BS연결H,0),0)/100,"")</f>
        <v/>
      </c>
      <c r="AB9" s="19">
        <f>IFERROR(VLOOKUP($D9,BS연결,MATCH(AB$1,BS연결H,0),0)/100,"")</f>
        <v/>
      </c>
      <c r="AC9" s="20">
        <f>IFERROR(AC5*변수!AC23,"")</f>
        <v/>
      </c>
      <c r="AD9" s="20">
        <f>IFERROR(AD5*변수!AD23,"")</f>
        <v/>
      </c>
      <c r="AE9" s="38">
        <f>SUM(AA9:AD9)</f>
        <v/>
      </c>
      <c r="AF9" s="20">
        <f>IFERROR(AF5*변수!AF23,"")</f>
        <v/>
      </c>
      <c r="AG9" s="20">
        <f>IFERROR(AG5*변수!AG23,"")</f>
        <v/>
      </c>
      <c r="AH9" s="20">
        <f>IFERROR(AH5*변수!AH23,"")</f>
        <v/>
      </c>
      <c r="AI9" s="20">
        <f>IFERROR(AI5*변수!AI23,"")</f>
        <v/>
      </c>
      <c r="AJ9" s="38">
        <f>SUM(AF9:AI9)</f>
        <v/>
      </c>
      <c r="AK9" s="20">
        <f>IFERROR(AK5*변수!AK23,"")</f>
        <v/>
      </c>
      <c r="AL9" s="20">
        <f>IFERROR(AL5*변수!AL23,"")</f>
        <v/>
      </c>
      <c r="AM9" s="20">
        <f>IFERROR(AM5*변수!AM23,"")</f>
        <v/>
      </c>
      <c r="AN9" s="20">
        <f>IFERROR(AN5*변수!AN23,"")</f>
        <v/>
      </c>
      <c r="AO9" s="38">
        <f>SUM(AK9:AN9)</f>
        <v/>
      </c>
    </row>
    <row r="10">
      <c r="A10" s="12" t="inlineStr">
        <is>
          <t>OPM</t>
        </is>
      </c>
      <c r="B10" t="inlineStr">
        <is>
          <t>손익</t>
        </is>
      </c>
      <c r="C10" t="inlineStr">
        <is>
          <t>%</t>
        </is>
      </c>
      <c r="D10" t="inlineStr">
        <is>
          <t>영업이익률</t>
        </is>
      </c>
      <c r="E10" s="21">
        <f>IFERROR(E9/E5,"")</f>
        <v/>
      </c>
      <c r="F10" s="22" t="n"/>
      <c r="G10" s="21">
        <f>IFERROR(G9/G5,"")</f>
        <v/>
      </c>
      <c r="H10" s="21">
        <f>IFERROR(H9/H5,"")</f>
        <v/>
      </c>
      <c r="I10" s="21">
        <f>IFERROR(I9/I5,"")</f>
        <v/>
      </c>
      <c r="J10" s="21">
        <f>IFERROR(J9/J5,"")</f>
        <v/>
      </c>
      <c r="K10" s="22">
        <f>IFERROR(K9/K5,"")</f>
        <v/>
      </c>
      <c r="L10" s="21">
        <f>IFERROR(L9/L5,"")</f>
        <v/>
      </c>
      <c r="M10" s="21">
        <f>IFERROR(M9/M5,"")</f>
        <v/>
      </c>
      <c r="N10" s="21">
        <f>IFERROR(N9/N5,"")</f>
        <v/>
      </c>
      <c r="O10" s="21">
        <f>IFERROR(O9/O5,"")</f>
        <v/>
      </c>
      <c r="P10" s="22">
        <f>IFERROR(P9/P5,"")</f>
        <v/>
      </c>
      <c r="Q10" s="21">
        <f>IFERROR(Q9/Q5,"")</f>
        <v/>
      </c>
      <c r="R10" s="21">
        <f>IFERROR(R9/R5,"")</f>
        <v/>
      </c>
      <c r="S10" s="21">
        <f>IFERROR(S9/S5,"")</f>
        <v/>
      </c>
      <c r="T10" s="21">
        <f>IFERROR(T9/T5,"")</f>
        <v/>
      </c>
      <c r="U10" s="22">
        <f>IFERROR(U9/U5,"")</f>
        <v/>
      </c>
      <c r="V10" s="21">
        <f>IFERROR(V9/V5,"")</f>
        <v/>
      </c>
      <c r="W10" s="21">
        <f>IFERROR(W9/W5,"")</f>
        <v/>
      </c>
      <c r="X10" s="21">
        <f>IFERROR(X9/X5,"")</f>
        <v/>
      </c>
      <c r="Y10" s="21">
        <f>IFERROR(Y9/Y5,"")</f>
        <v/>
      </c>
      <c r="Z10" s="22">
        <f>IFERROR(Z9/Z5,"")</f>
        <v/>
      </c>
      <c r="AA10" s="21">
        <f>IFERROR(AA9/AA5,"")</f>
        <v/>
      </c>
      <c r="AB10" s="23">
        <f>IFERROR(AB9/AB5,"")</f>
        <v/>
      </c>
      <c r="AC10" s="32">
        <f>IFERROR(AC9/AC5,"")</f>
        <v/>
      </c>
      <c r="AD10" s="32">
        <f>IFERROR(AD9/AD5,"")</f>
        <v/>
      </c>
      <c r="AE10" s="25">
        <f>IFERROR(AE9/AE5,"")</f>
        <v/>
      </c>
      <c r="AF10" s="32">
        <f>IFERROR(AF9/AF5,"")</f>
        <v/>
      </c>
      <c r="AG10" s="32">
        <f>IFERROR(AG9/AG5,"")</f>
        <v/>
      </c>
      <c r="AH10" s="32">
        <f>IFERROR(AH9/AH5,"")</f>
        <v/>
      </c>
      <c r="AI10" s="32">
        <f>IFERROR(AI9/AI5,"")</f>
        <v/>
      </c>
      <c r="AJ10" s="25">
        <f>IFERROR(AJ9/AJ5,"")</f>
        <v/>
      </c>
      <c r="AK10" s="32">
        <f>IFERROR(AK9/AK5,"")</f>
        <v/>
      </c>
      <c r="AL10" s="32">
        <f>IFERROR(AL9/AL5,"")</f>
        <v/>
      </c>
      <c r="AM10" s="32">
        <f>IFERROR(AM9/AM5,"")</f>
        <v/>
      </c>
      <c r="AN10" s="32">
        <f>IFERROR(AN9/AN5,"")</f>
        <v/>
      </c>
      <c r="AO10" s="25">
        <f>IFERROR(AO9/AO5,"")</f>
        <v/>
      </c>
    </row>
    <row r="11">
      <c r="A11" s="12" t="inlineStr">
        <is>
          <t>금융손익</t>
        </is>
      </c>
      <c r="B11" t="inlineStr">
        <is>
          <t>손익</t>
        </is>
      </c>
      <c r="C11" t="inlineStr">
        <is>
          <t>억원</t>
        </is>
      </c>
      <c r="D11" t="inlineStr">
        <is>
          <t>금융손익</t>
        </is>
      </c>
      <c r="E11" s="18">
        <f>IFERROR(VLOOKUP($D11,BS연결,MATCH(E$1,BS연결H,0),0)/100,"")</f>
        <v/>
      </c>
      <c r="F11" s="37" t="n"/>
      <c r="G11" s="18">
        <f>IFERROR(VLOOKUP($D11,BS연결,MATCH(G$1,BS연결H,0),0)/100,"")</f>
        <v/>
      </c>
      <c r="H11" s="18">
        <f>IFERROR(VLOOKUP($D11,BS연결,MATCH(H$1,BS연결H,0),0)/100,"")</f>
        <v/>
      </c>
      <c r="I11" s="18">
        <f>IFERROR(VLOOKUP($D11,BS연결,MATCH(I$1,BS연결H,0),0)/100,"")</f>
        <v/>
      </c>
      <c r="J11" s="18">
        <f>IFERROR(VLOOKUP($D11,BS연결,MATCH(J$1,BS연결H,0),0)/100,"")</f>
        <v/>
      </c>
      <c r="K11" s="37">
        <f>IFERROR(VLOOKUP($D11,BS연결,MATCH(K$1,BS연결H,0),0)/100,"")</f>
        <v/>
      </c>
      <c r="L11" s="18">
        <f>IFERROR(VLOOKUP($D11,BS연결,MATCH(L$1,BS연결H,0),0)/100,"")</f>
        <v/>
      </c>
      <c r="M11" s="18">
        <f>IFERROR(VLOOKUP($D11,BS연결,MATCH(M$1,BS연결H,0),0)/100,"")</f>
        <v/>
      </c>
      <c r="N11" s="18">
        <f>IFERROR(VLOOKUP($D11,BS연결,MATCH(N$1,BS연결H,0),0)/100,"")</f>
        <v/>
      </c>
      <c r="O11" s="18">
        <f>IFERROR(VLOOKUP($D11,BS연결,MATCH(O$1,BS연결H,0),0)/100,"")</f>
        <v/>
      </c>
      <c r="P11" s="37">
        <f>IFERROR(VLOOKUP($D11,BS연결,MATCH(P$1,BS연결H,0),0)/100,"")</f>
        <v/>
      </c>
      <c r="Q11" s="18">
        <f>IFERROR(VLOOKUP($D11,BS연결,MATCH(Q$1,BS연결H,0),0)/100,"")</f>
        <v/>
      </c>
      <c r="R11" s="18">
        <f>IFERROR(VLOOKUP($D11,BS연결,MATCH(R$1,BS연결H,0),0)/100,"")</f>
        <v/>
      </c>
      <c r="S11" s="18">
        <f>IFERROR(VLOOKUP($D11,BS연결,MATCH(S$1,BS연결H,0),0)/100,"")</f>
        <v/>
      </c>
      <c r="T11" s="18">
        <f>IFERROR(VLOOKUP($D11,BS연결,MATCH(T$1,BS연결H,0),0)/100,"")</f>
        <v/>
      </c>
      <c r="U11" s="37">
        <f>IFERROR(VLOOKUP($D11,BS연결,MATCH(U$1,BS연결H,0),0)/100,"")</f>
        <v/>
      </c>
      <c r="V11" s="18">
        <f>IFERROR(VLOOKUP($D11,BS연결,MATCH(V$1,BS연결H,0),0)/100,"")</f>
        <v/>
      </c>
      <c r="W11" s="18">
        <f>IFERROR(VLOOKUP($D11,BS연결,MATCH(W$1,BS연결H,0),0)/100,"")</f>
        <v/>
      </c>
      <c r="X11" s="18">
        <f>IFERROR(VLOOKUP($D11,BS연결,MATCH(X$1,BS연결H,0),0)/100,"")</f>
        <v/>
      </c>
      <c r="Y11" s="18">
        <f>IFERROR(VLOOKUP($D11,BS연결,MATCH(Y$1,BS연결H,0),0)/100,"")</f>
        <v/>
      </c>
      <c r="Z11" s="37">
        <f>IFERROR(VLOOKUP($D11,BS연결,MATCH(Z$1,BS연결H,0),0)/100,"")</f>
        <v/>
      </c>
      <c r="AA11" s="18">
        <f>IFERROR(VLOOKUP($D11,BS연결,MATCH(AA$1,BS연결H,0),0)/100,"")</f>
        <v/>
      </c>
      <c r="AB11" s="19">
        <f>IFERROR(VLOOKUP($D11,BS연결,MATCH(AB$1,BS연결H,0),0)/100,"")</f>
        <v/>
      </c>
      <c r="AC11" s="20">
        <f>IFERROR(AC12+AC13+AC14+AC15,"")</f>
        <v/>
      </c>
      <c r="AD11" s="20">
        <f>IFERROR(AD12+AD13+AD14+AD15,"")</f>
        <v/>
      </c>
      <c r="AE11" s="38">
        <f>SUM(AA11:AD11)</f>
        <v/>
      </c>
      <c r="AF11" s="20">
        <f>IFERROR(AF12+AF13+AF14+AF15,"")</f>
        <v/>
      </c>
      <c r="AG11" s="20">
        <f>IFERROR(AG12+AG13+AG14+AG15,"")</f>
        <v/>
      </c>
      <c r="AH11" s="20">
        <f>IFERROR(AH12+AH13+AH14+AH15,"")</f>
        <v/>
      </c>
      <c r="AI11" s="20">
        <f>IFERROR(AI12+AI13+AI14+AI15,"")</f>
        <v/>
      </c>
      <c r="AJ11" s="38">
        <f>SUM(AF11:AI11)</f>
        <v/>
      </c>
      <c r="AK11" s="20">
        <f>IFERROR(AK12+AK13+AK14+AK15,"")</f>
        <v/>
      </c>
      <c r="AL11" s="20">
        <f>IFERROR(AL12+AL13+AL14+AL15,"")</f>
        <v/>
      </c>
      <c r="AM11" s="20">
        <f>IFERROR(AM12+AM13+AM14+AM15,"")</f>
        <v/>
      </c>
      <c r="AN11" s="20">
        <f>IFERROR(AN12+AN13+AN14+AN15,"")</f>
        <v/>
      </c>
      <c r="AO11" s="38">
        <f>SUM(AK11:AN11)</f>
        <v/>
      </c>
    </row>
    <row r="12">
      <c r="A12" s="12" t="inlineStr">
        <is>
          <t>이자손익</t>
        </is>
      </c>
      <c r="B12" t="inlineStr">
        <is>
          <t>손익</t>
        </is>
      </c>
      <c r="C12" t="inlineStr">
        <is>
          <t>억원</t>
        </is>
      </c>
      <c r="D12" t="inlineStr">
        <is>
          <t>이자손익</t>
        </is>
      </c>
      <c r="E12" s="18" t="n"/>
      <c r="F12" s="37" t="n"/>
      <c r="G12" s="18">
        <f>IFERROR(VLOOKUP($D12,BS연결,MATCH(G$1,BS연결H,0),0)/100,"")</f>
        <v/>
      </c>
      <c r="H12" s="18">
        <f>IFERROR(VLOOKUP($D12,BS연결,MATCH(H$1,BS연결H,0),0)/100,"")</f>
        <v/>
      </c>
      <c r="I12" s="18">
        <f>IFERROR(VLOOKUP($D12,BS연결,MATCH(I$1,BS연결H,0),0)/100,"")</f>
        <v/>
      </c>
      <c r="J12" s="18">
        <f>IFERROR(VLOOKUP($D12,BS연결,MATCH(J$1,BS연결H,0),0)/100,"")</f>
        <v/>
      </c>
      <c r="K12" s="37">
        <f>IFERROR(VLOOKUP($D12,BS연결,MATCH(K$1,BS연결H,0),0)/100,"")</f>
        <v/>
      </c>
      <c r="L12" s="18">
        <f>IFERROR(VLOOKUP($D12,BS연결,MATCH(L$1,BS연결H,0),0)/100,"")</f>
        <v/>
      </c>
      <c r="M12" s="18">
        <f>IFERROR(VLOOKUP($D12,BS연결,MATCH(M$1,BS연결H,0),0)/100,"")</f>
        <v/>
      </c>
      <c r="N12" s="18">
        <f>IFERROR(VLOOKUP($D12,BS연결,MATCH(N$1,BS연결H,0),0)/100,"")</f>
        <v/>
      </c>
      <c r="O12" s="18">
        <f>IFERROR(VLOOKUP($D12,BS연결,MATCH(O$1,BS연결H,0),0)/100,"")</f>
        <v/>
      </c>
      <c r="P12" s="37">
        <f>IFERROR(VLOOKUP($D12,BS연결,MATCH(P$1,BS연결H,0),0)/100,"")</f>
        <v/>
      </c>
      <c r="Q12" s="18">
        <f>IFERROR(VLOOKUP($D12,BS연결,MATCH(Q$1,BS연결H,0),0)/100,"")</f>
        <v/>
      </c>
      <c r="R12" s="18">
        <f>IFERROR(VLOOKUP($D12,BS연결,MATCH(R$1,BS연결H,0),0)/100,"")</f>
        <v/>
      </c>
      <c r="S12" s="18">
        <f>IFERROR(VLOOKUP($D12,BS연결,MATCH(S$1,BS연결H,0),0)/100,"")</f>
        <v/>
      </c>
      <c r="T12" s="18">
        <f>IFERROR(VLOOKUP($D12,BS연결,MATCH(T$1,BS연결H,0),0)/100,"")</f>
        <v/>
      </c>
      <c r="U12" s="37">
        <f>IFERROR(VLOOKUP($D12,BS연결,MATCH(U$1,BS연결H,0),0)/100,"")</f>
        <v/>
      </c>
      <c r="V12" s="18">
        <f>IFERROR(VLOOKUP($D12,BS연결,MATCH(V$1,BS연결H,0),0)/100,"")</f>
        <v/>
      </c>
      <c r="W12" s="18">
        <f>IFERROR(VLOOKUP($D12,BS연결,MATCH(W$1,BS연결H,0),0)/100,"")</f>
        <v/>
      </c>
      <c r="X12" s="18">
        <f>IFERROR(VLOOKUP($D12,BS연결,MATCH(X$1,BS연결H,0),0)/100,"")</f>
        <v/>
      </c>
      <c r="Y12" s="18">
        <f>IFERROR(VLOOKUP($D12,BS연결,MATCH(Y$1,BS연결H,0),0)/100,"")</f>
        <v/>
      </c>
      <c r="Z12" s="37">
        <f>IFERROR(VLOOKUP($D12,BS연결,MATCH(Z$1,BS연결H,0),0)/100,"")</f>
        <v/>
      </c>
      <c r="AA12" s="18" t="n"/>
      <c r="AB12" s="19">
        <f>IFERROR(VLOOKUP($D12,BS연결,MATCH(AB$1,BS연결H,0),0)/100,"")</f>
        <v/>
      </c>
      <c r="AC12" s="20">
        <f>IFERROR((AB29*변수!$D$54-AB27*변수!$D$55)/4,"")</f>
        <v/>
      </c>
      <c r="AD12" s="20">
        <f>IFERROR((AC29*변수!$D$54-AC27*변수!$D$55)/4,"")</f>
        <v/>
      </c>
      <c r="AE12" s="38">
        <f>SUM(AA12:AD12)</f>
        <v/>
      </c>
      <c r="AF12" s="20">
        <f>IFERROR((AD29*변수!$D$54-AD27*변수!$D$55)/4,"")</f>
        <v/>
      </c>
      <c r="AG12" s="20">
        <f>IFERROR((AF29*변수!$D$54-AF27*변수!$D$55)/4,"")</f>
        <v/>
      </c>
      <c r="AH12" s="20">
        <f>IFERROR((AG29*변수!$D$54-AG27*변수!$D$55)/4,"")</f>
        <v/>
      </c>
      <c r="AI12" s="20">
        <f>IFERROR((AH29*변수!$D$54-AH27*변수!$D$55)/4,"")</f>
        <v/>
      </c>
      <c r="AJ12" s="38">
        <f>SUM(AF12:AI12)</f>
        <v/>
      </c>
      <c r="AK12" s="20">
        <f>IFERROR((AI29*변수!$D$54-AI27*변수!$D$55)/4,"")</f>
        <v/>
      </c>
      <c r="AL12" s="20">
        <f>IFERROR((AK29*변수!$D$54-AK27*변수!$D$55)/4,"")</f>
        <v/>
      </c>
      <c r="AM12" s="20">
        <f>IFERROR((AL29*변수!$D$54-AL27*변수!$D$55)/4,"")</f>
        <v/>
      </c>
      <c r="AN12" s="20">
        <f>IFERROR((AM29*변수!$D$54-AM27*변수!$D$55)/4,"")</f>
        <v/>
      </c>
      <c r="AO12" s="38">
        <f>SUM(AK12:AN12)</f>
        <v/>
      </c>
    </row>
    <row r="13">
      <c r="A13" s="12" t="inlineStr">
        <is>
          <t>외환손익</t>
        </is>
      </c>
      <c r="B13" t="inlineStr">
        <is>
          <t>손익</t>
        </is>
      </c>
      <c r="C13" t="inlineStr">
        <is>
          <t>억원</t>
        </is>
      </c>
      <c r="D13" t="inlineStr">
        <is>
          <t>외환손익(실적만; 추정 환효과는 환관련손익)</t>
        </is>
      </c>
      <c r="E13" s="18" t="n"/>
      <c r="F13" s="37" t="n"/>
      <c r="G13" s="18">
        <f>IFERROR((VLOOKUP("외환차익",BS연결,MATCH(G$1,BS연결H,0),0)-VLOOKUP("외환차손",BS연결,MATCH(G$1,BS연결H,0),0)+VLOOKUP("외화환산이익",BS연결,MATCH(G$1,BS연결H,0),0)-VLOOKUP("외화환산손실",BS연결,MATCH(G$1,BS연결H,0),0))/100,"")</f>
        <v/>
      </c>
      <c r="H13" s="18">
        <f>IFERROR((VLOOKUP("외환차익",BS연결,MATCH(H$1,BS연결H,0),0)-VLOOKUP("외환차손",BS연결,MATCH(H$1,BS연결H,0),0)+VLOOKUP("외화환산이익",BS연결,MATCH(H$1,BS연결H,0),0)-VLOOKUP("외화환산손실",BS연결,MATCH(H$1,BS연결H,0),0))/100,"")</f>
        <v/>
      </c>
      <c r="I13" s="18">
        <f>IFERROR((VLOOKUP("외환차익",BS연결,MATCH(I$1,BS연결H,0),0)-VLOOKUP("외환차손",BS연결,MATCH(I$1,BS연결H,0),0)+VLOOKUP("외화환산이익",BS연결,MATCH(I$1,BS연결H,0),0)-VLOOKUP("외화환산손실",BS연결,MATCH(I$1,BS연결H,0),0))/100,"")</f>
        <v/>
      </c>
      <c r="J13" s="18">
        <f>IFERROR((VLOOKUP("외환차익",BS연결,MATCH(J$1,BS연결H,0),0)-VLOOKUP("외환차손",BS연결,MATCH(J$1,BS연결H,0),0)+VLOOKUP("외화환산이익",BS연결,MATCH(J$1,BS연결H,0),0)-VLOOKUP("외화환산손실",BS연결,MATCH(J$1,BS연결H,0),0))/100,"")</f>
        <v/>
      </c>
      <c r="K13" s="37">
        <f>SUM(G13:J13)</f>
        <v/>
      </c>
      <c r="L13" s="18">
        <f>IFERROR((VLOOKUP("외환차익",BS연결,MATCH(L$1,BS연결H,0),0)-VLOOKUP("외환차손",BS연결,MATCH(L$1,BS연결H,0),0)+VLOOKUP("외화환산이익",BS연결,MATCH(L$1,BS연결H,0),0)-VLOOKUP("외화환산손실",BS연결,MATCH(L$1,BS연결H,0),0))/100,"")</f>
        <v/>
      </c>
      <c r="M13" s="18">
        <f>IFERROR((VLOOKUP("외환차익",BS연결,MATCH(M$1,BS연결H,0),0)-VLOOKUP("외환차손",BS연결,MATCH(M$1,BS연결H,0),0)+VLOOKUP("외화환산이익",BS연결,MATCH(M$1,BS연결H,0),0)-VLOOKUP("외화환산손실",BS연결,MATCH(M$1,BS연결H,0),0))/100,"")</f>
        <v/>
      </c>
      <c r="N13" s="18">
        <f>IFERROR((VLOOKUP("외환차익",BS연결,MATCH(N$1,BS연결H,0),0)-VLOOKUP("외환차손",BS연결,MATCH(N$1,BS연결H,0),0)+VLOOKUP("외화환산이익",BS연결,MATCH(N$1,BS연결H,0),0)-VLOOKUP("외화환산손실",BS연결,MATCH(N$1,BS연결H,0),0))/100,"")</f>
        <v/>
      </c>
      <c r="O13" s="18">
        <f>IFERROR((VLOOKUP("외환차익",BS연결,MATCH(O$1,BS연결H,0),0)-VLOOKUP("외환차손",BS연결,MATCH(O$1,BS연결H,0),0)+VLOOKUP("외화환산이익",BS연결,MATCH(O$1,BS연결H,0),0)-VLOOKUP("외화환산손실",BS연결,MATCH(O$1,BS연결H,0),0))/100,"")</f>
        <v/>
      </c>
      <c r="P13" s="37">
        <f>SUM(L13:O13)</f>
        <v/>
      </c>
      <c r="Q13" s="18">
        <f>IFERROR((VLOOKUP("외환차익",BS연결,MATCH(Q$1,BS연결H,0),0)-VLOOKUP("외환차손",BS연결,MATCH(Q$1,BS연결H,0),0)+VLOOKUP("외화환산이익",BS연결,MATCH(Q$1,BS연결H,0),0)-VLOOKUP("외화환산손실",BS연결,MATCH(Q$1,BS연결H,0),0))/100,"")</f>
        <v/>
      </c>
      <c r="R13" s="18">
        <f>IFERROR((VLOOKUP("외환차익",BS연결,MATCH(R$1,BS연결H,0),0)-VLOOKUP("외환차손",BS연결,MATCH(R$1,BS연결H,0),0)+VLOOKUP("외화환산이익",BS연결,MATCH(R$1,BS연결H,0),0)-VLOOKUP("외화환산손실",BS연결,MATCH(R$1,BS연결H,0),0))/100,"")</f>
        <v/>
      </c>
      <c r="S13" s="18">
        <f>IFERROR((VLOOKUP("외환차익",BS연결,MATCH(S$1,BS연결H,0),0)-VLOOKUP("외환차손",BS연결,MATCH(S$1,BS연결H,0),0)+VLOOKUP("외화환산이익",BS연결,MATCH(S$1,BS연결H,0),0)-VLOOKUP("외화환산손실",BS연결,MATCH(S$1,BS연결H,0),0))/100,"")</f>
        <v/>
      </c>
      <c r="T13" s="18">
        <f>IFERROR((VLOOKUP("외환차익",BS연결,MATCH(T$1,BS연결H,0),0)-VLOOKUP("외환차손",BS연결,MATCH(T$1,BS연결H,0),0)+VLOOKUP("외화환산이익",BS연결,MATCH(T$1,BS연결H,0),0)-VLOOKUP("외화환산손실",BS연결,MATCH(T$1,BS연결H,0),0))/100,"")</f>
        <v/>
      </c>
      <c r="U13" s="37">
        <f>SUM(Q13:T13)</f>
        <v/>
      </c>
      <c r="V13" s="18">
        <f>IFERROR((VLOOKUP("외환차익",BS연결,MATCH(V$1,BS연결H,0),0)-VLOOKUP("외환차손",BS연결,MATCH(V$1,BS연결H,0),0)+VLOOKUP("외화환산이익",BS연결,MATCH(V$1,BS연결H,0),0)-VLOOKUP("외화환산손실",BS연결,MATCH(V$1,BS연결H,0),0))/100,"")</f>
        <v/>
      </c>
      <c r="W13" s="18">
        <f>IFERROR((VLOOKUP("외환차익",BS연결,MATCH(W$1,BS연결H,0),0)-VLOOKUP("외환차손",BS연결,MATCH(W$1,BS연결H,0),0)+VLOOKUP("외화환산이익",BS연결,MATCH(W$1,BS연결H,0),0)-VLOOKUP("외화환산손실",BS연결,MATCH(W$1,BS연결H,0),0))/100,"")</f>
        <v/>
      </c>
      <c r="X13" s="18">
        <f>IFERROR((VLOOKUP("외환차익",BS연결,MATCH(X$1,BS연결H,0),0)-VLOOKUP("외환차손",BS연결,MATCH(X$1,BS연결H,0),0)+VLOOKUP("외화환산이익",BS연결,MATCH(X$1,BS연결H,0),0)-VLOOKUP("외화환산손실",BS연결,MATCH(X$1,BS연결H,0),0))/100,"")</f>
        <v/>
      </c>
      <c r="Y13" s="18">
        <f>IFERROR((VLOOKUP("외환차익",BS연결,MATCH(Y$1,BS연결H,0),0)-VLOOKUP("외환차손",BS연결,MATCH(Y$1,BS연결H,0),0)+VLOOKUP("외화환산이익",BS연결,MATCH(Y$1,BS연결H,0),0)-VLOOKUP("외화환산손실",BS연결,MATCH(Y$1,BS연결H,0),0))/100,"")</f>
        <v/>
      </c>
      <c r="Z13" s="37">
        <f>SUM(V13:Y13)</f>
        <v/>
      </c>
      <c r="AA13" s="18" t="n"/>
      <c r="AB13" s="19">
        <f>IFERROR((VLOOKUP("외환차익",BS연결,MATCH(AB$1,BS연결H,0),0)-VLOOKUP("외환차손",BS연결,MATCH(AB$1,BS연결H,0),0)+VLOOKUP("외화환산이익",BS연결,MATCH(AB$1,BS연결H,0),0)-VLOOKUP("외화환산손실",BS연결,MATCH(AB$1,BS연결H,0),0))/100,"")</f>
        <v/>
      </c>
      <c r="AC13" s="20">
        <f>변수!AC24</f>
        <v/>
      </c>
      <c r="AD13" s="20">
        <f>변수!AD24</f>
        <v/>
      </c>
      <c r="AE13" s="38">
        <f>SUM(AA13:AD13)</f>
        <v/>
      </c>
      <c r="AF13" s="20">
        <f>변수!AF24</f>
        <v/>
      </c>
      <c r="AG13" s="20">
        <f>변수!AG24</f>
        <v/>
      </c>
      <c r="AH13" s="20">
        <f>변수!AH24</f>
        <v/>
      </c>
      <c r="AI13" s="20">
        <f>변수!AI24</f>
        <v/>
      </c>
      <c r="AJ13" s="38">
        <f>SUM(AF13:AI13)</f>
        <v/>
      </c>
      <c r="AK13" s="20">
        <f>변수!AK24</f>
        <v/>
      </c>
      <c r="AL13" s="20">
        <f>변수!AL24</f>
        <v/>
      </c>
      <c r="AM13" s="20">
        <f>변수!AM24</f>
        <v/>
      </c>
      <c r="AN13" s="20">
        <f>변수!AN24</f>
        <v/>
      </c>
      <c r="AO13" s="38">
        <f>SUM(AK13:AN13)</f>
        <v/>
      </c>
    </row>
    <row r="14">
      <c r="A14" s="12" t="inlineStr">
        <is>
          <t>파생상품손익</t>
        </is>
      </c>
      <c r="B14" t="inlineStr">
        <is>
          <t>손익</t>
        </is>
      </c>
      <c r="C14" t="inlineStr">
        <is>
          <t>억원</t>
        </is>
      </c>
      <c r="D14" t="inlineStr">
        <is>
          <t>파생상품손익</t>
        </is>
      </c>
      <c r="E14" s="18" t="n"/>
      <c r="F14" s="37" t="n"/>
      <c r="G14" s="18" t="n"/>
      <c r="H14" s="18" t="n"/>
      <c r="I14" s="18" t="n"/>
      <c r="J14" s="18" t="n"/>
      <c r="K14" s="37">
        <f>SUM(G14:J14)</f>
        <v/>
      </c>
      <c r="L14" s="18" t="n"/>
      <c r="M14" s="18" t="n"/>
      <c r="N14" s="18" t="n"/>
      <c r="O14" s="18" t="n"/>
      <c r="P14" s="37">
        <f>SUM(L14:O14)</f>
        <v/>
      </c>
      <c r="Q14" s="18" t="n"/>
      <c r="R14" s="18" t="n"/>
      <c r="S14" s="18" t="n"/>
      <c r="T14" s="18" t="n"/>
      <c r="U14" s="37">
        <f>SUM(Q14:T14)</f>
        <v/>
      </c>
      <c r="V14" s="18" t="n"/>
      <c r="W14" s="18">
        <f>IFERROR((VLOOKUP("파생상품이익",BS연결,MATCH(W$1,BS연결H,0),0)-VLOOKUP("파생상품손실",BS연결,MATCH(W$1,BS연결H,0),0))/100,"")</f>
        <v/>
      </c>
      <c r="X14" s="18">
        <f>IFERROR((VLOOKUP("파생상품이익",BS연결,MATCH(X$1,BS연결H,0),0)-VLOOKUP("파생상품손실",BS연결,MATCH(X$1,BS연결H,0),0))/100,"")</f>
        <v/>
      </c>
      <c r="Y14" s="18">
        <f>IFERROR((VLOOKUP("파생상품이익",BS연결,MATCH(Y$1,BS연결H,0),0)-VLOOKUP("파생상품손실",BS연결,MATCH(Y$1,BS연결H,0),0))/100,"")</f>
        <v/>
      </c>
      <c r="Z14" s="37">
        <f>SUM(V14:Y14)</f>
        <v/>
      </c>
      <c r="AA14" s="18" t="n"/>
      <c r="AB14" s="19">
        <f>IFERROR((VLOOKUP("파생상품이익",BS연결,MATCH(AB$1,BS연결H,0),0)-VLOOKUP("파생상품손실",BS연결,MATCH(AB$1,BS연결H,0),0))/100,"")</f>
        <v/>
      </c>
      <c r="AC14" s="20">
        <f>변수!AC25</f>
        <v/>
      </c>
      <c r="AD14" s="20">
        <f>변수!AD25</f>
        <v/>
      </c>
      <c r="AE14" s="38">
        <f>SUM(AA14:AD14)</f>
        <v/>
      </c>
      <c r="AF14" s="20">
        <f>변수!AF25</f>
        <v/>
      </c>
      <c r="AG14" s="20">
        <f>변수!AG25</f>
        <v/>
      </c>
      <c r="AH14" s="20">
        <f>변수!AH25</f>
        <v/>
      </c>
      <c r="AI14" s="20">
        <f>변수!AI25</f>
        <v/>
      </c>
      <c r="AJ14" s="38">
        <f>SUM(AF14:AI14)</f>
        <v/>
      </c>
      <c r="AK14" s="20">
        <f>변수!AK25</f>
        <v/>
      </c>
      <c r="AL14" s="20">
        <f>변수!AL25</f>
        <v/>
      </c>
      <c r="AM14" s="20">
        <f>변수!AM25</f>
        <v/>
      </c>
      <c r="AN14" s="20">
        <f>변수!AN25</f>
        <v/>
      </c>
      <c r="AO14" s="38">
        <f>SUM(AK14:AN14)</f>
        <v/>
      </c>
    </row>
    <row r="15">
      <c r="A15" s="12" t="inlineStr">
        <is>
          <t>기타금융손익</t>
        </is>
      </c>
      <c r="B15" t="inlineStr">
        <is>
          <t>손익</t>
        </is>
      </c>
      <c r="C15" t="inlineStr">
        <is>
          <t>억원</t>
        </is>
      </c>
      <c r="D15" t="inlineStr">
        <is>
          <t>기타금융손익(금융손익 잔차)</t>
        </is>
      </c>
      <c r="E15" s="18" t="n"/>
      <c r="F15" s="37" t="n"/>
      <c r="G15" s="18" t="n"/>
      <c r="H15" s="18" t="n"/>
      <c r="I15" s="18" t="n"/>
      <c r="J15" s="18" t="n"/>
      <c r="K15" s="37">
        <f>SUM(G15:J15)</f>
        <v/>
      </c>
      <c r="L15" s="18" t="n"/>
      <c r="M15" s="18" t="n"/>
      <c r="N15" s="18" t="n"/>
      <c r="O15" s="18" t="n"/>
      <c r="P15" s="37">
        <f>SUM(L15:O15)</f>
        <v/>
      </c>
      <c r="Q15" s="18" t="n"/>
      <c r="R15" s="18" t="n"/>
      <c r="S15" s="18" t="n"/>
      <c r="T15" s="18" t="n"/>
      <c r="U15" s="37">
        <f>SUM(Q15:T15)</f>
        <v/>
      </c>
      <c r="V15" s="18" t="n"/>
      <c r="W15" s="18">
        <f>IFERROR(W11-W12-W13-W14,"")</f>
        <v/>
      </c>
      <c r="X15" s="18">
        <f>IFERROR(X11-X12-X13-X14,"")</f>
        <v/>
      </c>
      <c r="Y15" s="18">
        <f>IFERROR(Y11-Y12-Y13-Y14,"")</f>
        <v/>
      </c>
      <c r="Z15" s="37">
        <f>SUM(V15:Y15)</f>
        <v/>
      </c>
      <c r="AA15" s="18" t="n"/>
      <c r="AB15" s="19">
        <f>IFERROR(AB11-AB12-AB13-AB14,"")</f>
        <v/>
      </c>
      <c r="AC15" s="20">
        <f>변수!AC26</f>
        <v/>
      </c>
      <c r="AD15" s="20">
        <f>변수!AD26</f>
        <v/>
      </c>
      <c r="AE15" s="38">
        <f>SUM(AA15:AD15)</f>
        <v/>
      </c>
      <c r="AF15" s="20">
        <f>변수!AF26</f>
        <v/>
      </c>
      <c r="AG15" s="20">
        <f>변수!AG26</f>
        <v/>
      </c>
      <c r="AH15" s="20">
        <f>변수!AH26</f>
        <v/>
      </c>
      <c r="AI15" s="20">
        <f>변수!AI26</f>
        <v/>
      </c>
      <c r="AJ15" s="38">
        <f>SUM(AF15:AI15)</f>
        <v/>
      </c>
      <c r="AK15" s="20">
        <f>변수!AK26</f>
        <v/>
      </c>
      <c r="AL15" s="20">
        <f>변수!AL26</f>
        <v/>
      </c>
      <c r="AM15" s="20">
        <f>변수!AM26</f>
        <v/>
      </c>
      <c r="AN15" s="20">
        <f>변수!AN26</f>
        <v/>
      </c>
      <c r="AO15" s="38">
        <f>SUM(AK15:AN15)</f>
        <v/>
      </c>
    </row>
    <row r="16">
      <c r="A16" s="12" t="inlineStr">
        <is>
          <t>기타영업외손익</t>
        </is>
      </c>
      <c r="B16" t="inlineStr">
        <is>
          <t>손익</t>
        </is>
      </c>
      <c r="C16" t="inlineStr">
        <is>
          <t>억원</t>
        </is>
      </c>
      <c r="D16" t="inlineStr">
        <is>
          <t>기타영업외손익</t>
        </is>
      </c>
      <c r="E16" s="18">
        <f>IFERROR(VLOOKUP($D16,BS연결,MATCH(E$1,BS연결H,0),0)/100,"")</f>
        <v/>
      </c>
      <c r="F16" s="37" t="n"/>
      <c r="G16" s="18">
        <f>IFERROR(VLOOKUP($D16,BS연결,MATCH(G$1,BS연결H,0),0)/100,"")</f>
        <v/>
      </c>
      <c r="H16" s="18">
        <f>IFERROR(VLOOKUP($D16,BS연결,MATCH(H$1,BS연결H,0),0)/100,"")</f>
        <v/>
      </c>
      <c r="I16" s="18">
        <f>IFERROR(VLOOKUP($D16,BS연결,MATCH(I$1,BS연결H,0),0)/100,"")</f>
        <v/>
      </c>
      <c r="J16" s="18">
        <f>IFERROR(VLOOKUP($D16,BS연결,MATCH(J$1,BS연결H,0),0)/100,"")</f>
        <v/>
      </c>
      <c r="K16" s="37">
        <f>IFERROR(VLOOKUP($D16,BS연결,MATCH(K$1,BS연결H,0),0)/100,"")</f>
        <v/>
      </c>
      <c r="L16" s="18">
        <f>IFERROR(VLOOKUP($D16,BS연결,MATCH(L$1,BS연결H,0),0)/100,"")</f>
        <v/>
      </c>
      <c r="M16" s="18">
        <f>IFERROR(VLOOKUP($D16,BS연결,MATCH(M$1,BS연결H,0),0)/100,"")</f>
        <v/>
      </c>
      <c r="N16" s="18">
        <f>IFERROR(VLOOKUP($D16,BS연결,MATCH(N$1,BS연결H,0),0)/100,"")</f>
        <v/>
      </c>
      <c r="O16" s="18">
        <f>IFERROR(VLOOKUP($D16,BS연결,MATCH(O$1,BS연결H,0),0)/100,"")</f>
        <v/>
      </c>
      <c r="P16" s="37">
        <f>IFERROR(VLOOKUP($D16,BS연결,MATCH(P$1,BS연결H,0),0)/100,"")</f>
        <v/>
      </c>
      <c r="Q16" s="18">
        <f>IFERROR(VLOOKUP($D16,BS연결,MATCH(Q$1,BS연결H,0),0)/100,"")</f>
        <v/>
      </c>
      <c r="R16" s="18">
        <f>IFERROR(VLOOKUP($D16,BS연결,MATCH(R$1,BS연결H,0),0)/100,"")</f>
        <v/>
      </c>
      <c r="S16" s="18">
        <f>IFERROR(VLOOKUP($D16,BS연결,MATCH(S$1,BS연결H,0),0)/100,"")</f>
        <v/>
      </c>
      <c r="T16" s="18">
        <f>IFERROR(VLOOKUP($D16,BS연결,MATCH(T$1,BS연결H,0),0)/100,"")</f>
        <v/>
      </c>
      <c r="U16" s="37">
        <f>IFERROR(VLOOKUP($D16,BS연결,MATCH(U$1,BS연결H,0),0)/100,"")</f>
        <v/>
      </c>
      <c r="V16" s="18">
        <f>IFERROR(VLOOKUP($D16,BS연결,MATCH(V$1,BS연결H,0),0)/100,"")</f>
        <v/>
      </c>
      <c r="W16" s="18">
        <f>IFERROR(VLOOKUP($D16,BS연결,MATCH(W$1,BS연결H,0),0)/100,"")</f>
        <v/>
      </c>
      <c r="X16" s="18">
        <f>IFERROR(VLOOKUP($D16,BS연결,MATCH(X$1,BS연결H,0),0)/100,"")</f>
        <v/>
      </c>
      <c r="Y16" s="18">
        <f>IFERROR(VLOOKUP($D16,BS연결,MATCH(Y$1,BS연결H,0),0)/100,"")</f>
        <v/>
      </c>
      <c r="Z16" s="37">
        <f>IFERROR(VLOOKUP($D16,BS연결,MATCH(Z$1,BS연결H,0),0)/100,"")</f>
        <v/>
      </c>
      <c r="AA16" s="18">
        <f>IFERROR(VLOOKUP($D16,BS연결,MATCH(AA$1,BS연결H,0),0)/100,"")</f>
        <v/>
      </c>
      <c r="AB16" s="19">
        <f>IFERROR(VLOOKUP($D16,BS연결,MATCH(AB$1,BS연결H,0),0)/100,"")</f>
        <v/>
      </c>
      <c r="AC16" s="20">
        <f>변수!AC27</f>
        <v/>
      </c>
      <c r="AD16" s="20">
        <f>변수!AD27</f>
        <v/>
      </c>
      <c r="AE16" s="38">
        <f>SUM(AA16:AD16)</f>
        <v/>
      </c>
      <c r="AF16" s="20">
        <f>변수!AF27</f>
        <v/>
      </c>
      <c r="AG16" s="20">
        <f>변수!AG27</f>
        <v/>
      </c>
      <c r="AH16" s="20">
        <f>변수!AH27</f>
        <v/>
      </c>
      <c r="AI16" s="20">
        <f>변수!AI27</f>
        <v/>
      </c>
      <c r="AJ16" s="38">
        <f>SUM(AF16:AI16)</f>
        <v/>
      </c>
      <c r="AK16" s="20">
        <f>변수!AK27</f>
        <v/>
      </c>
      <c r="AL16" s="20">
        <f>변수!AL27</f>
        <v/>
      </c>
      <c r="AM16" s="20">
        <f>변수!AM27</f>
        <v/>
      </c>
      <c r="AN16" s="20">
        <f>변수!AN27</f>
        <v/>
      </c>
      <c r="AO16" s="38">
        <f>SUM(AK16:AN16)</f>
        <v/>
      </c>
    </row>
    <row r="17">
      <c r="A17" s="12" t="inlineStr">
        <is>
          <t>세전이익</t>
        </is>
      </c>
      <c r="B17" t="inlineStr">
        <is>
          <t>손익</t>
        </is>
      </c>
      <c r="C17" t="inlineStr">
        <is>
          <t>억원</t>
        </is>
      </c>
      <c r="D17" t="inlineStr">
        <is>
          <t>법인세비용차감전계속사업이익</t>
        </is>
      </c>
      <c r="E17" s="18">
        <f>IFERROR(VLOOKUP($D17,BS연결,MATCH(E$1,BS연결H,0),0)/100,"")</f>
        <v/>
      </c>
      <c r="F17" s="37" t="n"/>
      <c r="G17" s="18">
        <f>IFERROR(VLOOKUP($D17,BS연결,MATCH(G$1,BS연결H,0),0)/100,"")</f>
        <v/>
      </c>
      <c r="H17" s="18">
        <f>IFERROR(VLOOKUP($D17,BS연결,MATCH(H$1,BS연결H,0),0)/100,"")</f>
        <v/>
      </c>
      <c r="I17" s="18">
        <f>IFERROR(VLOOKUP($D17,BS연결,MATCH(I$1,BS연결H,0),0)/100,"")</f>
        <v/>
      </c>
      <c r="J17" s="18">
        <f>IFERROR(VLOOKUP($D17,BS연결,MATCH(J$1,BS연결H,0),0)/100,"")</f>
        <v/>
      </c>
      <c r="K17" s="37">
        <f>IFERROR(VLOOKUP($D17,BS연결,MATCH(K$1,BS연결H,0),0)/100,"")</f>
        <v/>
      </c>
      <c r="L17" s="18">
        <f>IFERROR(VLOOKUP($D17,BS연결,MATCH(L$1,BS연결H,0),0)/100,"")</f>
        <v/>
      </c>
      <c r="M17" s="18">
        <f>IFERROR(VLOOKUP($D17,BS연결,MATCH(M$1,BS연결H,0),0)/100,"")</f>
        <v/>
      </c>
      <c r="N17" s="18">
        <f>IFERROR(VLOOKUP($D17,BS연결,MATCH(N$1,BS연결H,0),0)/100,"")</f>
        <v/>
      </c>
      <c r="O17" s="18">
        <f>IFERROR(VLOOKUP($D17,BS연결,MATCH(O$1,BS연결H,0),0)/100,"")</f>
        <v/>
      </c>
      <c r="P17" s="37">
        <f>IFERROR(VLOOKUP($D17,BS연결,MATCH(P$1,BS연결H,0),0)/100,"")</f>
        <v/>
      </c>
      <c r="Q17" s="18">
        <f>IFERROR(VLOOKUP($D17,BS연결,MATCH(Q$1,BS연결H,0),0)/100,"")</f>
        <v/>
      </c>
      <c r="R17" s="18">
        <f>IFERROR(VLOOKUP($D17,BS연결,MATCH(R$1,BS연결H,0),0)/100,"")</f>
        <v/>
      </c>
      <c r="S17" s="18">
        <f>IFERROR(VLOOKUP($D17,BS연결,MATCH(S$1,BS연결H,0),0)/100,"")</f>
        <v/>
      </c>
      <c r="T17" s="18">
        <f>IFERROR(VLOOKUP($D17,BS연결,MATCH(T$1,BS연결H,0),0)/100,"")</f>
        <v/>
      </c>
      <c r="U17" s="37">
        <f>IFERROR(VLOOKUP($D17,BS연결,MATCH(U$1,BS연결H,0),0)/100,"")</f>
        <v/>
      </c>
      <c r="V17" s="18">
        <f>IFERROR(VLOOKUP($D17,BS연결,MATCH(V$1,BS연결H,0),0)/100,"")</f>
        <v/>
      </c>
      <c r="W17" s="18">
        <f>IFERROR(VLOOKUP($D17,BS연결,MATCH(W$1,BS연결H,0),0)/100,"")</f>
        <v/>
      </c>
      <c r="X17" s="18">
        <f>IFERROR(VLOOKUP($D17,BS연결,MATCH(X$1,BS연결H,0),0)/100,"")</f>
        <v/>
      </c>
      <c r="Y17" s="18">
        <f>IFERROR(VLOOKUP($D17,BS연결,MATCH(Y$1,BS연결H,0),0)/100,"")</f>
        <v/>
      </c>
      <c r="Z17" s="37">
        <f>IFERROR(VLOOKUP($D17,BS연결,MATCH(Z$1,BS연결H,0),0)/100,"")</f>
        <v/>
      </c>
      <c r="AA17" s="18">
        <f>IFERROR(VLOOKUP($D17,BS연결,MATCH(AA$1,BS연결H,0),0)/100,"")</f>
        <v/>
      </c>
      <c r="AB17" s="19">
        <f>IFERROR(VLOOKUP($D17,BS연결,MATCH(AB$1,BS연결H,0),0)/100,"")</f>
        <v/>
      </c>
      <c r="AC17" s="20">
        <f>IFERROR(AC9+AC11+AC16,"")</f>
        <v/>
      </c>
      <c r="AD17" s="20">
        <f>IFERROR(AD9+AD11+AD16,"")</f>
        <v/>
      </c>
      <c r="AE17" s="38">
        <f>SUM(AA17:AD17)</f>
        <v/>
      </c>
      <c r="AF17" s="20">
        <f>IFERROR(AF9+AF11+AF16,"")</f>
        <v/>
      </c>
      <c r="AG17" s="20">
        <f>IFERROR(AG9+AG11+AG16,"")</f>
        <v/>
      </c>
      <c r="AH17" s="20">
        <f>IFERROR(AH9+AH11+AH16,"")</f>
        <v/>
      </c>
      <c r="AI17" s="20">
        <f>IFERROR(AI9+AI11+AI16,"")</f>
        <v/>
      </c>
      <c r="AJ17" s="38">
        <f>SUM(AF17:AI17)</f>
        <v/>
      </c>
      <c r="AK17" s="20">
        <f>IFERROR(AK9+AK11+AK16,"")</f>
        <v/>
      </c>
      <c r="AL17" s="20">
        <f>IFERROR(AL9+AL11+AL16,"")</f>
        <v/>
      </c>
      <c r="AM17" s="20">
        <f>IFERROR(AM9+AM11+AM16,"")</f>
        <v/>
      </c>
      <c r="AN17" s="20">
        <f>IFERROR(AN9+AN11+AN16,"")</f>
        <v/>
      </c>
      <c r="AO17" s="38">
        <f>SUM(AK17:AN17)</f>
        <v/>
      </c>
    </row>
    <row r="18">
      <c r="A18" s="12" t="inlineStr">
        <is>
          <t>법인세비용</t>
        </is>
      </c>
      <c r="B18" t="inlineStr">
        <is>
          <t>손익</t>
        </is>
      </c>
      <c r="C18" t="inlineStr">
        <is>
          <t>억원</t>
        </is>
      </c>
      <c r="D18" t="inlineStr">
        <is>
          <t>법인세비용</t>
        </is>
      </c>
      <c r="E18" s="18">
        <f>IFERROR(VLOOKUP($D18,BS연결,MATCH(E$1,BS연결H,0),0)/100,"")</f>
        <v/>
      </c>
      <c r="F18" s="37" t="n"/>
      <c r="G18" s="18">
        <f>IFERROR(VLOOKUP($D18,BS연결,MATCH(G$1,BS연결H,0),0)/100,"")</f>
        <v/>
      </c>
      <c r="H18" s="18">
        <f>IFERROR(VLOOKUP($D18,BS연결,MATCH(H$1,BS연결H,0),0)/100,"")</f>
        <v/>
      </c>
      <c r="I18" s="18">
        <f>IFERROR(VLOOKUP($D18,BS연결,MATCH(I$1,BS연결H,0),0)/100,"")</f>
        <v/>
      </c>
      <c r="J18" s="18">
        <f>IFERROR(VLOOKUP($D18,BS연결,MATCH(J$1,BS연결H,0),0)/100,"")</f>
        <v/>
      </c>
      <c r="K18" s="37">
        <f>IFERROR(VLOOKUP($D18,BS연결,MATCH(K$1,BS연결H,0),0)/100,"")</f>
        <v/>
      </c>
      <c r="L18" s="18">
        <f>IFERROR(VLOOKUP($D18,BS연결,MATCH(L$1,BS연결H,0),0)/100,"")</f>
        <v/>
      </c>
      <c r="M18" s="18">
        <f>IFERROR(VLOOKUP($D18,BS연결,MATCH(M$1,BS연결H,0),0)/100,"")</f>
        <v/>
      </c>
      <c r="N18" s="18">
        <f>IFERROR(VLOOKUP($D18,BS연결,MATCH(N$1,BS연결H,0),0)/100,"")</f>
        <v/>
      </c>
      <c r="O18" s="18">
        <f>IFERROR(VLOOKUP($D18,BS연결,MATCH(O$1,BS연결H,0),0)/100,"")</f>
        <v/>
      </c>
      <c r="P18" s="37">
        <f>IFERROR(VLOOKUP($D18,BS연결,MATCH(P$1,BS연결H,0),0)/100,"")</f>
        <v/>
      </c>
      <c r="Q18" s="18">
        <f>IFERROR(VLOOKUP($D18,BS연결,MATCH(Q$1,BS연결H,0),0)/100,"")</f>
        <v/>
      </c>
      <c r="R18" s="18">
        <f>IFERROR(VLOOKUP($D18,BS연결,MATCH(R$1,BS연결H,0),0)/100,"")</f>
        <v/>
      </c>
      <c r="S18" s="18">
        <f>IFERROR(VLOOKUP($D18,BS연결,MATCH(S$1,BS연결H,0),0)/100,"")</f>
        <v/>
      </c>
      <c r="T18" s="18">
        <f>IFERROR(VLOOKUP($D18,BS연결,MATCH(T$1,BS연결H,0),0)/100,"")</f>
        <v/>
      </c>
      <c r="U18" s="37">
        <f>IFERROR(VLOOKUP($D18,BS연결,MATCH(U$1,BS연결H,0),0)/100,"")</f>
        <v/>
      </c>
      <c r="V18" s="18">
        <f>IFERROR(VLOOKUP($D18,BS연결,MATCH(V$1,BS연결H,0),0)/100,"")</f>
        <v/>
      </c>
      <c r="W18" s="18">
        <f>IFERROR(VLOOKUP($D18,BS연결,MATCH(W$1,BS연결H,0),0)/100,"")</f>
        <v/>
      </c>
      <c r="X18" s="18">
        <f>IFERROR(VLOOKUP($D18,BS연결,MATCH(X$1,BS연결H,0),0)/100,"")</f>
        <v/>
      </c>
      <c r="Y18" s="18">
        <f>IFERROR(VLOOKUP($D18,BS연결,MATCH(Y$1,BS연결H,0),0)/100,"")</f>
        <v/>
      </c>
      <c r="Z18" s="37">
        <f>IFERROR(VLOOKUP($D18,BS연결,MATCH(Z$1,BS연결H,0),0)/100,"")</f>
        <v/>
      </c>
      <c r="AA18" s="18">
        <f>IFERROR(VLOOKUP($D18,BS연결,MATCH(AA$1,BS연결H,0),0)/100,"")</f>
        <v/>
      </c>
      <c r="AB18" s="19">
        <f>IFERROR(VLOOKUP($D18,BS연결,MATCH(AB$1,BS연결H,0),0)/100,"")</f>
        <v/>
      </c>
      <c r="AC18" s="20">
        <f>IFERROR(MAX(AC17,0)*변수!AC28,"")</f>
        <v/>
      </c>
      <c r="AD18" s="20">
        <f>IFERROR(MAX(AD17,0)*변수!AD28,"")</f>
        <v/>
      </c>
      <c r="AE18" s="38">
        <f>SUM(AA18:AD18)</f>
        <v/>
      </c>
      <c r="AF18" s="20">
        <f>IFERROR(MAX(AF17,0)*변수!AF28,"")</f>
        <v/>
      </c>
      <c r="AG18" s="20">
        <f>IFERROR(MAX(AG17,0)*변수!AG28,"")</f>
        <v/>
      </c>
      <c r="AH18" s="20">
        <f>IFERROR(MAX(AH17,0)*변수!AH28,"")</f>
        <v/>
      </c>
      <c r="AI18" s="20">
        <f>IFERROR(MAX(AI17,0)*변수!AI28,"")</f>
        <v/>
      </c>
      <c r="AJ18" s="38">
        <f>SUM(AF18:AI18)</f>
        <v/>
      </c>
      <c r="AK18" s="20">
        <f>IFERROR(MAX(AK17,0)*변수!AK28,"")</f>
        <v/>
      </c>
      <c r="AL18" s="20">
        <f>IFERROR(MAX(AL17,0)*변수!AL28,"")</f>
        <v/>
      </c>
      <c r="AM18" s="20">
        <f>IFERROR(MAX(AM17,0)*변수!AM28,"")</f>
        <v/>
      </c>
      <c r="AN18" s="20">
        <f>IFERROR(MAX(AN17,0)*변수!AN28,"")</f>
        <v/>
      </c>
      <c r="AO18" s="38">
        <f>SUM(AK18:AN18)</f>
        <v/>
      </c>
    </row>
    <row r="19">
      <c r="A19" s="12" t="inlineStr">
        <is>
          <t>당기순이익</t>
        </is>
      </c>
      <c r="B19" t="inlineStr">
        <is>
          <t>손익</t>
        </is>
      </c>
      <c r="C19" t="inlineStr">
        <is>
          <t>억원</t>
        </is>
      </c>
      <c r="D19" t="inlineStr">
        <is>
          <t>당기순이익</t>
        </is>
      </c>
      <c r="E19" s="18">
        <f>IFERROR(VLOOKUP($D19,BS연결,MATCH(E$1,BS연결H,0),0)/100,"")</f>
        <v/>
      </c>
      <c r="F19" s="37" t="n"/>
      <c r="G19" s="18">
        <f>IFERROR(VLOOKUP($D19,BS연결,MATCH(G$1,BS연결H,0),0)/100,"")</f>
        <v/>
      </c>
      <c r="H19" s="18">
        <f>IFERROR(VLOOKUP($D19,BS연결,MATCH(H$1,BS연결H,0),0)/100,"")</f>
        <v/>
      </c>
      <c r="I19" s="18">
        <f>IFERROR(VLOOKUP($D19,BS연결,MATCH(I$1,BS연결H,0),0)/100,"")</f>
        <v/>
      </c>
      <c r="J19" s="18">
        <f>IFERROR(VLOOKUP($D19,BS연결,MATCH(J$1,BS연결H,0),0)/100,"")</f>
        <v/>
      </c>
      <c r="K19" s="37">
        <f>IFERROR(VLOOKUP($D19,BS연결,MATCH(K$1,BS연결H,0),0)/100,"")</f>
        <v/>
      </c>
      <c r="L19" s="18">
        <f>IFERROR(VLOOKUP($D19,BS연결,MATCH(L$1,BS연결H,0),0)/100,"")</f>
        <v/>
      </c>
      <c r="M19" s="18">
        <f>IFERROR(VLOOKUP($D19,BS연결,MATCH(M$1,BS연결H,0),0)/100,"")</f>
        <v/>
      </c>
      <c r="N19" s="18">
        <f>IFERROR(VLOOKUP($D19,BS연결,MATCH(N$1,BS연결H,0),0)/100,"")</f>
        <v/>
      </c>
      <c r="O19" s="18">
        <f>IFERROR(VLOOKUP($D19,BS연결,MATCH(O$1,BS연결H,0),0)/100,"")</f>
        <v/>
      </c>
      <c r="P19" s="37">
        <f>IFERROR(VLOOKUP($D19,BS연결,MATCH(P$1,BS연결H,0),0)/100,"")</f>
        <v/>
      </c>
      <c r="Q19" s="18">
        <f>IFERROR(VLOOKUP($D19,BS연결,MATCH(Q$1,BS연결H,0),0)/100,"")</f>
        <v/>
      </c>
      <c r="R19" s="18">
        <f>IFERROR(VLOOKUP($D19,BS연결,MATCH(R$1,BS연결H,0),0)/100,"")</f>
        <v/>
      </c>
      <c r="S19" s="18">
        <f>IFERROR(VLOOKUP($D19,BS연결,MATCH(S$1,BS연결H,0),0)/100,"")</f>
        <v/>
      </c>
      <c r="T19" s="18">
        <f>IFERROR(VLOOKUP($D19,BS연결,MATCH(T$1,BS연결H,0),0)/100,"")</f>
        <v/>
      </c>
      <c r="U19" s="37">
        <f>IFERROR(VLOOKUP($D19,BS연결,MATCH(U$1,BS연결H,0),0)/100,"")</f>
        <v/>
      </c>
      <c r="V19" s="18">
        <f>IFERROR(VLOOKUP($D19,BS연결,MATCH(V$1,BS연결H,0),0)/100,"")</f>
        <v/>
      </c>
      <c r="W19" s="18">
        <f>IFERROR(VLOOKUP($D19,BS연결,MATCH(W$1,BS연결H,0),0)/100,"")</f>
        <v/>
      </c>
      <c r="X19" s="18">
        <f>IFERROR(VLOOKUP($D19,BS연결,MATCH(X$1,BS연결H,0),0)/100,"")</f>
        <v/>
      </c>
      <c r="Y19" s="18">
        <f>IFERROR(VLOOKUP($D19,BS연결,MATCH(Y$1,BS연결H,0),0)/100,"")</f>
        <v/>
      </c>
      <c r="Z19" s="37">
        <f>IFERROR(VLOOKUP($D19,BS연결,MATCH(Z$1,BS연결H,0),0)/100,"")</f>
        <v/>
      </c>
      <c r="AA19" s="18">
        <f>IFERROR(VLOOKUP($D19,BS연결,MATCH(AA$1,BS연결H,0),0)/100,"")</f>
        <v/>
      </c>
      <c r="AB19" s="19">
        <f>IFERROR(VLOOKUP($D19,BS연결,MATCH(AB$1,BS연결H,0),0)/100,"")</f>
        <v/>
      </c>
      <c r="AC19" s="20">
        <f>IFERROR(AC17-AC18,"")</f>
        <v/>
      </c>
      <c r="AD19" s="20">
        <f>IFERROR(AD17-AD18,"")</f>
        <v/>
      </c>
      <c r="AE19" s="38">
        <f>SUM(AA19:AD19)</f>
        <v/>
      </c>
      <c r="AF19" s="20">
        <f>IFERROR(AF17-AF18,"")</f>
        <v/>
      </c>
      <c r="AG19" s="20">
        <f>IFERROR(AG17-AG18,"")</f>
        <v/>
      </c>
      <c r="AH19" s="20">
        <f>IFERROR(AH17-AH18,"")</f>
        <v/>
      </c>
      <c r="AI19" s="20">
        <f>IFERROR(AI17-AI18,"")</f>
        <v/>
      </c>
      <c r="AJ19" s="38">
        <f>SUM(AF19:AI19)</f>
        <v/>
      </c>
      <c r="AK19" s="20">
        <f>IFERROR(AK17-AK18,"")</f>
        <v/>
      </c>
      <c r="AL19" s="20">
        <f>IFERROR(AL17-AL18,"")</f>
        <v/>
      </c>
      <c r="AM19" s="20">
        <f>IFERROR(AM17-AM18,"")</f>
        <v/>
      </c>
      <c r="AN19" s="20">
        <f>IFERROR(AN17-AN18,"")</f>
        <v/>
      </c>
      <c r="AO19" s="38">
        <f>SUM(AK19:AN19)</f>
        <v/>
      </c>
    </row>
    <row r="20">
      <c r="A20" s="12" t="inlineStr">
        <is>
          <t>지배주주순이익</t>
        </is>
      </c>
      <c r="B20" t="inlineStr">
        <is>
          <t>손익</t>
        </is>
      </c>
      <c r="C20" t="inlineStr">
        <is>
          <t>억원</t>
        </is>
      </c>
      <c r="D20" t="inlineStr">
        <is>
          <t>(지배주주지분)당기순이익</t>
        </is>
      </c>
      <c r="E20" s="18">
        <f>IFERROR(VLOOKUP($D20,BS연결,MATCH(E$1,BS연결H,0),0)/100,"")</f>
        <v/>
      </c>
      <c r="F20" s="37" t="n"/>
      <c r="G20" s="18">
        <f>IFERROR(VLOOKUP($D20,BS연결,MATCH(G$1,BS연결H,0),0)/100,"")</f>
        <v/>
      </c>
      <c r="H20" s="18">
        <f>IFERROR(VLOOKUP($D20,BS연결,MATCH(H$1,BS연결H,0),0)/100,"")</f>
        <v/>
      </c>
      <c r="I20" s="18">
        <f>IFERROR(VLOOKUP($D20,BS연결,MATCH(I$1,BS연결H,0),0)/100,"")</f>
        <v/>
      </c>
      <c r="J20" s="18">
        <f>IFERROR(VLOOKUP($D20,BS연결,MATCH(J$1,BS연결H,0),0)/100,"")</f>
        <v/>
      </c>
      <c r="K20" s="37">
        <f>IFERROR(VLOOKUP($D20,BS연결,MATCH(K$1,BS연결H,0),0)/100,"")</f>
        <v/>
      </c>
      <c r="L20" s="18">
        <f>IFERROR(VLOOKUP($D20,BS연결,MATCH(L$1,BS연결H,0),0)/100,"")</f>
        <v/>
      </c>
      <c r="M20" s="18">
        <f>IFERROR(VLOOKUP($D20,BS연결,MATCH(M$1,BS연결H,0),0)/100,"")</f>
        <v/>
      </c>
      <c r="N20" s="18">
        <f>IFERROR(VLOOKUP($D20,BS연결,MATCH(N$1,BS연결H,0),0)/100,"")</f>
        <v/>
      </c>
      <c r="O20" s="18">
        <f>IFERROR(VLOOKUP($D20,BS연결,MATCH(O$1,BS연결H,0),0)/100,"")</f>
        <v/>
      </c>
      <c r="P20" s="37">
        <f>SUM(L20:O20)</f>
        <v/>
      </c>
      <c r="Q20" s="18">
        <f>IFERROR(VLOOKUP($D20,BS연결,MATCH(Q$1,BS연결H,0),0)/100,"")</f>
        <v/>
      </c>
      <c r="R20" s="18">
        <f>IFERROR(VLOOKUP($D20,BS연결,MATCH(R$1,BS연결H,0),0)/100,"")</f>
        <v/>
      </c>
      <c r="S20" s="18">
        <f>IFERROR(VLOOKUP($D20,BS연결,MATCH(S$1,BS연결H,0),0)/100,"")</f>
        <v/>
      </c>
      <c r="T20" s="18">
        <f>IFERROR(VLOOKUP($D20,BS연결,MATCH(T$1,BS연결H,0),0)/100,"")</f>
        <v/>
      </c>
      <c r="U20" s="37">
        <f>IFERROR(VLOOKUP($D20,BS연결,MATCH(U$1,BS연결H,0),0)/100,"")</f>
        <v/>
      </c>
      <c r="V20" s="18">
        <f>IFERROR(VLOOKUP($D20,BS연결,MATCH(V$1,BS연결H,0),0)/100,"")</f>
        <v/>
      </c>
      <c r="W20" s="18">
        <f>IFERROR(VLOOKUP($D20,BS연결,MATCH(W$1,BS연결H,0),0)/100,"")</f>
        <v/>
      </c>
      <c r="X20" s="18">
        <f>IFERROR(VLOOKUP($D20,BS연결,MATCH(X$1,BS연결H,0),0)/100,"")</f>
        <v/>
      </c>
      <c r="Y20" s="18">
        <f>IFERROR(VLOOKUP($D20,BS연결,MATCH(Y$1,BS연결H,0),0)/100,"")</f>
        <v/>
      </c>
      <c r="Z20" s="37">
        <f>IFERROR(VLOOKUP($D20,BS연결,MATCH(Z$1,BS연결H,0),0)/100,"")</f>
        <v/>
      </c>
      <c r="AA20" s="18">
        <f>IFERROR(VLOOKUP($D20,BS연결,MATCH(AA$1,BS연결H,0),0)/100,"")</f>
        <v/>
      </c>
      <c r="AB20" s="19">
        <f>IFERROR(VLOOKUP($D20,BS연결,MATCH(AB$1,BS연결H,0),0)/100,"")</f>
        <v/>
      </c>
      <c r="AC20" s="20">
        <f>IFERROR(AC19*변수!AC29,"")</f>
        <v/>
      </c>
      <c r="AD20" s="20">
        <f>IFERROR(AD19*변수!AD29,"")</f>
        <v/>
      </c>
      <c r="AE20" s="38">
        <f>SUM(AA20:AD20)</f>
        <v/>
      </c>
      <c r="AF20" s="20">
        <f>IFERROR(AF19*변수!AF29,"")</f>
        <v/>
      </c>
      <c r="AG20" s="20">
        <f>IFERROR(AG19*변수!AG29,"")</f>
        <v/>
      </c>
      <c r="AH20" s="20">
        <f>IFERROR(AH19*변수!AH29,"")</f>
        <v/>
      </c>
      <c r="AI20" s="20">
        <f>IFERROR(AI19*변수!AI29,"")</f>
        <v/>
      </c>
      <c r="AJ20" s="38">
        <f>SUM(AF20:AI20)</f>
        <v/>
      </c>
      <c r="AK20" s="20">
        <f>IFERROR(AK19*변수!AK29,"")</f>
        <v/>
      </c>
      <c r="AL20" s="20">
        <f>IFERROR(AL19*변수!AL29,"")</f>
        <v/>
      </c>
      <c r="AM20" s="20">
        <f>IFERROR(AM19*변수!AM29,"")</f>
        <v/>
      </c>
      <c r="AN20" s="20">
        <f>IFERROR(AN19*변수!AN29,"")</f>
        <v/>
      </c>
      <c r="AO20" s="38">
        <f>SUM(AK20:AN20)</f>
        <v/>
      </c>
    </row>
    <row r="21">
      <c r="A21" s="12" t="inlineStr">
        <is>
          <t>감가상각비</t>
        </is>
      </c>
      <c r="B21" t="inlineStr">
        <is>
          <t>손익</t>
        </is>
      </c>
      <c r="C21" t="inlineStr">
        <is>
          <t>억원</t>
        </is>
      </c>
      <c r="D21" t="inlineStr">
        <is>
          <t>감가상각비</t>
        </is>
      </c>
      <c r="E21" s="18">
        <f>IFERROR(VLOOKUP($D21,BS연결,MATCH(E$1,BS연결H,0),0)/100,"")</f>
        <v/>
      </c>
      <c r="F21" s="37" t="n"/>
      <c r="G21" s="18">
        <f>IFERROR(VLOOKUP($D21,BS연결,MATCH(G$1,BS연결H,0),0)/100,"")</f>
        <v/>
      </c>
      <c r="H21" s="18">
        <f>IFERROR(VLOOKUP($D21,BS연결,MATCH(H$1,BS연결H,0),0)/100,"")</f>
        <v/>
      </c>
      <c r="I21" s="18">
        <f>IFERROR(VLOOKUP($D21,BS연결,MATCH(I$1,BS연결H,0),0)/100,"")</f>
        <v/>
      </c>
      <c r="J21" s="18">
        <f>IFERROR(VLOOKUP($D21,BS연결,MATCH(J$1,BS연결H,0),0)/100,"")</f>
        <v/>
      </c>
      <c r="K21" s="37">
        <f>IFERROR(VLOOKUP($D21,BS연결,MATCH(K$1,BS연결H,0),0)/100,"")</f>
        <v/>
      </c>
      <c r="L21" s="18">
        <f>IFERROR(VLOOKUP($D21,BS연결,MATCH(L$1,BS연결H,0),0)/100,"")</f>
        <v/>
      </c>
      <c r="M21" s="18">
        <f>IFERROR(VLOOKUP($D21,BS연결,MATCH(M$1,BS연결H,0),0)/100,"")</f>
        <v/>
      </c>
      <c r="N21" s="18">
        <f>IFERROR(VLOOKUP($D21,BS연결,MATCH(N$1,BS연결H,0),0)/100,"")</f>
        <v/>
      </c>
      <c r="O21" s="18">
        <f>IFERROR(VLOOKUP($D21,BS연결,MATCH(O$1,BS연결H,0),0)/100,"")</f>
        <v/>
      </c>
      <c r="P21" s="37">
        <f>IFERROR(VLOOKUP($D21,BS연결,MATCH(P$1,BS연결H,0),0)/100,"")</f>
        <v/>
      </c>
      <c r="Q21" s="18">
        <f>IFERROR(VLOOKUP($D21,BS연결,MATCH(Q$1,BS연결H,0),0)/100,"")</f>
        <v/>
      </c>
      <c r="R21" s="18">
        <f>IFERROR(VLOOKUP($D21,BS연결,MATCH(R$1,BS연결H,0),0)/100,"")</f>
        <v/>
      </c>
      <c r="S21" s="18">
        <f>IFERROR(VLOOKUP($D21,BS연결,MATCH(S$1,BS연결H,0),0)/100,"")</f>
        <v/>
      </c>
      <c r="T21" s="18">
        <f>IFERROR(VLOOKUP($D21,BS연결,MATCH(T$1,BS연결H,0),0)/100,"")</f>
        <v/>
      </c>
      <c r="U21" s="37">
        <f>IFERROR(VLOOKUP($D21,BS연결,MATCH(U$1,BS연결H,0),0)/100,"")</f>
        <v/>
      </c>
      <c r="V21" s="18">
        <f>IFERROR(VLOOKUP($D21,BS연결,MATCH(V$1,BS연결H,0),0)/100,"")</f>
        <v/>
      </c>
      <c r="W21" s="18">
        <f>IFERROR(VLOOKUP($D21,BS연결,MATCH(W$1,BS연결H,0),0)/100,"")</f>
        <v/>
      </c>
      <c r="X21" s="18">
        <f>IFERROR(VLOOKUP($D21,BS연결,MATCH(X$1,BS연결H,0),0)/100,"")</f>
        <v/>
      </c>
      <c r="Y21" s="18" t="n"/>
      <c r="Z21" s="37">
        <f>SUM(V21:Y21)</f>
        <v/>
      </c>
      <c r="AA21" s="18" t="n"/>
      <c r="AB21" s="19" t="n"/>
      <c r="AC21" s="20">
        <f>변수!AC30</f>
        <v/>
      </c>
      <c r="AD21" s="20">
        <f>변수!AD30</f>
        <v/>
      </c>
      <c r="AE21" s="38">
        <f>SUM(AA21:AD21)</f>
        <v/>
      </c>
      <c r="AF21" s="20">
        <f>변수!AF30</f>
        <v/>
      </c>
      <c r="AG21" s="20">
        <f>변수!AG30</f>
        <v/>
      </c>
      <c r="AH21" s="20">
        <f>변수!AH30</f>
        <v/>
      </c>
      <c r="AI21" s="20">
        <f>변수!AI30</f>
        <v/>
      </c>
      <c r="AJ21" s="38">
        <f>SUM(AF21:AI21)</f>
        <v/>
      </c>
      <c r="AK21" s="20">
        <f>변수!AK30</f>
        <v/>
      </c>
      <c r="AL21" s="20">
        <f>변수!AL30</f>
        <v/>
      </c>
      <c r="AM21" s="20">
        <f>변수!AM30</f>
        <v/>
      </c>
      <c r="AN21" s="20">
        <f>변수!AN30</f>
        <v/>
      </c>
      <c r="AO21" s="38">
        <f>SUM(AK21:AN21)</f>
        <v/>
      </c>
    </row>
    <row r="22">
      <c r="A22" s="12" t="inlineStr">
        <is>
          <t>EBITDA</t>
        </is>
      </c>
      <c r="B22" t="inlineStr">
        <is>
          <t>손익</t>
        </is>
      </c>
      <c r="C22" t="inlineStr">
        <is>
          <t>억원</t>
        </is>
      </c>
      <c r="D22" t="inlineStr">
        <is>
          <t>EBITDA</t>
        </is>
      </c>
      <c r="E22" s="18" t="n">
        <v>35.65</v>
      </c>
      <c r="F22" s="37" t="n"/>
      <c r="G22" s="18" t="n">
        <v>47.99</v>
      </c>
      <c r="H22" s="18" t="n">
        <v>76.06999999999999</v>
      </c>
      <c r="I22" s="18" t="n">
        <v>19.36</v>
      </c>
      <c r="J22" s="18" t="n">
        <v>21.69</v>
      </c>
      <c r="K22" s="37">
        <f>SUM(G22:J22)</f>
        <v/>
      </c>
      <c r="L22" s="18" t="n">
        <v>47.79</v>
      </c>
      <c r="M22" s="18" t="n">
        <v>46.72</v>
      </c>
      <c r="N22" s="18" t="n">
        <v>21.92</v>
      </c>
      <c r="O22" s="18" t="n">
        <v>-13.94</v>
      </c>
      <c r="P22" s="37">
        <f>SUM(L22:O22)</f>
        <v/>
      </c>
      <c r="Q22" s="18" t="n">
        <v>29.52</v>
      </c>
      <c r="R22" s="18" t="n">
        <v>32.05</v>
      </c>
      <c r="S22" s="18" t="n">
        <v>23.66</v>
      </c>
      <c r="T22" s="18" t="n">
        <v>18.86</v>
      </c>
      <c r="U22" s="37">
        <f>SUM(Q22:T22)</f>
        <v/>
      </c>
      <c r="V22" s="18" t="n">
        <v>11.06</v>
      </c>
      <c r="W22" s="18" t="n">
        <v>60.35</v>
      </c>
      <c r="X22" s="18" t="n">
        <v>36.31</v>
      </c>
      <c r="Y22" s="18" t="n"/>
      <c r="Z22" s="37">
        <f>SUM(V22:Y22)</f>
        <v/>
      </c>
      <c r="AA22" s="18" t="n"/>
      <c r="AB22" s="19" t="n"/>
      <c r="AC22" s="20">
        <f>IFERROR(AC9+AC21,"")</f>
        <v/>
      </c>
      <c r="AD22" s="20">
        <f>IFERROR(AD9+AD21,"")</f>
        <v/>
      </c>
      <c r="AE22" s="38">
        <f>SUM(AA22:AD22)</f>
        <v/>
      </c>
      <c r="AF22" s="20">
        <f>IFERROR(AF9+AF21,"")</f>
        <v/>
      </c>
      <c r="AG22" s="20">
        <f>IFERROR(AG9+AG21,"")</f>
        <v/>
      </c>
      <c r="AH22" s="20">
        <f>IFERROR(AH9+AH21,"")</f>
        <v/>
      </c>
      <c r="AI22" s="20">
        <f>IFERROR(AI9+AI21,"")</f>
        <v/>
      </c>
      <c r="AJ22" s="38">
        <f>SUM(AF22:AI22)</f>
        <v/>
      </c>
      <c r="AK22" s="20">
        <f>IFERROR(AK9+AK21,"")</f>
        <v/>
      </c>
      <c r="AL22" s="20">
        <f>IFERROR(AL9+AL21,"")</f>
        <v/>
      </c>
      <c r="AM22" s="20">
        <f>IFERROR(AM9+AM21,"")</f>
        <v/>
      </c>
      <c r="AN22" s="20">
        <f>IFERROR(AN9+AN21,"")</f>
        <v/>
      </c>
      <c r="AO22" s="38">
        <f>SUM(AK22:AN22)</f>
        <v/>
      </c>
    </row>
    <row r="23">
      <c r="A23" s="12" t="inlineStr">
        <is>
          <t>자산총계</t>
        </is>
      </c>
      <c r="B23" t="inlineStr">
        <is>
          <t>재무상태</t>
        </is>
      </c>
      <c r="C23" t="inlineStr">
        <is>
          <t>억원</t>
        </is>
      </c>
      <c r="D23" t="inlineStr">
        <is>
          <t>자산총계</t>
        </is>
      </c>
      <c r="E23" s="18">
        <f>IFERROR(VLOOKUP($D23,BS연결,MATCH(E$1,BS연결H,0),0)/100,"")</f>
        <v/>
      </c>
      <c r="F23" s="37">
        <f>IFERROR(VLOOKUP($D23,BS연결,MATCH(F$1,BS연결H,0),0)/100,"")</f>
        <v/>
      </c>
      <c r="G23" s="18">
        <f>IFERROR(VLOOKUP($D23,BS연결,MATCH(G$1,BS연결H,0),0)/100,"")</f>
        <v/>
      </c>
      <c r="H23" s="18">
        <f>IFERROR(VLOOKUP($D23,BS연결,MATCH(H$1,BS연결H,0),0)/100,"")</f>
        <v/>
      </c>
      <c r="I23" s="18">
        <f>IFERROR(VLOOKUP($D23,BS연결,MATCH(I$1,BS연결H,0),0)/100,"")</f>
        <v/>
      </c>
      <c r="J23" s="18">
        <f>IFERROR(VLOOKUP($D23,BS연결,MATCH(J$1,BS연결H,0),0)/100,"")</f>
        <v/>
      </c>
      <c r="K23" s="37">
        <f>IFERROR(VLOOKUP($D23,BS연결,MATCH(K$1,BS연결H,0),0)/100,"")</f>
        <v/>
      </c>
      <c r="L23" s="18">
        <f>IFERROR(VLOOKUP($D23,BS연결,MATCH(L$1,BS연결H,0),0)/100,"")</f>
        <v/>
      </c>
      <c r="M23" s="18">
        <f>IFERROR(VLOOKUP($D23,BS연결,MATCH(M$1,BS연결H,0),0)/100,"")</f>
        <v/>
      </c>
      <c r="N23" s="18">
        <f>IFERROR(VLOOKUP($D23,BS연결,MATCH(N$1,BS연결H,0),0)/100,"")</f>
        <v/>
      </c>
      <c r="O23" s="18">
        <f>IFERROR(VLOOKUP($D23,BS연결,MATCH(O$1,BS연결H,0),0)/100,"")</f>
        <v/>
      </c>
      <c r="P23" s="37">
        <f>IFERROR(VLOOKUP($D23,BS연결,MATCH(P$1,BS연결H,0),0)/100,"")</f>
        <v/>
      </c>
      <c r="Q23" s="18">
        <f>IFERROR(VLOOKUP($D23,BS연결,MATCH(Q$1,BS연결H,0),0)/100,"")</f>
        <v/>
      </c>
      <c r="R23" s="18">
        <f>IFERROR(VLOOKUP($D23,BS연결,MATCH(R$1,BS연결H,0),0)/100,"")</f>
        <v/>
      </c>
      <c r="S23" s="18">
        <f>IFERROR(VLOOKUP($D23,BS연결,MATCH(S$1,BS연결H,0),0)/100,"")</f>
        <v/>
      </c>
      <c r="T23" s="18">
        <f>IFERROR(VLOOKUP($D23,BS연결,MATCH(T$1,BS연결H,0),0)/100,"")</f>
        <v/>
      </c>
      <c r="U23" s="37">
        <f>IFERROR(VLOOKUP($D23,BS연결,MATCH(U$1,BS연결H,0),0)/100,"")</f>
        <v/>
      </c>
      <c r="V23" s="18">
        <f>IFERROR(VLOOKUP($D23,BS연결,MATCH(V$1,BS연결H,0),0)/100,"")</f>
        <v/>
      </c>
      <c r="W23" s="18">
        <f>IFERROR(VLOOKUP($D23,BS연결,MATCH(W$1,BS연결H,0),0)/100,"")</f>
        <v/>
      </c>
      <c r="X23" s="18">
        <f>IFERROR(VLOOKUP($D23,BS연결,MATCH(X$1,BS연결H,0),0)/100,"")</f>
        <v/>
      </c>
      <c r="Y23" s="18">
        <f>IFERROR(VLOOKUP($D23,BS연결,MATCH(Y$1,BS연결H,0),0)/100,"")</f>
        <v/>
      </c>
      <c r="Z23" s="37">
        <f>IFERROR(VLOOKUP($D23,BS연결,MATCH(Z$1,BS연결H,0),0)/100,"")</f>
        <v/>
      </c>
      <c r="AA23" s="18">
        <f>IFERROR(VLOOKUP($D23,BS연결,MATCH(AA$1,BS연결H,0),0)/100,"")</f>
        <v/>
      </c>
      <c r="AB23" s="19">
        <f>IFERROR(VLOOKUP($D23,BS연결,MATCH(AB$1,BS연결H,0),0)/100,"")</f>
        <v/>
      </c>
      <c r="AC23" s="20">
        <f>IFERROR(AC24+AC25,"")</f>
        <v/>
      </c>
      <c r="AD23" s="20">
        <f>IFERROR(AD24+AD25,"")</f>
        <v/>
      </c>
      <c r="AE23" s="38">
        <f>AD23</f>
        <v/>
      </c>
      <c r="AF23" s="20">
        <f>IFERROR(AF24+AF25,"")</f>
        <v/>
      </c>
      <c r="AG23" s="20">
        <f>IFERROR(AG24+AG25,"")</f>
        <v/>
      </c>
      <c r="AH23" s="20">
        <f>IFERROR(AH24+AH25,"")</f>
        <v/>
      </c>
      <c r="AI23" s="20">
        <f>IFERROR(AI24+AI25,"")</f>
        <v/>
      </c>
      <c r="AJ23" s="38">
        <f>AI23</f>
        <v/>
      </c>
      <c r="AK23" s="20">
        <f>IFERROR(AK24+AK25,"")</f>
        <v/>
      </c>
      <c r="AL23" s="20">
        <f>IFERROR(AL24+AL25,"")</f>
        <v/>
      </c>
      <c r="AM23" s="20">
        <f>IFERROR(AM24+AM25,"")</f>
        <v/>
      </c>
      <c r="AN23" s="20">
        <f>IFERROR(AN24+AN25,"")</f>
        <v/>
      </c>
      <c r="AO23" s="38">
        <f>AN23</f>
        <v/>
      </c>
    </row>
    <row r="24">
      <c r="A24" s="12" t="inlineStr">
        <is>
          <t>부채총계</t>
        </is>
      </c>
      <c r="B24" t="inlineStr">
        <is>
          <t>재무상태</t>
        </is>
      </c>
      <c r="C24" t="inlineStr">
        <is>
          <t>억원</t>
        </is>
      </c>
      <c r="D24" t="inlineStr">
        <is>
          <t>부채총계</t>
        </is>
      </c>
      <c r="E24" s="18">
        <f>IFERROR(VLOOKUP($D24,BS연결,MATCH(E$1,BS연결H,0),0)/100,"")</f>
        <v/>
      </c>
      <c r="F24" s="37">
        <f>IFERROR(VLOOKUP($D24,BS연결,MATCH(F$1,BS연결H,0),0)/100,"")</f>
        <v/>
      </c>
      <c r="G24" s="18">
        <f>IFERROR(VLOOKUP($D24,BS연결,MATCH(G$1,BS연결H,0),0)/100,"")</f>
        <v/>
      </c>
      <c r="H24" s="18">
        <f>IFERROR(VLOOKUP($D24,BS연결,MATCH(H$1,BS연결H,0),0)/100,"")</f>
        <v/>
      </c>
      <c r="I24" s="18">
        <f>IFERROR(VLOOKUP($D24,BS연결,MATCH(I$1,BS연결H,0),0)/100,"")</f>
        <v/>
      </c>
      <c r="J24" s="18">
        <f>IFERROR(VLOOKUP($D24,BS연결,MATCH(J$1,BS연결H,0),0)/100,"")</f>
        <v/>
      </c>
      <c r="K24" s="37">
        <f>IFERROR(VLOOKUP($D24,BS연결,MATCH(K$1,BS연결H,0),0)/100,"")</f>
        <v/>
      </c>
      <c r="L24" s="18">
        <f>IFERROR(VLOOKUP($D24,BS연결,MATCH(L$1,BS연결H,0),0)/100,"")</f>
        <v/>
      </c>
      <c r="M24" s="18">
        <f>IFERROR(VLOOKUP($D24,BS연결,MATCH(M$1,BS연결H,0),0)/100,"")</f>
        <v/>
      </c>
      <c r="N24" s="18">
        <f>IFERROR(VLOOKUP($D24,BS연결,MATCH(N$1,BS연결H,0),0)/100,"")</f>
        <v/>
      </c>
      <c r="O24" s="18">
        <f>IFERROR(VLOOKUP($D24,BS연결,MATCH(O$1,BS연결H,0),0)/100,"")</f>
        <v/>
      </c>
      <c r="P24" s="37">
        <f>IFERROR(VLOOKUP($D24,BS연결,MATCH(P$1,BS연결H,0),0)/100,"")</f>
        <v/>
      </c>
      <c r="Q24" s="18">
        <f>IFERROR(VLOOKUP($D24,BS연결,MATCH(Q$1,BS연결H,0),0)/100,"")</f>
        <v/>
      </c>
      <c r="R24" s="18">
        <f>IFERROR(VLOOKUP($D24,BS연결,MATCH(R$1,BS연결H,0),0)/100,"")</f>
        <v/>
      </c>
      <c r="S24" s="18">
        <f>IFERROR(VLOOKUP($D24,BS연결,MATCH(S$1,BS연결H,0),0)/100,"")</f>
        <v/>
      </c>
      <c r="T24" s="18">
        <f>IFERROR(VLOOKUP($D24,BS연결,MATCH(T$1,BS연결H,0),0)/100,"")</f>
        <v/>
      </c>
      <c r="U24" s="37">
        <f>IFERROR(VLOOKUP($D24,BS연결,MATCH(U$1,BS연결H,0),0)/100,"")</f>
        <v/>
      </c>
      <c r="V24" s="18">
        <f>IFERROR(VLOOKUP($D24,BS연결,MATCH(V$1,BS연결H,0),0)/100,"")</f>
        <v/>
      </c>
      <c r="W24" s="18">
        <f>IFERROR(VLOOKUP($D24,BS연결,MATCH(W$1,BS연결H,0),0)/100,"")</f>
        <v/>
      </c>
      <c r="X24" s="18">
        <f>IFERROR(VLOOKUP($D24,BS연결,MATCH(X$1,BS연결H,0),0)/100,"")</f>
        <v/>
      </c>
      <c r="Y24" s="18">
        <f>IFERROR(VLOOKUP($D24,BS연결,MATCH(Y$1,BS연결H,0),0)/100,"")</f>
        <v/>
      </c>
      <c r="Z24" s="37">
        <f>IFERROR(VLOOKUP($D24,BS연결,MATCH(Z$1,BS연결H,0),0)/100,"")</f>
        <v/>
      </c>
      <c r="AA24" s="18">
        <f>IFERROR(VLOOKUP($D24,BS연결,MATCH(AA$1,BS연결H,0),0)/100,"")</f>
        <v/>
      </c>
      <c r="AB24" s="19">
        <f>IFERROR(VLOOKUP($D24,BS연결,MATCH(AB$1,BS연결H,0),0)/100,"")</f>
        <v/>
      </c>
      <c r="AC24" s="20">
        <f>IFERROR(AB24*(1+변수!AC31),"")</f>
        <v/>
      </c>
      <c r="AD24" s="20">
        <f>IFERROR(AC24*(1+변수!AD31),"")</f>
        <v/>
      </c>
      <c r="AE24" s="38">
        <f>AD24</f>
        <v/>
      </c>
      <c r="AF24" s="20">
        <f>IFERROR(AD24*(1+변수!AF31),"")</f>
        <v/>
      </c>
      <c r="AG24" s="20">
        <f>IFERROR(AF24*(1+변수!AG31),"")</f>
        <v/>
      </c>
      <c r="AH24" s="20">
        <f>IFERROR(AG24*(1+변수!AH31),"")</f>
        <v/>
      </c>
      <c r="AI24" s="20">
        <f>IFERROR(AH24*(1+변수!AI31),"")</f>
        <v/>
      </c>
      <c r="AJ24" s="38">
        <f>AI24</f>
        <v/>
      </c>
      <c r="AK24" s="20">
        <f>IFERROR(AI24*(1+변수!AK31),"")</f>
        <v/>
      </c>
      <c r="AL24" s="20">
        <f>IFERROR(AK24*(1+변수!AL31),"")</f>
        <v/>
      </c>
      <c r="AM24" s="20">
        <f>IFERROR(AL24*(1+변수!AM31),"")</f>
        <v/>
      </c>
      <c r="AN24" s="20">
        <f>IFERROR(AM24*(1+변수!AN31),"")</f>
        <v/>
      </c>
      <c r="AO24" s="38">
        <f>AN24</f>
        <v/>
      </c>
    </row>
    <row r="25">
      <c r="A25" s="12" t="inlineStr">
        <is>
          <t>자본총계</t>
        </is>
      </c>
      <c r="B25" t="inlineStr">
        <is>
          <t>재무상태</t>
        </is>
      </c>
      <c r="C25" t="inlineStr">
        <is>
          <t>억원</t>
        </is>
      </c>
      <c r="D25" t="inlineStr">
        <is>
          <t>자본총계</t>
        </is>
      </c>
      <c r="E25" s="18">
        <f>IFERROR(VLOOKUP($D25,BS연결,MATCH(E$1,BS연결H,0),0)/100,"")</f>
        <v/>
      </c>
      <c r="F25" s="37">
        <f>IFERROR(VLOOKUP($D25,BS연결,MATCH(F$1,BS연결H,0),0)/100,"")</f>
        <v/>
      </c>
      <c r="G25" s="18">
        <f>IFERROR(VLOOKUP($D25,BS연결,MATCH(G$1,BS연결H,0),0)/100,"")</f>
        <v/>
      </c>
      <c r="H25" s="18">
        <f>IFERROR(VLOOKUP($D25,BS연결,MATCH(H$1,BS연결H,0),0)/100,"")</f>
        <v/>
      </c>
      <c r="I25" s="18">
        <f>IFERROR(VLOOKUP($D25,BS연결,MATCH(I$1,BS연결H,0),0)/100,"")</f>
        <v/>
      </c>
      <c r="J25" s="18">
        <f>IFERROR(VLOOKUP($D25,BS연결,MATCH(J$1,BS연결H,0),0)/100,"")</f>
        <v/>
      </c>
      <c r="K25" s="37">
        <f>IFERROR(VLOOKUP($D25,BS연결,MATCH(K$1,BS연결H,0),0)/100,"")</f>
        <v/>
      </c>
      <c r="L25" s="18">
        <f>IFERROR(VLOOKUP($D25,BS연결,MATCH(L$1,BS연결H,0),0)/100,"")</f>
        <v/>
      </c>
      <c r="M25" s="18">
        <f>IFERROR(VLOOKUP($D25,BS연결,MATCH(M$1,BS연결H,0),0)/100,"")</f>
        <v/>
      </c>
      <c r="N25" s="18">
        <f>IFERROR(VLOOKUP($D25,BS연결,MATCH(N$1,BS연결H,0),0)/100,"")</f>
        <v/>
      </c>
      <c r="O25" s="18">
        <f>IFERROR(VLOOKUP($D25,BS연결,MATCH(O$1,BS연결H,0),0)/100,"")</f>
        <v/>
      </c>
      <c r="P25" s="37">
        <f>IFERROR(VLOOKUP($D25,BS연결,MATCH(P$1,BS연결H,0),0)/100,"")</f>
        <v/>
      </c>
      <c r="Q25" s="18">
        <f>IFERROR(VLOOKUP($D25,BS연결,MATCH(Q$1,BS연결H,0),0)/100,"")</f>
        <v/>
      </c>
      <c r="R25" s="18">
        <f>IFERROR(VLOOKUP($D25,BS연결,MATCH(R$1,BS연결H,0),0)/100,"")</f>
        <v/>
      </c>
      <c r="S25" s="18">
        <f>IFERROR(VLOOKUP($D25,BS연결,MATCH(S$1,BS연결H,0),0)/100,"")</f>
        <v/>
      </c>
      <c r="T25" s="18">
        <f>IFERROR(VLOOKUP($D25,BS연결,MATCH(T$1,BS연결H,0),0)/100,"")</f>
        <v/>
      </c>
      <c r="U25" s="37">
        <f>IFERROR(VLOOKUP($D25,BS연결,MATCH(U$1,BS연결H,0),0)/100,"")</f>
        <v/>
      </c>
      <c r="V25" s="18">
        <f>IFERROR(VLOOKUP($D25,BS연결,MATCH(V$1,BS연결H,0),0)/100,"")</f>
        <v/>
      </c>
      <c r="W25" s="18">
        <f>IFERROR(VLOOKUP($D25,BS연결,MATCH(W$1,BS연결H,0),0)/100,"")</f>
        <v/>
      </c>
      <c r="X25" s="18">
        <f>IFERROR(VLOOKUP($D25,BS연결,MATCH(X$1,BS연결H,0),0)/100,"")</f>
        <v/>
      </c>
      <c r="Y25" s="18">
        <f>IFERROR(VLOOKUP($D25,BS연결,MATCH(Y$1,BS연결H,0),0)/100,"")</f>
        <v/>
      </c>
      <c r="Z25" s="37">
        <f>IFERROR(VLOOKUP($D25,BS연결,MATCH(Z$1,BS연결H,0),0)/100,"")</f>
        <v/>
      </c>
      <c r="AA25" s="18">
        <f>IFERROR(VLOOKUP($D25,BS연결,MATCH(AA$1,BS연결H,0),0)/100,"")</f>
        <v/>
      </c>
      <c r="AB25" s="19">
        <f>IFERROR(VLOOKUP($D25,BS연결,MATCH(AB$1,BS연결H,0),0)/100,"")</f>
        <v/>
      </c>
      <c r="AC25" s="20">
        <f>IFERROR(AB25+AC19-변수!AC32,"")</f>
        <v/>
      </c>
      <c r="AD25" s="20">
        <f>IFERROR(AC25+AD19-변수!AD32,"")</f>
        <v/>
      </c>
      <c r="AE25" s="38">
        <f>AD25</f>
        <v/>
      </c>
      <c r="AF25" s="20">
        <f>IFERROR(AD25+AF19-변수!AF32,"")</f>
        <v/>
      </c>
      <c r="AG25" s="20">
        <f>IFERROR(AF25+AG19-변수!AG32,"")</f>
        <v/>
      </c>
      <c r="AH25" s="20">
        <f>IFERROR(AG25+AH19-변수!AH32,"")</f>
        <v/>
      </c>
      <c r="AI25" s="20">
        <f>IFERROR(AH25+AI19-변수!AI32,"")</f>
        <v/>
      </c>
      <c r="AJ25" s="38">
        <f>AI25</f>
        <v/>
      </c>
      <c r="AK25" s="20">
        <f>IFERROR(AI25+AK19-변수!AK32,"")</f>
        <v/>
      </c>
      <c r="AL25" s="20">
        <f>IFERROR(AK25+AL19-변수!AL32,"")</f>
        <v/>
      </c>
      <c r="AM25" s="20">
        <f>IFERROR(AL25+AM19-변수!AM32,"")</f>
        <v/>
      </c>
      <c r="AN25" s="20">
        <f>IFERROR(AM25+AN19-변수!AN32,"")</f>
        <v/>
      </c>
      <c r="AO25" s="38">
        <f>AN25</f>
        <v/>
      </c>
    </row>
    <row r="26">
      <c r="A26" s="12" t="inlineStr">
        <is>
          <t>지배주주지분</t>
        </is>
      </c>
      <c r="B26" t="inlineStr">
        <is>
          <t>재무상태</t>
        </is>
      </c>
      <c r="C26" t="inlineStr">
        <is>
          <t>억원</t>
        </is>
      </c>
      <c r="D26" t="inlineStr">
        <is>
          <t>지배주주지분</t>
        </is>
      </c>
      <c r="E26" s="18">
        <f>IFERROR(VLOOKUP($D26,BS연결,MATCH(E$1,BS연결H,0),0)/100,"")</f>
        <v/>
      </c>
      <c r="F26" s="37">
        <f>IFERROR(VLOOKUP($D26,BS연결,MATCH(F$1,BS연결H,0),0)/100,"")</f>
        <v/>
      </c>
      <c r="G26" s="18">
        <f>IFERROR(VLOOKUP($D26,BS연결,MATCH(G$1,BS연결H,0),0)/100,"")</f>
        <v/>
      </c>
      <c r="H26" s="18">
        <f>IFERROR(VLOOKUP($D26,BS연결,MATCH(H$1,BS연결H,0),0)/100,"")</f>
        <v/>
      </c>
      <c r="I26" s="18">
        <f>IFERROR(VLOOKUP($D26,BS연결,MATCH(I$1,BS연결H,0),0)/100,"")</f>
        <v/>
      </c>
      <c r="J26" s="18">
        <f>IFERROR(VLOOKUP($D26,BS연결,MATCH(J$1,BS연결H,0),0)/100,"")</f>
        <v/>
      </c>
      <c r="K26" s="37">
        <f>IFERROR(VLOOKUP($D26,BS연결,MATCH(K$1,BS연결H,0),0)/100,"")</f>
        <v/>
      </c>
      <c r="L26" s="18">
        <f>IFERROR(VLOOKUP($D26,BS연결,MATCH(L$1,BS연결H,0),0)/100,"")</f>
        <v/>
      </c>
      <c r="M26" s="18">
        <f>IFERROR(VLOOKUP($D26,BS연결,MATCH(M$1,BS연결H,0),0)/100,"")</f>
        <v/>
      </c>
      <c r="N26" s="18">
        <f>IFERROR(VLOOKUP($D26,BS연결,MATCH(N$1,BS연결H,0),0)/100,"")</f>
        <v/>
      </c>
      <c r="O26" s="18">
        <f>IFERROR(VLOOKUP($D26,BS연결,MATCH(O$1,BS연결H,0),0)/100,"")</f>
        <v/>
      </c>
      <c r="P26" s="37">
        <f>IFERROR(VLOOKUP($D26,BS연결,MATCH(P$1,BS연결H,0),0)/100,"")</f>
        <v/>
      </c>
      <c r="Q26" s="18">
        <f>IFERROR(VLOOKUP($D26,BS연결,MATCH(Q$1,BS연결H,0),0)/100,"")</f>
        <v/>
      </c>
      <c r="R26" s="18">
        <f>IFERROR(VLOOKUP($D26,BS연결,MATCH(R$1,BS연결H,0),0)/100,"")</f>
        <v/>
      </c>
      <c r="S26" s="18">
        <f>IFERROR(VLOOKUP($D26,BS연결,MATCH(S$1,BS연결H,0),0)/100,"")</f>
        <v/>
      </c>
      <c r="T26" s="18">
        <f>IFERROR(VLOOKUP($D26,BS연결,MATCH(T$1,BS연결H,0),0)/100,"")</f>
        <v/>
      </c>
      <c r="U26" s="37">
        <f>IFERROR(VLOOKUP($D26,BS연결,MATCH(U$1,BS연결H,0),0)/100,"")</f>
        <v/>
      </c>
      <c r="V26" s="18">
        <f>IFERROR(VLOOKUP($D26,BS연결,MATCH(V$1,BS연결H,0),0)/100,"")</f>
        <v/>
      </c>
      <c r="W26" s="18">
        <f>IFERROR(VLOOKUP($D26,BS연결,MATCH(W$1,BS연결H,0),0)/100,"")</f>
        <v/>
      </c>
      <c r="X26" s="18">
        <f>IFERROR(VLOOKUP($D26,BS연결,MATCH(X$1,BS연결H,0),0)/100,"")</f>
        <v/>
      </c>
      <c r="Y26" s="18">
        <f>IFERROR(VLOOKUP($D26,BS연결,MATCH(Y$1,BS연결H,0),0)/100,"")</f>
        <v/>
      </c>
      <c r="Z26" s="37">
        <f>IFERROR(VLOOKUP($D26,BS연결,MATCH(Z$1,BS연결H,0),0)/100,"")</f>
        <v/>
      </c>
      <c r="AA26" s="18">
        <f>IFERROR(VLOOKUP($D26,BS연결,MATCH(AA$1,BS연결H,0),0)/100,"")</f>
        <v/>
      </c>
      <c r="AB26" s="19">
        <f>IFERROR(VLOOKUP($D26,BS연결,MATCH(AB$1,BS연결H,0),0)/100,"")</f>
        <v/>
      </c>
      <c r="AC26" s="20">
        <f>IFERROR(AB26+AC20-변수!AC33,"")</f>
        <v/>
      </c>
      <c r="AD26" s="20">
        <f>IFERROR(AC26+AD20-변수!AD33,"")</f>
        <v/>
      </c>
      <c r="AE26" s="38">
        <f>AD26</f>
        <v/>
      </c>
      <c r="AF26" s="20">
        <f>IFERROR(AD26+AF20-변수!AF33,"")</f>
        <v/>
      </c>
      <c r="AG26" s="20">
        <f>IFERROR(AF26+AG20-변수!AG33,"")</f>
        <v/>
      </c>
      <c r="AH26" s="20">
        <f>IFERROR(AG26+AH20-변수!AH33,"")</f>
        <v/>
      </c>
      <c r="AI26" s="20">
        <f>IFERROR(AH26+AI20-변수!AI33,"")</f>
        <v/>
      </c>
      <c r="AJ26" s="38">
        <f>AI26</f>
        <v/>
      </c>
      <c r="AK26" s="20">
        <f>IFERROR(AI26+AK20-변수!AK33,"")</f>
        <v/>
      </c>
      <c r="AL26" s="20">
        <f>IFERROR(AK26+AL20-변수!AL33,"")</f>
        <v/>
      </c>
      <c r="AM26" s="20">
        <f>IFERROR(AL26+AM20-변수!AM33,"")</f>
        <v/>
      </c>
      <c r="AN26" s="20">
        <f>IFERROR(AM26+AN20-변수!AN33,"")</f>
        <v/>
      </c>
      <c r="AO26" s="38">
        <f>AN26</f>
        <v/>
      </c>
    </row>
    <row r="27">
      <c r="A27" s="12" t="inlineStr">
        <is>
          <t>총차입금</t>
        </is>
      </c>
      <c r="B27" t="inlineStr">
        <is>
          <t>재무상태</t>
        </is>
      </c>
      <c r="C27" t="inlineStr">
        <is>
          <t>억원</t>
        </is>
      </c>
      <c r="D27" t="inlineStr">
        <is>
          <t>총차입금</t>
        </is>
      </c>
      <c r="E27" s="18">
        <f>IFERROR(VLOOKUP($D27,BS연결,MATCH(E$1,BS연결H,0),0)/100,"")</f>
        <v/>
      </c>
      <c r="F27" s="37">
        <f>IFERROR(VLOOKUP($D27,BS연결,MATCH(F$1,BS연결H,0),0)/100,"")</f>
        <v/>
      </c>
      <c r="G27" s="18">
        <f>IFERROR(VLOOKUP($D27,BS연결,MATCH(G$1,BS연결H,0),0)/100,"")</f>
        <v/>
      </c>
      <c r="H27" s="18">
        <f>IFERROR(VLOOKUP($D27,BS연결,MATCH(H$1,BS연결H,0),0)/100,"")</f>
        <v/>
      </c>
      <c r="I27" s="18">
        <f>IFERROR(VLOOKUP($D27,BS연결,MATCH(I$1,BS연결H,0),0)/100,"")</f>
        <v/>
      </c>
      <c r="J27" s="18">
        <f>IFERROR(VLOOKUP($D27,BS연결,MATCH(J$1,BS연결H,0),0)/100,"")</f>
        <v/>
      </c>
      <c r="K27" s="37">
        <f>IFERROR(VLOOKUP($D27,BS연결,MATCH(K$1,BS연결H,0),0)/100,"")</f>
        <v/>
      </c>
      <c r="L27" s="18">
        <f>IFERROR(VLOOKUP($D27,BS연결,MATCH(L$1,BS연결H,0),0)/100,"")</f>
        <v/>
      </c>
      <c r="M27" s="18">
        <f>IFERROR(VLOOKUP($D27,BS연결,MATCH(M$1,BS연결H,0),0)/100,"")</f>
        <v/>
      </c>
      <c r="N27" s="18">
        <f>IFERROR(VLOOKUP($D27,BS연결,MATCH(N$1,BS연결H,0),0)/100,"")</f>
        <v/>
      </c>
      <c r="O27" s="18">
        <f>IFERROR(VLOOKUP($D27,BS연결,MATCH(O$1,BS연결H,0),0)/100,"")</f>
        <v/>
      </c>
      <c r="P27" s="37">
        <f>IFERROR(VLOOKUP($D27,BS연결,MATCH(P$1,BS연결H,0),0)/100,"")</f>
        <v/>
      </c>
      <c r="Q27" s="18">
        <f>IFERROR(VLOOKUP($D27,BS연결,MATCH(Q$1,BS연결H,0),0)/100,"")</f>
        <v/>
      </c>
      <c r="R27" s="18">
        <f>IFERROR(VLOOKUP($D27,BS연결,MATCH(R$1,BS연결H,0),0)/100,"")</f>
        <v/>
      </c>
      <c r="S27" s="18">
        <f>IFERROR(VLOOKUP($D27,BS연결,MATCH(S$1,BS연결H,0),0)/100,"")</f>
        <v/>
      </c>
      <c r="T27" s="18">
        <f>IFERROR(VLOOKUP($D27,BS연결,MATCH(T$1,BS연결H,0),0)/100,"")</f>
        <v/>
      </c>
      <c r="U27" s="37">
        <f>IFERROR(VLOOKUP($D27,BS연결,MATCH(U$1,BS연결H,0),0)/100,"")</f>
        <v/>
      </c>
      <c r="V27" s="18">
        <f>IFERROR(VLOOKUP($D27,BS연결,MATCH(V$1,BS연결H,0),0)/100,"")</f>
        <v/>
      </c>
      <c r="W27" s="18">
        <f>IFERROR(VLOOKUP($D27,BS연결,MATCH(W$1,BS연결H,0),0)/100,"")</f>
        <v/>
      </c>
      <c r="X27" s="18">
        <f>IFERROR(VLOOKUP($D27,BS연결,MATCH(X$1,BS연결H,0),0)/100,"")</f>
        <v/>
      </c>
      <c r="Y27" s="18">
        <f>IFERROR(VLOOKUP($D27,BS연결,MATCH(Y$1,BS연결H,0),0)/100,"")</f>
        <v/>
      </c>
      <c r="Z27" s="37">
        <f>IFERROR(VLOOKUP($D27,BS연결,MATCH(Z$1,BS연결H,0),0)/100,"")</f>
        <v/>
      </c>
      <c r="AA27" s="18">
        <f>IFERROR(VLOOKUP($D27,BS연결,MATCH(AA$1,BS연결H,0),0)/100,"")</f>
        <v/>
      </c>
      <c r="AB27" s="19">
        <f>IFERROR(VLOOKUP($D27,BS연결,MATCH(AB$1,BS연결H,0),0)/100,"")</f>
        <v/>
      </c>
      <c r="AC27" s="20">
        <f>IFERROR(AB27*(1+변수!AC34),"")</f>
        <v/>
      </c>
      <c r="AD27" s="20">
        <f>IFERROR(AC27*(1+변수!AD34),"")</f>
        <v/>
      </c>
      <c r="AE27" s="38">
        <f>AD27</f>
        <v/>
      </c>
      <c r="AF27" s="20">
        <f>IFERROR(AD27*(1+변수!AF34),"")</f>
        <v/>
      </c>
      <c r="AG27" s="20">
        <f>IFERROR(AF27*(1+변수!AG34),"")</f>
        <v/>
      </c>
      <c r="AH27" s="20">
        <f>IFERROR(AG27*(1+변수!AH34),"")</f>
        <v/>
      </c>
      <c r="AI27" s="20">
        <f>IFERROR(AH27*(1+변수!AI34),"")</f>
        <v/>
      </c>
      <c r="AJ27" s="38">
        <f>AI27</f>
        <v/>
      </c>
      <c r="AK27" s="20">
        <f>IFERROR(AI27*(1+변수!AK34),"")</f>
        <v/>
      </c>
      <c r="AL27" s="20">
        <f>IFERROR(AK27*(1+변수!AL34),"")</f>
        <v/>
      </c>
      <c r="AM27" s="20">
        <f>IFERROR(AL27*(1+변수!AM34),"")</f>
        <v/>
      </c>
      <c r="AN27" s="20">
        <f>IFERROR(AM27*(1+변수!AN34),"")</f>
        <v/>
      </c>
      <c r="AO27" s="38">
        <f>AN27</f>
        <v/>
      </c>
    </row>
    <row r="28">
      <c r="A28" s="12" t="inlineStr">
        <is>
          <t>순차입금</t>
        </is>
      </c>
      <c r="B28" t="inlineStr">
        <is>
          <t>재무상태</t>
        </is>
      </c>
      <c r="C28" t="inlineStr">
        <is>
          <t>억원</t>
        </is>
      </c>
      <c r="D28" t="inlineStr">
        <is>
          <t>순차입금</t>
        </is>
      </c>
      <c r="E28" s="18">
        <f>IFERROR(VLOOKUP($D28,BS연결,MATCH(E$1,BS연결H,0),0)/100,"")</f>
        <v/>
      </c>
      <c r="F28" s="37">
        <f>IFERROR(VLOOKUP($D28,BS연결,MATCH(F$1,BS연결H,0),0)/100,"")</f>
        <v/>
      </c>
      <c r="G28" s="18">
        <f>IFERROR(VLOOKUP($D28,BS연결,MATCH(G$1,BS연결H,0),0)/100,"")</f>
        <v/>
      </c>
      <c r="H28" s="18">
        <f>IFERROR(VLOOKUP($D28,BS연결,MATCH(H$1,BS연결H,0),0)/100,"")</f>
        <v/>
      </c>
      <c r="I28" s="18">
        <f>IFERROR(VLOOKUP($D28,BS연결,MATCH(I$1,BS연결H,0),0)/100,"")</f>
        <v/>
      </c>
      <c r="J28" s="18">
        <f>IFERROR(VLOOKUP($D28,BS연결,MATCH(J$1,BS연결H,0),0)/100,"")</f>
        <v/>
      </c>
      <c r="K28" s="37">
        <f>IFERROR(VLOOKUP($D28,BS연결,MATCH(K$1,BS연결H,0),0)/100,"")</f>
        <v/>
      </c>
      <c r="L28" s="18">
        <f>IFERROR(VLOOKUP($D28,BS연결,MATCH(L$1,BS연결H,0),0)/100,"")</f>
        <v/>
      </c>
      <c r="M28" s="18">
        <f>IFERROR(VLOOKUP($D28,BS연결,MATCH(M$1,BS연결H,0),0)/100,"")</f>
        <v/>
      </c>
      <c r="N28" s="18">
        <f>IFERROR(VLOOKUP($D28,BS연결,MATCH(N$1,BS연결H,0),0)/100,"")</f>
        <v/>
      </c>
      <c r="O28" s="18">
        <f>IFERROR(VLOOKUP($D28,BS연결,MATCH(O$1,BS연결H,0),0)/100,"")</f>
        <v/>
      </c>
      <c r="P28" s="37">
        <f>IFERROR(VLOOKUP($D28,BS연결,MATCH(P$1,BS연결H,0),0)/100,"")</f>
        <v/>
      </c>
      <c r="Q28" s="18">
        <f>IFERROR(VLOOKUP($D28,BS연결,MATCH(Q$1,BS연결H,0),0)/100,"")</f>
        <v/>
      </c>
      <c r="R28" s="18">
        <f>IFERROR(VLOOKUP($D28,BS연결,MATCH(R$1,BS연결H,0),0)/100,"")</f>
        <v/>
      </c>
      <c r="S28" s="18">
        <f>IFERROR(VLOOKUP($D28,BS연결,MATCH(S$1,BS연결H,0),0)/100,"")</f>
        <v/>
      </c>
      <c r="T28" s="18">
        <f>IFERROR(VLOOKUP($D28,BS연결,MATCH(T$1,BS연결H,0),0)/100,"")</f>
        <v/>
      </c>
      <c r="U28" s="37">
        <f>IFERROR(VLOOKUP($D28,BS연결,MATCH(U$1,BS연결H,0),0)/100,"")</f>
        <v/>
      </c>
      <c r="V28" s="18">
        <f>IFERROR(VLOOKUP($D28,BS연결,MATCH(V$1,BS연결H,0),0)/100,"")</f>
        <v/>
      </c>
      <c r="W28" s="18">
        <f>IFERROR(VLOOKUP($D28,BS연결,MATCH(W$1,BS연결H,0),0)/100,"")</f>
        <v/>
      </c>
      <c r="X28" s="18">
        <f>IFERROR(VLOOKUP($D28,BS연결,MATCH(X$1,BS연결H,0),0)/100,"")</f>
        <v/>
      </c>
      <c r="Y28" s="18">
        <f>IFERROR(VLOOKUP($D28,BS연결,MATCH(Y$1,BS연결H,0),0)/100,"")</f>
        <v/>
      </c>
      <c r="Z28" s="37">
        <f>IFERROR(VLOOKUP($D28,BS연결,MATCH(Z$1,BS연결H,0),0)/100,"")</f>
        <v/>
      </c>
      <c r="AA28" s="18">
        <f>IFERROR(VLOOKUP($D28,BS연결,MATCH(AA$1,BS연결H,0),0)/100,"")</f>
        <v/>
      </c>
      <c r="AB28" s="19">
        <f>IFERROR(VLOOKUP($D28,BS연결,MATCH(AB$1,BS연결H,0),0)/100,"")</f>
        <v/>
      </c>
      <c r="AC28" s="20">
        <f>IFERROR(AB28*(1+변수!AC35),"")</f>
        <v/>
      </c>
      <c r="AD28" s="20">
        <f>IFERROR(AC28*(1+변수!AD35),"")</f>
        <v/>
      </c>
      <c r="AE28" s="38">
        <f>AD28</f>
        <v/>
      </c>
      <c r="AF28" s="20">
        <f>IFERROR(AD28*(1+변수!AF35),"")</f>
        <v/>
      </c>
      <c r="AG28" s="20">
        <f>IFERROR(AF28*(1+변수!AG35),"")</f>
        <v/>
      </c>
      <c r="AH28" s="20">
        <f>IFERROR(AG28*(1+변수!AH35),"")</f>
        <v/>
      </c>
      <c r="AI28" s="20">
        <f>IFERROR(AH28*(1+변수!AI35),"")</f>
        <v/>
      </c>
      <c r="AJ28" s="38">
        <f>AI28</f>
        <v/>
      </c>
      <c r="AK28" s="20">
        <f>IFERROR(AI28*(1+변수!AK35),"")</f>
        <v/>
      </c>
      <c r="AL28" s="20">
        <f>IFERROR(AK28*(1+변수!AL35),"")</f>
        <v/>
      </c>
      <c r="AM28" s="20">
        <f>IFERROR(AL28*(1+변수!AM35),"")</f>
        <v/>
      </c>
      <c r="AN28" s="20">
        <f>IFERROR(AM28*(1+변수!AN35),"")</f>
        <v/>
      </c>
      <c r="AO28" s="38">
        <f>AN28</f>
        <v/>
      </c>
    </row>
    <row r="29">
      <c r="A29" s="12" t="inlineStr">
        <is>
          <t>이자발생자산</t>
        </is>
      </c>
      <c r="B29" t="inlineStr">
        <is>
          <t>재무상태</t>
        </is>
      </c>
      <c r="C29" t="inlineStr">
        <is>
          <t>억원</t>
        </is>
      </c>
      <c r="D29" t="inlineStr">
        <is>
          <t>이자발생자산</t>
        </is>
      </c>
      <c r="E29" s="18">
        <f>IFERROR(VLOOKUP($D29,BS연결,MATCH(E$1,BS연결H,0),0)/100,"")</f>
        <v/>
      </c>
      <c r="F29" s="37">
        <f>IFERROR(VLOOKUP($D29,BS연결,MATCH(F$1,BS연결H,0),0)/100,"")</f>
        <v/>
      </c>
      <c r="G29" s="18">
        <f>IFERROR(VLOOKUP($D29,BS연결,MATCH(G$1,BS연결H,0),0)/100,"")</f>
        <v/>
      </c>
      <c r="H29" s="18">
        <f>IFERROR(VLOOKUP($D29,BS연결,MATCH(H$1,BS연결H,0),0)/100,"")</f>
        <v/>
      </c>
      <c r="I29" s="18">
        <f>IFERROR(VLOOKUP($D29,BS연결,MATCH(I$1,BS연결H,0),0)/100,"")</f>
        <v/>
      </c>
      <c r="J29" s="18">
        <f>IFERROR(VLOOKUP($D29,BS연결,MATCH(J$1,BS연결H,0),0)/100,"")</f>
        <v/>
      </c>
      <c r="K29" s="37">
        <f>IFERROR(VLOOKUP($D29,BS연결,MATCH(K$1,BS연결H,0),0)/100,"")</f>
        <v/>
      </c>
      <c r="L29" s="18">
        <f>IFERROR(VLOOKUP($D29,BS연결,MATCH(L$1,BS연결H,0),0)/100,"")</f>
        <v/>
      </c>
      <c r="M29" s="18">
        <f>IFERROR(VLOOKUP($D29,BS연결,MATCH(M$1,BS연결H,0),0)/100,"")</f>
        <v/>
      </c>
      <c r="N29" s="18">
        <f>IFERROR(VLOOKUP($D29,BS연결,MATCH(N$1,BS연결H,0),0)/100,"")</f>
        <v/>
      </c>
      <c r="O29" s="18">
        <f>IFERROR(VLOOKUP($D29,BS연결,MATCH(O$1,BS연결H,0),0)/100,"")</f>
        <v/>
      </c>
      <c r="P29" s="37">
        <f>IFERROR(VLOOKUP($D29,BS연결,MATCH(P$1,BS연결H,0),0)/100,"")</f>
        <v/>
      </c>
      <c r="Q29" s="18">
        <f>IFERROR(VLOOKUP($D29,BS연결,MATCH(Q$1,BS연결H,0),0)/100,"")</f>
        <v/>
      </c>
      <c r="R29" s="18">
        <f>IFERROR(VLOOKUP($D29,BS연결,MATCH(R$1,BS연결H,0),0)/100,"")</f>
        <v/>
      </c>
      <c r="S29" s="18">
        <f>IFERROR(VLOOKUP($D29,BS연결,MATCH(S$1,BS연결H,0),0)/100,"")</f>
        <v/>
      </c>
      <c r="T29" s="18">
        <f>IFERROR(VLOOKUP($D29,BS연결,MATCH(T$1,BS연결H,0),0)/100,"")</f>
        <v/>
      </c>
      <c r="U29" s="37">
        <f>IFERROR(VLOOKUP($D29,BS연결,MATCH(U$1,BS연결H,0),0)/100,"")</f>
        <v/>
      </c>
      <c r="V29" s="18">
        <f>IFERROR(VLOOKUP($D29,BS연결,MATCH(V$1,BS연결H,0),0)/100,"")</f>
        <v/>
      </c>
      <c r="W29" s="18">
        <f>IFERROR(VLOOKUP($D29,BS연결,MATCH(W$1,BS연결H,0),0)/100,"")</f>
        <v/>
      </c>
      <c r="X29" s="18">
        <f>IFERROR(VLOOKUP($D29,BS연결,MATCH(X$1,BS연결H,0),0)/100,"")</f>
        <v/>
      </c>
      <c r="Y29" s="18">
        <f>IFERROR(VLOOKUP($D29,BS연결,MATCH(Y$1,BS연결H,0),0)/100,"")</f>
        <v/>
      </c>
      <c r="Z29" s="37">
        <f>IFERROR(VLOOKUP($D29,BS연결,MATCH(Z$1,BS연결H,0),0)/100,"")</f>
        <v/>
      </c>
      <c r="AA29" s="18">
        <f>IFERROR(VLOOKUP($D29,BS연결,MATCH(AA$1,BS연결H,0),0)/100,"")</f>
        <v/>
      </c>
      <c r="AB29" s="19">
        <f>IFERROR(VLOOKUP($D29,BS연결,MATCH(AB$1,BS연결H,0),0)/100,"")</f>
        <v/>
      </c>
      <c r="AC29" s="20">
        <f>IFERROR(AB29*(1+변수!AC36),"")</f>
        <v/>
      </c>
      <c r="AD29" s="20">
        <f>IFERROR(AC29*(1+변수!AD36),"")</f>
        <v/>
      </c>
      <c r="AE29" s="38">
        <f>AD29</f>
        <v/>
      </c>
      <c r="AF29" s="20">
        <f>IFERROR(AD29*(1+변수!AF36),"")</f>
        <v/>
      </c>
      <c r="AG29" s="20">
        <f>IFERROR(AF29*(1+변수!AG36),"")</f>
        <v/>
      </c>
      <c r="AH29" s="20">
        <f>IFERROR(AG29*(1+변수!AH36),"")</f>
        <v/>
      </c>
      <c r="AI29" s="20">
        <f>IFERROR(AH29*(1+변수!AI36),"")</f>
        <v/>
      </c>
      <c r="AJ29" s="38">
        <f>AI29</f>
        <v/>
      </c>
      <c r="AK29" s="20">
        <f>IFERROR(AI29*(1+변수!AK36),"")</f>
        <v/>
      </c>
      <c r="AL29" s="20">
        <f>IFERROR(AK29*(1+변수!AL36),"")</f>
        <v/>
      </c>
      <c r="AM29" s="20">
        <f>IFERROR(AL29*(1+변수!AM36),"")</f>
        <v/>
      </c>
      <c r="AN29" s="20">
        <f>IFERROR(AM29*(1+변수!AN36),"")</f>
        <v/>
      </c>
      <c r="AO29" s="38">
        <f>AN29</f>
        <v/>
      </c>
    </row>
    <row r="30">
      <c r="A30" s="12" t="inlineStr">
        <is>
          <t>현금및현금성자산</t>
        </is>
      </c>
      <c r="B30" t="inlineStr">
        <is>
          <t>재무상태</t>
        </is>
      </c>
      <c r="C30" t="inlineStr">
        <is>
          <t>억원</t>
        </is>
      </c>
      <c r="D30" t="inlineStr">
        <is>
          <t>현금및현금성자산</t>
        </is>
      </c>
      <c r="E30" s="18">
        <f>IFERROR(VLOOKUP($D30,BS연결,MATCH(E$1,BS연결H,0),0)/100,"")</f>
        <v/>
      </c>
      <c r="F30" s="37">
        <f>IFERROR(VLOOKUP($D30,BS연결,MATCH(F$1,BS연결H,0),0)/100,"")</f>
        <v/>
      </c>
      <c r="G30" s="18">
        <f>IFERROR(VLOOKUP($D30,BS연결,MATCH(G$1,BS연결H,0),0)/100,"")</f>
        <v/>
      </c>
      <c r="H30" s="18">
        <f>IFERROR(VLOOKUP($D30,BS연결,MATCH(H$1,BS연결H,0),0)/100,"")</f>
        <v/>
      </c>
      <c r="I30" s="18">
        <f>IFERROR(VLOOKUP($D30,BS연결,MATCH(I$1,BS연결H,0),0)/100,"")</f>
        <v/>
      </c>
      <c r="J30" s="18">
        <f>IFERROR(VLOOKUP($D30,BS연결,MATCH(J$1,BS연결H,0),0)/100,"")</f>
        <v/>
      </c>
      <c r="K30" s="37">
        <f>IFERROR(VLOOKUP($D30,BS연결,MATCH(K$1,BS연결H,0),0)/100,"")</f>
        <v/>
      </c>
      <c r="L30" s="18">
        <f>IFERROR(VLOOKUP($D30,BS연결,MATCH(L$1,BS연결H,0),0)/100,"")</f>
        <v/>
      </c>
      <c r="M30" s="18">
        <f>IFERROR(VLOOKUP($D30,BS연결,MATCH(M$1,BS연결H,0),0)/100,"")</f>
        <v/>
      </c>
      <c r="N30" s="18">
        <f>IFERROR(VLOOKUP($D30,BS연결,MATCH(N$1,BS연결H,0),0)/100,"")</f>
        <v/>
      </c>
      <c r="O30" s="18">
        <f>IFERROR(VLOOKUP($D30,BS연결,MATCH(O$1,BS연결H,0),0)/100,"")</f>
        <v/>
      </c>
      <c r="P30" s="37">
        <f>IFERROR(VLOOKUP($D30,BS연결,MATCH(P$1,BS연결H,0),0)/100,"")</f>
        <v/>
      </c>
      <c r="Q30" s="18">
        <f>IFERROR(VLOOKUP($D30,BS연결,MATCH(Q$1,BS연결H,0),0)/100,"")</f>
        <v/>
      </c>
      <c r="R30" s="18">
        <f>IFERROR(VLOOKUP($D30,BS연결,MATCH(R$1,BS연결H,0),0)/100,"")</f>
        <v/>
      </c>
      <c r="S30" s="18">
        <f>IFERROR(VLOOKUP($D30,BS연결,MATCH(S$1,BS연결H,0),0)/100,"")</f>
        <v/>
      </c>
      <c r="T30" s="18">
        <f>IFERROR(VLOOKUP($D30,BS연결,MATCH(T$1,BS연결H,0),0)/100,"")</f>
        <v/>
      </c>
      <c r="U30" s="37">
        <f>IFERROR(VLOOKUP($D30,BS연결,MATCH(U$1,BS연결H,0),0)/100,"")</f>
        <v/>
      </c>
      <c r="V30" s="18">
        <f>IFERROR(VLOOKUP($D30,BS연결,MATCH(V$1,BS연결H,0),0)/100,"")</f>
        <v/>
      </c>
      <c r="W30" s="18">
        <f>IFERROR(VLOOKUP($D30,BS연결,MATCH(W$1,BS연결H,0),0)/100,"")</f>
        <v/>
      </c>
      <c r="X30" s="18">
        <f>IFERROR(VLOOKUP($D30,BS연결,MATCH(X$1,BS연결H,0),0)/100,"")</f>
        <v/>
      </c>
      <c r="Y30" s="18">
        <f>IFERROR(VLOOKUP($D30,BS연결,MATCH(Y$1,BS연결H,0),0)/100,"")</f>
        <v/>
      </c>
      <c r="Z30" s="37">
        <f>IFERROR(VLOOKUP($D30,BS연결,MATCH(Z$1,BS연결H,0),0)/100,"")</f>
        <v/>
      </c>
      <c r="AA30" s="18">
        <f>IFERROR(VLOOKUP($D30,BS연결,MATCH(AA$1,BS연결H,0),0)/100,"")</f>
        <v/>
      </c>
      <c r="AB30" s="19">
        <f>IFERROR(VLOOKUP($D30,BS연결,MATCH(AB$1,BS연결H,0),0)/100,"")</f>
        <v/>
      </c>
      <c r="AC30" s="20" t="n"/>
      <c r="AD30" s="20" t="n"/>
      <c r="AE30" s="38">
        <f>AD30</f>
        <v/>
      </c>
      <c r="AF30" s="20" t="n"/>
      <c r="AG30" s="20" t="n"/>
      <c r="AH30" s="20" t="n"/>
      <c r="AI30" s="20" t="n"/>
      <c r="AJ30" s="38">
        <f>AI30</f>
        <v/>
      </c>
      <c r="AK30" s="20" t="n"/>
      <c r="AL30" s="20" t="n"/>
      <c r="AM30" s="20" t="n"/>
      <c r="AN30" s="20" t="n"/>
      <c r="AO30" s="38">
        <f>AN30</f>
        <v/>
      </c>
    </row>
    <row r="31">
      <c r="A31" s="12" t="inlineStr">
        <is>
          <t>CAPEX</t>
        </is>
      </c>
      <c r="B31" t="inlineStr">
        <is>
          <t>현금흐름</t>
        </is>
      </c>
      <c r="C31" t="inlineStr">
        <is>
          <t>억원</t>
        </is>
      </c>
      <c r="D31" t="inlineStr">
        <is>
          <t>CAPEX</t>
        </is>
      </c>
      <c r="E31" s="18">
        <f>IFERROR(VLOOKUP($D31,BS연결,MATCH(E$1,BS연결H,0),0)/100,"")</f>
        <v/>
      </c>
      <c r="F31" s="37" t="n"/>
      <c r="G31" s="18">
        <f>IFERROR(VLOOKUP($D31,BS연결,MATCH(G$1,BS연결H,0),0)/100,"")</f>
        <v/>
      </c>
      <c r="H31" s="18">
        <f>IFERROR(VLOOKUP($D31,BS연결,MATCH(H$1,BS연결H,0),0)/100,"")</f>
        <v/>
      </c>
      <c r="I31" s="18">
        <f>IFERROR(VLOOKUP($D31,BS연결,MATCH(I$1,BS연결H,0),0)/100,"")</f>
        <v/>
      </c>
      <c r="J31" s="18">
        <f>IFERROR(VLOOKUP($D31,BS연결,MATCH(J$1,BS연결H,0),0)/100,"")</f>
        <v/>
      </c>
      <c r="K31" s="37">
        <f>IFERROR(VLOOKUP($D31,BS연결,MATCH(K$1,BS연결H,0),0)/100,"")</f>
        <v/>
      </c>
      <c r="L31" s="18">
        <f>IFERROR(VLOOKUP($D31,BS연결,MATCH(L$1,BS연결H,0),0)/100,"")</f>
        <v/>
      </c>
      <c r="M31" s="18">
        <f>IFERROR(VLOOKUP($D31,BS연결,MATCH(M$1,BS연결H,0),0)/100,"")</f>
        <v/>
      </c>
      <c r="N31" s="18">
        <f>IFERROR(VLOOKUP($D31,BS연결,MATCH(N$1,BS연결H,0),0)/100,"")</f>
        <v/>
      </c>
      <c r="O31" s="18">
        <f>IFERROR(VLOOKUP($D31,BS연결,MATCH(O$1,BS연결H,0),0)/100,"")</f>
        <v/>
      </c>
      <c r="P31" s="37">
        <f>IFERROR(VLOOKUP($D31,BS연결,MATCH(P$1,BS연결H,0),0)/100,"")</f>
        <v/>
      </c>
      <c r="Q31" s="18">
        <f>IFERROR(VLOOKUP($D31,BS연결,MATCH(Q$1,BS연결H,0),0)/100,"")</f>
        <v/>
      </c>
      <c r="R31" s="18">
        <f>IFERROR(VLOOKUP($D31,BS연결,MATCH(R$1,BS연결H,0),0)/100,"")</f>
        <v/>
      </c>
      <c r="S31" s="18">
        <f>IFERROR(VLOOKUP($D31,BS연결,MATCH(S$1,BS연결H,0),0)/100,"")</f>
        <v/>
      </c>
      <c r="T31" s="18">
        <f>IFERROR(VLOOKUP($D31,BS연결,MATCH(T$1,BS연결H,0),0)/100,"")</f>
        <v/>
      </c>
      <c r="U31" s="37">
        <f>IFERROR(VLOOKUP($D31,BS연결,MATCH(U$1,BS연결H,0),0)/100,"")</f>
        <v/>
      </c>
      <c r="V31" s="18">
        <f>IFERROR(VLOOKUP($D31,BS연결,MATCH(V$1,BS연결H,0),0)/100,"")</f>
        <v/>
      </c>
      <c r="W31" s="18">
        <f>IFERROR(VLOOKUP($D31,BS연결,MATCH(W$1,BS연결H,0),0)/100,"")</f>
        <v/>
      </c>
      <c r="X31" s="18">
        <f>IFERROR(VLOOKUP($D31,BS연결,MATCH(X$1,BS연결H,0),0)/100,"")</f>
        <v/>
      </c>
      <c r="Y31" s="18">
        <f>IFERROR(VLOOKUP($D31,BS연결,MATCH(Y$1,BS연결H,0),0)/100,"")</f>
        <v/>
      </c>
      <c r="Z31" s="37">
        <f>IFERROR(VLOOKUP($D31,BS연결,MATCH(Z$1,BS연결H,0),0)/100,"")</f>
        <v/>
      </c>
      <c r="AA31" s="18">
        <f>IFERROR(VLOOKUP($D31,BS연결,MATCH(AA$1,BS연결H,0),0)/100,"")</f>
        <v/>
      </c>
      <c r="AB31" s="19">
        <f>IFERROR(VLOOKUP($D31,BS연결,MATCH(AB$1,BS연결H,0),0)/100,"")</f>
        <v/>
      </c>
      <c r="AC31" s="20">
        <f>IFERROR(X31*(1+변수!AC38),"")</f>
        <v/>
      </c>
      <c r="AD31" s="20">
        <f>IFERROR(Y31*(1+변수!AD38),"")</f>
        <v/>
      </c>
      <c r="AE31" s="38">
        <f>SUM(AA31:AD31)</f>
        <v/>
      </c>
      <c r="AF31" s="20">
        <f>IFERROR(AA31*(1+변수!AF38),"")</f>
        <v/>
      </c>
      <c r="AG31" s="20">
        <f>IFERROR(AB31*(1+변수!AG38),"")</f>
        <v/>
      </c>
      <c r="AH31" s="20">
        <f>IFERROR(AC31*(1+변수!AH38),"")</f>
        <v/>
      </c>
      <c r="AI31" s="20">
        <f>IFERROR(AD31*(1+변수!AI38),"")</f>
        <v/>
      </c>
      <c r="AJ31" s="38">
        <f>SUM(AF31:AI31)</f>
        <v/>
      </c>
      <c r="AK31" s="20">
        <f>IFERROR(AF31*(1+변수!AK38),"")</f>
        <v/>
      </c>
      <c r="AL31" s="20">
        <f>IFERROR(AG31*(1+변수!AL38),"")</f>
        <v/>
      </c>
      <c r="AM31" s="20">
        <f>IFERROR(AH31*(1+변수!AM38),"")</f>
        <v/>
      </c>
      <c r="AN31" s="20">
        <f>IFERROR(AI31*(1+변수!AN38),"")</f>
        <v/>
      </c>
      <c r="AO31" s="38">
        <f>SUM(AK31:AN31)</f>
        <v/>
      </c>
    </row>
    <row r="32">
      <c r="A32" s="12" t="inlineStr">
        <is>
          <t>영업활동현금흐름</t>
        </is>
      </c>
      <c r="B32" t="inlineStr">
        <is>
          <t>현금흐름</t>
        </is>
      </c>
      <c r="C32" t="inlineStr">
        <is>
          <t>억원</t>
        </is>
      </c>
      <c r="D32" t="inlineStr">
        <is>
          <t>영업활동으로인한현금흐름</t>
        </is>
      </c>
      <c r="E32" s="18">
        <f>IFERROR(VLOOKUP($D32,BS연결,MATCH(E$1,BS연결H,0),0)/100,"")</f>
        <v/>
      </c>
      <c r="F32" s="37" t="n"/>
      <c r="G32" s="18">
        <f>IFERROR(VLOOKUP($D32,BS연결,MATCH(G$1,BS연결H,0),0)/100,"")</f>
        <v/>
      </c>
      <c r="H32" s="18">
        <f>IFERROR(VLOOKUP($D32,BS연결,MATCH(H$1,BS연결H,0),0)/100,"")</f>
        <v/>
      </c>
      <c r="I32" s="18">
        <f>IFERROR(VLOOKUP($D32,BS연결,MATCH(I$1,BS연결H,0),0)/100,"")</f>
        <v/>
      </c>
      <c r="J32" s="18">
        <f>IFERROR(VLOOKUP($D32,BS연결,MATCH(J$1,BS연결H,0),0)/100,"")</f>
        <v/>
      </c>
      <c r="K32" s="37">
        <f>IFERROR(VLOOKUP($D32,BS연결,MATCH(K$1,BS연결H,0),0)/100,"")</f>
        <v/>
      </c>
      <c r="L32" s="18">
        <f>IFERROR(VLOOKUP($D32,BS연결,MATCH(L$1,BS연결H,0),0)/100,"")</f>
        <v/>
      </c>
      <c r="M32" s="18">
        <f>IFERROR(VLOOKUP($D32,BS연결,MATCH(M$1,BS연결H,0),0)/100,"")</f>
        <v/>
      </c>
      <c r="N32" s="18">
        <f>IFERROR(VLOOKUP($D32,BS연결,MATCH(N$1,BS연결H,0),0)/100,"")</f>
        <v/>
      </c>
      <c r="O32" s="18">
        <f>IFERROR(VLOOKUP($D32,BS연결,MATCH(O$1,BS연결H,0),0)/100,"")</f>
        <v/>
      </c>
      <c r="P32" s="37">
        <f>IFERROR(VLOOKUP($D32,BS연결,MATCH(P$1,BS연결H,0),0)/100,"")</f>
        <v/>
      </c>
      <c r="Q32" s="18">
        <f>IFERROR(VLOOKUP($D32,BS연결,MATCH(Q$1,BS연결H,0),0)/100,"")</f>
        <v/>
      </c>
      <c r="R32" s="18">
        <f>IFERROR(VLOOKUP($D32,BS연결,MATCH(R$1,BS연결H,0),0)/100,"")</f>
        <v/>
      </c>
      <c r="S32" s="18">
        <f>IFERROR(VLOOKUP($D32,BS연결,MATCH(S$1,BS연결H,0),0)/100,"")</f>
        <v/>
      </c>
      <c r="T32" s="18">
        <f>IFERROR(VLOOKUP($D32,BS연결,MATCH(T$1,BS연결H,0),0)/100,"")</f>
        <v/>
      </c>
      <c r="U32" s="37">
        <f>IFERROR(VLOOKUP($D32,BS연결,MATCH(U$1,BS연결H,0),0)/100,"")</f>
        <v/>
      </c>
      <c r="V32" s="18">
        <f>IFERROR(VLOOKUP($D32,BS연결,MATCH(V$1,BS연결H,0),0)/100,"")</f>
        <v/>
      </c>
      <c r="W32" s="18">
        <f>IFERROR(VLOOKUP($D32,BS연결,MATCH(W$1,BS연결H,0),0)/100,"")</f>
        <v/>
      </c>
      <c r="X32" s="18">
        <f>IFERROR(VLOOKUP($D32,BS연결,MATCH(X$1,BS연결H,0),0)/100,"")</f>
        <v/>
      </c>
      <c r="Y32" s="18">
        <f>IFERROR(VLOOKUP($D32,BS연결,MATCH(Y$1,BS연결H,0),0)/100,"")</f>
        <v/>
      </c>
      <c r="Z32" s="37">
        <f>IFERROR(VLOOKUP($D32,BS연결,MATCH(Z$1,BS연결H,0),0)/100,"")</f>
        <v/>
      </c>
      <c r="AA32" s="18">
        <f>IFERROR(VLOOKUP($D32,BS연결,MATCH(AA$1,BS연결H,0),0)/100,"")</f>
        <v/>
      </c>
      <c r="AB32" s="19">
        <f>IFERROR(VLOOKUP($D32,BS연결,MATCH(AB$1,BS연결H,0),0)/100,"")</f>
        <v/>
      </c>
      <c r="AC32" s="20" t="n"/>
      <c r="AD32" s="20" t="n"/>
      <c r="AE32" s="38">
        <f>SUM(AA32:AD32)</f>
        <v/>
      </c>
      <c r="AF32" s="20" t="n"/>
      <c r="AG32" s="20" t="n"/>
      <c r="AH32" s="20" t="n"/>
      <c r="AI32" s="20" t="n"/>
      <c r="AJ32" s="38">
        <f>SUM(AF32:AI32)</f>
        <v/>
      </c>
      <c r="AK32" s="20" t="n"/>
      <c r="AL32" s="20" t="n"/>
      <c r="AM32" s="20" t="n"/>
      <c r="AN32" s="20" t="n"/>
      <c r="AO32" s="38">
        <f>SUM(AK32:AN32)</f>
        <v/>
      </c>
    </row>
    <row r="33">
      <c r="A33" s="12" t="inlineStr">
        <is>
          <t>주식수</t>
        </is>
      </c>
      <c r="B33" t="inlineStr">
        <is>
          <t>주당</t>
        </is>
      </c>
      <c r="C33" t="inlineStr">
        <is>
          <t>백만주</t>
        </is>
      </c>
      <c r="D33" t="inlineStr">
        <is>
          <t>유통주식수</t>
        </is>
      </c>
      <c r="E33" s="27" t="n">
        <v>22.651</v>
      </c>
      <c r="F33" s="28">
        <f>E33</f>
        <v/>
      </c>
      <c r="G33" s="27" t="n">
        <v>22.651</v>
      </c>
      <c r="H33" s="27" t="n">
        <v>22.651</v>
      </c>
      <c r="I33" s="27" t="n">
        <v>22.597</v>
      </c>
      <c r="J33" s="27" t="n">
        <v>22.219</v>
      </c>
      <c r="K33" s="28">
        <f>J33</f>
        <v/>
      </c>
      <c r="L33" s="27" t="n">
        <v>22.213</v>
      </c>
      <c r="M33" s="27" t="n">
        <v>22.213</v>
      </c>
      <c r="N33" s="27" t="n">
        <v>22.123</v>
      </c>
      <c r="O33" s="27" t="n">
        <v>22.123</v>
      </c>
      <c r="P33" s="28">
        <f>O33</f>
        <v/>
      </c>
      <c r="Q33" s="27" t="n">
        <v>22.123</v>
      </c>
      <c r="R33" s="27" t="n">
        <v>22.123</v>
      </c>
      <c r="S33" s="27" t="n">
        <v>22.123</v>
      </c>
      <c r="T33" s="27" t="n">
        <v>23.3</v>
      </c>
      <c r="U33" s="28">
        <f>T33</f>
        <v/>
      </c>
      <c r="V33" s="27" t="n">
        <v>24.144</v>
      </c>
      <c r="W33" s="27" t="n">
        <v>24.144</v>
      </c>
      <c r="X33" s="27" t="n">
        <v>24.144</v>
      </c>
      <c r="Y33" s="27" t="n">
        <v>24.144</v>
      </c>
      <c r="Z33" s="28">
        <f>Y33</f>
        <v/>
      </c>
      <c r="AA33" s="27" t="n">
        <v>24.144</v>
      </c>
      <c r="AB33" s="29" t="n">
        <v>24.144</v>
      </c>
      <c r="AC33" s="33">
        <f>IFERROR(AB33*(1+변수!AC40),"")</f>
        <v/>
      </c>
      <c r="AD33" s="33">
        <f>IFERROR(AC33*(1+변수!AD40),"")</f>
        <v/>
      </c>
      <c r="AE33" s="31">
        <f>AD33</f>
        <v/>
      </c>
      <c r="AF33" s="33">
        <f>IFERROR(AD33*(1+변수!AF40),"")</f>
        <v/>
      </c>
      <c r="AG33" s="33">
        <f>IFERROR(AF33*(1+변수!AG40),"")</f>
        <v/>
      </c>
      <c r="AH33" s="33">
        <f>IFERROR(AG33*(1+변수!AH40),"")</f>
        <v/>
      </c>
      <c r="AI33" s="33">
        <f>IFERROR(AH33*(1+변수!AI40),"")</f>
        <v/>
      </c>
      <c r="AJ33" s="31">
        <f>AI33</f>
        <v/>
      </c>
      <c r="AK33" s="33">
        <f>IFERROR(AI33*(1+변수!AK40),"")</f>
        <v/>
      </c>
      <c r="AL33" s="33">
        <f>IFERROR(AK33*(1+변수!AL40),"")</f>
        <v/>
      </c>
      <c r="AM33" s="33">
        <f>IFERROR(AL33*(1+변수!AM40),"")</f>
        <v/>
      </c>
      <c r="AN33" s="33">
        <f>IFERROR(AM33*(1+변수!AN40),"")</f>
        <v/>
      </c>
      <c r="AO33" s="31">
        <f>AN33</f>
        <v/>
      </c>
    </row>
    <row r="34">
      <c r="A34" s="12" t="inlineStr">
        <is>
          <t>EPS</t>
        </is>
      </c>
      <c r="B34" t="inlineStr">
        <is>
          <t>주당</t>
        </is>
      </c>
      <c r="C34" t="inlineStr">
        <is>
          <t>원</t>
        </is>
      </c>
      <c r="D34" t="inlineStr">
        <is>
          <t>EPS</t>
        </is>
      </c>
      <c r="E34" s="18">
        <f>IFERROR(E20*100/E33,"")</f>
        <v/>
      </c>
      <c r="F34" s="37" t="n"/>
      <c r="G34" s="18">
        <f>IFERROR(G20*100/G33,"")</f>
        <v/>
      </c>
      <c r="H34" s="18">
        <f>IFERROR(H20*100/H33,"")</f>
        <v/>
      </c>
      <c r="I34" s="18">
        <f>IFERROR(I20*100/I33,"")</f>
        <v/>
      </c>
      <c r="J34" s="18">
        <f>IFERROR(J20*100/J33,"")</f>
        <v/>
      </c>
      <c r="K34" s="37">
        <f>SUM(G34:J34)</f>
        <v/>
      </c>
      <c r="L34" s="18">
        <f>IFERROR(L20*100/L33,"")</f>
        <v/>
      </c>
      <c r="M34" s="18">
        <f>IFERROR(M20*100/M33,"")</f>
        <v/>
      </c>
      <c r="N34" s="18">
        <f>IFERROR(N20*100/N33,"")</f>
        <v/>
      </c>
      <c r="O34" s="18">
        <f>IFERROR(O20*100/O33,"")</f>
        <v/>
      </c>
      <c r="P34" s="37">
        <f>SUM(L34:O34)</f>
        <v/>
      </c>
      <c r="Q34" s="18">
        <f>IFERROR(Q20*100/Q33,"")</f>
        <v/>
      </c>
      <c r="R34" s="18">
        <f>IFERROR(R20*100/R33,"")</f>
        <v/>
      </c>
      <c r="S34" s="18">
        <f>IFERROR(S20*100/S33,"")</f>
        <v/>
      </c>
      <c r="T34" s="18">
        <f>IFERROR(T20*100/T33,"")</f>
        <v/>
      </c>
      <c r="U34" s="37">
        <f>SUM(Q34:T34)</f>
        <v/>
      </c>
      <c r="V34" s="18">
        <f>IFERROR(V20*100/V33,"")</f>
        <v/>
      </c>
      <c r="W34" s="18">
        <f>IFERROR(W20*100/W33,"")</f>
        <v/>
      </c>
      <c r="X34" s="18">
        <f>IFERROR(X20*100/X33,"")</f>
        <v/>
      </c>
      <c r="Y34" s="18">
        <f>IFERROR(Y20*100/Y33,"")</f>
        <v/>
      </c>
      <c r="Z34" s="37">
        <f>SUM(V34:Y34)</f>
        <v/>
      </c>
      <c r="AA34" s="18">
        <f>IFERROR(AA20*100/AA33,"")</f>
        <v/>
      </c>
      <c r="AB34" s="19">
        <f>IFERROR(AB20*100/AB33,"")</f>
        <v/>
      </c>
      <c r="AC34" s="20">
        <f>IFERROR(AC20*100/AC33,"")</f>
        <v/>
      </c>
      <c r="AD34" s="20">
        <f>IFERROR(AD20*100/AD33,"")</f>
        <v/>
      </c>
      <c r="AE34" s="38">
        <f>SUM(AA34:AD34)</f>
        <v/>
      </c>
      <c r="AF34" s="20">
        <f>IFERROR(AF20*100/AF33,"")</f>
        <v/>
      </c>
      <c r="AG34" s="20">
        <f>IFERROR(AG20*100/AG33,"")</f>
        <v/>
      </c>
      <c r="AH34" s="20">
        <f>IFERROR(AH20*100/AH33,"")</f>
        <v/>
      </c>
      <c r="AI34" s="20">
        <f>IFERROR(AI20*100/AI33,"")</f>
        <v/>
      </c>
      <c r="AJ34" s="38">
        <f>SUM(AF34:AI34)</f>
        <v/>
      </c>
      <c r="AK34" s="20">
        <f>IFERROR(AK20*100/AK33,"")</f>
        <v/>
      </c>
      <c r="AL34" s="20">
        <f>IFERROR(AL20*100/AL33,"")</f>
        <v/>
      </c>
      <c r="AM34" s="20">
        <f>IFERROR(AM20*100/AM33,"")</f>
        <v/>
      </c>
      <c r="AN34" s="20">
        <f>IFERROR(AN20*100/AN33,"")</f>
        <v/>
      </c>
      <c r="AO34" s="38">
        <f>SUM(AK34:AN34)</f>
        <v/>
      </c>
    </row>
    <row r="35">
      <c r="A35" s="12" t="inlineStr">
        <is>
          <t>BPS</t>
        </is>
      </c>
      <c r="B35" t="inlineStr">
        <is>
          <t>주당</t>
        </is>
      </c>
      <c r="C35" t="inlineStr">
        <is>
          <t>원</t>
        </is>
      </c>
      <c r="D35" t="inlineStr">
        <is>
          <t>BPS</t>
        </is>
      </c>
      <c r="E35" s="18">
        <f>IFERROR(E26*100/E33,"")</f>
        <v/>
      </c>
      <c r="F35" s="37">
        <f>E35</f>
        <v/>
      </c>
      <c r="G35" s="18">
        <f>IFERROR(G26*100/G33,"")</f>
        <v/>
      </c>
      <c r="H35" s="18">
        <f>IFERROR(H26*100/H33,"")</f>
        <v/>
      </c>
      <c r="I35" s="18">
        <f>IFERROR(I26*100/I33,"")</f>
        <v/>
      </c>
      <c r="J35" s="18">
        <f>IFERROR(J26*100/J33,"")</f>
        <v/>
      </c>
      <c r="K35" s="37">
        <f>J35</f>
        <v/>
      </c>
      <c r="L35" s="18">
        <f>IFERROR(L26*100/L33,"")</f>
        <v/>
      </c>
      <c r="M35" s="18">
        <f>IFERROR(M26*100/M33,"")</f>
        <v/>
      </c>
      <c r="N35" s="18">
        <f>IFERROR(N26*100/N33,"")</f>
        <v/>
      </c>
      <c r="O35" s="18">
        <f>IFERROR(O26*100/O33,"")</f>
        <v/>
      </c>
      <c r="P35" s="37">
        <f>O35</f>
        <v/>
      </c>
      <c r="Q35" s="18">
        <f>IFERROR(Q26*100/Q33,"")</f>
        <v/>
      </c>
      <c r="R35" s="18">
        <f>IFERROR(R26*100/R33,"")</f>
        <v/>
      </c>
      <c r="S35" s="18">
        <f>IFERROR(S26*100/S33,"")</f>
        <v/>
      </c>
      <c r="T35" s="18">
        <f>IFERROR(T26*100/T33,"")</f>
        <v/>
      </c>
      <c r="U35" s="37">
        <f>T35</f>
        <v/>
      </c>
      <c r="V35" s="18">
        <f>IFERROR(V26*100/V33,"")</f>
        <v/>
      </c>
      <c r="W35" s="18">
        <f>IFERROR(W26*100/W33,"")</f>
        <v/>
      </c>
      <c r="X35" s="18">
        <f>IFERROR(X26*100/X33,"")</f>
        <v/>
      </c>
      <c r="Y35" s="18">
        <f>IFERROR(Y26*100/Y33,"")</f>
        <v/>
      </c>
      <c r="Z35" s="37">
        <f>Y35</f>
        <v/>
      </c>
      <c r="AA35" s="18">
        <f>IFERROR(AA26*100/AA33,"")</f>
        <v/>
      </c>
      <c r="AB35" s="19">
        <f>IFERROR(AB26*100/AB33,"")</f>
        <v/>
      </c>
      <c r="AC35" s="20">
        <f>IFERROR(AC26*100/AC33,"")</f>
        <v/>
      </c>
      <c r="AD35" s="20">
        <f>IFERROR(AD26*100/AD33,"")</f>
        <v/>
      </c>
      <c r="AE35" s="38">
        <f>AD35</f>
        <v/>
      </c>
      <c r="AF35" s="20">
        <f>IFERROR(AF26*100/AF33,"")</f>
        <v/>
      </c>
      <c r="AG35" s="20">
        <f>IFERROR(AG26*100/AG33,"")</f>
        <v/>
      </c>
      <c r="AH35" s="20">
        <f>IFERROR(AH26*100/AH33,"")</f>
        <v/>
      </c>
      <c r="AI35" s="20">
        <f>IFERROR(AI26*100/AI33,"")</f>
        <v/>
      </c>
      <c r="AJ35" s="38">
        <f>AI35</f>
        <v/>
      </c>
      <c r="AK35" s="20">
        <f>IFERROR(AK26*100/AK33,"")</f>
        <v/>
      </c>
      <c r="AL35" s="20">
        <f>IFERROR(AL26*100/AL33,"")</f>
        <v/>
      </c>
      <c r="AM35" s="20">
        <f>IFERROR(AM26*100/AM33,"")</f>
        <v/>
      </c>
      <c r="AN35" s="20">
        <f>IFERROR(AN26*100/AN33,"")</f>
        <v/>
      </c>
      <c r="AO35" s="38">
        <f>AN35</f>
        <v/>
      </c>
    </row>
    <row r="36">
      <c r="A36" s="12" t="inlineStr">
        <is>
          <t>DPS</t>
        </is>
      </c>
      <c r="B36" t="inlineStr">
        <is>
          <t>주당</t>
        </is>
      </c>
      <c r="C36" t="inlineStr">
        <is>
          <t>원</t>
        </is>
      </c>
      <c r="D36" t="inlineStr">
        <is>
          <t>DPS(보통주)</t>
        </is>
      </c>
      <c r="E36" s="18" t="n">
        <v>0</v>
      </c>
      <c r="F36" s="37" t="n">
        <v>0</v>
      </c>
      <c r="G36" s="18" t="n"/>
      <c r="H36" s="18" t="n"/>
      <c r="I36" s="18" t="n"/>
      <c r="J36" s="18" t="n">
        <v>100</v>
      </c>
      <c r="K36" s="37">
        <f>SUM(G36:J36)</f>
        <v/>
      </c>
      <c r="L36" s="18" t="n"/>
      <c r="M36" s="18" t="n"/>
      <c r="N36" s="18" t="n"/>
      <c r="O36" s="18" t="n">
        <v>0</v>
      </c>
      <c r="P36" s="37">
        <f>SUM(L36:O36)</f>
        <v/>
      </c>
      <c r="Q36" s="18" t="n"/>
      <c r="R36" s="18" t="n"/>
      <c r="S36" s="18" t="n"/>
      <c r="T36" s="18" t="n">
        <v>0</v>
      </c>
      <c r="U36" s="37">
        <f>SUM(Q36:T36)</f>
        <v/>
      </c>
      <c r="V36" s="18" t="n"/>
      <c r="W36" s="18" t="n"/>
      <c r="X36" s="18" t="n"/>
      <c r="Y36" s="18" t="n">
        <v>0</v>
      </c>
      <c r="Z36" s="37">
        <f>SUM(V36:Y36)</f>
        <v/>
      </c>
      <c r="AA36" s="18" t="n"/>
      <c r="AB36" s="19" t="n"/>
      <c r="AC36" s="20" t="n"/>
      <c r="AD36" s="20">
        <f>변수!AD41</f>
        <v/>
      </c>
      <c r="AE36" s="38">
        <f>SUM(AA36:AD36)</f>
        <v/>
      </c>
      <c r="AF36" s="20" t="n"/>
      <c r="AG36" s="20" t="n"/>
      <c r="AH36" s="20" t="n"/>
      <c r="AI36" s="20">
        <f>변수!AI41</f>
        <v/>
      </c>
      <c r="AJ36" s="38">
        <f>SUM(AF36:AI36)</f>
        <v/>
      </c>
      <c r="AK36" s="20" t="n"/>
      <c r="AL36" s="20" t="n"/>
      <c r="AM36" s="20" t="n"/>
      <c r="AN36" s="20">
        <f>변수!AN41</f>
        <v/>
      </c>
      <c r="AO36" s="38">
        <f>SUM(AK36:AN36)</f>
        <v/>
      </c>
    </row>
    <row r="37">
      <c r="A37" s="12" t="inlineStr">
        <is>
          <t>PER</t>
        </is>
      </c>
      <c r="B37" t="inlineStr">
        <is>
          <t>주당</t>
        </is>
      </c>
      <c r="C37" t="inlineStr">
        <is>
          <t>배</t>
        </is>
      </c>
      <c r="D37" t="inlineStr">
        <is>
          <t>PER</t>
        </is>
      </c>
      <c r="E37" s="13" t="n"/>
      <c r="F37" s="14">
        <f>E37</f>
        <v/>
      </c>
      <c r="G37" s="13" t="n"/>
      <c r="H37" s="13" t="n"/>
      <c r="I37" s="13">
        <f>IFERROR(변수!I18/(E34+G34+H34+I34),"")</f>
        <v/>
      </c>
      <c r="J37" s="13">
        <f>IFERROR(변수!J18/(G34+H34+I34+J34),"")</f>
        <v/>
      </c>
      <c r="K37" s="14">
        <f>J37</f>
        <v/>
      </c>
      <c r="L37" s="13">
        <f>IFERROR(변수!L18/(H34+I34+J34+L34),"")</f>
        <v/>
      </c>
      <c r="M37" s="13">
        <f>IFERROR(변수!M18/(I34+J34+L34+M34),"")</f>
        <v/>
      </c>
      <c r="N37" s="13">
        <f>IFERROR(변수!N18/(J34+L34+M34+N34),"")</f>
        <v/>
      </c>
      <c r="O37" s="13" t="n"/>
      <c r="P37" s="14">
        <f>O37</f>
        <v/>
      </c>
      <c r="Q37" s="13" t="n"/>
      <c r="R37" s="13" t="n"/>
      <c r="S37" s="13" t="n"/>
      <c r="T37" s="13" t="n"/>
      <c r="U37" s="14">
        <f>T37</f>
        <v/>
      </c>
      <c r="V37" s="13" t="n"/>
      <c r="W37" s="13">
        <f>IFERROR(변수!W18/(S34+T34+V34+W34),"")</f>
        <v/>
      </c>
      <c r="X37" s="13">
        <f>IFERROR(변수!X18/(T34+V34+W34+X34),"")</f>
        <v/>
      </c>
      <c r="Y37" s="13">
        <f>IFERROR(변수!Y18/(V34+W34+X34+Y34),"")</f>
        <v/>
      </c>
      <c r="Z37" s="14">
        <f>Y37</f>
        <v/>
      </c>
      <c r="AA37" s="13" t="n"/>
      <c r="AB37" s="15" t="n"/>
      <c r="AC37" s="39" t="n"/>
      <c r="AD37" s="39">
        <f>IFERROR(변수!$D$44/(AA34+AB34+AC34+AD34),"")</f>
        <v/>
      </c>
      <c r="AE37" s="40">
        <f>AD37</f>
        <v/>
      </c>
      <c r="AF37" s="39">
        <f>IFERROR(변수!$D$44/(AB34+AC34+AD34+AF34),"")</f>
        <v/>
      </c>
      <c r="AG37" s="39">
        <f>IFERROR(변수!$D$44/(AC34+AD34+AF34+AG34),"")</f>
        <v/>
      </c>
      <c r="AH37" s="39">
        <f>IFERROR(변수!$D$44/(AD34+AF34+AG34+AH34),"")</f>
        <v/>
      </c>
      <c r="AI37" s="39">
        <f>IFERROR(변수!$D$44/(AF34+AG34+AH34+AI34),"")</f>
        <v/>
      </c>
      <c r="AJ37" s="40">
        <f>AI37</f>
        <v/>
      </c>
      <c r="AK37" s="39">
        <f>IFERROR(변수!$D$44/(AG34+AH34+AI34+AK34),"")</f>
        <v/>
      </c>
      <c r="AL37" s="39">
        <f>IFERROR(변수!$D$44/(AH34+AI34+AK34+AL34),"")</f>
        <v/>
      </c>
      <c r="AM37" s="39">
        <f>IFERROR(변수!$D$44/(AI34+AK34+AL34+AM34),"")</f>
        <v/>
      </c>
      <c r="AN37" s="39">
        <f>IFERROR(변수!$D$44/(AK34+AL34+AM34+AN34),"")</f>
        <v/>
      </c>
      <c r="AO37" s="40">
        <f>AN37</f>
        <v/>
      </c>
    </row>
    <row r="38">
      <c r="A38" s="12" t="inlineStr">
        <is>
          <t>PBR</t>
        </is>
      </c>
      <c r="B38" t="inlineStr">
        <is>
          <t>주당</t>
        </is>
      </c>
      <c r="C38" t="inlineStr">
        <is>
          <t>배</t>
        </is>
      </c>
      <c r="D38" t="inlineStr">
        <is>
          <t>PBR</t>
        </is>
      </c>
      <c r="E38" s="13">
        <f>IFERROR(변수!E18/E35,"")</f>
        <v/>
      </c>
      <c r="F38" s="14">
        <f>E38</f>
        <v/>
      </c>
      <c r="G38" s="13">
        <f>IFERROR(변수!G18/G35,"")</f>
        <v/>
      </c>
      <c r="H38" s="13">
        <f>IFERROR(변수!H18/H35,"")</f>
        <v/>
      </c>
      <c r="I38" s="13">
        <f>IFERROR(변수!I18/I35,"")</f>
        <v/>
      </c>
      <c r="J38" s="13">
        <f>IFERROR(변수!J18/J35,"")</f>
        <v/>
      </c>
      <c r="K38" s="14">
        <f>J38</f>
        <v/>
      </c>
      <c r="L38" s="13">
        <f>IFERROR(변수!L18/L35,"")</f>
        <v/>
      </c>
      <c r="M38" s="13">
        <f>IFERROR(변수!M18/M35,"")</f>
        <v/>
      </c>
      <c r="N38" s="13">
        <f>IFERROR(변수!N18/N35,"")</f>
        <v/>
      </c>
      <c r="O38" s="13">
        <f>IFERROR(변수!O18/O35,"")</f>
        <v/>
      </c>
      <c r="P38" s="14">
        <f>O38</f>
        <v/>
      </c>
      <c r="Q38" s="13">
        <f>IFERROR(변수!Q18/Q35,"")</f>
        <v/>
      </c>
      <c r="R38" s="13">
        <f>IFERROR(변수!R18/R35,"")</f>
        <v/>
      </c>
      <c r="S38" s="13">
        <f>IFERROR(변수!S18/S35,"")</f>
        <v/>
      </c>
      <c r="T38" s="13">
        <f>IFERROR(변수!T18/T35,"")</f>
        <v/>
      </c>
      <c r="U38" s="14">
        <f>T38</f>
        <v/>
      </c>
      <c r="V38" s="13">
        <f>IFERROR(변수!V18/V35,"")</f>
        <v/>
      </c>
      <c r="W38" s="13">
        <f>IFERROR(변수!W18/W35,"")</f>
        <v/>
      </c>
      <c r="X38" s="13">
        <f>IFERROR(변수!X18/X35,"")</f>
        <v/>
      </c>
      <c r="Y38" s="13">
        <f>IFERROR(변수!Y18/Y35,"")</f>
        <v/>
      </c>
      <c r="Z38" s="14">
        <f>Y38</f>
        <v/>
      </c>
      <c r="AA38" s="13">
        <f>IFERROR(변수!AA18/AA35,"")</f>
        <v/>
      </c>
      <c r="AB38" s="15">
        <f>IFERROR(변수!AB18/AB35,"")</f>
        <v/>
      </c>
      <c r="AC38" s="39">
        <f>IFERROR(변수!$D$44/AC35,"")</f>
        <v/>
      </c>
      <c r="AD38" s="39">
        <f>IFERROR(변수!$D$44/AD35,"")</f>
        <v/>
      </c>
      <c r="AE38" s="40">
        <f>AD38</f>
        <v/>
      </c>
      <c r="AF38" s="39">
        <f>IFERROR(변수!$D$44/AF35,"")</f>
        <v/>
      </c>
      <c r="AG38" s="39">
        <f>IFERROR(변수!$D$44/AG35,"")</f>
        <v/>
      </c>
      <c r="AH38" s="39">
        <f>IFERROR(변수!$D$44/AH35,"")</f>
        <v/>
      </c>
      <c r="AI38" s="39">
        <f>IFERROR(변수!$D$44/AI35,"")</f>
        <v/>
      </c>
      <c r="AJ38" s="40">
        <f>AI38</f>
        <v/>
      </c>
      <c r="AK38" s="39">
        <f>IFERROR(변수!$D$44/AK35,"")</f>
        <v/>
      </c>
      <c r="AL38" s="39">
        <f>IFERROR(변수!$D$44/AL35,"")</f>
        <v/>
      </c>
      <c r="AM38" s="39">
        <f>IFERROR(변수!$D$44/AM35,"")</f>
        <v/>
      </c>
      <c r="AN38" s="39">
        <f>IFERROR(변수!$D$44/AN35,"")</f>
        <v/>
      </c>
      <c r="AO38" s="40">
        <f>AN38</f>
        <v/>
      </c>
    </row>
    <row r="39">
      <c r="A39" s="12" t="inlineStr">
        <is>
          <t>매출전사</t>
        </is>
      </c>
      <c r="B39" t="inlineStr">
        <is>
          <t>사업부</t>
        </is>
      </c>
      <c r="C39" t="inlineStr">
        <is>
          <t>억원</t>
        </is>
      </c>
      <c r="D39" t="inlineStr">
        <is>
          <t>매출 전사(부문 미분리)</t>
        </is>
      </c>
      <c r="E39" s="18" t="n">
        <v>589.03</v>
      </c>
      <c r="F39" s="37" t="n"/>
      <c r="G39" s="18" t="n">
        <v>614.0700000000001</v>
      </c>
      <c r="H39" s="18" t="n">
        <v>647.73</v>
      </c>
      <c r="I39" s="18" t="n">
        <v>577.03</v>
      </c>
      <c r="J39" s="18" t="n">
        <v>616.02</v>
      </c>
      <c r="K39" s="37">
        <f>SUM(G39:J39)</f>
        <v/>
      </c>
      <c r="L39" s="18" t="n">
        <v>616.6900000000001</v>
      </c>
      <c r="M39" s="18" t="n">
        <v>664.78</v>
      </c>
      <c r="N39" s="18" t="n">
        <v>589.71</v>
      </c>
      <c r="O39" s="18" t="n">
        <v>613.3</v>
      </c>
      <c r="P39" s="37">
        <f>SUM(L39:O39)</f>
        <v/>
      </c>
      <c r="Q39" s="18" t="n">
        <v>529.86</v>
      </c>
      <c r="R39" s="18" t="n">
        <v>598.4</v>
      </c>
      <c r="S39" s="18" t="n">
        <v>531.11</v>
      </c>
      <c r="T39" s="18" t="n">
        <v>575.11</v>
      </c>
      <c r="U39" s="37">
        <f>SUM(Q39:T39)</f>
        <v/>
      </c>
      <c r="V39" s="18" t="n">
        <v>533.67</v>
      </c>
      <c r="W39" s="18" t="n">
        <v>561.01</v>
      </c>
      <c r="X39" s="18" t="n">
        <v>560.09</v>
      </c>
      <c r="Y39" s="18" t="n">
        <v>539.23</v>
      </c>
      <c r="Z39" s="37">
        <f>SUM(V39:Y39)</f>
        <v/>
      </c>
      <c r="AA39" s="18" t="n">
        <v>661.2</v>
      </c>
      <c r="AB39" s="19" t="n">
        <v>717.21</v>
      </c>
      <c r="AC39" s="20">
        <f>IFERROR(AC5,"")</f>
        <v/>
      </c>
      <c r="AD39" s="20">
        <f>IFERROR(AD5,"")</f>
        <v/>
      </c>
      <c r="AE39" s="38">
        <f>SUM(AA39:AD39)</f>
        <v/>
      </c>
      <c r="AF39" s="20">
        <f>IFERROR(AF5,"")</f>
        <v/>
      </c>
      <c r="AG39" s="20">
        <f>IFERROR(AG5,"")</f>
        <v/>
      </c>
      <c r="AH39" s="20">
        <f>IFERROR(AH5,"")</f>
        <v/>
      </c>
      <c r="AI39" s="20">
        <f>IFERROR(AI5,"")</f>
        <v/>
      </c>
      <c r="AJ39" s="38">
        <f>SUM(AF39:AI39)</f>
        <v/>
      </c>
      <c r="AK39" s="20">
        <f>IFERROR(AK5,"")</f>
        <v/>
      </c>
      <c r="AL39" s="20">
        <f>IFERROR(AL5,"")</f>
        <v/>
      </c>
      <c r="AM39" s="20">
        <f>IFERROR(AM5,"")</f>
        <v/>
      </c>
      <c r="AN39" s="20">
        <f>IFERROR(AN5,"")</f>
        <v/>
      </c>
      <c r="AO39" s="38">
        <f>SUM(AK39:AN39)</f>
        <v/>
      </c>
    </row>
    <row r="40">
      <c r="A40" s="12" t="inlineStr">
        <is>
          <t>OP전사</t>
        </is>
      </c>
      <c r="B40" t="inlineStr">
        <is>
          <t>사업부</t>
        </is>
      </c>
      <c r="C40" t="inlineStr">
        <is>
          <t>억원</t>
        </is>
      </c>
      <c r="D40" t="inlineStr">
        <is>
          <t>OP 전사(부문 미분리)</t>
        </is>
      </c>
      <c r="E40" s="18" t="n">
        <v>22.86</v>
      </c>
      <c r="F40" s="37" t="n"/>
      <c r="G40" s="18" t="n">
        <v>35.04</v>
      </c>
      <c r="H40" s="18" t="n">
        <v>62.88</v>
      </c>
      <c r="I40" s="18" t="n">
        <v>6.36</v>
      </c>
      <c r="J40" s="18" t="n">
        <v>8.57</v>
      </c>
      <c r="K40" s="37">
        <f>SUM(G40:J40)</f>
        <v/>
      </c>
      <c r="L40" s="18" t="n">
        <v>34.73</v>
      </c>
      <c r="M40" s="18" t="n">
        <v>33.56</v>
      </c>
      <c r="N40" s="18" t="n">
        <v>9.43</v>
      </c>
      <c r="O40" s="18" t="n">
        <v>-26.5</v>
      </c>
      <c r="P40" s="37">
        <f>SUM(L40:O40)</f>
        <v/>
      </c>
      <c r="Q40" s="18" t="n">
        <v>18.53</v>
      </c>
      <c r="R40" s="18" t="n">
        <v>21.31</v>
      </c>
      <c r="S40" s="18" t="n">
        <v>12.74</v>
      </c>
      <c r="T40" s="18" t="n">
        <v>7.72</v>
      </c>
      <c r="U40" s="37">
        <f>SUM(Q40:T40)</f>
        <v/>
      </c>
      <c r="V40" s="18" t="n">
        <v>2.54</v>
      </c>
      <c r="W40" s="18" t="n">
        <v>51.69</v>
      </c>
      <c r="X40" s="18" t="n">
        <v>27.88</v>
      </c>
      <c r="Y40" s="18" t="n">
        <v>-0.36</v>
      </c>
      <c r="Z40" s="37">
        <f>SUM(V40:Y40)</f>
        <v/>
      </c>
      <c r="AA40" s="18" t="n">
        <v>81.59999999999999</v>
      </c>
      <c r="AB40" s="19" t="n">
        <v>92.26000000000001</v>
      </c>
      <c r="AC40" s="20">
        <f>IFERROR(AC9,"")</f>
        <v/>
      </c>
      <c r="AD40" s="20">
        <f>IFERROR(AD9,"")</f>
        <v/>
      </c>
      <c r="AE40" s="38">
        <f>SUM(AA40:AD40)</f>
        <v/>
      </c>
      <c r="AF40" s="20">
        <f>IFERROR(AF9,"")</f>
        <v/>
      </c>
      <c r="AG40" s="20">
        <f>IFERROR(AG9,"")</f>
        <v/>
      </c>
      <c r="AH40" s="20">
        <f>IFERROR(AH9,"")</f>
        <v/>
      </c>
      <c r="AI40" s="20">
        <f>IFERROR(AI9,"")</f>
        <v/>
      </c>
      <c r="AJ40" s="38">
        <f>SUM(AF40:AI40)</f>
        <v/>
      </c>
      <c r="AK40" s="20">
        <f>IFERROR(AK9,"")</f>
        <v/>
      </c>
      <c r="AL40" s="20">
        <f>IFERROR(AL9,"")</f>
        <v/>
      </c>
      <c r="AM40" s="20">
        <f>IFERROR(AM9,"")</f>
        <v/>
      </c>
      <c r="AN40" s="20">
        <f>IFERROR(AN9,"")</f>
        <v/>
      </c>
      <c r="AO40" s="38">
        <f>SUM(AK40:AN40)</f>
        <v/>
      </c>
    </row>
    <row r="41">
      <c r="B41" s="2" t="inlineStr">
        <is>
          <t>비율(참고)</t>
        </is>
      </c>
      <c r="F41" s="9" t="n"/>
      <c r="K41" s="9" t="n"/>
      <c r="P41" s="9" t="n"/>
      <c r="U41" s="9" t="n"/>
      <c r="Z41" s="9" t="n"/>
      <c r="AB41" s="5" t="n"/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s="12" t="inlineStr">
        <is>
          <t>NPM</t>
        </is>
      </c>
      <c r="C42" t="inlineStr">
        <is>
          <t>%</t>
        </is>
      </c>
      <c r="D42" t="inlineStr">
        <is>
          <t>지배주주순이익 / 매출액</t>
        </is>
      </c>
      <c r="E42" s="21">
        <f>IFERROR(E20/E5,"")</f>
        <v/>
      </c>
      <c r="F42" s="22">
        <f>IFERROR(F20/F5,"")</f>
        <v/>
      </c>
      <c r="G42" s="21">
        <f>IFERROR(G20/G5,"")</f>
        <v/>
      </c>
      <c r="H42" s="21">
        <f>IFERROR(H20/H5,"")</f>
        <v/>
      </c>
      <c r="I42" s="21">
        <f>IFERROR(I20/I5,"")</f>
        <v/>
      </c>
      <c r="J42" s="21">
        <f>IFERROR(J20/J5,"")</f>
        <v/>
      </c>
      <c r="K42" s="22">
        <f>IFERROR(K20/K5,"")</f>
        <v/>
      </c>
      <c r="L42" s="21">
        <f>IFERROR(L20/L5,"")</f>
        <v/>
      </c>
      <c r="M42" s="21">
        <f>IFERROR(M20/M5,"")</f>
        <v/>
      </c>
      <c r="N42" s="21">
        <f>IFERROR(N20/N5,"")</f>
        <v/>
      </c>
      <c r="O42" s="21">
        <f>IFERROR(O20/O5,"")</f>
        <v/>
      </c>
      <c r="P42" s="22">
        <f>IFERROR(P20/P5,"")</f>
        <v/>
      </c>
      <c r="Q42" s="21">
        <f>IFERROR(Q20/Q5,"")</f>
        <v/>
      </c>
      <c r="R42" s="21">
        <f>IFERROR(R20/R5,"")</f>
        <v/>
      </c>
      <c r="S42" s="21">
        <f>IFERROR(S20/S5,"")</f>
        <v/>
      </c>
      <c r="T42" s="21">
        <f>IFERROR(T20/T5,"")</f>
        <v/>
      </c>
      <c r="U42" s="22">
        <f>IFERROR(U20/U5,"")</f>
        <v/>
      </c>
      <c r="V42" s="21">
        <f>IFERROR(V20/V5,"")</f>
        <v/>
      </c>
      <c r="W42" s="21">
        <f>IFERROR(W20/W5,"")</f>
        <v/>
      </c>
      <c r="X42" s="21">
        <f>IFERROR(X20/X5,"")</f>
        <v/>
      </c>
      <c r="Y42" s="21">
        <f>IFERROR(Y20/Y5,"")</f>
        <v/>
      </c>
      <c r="Z42" s="22">
        <f>IFERROR(Z20/Z5,"")</f>
        <v/>
      </c>
      <c r="AA42" s="21">
        <f>IFERROR(AA20/AA5,"")</f>
        <v/>
      </c>
      <c r="AB42" s="23">
        <f>IFERROR(AB20/AB5,"")</f>
        <v/>
      </c>
      <c r="AC42" s="32">
        <f>IFERROR(AC20/AC5,"")</f>
        <v/>
      </c>
      <c r="AD42" s="32">
        <f>IFERROR(AD20/AD5,"")</f>
        <v/>
      </c>
      <c r="AE42" s="25">
        <f>IFERROR(AE20/AE5,"")</f>
        <v/>
      </c>
      <c r="AF42" s="32">
        <f>IFERROR(AF20/AF5,"")</f>
        <v/>
      </c>
      <c r="AG42" s="32">
        <f>IFERROR(AG20/AG5,"")</f>
        <v/>
      </c>
      <c r="AH42" s="32">
        <f>IFERROR(AH20/AH5,"")</f>
        <v/>
      </c>
      <c r="AI42" s="32">
        <f>IFERROR(AI20/AI5,"")</f>
        <v/>
      </c>
      <c r="AJ42" s="25">
        <f>IFERROR(AJ20/AJ5,"")</f>
        <v/>
      </c>
      <c r="AK42" s="32">
        <f>IFERROR(AK20/AK5,"")</f>
        <v/>
      </c>
      <c r="AL42" s="32">
        <f>IFERROR(AL20/AL5,"")</f>
        <v/>
      </c>
      <c r="AM42" s="32">
        <f>IFERROR(AM20/AM5,"")</f>
        <v/>
      </c>
      <c r="AN42" s="32">
        <f>IFERROR(AN20/AN5,"")</f>
        <v/>
      </c>
      <c r="AO42" s="25">
        <f>IFERROR(AO20/AO5,"")</f>
        <v/>
      </c>
    </row>
    <row r="43">
      <c r="A43" s="12" t="inlineStr">
        <is>
          <t>매출원가율</t>
        </is>
      </c>
      <c r="C43" t="inlineStr">
        <is>
          <t>%</t>
        </is>
      </c>
      <c r="D43" t="inlineStr">
        <is>
          <t>매출원가 / 매출액</t>
        </is>
      </c>
      <c r="E43" s="21">
        <f>IFERROR(E6/E5,"")</f>
        <v/>
      </c>
      <c r="F43" s="22">
        <f>IFERROR(F6/F5,"")</f>
        <v/>
      </c>
      <c r="G43" s="21">
        <f>IFERROR(G6/G5,"")</f>
        <v/>
      </c>
      <c r="H43" s="21">
        <f>IFERROR(H6/H5,"")</f>
        <v/>
      </c>
      <c r="I43" s="21">
        <f>IFERROR(I6/I5,"")</f>
        <v/>
      </c>
      <c r="J43" s="21">
        <f>IFERROR(J6/J5,"")</f>
        <v/>
      </c>
      <c r="K43" s="22">
        <f>IFERROR(K6/K5,"")</f>
        <v/>
      </c>
      <c r="L43" s="21">
        <f>IFERROR(L6/L5,"")</f>
        <v/>
      </c>
      <c r="M43" s="21">
        <f>IFERROR(M6/M5,"")</f>
        <v/>
      </c>
      <c r="N43" s="21">
        <f>IFERROR(N6/N5,"")</f>
        <v/>
      </c>
      <c r="O43" s="21">
        <f>IFERROR(O6/O5,"")</f>
        <v/>
      </c>
      <c r="P43" s="22">
        <f>IFERROR(P6/P5,"")</f>
        <v/>
      </c>
      <c r="Q43" s="21">
        <f>IFERROR(Q6/Q5,"")</f>
        <v/>
      </c>
      <c r="R43" s="21">
        <f>IFERROR(R6/R5,"")</f>
        <v/>
      </c>
      <c r="S43" s="21">
        <f>IFERROR(S6/S5,"")</f>
        <v/>
      </c>
      <c r="T43" s="21">
        <f>IFERROR(T6/T5,"")</f>
        <v/>
      </c>
      <c r="U43" s="22">
        <f>IFERROR(U6/U5,"")</f>
        <v/>
      </c>
      <c r="V43" s="21">
        <f>IFERROR(V6/V5,"")</f>
        <v/>
      </c>
      <c r="W43" s="21">
        <f>IFERROR(W6/W5,"")</f>
        <v/>
      </c>
      <c r="X43" s="21">
        <f>IFERROR(X6/X5,"")</f>
        <v/>
      </c>
      <c r="Y43" s="21">
        <f>IFERROR(Y6/Y5,"")</f>
        <v/>
      </c>
      <c r="Z43" s="22">
        <f>IFERROR(Z6/Z5,"")</f>
        <v/>
      </c>
      <c r="AA43" s="21">
        <f>IFERROR(AA6/AA5,"")</f>
        <v/>
      </c>
      <c r="AB43" s="23">
        <f>IFERROR(AB6/AB5,"")</f>
        <v/>
      </c>
      <c r="AC43" s="32">
        <f>IFERROR(AC6/AC5,"")</f>
        <v/>
      </c>
      <c r="AD43" s="32">
        <f>IFERROR(AD6/AD5,"")</f>
        <v/>
      </c>
      <c r="AE43" s="25">
        <f>IFERROR(AE6/AE5,"")</f>
        <v/>
      </c>
      <c r="AF43" s="32">
        <f>IFERROR(AF6/AF5,"")</f>
        <v/>
      </c>
      <c r="AG43" s="32">
        <f>IFERROR(AG6/AG5,"")</f>
        <v/>
      </c>
      <c r="AH43" s="32">
        <f>IFERROR(AH6/AH5,"")</f>
        <v/>
      </c>
      <c r="AI43" s="32">
        <f>IFERROR(AI6/AI5,"")</f>
        <v/>
      </c>
      <c r="AJ43" s="25">
        <f>IFERROR(AJ6/AJ5,"")</f>
        <v/>
      </c>
      <c r="AK43" s="32">
        <f>IFERROR(AK6/AK5,"")</f>
        <v/>
      </c>
      <c r="AL43" s="32">
        <f>IFERROR(AL6/AL5,"")</f>
        <v/>
      </c>
      <c r="AM43" s="32">
        <f>IFERROR(AM6/AM5,"")</f>
        <v/>
      </c>
      <c r="AN43" s="32">
        <f>IFERROR(AN6/AN5,"")</f>
        <v/>
      </c>
      <c r="AO43" s="25">
        <f>IFERROR(AO6/AO5,"")</f>
        <v/>
      </c>
    </row>
    <row r="44">
      <c r="A44" s="12" t="inlineStr">
        <is>
          <t>판관비율</t>
        </is>
      </c>
      <c r="C44" t="inlineStr">
        <is>
          <t>%</t>
        </is>
      </c>
      <c r="D44" t="inlineStr">
        <is>
          <t>판관비 / 매출액</t>
        </is>
      </c>
      <c r="E44" s="21">
        <f>IFERROR(E8/E5,"")</f>
        <v/>
      </c>
      <c r="F44" s="22">
        <f>IFERROR(F8/F5,"")</f>
        <v/>
      </c>
      <c r="G44" s="21">
        <f>IFERROR(G8/G5,"")</f>
        <v/>
      </c>
      <c r="H44" s="21">
        <f>IFERROR(H8/H5,"")</f>
        <v/>
      </c>
      <c r="I44" s="21">
        <f>IFERROR(I8/I5,"")</f>
        <v/>
      </c>
      <c r="J44" s="21">
        <f>IFERROR(J8/J5,"")</f>
        <v/>
      </c>
      <c r="K44" s="22">
        <f>IFERROR(K8/K5,"")</f>
        <v/>
      </c>
      <c r="L44" s="21">
        <f>IFERROR(L8/L5,"")</f>
        <v/>
      </c>
      <c r="M44" s="21">
        <f>IFERROR(M8/M5,"")</f>
        <v/>
      </c>
      <c r="N44" s="21">
        <f>IFERROR(N8/N5,"")</f>
        <v/>
      </c>
      <c r="O44" s="21">
        <f>IFERROR(O8/O5,"")</f>
        <v/>
      </c>
      <c r="P44" s="22">
        <f>IFERROR(P8/P5,"")</f>
        <v/>
      </c>
      <c r="Q44" s="21">
        <f>IFERROR(Q8/Q5,"")</f>
        <v/>
      </c>
      <c r="R44" s="21">
        <f>IFERROR(R8/R5,"")</f>
        <v/>
      </c>
      <c r="S44" s="21">
        <f>IFERROR(S8/S5,"")</f>
        <v/>
      </c>
      <c r="T44" s="21">
        <f>IFERROR(T8/T5,"")</f>
        <v/>
      </c>
      <c r="U44" s="22">
        <f>IFERROR(U8/U5,"")</f>
        <v/>
      </c>
      <c r="V44" s="21">
        <f>IFERROR(V8/V5,"")</f>
        <v/>
      </c>
      <c r="W44" s="21">
        <f>IFERROR(W8/W5,"")</f>
        <v/>
      </c>
      <c r="X44" s="21">
        <f>IFERROR(X8/X5,"")</f>
        <v/>
      </c>
      <c r="Y44" s="21">
        <f>IFERROR(Y8/Y5,"")</f>
        <v/>
      </c>
      <c r="Z44" s="22">
        <f>IFERROR(Z8/Z5,"")</f>
        <v/>
      </c>
      <c r="AA44" s="21">
        <f>IFERROR(AA8/AA5,"")</f>
        <v/>
      </c>
      <c r="AB44" s="23">
        <f>IFERROR(AB8/AB5,"")</f>
        <v/>
      </c>
      <c r="AC44" s="32">
        <f>IFERROR(AC8/AC5,"")</f>
        <v/>
      </c>
      <c r="AD44" s="32">
        <f>IFERROR(AD8/AD5,"")</f>
        <v/>
      </c>
      <c r="AE44" s="25">
        <f>IFERROR(AE8/AE5,"")</f>
        <v/>
      </c>
      <c r="AF44" s="32">
        <f>IFERROR(AF8/AF5,"")</f>
        <v/>
      </c>
      <c r="AG44" s="32">
        <f>IFERROR(AG8/AG5,"")</f>
        <v/>
      </c>
      <c r="AH44" s="32">
        <f>IFERROR(AH8/AH5,"")</f>
        <v/>
      </c>
      <c r="AI44" s="32">
        <f>IFERROR(AI8/AI5,"")</f>
        <v/>
      </c>
      <c r="AJ44" s="25">
        <f>IFERROR(AJ8/AJ5,"")</f>
        <v/>
      </c>
      <c r="AK44" s="32">
        <f>IFERROR(AK8/AK5,"")</f>
        <v/>
      </c>
      <c r="AL44" s="32">
        <f>IFERROR(AL8/AL5,"")</f>
        <v/>
      </c>
      <c r="AM44" s="32">
        <f>IFERROR(AM8/AM5,"")</f>
        <v/>
      </c>
      <c r="AN44" s="32">
        <f>IFERROR(AN8/AN5,"")</f>
        <v/>
      </c>
      <c r="AO44" s="25">
        <f>IFERROR(AO8/AO5,"")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44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1">
      <c r="C1" s="2" t="inlineStr">
        <is>
          <t>이름: 분기H — subQ 를 이름으로 VLOOKUP(억원)</t>
        </is>
      </c>
      <c r="E1" s="3" t="inlineStr">
        <is>
          <t>4Q21</t>
        </is>
      </c>
      <c r="F1" s="3" t="inlineStr">
        <is>
          <t>1Q22</t>
        </is>
      </c>
      <c r="G1" s="3" t="inlineStr">
        <is>
          <t>2Q22</t>
        </is>
      </c>
      <c r="H1" s="3" t="inlineStr">
        <is>
          <t>3Q22</t>
        </is>
      </c>
      <c r="I1" s="3" t="inlineStr">
        <is>
          <t>4Q22</t>
        </is>
      </c>
      <c r="J1" s="3" t="inlineStr">
        <is>
          <t>1Q23</t>
        </is>
      </c>
      <c r="K1" s="3" t="inlineStr">
        <is>
          <t>2Q23</t>
        </is>
      </c>
      <c r="L1" s="3" t="inlineStr">
        <is>
          <t>3Q23</t>
        </is>
      </c>
      <c r="M1" s="3" t="inlineStr">
        <is>
          <t>4Q23</t>
        </is>
      </c>
      <c r="N1" s="3" t="inlineStr">
        <is>
          <t>1Q24</t>
        </is>
      </c>
      <c r="O1" s="3" t="inlineStr">
        <is>
          <t>2Q24</t>
        </is>
      </c>
      <c r="P1" s="3" t="inlineStr">
        <is>
          <t>3Q24</t>
        </is>
      </c>
      <c r="Q1" s="3" t="inlineStr">
        <is>
          <t>4Q24</t>
        </is>
      </c>
      <c r="R1" s="3" t="inlineStr">
        <is>
          <t>1Q25</t>
        </is>
      </c>
      <c r="S1" s="3" t="inlineStr">
        <is>
          <t>2Q25</t>
        </is>
      </c>
      <c r="T1" s="3" t="inlineStr">
        <is>
          <t>3Q25</t>
        </is>
      </c>
      <c r="U1" s="3" t="inlineStr">
        <is>
          <t>4Q25</t>
        </is>
      </c>
      <c r="V1" s="3" t="inlineStr">
        <is>
          <t>1Q26</t>
        </is>
      </c>
      <c r="W1" s="41" t="inlineStr">
        <is>
          <t>2Q26</t>
        </is>
      </c>
      <c r="X1" s="3" t="inlineStr">
        <is>
          <t>3Q26</t>
        </is>
      </c>
      <c r="Y1" s="3" t="inlineStr">
        <is>
          <t>4Q26</t>
        </is>
      </c>
      <c r="Z1" s="3" t="inlineStr">
        <is>
          <t>1Q27</t>
        </is>
      </c>
      <c r="AA1" s="3" t="inlineStr">
        <is>
          <t>2Q27</t>
        </is>
      </c>
      <c r="AB1" s="3" t="inlineStr">
        <is>
          <t>3Q27</t>
        </is>
      </c>
      <c r="AC1" s="3" t="inlineStr">
        <is>
          <t>4Q27</t>
        </is>
      </c>
      <c r="AD1" s="3" t="inlineStr">
        <is>
          <t>1Q28</t>
        </is>
      </c>
      <c r="AE1" s="3" t="inlineStr">
        <is>
          <t>2Q28</t>
        </is>
      </c>
      <c r="AF1" s="3" t="inlineStr">
        <is>
          <t>3Q28</t>
        </is>
      </c>
      <c r="AG1" s="3" t="inlineStr">
        <is>
          <t>4Q28</t>
        </is>
      </c>
    </row>
    <row r="2">
      <c r="C2" t="inlineStr">
        <is>
          <t>종가:</t>
        </is>
      </c>
      <c r="D2" s="18">
        <f>변수!D44</f>
        <v/>
      </c>
      <c r="W2" s="42" t="n"/>
    </row>
    <row r="3">
      <c r="C3" t="inlineStr">
        <is>
          <t>기준일:</t>
        </is>
      </c>
      <c r="D3" t="inlineStr">
        <is>
          <t>20261013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43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</row>
    <row r="4">
      <c r="E4" s="7" t="inlineStr">
        <is>
          <t>2021.12</t>
        </is>
      </c>
      <c r="F4" s="7" t="inlineStr">
        <is>
          <t>2022.03</t>
        </is>
      </c>
      <c r="G4" s="7" t="inlineStr">
        <is>
          <t>2022.06</t>
        </is>
      </c>
      <c r="H4" s="7" t="inlineStr">
        <is>
          <t>2022.09</t>
        </is>
      </c>
      <c r="I4" s="7" t="inlineStr">
        <is>
          <t>2022.12</t>
        </is>
      </c>
      <c r="J4" s="7" t="inlineStr">
        <is>
          <t>2023.03</t>
        </is>
      </c>
      <c r="K4" s="7" t="inlineStr">
        <is>
          <t>2023.06</t>
        </is>
      </c>
      <c r="L4" s="7" t="inlineStr">
        <is>
          <t>2023.09</t>
        </is>
      </c>
      <c r="M4" s="7" t="inlineStr">
        <is>
          <t>2023.12</t>
        </is>
      </c>
      <c r="N4" s="7" t="inlineStr">
        <is>
          <t>2024.03</t>
        </is>
      </c>
      <c r="O4" s="7" t="inlineStr">
        <is>
          <t>2024.06</t>
        </is>
      </c>
      <c r="P4" s="7" t="inlineStr">
        <is>
          <t>2024.09</t>
        </is>
      </c>
      <c r="Q4" s="7" t="inlineStr">
        <is>
          <t>2024.12</t>
        </is>
      </c>
      <c r="R4" s="7" t="inlineStr">
        <is>
          <t>2025.03</t>
        </is>
      </c>
      <c r="S4" s="7" t="inlineStr">
        <is>
          <t>2025.06</t>
        </is>
      </c>
      <c r="T4" s="7" t="inlineStr">
        <is>
          <t>2025.09</t>
        </is>
      </c>
      <c r="U4" s="7" t="inlineStr">
        <is>
          <t>2025.12</t>
        </is>
      </c>
      <c r="V4" s="7" t="inlineStr">
        <is>
          <t>2026.03</t>
        </is>
      </c>
      <c r="W4" s="44" t="inlineStr">
        <is>
          <t>2026.06</t>
        </is>
      </c>
      <c r="X4" s="7" t="inlineStr">
        <is>
          <t>2026.09</t>
        </is>
      </c>
      <c r="Y4" s="7" t="inlineStr">
        <is>
          <t>2026.12</t>
        </is>
      </c>
      <c r="Z4" s="7" t="inlineStr">
        <is>
          <t>2027.03</t>
        </is>
      </c>
      <c r="AA4" s="7" t="inlineStr">
        <is>
          <t>2027.06</t>
        </is>
      </c>
      <c r="AB4" s="7" t="inlineStr">
        <is>
          <t>2027.09</t>
        </is>
      </c>
      <c r="AC4" s="7" t="inlineStr">
        <is>
          <t>2027.12</t>
        </is>
      </c>
      <c r="AD4" s="7" t="inlineStr">
        <is>
          <t>2028.03</t>
        </is>
      </c>
      <c r="AE4" s="7" t="inlineStr">
        <is>
          <t>2028.06</t>
        </is>
      </c>
      <c r="AF4" s="7" t="inlineStr">
        <is>
          <t>2028.09</t>
        </is>
      </c>
      <c r="AG4" s="7" t="inlineStr">
        <is>
          <t>2028.12</t>
        </is>
      </c>
    </row>
    <row r="5">
      <c r="A5" s="12" t="inlineStr">
        <is>
          <t>매출액</t>
        </is>
      </c>
      <c r="D5" t="inlineStr">
        <is>
          <t>매출액</t>
        </is>
      </c>
      <c r="E5" s="18">
        <f>IFERROR(VLOOKUP($A5,subQ,MATCH(E$1,SUBQH,0),0),"")</f>
        <v/>
      </c>
      <c r="F5" s="18">
        <f>IFERROR(VLOOKUP($A5,subQ,MATCH(F$1,SUBQH,0),0),"")</f>
        <v/>
      </c>
      <c r="G5" s="18">
        <f>IFERROR(VLOOKUP($A5,subQ,MATCH(G$1,SUBQH,0),0),"")</f>
        <v/>
      </c>
      <c r="H5" s="18">
        <f>IFERROR(VLOOKUP($A5,subQ,MATCH(H$1,SUBQH,0),0),"")</f>
        <v/>
      </c>
      <c r="I5" s="18">
        <f>IFERROR(VLOOKUP($A5,subQ,MATCH(I$1,SUBQH,0),0),"")</f>
        <v/>
      </c>
      <c r="J5" s="18">
        <f>IFERROR(VLOOKUP($A5,subQ,MATCH(J$1,SUBQH,0),0),"")</f>
        <v/>
      </c>
      <c r="K5" s="18">
        <f>IFERROR(VLOOKUP($A5,subQ,MATCH(K$1,SUBQH,0),0),"")</f>
        <v/>
      </c>
      <c r="L5" s="18">
        <f>IFERROR(VLOOKUP($A5,subQ,MATCH(L$1,SUBQH,0),0),"")</f>
        <v/>
      </c>
      <c r="M5" s="18">
        <f>IFERROR(VLOOKUP($A5,subQ,MATCH(M$1,SUBQH,0),0),"")</f>
        <v/>
      </c>
      <c r="N5" s="18">
        <f>IFERROR(VLOOKUP($A5,subQ,MATCH(N$1,SUBQH,0),0),"")</f>
        <v/>
      </c>
      <c r="O5" s="18">
        <f>IFERROR(VLOOKUP($A5,subQ,MATCH(O$1,SUBQH,0),0),"")</f>
        <v/>
      </c>
      <c r="P5" s="18">
        <f>IFERROR(VLOOKUP($A5,subQ,MATCH(P$1,SUBQH,0),0),"")</f>
        <v/>
      </c>
      <c r="Q5" s="18">
        <f>IFERROR(VLOOKUP($A5,subQ,MATCH(Q$1,SUBQH,0),0),"")</f>
        <v/>
      </c>
      <c r="R5" s="18">
        <f>IFERROR(VLOOKUP($A5,subQ,MATCH(R$1,SUBQH,0),0),"")</f>
        <v/>
      </c>
      <c r="S5" s="18">
        <f>IFERROR(VLOOKUP($A5,subQ,MATCH(S$1,SUBQH,0),0),"")</f>
        <v/>
      </c>
      <c r="T5" s="18">
        <f>IFERROR(VLOOKUP($A5,subQ,MATCH(T$1,SUBQH,0),0),"")</f>
        <v/>
      </c>
      <c r="U5" s="18">
        <f>IFERROR(VLOOKUP($A5,subQ,MATCH(U$1,SUBQH,0),0),"")</f>
        <v/>
      </c>
      <c r="V5" s="18">
        <f>IFERROR(VLOOKUP($A5,subQ,MATCH(V$1,SUBQH,0),0),"")</f>
        <v/>
      </c>
      <c r="W5" s="45">
        <f>IFERROR(VLOOKUP($A5,subQ,MATCH(W$1,SUBQH,0),0),"")</f>
        <v/>
      </c>
      <c r="X5" s="20">
        <f>IFERROR(VLOOKUP($A5,subQ,MATCH(X$1,SUBQH,0),0),"")</f>
        <v/>
      </c>
      <c r="Y5" s="20">
        <f>IFERROR(VLOOKUP($A5,subQ,MATCH(Y$1,SUBQH,0),0),"")</f>
        <v/>
      </c>
      <c r="Z5" s="20">
        <f>IFERROR(VLOOKUP($A5,subQ,MATCH(Z$1,SUBQH,0),0),"")</f>
        <v/>
      </c>
      <c r="AA5" s="20">
        <f>IFERROR(VLOOKUP($A5,subQ,MATCH(AA$1,SUBQH,0),0),"")</f>
        <v/>
      </c>
      <c r="AB5" s="20">
        <f>IFERROR(VLOOKUP($A5,subQ,MATCH(AB$1,SUBQH,0),0),"")</f>
        <v/>
      </c>
      <c r="AC5" s="20">
        <f>IFERROR(VLOOKUP($A5,subQ,MATCH(AC$1,SUBQH,0),0),"")</f>
        <v/>
      </c>
      <c r="AD5" s="20">
        <f>IFERROR(VLOOKUP($A5,subQ,MATCH(AD$1,SUBQH,0),0),"")</f>
        <v/>
      </c>
      <c r="AE5" s="20">
        <f>IFERROR(VLOOKUP($A5,subQ,MATCH(AE$1,SUBQH,0),0),"")</f>
        <v/>
      </c>
      <c r="AF5" s="20">
        <f>IFERROR(VLOOKUP($A5,subQ,MATCH(AF$1,SUBQH,0),0),"")</f>
        <v/>
      </c>
      <c r="AG5" s="20">
        <f>IFERROR(VLOOKUP($A5,subQ,MATCH(AG$1,SUBQH,0),0),"")</f>
        <v/>
      </c>
    </row>
    <row r="6">
      <c r="A6" s="12" t="inlineStr">
        <is>
          <t>매출원가</t>
        </is>
      </c>
      <c r="D6" t="inlineStr">
        <is>
          <t>매출원가</t>
        </is>
      </c>
      <c r="E6" s="18">
        <f>IFERROR(VLOOKUP($A6,subQ,MATCH(E$1,SUBQH,0),0),"")</f>
        <v/>
      </c>
      <c r="F6" s="18">
        <f>IFERROR(VLOOKUP($A6,subQ,MATCH(F$1,SUBQH,0),0),"")</f>
        <v/>
      </c>
      <c r="G6" s="18">
        <f>IFERROR(VLOOKUP($A6,subQ,MATCH(G$1,SUBQH,0),0),"")</f>
        <v/>
      </c>
      <c r="H6" s="18">
        <f>IFERROR(VLOOKUP($A6,subQ,MATCH(H$1,SUBQH,0),0),"")</f>
        <v/>
      </c>
      <c r="I6" s="18">
        <f>IFERROR(VLOOKUP($A6,subQ,MATCH(I$1,SUBQH,0),0),"")</f>
        <v/>
      </c>
      <c r="J6" s="18">
        <f>IFERROR(VLOOKUP($A6,subQ,MATCH(J$1,SUBQH,0),0),"")</f>
        <v/>
      </c>
      <c r="K6" s="18">
        <f>IFERROR(VLOOKUP($A6,subQ,MATCH(K$1,SUBQH,0),0),"")</f>
        <v/>
      </c>
      <c r="L6" s="18">
        <f>IFERROR(VLOOKUP($A6,subQ,MATCH(L$1,SUBQH,0),0),"")</f>
        <v/>
      </c>
      <c r="M6" s="18">
        <f>IFERROR(VLOOKUP($A6,subQ,MATCH(M$1,SUBQH,0),0),"")</f>
        <v/>
      </c>
      <c r="N6" s="18">
        <f>IFERROR(VLOOKUP($A6,subQ,MATCH(N$1,SUBQH,0),0),"")</f>
        <v/>
      </c>
      <c r="O6" s="18">
        <f>IFERROR(VLOOKUP($A6,subQ,MATCH(O$1,SUBQH,0),0),"")</f>
        <v/>
      </c>
      <c r="P6" s="18">
        <f>IFERROR(VLOOKUP($A6,subQ,MATCH(P$1,SUBQH,0),0),"")</f>
        <v/>
      </c>
      <c r="Q6" s="18">
        <f>IFERROR(VLOOKUP($A6,subQ,MATCH(Q$1,SUBQH,0),0),"")</f>
        <v/>
      </c>
      <c r="R6" s="18">
        <f>IFERROR(VLOOKUP($A6,subQ,MATCH(R$1,SUBQH,0),0),"")</f>
        <v/>
      </c>
      <c r="S6" s="18">
        <f>IFERROR(VLOOKUP($A6,subQ,MATCH(S$1,SUBQH,0),0),"")</f>
        <v/>
      </c>
      <c r="T6" s="18">
        <f>IFERROR(VLOOKUP($A6,subQ,MATCH(T$1,SUBQH,0),0),"")</f>
        <v/>
      </c>
      <c r="U6" s="18">
        <f>IFERROR(VLOOKUP($A6,subQ,MATCH(U$1,SUBQH,0),0),"")</f>
        <v/>
      </c>
      <c r="V6" s="18">
        <f>IFERROR(VLOOKUP($A6,subQ,MATCH(V$1,SUBQH,0),0),"")</f>
        <v/>
      </c>
      <c r="W6" s="45">
        <f>IFERROR(VLOOKUP($A6,subQ,MATCH(W$1,SUBQH,0),0),"")</f>
        <v/>
      </c>
      <c r="X6" s="20">
        <f>IFERROR(VLOOKUP($A6,subQ,MATCH(X$1,SUBQH,0),0),"")</f>
        <v/>
      </c>
      <c r="Y6" s="20">
        <f>IFERROR(VLOOKUP($A6,subQ,MATCH(Y$1,SUBQH,0),0),"")</f>
        <v/>
      </c>
      <c r="Z6" s="20">
        <f>IFERROR(VLOOKUP($A6,subQ,MATCH(Z$1,SUBQH,0),0),"")</f>
        <v/>
      </c>
      <c r="AA6" s="20">
        <f>IFERROR(VLOOKUP($A6,subQ,MATCH(AA$1,SUBQH,0),0),"")</f>
        <v/>
      </c>
      <c r="AB6" s="20">
        <f>IFERROR(VLOOKUP($A6,subQ,MATCH(AB$1,SUBQH,0),0),"")</f>
        <v/>
      </c>
      <c r="AC6" s="20">
        <f>IFERROR(VLOOKUP($A6,subQ,MATCH(AC$1,SUBQH,0),0),"")</f>
        <v/>
      </c>
      <c r="AD6" s="20">
        <f>IFERROR(VLOOKUP($A6,subQ,MATCH(AD$1,SUBQH,0),0),"")</f>
        <v/>
      </c>
      <c r="AE6" s="20">
        <f>IFERROR(VLOOKUP($A6,subQ,MATCH(AE$1,SUBQH,0),0),"")</f>
        <v/>
      </c>
      <c r="AF6" s="20">
        <f>IFERROR(VLOOKUP($A6,subQ,MATCH(AF$1,SUBQH,0),0),"")</f>
        <v/>
      </c>
      <c r="AG6" s="20">
        <f>IFERROR(VLOOKUP($A6,subQ,MATCH(AG$1,SUBQH,0),0),"")</f>
        <v/>
      </c>
    </row>
    <row r="7">
      <c r="A7" s="12" t="inlineStr">
        <is>
          <t>매출총이익</t>
        </is>
      </c>
      <c r="D7" t="inlineStr">
        <is>
          <t>매출총이익</t>
        </is>
      </c>
      <c r="E7" s="18">
        <f>IFERROR(VLOOKUP($A7,subQ,MATCH(E$1,SUBQH,0),0),"")</f>
        <v/>
      </c>
      <c r="F7" s="18">
        <f>IFERROR(VLOOKUP($A7,subQ,MATCH(F$1,SUBQH,0),0),"")</f>
        <v/>
      </c>
      <c r="G7" s="18">
        <f>IFERROR(VLOOKUP($A7,subQ,MATCH(G$1,SUBQH,0),0),"")</f>
        <v/>
      </c>
      <c r="H7" s="18">
        <f>IFERROR(VLOOKUP($A7,subQ,MATCH(H$1,SUBQH,0),0),"")</f>
        <v/>
      </c>
      <c r="I7" s="18">
        <f>IFERROR(VLOOKUP($A7,subQ,MATCH(I$1,SUBQH,0),0),"")</f>
        <v/>
      </c>
      <c r="J7" s="18">
        <f>IFERROR(VLOOKUP($A7,subQ,MATCH(J$1,SUBQH,0),0),"")</f>
        <v/>
      </c>
      <c r="K7" s="18">
        <f>IFERROR(VLOOKUP($A7,subQ,MATCH(K$1,SUBQH,0),0),"")</f>
        <v/>
      </c>
      <c r="L7" s="18">
        <f>IFERROR(VLOOKUP($A7,subQ,MATCH(L$1,SUBQH,0),0),"")</f>
        <v/>
      </c>
      <c r="M7" s="18">
        <f>IFERROR(VLOOKUP($A7,subQ,MATCH(M$1,SUBQH,0),0),"")</f>
        <v/>
      </c>
      <c r="N7" s="18">
        <f>IFERROR(VLOOKUP($A7,subQ,MATCH(N$1,SUBQH,0),0),"")</f>
        <v/>
      </c>
      <c r="O7" s="18">
        <f>IFERROR(VLOOKUP($A7,subQ,MATCH(O$1,SUBQH,0),0),"")</f>
        <v/>
      </c>
      <c r="P7" s="18">
        <f>IFERROR(VLOOKUP($A7,subQ,MATCH(P$1,SUBQH,0),0),"")</f>
        <v/>
      </c>
      <c r="Q7" s="18">
        <f>IFERROR(VLOOKUP($A7,subQ,MATCH(Q$1,SUBQH,0),0),"")</f>
        <v/>
      </c>
      <c r="R7" s="18">
        <f>IFERROR(VLOOKUP($A7,subQ,MATCH(R$1,SUBQH,0),0),"")</f>
        <v/>
      </c>
      <c r="S7" s="18">
        <f>IFERROR(VLOOKUP($A7,subQ,MATCH(S$1,SUBQH,0),0),"")</f>
        <v/>
      </c>
      <c r="T7" s="18">
        <f>IFERROR(VLOOKUP($A7,subQ,MATCH(T$1,SUBQH,0),0),"")</f>
        <v/>
      </c>
      <c r="U7" s="18">
        <f>IFERROR(VLOOKUP($A7,subQ,MATCH(U$1,SUBQH,0),0),"")</f>
        <v/>
      </c>
      <c r="V7" s="18">
        <f>IFERROR(VLOOKUP($A7,subQ,MATCH(V$1,SUBQH,0),0),"")</f>
        <v/>
      </c>
      <c r="W7" s="45">
        <f>IFERROR(VLOOKUP($A7,subQ,MATCH(W$1,SUBQH,0),0),"")</f>
        <v/>
      </c>
      <c r="X7" s="20">
        <f>IFERROR(VLOOKUP($A7,subQ,MATCH(X$1,SUBQH,0),0),"")</f>
        <v/>
      </c>
      <c r="Y7" s="20">
        <f>IFERROR(VLOOKUP($A7,subQ,MATCH(Y$1,SUBQH,0),0),"")</f>
        <v/>
      </c>
      <c r="Z7" s="20">
        <f>IFERROR(VLOOKUP($A7,subQ,MATCH(Z$1,SUBQH,0),0),"")</f>
        <v/>
      </c>
      <c r="AA7" s="20">
        <f>IFERROR(VLOOKUP($A7,subQ,MATCH(AA$1,SUBQH,0),0),"")</f>
        <v/>
      </c>
      <c r="AB7" s="20">
        <f>IFERROR(VLOOKUP($A7,subQ,MATCH(AB$1,SUBQH,0),0),"")</f>
        <v/>
      </c>
      <c r="AC7" s="20">
        <f>IFERROR(VLOOKUP($A7,subQ,MATCH(AC$1,SUBQH,0),0),"")</f>
        <v/>
      </c>
      <c r="AD7" s="20">
        <f>IFERROR(VLOOKUP($A7,subQ,MATCH(AD$1,SUBQH,0),0),"")</f>
        <v/>
      </c>
      <c r="AE7" s="20">
        <f>IFERROR(VLOOKUP($A7,subQ,MATCH(AE$1,SUBQH,0),0),"")</f>
        <v/>
      </c>
      <c r="AF7" s="20">
        <f>IFERROR(VLOOKUP($A7,subQ,MATCH(AF$1,SUBQH,0),0),"")</f>
        <v/>
      </c>
      <c r="AG7" s="20">
        <f>IFERROR(VLOOKUP($A7,subQ,MATCH(AG$1,SUBQH,0),0),"")</f>
        <v/>
      </c>
    </row>
    <row r="8">
      <c r="A8" s="12" t="inlineStr">
        <is>
          <t>판관비</t>
        </is>
      </c>
      <c r="D8" t="inlineStr">
        <is>
          <t>판매비와관리비</t>
        </is>
      </c>
      <c r="E8" s="18">
        <f>IFERROR(VLOOKUP($A8,subQ,MATCH(E$1,SUBQH,0),0),"")</f>
        <v/>
      </c>
      <c r="F8" s="18">
        <f>IFERROR(VLOOKUP($A8,subQ,MATCH(F$1,SUBQH,0),0),"")</f>
        <v/>
      </c>
      <c r="G8" s="18">
        <f>IFERROR(VLOOKUP($A8,subQ,MATCH(G$1,SUBQH,0),0),"")</f>
        <v/>
      </c>
      <c r="H8" s="18">
        <f>IFERROR(VLOOKUP($A8,subQ,MATCH(H$1,SUBQH,0),0),"")</f>
        <v/>
      </c>
      <c r="I8" s="18">
        <f>IFERROR(VLOOKUP($A8,subQ,MATCH(I$1,SUBQH,0),0),"")</f>
        <v/>
      </c>
      <c r="J8" s="18">
        <f>IFERROR(VLOOKUP($A8,subQ,MATCH(J$1,SUBQH,0),0),"")</f>
        <v/>
      </c>
      <c r="K8" s="18">
        <f>IFERROR(VLOOKUP($A8,subQ,MATCH(K$1,SUBQH,0),0),"")</f>
        <v/>
      </c>
      <c r="L8" s="18">
        <f>IFERROR(VLOOKUP($A8,subQ,MATCH(L$1,SUBQH,0),0),"")</f>
        <v/>
      </c>
      <c r="M8" s="18">
        <f>IFERROR(VLOOKUP($A8,subQ,MATCH(M$1,SUBQH,0),0),"")</f>
        <v/>
      </c>
      <c r="N8" s="18">
        <f>IFERROR(VLOOKUP($A8,subQ,MATCH(N$1,SUBQH,0),0),"")</f>
        <v/>
      </c>
      <c r="O8" s="18">
        <f>IFERROR(VLOOKUP($A8,subQ,MATCH(O$1,SUBQH,0),0),"")</f>
        <v/>
      </c>
      <c r="P8" s="18">
        <f>IFERROR(VLOOKUP($A8,subQ,MATCH(P$1,SUBQH,0),0),"")</f>
        <v/>
      </c>
      <c r="Q8" s="18">
        <f>IFERROR(VLOOKUP($A8,subQ,MATCH(Q$1,SUBQH,0),0),"")</f>
        <v/>
      </c>
      <c r="R8" s="18">
        <f>IFERROR(VLOOKUP($A8,subQ,MATCH(R$1,SUBQH,0),0),"")</f>
        <v/>
      </c>
      <c r="S8" s="18">
        <f>IFERROR(VLOOKUP($A8,subQ,MATCH(S$1,SUBQH,0),0),"")</f>
        <v/>
      </c>
      <c r="T8" s="18">
        <f>IFERROR(VLOOKUP($A8,subQ,MATCH(T$1,SUBQH,0),0),"")</f>
        <v/>
      </c>
      <c r="U8" s="18">
        <f>IFERROR(VLOOKUP($A8,subQ,MATCH(U$1,SUBQH,0),0),"")</f>
        <v/>
      </c>
      <c r="V8" s="18">
        <f>IFERROR(VLOOKUP($A8,subQ,MATCH(V$1,SUBQH,0),0),"")</f>
        <v/>
      </c>
      <c r="W8" s="45">
        <f>IFERROR(VLOOKUP($A8,subQ,MATCH(W$1,SUBQH,0),0),"")</f>
        <v/>
      </c>
      <c r="X8" s="20">
        <f>IFERROR(VLOOKUP($A8,subQ,MATCH(X$1,SUBQH,0),0),"")</f>
        <v/>
      </c>
      <c r="Y8" s="20">
        <f>IFERROR(VLOOKUP($A8,subQ,MATCH(Y$1,SUBQH,0),0),"")</f>
        <v/>
      </c>
      <c r="Z8" s="20">
        <f>IFERROR(VLOOKUP($A8,subQ,MATCH(Z$1,SUBQH,0),0),"")</f>
        <v/>
      </c>
      <c r="AA8" s="20">
        <f>IFERROR(VLOOKUP($A8,subQ,MATCH(AA$1,SUBQH,0),0),"")</f>
        <v/>
      </c>
      <c r="AB8" s="20">
        <f>IFERROR(VLOOKUP($A8,subQ,MATCH(AB$1,SUBQH,0),0),"")</f>
        <v/>
      </c>
      <c r="AC8" s="20">
        <f>IFERROR(VLOOKUP($A8,subQ,MATCH(AC$1,SUBQH,0),0),"")</f>
        <v/>
      </c>
      <c r="AD8" s="20">
        <f>IFERROR(VLOOKUP($A8,subQ,MATCH(AD$1,SUBQH,0),0),"")</f>
        <v/>
      </c>
      <c r="AE8" s="20">
        <f>IFERROR(VLOOKUP($A8,subQ,MATCH(AE$1,SUBQH,0),0),"")</f>
        <v/>
      </c>
      <c r="AF8" s="20">
        <f>IFERROR(VLOOKUP($A8,subQ,MATCH(AF$1,SUBQH,0),0),"")</f>
        <v/>
      </c>
      <c r="AG8" s="20">
        <f>IFERROR(VLOOKUP($A8,subQ,MATCH(AG$1,SUBQH,0),0),"")</f>
        <v/>
      </c>
    </row>
    <row r="9">
      <c r="A9" s="12" t="inlineStr">
        <is>
          <t>영업이익</t>
        </is>
      </c>
      <c r="D9" t="inlineStr">
        <is>
          <t>영업이익</t>
        </is>
      </c>
      <c r="E9" s="18">
        <f>IFERROR(VLOOKUP($A9,subQ,MATCH(E$1,SUBQH,0),0),"")</f>
        <v/>
      </c>
      <c r="F9" s="18">
        <f>IFERROR(VLOOKUP($A9,subQ,MATCH(F$1,SUBQH,0),0),"")</f>
        <v/>
      </c>
      <c r="G9" s="18">
        <f>IFERROR(VLOOKUP($A9,subQ,MATCH(G$1,SUBQH,0),0),"")</f>
        <v/>
      </c>
      <c r="H9" s="18">
        <f>IFERROR(VLOOKUP($A9,subQ,MATCH(H$1,SUBQH,0),0),"")</f>
        <v/>
      </c>
      <c r="I9" s="18">
        <f>IFERROR(VLOOKUP($A9,subQ,MATCH(I$1,SUBQH,0),0),"")</f>
        <v/>
      </c>
      <c r="J9" s="18">
        <f>IFERROR(VLOOKUP($A9,subQ,MATCH(J$1,SUBQH,0),0),"")</f>
        <v/>
      </c>
      <c r="K9" s="18">
        <f>IFERROR(VLOOKUP($A9,subQ,MATCH(K$1,SUBQH,0),0),"")</f>
        <v/>
      </c>
      <c r="L9" s="18">
        <f>IFERROR(VLOOKUP($A9,subQ,MATCH(L$1,SUBQH,0),0),"")</f>
        <v/>
      </c>
      <c r="M9" s="18">
        <f>IFERROR(VLOOKUP($A9,subQ,MATCH(M$1,SUBQH,0),0),"")</f>
        <v/>
      </c>
      <c r="N9" s="18">
        <f>IFERROR(VLOOKUP($A9,subQ,MATCH(N$1,SUBQH,0),0),"")</f>
        <v/>
      </c>
      <c r="O9" s="18">
        <f>IFERROR(VLOOKUP($A9,subQ,MATCH(O$1,SUBQH,0),0),"")</f>
        <v/>
      </c>
      <c r="P9" s="18">
        <f>IFERROR(VLOOKUP($A9,subQ,MATCH(P$1,SUBQH,0),0),"")</f>
        <v/>
      </c>
      <c r="Q9" s="18">
        <f>IFERROR(VLOOKUP($A9,subQ,MATCH(Q$1,SUBQH,0),0),"")</f>
        <v/>
      </c>
      <c r="R9" s="18">
        <f>IFERROR(VLOOKUP($A9,subQ,MATCH(R$1,SUBQH,0),0),"")</f>
        <v/>
      </c>
      <c r="S9" s="18">
        <f>IFERROR(VLOOKUP($A9,subQ,MATCH(S$1,SUBQH,0),0),"")</f>
        <v/>
      </c>
      <c r="T9" s="18">
        <f>IFERROR(VLOOKUP($A9,subQ,MATCH(T$1,SUBQH,0),0),"")</f>
        <v/>
      </c>
      <c r="U9" s="18">
        <f>IFERROR(VLOOKUP($A9,subQ,MATCH(U$1,SUBQH,0),0),"")</f>
        <v/>
      </c>
      <c r="V9" s="18">
        <f>IFERROR(VLOOKUP($A9,subQ,MATCH(V$1,SUBQH,0),0),"")</f>
        <v/>
      </c>
      <c r="W9" s="45">
        <f>IFERROR(VLOOKUP($A9,subQ,MATCH(W$1,SUBQH,0),0),"")</f>
        <v/>
      </c>
      <c r="X9" s="20">
        <f>IFERROR(VLOOKUP($A9,subQ,MATCH(X$1,SUBQH,0),0),"")</f>
        <v/>
      </c>
      <c r="Y9" s="20">
        <f>IFERROR(VLOOKUP($A9,subQ,MATCH(Y$1,SUBQH,0),0),"")</f>
        <v/>
      </c>
      <c r="Z9" s="20">
        <f>IFERROR(VLOOKUP($A9,subQ,MATCH(Z$1,SUBQH,0),0),"")</f>
        <v/>
      </c>
      <c r="AA9" s="20">
        <f>IFERROR(VLOOKUP($A9,subQ,MATCH(AA$1,SUBQH,0),0),"")</f>
        <v/>
      </c>
      <c r="AB9" s="20">
        <f>IFERROR(VLOOKUP($A9,subQ,MATCH(AB$1,SUBQH,0),0),"")</f>
        <v/>
      </c>
      <c r="AC9" s="20">
        <f>IFERROR(VLOOKUP($A9,subQ,MATCH(AC$1,SUBQH,0),0),"")</f>
        <v/>
      </c>
      <c r="AD9" s="20">
        <f>IFERROR(VLOOKUP($A9,subQ,MATCH(AD$1,SUBQH,0),0),"")</f>
        <v/>
      </c>
      <c r="AE9" s="20">
        <f>IFERROR(VLOOKUP($A9,subQ,MATCH(AE$1,SUBQH,0),0),"")</f>
        <v/>
      </c>
      <c r="AF9" s="20">
        <f>IFERROR(VLOOKUP($A9,subQ,MATCH(AF$1,SUBQH,0),0),"")</f>
        <v/>
      </c>
      <c r="AG9" s="20">
        <f>IFERROR(VLOOKUP($A9,subQ,MATCH(AG$1,SUBQH,0),0),"")</f>
        <v/>
      </c>
    </row>
    <row r="10">
      <c r="A10" s="12" t="inlineStr">
        <is>
          <t>OPM</t>
        </is>
      </c>
      <c r="D10" t="inlineStr">
        <is>
          <t>영업이익률</t>
        </is>
      </c>
      <c r="E10" s="21">
        <f>IFERROR(VLOOKUP($A10,subQ,MATCH(E$1,SUBQH,0),0),"")</f>
        <v/>
      </c>
      <c r="F10" s="21">
        <f>IFERROR(VLOOKUP($A10,subQ,MATCH(F$1,SUBQH,0),0),"")</f>
        <v/>
      </c>
      <c r="G10" s="21">
        <f>IFERROR(VLOOKUP($A10,subQ,MATCH(G$1,SUBQH,0),0),"")</f>
        <v/>
      </c>
      <c r="H10" s="21">
        <f>IFERROR(VLOOKUP($A10,subQ,MATCH(H$1,SUBQH,0),0),"")</f>
        <v/>
      </c>
      <c r="I10" s="21">
        <f>IFERROR(VLOOKUP($A10,subQ,MATCH(I$1,SUBQH,0),0),"")</f>
        <v/>
      </c>
      <c r="J10" s="21">
        <f>IFERROR(VLOOKUP($A10,subQ,MATCH(J$1,SUBQH,0),0),"")</f>
        <v/>
      </c>
      <c r="K10" s="21">
        <f>IFERROR(VLOOKUP($A10,subQ,MATCH(K$1,SUBQH,0),0),"")</f>
        <v/>
      </c>
      <c r="L10" s="21">
        <f>IFERROR(VLOOKUP($A10,subQ,MATCH(L$1,SUBQH,0),0),"")</f>
        <v/>
      </c>
      <c r="M10" s="21">
        <f>IFERROR(VLOOKUP($A10,subQ,MATCH(M$1,SUBQH,0),0),"")</f>
        <v/>
      </c>
      <c r="N10" s="21">
        <f>IFERROR(VLOOKUP($A10,subQ,MATCH(N$1,SUBQH,0),0),"")</f>
        <v/>
      </c>
      <c r="O10" s="21">
        <f>IFERROR(VLOOKUP($A10,subQ,MATCH(O$1,SUBQH,0),0),"")</f>
        <v/>
      </c>
      <c r="P10" s="21">
        <f>IFERROR(VLOOKUP($A10,subQ,MATCH(P$1,SUBQH,0),0),"")</f>
        <v/>
      </c>
      <c r="Q10" s="21">
        <f>IFERROR(VLOOKUP($A10,subQ,MATCH(Q$1,SUBQH,0),0),"")</f>
        <v/>
      </c>
      <c r="R10" s="21">
        <f>IFERROR(VLOOKUP($A10,subQ,MATCH(R$1,SUBQH,0),0),"")</f>
        <v/>
      </c>
      <c r="S10" s="21">
        <f>IFERROR(VLOOKUP($A10,subQ,MATCH(S$1,SUBQH,0),0),"")</f>
        <v/>
      </c>
      <c r="T10" s="21">
        <f>IFERROR(VLOOKUP($A10,subQ,MATCH(T$1,SUBQH,0),0),"")</f>
        <v/>
      </c>
      <c r="U10" s="21">
        <f>IFERROR(VLOOKUP($A10,subQ,MATCH(U$1,SUBQH,0),0),"")</f>
        <v/>
      </c>
      <c r="V10" s="21">
        <f>IFERROR(VLOOKUP($A10,subQ,MATCH(V$1,SUBQH,0),0),"")</f>
        <v/>
      </c>
      <c r="W10" s="46">
        <f>IFERROR(VLOOKUP($A10,subQ,MATCH(W$1,SUBQH,0),0),"")</f>
        <v/>
      </c>
      <c r="X10" s="32">
        <f>IFERROR(VLOOKUP($A10,subQ,MATCH(X$1,SUBQH,0),0),"")</f>
        <v/>
      </c>
      <c r="Y10" s="32">
        <f>IFERROR(VLOOKUP($A10,subQ,MATCH(Y$1,SUBQH,0),0),"")</f>
        <v/>
      </c>
      <c r="Z10" s="32">
        <f>IFERROR(VLOOKUP($A10,subQ,MATCH(Z$1,SUBQH,0),0),"")</f>
        <v/>
      </c>
      <c r="AA10" s="32">
        <f>IFERROR(VLOOKUP($A10,subQ,MATCH(AA$1,SUBQH,0),0),"")</f>
        <v/>
      </c>
      <c r="AB10" s="32">
        <f>IFERROR(VLOOKUP($A10,subQ,MATCH(AB$1,SUBQH,0),0),"")</f>
        <v/>
      </c>
      <c r="AC10" s="32">
        <f>IFERROR(VLOOKUP($A10,subQ,MATCH(AC$1,SUBQH,0),0),"")</f>
        <v/>
      </c>
      <c r="AD10" s="32">
        <f>IFERROR(VLOOKUP($A10,subQ,MATCH(AD$1,SUBQH,0),0),"")</f>
        <v/>
      </c>
      <c r="AE10" s="32">
        <f>IFERROR(VLOOKUP($A10,subQ,MATCH(AE$1,SUBQH,0),0),"")</f>
        <v/>
      </c>
      <c r="AF10" s="32">
        <f>IFERROR(VLOOKUP($A10,subQ,MATCH(AF$1,SUBQH,0),0),"")</f>
        <v/>
      </c>
      <c r="AG10" s="32">
        <f>IFERROR(VLOOKUP($A10,subQ,MATCH(AG$1,SUBQH,0),0),"")</f>
        <v/>
      </c>
    </row>
    <row r="11">
      <c r="A11" s="12" t="inlineStr">
        <is>
          <t>금융손익</t>
        </is>
      </c>
      <c r="D11" t="inlineStr">
        <is>
          <t>금융손익(이자·환 포함)</t>
        </is>
      </c>
      <c r="E11" s="18">
        <f>IFERROR(VLOOKUP($A11,subQ,MATCH(E$1,SUBQH,0),0),"")</f>
        <v/>
      </c>
      <c r="F11" s="18">
        <f>IFERROR(VLOOKUP($A11,subQ,MATCH(F$1,SUBQH,0),0),"")</f>
        <v/>
      </c>
      <c r="G11" s="18">
        <f>IFERROR(VLOOKUP($A11,subQ,MATCH(G$1,SUBQH,0),0),"")</f>
        <v/>
      </c>
      <c r="H11" s="18">
        <f>IFERROR(VLOOKUP($A11,subQ,MATCH(H$1,SUBQH,0),0),"")</f>
        <v/>
      </c>
      <c r="I11" s="18">
        <f>IFERROR(VLOOKUP($A11,subQ,MATCH(I$1,SUBQH,0),0),"")</f>
        <v/>
      </c>
      <c r="J11" s="18">
        <f>IFERROR(VLOOKUP($A11,subQ,MATCH(J$1,SUBQH,0),0),"")</f>
        <v/>
      </c>
      <c r="K11" s="18">
        <f>IFERROR(VLOOKUP($A11,subQ,MATCH(K$1,SUBQH,0),0),"")</f>
        <v/>
      </c>
      <c r="L11" s="18">
        <f>IFERROR(VLOOKUP($A11,subQ,MATCH(L$1,SUBQH,0),0),"")</f>
        <v/>
      </c>
      <c r="M11" s="18">
        <f>IFERROR(VLOOKUP($A11,subQ,MATCH(M$1,SUBQH,0),0),"")</f>
        <v/>
      </c>
      <c r="N11" s="18">
        <f>IFERROR(VLOOKUP($A11,subQ,MATCH(N$1,SUBQH,0),0),"")</f>
        <v/>
      </c>
      <c r="O11" s="18">
        <f>IFERROR(VLOOKUP($A11,subQ,MATCH(O$1,SUBQH,0),0),"")</f>
        <v/>
      </c>
      <c r="P11" s="18">
        <f>IFERROR(VLOOKUP($A11,subQ,MATCH(P$1,SUBQH,0),0),"")</f>
        <v/>
      </c>
      <c r="Q11" s="18">
        <f>IFERROR(VLOOKUP($A11,subQ,MATCH(Q$1,SUBQH,0),0),"")</f>
        <v/>
      </c>
      <c r="R11" s="18">
        <f>IFERROR(VLOOKUP($A11,subQ,MATCH(R$1,SUBQH,0),0),"")</f>
        <v/>
      </c>
      <c r="S11" s="18">
        <f>IFERROR(VLOOKUP($A11,subQ,MATCH(S$1,SUBQH,0),0),"")</f>
        <v/>
      </c>
      <c r="T11" s="18">
        <f>IFERROR(VLOOKUP($A11,subQ,MATCH(T$1,SUBQH,0),0),"")</f>
        <v/>
      </c>
      <c r="U11" s="18">
        <f>IFERROR(VLOOKUP($A11,subQ,MATCH(U$1,SUBQH,0),0),"")</f>
        <v/>
      </c>
      <c r="V11" s="18">
        <f>IFERROR(VLOOKUP($A11,subQ,MATCH(V$1,SUBQH,0),0),"")</f>
        <v/>
      </c>
      <c r="W11" s="45">
        <f>IFERROR(VLOOKUP($A11,subQ,MATCH(W$1,SUBQH,0),0),"")</f>
        <v/>
      </c>
      <c r="X11" s="20">
        <f>IFERROR(VLOOKUP($A11,subQ,MATCH(X$1,SUBQH,0),0),"")</f>
        <v/>
      </c>
      <c r="Y11" s="20">
        <f>IFERROR(VLOOKUP($A11,subQ,MATCH(Y$1,SUBQH,0),0),"")</f>
        <v/>
      </c>
      <c r="Z11" s="20">
        <f>IFERROR(VLOOKUP($A11,subQ,MATCH(Z$1,SUBQH,0),0),"")</f>
        <v/>
      </c>
      <c r="AA11" s="20">
        <f>IFERROR(VLOOKUP($A11,subQ,MATCH(AA$1,SUBQH,0),0),"")</f>
        <v/>
      </c>
      <c r="AB11" s="20">
        <f>IFERROR(VLOOKUP($A11,subQ,MATCH(AB$1,SUBQH,0),0),"")</f>
        <v/>
      </c>
      <c r="AC11" s="20">
        <f>IFERROR(VLOOKUP($A11,subQ,MATCH(AC$1,SUBQH,0),0),"")</f>
        <v/>
      </c>
      <c r="AD11" s="20">
        <f>IFERROR(VLOOKUP($A11,subQ,MATCH(AD$1,SUBQH,0),0),"")</f>
        <v/>
      </c>
      <c r="AE11" s="20">
        <f>IFERROR(VLOOKUP($A11,subQ,MATCH(AE$1,SUBQH,0),0),"")</f>
        <v/>
      </c>
      <c r="AF11" s="20">
        <f>IFERROR(VLOOKUP($A11,subQ,MATCH(AF$1,SUBQH,0),0),"")</f>
        <v/>
      </c>
      <c r="AG11" s="20">
        <f>IFERROR(VLOOKUP($A11,subQ,MATCH(AG$1,SUBQH,0),0),"")</f>
        <v/>
      </c>
    </row>
    <row r="12">
      <c r="A12" s="12" t="inlineStr">
        <is>
          <t>이자손익</t>
        </is>
      </c>
      <c r="D12" t="inlineStr">
        <is>
          <t>이자손익(이자수익 − 이자비용)</t>
        </is>
      </c>
      <c r="E12" s="18">
        <f>IFERROR(VLOOKUP($A12,subQ,MATCH(E$1,SUBQH,0),0),"")</f>
        <v/>
      </c>
      <c r="F12" s="18">
        <f>IFERROR(VLOOKUP($A12,subQ,MATCH(F$1,SUBQH,0),0),"")</f>
        <v/>
      </c>
      <c r="G12" s="18">
        <f>IFERROR(VLOOKUP($A12,subQ,MATCH(G$1,SUBQH,0),0),"")</f>
        <v/>
      </c>
      <c r="H12" s="18">
        <f>IFERROR(VLOOKUP($A12,subQ,MATCH(H$1,SUBQH,0),0),"")</f>
        <v/>
      </c>
      <c r="I12" s="18">
        <f>IFERROR(VLOOKUP($A12,subQ,MATCH(I$1,SUBQH,0),0),"")</f>
        <v/>
      </c>
      <c r="J12" s="18">
        <f>IFERROR(VLOOKUP($A12,subQ,MATCH(J$1,SUBQH,0),0),"")</f>
        <v/>
      </c>
      <c r="K12" s="18">
        <f>IFERROR(VLOOKUP($A12,subQ,MATCH(K$1,SUBQH,0),0),"")</f>
        <v/>
      </c>
      <c r="L12" s="18">
        <f>IFERROR(VLOOKUP($A12,subQ,MATCH(L$1,SUBQH,0),0),"")</f>
        <v/>
      </c>
      <c r="M12" s="18">
        <f>IFERROR(VLOOKUP($A12,subQ,MATCH(M$1,SUBQH,0),0),"")</f>
        <v/>
      </c>
      <c r="N12" s="18">
        <f>IFERROR(VLOOKUP($A12,subQ,MATCH(N$1,SUBQH,0),0),"")</f>
        <v/>
      </c>
      <c r="O12" s="18">
        <f>IFERROR(VLOOKUP($A12,subQ,MATCH(O$1,SUBQH,0),0),"")</f>
        <v/>
      </c>
      <c r="P12" s="18">
        <f>IFERROR(VLOOKUP($A12,subQ,MATCH(P$1,SUBQH,0),0),"")</f>
        <v/>
      </c>
      <c r="Q12" s="18">
        <f>IFERROR(VLOOKUP($A12,subQ,MATCH(Q$1,SUBQH,0),0),"")</f>
        <v/>
      </c>
      <c r="R12" s="18">
        <f>IFERROR(VLOOKUP($A12,subQ,MATCH(R$1,SUBQH,0),0),"")</f>
        <v/>
      </c>
      <c r="S12" s="18">
        <f>IFERROR(VLOOKUP($A12,subQ,MATCH(S$1,SUBQH,0),0),"")</f>
        <v/>
      </c>
      <c r="T12" s="18">
        <f>IFERROR(VLOOKUP($A12,subQ,MATCH(T$1,SUBQH,0),0),"")</f>
        <v/>
      </c>
      <c r="U12" s="18">
        <f>IFERROR(VLOOKUP($A12,subQ,MATCH(U$1,SUBQH,0),0),"")</f>
        <v/>
      </c>
      <c r="V12" s="18">
        <f>IFERROR(VLOOKUP($A12,subQ,MATCH(V$1,SUBQH,0),0),"")</f>
        <v/>
      </c>
      <c r="W12" s="45">
        <f>IFERROR(VLOOKUP($A12,subQ,MATCH(W$1,SUBQH,0),0),"")</f>
        <v/>
      </c>
      <c r="X12" s="20">
        <f>IFERROR(VLOOKUP($A12,subQ,MATCH(X$1,SUBQH,0),0),"")</f>
        <v/>
      </c>
      <c r="Y12" s="20">
        <f>IFERROR(VLOOKUP($A12,subQ,MATCH(Y$1,SUBQH,0),0),"")</f>
        <v/>
      </c>
      <c r="Z12" s="20">
        <f>IFERROR(VLOOKUP($A12,subQ,MATCH(Z$1,SUBQH,0),0),"")</f>
        <v/>
      </c>
      <c r="AA12" s="20">
        <f>IFERROR(VLOOKUP($A12,subQ,MATCH(AA$1,SUBQH,0),0),"")</f>
        <v/>
      </c>
      <c r="AB12" s="20">
        <f>IFERROR(VLOOKUP($A12,subQ,MATCH(AB$1,SUBQH,0),0),"")</f>
        <v/>
      </c>
      <c r="AC12" s="20">
        <f>IFERROR(VLOOKUP($A12,subQ,MATCH(AC$1,SUBQH,0),0),"")</f>
        <v/>
      </c>
      <c r="AD12" s="20">
        <f>IFERROR(VLOOKUP($A12,subQ,MATCH(AD$1,SUBQH,0),0),"")</f>
        <v/>
      </c>
      <c r="AE12" s="20">
        <f>IFERROR(VLOOKUP($A12,subQ,MATCH(AE$1,SUBQH,0),0),"")</f>
        <v/>
      </c>
      <c r="AF12" s="20">
        <f>IFERROR(VLOOKUP($A12,subQ,MATCH(AF$1,SUBQH,0),0),"")</f>
        <v/>
      </c>
      <c r="AG12" s="20">
        <f>IFERROR(VLOOKUP($A12,subQ,MATCH(AG$1,SUBQH,0),0),"")</f>
        <v/>
      </c>
    </row>
    <row r="13">
      <c r="A13" s="12" t="inlineStr">
        <is>
          <t>외환손익</t>
        </is>
      </c>
      <c r="D13" t="inlineStr">
        <is>
          <t>외환손익(실적만; 추정 환효과는 환관련손익)</t>
        </is>
      </c>
      <c r="E13" s="18">
        <f>IFERROR(VLOOKUP($A13,subQ,MATCH(E$1,SUBQH,0),0),"")</f>
        <v/>
      </c>
      <c r="F13" s="18">
        <f>IFERROR(VLOOKUP($A13,subQ,MATCH(F$1,SUBQH,0),0),"")</f>
        <v/>
      </c>
      <c r="G13" s="18">
        <f>IFERROR(VLOOKUP($A13,subQ,MATCH(G$1,SUBQH,0),0),"")</f>
        <v/>
      </c>
      <c r="H13" s="18">
        <f>IFERROR(VLOOKUP($A13,subQ,MATCH(H$1,SUBQH,0),0),"")</f>
        <v/>
      </c>
      <c r="I13" s="18">
        <f>IFERROR(VLOOKUP($A13,subQ,MATCH(I$1,SUBQH,0),0),"")</f>
        <v/>
      </c>
      <c r="J13" s="18">
        <f>IFERROR(VLOOKUP($A13,subQ,MATCH(J$1,SUBQH,0),0),"")</f>
        <v/>
      </c>
      <c r="K13" s="18">
        <f>IFERROR(VLOOKUP($A13,subQ,MATCH(K$1,SUBQH,0),0),"")</f>
        <v/>
      </c>
      <c r="L13" s="18">
        <f>IFERROR(VLOOKUP($A13,subQ,MATCH(L$1,SUBQH,0),0),"")</f>
        <v/>
      </c>
      <c r="M13" s="18">
        <f>IFERROR(VLOOKUP($A13,subQ,MATCH(M$1,SUBQH,0),0),"")</f>
        <v/>
      </c>
      <c r="N13" s="18">
        <f>IFERROR(VLOOKUP($A13,subQ,MATCH(N$1,SUBQH,0),0),"")</f>
        <v/>
      </c>
      <c r="O13" s="18">
        <f>IFERROR(VLOOKUP($A13,subQ,MATCH(O$1,SUBQH,0),0),"")</f>
        <v/>
      </c>
      <c r="P13" s="18">
        <f>IFERROR(VLOOKUP($A13,subQ,MATCH(P$1,SUBQH,0),0),"")</f>
        <v/>
      </c>
      <c r="Q13" s="18">
        <f>IFERROR(VLOOKUP($A13,subQ,MATCH(Q$1,SUBQH,0),0),"")</f>
        <v/>
      </c>
      <c r="R13" s="18">
        <f>IFERROR(VLOOKUP($A13,subQ,MATCH(R$1,SUBQH,0),0),"")</f>
        <v/>
      </c>
      <c r="S13" s="18">
        <f>IFERROR(VLOOKUP($A13,subQ,MATCH(S$1,SUBQH,0),0),"")</f>
        <v/>
      </c>
      <c r="T13" s="18">
        <f>IFERROR(VLOOKUP($A13,subQ,MATCH(T$1,SUBQH,0),0),"")</f>
        <v/>
      </c>
      <c r="U13" s="18">
        <f>IFERROR(VLOOKUP($A13,subQ,MATCH(U$1,SUBQH,0),0),"")</f>
        <v/>
      </c>
      <c r="V13" s="18">
        <f>IFERROR(VLOOKUP($A13,subQ,MATCH(V$1,SUBQH,0),0),"")</f>
        <v/>
      </c>
      <c r="W13" s="45">
        <f>IFERROR(VLOOKUP($A13,subQ,MATCH(W$1,SUBQH,0),0),"")</f>
        <v/>
      </c>
      <c r="X13" s="20">
        <f>IFERROR(VLOOKUP($A13,subQ,MATCH(X$1,SUBQH,0),0),"")</f>
        <v/>
      </c>
      <c r="Y13" s="20">
        <f>IFERROR(VLOOKUP($A13,subQ,MATCH(Y$1,SUBQH,0),0),"")</f>
        <v/>
      </c>
      <c r="Z13" s="20">
        <f>IFERROR(VLOOKUP($A13,subQ,MATCH(Z$1,SUBQH,0),0),"")</f>
        <v/>
      </c>
      <c r="AA13" s="20">
        <f>IFERROR(VLOOKUP($A13,subQ,MATCH(AA$1,SUBQH,0),0),"")</f>
        <v/>
      </c>
      <c r="AB13" s="20">
        <f>IFERROR(VLOOKUP($A13,subQ,MATCH(AB$1,SUBQH,0),0),"")</f>
        <v/>
      </c>
      <c r="AC13" s="20">
        <f>IFERROR(VLOOKUP($A13,subQ,MATCH(AC$1,SUBQH,0),0),"")</f>
        <v/>
      </c>
      <c r="AD13" s="20">
        <f>IFERROR(VLOOKUP($A13,subQ,MATCH(AD$1,SUBQH,0),0),"")</f>
        <v/>
      </c>
      <c r="AE13" s="20">
        <f>IFERROR(VLOOKUP($A13,subQ,MATCH(AE$1,SUBQH,0),0),"")</f>
        <v/>
      </c>
      <c r="AF13" s="20">
        <f>IFERROR(VLOOKUP($A13,subQ,MATCH(AF$1,SUBQH,0),0),"")</f>
        <v/>
      </c>
      <c r="AG13" s="20">
        <f>IFERROR(VLOOKUP($A13,subQ,MATCH(AG$1,SUBQH,0),0),"")</f>
        <v/>
      </c>
    </row>
    <row r="14">
      <c r="A14" s="12" t="inlineStr">
        <is>
          <t>파생상품손익</t>
        </is>
      </c>
      <c r="D14" t="inlineStr">
        <is>
          <t>파생상품손익</t>
        </is>
      </c>
      <c r="E14" s="18">
        <f>IFERROR(VLOOKUP($A14,subQ,MATCH(E$1,SUBQH,0),0),"")</f>
        <v/>
      </c>
      <c r="F14" s="18">
        <f>IFERROR(VLOOKUP($A14,subQ,MATCH(F$1,SUBQH,0),0),"")</f>
        <v/>
      </c>
      <c r="G14" s="18">
        <f>IFERROR(VLOOKUP($A14,subQ,MATCH(G$1,SUBQH,0),0),"")</f>
        <v/>
      </c>
      <c r="H14" s="18">
        <f>IFERROR(VLOOKUP($A14,subQ,MATCH(H$1,SUBQH,0),0),"")</f>
        <v/>
      </c>
      <c r="I14" s="18">
        <f>IFERROR(VLOOKUP($A14,subQ,MATCH(I$1,SUBQH,0),0),"")</f>
        <v/>
      </c>
      <c r="J14" s="18">
        <f>IFERROR(VLOOKUP($A14,subQ,MATCH(J$1,SUBQH,0),0),"")</f>
        <v/>
      </c>
      <c r="K14" s="18">
        <f>IFERROR(VLOOKUP($A14,subQ,MATCH(K$1,SUBQH,0),0),"")</f>
        <v/>
      </c>
      <c r="L14" s="18">
        <f>IFERROR(VLOOKUP($A14,subQ,MATCH(L$1,SUBQH,0),0),"")</f>
        <v/>
      </c>
      <c r="M14" s="18">
        <f>IFERROR(VLOOKUP($A14,subQ,MATCH(M$1,SUBQH,0),0),"")</f>
        <v/>
      </c>
      <c r="N14" s="18">
        <f>IFERROR(VLOOKUP($A14,subQ,MATCH(N$1,SUBQH,0),0),"")</f>
        <v/>
      </c>
      <c r="O14" s="18">
        <f>IFERROR(VLOOKUP($A14,subQ,MATCH(O$1,SUBQH,0),0),"")</f>
        <v/>
      </c>
      <c r="P14" s="18">
        <f>IFERROR(VLOOKUP($A14,subQ,MATCH(P$1,SUBQH,0),0),"")</f>
        <v/>
      </c>
      <c r="Q14" s="18">
        <f>IFERROR(VLOOKUP($A14,subQ,MATCH(Q$1,SUBQH,0),0),"")</f>
        <v/>
      </c>
      <c r="R14" s="18">
        <f>IFERROR(VLOOKUP($A14,subQ,MATCH(R$1,SUBQH,0),0),"")</f>
        <v/>
      </c>
      <c r="S14" s="18">
        <f>IFERROR(VLOOKUP($A14,subQ,MATCH(S$1,SUBQH,0),0),"")</f>
        <v/>
      </c>
      <c r="T14" s="18">
        <f>IFERROR(VLOOKUP($A14,subQ,MATCH(T$1,SUBQH,0),0),"")</f>
        <v/>
      </c>
      <c r="U14" s="18">
        <f>IFERROR(VLOOKUP($A14,subQ,MATCH(U$1,SUBQH,0),0),"")</f>
        <v/>
      </c>
      <c r="V14" s="18">
        <f>IFERROR(VLOOKUP($A14,subQ,MATCH(V$1,SUBQH,0),0),"")</f>
        <v/>
      </c>
      <c r="W14" s="45">
        <f>IFERROR(VLOOKUP($A14,subQ,MATCH(W$1,SUBQH,0),0),"")</f>
        <v/>
      </c>
      <c r="X14" s="20">
        <f>IFERROR(VLOOKUP($A14,subQ,MATCH(X$1,SUBQH,0),0),"")</f>
        <v/>
      </c>
      <c r="Y14" s="20">
        <f>IFERROR(VLOOKUP($A14,subQ,MATCH(Y$1,SUBQH,0),0),"")</f>
        <v/>
      </c>
      <c r="Z14" s="20">
        <f>IFERROR(VLOOKUP($A14,subQ,MATCH(Z$1,SUBQH,0),0),"")</f>
        <v/>
      </c>
      <c r="AA14" s="20">
        <f>IFERROR(VLOOKUP($A14,subQ,MATCH(AA$1,SUBQH,0),0),"")</f>
        <v/>
      </c>
      <c r="AB14" s="20">
        <f>IFERROR(VLOOKUP($A14,subQ,MATCH(AB$1,SUBQH,0),0),"")</f>
        <v/>
      </c>
      <c r="AC14" s="20">
        <f>IFERROR(VLOOKUP($A14,subQ,MATCH(AC$1,SUBQH,0),0),"")</f>
        <v/>
      </c>
      <c r="AD14" s="20">
        <f>IFERROR(VLOOKUP($A14,subQ,MATCH(AD$1,SUBQH,0),0),"")</f>
        <v/>
      </c>
      <c r="AE14" s="20">
        <f>IFERROR(VLOOKUP($A14,subQ,MATCH(AE$1,SUBQH,0),0),"")</f>
        <v/>
      </c>
      <c r="AF14" s="20">
        <f>IFERROR(VLOOKUP($A14,subQ,MATCH(AF$1,SUBQH,0),0),"")</f>
        <v/>
      </c>
      <c r="AG14" s="20">
        <f>IFERROR(VLOOKUP($A14,subQ,MATCH(AG$1,SUBQH,0),0),"")</f>
        <v/>
      </c>
    </row>
    <row r="15">
      <c r="A15" s="12" t="inlineStr">
        <is>
          <t>기타금융손익</t>
        </is>
      </c>
      <c r="D15" t="inlineStr">
        <is>
          <t>기타금융손익(금융손익 잔차)</t>
        </is>
      </c>
      <c r="E15" s="18">
        <f>IFERROR(VLOOKUP($A15,subQ,MATCH(E$1,SUBQH,0),0),"")</f>
        <v/>
      </c>
      <c r="F15" s="18">
        <f>IFERROR(VLOOKUP($A15,subQ,MATCH(F$1,SUBQH,0),0),"")</f>
        <v/>
      </c>
      <c r="G15" s="18">
        <f>IFERROR(VLOOKUP($A15,subQ,MATCH(G$1,SUBQH,0),0),"")</f>
        <v/>
      </c>
      <c r="H15" s="18">
        <f>IFERROR(VLOOKUP($A15,subQ,MATCH(H$1,SUBQH,0),0),"")</f>
        <v/>
      </c>
      <c r="I15" s="18">
        <f>IFERROR(VLOOKUP($A15,subQ,MATCH(I$1,SUBQH,0),0),"")</f>
        <v/>
      </c>
      <c r="J15" s="18">
        <f>IFERROR(VLOOKUP($A15,subQ,MATCH(J$1,SUBQH,0),0),"")</f>
        <v/>
      </c>
      <c r="K15" s="18">
        <f>IFERROR(VLOOKUP($A15,subQ,MATCH(K$1,SUBQH,0),0),"")</f>
        <v/>
      </c>
      <c r="L15" s="18">
        <f>IFERROR(VLOOKUP($A15,subQ,MATCH(L$1,SUBQH,0),0),"")</f>
        <v/>
      </c>
      <c r="M15" s="18">
        <f>IFERROR(VLOOKUP($A15,subQ,MATCH(M$1,SUBQH,0),0),"")</f>
        <v/>
      </c>
      <c r="N15" s="18">
        <f>IFERROR(VLOOKUP($A15,subQ,MATCH(N$1,SUBQH,0),0),"")</f>
        <v/>
      </c>
      <c r="O15" s="18">
        <f>IFERROR(VLOOKUP($A15,subQ,MATCH(O$1,SUBQH,0),0),"")</f>
        <v/>
      </c>
      <c r="P15" s="18">
        <f>IFERROR(VLOOKUP($A15,subQ,MATCH(P$1,SUBQH,0),0),"")</f>
        <v/>
      </c>
      <c r="Q15" s="18">
        <f>IFERROR(VLOOKUP($A15,subQ,MATCH(Q$1,SUBQH,0),0),"")</f>
        <v/>
      </c>
      <c r="R15" s="18">
        <f>IFERROR(VLOOKUP($A15,subQ,MATCH(R$1,SUBQH,0),0),"")</f>
        <v/>
      </c>
      <c r="S15" s="18">
        <f>IFERROR(VLOOKUP($A15,subQ,MATCH(S$1,SUBQH,0),0),"")</f>
        <v/>
      </c>
      <c r="T15" s="18">
        <f>IFERROR(VLOOKUP($A15,subQ,MATCH(T$1,SUBQH,0),0),"")</f>
        <v/>
      </c>
      <c r="U15" s="18">
        <f>IFERROR(VLOOKUP($A15,subQ,MATCH(U$1,SUBQH,0),0),"")</f>
        <v/>
      </c>
      <c r="V15" s="18">
        <f>IFERROR(VLOOKUP($A15,subQ,MATCH(V$1,SUBQH,0),0),"")</f>
        <v/>
      </c>
      <c r="W15" s="45">
        <f>IFERROR(VLOOKUP($A15,subQ,MATCH(W$1,SUBQH,0),0),"")</f>
        <v/>
      </c>
      <c r="X15" s="20">
        <f>IFERROR(VLOOKUP($A15,subQ,MATCH(X$1,SUBQH,0),0),"")</f>
        <v/>
      </c>
      <c r="Y15" s="20">
        <f>IFERROR(VLOOKUP($A15,subQ,MATCH(Y$1,SUBQH,0),0),"")</f>
        <v/>
      </c>
      <c r="Z15" s="20">
        <f>IFERROR(VLOOKUP($A15,subQ,MATCH(Z$1,SUBQH,0),0),"")</f>
        <v/>
      </c>
      <c r="AA15" s="20">
        <f>IFERROR(VLOOKUP($A15,subQ,MATCH(AA$1,SUBQH,0),0),"")</f>
        <v/>
      </c>
      <c r="AB15" s="20">
        <f>IFERROR(VLOOKUP($A15,subQ,MATCH(AB$1,SUBQH,0),0),"")</f>
        <v/>
      </c>
      <c r="AC15" s="20">
        <f>IFERROR(VLOOKUP($A15,subQ,MATCH(AC$1,SUBQH,0),0),"")</f>
        <v/>
      </c>
      <c r="AD15" s="20">
        <f>IFERROR(VLOOKUP($A15,subQ,MATCH(AD$1,SUBQH,0),0),"")</f>
        <v/>
      </c>
      <c r="AE15" s="20">
        <f>IFERROR(VLOOKUP($A15,subQ,MATCH(AE$1,SUBQH,0),0),"")</f>
        <v/>
      </c>
      <c r="AF15" s="20">
        <f>IFERROR(VLOOKUP($A15,subQ,MATCH(AF$1,SUBQH,0),0),"")</f>
        <v/>
      </c>
      <c r="AG15" s="20">
        <f>IFERROR(VLOOKUP($A15,subQ,MATCH(AG$1,SUBQH,0),0),"")</f>
        <v/>
      </c>
    </row>
    <row r="16">
      <c r="A16" s="12" t="inlineStr">
        <is>
          <t>기타영업외손익</t>
        </is>
      </c>
      <c r="D16" t="inlineStr">
        <is>
          <t>기타영업외손익</t>
        </is>
      </c>
      <c r="E16" s="18">
        <f>IFERROR(VLOOKUP($A16,subQ,MATCH(E$1,SUBQH,0),0),"")</f>
        <v/>
      </c>
      <c r="F16" s="18">
        <f>IFERROR(VLOOKUP($A16,subQ,MATCH(F$1,SUBQH,0),0),"")</f>
        <v/>
      </c>
      <c r="G16" s="18">
        <f>IFERROR(VLOOKUP($A16,subQ,MATCH(G$1,SUBQH,0),0),"")</f>
        <v/>
      </c>
      <c r="H16" s="18">
        <f>IFERROR(VLOOKUP($A16,subQ,MATCH(H$1,SUBQH,0),0),"")</f>
        <v/>
      </c>
      <c r="I16" s="18">
        <f>IFERROR(VLOOKUP($A16,subQ,MATCH(I$1,SUBQH,0),0),"")</f>
        <v/>
      </c>
      <c r="J16" s="18">
        <f>IFERROR(VLOOKUP($A16,subQ,MATCH(J$1,SUBQH,0),0),"")</f>
        <v/>
      </c>
      <c r="K16" s="18">
        <f>IFERROR(VLOOKUP($A16,subQ,MATCH(K$1,SUBQH,0),0),"")</f>
        <v/>
      </c>
      <c r="L16" s="18">
        <f>IFERROR(VLOOKUP($A16,subQ,MATCH(L$1,SUBQH,0),0),"")</f>
        <v/>
      </c>
      <c r="M16" s="18">
        <f>IFERROR(VLOOKUP($A16,subQ,MATCH(M$1,SUBQH,0),0),"")</f>
        <v/>
      </c>
      <c r="N16" s="18">
        <f>IFERROR(VLOOKUP($A16,subQ,MATCH(N$1,SUBQH,0),0),"")</f>
        <v/>
      </c>
      <c r="O16" s="18">
        <f>IFERROR(VLOOKUP($A16,subQ,MATCH(O$1,SUBQH,0),0),"")</f>
        <v/>
      </c>
      <c r="P16" s="18">
        <f>IFERROR(VLOOKUP($A16,subQ,MATCH(P$1,SUBQH,0),0),"")</f>
        <v/>
      </c>
      <c r="Q16" s="18">
        <f>IFERROR(VLOOKUP($A16,subQ,MATCH(Q$1,SUBQH,0),0),"")</f>
        <v/>
      </c>
      <c r="R16" s="18">
        <f>IFERROR(VLOOKUP($A16,subQ,MATCH(R$1,SUBQH,0),0),"")</f>
        <v/>
      </c>
      <c r="S16" s="18">
        <f>IFERROR(VLOOKUP($A16,subQ,MATCH(S$1,SUBQH,0),0),"")</f>
        <v/>
      </c>
      <c r="T16" s="18">
        <f>IFERROR(VLOOKUP($A16,subQ,MATCH(T$1,SUBQH,0),0),"")</f>
        <v/>
      </c>
      <c r="U16" s="18">
        <f>IFERROR(VLOOKUP($A16,subQ,MATCH(U$1,SUBQH,0),0),"")</f>
        <v/>
      </c>
      <c r="V16" s="18">
        <f>IFERROR(VLOOKUP($A16,subQ,MATCH(V$1,SUBQH,0),0),"")</f>
        <v/>
      </c>
      <c r="W16" s="45">
        <f>IFERROR(VLOOKUP($A16,subQ,MATCH(W$1,SUBQH,0),0),"")</f>
        <v/>
      </c>
      <c r="X16" s="20">
        <f>IFERROR(VLOOKUP($A16,subQ,MATCH(X$1,SUBQH,0),0),"")</f>
        <v/>
      </c>
      <c r="Y16" s="20">
        <f>IFERROR(VLOOKUP($A16,subQ,MATCH(Y$1,SUBQH,0),0),"")</f>
        <v/>
      </c>
      <c r="Z16" s="20">
        <f>IFERROR(VLOOKUP($A16,subQ,MATCH(Z$1,SUBQH,0),0),"")</f>
        <v/>
      </c>
      <c r="AA16" s="20">
        <f>IFERROR(VLOOKUP($A16,subQ,MATCH(AA$1,SUBQH,0),0),"")</f>
        <v/>
      </c>
      <c r="AB16" s="20">
        <f>IFERROR(VLOOKUP($A16,subQ,MATCH(AB$1,SUBQH,0),0),"")</f>
        <v/>
      </c>
      <c r="AC16" s="20">
        <f>IFERROR(VLOOKUP($A16,subQ,MATCH(AC$1,SUBQH,0),0),"")</f>
        <v/>
      </c>
      <c r="AD16" s="20">
        <f>IFERROR(VLOOKUP($A16,subQ,MATCH(AD$1,SUBQH,0),0),"")</f>
        <v/>
      </c>
      <c r="AE16" s="20">
        <f>IFERROR(VLOOKUP($A16,subQ,MATCH(AE$1,SUBQH,0),0),"")</f>
        <v/>
      </c>
      <c r="AF16" s="20">
        <f>IFERROR(VLOOKUP($A16,subQ,MATCH(AF$1,SUBQH,0),0),"")</f>
        <v/>
      </c>
      <c r="AG16" s="20">
        <f>IFERROR(VLOOKUP($A16,subQ,MATCH(AG$1,SUBQH,0),0),"")</f>
        <v/>
      </c>
    </row>
    <row r="17">
      <c r="A17" s="12" t="inlineStr">
        <is>
          <t>세전이익</t>
        </is>
      </c>
      <c r="D17" t="inlineStr">
        <is>
          <t>법인세비용차감전이익</t>
        </is>
      </c>
      <c r="E17" s="18">
        <f>IFERROR(VLOOKUP($A17,subQ,MATCH(E$1,SUBQH,0),0),"")</f>
        <v/>
      </c>
      <c r="F17" s="18">
        <f>IFERROR(VLOOKUP($A17,subQ,MATCH(F$1,SUBQH,0),0),"")</f>
        <v/>
      </c>
      <c r="G17" s="18">
        <f>IFERROR(VLOOKUP($A17,subQ,MATCH(G$1,SUBQH,0),0),"")</f>
        <v/>
      </c>
      <c r="H17" s="18">
        <f>IFERROR(VLOOKUP($A17,subQ,MATCH(H$1,SUBQH,0),0),"")</f>
        <v/>
      </c>
      <c r="I17" s="18">
        <f>IFERROR(VLOOKUP($A17,subQ,MATCH(I$1,SUBQH,0),0),"")</f>
        <v/>
      </c>
      <c r="J17" s="18">
        <f>IFERROR(VLOOKUP($A17,subQ,MATCH(J$1,SUBQH,0),0),"")</f>
        <v/>
      </c>
      <c r="K17" s="18">
        <f>IFERROR(VLOOKUP($A17,subQ,MATCH(K$1,SUBQH,0),0),"")</f>
        <v/>
      </c>
      <c r="L17" s="18">
        <f>IFERROR(VLOOKUP($A17,subQ,MATCH(L$1,SUBQH,0),0),"")</f>
        <v/>
      </c>
      <c r="M17" s="18">
        <f>IFERROR(VLOOKUP($A17,subQ,MATCH(M$1,SUBQH,0),0),"")</f>
        <v/>
      </c>
      <c r="N17" s="18">
        <f>IFERROR(VLOOKUP($A17,subQ,MATCH(N$1,SUBQH,0),0),"")</f>
        <v/>
      </c>
      <c r="O17" s="18">
        <f>IFERROR(VLOOKUP($A17,subQ,MATCH(O$1,SUBQH,0),0),"")</f>
        <v/>
      </c>
      <c r="P17" s="18">
        <f>IFERROR(VLOOKUP($A17,subQ,MATCH(P$1,SUBQH,0),0),"")</f>
        <v/>
      </c>
      <c r="Q17" s="18">
        <f>IFERROR(VLOOKUP($A17,subQ,MATCH(Q$1,SUBQH,0),0),"")</f>
        <v/>
      </c>
      <c r="R17" s="18">
        <f>IFERROR(VLOOKUP($A17,subQ,MATCH(R$1,SUBQH,0),0),"")</f>
        <v/>
      </c>
      <c r="S17" s="18">
        <f>IFERROR(VLOOKUP($A17,subQ,MATCH(S$1,SUBQH,0),0),"")</f>
        <v/>
      </c>
      <c r="T17" s="18">
        <f>IFERROR(VLOOKUP($A17,subQ,MATCH(T$1,SUBQH,0),0),"")</f>
        <v/>
      </c>
      <c r="U17" s="18">
        <f>IFERROR(VLOOKUP($A17,subQ,MATCH(U$1,SUBQH,0),0),"")</f>
        <v/>
      </c>
      <c r="V17" s="18">
        <f>IFERROR(VLOOKUP($A17,subQ,MATCH(V$1,SUBQH,0),0),"")</f>
        <v/>
      </c>
      <c r="W17" s="45">
        <f>IFERROR(VLOOKUP($A17,subQ,MATCH(W$1,SUBQH,0),0),"")</f>
        <v/>
      </c>
      <c r="X17" s="20">
        <f>IFERROR(VLOOKUP($A17,subQ,MATCH(X$1,SUBQH,0),0),"")</f>
        <v/>
      </c>
      <c r="Y17" s="20">
        <f>IFERROR(VLOOKUP($A17,subQ,MATCH(Y$1,SUBQH,0),0),"")</f>
        <v/>
      </c>
      <c r="Z17" s="20">
        <f>IFERROR(VLOOKUP($A17,subQ,MATCH(Z$1,SUBQH,0),0),"")</f>
        <v/>
      </c>
      <c r="AA17" s="20">
        <f>IFERROR(VLOOKUP($A17,subQ,MATCH(AA$1,SUBQH,0),0),"")</f>
        <v/>
      </c>
      <c r="AB17" s="20">
        <f>IFERROR(VLOOKUP($A17,subQ,MATCH(AB$1,SUBQH,0),0),"")</f>
        <v/>
      </c>
      <c r="AC17" s="20">
        <f>IFERROR(VLOOKUP($A17,subQ,MATCH(AC$1,SUBQH,0),0),"")</f>
        <v/>
      </c>
      <c r="AD17" s="20">
        <f>IFERROR(VLOOKUP($A17,subQ,MATCH(AD$1,SUBQH,0),0),"")</f>
        <v/>
      </c>
      <c r="AE17" s="20">
        <f>IFERROR(VLOOKUP($A17,subQ,MATCH(AE$1,SUBQH,0),0),"")</f>
        <v/>
      </c>
      <c r="AF17" s="20">
        <f>IFERROR(VLOOKUP($A17,subQ,MATCH(AF$1,SUBQH,0),0),"")</f>
        <v/>
      </c>
      <c r="AG17" s="20">
        <f>IFERROR(VLOOKUP($A17,subQ,MATCH(AG$1,SUBQH,0),0),"")</f>
        <v/>
      </c>
    </row>
    <row r="18">
      <c r="A18" s="12" t="inlineStr">
        <is>
          <t>법인세비용</t>
        </is>
      </c>
      <c r="D18" t="inlineStr">
        <is>
          <t>법인세비용</t>
        </is>
      </c>
      <c r="E18" s="18">
        <f>IFERROR(VLOOKUP($A18,subQ,MATCH(E$1,SUBQH,0),0),"")</f>
        <v/>
      </c>
      <c r="F18" s="18">
        <f>IFERROR(VLOOKUP($A18,subQ,MATCH(F$1,SUBQH,0),0),"")</f>
        <v/>
      </c>
      <c r="G18" s="18">
        <f>IFERROR(VLOOKUP($A18,subQ,MATCH(G$1,SUBQH,0),0),"")</f>
        <v/>
      </c>
      <c r="H18" s="18">
        <f>IFERROR(VLOOKUP($A18,subQ,MATCH(H$1,SUBQH,0),0),"")</f>
        <v/>
      </c>
      <c r="I18" s="18">
        <f>IFERROR(VLOOKUP($A18,subQ,MATCH(I$1,SUBQH,0),0),"")</f>
        <v/>
      </c>
      <c r="J18" s="18">
        <f>IFERROR(VLOOKUP($A18,subQ,MATCH(J$1,SUBQH,0),0),"")</f>
        <v/>
      </c>
      <c r="K18" s="18">
        <f>IFERROR(VLOOKUP($A18,subQ,MATCH(K$1,SUBQH,0),0),"")</f>
        <v/>
      </c>
      <c r="L18" s="18">
        <f>IFERROR(VLOOKUP($A18,subQ,MATCH(L$1,SUBQH,0),0),"")</f>
        <v/>
      </c>
      <c r="M18" s="18">
        <f>IFERROR(VLOOKUP($A18,subQ,MATCH(M$1,SUBQH,0),0),"")</f>
        <v/>
      </c>
      <c r="N18" s="18">
        <f>IFERROR(VLOOKUP($A18,subQ,MATCH(N$1,SUBQH,0),0),"")</f>
        <v/>
      </c>
      <c r="O18" s="18">
        <f>IFERROR(VLOOKUP($A18,subQ,MATCH(O$1,SUBQH,0),0),"")</f>
        <v/>
      </c>
      <c r="P18" s="18">
        <f>IFERROR(VLOOKUP($A18,subQ,MATCH(P$1,SUBQH,0),0),"")</f>
        <v/>
      </c>
      <c r="Q18" s="18">
        <f>IFERROR(VLOOKUP($A18,subQ,MATCH(Q$1,SUBQH,0),0),"")</f>
        <v/>
      </c>
      <c r="R18" s="18">
        <f>IFERROR(VLOOKUP($A18,subQ,MATCH(R$1,SUBQH,0),0),"")</f>
        <v/>
      </c>
      <c r="S18" s="18">
        <f>IFERROR(VLOOKUP($A18,subQ,MATCH(S$1,SUBQH,0),0),"")</f>
        <v/>
      </c>
      <c r="T18" s="18">
        <f>IFERROR(VLOOKUP($A18,subQ,MATCH(T$1,SUBQH,0),0),"")</f>
        <v/>
      </c>
      <c r="U18" s="18">
        <f>IFERROR(VLOOKUP($A18,subQ,MATCH(U$1,SUBQH,0),0),"")</f>
        <v/>
      </c>
      <c r="V18" s="18">
        <f>IFERROR(VLOOKUP($A18,subQ,MATCH(V$1,SUBQH,0),0),"")</f>
        <v/>
      </c>
      <c r="W18" s="45">
        <f>IFERROR(VLOOKUP($A18,subQ,MATCH(W$1,SUBQH,0),0),"")</f>
        <v/>
      </c>
      <c r="X18" s="20">
        <f>IFERROR(VLOOKUP($A18,subQ,MATCH(X$1,SUBQH,0),0),"")</f>
        <v/>
      </c>
      <c r="Y18" s="20">
        <f>IFERROR(VLOOKUP($A18,subQ,MATCH(Y$1,SUBQH,0),0),"")</f>
        <v/>
      </c>
      <c r="Z18" s="20">
        <f>IFERROR(VLOOKUP($A18,subQ,MATCH(Z$1,SUBQH,0),0),"")</f>
        <v/>
      </c>
      <c r="AA18" s="20">
        <f>IFERROR(VLOOKUP($A18,subQ,MATCH(AA$1,SUBQH,0),0),"")</f>
        <v/>
      </c>
      <c r="AB18" s="20">
        <f>IFERROR(VLOOKUP($A18,subQ,MATCH(AB$1,SUBQH,0),0),"")</f>
        <v/>
      </c>
      <c r="AC18" s="20">
        <f>IFERROR(VLOOKUP($A18,subQ,MATCH(AC$1,SUBQH,0),0),"")</f>
        <v/>
      </c>
      <c r="AD18" s="20">
        <f>IFERROR(VLOOKUP($A18,subQ,MATCH(AD$1,SUBQH,0),0),"")</f>
        <v/>
      </c>
      <c r="AE18" s="20">
        <f>IFERROR(VLOOKUP($A18,subQ,MATCH(AE$1,SUBQH,0),0),"")</f>
        <v/>
      </c>
      <c r="AF18" s="20">
        <f>IFERROR(VLOOKUP($A18,subQ,MATCH(AF$1,SUBQH,0),0),"")</f>
        <v/>
      </c>
      <c r="AG18" s="20">
        <f>IFERROR(VLOOKUP($A18,subQ,MATCH(AG$1,SUBQH,0),0),"")</f>
        <v/>
      </c>
    </row>
    <row r="19">
      <c r="A19" s="12" t="inlineStr">
        <is>
          <t>당기순이익</t>
        </is>
      </c>
      <c r="D19" t="inlineStr">
        <is>
          <t>당기순이익</t>
        </is>
      </c>
      <c r="E19" s="18">
        <f>IFERROR(VLOOKUP($A19,subQ,MATCH(E$1,SUBQH,0),0),"")</f>
        <v/>
      </c>
      <c r="F19" s="18">
        <f>IFERROR(VLOOKUP($A19,subQ,MATCH(F$1,SUBQH,0),0),"")</f>
        <v/>
      </c>
      <c r="G19" s="18">
        <f>IFERROR(VLOOKUP($A19,subQ,MATCH(G$1,SUBQH,0),0),"")</f>
        <v/>
      </c>
      <c r="H19" s="18">
        <f>IFERROR(VLOOKUP($A19,subQ,MATCH(H$1,SUBQH,0),0),"")</f>
        <v/>
      </c>
      <c r="I19" s="18">
        <f>IFERROR(VLOOKUP($A19,subQ,MATCH(I$1,SUBQH,0),0),"")</f>
        <v/>
      </c>
      <c r="J19" s="18">
        <f>IFERROR(VLOOKUP($A19,subQ,MATCH(J$1,SUBQH,0),0),"")</f>
        <v/>
      </c>
      <c r="K19" s="18">
        <f>IFERROR(VLOOKUP($A19,subQ,MATCH(K$1,SUBQH,0),0),"")</f>
        <v/>
      </c>
      <c r="L19" s="18">
        <f>IFERROR(VLOOKUP($A19,subQ,MATCH(L$1,SUBQH,0),0),"")</f>
        <v/>
      </c>
      <c r="M19" s="18">
        <f>IFERROR(VLOOKUP($A19,subQ,MATCH(M$1,SUBQH,0),0),"")</f>
        <v/>
      </c>
      <c r="N19" s="18">
        <f>IFERROR(VLOOKUP($A19,subQ,MATCH(N$1,SUBQH,0),0),"")</f>
        <v/>
      </c>
      <c r="O19" s="18">
        <f>IFERROR(VLOOKUP($A19,subQ,MATCH(O$1,SUBQH,0),0),"")</f>
        <v/>
      </c>
      <c r="P19" s="18">
        <f>IFERROR(VLOOKUP($A19,subQ,MATCH(P$1,SUBQH,0),0),"")</f>
        <v/>
      </c>
      <c r="Q19" s="18">
        <f>IFERROR(VLOOKUP($A19,subQ,MATCH(Q$1,SUBQH,0),0),"")</f>
        <v/>
      </c>
      <c r="R19" s="18">
        <f>IFERROR(VLOOKUP($A19,subQ,MATCH(R$1,SUBQH,0),0),"")</f>
        <v/>
      </c>
      <c r="S19" s="18">
        <f>IFERROR(VLOOKUP($A19,subQ,MATCH(S$1,SUBQH,0),0),"")</f>
        <v/>
      </c>
      <c r="T19" s="18">
        <f>IFERROR(VLOOKUP($A19,subQ,MATCH(T$1,SUBQH,0),0),"")</f>
        <v/>
      </c>
      <c r="U19" s="18">
        <f>IFERROR(VLOOKUP($A19,subQ,MATCH(U$1,SUBQH,0),0),"")</f>
        <v/>
      </c>
      <c r="V19" s="18">
        <f>IFERROR(VLOOKUP($A19,subQ,MATCH(V$1,SUBQH,0),0),"")</f>
        <v/>
      </c>
      <c r="W19" s="45">
        <f>IFERROR(VLOOKUP($A19,subQ,MATCH(W$1,SUBQH,0),0),"")</f>
        <v/>
      </c>
      <c r="X19" s="20">
        <f>IFERROR(VLOOKUP($A19,subQ,MATCH(X$1,SUBQH,0),0),"")</f>
        <v/>
      </c>
      <c r="Y19" s="20">
        <f>IFERROR(VLOOKUP($A19,subQ,MATCH(Y$1,SUBQH,0),0),"")</f>
        <v/>
      </c>
      <c r="Z19" s="20">
        <f>IFERROR(VLOOKUP($A19,subQ,MATCH(Z$1,SUBQH,0),0),"")</f>
        <v/>
      </c>
      <c r="AA19" s="20">
        <f>IFERROR(VLOOKUP($A19,subQ,MATCH(AA$1,SUBQH,0),0),"")</f>
        <v/>
      </c>
      <c r="AB19" s="20">
        <f>IFERROR(VLOOKUP($A19,subQ,MATCH(AB$1,SUBQH,0),0),"")</f>
        <v/>
      </c>
      <c r="AC19" s="20">
        <f>IFERROR(VLOOKUP($A19,subQ,MATCH(AC$1,SUBQH,0),0),"")</f>
        <v/>
      </c>
      <c r="AD19" s="20">
        <f>IFERROR(VLOOKUP($A19,subQ,MATCH(AD$1,SUBQH,0),0),"")</f>
        <v/>
      </c>
      <c r="AE19" s="20">
        <f>IFERROR(VLOOKUP($A19,subQ,MATCH(AE$1,SUBQH,0),0),"")</f>
        <v/>
      </c>
      <c r="AF19" s="20">
        <f>IFERROR(VLOOKUP($A19,subQ,MATCH(AF$1,SUBQH,0),0),"")</f>
        <v/>
      </c>
      <c r="AG19" s="20">
        <f>IFERROR(VLOOKUP($A19,subQ,MATCH(AG$1,SUBQH,0),0),"")</f>
        <v/>
      </c>
    </row>
    <row r="20">
      <c r="A20" s="12" t="inlineStr">
        <is>
          <t>지배주주순이익</t>
        </is>
      </c>
      <c r="D20" t="inlineStr">
        <is>
          <t>지배주주순이익</t>
        </is>
      </c>
      <c r="E20" s="18">
        <f>IFERROR(VLOOKUP($A20,subQ,MATCH(E$1,SUBQH,0),0),"")</f>
        <v/>
      </c>
      <c r="F20" s="18">
        <f>IFERROR(VLOOKUP($A20,subQ,MATCH(F$1,SUBQH,0),0),"")</f>
        <v/>
      </c>
      <c r="G20" s="18">
        <f>IFERROR(VLOOKUP($A20,subQ,MATCH(G$1,SUBQH,0),0),"")</f>
        <v/>
      </c>
      <c r="H20" s="18">
        <f>IFERROR(VLOOKUP($A20,subQ,MATCH(H$1,SUBQH,0),0),"")</f>
        <v/>
      </c>
      <c r="I20" s="18">
        <f>IFERROR(VLOOKUP($A20,subQ,MATCH(I$1,SUBQH,0),0),"")</f>
        <v/>
      </c>
      <c r="J20" s="18">
        <f>IFERROR(VLOOKUP($A20,subQ,MATCH(J$1,SUBQH,0),0),"")</f>
        <v/>
      </c>
      <c r="K20" s="18">
        <f>IFERROR(VLOOKUP($A20,subQ,MATCH(K$1,SUBQH,0),0),"")</f>
        <v/>
      </c>
      <c r="L20" s="18">
        <f>IFERROR(VLOOKUP($A20,subQ,MATCH(L$1,SUBQH,0),0),"")</f>
        <v/>
      </c>
      <c r="M20" s="18">
        <f>IFERROR(VLOOKUP($A20,subQ,MATCH(M$1,SUBQH,0),0),"")</f>
        <v/>
      </c>
      <c r="N20" s="18">
        <f>IFERROR(VLOOKUP($A20,subQ,MATCH(N$1,SUBQH,0),0),"")</f>
        <v/>
      </c>
      <c r="O20" s="18">
        <f>IFERROR(VLOOKUP($A20,subQ,MATCH(O$1,SUBQH,0),0),"")</f>
        <v/>
      </c>
      <c r="P20" s="18">
        <f>IFERROR(VLOOKUP($A20,subQ,MATCH(P$1,SUBQH,0),0),"")</f>
        <v/>
      </c>
      <c r="Q20" s="18">
        <f>IFERROR(VLOOKUP($A20,subQ,MATCH(Q$1,SUBQH,0),0),"")</f>
        <v/>
      </c>
      <c r="R20" s="18">
        <f>IFERROR(VLOOKUP($A20,subQ,MATCH(R$1,SUBQH,0),0),"")</f>
        <v/>
      </c>
      <c r="S20" s="18">
        <f>IFERROR(VLOOKUP($A20,subQ,MATCH(S$1,SUBQH,0),0),"")</f>
        <v/>
      </c>
      <c r="T20" s="18">
        <f>IFERROR(VLOOKUP($A20,subQ,MATCH(T$1,SUBQH,0),0),"")</f>
        <v/>
      </c>
      <c r="U20" s="18">
        <f>IFERROR(VLOOKUP($A20,subQ,MATCH(U$1,SUBQH,0),0),"")</f>
        <v/>
      </c>
      <c r="V20" s="18">
        <f>IFERROR(VLOOKUP($A20,subQ,MATCH(V$1,SUBQH,0),0),"")</f>
        <v/>
      </c>
      <c r="W20" s="45">
        <f>IFERROR(VLOOKUP($A20,subQ,MATCH(W$1,SUBQH,0),0),"")</f>
        <v/>
      </c>
      <c r="X20" s="20">
        <f>IFERROR(VLOOKUP($A20,subQ,MATCH(X$1,SUBQH,0),0),"")</f>
        <v/>
      </c>
      <c r="Y20" s="20">
        <f>IFERROR(VLOOKUP($A20,subQ,MATCH(Y$1,SUBQH,0),0),"")</f>
        <v/>
      </c>
      <c r="Z20" s="20">
        <f>IFERROR(VLOOKUP($A20,subQ,MATCH(Z$1,SUBQH,0),0),"")</f>
        <v/>
      </c>
      <c r="AA20" s="20">
        <f>IFERROR(VLOOKUP($A20,subQ,MATCH(AA$1,SUBQH,0),0),"")</f>
        <v/>
      </c>
      <c r="AB20" s="20">
        <f>IFERROR(VLOOKUP($A20,subQ,MATCH(AB$1,SUBQH,0),0),"")</f>
        <v/>
      </c>
      <c r="AC20" s="20">
        <f>IFERROR(VLOOKUP($A20,subQ,MATCH(AC$1,SUBQH,0),0),"")</f>
        <v/>
      </c>
      <c r="AD20" s="20">
        <f>IFERROR(VLOOKUP($A20,subQ,MATCH(AD$1,SUBQH,0),0),"")</f>
        <v/>
      </c>
      <c r="AE20" s="20">
        <f>IFERROR(VLOOKUP($A20,subQ,MATCH(AE$1,SUBQH,0),0),"")</f>
        <v/>
      </c>
      <c r="AF20" s="20">
        <f>IFERROR(VLOOKUP($A20,subQ,MATCH(AF$1,SUBQH,0),0),"")</f>
        <v/>
      </c>
      <c r="AG20" s="20">
        <f>IFERROR(VLOOKUP($A20,subQ,MATCH(AG$1,SUBQH,0),0),"")</f>
        <v/>
      </c>
    </row>
    <row r="21">
      <c r="A21" s="12" t="inlineStr">
        <is>
          <t>감가상각비</t>
        </is>
      </c>
      <c r="D21" t="inlineStr">
        <is>
          <t>감가상각비</t>
        </is>
      </c>
      <c r="E21" s="18">
        <f>IFERROR(VLOOKUP($A21,subQ,MATCH(E$1,SUBQH,0),0),"")</f>
        <v/>
      </c>
      <c r="F21" s="18">
        <f>IFERROR(VLOOKUP($A21,subQ,MATCH(F$1,SUBQH,0),0),"")</f>
        <v/>
      </c>
      <c r="G21" s="18">
        <f>IFERROR(VLOOKUP($A21,subQ,MATCH(G$1,SUBQH,0),0),"")</f>
        <v/>
      </c>
      <c r="H21" s="18">
        <f>IFERROR(VLOOKUP($A21,subQ,MATCH(H$1,SUBQH,0),0),"")</f>
        <v/>
      </c>
      <c r="I21" s="18">
        <f>IFERROR(VLOOKUP($A21,subQ,MATCH(I$1,SUBQH,0),0),"")</f>
        <v/>
      </c>
      <c r="J21" s="18">
        <f>IFERROR(VLOOKUP($A21,subQ,MATCH(J$1,SUBQH,0),0),"")</f>
        <v/>
      </c>
      <c r="K21" s="18">
        <f>IFERROR(VLOOKUP($A21,subQ,MATCH(K$1,SUBQH,0),0),"")</f>
        <v/>
      </c>
      <c r="L21" s="18">
        <f>IFERROR(VLOOKUP($A21,subQ,MATCH(L$1,SUBQH,0),0),"")</f>
        <v/>
      </c>
      <c r="M21" s="18">
        <f>IFERROR(VLOOKUP($A21,subQ,MATCH(M$1,SUBQH,0),0),"")</f>
        <v/>
      </c>
      <c r="N21" s="18">
        <f>IFERROR(VLOOKUP($A21,subQ,MATCH(N$1,SUBQH,0),0),"")</f>
        <v/>
      </c>
      <c r="O21" s="18">
        <f>IFERROR(VLOOKUP($A21,subQ,MATCH(O$1,SUBQH,0),0),"")</f>
        <v/>
      </c>
      <c r="P21" s="18">
        <f>IFERROR(VLOOKUP($A21,subQ,MATCH(P$1,SUBQH,0),0),"")</f>
        <v/>
      </c>
      <c r="Q21" s="18">
        <f>IFERROR(VLOOKUP($A21,subQ,MATCH(Q$1,SUBQH,0),0),"")</f>
        <v/>
      </c>
      <c r="R21" s="18">
        <f>IFERROR(VLOOKUP($A21,subQ,MATCH(R$1,SUBQH,0),0),"")</f>
        <v/>
      </c>
      <c r="S21" s="18">
        <f>IFERROR(VLOOKUP($A21,subQ,MATCH(S$1,SUBQH,0),0),"")</f>
        <v/>
      </c>
      <c r="T21" s="18">
        <f>IFERROR(VLOOKUP($A21,subQ,MATCH(T$1,SUBQH,0),0),"")</f>
        <v/>
      </c>
      <c r="U21" s="18">
        <f>IFERROR(VLOOKUP($A21,subQ,MATCH(U$1,SUBQH,0),0),"")</f>
        <v/>
      </c>
      <c r="V21" s="18">
        <f>IFERROR(VLOOKUP($A21,subQ,MATCH(V$1,SUBQH,0),0),"")</f>
        <v/>
      </c>
      <c r="W21" s="45">
        <f>IFERROR(VLOOKUP($A21,subQ,MATCH(W$1,SUBQH,0),0),"")</f>
        <v/>
      </c>
      <c r="X21" s="20">
        <f>IFERROR(VLOOKUP($A21,subQ,MATCH(X$1,SUBQH,0),0),"")</f>
        <v/>
      </c>
      <c r="Y21" s="20">
        <f>IFERROR(VLOOKUP($A21,subQ,MATCH(Y$1,SUBQH,0),0),"")</f>
        <v/>
      </c>
      <c r="Z21" s="20">
        <f>IFERROR(VLOOKUP($A21,subQ,MATCH(Z$1,SUBQH,0),0),"")</f>
        <v/>
      </c>
      <c r="AA21" s="20">
        <f>IFERROR(VLOOKUP($A21,subQ,MATCH(AA$1,SUBQH,0),0),"")</f>
        <v/>
      </c>
      <c r="AB21" s="20">
        <f>IFERROR(VLOOKUP($A21,subQ,MATCH(AB$1,SUBQH,0),0),"")</f>
        <v/>
      </c>
      <c r="AC21" s="20">
        <f>IFERROR(VLOOKUP($A21,subQ,MATCH(AC$1,SUBQH,0),0),"")</f>
        <v/>
      </c>
      <c r="AD21" s="20">
        <f>IFERROR(VLOOKUP($A21,subQ,MATCH(AD$1,SUBQH,0),0),"")</f>
        <v/>
      </c>
      <c r="AE21" s="20">
        <f>IFERROR(VLOOKUP($A21,subQ,MATCH(AE$1,SUBQH,0),0),"")</f>
        <v/>
      </c>
      <c r="AF21" s="20">
        <f>IFERROR(VLOOKUP($A21,subQ,MATCH(AF$1,SUBQH,0),0),"")</f>
        <v/>
      </c>
      <c r="AG21" s="20">
        <f>IFERROR(VLOOKUP($A21,subQ,MATCH(AG$1,SUBQH,0),0),"")</f>
        <v/>
      </c>
    </row>
    <row r="22">
      <c r="A22" s="12" t="inlineStr">
        <is>
          <t>EBITDA</t>
        </is>
      </c>
      <c r="D22" t="inlineStr">
        <is>
          <t>EBITDA</t>
        </is>
      </c>
      <c r="E22" s="18">
        <f>IFERROR(VLOOKUP($A22,subQ,MATCH(E$1,SUBQH,0),0),"")</f>
        <v/>
      </c>
      <c r="F22" s="18">
        <f>IFERROR(VLOOKUP($A22,subQ,MATCH(F$1,SUBQH,0),0),"")</f>
        <v/>
      </c>
      <c r="G22" s="18">
        <f>IFERROR(VLOOKUP($A22,subQ,MATCH(G$1,SUBQH,0),0),"")</f>
        <v/>
      </c>
      <c r="H22" s="18">
        <f>IFERROR(VLOOKUP($A22,subQ,MATCH(H$1,SUBQH,0),0),"")</f>
        <v/>
      </c>
      <c r="I22" s="18">
        <f>IFERROR(VLOOKUP($A22,subQ,MATCH(I$1,SUBQH,0),0),"")</f>
        <v/>
      </c>
      <c r="J22" s="18">
        <f>IFERROR(VLOOKUP($A22,subQ,MATCH(J$1,SUBQH,0),0),"")</f>
        <v/>
      </c>
      <c r="K22" s="18">
        <f>IFERROR(VLOOKUP($A22,subQ,MATCH(K$1,SUBQH,0),0),"")</f>
        <v/>
      </c>
      <c r="L22" s="18">
        <f>IFERROR(VLOOKUP($A22,subQ,MATCH(L$1,SUBQH,0),0),"")</f>
        <v/>
      </c>
      <c r="M22" s="18">
        <f>IFERROR(VLOOKUP($A22,subQ,MATCH(M$1,SUBQH,0),0),"")</f>
        <v/>
      </c>
      <c r="N22" s="18">
        <f>IFERROR(VLOOKUP($A22,subQ,MATCH(N$1,SUBQH,0),0),"")</f>
        <v/>
      </c>
      <c r="O22" s="18">
        <f>IFERROR(VLOOKUP($A22,subQ,MATCH(O$1,SUBQH,0),0),"")</f>
        <v/>
      </c>
      <c r="P22" s="18">
        <f>IFERROR(VLOOKUP($A22,subQ,MATCH(P$1,SUBQH,0),0),"")</f>
        <v/>
      </c>
      <c r="Q22" s="18">
        <f>IFERROR(VLOOKUP($A22,subQ,MATCH(Q$1,SUBQH,0),0),"")</f>
        <v/>
      </c>
      <c r="R22" s="18">
        <f>IFERROR(VLOOKUP($A22,subQ,MATCH(R$1,SUBQH,0),0),"")</f>
        <v/>
      </c>
      <c r="S22" s="18">
        <f>IFERROR(VLOOKUP($A22,subQ,MATCH(S$1,SUBQH,0),0),"")</f>
        <v/>
      </c>
      <c r="T22" s="18">
        <f>IFERROR(VLOOKUP($A22,subQ,MATCH(T$1,SUBQH,0),0),"")</f>
        <v/>
      </c>
      <c r="U22" s="18">
        <f>IFERROR(VLOOKUP($A22,subQ,MATCH(U$1,SUBQH,0),0),"")</f>
        <v/>
      </c>
      <c r="V22" s="18">
        <f>IFERROR(VLOOKUP($A22,subQ,MATCH(V$1,SUBQH,0),0),"")</f>
        <v/>
      </c>
      <c r="W22" s="45">
        <f>IFERROR(VLOOKUP($A22,subQ,MATCH(W$1,SUBQH,0),0),"")</f>
        <v/>
      </c>
      <c r="X22" s="20">
        <f>IFERROR(VLOOKUP($A22,subQ,MATCH(X$1,SUBQH,0),0),"")</f>
        <v/>
      </c>
      <c r="Y22" s="20">
        <f>IFERROR(VLOOKUP($A22,subQ,MATCH(Y$1,SUBQH,0),0),"")</f>
        <v/>
      </c>
      <c r="Z22" s="20">
        <f>IFERROR(VLOOKUP($A22,subQ,MATCH(Z$1,SUBQH,0),0),"")</f>
        <v/>
      </c>
      <c r="AA22" s="20">
        <f>IFERROR(VLOOKUP($A22,subQ,MATCH(AA$1,SUBQH,0),0),"")</f>
        <v/>
      </c>
      <c r="AB22" s="20">
        <f>IFERROR(VLOOKUP($A22,subQ,MATCH(AB$1,SUBQH,0),0),"")</f>
        <v/>
      </c>
      <c r="AC22" s="20">
        <f>IFERROR(VLOOKUP($A22,subQ,MATCH(AC$1,SUBQH,0),0),"")</f>
        <v/>
      </c>
      <c r="AD22" s="20">
        <f>IFERROR(VLOOKUP($A22,subQ,MATCH(AD$1,SUBQH,0),0),"")</f>
        <v/>
      </c>
      <c r="AE22" s="20">
        <f>IFERROR(VLOOKUP($A22,subQ,MATCH(AE$1,SUBQH,0),0),"")</f>
        <v/>
      </c>
      <c r="AF22" s="20">
        <f>IFERROR(VLOOKUP($A22,subQ,MATCH(AF$1,SUBQH,0),0),"")</f>
        <v/>
      </c>
      <c r="AG22" s="20">
        <f>IFERROR(VLOOKUP($A22,subQ,MATCH(AG$1,SUBQH,0),0),"")</f>
        <v/>
      </c>
    </row>
    <row r="23">
      <c r="A23" s="12" t="inlineStr">
        <is>
          <t>자산총계</t>
        </is>
      </c>
      <c r="D23" t="inlineStr">
        <is>
          <t>자산총계</t>
        </is>
      </c>
      <c r="E23" s="18">
        <f>IFERROR(VLOOKUP($A23,subQ,MATCH(E$1,SUBQH,0),0),"")</f>
        <v/>
      </c>
      <c r="F23" s="18">
        <f>IFERROR(VLOOKUP($A23,subQ,MATCH(F$1,SUBQH,0),0),"")</f>
        <v/>
      </c>
      <c r="G23" s="18">
        <f>IFERROR(VLOOKUP($A23,subQ,MATCH(G$1,SUBQH,0),0),"")</f>
        <v/>
      </c>
      <c r="H23" s="18">
        <f>IFERROR(VLOOKUP($A23,subQ,MATCH(H$1,SUBQH,0),0),"")</f>
        <v/>
      </c>
      <c r="I23" s="18">
        <f>IFERROR(VLOOKUP($A23,subQ,MATCH(I$1,SUBQH,0),0),"")</f>
        <v/>
      </c>
      <c r="J23" s="18">
        <f>IFERROR(VLOOKUP($A23,subQ,MATCH(J$1,SUBQH,0),0),"")</f>
        <v/>
      </c>
      <c r="K23" s="18">
        <f>IFERROR(VLOOKUP($A23,subQ,MATCH(K$1,SUBQH,0),0),"")</f>
        <v/>
      </c>
      <c r="L23" s="18">
        <f>IFERROR(VLOOKUP($A23,subQ,MATCH(L$1,SUBQH,0),0),"")</f>
        <v/>
      </c>
      <c r="M23" s="18">
        <f>IFERROR(VLOOKUP($A23,subQ,MATCH(M$1,SUBQH,0),0),"")</f>
        <v/>
      </c>
      <c r="N23" s="18">
        <f>IFERROR(VLOOKUP($A23,subQ,MATCH(N$1,SUBQH,0),0),"")</f>
        <v/>
      </c>
      <c r="O23" s="18">
        <f>IFERROR(VLOOKUP($A23,subQ,MATCH(O$1,SUBQH,0),0),"")</f>
        <v/>
      </c>
      <c r="P23" s="18">
        <f>IFERROR(VLOOKUP($A23,subQ,MATCH(P$1,SUBQH,0),0),"")</f>
        <v/>
      </c>
      <c r="Q23" s="18">
        <f>IFERROR(VLOOKUP($A23,subQ,MATCH(Q$1,SUBQH,0),0),"")</f>
        <v/>
      </c>
      <c r="R23" s="18">
        <f>IFERROR(VLOOKUP($A23,subQ,MATCH(R$1,SUBQH,0),0),"")</f>
        <v/>
      </c>
      <c r="S23" s="18">
        <f>IFERROR(VLOOKUP($A23,subQ,MATCH(S$1,SUBQH,0),0),"")</f>
        <v/>
      </c>
      <c r="T23" s="18">
        <f>IFERROR(VLOOKUP($A23,subQ,MATCH(T$1,SUBQH,0),0),"")</f>
        <v/>
      </c>
      <c r="U23" s="18">
        <f>IFERROR(VLOOKUP($A23,subQ,MATCH(U$1,SUBQH,0),0),"")</f>
        <v/>
      </c>
      <c r="V23" s="18">
        <f>IFERROR(VLOOKUP($A23,subQ,MATCH(V$1,SUBQH,0),0),"")</f>
        <v/>
      </c>
      <c r="W23" s="45">
        <f>IFERROR(VLOOKUP($A23,subQ,MATCH(W$1,SUBQH,0),0),"")</f>
        <v/>
      </c>
      <c r="X23" s="20">
        <f>IFERROR(VLOOKUP($A23,subQ,MATCH(X$1,SUBQH,0),0),"")</f>
        <v/>
      </c>
      <c r="Y23" s="20">
        <f>IFERROR(VLOOKUP($A23,subQ,MATCH(Y$1,SUBQH,0),0),"")</f>
        <v/>
      </c>
      <c r="Z23" s="20">
        <f>IFERROR(VLOOKUP($A23,subQ,MATCH(Z$1,SUBQH,0),0),"")</f>
        <v/>
      </c>
      <c r="AA23" s="20">
        <f>IFERROR(VLOOKUP($A23,subQ,MATCH(AA$1,SUBQH,0),0),"")</f>
        <v/>
      </c>
      <c r="AB23" s="20">
        <f>IFERROR(VLOOKUP($A23,subQ,MATCH(AB$1,SUBQH,0),0),"")</f>
        <v/>
      </c>
      <c r="AC23" s="20">
        <f>IFERROR(VLOOKUP($A23,subQ,MATCH(AC$1,SUBQH,0),0),"")</f>
        <v/>
      </c>
      <c r="AD23" s="20">
        <f>IFERROR(VLOOKUP($A23,subQ,MATCH(AD$1,SUBQH,0),0),"")</f>
        <v/>
      </c>
      <c r="AE23" s="20">
        <f>IFERROR(VLOOKUP($A23,subQ,MATCH(AE$1,SUBQH,0),0),"")</f>
        <v/>
      </c>
      <c r="AF23" s="20">
        <f>IFERROR(VLOOKUP($A23,subQ,MATCH(AF$1,SUBQH,0),0),"")</f>
        <v/>
      </c>
      <c r="AG23" s="20">
        <f>IFERROR(VLOOKUP($A23,subQ,MATCH(AG$1,SUBQH,0),0),"")</f>
        <v/>
      </c>
    </row>
    <row r="24">
      <c r="A24" s="12" t="inlineStr">
        <is>
          <t>부채총계</t>
        </is>
      </c>
      <c r="D24" t="inlineStr">
        <is>
          <t>부채총계</t>
        </is>
      </c>
      <c r="E24" s="18">
        <f>IFERROR(VLOOKUP($A24,subQ,MATCH(E$1,SUBQH,0),0),"")</f>
        <v/>
      </c>
      <c r="F24" s="18">
        <f>IFERROR(VLOOKUP($A24,subQ,MATCH(F$1,SUBQH,0),0),"")</f>
        <v/>
      </c>
      <c r="G24" s="18">
        <f>IFERROR(VLOOKUP($A24,subQ,MATCH(G$1,SUBQH,0),0),"")</f>
        <v/>
      </c>
      <c r="H24" s="18">
        <f>IFERROR(VLOOKUP($A24,subQ,MATCH(H$1,SUBQH,0),0),"")</f>
        <v/>
      </c>
      <c r="I24" s="18">
        <f>IFERROR(VLOOKUP($A24,subQ,MATCH(I$1,SUBQH,0),0),"")</f>
        <v/>
      </c>
      <c r="J24" s="18">
        <f>IFERROR(VLOOKUP($A24,subQ,MATCH(J$1,SUBQH,0),0),"")</f>
        <v/>
      </c>
      <c r="K24" s="18">
        <f>IFERROR(VLOOKUP($A24,subQ,MATCH(K$1,SUBQH,0),0),"")</f>
        <v/>
      </c>
      <c r="L24" s="18">
        <f>IFERROR(VLOOKUP($A24,subQ,MATCH(L$1,SUBQH,0),0),"")</f>
        <v/>
      </c>
      <c r="M24" s="18">
        <f>IFERROR(VLOOKUP($A24,subQ,MATCH(M$1,SUBQH,0),0),"")</f>
        <v/>
      </c>
      <c r="N24" s="18">
        <f>IFERROR(VLOOKUP($A24,subQ,MATCH(N$1,SUBQH,0),0),"")</f>
        <v/>
      </c>
      <c r="O24" s="18">
        <f>IFERROR(VLOOKUP($A24,subQ,MATCH(O$1,SUBQH,0),0),"")</f>
        <v/>
      </c>
      <c r="P24" s="18">
        <f>IFERROR(VLOOKUP($A24,subQ,MATCH(P$1,SUBQH,0),0),"")</f>
        <v/>
      </c>
      <c r="Q24" s="18">
        <f>IFERROR(VLOOKUP($A24,subQ,MATCH(Q$1,SUBQH,0),0),"")</f>
        <v/>
      </c>
      <c r="R24" s="18">
        <f>IFERROR(VLOOKUP($A24,subQ,MATCH(R$1,SUBQH,0),0),"")</f>
        <v/>
      </c>
      <c r="S24" s="18">
        <f>IFERROR(VLOOKUP($A24,subQ,MATCH(S$1,SUBQH,0),0),"")</f>
        <v/>
      </c>
      <c r="T24" s="18">
        <f>IFERROR(VLOOKUP($A24,subQ,MATCH(T$1,SUBQH,0),0),"")</f>
        <v/>
      </c>
      <c r="U24" s="18">
        <f>IFERROR(VLOOKUP($A24,subQ,MATCH(U$1,SUBQH,0),0),"")</f>
        <v/>
      </c>
      <c r="V24" s="18">
        <f>IFERROR(VLOOKUP($A24,subQ,MATCH(V$1,SUBQH,0),0),"")</f>
        <v/>
      </c>
      <c r="W24" s="45">
        <f>IFERROR(VLOOKUP($A24,subQ,MATCH(W$1,SUBQH,0),0),"")</f>
        <v/>
      </c>
      <c r="X24" s="20">
        <f>IFERROR(VLOOKUP($A24,subQ,MATCH(X$1,SUBQH,0),0),"")</f>
        <v/>
      </c>
      <c r="Y24" s="20">
        <f>IFERROR(VLOOKUP($A24,subQ,MATCH(Y$1,SUBQH,0),0),"")</f>
        <v/>
      </c>
      <c r="Z24" s="20">
        <f>IFERROR(VLOOKUP($A24,subQ,MATCH(Z$1,SUBQH,0),0),"")</f>
        <v/>
      </c>
      <c r="AA24" s="20">
        <f>IFERROR(VLOOKUP($A24,subQ,MATCH(AA$1,SUBQH,0),0),"")</f>
        <v/>
      </c>
      <c r="AB24" s="20">
        <f>IFERROR(VLOOKUP($A24,subQ,MATCH(AB$1,SUBQH,0),0),"")</f>
        <v/>
      </c>
      <c r="AC24" s="20">
        <f>IFERROR(VLOOKUP($A24,subQ,MATCH(AC$1,SUBQH,0),0),"")</f>
        <v/>
      </c>
      <c r="AD24" s="20">
        <f>IFERROR(VLOOKUP($A24,subQ,MATCH(AD$1,SUBQH,0),0),"")</f>
        <v/>
      </c>
      <c r="AE24" s="20">
        <f>IFERROR(VLOOKUP($A24,subQ,MATCH(AE$1,SUBQH,0),0),"")</f>
        <v/>
      </c>
      <c r="AF24" s="20">
        <f>IFERROR(VLOOKUP($A24,subQ,MATCH(AF$1,SUBQH,0),0),"")</f>
        <v/>
      </c>
      <c r="AG24" s="20">
        <f>IFERROR(VLOOKUP($A24,subQ,MATCH(AG$1,SUBQH,0),0),"")</f>
        <v/>
      </c>
    </row>
    <row r="25">
      <c r="A25" s="12" t="inlineStr">
        <is>
          <t>자본총계</t>
        </is>
      </c>
      <c r="D25" t="inlineStr">
        <is>
          <t>자본총계</t>
        </is>
      </c>
      <c r="E25" s="18">
        <f>IFERROR(VLOOKUP($A25,subQ,MATCH(E$1,SUBQH,0),0),"")</f>
        <v/>
      </c>
      <c r="F25" s="18">
        <f>IFERROR(VLOOKUP($A25,subQ,MATCH(F$1,SUBQH,0),0),"")</f>
        <v/>
      </c>
      <c r="G25" s="18">
        <f>IFERROR(VLOOKUP($A25,subQ,MATCH(G$1,SUBQH,0),0),"")</f>
        <v/>
      </c>
      <c r="H25" s="18">
        <f>IFERROR(VLOOKUP($A25,subQ,MATCH(H$1,SUBQH,0),0),"")</f>
        <v/>
      </c>
      <c r="I25" s="18">
        <f>IFERROR(VLOOKUP($A25,subQ,MATCH(I$1,SUBQH,0),0),"")</f>
        <v/>
      </c>
      <c r="J25" s="18">
        <f>IFERROR(VLOOKUP($A25,subQ,MATCH(J$1,SUBQH,0),0),"")</f>
        <v/>
      </c>
      <c r="K25" s="18">
        <f>IFERROR(VLOOKUP($A25,subQ,MATCH(K$1,SUBQH,0),0),"")</f>
        <v/>
      </c>
      <c r="L25" s="18">
        <f>IFERROR(VLOOKUP($A25,subQ,MATCH(L$1,SUBQH,0),0),"")</f>
        <v/>
      </c>
      <c r="M25" s="18">
        <f>IFERROR(VLOOKUP($A25,subQ,MATCH(M$1,SUBQH,0),0),"")</f>
        <v/>
      </c>
      <c r="N25" s="18">
        <f>IFERROR(VLOOKUP($A25,subQ,MATCH(N$1,SUBQH,0),0),"")</f>
        <v/>
      </c>
      <c r="O25" s="18">
        <f>IFERROR(VLOOKUP($A25,subQ,MATCH(O$1,SUBQH,0),0),"")</f>
        <v/>
      </c>
      <c r="P25" s="18">
        <f>IFERROR(VLOOKUP($A25,subQ,MATCH(P$1,SUBQH,0),0),"")</f>
        <v/>
      </c>
      <c r="Q25" s="18">
        <f>IFERROR(VLOOKUP($A25,subQ,MATCH(Q$1,SUBQH,0),0),"")</f>
        <v/>
      </c>
      <c r="R25" s="18">
        <f>IFERROR(VLOOKUP($A25,subQ,MATCH(R$1,SUBQH,0),0),"")</f>
        <v/>
      </c>
      <c r="S25" s="18">
        <f>IFERROR(VLOOKUP($A25,subQ,MATCH(S$1,SUBQH,0),0),"")</f>
        <v/>
      </c>
      <c r="T25" s="18">
        <f>IFERROR(VLOOKUP($A25,subQ,MATCH(T$1,SUBQH,0),0),"")</f>
        <v/>
      </c>
      <c r="U25" s="18">
        <f>IFERROR(VLOOKUP($A25,subQ,MATCH(U$1,SUBQH,0),0),"")</f>
        <v/>
      </c>
      <c r="V25" s="18">
        <f>IFERROR(VLOOKUP($A25,subQ,MATCH(V$1,SUBQH,0),0),"")</f>
        <v/>
      </c>
      <c r="W25" s="45">
        <f>IFERROR(VLOOKUP($A25,subQ,MATCH(W$1,SUBQH,0),0),"")</f>
        <v/>
      </c>
      <c r="X25" s="20">
        <f>IFERROR(VLOOKUP($A25,subQ,MATCH(X$1,SUBQH,0),0),"")</f>
        <v/>
      </c>
      <c r="Y25" s="20">
        <f>IFERROR(VLOOKUP($A25,subQ,MATCH(Y$1,SUBQH,0),0),"")</f>
        <v/>
      </c>
      <c r="Z25" s="20">
        <f>IFERROR(VLOOKUP($A25,subQ,MATCH(Z$1,SUBQH,0),0),"")</f>
        <v/>
      </c>
      <c r="AA25" s="20">
        <f>IFERROR(VLOOKUP($A25,subQ,MATCH(AA$1,SUBQH,0),0),"")</f>
        <v/>
      </c>
      <c r="AB25" s="20">
        <f>IFERROR(VLOOKUP($A25,subQ,MATCH(AB$1,SUBQH,0),0),"")</f>
        <v/>
      </c>
      <c r="AC25" s="20">
        <f>IFERROR(VLOOKUP($A25,subQ,MATCH(AC$1,SUBQH,0),0),"")</f>
        <v/>
      </c>
      <c r="AD25" s="20">
        <f>IFERROR(VLOOKUP($A25,subQ,MATCH(AD$1,SUBQH,0),0),"")</f>
        <v/>
      </c>
      <c r="AE25" s="20">
        <f>IFERROR(VLOOKUP($A25,subQ,MATCH(AE$1,SUBQH,0),0),"")</f>
        <v/>
      </c>
      <c r="AF25" s="20">
        <f>IFERROR(VLOOKUP($A25,subQ,MATCH(AF$1,SUBQH,0),0),"")</f>
        <v/>
      </c>
      <c r="AG25" s="20">
        <f>IFERROR(VLOOKUP($A25,subQ,MATCH(AG$1,SUBQH,0),0),"")</f>
        <v/>
      </c>
    </row>
    <row r="26">
      <c r="A26" s="12" t="inlineStr">
        <is>
          <t>지배주주지분</t>
        </is>
      </c>
      <c r="D26" t="inlineStr">
        <is>
          <t>지배주주지분</t>
        </is>
      </c>
      <c r="E26" s="18">
        <f>IFERROR(VLOOKUP($A26,subQ,MATCH(E$1,SUBQH,0),0),"")</f>
        <v/>
      </c>
      <c r="F26" s="18">
        <f>IFERROR(VLOOKUP($A26,subQ,MATCH(F$1,SUBQH,0),0),"")</f>
        <v/>
      </c>
      <c r="G26" s="18">
        <f>IFERROR(VLOOKUP($A26,subQ,MATCH(G$1,SUBQH,0),0),"")</f>
        <v/>
      </c>
      <c r="H26" s="18">
        <f>IFERROR(VLOOKUP($A26,subQ,MATCH(H$1,SUBQH,0),0),"")</f>
        <v/>
      </c>
      <c r="I26" s="18">
        <f>IFERROR(VLOOKUP($A26,subQ,MATCH(I$1,SUBQH,0),0),"")</f>
        <v/>
      </c>
      <c r="J26" s="18">
        <f>IFERROR(VLOOKUP($A26,subQ,MATCH(J$1,SUBQH,0),0),"")</f>
        <v/>
      </c>
      <c r="K26" s="18">
        <f>IFERROR(VLOOKUP($A26,subQ,MATCH(K$1,SUBQH,0),0),"")</f>
        <v/>
      </c>
      <c r="L26" s="18">
        <f>IFERROR(VLOOKUP($A26,subQ,MATCH(L$1,SUBQH,0),0),"")</f>
        <v/>
      </c>
      <c r="M26" s="18">
        <f>IFERROR(VLOOKUP($A26,subQ,MATCH(M$1,SUBQH,0),0),"")</f>
        <v/>
      </c>
      <c r="N26" s="18">
        <f>IFERROR(VLOOKUP($A26,subQ,MATCH(N$1,SUBQH,0),0),"")</f>
        <v/>
      </c>
      <c r="O26" s="18">
        <f>IFERROR(VLOOKUP($A26,subQ,MATCH(O$1,SUBQH,0),0),"")</f>
        <v/>
      </c>
      <c r="P26" s="18">
        <f>IFERROR(VLOOKUP($A26,subQ,MATCH(P$1,SUBQH,0),0),"")</f>
        <v/>
      </c>
      <c r="Q26" s="18">
        <f>IFERROR(VLOOKUP($A26,subQ,MATCH(Q$1,SUBQH,0),0),"")</f>
        <v/>
      </c>
      <c r="R26" s="18">
        <f>IFERROR(VLOOKUP($A26,subQ,MATCH(R$1,SUBQH,0),0),"")</f>
        <v/>
      </c>
      <c r="S26" s="18">
        <f>IFERROR(VLOOKUP($A26,subQ,MATCH(S$1,SUBQH,0),0),"")</f>
        <v/>
      </c>
      <c r="T26" s="18">
        <f>IFERROR(VLOOKUP($A26,subQ,MATCH(T$1,SUBQH,0),0),"")</f>
        <v/>
      </c>
      <c r="U26" s="18">
        <f>IFERROR(VLOOKUP($A26,subQ,MATCH(U$1,SUBQH,0),0),"")</f>
        <v/>
      </c>
      <c r="V26" s="18">
        <f>IFERROR(VLOOKUP($A26,subQ,MATCH(V$1,SUBQH,0),0),"")</f>
        <v/>
      </c>
      <c r="W26" s="45">
        <f>IFERROR(VLOOKUP($A26,subQ,MATCH(W$1,SUBQH,0),0),"")</f>
        <v/>
      </c>
      <c r="X26" s="20">
        <f>IFERROR(VLOOKUP($A26,subQ,MATCH(X$1,SUBQH,0),0),"")</f>
        <v/>
      </c>
      <c r="Y26" s="20">
        <f>IFERROR(VLOOKUP($A26,subQ,MATCH(Y$1,SUBQH,0),0),"")</f>
        <v/>
      </c>
      <c r="Z26" s="20">
        <f>IFERROR(VLOOKUP($A26,subQ,MATCH(Z$1,SUBQH,0),0),"")</f>
        <v/>
      </c>
      <c r="AA26" s="20">
        <f>IFERROR(VLOOKUP($A26,subQ,MATCH(AA$1,SUBQH,0),0),"")</f>
        <v/>
      </c>
      <c r="AB26" s="20">
        <f>IFERROR(VLOOKUP($A26,subQ,MATCH(AB$1,SUBQH,0),0),"")</f>
        <v/>
      </c>
      <c r="AC26" s="20">
        <f>IFERROR(VLOOKUP($A26,subQ,MATCH(AC$1,SUBQH,0),0),"")</f>
        <v/>
      </c>
      <c r="AD26" s="20">
        <f>IFERROR(VLOOKUP($A26,subQ,MATCH(AD$1,SUBQH,0),0),"")</f>
        <v/>
      </c>
      <c r="AE26" s="20">
        <f>IFERROR(VLOOKUP($A26,subQ,MATCH(AE$1,SUBQH,0),0),"")</f>
        <v/>
      </c>
      <c r="AF26" s="20">
        <f>IFERROR(VLOOKUP($A26,subQ,MATCH(AF$1,SUBQH,0),0),"")</f>
        <v/>
      </c>
      <c r="AG26" s="20">
        <f>IFERROR(VLOOKUP($A26,subQ,MATCH(AG$1,SUBQH,0),0),"")</f>
        <v/>
      </c>
    </row>
    <row r="27">
      <c r="A27" s="12" t="inlineStr">
        <is>
          <t>총차입금</t>
        </is>
      </c>
      <c r="D27" t="inlineStr">
        <is>
          <t>총차입금</t>
        </is>
      </c>
      <c r="E27" s="18">
        <f>IFERROR(VLOOKUP($A27,subQ,MATCH(E$1,SUBQH,0),0),"")</f>
        <v/>
      </c>
      <c r="F27" s="18">
        <f>IFERROR(VLOOKUP($A27,subQ,MATCH(F$1,SUBQH,0),0),"")</f>
        <v/>
      </c>
      <c r="G27" s="18">
        <f>IFERROR(VLOOKUP($A27,subQ,MATCH(G$1,SUBQH,0),0),"")</f>
        <v/>
      </c>
      <c r="H27" s="18">
        <f>IFERROR(VLOOKUP($A27,subQ,MATCH(H$1,SUBQH,0),0),"")</f>
        <v/>
      </c>
      <c r="I27" s="18">
        <f>IFERROR(VLOOKUP($A27,subQ,MATCH(I$1,SUBQH,0),0),"")</f>
        <v/>
      </c>
      <c r="J27" s="18">
        <f>IFERROR(VLOOKUP($A27,subQ,MATCH(J$1,SUBQH,0),0),"")</f>
        <v/>
      </c>
      <c r="K27" s="18">
        <f>IFERROR(VLOOKUP($A27,subQ,MATCH(K$1,SUBQH,0),0),"")</f>
        <v/>
      </c>
      <c r="L27" s="18">
        <f>IFERROR(VLOOKUP($A27,subQ,MATCH(L$1,SUBQH,0),0),"")</f>
        <v/>
      </c>
      <c r="M27" s="18">
        <f>IFERROR(VLOOKUP($A27,subQ,MATCH(M$1,SUBQH,0),0),"")</f>
        <v/>
      </c>
      <c r="N27" s="18">
        <f>IFERROR(VLOOKUP($A27,subQ,MATCH(N$1,SUBQH,0),0),"")</f>
        <v/>
      </c>
      <c r="O27" s="18">
        <f>IFERROR(VLOOKUP($A27,subQ,MATCH(O$1,SUBQH,0),0),"")</f>
        <v/>
      </c>
      <c r="P27" s="18">
        <f>IFERROR(VLOOKUP($A27,subQ,MATCH(P$1,SUBQH,0),0),"")</f>
        <v/>
      </c>
      <c r="Q27" s="18">
        <f>IFERROR(VLOOKUP($A27,subQ,MATCH(Q$1,SUBQH,0),0),"")</f>
        <v/>
      </c>
      <c r="R27" s="18">
        <f>IFERROR(VLOOKUP($A27,subQ,MATCH(R$1,SUBQH,0),0),"")</f>
        <v/>
      </c>
      <c r="S27" s="18">
        <f>IFERROR(VLOOKUP($A27,subQ,MATCH(S$1,SUBQH,0),0),"")</f>
        <v/>
      </c>
      <c r="T27" s="18">
        <f>IFERROR(VLOOKUP($A27,subQ,MATCH(T$1,SUBQH,0),0),"")</f>
        <v/>
      </c>
      <c r="U27" s="18">
        <f>IFERROR(VLOOKUP($A27,subQ,MATCH(U$1,SUBQH,0),0),"")</f>
        <v/>
      </c>
      <c r="V27" s="18">
        <f>IFERROR(VLOOKUP($A27,subQ,MATCH(V$1,SUBQH,0),0),"")</f>
        <v/>
      </c>
      <c r="W27" s="45">
        <f>IFERROR(VLOOKUP($A27,subQ,MATCH(W$1,SUBQH,0),0),"")</f>
        <v/>
      </c>
      <c r="X27" s="20">
        <f>IFERROR(VLOOKUP($A27,subQ,MATCH(X$1,SUBQH,0),0),"")</f>
        <v/>
      </c>
      <c r="Y27" s="20">
        <f>IFERROR(VLOOKUP($A27,subQ,MATCH(Y$1,SUBQH,0),0),"")</f>
        <v/>
      </c>
      <c r="Z27" s="20">
        <f>IFERROR(VLOOKUP($A27,subQ,MATCH(Z$1,SUBQH,0),0),"")</f>
        <v/>
      </c>
      <c r="AA27" s="20">
        <f>IFERROR(VLOOKUP($A27,subQ,MATCH(AA$1,SUBQH,0),0),"")</f>
        <v/>
      </c>
      <c r="AB27" s="20">
        <f>IFERROR(VLOOKUP($A27,subQ,MATCH(AB$1,SUBQH,0),0),"")</f>
        <v/>
      </c>
      <c r="AC27" s="20">
        <f>IFERROR(VLOOKUP($A27,subQ,MATCH(AC$1,SUBQH,0),0),"")</f>
        <v/>
      </c>
      <c r="AD27" s="20">
        <f>IFERROR(VLOOKUP($A27,subQ,MATCH(AD$1,SUBQH,0),0),"")</f>
        <v/>
      </c>
      <c r="AE27" s="20">
        <f>IFERROR(VLOOKUP($A27,subQ,MATCH(AE$1,SUBQH,0),0),"")</f>
        <v/>
      </c>
      <c r="AF27" s="20">
        <f>IFERROR(VLOOKUP($A27,subQ,MATCH(AF$1,SUBQH,0),0),"")</f>
        <v/>
      </c>
      <c r="AG27" s="20">
        <f>IFERROR(VLOOKUP($A27,subQ,MATCH(AG$1,SUBQH,0),0),"")</f>
        <v/>
      </c>
    </row>
    <row r="28">
      <c r="A28" s="12" t="inlineStr">
        <is>
          <t>순차입금</t>
        </is>
      </c>
      <c r="D28" t="inlineStr">
        <is>
          <t>순차입금</t>
        </is>
      </c>
      <c r="E28" s="18">
        <f>IFERROR(VLOOKUP($A28,subQ,MATCH(E$1,SUBQH,0),0),"")</f>
        <v/>
      </c>
      <c r="F28" s="18">
        <f>IFERROR(VLOOKUP($A28,subQ,MATCH(F$1,SUBQH,0),0),"")</f>
        <v/>
      </c>
      <c r="G28" s="18">
        <f>IFERROR(VLOOKUP($A28,subQ,MATCH(G$1,SUBQH,0),0),"")</f>
        <v/>
      </c>
      <c r="H28" s="18">
        <f>IFERROR(VLOOKUP($A28,subQ,MATCH(H$1,SUBQH,0),0),"")</f>
        <v/>
      </c>
      <c r="I28" s="18">
        <f>IFERROR(VLOOKUP($A28,subQ,MATCH(I$1,SUBQH,0),0),"")</f>
        <v/>
      </c>
      <c r="J28" s="18">
        <f>IFERROR(VLOOKUP($A28,subQ,MATCH(J$1,SUBQH,0),0),"")</f>
        <v/>
      </c>
      <c r="K28" s="18">
        <f>IFERROR(VLOOKUP($A28,subQ,MATCH(K$1,SUBQH,0),0),"")</f>
        <v/>
      </c>
      <c r="L28" s="18">
        <f>IFERROR(VLOOKUP($A28,subQ,MATCH(L$1,SUBQH,0),0),"")</f>
        <v/>
      </c>
      <c r="M28" s="18">
        <f>IFERROR(VLOOKUP($A28,subQ,MATCH(M$1,SUBQH,0),0),"")</f>
        <v/>
      </c>
      <c r="N28" s="18">
        <f>IFERROR(VLOOKUP($A28,subQ,MATCH(N$1,SUBQH,0),0),"")</f>
        <v/>
      </c>
      <c r="O28" s="18">
        <f>IFERROR(VLOOKUP($A28,subQ,MATCH(O$1,SUBQH,0),0),"")</f>
        <v/>
      </c>
      <c r="P28" s="18">
        <f>IFERROR(VLOOKUP($A28,subQ,MATCH(P$1,SUBQH,0),0),"")</f>
        <v/>
      </c>
      <c r="Q28" s="18">
        <f>IFERROR(VLOOKUP($A28,subQ,MATCH(Q$1,SUBQH,0),0),"")</f>
        <v/>
      </c>
      <c r="R28" s="18">
        <f>IFERROR(VLOOKUP($A28,subQ,MATCH(R$1,SUBQH,0),0),"")</f>
        <v/>
      </c>
      <c r="S28" s="18">
        <f>IFERROR(VLOOKUP($A28,subQ,MATCH(S$1,SUBQH,0),0),"")</f>
        <v/>
      </c>
      <c r="T28" s="18">
        <f>IFERROR(VLOOKUP($A28,subQ,MATCH(T$1,SUBQH,0),0),"")</f>
        <v/>
      </c>
      <c r="U28" s="18">
        <f>IFERROR(VLOOKUP($A28,subQ,MATCH(U$1,SUBQH,0),0),"")</f>
        <v/>
      </c>
      <c r="V28" s="18">
        <f>IFERROR(VLOOKUP($A28,subQ,MATCH(V$1,SUBQH,0),0),"")</f>
        <v/>
      </c>
      <c r="W28" s="45">
        <f>IFERROR(VLOOKUP($A28,subQ,MATCH(W$1,SUBQH,0),0),"")</f>
        <v/>
      </c>
      <c r="X28" s="20">
        <f>IFERROR(VLOOKUP($A28,subQ,MATCH(X$1,SUBQH,0),0),"")</f>
        <v/>
      </c>
      <c r="Y28" s="20">
        <f>IFERROR(VLOOKUP($A28,subQ,MATCH(Y$1,SUBQH,0),0),"")</f>
        <v/>
      </c>
      <c r="Z28" s="20">
        <f>IFERROR(VLOOKUP($A28,subQ,MATCH(Z$1,SUBQH,0),0),"")</f>
        <v/>
      </c>
      <c r="AA28" s="20">
        <f>IFERROR(VLOOKUP($A28,subQ,MATCH(AA$1,SUBQH,0),0),"")</f>
        <v/>
      </c>
      <c r="AB28" s="20">
        <f>IFERROR(VLOOKUP($A28,subQ,MATCH(AB$1,SUBQH,0),0),"")</f>
        <v/>
      </c>
      <c r="AC28" s="20">
        <f>IFERROR(VLOOKUP($A28,subQ,MATCH(AC$1,SUBQH,0),0),"")</f>
        <v/>
      </c>
      <c r="AD28" s="20">
        <f>IFERROR(VLOOKUP($A28,subQ,MATCH(AD$1,SUBQH,0),0),"")</f>
        <v/>
      </c>
      <c r="AE28" s="20">
        <f>IFERROR(VLOOKUP($A28,subQ,MATCH(AE$1,SUBQH,0),0),"")</f>
        <v/>
      </c>
      <c r="AF28" s="20">
        <f>IFERROR(VLOOKUP($A28,subQ,MATCH(AF$1,SUBQH,0),0),"")</f>
        <v/>
      </c>
      <c r="AG28" s="20">
        <f>IFERROR(VLOOKUP($A28,subQ,MATCH(AG$1,SUBQH,0),0),"")</f>
        <v/>
      </c>
    </row>
    <row r="29">
      <c r="A29" s="12" t="inlineStr">
        <is>
          <t>이자발생자산</t>
        </is>
      </c>
      <c r="D29" t="inlineStr">
        <is>
          <t>이자발생자산</t>
        </is>
      </c>
      <c r="E29" s="18">
        <f>IFERROR(VLOOKUP($A29,subQ,MATCH(E$1,SUBQH,0),0),"")</f>
        <v/>
      </c>
      <c r="F29" s="18">
        <f>IFERROR(VLOOKUP($A29,subQ,MATCH(F$1,SUBQH,0),0),"")</f>
        <v/>
      </c>
      <c r="G29" s="18">
        <f>IFERROR(VLOOKUP($A29,subQ,MATCH(G$1,SUBQH,0),0),"")</f>
        <v/>
      </c>
      <c r="H29" s="18">
        <f>IFERROR(VLOOKUP($A29,subQ,MATCH(H$1,SUBQH,0),0),"")</f>
        <v/>
      </c>
      <c r="I29" s="18">
        <f>IFERROR(VLOOKUP($A29,subQ,MATCH(I$1,SUBQH,0),0),"")</f>
        <v/>
      </c>
      <c r="J29" s="18">
        <f>IFERROR(VLOOKUP($A29,subQ,MATCH(J$1,SUBQH,0),0),"")</f>
        <v/>
      </c>
      <c r="K29" s="18">
        <f>IFERROR(VLOOKUP($A29,subQ,MATCH(K$1,SUBQH,0),0),"")</f>
        <v/>
      </c>
      <c r="L29" s="18">
        <f>IFERROR(VLOOKUP($A29,subQ,MATCH(L$1,SUBQH,0),0),"")</f>
        <v/>
      </c>
      <c r="M29" s="18">
        <f>IFERROR(VLOOKUP($A29,subQ,MATCH(M$1,SUBQH,0),0),"")</f>
        <v/>
      </c>
      <c r="N29" s="18">
        <f>IFERROR(VLOOKUP($A29,subQ,MATCH(N$1,SUBQH,0),0),"")</f>
        <v/>
      </c>
      <c r="O29" s="18">
        <f>IFERROR(VLOOKUP($A29,subQ,MATCH(O$1,SUBQH,0),0),"")</f>
        <v/>
      </c>
      <c r="P29" s="18">
        <f>IFERROR(VLOOKUP($A29,subQ,MATCH(P$1,SUBQH,0),0),"")</f>
        <v/>
      </c>
      <c r="Q29" s="18">
        <f>IFERROR(VLOOKUP($A29,subQ,MATCH(Q$1,SUBQH,0),0),"")</f>
        <v/>
      </c>
      <c r="R29" s="18">
        <f>IFERROR(VLOOKUP($A29,subQ,MATCH(R$1,SUBQH,0),0),"")</f>
        <v/>
      </c>
      <c r="S29" s="18">
        <f>IFERROR(VLOOKUP($A29,subQ,MATCH(S$1,SUBQH,0),0),"")</f>
        <v/>
      </c>
      <c r="T29" s="18">
        <f>IFERROR(VLOOKUP($A29,subQ,MATCH(T$1,SUBQH,0),0),"")</f>
        <v/>
      </c>
      <c r="U29" s="18">
        <f>IFERROR(VLOOKUP($A29,subQ,MATCH(U$1,SUBQH,0),0),"")</f>
        <v/>
      </c>
      <c r="V29" s="18">
        <f>IFERROR(VLOOKUP($A29,subQ,MATCH(V$1,SUBQH,0),0),"")</f>
        <v/>
      </c>
      <c r="W29" s="45">
        <f>IFERROR(VLOOKUP($A29,subQ,MATCH(W$1,SUBQH,0),0),"")</f>
        <v/>
      </c>
      <c r="X29" s="20">
        <f>IFERROR(VLOOKUP($A29,subQ,MATCH(X$1,SUBQH,0),0),"")</f>
        <v/>
      </c>
      <c r="Y29" s="20">
        <f>IFERROR(VLOOKUP($A29,subQ,MATCH(Y$1,SUBQH,0),0),"")</f>
        <v/>
      </c>
      <c r="Z29" s="20">
        <f>IFERROR(VLOOKUP($A29,subQ,MATCH(Z$1,SUBQH,0),0),"")</f>
        <v/>
      </c>
      <c r="AA29" s="20">
        <f>IFERROR(VLOOKUP($A29,subQ,MATCH(AA$1,SUBQH,0),0),"")</f>
        <v/>
      </c>
      <c r="AB29" s="20">
        <f>IFERROR(VLOOKUP($A29,subQ,MATCH(AB$1,SUBQH,0),0),"")</f>
        <v/>
      </c>
      <c r="AC29" s="20">
        <f>IFERROR(VLOOKUP($A29,subQ,MATCH(AC$1,SUBQH,0),0),"")</f>
        <v/>
      </c>
      <c r="AD29" s="20">
        <f>IFERROR(VLOOKUP($A29,subQ,MATCH(AD$1,SUBQH,0),0),"")</f>
        <v/>
      </c>
      <c r="AE29" s="20">
        <f>IFERROR(VLOOKUP($A29,subQ,MATCH(AE$1,SUBQH,0),0),"")</f>
        <v/>
      </c>
      <c r="AF29" s="20">
        <f>IFERROR(VLOOKUP($A29,subQ,MATCH(AF$1,SUBQH,0),0),"")</f>
        <v/>
      </c>
      <c r="AG29" s="20">
        <f>IFERROR(VLOOKUP($A29,subQ,MATCH(AG$1,SUBQH,0),0),"")</f>
        <v/>
      </c>
    </row>
    <row r="30">
      <c r="A30" s="12" t="inlineStr">
        <is>
          <t>현금및현금성자산</t>
        </is>
      </c>
      <c r="D30" t="inlineStr">
        <is>
          <t>현금및현금성자산</t>
        </is>
      </c>
      <c r="E30" s="18">
        <f>IFERROR(VLOOKUP($A30,subQ,MATCH(E$1,SUBQH,0),0),"")</f>
        <v/>
      </c>
      <c r="F30" s="18">
        <f>IFERROR(VLOOKUP($A30,subQ,MATCH(F$1,SUBQH,0),0),"")</f>
        <v/>
      </c>
      <c r="G30" s="18">
        <f>IFERROR(VLOOKUP($A30,subQ,MATCH(G$1,SUBQH,0),0),"")</f>
        <v/>
      </c>
      <c r="H30" s="18">
        <f>IFERROR(VLOOKUP($A30,subQ,MATCH(H$1,SUBQH,0),0),"")</f>
        <v/>
      </c>
      <c r="I30" s="18">
        <f>IFERROR(VLOOKUP($A30,subQ,MATCH(I$1,SUBQH,0),0),"")</f>
        <v/>
      </c>
      <c r="J30" s="18">
        <f>IFERROR(VLOOKUP($A30,subQ,MATCH(J$1,SUBQH,0),0),"")</f>
        <v/>
      </c>
      <c r="K30" s="18">
        <f>IFERROR(VLOOKUP($A30,subQ,MATCH(K$1,SUBQH,0),0),"")</f>
        <v/>
      </c>
      <c r="L30" s="18">
        <f>IFERROR(VLOOKUP($A30,subQ,MATCH(L$1,SUBQH,0),0),"")</f>
        <v/>
      </c>
      <c r="M30" s="18">
        <f>IFERROR(VLOOKUP($A30,subQ,MATCH(M$1,SUBQH,0),0),"")</f>
        <v/>
      </c>
      <c r="N30" s="18">
        <f>IFERROR(VLOOKUP($A30,subQ,MATCH(N$1,SUBQH,0),0),"")</f>
        <v/>
      </c>
      <c r="O30" s="18">
        <f>IFERROR(VLOOKUP($A30,subQ,MATCH(O$1,SUBQH,0),0),"")</f>
        <v/>
      </c>
      <c r="P30" s="18">
        <f>IFERROR(VLOOKUP($A30,subQ,MATCH(P$1,SUBQH,0),0),"")</f>
        <v/>
      </c>
      <c r="Q30" s="18">
        <f>IFERROR(VLOOKUP($A30,subQ,MATCH(Q$1,SUBQH,0),0),"")</f>
        <v/>
      </c>
      <c r="R30" s="18">
        <f>IFERROR(VLOOKUP($A30,subQ,MATCH(R$1,SUBQH,0),0),"")</f>
        <v/>
      </c>
      <c r="S30" s="18">
        <f>IFERROR(VLOOKUP($A30,subQ,MATCH(S$1,SUBQH,0),0),"")</f>
        <v/>
      </c>
      <c r="T30" s="18">
        <f>IFERROR(VLOOKUP($A30,subQ,MATCH(T$1,SUBQH,0),0),"")</f>
        <v/>
      </c>
      <c r="U30" s="18">
        <f>IFERROR(VLOOKUP($A30,subQ,MATCH(U$1,SUBQH,0),0),"")</f>
        <v/>
      </c>
      <c r="V30" s="18">
        <f>IFERROR(VLOOKUP($A30,subQ,MATCH(V$1,SUBQH,0),0),"")</f>
        <v/>
      </c>
      <c r="W30" s="45">
        <f>IFERROR(VLOOKUP($A30,subQ,MATCH(W$1,SUBQH,0),0),"")</f>
        <v/>
      </c>
      <c r="X30" s="20">
        <f>IFERROR(VLOOKUP($A30,subQ,MATCH(X$1,SUBQH,0),0),"")</f>
        <v/>
      </c>
      <c r="Y30" s="20">
        <f>IFERROR(VLOOKUP($A30,subQ,MATCH(Y$1,SUBQH,0),0),"")</f>
        <v/>
      </c>
      <c r="Z30" s="20">
        <f>IFERROR(VLOOKUP($A30,subQ,MATCH(Z$1,SUBQH,0),0),"")</f>
        <v/>
      </c>
      <c r="AA30" s="20">
        <f>IFERROR(VLOOKUP($A30,subQ,MATCH(AA$1,SUBQH,0),0),"")</f>
        <v/>
      </c>
      <c r="AB30" s="20">
        <f>IFERROR(VLOOKUP($A30,subQ,MATCH(AB$1,SUBQH,0),0),"")</f>
        <v/>
      </c>
      <c r="AC30" s="20">
        <f>IFERROR(VLOOKUP($A30,subQ,MATCH(AC$1,SUBQH,0),0),"")</f>
        <v/>
      </c>
      <c r="AD30" s="20">
        <f>IFERROR(VLOOKUP($A30,subQ,MATCH(AD$1,SUBQH,0),0),"")</f>
        <v/>
      </c>
      <c r="AE30" s="20">
        <f>IFERROR(VLOOKUP($A30,subQ,MATCH(AE$1,SUBQH,0),0),"")</f>
        <v/>
      </c>
      <c r="AF30" s="20">
        <f>IFERROR(VLOOKUP($A30,subQ,MATCH(AF$1,SUBQH,0),0),"")</f>
        <v/>
      </c>
      <c r="AG30" s="20">
        <f>IFERROR(VLOOKUP($A30,subQ,MATCH(AG$1,SUBQH,0),0),"")</f>
        <v/>
      </c>
    </row>
    <row r="31">
      <c r="A31" s="12" t="inlineStr">
        <is>
          <t>CAPEX</t>
        </is>
      </c>
      <c r="D31" t="inlineStr">
        <is>
          <t>CAPEX</t>
        </is>
      </c>
      <c r="E31" s="18">
        <f>IFERROR(VLOOKUP($A31,subQ,MATCH(E$1,SUBQH,0),0),"")</f>
        <v/>
      </c>
      <c r="F31" s="18">
        <f>IFERROR(VLOOKUP($A31,subQ,MATCH(F$1,SUBQH,0),0),"")</f>
        <v/>
      </c>
      <c r="G31" s="18">
        <f>IFERROR(VLOOKUP($A31,subQ,MATCH(G$1,SUBQH,0),0),"")</f>
        <v/>
      </c>
      <c r="H31" s="18">
        <f>IFERROR(VLOOKUP($A31,subQ,MATCH(H$1,SUBQH,0),0),"")</f>
        <v/>
      </c>
      <c r="I31" s="18">
        <f>IFERROR(VLOOKUP($A31,subQ,MATCH(I$1,SUBQH,0),0),"")</f>
        <v/>
      </c>
      <c r="J31" s="18">
        <f>IFERROR(VLOOKUP($A31,subQ,MATCH(J$1,SUBQH,0),0),"")</f>
        <v/>
      </c>
      <c r="K31" s="18">
        <f>IFERROR(VLOOKUP($A31,subQ,MATCH(K$1,SUBQH,0),0),"")</f>
        <v/>
      </c>
      <c r="L31" s="18">
        <f>IFERROR(VLOOKUP($A31,subQ,MATCH(L$1,SUBQH,0),0),"")</f>
        <v/>
      </c>
      <c r="M31" s="18">
        <f>IFERROR(VLOOKUP($A31,subQ,MATCH(M$1,SUBQH,0),0),"")</f>
        <v/>
      </c>
      <c r="N31" s="18">
        <f>IFERROR(VLOOKUP($A31,subQ,MATCH(N$1,SUBQH,0),0),"")</f>
        <v/>
      </c>
      <c r="O31" s="18">
        <f>IFERROR(VLOOKUP($A31,subQ,MATCH(O$1,SUBQH,0),0),"")</f>
        <v/>
      </c>
      <c r="P31" s="18">
        <f>IFERROR(VLOOKUP($A31,subQ,MATCH(P$1,SUBQH,0),0),"")</f>
        <v/>
      </c>
      <c r="Q31" s="18">
        <f>IFERROR(VLOOKUP($A31,subQ,MATCH(Q$1,SUBQH,0),0),"")</f>
        <v/>
      </c>
      <c r="R31" s="18">
        <f>IFERROR(VLOOKUP($A31,subQ,MATCH(R$1,SUBQH,0),0),"")</f>
        <v/>
      </c>
      <c r="S31" s="18">
        <f>IFERROR(VLOOKUP($A31,subQ,MATCH(S$1,SUBQH,0),0),"")</f>
        <v/>
      </c>
      <c r="T31" s="18">
        <f>IFERROR(VLOOKUP($A31,subQ,MATCH(T$1,SUBQH,0),0),"")</f>
        <v/>
      </c>
      <c r="U31" s="18">
        <f>IFERROR(VLOOKUP($A31,subQ,MATCH(U$1,SUBQH,0),0),"")</f>
        <v/>
      </c>
      <c r="V31" s="18">
        <f>IFERROR(VLOOKUP($A31,subQ,MATCH(V$1,SUBQH,0),0),"")</f>
        <v/>
      </c>
      <c r="W31" s="45">
        <f>IFERROR(VLOOKUP($A31,subQ,MATCH(W$1,SUBQH,0),0),"")</f>
        <v/>
      </c>
      <c r="X31" s="20">
        <f>IFERROR(VLOOKUP($A31,subQ,MATCH(X$1,SUBQH,0),0),"")</f>
        <v/>
      </c>
      <c r="Y31" s="20">
        <f>IFERROR(VLOOKUP($A31,subQ,MATCH(Y$1,SUBQH,0),0),"")</f>
        <v/>
      </c>
      <c r="Z31" s="20">
        <f>IFERROR(VLOOKUP($A31,subQ,MATCH(Z$1,SUBQH,0),0),"")</f>
        <v/>
      </c>
      <c r="AA31" s="20">
        <f>IFERROR(VLOOKUP($A31,subQ,MATCH(AA$1,SUBQH,0),0),"")</f>
        <v/>
      </c>
      <c r="AB31" s="20">
        <f>IFERROR(VLOOKUP($A31,subQ,MATCH(AB$1,SUBQH,0),0),"")</f>
        <v/>
      </c>
      <c r="AC31" s="20">
        <f>IFERROR(VLOOKUP($A31,subQ,MATCH(AC$1,SUBQH,0),0),"")</f>
        <v/>
      </c>
      <c r="AD31" s="20">
        <f>IFERROR(VLOOKUP($A31,subQ,MATCH(AD$1,SUBQH,0),0),"")</f>
        <v/>
      </c>
      <c r="AE31" s="20">
        <f>IFERROR(VLOOKUP($A31,subQ,MATCH(AE$1,SUBQH,0),0),"")</f>
        <v/>
      </c>
      <c r="AF31" s="20">
        <f>IFERROR(VLOOKUP($A31,subQ,MATCH(AF$1,SUBQH,0),0),"")</f>
        <v/>
      </c>
      <c r="AG31" s="20">
        <f>IFERROR(VLOOKUP($A31,subQ,MATCH(AG$1,SUBQH,0),0),"")</f>
        <v/>
      </c>
    </row>
    <row r="32">
      <c r="A32" s="12" t="inlineStr">
        <is>
          <t>영업활동현금흐름</t>
        </is>
      </c>
      <c r="D32" t="inlineStr">
        <is>
          <t>영업활동현금흐름</t>
        </is>
      </c>
      <c r="E32" s="18">
        <f>IFERROR(VLOOKUP($A32,subQ,MATCH(E$1,SUBQH,0),0),"")</f>
        <v/>
      </c>
      <c r="F32" s="18">
        <f>IFERROR(VLOOKUP($A32,subQ,MATCH(F$1,SUBQH,0),0),"")</f>
        <v/>
      </c>
      <c r="G32" s="18">
        <f>IFERROR(VLOOKUP($A32,subQ,MATCH(G$1,SUBQH,0),0),"")</f>
        <v/>
      </c>
      <c r="H32" s="18">
        <f>IFERROR(VLOOKUP($A32,subQ,MATCH(H$1,SUBQH,0),0),"")</f>
        <v/>
      </c>
      <c r="I32" s="18">
        <f>IFERROR(VLOOKUP($A32,subQ,MATCH(I$1,SUBQH,0),0),"")</f>
        <v/>
      </c>
      <c r="J32" s="18">
        <f>IFERROR(VLOOKUP($A32,subQ,MATCH(J$1,SUBQH,0),0),"")</f>
        <v/>
      </c>
      <c r="K32" s="18">
        <f>IFERROR(VLOOKUP($A32,subQ,MATCH(K$1,SUBQH,0),0),"")</f>
        <v/>
      </c>
      <c r="L32" s="18">
        <f>IFERROR(VLOOKUP($A32,subQ,MATCH(L$1,SUBQH,0),0),"")</f>
        <v/>
      </c>
      <c r="M32" s="18">
        <f>IFERROR(VLOOKUP($A32,subQ,MATCH(M$1,SUBQH,0),0),"")</f>
        <v/>
      </c>
      <c r="N32" s="18">
        <f>IFERROR(VLOOKUP($A32,subQ,MATCH(N$1,SUBQH,0),0),"")</f>
        <v/>
      </c>
      <c r="O32" s="18">
        <f>IFERROR(VLOOKUP($A32,subQ,MATCH(O$1,SUBQH,0),0),"")</f>
        <v/>
      </c>
      <c r="P32" s="18">
        <f>IFERROR(VLOOKUP($A32,subQ,MATCH(P$1,SUBQH,0),0),"")</f>
        <v/>
      </c>
      <c r="Q32" s="18">
        <f>IFERROR(VLOOKUP($A32,subQ,MATCH(Q$1,SUBQH,0),0),"")</f>
        <v/>
      </c>
      <c r="R32" s="18">
        <f>IFERROR(VLOOKUP($A32,subQ,MATCH(R$1,SUBQH,0),0),"")</f>
        <v/>
      </c>
      <c r="S32" s="18">
        <f>IFERROR(VLOOKUP($A32,subQ,MATCH(S$1,SUBQH,0),0),"")</f>
        <v/>
      </c>
      <c r="T32" s="18">
        <f>IFERROR(VLOOKUP($A32,subQ,MATCH(T$1,SUBQH,0),0),"")</f>
        <v/>
      </c>
      <c r="U32" s="18">
        <f>IFERROR(VLOOKUP($A32,subQ,MATCH(U$1,SUBQH,0),0),"")</f>
        <v/>
      </c>
      <c r="V32" s="18">
        <f>IFERROR(VLOOKUP($A32,subQ,MATCH(V$1,SUBQH,0),0),"")</f>
        <v/>
      </c>
      <c r="W32" s="45">
        <f>IFERROR(VLOOKUP($A32,subQ,MATCH(W$1,SUBQH,0),0),"")</f>
        <v/>
      </c>
      <c r="X32" s="20">
        <f>IFERROR(VLOOKUP($A32,subQ,MATCH(X$1,SUBQH,0),0),"")</f>
        <v/>
      </c>
      <c r="Y32" s="20">
        <f>IFERROR(VLOOKUP($A32,subQ,MATCH(Y$1,SUBQH,0),0),"")</f>
        <v/>
      </c>
      <c r="Z32" s="20">
        <f>IFERROR(VLOOKUP($A32,subQ,MATCH(Z$1,SUBQH,0),0),"")</f>
        <v/>
      </c>
      <c r="AA32" s="20">
        <f>IFERROR(VLOOKUP($A32,subQ,MATCH(AA$1,SUBQH,0),0),"")</f>
        <v/>
      </c>
      <c r="AB32" s="20">
        <f>IFERROR(VLOOKUP($A32,subQ,MATCH(AB$1,SUBQH,0),0),"")</f>
        <v/>
      </c>
      <c r="AC32" s="20">
        <f>IFERROR(VLOOKUP($A32,subQ,MATCH(AC$1,SUBQH,0),0),"")</f>
        <v/>
      </c>
      <c r="AD32" s="20">
        <f>IFERROR(VLOOKUP($A32,subQ,MATCH(AD$1,SUBQH,0),0),"")</f>
        <v/>
      </c>
      <c r="AE32" s="20">
        <f>IFERROR(VLOOKUP($A32,subQ,MATCH(AE$1,SUBQH,0),0),"")</f>
        <v/>
      </c>
      <c r="AF32" s="20">
        <f>IFERROR(VLOOKUP($A32,subQ,MATCH(AF$1,SUBQH,0),0),"")</f>
        <v/>
      </c>
      <c r="AG32" s="20">
        <f>IFERROR(VLOOKUP($A32,subQ,MATCH(AG$1,SUBQH,0),0),"")</f>
        <v/>
      </c>
    </row>
    <row r="33">
      <c r="A33" s="12" t="inlineStr">
        <is>
          <t>주식수</t>
        </is>
      </c>
      <c r="D33" t="inlineStr">
        <is>
          <t>유통주식수</t>
        </is>
      </c>
      <c r="E33" s="27">
        <f>IFERROR(VLOOKUP($A33,subQ,MATCH(E$1,SUBQH,0),0),"")</f>
        <v/>
      </c>
      <c r="F33" s="27">
        <f>IFERROR(VLOOKUP($A33,subQ,MATCH(F$1,SUBQH,0),0),"")</f>
        <v/>
      </c>
      <c r="G33" s="27">
        <f>IFERROR(VLOOKUP($A33,subQ,MATCH(G$1,SUBQH,0),0),"")</f>
        <v/>
      </c>
      <c r="H33" s="27">
        <f>IFERROR(VLOOKUP($A33,subQ,MATCH(H$1,SUBQH,0),0),"")</f>
        <v/>
      </c>
      <c r="I33" s="27">
        <f>IFERROR(VLOOKUP($A33,subQ,MATCH(I$1,SUBQH,0),0),"")</f>
        <v/>
      </c>
      <c r="J33" s="27">
        <f>IFERROR(VLOOKUP($A33,subQ,MATCH(J$1,SUBQH,0),0),"")</f>
        <v/>
      </c>
      <c r="K33" s="27">
        <f>IFERROR(VLOOKUP($A33,subQ,MATCH(K$1,SUBQH,0),0),"")</f>
        <v/>
      </c>
      <c r="L33" s="27">
        <f>IFERROR(VLOOKUP($A33,subQ,MATCH(L$1,SUBQH,0),0),"")</f>
        <v/>
      </c>
      <c r="M33" s="27">
        <f>IFERROR(VLOOKUP($A33,subQ,MATCH(M$1,SUBQH,0),0),"")</f>
        <v/>
      </c>
      <c r="N33" s="27">
        <f>IFERROR(VLOOKUP($A33,subQ,MATCH(N$1,SUBQH,0),0),"")</f>
        <v/>
      </c>
      <c r="O33" s="27">
        <f>IFERROR(VLOOKUP($A33,subQ,MATCH(O$1,SUBQH,0),0),"")</f>
        <v/>
      </c>
      <c r="P33" s="27">
        <f>IFERROR(VLOOKUP($A33,subQ,MATCH(P$1,SUBQH,0),0),"")</f>
        <v/>
      </c>
      <c r="Q33" s="27">
        <f>IFERROR(VLOOKUP($A33,subQ,MATCH(Q$1,SUBQH,0),0),"")</f>
        <v/>
      </c>
      <c r="R33" s="27">
        <f>IFERROR(VLOOKUP($A33,subQ,MATCH(R$1,SUBQH,0),0),"")</f>
        <v/>
      </c>
      <c r="S33" s="27">
        <f>IFERROR(VLOOKUP($A33,subQ,MATCH(S$1,SUBQH,0),0),"")</f>
        <v/>
      </c>
      <c r="T33" s="27">
        <f>IFERROR(VLOOKUP($A33,subQ,MATCH(T$1,SUBQH,0),0),"")</f>
        <v/>
      </c>
      <c r="U33" s="27">
        <f>IFERROR(VLOOKUP($A33,subQ,MATCH(U$1,SUBQH,0),0),"")</f>
        <v/>
      </c>
      <c r="V33" s="27">
        <f>IFERROR(VLOOKUP($A33,subQ,MATCH(V$1,SUBQH,0),0),"")</f>
        <v/>
      </c>
      <c r="W33" s="47">
        <f>IFERROR(VLOOKUP($A33,subQ,MATCH(W$1,SUBQH,0),0),"")</f>
        <v/>
      </c>
      <c r="X33" s="33">
        <f>IFERROR(VLOOKUP($A33,subQ,MATCH(X$1,SUBQH,0),0),"")</f>
        <v/>
      </c>
      <c r="Y33" s="33">
        <f>IFERROR(VLOOKUP($A33,subQ,MATCH(Y$1,SUBQH,0),0),"")</f>
        <v/>
      </c>
      <c r="Z33" s="33">
        <f>IFERROR(VLOOKUP($A33,subQ,MATCH(Z$1,SUBQH,0),0),"")</f>
        <v/>
      </c>
      <c r="AA33" s="33">
        <f>IFERROR(VLOOKUP($A33,subQ,MATCH(AA$1,SUBQH,0),0),"")</f>
        <v/>
      </c>
      <c r="AB33" s="33">
        <f>IFERROR(VLOOKUP($A33,subQ,MATCH(AB$1,SUBQH,0),0),"")</f>
        <v/>
      </c>
      <c r="AC33" s="33">
        <f>IFERROR(VLOOKUP($A33,subQ,MATCH(AC$1,SUBQH,0),0),"")</f>
        <v/>
      </c>
      <c r="AD33" s="33">
        <f>IFERROR(VLOOKUP($A33,subQ,MATCH(AD$1,SUBQH,0),0),"")</f>
        <v/>
      </c>
      <c r="AE33" s="33">
        <f>IFERROR(VLOOKUP($A33,subQ,MATCH(AE$1,SUBQH,0),0),"")</f>
        <v/>
      </c>
      <c r="AF33" s="33">
        <f>IFERROR(VLOOKUP($A33,subQ,MATCH(AF$1,SUBQH,0),0),"")</f>
        <v/>
      </c>
      <c r="AG33" s="33">
        <f>IFERROR(VLOOKUP($A33,subQ,MATCH(AG$1,SUBQH,0),0),"")</f>
        <v/>
      </c>
    </row>
    <row r="34">
      <c r="A34" s="12" t="inlineStr">
        <is>
          <t>EPS</t>
        </is>
      </c>
      <c r="D34" t="inlineStr">
        <is>
          <t>EPS</t>
        </is>
      </c>
      <c r="E34" s="18">
        <f>IFERROR(VLOOKUP($A34,subQ,MATCH(E$1,SUBQH,0),0),"")</f>
        <v/>
      </c>
      <c r="F34" s="18">
        <f>IFERROR(VLOOKUP($A34,subQ,MATCH(F$1,SUBQH,0),0),"")</f>
        <v/>
      </c>
      <c r="G34" s="18">
        <f>IFERROR(VLOOKUP($A34,subQ,MATCH(G$1,SUBQH,0),0),"")</f>
        <v/>
      </c>
      <c r="H34" s="18">
        <f>IFERROR(VLOOKUP($A34,subQ,MATCH(H$1,SUBQH,0),0),"")</f>
        <v/>
      </c>
      <c r="I34" s="18">
        <f>IFERROR(VLOOKUP($A34,subQ,MATCH(I$1,SUBQH,0),0),"")</f>
        <v/>
      </c>
      <c r="J34" s="18">
        <f>IFERROR(VLOOKUP($A34,subQ,MATCH(J$1,SUBQH,0),0),"")</f>
        <v/>
      </c>
      <c r="K34" s="18">
        <f>IFERROR(VLOOKUP($A34,subQ,MATCH(K$1,SUBQH,0),0),"")</f>
        <v/>
      </c>
      <c r="L34" s="18">
        <f>IFERROR(VLOOKUP($A34,subQ,MATCH(L$1,SUBQH,0),0),"")</f>
        <v/>
      </c>
      <c r="M34" s="18">
        <f>IFERROR(VLOOKUP($A34,subQ,MATCH(M$1,SUBQH,0),0),"")</f>
        <v/>
      </c>
      <c r="N34" s="18">
        <f>IFERROR(VLOOKUP($A34,subQ,MATCH(N$1,SUBQH,0),0),"")</f>
        <v/>
      </c>
      <c r="O34" s="18">
        <f>IFERROR(VLOOKUP($A34,subQ,MATCH(O$1,SUBQH,0),0),"")</f>
        <v/>
      </c>
      <c r="P34" s="18">
        <f>IFERROR(VLOOKUP($A34,subQ,MATCH(P$1,SUBQH,0),0),"")</f>
        <v/>
      </c>
      <c r="Q34" s="18">
        <f>IFERROR(VLOOKUP($A34,subQ,MATCH(Q$1,SUBQH,0),0),"")</f>
        <v/>
      </c>
      <c r="R34" s="18">
        <f>IFERROR(VLOOKUP($A34,subQ,MATCH(R$1,SUBQH,0),0),"")</f>
        <v/>
      </c>
      <c r="S34" s="18">
        <f>IFERROR(VLOOKUP($A34,subQ,MATCH(S$1,SUBQH,0),0),"")</f>
        <v/>
      </c>
      <c r="T34" s="18">
        <f>IFERROR(VLOOKUP($A34,subQ,MATCH(T$1,SUBQH,0),0),"")</f>
        <v/>
      </c>
      <c r="U34" s="18">
        <f>IFERROR(VLOOKUP($A34,subQ,MATCH(U$1,SUBQH,0),0),"")</f>
        <v/>
      </c>
      <c r="V34" s="18">
        <f>IFERROR(VLOOKUP($A34,subQ,MATCH(V$1,SUBQH,0),0),"")</f>
        <v/>
      </c>
      <c r="W34" s="45">
        <f>IFERROR(VLOOKUP($A34,subQ,MATCH(W$1,SUBQH,0),0),"")</f>
        <v/>
      </c>
      <c r="X34" s="20">
        <f>IFERROR(VLOOKUP($A34,subQ,MATCH(X$1,SUBQH,0),0),"")</f>
        <v/>
      </c>
      <c r="Y34" s="20">
        <f>IFERROR(VLOOKUP($A34,subQ,MATCH(Y$1,SUBQH,0),0),"")</f>
        <v/>
      </c>
      <c r="Z34" s="20">
        <f>IFERROR(VLOOKUP($A34,subQ,MATCH(Z$1,SUBQH,0),0),"")</f>
        <v/>
      </c>
      <c r="AA34" s="20">
        <f>IFERROR(VLOOKUP($A34,subQ,MATCH(AA$1,SUBQH,0),0),"")</f>
        <v/>
      </c>
      <c r="AB34" s="20">
        <f>IFERROR(VLOOKUP($A34,subQ,MATCH(AB$1,SUBQH,0),0),"")</f>
        <v/>
      </c>
      <c r="AC34" s="20">
        <f>IFERROR(VLOOKUP($A34,subQ,MATCH(AC$1,SUBQH,0),0),"")</f>
        <v/>
      </c>
      <c r="AD34" s="20">
        <f>IFERROR(VLOOKUP($A34,subQ,MATCH(AD$1,SUBQH,0),0),"")</f>
        <v/>
      </c>
      <c r="AE34" s="20">
        <f>IFERROR(VLOOKUP($A34,subQ,MATCH(AE$1,SUBQH,0),0),"")</f>
        <v/>
      </c>
      <c r="AF34" s="20">
        <f>IFERROR(VLOOKUP($A34,subQ,MATCH(AF$1,SUBQH,0),0),"")</f>
        <v/>
      </c>
      <c r="AG34" s="20">
        <f>IFERROR(VLOOKUP($A34,subQ,MATCH(AG$1,SUBQH,0),0),"")</f>
        <v/>
      </c>
    </row>
    <row r="35">
      <c r="A35" s="12" t="inlineStr">
        <is>
          <t>BPS</t>
        </is>
      </c>
      <c r="D35" t="inlineStr">
        <is>
          <t>BPS</t>
        </is>
      </c>
      <c r="E35" s="18">
        <f>IFERROR(VLOOKUP($A35,subQ,MATCH(E$1,SUBQH,0),0),"")</f>
        <v/>
      </c>
      <c r="F35" s="18">
        <f>IFERROR(VLOOKUP($A35,subQ,MATCH(F$1,SUBQH,0),0),"")</f>
        <v/>
      </c>
      <c r="G35" s="18">
        <f>IFERROR(VLOOKUP($A35,subQ,MATCH(G$1,SUBQH,0),0),"")</f>
        <v/>
      </c>
      <c r="H35" s="18">
        <f>IFERROR(VLOOKUP($A35,subQ,MATCH(H$1,SUBQH,0),0),"")</f>
        <v/>
      </c>
      <c r="I35" s="18">
        <f>IFERROR(VLOOKUP($A35,subQ,MATCH(I$1,SUBQH,0),0),"")</f>
        <v/>
      </c>
      <c r="J35" s="18">
        <f>IFERROR(VLOOKUP($A35,subQ,MATCH(J$1,SUBQH,0),0),"")</f>
        <v/>
      </c>
      <c r="K35" s="18">
        <f>IFERROR(VLOOKUP($A35,subQ,MATCH(K$1,SUBQH,0),0),"")</f>
        <v/>
      </c>
      <c r="L35" s="18">
        <f>IFERROR(VLOOKUP($A35,subQ,MATCH(L$1,SUBQH,0),0),"")</f>
        <v/>
      </c>
      <c r="M35" s="18">
        <f>IFERROR(VLOOKUP($A35,subQ,MATCH(M$1,SUBQH,0),0),"")</f>
        <v/>
      </c>
      <c r="N35" s="18">
        <f>IFERROR(VLOOKUP($A35,subQ,MATCH(N$1,SUBQH,0),0),"")</f>
        <v/>
      </c>
      <c r="O35" s="18">
        <f>IFERROR(VLOOKUP($A35,subQ,MATCH(O$1,SUBQH,0),0),"")</f>
        <v/>
      </c>
      <c r="P35" s="18">
        <f>IFERROR(VLOOKUP($A35,subQ,MATCH(P$1,SUBQH,0),0),"")</f>
        <v/>
      </c>
      <c r="Q35" s="18">
        <f>IFERROR(VLOOKUP($A35,subQ,MATCH(Q$1,SUBQH,0),0),"")</f>
        <v/>
      </c>
      <c r="R35" s="18">
        <f>IFERROR(VLOOKUP($A35,subQ,MATCH(R$1,SUBQH,0),0),"")</f>
        <v/>
      </c>
      <c r="S35" s="18">
        <f>IFERROR(VLOOKUP($A35,subQ,MATCH(S$1,SUBQH,0),0),"")</f>
        <v/>
      </c>
      <c r="T35" s="18">
        <f>IFERROR(VLOOKUP($A35,subQ,MATCH(T$1,SUBQH,0),0),"")</f>
        <v/>
      </c>
      <c r="U35" s="18">
        <f>IFERROR(VLOOKUP($A35,subQ,MATCH(U$1,SUBQH,0),0),"")</f>
        <v/>
      </c>
      <c r="V35" s="18">
        <f>IFERROR(VLOOKUP($A35,subQ,MATCH(V$1,SUBQH,0),0),"")</f>
        <v/>
      </c>
      <c r="W35" s="45">
        <f>IFERROR(VLOOKUP($A35,subQ,MATCH(W$1,SUBQH,0),0),"")</f>
        <v/>
      </c>
      <c r="X35" s="20">
        <f>IFERROR(VLOOKUP($A35,subQ,MATCH(X$1,SUBQH,0),0),"")</f>
        <v/>
      </c>
      <c r="Y35" s="20">
        <f>IFERROR(VLOOKUP($A35,subQ,MATCH(Y$1,SUBQH,0),0),"")</f>
        <v/>
      </c>
      <c r="Z35" s="20">
        <f>IFERROR(VLOOKUP($A35,subQ,MATCH(Z$1,SUBQH,0),0),"")</f>
        <v/>
      </c>
      <c r="AA35" s="20">
        <f>IFERROR(VLOOKUP($A35,subQ,MATCH(AA$1,SUBQH,0),0),"")</f>
        <v/>
      </c>
      <c r="AB35" s="20">
        <f>IFERROR(VLOOKUP($A35,subQ,MATCH(AB$1,SUBQH,0),0),"")</f>
        <v/>
      </c>
      <c r="AC35" s="20">
        <f>IFERROR(VLOOKUP($A35,subQ,MATCH(AC$1,SUBQH,0),0),"")</f>
        <v/>
      </c>
      <c r="AD35" s="20">
        <f>IFERROR(VLOOKUP($A35,subQ,MATCH(AD$1,SUBQH,0),0),"")</f>
        <v/>
      </c>
      <c r="AE35" s="20">
        <f>IFERROR(VLOOKUP($A35,subQ,MATCH(AE$1,SUBQH,0),0),"")</f>
        <v/>
      </c>
      <c r="AF35" s="20">
        <f>IFERROR(VLOOKUP($A35,subQ,MATCH(AF$1,SUBQH,0),0),"")</f>
        <v/>
      </c>
      <c r="AG35" s="20">
        <f>IFERROR(VLOOKUP($A35,subQ,MATCH(AG$1,SUBQH,0),0),"")</f>
        <v/>
      </c>
    </row>
    <row r="36">
      <c r="A36" s="12" t="inlineStr">
        <is>
          <t>DPS</t>
        </is>
      </c>
      <c r="D36" t="inlineStr">
        <is>
          <t>DPS(보통주)</t>
        </is>
      </c>
      <c r="E36" s="18">
        <f>IFERROR(VLOOKUP($A36,subQ,MATCH(E$1,SUBQH,0),0),"")</f>
        <v/>
      </c>
      <c r="F36" s="18">
        <f>IFERROR(VLOOKUP($A36,subQ,MATCH(F$1,SUBQH,0),0),"")</f>
        <v/>
      </c>
      <c r="G36" s="18">
        <f>IFERROR(VLOOKUP($A36,subQ,MATCH(G$1,SUBQH,0),0),"")</f>
        <v/>
      </c>
      <c r="H36" s="18">
        <f>IFERROR(VLOOKUP($A36,subQ,MATCH(H$1,SUBQH,0),0),"")</f>
        <v/>
      </c>
      <c r="I36" s="18">
        <f>IFERROR(VLOOKUP($A36,subQ,MATCH(I$1,SUBQH,0),0),"")</f>
        <v/>
      </c>
      <c r="J36" s="18">
        <f>IFERROR(VLOOKUP($A36,subQ,MATCH(J$1,SUBQH,0),0),"")</f>
        <v/>
      </c>
      <c r="K36" s="18">
        <f>IFERROR(VLOOKUP($A36,subQ,MATCH(K$1,SUBQH,0),0),"")</f>
        <v/>
      </c>
      <c r="L36" s="18">
        <f>IFERROR(VLOOKUP($A36,subQ,MATCH(L$1,SUBQH,0),0),"")</f>
        <v/>
      </c>
      <c r="M36" s="18">
        <f>IFERROR(VLOOKUP($A36,subQ,MATCH(M$1,SUBQH,0),0),"")</f>
        <v/>
      </c>
      <c r="N36" s="18">
        <f>IFERROR(VLOOKUP($A36,subQ,MATCH(N$1,SUBQH,0),0),"")</f>
        <v/>
      </c>
      <c r="O36" s="18">
        <f>IFERROR(VLOOKUP($A36,subQ,MATCH(O$1,SUBQH,0),0),"")</f>
        <v/>
      </c>
      <c r="P36" s="18">
        <f>IFERROR(VLOOKUP($A36,subQ,MATCH(P$1,SUBQH,0),0),"")</f>
        <v/>
      </c>
      <c r="Q36" s="18">
        <f>IFERROR(VLOOKUP($A36,subQ,MATCH(Q$1,SUBQH,0),0),"")</f>
        <v/>
      </c>
      <c r="R36" s="18">
        <f>IFERROR(VLOOKUP($A36,subQ,MATCH(R$1,SUBQH,0),0),"")</f>
        <v/>
      </c>
      <c r="S36" s="18">
        <f>IFERROR(VLOOKUP($A36,subQ,MATCH(S$1,SUBQH,0),0),"")</f>
        <v/>
      </c>
      <c r="T36" s="18">
        <f>IFERROR(VLOOKUP($A36,subQ,MATCH(T$1,SUBQH,0),0),"")</f>
        <v/>
      </c>
      <c r="U36" s="18">
        <f>IFERROR(VLOOKUP($A36,subQ,MATCH(U$1,SUBQH,0),0),"")</f>
        <v/>
      </c>
      <c r="V36" s="18">
        <f>IFERROR(VLOOKUP($A36,subQ,MATCH(V$1,SUBQH,0),0),"")</f>
        <v/>
      </c>
      <c r="W36" s="45">
        <f>IFERROR(VLOOKUP($A36,subQ,MATCH(W$1,SUBQH,0),0),"")</f>
        <v/>
      </c>
      <c r="X36" s="20">
        <f>IFERROR(VLOOKUP($A36,subQ,MATCH(X$1,SUBQH,0),0),"")</f>
        <v/>
      </c>
      <c r="Y36" s="20">
        <f>IFERROR(VLOOKUP($A36,subQ,MATCH(Y$1,SUBQH,0),0),"")</f>
        <v/>
      </c>
      <c r="Z36" s="20">
        <f>IFERROR(VLOOKUP($A36,subQ,MATCH(Z$1,SUBQH,0),0),"")</f>
        <v/>
      </c>
      <c r="AA36" s="20">
        <f>IFERROR(VLOOKUP($A36,subQ,MATCH(AA$1,SUBQH,0),0),"")</f>
        <v/>
      </c>
      <c r="AB36" s="20">
        <f>IFERROR(VLOOKUP($A36,subQ,MATCH(AB$1,SUBQH,0),0),"")</f>
        <v/>
      </c>
      <c r="AC36" s="20">
        <f>IFERROR(VLOOKUP($A36,subQ,MATCH(AC$1,SUBQH,0),0),"")</f>
        <v/>
      </c>
      <c r="AD36" s="20">
        <f>IFERROR(VLOOKUP($A36,subQ,MATCH(AD$1,SUBQH,0),0),"")</f>
        <v/>
      </c>
      <c r="AE36" s="20">
        <f>IFERROR(VLOOKUP($A36,subQ,MATCH(AE$1,SUBQH,0),0),"")</f>
        <v/>
      </c>
      <c r="AF36" s="20">
        <f>IFERROR(VLOOKUP($A36,subQ,MATCH(AF$1,SUBQH,0),0),"")</f>
        <v/>
      </c>
      <c r="AG36" s="20">
        <f>IFERROR(VLOOKUP($A36,subQ,MATCH(AG$1,SUBQH,0),0),"")</f>
        <v/>
      </c>
    </row>
    <row r="37">
      <c r="A37" s="12" t="inlineStr">
        <is>
          <t>PER</t>
        </is>
      </c>
      <c r="D37" t="inlineStr">
        <is>
          <t>PER</t>
        </is>
      </c>
      <c r="E37" s="13">
        <f>IFERROR(VLOOKUP($A37,subQ,MATCH(E$1,SUBQH,0),0),"")</f>
        <v/>
      </c>
      <c r="F37" s="13">
        <f>IFERROR(VLOOKUP($A37,subQ,MATCH(F$1,SUBQH,0),0),"")</f>
        <v/>
      </c>
      <c r="G37" s="13">
        <f>IFERROR(VLOOKUP($A37,subQ,MATCH(G$1,SUBQH,0),0),"")</f>
        <v/>
      </c>
      <c r="H37" s="13">
        <f>IFERROR(VLOOKUP($A37,subQ,MATCH(H$1,SUBQH,0),0),"")</f>
        <v/>
      </c>
      <c r="I37" s="13">
        <f>IFERROR(VLOOKUP($A37,subQ,MATCH(I$1,SUBQH,0),0),"")</f>
        <v/>
      </c>
      <c r="J37" s="13">
        <f>IFERROR(VLOOKUP($A37,subQ,MATCH(J$1,SUBQH,0),0),"")</f>
        <v/>
      </c>
      <c r="K37" s="13">
        <f>IFERROR(VLOOKUP($A37,subQ,MATCH(K$1,SUBQH,0),0),"")</f>
        <v/>
      </c>
      <c r="L37" s="13">
        <f>IFERROR(VLOOKUP($A37,subQ,MATCH(L$1,SUBQH,0),0),"")</f>
        <v/>
      </c>
      <c r="M37" s="13">
        <f>IFERROR(VLOOKUP($A37,subQ,MATCH(M$1,SUBQH,0),0),"")</f>
        <v/>
      </c>
      <c r="N37" s="13">
        <f>IFERROR(VLOOKUP($A37,subQ,MATCH(N$1,SUBQH,0),0),"")</f>
        <v/>
      </c>
      <c r="O37" s="13">
        <f>IFERROR(VLOOKUP($A37,subQ,MATCH(O$1,SUBQH,0),0),"")</f>
        <v/>
      </c>
      <c r="P37" s="13">
        <f>IFERROR(VLOOKUP($A37,subQ,MATCH(P$1,SUBQH,0),0),"")</f>
        <v/>
      </c>
      <c r="Q37" s="13">
        <f>IFERROR(VLOOKUP($A37,subQ,MATCH(Q$1,SUBQH,0),0),"")</f>
        <v/>
      </c>
      <c r="R37" s="13">
        <f>IFERROR(VLOOKUP($A37,subQ,MATCH(R$1,SUBQH,0),0),"")</f>
        <v/>
      </c>
      <c r="S37" s="13">
        <f>IFERROR(VLOOKUP($A37,subQ,MATCH(S$1,SUBQH,0),0),"")</f>
        <v/>
      </c>
      <c r="T37" s="13">
        <f>IFERROR(VLOOKUP($A37,subQ,MATCH(T$1,SUBQH,0),0),"")</f>
        <v/>
      </c>
      <c r="U37" s="13">
        <f>IFERROR(VLOOKUP($A37,subQ,MATCH(U$1,SUBQH,0),0),"")</f>
        <v/>
      </c>
      <c r="V37" s="13">
        <f>IFERROR(VLOOKUP($A37,subQ,MATCH(V$1,SUBQH,0),0),"")</f>
        <v/>
      </c>
      <c r="W37" s="48">
        <f>IFERROR(VLOOKUP($A37,subQ,MATCH(W$1,SUBQH,0),0),"")</f>
        <v/>
      </c>
      <c r="X37" s="39">
        <f>IFERROR(VLOOKUP($A37,subQ,MATCH(X$1,SUBQH,0),0),"")</f>
        <v/>
      </c>
      <c r="Y37" s="39">
        <f>IFERROR(VLOOKUP($A37,subQ,MATCH(Y$1,SUBQH,0),0),"")</f>
        <v/>
      </c>
      <c r="Z37" s="39">
        <f>IFERROR(VLOOKUP($A37,subQ,MATCH(Z$1,SUBQH,0),0),"")</f>
        <v/>
      </c>
      <c r="AA37" s="39">
        <f>IFERROR(VLOOKUP($A37,subQ,MATCH(AA$1,SUBQH,0),0),"")</f>
        <v/>
      </c>
      <c r="AB37" s="39">
        <f>IFERROR(VLOOKUP($A37,subQ,MATCH(AB$1,SUBQH,0),0),"")</f>
        <v/>
      </c>
      <c r="AC37" s="39">
        <f>IFERROR(VLOOKUP($A37,subQ,MATCH(AC$1,SUBQH,0),0),"")</f>
        <v/>
      </c>
      <c r="AD37" s="39">
        <f>IFERROR(VLOOKUP($A37,subQ,MATCH(AD$1,SUBQH,0),0),"")</f>
        <v/>
      </c>
      <c r="AE37" s="39">
        <f>IFERROR(VLOOKUP($A37,subQ,MATCH(AE$1,SUBQH,0),0),"")</f>
        <v/>
      </c>
      <c r="AF37" s="39">
        <f>IFERROR(VLOOKUP($A37,subQ,MATCH(AF$1,SUBQH,0),0),"")</f>
        <v/>
      </c>
      <c r="AG37" s="39">
        <f>IFERROR(VLOOKUP($A37,subQ,MATCH(AG$1,SUBQH,0),0),"")</f>
        <v/>
      </c>
    </row>
    <row r="38">
      <c r="A38" s="12" t="inlineStr">
        <is>
          <t>PBR</t>
        </is>
      </c>
      <c r="D38" t="inlineStr">
        <is>
          <t>PBR</t>
        </is>
      </c>
      <c r="E38" s="13">
        <f>IFERROR(VLOOKUP($A38,subQ,MATCH(E$1,SUBQH,0),0),"")</f>
        <v/>
      </c>
      <c r="F38" s="13">
        <f>IFERROR(VLOOKUP($A38,subQ,MATCH(F$1,SUBQH,0),0),"")</f>
        <v/>
      </c>
      <c r="G38" s="13">
        <f>IFERROR(VLOOKUP($A38,subQ,MATCH(G$1,SUBQH,0),0),"")</f>
        <v/>
      </c>
      <c r="H38" s="13">
        <f>IFERROR(VLOOKUP($A38,subQ,MATCH(H$1,SUBQH,0),0),"")</f>
        <v/>
      </c>
      <c r="I38" s="13">
        <f>IFERROR(VLOOKUP($A38,subQ,MATCH(I$1,SUBQH,0),0),"")</f>
        <v/>
      </c>
      <c r="J38" s="13">
        <f>IFERROR(VLOOKUP($A38,subQ,MATCH(J$1,SUBQH,0),0),"")</f>
        <v/>
      </c>
      <c r="K38" s="13">
        <f>IFERROR(VLOOKUP($A38,subQ,MATCH(K$1,SUBQH,0),0),"")</f>
        <v/>
      </c>
      <c r="L38" s="13">
        <f>IFERROR(VLOOKUP($A38,subQ,MATCH(L$1,SUBQH,0),0),"")</f>
        <v/>
      </c>
      <c r="M38" s="13">
        <f>IFERROR(VLOOKUP($A38,subQ,MATCH(M$1,SUBQH,0),0),"")</f>
        <v/>
      </c>
      <c r="N38" s="13">
        <f>IFERROR(VLOOKUP($A38,subQ,MATCH(N$1,SUBQH,0),0),"")</f>
        <v/>
      </c>
      <c r="O38" s="13">
        <f>IFERROR(VLOOKUP($A38,subQ,MATCH(O$1,SUBQH,0),0),"")</f>
        <v/>
      </c>
      <c r="P38" s="13">
        <f>IFERROR(VLOOKUP($A38,subQ,MATCH(P$1,SUBQH,0),0),"")</f>
        <v/>
      </c>
      <c r="Q38" s="13">
        <f>IFERROR(VLOOKUP($A38,subQ,MATCH(Q$1,SUBQH,0),0),"")</f>
        <v/>
      </c>
      <c r="R38" s="13">
        <f>IFERROR(VLOOKUP($A38,subQ,MATCH(R$1,SUBQH,0),0),"")</f>
        <v/>
      </c>
      <c r="S38" s="13">
        <f>IFERROR(VLOOKUP($A38,subQ,MATCH(S$1,SUBQH,0),0),"")</f>
        <v/>
      </c>
      <c r="T38" s="13">
        <f>IFERROR(VLOOKUP($A38,subQ,MATCH(T$1,SUBQH,0),0),"")</f>
        <v/>
      </c>
      <c r="U38" s="13">
        <f>IFERROR(VLOOKUP($A38,subQ,MATCH(U$1,SUBQH,0),0),"")</f>
        <v/>
      </c>
      <c r="V38" s="13">
        <f>IFERROR(VLOOKUP($A38,subQ,MATCH(V$1,SUBQH,0),0),"")</f>
        <v/>
      </c>
      <c r="W38" s="48">
        <f>IFERROR(VLOOKUP($A38,subQ,MATCH(W$1,SUBQH,0),0),"")</f>
        <v/>
      </c>
      <c r="X38" s="39">
        <f>IFERROR(VLOOKUP($A38,subQ,MATCH(X$1,SUBQH,0),0),"")</f>
        <v/>
      </c>
      <c r="Y38" s="39">
        <f>IFERROR(VLOOKUP($A38,subQ,MATCH(Y$1,SUBQH,0),0),"")</f>
        <v/>
      </c>
      <c r="Z38" s="39">
        <f>IFERROR(VLOOKUP($A38,subQ,MATCH(Z$1,SUBQH,0),0),"")</f>
        <v/>
      </c>
      <c r="AA38" s="39">
        <f>IFERROR(VLOOKUP($A38,subQ,MATCH(AA$1,SUBQH,0),0),"")</f>
        <v/>
      </c>
      <c r="AB38" s="39">
        <f>IFERROR(VLOOKUP($A38,subQ,MATCH(AB$1,SUBQH,0),0),"")</f>
        <v/>
      </c>
      <c r="AC38" s="39">
        <f>IFERROR(VLOOKUP($A38,subQ,MATCH(AC$1,SUBQH,0),0),"")</f>
        <v/>
      </c>
      <c r="AD38" s="39">
        <f>IFERROR(VLOOKUP($A38,subQ,MATCH(AD$1,SUBQH,0),0),"")</f>
        <v/>
      </c>
      <c r="AE38" s="39">
        <f>IFERROR(VLOOKUP($A38,subQ,MATCH(AE$1,SUBQH,0),0),"")</f>
        <v/>
      </c>
      <c r="AF38" s="39">
        <f>IFERROR(VLOOKUP($A38,subQ,MATCH(AF$1,SUBQH,0),0),"")</f>
        <v/>
      </c>
      <c r="AG38" s="39">
        <f>IFERROR(VLOOKUP($A38,subQ,MATCH(AG$1,SUBQH,0),0),"")</f>
        <v/>
      </c>
    </row>
    <row r="39">
      <c r="A39" s="12" t="inlineStr">
        <is>
          <t>매출전사</t>
        </is>
      </c>
      <c r="D39" t="inlineStr">
        <is>
          <t>매출 전사(부문 미분리)</t>
        </is>
      </c>
      <c r="E39" s="18">
        <f>IFERROR(VLOOKUP($A39,subQ,MATCH(E$1,SUBQH,0),0),"")</f>
        <v/>
      </c>
      <c r="F39" s="18">
        <f>IFERROR(VLOOKUP($A39,subQ,MATCH(F$1,SUBQH,0),0),"")</f>
        <v/>
      </c>
      <c r="G39" s="18">
        <f>IFERROR(VLOOKUP($A39,subQ,MATCH(G$1,SUBQH,0),0),"")</f>
        <v/>
      </c>
      <c r="H39" s="18">
        <f>IFERROR(VLOOKUP($A39,subQ,MATCH(H$1,SUBQH,0),0),"")</f>
        <v/>
      </c>
      <c r="I39" s="18">
        <f>IFERROR(VLOOKUP($A39,subQ,MATCH(I$1,SUBQH,0),0),"")</f>
        <v/>
      </c>
      <c r="J39" s="18">
        <f>IFERROR(VLOOKUP($A39,subQ,MATCH(J$1,SUBQH,0),0),"")</f>
        <v/>
      </c>
      <c r="K39" s="18">
        <f>IFERROR(VLOOKUP($A39,subQ,MATCH(K$1,SUBQH,0),0),"")</f>
        <v/>
      </c>
      <c r="L39" s="18">
        <f>IFERROR(VLOOKUP($A39,subQ,MATCH(L$1,SUBQH,0),0),"")</f>
        <v/>
      </c>
      <c r="M39" s="18">
        <f>IFERROR(VLOOKUP($A39,subQ,MATCH(M$1,SUBQH,0),0),"")</f>
        <v/>
      </c>
      <c r="N39" s="18">
        <f>IFERROR(VLOOKUP($A39,subQ,MATCH(N$1,SUBQH,0),0),"")</f>
        <v/>
      </c>
      <c r="O39" s="18">
        <f>IFERROR(VLOOKUP($A39,subQ,MATCH(O$1,SUBQH,0),0),"")</f>
        <v/>
      </c>
      <c r="P39" s="18">
        <f>IFERROR(VLOOKUP($A39,subQ,MATCH(P$1,SUBQH,0),0),"")</f>
        <v/>
      </c>
      <c r="Q39" s="18">
        <f>IFERROR(VLOOKUP($A39,subQ,MATCH(Q$1,SUBQH,0),0),"")</f>
        <v/>
      </c>
      <c r="R39" s="18">
        <f>IFERROR(VLOOKUP($A39,subQ,MATCH(R$1,SUBQH,0),0),"")</f>
        <v/>
      </c>
      <c r="S39" s="18">
        <f>IFERROR(VLOOKUP($A39,subQ,MATCH(S$1,SUBQH,0),0),"")</f>
        <v/>
      </c>
      <c r="T39" s="18">
        <f>IFERROR(VLOOKUP($A39,subQ,MATCH(T$1,SUBQH,0),0),"")</f>
        <v/>
      </c>
      <c r="U39" s="18">
        <f>IFERROR(VLOOKUP($A39,subQ,MATCH(U$1,SUBQH,0),0),"")</f>
        <v/>
      </c>
      <c r="V39" s="18">
        <f>IFERROR(VLOOKUP($A39,subQ,MATCH(V$1,SUBQH,0),0),"")</f>
        <v/>
      </c>
      <c r="W39" s="45">
        <f>IFERROR(VLOOKUP($A39,subQ,MATCH(W$1,SUBQH,0),0),"")</f>
        <v/>
      </c>
      <c r="X39" s="20">
        <f>IFERROR(VLOOKUP($A39,subQ,MATCH(X$1,SUBQH,0),0),"")</f>
        <v/>
      </c>
      <c r="Y39" s="20">
        <f>IFERROR(VLOOKUP($A39,subQ,MATCH(Y$1,SUBQH,0),0),"")</f>
        <v/>
      </c>
      <c r="Z39" s="20">
        <f>IFERROR(VLOOKUP($A39,subQ,MATCH(Z$1,SUBQH,0),0),"")</f>
        <v/>
      </c>
      <c r="AA39" s="20">
        <f>IFERROR(VLOOKUP($A39,subQ,MATCH(AA$1,SUBQH,0),0),"")</f>
        <v/>
      </c>
      <c r="AB39" s="20">
        <f>IFERROR(VLOOKUP($A39,subQ,MATCH(AB$1,SUBQH,0),0),"")</f>
        <v/>
      </c>
      <c r="AC39" s="20">
        <f>IFERROR(VLOOKUP($A39,subQ,MATCH(AC$1,SUBQH,0),0),"")</f>
        <v/>
      </c>
      <c r="AD39" s="20">
        <f>IFERROR(VLOOKUP($A39,subQ,MATCH(AD$1,SUBQH,0),0),"")</f>
        <v/>
      </c>
      <c r="AE39" s="20">
        <f>IFERROR(VLOOKUP($A39,subQ,MATCH(AE$1,SUBQH,0),0),"")</f>
        <v/>
      </c>
      <c r="AF39" s="20">
        <f>IFERROR(VLOOKUP($A39,subQ,MATCH(AF$1,SUBQH,0),0),"")</f>
        <v/>
      </c>
      <c r="AG39" s="20">
        <f>IFERROR(VLOOKUP($A39,subQ,MATCH(AG$1,SUBQH,0),0),"")</f>
        <v/>
      </c>
    </row>
    <row r="40">
      <c r="A40" s="12" t="inlineStr">
        <is>
          <t>OP전사</t>
        </is>
      </c>
      <c r="D40" t="inlineStr">
        <is>
          <t>OP 전사(부문 미분리)</t>
        </is>
      </c>
      <c r="E40" s="18">
        <f>IFERROR(VLOOKUP($A40,subQ,MATCH(E$1,SUBQH,0),0),"")</f>
        <v/>
      </c>
      <c r="F40" s="18">
        <f>IFERROR(VLOOKUP($A40,subQ,MATCH(F$1,SUBQH,0),0),"")</f>
        <v/>
      </c>
      <c r="G40" s="18">
        <f>IFERROR(VLOOKUP($A40,subQ,MATCH(G$1,SUBQH,0),0),"")</f>
        <v/>
      </c>
      <c r="H40" s="18">
        <f>IFERROR(VLOOKUP($A40,subQ,MATCH(H$1,SUBQH,0),0),"")</f>
        <v/>
      </c>
      <c r="I40" s="18">
        <f>IFERROR(VLOOKUP($A40,subQ,MATCH(I$1,SUBQH,0),0),"")</f>
        <v/>
      </c>
      <c r="J40" s="18">
        <f>IFERROR(VLOOKUP($A40,subQ,MATCH(J$1,SUBQH,0),0),"")</f>
        <v/>
      </c>
      <c r="K40" s="18">
        <f>IFERROR(VLOOKUP($A40,subQ,MATCH(K$1,SUBQH,0),0),"")</f>
        <v/>
      </c>
      <c r="L40" s="18">
        <f>IFERROR(VLOOKUP($A40,subQ,MATCH(L$1,SUBQH,0),0),"")</f>
        <v/>
      </c>
      <c r="M40" s="18">
        <f>IFERROR(VLOOKUP($A40,subQ,MATCH(M$1,SUBQH,0),0),"")</f>
        <v/>
      </c>
      <c r="N40" s="18">
        <f>IFERROR(VLOOKUP($A40,subQ,MATCH(N$1,SUBQH,0),0),"")</f>
        <v/>
      </c>
      <c r="O40" s="18">
        <f>IFERROR(VLOOKUP($A40,subQ,MATCH(O$1,SUBQH,0),0),"")</f>
        <v/>
      </c>
      <c r="P40" s="18">
        <f>IFERROR(VLOOKUP($A40,subQ,MATCH(P$1,SUBQH,0),0),"")</f>
        <v/>
      </c>
      <c r="Q40" s="18">
        <f>IFERROR(VLOOKUP($A40,subQ,MATCH(Q$1,SUBQH,0),0),"")</f>
        <v/>
      </c>
      <c r="R40" s="18">
        <f>IFERROR(VLOOKUP($A40,subQ,MATCH(R$1,SUBQH,0),0),"")</f>
        <v/>
      </c>
      <c r="S40" s="18">
        <f>IFERROR(VLOOKUP($A40,subQ,MATCH(S$1,SUBQH,0),0),"")</f>
        <v/>
      </c>
      <c r="T40" s="18">
        <f>IFERROR(VLOOKUP($A40,subQ,MATCH(T$1,SUBQH,0),0),"")</f>
        <v/>
      </c>
      <c r="U40" s="18">
        <f>IFERROR(VLOOKUP($A40,subQ,MATCH(U$1,SUBQH,0),0),"")</f>
        <v/>
      </c>
      <c r="V40" s="18">
        <f>IFERROR(VLOOKUP($A40,subQ,MATCH(V$1,SUBQH,0),0),"")</f>
        <v/>
      </c>
      <c r="W40" s="45">
        <f>IFERROR(VLOOKUP($A40,subQ,MATCH(W$1,SUBQH,0),0),"")</f>
        <v/>
      </c>
      <c r="X40" s="20">
        <f>IFERROR(VLOOKUP($A40,subQ,MATCH(X$1,SUBQH,0),0),"")</f>
        <v/>
      </c>
      <c r="Y40" s="20">
        <f>IFERROR(VLOOKUP($A40,subQ,MATCH(Y$1,SUBQH,0),0),"")</f>
        <v/>
      </c>
      <c r="Z40" s="20">
        <f>IFERROR(VLOOKUP($A40,subQ,MATCH(Z$1,SUBQH,0),0),"")</f>
        <v/>
      </c>
      <c r="AA40" s="20">
        <f>IFERROR(VLOOKUP($A40,subQ,MATCH(AA$1,SUBQH,0),0),"")</f>
        <v/>
      </c>
      <c r="AB40" s="20">
        <f>IFERROR(VLOOKUP($A40,subQ,MATCH(AB$1,SUBQH,0),0),"")</f>
        <v/>
      </c>
      <c r="AC40" s="20">
        <f>IFERROR(VLOOKUP($A40,subQ,MATCH(AC$1,SUBQH,0),0),"")</f>
        <v/>
      </c>
      <c r="AD40" s="20">
        <f>IFERROR(VLOOKUP($A40,subQ,MATCH(AD$1,SUBQH,0),0),"")</f>
        <v/>
      </c>
      <c r="AE40" s="20">
        <f>IFERROR(VLOOKUP($A40,subQ,MATCH(AE$1,SUBQH,0),0),"")</f>
        <v/>
      </c>
      <c r="AF40" s="20">
        <f>IFERROR(VLOOKUP($A40,subQ,MATCH(AF$1,SUBQH,0),0),"")</f>
        <v/>
      </c>
      <c r="AG40" s="20">
        <f>IFERROR(VLOOKUP($A40,subQ,MATCH(AG$1,SUBQH,0),0),"")</f>
        <v/>
      </c>
    </row>
    <row r="41">
      <c r="A41" s="12" t="inlineStr">
        <is>
          <t>NPM</t>
        </is>
      </c>
      <c r="D41" t="inlineStr">
        <is>
          <t>NPM</t>
        </is>
      </c>
      <c r="E41" s="21">
        <f>IFERROR(VLOOKUP($A41,subQ,MATCH(E$1,SUBQH,0),0),"")</f>
        <v/>
      </c>
      <c r="F41" s="21">
        <f>IFERROR(VLOOKUP($A41,subQ,MATCH(F$1,SUBQH,0),0),"")</f>
        <v/>
      </c>
      <c r="G41" s="21">
        <f>IFERROR(VLOOKUP($A41,subQ,MATCH(G$1,SUBQH,0),0),"")</f>
        <v/>
      </c>
      <c r="H41" s="21">
        <f>IFERROR(VLOOKUP($A41,subQ,MATCH(H$1,SUBQH,0),0),"")</f>
        <v/>
      </c>
      <c r="I41" s="21">
        <f>IFERROR(VLOOKUP($A41,subQ,MATCH(I$1,SUBQH,0),0),"")</f>
        <v/>
      </c>
      <c r="J41" s="21">
        <f>IFERROR(VLOOKUP($A41,subQ,MATCH(J$1,SUBQH,0),0),"")</f>
        <v/>
      </c>
      <c r="K41" s="21">
        <f>IFERROR(VLOOKUP($A41,subQ,MATCH(K$1,SUBQH,0),0),"")</f>
        <v/>
      </c>
      <c r="L41" s="21">
        <f>IFERROR(VLOOKUP($A41,subQ,MATCH(L$1,SUBQH,0),0),"")</f>
        <v/>
      </c>
      <c r="M41" s="21">
        <f>IFERROR(VLOOKUP($A41,subQ,MATCH(M$1,SUBQH,0),0),"")</f>
        <v/>
      </c>
      <c r="N41" s="21">
        <f>IFERROR(VLOOKUP($A41,subQ,MATCH(N$1,SUBQH,0),0),"")</f>
        <v/>
      </c>
      <c r="O41" s="21">
        <f>IFERROR(VLOOKUP($A41,subQ,MATCH(O$1,SUBQH,0),0),"")</f>
        <v/>
      </c>
      <c r="P41" s="21">
        <f>IFERROR(VLOOKUP($A41,subQ,MATCH(P$1,SUBQH,0),0),"")</f>
        <v/>
      </c>
      <c r="Q41" s="21">
        <f>IFERROR(VLOOKUP($A41,subQ,MATCH(Q$1,SUBQH,0),0),"")</f>
        <v/>
      </c>
      <c r="R41" s="21">
        <f>IFERROR(VLOOKUP($A41,subQ,MATCH(R$1,SUBQH,0),0),"")</f>
        <v/>
      </c>
      <c r="S41" s="21">
        <f>IFERROR(VLOOKUP($A41,subQ,MATCH(S$1,SUBQH,0),0),"")</f>
        <v/>
      </c>
      <c r="T41" s="21">
        <f>IFERROR(VLOOKUP($A41,subQ,MATCH(T$1,SUBQH,0),0),"")</f>
        <v/>
      </c>
      <c r="U41" s="21">
        <f>IFERROR(VLOOKUP($A41,subQ,MATCH(U$1,SUBQH,0),0),"")</f>
        <v/>
      </c>
      <c r="V41" s="21">
        <f>IFERROR(VLOOKUP($A41,subQ,MATCH(V$1,SUBQH,0),0),"")</f>
        <v/>
      </c>
      <c r="W41" s="46">
        <f>IFERROR(VLOOKUP($A41,subQ,MATCH(W$1,SUBQH,0),0),"")</f>
        <v/>
      </c>
      <c r="X41" s="32">
        <f>IFERROR(VLOOKUP($A41,subQ,MATCH(X$1,SUBQH,0),0),"")</f>
        <v/>
      </c>
      <c r="Y41" s="32">
        <f>IFERROR(VLOOKUP($A41,subQ,MATCH(Y$1,SUBQH,0),0),"")</f>
        <v/>
      </c>
      <c r="Z41" s="32">
        <f>IFERROR(VLOOKUP($A41,subQ,MATCH(Z$1,SUBQH,0),0),"")</f>
        <v/>
      </c>
      <c r="AA41" s="32">
        <f>IFERROR(VLOOKUP($A41,subQ,MATCH(AA$1,SUBQH,0),0),"")</f>
        <v/>
      </c>
      <c r="AB41" s="32">
        <f>IFERROR(VLOOKUP($A41,subQ,MATCH(AB$1,SUBQH,0),0),"")</f>
        <v/>
      </c>
      <c r="AC41" s="32">
        <f>IFERROR(VLOOKUP($A41,subQ,MATCH(AC$1,SUBQH,0),0),"")</f>
        <v/>
      </c>
      <c r="AD41" s="32">
        <f>IFERROR(VLOOKUP($A41,subQ,MATCH(AD$1,SUBQH,0),0),"")</f>
        <v/>
      </c>
      <c r="AE41" s="32">
        <f>IFERROR(VLOOKUP($A41,subQ,MATCH(AE$1,SUBQH,0),0),"")</f>
        <v/>
      </c>
      <c r="AF41" s="32">
        <f>IFERROR(VLOOKUP($A41,subQ,MATCH(AF$1,SUBQH,0),0),"")</f>
        <v/>
      </c>
      <c r="AG41" s="32">
        <f>IFERROR(VLOOKUP($A41,subQ,MATCH(AG$1,SUBQH,0),0),"")</f>
        <v/>
      </c>
    </row>
    <row r="42">
      <c r="A42" s="12" t="inlineStr">
        <is>
          <t>매출액 YoY</t>
        </is>
      </c>
      <c r="D42" t="inlineStr">
        <is>
          <t>매출액 YoY</t>
        </is>
      </c>
      <c r="I42" s="21">
        <f>IFERROR(I5/E5-1,"")</f>
        <v/>
      </c>
      <c r="J42" s="21">
        <f>IFERROR(J5/F5-1,"")</f>
        <v/>
      </c>
      <c r="K42" s="21">
        <f>IFERROR(K5/G5-1,"")</f>
        <v/>
      </c>
      <c r="L42" s="21">
        <f>IFERROR(L5/H5-1,"")</f>
        <v/>
      </c>
      <c r="M42" s="21">
        <f>IFERROR(M5/I5-1,"")</f>
        <v/>
      </c>
      <c r="N42" s="21">
        <f>IFERROR(N5/J5-1,"")</f>
        <v/>
      </c>
      <c r="O42" s="21">
        <f>IFERROR(O5/K5-1,"")</f>
        <v/>
      </c>
      <c r="P42" s="21">
        <f>IFERROR(P5/L5-1,"")</f>
        <v/>
      </c>
      <c r="Q42" s="21">
        <f>IFERROR(Q5/M5-1,"")</f>
        <v/>
      </c>
      <c r="R42" s="21">
        <f>IFERROR(R5/N5-1,"")</f>
        <v/>
      </c>
      <c r="S42" s="21">
        <f>IFERROR(S5/O5-1,"")</f>
        <v/>
      </c>
      <c r="T42" s="21">
        <f>IFERROR(T5/P5-1,"")</f>
        <v/>
      </c>
      <c r="U42" s="21">
        <f>IFERROR(U5/Q5-1,"")</f>
        <v/>
      </c>
      <c r="V42" s="21">
        <f>IFERROR(V5/R5-1,"")</f>
        <v/>
      </c>
      <c r="W42" s="46">
        <f>IFERROR(W5/S5-1,"")</f>
        <v/>
      </c>
      <c r="X42" s="32">
        <f>IFERROR(X5/T5-1,"")</f>
        <v/>
      </c>
      <c r="Y42" s="32">
        <f>IFERROR(Y5/U5-1,"")</f>
        <v/>
      </c>
      <c r="Z42" s="32">
        <f>IFERROR(Z5/V5-1,"")</f>
        <v/>
      </c>
      <c r="AA42" s="32">
        <f>IFERROR(AA5/W5-1,"")</f>
        <v/>
      </c>
      <c r="AB42" s="32">
        <f>IFERROR(AB5/X5-1,"")</f>
        <v/>
      </c>
      <c r="AC42" s="32">
        <f>IFERROR(AC5/Y5-1,"")</f>
        <v/>
      </c>
      <c r="AD42" s="32">
        <f>IFERROR(AD5/Z5-1,"")</f>
        <v/>
      </c>
      <c r="AE42" s="32">
        <f>IFERROR(AE5/AA5-1,"")</f>
        <v/>
      </c>
      <c r="AF42" s="32">
        <f>IFERROR(AF5/AB5-1,"")</f>
        <v/>
      </c>
      <c r="AG42" s="32">
        <f>IFERROR(AG5/AC5-1,"")</f>
        <v/>
      </c>
    </row>
    <row r="43">
      <c r="A43" s="12" t="inlineStr">
        <is>
          <t>영업이익 YoY</t>
        </is>
      </c>
      <c r="D43" t="inlineStr">
        <is>
          <t>영업이익 YoY</t>
        </is>
      </c>
      <c r="I43" s="21">
        <f>IFERROR(I9/E9-1,"")</f>
        <v/>
      </c>
      <c r="J43" s="21">
        <f>IFERROR(J9/F9-1,"")</f>
        <v/>
      </c>
      <c r="K43" s="21">
        <f>IFERROR(K9/G9-1,"")</f>
        <v/>
      </c>
      <c r="L43" s="21">
        <f>IFERROR(L9/H9-1,"")</f>
        <v/>
      </c>
      <c r="M43" s="21">
        <f>IFERROR(M9/I9-1,"")</f>
        <v/>
      </c>
      <c r="N43" s="21">
        <f>IFERROR(N9/J9-1,"")</f>
        <v/>
      </c>
      <c r="O43" s="21">
        <f>IFERROR(O9/K9-1,"")</f>
        <v/>
      </c>
      <c r="P43" s="21">
        <f>IFERROR(P9/L9-1,"")</f>
        <v/>
      </c>
      <c r="Q43" s="21">
        <f>IFERROR(Q9/M9-1,"")</f>
        <v/>
      </c>
      <c r="R43" s="21">
        <f>IFERROR(R9/N9-1,"")</f>
        <v/>
      </c>
      <c r="S43" s="21">
        <f>IFERROR(S9/O9-1,"")</f>
        <v/>
      </c>
      <c r="T43" s="21">
        <f>IFERROR(T9/P9-1,"")</f>
        <v/>
      </c>
      <c r="U43" s="21">
        <f>IFERROR(U9/Q9-1,"")</f>
        <v/>
      </c>
      <c r="V43" s="21">
        <f>IFERROR(V9/R9-1,"")</f>
        <v/>
      </c>
      <c r="W43" s="46">
        <f>IFERROR(W9/S9-1,"")</f>
        <v/>
      </c>
      <c r="X43" s="32">
        <f>IFERROR(X9/T9-1,"")</f>
        <v/>
      </c>
      <c r="Y43" s="32">
        <f>IFERROR(Y9/U9-1,"")</f>
        <v/>
      </c>
      <c r="Z43" s="32">
        <f>IFERROR(Z9/V9-1,"")</f>
        <v/>
      </c>
      <c r="AA43" s="32">
        <f>IFERROR(AA9/W9-1,"")</f>
        <v/>
      </c>
      <c r="AB43" s="32">
        <f>IFERROR(AB9/X9-1,"")</f>
        <v/>
      </c>
      <c r="AC43" s="32">
        <f>IFERROR(AC9/Y9-1,"")</f>
        <v/>
      </c>
      <c r="AD43" s="32">
        <f>IFERROR(AD9/Z9-1,"")</f>
        <v/>
      </c>
      <c r="AE43" s="32">
        <f>IFERROR(AE9/AA9-1,"")</f>
        <v/>
      </c>
      <c r="AF43" s="32">
        <f>IFERROR(AF9/AB9-1,"")</f>
        <v/>
      </c>
      <c r="AG43" s="32">
        <f>IFERROR(AG9/AC9-1,"")</f>
        <v/>
      </c>
    </row>
    <row r="44">
      <c r="A44" s="12" t="inlineStr">
        <is>
          <t>지배주주순이익 YoY</t>
        </is>
      </c>
      <c r="D44" t="inlineStr">
        <is>
          <t>지배주주순이익 YoY</t>
        </is>
      </c>
      <c r="I44" s="21">
        <f>IFERROR(I20/E20-1,"")</f>
        <v/>
      </c>
      <c r="J44" s="21">
        <f>IFERROR(J20/F20-1,"")</f>
        <v/>
      </c>
      <c r="K44" s="21">
        <f>IFERROR(K20/G20-1,"")</f>
        <v/>
      </c>
      <c r="L44" s="21">
        <f>IFERROR(L20/H20-1,"")</f>
        <v/>
      </c>
      <c r="M44" s="21">
        <f>IFERROR(M20/I20-1,"")</f>
        <v/>
      </c>
      <c r="N44" s="21">
        <f>IFERROR(N20/J20-1,"")</f>
        <v/>
      </c>
      <c r="O44" s="21">
        <f>IFERROR(O20/K20-1,"")</f>
        <v/>
      </c>
      <c r="P44" s="21">
        <f>IFERROR(P20/L20-1,"")</f>
        <v/>
      </c>
      <c r="Q44" s="21">
        <f>IFERROR(Q20/M20-1,"")</f>
        <v/>
      </c>
      <c r="R44" s="21">
        <f>IFERROR(R20/N20-1,"")</f>
        <v/>
      </c>
      <c r="S44" s="21">
        <f>IFERROR(S20/O20-1,"")</f>
        <v/>
      </c>
      <c r="T44" s="21">
        <f>IFERROR(T20/P20-1,"")</f>
        <v/>
      </c>
      <c r="U44" s="21">
        <f>IFERROR(U20/Q20-1,"")</f>
        <v/>
      </c>
      <c r="V44" s="21">
        <f>IFERROR(V20/R20-1,"")</f>
        <v/>
      </c>
      <c r="W44" s="46">
        <f>IFERROR(W20/S20-1,"")</f>
        <v/>
      </c>
      <c r="X44" s="32">
        <f>IFERROR(X20/T20-1,"")</f>
        <v/>
      </c>
      <c r="Y44" s="32">
        <f>IFERROR(Y20/U20-1,"")</f>
        <v/>
      </c>
      <c r="Z44" s="32">
        <f>IFERROR(Z20/V20-1,"")</f>
        <v/>
      </c>
      <c r="AA44" s="32">
        <f>IFERROR(AA20/W20-1,"")</f>
        <v/>
      </c>
      <c r="AB44" s="32">
        <f>IFERROR(AB20/X20-1,"")</f>
        <v/>
      </c>
      <c r="AC44" s="32">
        <f>IFERROR(AC20/Y20-1,"")</f>
        <v/>
      </c>
      <c r="AD44" s="32">
        <f>IFERROR(AD20/Z20-1,"")</f>
        <v/>
      </c>
      <c r="AE44" s="32">
        <f>IFERROR(AE20/AA20-1,"")</f>
        <v/>
      </c>
      <c r="AF44" s="32">
        <f>IFERROR(AF20/AB20-1,"")</f>
        <v/>
      </c>
      <c r="AG44" s="32">
        <f>IFERROR(AG20/AC20-1,"")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C1" s="2" t="inlineStr">
        <is>
          <t>이름: 연간예상H — subQ 를 이름으로 VLOOKUP(억원)</t>
        </is>
      </c>
      <c r="E1" s="3" t="n">
        <v>2021</v>
      </c>
      <c r="F1" s="3" t="n">
        <v>2022</v>
      </c>
      <c r="G1" s="3" t="n">
        <v>2023</v>
      </c>
      <c r="H1" s="3" t="n">
        <v>2024</v>
      </c>
      <c r="I1" s="41" t="n">
        <v>2025</v>
      </c>
      <c r="J1" s="3" t="n">
        <v>2026</v>
      </c>
      <c r="K1" s="3" t="n">
        <v>2027</v>
      </c>
      <c r="L1" s="3" t="n">
        <v>2028</v>
      </c>
    </row>
    <row r="2">
      <c r="C2" t="inlineStr">
        <is>
          <t>종가:</t>
        </is>
      </c>
      <c r="D2" s="18">
        <f>변수!D44</f>
        <v/>
      </c>
      <c r="I2" s="42" t="n"/>
    </row>
    <row r="3">
      <c r="C3" t="inlineStr">
        <is>
          <t>기준일:</t>
        </is>
      </c>
      <c r="D3" t="inlineStr">
        <is>
          <t>20261013</t>
        </is>
      </c>
      <c r="E3" s="2" t="n">
        <v>1</v>
      </c>
      <c r="F3" s="2" t="n">
        <v>2</v>
      </c>
      <c r="G3" s="2" t="n">
        <v>3</v>
      </c>
      <c r="H3" s="2" t="n">
        <v>4</v>
      </c>
      <c r="I3" s="43" t="n">
        <v>5</v>
      </c>
      <c r="J3" s="2" t="n">
        <v>6</v>
      </c>
      <c r="K3" s="2" t="n">
        <v>7</v>
      </c>
      <c r="L3" s="2" t="n">
        <v>8</v>
      </c>
    </row>
    <row r="4">
      <c r="E4" s="7" t="inlineStr">
        <is>
          <t>2021.12A</t>
        </is>
      </c>
      <c r="F4" s="7" t="inlineStr">
        <is>
          <t>2022.12A</t>
        </is>
      </c>
      <c r="G4" s="7" t="inlineStr">
        <is>
          <t>2023.12A</t>
        </is>
      </c>
      <c r="H4" s="7" t="inlineStr">
        <is>
          <t>2024.12A</t>
        </is>
      </c>
      <c r="I4" s="44" t="inlineStr">
        <is>
          <t>2025.12A</t>
        </is>
      </c>
      <c r="J4" s="7" t="inlineStr">
        <is>
          <t>2026.12A</t>
        </is>
      </c>
      <c r="K4" s="7" t="inlineStr">
        <is>
          <t>2027.12A</t>
        </is>
      </c>
      <c r="L4" s="7" t="inlineStr">
        <is>
          <t>2028.12A</t>
        </is>
      </c>
    </row>
    <row r="5">
      <c r="A5" s="12" t="inlineStr">
        <is>
          <t>매출액</t>
        </is>
      </c>
      <c r="D5" t="inlineStr">
        <is>
          <t>매출액</t>
        </is>
      </c>
      <c r="E5" s="18">
        <f>IFERROR(VLOOKUP($A5,subQ,MATCH(E$1,SUBQH,0),0),"")</f>
        <v/>
      </c>
      <c r="F5" s="18">
        <f>IFERROR(VLOOKUP($A5,subQ,MATCH(F$1,SUBQH,0),0),"")</f>
        <v/>
      </c>
      <c r="G5" s="18">
        <f>IFERROR(VLOOKUP($A5,subQ,MATCH(G$1,SUBQH,0),0),"")</f>
        <v/>
      </c>
      <c r="H5" s="18">
        <f>IFERROR(VLOOKUP($A5,subQ,MATCH(H$1,SUBQH,0),0),"")</f>
        <v/>
      </c>
      <c r="I5" s="45">
        <f>IFERROR(VLOOKUP($A5,subQ,MATCH(I$1,SUBQH,0),0),"")</f>
        <v/>
      </c>
      <c r="J5" s="20">
        <f>IFERROR(VLOOKUP($A5,subQ,MATCH(J$1,SUBQH,0),0),"")</f>
        <v/>
      </c>
      <c r="K5" s="20">
        <f>IFERROR(VLOOKUP($A5,subQ,MATCH(K$1,SUBQH,0),0),"")</f>
        <v/>
      </c>
      <c r="L5" s="20">
        <f>IFERROR(VLOOKUP($A5,subQ,MATCH(L$1,SUBQH,0),0),"")</f>
        <v/>
      </c>
    </row>
    <row r="6">
      <c r="A6" s="12" t="inlineStr">
        <is>
          <t>매출원가</t>
        </is>
      </c>
      <c r="D6" t="inlineStr">
        <is>
          <t>매출원가</t>
        </is>
      </c>
      <c r="E6" s="18">
        <f>IFERROR(VLOOKUP($A6,subQ,MATCH(E$1,SUBQH,0),0),"")</f>
        <v/>
      </c>
      <c r="F6" s="18">
        <f>IFERROR(VLOOKUP($A6,subQ,MATCH(F$1,SUBQH,0),0),"")</f>
        <v/>
      </c>
      <c r="G6" s="18">
        <f>IFERROR(VLOOKUP($A6,subQ,MATCH(G$1,SUBQH,0),0),"")</f>
        <v/>
      </c>
      <c r="H6" s="18">
        <f>IFERROR(VLOOKUP($A6,subQ,MATCH(H$1,SUBQH,0),0),"")</f>
        <v/>
      </c>
      <c r="I6" s="45">
        <f>IFERROR(VLOOKUP($A6,subQ,MATCH(I$1,SUBQH,0),0),"")</f>
        <v/>
      </c>
      <c r="J6" s="20">
        <f>IFERROR(VLOOKUP($A6,subQ,MATCH(J$1,SUBQH,0),0),"")</f>
        <v/>
      </c>
      <c r="K6" s="20">
        <f>IFERROR(VLOOKUP($A6,subQ,MATCH(K$1,SUBQH,0),0),"")</f>
        <v/>
      </c>
      <c r="L6" s="20">
        <f>IFERROR(VLOOKUP($A6,subQ,MATCH(L$1,SUBQH,0),0),"")</f>
        <v/>
      </c>
    </row>
    <row r="7">
      <c r="A7" s="12" t="inlineStr">
        <is>
          <t>매출총이익</t>
        </is>
      </c>
      <c r="D7" t="inlineStr">
        <is>
          <t>매출총이익</t>
        </is>
      </c>
      <c r="E7" s="18">
        <f>IFERROR(VLOOKUP($A7,subQ,MATCH(E$1,SUBQH,0),0),"")</f>
        <v/>
      </c>
      <c r="F7" s="18">
        <f>IFERROR(VLOOKUP($A7,subQ,MATCH(F$1,SUBQH,0),0),"")</f>
        <v/>
      </c>
      <c r="G7" s="18">
        <f>IFERROR(VLOOKUP($A7,subQ,MATCH(G$1,SUBQH,0),0),"")</f>
        <v/>
      </c>
      <c r="H7" s="18">
        <f>IFERROR(VLOOKUP($A7,subQ,MATCH(H$1,SUBQH,0),0),"")</f>
        <v/>
      </c>
      <c r="I7" s="45">
        <f>IFERROR(VLOOKUP($A7,subQ,MATCH(I$1,SUBQH,0),0),"")</f>
        <v/>
      </c>
      <c r="J7" s="20">
        <f>IFERROR(VLOOKUP($A7,subQ,MATCH(J$1,SUBQH,0),0),"")</f>
        <v/>
      </c>
      <c r="K7" s="20">
        <f>IFERROR(VLOOKUP($A7,subQ,MATCH(K$1,SUBQH,0),0),"")</f>
        <v/>
      </c>
      <c r="L7" s="20">
        <f>IFERROR(VLOOKUP($A7,subQ,MATCH(L$1,SUBQH,0),0),"")</f>
        <v/>
      </c>
    </row>
    <row r="8">
      <c r="A8" s="12" t="inlineStr">
        <is>
          <t>판관비</t>
        </is>
      </c>
      <c r="D8" t="inlineStr">
        <is>
          <t>판매비와관리비</t>
        </is>
      </c>
      <c r="E8" s="18">
        <f>IFERROR(VLOOKUP($A8,subQ,MATCH(E$1,SUBQH,0),0),"")</f>
        <v/>
      </c>
      <c r="F8" s="18">
        <f>IFERROR(VLOOKUP($A8,subQ,MATCH(F$1,SUBQH,0),0),"")</f>
        <v/>
      </c>
      <c r="G8" s="18">
        <f>IFERROR(VLOOKUP($A8,subQ,MATCH(G$1,SUBQH,0),0),"")</f>
        <v/>
      </c>
      <c r="H8" s="18">
        <f>IFERROR(VLOOKUP($A8,subQ,MATCH(H$1,SUBQH,0),0),"")</f>
        <v/>
      </c>
      <c r="I8" s="45">
        <f>IFERROR(VLOOKUP($A8,subQ,MATCH(I$1,SUBQH,0),0),"")</f>
        <v/>
      </c>
      <c r="J8" s="20">
        <f>IFERROR(VLOOKUP($A8,subQ,MATCH(J$1,SUBQH,0),0),"")</f>
        <v/>
      </c>
      <c r="K8" s="20">
        <f>IFERROR(VLOOKUP($A8,subQ,MATCH(K$1,SUBQH,0),0),"")</f>
        <v/>
      </c>
      <c r="L8" s="20">
        <f>IFERROR(VLOOKUP($A8,subQ,MATCH(L$1,SUBQH,0),0),"")</f>
        <v/>
      </c>
    </row>
    <row r="9">
      <c r="A9" s="12" t="inlineStr">
        <is>
          <t>영업이익</t>
        </is>
      </c>
      <c r="D9" t="inlineStr">
        <is>
          <t>영업이익</t>
        </is>
      </c>
      <c r="E9" s="18">
        <f>IFERROR(VLOOKUP($A9,subQ,MATCH(E$1,SUBQH,0),0),"")</f>
        <v/>
      </c>
      <c r="F9" s="18">
        <f>IFERROR(VLOOKUP($A9,subQ,MATCH(F$1,SUBQH,0),0),"")</f>
        <v/>
      </c>
      <c r="G9" s="18">
        <f>IFERROR(VLOOKUP($A9,subQ,MATCH(G$1,SUBQH,0),0),"")</f>
        <v/>
      </c>
      <c r="H9" s="18">
        <f>IFERROR(VLOOKUP($A9,subQ,MATCH(H$1,SUBQH,0),0),"")</f>
        <v/>
      </c>
      <c r="I9" s="45">
        <f>IFERROR(VLOOKUP($A9,subQ,MATCH(I$1,SUBQH,0),0),"")</f>
        <v/>
      </c>
      <c r="J9" s="20">
        <f>IFERROR(VLOOKUP($A9,subQ,MATCH(J$1,SUBQH,0),0),"")</f>
        <v/>
      </c>
      <c r="K9" s="20">
        <f>IFERROR(VLOOKUP($A9,subQ,MATCH(K$1,SUBQH,0),0),"")</f>
        <v/>
      </c>
      <c r="L9" s="20">
        <f>IFERROR(VLOOKUP($A9,subQ,MATCH(L$1,SUBQH,0),0),"")</f>
        <v/>
      </c>
    </row>
    <row r="10">
      <c r="A10" s="12" t="inlineStr">
        <is>
          <t>OPM</t>
        </is>
      </c>
      <c r="D10" t="inlineStr">
        <is>
          <t>영업이익률</t>
        </is>
      </c>
      <c r="E10" s="21">
        <f>IFERROR(VLOOKUP($A10,subQ,MATCH(E$1,SUBQH,0),0),"")</f>
        <v/>
      </c>
      <c r="F10" s="21">
        <f>IFERROR(VLOOKUP($A10,subQ,MATCH(F$1,SUBQH,0),0),"")</f>
        <v/>
      </c>
      <c r="G10" s="21">
        <f>IFERROR(VLOOKUP($A10,subQ,MATCH(G$1,SUBQH,0),0),"")</f>
        <v/>
      </c>
      <c r="H10" s="21">
        <f>IFERROR(VLOOKUP($A10,subQ,MATCH(H$1,SUBQH,0),0),"")</f>
        <v/>
      </c>
      <c r="I10" s="46">
        <f>IFERROR(VLOOKUP($A10,subQ,MATCH(I$1,SUBQH,0),0),"")</f>
        <v/>
      </c>
      <c r="J10" s="32">
        <f>IFERROR(VLOOKUP($A10,subQ,MATCH(J$1,SUBQH,0),0),"")</f>
        <v/>
      </c>
      <c r="K10" s="32">
        <f>IFERROR(VLOOKUP($A10,subQ,MATCH(K$1,SUBQH,0),0),"")</f>
        <v/>
      </c>
      <c r="L10" s="32">
        <f>IFERROR(VLOOKUP($A10,subQ,MATCH(L$1,SUBQH,0),0),"")</f>
        <v/>
      </c>
    </row>
    <row r="11">
      <c r="A11" s="12" t="inlineStr">
        <is>
          <t>금융손익</t>
        </is>
      </c>
      <c r="D11" t="inlineStr">
        <is>
          <t>금융손익(이자·환 포함)</t>
        </is>
      </c>
      <c r="E11" s="18">
        <f>IFERROR(VLOOKUP($A11,subQ,MATCH(E$1,SUBQH,0),0),"")</f>
        <v/>
      </c>
      <c r="F11" s="18">
        <f>IFERROR(VLOOKUP($A11,subQ,MATCH(F$1,SUBQH,0),0),"")</f>
        <v/>
      </c>
      <c r="G11" s="18">
        <f>IFERROR(VLOOKUP($A11,subQ,MATCH(G$1,SUBQH,0),0),"")</f>
        <v/>
      </c>
      <c r="H11" s="18">
        <f>IFERROR(VLOOKUP($A11,subQ,MATCH(H$1,SUBQH,0),0),"")</f>
        <v/>
      </c>
      <c r="I11" s="45">
        <f>IFERROR(VLOOKUP($A11,subQ,MATCH(I$1,SUBQH,0),0),"")</f>
        <v/>
      </c>
      <c r="J11" s="20">
        <f>IFERROR(VLOOKUP($A11,subQ,MATCH(J$1,SUBQH,0),0),"")</f>
        <v/>
      </c>
      <c r="K11" s="20">
        <f>IFERROR(VLOOKUP($A11,subQ,MATCH(K$1,SUBQH,0),0),"")</f>
        <v/>
      </c>
      <c r="L11" s="20">
        <f>IFERROR(VLOOKUP($A11,subQ,MATCH(L$1,SUBQH,0),0),"")</f>
        <v/>
      </c>
    </row>
    <row r="12">
      <c r="A12" s="12" t="inlineStr">
        <is>
          <t>이자손익</t>
        </is>
      </c>
      <c r="D12" t="inlineStr">
        <is>
          <t>이자손익(이자수익 − 이자비용)</t>
        </is>
      </c>
      <c r="E12" s="18">
        <f>IFERROR(VLOOKUP($A12,subQ,MATCH(E$1,SUBQH,0),0),"")</f>
        <v/>
      </c>
      <c r="F12" s="18">
        <f>IFERROR(VLOOKUP($A12,subQ,MATCH(F$1,SUBQH,0),0),"")</f>
        <v/>
      </c>
      <c r="G12" s="18">
        <f>IFERROR(VLOOKUP($A12,subQ,MATCH(G$1,SUBQH,0),0),"")</f>
        <v/>
      </c>
      <c r="H12" s="18">
        <f>IFERROR(VLOOKUP($A12,subQ,MATCH(H$1,SUBQH,0),0),"")</f>
        <v/>
      </c>
      <c r="I12" s="45">
        <f>IFERROR(VLOOKUP($A12,subQ,MATCH(I$1,SUBQH,0),0),"")</f>
        <v/>
      </c>
      <c r="J12" s="20">
        <f>IFERROR(VLOOKUP($A12,subQ,MATCH(J$1,SUBQH,0),0),"")</f>
        <v/>
      </c>
      <c r="K12" s="20">
        <f>IFERROR(VLOOKUP($A12,subQ,MATCH(K$1,SUBQH,0),0),"")</f>
        <v/>
      </c>
      <c r="L12" s="20">
        <f>IFERROR(VLOOKUP($A12,subQ,MATCH(L$1,SUBQH,0),0),"")</f>
        <v/>
      </c>
    </row>
    <row r="13">
      <c r="A13" s="12" t="inlineStr">
        <is>
          <t>외환손익</t>
        </is>
      </c>
      <c r="D13" t="inlineStr">
        <is>
          <t>외환손익(실적만; 추정 환효과는 환관련손익)</t>
        </is>
      </c>
      <c r="E13" s="18">
        <f>IFERROR(VLOOKUP($A13,subQ,MATCH(E$1,SUBQH,0),0),"")</f>
        <v/>
      </c>
      <c r="F13" s="18">
        <f>IFERROR(VLOOKUP($A13,subQ,MATCH(F$1,SUBQH,0),0),"")</f>
        <v/>
      </c>
      <c r="G13" s="18">
        <f>IFERROR(VLOOKUP($A13,subQ,MATCH(G$1,SUBQH,0),0),"")</f>
        <v/>
      </c>
      <c r="H13" s="18">
        <f>IFERROR(VLOOKUP($A13,subQ,MATCH(H$1,SUBQH,0),0),"")</f>
        <v/>
      </c>
      <c r="I13" s="45">
        <f>IFERROR(VLOOKUP($A13,subQ,MATCH(I$1,SUBQH,0),0),"")</f>
        <v/>
      </c>
      <c r="J13" s="20">
        <f>IFERROR(VLOOKUP($A13,subQ,MATCH(J$1,SUBQH,0),0),"")</f>
        <v/>
      </c>
      <c r="K13" s="20">
        <f>IFERROR(VLOOKUP($A13,subQ,MATCH(K$1,SUBQH,0),0),"")</f>
        <v/>
      </c>
      <c r="L13" s="20">
        <f>IFERROR(VLOOKUP($A13,subQ,MATCH(L$1,SUBQH,0),0),"")</f>
        <v/>
      </c>
    </row>
    <row r="14">
      <c r="A14" s="12" t="inlineStr">
        <is>
          <t>파생상품손익</t>
        </is>
      </c>
      <c r="D14" t="inlineStr">
        <is>
          <t>파생상품손익</t>
        </is>
      </c>
      <c r="E14" s="18">
        <f>IFERROR(VLOOKUP($A14,subQ,MATCH(E$1,SUBQH,0),0),"")</f>
        <v/>
      </c>
      <c r="F14" s="18">
        <f>IFERROR(VLOOKUP($A14,subQ,MATCH(F$1,SUBQH,0),0),"")</f>
        <v/>
      </c>
      <c r="G14" s="18">
        <f>IFERROR(VLOOKUP($A14,subQ,MATCH(G$1,SUBQH,0),0),"")</f>
        <v/>
      </c>
      <c r="H14" s="18">
        <f>IFERROR(VLOOKUP($A14,subQ,MATCH(H$1,SUBQH,0),0),"")</f>
        <v/>
      </c>
      <c r="I14" s="45">
        <f>IFERROR(VLOOKUP($A14,subQ,MATCH(I$1,SUBQH,0),0),"")</f>
        <v/>
      </c>
      <c r="J14" s="20">
        <f>IFERROR(VLOOKUP($A14,subQ,MATCH(J$1,SUBQH,0),0),"")</f>
        <v/>
      </c>
      <c r="K14" s="20">
        <f>IFERROR(VLOOKUP($A14,subQ,MATCH(K$1,SUBQH,0),0),"")</f>
        <v/>
      </c>
      <c r="L14" s="20">
        <f>IFERROR(VLOOKUP($A14,subQ,MATCH(L$1,SUBQH,0),0),"")</f>
        <v/>
      </c>
    </row>
    <row r="15">
      <c r="A15" s="12" t="inlineStr">
        <is>
          <t>기타금융손익</t>
        </is>
      </c>
      <c r="D15" t="inlineStr">
        <is>
          <t>기타금융손익(금융손익 잔차)</t>
        </is>
      </c>
      <c r="E15" s="18">
        <f>IFERROR(VLOOKUP($A15,subQ,MATCH(E$1,SUBQH,0),0),"")</f>
        <v/>
      </c>
      <c r="F15" s="18">
        <f>IFERROR(VLOOKUP($A15,subQ,MATCH(F$1,SUBQH,0),0),"")</f>
        <v/>
      </c>
      <c r="G15" s="18">
        <f>IFERROR(VLOOKUP($A15,subQ,MATCH(G$1,SUBQH,0),0),"")</f>
        <v/>
      </c>
      <c r="H15" s="18">
        <f>IFERROR(VLOOKUP($A15,subQ,MATCH(H$1,SUBQH,0),0),"")</f>
        <v/>
      </c>
      <c r="I15" s="45">
        <f>IFERROR(VLOOKUP($A15,subQ,MATCH(I$1,SUBQH,0),0),"")</f>
        <v/>
      </c>
      <c r="J15" s="20">
        <f>IFERROR(VLOOKUP($A15,subQ,MATCH(J$1,SUBQH,0),0),"")</f>
        <v/>
      </c>
      <c r="K15" s="20">
        <f>IFERROR(VLOOKUP($A15,subQ,MATCH(K$1,SUBQH,0),0),"")</f>
        <v/>
      </c>
      <c r="L15" s="20">
        <f>IFERROR(VLOOKUP($A15,subQ,MATCH(L$1,SUBQH,0),0),"")</f>
        <v/>
      </c>
    </row>
    <row r="16">
      <c r="A16" s="12" t="inlineStr">
        <is>
          <t>기타영업외손익</t>
        </is>
      </c>
      <c r="D16" t="inlineStr">
        <is>
          <t>기타영업외손익</t>
        </is>
      </c>
      <c r="E16" s="18">
        <f>IFERROR(VLOOKUP($A16,subQ,MATCH(E$1,SUBQH,0),0),"")</f>
        <v/>
      </c>
      <c r="F16" s="18">
        <f>IFERROR(VLOOKUP($A16,subQ,MATCH(F$1,SUBQH,0),0),"")</f>
        <v/>
      </c>
      <c r="G16" s="18">
        <f>IFERROR(VLOOKUP($A16,subQ,MATCH(G$1,SUBQH,0),0),"")</f>
        <v/>
      </c>
      <c r="H16" s="18">
        <f>IFERROR(VLOOKUP($A16,subQ,MATCH(H$1,SUBQH,0),0),"")</f>
        <v/>
      </c>
      <c r="I16" s="45">
        <f>IFERROR(VLOOKUP($A16,subQ,MATCH(I$1,SUBQH,0),0),"")</f>
        <v/>
      </c>
      <c r="J16" s="20">
        <f>IFERROR(VLOOKUP($A16,subQ,MATCH(J$1,SUBQH,0),0),"")</f>
        <v/>
      </c>
      <c r="K16" s="20">
        <f>IFERROR(VLOOKUP($A16,subQ,MATCH(K$1,SUBQH,0),0),"")</f>
        <v/>
      </c>
      <c r="L16" s="20">
        <f>IFERROR(VLOOKUP($A16,subQ,MATCH(L$1,SUBQH,0),0),"")</f>
        <v/>
      </c>
    </row>
    <row r="17">
      <c r="A17" s="12" t="inlineStr">
        <is>
          <t>세전이익</t>
        </is>
      </c>
      <c r="D17" t="inlineStr">
        <is>
          <t>법인세비용차감전이익</t>
        </is>
      </c>
      <c r="E17" s="18">
        <f>IFERROR(VLOOKUP($A17,subQ,MATCH(E$1,SUBQH,0),0),"")</f>
        <v/>
      </c>
      <c r="F17" s="18">
        <f>IFERROR(VLOOKUP($A17,subQ,MATCH(F$1,SUBQH,0),0),"")</f>
        <v/>
      </c>
      <c r="G17" s="18">
        <f>IFERROR(VLOOKUP($A17,subQ,MATCH(G$1,SUBQH,0),0),"")</f>
        <v/>
      </c>
      <c r="H17" s="18">
        <f>IFERROR(VLOOKUP($A17,subQ,MATCH(H$1,SUBQH,0),0),"")</f>
        <v/>
      </c>
      <c r="I17" s="45">
        <f>IFERROR(VLOOKUP($A17,subQ,MATCH(I$1,SUBQH,0),0),"")</f>
        <v/>
      </c>
      <c r="J17" s="20">
        <f>IFERROR(VLOOKUP($A17,subQ,MATCH(J$1,SUBQH,0),0),"")</f>
        <v/>
      </c>
      <c r="K17" s="20">
        <f>IFERROR(VLOOKUP($A17,subQ,MATCH(K$1,SUBQH,0),0),"")</f>
        <v/>
      </c>
      <c r="L17" s="20">
        <f>IFERROR(VLOOKUP($A17,subQ,MATCH(L$1,SUBQH,0),0),"")</f>
        <v/>
      </c>
    </row>
    <row r="18">
      <c r="A18" s="12" t="inlineStr">
        <is>
          <t>법인세비용</t>
        </is>
      </c>
      <c r="D18" t="inlineStr">
        <is>
          <t>법인세비용</t>
        </is>
      </c>
      <c r="E18" s="18">
        <f>IFERROR(VLOOKUP($A18,subQ,MATCH(E$1,SUBQH,0),0),"")</f>
        <v/>
      </c>
      <c r="F18" s="18">
        <f>IFERROR(VLOOKUP($A18,subQ,MATCH(F$1,SUBQH,0),0),"")</f>
        <v/>
      </c>
      <c r="G18" s="18">
        <f>IFERROR(VLOOKUP($A18,subQ,MATCH(G$1,SUBQH,0),0),"")</f>
        <v/>
      </c>
      <c r="H18" s="18">
        <f>IFERROR(VLOOKUP($A18,subQ,MATCH(H$1,SUBQH,0),0),"")</f>
        <v/>
      </c>
      <c r="I18" s="45">
        <f>IFERROR(VLOOKUP($A18,subQ,MATCH(I$1,SUBQH,0),0),"")</f>
        <v/>
      </c>
      <c r="J18" s="20">
        <f>IFERROR(VLOOKUP($A18,subQ,MATCH(J$1,SUBQH,0),0),"")</f>
        <v/>
      </c>
      <c r="K18" s="20">
        <f>IFERROR(VLOOKUP($A18,subQ,MATCH(K$1,SUBQH,0),0),"")</f>
        <v/>
      </c>
      <c r="L18" s="20">
        <f>IFERROR(VLOOKUP($A18,subQ,MATCH(L$1,SUBQH,0),0),"")</f>
        <v/>
      </c>
    </row>
    <row r="19">
      <c r="A19" s="12" t="inlineStr">
        <is>
          <t>당기순이익</t>
        </is>
      </c>
      <c r="D19" t="inlineStr">
        <is>
          <t>당기순이익</t>
        </is>
      </c>
      <c r="E19" s="18">
        <f>IFERROR(VLOOKUP($A19,subQ,MATCH(E$1,SUBQH,0),0),"")</f>
        <v/>
      </c>
      <c r="F19" s="18">
        <f>IFERROR(VLOOKUP($A19,subQ,MATCH(F$1,SUBQH,0),0),"")</f>
        <v/>
      </c>
      <c r="G19" s="18">
        <f>IFERROR(VLOOKUP($A19,subQ,MATCH(G$1,SUBQH,0),0),"")</f>
        <v/>
      </c>
      <c r="H19" s="18">
        <f>IFERROR(VLOOKUP($A19,subQ,MATCH(H$1,SUBQH,0),0),"")</f>
        <v/>
      </c>
      <c r="I19" s="45">
        <f>IFERROR(VLOOKUP($A19,subQ,MATCH(I$1,SUBQH,0),0),"")</f>
        <v/>
      </c>
      <c r="J19" s="20">
        <f>IFERROR(VLOOKUP($A19,subQ,MATCH(J$1,SUBQH,0),0),"")</f>
        <v/>
      </c>
      <c r="K19" s="20">
        <f>IFERROR(VLOOKUP($A19,subQ,MATCH(K$1,SUBQH,0),0),"")</f>
        <v/>
      </c>
      <c r="L19" s="20">
        <f>IFERROR(VLOOKUP($A19,subQ,MATCH(L$1,SUBQH,0),0),"")</f>
        <v/>
      </c>
    </row>
    <row r="20">
      <c r="A20" s="12" t="inlineStr">
        <is>
          <t>지배주주순이익</t>
        </is>
      </c>
      <c r="D20" t="inlineStr">
        <is>
          <t>지배주주순이익</t>
        </is>
      </c>
      <c r="E20" s="18">
        <f>IFERROR(VLOOKUP($A20,subQ,MATCH(E$1,SUBQH,0),0),"")</f>
        <v/>
      </c>
      <c r="F20" s="18">
        <f>IFERROR(VLOOKUP($A20,subQ,MATCH(F$1,SUBQH,0),0),"")</f>
        <v/>
      </c>
      <c r="G20" s="18">
        <f>IFERROR(VLOOKUP($A20,subQ,MATCH(G$1,SUBQH,0),0),"")</f>
        <v/>
      </c>
      <c r="H20" s="18">
        <f>IFERROR(VLOOKUP($A20,subQ,MATCH(H$1,SUBQH,0),0),"")</f>
        <v/>
      </c>
      <c r="I20" s="45">
        <f>IFERROR(VLOOKUP($A20,subQ,MATCH(I$1,SUBQH,0),0),"")</f>
        <v/>
      </c>
      <c r="J20" s="20">
        <f>IFERROR(VLOOKUP($A20,subQ,MATCH(J$1,SUBQH,0),0),"")</f>
        <v/>
      </c>
      <c r="K20" s="20">
        <f>IFERROR(VLOOKUP($A20,subQ,MATCH(K$1,SUBQH,0),0),"")</f>
        <v/>
      </c>
      <c r="L20" s="20">
        <f>IFERROR(VLOOKUP($A20,subQ,MATCH(L$1,SUBQH,0),0),"")</f>
        <v/>
      </c>
    </row>
    <row r="21">
      <c r="A21" s="12" t="inlineStr">
        <is>
          <t>감가상각비</t>
        </is>
      </c>
      <c r="D21" t="inlineStr">
        <is>
          <t>감가상각비</t>
        </is>
      </c>
      <c r="E21" s="18">
        <f>IFERROR(VLOOKUP($A21,subQ,MATCH(E$1,SUBQH,0),0),"")</f>
        <v/>
      </c>
      <c r="F21" s="18">
        <f>IFERROR(VLOOKUP($A21,subQ,MATCH(F$1,SUBQH,0),0),"")</f>
        <v/>
      </c>
      <c r="G21" s="18">
        <f>IFERROR(VLOOKUP($A21,subQ,MATCH(G$1,SUBQH,0),0),"")</f>
        <v/>
      </c>
      <c r="H21" s="18">
        <f>IFERROR(VLOOKUP($A21,subQ,MATCH(H$1,SUBQH,0),0),"")</f>
        <v/>
      </c>
      <c r="I21" s="45">
        <f>IFERROR(VLOOKUP($A21,subQ,MATCH(I$1,SUBQH,0),0),"")</f>
        <v/>
      </c>
      <c r="J21" s="20">
        <f>IFERROR(VLOOKUP($A21,subQ,MATCH(J$1,SUBQH,0),0),"")</f>
        <v/>
      </c>
      <c r="K21" s="20">
        <f>IFERROR(VLOOKUP($A21,subQ,MATCH(K$1,SUBQH,0),0),"")</f>
        <v/>
      </c>
      <c r="L21" s="20">
        <f>IFERROR(VLOOKUP($A21,subQ,MATCH(L$1,SUBQH,0),0),"")</f>
        <v/>
      </c>
    </row>
    <row r="22">
      <c r="A22" s="12" t="inlineStr">
        <is>
          <t>EBITDA</t>
        </is>
      </c>
      <c r="D22" t="inlineStr">
        <is>
          <t>EBITDA</t>
        </is>
      </c>
      <c r="E22" s="18">
        <f>IFERROR(VLOOKUP($A22,subQ,MATCH(E$1,SUBQH,0),0),"")</f>
        <v/>
      </c>
      <c r="F22" s="18">
        <f>IFERROR(VLOOKUP($A22,subQ,MATCH(F$1,SUBQH,0),0),"")</f>
        <v/>
      </c>
      <c r="G22" s="18">
        <f>IFERROR(VLOOKUP($A22,subQ,MATCH(G$1,SUBQH,0),0),"")</f>
        <v/>
      </c>
      <c r="H22" s="18">
        <f>IFERROR(VLOOKUP($A22,subQ,MATCH(H$1,SUBQH,0),0),"")</f>
        <v/>
      </c>
      <c r="I22" s="45">
        <f>IFERROR(VLOOKUP($A22,subQ,MATCH(I$1,SUBQH,0),0),"")</f>
        <v/>
      </c>
      <c r="J22" s="20">
        <f>IFERROR(VLOOKUP($A22,subQ,MATCH(J$1,SUBQH,0),0),"")</f>
        <v/>
      </c>
      <c r="K22" s="20">
        <f>IFERROR(VLOOKUP($A22,subQ,MATCH(K$1,SUBQH,0),0),"")</f>
        <v/>
      </c>
      <c r="L22" s="20">
        <f>IFERROR(VLOOKUP($A22,subQ,MATCH(L$1,SUBQH,0),0),"")</f>
        <v/>
      </c>
    </row>
    <row r="23">
      <c r="A23" s="12" t="inlineStr">
        <is>
          <t>자산총계</t>
        </is>
      </c>
      <c r="D23" t="inlineStr">
        <is>
          <t>자산총계</t>
        </is>
      </c>
      <c r="E23" s="18">
        <f>IFERROR(VLOOKUP($A23,subQ,MATCH(E$1,SUBQH,0),0),"")</f>
        <v/>
      </c>
      <c r="F23" s="18">
        <f>IFERROR(VLOOKUP($A23,subQ,MATCH(F$1,SUBQH,0),0),"")</f>
        <v/>
      </c>
      <c r="G23" s="18">
        <f>IFERROR(VLOOKUP($A23,subQ,MATCH(G$1,SUBQH,0),0),"")</f>
        <v/>
      </c>
      <c r="H23" s="18">
        <f>IFERROR(VLOOKUP($A23,subQ,MATCH(H$1,SUBQH,0),0),"")</f>
        <v/>
      </c>
      <c r="I23" s="45">
        <f>IFERROR(VLOOKUP($A23,subQ,MATCH(I$1,SUBQH,0),0),"")</f>
        <v/>
      </c>
      <c r="J23" s="20">
        <f>IFERROR(VLOOKUP($A23,subQ,MATCH(J$1,SUBQH,0),0),"")</f>
        <v/>
      </c>
      <c r="K23" s="20">
        <f>IFERROR(VLOOKUP($A23,subQ,MATCH(K$1,SUBQH,0),0),"")</f>
        <v/>
      </c>
      <c r="L23" s="20">
        <f>IFERROR(VLOOKUP($A23,subQ,MATCH(L$1,SUBQH,0),0),"")</f>
        <v/>
      </c>
    </row>
    <row r="24">
      <c r="A24" s="12" t="inlineStr">
        <is>
          <t>부채총계</t>
        </is>
      </c>
      <c r="D24" t="inlineStr">
        <is>
          <t>부채총계</t>
        </is>
      </c>
      <c r="E24" s="18">
        <f>IFERROR(VLOOKUP($A24,subQ,MATCH(E$1,SUBQH,0),0),"")</f>
        <v/>
      </c>
      <c r="F24" s="18">
        <f>IFERROR(VLOOKUP($A24,subQ,MATCH(F$1,SUBQH,0),0),"")</f>
        <v/>
      </c>
      <c r="G24" s="18">
        <f>IFERROR(VLOOKUP($A24,subQ,MATCH(G$1,SUBQH,0),0),"")</f>
        <v/>
      </c>
      <c r="H24" s="18">
        <f>IFERROR(VLOOKUP($A24,subQ,MATCH(H$1,SUBQH,0),0),"")</f>
        <v/>
      </c>
      <c r="I24" s="45">
        <f>IFERROR(VLOOKUP($A24,subQ,MATCH(I$1,SUBQH,0),0),"")</f>
        <v/>
      </c>
      <c r="J24" s="20">
        <f>IFERROR(VLOOKUP($A24,subQ,MATCH(J$1,SUBQH,0),0),"")</f>
        <v/>
      </c>
      <c r="K24" s="20">
        <f>IFERROR(VLOOKUP($A24,subQ,MATCH(K$1,SUBQH,0),0),"")</f>
        <v/>
      </c>
      <c r="L24" s="20">
        <f>IFERROR(VLOOKUP($A24,subQ,MATCH(L$1,SUBQH,0),0),"")</f>
        <v/>
      </c>
    </row>
    <row r="25">
      <c r="A25" s="12" t="inlineStr">
        <is>
          <t>자본총계</t>
        </is>
      </c>
      <c r="D25" t="inlineStr">
        <is>
          <t>자본총계</t>
        </is>
      </c>
      <c r="E25" s="18">
        <f>IFERROR(VLOOKUP($A25,subQ,MATCH(E$1,SUBQH,0),0),"")</f>
        <v/>
      </c>
      <c r="F25" s="18">
        <f>IFERROR(VLOOKUP($A25,subQ,MATCH(F$1,SUBQH,0),0),"")</f>
        <v/>
      </c>
      <c r="G25" s="18">
        <f>IFERROR(VLOOKUP($A25,subQ,MATCH(G$1,SUBQH,0),0),"")</f>
        <v/>
      </c>
      <c r="H25" s="18">
        <f>IFERROR(VLOOKUP($A25,subQ,MATCH(H$1,SUBQH,0),0),"")</f>
        <v/>
      </c>
      <c r="I25" s="45">
        <f>IFERROR(VLOOKUP($A25,subQ,MATCH(I$1,SUBQH,0),0),"")</f>
        <v/>
      </c>
      <c r="J25" s="20">
        <f>IFERROR(VLOOKUP($A25,subQ,MATCH(J$1,SUBQH,0),0),"")</f>
        <v/>
      </c>
      <c r="K25" s="20">
        <f>IFERROR(VLOOKUP($A25,subQ,MATCH(K$1,SUBQH,0),0),"")</f>
        <v/>
      </c>
      <c r="L25" s="20">
        <f>IFERROR(VLOOKUP($A25,subQ,MATCH(L$1,SUBQH,0),0),"")</f>
        <v/>
      </c>
    </row>
    <row r="26">
      <c r="A26" s="12" t="inlineStr">
        <is>
          <t>지배주주지분</t>
        </is>
      </c>
      <c r="D26" t="inlineStr">
        <is>
          <t>지배주주지분</t>
        </is>
      </c>
      <c r="E26" s="18">
        <f>IFERROR(VLOOKUP($A26,subQ,MATCH(E$1,SUBQH,0),0),"")</f>
        <v/>
      </c>
      <c r="F26" s="18">
        <f>IFERROR(VLOOKUP($A26,subQ,MATCH(F$1,SUBQH,0),0),"")</f>
        <v/>
      </c>
      <c r="G26" s="18">
        <f>IFERROR(VLOOKUP($A26,subQ,MATCH(G$1,SUBQH,0),0),"")</f>
        <v/>
      </c>
      <c r="H26" s="18">
        <f>IFERROR(VLOOKUP($A26,subQ,MATCH(H$1,SUBQH,0),0),"")</f>
        <v/>
      </c>
      <c r="I26" s="45">
        <f>IFERROR(VLOOKUP($A26,subQ,MATCH(I$1,SUBQH,0),0),"")</f>
        <v/>
      </c>
      <c r="J26" s="20">
        <f>IFERROR(VLOOKUP($A26,subQ,MATCH(J$1,SUBQH,0),0),"")</f>
        <v/>
      </c>
      <c r="K26" s="20">
        <f>IFERROR(VLOOKUP($A26,subQ,MATCH(K$1,SUBQH,0),0),"")</f>
        <v/>
      </c>
      <c r="L26" s="20">
        <f>IFERROR(VLOOKUP($A26,subQ,MATCH(L$1,SUBQH,0),0),"")</f>
        <v/>
      </c>
    </row>
    <row r="27">
      <c r="A27" s="12" t="inlineStr">
        <is>
          <t>총차입금</t>
        </is>
      </c>
      <c r="D27" t="inlineStr">
        <is>
          <t>총차입금</t>
        </is>
      </c>
      <c r="E27" s="18">
        <f>IFERROR(VLOOKUP($A27,subQ,MATCH(E$1,SUBQH,0),0),"")</f>
        <v/>
      </c>
      <c r="F27" s="18">
        <f>IFERROR(VLOOKUP($A27,subQ,MATCH(F$1,SUBQH,0),0),"")</f>
        <v/>
      </c>
      <c r="G27" s="18">
        <f>IFERROR(VLOOKUP($A27,subQ,MATCH(G$1,SUBQH,0),0),"")</f>
        <v/>
      </c>
      <c r="H27" s="18">
        <f>IFERROR(VLOOKUP($A27,subQ,MATCH(H$1,SUBQH,0),0),"")</f>
        <v/>
      </c>
      <c r="I27" s="45">
        <f>IFERROR(VLOOKUP($A27,subQ,MATCH(I$1,SUBQH,0),0),"")</f>
        <v/>
      </c>
      <c r="J27" s="20">
        <f>IFERROR(VLOOKUP($A27,subQ,MATCH(J$1,SUBQH,0),0),"")</f>
        <v/>
      </c>
      <c r="K27" s="20">
        <f>IFERROR(VLOOKUP($A27,subQ,MATCH(K$1,SUBQH,0),0),"")</f>
        <v/>
      </c>
      <c r="L27" s="20">
        <f>IFERROR(VLOOKUP($A27,subQ,MATCH(L$1,SUBQH,0),0),"")</f>
        <v/>
      </c>
    </row>
    <row r="28">
      <c r="A28" s="12" t="inlineStr">
        <is>
          <t>순차입금</t>
        </is>
      </c>
      <c r="D28" t="inlineStr">
        <is>
          <t>순차입금</t>
        </is>
      </c>
      <c r="E28" s="18">
        <f>IFERROR(VLOOKUP($A28,subQ,MATCH(E$1,SUBQH,0),0),"")</f>
        <v/>
      </c>
      <c r="F28" s="18">
        <f>IFERROR(VLOOKUP($A28,subQ,MATCH(F$1,SUBQH,0),0),"")</f>
        <v/>
      </c>
      <c r="G28" s="18">
        <f>IFERROR(VLOOKUP($A28,subQ,MATCH(G$1,SUBQH,0),0),"")</f>
        <v/>
      </c>
      <c r="H28" s="18">
        <f>IFERROR(VLOOKUP($A28,subQ,MATCH(H$1,SUBQH,0),0),"")</f>
        <v/>
      </c>
      <c r="I28" s="45">
        <f>IFERROR(VLOOKUP($A28,subQ,MATCH(I$1,SUBQH,0),0),"")</f>
        <v/>
      </c>
      <c r="J28" s="20">
        <f>IFERROR(VLOOKUP($A28,subQ,MATCH(J$1,SUBQH,0),0),"")</f>
        <v/>
      </c>
      <c r="K28" s="20">
        <f>IFERROR(VLOOKUP($A28,subQ,MATCH(K$1,SUBQH,0),0),"")</f>
        <v/>
      </c>
      <c r="L28" s="20">
        <f>IFERROR(VLOOKUP($A28,subQ,MATCH(L$1,SUBQH,0),0),"")</f>
        <v/>
      </c>
    </row>
    <row r="29">
      <c r="A29" s="12" t="inlineStr">
        <is>
          <t>이자발생자산</t>
        </is>
      </c>
      <c r="D29" t="inlineStr">
        <is>
          <t>이자발생자산</t>
        </is>
      </c>
      <c r="E29" s="18">
        <f>IFERROR(VLOOKUP($A29,subQ,MATCH(E$1,SUBQH,0),0),"")</f>
        <v/>
      </c>
      <c r="F29" s="18">
        <f>IFERROR(VLOOKUP($A29,subQ,MATCH(F$1,SUBQH,0),0),"")</f>
        <v/>
      </c>
      <c r="G29" s="18">
        <f>IFERROR(VLOOKUP($A29,subQ,MATCH(G$1,SUBQH,0),0),"")</f>
        <v/>
      </c>
      <c r="H29" s="18">
        <f>IFERROR(VLOOKUP($A29,subQ,MATCH(H$1,SUBQH,0),0),"")</f>
        <v/>
      </c>
      <c r="I29" s="45">
        <f>IFERROR(VLOOKUP($A29,subQ,MATCH(I$1,SUBQH,0),0),"")</f>
        <v/>
      </c>
      <c r="J29" s="20">
        <f>IFERROR(VLOOKUP($A29,subQ,MATCH(J$1,SUBQH,0),0),"")</f>
        <v/>
      </c>
      <c r="K29" s="20">
        <f>IFERROR(VLOOKUP($A29,subQ,MATCH(K$1,SUBQH,0),0),"")</f>
        <v/>
      </c>
      <c r="L29" s="20">
        <f>IFERROR(VLOOKUP($A29,subQ,MATCH(L$1,SUBQH,0),0),"")</f>
        <v/>
      </c>
    </row>
    <row r="30">
      <c r="A30" s="12" t="inlineStr">
        <is>
          <t>현금및현금성자산</t>
        </is>
      </c>
      <c r="D30" t="inlineStr">
        <is>
          <t>현금및현금성자산</t>
        </is>
      </c>
      <c r="E30" s="18">
        <f>IFERROR(VLOOKUP($A30,subQ,MATCH(E$1,SUBQH,0),0),"")</f>
        <v/>
      </c>
      <c r="F30" s="18">
        <f>IFERROR(VLOOKUP($A30,subQ,MATCH(F$1,SUBQH,0),0),"")</f>
        <v/>
      </c>
      <c r="G30" s="18">
        <f>IFERROR(VLOOKUP($A30,subQ,MATCH(G$1,SUBQH,0),0),"")</f>
        <v/>
      </c>
      <c r="H30" s="18">
        <f>IFERROR(VLOOKUP($A30,subQ,MATCH(H$1,SUBQH,0),0),"")</f>
        <v/>
      </c>
      <c r="I30" s="45">
        <f>IFERROR(VLOOKUP($A30,subQ,MATCH(I$1,SUBQH,0),0),"")</f>
        <v/>
      </c>
      <c r="J30" s="20">
        <f>IFERROR(VLOOKUP($A30,subQ,MATCH(J$1,SUBQH,0),0),"")</f>
        <v/>
      </c>
      <c r="K30" s="20">
        <f>IFERROR(VLOOKUP($A30,subQ,MATCH(K$1,SUBQH,0),0),"")</f>
        <v/>
      </c>
      <c r="L30" s="20">
        <f>IFERROR(VLOOKUP($A30,subQ,MATCH(L$1,SUBQH,0),0),"")</f>
        <v/>
      </c>
    </row>
    <row r="31">
      <c r="A31" s="12" t="inlineStr">
        <is>
          <t>CAPEX</t>
        </is>
      </c>
      <c r="D31" t="inlineStr">
        <is>
          <t>CAPEX</t>
        </is>
      </c>
      <c r="E31" s="18">
        <f>IFERROR(VLOOKUP($A31,subQ,MATCH(E$1,SUBQH,0),0),"")</f>
        <v/>
      </c>
      <c r="F31" s="18">
        <f>IFERROR(VLOOKUP($A31,subQ,MATCH(F$1,SUBQH,0),0),"")</f>
        <v/>
      </c>
      <c r="G31" s="18">
        <f>IFERROR(VLOOKUP($A31,subQ,MATCH(G$1,SUBQH,0),0),"")</f>
        <v/>
      </c>
      <c r="H31" s="18">
        <f>IFERROR(VLOOKUP($A31,subQ,MATCH(H$1,SUBQH,0),0),"")</f>
        <v/>
      </c>
      <c r="I31" s="45">
        <f>IFERROR(VLOOKUP($A31,subQ,MATCH(I$1,SUBQH,0),0),"")</f>
        <v/>
      </c>
      <c r="J31" s="20">
        <f>IFERROR(VLOOKUP($A31,subQ,MATCH(J$1,SUBQH,0),0),"")</f>
        <v/>
      </c>
      <c r="K31" s="20">
        <f>IFERROR(VLOOKUP($A31,subQ,MATCH(K$1,SUBQH,0),0),"")</f>
        <v/>
      </c>
      <c r="L31" s="20">
        <f>IFERROR(VLOOKUP($A31,subQ,MATCH(L$1,SUBQH,0),0),"")</f>
        <v/>
      </c>
    </row>
    <row r="32">
      <c r="A32" s="12" t="inlineStr">
        <is>
          <t>영업활동현금흐름</t>
        </is>
      </c>
      <c r="D32" t="inlineStr">
        <is>
          <t>영업활동현금흐름</t>
        </is>
      </c>
      <c r="E32" s="18">
        <f>IFERROR(VLOOKUP($A32,subQ,MATCH(E$1,SUBQH,0),0),"")</f>
        <v/>
      </c>
      <c r="F32" s="18">
        <f>IFERROR(VLOOKUP($A32,subQ,MATCH(F$1,SUBQH,0),0),"")</f>
        <v/>
      </c>
      <c r="G32" s="18">
        <f>IFERROR(VLOOKUP($A32,subQ,MATCH(G$1,SUBQH,0),0),"")</f>
        <v/>
      </c>
      <c r="H32" s="18">
        <f>IFERROR(VLOOKUP($A32,subQ,MATCH(H$1,SUBQH,0),0),"")</f>
        <v/>
      </c>
      <c r="I32" s="45">
        <f>IFERROR(VLOOKUP($A32,subQ,MATCH(I$1,SUBQH,0),0),"")</f>
        <v/>
      </c>
      <c r="J32" s="20">
        <f>IFERROR(VLOOKUP($A32,subQ,MATCH(J$1,SUBQH,0),0),"")</f>
        <v/>
      </c>
      <c r="K32" s="20">
        <f>IFERROR(VLOOKUP($A32,subQ,MATCH(K$1,SUBQH,0),0),"")</f>
        <v/>
      </c>
      <c r="L32" s="20">
        <f>IFERROR(VLOOKUP($A32,subQ,MATCH(L$1,SUBQH,0),0),"")</f>
        <v/>
      </c>
    </row>
    <row r="33">
      <c r="A33" s="12" t="inlineStr">
        <is>
          <t>주식수</t>
        </is>
      </c>
      <c r="D33" t="inlineStr">
        <is>
          <t>유통주식수</t>
        </is>
      </c>
      <c r="E33" s="27">
        <f>IFERROR(VLOOKUP($A33,subQ,MATCH(E$1,SUBQH,0),0),"")</f>
        <v/>
      </c>
      <c r="F33" s="27">
        <f>IFERROR(VLOOKUP($A33,subQ,MATCH(F$1,SUBQH,0),0),"")</f>
        <v/>
      </c>
      <c r="G33" s="27">
        <f>IFERROR(VLOOKUP($A33,subQ,MATCH(G$1,SUBQH,0),0),"")</f>
        <v/>
      </c>
      <c r="H33" s="27">
        <f>IFERROR(VLOOKUP($A33,subQ,MATCH(H$1,SUBQH,0),0),"")</f>
        <v/>
      </c>
      <c r="I33" s="47">
        <f>IFERROR(VLOOKUP($A33,subQ,MATCH(I$1,SUBQH,0),0),"")</f>
        <v/>
      </c>
      <c r="J33" s="33">
        <f>IFERROR(VLOOKUP($A33,subQ,MATCH(J$1,SUBQH,0),0),"")</f>
        <v/>
      </c>
      <c r="K33" s="33">
        <f>IFERROR(VLOOKUP($A33,subQ,MATCH(K$1,SUBQH,0),0),"")</f>
        <v/>
      </c>
      <c r="L33" s="33">
        <f>IFERROR(VLOOKUP($A33,subQ,MATCH(L$1,SUBQH,0),0),"")</f>
        <v/>
      </c>
    </row>
    <row r="34">
      <c r="A34" s="12" t="inlineStr">
        <is>
          <t>EPS</t>
        </is>
      </c>
      <c r="D34" t="inlineStr">
        <is>
          <t>EPS</t>
        </is>
      </c>
      <c r="E34" s="18">
        <f>IFERROR(VLOOKUP($A34,subQ,MATCH(E$1,SUBQH,0),0),"")</f>
        <v/>
      </c>
      <c r="F34" s="18">
        <f>IFERROR(VLOOKUP($A34,subQ,MATCH(F$1,SUBQH,0),0),"")</f>
        <v/>
      </c>
      <c r="G34" s="18">
        <f>IFERROR(VLOOKUP($A34,subQ,MATCH(G$1,SUBQH,0),0),"")</f>
        <v/>
      </c>
      <c r="H34" s="18">
        <f>IFERROR(VLOOKUP($A34,subQ,MATCH(H$1,SUBQH,0),0),"")</f>
        <v/>
      </c>
      <c r="I34" s="45">
        <f>IFERROR(VLOOKUP($A34,subQ,MATCH(I$1,SUBQH,0),0),"")</f>
        <v/>
      </c>
      <c r="J34" s="20">
        <f>IFERROR(VLOOKUP($A34,subQ,MATCH(J$1,SUBQH,0),0),"")</f>
        <v/>
      </c>
      <c r="K34" s="20">
        <f>IFERROR(VLOOKUP($A34,subQ,MATCH(K$1,SUBQH,0),0),"")</f>
        <v/>
      </c>
      <c r="L34" s="20">
        <f>IFERROR(VLOOKUP($A34,subQ,MATCH(L$1,SUBQH,0),0),"")</f>
        <v/>
      </c>
    </row>
    <row r="35">
      <c r="A35" s="12" t="inlineStr">
        <is>
          <t>BPS</t>
        </is>
      </c>
      <c r="D35" t="inlineStr">
        <is>
          <t>BPS</t>
        </is>
      </c>
      <c r="E35" s="18">
        <f>IFERROR(VLOOKUP($A35,subQ,MATCH(E$1,SUBQH,0),0),"")</f>
        <v/>
      </c>
      <c r="F35" s="18">
        <f>IFERROR(VLOOKUP($A35,subQ,MATCH(F$1,SUBQH,0),0),"")</f>
        <v/>
      </c>
      <c r="G35" s="18">
        <f>IFERROR(VLOOKUP($A35,subQ,MATCH(G$1,SUBQH,0),0),"")</f>
        <v/>
      </c>
      <c r="H35" s="18">
        <f>IFERROR(VLOOKUP($A35,subQ,MATCH(H$1,SUBQH,0),0),"")</f>
        <v/>
      </c>
      <c r="I35" s="45">
        <f>IFERROR(VLOOKUP($A35,subQ,MATCH(I$1,SUBQH,0),0),"")</f>
        <v/>
      </c>
      <c r="J35" s="20">
        <f>IFERROR(VLOOKUP($A35,subQ,MATCH(J$1,SUBQH,0),0),"")</f>
        <v/>
      </c>
      <c r="K35" s="20">
        <f>IFERROR(VLOOKUP($A35,subQ,MATCH(K$1,SUBQH,0),0),"")</f>
        <v/>
      </c>
      <c r="L35" s="20">
        <f>IFERROR(VLOOKUP($A35,subQ,MATCH(L$1,SUBQH,0),0),"")</f>
        <v/>
      </c>
    </row>
    <row r="36">
      <c r="A36" s="12" t="inlineStr">
        <is>
          <t>DPS</t>
        </is>
      </c>
      <c r="D36" t="inlineStr">
        <is>
          <t>DPS(보통주)</t>
        </is>
      </c>
      <c r="E36" s="18">
        <f>IFERROR(VLOOKUP($A36,subQ,MATCH(E$1,SUBQH,0),0),"")</f>
        <v/>
      </c>
      <c r="F36" s="18">
        <f>IFERROR(VLOOKUP($A36,subQ,MATCH(F$1,SUBQH,0),0),"")</f>
        <v/>
      </c>
      <c r="G36" s="18">
        <f>IFERROR(VLOOKUP($A36,subQ,MATCH(G$1,SUBQH,0),0),"")</f>
        <v/>
      </c>
      <c r="H36" s="18">
        <f>IFERROR(VLOOKUP($A36,subQ,MATCH(H$1,SUBQH,0),0),"")</f>
        <v/>
      </c>
      <c r="I36" s="45">
        <f>IFERROR(VLOOKUP($A36,subQ,MATCH(I$1,SUBQH,0),0),"")</f>
        <v/>
      </c>
      <c r="J36" s="20">
        <f>IFERROR(VLOOKUP($A36,subQ,MATCH(J$1,SUBQH,0),0),"")</f>
        <v/>
      </c>
      <c r="K36" s="20">
        <f>IFERROR(VLOOKUP($A36,subQ,MATCH(K$1,SUBQH,0),0),"")</f>
        <v/>
      </c>
      <c r="L36" s="20">
        <f>IFERROR(VLOOKUP($A36,subQ,MATCH(L$1,SUBQH,0),0),"")</f>
        <v/>
      </c>
    </row>
    <row r="37">
      <c r="A37" s="12" t="inlineStr">
        <is>
          <t>PER</t>
        </is>
      </c>
      <c r="D37" t="inlineStr">
        <is>
          <t>PER</t>
        </is>
      </c>
      <c r="E37" s="13">
        <f>IFERROR(VLOOKUP($A37,subQ,MATCH(E$1,SUBQH,0),0),"")</f>
        <v/>
      </c>
      <c r="F37" s="13">
        <f>IFERROR(VLOOKUP($A37,subQ,MATCH(F$1,SUBQH,0),0),"")</f>
        <v/>
      </c>
      <c r="G37" s="13">
        <f>IFERROR(VLOOKUP($A37,subQ,MATCH(G$1,SUBQH,0),0),"")</f>
        <v/>
      </c>
      <c r="H37" s="13">
        <f>IFERROR(VLOOKUP($A37,subQ,MATCH(H$1,SUBQH,0),0),"")</f>
        <v/>
      </c>
      <c r="I37" s="48">
        <f>IFERROR(VLOOKUP($A37,subQ,MATCH(I$1,SUBQH,0),0),"")</f>
        <v/>
      </c>
      <c r="J37" s="39">
        <f>IFERROR(VLOOKUP($A37,subQ,MATCH(J$1,SUBQH,0),0),"")</f>
        <v/>
      </c>
      <c r="K37" s="39">
        <f>IFERROR(VLOOKUP($A37,subQ,MATCH(K$1,SUBQH,0),0),"")</f>
        <v/>
      </c>
      <c r="L37" s="39">
        <f>IFERROR(VLOOKUP($A37,subQ,MATCH(L$1,SUBQH,0),0),"")</f>
        <v/>
      </c>
    </row>
    <row r="38">
      <c r="A38" s="12" t="inlineStr">
        <is>
          <t>PBR</t>
        </is>
      </c>
      <c r="D38" t="inlineStr">
        <is>
          <t>PBR</t>
        </is>
      </c>
      <c r="E38" s="13">
        <f>IFERROR(VLOOKUP($A38,subQ,MATCH(E$1,SUBQH,0),0),"")</f>
        <v/>
      </c>
      <c r="F38" s="13">
        <f>IFERROR(VLOOKUP($A38,subQ,MATCH(F$1,SUBQH,0),0),"")</f>
        <v/>
      </c>
      <c r="G38" s="13">
        <f>IFERROR(VLOOKUP($A38,subQ,MATCH(G$1,SUBQH,0),0),"")</f>
        <v/>
      </c>
      <c r="H38" s="13">
        <f>IFERROR(VLOOKUP($A38,subQ,MATCH(H$1,SUBQH,0),0),"")</f>
        <v/>
      </c>
      <c r="I38" s="48">
        <f>IFERROR(VLOOKUP($A38,subQ,MATCH(I$1,SUBQH,0),0),"")</f>
        <v/>
      </c>
      <c r="J38" s="39">
        <f>IFERROR(VLOOKUP($A38,subQ,MATCH(J$1,SUBQH,0),0),"")</f>
        <v/>
      </c>
      <c r="K38" s="39">
        <f>IFERROR(VLOOKUP($A38,subQ,MATCH(K$1,SUBQH,0),0),"")</f>
        <v/>
      </c>
      <c r="L38" s="39">
        <f>IFERROR(VLOOKUP($A38,subQ,MATCH(L$1,SUBQH,0),0),"")</f>
        <v/>
      </c>
    </row>
    <row r="39">
      <c r="A39" s="12" t="inlineStr">
        <is>
          <t>매출전사</t>
        </is>
      </c>
      <c r="D39" t="inlineStr">
        <is>
          <t>매출 전사(부문 미분리)</t>
        </is>
      </c>
      <c r="E39" s="18">
        <f>IFERROR(VLOOKUP($A39,subQ,MATCH(E$1,SUBQH,0),0),"")</f>
        <v/>
      </c>
      <c r="F39" s="18">
        <f>IFERROR(VLOOKUP($A39,subQ,MATCH(F$1,SUBQH,0),0),"")</f>
        <v/>
      </c>
      <c r="G39" s="18">
        <f>IFERROR(VLOOKUP($A39,subQ,MATCH(G$1,SUBQH,0),0),"")</f>
        <v/>
      </c>
      <c r="H39" s="18">
        <f>IFERROR(VLOOKUP($A39,subQ,MATCH(H$1,SUBQH,0),0),"")</f>
        <v/>
      </c>
      <c r="I39" s="45">
        <f>IFERROR(VLOOKUP($A39,subQ,MATCH(I$1,SUBQH,0),0),"")</f>
        <v/>
      </c>
      <c r="J39" s="20">
        <f>IFERROR(VLOOKUP($A39,subQ,MATCH(J$1,SUBQH,0),0),"")</f>
        <v/>
      </c>
      <c r="K39" s="20">
        <f>IFERROR(VLOOKUP($A39,subQ,MATCH(K$1,SUBQH,0),0),"")</f>
        <v/>
      </c>
      <c r="L39" s="20">
        <f>IFERROR(VLOOKUP($A39,subQ,MATCH(L$1,SUBQH,0),0),"")</f>
        <v/>
      </c>
    </row>
    <row r="40">
      <c r="A40" s="12" t="inlineStr">
        <is>
          <t>OP전사</t>
        </is>
      </c>
      <c r="D40" t="inlineStr">
        <is>
          <t>OP 전사(부문 미분리)</t>
        </is>
      </c>
      <c r="E40" s="18">
        <f>IFERROR(VLOOKUP($A40,subQ,MATCH(E$1,SUBQH,0),0),"")</f>
        <v/>
      </c>
      <c r="F40" s="18">
        <f>IFERROR(VLOOKUP($A40,subQ,MATCH(F$1,SUBQH,0),0),"")</f>
        <v/>
      </c>
      <c r="G40" s="18">
        <f>IFERROR(VLOOKUP($A40,subQ,MATCH(G$1,SUBQH,0),0),"")</f>
        <v/>
      </c>
      <c r="H40" s="18">
        <f>IFERROR(VLOOKUP($A40,subQ,MATCH(H$1,SUBQH,0),0),"")</f>
        <v/>
      </c>
      <c r="I40" s="45">
        <f>IFERROR(VLOOKUP($A40,subQ,MATCH(I$1,SUBQH,0),0),"")</f>
        <v/>
      </c>
      <c r="J40" s="20">
        <f>IFERROR(VLOOKUP($A40,subQ,MATCH(J$1,SUBQH,0),0),"")</f>
        <v/>
      </c>
      <c r="K40" s="20">
        <f>IFERROR(VLOOKUP($A40,subQ,MATCH(K$1,SUBQH,0),0),"")</f>
        <v/>
      </c>
      <c r="L40" s="20">
        <f>IFERROR(VLOOKUP($A40,subQ,MATCH(L$1,SUBQH,0),0),"")</f>
        <v/>
      </c>
    </row>
    <row r="41">
      <c r="A41" s="12" t="inlineStr">
        <is>
          <t>NPM</t>
        </is>
      </c>
      <c r="D41" t="inlineStr">
        <is>
          <t>NPM</t>
        </is>
      </c>
      <c r="E41" s="21">
        <f>IFERROR(VLOOKUP($A41,subQ,MATCH(E$1,SUBQH,0),0),"")</f>
        <v/>
      </c>
      <c r="F41" s="21">
        <f>IFERROR(VLOOKUP($A41,subQ,MATCH(F$1,SUBQH,0),0),"")</f>
        <v/>
      </c>
      <c r="G41" s="21">
        <f>IFERROR(VLOOKUP($A41,subQ,MATCH(G$1,SUBQH,0),0),"")</f>
        <v/>
      </c>
      <c r="H41" s="21">
        <f>IFERROR(VLOOKUP($A41,subQ,MATCH(H$1,SUBQH,0),0),"")</f>
        <v/>
      </c>
      <c r="I41" s="46">
        <f>IFERROR(VLOOKUP($A41,subQ,MATCH(I$1,SUBQH,0),0),"")</f>
        <v/>
      </c>
      <c r="J41" s="32">
        <f>IFERROR(VLOOKUP($A41,subQ,MATCH(J$1,SUBQH,0),0),"")</f>
        <v/>
      </c>
      <c r="K41" s="32">
        <f>IFERROR(VLOOKUP($A41,subQ,MATCH(K$1,SUBQH,0),0),"")</f>
        <v/>
      </c>
      <c r="L41" s="32">
        <f>IFERROR(VLOOKUP($A41,subQ,MATCH(L$1,SUBQH,0),0),"")</f>
        <v/>
      </c>
    </row>
    <row r="42">
      <c r="A42" s="12" t="inlineStr">
        <is>
          <t>매출액 YoY</t>
        </is>
      </c>
      <c r="D42" t="inlineStr">
        <is>
          <t>매출액 YoY</t>
        </is>
      </c>
      <c r="F42" s="21">
        <f>IFERROR(F5/E5-1,"")</f>
        <v/>
      </c>
      <c r="G42" s="21">
        <f>IFERROR(G5/F5-1,"")</f>
        <v/>
      </c>
      <c r="H42" s="21">
        <f>IFERROR(H5/G5-1,"")</f>
        <v/>
      </c>
      <c r="I42" s="46">
        <f>IFERROR(I5/H5-1,"")</f>
        <v/>
      </c>
      <c r="J42" s="32">
        <f>IFERROR(J5/I5-1,"")</f>
        <v/>
      </c>
      <c r="K42" s="32">
        <f>IFERROR(K5/J5-1,"")</f>
        <v/>
      </c>
      <c r="L42" s="32">
        <f>IFERROR(L5/K5-1,"")</f>
        <v/>
      </c>
    </row>
    <row r="43">
      <c r="A43" s="12" t="inlineStr">
        <is>
          <t>영업이익 YoY</t>
        </is>
      </c>
      <c r="D43" t="inlineStr">
        <is>
          <t>영업이익 YoY</t>
        </is>
      </c>
      <c r="F43" s="21">
        <f>IFERROR(F9/E9-1,"")</f>
        <v/>
      </c>
      <c r="G43" s="21">
        <f>IFERROR(G9/F9-1,"")</f>
        <v/>
      </c>
      <c r="H43" s="21">
        <f>IFERROR(H9/G9-1,"")</f>
        <v/>
      </c>
      <c r="I43" s="46">
        <f>IFERROR(I9/H9-1,"")</f>
        <v/>
      </c>
      <c r="J43" s="32">
        <f>IFERROR(J9/I9-1,"")</f>
        <v/>
      </c>
      <c r="K43" s="32">
        <f>IFERROR(K9/J9-1,"")</f>
        <v/>
      </c>
      <c r="L43" s="32">
        <f>IFERROR(L9/K9-1,"")</f>
        <v/>
      </c>
    </row>
    <row r="44">
      <c r="A44" s="12" t="inlineStr">
        <is>
          <t>지배주주순이익 YoY</t>
        </is>
      </c>
      <c r="D44" t="inlineStr">
        <is>
          <t>지배주주순이익 YoY</t>
        </is>
      </c>
      <c r="F44" s="21">
        <f>IFERROR(F20/E20-1,"")</f>
        <v/>
      </c>
      <c r="G44" s="21">
        <f>IFERROR(G20/F20-1,"")</f>
        <v/>
      </c>
      <c r="H44" s="21">
        <f>IFERROR(H20/G20-1,"")</f>
        <v/>
      </c>
      <c r="I44" s="46">
        <f>IFERROR(I20/H20-1,"")</f>
        <v/>
      </c>
      <c r="J44" s="32">
        <f>IFERROR(J20/I20-1,"")</f>
        <v/>
      </c>
      <c r="K44" s="32">
        <f>IFERROR(K20/J20-1,"")</f>
        <v/>
      </c>
      <c r="L44" s="32">
        <f>IFERROR(L20/K20-1,"")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G37"/>
  <sheetViews>
    <sheetView workbookViewId="0">
      <selection activeCell="A1" sqref="A1"/>
    </sheetView>
  </sheetViews>
  <sheetFormatPr baseColWidth="8" defaultRowHeight="15"/>
  <cols>
    <col width="34" customWidth="1" min="3" max="3"/>
  </cols>
  <sheetData>
    <row r="1">
      <c r="B1" s="1" t="inlineStr">
        <is>
          <t>종가</t>
        </is>
      </c>
      <c r="C1" s="18">
        <f>변수!D44</f>
        <v/>
      </c>
    </row>
    <row r="2">
      <c r="B2" s="1" t="inlineStr">
        <is>
          <t>기준일</t>
        </is>
      </c>
      <c r="C2">
        <f>변수!D45</f>
        <v/>
      </c>
    </row>
    <row r="3">
      <c r="B3" s="2" t="inlineStr">
        <is>
          <t>모델 산출값 — 목표주가·추천 아님. 밴드·COE 는 변수 시트 3절의 가정</t>
        </is>
      </c>
    </row>
    <row r="5">
      <c r="C5" s="1" t="inlineStr">
        <is>
          <t>FY</t>
        </is>
      </c>
      <c r="D5" s="49" t="n">
        <v>2025</v>
      </c>
      <c r="E5" s="49" t="n">
        <v>2026</v>
      </c>
      <c r="F5" s="49" t="n">
        <v>2027</v>
      </c>
      <c r="G5" s="49" t="n">
        <v>2028</v>
      </c>
    </row>
    <row r="6">
      <c r="D6" s="2" t="inlineStr">
        <is>
          <t>A</t>
        </is>
      </c>
      <c r="E6" s="2" t="inlineStr">
        <is>
          <t>E</t>
        </is>
      </c>
      <c r="F6" s="2" t="inlineStr">
        <is>
          <t>E</t>
        </is>
      </c>
      <c r="G6" s="2" t="inlineStr">
        <is>
          <t>E</t>
        </is>
      </c>
    </row>
    <row r="7">
      <c r="C7" t="inlineStr">
        <is>
          <t>EPS(원)</t>
        </is>
      </c>
      <c r="D7" s="18">
        <f>IFERROR(VLOOKUP("EPS",subQ,MATCH(D$5,SUBQH,0),0),"")</f>
        <v/>
      </c>
      <c r="E7" s="18">
        <f>IFERROR(VLOOKUP("EPS",subQ,MATCH(E$5,SUBQH,0),0),"")</f>
        <v/>
      </c>
      <c r="F7" s="18">
        <f>IFERROR(VLOOKUP("EPS",subQ,MATCH(F$5,SUBQH,0),0),"")</f>
        <v/>
      </c>
      <c r="G7" s="18">
        <f>IFERROR(VLOOKUP("EPS",subQ,MATCH(G$5,SUBQH,0),0),"")</f>
        <v/>
      </c>
    </row>
    <row r="8">
      <c r="C8" t="inlineStr">
        <is>
          <t>BPS(원)</t>
        </is>
      </c>
      <c r="D8" s="18">
        <f>IFERROR(VLOOKUP("BPS",subQ,MATCH(D$5,SUBQH,0),0),"")</f>
        <v/>
      </c>
      <c r="E8" s="18">
        <f>IFERROR(VLOOKUP("BPS",subQ,MATCH(E$5,SUBQH,0),0),"")</f>
        <v/>
      </c>
      <c r="F8" s="18">
        <f>IFERROR(VLOOKUP("BPS",subQ,MATCH(F$5,SUBQH,0),0),"")</f>
        <v/>
      </c>
      <c r="G8" s="18">
        <f>IFERROR(VLOOKUP("BPS",subQ,MATCH(G$5,SUBQH,0),0),"")</f>
        <v/>
      </c>
    </row>
    <row r="9">
      <c r="C9" t="inlineStr">
        <is>
          <t>지배주주순이익(억원)</t>
        </is>
      </c>
      <c r="D9" s="18">
        <f>IFERROR(VLOOKUP("지배주주순이익",subQ,MATCH(D$5,SUBQH,0),0),"")</f>
        <v/>
      </c>
      <c r="E9" s="18">
        <f>IFERROR(VLOOKUP("지배주주순이익",subQ,MATCH(E$5,SUBQH,0),0),"")</f>
        <v/>
      </c>
      <c r="F9" s="18">
        <f>IFERROR(VLOOKUP("지배주주순이익",subQ,MATCH(F$5,SUBQH,0),0),"")</f>
        <v/>
      </c>
      <c r="G9" s="18">
        <f>IFERROR(VLOOKUP("지배주주순이익",subQ,MATCH(G$5,SUBQH,0),0),"")</f>
        <v/>
      </c>
    </row>
    <row r="10">
      <c r="C10" t="inlineStr">
        <is>
          <t>영업이익(억원)</t>
        </is>
      </c>
      <c r="D10" s="18">
        <f>IFERROR(VLOOKUP("영업이익",subQ,MATCH(D$5,SUBQH,0),0),"")</f>
        <v/>
      </c>
      <c r="E10" s="18">
        <f>IFERROR(VLOOKUP("영업이익",subQ,MATCH(E$5,SUBQH,0),0),"")</f>
        <v/>
      </c>
      <c r="F10" s="18">
        <f>IFERROR(VLOOKUP("영업이익",subQ,MATCH(F$5,SUBQH,0),0),"")</f>
        <v/>
      </c>
      <c r="G10" s="18">
        <f>IFERROR(VLOOKUP("영업이익",subQ,MATCH(G$5,SUBQH,0),0),"")</f>
        <v/>
      </c>
    </row>
    <row r="11">
      <c r="C11" t="inlineStr">
        <is>
          <t>ROE(EPS/기초BPS)</t>
        </is>
      </c>
      <c r="E11" s="21">
        <f>IFERROR(E7/D8,"")</f>
        <v/>
      </c>
      <c r="F11" s="21">
        <f>IFERROR(F7/E8,"")</f>
        <v/>
      </c>
      <c r="G11" s="21">
        <f>IFERROR(G7/F8,"")</f>
        <v/>
      </c>
    </row>
    <row r="13">
      <c r="B13" s="1" t="inlineStr">
        <is>
          <t>PER</t>
        </is>
      </c>
    </row>
    <row r="14">
      <c r="C14" t="inlineStr">
        <is>
          <t>12M fwd EPS</t>
        </is>
      </c>
      <c r="D14" s="18">
        <f>IFERROR(E7*변수!D50+F7*(1-변수!D50),"")</f>
        <v/>
      </c>
    </row>
    <row r="15">
      <c r="C15" t="inlineStr">
        <is>
          <t>적정가치 @PER_lo</t>
        </is>
      </c>
      <c r="D15" s="27">
        <f>변수!D47</f>
        <v/>
      </c>
      <c r="E15" s="18">
        <f>IFERROR(ROUND($D$14*D15,-2),"")</f>
        <v/>
      </c>
      <c r="F15" s="21">
        <f>IFERROR(E15/$C$1-1,"")</f>
        <v/>
      </c>
      <c r="G15" s="2" t="inlineStr">
        <is>
          <t>배 · 원 · 종가 대비</t>
        </is>
      </c>
    </row>
    <row r="16">
      <c r="C16" t="inlineStr">
        <is>
          <t>적정가치 @PER_mid</t>
        </is>
      </c>
      <c r="D16" s="27">
        <f>변수!D48</f>
        <v/>
      </c>
      <c r="E16" s="18">
        <f>IFERROR(ROUND($D$14*D16,-2),"")</f>
        <v/>
      </c>
      <c r="F16" s="21">
        <f>IFERROR(E16/$C$1-1,"")</f>
        <v/>
      </c>
      <c r="G16" s="2" t="inlineStr">
        <is>
          <t>배 · 원 · 종가 대비</t>
        </is>
      </c>
    </row>
    <row r="17">
      <c r="C17" t="inlineStr">
        <is>
          <t>적정가치 @PER_hi</t>
        </is>
      </c>
      <c r="D17" s="27">
        <f>변수!D49</f>
        <v/>
      </c>
      <c r="E17" s="18">
        <f>IFERROR(ROUND($D$14*D17,-2),"")</f>
        <v/>
      </c>
      <c r="F17" s="21">
        <f>IFERROR(E17/$C$1-1,"")</f>
        <v/>
      </c>
      <c r="G17" s="2" t="inlineStr">
        <is>
          <t>배 · 원 · 종가 대비</t>
        </is>
      </c>
    </row>
    <row r="18">
      <c r="C18" t="inlineStr">
        <is>
          <t>현재 PER(종가/12M fwd EPS)</t>
        </is>
      </c>
      <c r="D18" s="27">
        <f>IFERROR($C$1/$D$14,"")</f>
        <v/>
      </c>
    </row>
    <row r="20">
      <c r="B20" s="1" t="inlineStr">
        <is>
          <t>PBR</t>
        </is>
      </c>
    </row>
    <row r="21">
      <c r="C21" t="inlineStr">
        <is>
          <t>최근 BPS(마지막 실적 분기)</t>
        </is>
      </c>
      <c r="D21" s="18">
        <f>IFERROR(VLOOKUP("BPS",subQ,MATCH("2Q26",SUBQH,0),0),"")</f>
        <v/>
      </c>
    </row>
    <row r="22">
      <c r="C22" t="inlineStr">
        <is>
          <t>ROE fwd(12M fwd EPS / BPS)</t>
        </is>
      </c>
      <c r="D22" s="21">
        <f>IFERROR($D$14/$D$21,"")</f>
        <v/>
      </c>
    </row>
    <row r="23">
      <c r="C23" t="inlineStr">
        <is>
          <t>COE</t>
        </is>
      </c>
      <c r="D23" s="21">
        <f>변수!D46</f>
        <v/>
      </c>
    </row>
    <row r="24">
      <c r="C24" t="inlineStr">
        <is>
          <t>적정 PBR = ROE/COE</t>
        </is>
      </c>
      <c r="D24" s="13">
        <f>IFERROR(D22/D23,"")</f>
        <v/>
      </c>
    </row>
    <row r="25">
      <c r="C25" t="inlineStr">
        <is>
          <t>적정가치(PBR) = BPS × 적정PBR</t>
        </is>
      </c>
      <c r="D25" s="18">
        <f>IFERROR(ROUND(D21*D24,-2),"")</f>
        <v/>
      </c>
      <c r="E25" s="21">
        <f>IFERROR(D25/$C$1-1,"")</f>
        <v/>
      </c>
    </row>
    <row r="26">
      <c r="C26" t="inlineStr">
        <is>
          <t>현재 PBR(종가/BPS)</t>
        </is>
      </c>
      <c r="D26" s="13">
        <f>IFERROR($C$1/D21,"")</f>
        <v/>
      </c>
    </row>
    <row r="28">
      <c r="B28" s="2" t="inlineStr">
        <is>
          <t>모델 json valuation(참고)</t>
        </is>
      </c>
    </row>
    <row r="29">
      <c r="C29" s="2" t="inlineStr">
        <is>
          <t>eps_fwd12m</t>
        </is>
      </c>
      <c r="D29" t="n">
        <v>112</v>
      </c>
    </row>
    <row r="30">
      <c r="C30" s="2" t="inlineStr">
        <is>
          <t>bps_latest</t>
        </is>
      </c>
      <c r="D30" t="n">
        <v>5706.8</v>
      </c>
    </row>
    <row r="31">
      <c r="C31" s="2" t="inlineStr">
        <is>
          <t>per_now</t>
        </is>
      </c>
      <c r="D31" t="n">
        <v>19.64</v>
      </c>
    </row>
    <row r="32">
      <c r="C32" s="2" t="inlineStr">
        <is>
          <t>pbr_now</t>
        </is>
      </c>
      <c r="D32" t="n">
        <v>0.39</v>
      </c>
    </row>
    <row r="33">
      <c r="C33" s="2" t="inlineStr">
        <is>
          <t>roe_fwd</t>
        </is>
      </c>
      <c r="D33" t="n">
        <v>0.0196</v>
      </c>
    </row>
    <row r="34">
      <c r="C34" s="2" t="inlineStr">
        <is>
          <t>fair_pbr</t>
        </is>
      </c>
      <c r="D34" t="n">
        <v>0.22</v>
      </c>
    </row>
    <row r="35">
      <c r="C35" s="2" t="inlineStr">
        <is>
          <t>fair_value_pbr</t>
        </is>
      </c>
      <c r="D35" t="n">
        <v>1300</v>
      </c>
    </row>
    <row r="36">
      <c r="C36" s="2" t="inlineStr">
        <is>
          <t>ev_ebitda</t>
        </is>
      </c>
      <c r="D36" t="n">
        <v>11.34</v>
      </c>
    </row>
    <row r="37">
      <c r="C37" s="2" t="inlineStr">
        <is>
          <t>note</t>
        </is>
      </c>
      <c r="D37" t="inlineStr">
        <is>
          <t>모델 산출값 — 목표주가·추천 아님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1">
      <c r="C1" s="2" t="inlineStr">
        <is>
          <t>이름: 외화QH — 환율 QoQ · 외화 순노출 × Δ기말환율</t>
        </is>
      </c>
      <c r="E1" s="3" t="inlineStr">
        <is>
          <t>4Q21</t>
        </is>
      </c>
      <c r="F1" s="3" t="inlineStr">
        <is>
          <t>1Q22</t>
        </is>
      </c>
      <c r="G1" s="3" t="inlineStr">
        <is>
          <t>2Q22</t>
        </is>
      </c>
      <c r="H1" s="3" t="inlineStr">
        <is>
          <t>3Q22</t>
        </is>
      </c>
      <c r="I1" s="3" t="inlineStr">
        <is>
          <t>4Q22</t>
        </is>
      </c>
      <c r="J1" s="3" t="inlineStr">
        <is>
          <t>1Q23</t>
        </is>
      </c>
      <c r="K1" s="3" t="inlineStr">
        <is>
          <t>2Q23</t>
        </is>
      </c>
      <c r="L1" s="3" t="inlineStr">
        <is>
          <t>3Q23</t>
        </is>
      </c>
      <c r="M1" s="3" t="inlineStr">
        <is>
          <t>4Q23</t>
        </is>
      </c>
      <c r="N1" s="3" t="inlineStr">
        <is>
          <t>1Q24</t>
        </is>
      </c>
      <c r="O1" s="3" t="inlineStr">
        <is>
          <t>2Q24</t>
        </is>
      </c>
      <c r="P1" s="3" t="inlineStr">
        <is>
          <t>3Q24</t>
        </is>
      </c>
      <c r="Q1" s="3" t="inlineStr">
        <is>
          <t>4Q24</t>
        </is>
      </c>
      <c r="R1" s="3" t="inlineStr">
        <is>
          <t>1Q25</t>
        </is>
      </c>
      <c r="S1" s="3" t="inlineStr">
        <is>
          <t>2Q25</t>
        </is>
      </c>
      <c r="T1" s="3" t="inlineStr">
        <is>
          <t>3Q25</t>
        </is>
      </c>
      <c r="U1" s="3" t="inlineStr">
        <is>
          <t>4Q25</t>
        </is>
      </c>
      <c r="V1" s="3" t="inlineStr">
        <is>
          <t>1Q26</t>
        </is>
      </c>
      <c r="W1" s="3" t="inlineStr">
        <is>
          <t>2Q26</t>
        </is>
      </c>
      <c r="X1" s="3" t="inlineStr">
        <is>
          <t>3Q26</t>
        </is>
      </c>
      <c r="Y1" s="3" t="inlineStr">
        <is>
          <t>4Q26</t>
        </is>
      </c>
      <c r="Z1" s="3" t="inlineStr">
        <is>
          <t>1Q27</t>
        </is>
      </c>
      <c r="AA1" s="3" t="inlineStr">
        <is>
          <t>2Q27</t>
        </is>
      </c>
      <c r="AB1" s="3" t="inlineStr">
        <is>
          <t>3Q27</t>
        </is>
      </c>
      <c r="AC1" s="3" t="inlineStr">
        <is>
          <t>4Q27</t>
        </is>
      </c>
      <c r="AD1" s="3" t="inlineStr">
        <is>
          <t>1Q28</t>
        </is>
      </c>
      <c r="AE1" s="3" t="inlineStr">
        <is>
          <t>2Q28</t>
        </is>
      </c>
      <c r="AF1" s="3" t="inlineStr">
        <is>
          <t>3Q28</t>
        </is>
      </c>
      <c r="AG1" s="3" t="inlineStr">
        <is>
          <t>4Q28</t>
        </is>
      </c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</row>
    <row r="4">
      <c r="E4" s="7" t="inlineStr">
        <is>
          <t>2021.12</t>
        </is>
      </c>
      <c r="F4" s="7" t="inlineStr">
        <is>
          <t>2022.03</t>
        </is>
      </c>
      <c r="G4" s="7" t="inlineStr">
        <is>
          <t>2022.06</t>
        </is>
      </c>
      <c r="H4" s="7" t="inlineStr">
        <is>
          <t>2022.09</t>
        </is>
      </c>
      <c r="I4" s="7" t="inlineStr">
        <is>
          <t>2022.12</t>
        </is>
      </c>
      <c r="J4" s="7" t="inlineStr">
        <is>
          <t>2023.03</t>
        </is>
      </c>
      <c r="K4" s="7" t="inlineStr">
        <is>
          <t>2023.06</t>
        </is>
      </c>
      <c r="L4" s="7" t="inlineStr">
        <is>
          <t>2023.09</t>
        </is>
      </c>
      <c r="M4" s="7" t="inlineStr">
        <is>
          <t>2023.12</t>
        </is>
      </c>
      <c r="N4" s="7" t="inlineStr">
        <is>
          <t>2024.03</t>
        </is>
      </c>
      <c r="O4" s="7" t="inlineStr">
        <is>
          <t>2024.06</t>
        </is>
      </c>
      <c r="P4" s="7" t="inlineStr">
        <is>
          <t>2024.09</t>
        </is>
      </c>
      <c r="Q4" s="7" t="inlineStr">
        <is>
          <t>2024.12</t>
        </is>
      </c>
      <c r="R4" s="7" t="inlineStr">
        <is>
          <t>2025.03</t>
        </is>
      </c>
      <c r="S4" s="7" t="inlineStr">
        <is>
          <t>2025.06</t>
        </is>
      </c>
      <c r="T4" s="7" t="inlineStr">
        <is>
          <t>2025.09</t>
        </is>
      </c>
      <c r="U4" s="7" t="inlineStr">
        <is>
          <t>2025.12</t>
        </is>
      </c>
      <c r="V4" s="7" t="inlineStr">
        <is>
          <t>2026.03</t>
        </is>
      </c>
      <c r="W4" s="7" t="inlineStr">
        <is>
          <t>2026.06</t>
        </is>
      </c>
      <c r="X4" s="7" t="inlineStr">
        <is>
          <t>2026.09</t>
        </is>
      </c>
      <c r="Y4" s="7" t="inlineStr">
        <is>
          <t>2026.12</t>
        </is>
      </c>
      <c r="Z4" s="7" t="inlineStr">
        <is>
          <t>2027.03</t>
        </is>
      </c>
      <c r="AA4" s="7" t="inlineStr">
        <is>
          <t>2027.06</t>
        </is>
      </c>
      <c r="AB4" s="7" t="inlineStr">
        <is>
          <t>2027.09</t>
        </is>
      </c>
      <c r="AC4" s="7" t="inlineStr">
        <is>
          <t>2027.12</t>
        </is>
      </c>
      <c r="AD4" s="7" t="inlineStr">
        <is>
          <t>2028.03</t>
        </is>
      </c>
      <c r="AE4" s="7" t="inlineStr">
        <is>
          <t>2028.06</t>
        </is>
      </c>
      <c r="AF4" s="7" t="inlineStr">
        <is>
          <t>2028.09</t>
        </is>
      </c>
      <c r="AG4" s="7" t="inlineStr">
        <is>
          <t>2028.12</t>
        </is>
      </c>
    </row>
    <row r="5">
      <c r="D5" t="inlineStr">
        <is>
          <t xml:space="preserve"> 원/달러(평균)</t>
        </is>
      </c>
      <c r="E5" s="13">
        <f>IFERROR(VLOOKUP($D5,환율,MATCH(E$1,변수H,0),0),"")</f>
        <v/>
      </c>
      <c r="F5" s="13">
        <f>IFERROR(VLOOKUP($D5,환율,MATCH(F$1,변수H,0),0),"")</f>
        <v/>
      </c>
      <c r="G5" s="13">
        <f>IFERROR(VLOOKUP($D5,환율,MATCH(G$1,변수H,0),0),"")</f>
        <v/>
      </c>
      <c r="H5" s="13">
        <f>IFERROR(VLOOKUP($D5,환율,MATCH(H$1,변수H,0),0),"")</f>
        <v/>
      </c>
      <c r="I5" s="13">
        <f>IFERROR(VLOOKUP($D5,환율,MATCH(I$1,변수H,0),0),"")</f>
        <v/>
      </c>
      <c r="J5" s="13">
        <f>IFERROR(VLOOKUP($D5,환율,MATCH(J$1,변수H,0),0),"")</f>
        <v/>
      </c>
      <c r="K5" s="13">
        <f>IFERROR(VLOOKUP($D5,환율,MATCH(K$1,변수H,0),0),"")</f>
        <v/>
      </c>
      <c r="L5" s="13">
        <f>IFERROR(VLOOKUP($D5,환율,MATCH(L$1,변수H,0),0),"")</f>
        <v/>
      </c>
      <c r="M5" s="13">
        <f>IFERROR(VLOOKUP($D5,환율,MATCH(M$1,변수H,0),0),"")</f>
        <v/>
      </c>
      <c r="N5" s="13">
        <f>IFERROR(VLOOKUP($D5,환율,MATCH(N$1,변수H,0),0),"")</f>
        <v/>
      </c>
      <c r="O5" s="13">
        <f>IFERROR(VLOOKUP($D5,환율,MATCH(O$1,변수H,0),0),"")</f>
        <v/>
      </c>
      <c r="P5" s="13">
        <f>IFERROR(VLOOKUP($D5,환율,MATCH(P$1,변수H,0),0),"")</f>
        <v/>
      </c>
      <c r="Q5" s="13">
        <f>IFERROR(VLOOKUP($D5,환율,MATCH(Q$1,변수H,0),0),"")</f>
        <v/>
      </c>
      <c r="R5" s="13">
        <f>IFERROR(VLOOKUP($D5,환율,MATCH(R$1,변수H,0),0),"")</f>
        <v/>
      </c>
      <c r="S5" s="13">
        <f>IFERROR(VLOOKUP($D5,환율,MATCH(S$1,변수H,0),0),"")</f>
        <v/>
      </c>
      <c r="T5" s="13">
        <f>IFERROR(VLOOKUP($D5,환율,MATCH(T$1,변수H,0),0),"")</f>
        <v/>
      </c>
      <c r="U5" s="13">
        <f>IFERROR(VLOOKUP($D5,환율,MATCH(U$1,변수H,0),0),"")</f>
        <v/>
      </c>
      <c r="V5" s="13">
        <f>IFERROR(VLOOKUP($D5,환율,MATCH(V$1,변수H,0),0),"")</f>
        <v/>
      </c>
      <c r="W5" s="13">
        <f>IFERROR(VLOOKUP($D5,환율,MATCH(W$1,변수H,0),0),"")</f>
        <v/>
      </c>
      <c r="X5" s="39">
        <f>IFERROR(VLOOKUP($D5,환율,MATCH(X$1,변수H,0),0),"")</f>
        <v/>
      </c>
      <c r="Y5" s="39">
        <f>IFERROR(VLOOKUP($D5,환율,MATCH(Y$1,변수H,0),0),"")</f>
        <v/>
      </c>
      <c r="Z5" s="39">
        <f>IFERROR(VLOOKUP($D5,환율,MATCH(Z$1,변수H,0),0),"")</f>
        <v/>
      </c>
      <c r="AA5" s="39">
        <f>IFERROR(VLOOKUP($D5,환율,MATCH(AA$1,변수H,0),0),"")</f>
        <v/>
      </c>
      <c r="AB5" s="39">
        <f>IFERROR(VLOOKUP($D5,환율,MATCH(AB$1,변수H,0),0),"")</f>
        <v/>
      </c>
      <c r="AC5" s="39">
        <f>IFERROR(VLOOKUP($D5,환율,MATCH(AC$1,변수H,0),0),"")</f>
        <v/>
      </c>
      <c r="AD5" s="39">
        <f>IFERROR(VLOOKUP($D5,환율,MATCH(AD$1,변수H,0),0),"")</f>
        <v/>
      </c>
      <c r="AE5" s="39">
        <f>IFERROR(VLOOKUP($D5,환율,MATCH(AE$1,변수H,0),0),"")</f>
        <v/>
      </c>
      <c r="AF5" s="39">
        <f>IFERROR(VLOOKUP($D5,환율,MATCH(AF$1,변수H,0),0),"")</f>
        <v/>
      </c>
      <c r="AG5" s="39">
        <f>IFERROR(VLOOKUP($D5,환율,MATCH(AG$1,변수H,0),0),"")</f>
        <v/>
      </c>
    </row>
    <row r="6">
      <c r="A6" s="12" t="inlineStr">
        <is>
          <t>원/달러(평균) QoQ</t>
        </is>
      </c>
      <c r="F6" s="21">
        <f>IFERROR(F5/E5-1,"")</f>
        <v/>
      </c>
      <c r="G6" s="21">
        <f>IFERROR(G5/F5-1,"")</f>
        <v/>
      </c>
      <c r="H6" s="21">
        <f>IFERROR(H5/G5-1,"")</f>
        <v/>
      </c>
      <c r="I6" s="21">
        <f>IFERROR(I5/H5-1,"")</f>
        <v/>
      </c>
      <c r="J6" s="21">
        <f>IFERROR(J5/I5-1,"")</f>
        <v/>
      </c>
      <c r="K6" s="21">
        <f>IFERROR(K5/J5-1,"")</f>
        <v/>
      </c>
      <c r="L6" s="21">
        <f>IFERROR(L5/K5-1,"")</f>
        <v/>
      </c>
      <c r="M6" s="21">
        <f>IFERROR(M5/L5-1,"")</f>
        <v/>
      </c>
      <c r="N6" s="21">
        <f>IFERROR(N5/M5-1,"")</f>
        <v/>
      </c>
      <c r="O6" s="21">
        <f>IFERROR(O5/N5-1,"")</f>
        <v/>
      </c>
      <c r="P6" s="21">
        <f>IFERROR(P5/O5-1,"")</f>
        <v/>
      </c>
      <c r="Q6" s="21">
        <f>IFERROR(Q5/P5-1,"")</f>
        <v/>
      </c>
      <c r="R6" s="21">
        <f>IFERROR(R5/Q5-1,"")</f>
        <v/>
      </c>
      <c r="S6" s="21">
        <f>IFERROR(S5/R5-1,"")</f>
        <v/>
      </c>
      <c r="T6" s="21">
        <f>IFERROR(T5/S5-1,"")</f>
        <v/>
      </c>
      <c r="U6" s="21">
        <f>IFERROR(U5/T5-1,"")</f>
        <v/>
      </c>
      <c r="V6" s="21">
        <f>IFERROR(V5/U5-1,"")</f>
        <v/>
      </c>
      <c r="W6" s="21">
        <f>IFERROR(W5/V5-1,"")</f>
        <v/>
      </c>
      <c r="X6" s="32">
        <f>IFERROR(X5/W5-1,"")</f>
        <v/>
      </c>
      <c r="Y6" s="32">
        <f>IFERROR(Y5/X5-1,"")</f>
        <v/>
      </c>
      <c r="Z6" s="32">
        <f>IFERROR(Z5/Y5-1,"")</f>
        <v/>
      </c>
      <c r="AA6" s="32">
        <f>IFERROR(AA5/Z5-1,"")</f>
        <v/>
      </c>
      <c r="AB6" s="32">
        <f>IFERROR(AB5/AA5-1,"")</f>
        <v/>
      </c>
      <c r="AC6" s="32">
        <f>IFERROR(AC5/AB5-1,"")</f>
        <v/>
      </c>
      <c r="AD6" s="32">
        <f>IFERROR(AD5/AC5-1,"")</f>
        <v/>
      </c>
      <c r="AE6" s="32">
        <f>IFERROR(AE5/AD5-1,"")</f>
        <v/>
      </c>
      <c r="AF6" s="32">
        <f>IFERROR(AF5/AE5-1,"")</f>
        <v/>
      </c>
      <c r="AG6" s="32">
        <f>IFERROR(AG5/AF5-1,"")</f>
        <v/>
      </c>
    </row>
    <row r="7">
      <c r="D7" t="inlineStr">
        <is>
          <t xml:space="preserve"> 원/달러(기말)</t>
        </is>
      </c>
      <c r="E7" s="13">
        <f>IFERROR(VLOOKUP($D7,환율,MATCH(E$1,변수H,0),0),"")</f>
        <v/>
      </c>
      <c r="F7" s="13">
        <f>IFERROR(VLOOKUP($D7,환율,MATCH(F$1,변수H,0),0),"")</f>
        <v/>
      </c>
      <c r="G7" s="13">
        <f>IFERROR(VLOOKUP($D7,환율,MATCH(G$1,변수H,0),0),"")</f>
        <v/>
      </c>
      <c r="H7" s="13">
        <f>IFERROR(VLOOKUP($D7,환율,MATCH(H$1,변수H,0),0),"")</f>
        <v/>
      </c>
      <c r="I7" s="13">
        <f>IFERROR(VLOOKUP($D7,환율,MATCH(I$1,변수H,0),0),"")</f>
        <v/>
      </c>
      <c r="J7" s="13">
        <f>IFERROR(VLOOKUP($D7,환율,MATCH(J$1,변수H,0),0),"")</f>
        <v/>
      </c>
      <c r="K7" s="13">
        <f>IFERROR(VLOOKUP($D7,환율,MATCH(K$1,변수H,0),0),"")</f>
        <v/>
      </c>
      <c r="L7" s="13">
        <f>IFERROR(VLOOKUP($D7,환율,MATCH(L$1,변수H,0),0),"")</f>
        <v/>
      </c>
      <c r="M7" s="13">
        <f>IFERROR(VLOOKUP($D7,환율,MATCH(M$1,변수H,0),0),"")</f>
        <v/>
      </c>
      <c r="N7" s="13">
        <f>IFERROR(VLOOKUP($D7,환율,MATCH(N$1,변수H,0),0),"")</f>
        <v/>
      </c>
      <c r="O7" s="13">
        <f>IFERROR(VLOOKUP($D7,환율,MATCH(O$1,변수H,0),0),"")</f>
        <v/>
      </c>
      <c r="P7" s="13">
        <f>IFERROR(VLOOKUP($D7,환율,MATCH(P$1,변수H,0),0),"")</f>
        <v/>
      </c>
      <c r="Q7" s="13">
        <f>IFERROR(VLOOKUP($D7,환율,MATCH(Q$1,변수H,0),0),"")</f>
        <v/>
      </c>
      <c r="R7" s="13">
        <f>IFERROR(VLOOKUP($D7,환율,MATCH(R$1,변수H,0),0),"")</f>
        <v/>
      </c>
      <c r="S7" s="13">
        <f>IFERROR(VLOOKUP($D7,환율,MATCH(S$1,변수H,0),0),"")</f>
        <v/>
      </c>
      <c r="T7" s="13">
        <f>IFERROR(VLOOKUP($D7,환율,MATCH(T$1,변수H,0),0),"")</f>
        <v/>
      </c>
      <c r="U7" s="13">
        <f>IFERROR(VLOOKUP($D7,환율,MATCH(U$1,변수H,0),0),"")</f>
        <v/>
      </c>
      <c r="V7" s="13">
        <f>IFERROR(VLOOKUP($D7,환율,MATCH(V$1,변수H,0),0),"")</f>
        <v/>
      </c>
      <c r="W7" s="13">
        <f>IFERROR(VLOOKUP($D7,환율,MATCH(W$1,변수H,0),0),"")</f>
        <v/>
      </c>
      <c r="X7" s="39">
        <f>IFERROR(VLOOKUP($D7,환율,MATCH(X$1,변수H,0),0),"")</f>
        <v/>
      </c>
      <c r="Y7" s="39">
        <f>IFERROR(VLOOKUP($D7,환율,MATCH(Y$1,변수H,0),0),"")</f>
        <v/>
      </c>
      <c r="Z7" s="39">
        <f>IFERROR(VLOOKUP($D7,환율,MATCH(Z$1,변수H,0),0),"")</f>
        <v/>
      </c>
      <c r="AA7" s="39">
        <f>IFERROR(VLOOKUP($D7,환율,MATCH(AA$1,변수H,0),0),"")</f>
        <v/>
      </c>
      <c r="AB7" s="39">
        <f>IFERROR(VLOOKUP($D7,환율,MATCH(AB$1,변수H,0),0),"")</f>
        <v/>
      </c>
      <c r="AC7" s="39">
        <f>IFERROR(VLOOKUP($D7,환율,MATCH(AC$1,변수H,0),0),"")</f>
        <v/>
      </c>
      <c r="AD7" s="39">
        <f>IFERROR(VLOOKUP($D7,환율,MATCH(AD$1,변수H,0),0),"")</f>
        <v/>
      </c>
      <c r="AE7" s="39">
        <f>IFERROR(VLOOKUP($D7,환율,MATCH(AE$1,변수H,0),0),"")</f>
        <v/>
      </c>
      <c r="AF7" s="39">
        <f>IFERROR(VLOOKUP($D7,환율,MATCH(AF$1,변수H,0),0),"")</f>
        <v/>
      </c>
      <c r="AG7" s="39">
        <f>IFERROR(VLOOKUP($D7,환율,MATCH(AG$1,변수H,0),0),"")</f>
        <v/>
      </c>
    </row>
    <row r="8">
      <c r="A8" s="12" t="inlineStr">
        <is>
          <t>원/달러(기말) QoQ</t>
        </is>
      </c>
      <c r="F8" s="21">
        <f>IFERROR(F7/E7-1,"")</f>
        <v/>
      </c>
      <c r="G8" s="21">
        <f>IFERROR(G7/F7-1,"")</f>
        <v/>
      </c>
      <c r="H8" s="21">
        <f>IFERROR(H7/G7-1,"")</f>
        <v/>
      </c>
      <c r="I8" s="21">
        <f>IFERROR(I7/H7-1,"")</f>
        <v/>
      </c>
      <c r="J8" s="21">
        <f>IFERROR(J7/I7-1,"")</f>
        <v/>
      </c>
      <c r="K8" s="21">
        <f>IFERROR(K7/J7-1,"")</f>
        <v/>
      </c>
      <c r="L8" s="21">
        <f>IFERROR(L7/K7-1,"")</f>
        <v/>
      </c>
      <c r="M8" s="21">
        <f>IFERROR(M7/L7-1,"")</f>
        <v/>
      </c>
      <c r="N8" s="21">
        <f>IFERROR(N7/M7-1,"")</f>
        <v/>
      </c>
      <c r="O8" s="21">
        <f>IFERROR(O7/N7-1,"")</f>
        <v/>
      </c>
      <c r="P8" s="21">
        <f>IFERROR(P7/O7-1,"")</f>
        <v/>
      </c>
      <c r="Q8" s="21">
        <f>IFERROR(Q7/P7-1,"")</f>
        <v/>
      </c>
      <c r="R8" s="21">
        <f>IFERROR(R7/Q7-1,"")</f>
        <v/>
      </c>
      <c r="S8" s="21">
        <f>IFERROR(S7/R7-1,"")</f>
        <v/>
      </c>
      <c r="T8" s="21">
        <f>IFERROR(T7/S7-1,"")</f>
        <v/>
      </c>
      <c r="U8" s="21">
        <f>IFERROR(U7/T7-1,"")</f>
        <v/>
      </c>
      <c r="V8" s="21">
        <f>IFERROR(V7/U7-1,"")</f>
        <v/>
      </c>
      <c r="W8" s="21">
        <f>IFERROR(W7/V7-1,"")</f>
        <v/>
      </c>
      <c r="X8" s="32">
        <f>IFERROR(X7/W7-1,"")</f>
        <v/>
      </c>
      <c r="Y8" s="32">
        <f>IFERROR(Y7/X7-1,"")</f>
        <v/>
      </c>
      <c r="Z8" s="32">
        <f>IFERROR(Z7/Y7-1,"")</f>
        <v/>
      </c>
      <c r="AA8" s="32">
        <f>IFERROR(AA7/Z7-1,"")</f>
        <v/>
      </c>
      <c r="AB8" s="32">
        <f>IFERROR(AB7/AA7-1,"")</f>
        <v/>
      </c>
      <c r="AC8" s="32">
        <f>IFERROR(AC7/AB7-1,"")</f>
        <v/>
      </c>
      <c r="AD8" s="32">
        <f>IFERROR(AD7/AC7-1,"")</f>
        <v/>
      </c>
      <c r="AE8" s="32">
        <f>IFERROR(AE7/AD7-1,"")</f>
        <v/>
      </c>
      <c r="AF8" s="32">
        <f>IFERROR(AF7/AE7-1,"")</f>
        <v/>
      </c>
      <c r="AG8" s="32">
        <f>IFERROR(AG7/AF7-1,"")</f>
        <v/>
      </c>
    </row>
    <row r="9">
      <c r="D9" t="inlineStr">
        <is>
          <t xml:space="preserve"> W/Euro(평균)</t>
        </is>
      </c>
      <c r="E9" s="13">
        <f>IFERROR(VLOOKUP($D9,환율,MATCH(E$1,변수H,0),0),"")</f>
        <v/>
      </c>
      <c r="F9" s="13">
        <f>IFERROR(VLOOKUP($D9,환율,MATCH(F$1,변수H,0),0),"")</f>
        <v/>
      </c>
      <c r="G9" s="13">
        <f>IFERROR(VLOOKUP($D9,환율,MATCH(G$1,변수H,0),0),"")</f>
        <v/>
      </c>
      <c r="H9" s="13">
        <f>IFERROR(VLOOKUP($D9,환율,MATCH(H$1,변수H,0),0),"")</f>
        <v/>
      </c>
      <c r="I9" s="13">
        <f>IFERROR(VLOOKUP($D9,환율,MATCH(I$1,변수H,0),0),"")</f>
        <v/>
      </c>
      <c r="J9" s="13">
        <f>IFERROR(VLOOKUP($D9,환율,MATCH(J$1,변수H,0),0),"")</f>
        <v/>
      </c>
      <c r="K9" s="13">
        <f>IFERROR(VLOOKUP($D9,환율,MATCH(K$1,변수H,0),0),"")</f>
        <v/>
      </c>
      <c r="L9" s="13">
        <f>IFERROR(VLOOKUP($D9,환율,MATCH(L$1,변수H,0),0),"")</f>
        <v/>
      </c>
      <c r="M9" s="13">
        <f>IFERROR(VLOOKUP($D9,환율,MATCH(M$1,변수H,0),0),"")</f>
        <v/>
      </c>
      <c r="N9" s="13">
        <f>IFERROR(VLOOKUP($D9,환율,MATCH(N$1,변수H,0),0),"")</f>
        <v/>
      </c>
      <c r="O9" s="13">
        <f>IFERROR(VLOOKUP($D9,환율,MATCH(O$1,변수H,0),0),"")</f>
        <v/>
      </c>
      <c r="P9" s="13">
        <f>IFERROR(VLOOKUP($D9,환율,MATCH(P$1,변수H,0),0),"")</f>
        <v/>
      </c>
      <c r="Q9" s="13">
        <f>IFERROR(VLOOKUP($D9,환율,MATCH(Q$1,변수H,0),0),"")</f>
        <v/>
      </c>
      <c r="R9" s="13">
        <f>IFERROR(VLOOKUP($D9,환율,MATCH(R$1,변수H,0),0),"")</f>
        <v/>
      </c>
      <c r="S9" s="13">
        <f>IFERROR(VLOOKUP($D9,환율,MATCH(S$1,변수H,0),0),"")</f>
        <v/>
      </c>
      <c r="T9" s="13">
        <f>IFERROR(VLOOKUP($D9,환율,MATCH(T$1,변수H,0),0),"")</f>
        <v/>
      </c>
      <c r="U9" s="13">
        <f>IFERROR(VLOOKUP($D9,환율,MATCH(U$1,변수H,0),0),"")</f>
        <v/>
      </c>
      <c r="V9" s="13">
        <f>IFERROR(VLOOKUP($D9,환율,MATCH(V$1,변수H,0),0),"")</f>
        <v/>
      </c>
      <c r="W9" s="13">
        <f>IFERROR(VLOOKUP($D9,환율,MATCH(W$1,변수H,0),0),"")</f>
        <v/>
      </c>
      <c r="X9" s="39">
        <f>IFERROR(VLOOKUP($D9,환율,MATCH(X$1,변수H,0),0),"")</f>
        <v/>
      </c>
      <c r="Y9" s="39">
        <f>IFERROR(VLOOKUP($D9,환율,MATCH(Y$1,변수H,0),0),"")</f>
        <v/>
      </c>
      <c r="Z9" s="39">
        <f>IFERROR(VLOOKUP($D9,환율,MATCH(Z$1,변수H,0),0),"")</f>
        <v/>
      </c>
      <c r="AA9" s="39">
        <f>IFERROR(VLOOKUP($D9,환율,MATCH(AA$1,변수H,0),0),"")</f>
        <v/>
      </c>
      <c r="AB9" s="39">
        <f>IFERROR(VLOOKUP($D9,환율,MATCH(AB$1,변수H,0),0),"")</f>
        <v/>
      </c>
      <c r="AC9" s="39">
        <f>IFERROR(VLOOKUP($D9,환율,MATCH(AC$1,변수H,0),0),"")</f>
        <v/>
      </c>
      <c r="AD9" s="39">
        <f>IFERROR(VLOOKUP($D9,환율,MATCH(AD$1,변수H,0),0),"")</f>
        <v/>
      </c>
      <c r="AE9" s="39">
        <f>IFERROR(VLOOKUP($D9,환율,MATCH(AE$1,변수H,0),0),"")</f>
        <v/>
      </c>
      <c r="AF9" s="39">
        <f>IFERROR(VLOOKUP($D9,환율,MATCH(AF$1,변수H,0),0),"")</f>
        <v/>
      </c>
      <c r="AG9" s="39">
        <f>IFERROR(VLOOKUP($D9,환율,MATCH(AG$1,변수H,0),0),"")</f>
        <v/>
      </c>
    </row>
    <row r="10">
      <c r="A10" s="12" t="inlineStr">
        <is>
          <t>W/Euro(평균) QoQ</t>
        </is>
      </c>
      <c r="F10" s="21">
        <f>IFERROR(F9/E9-1,"")</f>
        <v/>
      </c>
      <c r="G10" s="21">
        <f>IFERROR(G9/F9-1,"")</f>
        <v/>
      </c>
      <c r="H10" s="21">
        <f>IFERROR(H9/G9-1,"")</f>
        <v/>
      </c>
      <c r="I10" s="21">
        <f>IFERROR(I9/H9-1,"")</f>
        <v/>
      </c>
      <c r="J10" s="21">
        <f>IFERROR(J9/I9-1,"")</f>
        <v/>
      </c>
      <c r="K10" s="21">
        <f>IFERROR(K9/J9-1,"")</f>
        <v/>
      </c>
      <c r="L10" s="21">
        <f>IFERROR(L9/K9-1,"")</f>
        <v/>
      </c>
      <c r="M10" s="21">
        <f>IFERROR(M9/L9-1,"")</f>
        <v/>
      </c>
      <c r="N10" s="21">
        <f>IFERROR(N9/M9-1,"")</f>
        <v/>
      </c>
      <c r="O10" s="21">
        <f>IFERROR(O9/N9-1,"")</f>
        <v/>
      </c>
      <c r="P10" s="21">
        <f>IFERROR(P9/O9-1,"")</f>
        <v/>
      </c>
      <c r="Q10" s="21">
        <f>IFERROR(Q9/P9-1,"")</f>
        <v/>
      </c>
      <c r="R10" s="21">
        <f>IFERROR(R9/Q9-1,"")</f>
        <v/>
      </c>
      <c r="S10" s="21">
        <f>IFERROR(S9/R9-1,"")</f>
        <v/>
      </c>
      <c r="T10" s="21">
        <f>IFERROR(T9/S9-1,"")</f>
        <v/>
      </c>
      <c r="U10" s="21">
        <f>IFERROR(U9/T9-1,"")</f>
        <v/>
      </c>
      <c r="V10" s="21">
        <f>IFERROR(V9/U9-1,"")</f>
        <v/>
      </c>
      <c r="W10" s="21">
        <f>IFERROR(W9/V9-1,"")</f>
        <v/>
      </c>
      <c r="X10" s="32">
        <f>IFERROR(X9/W9-1,"")</f>
        <v/>
      </c>
      <c r="Y10" s="32">
        <f>IFERROR(Y9/X9-1,"")</f>
        <v/>
      </c>
      <c r="Z10" s="32">
        <f>IFERROR(Z9/Y9-1,"")</f>
        <v/>
      </c>
      <c r="AA10" s="32">
        <f>IFERROR(AA9/Z9-1,"")</f>
        <v/>
      </c>
      <c r="AB10" s="32">
        <f>IFERROR(AB9/AA9-1,"")</f>
        <v/>
      </c>
      <c r="AC10" s="32">
        <f>IFERROR(AC9/AB9-1,"")</f>
        <v/>
      </c>
      <c r="AD10" s="32">
        <f>IFERROR(AD9/AC9-1,"")</f>
        <v/>
      </c>
      <c r="AE10" s="32">
        <f>IFERROR(AE9/AD9-1,"")</f>
        <v/>
      </c>
      <c r="AF10" s="32">
        <f>IFERROR(AF9/AE9-1,"")</f>
        <v/>
      </c>
      <c r="AG10" s="32">
        <f>IFERROR(AG9/AF9-1,"")</f>
        <v/>
      </c>
    </row>
    <row r="11">
      <c r="D11" t="inlineStr">
        <is>
          <t xml:space="preserve"> W/Euro(기말)</t>
        </is>
      </c>
      <c r="E11" s="13">
        <f>IFERROR(VLOOKUP($D11,환율,MATCH(E$1,변수H,0),0),"")</f>
        <v/>
      </c>
      <c r="F11" s="13">
        <f>IFERROR(VLOOKUP($D11,환율,MATCH(F$1,변수H,0),0),"")</f>
        <v/>
      </c>
      <c r="G11" s="13">
        <f>IFERROR(VLOOKUP($D11,환율,MATCH(G$1,변수H,0),0),"")</f>
        <v/>
      </c>
      <c r="H11" s="13">
        <f>IFERROR(VLOOKUP($D11,환율,MATCH(H$1,변수H,0),0),"")</f>
        <v/>
      </c>
      <c r="I11" s="13">
        <f>IFERROR(VLOOKUP($D11,환율,MATCH(I$1,변수H,0),0),"")</f>
        <v/>
      </c>
      <c r="J11" s="13">
        <f>IFERROR(VLOOKUP($D11,환율,MATCH(J$1,변수H,0),0),"")</f>
        <v/>
      </c>
      <c r="K11" s="13">
        <f>IFERROR(VLOOKUP($D11,환율,MATCH(K$1,변수H,0),0),"")</f>
        <v/>
      </c>
      <c r="L11" s="13">
        <f>IFERROR(VLOOKUP($D11,환율,MATCH(L$1,변수H,0),0),"")</f>
        <v/>
      </c>
      <c r="M11" s="13">
        <f>IFERROR(VLOOKUP($D11,환율,MATCH(M$1,변수H,0),0),"")</f>
        <v/>
      </c>
      <c r="N11" s="13">
        <f>IFERROR(VLOOKUP($D11,환율,MATCH(N$1,변수H,0),0),"")</f>
        <v/>
      </c>
      <c r="O11" s="13">
        <f>IFERROR(VLOOKUP($D11,환율,MATCH(O$1,변수H,0),0),"")</f>
        <v/>
      </c>
      <c r="P11" s="13">
        <f>IFERROR(VLOOKUP($D11,환율,MATCH(P$1,변수H,0),0),"")</f>
        <v/>
      </c>
      <c r="Q11" s="13">
        <f>IFERROR(VLOOKUP($D11,환율,MATCH(Q$1,변수H,0),0),"")</f>
        <v/>
      </c>
      <c r="R11" s="13">
        <f>IFERROR(VLOOKUP($D11,환율,MATCH(R$1,변수H,0),0),"")</f>
        <v/>
      </c>
      <c r="S11" s="13">
        <f>IFERROR(VLOOKUP($D11,환율,MATCH(S$1,변수H,0),0),"")</f>
        <v/>
      </c>
      <c r="T11" s="13">
        <f>IFERROR(VLOOKUP($D11,환율,MATCH(T$1,변수H,0),0),"")</f>
        <v/>
      </c>
      <c r="U11" s="13">
        <f>IFERROR(VLOOKUP($D11,환율,MATCH(U$1,변수H,0),0),"")</f>
        <v/>
      </c>
      <c r="V11" s="13">
        <f>IFERROR(VLOOKUP($D11,환율,MATCH(V$1,변수H,0),0),"")</f>
        <v/>
      </c>
      <c r="W11" s="13">
        <f>IFERROR(VLOOKUP($D11,환율,MATCH(W$1,변수H,0),0),"")</f>
        <v/>
      </c>
      <c r="X11" s="39">
        <f>IFERROR(VLOOKUP($D11,환율,MATCH(X$1,변수H,0),0),"")</f>
        <v/>
      </c>
      <c r="Y11" s="39">
        <f>IFERROR(VLOOKUP($D11,환율,MATCH(Y$1,변수H,0),0),"")</f>
        <v/>
      </c>
      <c r="Z11" s="39">
        <f>IFERROR(VLOOKUP($D11,환율,MATCH(Z$1,변수H,0),0),"")</f>
        <v/>
      </c>
      <c r="AA11" s="39">
        <f>IFERROR(VLOOKUP($D11,환율,MATCH(AA$1,변수H,0),0),"")</f>
        <v/>
      </c>
      <c r="AB11" s="39">
        <f>IFERROR(VLOOKUP($D11,환율,MATCH(AB$1,변수H,0),0),"")</f>
        <v/>
      </c>
      <c r="AC11" s="39">
        <f>IFERROR(VLOOKUP($D11,환율,MATCH(AC$1,변수H,0),0),"")</f>
        <v/>
      </c>
      <c r="AD11" s="39">
        <f>IFERROR(VLOOKUP($D11,환율,MATCH(AD$1,변수H,0),0),"")</f>
        <v/>
      </c>
      <c r="AE11" s="39">
        <f>IFERROR(VLOOKUP($D11,환율,MATCH(AE$1,변수H,0),0),"")</f>
        <v/>
      </c>
      <c r="AF11" s="39">
        <f>IFERROR(VLOOKUP($D11,환율,MATCH(AF$1,변수H,0),0),"")</f>
        <v/>
      </c>
      <c r="AG11" s="39">
        <f>IFERROR(VLOOKUP($D11,환율,MATCH(AG$1,변수H,0),0),"")</f>
        <v/>
      </c>
    </row>
    <row r="12">
      <c r="A12" s="12" t="inlineStr">
        <is>
          <t>W/Euro(기말) QoQ</t>
        </is>
      </c>
      <c r="F12" s="21">
        <f>IFERROR(F11/E11-1,"")</f>
        <v/>
      </c>
      <c r="G12" s="21">
        <f>IFERROR(G11/F11-1,"")</f>
        <v/>
      </c>
      <c r="H12" s="21">
        <f>IFERROR(H11/G11-1,"")</f>
        <v/>
      </c>
      <c r="I12" s="21">
        <f>IFERROR(I11/H11-1,"")</f>
        <v/>
      </c>
      <c r="J12" s="21">
        <f>IFERROR(J11/I11-1,"")</f>
        <v/>
      </c>
      <c r="K12" s="21">
        <f>IFERROR(K11/J11-1,"")</f>
        <v/>
      </c>
      <c r="L12" s="21">
        <f>IFERROR(L11/K11-1,"")</f>
        <v/>
      </c>
      <c r="M12" s="21">
        <f>IFERROR(M11/L11-1,"")</f>
        <v/>
      </c>
      <c r="N12" s="21">
        <f>IFERROR(N11/M11-1,"")</f>
        <v/>
      </c>
      <c r="O12" s="21">
        <f>IFERROR(O11/N11-1,"")</f>
        <v/>
      </c>
      <c r="P12" s="21">
        <f>IFERROR(P11/O11-1,"")</f>
        <v/>
      </c>
      <c r="Q12" s="21">
        <f>IFERROR(Q11/P11-1,"")</f>
        <v/>
      </c>
      <c r="R12" s="21">
        <f>IFERROR(R11/Q11-1,"")</f>
        <v/>
      </c>
      <c r="S12" s="21">
        <f>IFERROR(S11/R11-1,"")</f>
        <v/>
      </c>
      <c r="T12" s="21">
        <f>IFERROR(T11/S11-1,"")</f>
        <v/>
      </c>
      <c r="U12" s="21">
        <f>IFERROR(U11/T11-1,"")</f>
        <v/>
      </c>
      <c r="V12" s="21">
        <f>IFERROR(V11/U11-1,"")</f>
        <v/>
      </c>
      <c r="W12" s="21">
        <f>IFERROR(W11/V11-1,"")</f>
        <v/>
      </c>
      <c r="X12" s="32">
        <f>IFERROR(X11/W11-1,"")</f>
        <v/>
      </c>
      <c r="Y12" s="32">
        <f>IFERROR(Y11/X11-1,"")</f>
        <v/>
      </c>
      <c r="Z12" s="32">
        <f>IFERROR(Z11/Y11-1,"")</f>
        <v/>
      </c>
      <c r="AA12" s="32">
        <f>IFERROR(AA11/Z11-1,"")</f>
        <v/>
      </c>
      <c r="AB12" s="32">
        <f>IFERROR(AB11/AA11-1,"")</f>
        <v/>
      </c>
      <c r="AC12" s="32">
        <f>IFERROR(AC11/AB11-1,"")</f>
        <v/>
      </c>
      <c r="AD12" s="32">
        <f>IFERROR(AD11/AC11-1,"")</f>
        <v/>
      </c>
      <c r="AE12" s="32">
        <f>IFERROR(AE11/AD11-1,"")</f>
        <v/>
      </c>
      <c r="AF12" s="32">
        <f>IFERROR(AF11/AE11-1,"")</f>
        <v/>
      </c>
      <c r="AG12" s="32">
        <f>IFERROR(AG11/AF11-1,"")</f>
        <v/>
      </c>
    </row>
    <row r="13">
      <c r="D13" t="inlineStr">
        <is>
          <t xml:space="preserve"> 원/100Y(기말)</t>
        </is>
      </c>
      <c r="E13" s="13">
        <f>IFERROR(VLOOKUP($D13,환율,MATCH(E$1,변수H,0),0),"")</f>
        <v/>
      </c>
      <c r="F13" s="13">
        <f>IFERROR(VLOOKUP($D13,환율,MATCH(F$1,변수H,0),0),"")</f>
        <v/>
      </c>
      <c r="G13" s="13">
        <f>IFERROR(VLOOKUP($D13,환율,MATCH(G$1,변수H,0),0),"")</f>
        <v/>
      </c>
      <c r="H13" s="13">
        <f>IFERROR(VLOOKUP($D13,환율,MATCH(H$1,변수H,0),0),"")</f>
        <v/>
      </c>
      <c r="I13" s="13">
        <f>IFERROR(VLOOKUP($D13,환율,MATCH(I$1,변수H,0),0),"")</f>
        <v/>
      </c>
      <c r="J13" s="13">
        <f>IFERROR(VLOOKUP($D13,환율,MATCH(J$1,변수H,0),0),"")</f>
        <v/>
      </c>
      <c r="K13" s="13">
        <f>IFERROR(VLOOKUP($D13,환율,MATCH(K$1,변수H,0),0),"")</f>
        <v/>
      </c>
      <c r="L13" s="13">
        <f>IFERROR(VLOOKUP($D13,환율,MATCH(L$1,변수H,0),0),"")</f>
        <v/>
      </c>
      <c r="M13" s="13">
        <f>IFERROR(VLOOKUP($D13,환율,MATCH(M$1,변수H,0),0),"")</f>
        <v/>
      </c>
      <c r="N13" s="13">
        <f>IFERROR(VLOOKUP($D13,환율,MATCH(N$1,변수H,0),0),"")</f>
        <v/>
      </c>
      <c r="O13" s="13">
        <f>IFERROR(VLOOKUP($D13,환율,MATCH(O$1,변수H,0),0),"")</f>
        <v/>
      </c>
      <c r="P13" s="13">
        <f>IFERROR(VLOOKUP($D13,환율,MATCH(P$1,변수H,0),0),"")</f>
        <v/>
      </c>
      <c r="Q13" s="13">
        <f>IFERROR(VLOOKUP($D13,환율,MATCH(Q$1,변수H,0),0),"")</f>
        <v/>
      </c>
      <c r="R13" s="13">
        <f>IFERROR(VLOOKUP($D13,환율,MATCH(R$1,변수H,0),0),"")</f>
        <v/>
      </c>
      <c r="S13" s="13">
        <f>IFERROR(VLOOKUP($D13,환율,MATCH(S$1,변수H,0),0),"")</f>
        <v/>
      </c>
      <c r="T13" s="13">
        <f>IFERROR(VLOOKUP($D13,환율,MATCH(T$1,변수H,0),0),"")</f>
        <v/>
      </c>
      <c r="U13" s="13">
        <f>IFERROR(VLOOKUP($D13,환율,MATCH(U$1,변수H,0),0),"")</f>
        <v/>
      </c>
      <c r="V13" s="13">
        <f>IFERROR(VLOOKUP($D13,환율,MATCH(V$1,변수H,0),0),"")</f>
        <v/>
      </c>
      <c r="W13" s="13">
        <f>IFERROR(VLOOKUP($D13,환율,MATCH(W$1,변수H,0),0),"")</f>
        <v/>
      </c>
      <c r="X13" s="39">
        <f>IFERROR(VLOOKUP($D13,환율,MATCH(X$1,변수H,0),0),"")</f>
        <v/>
      </c>
      <c r="Y13" s="39">
        <f>IFERROR(VLOOKUP($D13,환율,MATCH(Y$1,변수H,0),0),"")</f>
        <v/>
      </c>
      <c r="Z13" s="39">
        <f>IFERROR(VLOOKUP($D13,환율,MATCH(Z$1,변수H,0),0),"")</f>
        <v/>
      </c>
      <c r="AA13" s="39">
        <f>IFERROR(VLOOKUP($D13,환율,MATCH(AA$1,변수H,0),0),"")</f>
        <v/>
      </c>
      <c r="AB13" s="39">
        <f>IFERROR(VLOOKUP($D13,환율,MATCH(AB$1,변수H,0),0),"")</f>
        <v/>
      </c>
      <c r="AC13" s="39">
        <f>IFERROR(VLOOKUP($D13,환율,MATCH(AC$1,변수H,0),0),"")</f>
        <v/>
      </c>
      <c r="AD13" s="39">
        <f>IFERROR(VLOOKUP($D13,환율,MATCH(AD$1,변수H,0),0),"")</f>
        <v/>
      </c>
      <c r="AE13" s="39">
        <f>IFERROR(VLOOKUP($D13,환율,MATCH(AE$1,변수H,0),0),"")</f>
        <v/>
      </c>
      <c r="AF13" s="39">
        <f>IFERROR(VLOOKUP($D13,환율,MATCH(AF$1,변수H,0),0),"")</f>
        <v/>
      </c>
      <c r="AG13" s="39">
        <f>IFERROR(VLOOKUP($D13,환율,MATCH(AG$1,변수H,0),0),"")</f>
        <v/>
      </c>
    </row>
    <row r="14">
      <c r="A14" s="12" t="inlineStr">
        <is>
          <t>원/100Y(기말) QoQ</t>
        </is>
      </c>
      <c r="F14" s="21">
        <f>IFERROR(F13/E13-1,"")</f>
        <v/>
      </c>
      <c r="G14" s="21">
        <f>IFERROR(G13/F13-1,"")</f>
        <v/>
      </c>
      <c r="H14" s="21">
        <f>IFERROR(H13/G13-1,"")</f>
        <v/>
      </c>
      <c r="I14" s="21">
        <f>IFERROR(I13/H13-1,"")</f>
        <v/>
      </c>
      <c r="J14" s="21">
        <f>IFERROR(J13/I13-1,"")</f>
        <v/>
      </c>
      <c r="K14" s="21">
        <f>IFERROR(K13/J13-1,"")</f>
        <v/>
      </c>
      <c r="L14" s="21">
        <f>IFERROR(L13/K13-1,"")</f>
        <v/>
      </c>
      <c r="M14" s="21">
        <f>IFERROR(M13/L13-1,"")</f>
        <v/>
      </c>
      <c r="N14" s="21">
        <f>IFERROR(N13/M13-1,"")</f>
        <v/>
      </c>
      <c r="O14" s="21">
        <f>IFERROR(O13/N13-1,"")</f>
        <v/>
      </c>
      <c r="P14" s="21">
        <f>IFERROR(P13/O13-1,"")</f>
        <v/>
      </c>
      <c r="Q14" s="21">
        <f>IFERROR(Q13/P13-1,"")</f>
        <v/>
      </c>
      <c r="R14" s="21">
        <f>IFERROR(R13/Q13-1,"")</f>
        <v/>
      </c>
      <c r="S14" s="21">
        <f>IFERROR(S13/R13-1,"")</f>
        <v/>
      </c>
      <c r="T14" s="21">
        <f>IFERROR(T13/S13-1,"")</f>
        <v/>
      </c>
      <c r="U14" s="21">
        <f>IFERROR(U13/T13-1,"")</f>
        <v/>
      </c>
      <c r="V14" s="21">
        <f>IFERROR(V13/U13-1,"")</f>
        <v/>
      </c>
      <c r="W14" s="21">
        <f>IFERROR(W13/V13-1,"")</f>
        <v/>
      </c>
      <c r="X14" s="32">
        <f>IFERROR(X13/W13-1,"")</f>
        <v/>
      </c>
      <c r="Y14" s="32">
        <f>IFERROR(Y13/X13-1,"")</f>
        <v/>
      </c>
      <c r="Z14" s="32">
        <f>IFERROR(Z13/Y13-1,"")</f>
        <v/>
      </c>
      <c r="AA14" s="32">
        <f>IFERROR(AA13/Z13-1,"")</f>
        <v/>
      </c>
      <c r="AB14" s="32">
        <f>IFERROR(AB13/AA13-1,"")</f>
        <v/>
      </c>
      <c r="AC14" s="32">
        <f>IFERROR(AC13/AB13-1,"")</f>
        <v/>
      </c>
      <c r="AD14" s="32">
        <f>IFERROR(AD13/AC13-1,"")</f>
        <v/>
      </c>
      <c r="AE14" s="32">
        <f>IFERROR(AE13/AD13-1,"")</f>
        <v/>
      </c>
      <c r="AF14" s="32">
        <f>IFERROR(AF13/AE13-1,"")</f>
        <v/>
      </c>
      <c r="AG14" s="32">
        <f>IFERROR(AG13/AF13-1,"")</f>
        <v/>
      </c>
    </row>
    <row r="15"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</row>
    <row r="16">
      <c r="A16" s="12" t="inlineStr">
        <is>
          <t>외화순노출</t>
        </is>
      </c>
      <c r="C16" t="inlineStr">
        <is>
          <t>외화 순노출(백만$)</t>
        </is>
      </c>
      <c r="D16" s="27">
        <f>변수!D57</f>
        <v/>
      </c>
      <c r="E16" s="2" t="inlineStr">
        <is>
          <t>외화 순노출 × Δ기말환율 (외화 시트 방식)</t>
        </is>
      </c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</row>
    <row r="17">
      <c r="A17" s="12" t="inlineStr">
        <is>
          <t>환관련손익추정</t>
        </is>
      </c>
      <c r="C17" t="inlineStr">
        <is>
          <t>환관련손익 추정(억원) = 순노출 × Δ원/달러(기말) / 100</t>
        </is>
      </c>
      <c r="F17" s="18">
        <f>IFERROR($D$16*(F7-E7)/100,"")</f>
        <v/>
      </c>
      <c r="G17" s="18">
        <f>IFERROR($D$16*(G7-F7)/100,"")</f>
        <v/>
      </c>
      <c r="H17" s="18">
        <f>IFERROR($D$16*(H7-G7)/100,"")</f>
        <v/>
      </c>
      <c r="I17" s="18">
        <f>IFERROR($D$16*(I7-H7)/100,"")</f>
        <v/>
      </c>
      <c r="J17" s="18">
        <f>IFERROR($D$16*(J7-I7)/100,"")</f>
        <v/>
      </c>
      <c r="K17" s="18">
        <f>IFERROR($D$16*(K7-J7)/100,"")</f>
        <v/>
      </c>
      <c r="L17" s="18">
        <f>IFERROR($D$16*(L7-K7)/100,"")</f>
        <v/>
      </c>
      <c r="M17" s="18">
        <f>IFERROR($D$16*(M7-L7)/100,"")</f>
        <v/>
      </c>
      <c r="N17" s="18">
        <f>IFERROR($D$16*(N7-M7)/100,"")</f>
        <v/>
      </c>
      <c r="O17" s="18">
        <f>IFERROR($D$16*(O7-N7)/100,"")</f>
        <v/>
      </c>
      <c r="P17" s="18">
        <f>IFERROR($D$16*(P7-O7)/100,"")</f>
        <v/>
      </c>
      <c r="Q17" s="18">
        <f>IFERROR($D$16*(Q7-P7)/100,"")</f>
        <v/>
      </c>
      <c r="R17" s="18">
        <f>IFERROR($D$16*(R7-Q7)/100,"")</f>
        <v/>
      </c>
      <c r="S17" s="18">
        <f>IFERROR($D$16*(S7-R7)/100,"")</f>
        <v/>
      </c>
      <c r="T17" s="18">
        <f>IFERROR($D$16*(T7-S7)/100,"")</f>
        <v/>
      </c>
      <c r="U17" s="18">
        <f>IFERROR($D$16*(U7-T7)/100,"")</f>
        <v/>
      </c>
      <c r="V17" s="18">
        <f>IFERROR($D$16*(V7-U7)/100,"")</f>
        <v/>
      </c>
      <c r="W17" s="18">
        <f>IFERROR($D$16*(W7-V7)/100,"")</f>
        <v/>
      </c>
      <c r="X17" s="20">
        <f>IFERROR($D$16*(X7-W7)/100,"")</f>
        <v/>
      </c>
      <c r="Y17" s="20">
        <f>IFERROR($D$16*(Y7-X7)/100,"")</f>
        <v/>
      </c>
      <c r="Z17" s="20">
        <f>IFERROR($D$16*(Z7-Y7)/100,"")</f>
        <v/>
      </c>
      <c r="AA17" s="20">
        <f>IFERROR($D$16*(AA7-Z7)/100,"")</f>
        <v/>
      </c>
      <c r="AB17" s="20">
        <f>IFERROR($D$16*(AB7-AA7)/100,"")</f>
        <v/>
      </c>
      <c r="AC17" s="20">
        <f>IFERROR($D$16*(AC7-AB7)/100,"")</f>
        <v/>
      </c>
      <c r="AD17" s="20">
        <f>IFERROR($D$16*(AD7-AC7)/100,"")</f>
        <v/>
      </c>
      <c r="AE17" s="20">
        <f>IFERROR($D$16*(AE7-AD7)/100,"")</f>
        <v/>
      </c>
      <c r="AF17" s="20">
        <f>IFERROR($D$16*(AF7-AE7)/100,"")</f>
        <v/>
      </c>
      <c r="AG17" s="20">
        <f>IFERROR($D$16*(AG7-AF7)/100,"")</f>
        <v/>
      </c>
    </row>
    <row r="18">
      <c r="A18" s="12" t="inlineStr">
        <is>
          <t>fx_pnl.by_q</t>
        </is>
      </c>
      <c r="C18" t="inlineStr">
        <is>
          <t>모델 fx_pnl.by_q(억원, 참고)</t>
        </is>
      </c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</row>
    <row r="19">
      <c r="C19" s="2" t="inlineStr">
        <is>
          <t>외화 순노출 미공시(face) → 0 + 표기</t>
        </is>
      </c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kship_model_xlsx</dc:creator>
  <dcterms:created xsi:type="dcterms:W3CDTF">2026-10-13T00:00:00Z</dcterms:created>
  <dcterms:modified xsi:type="dcterms:W3CDTF">2026-10-13T00:00:00Z</dcterms:modified>
</cp:coreProperties>
</file>