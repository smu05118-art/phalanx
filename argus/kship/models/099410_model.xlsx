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BS연결!$C$5:$AO$5</definedName>
    <definedName name="BS별도H">BS별도!$C$1:$AO$1</definedName>
    <definedName name="BS별도">BS별도!$C$5:$AO$86</definedName>
    <definedName name="SUBQH">subQ!$A$1:$AO$1</definedName>
    <definedName name="subQ">subQ!$A$5:$AO$41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165" fontId="0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forward(flat_last_end) — 가정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C15" authorId="0" shapeId="0">
      <text>
        <t>분기 진행 중(partial) — aikstockdata/토스 일봉</t>
      </text>
    </comment>
    <comment ref="AC16" authorId="0" shapeId="0">
      <text>
        <t>분기 진행 중(partial) — aikstockdata/토스 일봉</t>
      </text>
    </comment>
    <comment ref="AC17" authorId="0" shapeId="0">
      <text>
        <t>분기 진행 중(partial) — aikstockdata/토스 일봉</t>
      </text>
    </comment>
    <comment ref="AC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이동합(t−0) 80224억 × 비례계수 0.0055 × 계절비중 Q3 0.246(계절비중 — 최근 3개 연도(2026, 2025, 2024) 분기/연간 비중 평균; 격자 lag0~4×창8/12/19×수준·YoY·4Q합 중 최대 r=0.98, n=12, 창 12)</t>
      </text>
    </comment>
    <comment ref="AD21" authorId="0" shapeId="0">
      <text>
        <t>모델값 역산(implied): v / 전년동기 − 1
고객지수 4분기 이동합(t−0) 84957억 × 비례계수 0.0055 × 계절비중 Q4 0.324(계절비중 — 최근 3개 연도(2026, 2025, 2024) 분기/연간 비중 평균; 격자 lag0~4×창8/12/19×수준·YoY·4Q합 중 최대 r=0.98, n=12, 창 12)</t>
      </text>
    </comment>
    <comment ref="AF21" authorId="0" shapeId="0">
      <text>
        <t>모델값 역산(implied): v / 전년동기 − 1
고객지수 4분기 이동합(t−0) 87118억 × 비례계수 0.0055 × 계절비중 Q1 0.204(계절비중 — 최근 3개 연도(2026, 2025, 2024) 분기/연간 비중 평균; 격자 lag0~4×창8/12/19×수준·YoY·4Q합 중 최대 r=0.98, n=12, 창 12)</t>
      </text>
    </comment>
    <comment ref="AG21" authorId="0" shapeId="0">
      <text>
        <t>모델값 역산(implied): v / 전년동기 − 1
고객지수 4분기 이동합(t−0) 87563억 × 비례계수 0.0055 × 계절비중 Q2 0.226(계절비중 — 최근 3개 연도(2026, 2025, 2024) 분기/연간 비중 평균; 격자 lag0~4×창8/12/19×수준·YoY·4Q합 중 최대 r=0.98, n=12, 창 12)</t>
      </text>
    </comment>
    <comment ref="AH21" authorId="0" shapeId="0">
      <text>
        <t>모델값 역산(implied): v / 전년동기 − 1
고객지수 4분기 이동합(t−0) 87134억 × 비례계수 0.0055 × 계절비중 Q3 0.246(계절비중 — 최근 3개 연도(2026, 2025, 2024) 분기/연간 비중 평균; 격자 lag0~4×창8/12/19×수준·YoY·4Q합 중 최대 r=0.98, n=12, 창 12)</t>
      </text>
    </comment>
    <comment ref="AI21" authorId="0" shapeId="0">
      <text>
        <t>모델값 역산(implied): v / 전년동기 − 1
고객지수 4분기 이동합(t−0) 86401억 × 비례계수 0.0055 × 계절비중 Q4 0.324(계절비중 — 최근 3개 연도(2026, 2025, 2024) 분기/연간 비중 평균; 격자 lag0~4×창8/12/19×수준·YoY·4Q합 중 최대 r=0.98, n=12, 창 12)</t>
      </text>
    </comment>
    <comment ref="AK21" authorId="0" shapeId="0">
      <text>
        <t>모델값 역산(implied): v / 전년동기 − 1
고객지수 4분기 이동합(t−0) 85524억 × 비례계수 0.0055 × 계절비중 Q1 0.204(계절비중 — 최근 3개 연도(2026, 2025, 2024) 분기/연간 비중 평균; 격자 lag0~4×창8/12/19×수준·YoY·4Q합 중 최대 r=0.98, n=12, 창 12)</t>
      </text>
    </comment>
    <comment ref="AL21" authorId="0" shapeId="0">
      <text>
        <t>모델값 역산(implied): v / 전년동기 − 1
고객지수 4분기 이동합(t−0) 84762억 × 비례계수 0.0055 × 계절비중 Q2 0.226(계절비중 — 최근 3개 연도(2026, 2025, 2024) 분기/연간 비중 평균; 격자 lag0~4×창8/12/19×수준·YoY·4Q합 중 최대 r=0.98, n=12, 창 12)</t>
      </text>
    </comment>
    <comment ref="AM21" authorId="0" shapeId="0">
      <text>
        <t>모델값 역산(implied): v / 전년동기 − 1
고객지수 4분기 이동합(t−0) 83550억 × 비례계수 0.0055 × 계절비중 Q3 0.246(계절비중 — 최근 3개 연도(2026, 2025, 2024) 분기/연간 비중 평균; 격자 lag0~4×창8/12/19×수준·YoY·4Q합 중 최대 r=0.98, n=12, 창 12)</t>
      </text>
    </comment>
    <comment ref="AN21" authorId="0" shapeId="0">
      <text>
        <t>모델값 역산(implied): v / 전년동기 − 1
고객지수 4분기 이동합(t−0) 81993억 × 비례계수 0.0055 × 계절비중 Q4 0.324(계절비중 — 최근 3개 연도(2026, 2025, 2024) 분기/연간 비중 평균; 격자 lag0~4×창8/12/19×수준·YoY·4Q합 중 최대 r=0.98, n=12, 창 12)</t>
      </text>
    </comment>
    <comment ref="AC22" authorId="0" shapeId="0">
      <text>
        <t>모델값 역산(implied): v / 매출액
매출액 × 판관비율 11.39%(최근 4분기 중위)</t>
      </text>
    </comment>
    <comment ref="AD22" authorId="0" shapeId="0">
      <text>
        <t>모델값 역산(implied): v / 매출액
매출액 × 판관비율 11.39%(최근 4분기 중위)</t>
      </text>
    </comment>
    <comment ref="AF22" authorId="0" shapeId="0">
      <text>
        <t>모델값 역산(implied): v / 매출액
매출액 × 판관비율 11.39%(최근 4분기 중위)</t>
      </text>
    </comment>
    <comment ref="AG22" authorId="0" shapeId="0">
      <text>
        <t>모델값 역산(implied): v / 매출액
매출액 × 판관비율 11.39%(최근 4분기 중위)</t>
      </text>
    </comment>
    <comment ref="AH22" authorId="0" shapeId="0">
      <text>
        <t>모델값 역산(implied): v / 매출액
매출액 × 판관비율 11.39%(최근 4분기 중위)</t>
      </text>
    </comment>
    <comment ref="AI22" authorId="0" shapeId="0">
      <text>
        <t>모델값 역산(implied): v / 매출액
매출액 × 판관비율 11.39%(최근 4분기 중위)</t>
      </text>
    </comment>
    <comment ref="AK22" authorId="0" shapeId="0">
      <text>
        <t>모델값 역산(implied): v / 매출액
매출액 × 판관비율 11.39%(최근 4분기 중위)</t>
      </text>
    </comment>
    <comment ref="AL22" authorId="0" shapeId="0">
      <text>
        <t>모델값 역산(implied): v / 매출액
매출액 × 판관비율 11.39%(최근 4분기 중위)</t>
      </text>
    </comment>
    <comment ref="AM22" authorId="0" shapeId="0">
      <text>
        <t>모델값 역산(implied): v / 매출액
매출액 × 판관비율 11.39%(최근 4분기 중위)</t>
      </text>
    </comment>
    <comment ref="AN22" authorId="0" shapeId="0">
      <text>
        <t>모델값 역산(implied): v / 매출액
매출액 × 판관비율 11.39%(최근 4분기 중위)</t>
      </text>
    </comment>
    <comment ref="AC23" authorId="0" shapeId="0">
      <text>
        <t>모델값 역산(implied): v / 매출액
매출액 × OPM(최근 8분기 OPM 중위 17.8% 유지)</t>
      </text>
    </comment>
    <comment ref="AD23" authorId="0" shapeId="0">
      <text>
        <t>모델값 역산(implied): v / 매출액
매출액 × OPM(최근 8분기 OPM 중위 17.8% 유지)</t>
      </text>
    </comment>
    <comment ref="AF23" authorId="0" shapeId="0">
      <text>
        <t>모델값 역산(implied): v / 매출액
매출액 × OPM(최근 8분기 OPM 중위 17.8% 유지)</t>
      </text>
    </comment>
    <comment ref="AG23" authorId="0" shapeId="0">
      <text>
        <t>모델값 역산(implied): v / 매출액
매출액 × OPM(최근 8분기 OPM 중위 17.8% 유지)</t>
      </text>
    </comment>
    <comment ref="AH23" authorId="0" shapeId="0">
      <text>
        <t>모델값 역산(implied): v / 매출액
매출액 × OPM(최근 8분기 OPM 중위 17.8% 유지)</t>
      </text>
    </comment>
    <comment ref="AI23" authorId="0" shapeId="0">
      <text>
        <t>모델값 역산(implied): v / 매출액
매출액 × OPM(최근 8분기 OPM 중위 17.8% 유지)</t>
      </text>
    </comment>
    <comment ref="AK23" authorId="0" shapeId="0">
      <text>
        <t>모델값 역산(implied): v / 매출액
매출액 × OPM(최근 8분기 OPM 중위 17.8% 유지)</t>
      </text>
    </comment>
    <comment ref="AL23" authorId="0" shapeId="0">
      <text>
        <t>모델값 역산(implied): v / 매출액
매출액 × OPM(최근 8분기 OPM 중위 17.8% 유지)</t>
      </text>
    </comment>
    <comment ref="AM23" authorId="0" shapeId="0">
      <text>
        <t>모델값 역산(implied): v / 매출액
매출액 × OPM(최근 8분기 OPM 중위 17.8% 유지)</t>
      </text>
    </comment>
    <comment ref="AN23" authorId="0" shapeId="0">
      <text>
        <t>모델값 역산(implied): v / 매출액
매출액 × OPM(최근 8분기 OPM 중위 17.8% 유지)</t>
      </text>
    </comment>
    <comment ref="AC24" authorId="0" shapeId="0">
      <text>
        <t>모델값 역산(implied): v / 전년동기 − 1
최근 8분기 OPM 중위 17.8% 유지</t>
      </text>
    </comment>
    <comment ref="AD24" authorId="0" shapeId="0">
      <text>
        <t>모델값 역산(implied): v / 전년동기 − 1
최근 8분기 OPM 중위 17.8% 유지</t>
      </text>
    </comment>
    <comment ref="AF24" authorId="0" shapeId="0">
      <text>
        <t>모델값 역산(implied): v / 전년동기 − 1
최근 8분기 OPM 중위 17.8% 유지</t>
      </text>
    </comment>
    <comment ref="AG24" authorId="0" shapeId="0">
      <text>
        <t>모델값 역산(implied): v / 전년동기 − 1
최근 8분기 OPM 중위 17.8% 유지</t>
      </text>
    </comment>
    <comment ref="AH24" authorId="0" shapeId="0">
      <text>
        <t>모델값 역산(implied): v / 전년동기 − 1
최근 8분기 OPM 중위 17.8% 유지</t>
      </text>
    </comment>
    <comment ref="AI24" authorId="0" shapeId="0">
      <text>
        <t>모델값 역산(implied): v / 전년동기 − 1
최근 8분기 OPM 중위 17.8% 유지</t>
      </text>
    </comment>
    <comment ref="AK24" authorId="0" shapeId="0">
      <text>
        <t>모델값 역산(implied): v / 전년동기 − 1
최근 8분기 OPM 중위 17.8% 유지</t>
      </text>
    </comment>
    <comment ref="AL24" authorId="0" shapeId="0">
      <text>
        <t>모델값 역산(implied): v / 전년동기 − 1
최근 8분기 OPM 중위 17.8% 유지</t>
      </text>
    </comment>
    <comment ref="AM24" authorId="0" shapeId="0">
      <text>
        <t>모델값 역산(implied): v / 전년동기 − 1
최근 8분기 OPM 중위 17.8% 유지</t>
      </text>
    </comment>
    <comment ref="AN24" authorId="0" shapeId="0">
      <text>
        <t>모델값 역산(implied): v / 전년동기 − 1
최근 8분기 OPM 중위 17.8% 유지</t>
      </text>
    </comment>
    <comment ref="AC25" authorId="0" shapeId="0">
      <text>
        <t>모델값 역산(implied): 모델 v 그대로
이자손익 = 이자발생자산 182억 × 1.09% − 총차입금 113억 × 0.00% (연율, CF 실측) ÷ 4; 환·평가손익 0 가정</t>
      </text>
    </comment>
    <comment ref="AD25" authorId="0" shapeId="0">
      <text>
        <t>모델값 역산(implied): 모델 v 그대로
이자손익 = 이자발생자산 201억 × 1.09% − 총차입금 113억 × 0.00% (연율, CF 실측) ÷ 4; 환·평가손익 0 가정</t>
      </text>
    </comment>
    <comment ref="AF25" authorId="0" shapeId="0">
      <text>
        <t>모델값 역산(implied): 모델 v 그대로
이자손익 = 이자발생자산 227억 × 1.09% − 총차입금 113억 × 0.00% (연율, CF 실측) ÷ 4; 환·평가손익 0 가정</t>
      </text>
    </comment>
    <comment ref="AG25" authorId="0" shapeId="0">
      <text>
        <t>모델값 역산(implied): 모델 v 그대로
이자손익 = 이자발생자산 244억 × 1.09% − 총차입금 113억 × 0.00% (연율, CF 실측) ÷ 4; 환·평가손익 0 가정</t>
      </text>
    </comment>
    <comment ref="AH25" authorId="0" shapeId="0">
      <text>
        <t>모델값 역산(implied): 모델 v 그대로
이자손익 = 이자발생자산 263억 × 1.09% − 총차입금 113억 × 0.00% (연율, CF 실측) ÷ 4; 환·평가손익 0 가정</t>
      </text>
    </comment>
    <comment ref="AI25" authorId="0" shapeId="0">
      <text>
        <t>모델값 역산(implied): 모델 v 그대로
이자손익 = 이자발생자산 284억 × 1.09% − 총차입금 113억 × 0.00% (연율, CF 실측) ÷ 4; 환·평가손익 0 가정</t>
      </text>
    </comment>
    <comment ref="AK25" authorId="0" shapeId="0">
      <text>
        <t>모델값 역산(implied): 모델 v 그대로
이자손익 = 이자발생자산 310억 × 1.09% − 총차입금 113억 × 0.00% (연율, CF 실측) ÷ 4; 환·평가손익 0 가정</t>
      </text>
    </comment>
    <comment ref="AL25" authorId="0" shapeId="0">
      <text>
        <t>모델값 역산(implied): 모델 v 그대로
이자손익 = 이자발생자산 328억 × 1.09% − 총차입금 113억 × 0.00% (연율, CF 실측) ÷ 4; 환·평가손익 0 가정</t>
      </text>
    </comment>
    <comment ref="AM25" authorId="0" shapeId="0">
      <text>
        <t>모델값 역산(implied): 모델 v 그대로
이자손익 = 이자발생자산 346억 × 1.09% − 총차입금 113억 × 0.00% (연율, CF 실측) ÷ 4; 환·평가손익 0 가정</t>
      </text>
    </comment>
    <comment ref="AN25" authorId="0" shapeId="0">
      <text>
        <t>모델값 역산(implied): 모델 v 그대로
이자손익 = 이자발생자산 366억 × 1.09% − 총차입금 113억 × 0.00% (연율, CF 실측) ÷ 4; 환·평가손익 0 가정</t>
      </text>
    </comment>
    <comment ref="AC26" authorId="0" shapeId="0">
      <text>
        <t>모델값 역산(implied): 모델 v 그대로
일회성 미가정 → 0</t>
      </text>
    </comment>
    <comment ref="AD26" authorId="0" shapeId="0">
      <text>
        <t>모델값 역산(implied): 모델 v 그대로
일회성 미가정 → 0</t>
      </text>
    </comment>
    <comment ref="AF26" authorId="0" shapeId="0">
      <text>
        <t>모델값 역산(implied): 모델 v 그대로
일회성 미가정 → 0</t>
      </text>
    </comment>
    <comment ref="AG26" authorId="0" shapeId="0">
      <text>
        <t>모델값 역산(implied): 모델 v 그대로
일회성 미가정 → 0</t>
      </text>
    </comment>
    <comment ref="AH26" authorId="0" shapeId="0">
      <text>
        <t>모델값 역산(implied): 모델 v 그대로
일회성 미가정 → 0</t>
      </text>
    </comment>
    <comment ref="AI26" authorId="0" shapeId="0">
      <text>
        <t>모델값 역산(implied): 모델 v 그대로
일회성 미가정 → 0</t>
      </text>
    </comment>
    <comment ref="AK26" authorId="0" shapeId="0">
      <text>
        <t>모델값 역산(implied): 모델 v 그대로
일회성 미가정 → 0</t>
      </text>
    </comment>
    <comment ref="AL26" authorId="0" shapeId="0">
      <text>
        <t>모델값 역산(implied): 모델 v 그대로
일회성 미가정 → 0</t>
      </text>
    </comment>
    <comment ref="AM26" authorId="0" shapeId="0">
      <text>
        <t>모델값 역산(implied): 모델 v 그대로
일회성 미가정 → 0</t>
      </text>
    </comment>
    <comment ref="AN26" authorId="0" shapeId="0">
      <text>
        <t>모델값 역산(implied): 모델 v 그대로
일회성 미가정 → 0</t>
      </text>
    </comment>
    <comment ref="AC27" authorId="0" shapeId="0">
      <text>
        <t>모델값 역산(implied): v / 세전이익
max(세전, 0) × 세율 5.0%(최근 12분기 유효세율 -6.3% → 5~27% 클립)</t>
      </text>
    </comment>
    <comment ref="AD27" authorId="0" shapeId="0">
      <text>
        <t>모델값 역산(implied): v / 세전이익
max(세전, 0) × 세율 5.0%(최근 12분기 유효세율 -6.3% → 5~27% 클립)</t>
      </text>
    </comment>
    <comment ref="AF27" authorId="0" shapeId="0">
      <text>
        <t>모델값 역산(implied): v / 세전이익
max(세전, 0) × 세율 5.0%(최근 12분기 유효세율 -6.3% → 5~27% 클립)</t>
      </text>
    </comment>
    <comment ref="AG27" authorId="0" shapeId="0">
      <text>
        <t>모델값 역산(implied): v / 세전이익
max(세전, 0) × 세율 5.0%(최근 12분기 유효세율 -6.3% → 5~27% 클립)</t>
      </text>
    </comment>
    <comment ref="AH27" authorId="0" shapeId="0">
      <text>
        <t>모델값 역산(implied): v / 세전이익
max(세전, 0) × 세율 5.0%(최근 12분기 유효세율 -6.3% → 5~27% 클립)</t>
      </text>
    </comment>
    <comment ref="AI27" authorId="0" shapeId="0">
      <text>
        <t>모델값 역산(implied): v / 세전이익
max(세전, 0) × 세율 5.0%(최근 12분기 유효세율 -6.3% → 5~27% 클립)</t>
      </text>
    </comment>
    <comment ref="AK27" authorId="0" shapeId="0">
      <text>
        <t>모델값 역산(implied): v / 세전이익
max(세전, 0) × 세율 5.0%(최근 12분기 유효세율 -6.3% → 5~27% 클립)</t>
      </text>
    </comment>
    <comment ref="AL27" authorId="0" shapeId="0">
      <text>
        <t>모델값 역산(implied): v / 세전이익
max(세전, 0) × 세율 5.0%(최근 12분기 유효세율 -6.3% → 5~27% 클립)</t>
      </text>
    </comment>
    <comment ref="AM27" authorId="0" shapeId="0">
      <text>
        <t>모델값 역산(implied): v / 세전이익
max(세전, 0) × 세율 5.0%(최근 12분기 유효세율 -6.3% → 5~27% 클립)</t>
      </text>
    </comment>
    <comment ref="AN27" authorId="0" shapeId="0">
      <text>
        <t>모델값 역산(implied): v / 세전이익
max(세전, 0) × 세율 5.0%(최근 12분기 유효세율 -6.3% → 5~27% 클립)</t>
      </text>
    </comment>
    <comment ref="AC28" authorId="0" shapeId="0">
      <text>
        <t>모델값 역산(implied): v / 당기순이익
당기순이익 × (1 − 비지배 비중 0.0%, 최근 8분기 실측)</t>
      </text>
    </comment>
    <comment ref="AD28" authorId="0" shapeId="0">
      <text>
        <t>모델값 역산(implied): v / 당기순이익
당기순이익 × (1 − 비지배 비중 0.0%, 최근 8분기 실측)</t>
      </text>
    </comment>
    <comment ref="AF28" authorId="0" shapeId="0">
      <text>
        <t>모델값 역산(implied): v / 당기순이익
당기순이익 × (1 − 비지배 비중 0.0%, 최근 8분기 실측)</t>
      </text>
    </comment>
    <comment ref="AG28" authorId="0" shapeId="0">
      <text>
        <t>모델값 역산(implied): v / 당기순이익
당기순이익 × (1 − 비지배 비중 0.0%, 최근 8분기 실측)</t>
      </text>
    </comment>
    <comment ref="AH28" authorId="0" shapeId="0">
      <text>
        <t>모델값 역산(implied): v / 당기순이익
당기순이익 × (1 − 비지배 비중 0.0%, 최근 8분기 실측)</t>
      </text>
    </comment>
    <comment ref="AI28" authorId="0" shapeId="0">
      <text>
        <t>모델값 역산(implied): v / 당기순이익
당기순이익 × (1 − 비지배 비중 0.0%, 최근 8분기 실측)</t>
      </text>
    </comment>
    <comment ref="AK28" authorId="0" shapeId="0">
      <text>
        <t>모델값 역산(implied): v / 당기순이익
당기순이익 × (1 − 비지배 비중 0.0%, 최근 8분기 실측)</t>
      </text>
    </comment>
    <comment ref="AL28" authorId="0" shapeId="0">
      <text>
        <t>모델값 역산(implied): v / 당기순이익
당기순이익 × (1 − 비지배 비중 0.0%, 최근 8분기 실측)</t>
      </text>
    </comment>
    <comment ref="AM28" authorId="0" shapeId="0">
      <text>
        <t>모델값 역산(implied): v / 당기순이익
당기순이익 × (1 − 비지배 비중 0.0%, 최근 8분기 실측)</t>
      </text>
    </comment>
    <comment ref="AN28" authorId="0" shapeId="0">
      <text>
        <t>모델값 역산(implied): v / 당기순이익
당기순이익 × (1 − 비지배 비중 0.0%, 최근 8분기 실측)</t>
      </text>
    </comment>
    <comment ref="AC29" authorId="0" shapeId="0">
      <text>
        <t>모델값 역산(implied): v / 전년동기 − 1
최근 4분기 감가상각비 중위 유지</t>
      </text>
    </comment>
    <comment ref="AD29" authorId="0" shapeId="0">
      <text>
        <t>모델값 역산(implied): v / 전년동기 − 1
최근 4분기 감가상각비 중위 유지</t>
      </text>
    </comment>
    <comment ref="AF29" authorId="0" shapeId="0">
      <text>
        <t>모델값 역산(implied): v / 전년동기 − 1
최근 4분기 감가상각비 중위 유지</t>
      </text>
    </comment>
    <comment ref="AG29" authorId="0" shapeId="0">
      <text>
        <t>모델값 역산(implied): v / 전년동기 − 1
최근 4분기 감가상각비 중위 유지</t>
      </text>
    </comment>
    <comment ref="AH29" authorId="0" shapeId="0">
      <text>
        <t>모델값 역산(implied): v / 전년동기 − 1
최근 4분기 감가상각비 중위 유지</t>
      </text>
    </comment>
    <comment ref="AI29" authorId="0" shapeId="0">
      <text>
        <t>모델값 역산(implied): v / 전년동기 − 1
최근 4분기 감가상각비 중위 유지</t>
      </text>
    </comment>
    <comment ref="AK29" authorId="0" shapeId="0">
      <text>
        <t>모델값 역산(implied): v / 전년동기 − 1
최근 4분기 감가상각비 중위 유지</t>
      </text>
    </comment>
    <comment ref="AL29" authorId="0" shapeId="0">
      <text>
        <t>모델값 역산(implied): v / 전년동기 − 1
최근 4분기 감가상각비 중위 유지</t>
      </text>
    </comment>
    <comment ref="AM29" authorId="0" shapeId="0">
      <text>
        <t>모델값 역산(implied): v / 전년동기 − 1
최근 4분기 감가상각비 중위 유지</t>
      </text>
    </comment>
    <comment ref="AN29" authorId="0" shapeId="0">
      <text>
        <t>모델값 역산(implied): v / 전년동기 − 1
최근 4분기 감가상각비 중위 유지</t>
      </text>
    </comment>
    <comment ref="AC30" authorId="0" shapeId="0">
      <text>
        <t>모델값 역산(implied): v / 전년동기 − 1
영업이익 + 감가상각비</t>
      </text>
    </comment>
    <comment ref="AD30" authorId="0" shapeId="0">
      <text>
        <t>모델값 역산(implied): v / 전년동기 − 1
영업이익 + 감가상각비</t>
      </text>
    </comment>
    <comment ref="AF30" authorId="0" shapeId="0">
      <text>
        <t>모델값 역산(implied): v / 전년동기 − 1
영업이익 + 감가상각비</t>
      </text>
    </comment>
    <comment ref="AG30" authorId="0" shapeId="0">
      <text>
        <t>모델값 역산(implied): v / 전년동기 − 1
영업이익 + 감가상각비</t>
      </text>
    </comment>
    <comment ref="AH30" authorId="0" shapeId="0">
      <text>
        <t>모델값 역산(implied): v / 전년동기 − 1
영업이익 + 감가상각비</t>
      </text>
    </comment>
    <comment ref="AI30" authorId="0" shapeId="0">
      <text>
        <t>모델값 역산(implied): v / 전년동기 − 1
영업이익 + 감가상각비</t>
      </text>
    </comment>
    <comment ref="AK30" authorId="0" shapeId="0">
      <text>
        <t>모델값 역산(implied): v / 전년동기 − 1
영업이익 + 감가상각비</t>
      </text>
    </comment>
    <comment ref="AL30" authorId="0" shapeId="0">
      <text>
        <t>모델값 역산(implied): v / 전년동기 − 1
영업이익 + 감가상각비</t>
      </text>
    </comment>
    <comment ref="AM30" authorId="0" shapeId="0">
      <text>
        <t>모델값 역산(implied): v / 전년동기 − 1
영업이익 + 감가상각비</t>
      </text>
    </comment>
    <comment ref="AN30" authorId="0" shapeId="0">
      <text>
        <t>모델값 역산(implied): v / 전년동기 − 1
영업이익 + 감가상각비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전분기 + 당기순이익 − v
전분기 + 당기순이익 − 배당(Q2 지급 가정)</t>
      </text>
    </comment>
    <comment ref="AD32" authorId="0" shapeId="0">
      <text>
        <t>모델값 역산(implied): 전분기 + 당기순이익 − v
전분기 + 당기순이익 − 배당(Q2 지급 가정)</t>
      </text>
    </comment>
    <comment ref="AF32" authorId="0" shapeId="0">
      <text>
        <t>모델값 역산(implied): 전분기 + 당기순이익 − v
전분기 + 당기순이익 − 배당(Q2 지급 가정)</t>
      </text>
    </comment>
    <comment ref="AG32" authorId="0" shapeId="0">
      <text>
        <t>모델값 역산(implied): 전분기 + 당기순이익 − v
전분기 + 당기순이익 − 배당(Q2 지급 가정)</t>
      </text>
    </comment>
    <comment ref="AH32" authorId="0" shapeId="0">
      <text>
        <t>모델값 역산(implied): 전분기 + 당기순이익 − v
전분기 + 당기순이익 − 배당(Q2 지급 가정)</t>
      </text>
    </comment>
    <comment ref="AI32" authorId="0" shapeId="0">
      <text>
        <t>모델값 역산(implied): 전분기 + 당기순이익 − v
전분기 + 당기순이익 − 배당(Q2 지급 가정)</t>
      </text>
    </comment>
    <comment ref="AK32" authorId="0" shapeId="0">
      <text>
        <t>모델값 역산(implied): 전분기 + 당기순이익 − v
전분기 + 당기순이익 − 배당(Q2 지급 가정)</t>
      </text>
    </comment>
    <comment ref="AL32" authorId="0" shapeId="0">
      <text>
        <t>모델값 역산(implied): 전분기 + 당기순이익 − v
전분기 + 당기순이익 − 배당(Q2 지급 가정)</t>
      </text>
    </comment>
    <comment ref="AM32" authorId="0" shapeId="0">
      <text>
        <t>모델값 역산(implied): 전분기 + 당기순이익 − v
전분기 + 당기순이익 − 배당(Q2 지급 가정)</t>
      </text>
    </comment>
    <comment ref="AN32" authorId="0" shapeId="0">
      <text>
        <t>모델값 역산(implied): 전분기 + 당기순이익 − v
전분기 + 당기순이익 − 배당(Q2 지급 가정)</t>
      </text>
    </comment>
    <comment ref="AC33" authorId="0" shapeId="0">
      <text>
        <t>모델값 역산(implied): 전분기 + 지배주주순이익 − v
전분기 + 지배주주순이익 − 배당</t>
      </text>
    </comment>
    <comment ref="AD33" authorId="0" shapeId="0">
      <text>
        <t>모델값 역산(implied): 전분기 + 지배주주순이익 − v
전분기 + 지배주주순이익 − 배당</t>
      </text>
    </comment>
    <comment ref="AF33" authorId="0" shapeId="0">
      <text>
        <t>모델값 역산(implied): 전분기 + 지배주주순이익 − v
전분기 + 지배주주순이익 − 배당</t>
      </text>
    </comment>
    <comment ref="AG33" authorId="0" shapeId="0">
      <text>
        <t>모델값 역산(implied): 전분기 + 지배주주순이익 − v
전분기 + 지배주주순이익 − 배당</t>
      </text>
    </comment>
    <comment ref="AH33" authorId="0" shapeId="0">
      <text>
        <t>모델값 역산(implied): 전분기 + 지배주주순이익 − v
전분기 + 지배주주순이익 − 배당</t>
      </text>
    </comment>
    <comment ref="AI33" authorId="0" shapeId="0">
      <text>
        <t>모델값 역산(implied): 전분기 + 지배주주순이익 − v
전분기 + 지배주주순이익 − 배당</t>
      </text>
    </comment>
    <comment ref="AK33" authorId="0" shapeId="0">
      <text>
        <t>모델값 역산(implied): 전분기 + 지배주주순이익 − v
전분기 + 지배주주순이익 − 배당</t>
      </text>
    </comment>
    <comment ref="AL33" authorId="0" shapeId="0">
      <text>
        <t>모델값 역산(implied): 전분기 + 지배주주순이익 − v
전분기 + 지배주주순이익 − 배당</t>
      </text>
    </comment>
    <comment ref="AM33" authorId="0" shapeId="0">
      <text>
        <t>모델값 역산(implied): 전분기 + 지배주주순이익 − v
전분기 + 지배주주순이익 − 배당</t>
      </text>
    </comment>
    <comment ref="AN33" authorId="0" shapeId="0">
      <text>
        <t>모델값 역산(implied): 전분기 + 지배주주순이익 − v
전분기 + 지배주주순이익 − 배당</t>
      </text>
    </comment>
    <comment ref="AC34" authorId="0" shapeId="0">
      <text>
        <t>모델값 역산(implied): v / 전분기 − 1
마지막 실적 유지(가정)</t>
      </text>
    </comment>
    <comment ref="AD34" authorId="0" shapeId="0">
      <text>
        <t>모델값 역산(implied): v / 전분기 − 1
마지막 실적 유지(가정)</t>
      </text>
    </comment>
    <comment ref="AF34" authorId="0" shapeId="0">
      <text>
        <t>모델값 역산(implied): v / 전분기 − 1
마지막 실적 유지(가정)</t>
      </text>
    </comment>
    <comment ref="AG34" authorId="0" shapeId="0">
      <text>
        <t>모델값 역산(implied): v / 전분기 − 1
마지막 실적 유지(가정)</t>
      </text>
    </comment>
    <comment ref="AH34" authorId="0" shapeId="0">
      <text>
        <t>모델값 역산(implied): v / 전분기 − 1
마지막 실적 유지(가정)</t>
      </text>
    </comment>
    <comment ref="AI34" authorId="0" shapeId="0">
      <text>
        <t>모델값 역산(implied): v / 전분기 − 1
마지막 실적 유지(가정)</t>
      </text>
    </comment>
    <comment ref="AK34" authorId="0" shapeId="0">
      <text>
        <t>모델값 역산(implied): v / 전분기 − 1
마지막 실적 유지(가정)</t>
      </text>
    </comment>
    <comment ref="AL34" authorId="0" shapeId="0">
      <text>
        <t>모델값 역산(implied): v / 전분기 − 1
마지막 실적 유지(가정)</t>
      </text>
    </comment>
    <comment ref="AM34" authorId="0" shapeId="0">
      <text>
        <t>모델값 역산(implied): v / 전분기 − 1
마지막 실적 유지(가정)</t>
      </text>
    </comment>
    <comment ref="AN34" authorId="0" shapeId="0">
      <text>
        <t>모델값 역산(implied): v / 전분기 − 1
마지막 실적 유지(가정)</t>
      </text>
    </comment>
    <comment ref="AC35" authorId="0" shapeId="0">
      <text>
        <t>모델값 역산(implied): v / 전분기 − 1
전분기 − (순이익 − 배당): 순이익 = 순현금 증가 가정(CAPEX≈감가, 운전자본 불변)</t>
      </text>
    </comment>
    <comment ref="AD35" authorId="0" shapeId="0">
      <text>
        <t>모델값 역산(implied): v / 전분기 − 1
전분기 − (순이익 − 배당): 순이익 = 순현금 증가 가정(CAPEX≈감가, 운전자본 불변)</t>
      </text>
    </comment>
    <comment ref="AF35" authorId="0" shapeId="0">
      <text>
        <t>모델값 역산(implied): v / 전분기 − 1
전분기 − (순이익 − 배당): 순이익 = 순현금 증가 가정(CAPEX≈감가, 운전자본 불변)</t>
      </text>
    </comment>
    <comment ref="AG35" authorId="0" shapeId="0">
      <text>
        <t>모델값 역산(implied): v / 전분기 − 1
전분기 − (순이익 − 배당): 순이익 = 순현금 증가 가정(CAPEX≈감가, 운전자본 불변)</t>
      </text>
    </comment>
    <comment ref="AH35" authorId="0" shapeId="0">
      <text>
        <t>모델값 역산(implied): v / 전분기 − 1
전분기 − (순이익 − 배당): 순이익 = 순현금 증가 가정(CAPEX≈감가, 운전자본 불변)</t>
      </text>
    </comment>
    <comment ref="AI35" authorId="0" shapeId="0">
      <text>
        <t>모델값 역산(implied): v / 전분기 − 1
전분기 − (순이익 − 배당): 순이익 = 순현금 증가 가정(CAPEX≈감가, 운전자본 불변)</t>
      </text>
    </comment>
    <comment ref="AK35" authorId="0" shapeId="0">
      <text>
        <t>모델값 역산(implied): v / 전분기 − 1
전분기 − (순이익 − 배당): 순이익 = 순현금 증가 가정(CAPEX≈감가, 운전자본 불변)</t>
      </text>
    </comment>
    <comment ref="AL35" authorId="0" shapeId="0">
      <text>
        <t>모델값 역산(implied): v / 전분기 − 1
전분기 − (순이익 − 배당): 순이익 = 순현금 증가 가정(CAPEX≈감가, 운전자본 불변)</t>
      </text>
    </comment>
    <comment ref="AM35" authorId="0" shapeId="0">
      <text>
        <t>모델값 역산(implied): v / 전분기 − 1
전분기 − (순이익 − 배당): 순이익 = 순현금 증가 가정(CAPEX≈감가, 운전자본 불변)</t>
      </text>
    </comment>
    <comment ref="AN35" authorId="0" shapeId="0">
      <text>
        <t>모델값 역산(implied): v / 전분기 − 1
전분기 − (순이익 − 배당): 순이익 = 순현금 증가 가정(CAPEX≈감가, 운전자본 불변)</t>
      </text>
    </comment>
    <comment ref="AC36" authorId="0" shapeId="0">
      <text>
        <t>모델값 역산(implied): v / 전분기 − 1
전분기 + (순이익 − 배당) — 순차입금 롤과 같은 가정</t>
      </text>
    </comment>
    <comment ref="AD36" authorId="0" shapeId="0">
      <text>
        <t>모델값 역산(implied): v / 전분기 − 1
전분기 + (순이익 − 배당) — 순차입금 롤과 같은 가정</t>
      </text>
    </comment>
    <comment ref="AF36" authorId="0" shapeId="0">
      <text>
        <t>모델값 역산(implied): v / 전분기 − 1
전분기 + (순이익 − 배당) — 순차입금 롤과 같은 가정</t>
      </text>
    </comment>
    <comment ref="AG36" authorId="0" shapeId="0">
      <text>
        <t>모델값 역산(implied): v / 전분기 − 1
전분기 + (순이익 − 배당) — 순차입금 롤과 같은 가정</t>
      </text>
    </comment>
    <comment ref="AH36" authorId="0" shapeId="0">
      <text>
        <t>모델값 역산(implied): v / 전분기 − 1
전분기 + (순이익 − 배당) — 순차입금 롤과 같은 가정</t>
      </text>
    </comment>
    <comment ref="AI36" authorId="0" shapeId="0">
      <text>
        <t>모델값 역산(implied): v / 전분기 − 1
전분기 + (순이익 − 배당) — 순차입금 롤과 같은 가정</t>
      </text>
    </comment>
    <comment ref="AK36" authorId="0" shapeId="0">
      <text>
        <t>모델값 역산(implied): v / 전분기 − 1
전분기 + (순이익 − 배당) — 순차입금 롤과 같은 가정</t>
      </text>
    </comment>
    <comment ref="AL36" authorId="0" shapeId="0">
      <text>
        <t>모델값 역산(implied): v / 전분기 − 1
전분기 + (순이익 − 배당) — 순차입금 롤과 같은 가정</t>
      </text>
    </comment>
    <comment ref="AM36" authorId="0" shapeId="0">
      <text>
        <t>모델값 역산(implied): v / 전분기 − 1
전분기 + (순이익 − 배당) — 순차입금 롤과 같은 가정</t>
      </text>
    </comment>
    <comment ref="AN36" authorId="0" shapeId="0">
      <text>
        <t>모델값 역산(implied): v / 전분기 − 1
전분기 + (순이익 − 배당) — 순차입금 롤과 같은 가정</t>
      </text>
    </comment>
    <comment ref="AC40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v / 전분기 − 1
유통주식수 유지 — fin.shares.common_outstanding(2026Q2)</t>
      </text>
    </comment>
    <comment ref="AF40" authorId="0" shapeId="0">
      <text>
        <t>모델값 역산(implied): v / 전분기 − 1
유통주식수 유지 — fin.shares.common_outstanding(2026Q2)</t>
      </text>
    </comment>
    <comment ref="AG40" authorId="0" shapeId="0">
      <text>
        <t>모델값 역산(implied): v / 전분기 − 1
유통주식수 유지 — fin.shares.common_outstanding(2026Q2)</t>
      </text>
    </comment>
    <comment ref="AH40" authorId="0" shapeId="0">
      <text>
        <t>모델값 역산(implied): v / 전분기 − 1
유통주식수 유지 — fin.shares.common_outstanding(2026Q2)</t>
      </text>
    </comment>
    <comment ref="AI40" authorId="0" shapeId="0">
      <text>
        <t>모델값 역산(implied): v / 전분기 − 1
유통주식수 유지 — fin.shares.common_outstanding(2026Q2)</t>
      </text>
    </comment>
    <comment ref="AK40" authorId="0" shapeId="0">
      <text>
        <t>모델값 역산(implied): v / 전분기 − 1
유통주식수 유지 — fin.shares.common_outstanding(2026Q2)</t>
      </text>
    </comment>
    <comment ref="AL40" authorId="0" shapeId="0">
      <text>
        <t>모델값 역산(implied): v / 전분기 − 1
유통주식수 유지 — fin.shares.common_outstanding(2026Q2)</t>
      </text>
    </comment>
    <comment ref="AM40" authorId="0" shapeId="0">
      <text>
        <t>모델값 역산(implied): v / 전분기 − 1
유통주식수 유지 — fin.shares.common_outstanding(2026Q2)</t>
      </text>
    </comment>
    <comment ref="AN40" authorId="0" shapeId="0">
      <text>
        <t>모델값 역산(implied): v / 전분기 − 1
유통주식수 유지 — fin.shares.common_outstanding(2026Q2)</t>
      </text>
    </comment>
    <comment ref="AC42" authorId="0" shapeId="0">
      <text>
        <t>모델값 역산(implied): v / 전년동기 − 1
현재 종가 ÷ TTM EPS(추정 포함)</t>
      </text>
    </comment>
    <comment ref="AD42" authorId="0" shapeId="0">
      <text>
        <t>모델값 역산(implied): v / 전년동기 − 1
현재 종가 ÷ TTM EPS(추정 포함)</t>
      </text>
    </comment>
    <comment ref="AF42" authorId="0" shapeId="0">
      <text>
        <t>모델값 역산(implied): v / 전년동기 − 1
현재 종가 ÷ TTM EPS(추정 포함)</t>
      </text>
    </comment>
    <comment ref="AG42" authorId="0" shapeId="0">
      <text>
        <t>모델값 역산(implied): v / 전년동기 − 1
현재 종가 ÷ TTM EPS(추정 포함)</t>
      </text>
    </comment>
    <comment ref="AH42" authorId="0" shapeId="0">
      <text>
        <t>모델값 역산(implied): v / 전년동기 − 1
현재 종가 ÷ TTM EPS(추정 포함)</t>
      </text>
    </comment>
    <comment ref="AI42" authorId="0" shapeId="0">
      <text>
        <t>모델값 역산(implied): v / 전년동기 − 1
현재 종가 ÷ TTM EPS(추정 포함)</t>
      </text>
    </comment>
    <comment ref="AK42" authorId="0" shapeId="0">
      <text>
        <t>모델값 역산(implied): v / 전년동기 − 1
현재 종가 ÷ TTM EPS(추정 포함)</t>
      </text>
    </comment>
    <comment ref="AL42" authorId="0" shapeId="0">
      <text>
        <t>모델값 역산(implied): v / 전년동기 − 1
현재 종가 ÷ TTM EPS(추정 포함)</t>
      </text>
    </comment>
    <comment ref="AM42" authorId="0" shapeId="0">
      <text>
        <t>모델값 역산(implied): v / 전년동기 − 1
현재 종가 ÷ TTM EPS(추정 포함)</t>
      </text>
    </comment>
    <comment ref="AN42" authorId="0" shapeId="0">
      <text>
        <t>모델값 역산(implied): v / 전년동기 − 1
현재 종가 ÷ TTM EPS(추정 포함)</t>
      </text>
    </comment>
    <comment ref="AC43" authorId="0" shapeId="0">
      <text>
        <t>모델값 역산(implied): v / 전년동기 − 1
현재 종가 ÷ BPS(추정 포함)</t>
      </text>
    </comment>
    <comment ref="AD43" authorId="0" shapeId="0">
      <text>
        <t>모델값 역산(implied): v / 전년동기 − 1
현재 종가 ÷ BPS(추정 포함)</t>
      </text>
    </comment>
    <comment ref="AF43" authorId="0" shapeId="0">
      <text>
        <t>모델값 역산(implied): v / 전년동기 − 1
현재 종가 ÷ BPS(추정 포함)</t>
      </text>
    </comment>
    <comment ref="AG43" authorId="0" shapeId="0">
      <text>
        <t>모델값 역산(implied): v / 전년동기 − 1
현재 종가 ÷ BPS(추정 포함)</t>
      </text>
    </comment>
    <comment ref="AH43" authorId="0" shapeId="0">
      <text>
        <t>모델값 역산(implied): v / 전년동기 − 1
현재 종가 ÷ BPS(추정 포함)</t>
      </text>
    </comment>
    <comment ref="AI43" authorId="0" shapeId="0">
      <text>
        <t>모델값 역산(implied): v / 전년동기 − 1
현재 종가 ÷ BPS(추정 포함)</t>
      </text>
    </comment>
    <comment ref="AK43" authorId="0" shapeId="0">
      <text>
        <t>모델값 역산(implied): v / 전년동기 − 1
현재 종가 ÷ BPS(추정 포함)</t>
      </text>
    </comment>
    <comment ref="AL43" authorId="0" shapeId="0">
      <text>
        <t>모델값 역산(implied): v / 전년동기 − 1
현재 종가 ÷ BPS(추정 포함)</t>
      </text>
    </comment>
    <comment ref="AM43" authorId="0" shapeId="0">
      <text>
        <t>모델값 역산(implied): v / 전년동기 − 1
현재 종가 ÷ BPS(추정 포함)</t>
      </text>
    </comment>
    <comment ref="AN43" authorId="0" shapeId="0">
      <text>
        <t>모델값 역산(implied): v / 전년동기 − 1
현재 종가 ÷ BPS(추정 포함)</t>
      </text>
    </comment>
    <comment ref="AC44" authorId="0" shapeId="0">
      <text>
        <t>모델값 역산(implied): v / 매출액
= 매출액 추정(부문 미분리)</t>
      </text>
    </comment>
    <comment ref="AD44" authorId="0" shapeId="0">
      <text>
        <t>모델값 역산(implied): v / 매출액
= 매출액 추정(부문 미분리)</t>
      </text>
    </comment>
    <comment ref="AF44" authorId="0" shapeId="0">
      <text>
        <t>모델값 역산(implied): v / 매출액
= 매출액 추정(부문 미분리)</t>
      </text>
    </comment>
    <comment ref="AG44" authorId="0" shapeId="0">
      <text>
        <t>모델값 역산(implied): v / 매출액
= 매출액 추정(부문 미분리)</t>
      </text>
    </comment>
    <comment ref="AH44" authorId="0" shapeId="0">
      <text>
        <t>모델값 역산(implied): v / 매출액
= 매출액 추정(부문 미분리)</t>
      </text>
    </comment>
    <comment ref="AI44" authorId="0" shapeId="0">
      <text>
        <t>모델값 역산(implied): v / 매출액
= 매출액 추정(부문 미분리)</t>
      </text>
    </comment>
    <comment ref="AK44" authorId="0" shapeId="0">
      <text>
        <t>모델값 역산(implied): v / 매출액
= 매출액 추정(부문 미분리)</t>
      </text>
    </comment>
    <comment ref="AL44" authorId="0" shapeId="0">
      <text>
        <t>모델값 역산(implied): v / 매출액
= 매출액 추정(부문 미분리)</t>
      </text>
    </comment>
    <comment ref="AM44" authorId="0" shapeId="0">
      <text>
        <t>모델값 역산(implied): v / 매출액
= 매출액 추정(부문 미분리)</t>
      </text>
    </comment>
    <comment ref="AN44" authorId="0" shapeId="0">
      <text>
        <t>모델값 역산(implied): v / 매출액
= 매출액 추정(부문 미분리)</t>
      </text>
    </comment>
    <comment ref="AC45" authorId="0" shapeId="0">
      <text>
        <t>모델값 역산(implied): v / 매출전사
= 매출액 × OPM(부문 미분리)</t>
      </text>
    </comment>
    <comment ref="AD45" authorId="0" shapeId="0">
      <text>
        <t>모델값 역산(implied): v / 매출전사
= 매출액 × OPM(부문 미분리)</t>
      </text>
    </comment>
    <comment ref="AF45" authorId="0" shapeId="0">
      <text>
        <t>모델값 역산(implied): v / 매출전사
= 매출액 × OPM(부문 미분리)</t>
      </text>
    </comment>
    <comment ref="AG45" authorId="0" shapeId="0">
      <text>
        <t>모델값 역산(implied): v / 매출전사
= 매출액 × OPM(부문 미분리)</t>
      </text>
    </comment>
    <comment ref="AH45" authorId="0" shapeId="0">
      <text>
        <t>모델값 역산(implied): v / 매출전사
= 매출액 × OPM(부문 미분리)</t>
      </text>
    </comment>
    <comment ref="AI45" authorId="0" shapeId="0">
      <text>
        <t>모델값 역산(implied): v / 매출전사
= 매출액 × OPM(부문 미분리)</t>
      </text>
    </comment>
    <comment ref="AK45" authorId="0" shapeId="0">
      <text>
        <t>모델값 역산(implied): v / 매출전사
= 매출액 × OPM(부문 미분리)</t>
      </text>
    </comment>
    <comment ref="AL45" authorId="0" shapeId="0">
      <text>
        <t>모델값 역산(implied): v / 매출전사
= 매출액 × OPM(부문 미분리)</t>
      </text>
    </comment>
    <comment ref="AM45" authorId="0" shapeId="0">
      <text>
        <t>모델값 역산(implied): v / 매출전사
= 매출액 × OPM(부문 미분리)</t>
      </text>
    </comment>
    <comment ref="AN45" authorId="0" shapeId="0">
      <text>
        <t>모델값 역산(implied): v / 매출전사
= 매출액 × OPM(부문 미분리)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이동합(t−0) 80224억 × 비례계수 0.0055 × 계절비중 Q3 0.246(계절비중 — 최근 3개 연도(2026, 2025, 2024) 분기/연간 비중 평균; 격자 lag0~4×창8/12/19×수준·YoY·4Q합 중 최대 r=0.98, n=12, 창 12)
[yoy]</t>
      </text>
    </comment>
    <comment ref="AD5" authorId="0" shapeId="0">
      <text>
        <t>추정: 고객지수 4분기 이동합(t−0) 84957억 × 비례계수 0.0055 × 계절비중 Q4 0.324(계절비중 — 최근 3개 연도(2026, 2025, 2024) 분기/연간 비중 평균; 격자 lag0~4×창8/12/19×수준·YoY·4Q합 중 최대 r=0.98, n=12, 창 12)
[yoy]</t>
      </text>
    </comment>
    <comment ref="AF5" authorId="0" shapeId="0">
      <text>
        <t>추정: 고객지수 4분기 이동합(t−0) 87118억 × 비례계수 0.0055 × 계절비중 Q1 0.204(계절비중 — 최근 3개 연도(2026, 2025, 2024) 분기/연간 비중 평균; 격자 lag0~4×창8/12/19×수준·YoY·4Q합 중 최대 r=0.98, n=12, 창 12)
[yoy]</t>
      </text>
    </comment>
    <comment ref="AG5" authorId="0" shapeId="0">
      <text>
        <t>추정: 고객지수 4분기 이동합(t−0) 87563억 × 비례계수 0.0055 × 계절비중 Q2 0.226(계절비중 — 최근 3개 연도(2026, 2025, 2024) 분기/연간 비중 평균; 격자 lag0~4×창8/12/19×수준·YoY·4Q합 중 최대 r=0.98, n=12, 창 12)
[yoy]</t>
      </text>
    </comment>
    <comment ref="AH5" authorId="0" shapeId="0">
      <text>
        <t>추정: 고객지수 4분기 이동합(t−0) 87134억 × 비례계수 0.0055 × 계절비중 Q3 0.246(계절비중 — 최근 3개 연도(2026, 2025, 2024) 분기/연간 비중 평균; 격자 lag0~4×창8/12/19×수준·YoY·4Q합 중 최대 r=0.98, n=12, 창 12)
[yoy]</t>
      </text>
    </comment>
    <comment ref="AI5" authorId="0" shapeId="0">
      <text>
        <t>추정: 고객지수 4분기 이동합(t−0) 86401억 × 비례계수 0.0055 × 계절비중 Q4 0.324(계절비중 — 최근 3개 연도(2026, 2025, 2024) 분기/연간 비중 평균; 격자 lag0~4×창8/12/19×수준·YoY·4Q합 중 최대 r=0.98, n=12, 창 12)
[yoy]</t>
      </text>
    </comment>
    <comment ref="AK5" authorId="0" shapeId="0">
      <text>
        <t>추정: 고객지수 4분기 이동합(t−0) 85524억 × 비례계수 0.0055 × 계절비중 Q1 0.204(계절비중 — 최근 3개 연도(2026, 2025, 2024) 분기/연간 비중 평균; 격자 lag0~4×창8/12/19×수준·YoY·4Q합 중 최대 r=0.98, n=12, 창 12)
[yoy]</t>
      </text>
    </comment>
    <comment ref="AL5" authorId="0" shapeId="0">
      <text>
        <t>추정: 고객지수 4분기 이동합(t−0) 84762억 × 비례계수 0.0055 × 계절비중 Q2 0.226(계절비중 — 최근 3개 연도(2026, 2025, 2024) 분기/연간 비중 평균; 격자 lag0~4×창8/12/19×수준·YoY·4Q합 중 최대 r=0.98, n=12, 창 12)
[yoy]</t>
      </text>
    </comment>
    <comment ref="AM5" authorId="0" shapeId="0">
      <text>
        <t>추정: 고객지수 4분기 이동합(t−0) 83550억 × 비례계수 0.0055 × 계절비중 Q3 0.246(계절비중 — 최근 3개 연도(2026, 2025, 2024) 분기/연간 비중 평균; 격자 lag0~4×창8/12/19×수준·YoY·4Q합 중 최대 r=0.98, n=12, 창 12)
[yoy]</t>
      </text>
    </comment>
    <comment ref="AN5" authorId="0" shapeId="0">
      <text>
        <t>추정: 고객지수 4분기 이동합(t−0) 81993억 × 비례계수 0.0055 × 계절비중 Q4 0.324(계절비중 — 최근 3개 연도(2026, 2025, 2024) 분기/연간 비중 평균; 격자 lag0~4×창8/12/19×수준·YoY·4Q합 중 최대 r=0.98, n=12, 창 12)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11.39%(최근 4분기 중위)
[ratio]</t>
      </text>
    </comment>
    <comment ref="AD8" authorId="0" shapeId="0">
      <text>
        <t>추정: 매출액 × 판관비율 11.39%(최근 4분기 중위)
[ratio]</t>
      </text>
    </comment>
    <comment ref="AF8" authorId="0" shapeId="0">
      <text>
        <t>추정: 매출액 × 판관비율 11.39%(최근 4분기 중위)
[ratio]</t>
      </text>
    </comment>
    <comment ref="AG8" authorId="0" shapeId="0">
      <text>
        <t>추정: 매출액 × 판관비율 11.39%(최근 4분기 중위)
[ratio]</t>
      </text>
    </comment>
    <comment ref="AH8" authorId="0" shapeId="0">
      <text>
        <t>추정: 매출액 × 판관비율 11.39%(최근 4분기 중위)
[ratio]</t>
      </text>
    </comment>
    <comment ref="AI8" authorId="0" shapeId="0">
      <text>
        <t>추정: 매출액 × 판관비율 11.39%(최근 4분기 중위)
[ratio]</t>
      </text>
    </comment>
    <comment ref="AK8" authorId="0" shapeId="0">
      <text>
        <t>추정: 매출액 × 판관비율 11.39%(최근 4분기 중위)
[ratio]</t>
      </text>
    </comment>
    <comment ref="AL8" authorId="0" shapeId="0">
      <text>
        <t>추정: 매출액 × 판관비율 11.39%(최근 4분기 중위)
[ratio]</t>
      </text>
    </comment>
    <comment ref="AM8" authorId="0" shapeId="0">
      <text>
        <t>추정: 매출액 × 판관비율 11.39%(최근 4분기 중위)
[ratio]</t>
      </text>
    </comment>
    <comment ref="AN8" authorId="0" shapeId="0">
      <text>
        <t>추정: 매출액 × 판관비율 11.39%(최근 4분기 중위)
[ratio]</t>
      </text>
    </comment>
    <comment ref="AC9" authorId="0" shapeId="0">
      <text>
        <t>추정: 매출액 × OPM(최근 8분기 OPM 중위 17.8% 유지)
[ratio]</t>
      </text>
    </comment>
    <comment ref="AD9" authorId="0" shapeId="0">
      <text>
        <t>추정: 매출액 × OPM(최근 8분기 OPM 중위 17.8% 유지)
[ratio]</t>
      </text>
    </comment>
    <comment ref="AF9" authorId="0" shapeId="0">
      <text>
        <t>추정: 매출액 × OPM(최근 8분기 OPM 중위 17.8% 유지)
[ratio]</t>
      </text>
    </comment>
    <comment ref="AG9" authorId="0" shapeId="0">
      <text>
        <t>추정: 매출액 × OPM(최근 8분기 OPM 중위 17.8% 유지)
[ratio]</t>
      </text>
    </comment>
    <comment ref="AH9" authorId="0" shapeId="0">
      <text>
        <t>추정: 매출액 × OPM(최근 8분기 OPM 중위 17.8% 유지)
[ratio]</t>
      </text>
    </comment>
    <comment ref="AI9" authorId="0" shapeId="0">
      <text>
        <t>추정: 매출액 × OPM(최근 8분기 OPM 중위 17.8% 유지)
[ratio]</t>
      </text>
    </comment>
    <comment ref="AK9" authorId="0" shapeId="0">
      <text>
        <t>추정: 매출액 × OPM(최근 8분기 OPM 중위 17.8% 유지)
[ratio]</t>
      </text>
    </comment>
    <comment ref="AL9" authorId="0" shapeId="0">
      <text>
        <t>추정: 매출액 × OPM(최근 8분기 OPM 중위 17.8% 유지)
[ratio]</t>
      </text>
    </comment>
    <comment ref="AM9" authorId="0" shapeId="0">
      <text>
        <t>추정: 매출액 × OPM(최근 8분기 OPM 중위 17.8% 유지)
[ratio]</t>
      </text>
    </comment>
    <comment ref="AN9" authorId="0" shapeId="0">
      <text>
        <t>추정: 매출액 × OPM(최근 8분기 OPM 중위 17.8% 유지)
[ratio]</t>
      </text>
    </comment>
    <comment ref="E10" authorId="0" shapeId="0">
      <text>
        <t>실측(계정 매핑 없음 — 모델값 직접) — 영업이익 ÷ 매출액(파생)</t>
      </text>
    </comment>
    <comment ref="G10" authorId="0" shapeId="0">
      <text>
        <t>실측(계정 매핑 없음 — 모델값 직접) — 영업이익 ÷ 매출액(파생)</t>
      </text>
    </comment>
    <comment ref="H10" authorId="0" shapeId="0">
      <text>
        <t>실측(계정 매핑 없음 — 모델값 직접) — 영업이익 ÷ 매출액(파생)</t>
      </text>
    </comment>
    <comment ref="I10" authorId="0" shapeId="0">
      <text>
        <t>실측(계정 매핑 없음 — 모델값 직접) — 영업이익 ÷ 매출액(파생)</t>
      </text>
    </comment>
    <comment ref="J10" authorId="0" shapeId="0">
      <text>
        <t>실측(계정 매핑 없음 — 모델값 직접) — 영업이익 ÷ 매출액(파생)</t>
      </text>
    </comment>
    <comment ref="L10" authorId="0" shapeId="0">
      <text>
        <t>실측(계정 매핑 없음 — 모델값 직접) — 영업이익 ÷ 매출액(파생)</t>
      </text>
    </comment>
    <comment ref="M10" authorId="0" shapeId="0">
      <text>
        <t>실측(계정 매핑 없음 — 모델값 직접) — 영업이익 ÷ 매출액(파생)</t>
      </text>
    </comment>
    <comment ref="N10" authorId="0" shapeId="0">
      <text>
        <t>실측(계정 매핑 없음 — 모델값 직접) — 영업이익 ÷ 매출액(파생)</t>
      </text>
    </comment>
    <comment ref="O10" authorId="0" shapeId="0">
      <text>
        <t>실측(계정 매핑 없음 — 모델값 직접) — 영업이익 ÷ 매출액(파생)</t>
      </text>
    </comment>
    <comment ref="Q10" authorId="0" shapeId="0">
      <text>
        <t>실측(계정 매핑 없음 — 모델값 직접) — 영업이익 ÷ 매출액(파생)</t>
      </text>
    </comment>
    <comment ref="R10" authorId="0" shapeId="0">
      <text>
        <t>실측(계정 매핑 없음 — 모델값 직접) — 영업이익 ÷ 매출액(파생)</t>
      </text>
    </comment>
    <comment ref="S10" authorId="0" shapeId="0">
      <text>
        <t>실측(계정 매핑 없음 — 모델값 직접) — 영업이익 ÷ 매출액(파생)</t>
      </text>
    </comment>
    <comment ref="T10" authorId="0" shapeId="0">
      <text>
        <t>실측(계정 매핑 없음 — 모델값 직접) — 영업이익 ÷ 매출액(파생)</t>
      </text>
    </comment>
    <comment ref="V10" authorId="0" shapeId="0">
      <text>
        <t>실측(계정 매핑 없음 — 모델값 직접) — 영업이익 ÷ 매출액(파생)</t>
      </text>
    </comment>
    <comment ref="W10" authorId="0" shapeId="0">
      <text>
        <t>실측(계정 매핑 없음 — 모델값 직접) — 영업이익 ÷ 매출액(파생)</t>
      </text>
    </comment>
    <comment ref="X10" authorId="0" shapeId="0">
      <text>
        <t>실측(계정 매핑 없음 — 모델값 직접) — 영업이익 ÷ 매출액(파생)</t>
      </text>
    </comment>
    <comment ref="Y10" authorId="0" shapeId="0">
      <text>
        <t>실측(계정 매핑 없음 — 모델값 직접) — 영업이익 ÷ 매출액(파생)</t>
      </text>
    </comment>
    <comment ref="AA10" authorId="0" shapeId="0">
      <text>
        <t>실측(계정 매핑 없음 — 모델값 직접) — 영업이익 ÷ 매출액(파생)</t>
      </text>
    </comment>
    <comment ref="AB10" authorId="0" shapeId="0">
      <text>
        <t>실측(계정 매핑 없음 — 모델값 직접) — 영업이익 ÷ 매출액(파생)</t>
      </text>
    </comment>
    <comment ref="AC10" authorId="0" shapeId="0">
      <text>
        <t>추정: 최근 8분기 OPM 중위 17.8% 유지
[yoy]</t>
      </text>
    </comment>
    <comment ref="AD10" authorId="0" shapeId="0">
      <text>
        <t>추정: 최근 8분기 OPM 중위 17.8% 유지
[yoy]</t>
      </text>
    </comment>
    <comment ref="AF10" authorId="0" shapeId="0">
      <text>
        <t>추정: 최근 8분기 OPM 중위 17.8% 유지
[yoy]</t>
      </text>
    </comment>
    <comment ref="AG10" authorId="0" shapeId="0">
      <text>
        <t>추정: 최근 8분기 OPM 중위 17.8% 유지
[yoy]</t>
      </text>
    </comment>
    <comment ref="AH10" authorId="0" shapeId="0">
      <text>
        <t>추정: 최근 8분기 OPM 중위 17.8% 유지
[yoy]</t>
      </text>
    </comment>
    <comment ref="AI10" authorId="0" shapeId="0">
      <text>
        <t>추정: 최근 8분기 OPM 중위 17.8% 유지
[yoy]</t>
      </text>
    </comment>
    <comment ref="AK10" authorId="0" shapeId="0">
      <text>
        <t>추정: 최근 8분기 OPM 중위 17.8% 유지
[yoy]</t>
      </text>
    </comment>
    <comment ref="AL10" authorId="0" shapeId="0">
      <text>
        <t>추정: 최근 8분기 OPM 중위 17.8% 유지
[yoy]</t>
      </text>
    </comment>
    <comment ref="AM10" authorId="0" shapeId="0">
      <text>
        <t>추정: 최근 8분기 OPM 중위 17.8% 유지
[yoy]</t>
      </text>
    </comment>
    <comment ref="AN10" authorId="0" shapeId="0">
      <text>
        <t>추정: 최근 8분기 OPM 중위 17.8% 유지
[yoy]</t>
      </text>
    </comment>
    <comment ref="AC11" authorId="0" shapeId="0">
      <text>
        <t>추정: 이자손익 = 이자발생자산 182억 × 1.09% − 총차입금 113억 × 0.00% (연율, CF 실측) ÷ 4; 환·평가손익 0 가정
[abs]</t>
      </text>
    </comment>
    <comment ref="AD11" authorId="0" shapeId="0">
      <text>
        <t>추정: 이자손익 = 이자발생자산 201억 × 1.09% − 총차입금 113억 × 0.00% (연율, CF 실측) ÷ 4; 환·평가손익 0 가정
[abs]</t>
      </text>
    </comment>
    <comment ref="AF11" authorId="0" shapeId="0">
      <text>
        <t>추정: 이자손익 = 이자발생자산 227억 × 1.09% − 총차입금 113억 × 0.00% (연율, CF 실측) ÷ 4; 환·평가손익 0 가정
[abs]</t>
      </text>
    </comment>
    <comment ref="AG11" authorId="0" shapeId="0">
      <text>
        <t>추정: 이자손익 = 이자발생자산 244억 × 1.09% − 총차입금 113억 × 0.00% (연율, CF 실측) ÷ 4; 환·평가손익 0 가정
[abs]</t>
      </text>
    </comment>
    <comment ref="AH11" authorId="0" shapeId="0">
      <text>
        <t>추정: 이자손익 = 이자발생자산 263억 × 1.09% − 총차입금 113억 × 0.00% (연율, CF 실측) ÷ 4; 환·평가손익 0 가정
[abs]</t>
      </text>
    </comment>
    <comment ref="AI11" authorId="0" shapeId="0">
      <text>
        <t>추정: 이자손익 = 이자발생자산 284억 × 1.09% − 총차입금 113억 × 0.00% (연율, CF 실측) ÷ 4; 환·평가손익 0 가정
[abs]</t>
      </text>
    </comment>
    <comment ref="AK11" authorId="0" shapeId="0">
      <text>
        <t>추정: 이자손익 = 이자발생자산 310억 × 1.09% − 총차입금 113억 × 0.00% (연율, CF 실측) ÷ 4; 환·평가손익 0 가정
[abs]</t>
      </text>
    </comment>
    <comment ref="AL11" authorId="0" shapeId="0">
      <text>
        <t>추정: 이자손익 = 이자발생자산 328억 × 1.09% − 총차입금 113억 × 0.00% (연율, CF 실측) ÷ 4; 환·평가손익 0 가정
[abs]</t>
      </text>
    </comment>
    <comment ref="AM11" authorId="0" shapeId="0">
      <text>
        <t>추정: 이자손익 = 이자발생자산 346억 × 1.09% − 총차입금 113억 × 0.00% (연율, CF 실측) ÷ 4; 환·평가손익 0 가정
[abs]</t>
      </text>
    </comment>
    <comment ref="AN11" authorId="0" shapeId="0">
      <text>
        <t>추정: 이자손익 = 이자발생자산 366억 × 1.09% − 총차입금 113억 × 0.00% (연율, CF 실측) ÷ 4; 환·평가손익 0 가정
[abs]</t>
      </text>
    </comment>
    <comment ref="AC12" authorId="0" shapeId="0">
      <text>
        <t>추정: 일회성 미가정 → 0
[abs]</t>
      </text>
    </comment>
    <comment ref="AD12" authorId="0" shapeId="0">
      <text>
        <t>추정: 일회성 미가정 → 0
[abs]</t>
      </text>
    </comment>
    <comment ref="AF12" authorId="0" shapeId="0">
      <text>
        <t>추정: 일회성 미가정 → 0
[abs]</t>
      </text>
    </comment>
    <comment ref="AG12" authorId="0" shapeId="0">
      <text>
        <t>추정: 일회성 미가정 → 0
[abs]</t>
      </text>
    </comment>
    <comment ref="AH12" authorId="0" shapeId="0">
      <text>
        <t>추정: 일회성 미가정 → 0
[abs]</t>
      </text>
    </comment>
    <comment ref="AI12" authorId="0" shapeId="0">
      <text>
        <t>추정: 일회성 미가정 → 0
[abs]</t>
      </text>
    </comment>
    <comment ref="AK12" authorId="0" shapeId="0">
      <text>
        <t>추정: 일회성 미가정 → 0
[abs]</t>
      </text>
    </comment>
    <comment ref="AL12" authorId="0" shapeId="0">
      <text>
        <t>추정: 일회성 미가정 → 0
[abs]</t>
      </text>
    </comment>
    <comment ref="AM12" authorId="0" shapeId="0">
      <text>
        <t>추정: 일회성 미가정 → 0
[abs]</t>
      </text>
    </comment>
    <comment ref="AN12" authorId="0" shapeId="0">
      <text>
        <t>추정: 일회성 미가정 → 0
[abs]</t>
      </text>
    </comment>
    <comment ref="AC13" authorId="0" shapeId="0">
      <text>
        <t>추정: 영업이익 + 금융손익 + 기타영업외 + 지분법 + 환관련(항등식)
[identity]</t>
      </text>
    </comment>
    <comment ref="AD13" authorId="0" shapeId="0">
      <text>
        <t>추정: 영업이익 + 금융손익 + 기타영업외 + 지분법 + 환관련(항등식)
[identity]</t>
      </text>
    </comment>
    <comment ref="AF13" authorId="0" shapeId="0">
      <text>
        <t>추정: 영업이익 + 금융손익 + 기타영업외 + 지분법 + 환관련(항등식)
[identity]</t>
      </text>
    </comment>
    <comment ref="AG13" authorId="0" shapeId="0">
      <text>
        <t>추정: 영업이익 + 금융손익 + 기타영업외 + 지분법 + 환관련(항등식)
[identity]</t>
      </text>
    </comment>
    <comment ref="AH13" authorId="0" shapeId="0">
      <text>
        <t>추정: 영업이익 + 금융손익 + 기타영업외 + 지분법 + 환관련(항등식)
[identity]</t>
      </text>
    </comment>
    <comment ref="AI13" authorId="0" shapeId="0">
      <text>
        <t>추정: 영업이익 + 금융손익 + 기타영업외 + 지분법 + 환관련(항등식)
[identity]</t>
      </text>
    </comment>
    <comment ref="AK13" authorId="0" shapeId="0">
      <text>
        <t>추정: 영업이익 + 금융손익 + 기타영업외 + 지분법 + 환관련(항등식)
[identity]</t>
      </text>
    </comment>
    <comment ref="AL13" authorId="0" shapeId="0">
      <text>
        <t>추정: 영업이익 + 금융손익 + 기타영업외 + 지분법 + 환관련(항등식)
[identity]</t>
      </text>
    </comment>
    <comment ref="AM13" authorId="0" shapeId="0">
      <text>
        <t>추정: 영업이익 + 금융손익 + 기타영업외 + 지분법 + 환관련(항등식)
[identity]</t>
      </text>
    </comment>
    <comment ref="AN13" authorId="0" shapeId="0">
      <text>
        <t>추정: 영업이익 + 금융손익 + 기타영업외 + 지분법 + 환관련(항등식)
[identity]</t>
      </text>
    </comment>
    <comment ref="AC14" authorId="0" shapeId="0">
      <text>
        <t>추정: max(세전, 0) × 세율 5.0%(최근 12분기 유효세율 -6.3% → 5~27% 클립)
[ratio]</t>
      </text>
    </comment>
    <comment ref="AD14" authorId="0" shapeId="0">
      <text>
        <t>추정: max(세전, 0) × 세율 5.0%(최근 12분기 유효세율 -6.3% → 5~27% 클립)
[ratio]</t>
      </text>
    </comment>
    <comment ref="AF14" authorId="0" shapeId="0">
      <text>
        <t>추정: max(세전, 0) × 세율 5.0%(최근 12분기 유효세율 -6.3% → 5~27% 클립)
[ratio]</t>
      </text>
    </comment>
    <comment ref="AG14" authorId="0" shapeId="0">
      <text>
        <t>추정: max(세전, 0) × 세율 5.0%(최근 12분기 유효세율 -6.3% → 5~27% 클립)
[ratio]</t>
      </text>
    </comment>
    <comment ref="AH14" authorId="0" shapeId="0">
      <text>
        <t>추정: max(세전, 0) × 세율 5.0%(최근 12분기 유효세율 -6.3% → 5~27% 클립)
[ratio]</t>
      </text>
    </comment>
    <comment ref="AI14" authorId="0" shapeId="0">
      <text>
        <t>추정: max(세전, 0) × 세율 5.0%(최근 12분기 유효세율 -6.3% → 5~27% 클립)
[ratio]</t>
      </text>
    </comment>
    <comment ref="AK14" authorId="0" shapeId="0">
      <text>
        <t>추정: max(세전, 0) × 세율 5.0%(최근 12분기 유효세율 -6.3% → 5~27% 클립)
[ratio]</t>
      </text>
    </comment>
    <comment ref="AL14" authorId="0" shapeId="0">
      <text>
        <t>추정: max(세전, 0) × 세율 5.0%(최근 12분기 유효세율 -6.3% → 5~27% 클립)
[ratio]</t>
      </text>
    </comment>
    <comment ref="AM14" authorId="0" shapeId="0">
      <text>
        <t>추정: max(세전, 0) × 세율 5.0%(최근 12분기 유효세율 -6.3% → 5~27% 클립)
[ratio]</t>
      </text>
    </comment>
    <comment ref="AN14" authorId="0" shapeId="0">
      <text>
        <t>추정: max(세전, 0) × 세율 5.0%(최근 12분기 유효세율 -6.3% → 5~27% 클립)
[ratio]</t>
      </text>
    </comment>
    <comment ref="AC15" authorId="0" shapeId="0">
      <text>
        <t>추정: 세전이익 − 법인세비용(항등식)
[identity]</t>
      </text>
    </comment>
    <comment ref="AD15" authorId="0" shapeId="0">
      <text>
        <t>추정: 세전이익 − 법인세비용(항등식)
[identity]</t>
      </text>
    </comment>
    <comment ref="AF15" authorId="0" shapeId="0">
      <text>
        <t>추정: 세전이익 − 법인세비용(항등식)
[identity]</t>
      </text>
    </comment>
    <comment ref="AG15" authorId="0" shapeId="0">
      <text>
        <t>추정: 세전이익 − 법인세비용(항등식)
[identity]</t>
      </text>
    </comment>
    <comment ref="AH15" authorId="0" shapeId="0">
      <text>
        <t>추정: 세전이익 − 법인세비용(항등식)
[identity]</t>
      </text>
    </comment>
    <comment ref="AI15" authorId="0" shapeId="0">
      <text>
        <t>추정: 세전이익 − 법인세비용(항등식)
[identity]</t>
      </text>
    </comment>
    <comment ref="AK15" authorId="0" shapeId="0">
      <text>
        <t>추정: 세전이익 − 법인세비용(항등식)
[identity]</t>
      </text>
    </comment>
    <comment ref="AL15" authorId="0" shapeId="0">
      <text>
        <t>추정: 세전이익 − 법인세비용(항등식)
[identity]</t>
      </text>
    </comment>
    <comment ref="AM15" authorId="0" shapeId="0">
      <text>
        <t>추정: 세전이익 − 법인세비용(항등식)
[identity]</t>
      </text>
    </comment>
    <comment ref="AN15" authorId="0" shapeId="0">
      <text>
        <t>추정: 세전이익 − 법인세비용(항등식)
[identity]</t>
      </text>
    </comment>
    <comment ref="AC16" authorId="0" shapeId="0">
      <text>
        <t>추정: 당기순이익 × (1 − 비지배 비중 0.0%, 최근 8분기 실측)
[ratio]</t>
      </text>
    </comment>
    <comment ref="AD16" authorId="0" shapeId="0">
      <text>
        <t>추정: 당기순이익 × (1 − 비지배 비중 0.0%, 최근 8분기 실측)
[ratio]</t>
      </text>
    </comment>
    <comment ref="AF16" authorId="0" shapeId="0">
      <text>
        <t>추정: 당기순이익 × (1 − 비지배 비중 0.0%, 최근 8분기 실측)
[ratio]</t>
      </text>
    </comment>
    <comment ref="AG16" authorId="0" shapeId="0">
      <text>
        <t>추정: 당기순이익 × (1 − 비지배 비중 0.0%, 최근 8분기 실측)
[ratio]</t>
      </text>
    </comment>
    <comment ref="AH16" authorId="0" shapeId="0">
      <text>
        <t>추정: 당기순이익 × (1 − 비지배 비중 0.0%, 최근 8분기 실측)
[ratio]</t>
      </text>
    </comment>
    <comment ref="AI16" authorId="0" shapeId="0">
      <text>
        <t>추정: 당기순이익 × (1 − 비지배 비중 0.0%, 최근 8분기 실측)
[ratio]</t>
      </text>
    </comment>
    <comment ref="AK16" authorId="0" shapeId="0">
      <text>
        <t>추정: 당기순이익 × (1 − 비지배 비중 0.0%, 최근 8분기 실측)
[ratio]</t>
      </text>
    </comment>
    <comment ref="AL16" authorId="0" shapeId="0">
      <text>
        <t>추정: 당기순이익 × (1 − 비지배 비중 0.0%, 최근 8분기 실측)
[ratio]</t>
      </text>
    </comment>
    <comment ref="AM16" authorId="0" shapeId="0">
      <text>
        <t>추정: 당기순이익 × (1 − 비지배 비중 0.0%, 최근 8분기 실측)
[ratio]</t>
      </text>
    </comment>
    <comment ref="AN16" authorId="0" shapeId="0">
      <text>
        <t>추정: 당기순이익 × (1 − 비지배 비중 0.0%, 최근 8분기 실측)
[ratio]</t>
      </text>
    </comment>
    <comment ref="AC17" authorId="0" shapeId="0">
      <text>
        <t>추정: 최근 4분기 감가상각비 중위 유지
[yoy]</t>
      </text>
    </comment>
    <comment ref="AD17" authorId="0" shapeId="0">
      <text>
        <t>추정: 최근 4분기 감가상각비 중위 유지
[yoy]</t>
      </text>
    </comment>
    <comment ref="AF17" authorId="0" shapeId="0">
      <text>
        <t>추정: 최근 4분기 감가상각비 중위 유지
[yoy]</t>
      </text>
    </comment>
    <comment ref="AG17" authorId="0" shapeId="0">
      <text>
        <t>추정: 최근 4분기 감가상각비 중위 유지
[yoy]</t>
      </text>
    </comment>
    <comment ref="AH17" authorId="0" shapeId="0">
      <text>
        <t>추정: 최근 4분기 감가상각비 중위 유지
[yoy]</t>
      </text>
    </comment>
    <comment ref="AI17" authorId="0" shapeId="0">
      <text>
        <t>추정: 최근 4분기 감가상각비 중위 유지
[yoy]</t>
      </text>
    </comment>
    <comment ref="AK17" authorId="0" shapeId="0">
      <text>
        <t>추정: 최근 4분기 감가상각비 중위 유지
[yoy]</t>
      </text>
    </comment>
    <comment ref="AL17" authorId="0" shapeId="0">
      <text>
        <t>추정: 최근 4분기 감가상각비 중위 유지
[yoy]</t>
      </text>
    </comment>
    <comment ref="AM17" authorId="0" shapeId="0">
      <text>
        <t>추정: 최근 4분기 감가상각비 중위 유지
[yoy]</t>
      </text>
    </comment>
    <comment ref="AN17" authorId="0" shapeId="0">
      <text>
        <t>추정: 최근 4분기 감가상각비 중위 유지
[yoy]</t>
      </text>
    </comment>
    <comment ref="E18" authorId="0" shapeId="0">
      <text>
        <t>실측(계정 매핑 없음 — 모델값 직접) — 영업이익 + 감가상각비(CF)</t>
      </text>
    </comment>
    <comment ref="G18" authorId="0" shapeId="0">
      <text>
        <t>실측(계정 매핑 없음 — 모델값 직접) — 영업이익 + 감가상각비(CF)</t>
      </text>
    </comment>
    <comment ref="H18" authorId="0" shapeId="0">
      <text>
        <t>실측(계정 매핑 없음 — 모델값 직접) — 영업이익 + 감가상각비(CF)</t>
      </text>
    </comment>
    <comment ref="I18" authorId="0" shapeId="0">
      <text>
        <t>실측(계정 매핑 없음 — 모델값 직접) — 영업이익 + 감가상각비(CF)</t>
      </text>
    </comment>
    <comment ref="J18" authorId="0" shapeId="0">
      <text>
        <t>실측(계정 매핑 없음 — 모델값 직접) — 영업이익 + 감가상각비(CF)</t>
      </text>
    </comment>
    <comment ref="L18" authorId="0" shapeId="0">
      <text>
        <t>실측(계정 매핑 없음 — 모델값 직접) — 영업이익 + 감가상각비(CF)</t>
      </text>
    </comment>
    <comment ref="M18" authorId="0" shapeId="0">
      <text>
        <t>실측(계정 매핑 없음 — 모델값 직접) — 영업이익 + 감가상각비(CF)</t>
      </text>
    </comment>
    <comment ref="N18" authorId="0" shapeId="0">
      <text>
        <t>실측(계정 매핑 없음 — 모델값 직접) — 영업이익 + 감가상각비(CF)</t>
      </text>
    </comment>
    <comment ref="O18" authorId="0" shapeId="0">
      <text>
        <t>실측(계정 매핑 없음 — 모델값 직접) — 영업이익 + 감가상각비(CF)</t>
      </text>
    </comment>
    <comment ref="V18" authorId="0" shapeId="0">
      <text>
        <t>실측(계정 매핑 없음 — 모델값 직접) — 영업이익 + 감가상각비(CF)</t>
      </text>
    </comment>
    <comment ref="W18" authorId="0" shapeId="0">
      <text>
        <t>실측(계정 매핑 없음 — 모델값 직접) — 영업이익 + 감가상각비(CF)</t>
      </text>
    </comment>
    <comment ref="X18" authorId="0" shapeId="0">
      <text>
        <t>실측(계정 매핑 없음 — 모델값 직접) — 영업이익 + 감가상각비(CF)</t>
      </text>
    </comment>
    <comment ref="Y18" authorId="0" shapeId="0">
      <text>
        <t>실측(계정 매핑 없음 — 모델값 직접) — 영업이익 + 감가상각비(CF)</t>
      </text>
    </comment>
    <comment ref="AA18" authorId="0" shapeId="0">
      <text>
        <t>실측(계정 매핑 없음 — 모델값 직접) — 영업이익 + 감가상각비(CF)</t>
      </text>
    </comment>
    <comment ref="AB18" authorId="0" shapeId="0">
      <text>
        <t>실측(계정 매핑 없음 — 모델값 직접) — 영업이익 + 감가상각비(CF)</t>
      </text>
    </comment>
    <comment ref="AC18" authorId="0" shapeId="0">
      <text>
        <t>추정: 영업이익 + 감가상각비
[yoy]</t>
      </text>
    </comment>
    <comment ref="AD18" authorId="0" shapeId="0">
      <text>
        <t>추정: 영업이익 + 감가상각비
[yoy]</t>
      </text>
    </comment>
    <comment ref="AF18" authorId="0" shapeId="0">
      <text>
        <t>추정: 영업이익 + 감가상각비
[yoy]</t>
      </text>
    </comment>
    <comment ref="AG18" authorId="0" shapeId="0">
      <text>
        <t>추정: 영업이익 + 감가상각비
[yoy]</t>
      </text>
    </comment>
    <comment ref="AH18" authorId="0" shapeId="0">
      <text>
        <t>추정: 영업이익 + 감가상각비
[yoy]</t>
      </text>
    </comment>
    <comment ref="AI18" authorId="0" shapeId="0">
      <text>
        <t>추정: 영업이익 + 감가상각비
[yoy]</t>
      </text>
    </comment>
    <comment ref="AK18" authorId="0" shapeId="0">
      <text>
        <t>추정: 영업이익 + 감가상각비
[yoy]</t>
      </text>
    </comment>
    <comment ref="AL18" authorId="0" shapeId="0">
      <text>
        <t>추정: 영업이익 + 감가상각비
[yoy]</t>
      </text>
    </comment>
    <comment ref="AM18" authorId="0" shapeId="0">
      <text>
        <t>추정: 영업이익 + 감가상각비
[yoy]</t>
      </text>
    </comment>
    <comment ref="AN18" authorId="0" shapeId="0">
      <text>
        <t>추정: 영업이익 + 감가상각비
[yoy]</t>
      </text>
    </comment>
    <comment ref="F19" authorId="0" shapeId="0">
      <text>
        <t>연간 실측(BS 시트에 2021.12A 없음 — 모델 a 값 직접)</t>
      </text>
    </comment>
    <comment ref="AC19" authorId="0" shapeId="0">
      <text>
        <t>추정: 부채총계 + 자본총계(항등식)
[identity]</t>
      </text>
    </comment>
    <comment ref="AD19" authorId="0" shapeId="0">
      <text>
        <t>추정: 부채총계 + 자본총계(항등식)
[identity]</t>
      </text>
    </comment>
    <comment ref="AF19" authorId="0" shapeId="0">
      <text>
        <t>추정: 부채총계 + 자본총계(항등식)
[identity]</t>
      </text>
    </comment>
    <comment ref="AG19" authorId="0" shapeId="0">
      <text>
        <t>추정: 부채총계 + 자본총계(항등식)
[identity]</t>
      </text>
    </comment>
    <comment ref="AH19" authorId="0" shapeId="0">
      <text>
        <t>추정: 부채총계 + 자본총계(항등식)
[identity]</t>
      </text>
    </comment>
    <comment ref="AI19" authorId="0" shapeId="0">
      <text>
        <t>추정: 부채총계 + 자본총계(항등식)
[identity]</t>
      </text>
    </comment>
    <comment ref="AK19" authorId="0" shapeId="0">
      <text>
        <t>추정: 부채총계 + 자본총계(항등식)
[identity]</t>
      </text>
    </comment>
    <comment ref="AL19" authorId="0" shapeId="0">
      <text>
        <t>추정: 부채총계 + 자본총계(항등식)
[identity]</t>
      </text>
    </comment>
    <comment ref="AM19" authorId="0" shapeId="0">
      <text>
        <t>추정: 부채총계 + 자본총계(항등식)
[identity]</t>
      </text>
    </comment>
    <comment ref="AN19" authorId="0" shapeId="0">
      <text>
        <t>추정: 부채총계 + 자본총계(항등식)
[identity]</t>
      </text>
    </comment>
    <comment ref="F20" authorId="0" shapeId="0">
      <text>
        <t>연간 실측(BS 시트에 2021.12A 없음 — 모델 a 값 직접)</t>
      </text>
    </comment>
    <comment ref="AC20" authorId="0" shapeId="0">
      <text>
        <t>추정: 마지막 실적 유지(가정)
[qoq]</t>
      </text>
    </comment>
    <comment ref="AD20" authorId="0" shapeId="0">
      <text>
        <t>추정: 마지막 실적 유지(가정)
[qoq]</t>
      </text>
    </comment>
    <comment ref="AF20" authorId="0" shapeId="0">
      <text>
        <t>추정: 마지막 실적 유지(가정)
[qoq]</t>
      </text>
    </comment>
    <comment ref="AG20" authorId="0" shapeId="0">
      <text>
        <t>추정: 마지막 실적 유지(가정)
[qoq]</t>
      </text>
    </comment>
    <comment ref="AH20" authorId="0" shapeId="0">
      <text>
        <t>추정: 마지막 실적 유지(가정)
[qoq]</t>
      </text>
    </comment>
    <comment ref="AI20" authorId="0" shapeId="0">
      <text>
        <t>추정: 마지막 실적 유지(가정)
[qoq]</t>
      </text>
    </comment>
    <comment ref="AK20" authorId="0" shapeId="0">
      <text>
        <t>추정: 마지막 실적 유지(가정)
[qoq]</t>
      </text>
    </comment>
    <comment ref="AL20" authorId="0" shapeId="0">
      <text>
        <t>추정: 마지막 실적 유지(가정)
[qoq]</t>
      </text>
    </comment>
    <comment ref="AM20" authorId="0" shapeId="0">
      <text>
        <t>추정: 마지막 실적 유지(가정)
[qoq]</t>
      </text>
    </comment>
    <comment ref="AN20" authorId="0" shapeId="0">
      <text>
        <t>추정: 마지막 실적 유지(가정)
[qoq]</t>
      </text>
    </comment>
    <comment ref="F21" authorId="0" shapeId="0">
      <text>
        <t>연간 실측(BS 시트에 2021.12A 없음 — 모델 a 값 직접)</t>
      </text>
    </comment>
    <comment ref="AC21" authorId="0" shapeId="0">
      <text>
        <t>추정: 전분기 + 당기순이익 − 배당(Q2 지급 가정)
[roll]</t>
      </text>
    </comment>
    <comment ref="AD21" authorId="0" shapeId="0">
      <text>
        <t>추정: 전분기 + 당기순이익 − 배당(Q2 지급 가정)
[roll]</t>
      </text>
    </comment>
    <comment ref="AF21" authorId="0" shapeId="0">
      <text>
        <t>추정: 전분기 + 당기순이익 − 배당(Q2 지급 가정)
[roll]</t>
      </text>
    </comment>
    <comment ref="AG21" authorId="0" shapeId="0">
      <text>
        <t>추정: 전분기 + 당기순이익 − 배당(Q2 지급 가정)
[roll]</t>
      </text>
    </comment>
    <comment ref="AH21" authorId="0" shapeId="0">
      <text>
        <t>추정: 전분기 + 당기순이익 − 배당(Q2 지급 가정)
[roll]</t>
      </text>
    </comment>
    <comment ref="AI21" authorId="0" shapeId="0">
      <text>
        <t>추정: 전분기 + 당기순이익 − 배당(Q2 지급 가정)
[roll]</t>
      </text>
    </comment>
    <comment ref="AK21" authorId="0" shapeId="0">
      <text>
        <t>추정: 전분기 + 당기순이익 − 배당(Q2 지급 가정)
[roll]</t>
      </text>
    </comment>
    <comment ref="AL21" authorId="0" shapeId="0">
      <text>
        <t>추정: 전분기 + 당기순이익 − 배당(Q2 지급 가정)
[roll]</t>
      </text>
    </comment>
    <comment ref="AM21" authorId="0" shapeId="0">
      <text>
        <t>추정: 전분기 + 당기순이익 − 배당(Q2 지급 가정)
[roll]</t>
      </text>
    </comment>
    <comment ref="AN21" authorId="0" shapeId="0">
      <text>
        <t>추정: 전분기 + 당기순이익 − 배당(Q2 지급 가정)
[roll]</t>
      </text>
    </comment>
    <comment ref="F22" authorId="0" shapeId="0">
      <text>
        <t>연간 실측(BS 시트에 2021.12A 없음 — 모델 a 값 직접)</t>
      </text>
    </comment>
    <comment ref="AC22" authorId="0" shapeId="0">
      <text>
        <t>추정: 전분기 + 지배주주순이익 − 배당
[roll]</t>
      </text>
    </comment>
    <comment ref="AD22" authorId="0" shapeId="0">
      <text>
        <t>추정: 전분기 + 지배주주순이익 − 배당
[roll]</t>
      </text>
    </comment>
    <comment ref="AF22" authorId="0" shapeId="0">
      <text>
        <t>추정: 전분기 + 지배주주순이익 − 배당
[roll]</t>
      </text>
    </comment>
    <comment ref="AG22" authorId="0" shapeId="0">
      <text>
        <t>추정: 전분기 + 지배주주순이익 − 배당
[roll]</t>
      </text>
    </comment>
    <comment ref="AH22" authorId="0" shapeId="0">
      <text>
        <t>추정: 전분기 + 지배주주순이익 − 배당
[roll]</t>
      </text>
    </comment>
    <comment ref="AI22" authorId="0" shapeId="0">
      <text>
        <t>추정: 전분기 + 지배주주순이익 − 배당
[roll]</t>
      </text>
    </comment>
    <comment ref="AK22" authorId="0" shapeId="0">
      <text>
        <t>추정: 전분기 + 지배주주순이익 − 배당
[roll]</t>
      </text>
    </comment>
    <comment ref="AL22" authorId="0" shapeId="0">
      <text>
        <t>추정: 전분기 + 지배주주순이익 − 배당
[roll]</t>
      </text>
    </comment>
    <comment ref="AM22" authorId="0" shapeId="0">
      <text>
        <t>추정: 전분기 + 지배주주순이익 − 배당
[roll]</t>
      </text>
    </comment>
    <comment ref="AN22" authorId="0" shapeId="0">
      <text>
        <t>추정: 전분기 + 지배주주순이익 − 배당
[roll]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AC24" authorId="0" shapeId="0">
      <text>
        <t>추정: 전분기 − (순이익 − 배당): 순이익 = 순현금 증가 가정(CAPEX≈감가, 운전자본 불변)
[qoq]</t>
      </text>
    </comment>
    <comment ref="AD24" authorId="0" shapeId="0">
      <text>
        <t>추정: 전분기 − (순이익 − 배당): 순이익 = 순현금 증가 가정(CAPEX≈감가, 운전자본 불변)
[qoq]</t>
      </text>
    </comment>
    <comment ref="AF24" authorId="0" shapeId="0">
      <text>
        <t>추정: 전분기 − (순이익 − 배당): 순이익 = 순현금 증가 가정(CAPEX≈감가, 운전자본 불변)
[qoq]</t>
      </text>
    </comment>
    <comment ref="AG24" authorId="0" shapeId="0">
      <text>
        <t>추정: 전분기 − (순이익 − 배당): 순이익 = 순현금 증가 가정(CAPEX≈감가, 운전자본 불변)
[qoq]</t>
      </text>
    </comment>
    <comment ref="AH24" authorId="0" shapeId="0">
      <text>
        <t>추정: 전분기 − (순이익 − 배당): 순이익 = 순현금 증가 가정(CAPEX≈감가, 운전자본 불변)
[qoq]</t>
      </text>
    </comment>
    <comment ref="AI24" authorId="0" shapeId="0">
      <text>
        <t>추정: 전분기 − (순이익 − 배당): 순이익 = 순현금 증가 가정(CAPEX≈감가, 운전자본 불변)
[qoq]</t>
      </text>
    </comment>
    <comment ref="AK24" authorId="0" shapeId="0">
      <text>
        <t>추정: 전분기 − (순이익 − 배당): 순이익 = 순현금 증가 가정(CAPEX≈감가, 운전자본 불변)
[qoq]</t>
      </text>
    </comment>
    <comment ref="AL24" authorId="0" shapeId="0">
      <text>
        <t>추정: 전분기 − (순이익 − 배당): 순이익 = 순현금 증가 가정(CAPEX≈감가, 운전자본 불변)
[qoq]</t>
      </text>
    </comment>
    <comment ref="AM24" authorId="0" shapeId="0">
      <text>
        <t>추정: 전분기 − (순이익 − 배당): 순이익 = 순현금 증가 가정(CAPEX≈감가, 운전자본 불변)
[qoq]</t>
      </text>
    </comment>
    <comment ref="AN24" authorId="0" shapeId="0">
      <text>
        <t>추정: 전분기 − (순이익 − 배당): 순이익 = 순현금 증가 가정(CAPEX≈감가, 운전자본 불변)
[qoq]</t>
      </text>
    </comment>
    <comment ref="F25" authorId="0" shapeId="0">
      <text>
        <t>연간 실측(BS 시트에 2021.12A 없음 — 모델 a 값 직접)</t>
      </text>
    </comment>
    <comment ref="AC25" authorId="0" shapeId="0">
      <text>
        <t>추정: 전분기 + (순이익 − 배당) — 순차입금 롤과 같은 가정
[qoq]</t>
      </text>
    </comment>
    <comment ref="AD25" authorId="0" shapeId="0">
      <text>
        <t>추정: 전분기 + (순이익 − 배당) — 순차입금 롤과 같은 가정
[qoq]</t>
      </text>
    </comment>
    <comment ref="AF25" authorId="0" shapeId="0">
      <text>
        <t>추정: 전분기 + (순이익 − 배당) — 순차입금 롤과 같은 가정
[qoq]</t>
      </text>
    </comment>
    <comment ref="AG25" authorId="0" shapeId="0">
      <text>
        <t>추정: 전분기 + (순이익 − 배당) — 순차입금 롤과 같은 가정
[qoq]</t>
      </text>
    </comment>
    <comment ref="AH25" authorId="0" shapeId="0">
      <text>
        <t>추정: 전분기 + (순이익 − 배당) — 순차입금 롤과 같은 가정
[qoq]</t>
      </text>
    </comment>
    <comment ref="AI25" authorId="0" shapeId="0">
      <text>
        <t>추정: 전분기 + (순이익 − 배당) — 순차입금 롤과 같은 가정
[qoq]</t>
      </text>
    </comment>
    <comment ref="AK25" authorId="0" shapeId="0">
      <text>
        <t>추정: 전분기 + (순이익 − 배당) — 순차입금 롤과 같은 가정
[qoq]</t>
      </text>
    </comment>
    <comment ref="AL25" authorId="0" shapeId="0">
      <text>
        <t>추정: 전분기 + (순이익 − 배당) — 순차입금 롤과 같은 가정
[qoq]</t>
      </text>
    </comment>
    <comment ref="AM25" authorId="0" shapeId="0">
      <text>
        <t>추정: 전분기 + (순이익 − 배당) — 순차입금 롤과 같은 가정
[qoq]</t>
      </text>
    </comment>
    <comment ref="AN25" authorId="0" shapeId="0">
      <text>
        <t>추정: 전분기 + (순이익 − 배당) — 순차입금 롤과 같은 가정
[qoq]</t>
      </text>
    </comment>
    <comment ref="F26" authorId="0" shapeId="0">
      <text>
        <t>연간 실측(BS 시트에 2021.12A 없음 — 모델 a 값 직접)</t>
      </text>
    </comment>
    <comment ref="E28" authorId="0" shapeId="0">
      <text>
        <t>실측(계정 매핑 없음 — 모델값 직접) — fin.sep.cf.영업활동으로인한현금흐름</t>
      </text>
    </comment>
    <comment ref="G28" authorId="0" shapeId="0">
      <text>
        <t>실측(계정 매핑 없음 — 모델값 직접) — fin.sep.cf.영업활동으로인한현금흐름</t>
      </text>
    </comment>
    <comment ref="H28" authorId="0" shapeId="0">
      <text>
        <t>실측(계정 매핑 없음 — 모델값 직접) — fin.sep.cf.영업활동으로인한현금흐름</t>
      </text>
    </comment>
    <comment ref="I28" authorId="0" shapeId="0">
      <text>
        <t>실측(계정 매핑 없음 — 모델값 직접) — fin.sep.cf.영업활동으로인한현금흐름</t>
      </text>
    </comment>
    <comment ref="J28" authorId="0" shapeId="0">
      <text>
        <t>실측(계정 매핑 없음 — 모델값 직접) — fin.sep.cf.영업활동으로인한현금흐름</t>
      </text>
    </comment>
    <comment ref="L28" authorId="0" shapeId="0">
      <text>
        <t>실측(계정 매핑 없음 — 모델값 직접) — fin.sep.cf.영업활동으로인한현금흐름</t>
      </text>
    </comment>
    <comment ref="M28" authorId="0" shapeId="0">
      <text>
        <t>실측(계정 매핑 없음 — 모델값 직접) — fin.sep.cf.영업활동으로인한현금흐름</t>
      </text>
    </comment>
    <comment ref="N28" authorId="0" shapeId="0">
      <text>
        <t>실측(계정 매핑 없음 — 모델값 직접) — fin.sep.cf.영업활동으로인한현금흐름</t>
      </text>
    </comment>
    <comment ref="O28" authorId="0" shapeId="0">
      <text>
        <t>실측(계정 매핑 없음 — 모델값 직접) — fin.sep.cf.영업활동으로인한현금흐름</t>
      </text>
    </comment>
    <comment ref="Q28" authorId="0" shapeId="0">
      <text>
        <t>실측(계정 매핑 없음 — 모델값 직접) — fin.sep.cf.영업활동으로인한현금흐름</t>
      </text>
    </comment>
    <comment ref="R28" authorId="0" shapeId="0">
      <text>
        <t>실측(계정 매핑 없음 — 모델값 직접) — fin.sep.cf.영업활동으로인한현금흐름</t>
      </text>
    </comment>
    <comment ref="S28" authorId="0" shapeId="0">
      <text>
        <t>실측(계정 매핑 없음 — 모델값 직접) — fin.sep.cf.영업활동으로인한현금흐름</t>
      </text>
    </comment>
    <comment ref="T28" authorId="0" shapeId="0">
      <text>
        <t>실측(계정 매핑 없음 — 모델값 직접) — fin.sep.cf.영업활동으로인한현금흐름</t>
      </text>
    </comment>
    <comment ref="V28" authorId="0" shapeId="0">
      <text>
        <t>실측(계정 매핑 없음 — 모델값 직접) — fin.sep.cf.영업활동으로인한현금흐름</t>
      </text>
    </comment>
    <comment ref="W28" authorId="0" shapeId="0">
      <text>
        <t>실측(계정 매핑 없음 — 모델값 직접) — fin.sep.cf.영업활동으로인한현금흐름</t>
      </text>
    </comment>
    <comment ref="X28" authorId="0" shapeId="0">
      <text>
        <t>실측(계정 매핑 없음 — 모델값 직접) — fin.sep.cf.영업활동으로인한현금흐름</t>
      </text>
    </comment>
    <comment ref="Y28" authorId="0" shapeId="0">
      <text>
        <t>실측(계정 매핑 없음 — 모델값 직접) — fin.sep.cf.영업활동으로인한현금흐름</t>
      </text>
    </comment>
    <comment ref="AA28" authorId="0" shapeId="0">
      <text>
        <t>실측(계정 매핑 없음 — 모델값 직접) — fin.sep.cf.영업활동으로인한현금흐름</t>
      </text>
    </comment>
    <comment ref="AB28" authorId="0" shapeId="0">
      <text>
        <t>실측(계정 매핑 없음 — 모델값 직접) — fin.sep.cf.영업활동으로인한현금흐름</t>
      </text>
    </comment>
    <comment ref="E29" authorId="0" shapeId="0">
      <text>
        <t>실측(계정 매핑 없음 — 모델값 직접) — fin.shares.common_outstanding</t>
      </text>
    </comment>
    <comment ref="G29" authorId="0" shapeId="0">
      <text>
        <t>실측(계정 매핑 없음 — 모델값 직접) — fin.shares.common_outstanding</t>
      </text>
    </comment>
    <comment ref="H29" authorId="0" shapeId="0">
      <text>
        <t>실측(계정 매핑 없음 — 모델값 직접) — fin.shares.common_outstanding</t>
      </text>
    </comment>
    <comment ref="I29" authorId="0" shapeId="0">
      <text>
        <t>실측(계정 매핑 없음 — 모델값 직접) — fin.shares.common_outstanding</t>
      </text>
    </comment>
    <comment ref="J29" authorId="0" shapeId="0">
      <text>
        <t>실측(계정 매핑 없음 — 모델값 직접) — fin.shares.common_outstanding</t>
      </text>
    </comment>
    <comment ref="L29" authorId="0" shapeId="0">
      <text>
        <t>실측(계정 매핑 없음 — 모델값 직접) — fin.shares.common_outstanding</t>
      </text>
    </comment>
    <comment ref="M29" authorId="0" shapeId="0">
      <text>
        <t>실측(계정 매핑 없음 — 모델값 직접) — fin.shares.common_outstanding</t>
      </text>
    </comment>
    <comment ref="N29" authorId="0" shapeId="0">
      <text>
        <t>실측(계정 매핑 없음 — 모델값 직접) — fin.shares.common_outstanding</t>
      </text>
    </comment>
    <comment ref="O29" authorId="0" shapeId="0">
      <text>
        <t>실측(계정 매핑 없음 — 모델값 직접) — fin.shares.common_outstanding</t>
      </text>
    </comment>
    <comment ref="Q29" authorId="0" shapeId="0">
      <text>
        <t>실측(계정 매핑 없음 — 모델값 직접) — fin.shares.common_outstanding</t>
      </text>
    </comment>
    <comment ref="R29" authorId="0" shapeId="0">
      <text>
        <t>실측(계정 매핑 없음 — 모델값 직접) — fin.shares.common_outstanding</t>
      </text>
    </comment>
    <comment ref="S29" authorId="0" shapeId="0">
      <text>
        <t>실측(계정 매핑 없음 — 모델값 직접) — fin.shares.common_outstanding</t>
      </text>
    </comment>
    <comment ref="T29" authorId="0" shapeId="0">
      <text>
        <t>실측(계정 매핑 없음 — 모델값 직접) — fin.shares.common_outstanding</t>
      </text>
    </comment>
    <comment ref="V29" authorId="0" shapeId="0">
      <text>
        <t>실측(계정 매핑 없음 — 모델값 직접) — fin.shares.common_outstanding</t>
      </text>
    </comment>
    <comment ref="W29" authorId="0" shapeId="0">
      <text>
        <t>실측(계정 매핑 없음 — 모델값 직접) — fin.shares.common_outstanding</t>
      </text>
    </comment>
    <comment ref="X29" authorId="0" shapeId="0">
      <text>
        <t>실측(계정 매핑 없음 — 모델값 직접) — fin.shares.common_outstanding</t>
      </text>
    </comment>
    <comment ref="Y29" authorId="0" shapeId="0">
      <text>
        <t>실측(계정 매핑 없음 — 모델값 직접) — fin.shares.common_outstanding</t>
      </text>
    </comment>
    <comment ref="AA29" authorId="0" shapeId="0">
      <text>
        <t>실측(계정 매핑 없음 — 모델값 직접) — fin.shares.common_outstanding</t>
      </text>
    </comment>
    <comment ref="AB29" authorId="0" shapeId="0">
      <text>
        <t>실측(계정 매핑 없음 — 모델값 직접) — fin.shares.common_outstanding</t>
      </text>
    </comment>
    <comment ref="AC29" authorId="0" shapeId="0">
      <text>
        <t>추정: 유통주식수 유지 — fin.shares.common_outstanding(2026Q2)
[qoq]</t>
      </text>
    </comment>
    <comment ref="AD29" authorId="0" shapeId="0">
      <text>
        <t>추정: 유통주식수 유지 — fin.shares.common_outstanding(2026Q2)
[qoq]</t>
      </text>
    </comment>
    <comment ref="AF29" authorId="0" shapeId="0">
      <text>
        <t>추정: 유통주식수 유지 — fin.shares.common_outstanding(2026Q2)
[qoq]</t>
      </text>
    </comment>
    <comment ref="AG29" authorId="0" shapeId="0">
      <text>
        <t>추정: 유통주식수 유지 — fin.shares.common_outstanding(2026Q2)
[qoq]</t>
      </text>
    </comment>
    <comment ref="AH29" authorId="0" shapeId="0">
      <text>
        <t>추정: 유통주식수 유지 — fin.shares.common_outstanding(2026Q2)
[qoq]</t>
      </text>
    </comment>
    <comment ref="AI29" authorId="0" shapeId="0">
      <text>
        <t>추정: 유통주식수 유지 — fin.shares.common_outstanding(2026Q2)
[qoq]</t>
      </text>
    </comment>
    <comment ref="AK29" authorId="0" shapeId="0">
      <text>
        <t>추정: 유통주식수 유지 — fin.shares.common_outstanding(2026Q2)
[qoq]</t>
      </text>
    </comment>
    <comment ref="AL29" authorId="0" shapeId="0">
      <text>
        <t>추정: 유통주식수 유지 — fin.shares.common_outstanding(2026Q2)
[qoq]</t>
      </text>
    </comment>
    <comment ref="AM29" authorId="0" shapeId="0">
      <text>
        <t>추정: 유통주식수 유지 — fin.shares.common_outstanding(2026Q2)
[qoq]</t>
      </text>
    </comment>
    <comment ref="AN29" authorId="0" shapeId="0">
      <text>
        <t>추정: 유통주식수 유지 — fin.shares.common_outstanding(2026Q2)
[qoq]</t>
      </text>
    </comment>
    <comment ref="AC30" authorId="0" shapeId="0">
      <text>
        <t>추정: 지배주주순이익 ÷ 유통주식수
[per_share]</t>
      </text>
    </comment>
    <comment ref="AD30" authorId="0" shapeId="0">
      <text>
        <t>추정: 지배주주순이익 ÷ 유통주식수
[per_share]</t>
      </text>
    </comment>
    <comment ref="AF30" authorId="0" shapeId="0">
      <text>
        <t>추정: 지배주주순이익 ÷ 유통주식수
[per_share]</t>
      </text>
    </comment>
    <comment ref="AG30" authorId="0" shapeId="0">
      <text>
        <t>추정: 지배주주순이익 ÷ 유통주식수
[per_share]</t>
      </text>
    </comment>
    <comment ref="AH30" authorId="0" shapeId="0">
      <text>
        <t>추정: 지배주주순이익 ÷ 유통주식수
[per_share]</t>
      </text>
    </comment>
    <comment ref="AI30" authorId="0" shapeId="0">
      <text>
        <t>추정: 지배주주순이익 ÷ 유통주식수
[per_share]</t>
      </text>
    </comment>
    <comment ref="AK30" authorId="0" shapeId="0">
      <text>
        <t>추정: 지배주주순이익 ÷ 유통주식수
[per_share]</t>
      </text>
    </comment>
    <comment ref="AL30" authorId="0" shapeId="0">
      <text>
        <t>추정: 지배주주순이익 ÷ 유통주식수
[per_share]</t>
      </text>
    </comment>
    <comment ref="AM30" authorId="0" shapeId="0">
      <text>
        <t>추정: 지배주주순이익 ÷ 유통주식수
[per_share]</t>
      </text>
    </comment>
    <comment ref="AN30" authorId="0" shapeId="0">
      <text>
        <t>추정: 지배주주순이익 ÷ 유통주식수
[per_share]</t>
      </text>
    </comment>
    <comment ref="AC31" authorId="0" shapeId="0">
      <text>
        <t>추정: 지배주주지분 ÷ 유통주식수
[per_share]</t>
      </text>
    </comment>
    <comment ref="AD31" authorId="0" shapeId="0">
      <text>
        <t>추정: 지배주주지분 ÷ 유통주식수
[per_share]</t>
      </text>
    </comment>
    <comment ref="AF31" authorId="0" shapeId="0">
      <text>
        <t>추정: 지배주주지분 ÷ 유통주식수
[per_share]</t>
      </text>
    </comment>
    <comment ref="AG31" authorId="0" shapeId="0">
      <text>
        <t>추정: 지배주주지분 ÷ 유통주식수
[per_share]</t>
      </text>
    </comment>
    <comment ref="AH31" authorId="0" shapeId="0">
      <text>
        <t>추정: 지배주주지분 ÷ 유통주식수
[per_share]</t>
      </text>
    </comment>
    <comment ref="AI31" authorId="0" shapeId="0">
      <text>
        <t>추정: 지배주주지분 ÷ 유통주식수
[per_share]</t>
      </text>
    </comment>
    <comment ref="AK31" authorId="0" shapeId="0">
      <text>
        <t>추정: 지배주주지분 ÷ 유통주식수
[per_share]</t>
      </text>
    </comment>
    <comment ref="AL31" authorId="0" shapeId="0">
      <text>
        <t>추정: 지배주주지분 ÷ 유통주식수
[per_share]</t>
      </text>
    </comment>
    <comment ref="AM31" authorId="0" shapeId="0">
      <text>
        <t>추정: 지배주주지분 ÷ 유통주식수
[per_share]</t>
      </text>
    </comment>
    <comment ref="AN31" authorId="0" shapeId="0">
      <text>
        <t>추정: 지배주주지분 ÷ 유통주식수
[per_share]</t>
      </text>
    </comment>
    <comment ref="E32" authorId="0" shapeId="0">
      <text>
        <t>실측(계정 매핑 없음 — 모델값 직접) — fin.dividend.dps_common(연간, Q4 에 표기)</t>
      </text>
    </comment>
    <comment ref="F32" authorId="0" shapeId="0">
      <text>
        <t>연간(actual) — 분기 미완 연도, 모델 a 값 직접</t>
      </text>
    </comment>
    <comment ref="J32" authorId="0" shapeId="0">
      <text>
        <t>실측(계정 매핑 없음 — 모델값 직접) — fin.dividend.dps_common(연간, Q4 에 표기)</t>
      </text>
    </comment>
    <comment ref="O32" authorId="0" shapeId="0">
      <text>
        <t>실측(계정 매핑 없음 — 모델값 직접) — fin.dividend.dps_common(연간, Q4 에 표기)</t>
      </text>
    </comment>
    <comment ref="T32" authorId="0" shapeId="0">
      <text>
        <t>실측(계정 매핑 없음 — 모델값 직접) — fin.dividend.dps_common(연간, Q4 에 표기)</t>
      </text>
    </comment>
    <comment ref="Y32" authorId="0" shapeId="0">
      <text>
        <t>실측(계정 매핑 없음 — 모델값 직접) — fin.dividend.dps_common(연간, Q4 에 표기)</t>
      </text>
    </comment>
    <comment ref="AD32" authorId="0" shapeId="0">
      <text>
        <t>추정(가정 셀 참조 불가 — 기준값 없음, 모델값 직접): 직전 결산 DPS 0원 유지</t>
      </text>
    </comment>
    <comment ref="AI32" authorId="0" shapeId="0">
      <text>
        <t>추정(가정 셀 참조 불가 — 기준값 없음, 모델값 직접): 직전 결산 DPS 0원 유지</t>
      </text>
    </comment>
    <comment ref="AN32" authorId="0" shapeId="0">
      <text>
        <t>추정(가정 셀 참조 불가 — 기준값 없음, 모델값 직접): 직전 결산 DPS 0원 유지</t>
      </text>
    </comment>
    <comment ref="I33" authorId="0" shapeId="0">
      <text>
        <t>실측(계정 매핑 없음 — 모델값 직접) — 토스 일봉 분기 평균 ÷ TTM EPS</t>
      </text>
    </comment>
    <comment ref="J33" authorId="0" shapeId="0">
      <text>
        <t>실측(계정 매핑 없음 — 모델값 직접) — 토스 일봉 분기 평균 ÷ TTM EPS</t>
      </text>
    </comment>
    <comment ref="L33" authorId="0" shapeId="0">
      <text>
        <t>실측(계정 매핑 없음 — 모델값 직접) — 토스 일봉 분기 평균 ÷ TTM EPS</t>
      </text>
    </comment>
    <comment ref="M33" authorId="0" shapeId="0">
      <text>
        <t>실측(계정 매핑 없음 — 모델값 직접) — 토스 일봉 분기 평균 ÷ TTM EPS</t>
      </text>
    </comment>
    <comment ref="N33" authorId="0" shapeId="0">
      <text>
        <t>실측(계정 매핑 없음 — 모델값 직접) — 토스 일봉 분기 평균 ÷ TTM EPS</t>
      </text>
    </comment>
    <comment ref="O33" authorId="0" shapeId="0">
      <text>
        <t>실측(계정 매핑 없음 — 모델값 직접) — 토스 일봉 분기 평균 ÷ TTM EPS</t>
      </text>
    </comment>
    <comment ref="Q33" authorId="0" shapeId="0">
      <text>
        <t>실측(계정 매핑 없음 — 모델값 직접) — 토스 일봉 분기 평균 ÷ TTM EPS</t>
      </text>
    </comment>
    <comment ref="R33" authorId="0" shapeId="0">
      <text>
        <t>실측(계정 매핑 없음 — 모델값 직접) — 토스 일봉 분기 평균 ÷ TTM EPS</t>
      </text>
    </comment>
    <comment ref="S33" authorId="0" shapeId="0">
      <text>
        <t>실측(계정 매핑 없음 — 모델값 직접) — 토스 일봉 분기 평균 ÷ TTM EPS</t>
      </text>
    </comment>
    <comment ref="T33" authorId="0" shapeId="0">
      <text>
        <t>실측(계정 매핑 없음 — 모델값 직접) — 토스 일봉 분기 평균 ÷ TTM EPS</t>
      </text>
    </comment>
    <comment ref="V33" authorId="0" shapeId="0">
      <text>
        <t>실측(계정 매핑 없음 — 모델값 직접) — 토스 일봉 분기 평균 ÷ TTM EPS</t>
      </text>
    </comment>
    <comment ref="W33" authorId="0" shapeId="0">
      <text>
        <t>실측(계정 매핑 없음 — 모델값 직접) — 토스 일봉 분기 평균 ÷ TTM EPS</t>
      </text>
    </comment>
    <comment ref="X33" authorId="0" shapeId="0">
      <text>
        <t>실측(계정 매핑 없음 — 모델값 직접) — 토스 일봉 분기 평균 ÷ TTM EPS</t>
      </text>
    </comment>
    <comment ref="Y33" authorId="0" shapeId="0">
      <text>
        <t>실측(계정 매핑 없음 — 모델값 직접) — 토스 일봉 분기 평균 ÷ TTM EPS</t>
      </text>
    </comment>
    <comment ref="AA33" authorId="0" shapeId="0">
      <text>
        <t>실측(계정 매핑 없음 — 모델값 직접) — 토스 일봉 분기 평균 ÷ TTM EPS</t>
      </text>
    </comment>
    <comment ref="AB33" authorId="0" shapeId="0">
      <text>
        <t>실측(계정 매핑 없음 — 모델값 직접) — 토스 일봉 분기 평균 ÷ TTM EPS</t>
      </text>
    </comment>
    <comment ref="AC33" authorId="0" shapeId="0">
      <text>
        <t>추정: 현재 종가 ÷ TTM EPS(추정 포함)
[yoy]</t>
      </text>
    </comment>
    <comment ref="AD33" authorId="0" shapeId="0">
      <text>
        <t>추정: 현재 종가 ÷ TTM EPS(추정 포함)
[yoy]</t>
      </text>
    </comment>
    <comment ref="AF33" authorId="0" shapeId="0">
      <text>
        <t>추정: 현재 종가 ÷ TTM EPS(추정 포함)
[yoy]</t>
      </text>
    </comment>
    <comment ref="AG33" authorId="0" shapeId="0">
      <text>
        <t>추정: 현재 종가 ÷ TTM EPS(추정 포함)
[yoy]</t>
      </text>
    </comment>
    <comment ref="AH33" authorId="0" shapeId="0">
      <text>
        <t>추정: 현재 종가 ÷ TTM EPS(추정 포함)
[yoy]</t>
      </text>
    </comment>
    <comment ref="AI33" authorId="0" shapeId="0">
      <text>
        <t>추정: 현재 종가 ÷ TTM EPS(추정 포함)
[yoy]</t>
      </text>
    </comment>
    <comment ref="AK33" authorId="0" shapeId="0">
      <text>
        <t>추정: 현재 종가 ÷ TTM EPS(추정 포함)
[yoy]</t>
      </text>
    </comment>
    <comment ref="AL33" authorId="0" shapeId="0">
      <text>
        <t>추정: 현재 종가 ÷ TTM EPS(추정 포함)
[yoy]</t>
      </text>
    </comment>
    <comment ref="AM33" authorId="0" shapeId="0">
      <text>
        <t>추정: 현재 종가 ÷ TTM EPS(추정 포함)
[yoy]</t>
      </text>
    </comment>
    <comment ref="AN33" authorId="0" shapeId="0">
      <text>
        <t>추정: 현재 종가 ÷ TTM EPS(추정 포함)
[yoy]</t>
      </text>
    </comment>
    <comment ref="E34" authorId="0" shapeId="0">
      <text>
        <t>실측(계정 매핑 없음 — 모델값 직접) — 토스 일봉 분기 평균 ÷ BPS</t>
      </text>
    </comment>
    <comment ref="F34" authorId="0" shapeId="0">
      <text>
        <t>연간(actual) — 분기 미완 연도, 모델 a 값 직접</t>
      </text>
    </comment>
    <comment ref="G34" authorId="0" shapeId="0">
      <text>
        <t>실측(계정 매핑 없음 — 모델값 직접) — 토스 일봉 분기 평균 ÷ BPS</t>
      </text>
    </comment>
    <comment ref="H34" authorId="0" shapeId="0">
      <text>
        <t>실측(계정 매핑 없음 — 모델값 직접) — 토스 일봉 분기 평균 ÷ BPS</t>
      </text>
    </comment>
    <comment ref="I34" authorId="0" shapeId="0">
      <text>
        <t>실측(계정 매핑 없음 — 모델값 직접) — 토스 일봉 분기 평균 ÷ BPS</t>
      </text>
    </comment>
    <comment ref="J34" authorId="0" shapeId="0">
      <text>
        <t>실측(계정 매핑 없음 — 모델값 직접) — 토스 일봉 분기 평균 ÷ BPS</t>
      </text>
    </comment>
    <comment ref="L34" authorId="0" shapeId="0">
      <text>
        <t>실측(계정 매핑 없음 — 모델값 직접) — 토스 일봉 분기 평균 ÷ BPS</t>
      </text>
    </comment>
    <comment ref="M34" authorId="0" shapeId="0">
      <text>
        <t>실측(계정 매핑 없음 — 모델값 직접) — 토스 일봉 분기 평균 ÷ BPS</t>
      </text>
    </comment>
    <comment ref="N34" authorId="0" shapeId="0">
      <text>
        <t>실측(계정 매핑 없음 — 모델값 직접) — 토스 일봉 분기 평균 ÷ BPS</t>
      </text>
    </comment>
    <comment ref="O34" authorId="0" shapeId="0">
      <text>
        <t>실측(계정 매핑 없음 — 모델값 직접) — 토스 일봉 분기 평균 ÷ BPS</t>
      </text>
    </comment>
    <comment ref="Q34" authorId="0" shapeId="0">
      <text>
        <t>실측(계정 매핑 없음 — 모델값 직접) — 토스 일봉 분기 평균 ÷ BPS</t>
      </text>
    </comment>
    <comment ref="R34" authorId="0" shapeId="0">
      <text>
        <t>실측(계정 매핑 없음 — 모델값 직접) — 토스 일봉 분기 평균 ÷ BPS</t>
      </text>
    </comment>
    <comment ref="S34" authorId="0" shapeId="0">
      <text>
        <t>실측(계정 매핑 없음 — 모델값 직접) — 토스 일봉 분기 평균 ÷ BPS</t>
      </text>
    </comment>
    <comment ref="T34" authorId="0" shapeId="0">
      <text>
        <t>실측(계정 매핑 없음 — 모델값 직접) — 토스 일봉 분기 평균 ÷ BPS</t>
      </text>
    </comment>
    <comment ref="V34" authorId="0" shapeId="0">
      <text>
        <t>실측(계정 매핑 없음 — 모델값 직접) — 토스 일봉 분기 평균 ÷ BPS</t>
      </text>
    </comment>
    <comment ref="W34" authorId="0" shapeId="0">
      <text>
        <t>실측(계정 매핑 없음 — 모델값 직접) — 토스 일봉 분기 평균 ÷ BPS</t>
      </text>
    </comment>
    <comment ref="X34" authorId="0" shapeId="0">
      <text>
        <t>실측(계정 매핑 없음 — 모델값 직접) — 토스 일봉 분기 평균 ÷ BPS</t>
      </text>
    </comment>
    <comment ref="Y34" authorId="0" shapeId="0">
      <text>
        <t>실측(계정 매핑 없음 — 모델값 직접) — 토스 일봉 분기 평균 ÷ BPS</t>
      </text>
    </comment>
    <comment ref="AA34" authorId="0" shapeId="0">
      <text>
        <t>실측(계정 매핑 없음 — 모델값 직접) — 토스 일봉 분기 평균 ÷ BPS</t>
      </text>
    </comment>
    <comment ref="AB34" authorId="0" shapeId="0">
      <text>
        <t>실측(계정 매핑 없음 — 모델값 직접) — 토스 일봉 분기 평균 ÷ BPS</t>
      </text>
    </comment>
    <comment ref="AC34" authorId="0" shapeId="0">
      <text>
        <t>추정: 현재 종가 ÷ BPS(추정 포함)
[yoy]</t>
      </text>
    </comment>
    <comment ref="AD34" authorId="0" shapeId="0">
      <text>
        <t>추정: 현재 종가 ÷ BPS(추정 포함)
[yoy]</t>
      </text>
    </comment>
    <comment ref="AF34" authorId="0" shapeId="0">
      <text>
        <t>추정: 현재 종가 ÷ BPS(추정 포함)
[yoy]</t>
      </text>
    </comment>
    <comment ref="AG34" authorId="0" shapeId="0">
      <text>
        <t>추정: 현재 종가 ÷ BPS(추정 포함)
[yoy]</t>
      </text>
    </comment>
    <comment ref="AH34" authorId="0" shapeId="0">
      <text>
        <t>추정: 현재 종가 ÷ BPS(추정 포함)
[yoy]</t>
      </text>
    </comment>
    <comment ref="AI34" authorId="0" shapeId="0">
      <text>
        <t>추정: 현재 종가 ÷ BPS(추정 포함)
[yoy]</t>
      </text>
    </comment>
    <comment ref="AK34" authorId="0" shapeId="0">
      <text>
        <t>추정: 현재 종가 ÷ BPS(추정 포함)
[yoy]</t>
      </text>
    </comment>
    <comment ref="AL34" authorId="0" shapeId="0">
      <text>
        <t>추정: 현재 종가 ÷ BPS(추정 포함)
[yoy]</t>
      </text>
    </comment>
    <comment ref="AM34" authorId="0" shapeId="0">
      <text>
        <t>추정: 현재 종가 ÷ BPS(추정 포함)
[yoy]</t>
      </text>
    </comment>
    <comment ref="AN34" authorId="0" shapeId="0">
      <text>
        <t>추정: 현재 종가 ÷ BPS(추정 포함)
[yoy]</t>
      </text>
    </comment>
    <comment ref="E35" authorId="0" shapeId="0">
      <text>
        <t>실측(계정 매핑 없음 — 모델값 직접) — = 매출액(부문 미분리)</t>
      </text>
    </comment>
    <comment ref="G35" authorId="0" shapeId="0">
      <text>
        <t>실측(계정 매핑 없음 — 모델값 직접) — = 매출액(부문 미분리)</t>
      </text>
    </comment>
    <comment ref="H35" authorId="0" shapeId="0">
      <text>
        <t>실측(계정 매핑 없음 — 모델값 직접) — = 매출액(부문 미분리)</t>
      </text>
    </comment>
    <comment ref="I35" authorId="0" shapeId="0">
      <text>
        <t>실측(계정 매핑 없음 — 모델값 직접) — = 매출액(부문 미분리)</t>
      </text>
    </comment>
    <comment ref="J35" authorId="0" shapeId="0">
      <text>
        <t>실측(계정 매핑 없음 — 모델값 직접) — = 매출액(부문 미분리)</t>
      </text>
    </comment>
    <comment ref="L35" authorId="0" shapeId="0">
      <text>
        <t>실측(계정 매핑 없음 — 모델값 직접) — = 매출액(부문 미분리)</t>
      </text>
    </comment>
    <comment ref="M35" authorId="0" shapeId="0">
      <text>
        <t>실측(계정 매핑 없음 — 모델값 직접) — = 매출액(부문 미분리)</t>
      </text>
    </comment>
    <comment ref="N35" authorId="0" shapeId="0">
      <text>
        <t>실측(계정 매핑 없음 — 모델값 직접) — = 매출액(부문 미분리)</t>
      </text>
    </comment>
    <comment ref="O35" authorId="0" shapeId="0">
      <text>
        <t>실측(계정 매핑 없음 — 모델값 직접) — = 매출액(부문 미분리)</t>
      </text>
    </comment>
    <comment ref="Q35" authorId="0" shapeId="0">
      <text>
        <t>실측(계정 매핑 없음 — 모델값 직접) — = 매출액(부문 미분리)</t>
      </text>
    </comment>
    <comment ref="R35" authorId="0" shapeId="0">
      <text>
        <t>실측(계정 매핑 없음 — 모델값 직접) — = 매출액(부문 미분리)</t>
      </text>
    </comment>
    <comment ref="S35" authorId="0" shapeId="0">
      <text>
        <t>실측(계정 매핑 없음 — 모델값 직접) — = 매출액(부문 미분리)</t>
      </text>
    </comment>
    <comment ref="T35" authorId="0" shapeId="0">
      <text>
        <t>실측(계정 매핑 없음 — 모델값 직접) — = 매출액(부문 미분리)</t>
      </text>
    </comment>
    <comment ref="V35" authorId="0" shapeId="0">
      <text>
        <t>실측(계정 매핑 없음 — 모델값 직접) — = 매출액(부문 미분리)</t>
      </text>
    </comment>
    <comment ref="W35" authorId="0" shapeId="0">
      <text>
        <t>실측(계정 매핑 없음 — 모델값 직접) — = 매출액(부문 미분리)</t>
      </text>
    </comment>
    <comment ref="X35" authorId="0" shapeId="0">
      <text>
        <t>실측(계정 매핑 없음 — 모델값 직접) — = 매출액(부문 미분리)</t>
      </text>
    </comment>
    <comment ref="Y35" authorId="0" shapeId="0">
      <text>
        <t>실측(계정 매핑 없음 — 모델값 직접) — = 매출액(부문 미분리)</t>
      </text>
    </comment>
    <comment ref="AA35" authorId="0" shapeId="0">
      <text>
        <t>실측(계정 매핑 없음 — 모델값 직접) — = 매출액(부문 미분리)</t>
      </text>
    </comment>
    <comment ref="AB35" authorId="0" shapeId="0">
      <text>
        <t>실측(계정 매핑 없음 — 모델값 직접) — = 매출액(부문 미분리)</t>
      </text>
    </comment>
    <comment ref="AC35" authorId="0" shapeId="0">
      <text>
        <t>추정: = 매출액 추정(부문 미분리)
[ratio]</t>
      </text>
    </comment>
    <comment ref="AD35" authorId="0" shapeId="0">
      <text>
        <t>추정: = 매출액 추정(부문 미분리)
[ratio]</t>
      </text>
    </comment>
    <comment ref="AF35" authorId="0" shapeId="0">
      <text>
        <t>추정: = 매출액 추정(부문 미분리)
[ratio]</t>
      </text>
    </comment>
    <comment ref="AG35" authorId="0" shapeId="0">
      <text>
        <t>추정: = 매출액 추정(부문 미분리)
[ratio]</t>
      </text>
    </comment>
    <comment ref="AH35" authorId="0" shapeId="0">
      <text>
        <t>추정: = 매출액 추정(부문 미분리)
[ratio]</t>
      </text>
    </comment>
    <comment ref="AI35" authorId="0" shapeId="0">
      <text>
        <t>추정: = 매출액 추정(부문 미분리)
[ratio]</t>
      </text>
    </comment>
    <comment ref="AK35" authorId="0" shapeId="0">
      <text>
        <t>추정: = 매출액 추정(부문 미분리)
[ratio]</t>
      </text>
    </comment>
    <comment ref="AL35" authorId="0" shapeId="0">
      <text>
        <t>추정: = 매출액 추정(부문 미분리)
[ratio]</t>
      </text>
    </comment>
    <comment ref="AM35" authorId="0" shapeId="0">
      <text>
        <t>추정: = 매출액 추정(부문 미분리)
[ratio]</t>
      </text>
    </comment>
    <comment ref="AN35" authorId="0" shapeId="0">
      <text>
        <t>추정: = 매출액 추정(부문 미분리)
[ratio]</t>
      </text>
    </comment>
    <comment ref="E36" authorId="0" shapeId="0">
      <text>
        <t>실측(계정 매핑 없음 — 모델값 직접) — = 영업이익(부문 미분리)</t>
      </text>
    </comment>
    <comment ref="G36" authorId="0" shapeId="0">
      <text>
        <t>실측(계정 매핑 없음 — 모델값 직접) — = 영업이익(부문 미분리)</t>
      </text>
    </comment>
    <comment ref="H36" authorId="0" shapeId="0">
      <text>
        <t>실측(계정 매핑 없음 — 모델값 직접) — = 영업이익(부문 미분리)</t>
      </text>
    </comment>
    <comment ref="I36" authorId="0" shapeId="0">
      <text>
        <t>실측(계정 매핑 없음 — 모델값 직접) — = 영업이익(부문 미분리)</t>
      </text>
    </comment>
    <comment ref="J36" authorId="0" shapeId="0">
      <text>
        <t>실측(계정 매핑 없음 — 모델값 직접) — = 영업이익(부문 미분리)</t>
      </text>
    </comment>
    <comment ref="L36" authorId="0" shapeId="0">
      <text>
        <t>실측(계정 매핑 없음 — 모델값 직접) — = 영업이익(부문 미분리)</t>
      </text>
    </comment>
    <comment ref="M36" authorId="0" shapeId="0">
      <text>
        <t>실측(계정 매핑 없음 — 모델값 직접) — = 영업이익(부문 미분리)</t>
      </text>
    </comment>
    <comment ref="N36" authorId="0" shapeId="0">
      <text>
        <t>실측(계정 매핑 없음 — 모델값 직접) — = 영업이익(부문 미분리)</t>
      </text>
    </comment>
    <comment ref="O36" authorId="0" shapeId="0">
      <text>
        <t>실측(계정 매핑 없음 — 모델값 직접) — = 영업이익(부문 미분리)</t>
      </text>
    </comment>
    <comment ref="Q36" authorId="0" shapeId="0">
      <text>
        <t>실측(계정 매핑 없음 — 모델값 직접) — = 영업이익(부문 미분리)</t>
      </text>
    </comment>
    <comment ref="R36" authorId="0" shapeId="0">
      <text>
        <t>실측(계정 매핑 없음 — 모델값 직접) — = 영업이익(부문 미분리)</t>
      </text>
    </comment>
    <comment ref="S36" authorId="0" shapeId="0">
      <text>
        <t>실측(계정 매핑 없음 — 모델값 직접) — = 영업이익(부문 미분리)</t>
      </text>
    </comment>
    <comment ref="T36" authorId="0" shapeId="0">
      <text>
        <t>실측(계정 매핑 없음 — 모델값 직접) — = 영업이익(부문 미분리)</t>
      </text>
    </comment>
    <comment ref="V36" authorId="0" shapeId="0">
      <text>
        <t>실측(계정 매핑 없음 — 모델값 직접) — = 영업이익(부문 미분리)</t>
      </text>
    </comment>
    <comment ref="W36" authorId="0" shapeId="0">
      <text>
        <t>실측(계정 매핑 없음 — 모델값 직접) — = 영업이익(부문 미분리)</t>
      </text>
    </comment>
    <comment ref="X36" authorId="0" shapeId="0">
      <text>
        <t>실측(계정 매핑 없음 — 모델값 직접) — = 영업이익(부문 미분리)</t>
      </text>
    </comment>
    <comment ref="Y36" authorId="0" shapeId="0">
      <text>
        <t>실측(계정 매핑 없음 — 모델값 직접) — = 영업이익(부문 미분리)</t>
      </text>
    </comment>
    <comment ref="AA36" authorId="0" shapeId="0">
      <text>
        <t>실측(계정 매핑 없음 — 모델값 직접) — = 영업이익(부문 미분리)</t>
      </text>
    </comment>
    <comment ref="AB36" authorId="0" shapeId="0">
      <text>
        <t>실측(계정 매핑 없음 — 모델값 직접) — = 영업이익(부문 미분리)</t>
      </text>
    </comment>
    <comment ref="AC36" authorId="0" shapeId="0">
      <text>
        <t>추정: = 매출액 × OPM(부문 미분리)
[ratio]</t>
      </text>
    </comment>
    <comment ref="AD36" authorId="0" shapeId="0">
      <text>
        <t>추정: = 매출액 × OPM(부문 미분리)
[ratio]</t>
      </text>
    </comment>
    <comment ref="AF36" authorId="0" shapeId="0">
      <text>
        <t>추정: = 매출액 × OPM(부문 미분리)
[ratio]</t>
      </text>
    </comment>
    <comment ref="AG36" authorId="0" shapeId="0">
      <text>
        <t>추정: = 매출액 × OPM(부문 미분리)
[ratio]</t>
      </text>
    </comment>
    <comment ref="AH36" authorId="0" shapeId="0">
      <text>
        <t>추정: = 매출액 × OPM(부문 미분리)
[ratio]</t>
      </text>
    </comment>
    <comment ref="AI36" authorId="0" shapeId="0">
      <text>
        <t>추정: = 매출액 × OPM(부문 미분리)
[ratio]</t>
      </text>
    </comment>
    <comment ref="AK36" authorId="0" shapeId="0">
      <text>
        <t>추정: = 매출액 × OPM(부문 미분리)
[ratio]</t>
      </text>
    </comment>
    <comment ref="AL36" authorId="0" shapeId="0">
      <text>
        <t>추정: = 매출액 × OPM(부문 미분리)
[ratio]</t>
      </text>
    </comment>
    <comment ref="AM36" authorId="0" shapeId="0">
      <text>
        <t>추정: = 매출액 × OPM(부문 미분리)
[ratio]</t>
      </text>
    </comment>
    <comment ref="AN36" authorId="0" shapeId="0">
      <text>
        <t>추정: = 매출액 × OPM(부문 미분리)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동방선기(099410) 실적 모델 — ARGUS 한국조선</t>
        </is>
      </c>
    </row>
    <row r="2">
      <c r="A2" t="inlineStr">
        <is>
          <t>기준 분기 2026Q2 · 마지막 실적 2026Q2 · 생성 2026-09-30</t>
        </is>
      </c>
    </row>
    <row r="3">
      <c r="A3" t="inlineStr"/>
    </row>
    <row r="4">
      <c r="A4" s="1" t="inlineStr">
        <is>
          <t>시트</t>
        </is>
      </c>
    </row>
    <row r="5">
      <c r="A5" t="inlineStr">
        <is>
          <t>변수      가정 시계열. 환율 8행(ECB via frankfurter — L2 fx.json), 추정 드라이버(노란 셀 = 모델값에서 역산한 가정, 바꾸면 재계산), 밸류에이션 스칼라</t>
        </is>
      </c>
    </row>
    <row r="6">
      <c r="A6" t="inlineStr">
        <is>
          <t>BS연결/BS별도  FnGuide 계정명 × 기간 값 덤프(백만원). 행1 분기라벨, 행4 YYYY.MM / YYYY.12A. 이름정의 BS연결H·BS연결(계정명 C열부터)</t>
        </is>
      </c>
    </row>
    <row r="7">
      <c r="A7" t="inlineStr">
        <is>
          <t>subQ      분기 서브모델(억원 = 백만원/100). 확정 행: =IFERROR(VLOOKUP($D행,BS연결,MATCH(E$1,BS연결H,0),0)/100,"")  추정 행: 변수 시트 가정 셀 참조 수식</t>
        </is>
      </c>
    </row>
    <row r="8">
      <c r="A8" t="inlineStr">
        <is>
          <t>SLS       선표 매출인식(백만$)·헤지 적용 원화·코호트(조선사만, sls json 있을 때)</t>
        </is>
      </c>
    </row>
    <row r="9">
      <c r="A9" t="inlineStr">
        <is>
          <t>분기/연간예상  subQ 를 이름(A열 key)으로 VLOOKUP 한 보고서 표(억원)</t>
        </is>
      </c>
    </row>
    <row r="10">
      <c r="A10" t="inlineStr">
        <is>
          <t>TP        PER 밴드 × 12M fwd EPS, PBR = ROE/COE × BPS — 모델 산출값 구간, 목표주가·추천 아님</t>
        </is>
      </c>
    </row>
    <row r="11">
      <c r="A11" t="inlineStr">
        <is>
          <t>외화      환율 QoQ, 외화 순노출 × Δ기말환율 → 환관련손익 추정</t>
        </is>
      </c>
    </row>
    <row r="12">
      <c r="A12" t="inlineStr"/>
    </row>
    <row r="13">
      <c r="A13" s="1" t="inlineStr">
        <is>
          <t>규약</t>
        </is>
      </c>
    </row>
    <row r="14">
      <c r="A14" t="inlineStr">
        <is>
          <t>· 데이터는 E열부터, 4분기 뒤 연간 1열(라벨은 숫자 연도). 실적/추정 경계 = 굵은 세로선, 추정 열 = 연노랑, 연간 열 = 회색</t>
        </is>
      </c>
    </row>
    <row r="15">
      <c r="A15" t="inlineStr">
        <is>
          <t>· 숫자 서식 #,##0(억원) · EPS/BPS 원 · 주식수 백만주 · 환율 원</t>
        </is>
      </c>
    </row>
    <row r="16">
      <c r="A16" t="inlineStr">
        <is>
          <t>· 추정 셀 메모 = 모델 json 의 basis. 변수 시트 노란 셀 메모 = 역산 방법. 출처 없는 숫자는 없다 — 가정이면 가정이라고 적었다</t>
        </is>
      </c>
    </row>
    <row r="17">
      <c r="A17" t="inlineStr">
        <is>
          <t>· BS 시트에 값이 없는 기간의 VLOOKUP 은 0 으로 보일 수 있다(엑셀 VLOOKUP 빈 셀 규칙). fin(L1) 수집 후 재생성</t>
        </is>
      </c>
    </row>
    <row r="18">
      <c r="A18" t="inlineStr"/>
    </row>
    <row r="19">
      <c r="A19" t="inlineStr">
        <is>
          <t>출처: DART 정기보고서(연결/별도 재무제표), FnGuide 계정명 규약, ECB 환율(api.frankfurter.app), aikstockdata.com(금융위 확정종가 T+1, 출처표기·비영리)</t>
        </is>
      </c>
    </row>
    <row r="20">
      <c r="A20" t="inlineStr">
        <is>
          <t>재현: cd argus/kship/tools &amp;&amp; ~/Library/phalanx_venv/bin/python kship_model_xlsx.py --model assets/models/099410.json --verify   (모델 json 부터: kship_model.py --build --all --xlsx · xlsx 58사 일괄: kship_model_xlsx.py --all --verify)</t>
        </is>
      </c>
    </row>
    <row r="21">
      <c r="A21" t="inlineStr">
        <is>
          <t>한계: 모델 quality.warnings — (없음)</t>
        </is>
      </c>
    </row>
    <row r="22">
      <c r="A22" t="inlineStr">
        <is>
          <t>백테스트: {"freeze": "2025Q2", "horizon": 4, "revenue_wape_pct": 14.2, "op_wape_pct": 75.4, "n": 4, "note": "단일 회사 4분기 — 통계 아님", "driver_at_freeze": "customer_yard_revenue_weighted",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 미사용. 고객 가중치(suppliers.json 언급 비중)와 합병 체인링크는 현재 지식", "detail": [{"q": "2025Q3", "rev_pred": 86.17, "rev_act": 115.07, "op_pred": 7.43, "op_act": 30.29}, {"q": "2025Q4", "rev_pred": 117.41, "rev_act": 130.35, "op_pred": 10.12, "op_act": 51.46}, {"q": "2026Q1", "rev_pred": 84.9, "rev_act": 91.97, "op_pred": 7.32, "op_act": 15.55}, {"q": "2026Q2", "rev_pred": 101.23, "rev_act": 116.6, "op_pred": 8.73, "op_act": 39.05}]}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역산). 바꾸면 subQ·분기·연간예상·TP 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1419.72</v>
      </c>
      <c r="AD6" s="16" t="n">
        <v>1353.36</v>
      </c>
      <c r="AE6" s="17" t="n">
        <v>1461.87</v>
      </c>
      <c r="AF6" s="16" t="n">
        <v>1353.36</v>
      </c>
      <c r="AG6" s="16" t="n">
        <v>1353.36</v>
      </c>
      <c r="AH6" s="16" t="n">
        <v>1353.36</v>
      </c>
      <c r="AI6" s="16" t="n">
        <v>1353.36</v>
      </c>
      <c r="AJ6" s="11" t="n"/>
      <c r="AK6" s="16" t="n">
        <v>1353.36</v>
      </c>
      <c r="AL6" s="16" t="n">
        <v>1353.36</v>
      </c>
      <c r="AM6" s="16" t="n">
        <v>1353.36</v>
      </c>
      <c r="AN6" s="16" t="n">
        <v>1353.36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1353.36</v>
      </c>
      <c r="AD7" s="16" t="n">
        <v>1353.36</v>
      </c>
      <c r="AE7" s="17" t="n">
        <v>1353.36</v>
      </c>
      <c r="AF7" s="16" t="n">
        <v>1353.36</v>
      </c>
      <c r="AG7" s="16" t="n">
        <v>1353.36</v>
      </c>
      <c r="AH7" s="16" t="n">
        <v>1353.36</v>
      </c>
      <c r="AI7" s="16" t="n">
        <v>1353.36</v>
      </c>
      <c r="AJ7" s="11" t="n"/>
      <c r="AK7" s="16" t="n">
        <v>1353.36</v>
      </c>
      <c r="AL7" s="16" t="n">
        <v>1353.36</v>
      </c>
      <c r="AM7" s="16" t="n">
        <v>1353.36</v>
      </c>
      <c r="AN7" s="16" t="n">
        <v>1353.36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890.83</v>
      </c>
      <c r="AD8" s="16" t="n">
        <v>861.35</v>
      </c>
      <c r="AE8" s="17" t="n">
        <v>922.02</v>
      </c>
      <c r="AF8" s="16" t="n">
        <v>861.35</v>
      </c>
      <c r="AG8" s="16" t="n">
        <v>861.35</v>
      </c>
      <c r="AH8" s="16" t="n">
        <v>861.35</v>
      </c>
      <c r="AI8" s="16" t="n">
        <v>861.35</v>
      </c>
      <c r="AJ8" s="11" t="n"/>
      <c r="AK8" s="16" t="n">
        <v>861.35</v>
      </c>
      <c r="AL8" s="16" t="n">
        <v>861.35</v>
      </c>
      <c r="AM8" s="16" t="n">
        <v>861.35</v>
      </c>
      <c r="AN8" s="16" t="n">
        <v>861.35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861.35</v>
      </c>
      <c r="AD9" s="16" t="n">
        <v>861.35</v>
      </c>
      <c r="AE9" s="17" t="n">
        <v>861.35</v>
      </c>
      <c r="AF9" s="16" t="n">
        <v>861.35</v>
      </c>
      <c r="AG9" s="16" t="n">
        <v>861.35</v>
      </c>
      <c r="AH9" s="16" t="n">
        <v>861.35</v>
      </c>
      <c r="AI9" s="16" t="n">
        <v>861.35</v>
      </c>
      <c r="AJ9" s="11" t="n"/>
      <c r="AK9" s="16" t="n">
        <v>861.35</v>
      </c>
      <c r="AL9" s="16" t="n">
        <v>861.35</v>
      </c>
      <c r="AM9" s="16" t="n">
        <v>861.35</v>
      </c>
      <c r="AN9" s="16" t="n">
        <v>861.35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1633.4</v>
      </c>
      <c r="AD10" s="16" t="n">
        <v>1536.74</v>
      </c>
      <c r="AE10" s="17" t="n">
        <v>1697.39</v>
      </c>
      <c r="AF10" s="16" t="n">
        <v>1536.74</v>
      </c>
      <c r="AG10" s="16" t="n">
        <v>1536.74</v>
      </c>
      <c r="AH10" s="16" t="n">
        <v>1536.74</v>
      </c>
      <c r="AI10" s="16" t="n">
        <v>1536.74</v>
      </c>
      <c r="AJ10" s="11" t="n"/>
      <c r="AK10" s="16" t="n">
        <v>1536.74</v>
      </c>
      <c r="AL10" s="16" t="n">
        <v>1536.74</v>
      </c>
      <c r="AM10" s="16" t="n">
        <v>1536.74</v>
      </c>
      <c r="AN10" s="16" t="n">
        <v>1536.74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1536.74</v>
      </c>
      <c r="AD11" s="16" t="n">
        <v>1536.74</v>
      </c>
      <c r="AE11" s="17" t="n">
        <v>1536.74</v>
      </c>
      <c r="AF11" s="16" t="n">
        <v>1536.74</v>
      </c>
      <c r="AG11" s="16" t="n">
        <v>1536.74</v>
      </c>
      <c r="AH11" s="16" t="n">
        <v>1536.74</v>
      </c>
      <c r="AI11" s="16" t="n">
        <v>1536.74</v>
      </c>
      <c r="AJ11" s="11" t="n"/>
      <c r="AK11" s="16" t="n">
        <v>1536.74</v>
      </c>
      <c r="AL11" s="16" t="n">
        <v>1536.74</v>
      </c>
      <c r="AM11" s="16" t="n">
        <v>1536.74</v>
      </c>
      <c r="AN11" s="16" t="n">
        <v>1536.74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210.55</v>
      </c>
      <c r="AD12" s="16" t="n">
        <v>201.89</v>
      </c>
      <c r="AE12" s="17" t="n">
        <v>214.29</v>
      </c>
      <c r="AF12" s="16" t="n">
        <v>201.89</v>
      </c>
      <c r="AG12" s="16" t="n">
        <v>201.89</v>
      </c>
      <c r="AH12" s="16" t="n">
        <v>201.89</v>
      </c>
      <c r="AI12" s="16" t="n">
        <v>201.89</v>
      </c>
      <c r="AJ12" s="11" t="n"/>
      <c r="AK12" s="16" t="n">
        <v>201.89</v>
      </c>
      <c r="AL12" s="16" t="n">
        <v>201.89</v>
      </c>
      <c r="AM12" s="16" t="n">
        <v>201.89</v>
      </c>
      <c r="AN12" s="16" t="n">
        <v>201.89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201.89</v>
      </c>
      <c r="AD13" s="16" t="n">
        <v>201.89</v>
      </c>
      <c r="AE13" s="17" t="n">
        <v>201.89</v>
      </c>
      <c r="AF13" s="16" t="n">
        <v>201.89</v>
      </c>
      <c r="AG13" s="16" t="n">
        <v>201.89</v>
      </c>
      <c r="AH13" s="16" t="n">
        <v>201.89</v>
      </c>
      <c r="AI13" s="16" t="n">
        <v>201.89</v>
      </c>
      <c r="AJ13" s="11" t="n"/>
      <c r="AK13" s="16" t="n">
        <v>201.89</v>
      </c>
      <c r="AL13" s="16" t="n">
        <v>201.89</v>
      </c>
      <c r="AM13" s="16" t="n">
        <v>201.89</v>
      </c>
      <c r="AN13" s="16" t="n">
        <v>201.89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3235</v>
      </c>
      <c r="F15" s="9" t="n"/>
      <c r="G15" s="18" t="n">
        <v>3805</v>
      </c>
      <c r="H15" s="18" t="n">
        <v>3285</v>
      </c>
      <c r="I15" s="18" t="n">
        <v>2660</v>
      </c>
      <c r="J15" s="18" t="n">
        <v>2495</v>
      </c>
      <c r="K15" s="9" t="n"/>
      <c r="L15" s="18" t="n">
        <v>2590</v>
      </c>
      <c r="M15" s="18" t="n">
        <v>3065</v>
      </c>
      <c r="N15" s="18" t="n">
        <v>2385</v>
      </c>
      <c r="O15" s="18" t="n">
        <v>2305</v>
      </c>
      <c r="P15" s="9" t="n"/>
      <c r="Q15" s="18" t="n">
        <v>2420</v>
      </c>
      <c r="R15" s="18" t="n">
        <v>2735</v>
      </c>
      <c r="S15" s="18" t="n">
        <v>2670</v>
      </c>
      <c r="T15" s="18" t="n">
        <v>3055</v>
      </c>
      <c r="U15" s="9" t="n"/>
      <c r="V15" s="18" t="n">
        <v>3180</v>
      </c>
      <c r="W15" s="18" t="n">
        <v>3410</v>
      </c>
      <c r="X15" s="18" t="n">
        <v>5100</v>
      </c>
      <c r="Y15" s="18" t="n">
        <v>4510</v>
      </c>
      <c r="Z15" s="9" t="n"/>
      <c r="AA15" s="18" t="n">
        <v>4600</v>
      </c>
      <c r="AB15" s="19" t="n">
        <v>3200</v>
      </c>
      <c r="AC15" s="20" t="n">
        <v>3100</v>
      </c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3880</v>
      </c>
      <c r="F16" s="9" t="n"/>
      <c r="G16" s="18" t="n">
        <v>4480</v>
      </c>
      <c r="H16" s="18" t="n">
        <v>5550</v>
      </c>
      <c r="I16" s="18" t="n">
        <v>4175</v>
      </c>
      <c r="J16" s="18" t="n">
        <v>3330</v>
      </c>
      <c r="K16" s="9" t="n"/>
      <c r="L16" s="18" t="n">
        <v>3075</v>
      </c>
      <c r="M16" s="18" t="n">
        <v>3775</v>
      </c>
      <c r="N16" s="18" t="n">
        <v>3395</v>
      </c>
      <c r="O16" s="18" t="n">
        <v>2550</v>
      </c>
      <c r="P16" s="9" t="n"/>
      <c r="Q16" s="18" t="n">
        <v>2615</v>
      </c>
      <c r="R16" s="18" t="n">
        <v>3150</v>
      </c>
      <c r="S16" s="18" t="n">
        <v>2975</v>
      </c>
      <c r="T16" s="18" t="n">
        <v>3470</v>
      </c>
      <c r="U16" s="9" t="n"/>
      <c r="V16" s="18" t="n">
        <v>3860</v>
      </c>
      <c r="W16" s="18" t="n">
        <v>4070</v>
      </c>
      <c r="X16" s="18" t="n">
        <v>7340</v>
      </c>
      <c r="Y16" s="18" t="n">
        <v>6370</v>
      </c>
      <c r="Z16" s="9" t="n"/>
      <c r="AA16" s="18" t="n">
        <v>6360</v>
      </c>
      <c r="AB16" s="19" t="n">
        <v>6780</v>
      </c>
      <c r="AC16" s="20" t="n">
        <v>3800</v>
      </c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2400</v>
      </c>
      <c r="F17" s="9" t="n"/>
      <c r="G17" s="18" t="n">
        <v>3110</v>
      </c>
      <c r="H17" s="18" t="n">
        <v>2725</v>
      </c>
      <c r="I17" s="18" t="n">
        <v>2535</v>
      </c>
      <c r="J17" s="18" t="n">
        <v>2400</v>
      </c>
      <c r="K17" s="9" t="n"/>
      <c r="L17" s="18" t="n">
        <v>2305</v>
      </c>
      <c r="M17" s="18" t="n">
        <v>2400</v>
      </c>
      <c r="N17" s="18" t="n">
        <v>2285</v>
      </c>
      <c r="O17" s="18" t="n">
        <v>2080</v>
      </c>
      <c r="P17" s="9" t="n"/>
      <c r="Q17" s="18" t="n">
        <v>2025</v>
      </c>
      <c r="R17" s="18" t="n">
        <v>2425</v>
      </c>
      <c r="S17" s="18" t="n">
        <v>2350</v>
      </c>
      <c r="T17" s="18" t="n">
        <v>2570</v>
      </c>
      <c r="U17" s="9" t="n"/>
      <c r="V17" s="18" t="n">
        <v>2920</v>
      </c>
      <c r="W17" s="18" t="n">
        <v>2785</v>
      </c>
      <c r="X17" s="18" t="n">
        <v>3170</v>
      </c>
      <c r="Y17" s="18" t="n">
        <v>4425</v>
      </c>
      <c r="Z17" s="9" t="n"/>
      <c r="AA17" s="18" t="n">
        <v>4400</v>
      </c>
      <c r="AB17" s="19" t="n">
        <v>2880</v>
      </c>
      <c r="AC17" s="20" t="n">
        <v>2475</v>
      </c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3009.8</v>
      </c>
      <c r="F18" s="9" t="n"/>
      <c r="G18" s="18" t="n">
        <v>3794.7</v>
      </c>
      <c r="H18" s="18" t="n">
        <v>3946.9</v>
      </c>
      <c r="I18" s="18" t="n">
        <v>3235.8</v>
      </c>
      <c r="J18" s="18" t="n">
        <v>2709.7</v>
      </c>
      <c r="K18" s="9" t="n"/>
      <c r="L18" s="18" t="n">
        <v>2648</v>
      </c>
      <c r="M18" s="18" t="n">
        <v>2936.7</v>
      </c>
      <c r="N18" s="18" t="n">
        <v>2739.7</v>
      </c>
      <c r="O18" s="18" t="n">
        <v>2289</v>
      </c>
      <c r="P18" s="9" t="n"/>
      <c r="Q18" s="18" t="n">
        <v>2270</v>
      </c>
      <c r="R18" s="18" t="n">
        <v>2712.2</v>
      </c>
      <c r="S18" s="18" t="n">
        <v>2661.1</v>
      </c>
      <c r="T18" s="18" t="n">
        <v>2963.2</v>
      </c>
      <c r="U18" s="9" t="n"/>
      <c r="V18" s="18" t="n">
        <v>3266.9</v>
      </c>
      <c r="W18" s="18" t="n">
        <v>3544.4</v>
      </c>
      <c r="X18" s="18" t="n">
        <v>4129.2</v>
      </c>
      <c r="Y18" s="18" t="n">
        <v>4988.8</v>
      </c>
      <c r="Z18" s="9" t="n"/>
      <c r="AA18" s="18" t="n">
        <v>5329.2</v>
      </c>
      <c r="AB18" s="19" t="n">
        <v>4507.6</v>
      </c>
      <c r="AC18" s="20" t="n">
        <v>3134.4</v>
      </c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가정(노란, 모델값 역산)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-0.056112</v>
      </c>
      <c r="AD21" s="24" t="n">
        <v>0.161517</v>
      </c>
      <c r="AE21" s="25" t="n"/>
      <c r="AF21" s="24" t="n">
        <v>0.063765</v>
      </c>
      <c r="AG21" s="24" t="n">
        <v>-0.06796199999999999</v>
      </c>
      <c r="AH21" s="24" t="n">
        <v>0.08618000000000001</v>
      </c>
      <c r="AI21" s="24" t="n">
        <v>0.016975</v>
      </c>
      <c r="AJ21" s="25" t="n"/>
      <c r="AK21" s="24" t="n">
        <v>-0.018297</v>
      </c>
      <c r="AL21" s="24" t="n">
        <v>-0.032021</v>
      </c>
      <c r="AM21" s="24" t="n">
        <v>-0.041197</v>
      </c>
      <c r="AN21" s="24" t="n">
        <v>-0.050984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4" t="n">
        <v>0.113894</v>
      </c>
      <c r="AD22" s="24" t="n">
        <v>0.113871</v>
      </c>
      <c r="AE22" s="25">
        <f>IFERROR(subQ!AE8/subQ!AE5,"")</f>
        <v/>
      </c>
      <c r="AF22" s="24" t="n">
        <v>0.113871</v>
      </c>
      <c r="AG22" s="24" t="n">
        <v>0.113912</v>
      </c>
      <c r="AH22" s="24" t="n">
        <v>0.113927</v>
      </c>
      <c r="AI22" s="24" t="n">
        <v>0.113918</v>
      </c>
      <c r="AJ22" s="25">
        <f>IFERROR(subQ!AJ8/subQ!AJ5,"")</f>
        <v/>
      </c>
      <c r="AK22" s="24" t="n">
        <v>0.113911</v>
      </c>
      <c r="AL22" s="24" t="n">
        <v>0.113878</v>
      </c>
      <c r="AM22" s="24" t="n">
        <v>0.113871</v>
      </c>
      <c r="AN22" s="24" t="n">
        <v>0.113879</v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0.178345</v>
      </c>
      <c r="AD23" s="24" t="n">
        <v>0.178402</v>
      </c>
      <c r="AE23" s="25">
        <f>IFERROR(subQ!AE9/subQ!AE5,"")</f>
        <v/>
      </c>
      <c r="AF23" s="24" t="n">
        <v>0.178371</v>
      </c>
      <c r="AG23" s="24" t="n">
        <v>0.178414</v>
      </c>
      <c r="AH23" s="24" t="n">
        <v>0.17835</v>
      </c>
      <c r="AI23" s="24" t="n">
        <v>0.178346</v>
      </c>
      <c r="AJ23" s="25">
        <f>IFERROR(subQ!AJ9/subQ!AJ5,"")</f>
        <v/>
      </c>
      <c r="AK23" s="24" t="n">
        <v>0.178363</v>
      </c>
      <c r="AL23" s="24" t="n">
        <v>0.178422</v>
      </c>
      <c r="AM23" s="24" t="n">
        <v>0.17841</v>
      </c>
      <c r="AN23" s="24" t="n">
        <v>0.178347</v>
      </c>
      <c r="AO23" s="25">
        <f>IFERROR(subQ!AO9/subQ!AO5,"")</f>
        <v/>
      </c>
    </row>
    <row r="24">
      <c r="A24" s="12" t="inlineStr">
        <is>
          <t>drv:OPM</t>
        </is>
      </c>
      <c r="B24" s="2" t="inlineStr">
        <is>
          <t>yoy</t>
        </is>
      </c>
      <c r="C24" t="inlineStr">
        <is>
          <t>OPM YoY</t>
        </is>
      </c>
      <c r="E24" s="21" t="n"/>
      <c r="F24" s="22" t="n"/>
      <c r="G24" s="21" t="n"/>
      <c r="H24" s="21" t="n"/>
      <c r="I24" s="21" t="n"/>
      <c r="J24" s="21">
        <f>IFERROR(subQ!J38/subQ!E38-1,"")</f>
        <v/>
      </c>
      <c r="K24" s="22" t="n"/>
      <c r="L24" s="21">
        <f>IFERROR(subQ!L38/subQ!G38-1,"")</f>
        <v/>
      </c>
      <c r="M24" s="21">
        <f>IFERROR(subQ!M38/subQ!H38-1,"")</f>
        <v/>
      </c>
      <c r="N24" s="21">
        <f>IFERROR(subQ!N38/subQ!I38-1,"")</f>
        <v/>
      </c>
      <c r="O24" s="21">
        <f>IFERROR(subQ!O38/subQ!J38-1,"")</f>
        <v/>
      </c>
      <c r="P24" s="22" t="n"/>
      <c r="Q24" s="21">
        <f>IFERROR(subQ!Q38/subQ!L38-1,"")</f>
        <v/>
      </c>
      <c r="R24" s="21">
        <f>IFERROR(subQ!R38/subQ!M38-1,"")</f>
        <v/>
      </c>
      <c r="S24" s="21">
        <f>IFERROR(subQ!S38/subQ!N38-1,"")</f>
        <v/>
      </c>
      <c r="T24" s="21">
        <f>IFERROR(subQ!T38/subQ!O38-1,"")</f>
        <v/>
      </c>
      <c r="U24" s="22" t="n"/>
      <c r="V24" s="21">
        <f>IFERROR(subQ!V38/subQ!Q38-1,"")</f>
        <v/>
      </c>
      <c r="W24" s="21">
        <f>IFERROR(subQ!W38/subQ!R38-1,"")</f>
        <v/>
      </c>
      <c r="X24" s="21">
        <f>IFERROR(subQ!X38/subQ!S38-1,"")</f>
        <v/>
      </c>
      <c r="Y24" s="21">
        <f>IFERROR(subQ!Y38/subQ!T38-1,"")</f>
        <v/>
      </c>
      <c r="Z24" s="22" t="n"/>
      <c r="AA24" s="21">
        <f>IFERROR(subQ!AA38/subQ!V38-1,"")</f>
        <v/>
      </c>
      <c r="AB24" s="23">
        <f>IFERROR(subQ!AB38/subQ!W38-1,"")</f>
        <v/>
      </c>
      <c r="AC24" s="24" t="n">
        <v>-0.322188</v>
      </c>
      <c r="AD24" s="24" t="n">
        <v>-0.548126</v>
      </c>
      <c r="AE24" s="25" t="n"/>
      <c r="AF24" s="24" t="n">
        <v>0.054997</v>
      </c>
      <c r="AG24" s="24" t="n">
        <v>-0.467304</v>
      </c>
      <c r="AH24" s="24" t="n">
        <v>0</v>
      </c>
      <c r="AI24" s="24" t="n">
        <v>0</v>
      </c>
      <c r="AJ24" s="25" t="n"/>
      <c r="AK24" s="24" t="n">
        <v>0</v>
      </c>
      <c r="AL24" s="24" t="n">
        <v>0</v>
      </c>
      <c r="AM24" s="24" t="n">
        <v>0</v>
      </c>
      <c r="AN24" s="24" t="n">
        <v>0</v>
      </c>
      <c r="AO24" s="25" t="n"/>
    </row>
    <row r="25">
      <c r="A25" s="12" t="inlineStr">
        <is>
          <t>drv:금융손익</t>
        </is>
      </c>
      <c r="B25" s="2" t="inlineStr">
        <is>
          <t>abs</t>
        </is>
      </c>
      <c r="C25" t="inlineStr">
        <is>
          <t>금융손익 (가정, 억원)</t>
        </is>
      </c>
      <c r="E25" s="26">
        <f>subQ!E11</f>
        <v/>
      </c>
      <c r="F25" s="27">
        <f>subQ!F11</f>
        <v/>
      </c>
      <c r="G25" s="26">
        <f>subQ!G11</f>
        <v/>
      </c>
      <c r="H25" s="26">
        <f>subQ!H11</f>
        <v/>
      </c>
      <c r="I25" s="26">
        <f>subQ!I11</f>
        <v/>
      </c>
      <c r="J25" s="26">
        <f>subQ!J11</f>
        <v/>
      </c>
      <c r="K25" s="27">
        <f>subQ!K11</f>
        <v/>
      </c>
      <c r="L25" s="26">
        <f>subQ!L11</f>
        <v/>
      </c>
      <c r="M25" s="26">
        <f>subQ!M11</f>
        <v/>
      </c>
      <c r="N25" s="26">
        <f>subQ!N11</f>
        <v/>
      </c>
      <c r="O25" s="26">
        <f>subQ!O11</f>
        <v/>
      </c>
      <c r="P25" s="27">
        <f>subQ!P11</f>
        <v/>
      </c>
      <c r="Q25" s="26">
        <f>subQ!Q11</f>
        <v/>
      </c>
      <c r="R25" s="26">
        <f>subQ!R11</f>
        <v/>
      </c>
      <c r="S25" s="26">
        <f>subQ!S11</f>
        <v/>
      </c>
      <c r="T25" s="26">
        <f>subQ!T11</f>
        <v/>
      </c>
      <c r="U25" s="27">
        <f>subQ!U11</f>
        <v/>
      </c>
      <c r="V25" s="26">
        <f>subQ!V11</f>
        <v/>
      </c>
      <c r="W25" s="26">
        <f>subQ!W11</f>
        <v/>
      </c>
      <c r="X25" s="26">
        <f>subQ!X11</f>
        <v/>
      </c>
      <c r="Y25" s="26">
        <f>subQ!Y11</f>
        <v/>
      </c>
      <c r="Z25" s="27">
        <f>subQ!Z11</f>
        <v/>
      </c>
      <c r="AA25" s="26">
        <f>subQ!AA11</f>
        <v/>
      </c>
      <c r="AB25" s="28">
        <f>subQ!AB11</f>
        <v/>
      </c>
      <c r="AC25" s="29" t="n">
        <v>0.5</v>
      </c>
      <c r="AD25" s="29" t="n">
        <v>0.55</v>
      </c>
      <c r="AE25" s="30">
        <f>subQ!AE11</f>
        <v/>
      </c>
      <c r="AF25" s="29" t="n">
        <v>0.62</v>
      </c>
      <c r="AG25" s="29" t="n">
        <v>0.67</v>
      </c>
      <c r="AH25" s="29" t="n">
        <v>0.72</v>
      </c>
      <c r="AI25" s="29" t="n">
        <v>0.78</v>
      </c>
      <c r="AJ25" s="30">
        <f>subQ!AJ11</f>
        <v/>
      </c>
      <c r="AK25" s="29" t="n">
        <v>0.85</v>
      </c>
      <c r="AL25" s="29" t="n">
        <v>0.9</v>
      </c>
      <c r="AM25" s="29" t="n">
        <v>0.95</v>
      </c>
      <c r="AN25" s="29" t="n">
        <v>1</v>
      </c>
      <c r="AO25" s="30">
        <f>subQ!AO11</f>
        <v/>
      </c>
    </row>
    <row r="26">
      <c r="A26" s="12" t="inlineStr">
        <is>
          <t>drv:기타영업외손익</t>
        </is>
      </c>
      <c r="B26" s="2" t="inlineStr">
        <is>
          <t>abs</t>
        </is>
      </c>
      <c r="C26" t="inlineStr">
        <is>
          <t>기타영업외손익 (가정, 억원)</t>
        </is>
      </c>
      <c r="E26" s="26">
        <f>subQ!E12</f>
        <v/>
      </c>
      <c r="F26" s="27">
        <f>subQ!F12</f>
        <v/>
      </c>
      <c r="G26" s="26">
        <f>subQ!G12</f>
        <v/>
      </c>
      <c r="H26" s="26">
        <f>subQ!H12</f>
        <v/>
      </c>
      <c r="I26" s="26">
        <f>subQ!I12</f>
        <v/>
      </c>
      <c r="J26" s="26">
        <f>subQ!J12</f>
        <v/>
      </c>
      <c r="K26" s="27">
        <f>subQ!K12</f>
        <v/>
      </c>
      <c r="L26" s="26">
        <f>subQ!L12</f>
        <v/>
      </c>
      <c r="M26" s="26">
        <f>subQ!M12</f>
        <v/>
      </c>
      <c r="N26" s="26">
        <f>subQ!N12</f>
        <v/>
      </c>
      <c r="O26" s="26">
        <f>subQ!O12</f>
        <v/>
      </c>
      <c r="P26" s="27">
        <f>subQ!P12</f>
        <v/>
      </c>
      <c r="Q26" s="26">
        <f>subQ!Q12</f>
        <v/>
      </c>
      <c r="R26" s="26">
        <f>subQ!R12</f>
        <v/>
      </c>
      <c r="S26" s="26">
        <f>subQ!S12</f>
        <v/>
      </c>
      <c r="T26" s="26">
        <f>subQ!T12</f>
        <v/>
      </c>
      <c r="U26" s="27">
        <f>subQ!U12</f>
        <v/>
      </c>
      <c r="V26" s="26">
        <f>subQ!V12</f>
        <v/>
      </c>
      <c r="W26" s="26">
        <f>subQ!W12</f>
        <v/>
      </c>
      <c r="X26" s="26">
        <f>subQ!X12</f>
        <v/>
      </c>
      <c r="Y26" s="26">
        <f>subQ!Y12</f>
        <v/>
      </c>
      <c r="Z26" s="27">
        <f>subQ!Z12</f>
        <v/>
      </c>
      <c r="AA26" s="26">
        <f>subQ!AA12</f>
        <v/>
      </c>
      <c r="AB26" s="28">
        <f>subQ!AB12</f>
        <v/>
      </c>
      <c r="AC26" s="29" t="n">
        <v>0</v>
      </c>
      <c r="AD26" s="29" t="n">
        <v>0</v>
      </c>
      <c r="AE26" s="30">
        <f>subQ!AE12</f>
        <v/>
      </c>
      <c r="AF26" s="29" t="n">
        <v>0</v>
      </c>
      <c r="AG26" s="29" t="n">
        <v>0</v>
      </c>
      <c r="AH26" s="29" t="n">
        <v>0</v>
      </c>
      <c r="AI26" s="29" t="n">
        <v>0</v>
      </c>
      <c r="AJ26" s="30">
        <f>subQ!AJ12</f>
        <v/>
      </c>
      <c r="AK26" s="29" t="n">
        <v>0</v>
      </c>
      <c r="AL26" s="29" t="n">
        <v>0</v>
      </c>
      <c r="AM26" s="29" t="n">
        <v>0</v>
      </c>
      <c r="AN26" s="29" t="n">
        <v>0</v>
      </c>
      <c r="AO26" s="30">
        <f>subQ!AO12</f>
        <v/>
      </c>
    </row>
    <row r="27">
      <c r="A27" s="12" t="inlineStr">
        <is>
          <t>drv:법인세비용</t>
        </is>
      </c>
      <c r="B27" s="2" t="inlineStr">
        <is>
          <t>ratio</t>
        </is>
      </c>
      <c r="C27" t="inlineStr">
        <is>
          <t>법인세율(/세전)</t>
        </is>
      </c>
      <c r="E27" s="21">
        <f>IFERROR(subQ!E14/subQ!E13,"")</f>
        <v/>
      </c>
      <c r="F27" s="22">
        <f>IFERROR(subQ!F14/subQ!F13,"")</f>
        <v/>
      </c>
      <c r="G27" s="21">
        <f>IFERROR(subQ!G14/subQ!G13,"")</f>
        <v/>
      </c>
      <c r="H27" s="21">
        <f>IFERROR(subQ!H14/subQ!H13,"")</f>
        <v/>
      </c>
      <c r="I27" s="21">
        <f>IFERROR(subQ!I14/subQ!I13,"")</f>
        <v/>
      </c>
      <c r="J27" s="21">
        <f>IFERROR(subQ!J14/subQ!J13,"")</f>
        <v/>
      </c>
      <c r="K27" s="22">
        <f>IFERROR(subQ!K14/subQ!K13,"")</f>
        <v/>
      </c>
      <c r="L27" s="21">
        <f>IFERROR(subQ!L14/subQ!L13,"")</f>
        <v/>
      </c>
      <c r="M27" s="21">
        <f>IFERROR(subQ!M14/subQ!M13,"")</f>
        <v/>
      </c>
      <c r="N27" s="21">
        <f>IFERROR(subQ!N14/subQ!N13,"")</f>
        <v/>
      </c>
      <c r="O27" s="21">
        <f>IFERROR(subQ!O14/subQ!O13,"")</f>
        <v/>
      </c>
      <c r="P27" s="22">
        <f>IFERROR(subQ!P14/subQ!P13,"")</f>
        <v/>
      </c>
      <c r="Q27" s="21">
        <f>IFERROR(subQ!Q14/subQ!Q13,"")</f>
        <v/>
      </c>
      <c r="R27" s="21">
        <f>IFERROR(subQ!R14/subQ!R13,"")</f>
        <v/>
      </c>
      <c r="S27" s="21">
        <f>IFERROR(subQ!S14/subQ!S13,"")</f>
        <v/>
      </c>
      <c r="T27" s="21">
        <f>IFERROR(subQ!T14/subQ!T13,"")</f>
        <v/>
      </c>
      <c r="U27" s="22">
        <f>IFERROR(subQ!U14/subQ!U13,"")</f>
        <v/>
      </c>
      <c r="V27" s="21">
        <f>IFERROR(subQ!V14/subQ!V13,"")</f>
        <v/>
      </c>
      <c r="W27" s="21">
        <f>IFERROR(subQ!W14/subQ!W13,"")</f>
        <v/>
      </c>
      <c r="X27" s="21">
        <f>IFERROR(subQ!X14/subQ!X13,"")</f>
        <v/>
      </c>
      <c r="Y27" s="21">
        <f>IFERROR(subQ!Y14/subQ!Y13,"")</f>
        <v/>
      </c>
      <c r="Z27" s="22">
        <f>IFERROR(subQ!Z14/subQ!Z13,"")</f>
        <v/>
      </c>
      <c r="AA27" s="21">
        <f>IFERROR(subQ!AA14/subQ!AA13,"")</f>
        <v/>
      </c>
      <c r="AB27" s="23">
        <f>IFERROR(subQ!AB14/subQ!AB13,"")</f>
        <v/>
      </c>
      <c r="AC27" s="24" t="n">
        <v>0.049824</v>
      </c>
      <c r="AD27" s="24" t="n">
        <v>0.050091</v>
      </c>
      <c r="AE27" s="25">
        <f>IFERROR(subQ!AE14/subQ!AE13,"")</f>
        <v/>
      </c>
      <c r="AF27" s="24" t="n">
        <v>0.049806</v>
      </c>
      <c r="AG27" s="24" t="n">
        <v>0.049875</v>
      </c>
      <c r="AH27" s="24" t="n">
        <v>0.050092</v>
      </c>
      <c r="AI27" s="24" t="n">
        <v>0.049929</v>
      </c>
      <c r="AJ27" s="25">
        <f>IFERROR(subQ!AJ14/subQ!AJ13,"")</f>
        <v/>
      </c>
      <c r="AK27" s="24" t="n">
        <v>0.050056</v>
      </c>
      <c r="AL27" s="24" t="n">
        <v>0.049847</v>
      </c>
      <c r="AM27" s="24" t="n">
        <v>0.050189</v>
      </c>
      <c r="AN27" s="24" t="n">
        <v>0.049871</v>
      </c>
      <c r="AO27" s="25">
        <f>IFERROR(subQ!AO14/subQ!AO13,"")</f>
        <v/>
      </c>
    </row>
    <row r="28">
      <c r="A28" s="12" t="inlineStr">
        <is>
          <t>drv:지배주주순이익</t>
        </is>
      </c>
      <c r="B28" s="2" t="inlineStr">
        <is>
          <t>ratio</t>
        </is>
      </c>
      <c r="C28" t="inlineStr">
        <is>
          <t>지배주주 비중(/당기순이익)</t>
        </is>
      </c>
      <c r="E28" s="21">
        <f>IFERROR(subQ!E16/subQ!E15,"")</f>
        <v/>
      </c>
      <c r="F28" s="22">
        <f>IFERROR(subQ!F16/subQ!F15,"")</f>
        <v/>
      </c>
      <c r="G28" s="21">
        <f>IFERROR(subQ!G16/subQ!G15,"")</f>
        <v/>
      </c>
      <c r="H28" s="21">
        <f>IFERROR(subQ!H16/subQ!H15,"")</f>
        <v/>
      </c>
      <c r="I28" s="21">
        <f>IFERROR(subQ!I16/subQ!I15,"")</f>
        <v/>
      </c>
      <c r="J28" s="21">
        <f>IFERROR(subQ!J16/subQ!J15,"")</f>
        <v/>
      </c>
      <c r="K28" s="22">
        <f>IFERROR(subQ!K16/subQ!K15,"")</f>
        <v/>
      </c>
      <c r="L28" s="21">
        <f>IFERROR(subQ!L16/subQ!L15,"")</f>
        <v/>
      </c>
      <c r="M28" s="21">
        <f>IFERROR(subQ!M16/subQ!M15,"")</f>
        <v/>
      </c>
      <c r="N28" s="21">
        <f>IFERROR(subQ!N16/subQ!N15,"")</f>
        <v/>
      </c>
      <c r="O28" s="21">
        <f>IFERROR(subQ!O16/subQ!O15,"")</f>
        <v/>
      </c>
      <c r="P28" s="22">
        <f>IFERROR(subQ!P16/subQ!P15,"")</f>
        <v/>
      </c>
      <c r="Q28" s="21">
        <f>IFERROR(subQ!Q16/subQ!Q15,"")</f>
        <v/>
      </c>
      <c r="R28" s="21">
        <f>IFERROR(subQ!R16/subQ!R15,"")</f>
        <v/>
      </c>
      <c r="S28" s="21">
        <f>IFERROR(subQ!S16/subQ!S15,"")</f>
        <v/>
      </c>
      <c r="T28" s="21">
        <f>IFERROR(subQ!T16/subQ!T15,"")</f>
        <v/>
      </c>
      <c r="U28" s="22">
        <f>IFERROR(subQ!U16/subQ!U15,"")</f>
        <v/>
      </c>
      <c r="V28" s="21">
        <f>IFERROR(subQ!V16/subQ!V15,"")</f>
        <v/>
      </c>
      <c r="W28" s="21">
        <f>IFERROR(subQ!W16/subQ!W15,"")</f>
        <v/>
      </c>
      <c r="X28" s="21">
        <f>IFERROR(subQ!X16/subQ!X15,"")</f>
        <v/>
      </c>
      <c r="Y28" s="21">
        <f>IFERROR(subQ!Y16/subQ!Y15,"")</f>
        <v/>
      </c>
      <c r="Z28" s="22">
        <f>IFERROR(subQ!Z16/subQ!Z15,"")</f>
        <v/>
      </c>
      <c r="AA28" s="21">
        <f>IFERROR(subQ!AA16/subQ!AA15,"")</f>
        <v/>
      </c>
      <c r="AB28" s="23">
        <f>IFERROR(subQ!AB16/subQ!AB15,"")</f>
        <v/>
      </c>
      <c r="AC28" s="24" t="n">
        <v>1</v>
      </c>
      <c r="AD28" s="24" t="n">
        <v>1</v>
      </c>
      <c r="AE28" s="25">
        <f>IFERROR(subQ!AE16/subQ!AE15,"")</f>
        <v/>
      </c>
      <c r="AF28" s="24" t="n">
        <v>1</v>
      </c>
      <c r="AG28" s="24" t="n">
        <v>1</v>
      </c>
      <c r="AH28" s="24" t="n">
        <v>1</v>
      </c>
      <c r="AI28" s="24" t="n">
        <v>1</v>
      </c>
      <c r="AJ28" s="25">
        <f>IFERROR(subQ!AJ16/subQ!AJ15,"")</f>
        <v/>
      </c>
      <c r="AK28" s="24" t="n">
        <v>1</v>
      </c>
      <c r="AL28" s="24" t="n">
        <v>1</v>
      </c>
      <c r="AM28" s="24" t="n">
        <v>1</v>
      </c>
      <c r="AN28" s="24" t="n">
        <v>1</v>
      </c>
      <c r="AO28" s="25">
        <f>IFERROR(subQ!AO16/subQ!AO15,"")</f>
        <v/>
      </c>
    </row>
    <row r="29">
      <c r="A29" s="12" t="inlineStr">
        <is>
          <t>drv:감가상각비</t>
        </is>
      </c>
      <c r="B29" s="2" t="inlineStr">
        <is>
          <t>yoy</t>
        </is>
      </c>
      <c r="C29" t="inlineStr">
        <is>
          <t>감가상각비 YoY</t>
        </is>
      </c>
      <c r="E29" s="21" t="n"/>
      <c r="F29" s="22" t="n"/>
      <c r="G29" s="21" t="n"/>
      <c r="H29" s="21" t="n"/>
      <c r="I29" s="21" t="n"/>
      <c r="J29" s="21">
        <f>IFERROR(subQ!J17/subQ!E17-1,"")</f>
        <v/>
      </c>
      <c r="K29" s="22" t="n"/>
      <c r="L29" s="21">
        <f>IFERROR(subQ!L17/subQ!G17-1,"")</f>
        <v/>
      </c>
      <c r="M29" s="21">
        <f>IFERROR(subQ!M17/subQ!H17-1,"")</f>
        <v/>
      </c>
      <c r="N29" s="21">
        <f>IFERROR(subQ!N17/subQ!I17-1,"")</f>
        <v/>
      </c>
      <c r="O29" s="21">
        <f>IFERROR(subQ!O17/subQ!J17-1,"")</f>
        <v/>
      </c>
      <c r="P29" s="22" t="n"/>
      <c r="Q29" s="21">
        <f>IFERROR(subQ!Q17/subQ!L17-1,"")</f>
        <v/>
      </c>
      <c r="R29" s="21">
        <f>IFERROR(subQ!R17/subQ!M17-1,"")</f>
        <v/>
      </c>
      <c r="S29" s="21">
        <f>IFERROR(subQ!S17/subQ!N17-1,"")</f>
        <v/>
      </c>
      <c r="T29" s="21">
        <f>IFERROR(subQ!T17/subQ!O17-1,"")</f>
        <v/>
      </c>
      <c r="U29" s="22" t="n"/>
      <c r="V29" s="21">
        <f>IFERROR(subQ!V17/subQ!Q17-1,"")</f>
        <v/>
      </c>
      <c r="W29" s="21">
        <f>IFERROR(subQ!W17/subQ!R17-1,"")</f>
        <v/>
      </c>
      <c r="X29" s="21">
        <f>IFERROR(subQ!X17/subQ!S17-1,"")</f>
        <v/>
      </c>
      <c r="Y29" s="21">
        <f>IFERROR(subQ!Y17/subQ!T17-1,"")</f>
        <v/>
      </c>
      <c r="Z29" s="22" t="n"/>
      <c r="AA29" s="21">
        <f>IFERROR(subQ!AA17/subQ!V17-1,"")</f>
        <v/>
      </c>
      <c r="AB29" s="23">
        <f>IFERROR(subQ!AB17/subQ!W17-1,"")</f>
        <v/>
      </c>
      <c r="AC29" s="24" t="n">
        <v>-0.002535</v>
      </c>
      <c r="AD29" s="24" t="n">
        <v>-0.000541</v>
      </c>
      <c r="AE29" s="25" t="n"/>
      <c r="AF29" s="24" t="n">
        <v>0.001377</v>
      </c>
      <c r="AG29" s="24" t="n">
        <v>0.006585</v>
      </c>
      <c r="AH29" s="24" t="n">
        <v>0</v>
      </c>
      <c r="AI29" s="24" t="n">
        <v>0</v>
      </c>
      <c r="AJ29" s="25" t="n"/>
      <c r="AK29" s="24" t="n">
        <v>0</v>
      </c>
      <c r="AL29" s="24" t="n">
        <v>0</v>
      </c>
      <c r="AM29" s="24" t="n">
        <v>0</v>
      </c>
      <c r="AN29" s="24" t="n">
        <v>0</v>
      </c>
      <c r="AO29" s="25" t="n"/>
    </row>
    <row r="30">
      <c r="A30" s="12" t="inlineStr">
        <is>
          <t>drv:EBITDA</t>
        </is>
      </c>
      <c r="B30" s="2" t="inlineStr">
        <is>
          <t>yoy</t>
        </is>
      </c>
      <c r="C30" t="inlineStr">
        <is>
          <t>EBITDA YoY</t>
        </is>
      </c>
      <c r="E30" s="21" t="n"/>
      <c r="F30" s="22" t="n"/>
      <c r="G30" s="21" t="n"/>
      <c r="H30" s="21" t="n"/>
      <c r="I30" s="21" t="n"/>
      <c r="J30" s="21">
        <f>IFERROR(subQ!J18/subQ!E18-1,"")</f>
        <v/>
      </c>
      <c r="K30" s="22" t="n"/>
      <c r="L30" s="21">
        <f>IFERROR(subQ!L18/subQ!G18-1,"")</f>
        <v/>
      </c>
      <c r="M30" s="21">
        <f>IFERROR(subQ!M18/subQ!H18-1,"")</f>
        <v/>
      </c>
      <c r="N30" s="21">
        <f>IFERROR(subQ!N18/subQ!I18-1,"")</f>
        <v/>
      </c>
      <c r="O30" s="21">
        <f>IFERROR(subQ!O18/subQ!J18-1,"")</f>
        <v/>
      </c>
      <c r="P30" s="22" t="n"/>
      <c r="Q30" s="21">
        <f>IFERROR(subQ!Q18/subQ!L18-1,"")</f>
        <v/>
      </c>
      <c r="R30" s="21">
        <f>IFERROR(subQ!R18/subQ!M18-1,"")</f>
        <v/>
      </c>
      <c r="S30" s="21">
        <f>IFERROR(subQ!S18/subQ!N18-1,"")</f>
        <v/>
      </c>
      <c r="T30" s="21">
        <f>IFERROR(subQ!T18/subQ!O18-1,"")</f>
        <v/>
      </c>
      <c r="U30" s="22" t="n"/>
      <c r="V30" s="21">
        <f>IFERROR(subQ!V18/subQ!Q18-1,"")</f>
        <v/>
      </c>
      <c r="W30" s="21">
        <f>IFERROR(subQ!W18/subQ!R18-1,"")</f>
        <v/>
      </c>
      <c r="X30" s="21">
        <f>IFERROR(subQ!X18/subQ!S18-1,"")</f>
        <v/>
      </c>
      <c r="Y30" s="21">
        <f>IFERROR(subQ!Y18/subQ!T18-1,"")</f>
        <v/>
      </c>
      <c r="Z30" s="22" t="n"/>
      <c r="AA30" s="21">
        <f>IFERROR(subQ!AA18/subQ!V18-1,"")</f>
        <v/>
      </c>
      <c r="AB30" s="23">
        <f>IFERROR(subQ!AB18/subQ!W18-1,"")</f>
        <v/>
      </c>
      <c r="AC30" s="24" t="n">
        <v>-0.334047</v>
      </c>
      <c r="AD30" s="24" t="n">
        <v>-0.45414</v>
      </c>
      <c r="AE30" s="25" t="n"/>
      <c r="AF30" s="24" t="n">
        <v>0.10585</v>
      </c>
      <c r="AG30" s="24" t="n">
        <v>-0.474294</v>
      </c>
      <c r="AH30" s="24" t="n">
        <v>0.076711</v>
      </c>
      <c r="AI30" s="24" t="n">
        <v>0.015646</v>
      </c>
      <c r="AJ30" s="25" t="n"/>
      <c r="AK30" s="24" t="n">
        <v>-0.016121</v>
      </c>
      <c r="AL30" s="24" t="n">
        <v>-0.028466</v>
      </c>
      <c r="AM30" s="24" t="n">
        <v>-0.036689</v>
      </c>
      <c r="AN30" s="24" t="n">
        <v>-0.046885</v>
      </c>
      <c r="AO30" s="25" t="n"/>
    </row>
    <row r="31">
      <c r="A31" s="12" t="inlineStr">
        <is>
          <t>drv:부채총계</t>
        </is>
      </c>
      <c r="B31" s="2" t="inlineStr">
        <is>
          <t>qoq</t>
        </is>
      </c>
      <c r="C31" t="inlineStr">
        <is>
          <t>부채총계 QoQ</t>
        </is>
      </c>
      <c r="E31" s="21" t="n"/>
      <c r="F31" s="22" t="n"/>
      <c r="G31" s="21">
        <f>IFERROR(subQ!G20/subQ!E20-1,"")</f>
        <v/>
      </c>
      <c r="H31" s="21">
        <f>IFERROR(subQ!H20/subQ!G20-1,"")</f>
        <v/>
      </c>
      <c r="I31" s="21">
        <f>IFERROR(subQ!I20/subQ!H20-1,"")</f>
        <v/>
      </c>
      <c r="J31" s="21">
        <f>IFERROR(subQ!J20/subQ!I20-1,"")</f>
        <v/>
      </c>
      <c r="K31" s="22" t="n"/>
      <c r="L31" s="21">
        <f>IFERROR(subQ!L20/subQ!J20-1,"")</f>
        <v/>
      </c>
      <c r="M31" s="21">
        <f>IFERROR(subQ!M20/subQ!L20-1,"")</f>
        <v/>
      </c>
      <c r="N31" s="21">
        <f>IFERROR(subQ!N20/subQ!M20-1,"")</f>
        <v/>
      </c>
      <c r="O31" s="21">
        <f>IFERROR(subQ!O20/subQ!N20-1,"")</f>
        <v/>
      </c>
      <c r="P31" s="22" t="n"/>
      <c r="Q31" s="21">
        <f>IFERROR(subQ!Q20/subQ!O20-1,"")</f>
        <v/>
      </c>
      <c r="R31" s="21">
        <f>IFERROR(subQ!R20/subQ!Q20-1,"")</f>
        <v/>
      </c>
      <c r="S31" s="21">
        <f>IFERROR(subQ!S20/subQ!R20-1,"")</f>
        <v/>
      </c>
      <c r="T31" s="21">
        <f>IFERROR(subQ!T20/subQ!S20-1,"")</f>
        <v/>
      </c>
      <c r="U31" s="22" t="n"/>
      <c r="V31" s="21">
        <f>IFERROR(subQ!V20/subQ!T20-1,"")</f>
        <v/>
      </c>
      <c r="W31" s="21">
        <f>IFERROR(subQ!W20/subQ!V20-1,"")</f>
        <v/>
      </c>
      <c r="X31" s="21">
        <f>IFERROR(subQ!X20/subQ!W20-1,"")</f>
        <v/>
      </c>
      <c r="Y31" s="21">
        <f>IFERROR(subQ!Y20/subQ!X20-1,"")</f>
        <v/>
      </c>
      <c r="Z31" s="22" t="n"/>
      <c r="AA31" s="21">
        <f>IFERROR(subQ!AA20/subQ!Y20-1,"")</f>
        <v/>
      </c>
      <c r="AB31" s="23">
        <f>IFERROR(subQ!AB20/subQ!AA20-1,"")</f>
        <v/>
      </c>
      <c r="AC31" s="24" t="n">
        <v>2.2e-05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drv:자본총계</t>
        </is>
      </c>
      <c r="B32" s="2" t="inlineStr">
        <is>
          <t>roll</t>
        </is>
      </c>
      <c r="C32" t="inlineStr">
        <is>
          <t>자본총계 기타변동(배당 등, 억원)</t>
        </is>
      </c>
      <c r="E32" s="26" t="n"/>
      <c r="F32" s="27" t="n"/>
      <c r="G32" s="26">
        <f>IFERROR(subQ!E21+subQ!G15-subQ!G21,"")</f>
        <v/>
      </c>
      <c r="H32" s="26">
        <f>IFERROR(subQ!G21+subQ!H15-subQ!H21,"")</f>
        <v/>
      </c>
      <c r="I32" s="26">
        <f>IFERROR(subQ!H21+subQ!I15-subQ!I21,"")</f>
        <v/>
      </c>
      <c r="J32" s="26">
        <f>IFERROR(subQ!I21+subQ!J15-subQ!J21,"")</f>
        <v/>
      </c>
      <c r="K32" s="27" t="n"/>
      <c r="L32" s="26">
        <f>IFERROR(subQ!J21+subQ!L15-subQ!L21,"")</f>
        <v/>
      </c>
      <c r="M32" s="26">
        <f>IFERROR(subQ!L21+subQ!M15-subQ!M21,"")</f>
        <v/>
      </c>
      <c r="N32" s="26">
        <f>IFERROR(subQ!M21+subQ!N15-subQ!N21,"")</f>
        <v/>
      </c>
      <c r="O32" s="26">
        <f>IFERROR(subQ!N21+subQ!O15-subQ!O21,"")</f>
        <v/>
      </c>
      <c r="P32" s="27" t="n"/>
      <c r="Q32" s="26">
        <f>IFERROR(subQ!O21+subQ!Q15-subQ!Q21,"")</f>
        <v/>
      </c>
      <c r="R32" s="26">
        <f>IFERROR(subQ!Q21+subQ!R15-subQ!R21,"")</f>
        <v/>
      </c>
      <c r="S32" s="26">
        <f>IFERROR(subQ!R21+subQ!S15-subQ!S21,"")</f>
        <v/>
      </c>
      <c r="T32" s="26">
        <f>IFERROR(subQ!S21+subQ!T15-subQ!T21,"")</f>
        <v/>
      </c>
      <c r="U32" s="27" t="n"/>
      <c r="V32" s="26">
        <f>IFERROR(subQ!T21+subQ!V15-subQ!V21,"")</f>
        <v/>
      </c>
      <c r="W32" s="26">
        <f>IFERROR(subQ!V21+subQ!W15-subQ!W21,"")</f>
        <v/>
      </c>
      <c r="X32" s="26">
        <f>IFERROR(subQ!W21+subQ!X15-subQ!X21,"")</f>
        <v/>
      </c>
      <c r="Y32" s="26">
        <f>IFERROR(subQ!X21+subQ!Y15-subQ!Y21,"")</f>
        <v/>
      </c>
      <c r="Z32" s="27" t="n"/>
      <c r="AA32" s="26">
        <f>IFERROR(subQ!Y21+subQ!AA15-subQ!AA21,"")</f>
        <v/>
      </c>
      <c r="AB32" s="28">
        <f>IFERROR(subQ!AA21+subQ!AB15-subQ!AB21,"")</f>
        <v/>
      </c>
      <c r="AC32" s="29" t="n">
        <v>0.0029</v>
      </c>
      <c r="AD32" s="29" t="n">
        <v>0</v>
      </c>
      <c r="AE32" s="30" t="n"/>
      <c r="AF32" s="29" t="n">
        <v>0.01</v>
      </c>
      <c r="AG32" s="29" t="n">
        <v>-0</v>
      </c>
      <c r="AH32" s="29" t="n">
        <v>-0.01</v>
      </c>
      <c r="AI32" s="29" t="n">
        <v>0</v>
      </c>
      <c r="AJ32" s="30" t="n"/>
      <c r="AK32" s="29" t="n">
        <v>0</v>
      </c>
      <c r="AL32" s="29" t="n">
        <v>0</v>
      </c>
      <c r="AM32" s="29" t="n">
        <v>0.01</v>
      </c>
      <c r="AN32" s="29" t="n">
        <v>-0.01</v>
      </c>
      <c r="AO32" s="30" t="n"/>
    </row>
    <row r="33">
      <c r="A33" s="12" t="inlineStr">
        <is>
          <t>drv:지배주주지분</t>
        </is>
      </c>
      <c r="B33" s="2" t="inlineStr">
        <is>
          <t>roll</t>
        </is>
      </c>
      <c r="C33" t="inlineStr">
        <is>
          <t>지배주주지분 기타변동(배당 등, 억원)</t>
        </is>
      </c>
      <c r="E33" s="26" t="n"/>
      <c r="F33" s="27" t="n"/>
      <c r="G33" s="26">
        <f>IFERROR(subQ!E22+subQ!G16-subQ!G22,"")</f>
        <v/>
      </c>
      <c r="H33" s="26">
        <f>IFERROR(subQ!G22+subQ!H16-subQ!H22,"")</f>
        <v/>
      </c>
      <c r="I33" s="26">
        <f>IFERROR(subQ!H22+subQ!I16-subQ!I22,"")</f>
        <v/>
      </c>
      <c r="J33" s="26">
        <f>IFERROR(subQ!I22+subQ!J16-subQ!J22,"")</f>
        <v/>
      </c>
      <c r="K33" s="27" t="n"/>
      <c r="L33" s="26">
        <f>IFERROR(subQ!J22+subQ!L16-subQ!L22,"")</f>
        <v/>
      </c>
      <c r="M33" s="26">
        <f>IFERROR(subQ!L22+subQ!M16-subQ!M22,"")</f>
        <v/>
      </c>
      <c r="N33" s="26">
        <f>IFERROR(subQ!M22+subQ!N16-subQ!N22,"")</f>
        <v/>
      </c>
      <c r="O33" s="26">
        <f>IFERROR(subQ!N22+subQ!O16-subQ!O22,"")</f>
        <v/>
      </c>
      <c r="P33" s="27" t="n"/>
      <c r="Q33" s="26">
        <f>IFERROR(subQ!O22+subQ!Q16-subQ!Q22,"")</f>
        <v/>
      </c>
      <c r="R33" s="26">
        <f>IFERROR(subQ!Q22+subQ!R16-subQ!R22,"")</f>
        <v/>
      </c>
      <c r="S33" s="26">
        <f>IFERROR(subQ!R22+subQ!S16-subQ!S22,"")</f>
        <v/>
      </c>
      <c r="T33" s="26">
        <f>IFERROR(subQ!S22+subQ!T16-subQ!T22,"")</f>
        <v/>
      </c>
      <c r="U33" s="27" t="n"/>
      <c r="V33" s="26">
        <f>IFERROR(subQ!T22+subQ!V16-subQ!V22,"")</f>
        <v/>
      </c>
      <c r="W33" s="26">
        <f>IFERROR(subQ!V22+subQ!W16-subQ!W22,"")</f>
        <v/>
      </c>
      <c r="X33" s="26">
        <f>IFERROR(subQ!W22+subQ!X16-subQ!X22,"")</f>
        <v/>
      </c>
      <c r="Y33" s="26">
        <f>IFERROR(subQ!X22+subQ!Y16-subQ!Y22,"")</f>
        <v/>
      </c>
      <c r="Z33" s="27" t="n"/>
      <c r="AA33" s="26">
        <f>IFERROR(subQ!Y22+subQ!AA16-subQ!AA22,"")</f>
        <v/>
      </c>
      <c r="AB33" s="28">
        <f>IFERROR(subQ!AA22+subQ!AB16-subQ!AB22,"")</f>
        <v/>
      </c>
      <c r="AC33" s="29" t="n">
        <v>0.0029</v>
      </c>
      <c r="AD33" s="29" t="n">
        <v>0</v>
      </c>
      <c r="AE33" s="30" t="n"/>
      <c r="AF33" s="29" t="n">
        <v>0.01</v>
      </c>
      <c r="AG33" s="29" t="n">
        <v>-0</v>
      </c>
      <c r="AH33" s="29" t="n">
        <v>-0.01</v>
      </c>
      <c r="AI33" s="29" t="n">
        <v>0</v>
      </c>
      <c r="AJ33" s="30" t="n"/>
      <c r="AK33" s="29" t="n">
        <v>0</v>
      </c>
      <c r="AL33" s="29" t="n">
        <v>0</v>
      </c>
      <c r="AM33" s="29" t="n">
        <v>0.01</v>
      </c>
      <c r="AN33" s="29" t="n">
        <v>-0.01</v>
      </c>
      <c r="AO33" s="30" t="n"/>
    </row>
    <row r="34">
      <c r="A34" s="12" t="inlineStr">
        <is>
          <t>drv:총차입금</t>
        </is>
      </c>
      <c r="B34" s="2" t="inlineStr">
        <is>
          <t>qoq</t>
        </is>
      </c>
      <c r="C34" t="inlineStr">
        <is>
          <t>총차입금 QoQ</t>
        </is>
      </c>
      <c r="E34" s="21" t="n"/>
      <c r="F34" s="22" t="n"/>
      <c r="G34" s="21">
        <f>IFERROR(subQ!G23/subQ!E23-1,"")</f>
        <v/>
      </c>
      <c r="H34" s="21">
        <f>IFERROR(subQ!H23/subQ!G23-1,"")</f>
        <v/>
      </c>
      <c r="I34" s="21">
        <f>IFERROR(subQ!I23/subQ!H23-1,"")</f>
        <v/>
      </c>
      <c r="J34" s="21">
        <f>IFERROR(subQ!J23/subQ!I23-1,"")</f>
        <v/>
      </c>
      <c r="K34" s="22" t="n"/>
      <c r="L34" s="21">
        <f>IFERROR(subQ!L23/subQ!J23-1,"")</f>
        <v/>
      </c>
      <c r="M34" s="21">
        <f>IFERROR(subQ!M23/subQ!L23-1,"")</f>
        <v/>
      </c>
      <c r="N34" s="21">
        <f>IFERROR(subQ!N23/subQ!M23-1,"")</f>
        <v/>
      </c>
      <c r="O34" s="21">
        <f>IFERROR(subQ!O23/subQ!N23-1,"")</f>
        <v/>
      </c>
      <c r="P34" s="22" t="n"/>
      <c r="Q34" s="21">
        <f>IFERROR(subQ!Q23/subQ!O23-1,"")</f>
        <v/>
      </c>
      <c r="R34" s="21">
        <f>IFERROR(subQ!R23/subQ!Q23-1,"")</f>
        <v/>
      </c>
      <c r="S34" s="21">
        <f>IFERROR(subQ!S23/subQ!R23-1,"")</f>
        <v/>
      </c>
      <c r="T34" s="21">
        <f>IFERROR(subQ!T23/subQ!S23-1,"")</f>
        <v/>
      </c>
      <c r="U34" s="22" t="n"/>
      <c r="V34" s="21">
        <f>IFERROR(subQ!V23/subQ!T23-1,"")</f>
        <v/>
      </c>
      <c r="W34" s="21">
        <f>IFERROR(subQ!W23/subQ!V23-1,"")</f>
        <v/>
      </c>
      <c r="X34" s="21">
        <f>IFERROR(subQ!X23/subQ!W23-1,"")</f>
        <v/>
      </c>
      <c r="Y34" s="21">
        <f>IFERROR(subQ!Y23/subQ!X23-1,"")</f>
        <v/>
      </c>
      <c r="Z34" s="22" t="n"/>
      <c r="AA34" s="21">
        <f>IFERROR(subQ!AA23/subQ!Y23-1,"")</f>
        <v/>
      </c>
      <c r="AB34" s="23">
        <f>IFERROR(subQ!AB23/subQ!AA23-1,"")</f>
        <v/>
      </c>
      <c r="AC34" s="24" t="n">
        <v>0</v>
      </c>
      <c r="AD34" s="24" t="n">
        <v>0</v>
      </c>
      <c r="AE34" s="25" t="n"/>
      <c r="AF34" s="24" t="n">
        <v>0</v>
      </c>
      <c r="AG34" s="24" t="n">
        <v>0</v>
      </c>
      <c r="AH34" s="24" t="n">
        <v>0</v>
      </c>
      <c r="AI34" s="24" t="n">
        <v>0</v>
      </c>
      <c r="AJ34" s="25" t="n"/>
      <c r="AK34" s="24" t="n">
        <v>0</v>
      </c>
      <c r="AL34" s="24" t="n">
        <v>0</v>
      </c>
      <c r="AM34" s="24" t="n">
        <v>0</v>
      </c>
      <c r="AN34" s="24" t="n">
        <v>0</v>
      </c>
      <c r="AO34" s="25" t="n"/>
    </row>
    <row r="35">
      <c r="A35" s="12" t="inlineStr">
        <is>
          <t>drv:순차입금</t>
        </is>
      </c>
      <c r="B35" s="2" t="inlineStr">
        <is>
          <t>qoq</t>
        </is>
      </c>
      <c r="C35" t="inlineStr">
        <is>
          <t>순차입금 QoQ</t>
        </is>
      </c>
      <c r="E35" s="21" t="n"/>
      <c r="F35" s="22" t="n"/>
      <c r="G35" s="21">
        <f>IFERROR(subQ!G24/subQ!E24-1,"")</f>
        <v/>
      </c>
      <c r="H35" s="21">
        <f>IFERROR(subQ!H24/subQ!G24-1,"")</f>
        <v/>
      </c>
      <c r="I35" s="21">
        <f>IFERROR(subQ!I24/subQ!H24-1,"")</f>
        <v/>
      </c>
      <c r="J35" s="21">
        <f>IFERROR(subQ!J24/subQ!I24-1,"")</f>
        <v/>
      </c>
      <c r="K35" s="22" t="n"/>
      <c r="L35" s="21">
        <f>IFERROR(subQ!L24/subQ!J24-1,"")</f>
        <v/>
      </c>
      <c r="M35" s="21">
        <f>IFERROR(subQ!M24/subQ!L24-1,"")</f>
        <v/>
      </c>
      <c r="N35" s="21">
        <f>IFERROR(subQ!N24/subQ!M24-1,"")</f>
        <v/>
      </c>
      <c r="O35" s="21">
        <f>IFERROR(subQ!O24/subQ!N24-1,"")</f>
        <v/>
      </c>
      <c r="P35" s="22" t="n"/>
      <c r="Q35" s="21">
        <f>IFERROR(subQ!Q24/subQ!O24-1,"")</f>
        <v/>
      </c>
      <c r="R35" s="21">
        <f>IFERROR(subQ!R24/subQ!Q24-1,"")</f>
        <v/>
      </c>
      <c r="S35" s="21">
        <f>IFERROR(subQ!S24/subQ!R24-1,"")</f>
        <v/>
      </c>
      <c r="T35" s="21">
        <f>IFERROR(subQ!T24/subQ!S24-1,"")</f>
        <v/>
      </c>
      <c r="U35" s="22" t="n"/>
      <c r="V35" s="21">
        <f>IFERROR(subQ!V24/subQ!T24-1,"")</f>
        <v/>
      </c>
      <c r="W35" s="21">
        <f>IFERROR(subQ!W24/subQ!V24-1,"")</f>
        <v/>
      </c>
      <c r="X35" s="21">
        <f>IFERROR(subQ!X24/subQ!W24-1,"")</f>
        <v/>
      </c>
      <c r="Y35" s="21">
        <f>IFERROR(subQ!Y24/subQ!X24-1,"")</f>
        <v/>
      </c>
      <c r="Z35" s="22" t="n"/>
      <c r="AA35" s="21">
        <f>IFERROR(subQ!AA24/subQ!Y24-1,"")</f>
        <v/>
      </c>
      <c r="AB35" s="23">
        <f>IFERROR(subQ!AB24/subQ!AA24-1,"")</f>
        <v/>
      </c>
      <c r="AC35" s="24" t="n">
        <v>0.276093</v>
      </c>
      <c r="AD35" s="24" t="n">
        <v>0.300126</v>
      </c>
      <c r="AE35" s="25" t="n"/>
      <c r="AF35" s="24" t="n">
        <v>0.151398</v>
      </c>
      <c r="AG35" s="24" t="n">
        <v>0.145888</v>
      </c>
      <c r="AH35" s="24" t="n">
        <v>0.138141</v>
      </c>
      <c r="AI35" s="24" t="n">
        <v>0.157546</v>
      </c>
      <c r="AJ35" s="25" t="n"/>
      <c r="AK35" s="24" t="n">
        <v>0.086643</v>
      </c>
      <c r="AL35" s="24" t="n">
        <v>0.087204</v>
      </c>
      <c r="AM35" s="24" t="n">
        <v>0.086178</v>
      </c>
      <c r="AN35" s="24" t="n">
        <v>0.101637</v>
      </c>
      <c r="AO35" s="25" t="n"/>
    </row>
    <row r="36">
      <c r="A36" s="12" t="inlineStr">
        <is>
          <t>drv:이자발생자산</t>
        </is>
      </c>
      <c r="B36" s="2" t="inlineStr">
        <is>
          <t>qoq</t>
        </is>
      </c>
      <c r="C36" t="inlineStr">
        <is>
          <t>이자발생자산 QoQ</t>
        </is>
      </c>
      <c r="E36" s="21" t="n"/>
      <c r="F36" s="22" t="n"/>
      <c r="G36" s="21">
        <f>IFERROR(subQ!G25/subQ!E25-1,"")</f>
        <v/>
      </c>
      <c r="H36" s="21">
        <f>IFERROR(subQ!H25/subQ!G25-1,"")</f>
        <v/>
      </c>
      <c r="I36" s="21">
        <f>IFERROR(subQ!I25/subQ!H25-1,"")</f>
        <v/>
      </c>
      <c r="J36" s="21">
        <f>IFERROR(subQ!J25/subQ!I25-1,"")</f>
        <v/>
      </c>
      <c r="K36" s="22" t="n"/>
      <c r="L36" s="21">
        <f>IFERROR(subQ!L25/subQ!J25-1,"")</f>
        <v/>
      </c>
      <c r="M36" s="21">
        <f>IFERROR(subQ!M25/subQ!L25-1,"")</f>
        <v/>
      </c>
      <c r="N36" s="21">
        <f>IFERROR(subQ!N25/subQ!M25-1,"")</f>
        <v/>
      </c>
      <c r="O36" s="21">
        <f>IFERROR(subQ!O25/subQ!N25-1,"")</f>
        <v/>
      </c>
      <c r="P36" s="22" t="n"/>
      <c r="Q36" s="21">
        <f>IFERROR(subQ!Q25/subQ!O25-1,"")</f>
        <v/>
      </c>
      <c r="R36" s="21">
        <f>IFERROR(subQ!R25/subQ!Q25-1,"")</f>
        <v/>
      </c>
      <c r="S36" s="21">
        <f>IFERROR(subQ!S25/subQ!R25-1,"")</f>
        <v/>
      </c>
      <c r="T36" s="21">
        <f>IFERROR(subQ!T25/subQ!S25-1,"")</f>
        <v/>
      </c>
      <c r="U36" s="22" t="n"/>
      <c r="V36" s="21">
        <f>IFERROR(subQ!V25/subQ!T25-1,"")</f>
        <v/>
      </c>
      <c r="W36" s="21">
        <f>IFERROR(subQ!W25/subQ!V25-1,"")</f>
        <v/>
      </c>
      <c r="X36" s="21">
        <f>IFERROR(subQ!X25/subQ!W25-1,"")</f>
        <v/>
      </c>
      <c r="Y36" s="21">
        <f>IFERROR(subQ!Y25/subQ!X25-1,"")</f>
        <v/>
      </c>
      <c r="Z36" s="22" t="n"/>
      <c r="AA36" s="21">
        <f>IFERROR(subQ!AA25/subQ!Y25-1,"")</f>
        <v/>
      </c>
      <c r="AB36" s="23">
        <f>IFERROR(subQ!AB25/subQ!AA25-1,"")</f>
        <v/>
      </c>
      <c r="AC36" s="24" t="n">
        <v>0.103919</v>
      </c>
      <c r="AD36" s="24" t="n">
        <v>0.130478</v>
      </c>
      <c r="AE36" s="25" t="n"/>
      <c r="AF36" s="24" t="n">
        <v>0.075726</v>
      </c>
      <c r="AG36" s="24" t="n">
        <v>0.07810300000000001</v>
      </c>
      <c r="AH36" s="24" t="n">
        <v>0.07860499999999999</v>
      </c>
      <c r="AI36" s="24" t="n">
        <v>0.094595</v>
      </c>
      <c r="AJ36" s="25" t="n"/>
      <c r="AK36" s="24" t="n">
        <v>0.055015</v>
      </c>
      <c r="AL36" s="24" t="n">
        <v>0.057031</v>
      </c>
      <c r="AM36" s="24" t="n">
        <v>0.057969</v>
      </c>
      <c r="AN36" s="24" t="n">
        <v>0.07019</v>
      </c>
      <c r="AO36" s="25" t="n"/>
    </row>
    <row r="37">
      <c r="A37" s="12" t="inlineStr">
        <is>
          <t>drv:현금및현금성자산</t>
        </is>
      </c>
      <c r="B37" s="2" t="inlineStr">
        <is>
          <t>qoq</t>
        </is>
      </c>
      <c r="C37" t="inlineStr">
        <is>
          <t>현금및현금성자산 QoQ</t>
        </is>
      </c>
      <c r="E37" s="21" t="n"/>
      <c r="F37" s="22" t="n"/>
      <c r="G37" s="21">
        <f>IFERROR(subQ!G26/subQ!E26-1,"")</f>
        <v/>
      </c>
      <c r="H37" s="21">
        <f>IFERROR(subQ!H26/subQ!G26-1,"")</f>
        <v/>
      </c>
      <c r="I37" s="21">
        <f>IFERROR(subQ!I26/subQ!H26-1,"")</f>
        <v/>
      </c>
      <c r="J37" s="21">
        <f>IFERROR(subQ!J26/subQ!I26-1,"")</f>
        <v/>
      </c>
      <c r="K37" s="22" t="n"/>
      <c r="L37" s="21">
        <f>IFERROR(subQ!L26/subQ!J26-1,"")</f>
        <v/>
      </c>
      <c r="M37" s="21">
        <f>IFERROR(subQ!M26/subQ!L26-1,"")</f>
        <v/>
      </c>
      <c r="N37" s="21">
        <f>IFERROR(subQ!N26/subQ!M26-1,"")</f>
        <v/>
      </c>
      <c r="O37" s="21">
        <f>IFERROR(subQ!O26/subQ!N26-1,"")</f>
        <v/>
      </c>
      <c r="P37" s="22" t="n"/>
      <c r="Q37" s="21">
        <f>IFERROR(subQ!Q26/subQ!O26-1,"")</f>
        <v/>
      </c>
      <c r="R37" s="21">
        <f>IFERROR(subQ!R26/subQ!Q26-1,"")</f>
        <v/>
      </c>
      <c r="S37" s="21">
        <f>IFERROR(subQ!S26/subQ!R26-1,"")</f>
        <v/>
      </c>
      <c r="T37" s="21">
        <f>IFERROR(subQ!T26/subQ!S26-1,"")</f>
        <v/>
      </c>
      <c r="U37" s="22" t="n"/>
      <c r="V37" s="21">
        <f>IFERROR(subQ!V26/subQ!T26-1,"")</f>
        <v/>
      </c>
      <c r="W37" s="21">
        <f>IFERROR(subQ!W26/subQ!V26-1,"")</f>
        <v/>
      </c>
      <c r="X37" s="21">
        <f>IFERROR(subQ!X26/subQ!W26-1,"")</f>
        <v/>
      </c>
      <c r="Y37" s="21">
        <f>IFERROR(subQ!Y26/subQ!X26-1,"")</f>
        <v/>
      </c>
      <c r="Z37" s="22" t="n"/>
      <c r="AA37" s="21">
        <f>IFERROR(subQ!AA26/subQ!Y26-1,"")</f>
        <v/>
      </c>
      <c r="AB37" s="23">
        <f>IFERROR(subQ!AB26/subQ!AA26-1,"")</f>
        <v/>
      </c>
      <c r="AC37" s="31" t="n"/>
      <c r="AD37" s="31" t="n"/>
      <c r="AE37" s="25" t="n"/>
      <c r="AF37" s="31" t="n"/>
      <c r="AG37" s="31" t="n"/>
      <c r="AH37" s="31" t="n"/>
      <c r="AI37" s="31" t="n"/>
      <c r="AJ37" s="25" t="n"/>
      <c r="AK37" s="31" t="n"/>
      <c r="AL37" s="31" t="n"/>
      <c r="AM37" s="31" t="n"/>
      <c r="AN37" s="31" t="n"/>
      <c r="AO37" s="25" t="n"/>
    </row>
    <row r="38">
      <c r="A38" s="12" t="inlineStr">
        <is>
          <t>drv:CAPEX</t>
        </is>
      </c>
      <c r="B38" s="2" t="inlineStr">
        <is>
          <t>yoy</t>
        </is>
      </c>
      <c r="C38" t="inlineStr">
        <is>
          <t>CAPEX YoY</t>
        </is>
      </c>
      <c r="E38" s="21" t="n"/>
      <c r="F38" s="22" t="n"/>
      <c r="G38" s="21" t="n"/>
      <c r="H38" s="21" t="n"/>
      <c r="I38" s="21" t="n"/>
      <c r="J38" s="21">
        <f>IFERROR(subQ!J27/subQ!E27-1,"")</f>
        <v/>
      </c>
      <c r="K38" s="22" t="n"/>
      <c r="L38" s="21">
        <f>IFERROR(subQ!L27/subQ!G27-1,"")</f>
        <v/>
      </c>
      <c r="M38" s="21">
        <f>IFERROR(subQ!M27/subQ!H27-1,"")</f>
        <v/>
      </c>
      <c r="N38" s="21">
        <f>IFERROR(subQ!N27/subQ!I27-1,"")</f>
        <v/>
      </c>
      <c r="O38" s="21">
        <f>IFERROR(subQ!O27/subQ!J27-1,"")</f>
        <v/>
      </c>
      <c r="P38" s="22" t="n"/>
      <c r="Q38" s="21">
        <f>IFERROR(subQ!Q27/subQ!L27-1,"")</f>
        <v/>
      </c>
      <c r="R38" s="21">
        <f>IFERROR(subQ!R27/subQ!M27-1,"")</f>
        <v/>
      </c>
      <c r="S38" s="21">
        <f>IFERROR(subQ!S27/subQ!N27-1,"")</f>
        <v/>
      </c>
      <c r="T38" s="21">
        <f>IFERROR(subQ!T27/subQ!O27-1,"")</f>
        <v/>
      </c>
      <c r="U38" s="22" t="n"/>
      <c r="V38" s="21">
        <f>IFERROR(subQ!V27/subQ!Q27-1,"")</f>
        <v/>
      </c>
      <c r="W38" s="21">
        <f>IFERROR(subQ!W27/subQ!R27-1,"")</f>
        <v/>
      </c>
      <c r="X38" s="21">
        <f>IFERROR(subQ!X27/subQ!S27-1,"")</f>
        <v/>
      </c>
      <c r="Y38" s="21">
        <f>IFERROR(subQ!Y27/subQ!T27-1,"")</f>
        <v/>
      </c>
      <c r="Z38" s="22" t="n"/>
      <c r="AA38" s="21">
        <f>IFERROR(subQ!AA27/subQ!V27-1,"")</f>
        <v/>
      </c>
      <c r="AB38" s="23">
        <f>IFERROR(subQ!AB27/subQ!W27-1,"")</f>
        <v/>
      </c>
      <c r="AC38" s="31" t="n"/>
      <c r="AD38" s="31" t="n"/>
      <c r="AE38" s="25" t="n"/>
      <c r="AF38" s="31" t="n"/>
      <c r="AG38" s="31" t="n"/>
      <c r="AH38" s="31" t="n"/>
      <c r="AI38" s="31" t="n"/>
      <c r="AJ38" s="25" t="n"/>
      <c r="AK38" s="31" t="n"/>
      <c r="AL38" s="31" t="n"/>
      <c r="AM38" s="31" t="n"/>
      <c r="AN38" s="31" t="n"/>
      <c r="AO38" s="25" t="n"/>
    </row>
    <row r="39">
      <c r="A39" s="12" t="inlineStr">
        <is>
          <t>drv:영업활동현금흐름</t>
        </is>
      </c>
      <c r="B39" s="2" t="inlineStr">
        <is>
          <t>yoy</t>
        </is>
      </c>
      <c r="C39" t="inlineStr">
        <is>
          <t>영업활동현금흐름 YoY</t>
        </is>
      </c>
      <c r="E39" s="21" t="n"/>
      <c r="F39" s="22" t="n"/>
      <c r="G39" s="21" t="n"/>
      <c r="H39" s="21" t="n"/>
      <c r="I39" s="21" t="n"/>
      <c r="J39" s="21">
        <f>IFERROR(subQ!J28/subQ!E28-1,"")</f>
        <v/>
      </c>
      <c r="K39" s="22" t="n"/>
      <c r="L39" s="21">
        <f>IFERROR(subQ!L28/subQ!G28-1,"")</f>
        <v/>
      </c>
      <c r="M39" s="21">
        <f>IFERROR(subQ!M28/subQ!H28-1,"")</f>
        <v/>
      </c>
      <c r="N39" s="21">
        <f>IFERROR(subQ!N28/subQ!I28-1,"")</f>
        <v/>
      </c>
      <c r="O39" s="21">
        <f>IFERROR(subQ!O28/subQ!J28-1,"")</f>
        <v/>
      </c>
      <c r="P39" s="22" t="n"/>
      <c r="Q39" s="21">
        <f>IFERROR(subQ!Q28/subQ!L28-1,"")</f>
        <v/>
      </c>
      <c r="R39" s="21">
        <f>IFERROR(subQ!R28/subQ!M28-1,"")</f>
        <v/>
      </c>
      <c r="S39" s="21">
        <f>IFERROR(subQ!S28/subQ!N28-1,"")</f>
        <v/>
      </c>
      <c r="T39" s="21">
        <f>IFERROR(subQ!T28/subQ!O28-1,"")</f>
        <v/>
      </c>
      <c r="U39" s="22" t="n"/>
      <c r="V39" s="21">
        <f>IFERROR(subQ!V28/subQ!Q28-1,"")</f>
        <v/>
      </c>
      <c r="W39" s="21">
        <f>IFERROR(subQ!W28/subQ!R28-1,"")</f>
        <v/>
      </c>
      <c r="X39" s="21">
        <f>IFERROR(subQ!X28/subQ!S28-1,"")</f>
        <v/>
      </c>
      <c r="Y39" s="21">
        <f>IFERROR(subQ!Y28/subQ!T28-1,"")</f>
        <v/>
      </c>
      <c r="Z39" s="22" t="n"/>
      <c r="AA39" s="21">
        <f>IFERROR(subQ!AA28/subQ!V28-1,"")</f>
        <v/>
      </c>
      <c r="AB39" s="23">
        <f>IFERROR(subQ!AB28/subQ!W28-1,"")</f>
        <v/>
      </c>
      <c r="AC39" s="31" t="n"/>
      <c r="AD39" s="31" t="n"/>
      <c r="AE39" s="25" t="n"/>
      <c r="AF39" s="31" t="n"/>
      <c r="AG39" s="31" t="n"/>
      <c r="AH39" s="31" t="n"/>
      <c r="AI39" s="31" t="n"/>
      <c r="AJ39" s="25" t="n"/>
      <c r="AK39" s="31" t="n"/>
      <c r="AL39" s="31" t="n"/>
      <c r="AM39" s="31" t="n"/>
      <c r="AN39" s="31" t="n"/>
      <c r="AO39" s="25" t="n"/>
    </row>
    <row r="40">
      <c r="A40" s="12" t="inlineStr">
        <is>
          <t>drv:주식수</t>
        </is>
      </c>
      <c r="B40" s="2" t="inlineStr">
        <is>
          <t>qoq</t>
        </is>
      </c>
      <c r="C40" t="inlineStr">
        <is>
          <t>주식수 QoQ</t>
        </is>
      </c>
      <c r="E40" s="21" t="n"/>
      <c r="F40" s="22" t="n"/>
      <c r="G40" s="21">
        <f>IFERROR(subQ!G29/subQ!E29-1,"")</f>
        <v/>
      </c>
      <c r="H40" s="21">
        <f>IFERROR(subQ!H29/subQ!G29-1,"")</f>
        <v/>
      </c>
      <c r="I40" s="21">
        <f>IFERROR(subQ!I29/subQ!H29-1,"")</f>
        <v/>
      </c>
      <c r="J40" s="21">
        <f>IFERROR(subQ!J29/subQ!I29-1,"")</f>
        <v/>
      </c>
      <c r="K40" s="22" t="n"/>
      <c r="L40" s="21">
        <f>IFERROR(subQ!L29/subQ!J29-1,"")</f>
        <v/>
      </c>
      <c r="M40" s="21">
        <f>IFERROR(subQ!M29/subQ!L29-1,"")</f>
        <v/>
      </c>
      <c r="N40" s="21">
        <f>IFERROR(subQ!N29/subQ!M29-1,"")</f>
        <v/>
      </c>
      <c r="O40" s="21">
        <f>IFERROR(subQ!O29/subQ!N29-1,"")</f>
        <v/>
      </c>
      <c r="P40" s="22" t="n"/>
      <c r="Q40" s="21">
        <f>IFERROR(subQ!Q29/subQ!O29-1,"")</f>
        <v/>
      </c>
      <c r="R40" s="21">
        <f>IFERROR(subQ!R29/subQ!Q29-1,"")</f>
        <v/>
      </c>
      <c r="S40" s="21">
        <f>IFERROR(subQ!S29/subQ!R29-1,"")</f>
        <v/>
      </c>
      <c r="T40" s="21">
        <f>IFERROR(subQ!T29/subQ!S29-1,"")</f>
        <v/>
      </c>
      <c r="U40" s="22" t="n"/>
      <c r="V40" s="21">
        <f>IFERROR(subQ!V29/subQ!T29-1,"")</f>
        <v/>
      </c>
      <c r="W40" s="21">
        <f>IFERROR(subQ!W29/subQ!V29-1,"")</f>
        <v/>
      </c>
      <c r="X40" s="21">
        <f>IFERROR(subQ!X29/subQ!W29-1,"")</f>
        <v/>
      </c>
      <c r="Y40" s="21">
        <f>IFERROR(subQ!Y29/subQ!X29-1,"")</f>
        <v/>
      </c>
      <c r="Z40" s="22" t="n"/>
      <c r="AA40" s="21">
        <f>IFERROR(subQ!AA29/subQ!Y29-1,"")</f>
        <v/>
      </c>
      <c r="AB40" s="23">
        <f>IFERROR(subQ!AB29/subQ!AA29-1,"")</f>
        <v/>
      </c>
      <c r="AC40" s="24" t="n">
        <v>0</v>
      </c>
      <c r="AD40" s="24" t="n">
        <v>0</v>
      </c>
      <c r="AE40" s="25" t="n"/>
      <c r="AF40" s="24" t="n">
        <v>0</v>
      </c>
      <c r="AG40" s="24" t="n">
        <v>0</v>
      </c>
      <c r="AH40" s="24" t="n">
        <v>0</v>
      </c>
      <c r="AI40" s="24" t="n">
        <v>0</v>
      </c>
      <c r="AJ40" s="25" t="n"/>
      <c r="AK40" s="24" t="n">
        <v>0</v>
      </c>
      <c r="AL40" s="24" t="n">
        <v>0</v>
      </c>
      <c r="AM40" s="24" t="n">
        <v>0</v>
      </c>
      <c r="AN40" s="24" t="n">
        <v>0</v>
      </c>
      <c r="AO40" s="25" t="n"/>
    </row>
    <row r="41">
      <c r="A41" s="12" t="inlineStr">
        <is>
          <t>drv:DPS</t>
        </is>
      </c>
      <c r="B41" s="2" t="inlineStr">
        <is>
          <t>yoy</t>
        </is>
      </c>
      <c r="C41" t="inlineStr">
        <is>
          <t>DPS YoY</t>
        </is>
      </c>
      <c r="E41" s="21" t="n"/>
      <c r="F41" s="22" t="n"/>
      <c r="G41" s="21" t="n"/>
      <c r="H41" s="21" t="n"/>
      <c r="I41" s="21" t="n"/>
      <c r="J41" s="21">
        <f>IFERROR(subQ!J32/subQ!E32-1,"")</f>
        <v/>
      </c>
      <c r="K41" s="22" t="n"/>
      <c r="L41" s="21">
        <f>IFERROR(subQ!L32/subQ!G32-1,"")</f>
        <v/>
      </c>
      <c r="M41" s="21">
        <f>IFERROR(subQ!M32/subQ!H32-1,"")</f>
        <v/>
      </c>
      <c r="N41" s="21">
        <f>IFERROR(subQ!N32/subQ!I32-1,"")</f>
        <v/>
      </c>
      <c r="O41" s="21">
        <f>IFERROR(subQ!O32/subQ!J32-1,"")</f>
        <v/>
      </c>
      <c r="P41" s="22" t="n"/>
      <c r="Q41" s="21">
        <f>IFERROR(subQ!Q32/subQ!L32-1,"")</f>
        <v/>
      </c>
      <c r="R41" s="21">
        <f>IFERROR(subQ!R32/subQ!M32-1,"")</f>
        <v/>
      </c>
      <c r="S41" s="21">
        <f>IFERROR(subQ!S32/subQ!N32-1,"")</f>
        <v/>
      </c>
      <c r="T41" s="21">
        <f>IFERROR(subQ!T32/subQ!O32-1,"")</f>
        <v/>
      </c>
      <c r="U41" s="22" t="n"/>
      <c r="V41" s="21">
        <f>IFERROR(subQ!V32/subQ!Q32-1,"")</f>
        <v/>
      </c>
      <c r="W41" s="21">
        <f>IFERROR(subQ!W32/subQ!R32-1,"")</f>
        <v/>
      </c>
      <c r="X41" s="21">
        <f>IFERROR(subQ!X32/subQ!S32-1,"")</f>
        <v/>
      </c>
      <c r="Y41" s="21">
        <f>IFERROR(subQ!Y32/subQ!T32-1,"")</f>
        <v/>
      </c>
      <c r="Z41" s="22" t="n"/>
      <c r="AA41" s="21">
        <f>IFERROR(subQ!AA32/subQ!V32-1,"")</f>
        <v/>
      </c>
      <c r="AB41" s="23">
        <f>IFERROR(subQ!AB32/subQ!W32-1,"")</f>
        <v/>
      </c>
      <c r="AC41" s="31" t="n"/>
      <c r="AD41" s="31" t="n"/>
      <c r="AE41" s="25" t="n"/>
      <c r="AF41" s="31" t="n"/>
      <c r="AG41" s="31" t="n"/>
      <c r="AH41" s="31" t="n"/>
      <c r="AI41" s="31" t="n"/>
      <c r="AJ41" s="25" t="n"/>
      <c r="AK41" s="31" t="n"/>
      <c r="AL41" s="31" t="n"/>
      <c r="AM41" s="31" t="n"/>
      <c r="AN41" s="31" t="n"/>
      <c r="AO41" s="25" t="n"/>
    </row>
    <row r="42">
      <c r="A42" s="12" t="inlineStr">
        <is>
          <t>drv:PER</t>
        </is>
      </c>
      <c r="B42" s="2" t="inlineStr">
        <is>
          <t>yoy</t>
        </is>
      </c>
      <c r="C42" t="inlineStr">
        <is>
          <t>PER YoY</t>
        </is>
      </c>
      <c r="E42" s="21" t="n"/>
      <c r="F42" s="22" t="n"/>
      <c r="G42" s="21" t="n"/>
      <c r="H42" s="21" t="n"/>
      <c r="I42" s="21" t="n"/>
      <c r="J42" s="21">
        <f>IFERROR(subQ!J33/subQ!E33-1,"")</f>
        <v/>
      </c>
      <c r="K42" s="22" t="n"/>
      <c r="L42" s="21">
        <f>IFERROR(subQ!L33/subQ!G33-1,"")</f>
        <v/>
      </c>
      <c r="M42" s="21">
        <f>IFERROR(subQ!M33/subQ!H33-1,"")</f>
        <v/>
      </c>
      <c r="N42" s="21">
        <f>IFERROR(subQ!N33/subQ!I33-1,"")</f>
        <v/>
      </c>
      <c r="O42" s="21">
        <f>IFERROR(subQ!O33/subQ!J33-1,"")</f>
        <v/>
      </c>
      <c r="P42" s="22" t="n"/>
      <c r="Q42" s="21">
        <f>IFERROR(subQ!Q33/subQ!L33-1,"")</f>
        <v/>
      </c>
      <c r="R42" s="21">
        <f>IFERROR(subQ!R33/subQ!M33-1,"")</f>
        <v/>
      </c>
      <c r="S42" s="21">
        <f>IFERROR(subQ!S33/subQ!N33-1,"")</f>
        <v/>
      </c>
      <c r="T42" s="21">
        <f>IFERROR(subQ!T33/subQ!O33-1,"")</f>
        <v/>
      </c>
      <c r="U42" s="22" t="n"/>
      <c r="V42" s="21">
        <f>IFERROR(subQ!V33/subQ!Q33-1,"")</f>
        <v/>
      </c>
      <c r="W42" s="21">
        <f>IFERROR(subQ!W33/subQ!R33-1,"")</f>
        <v/>
      </c>
      <c r="X42" s="21">
        <f>IFERROR(subQ!X33/subQ!S33-1,"")</f>
        <v/>
      </c>
      <c r="Y42" s="21">
        <f>IFERROR(subQ!Y33/subQ!T33-1,"")</f>
        <v/>
      </c>
      <c r="Z42" s="22" t="n"/>
      <c r="AA42" s="21">
        <f>IFERROR(subQ!AA33/subQ!V33-1,"")</f>
        <v/>
      </c>
      <c r="AB42" s="23">
        <f>IFERROR(subQ!AB33/subQ!W33-1,"")</f>
        <v/>
      </c>
      <c r="AC42" s="24" t="n">
        <v>-0.432507</v>
      </c>
      <c r="AD42" s="24" t="n">
        <v>-0.44</v>
      </c>
      <c r="AE42" s="25" t="n"/>
      <c r="AF42" s="24" t="n">
        <v>-0.414724</v>
      </c>
      <c r="AG42" s="24" t="n">
        <v>-0.038251</v>
      </c>
      <c r="AH42" s="24" t="n">
        <v>0.254854</v>
      </c>
      <c r="AI42" s="24" t="n">
        <v>0.046939</v>
      </c>
      <c r="AJ42" s="25" t="n"/>
      <c r="AK42" s="24" t="n">
        <v>0.077568</v>
      </c>
      <c r="AL42" s="24" t="n">
        <v>-0.022727</v>
      </c>
      <c r="AM42" s="24" t="n">
        <v>0.005803</v>
      </c>
      <c r="AN42" s="24" t="n">
        <v>0.02729</v>
      </c>
      <c r="AO42" s="25" t="n"/>
    </row>
    <row r="43">
      <c r="A43" s="12" t="inlineStr">
        <is>
          <t>drv:PBR</t>
        </is>
      </c>
      <c r="B43" s="2" t="inlineStr">
        <is>
          <t>yoy</t>
        </is>
      </c>
      <c r="C43" t="inlineStr">
        <is>
          <t>PBR YoY</t>
        </is>
      </c>
      <c r="E43" s="21" t="n"/>
      <c r="F43" s="22" t="n"/>
      <c r="G43" s="21" t="n"/>
      <c r="H43" s="21" t="n"/>
      <c r="I43" s="21" t="n"/>
      <c r="J43" s="21">
        <f>IFERROR(subQ!J34/subQ!E34-1,"")</f>
        <v/>
      </c>
      <c r="K43" s="22" t="n"/>
      <c r="L43" s="21">
        <f>IFERROR(subQ!L34/subQ!G34-1,"")</f>
        <v/>
      </c>
      <c r="M43" s="21">
        <f>IFERROR(subQ!M34/subQ!H34-1,"")</f>
        <v/>
      </c>
      <c r="N43" s="21">
        <f>IFERROR(subQ!N34/subQ!I34-1,"")</f>
        <v/>
      </c>
      <c r="O43" s="21">
        <f>IFERROR(subQ!O34/subQ!J34-1,"")</f>
        <v/>
      </c>
      <c r="P43" s="22" t="n"/>
      <c r="Q43" s="21">
        <f>IFERROR(subQ!Q34/subQ!L34-1,"")</f>
        <v/>
      </c>
      <c r="R43" s="21">
        <f>IFERROR(subQ!R34/subQ!M34-1,"")</f>
        <v/>
      </c>
      <c r="S43" s="21">
        <f>IFERROR(subQ!S34/subQ!N34-1,"")</f>
        <v/>
      </c>
      <c r="T43" s="21">
        <f>IFERROR(subQ!T34/subQ!O34-1,"")</f>
        <v/>
      </c>
      <c r="U43" s="22" t="n"/>
      <c r="V43" s="21">
        <f>IFERROR(subQ!V34/subQ!Q34-1,"")</f>
        <v/>
      </c>
      <c r="W43" s="21">
        <f>IFERROR(subQ!W34/subQ!R34-1,"")</f>
        <v/>
      </c>
      <c r="X43" s="21">
        <f>IFERROR(subQ!X34/subQ!S34-1,"")</f>
        <v/>
      </c>
      <c r="Y43" s="21">
        <f>IFERROR(subQ!Y34/subQ!T34-1,"")</f>
        <v/>
      </c>
      <c r="Z43" s="22" t="n"/>
      <c r="AA43" s="21">
        <f>IFERROR(subQ!AA34/subQ!V34-1,"")</f>
        <v/>
      </c>
      <c r="AB43" s="23">
        <f>IFERROR(subQ!AB34/subQ!W34-1,"")</f>
        <v/>
      </c>
      <c r="AC43" s="24" t="n">
        <v>-0.393701</v>
      </c>
      <c r="AD43" s="24" t="n">
        <v>-0.478571</v>
      </c>
      <c r="AE43" s="25" t="n"/>
      <c r="AF43" s="24" t="n">
        <v>-0.510345</v>
      </c>
      <c r="AG43" s="24" t="n">
        <v>-0.405172</v>
      </c>
      <c r="AH43" s="24" t="n">
        <v>-0.12987</v>
      </c>
      <c r="AI43" s="24" t="n">
        <v>-0.123288</v>
      </c>
      <c r="AJ43" s="25" t="n"/>
      <c r="AK43" s="24" t="n">
        <v>-0.126761</v>
      </c>
      <c r="AL43" s="24" t="n">
        <v>-0.115942</v>
      </c>
      <c r="AM43" s="24" t="n">
        <v>-0.119403</v>
      </c>
      <c r="AN43" s="24" t="n">
        <v>-0.109375</v>
      </c>
      <c r="AO43" s="25" t="n"/>
    </row>
    <row r="44">
      <c r="A44" s="12" t="inlineStr">
        <is>
          <t>drv:매출전사</t>
        </is>
      </c>
      <c r="B44" s="2" t="inlineStr">
        <is>
          <t>ratio</t>
        </is>
      </c>
      <c r="C44" t="inlineStr">
        <is>
          <t>매출전사 비중(/매출액)</t>
        </is>
      </c>
      <c r="E44" s="21">
        <f>IFERROR(subQ!E35/subQ!E5,"")</f>
        <v/>
      </c>
      <c r="F44" s="22">
        <f>IFERROR(subQ!F35/subQ!F5,"")</f>
        <v/>
      </c>
      <c r="G44" s="21">
        <f>IFERROR(subQ!G35/subQ!G5,"")</f>
        <v/>
      </c>
      <c r="H44" s="21">
        <f>IFERROR(subQ!H35/subQ!H5,"")</f>
        <v/>
      </c>
      <c r="I44" s="21">
        <f>IFERROR(subQ!I35/subQ!I5,"")</f>
        <v/>
      </c>
      <c r="J44" s="21">
        <f>IFERROR(subQ!J35/subQ!J5,"")</f>
        <v/>
      </c>
      <c r="K44" s="22">
        <f>IFERROR(subQ!K35/subQ!K5,"")</f>
        <v/>
      </c>
      <c r="L44" s="21">
        <f>IFERROR(subQ!L35/subQ!L5,"")</f>
        <v/>
      </c>
      <c r="M44" s="21">
        <f>IFERROR(subQ!M35/subQ!M5,"")</f>
        <v/>
      </c>
      <c r="N44" s="21">
        <f>IFERROR(subQ!N35/subQ!N5,"")</f>
        <v/>
      </c>
      <c r="O44" s="21">
        <f>IFERROR(subQ!O35/subQ!O5,"")</f>
        <v/>
      </c>
      <c r="P44" s="22">
        <f>IFERROR(subQ!P35/subQ!P5,"")</f>
        <v/>
      </c>
      <c r="Q44" s="21">
        <f>IFERROR(subQ!Q35/subQ!Q5,"")</f>
        <v/>
      </c>
      <c r="R44" s="21">
        <f>IFERROR(subQ!R35/subQ!R5,"")</f>
        <v/>
      </c>
      <c r="S44" s="21">
        <f>IFERROR(subQ!S35/subQ!S5,"")</f>
        <v/>
      </c>
      <c r="T44" s="21">
        <f>IFERROR(subQ!T35/subQ!T5,"")</f>
        <v/>
      </c>
      <c r="U44" s="22">
        <f>IFERROR(subQ!U35/subQ!U5,"")</f>
        <v/>
      </c>
      <c r="V44" s="21">
        <f>IFERROR(subQ!V35/subQ!V5,"")</f>
        <v/>
      </c>
      <c r="W44" s="21">
        <f>IFERROR(subQ!W35/subQ!W5,"")</f>
        <v/>
      </c>
      <c r="X44" s="21">
        <f>IFERROR(subQ!X35/subQ!X5,"")</f>
        <v/>
      </c>
      <c r="Y44" s="21">
        <f>IFERROR(subQ!Y35/subQ!Y5,"")</f>
        <v/>
      </c>
      <c r="Z44" s="22">
        <f>IFERROR(subQ!Z35/subQ!Z5,"")</f>
        <v/>
      </c>
      <c r="AA44" s="21">
        <f>IFERROR(subQ!AA35/subQ!AA5,"")</f>
        <v/>
      </c>
      <c r="AB44" s="23">
        <f>IFERROR(subQ!AB35/subQ!AB5,"")</f>
        <v/>
      </c>
      <c r="AC44" s="24" t="n">
        <v>1</v>
      </c>
      <c r="AD44" s="24" t="n">
        <v>1</v>
      </c>
      <c r="AE44" s="25">
        <f>IFERROR(subQ!AE35/subQ!AE5,"")</f>
        <v/>
      </c>
      <c r="AF44" s="24" t="n">
        <v>1</v>
      </c>
      <c r="AG44" s="24" t="n">
        <v>1</v>
      </c>
      <c r="AH44" s="24" t="n">
        <v>1</v>
      </c>
      <c r="AI44" s="24" t="n">
        <v>1</v>
      </c>
      <c r="AJ44" s="25">
        <f>IFERROR(subQ!AJ35/subQ!AJ5,"")</f>
        <v/>
      </c>
      <c r="AK44" s="24" t="n">
        <v>1</v>
      </c>
      <c r="AL44" s="24" t="n">
        <v>1</v>
      </c>
      <c r="AM44" s="24" t="n">
        <v>1</v>
      </c>
      <c r="AN44" s="24" t="n">
        <v>1</v>
      </c>
      <c r="AO44" s="25">
        <f>IFERROR(subQ!AO35/subQ!AO5,"")</f>
        <v/>
      </c>
    </row>
    <row r="45">
      <c r="A45" s="12" t="inlineStr">
        <is>
          <t>drv:OP전사</t>
        </is>
      </c>
      <c r="B45" s="2" t="inlineStr">
        <is>
          <t>ratio</t>
        </is>
      </c>
      <c r="C45" t="inlineStr">
        <is>
          <t>OP전사 마진(/매출전사)</t>
        </is>
      </c>
      <c r="E45" s="21">
        <f>IFERROR(subQ!E36/subQ!E35,"")</f>
        <v/>
      </c>
      <c r="F45" s="22">
        <f>IFERROR(subQ!F36/subQ!F35,"")</f>
        <v/>
      </c>
      <c r="G45" s="21">
        <f>IFERROR(subQ!G36/subQ!G35,"")</f>
        <v/>
      </c>
      <c r="H45" s="21">
        <f>IFERROR(subQ!H36/subQ!H35,"")</f>
        <v/>
      </c>
      <c r="I45" s="21">
        <f>IFERROR(subQ!I36/subQ!I35,"")</f>
        <v/>
      </c>
      <c r="J45" s="21">
        <f>IFERROR(subQ!J36/subQ!J35,"")</f>
        <v/>
      </c>
      <c r="K45" s="22">
        <f>IFERROR(subQ!K36/subQ!K35,"")</f>
        <v/>
      </c>
      <c r="L45" s="21">
        <f>IFERROR(subQ!L36/subQ!L35,"")</f>
        <v/>
      </c>
      <c r="M45" s="21">
        <f>IFERROR(subQ!M36/subQ!M35,"")</f>
        <v/>
      </c>
      <c r="N45" s="21">
        <f>IFERROR(subQ!N36/subQ!N35,"")</f>
        <v/>
      </c>
      <c r="O45" s="21">
        <f>IFERROR(subQ!O36/subQ!O35,"")</f>
        <v/>
      </c>
      <c r="P45" s="22">
        <f>IFERROR(subQ!P36/subQ!P35,"")</f>
        <v/>
      </c>
      <c r="Q45" s="21">
        <f>IFERROR(subQ!Q36/subQ!Q35,"")</f>
        <v/>
      </c>
      <c r="R45" s="21">
        <f>IFERROR(subQ!R36/subQ!R35,"")</f>
        <v/>
      </c>
      <c r="S45" s="21">
        <f>IFERROR(subQ!S36/subQ!S35,"")</f>
        <v/>
      </c>
      <c r="T45" s="21">
        <f>IFERROR(subQ!T36/subQ!T35,"")</f>
        <v/>
      </c>
      <c r="U45" s="22">
        <f>IFERROR(subQ!U36/subQ!U35,"")</f>
        <v/>
      </c>
      <c r="V45" s="21">
        <f>IFERROR(subQ!V36/subQ!V35,"")</f>
        <v/>
      </c>
      <c r="W45" s="21">
        <f>IFERROR(subQ!W36/subQ!W35,"")</f>
        <v/>
      </c>
      <c r="X45" s="21">
        <f>IFERROR(subQ!X36/subQ!X35,"")</f>
        <v/>
      </c>
      <c r="Y45" s="21">
        <f>IFERROR(subQ!Y36/subQ!Y35,"")</f>
        <v/>
      </c>
      <c r="Z45" s="22">
        <f>IFERROR(subQ!Z36/subQ!Z35,"")</f>
        <v/>
      </c>
      <c r="AA45" s="21">
        <f>IFERROR(subQ!AA36/subQ!AA35,"")</f>
        <v/>
      </c>
      <c r="AB45" s="23">
        <f>IFERROR(subQ!AB36/subQ!AB35,"")</f>
        <v/>
      </c>
      <c r="AC45" s="24" t="n">
        <v>0.178345</v>
      </c>
      <c r="AD45" s="24" t="n">
        <v>0.178402</v>
      </c>
      <c r="AE45" s="25">
        <f>IFERROR(subQ!AE36/subQ!AE35,"")</f>
        <v/>
      </c>
      <c r="AF45" s="24" t="n">
        <v>0.178371</v>
      </c>
      <c r="AG45" s="24" t="n">
        <v>0.178414</v>
      </c>
      <c r="AH45" s="24" t="n">
        <v>0.17835</v>
      </c>
      <c r="AI45" s="24" t="n">
        <v>0.178346</v>
      </c>
      <c r="AJ45" s="25">
        <f>IFERROR(subQ!AJ36/subQ!AJ35,"")</f>
        <v/>
      </c>
      <c r="AK45" s="24" t="n">
        <v>0.178363</v>
      </c>
      <c r="AL45" s="24" t="n">
        <v>0.178422</v>
      </c>
      <c r="AM45" s="24" t="n">
        <v>0.17841</v>
      </c>
      <c r="AN45" s="24" t="n">
        <v>0.178347</v>
      </c>
      <c r="AO45" s="25">
        <f>IFERROR(subQ!AO36/subQ!AO35,"")</f>
        <v/>
      </c>
    </row>
    <row r="46"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B47" s="1" t="inlineStr">
        <is>
          <t>3. 밸류에이션·스칼라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sc:종가</t>
        </is>
      </c>
      <c r="C48" t="inlineStr">
        <is>
          <t>종가</t>
        </is>
      </c>
      <c r="D48" s="32" t="n">
        <v>3080</v>
      </c>
      <c r="E48" s="2" t="inlineStr">
        <is>
          <t>원 — aikstockdata(금융위 T+1)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sc:기준일</t>
        </is>
      </c>
      <c r="C49" t="inlineStr">
        <is>
          <t>기준일</t>
        </is>
      </c>
      <c r="D49" s="33" t="inlineStr">
        <is>
          <t>20260929</t>
        </is>
      </c>
      <c r="E49" s="2" t="inlineStr">
        <is>
          <t>종가 기준일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sc:COE</t>
        </is>
      </c>
      <c r="C50" t="inlineStr">
        <is>
          <t>COE</t>
        </is>
      </c>
      <c r="D50" s="24" t="n">
        <v>0.09</v>
      </c>
      <c r="E50" s="2" t="inlineStr">
        <is>
          <t>자기자본비용(가정)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sc:PER_lo</t>
        </is>
      </c>
      <c r="C51" t="inlineStr">
        <is>
          <t>PER_lo</t>
        </is>
      </c>
      <c r="D51" s="29" t="n">
        <v>7.1</v>
      </c>
      <c r="E51" s="2" t="inlineStr">
        <is>
          <t>PER 밴드 하단(배) — hist_quarterly(분기 평균가 ÷ TTM EPS, 16분기, 25/50/75 백분위)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sc:PER_mid</t>
        </is>
      </c>
      <c r="C52" t="inlineStr">
        <is>
          <t>PER_mid</t>
        </is>
      </c>
      <c r="D52" s="29" t="n">
        <v>7.7</v>
      </c>
      <c r="E52" s="2" t="inlineStr">
        <is>
          <t>PER 밴드 중단(배)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sc:PER_hi</t>
        </is>
      </c>
      <c r="C53" t="inlineStr">
        <is>
          <t>PER_hi</t>
        </is>
      </c>
      <c r="D53" s="29" t="n">
        <v>21.6</v>
      </c>
      <c r="E53" s="2" t="inlineStr">
        <is>
          <t>PER 밴드 상단(배)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sc:EPS_Y1가중</t>
        </is>
      </c>
      <c r="C54" t="inlineStr">
        <is>
          <t>EPS_Y1가중</t>
        </is>
      </c>
      <c r="D54" s="24" t="n">
        <v>0.5</v>
      </c>
      <c r="E54" s="2" t="inlineStr">
        <is>
          <t>12M fwd EPS = FY(last_actual연도)E × w + FY+1E × (1−w) — 기준 분기 2Q 이면 0.5(가정)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sc:세율</t>
        </is>
      </c>
      <c r="C55" t="inlineStr">
        <is>
          <t>세율</t>
        </is>
      </c>
      <c r="D55" s="24" t="n">
        <v>0.05</v>
      </c>
      <c r="E55" s="2" t="inlineStr">
        <is>
          <t>법인세율 가정(참고 — 추정 수식은 드라이버 행 참조)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sc:판관비율</t>
        </is>
      </c>
      <c r="C56" t="inlineStr">
        <is>
          <t>판관비율</t>
        </is>
      </c>
      <c r="D56" s="24" t="n">
        <v>0.1139</v>
      </c>
      <c r="E56" s="2" t="inlineStr">
        <is>
          <t>판관비율 가정(참고)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sc:배당성향</t>
        </is>
      </c>
      <c r="C57" t="inlineStr">
        <is>
          <t>배당성향</t>
        </is>
      </c>
      <c r="D57" s="24" t="n">
        <v>0</v>
      </c>
      <c r="E57" s="2" t="inlineStr">
        <is>
          <t>배당성향 가정(참고)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sc:외화순노출_백만$</t>
        </is>
      </c>
      <c r="C58" t="inlineStr">
        <is>
          <t>외화순노출_백만$</t>
        </is>
      </c>
      <c r="D58" s="29" t="n"/>
      <c r="E58" s="2" t="inlineStr">
        <is>
          <t>외화 순노출 × Δ기말환율 (외화 시트 방식)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동방선기(연)</t>
        </is>
      </c>
      <c r="C3" s="2" t="inlineStr">
        <is>
          <t>UPDATE: 26-09-30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8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동방선기(별)</t>
        </is>
      </c>
      <c r="C3" s="2" t="inlineStr">
        <is>
          <t>UPDATE: 26-09-30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14708.88</v>
      </c>
      <c r="F5" s="34" t="n">
        <v>14708.88</v>
      </c>
      <c r="G5" s="18" t="n">
        <v>15604.44</v>
      </c>
      <c r="H5" s="18" t="n">
        <v>13137.08</v>
      </c>
      <c r="I5" s="18" t="n">
        <v>13574.47</v>
      </c>
      <c r="J5" s="18" t="n">
        <v>15284.88</v>
      </c>
      <c r="K5" s="34" t="n">
        <v>15284.88</v>
      </c>
      <c r="L5" s="18" t="n">
        <v>15456.2</v>
      </c>
      <c r="M5" s="18" t="n">
        <v>15406.53</v>
      </c>
      <c r="N5" s="18" t="n">
        <v>15871.37</v>
      </c>
      <c r="O5" s="18" t="n">
        <v>17350.75</v>
      </c>
      <c r="P5" s="34" t="n">
        <v>17350.75</v>
      </c>
      <c r="Q5" s="18" t="n">
        <v>18484.12</v>
      </c>
      <c r="R5" s="18" t="n">
        <v>12259.74</v>
      </c>
      <c r="S5" s="18" t="n">
        <v>12324.29</v>
      </c>
      <c r="T5" s="18" t="n">
        <v>15741.67</v>
      </c>
      <c r="U5" s="34" t="n">
        <v>15741.67</v>
      </c>
      <c r="V5" s="18" t="n">
        <v>15782.76</v>
      </c>
      <c r="W5" s="18" t="n">
        <v>15127.59</v>
      </c>
      <c r="X5" s="18" t="n">
        <v>18111.63</v>
      </c>
      <c r="Y5" s="18" t="n">
        <v>24546.46</v>
      </c>
      <c r="Z5" s="34" t="n">
        <v>24546.46</v>
      </c>
      <c r="AA5" s="18" t="n">
        <v>26062.97</v>
      </c>
      <c r="AB5" s="19" t="n">
        <v>29165.64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3855.88</v>
      </c>
      <c r="F6" s="34" t="n">
        <v>3855.88</v>
      </c>
      <c r="G6" s="18" t="n">
        <v>5159.23</v>
      </c>
      <c r="H6" s="18" t="n">
        <v>2153.23</v>
      </c>
      <c r="I6" s="18" t="n">
        <v>3257.79</v>
      </c>
      <c r="J6" s="18" t="n">
        <v>4263.21</v>
      </c>
      <c r="K6" s="34" t="n">
        <v>4263.21</v>
      </c>
      <c r="L6" s="18" t="n">
        <v>5807.43</v>
      </c>
      <c r="M6" s="18" t="n">
        <v>7324.53</v>
      </c>
      <c r="N6" s="18" t="n">
        <v>8502.74</v>
      </c>
      <c r="O6" s="18" t="n">
        <v>8819.120000000001</v>
      </c>
      <c r="P6" s="34" t="n">
        <v>8819.120000000001</v>
      </c>
      <c r="Q6" s="18" t="n">
        <v>12157.85</v>
      </c>
      <c r="R6" s="18" t="n">
        <v>2316.36</v>
      </c>
      <c r="S6" s="18" t="n">
        <v>2615.78</v>
      </c>
      <c r="T6" s="18" t="n">
        <v>4492.88</v>
      </c>
      <c r="U6" s="34" t="n">
        <v>4492.88</v>
      </c>
      <c r="V6" s="18" t="n">
        <v>3925.24</v>
      </c>
      <c r="W6" s="18" t="n">
        <v>4093.26</v>
      </c>
      <c r="X6" s="18" t="n">
        <v>5995.54</v>
      </c>
      <c r="Y6" s="18" t="n">
        <v>13011.86</v>
      </c>
      <c r="Z6" s="34" t="n">
        <v>13011.86</v>
      </c>
      <c r="AA6" s="18" t="n">
        <v>14890.05</v>
      </c>
      <c r="AB6" s="19" t="n">
        <v>18134.51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5238.12</v>
      </c>
      <c r="F7" s="34" t="n">
        <v>5238.12</v>
      </c>
      <c r="G7" s="18" t="n">
        <v>5444.25</v>
      </c>
      <c r="H7" s="18" t="n">
        <v>5346.76</v>
      </c>
      <c r="I7" s="18" t="n">
        <v>4611.6</v>
      </c>
      <c r="J7" s="18" t="n">
        <v>5857.9</v>
      </c>
      <c r="K7" s="34" t="n">
        <v>5857.9</v>
      </c>
      <c r="L7" s="18" t="n">
        <v>4859.19</v>
      </c>
      <c r="M7" s="18" t="n">
        <v>4702.91</v>
      </c>
      <c r="N7" s="18" t="n">
        <v>4032.89</v>
      </c>
      <c r="O7" s="18" t="n">
        <v>6102.43</v>
      </c>
      <c r="P7" s="34" t="n">
        <v>6102.43</v>
      </c>
      <c r="Q7" s="18" t="n">
        <v>4252.74</v>
      </c>
      <c r="R7" s="18" t="n">
        <v>6380.87</v>
      </c>
      <c r="S7" s="18" t="n">
        <v>6224.25</v>
      </c>
      <c r="T7" s="18" t="n">
        <v>8404.27</v>
      </c>
      <c r="U7" s="34" t="n">
        <v>8404.27</v>
      </c>
      <c r="V7" s="18" t="n">
        <v>8198.59</v>
      </c>
      <c r="W7" s="18" t="n">
        <v>6911.11</v>
      </c>
      <c r="X7" s="18" t="n">
        <v>8124.96</v>
      </c>
      <c r="Y7" s="18" t="n">
        <v>7277.09</v>
      </c>
      <c r="Z7" s="34" t="n">
        <v>7277.09</v>
      </c>
      <c r="AA7" s="18" t="n">
        <v>6118.23</v>
      </c>
      <c r="AB7" s="19" t="n">
        <v>5919.33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기타유동금융자산</t>
        </is>
      </c>
      <c r="E8" s="18" t="n">
        <v>2378.27</v>
      </c>
      <c r="F8" s="34" t="n">
        <v>2378.27</v>
      </c>
      <c r="G8" s="18" t="n">
        <v>436.36</v>
      </c>
      <c r="K8" s="9" t="n"/>
      <c r="P8" s="9" t="n"/>
      <c r="U8" s="9" t="n"/>
      <c r="Z8" s="9" t="n"/>
      <c r="AB8" s="5" t="n"/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재고자산</t>
        </is>
      </c>
      <c r="E9" s="18" t="n">
        <v>3188.11</v>
      </c>
      <c r="F9" s="34" t="n">
        <v>3188.11</v>
      </c>
      <c r="G9" s="18" t="n">
        <v>4496.21</v>
      </c>
      <c r="H9" s="18" t="n">
        <v>4895.77</v>
      </c>
      <c r="I9" s="18" t="n">
        <v>4926.46</v>
      </c>
      <c r="J9" s="18" t="n">
        <v>4566.67</v>
      </c>
      <c r="K9" s="34" t="n">
        <v>4566.67</v>
      </c>
      <c r="L9" s="18" t="n">
        <v>4242.92</v>
      </c>
      <c r="M9" s="18" t="n">
        <v>2844.27</v>
      </c>
      <c r="N9" s="18" t="n">
        <v>2781.82</v>
      </c>
      <c r="O9" s="18" t="n">
        <v>1779.04</v>
      </c>
      <c r="P9" s="34" t="n">
        <v>1779.04</v>
      </c>
      <c r="Q9" s="18" t="n">
        <v>1916.32</v>
      </c>
      <c r="R9" s="18" t="n">
        <v>3025.01</v>
      </c>
      <c r="S9" s="18" t="n">
        <v>3422.19</v>
      </c>
      <c r="T9" s="18" t="n">
        <v>2701.95</v>
      </c>
      <c r="U9" s="34" t="n">
        <v>2701.95</v>
      </c>
      <c r="V9" s="18" t="n">
        <v>3511.04</v>
      </c>
      <c r="W9" s="18" t="n">
        <v>4060.22</v>
      </c>
      <c r="X9" s="18" t="n">
        <v>3925.73</v>
      </c>
      <c r="Y9" s="18" t="n">
        <v>4240.76</v>
      </c>
      <c r="Z9" s="34" t="n">
        <v>4240.76</v>
      </c>
      <c r="AA9" s="18" t="n">
        <v>5043.44</v>
      </c>
      <c r="AB9" s="19" t="n">
        <v>5084.12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27.71</v>
      </c>
      <c r="F10" s="34" t="n">
        <v>27.71</v>
      </c>
      <c r="G10" s="18" t="n">
        <v>60.3</v>
      </c>
      <c r="K10" s="9" t="n"/>
      <c r="P10" s="9" t="n"/>
      <c r="U10" s="9" t="n"/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20.78</v>
      </c>
      <c r="F11" s="34" t="n">
        <v>20.78</v>
      </c>
      <c r="G11" s="18" t="n">
        <v>8.09</v>
      </c>
      <c r="H11" s="18" t="n">
        <v>7.03</v>
      </c>
      <c r="I11" s="18" t="n">
        <v>8.199999999999999</v>
      </c>
      <c r="J11" s="18" t="n">
        <v>10</v>
      </c>
      <c r="K11" s="34" t="n">
        <v>10</v>
      </c>
      <c r="L11" s="18" t="n">
        <v>10.95</v>
      </c>
      <c r="M11" s="18" t="n">
        <v>1.93</v>
      </c>
      <c r="N11" s="18" t="n">
        <v>2.93</v>
      </c>
      <c r="O11" s="18" t="n">
        <v>3.94</v>
      </c>
      <c r="P11" s="34" t="n">
        <v>3.94</v>
      </c>
      <c r="Q11" s="18" t="n">
        <v>5.03</v>
      </c>
      <c r="R11" s="18" t="n">
        <v>2.18</v>
      </c>
      <c r="S11" s="18" t="n">
        <v>7.15</v>
      </c>
      <c r="T11" s="18" t="n">
        <v>68.59999999999999</v>
      </c>
      <c r="U11" s="34" t="n">
        <v>68.59999999999999</v>
      </c>
      <c r="V11" s="18" t="n">
        <v>69.52</v>
      </c>
      <c r="W11" s="18" t="n">
        <v>0</v>
      </c>
      <c r="X11" s="18" t="n">
        <v>0</v>
      </c>
      <c r="Y11" s="18" t="n">
        <v>0</v>
      </c>
      <c r="Z11" s="34" t="n">
        <v>0</v>
      </c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20078.86</v>
      </c>
      <c r="F12" s="34" t="n">
        <v>20078.86</v>
      </c>
      <c r="G12" s="18" t="n">
        <v>27986.83</v>
      </c>
      <c r="H12" s="18" t="n">
        <v>28860.97</v>
      </c>
      <c r="I12" s="18" t="n">
        <v>28964.51</v>
      </c>
      <c r="J12" s="18" t="n">
        <v>29030.34</v>
      </c>
      <c r="K12" s="34" t="n">
        <v>29030.34</v>
      </c>
      <c r="L12" s="18" t="n">
        <v>28726.65</v>
      </c>
      <c r="M12" s="18" t="n">
        <v>28422.82</v>
      </c>
      <c r="N12" s="18" t="n">
        <v>28136.73</v>
      </c>
      <c r="O12" s="18" t="n">
        <v>28492.9</v>
      </c>
      <c r="P12" s="34" t="n">
        <v>28492.9</v>
      </c>
      <c r="Q12" s="18" t="n">
        <v>28409.53</v>
      </c>
      <c r="R12" s="18" t="n">
        <v>43664.72</v>
      </c>
      <c r="S12" s="18" t="n">
        <v>43437.39</v>
      </c>
      <c r="T12" s="18" t="n">
        <v>44356.03</v>
      </c>
      <c r="U12" s="34" t="n">
        <v>44356.03</v>
      </c>
      <c r="V12" s="18" t="n">
        <v>44108.47</v>
      </c>
      <c r="W12" s="18" t="n">
        <v>43768.49</v>
      </c>
      <c r="X12" s="18" t="n">
        <v>43452.87</v>
      </c>
      <c r="Y12" s="18" t="n">
        <v>42383.51</v>
      </c>
      <c r="Z12" s="34" t="n">
        <v>42383.51</v>
      </c>
      <c r="AA12" s="18" t="n">
        <v>42070.92</v>
      </c>
      <c r="AB12" s="19" t="n">
        <v>41691.29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장기매출채권및기타채권</t>
        </is>
      </c>
      <c r="E13" s="18" t="n">
        <v>1.96</v>
      </c>
      <c r="F13" s="34" t="n">
        <v>1.96</v>
      </c>
      <c r="G13" s="18" t="n">
        <v>1.96</v>
      </c>
      <c r="K13" s="9" t="n"/>
      <c r="P13" s="9" t="n"/>
      <c r="U13" s="9" t="n"/>
      <c r="Z13" s="9" t="n"/>
      <c r="AB13" s="5" t="n"/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무형자산</t>
        </is>
      </c>
      <c r="E14" s="18" t="n">
        <v>0</v>
      </c>
      <c r="F14" s="34" t="n">
        <v>0</v>
      </c>
      <c r="G14" s="18" t="n">
        <v>0</v>
      </c>
      <c r="K14" s="9" t="n"/>
      <c r="N14" s="18" t="n">
        <v>8.27</v>
      </c>
      <c r="O14" s="18" t="n">
        <v>7.85</v>
      </c>
      <c r="P14" s="34" t="n">
        <v>7.85</v>
      </c>
      <c r="Q14" s="18" t="n">
        <v>7.43</v>
      </c>
      <c r="R14" s="18" t="n">
        <v>10592.26</v>
      </c>
      <c r="S14" s="18" t="n">
        <v>10585.87</v>
      </c>
      <c r="T14" s="18" t="n">
        <v>10297.31</v>
      </c>
      <c r="U14" s="34" t="n">
        <v>10297.31</v>
      </c>
      <c r="V14" s="18" t="n">
        <v>10174.71</v>
      </c>
      <c r="W14" s="18" t="n">
        <v>10052.1</v>
      </c>
      <c r="X14" s="18" t="n">
        <v>9929.49</v>
      </c>
      <c r="Y14" s="18" t="n">
        <v>9806.879999999999</v>
      </c>
      <c r="Z14" s="34" t="n">
        <v>9806.879999999999</v>
      </c>
      <c r="AA14" s="18" t="n">
        <v>9684.82</v>
      </c>
      <c r="AB14" s="19" t="n">
        <v>9562.190000000001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518.79</v>
      </c>
      <c r="F15" s="34" t="n">
        <v>518.79</v>
      </c>
      <c r="G15" s="18" t="n">
        <v>518.79</v>
      </c>
      <c r="K15" s="9" t="n"/>
      <c r="P15" s="9" t="n"/>
      <c r="U15" s="9" t="n"/>
      <c r="Y15" s="18" t="n">
        <v>33.2</v>
      </c>
      <c r="Z15" s="34" t="n">
        <v>33.2</v>
      </c>
      <c r="AA15" s="18" t="n">
        <v>33.2</v>
      </c>
      <c r="AB15" s="19" t="n">
        <v>33.2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518.79</v>
      </c>
      <c r="F16" s="34" t="n">
        <v>518.79</v>
      </c>
      <c r="G16" s="18" t="n">
        <v>518.79</v>
      </c>
      <c r="K16" s="9" t="n"/>
      <c r="P16" s="9" t="n"/>
      <c r="U16" s="9" t="n"/>
      <c r="Y16" s="18" t="n">
        <v>33.2</v>
      </c>
      <c r="Z16" s="34" t="n">
        <v>33.2</v>
      </c>
      <c r="AA16" s="18" t="n">
        <v>33.2</v>
      </c>
      <c r="AB16" s="19" t="n">
        <v>33.2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유형자산</t>
        </is>
      </c>
      <c r="E17" s="18" t="n">
        <v>19558.12</v>
      </c>
      <c r="F17" s="34" t="n">
        <v>19558.12</v>
      </c>
      <c r="G17" s="18" t="n">
        <v>27466.08</v>
      </c>
      <c r="H17" s="18" t="n">
        <v>27821.82</v>
      </c>
      <c r="I17" s="18" t="n">
        <v>27786.83</v>
      </c>
      <c r="J17" s="18" t="n">
        <v>28036.89</v>
      </c>
      <c r="K17" s="34" t="n">
        <v>28036.89</v>
      </c>
      <c r="L17" s="18" t="n">
        <v>27794.05</v>
      </c>
      <c r="M17" s="18" t="n">
        <v>27555.45</v>
      </c>
      <c r="N17" s="18" t="n">
        <v>27322.27</v>
      </c>
      <c r="O17" s="18" t="n">
        <v>27551.98</v>
      </c>
      <c r="P17" s="34" t="n">
        <v>27551.98</v>
      </c>
      <c r="Q17" s="18" t="n">
        <v>27338</v>
      </c>
      <c r="R17" s="18" t="n">
        <v>31754.02</v>
      </c>
      <c r="S17" s="18" t="n">
        <v>31644.88</v>
      </c>
      <c r="T17" s="18" t="n">
        <v>31806.82</v>
      </c>
      <c r="U17" s="34" t="n">
        <v>31806.82</v>
      </c>
      <c r="V17" s="18" t="n">
        <v>31685.34</v>
      </c>
      <c r="W17" s="18" t="n">
        <v>31460.31</v>
      </c>
      <c r="X17" s="18" t="n">
        <v>31247.05</v>
      </c>
      <c r="Y17" s="18" t="n">
        <v>31051.84</v>
      </c>
      <c r="Z17" s="34" t="n">
        <v>31051.84</v>
      </c>
      <c r="AA17" s="18" t="n">
        <v>30959.8</v>
      </c>
      <c r="AB17" s="19" t="n">
        <v>30822.54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자산총계</t>
        </is>
      </c>
      <c r="E18" s="18" t="n">
        <v>34787.74</v>
      </c>
      <c r="F18" s="34" t="n">
        <v>34787.74</v>
      </c>
      <c r="G18" s="18" t="n">
        <v>43591.27</v>
      </c>
      <c r="H18" s="18" t="n">
        <v>41998.05</v>
      </c>
      <c r="I18" s="18" t="n">
        <v>42538.98</v>
      </c>
      <c r="J18" s="18" t="n">
        <v>44315.23</v>
      </c>
      <c r="K18" s="34" t="n">
        <v>44315.23</v>
      </c>
      <c r="L18" s="18" t="n">
        <v>44182.86</v>
      </c>
      <c r="M18" s="18" t="n">
        <v>43829.35</v>
      </c>
      <c r="N18" s="18" t="n">
        <v>44008.1</v>
      </c>
      <c r="O18" s="18" t="n">
        <v>45843.65</v>
      </c>
      <c r="P18" s="34" t="n">
        <v>45843.65</v>
      </c>
      <c r="Q18" s="18" t="n">
        <v>46893.66</v>
      </c>
      <c r="R18" s="18" t="n">
        <v>55924.46</v>
      </c>
      <c r="S18" s="18" t="n">
        <v>55761.68</v>
      </c>
      <c r="T18" s="18" t="n">
        <v>60097.7</v>
      </c>
      <c r="U18" s="34" t="n">
        <v>60097.7</v>
      </c>
      <c r="V18" s="18" t="n">
        <v>59891.23</v>
      </c>
      <c r="W18" s="18" t="n">
        <v>58896.08</v>
      </c>
      <c r="X18" s="18" t="n">
        <v>61564.5</v>
      </c>
      <c r="Y18" s="18" t="n">
        <v>66929.97</v>
      </c>
      <c r="Z18" s="34" t="n">
        <v>66929.97</v>
      </c>
      <c r="AA18" s="18" t="n">
        <v>68133.89</v>
      </c>
      <c r="AB18" s="19" t="n">
        <v>70856.92999999999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유동부채</t>
        </is>
      </c>
      <c r="E19" s="18" t="n">
        <v>3943.09</v>
      </c>
      <c r="F19" s="34" t="n">
        <v>3943.09</v>
      </c>
      <c r="G19" s="18" t="n">
        <v>13164.67</v>
      </c>
      <c r="H19" s="18" t="n">
        <v>10970</v>
      </c>
      <c r="I19" s="18" t="n">
        <v>11220.67</v>
      </c>
      <c r="J19" s="18" t="n">
        <v>12195.8</v>
      </c>
      <c r="K19" s="34" t="n">
        <v>12195.8</v>
      </c>
      <c r="L19" s="18" t="n">
        <v>11576.5</v>
      </c>
      <c r="M19" s="18" t="n">
        <v>10952.52</v>
      </c>
      <c r="N19" s="18" t="n">
        <v>11019.39</v>
      </c>
      <c r="O19" s="18" t="n">
        <v>10700.16</v>
      </c>
      <c r="P19" s="34" t="n">
        <v>10700.16</v>
      </c>
      <c r="Q19" s="18" t="n">
        <v>2825.51</v>
      </c>
      <c r="R19" s="18" t="n">
        <v>10782.73</v>
      </c>
      <c r="S19" s="18" t="n">
        <v>6532.24</v>
      </c>
      <c r="T19" s="18" t="n">
        <v>6674.59</v>
      </c>
      <c r="U19" s="34" t="n">
        <v>6674.59</v>
      </c>
      <c r="V19" s="18" t="n">
        <v>6096.46</v>
      </c>
      <c r="W19" s="18" t="n">
        <v>4619.82</v>
      </c>
      <c r="X19" s="18" t="n">
        <v>4251.42</v>
      </c>
      <c r="Y19" s="18" t="n">
        <v>5433.49</v>
      </c>
      <c r="Z19" s="34" t="n">
        <v>5433.49</v>
      </c>
      <c r="AA19" s="18" t="n">
        <v>13083.74</v>
      </c>
      <c r="AB19" s="19" t="n">
        <v>12947.14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매입채무및기타채무</t>
        </is>
      </c>
      <c r="E20" s="18" t="n">
        <v>3471.03</v>
      </c>
      <c r="F20" s="34" t="n">
        <v>3471.03</v>
      </c>
      <c r="G20" s="18" t="n">
        <v>4971.34</v>
      </c>
      <c r="H20" s="18" t="n">
        <v>2204.35</v>
      </c>
      <c r="I20" s="18" t="n">
        <v>2463.55</v>
      </c>
      <c r="J20" s="18" t="n">
        <v>2797.5</v>
      </c>
      <c r="K20" s="34" t="n">
        <v>2797.5</v>
      </c>
      <c r="L20" s="18" t="n">
        <v>2490.2</v>
      </c>
      <c r="M20" s="18" t="n">
        <v>1891.23</v>
      </c>
      <c r="N20" s="18" t="n">
        <v>2085.78</v>
      </c>
      <c r="O20" s="18" t="n">
        <v>1880.87</v>
      </c>
      <c r="P20" s="34" t="n">
        <v>1880.87</v>
      </c>
      <c r="Q20" s="18" t="n">
        <v>1956.7</v>
      </c>
      <c r="R20" s="18" t="n">
        <v>2950.74</v>
      </c>
      <c r="S20" s="18" t="n">
        <v>2809.86</v>
      </c>
      <c r="T20" s="18" t="n">
        <v>3832.84</v>
      </c>
      <c r="U20" s="34" t="n">
        <v>3832.84</v>
      </c>
      <c r="V20" s="18" t="n">
        <v>4469.64</v>
      </c>
      <c r="W20" s="18" t="n">
        <v>3676.28</v>
      </c>
      <c r="X20" s="18" t="n">
        <v>3155.71</v>
      </c>
      <c r="Y20" s="18" t="n">
        <v>3721.47</v>
      </c>
      <c r="Z20" s="34" t="n">
        <v>3721.47</v>
      </c>
      <c r="AA20" s="18" t="n">
        <v>3887.48</v>
      </c>
      <c r="AB20" s="19" t="n">
        <v>2760.5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유동리스부채</t>
        </is>
      </c>
      <c r="E21" s="18" t="n">
        <v>41.71</v>
      </c>
      <c r="F21" s="34" t="n">
        <v>41.71</v>
      </c>
      <c r="G21" s="18" t="n">
        <v>17.89</v>
      </c>
      <c r="K21" s="9" t="n"/>
      <c r="P21" s="9" t="n"/>
      <c r="U21" s="9" t="n"/>
      <c r="Z21" s="9" t="n"/>
      <c r="AB21" s="5" t="n"/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리스부채</t>
        </is>
      </c>
      <c r="E22" s="18" t="n">
        <v>41.71</v>
      </c>
      <c r="F22" s="34" t="n">
        <v>41.71</v>
      </c>
      <c r="G22" s="18" t="n">
        <v>17.89</v>
      </c>
      <c r="K22" s="9" t="n"/>
      <c r="P22" s="9" t="n"/>
      <c r="U22" s="9" t="n"/>
      <c r="Z22" s="9" t="n"/>
      <c r="AB22" s="5" t="n"/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단기금융부채</t>
        </is>
      </c>
      <c r="E23" s="18" t="n">
        <v>41.71</v>
      </c>
      <c r="F23" s="34" t="n">
        <v>41.71</v>
      </c>
      <c r="G23" s="18" t="n">
        <v>17.89</v>
      </c>
      <c r="K23" s="9" t="n"/>
      <c r="P23" s="9" t="n"/>
      <c r="U23" s="9" t="n"/>
      <c r="Z23" s="9" t="n"/>
      <c r="AB23" s="5" t="n"/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기타유동부채</t>
        </is>
      </c>
      <c r="E24" s="18" t="n">
        <v>430.35</v>
      </c>
      <c r="F24" s="34" t="n">
        <v>430.35</v>
      </c>
      <c r="G24" s="18" t="n">
        <v>175.44</v>
      </c>
      <c r="K24" s="9" t="n"/>
      <c r="P24" s="9" t="n"/>
      <c r="U24" s="9" t="n"/>
      <c r="Z24" s="9" t="n"/>
      <c r="AB24" s="5" t="n"/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비유동부채</t>
        </is>
      </c>
      <c r="E25" s="18" t="n">
        <v>2145.21</v>
      </c>
      <c r="F25" s="34" t="n">
        <v>2145.21</v>
      </c>
      <c r="G25" s="18" t="n">
        <v>2030.28</v>
      </c>
      <c r="H25" s="18" t="n">
        <v>1937.15</v>
      </c>
      <c r="I25" s="18" t="n">
        <v>2041.31</v>
      </c>
      <c r="J25" s="18" t="n">
        <v>1822.69</v>
      </c>
      <c r="K25" s="34" t="n">
        <v>1822.69</v>
      </c>
      <c r="L25" s="18" t="n">
        <v>1849.81</v>
      </c>
      <c r="M25" s="18" t="n">
        <v>1919.27</v>
      </c>
      <c r="N25" s="18" t="n">
        <v>1934.05</v>
      </c>
      <c r="O25" s="18" t="n">
        <v>55.94</v>
      </c>
      <c r="P25" s="34" t="n">
        <v>55.94</v>
      </c>
      <c r="Q25" s="18" t="n">
        <v>8108.57</v>
      </c>
      <c r="R25" s="18" t="n">
        <v>8299.26</v>
      </c>
      <c r="S25" s="18" t="n">
        <v>11686.88</v>
      </c>
      <c r="T25" s="18" t="n">
        <v>11588.77</v>
      </c>
      <c r="U25" s="34" t="n">
        <v>11588.77</v>
      </c>
      <c r="V25" s="18" t="n">
        <v>11660.51</v>
      </c>
      <c r="W25" s="18" t="n">
        <v>11692.28</v>
      </c>
      <c r="X25" s="18" t="n">
        <v>11833.4</v>
      </c>
      <c r="Y25" s="18" t="n">
        <v>11657.54</v>
      </c>
      <c r="Z25" s="34" t="n">
        <v>11657.54</v>
      </c>
      <c r="AA25" s="18" t="n">
        <v>3739.02</v>
      </c>
      <c r="AB25" s="19" t="n">
        <v>3750.5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장기매입채무및기타채무</t>
        </is>
      </c>
      <c r="E26" s="18" t="n">
        <v>0</v>
      </c>
      <c r="F26" s="34" t="n">
        <v>0</v>
      </c>
      <c r="G26" s="18" t="n">
        <v>0</v>
      </c>
      <c r="K26" s="9" t="n"/>
      <c r="P26" s="9" t="n"/>
      <c r="U26" s="9" t="n"/>
      <c r="Z26" s="9" t="n"/>
      <c r="AB26" s="5" t="n"/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확정급여부채</t>
        </is>
      </c>
      <c r="E27" s="18" t="n">
        <v>405.8</v>
      </c>
      <c r="F27" s="34" t="n">
        <v>405.8</v>
      </c>
      <c r="G27" s="18" t="n">
        <v>290.88</v>
      </c>
      <c r="H27" s="18" t="n">
        <v>103.86</v>
      </c>
      <c r="I27" s="18" t="n">
        <v>179.77</v>
      </c>
      <c r="J27" s="18" t="n">
        <v>118.98</v>
      </c>
      <c r="K27" s="34" t="n">
        <v>118.98</v>
      </c>
      <c r="L27" s="18" t="n">
        <v>153.22</v>
      </c>
      <c r="M27" s="18" t="n">
        <v>190.2</v>
      </c>
      <c r="N27" s="18" t="n">
        <v>211.74</v>
      </c>
      <c r="O27" s="18" t="n">
        <v>43.58</v>
      </c>
      <c r="P27" s="34" t="n">
        <v>43.58</v>
      </c>
      <c r="Q27" s="18" t="n">
        <v>97.58</v>
      </c>
      <c r="R27" s="18" t="n">
        <v>289.64</v>
      </c>
      <c r="S27" s="18" t="n">
        <v>378.66</v>
      </c>
      <c r="T27" s="18" t="n">
        <v>232.78</v>
      </c>
      <c r="U27" s="34" t="n">
        <v>232.78</v>
      </c>
      <c r="V27" s="18" t="n">
        <v>301.55</v>
      </c>
      <c r="W27" s="18" t="n">
        <v>328.69</v>
      </c>
      <c r="X27" s="18" t="n">
        <v>468.2</v>
      </c>
      <c r="Y27" s="18" t="n">
        <v>281.85</v>
      </c>
      <c r="Z27" s="34" t="n">
        <v>281.85</v>
      </c>
      <c r="AA27" s="18" t="n">
        <v>358.71</v>
      </c>
      <c r="AB27" s="19" t="n">
        <v>378.46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이연법인세부채</t>
        </is>
      </c>
      <c r="E28" s="18" t="n">
        <v>1739.41</v>
      </c>
      <c r="F28" s="34" t="n">
        <v>1739.41</v>
      </c>
      <c r="G28" s="18" t="n">
        <v>1739.41</v>
      </c>
      <c r="H28" s="18" t="n">
        <v>1813.07</v>
      </c>
      <c r="I28" s="18" t="n">
        <v>1842.6</v>
      </c>
      <c r="J28" s="18" t="n">
        <v>1686.06</v>
      </c>
      <c r="K28" s="34" t="n">
        <v>1686.06</v>
      </c>
      <c r="L28" s="18" t="n">
        <v>1680.23</v>
      </c>
      <c r="M28" s="18" t="n">
        <v>1714.03</v>
      </c>
      <c r="N28" s="18" t="n">
        <v>1708.6</v>
      </c>
      <c r="O28" s="18" t="n">
        <v>0</v>
      </c>
      <c r="P28" s="34" t="n">
        <v>0</v>
      </c>
      <c r="T28" s="18" t="n">
        <v>0</v>
      </c>
      <c r="U28" s="34" t="n">
        <v>0</v>
      </c>
      <c r="W28" s="18" t="n">
        <v>0</v>
      </c>
      <c r="X28" s="18" t="n">
        <v>0</v>
      </c>
      <c r="Y28" s="18" t="n">
        <v>0</v>
      </c>
      <c r="Z28" s="34" t="n">
        <v>0</v>
      </c>
      <c r="AB28" s="5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부채총계</t>
        </is>
      </c>
      <c r="E29" s="18" t="n">
        <v>6088.3</v>
      </c>
      <c r="F29" s="34" t="n">
        <v>6088.3</v>
      </c>
      <c r="G29" s="18" t="n">
        <v>15194.95</v>
      </c>
      <c r="H29" s="18" t="n">
        <v>12907.15</v>
      </c>
      <c r="I29" s="18" t="n">
        <v>13261.98</v>
      </c>
      <c r="J29" s="18" t="n">
        <v>14018.5</v>
      </c>
      <c r="K29" s="34" t="n">
        <v>14018.5</v>
      </c>
      <c r="L29" s="18" t="n">
        <v>13426.3</v>
      </c>
      <c r="M29" s="18" t="n">
        <v>12871.79</v>
      </c>
      <c r="N29" s="18" t="n">
        <v>12953.44</v>
      </c>
      <c r="O29" s="18" t="n">
        <v>10756.1</v>
      </c>
      <c r="P29" s="34" t="n">
        <v>10756.1</v>
      </c>
      <c r="Q29" s="18" t="n">
        <v>10934.08</v>
      </c>
      <c r="R29" s="18" t="n">
        <v>19081.98</v>
      </c>
      <c r="S29" s="18" t="n">
        <v>18219.12</v>
      </c>
      <c r="T29" s="18" t="n">
        <v>18263.36</v>
      </c>
      <c r="U29" s="34" t="n">
        <v>18263.36</v>
      </c>
      <c r="V29" s="18" t="n">
        <v>17756.96</v>
      </c>
      <c r="W29" s="18" t="n">
        <v>16312.1</v>
      </c>
      <c r="X29" s="18" t="n">
        <v>16084.82</v>
      </c>
      <c r="Y29" s="18" t="n">
        <v>17091.03</v>
      </c>
      <c r="Z29" s="34" t="n">
        <v>17091.03</v>
      </c>
      <c r="AA29" s="18" t="n">
        <v>16822.76</v>
      </c>
      <c r="AB29" s="19" t="n">
        <v>16697.64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자본금</t>
        </is>
      </c>
      <c r="E30" s="18" t="n">
        <v>6770.5</v>
      </c>
      <c r="F30" s="34" t="n">
        <v>6770.5</v>
      </c>
      <c r="G30" s="18" t="n">
        <v>6770.5</v>
      </c>
      <c r="H30" s="18" t="n">
        <v>6770.5</v>
      </c>
      <c r="I30" s="18" t="n">
        <v>6770.5</v>
      </c>
      <c r="J30" s="18" t="n">
        <v>6770.5</v>
      </c>
      <c r="K30" s="34" t="n">
        <v>6770.5</v>
      </c>
      <c r="L30" s="18" t="n">
        <v>6770.5</v>
      </c>
      <c r="M30" s="18" t="n">
        <v>6770.5</v>
      </c>
      <c r="N30" s="18" t="n">
        <v>6770.5</v>
      </c>
      <c r="O30" s="18" t="n">
        <v>6770.5</v>
      </c>
      <c r="P30" s="34" t="n">
        <v>6770.5</v>
      </c>
      <c r="Q30" s="18" t="n">
        <v>7000</v>
      </c>
      <c r="R30" s="18" t="n">
        <v>7000</v>
      </c>
      <c r="S30" s="18" t="n">
        <v>7000</v>
      </c>
      <c r="T30" s="18" t="n">
        <v>7000</v>
      </c>
      <c r="U30" s="34" t="n">
        <v>7000</v>
      </c>
      <c r="V30" s="18" t="n">
        <v>7000</v>
      </c>
      <c r="W30" s="18" t="n">
        <v>7000</v>
      </c>
      <c r="X30" s="18" t="n">
        <v>7000</v>
      </c>
      <c r="Y30" s="18" t="n">
        <v>7000</v>
      </c>
      <c r="Z30" s="34" t="n">
        <v>7000</v>
      </c>
      <c r="AA30" s="18" t="n">
        <v>7000</v>
      </c>
      <c r="AB30" s="19" t="n">
        <v>7000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자본잉여금</t>
        </is>
      </c>
      <c r="E31" s="18" t="n">
        <v>20687.74</v>
      </c>
      <c r="F31" s="34" t="n">
        <v>20687.74</v>
      </c>
      <c r="G31" s="18" t="n">
        <v>20687.74</v>
      </c>
      <c r="H31" s="18" t="n">
        <v>20687.74</v>
      </c>
      <c r="I31" s="18" t="n">
        <v>20687.74</v>
      </c>
      <c r="J31" s="18" t="n">
        <v>20687.74</v>
      </c>
      <c r="K31" s="34" t="n">
        <v>20687.74</v>
      </c>
      <c r="L31" s="18" t="n">
        <v>20687.74</v>
      </c>
      <c r="M31" s="18" t="n">
        <v>20687.74</v>
      </c>
      <c r="N31" s="18" t="n">
        <v>20687.74</v>
      </c>
      <c r="O31" s="18" t="n">
        <v>20687.74</v>
      </c>
      <c r="P31" s="34" t="n">
        <v>20687.74</v>
      </c>
      <c r="Q31" s="18" t="n">
        <v>21327.81</v>
      </c>
      <c r="R31" s="18" t="n">
        <v>21327.81</v>
      </c>
      <c r="S31" s="18" t="n">
        <v>21327.81</v>
      </c>
      <c r="T31" s="18" t="n">
        <v>21327.81</v>
      </c>
      <c r="U31" s="34" t="n">
        <v>21327.81</v>
      </c>
      <c r="V31" s="18" t="n">
        <v>21327.81</v>
      </c>
      <c r="W31" s="18" t="n">
        <v>21327.81</v>
      </c>
      <c r="X31" s="18" t="n">
        <v>21327.81</v>
      </c>
      <c r="Y31" s="18" t="n">
        <v>21327.81</v>
      </c>
      <c r="Z31" s="34" t="n">
        <v>21327.81</v>
      </c>
      <c r="AA31" s="18" t="n">
        <v>21327.81</v>
      </c>
      <c r="AB31" s="19" t="n">
        <v>21327.81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이익잉여금</t>
        </is>
      </c>
      <c r="E32" s="18" t="n">
        <v>1241.21</v>
      </c>
      <c r="F32" s="34" t="n">
        <v>1241.21</v>
      </c>
      <c r="G32" s="18" t="n">
        <v>938.08</v>
      </c>
      <c r="H32" s="18" t="n">
        <v>1632.65</v>
      </c>
      <c r="I32" s="18" t="n">
        <v>1818.76</v>
      </c>
      <c r="J32" s="18" t="n">
        <v>2838.49</v>
      </c>
      <c r="K32" s="34" t="n">
        <v>2838.49</v>
      </c>
      <c r="L32" s="18" t="n">
        <v>3298.31</v>
      </c>
      <c r="M32" s="18" t="n">
        <v>3499.32</v>
      </c>
      <c r="N32" s="18" t="n">
        <v>3596.43</v>
      </c>
      <c r="O32" s="18" t="n">
        <v>7629.32</v>
      </c>
      <c r="P32" s="34" t="n">
        <v>7629.32</v>
      </c>
      <c r="Q32" s="18" t="n">
        <v>7631.77</v>
      </c>
      <c r="R32" s="18" t="n">
        <v>8514.67</v>
      </c>
      <c r="S32" s="18" t="n">
        <v>9354.469999999999</v>
      </c>
      <c r="T32" s="18" t="n">
        <v>13646.25</v>
      </c>
      <c r="U32" s="34" t="n">
        <v>13646.25</v>
      </c>
      <c r="V32" s="18" t="n">
        <v>13946.18</v>
      </c>
      <c r="W32" s="18" t="n">
        <v>14395.89</v>
      </c>
      <c r="X32" s="18" t="n">
        <v>17291.58</v>
      </c>
      <c r="Y32" s="18" t="n">
        <v>21650.85</v>
      </c>
      <c r="Z32" s="34" t="n">
        <v>21650.85</v>
      </c>
      <c r="AA32" s="18" t="n">
        <v>23123.04</v>
      </c>
      <c r="AB32" s="19" t="n">
        <v>25971.2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자본총계</t>
        </is>
      </c>
      <c r="E33" s="18" t="n">
        <v>28699.45</v>
      </c>
      <c r="F33" s="34" t="n">
        <v>28699.45</v>
      </c>
      <c r="G33" s="18" t="n">
        <v>28396.32</v>
      </c>
      <c r="H33" s="18" t="n">
        <v>29090.89</v>
      </c>
      <c r="I33" s="18" t="n">
        <v>29277</v>
      </c>
      <c r="J33" s="18" t="n">
        <v>30296.73</v>
      </c>
      <c r="K33" s="34" t="n">
        <v>30296.73</v>
      </c>
      <c r="L33" s="18" t="n">
        <v>30756.55</v>
      </c>
      <c r="M33" s="18" t="n">
        <v>30957.56</v>
      </c>
      <c r="N33" s="18" t="n">
        <v>31054.67</v>
      </c>
      <c r="O33" s="18" t="n">
        <v>35087.55</v>
      </c>
      <c r="P33" s="34" t="n">
        <v>35087.55</v>
      </c>
      <c r="Q33" s="18" t="n">
        <v>35959.58</v>
      </c>
      <c r="R33" s="18" t="n">
        <v>36842.48</v>
      </c>
      <c r="S33" s="18" t="n">
        <v>37542.56</v>
      </c>
      <c r="T33" s="18" t="n">
        <v>41834.34</v>
      </c>
      <c r="U33" s="34" t="n">
        <v>41834.34</v>
      </c>
      <c r="V33" s="18" t="n">
        <v>42134.27</v>
      </c>
      <c r="W33" s="18" t="n">
        <v>42583.98</v>
      </c>
      <c r="X33" s="18" t="n">
        <v>45479.68</v>
      </c>
      <c r="Y33" s="18" t="n">
        <v>49838.95</v>
      </c>
      <c r="Z33" s="34" t="n">
        <v>49838.95</v>
      </c>
      <c r="AA33" s="18" t="n">
        <v>51311.13</v>
      </c>
      <c r="AB33" s="19" t="n">
        <v>54159.29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부채와자본총계</t>
        </is>
      </c>
      <c r="E34" s="18" t="n">
        <v>34787.74</v>
      </c>
      <c r="F34" s="34" t="n">
        <v>34787.74</v>
      </c>
      <c r="G34" s="18" t="n">
        <v>43591.27</v>
      </c>
      <c r="H34" s="18" t="n">
        <v>41998.05</v>
      </c>
      <c r="I34" s="18" t="n">
        <v>42538.98</v>
      </c>
      <c r="J34" s="18" t="n">
        <v>44315.23</v>
      </c>
      <c r="K34" s="34" t="n">
        <v>44315.23</v>
      </c>
      <c r="L34" s="18" t="n">
        <v>44182.86</v>
      </c>
      <c r="M34" s="18" t="n">
        <v>43829.35</v>
      </c>
      <c r="N34" s="18" t="n">
        <v>44008.1</v>
      </c>
      <c r="O34" s="18" t="n">
        <v>45843.65</v>
      </c>
      <c r="P34" s="34" t="n">
        <v>45843.65</v>
      </c>
      <c r="Q34" s="18" t="n">
        <v>46893.66</v>
      </c>
      <c r="R34" s="18" t="n">
        <v>55924.46</v>
      </c>
      <c r="S34" s="18" t="n">
        <v>55761.68</v>
      </c>
      <c r="T34" s="18" t="n">
        <v>60097.7</v>
      </c>
      <c r="U34" s="34" t="n">
        <v>60097.7</v>
      </c>
      <c r="V34" s="18" t="n">
        <v>59891.23</v>
      </c>
      <c r="W34" s="18" t="n">
        <v>58896.08</v>
      </c>
      <c r="X34" s="18" t="n">
        <v>61564.5</v>
      </c>
      <c r="Y34" s="18" t="n">
        <v>66929.97</v>
      </c>
      <c r="Z34" s="34" t="n">
        <v>66929.97</v>
      </c>
      <c r="AA34" s="18" t="n">
        <v>68133.89</v>
      </c>
      <c r="AB34" s="19" t="n">
        <v>70856.92999999999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지배주주지분</t>
        </is>
      </c>
      <c r="E35" s="18" t="n">
        <v>28699.45</v>
      </c>
      <c r="F35" s="34" t="n">
        <v>28699.45</v>
      </c>
      <c r="G35" s="18" t="n">
        <v>28396.32</v>
      </c>
      <c r="H35" s="18" t="n">
        <v>29090.89</v>
      </c>
      <c r="I35" s="18" t="n">
        <v>29277</v>
      </c>
      <c r="J35" s="18" t="n">
        <v>30296.73</v>
      </c>
      <c r="K35" s="34" t="n">
        <v>30296.73</v>
      </c>
      <c r="L35" s="18" t="n">
        <v>30756.55</v>
      </c>
      <c r="M35" s="18" t="n">
        <v>30957.56</v>
      </c>
      <c r="N35" s="18" t="n">
        <v>31054.67</v>
      </c>
      <c r="O35" s="18" t="n">
        <v>35087.55</v>
      </c>
      <c r="P35" s="34" t="n">
        <v>35087.55</v>
      </c>
      <c r="Q35" s="18" t="n">
        <v>35959.58</v>
      </c>
      <c r="R35" s="18" t="n">
        <v>36842.48</v>
      </c>
      <c r="S35" s="18" t="n">
        <v>37542.56</v>
      </c>
      <c r="T35" s="18" t="n">
        <v>41834.34</v>
      </c>
      <c r="U35" s="34" t="n">
        <v>41834.34</v>
      </c>
      <c r="V35" s="18" t="n">
        <v>42134.27</v>
      </c>
      <c r="W35" s="18" t="n">
        <v>42583.98</v>
      </c>
      <c r="X35" s="18" t="n">
        <v>45479.68</v>
      </c>
      <c r="Y35" s="18" t="n">
        <v>49838.95</v>
      </c>
      <c r="Z35" s="34" t="n">
        <v>49838.95</v>
      </c>
      <c r="AA35" s="18" t="n">
        <v>51311.13</v>
      </c>
      <c r="AB35" s="19" t="n">
        <v>54159.29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이자발생자산</t>
        </is>
      </c>
      <c r="E36" s="18" t="n">
        <v>4374.67</v>
      </c>
      <c r="F36" s="34" t="n">
        <v>4374.67</v>
      </c>
      <c r="G36" s="18" t="n">
        <v>5678.02</v>
      </c>
      <c r="H36" s="18" t="n">
        <v>2153.23</v>
      </c>
      <c r="I36" s="18" t="n">
        <v>3257.79</v>
      </c>
      <c r="J36" s="18" t="n">
        <v>4263.21</v>
      </c>
      <c r="K36" s="34" t="n">
        <v>4263.21</v>
      </c>
      <c r="L36" s="18" t="n">
        <v>5807.43</v>
      </c>
      <c r="M36" s="18" t="n">
        <v>7324.53</v>
      </c>
      <c r="N36" s="18" t="n">
        <v>8502.74</v>
      </c>
      <c r="O36" s="18" t="n">
        <v>8819.120000000001</v>
      </c>
      <c r="P36" s="34" t="n">
        <v>8819.120000000001</v>
      </c>
      <c r="Q36" s="18" t="n">
        <v>12157.85</v>
      </c>
      <c r="R36" s="18" t="n">
        <v>2316.36</v>
      </c>
      <c r="S36" s="18" t="n">
        <v>2615.78</v>
      </c>
      <c r="T36" s="18" t="n">
        <v>4492.88</v>
      </c>
      <c r="U36" s="34" t="n">
        <v>4492.88</v>
      </c>
      <c r="V36" s="18" t="n">
        <v>3925.24</v>
      </c>
      <c r="W36" s="18" t="n">
        <v>4093.26</v>
      </c>
      <c r="X36" s="18" t="n">
        <v>5995.54</v>
      </c>
      <c r="Y36" s="18" t="n">
        <v>13045.06</v>
      </c>
      <c r="Z36" s="34" t="n">
        <v>13045.06</v>
      </c>
      <c r="AA36" s="18" t="n">
        <v>14924.43</v>
      </c>
      <c r="AB36" s="19" t="n">
        <v>18168.91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단기차입금</t>
        </is>
      </c>
      <c r="F37" s="9" t="n"/>
      <c r="G37" s="18" t="n">
        <v>8000</v>
      </c>
      <c r="H37" s="18" t="n">
        <v>8000</v>
      </c>
      <c r="I37" s="18" t="n">
        <v>8000</v>
      </c>
      <c r="J37" s="18" t="n">
        <v>8000</v>
      </c>
      <c r="K37" s="34" t="n">
        <v>8000</v>
      </c>
      <c r="L37" s="18" t="n">
        <v>8000</v>
      </c>
      <c r="M37" s="18" t="n">
        <v>8000</v>
      </c>
      <c r="N37" s="18" t="n">
        <v>8000</v>
      </c>
      <c r="O37" s="18" t="n">
        <v>8000</v>
      </c>
      <c r="P37" s="34" t="n">
        <v>8000</v>
      </c>
      <c r="Q37" s="18" t="n">
        <v>0</v>
      </c>
      <c r="R37" s="18" t="n">
        <v>6600</v>
      </c>
      <c r="S37" s="18" t="n">
        <v>2600</v>
      </c>
      <c r="T37" s="18" t="n">
        <v>1500</v>
      </c>
      <c r="U37" s="34" t="n">
        <v>1500</v>
      </c>
      <c r="V37" s="18" t="n">
        <v>700</v>
      </c>
      <c r="W37" s="18" t="n">
        <v>0</v>
      </c>
      <c r="X37" s="18" t="n">
        <v>0</v>
      </c>
      <c r="Y37" s="18" t="n">
        <v>0</v>
      </c>
      <c r="Z37" s="34" t="n">
        <v>0</v>
      </c>
      <c r="AA37" s="18" t="n">
        <v>8000</v>
      </c>
      <c r="AB37" s="19" t="n">
        <v>8000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총차입금</t>
        </is>
      </c>
      <c r="F38" s="9" t="n"/>
      <c r="G38" s="18" t="n">
        <v>8000</v>
      </c>
      <c r="H38" s="18" t="n">
        <v>8000</v>
      </c>
      <c r="I38" s="18" t="n">
        <v>8000</v>
      </c>
      <c r="J38" s="18" t="n">
        <v>8000</v>
      </c>
      <c r="K38" s="34" t="n">
        <v>8000</v>
      </c>
      <c r="L38" s="18" t="n">
        <v>8000</v>
      </c>
      <c r="M38" s="18" t="n">
        <v>8000</v>
      </c>
      <c r="N38" s="18" t="n">
        <v>8000</v>
      </c>
      <c r="O38" s="18" t="n">
        <v>8000</v>
      </c>
      <c r="P38" s="34" t="n">
        <v>8000</v>
      </c>
      <c r="Q38" s="18" t="n">
        <v>8000</v>
      </c>
      <c r="R38" s="18" t="n">
        <v>14600</v>
      </c>
      <c r="S38" s="18" t="n">
        <v>13900</v>
      </c>
      <c r="T38" s="18" t="n">
        <v>12800</v>
      </c>
      <c r="U38" s="34" t="n">
        <v>12800</v>
      </c>
      <c r="V38" s="18" t="n">
        <v>12000</v>
      </c>
      <c r="W38" s="18" t="n">
        <v>11300</v>
      </c>
      <c r="X38" s="18" t="n">
        <v>11300</v>
      </c>
      <c r="Y38" s="18" t="n">
        <v>11300</v>
      </c>
      <c r="Z38" s="34" t="n">
        <v>11300</v>
      </c>
      <c r="AA38" s="18" t="n">
        <v>11300</v>
      </c>
      <c r="AB38" s="19" t="n">
        <v>11300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순차입금</t>
        </is>
      </c>
      <c r="F39" s="9" t="n"/>
      <c r="G39" s="18" t="n">
        <v>2840.77</v>
      </c>
      <c r="H39" s="18" t="n">
        <v>5846.77</v>
      </c>
      <c r="I39" s="18" t="n">
        <v>4742.21</v>
      </c>
      <c r="J39" s="18" t="n">
        <v>3736.79</v>
      </c>
      <c r="K39" s="34" t="n">
        <v>3736.79</v>
      </c>
      <c r="L39" s="18" t="n">
        <v>2192.57</v>
      </c>
      <c r="M39" s="18" t="n">
        <v>675.47</v>
      </c>
      <c r="N39" s="18" t="n">
        <v>-502.74</v>
      </c>
      <c r="O39" s="18" t="n">
        <v>-819.12</v>
      </c>
      <c r="P39" s="34" t="n">
        <v>-819.12</v>
      </c>
      <c r="Q39" s="18" t="n">
        <v>-4157.85</v>
      </c>
      <c r="R39" s="18" t="n">
        <v>12283.64</v>
      </c>
      <c r="S39" s="18" t="n">
        <v>11284.22</v>
      </c>
      <c r="T39" s="18" t="n">
        <v>8307.120000000001</v>
      </c>
      <c r="U39" s="34" t="n">
        <v>8307.120000000001</v>
      </c>
      <c r="V39" s="18" t="n">
        <v>8074.76</v>
      </c>
      <c r="W39" s="18" t="n">
        <v>7206.74</v>
      </c>
      <c r="X39" s="18" t="n">
        <v>5304.46</v>
      </c>
      <c r="Y39" s="18" t="n">
        <v>-1711.86</v>
      </c>
      <c r="Z39" s="34" t="n">
        <v>-1711.86</v>
      </c>
      <c r="AA39" s="18" t="n">
        <v>-3591.23</v>
      </c>
      <c r="AB39" s="19" t="n">
        <v>-6835.71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단기금융부채(face)</t>
        </is>
      </c>
      <c r="F40" s="9" t="n"/>
      <c r="H40" s="18" t="n">
        <v>8000</v>
      </c>
      <c r="I40" s="18" t="n">
        <v>8000</v>
      </c>
      <c r="J40" s="18" t="n">
        <v>8000</v>
      </c>
      <c r="K40" s="34" t="n">
        <v>8000</v>
      </c>
      <c r="L40" s="18" t="n">
        <v>8000</v>
      </c>
      <c r="M40" s="18" t="n">
        <v>8000</v>
      </c>
      <c r="N40" s="18" t="n">
        <v>8000</v>
      </c>
      <c r="O40" s="18" t="n">
        <v>8000</v>
      </c>
      <c r="P40" s="34" t="n">
        <v>8000</v>
      </c>
      <c r="Q40" s="18" t="n">
        <v>0</v>
      </c>
      <c r="R40" s="18" t="n">
        <v>6600</v>
      </c>
      <c r="S40" s="18" t="n">
        <v>2600</v>
      </c>
      <c r="U40" s="9" t="n"/>
      <c r="Y40" s="18" t="n">
        <v>0</v>
      </c>
      <c r="Z40" s="34" t="n">
        <v>0</v>
      </c>
      <c r="AA40" s="18" t="n">
        <v>8000</v>
      </c>
      <c r="AB40" s="19" t="n">
        <v>8000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이연법인세자산</t>
        </is>
      </c>
      <c r="F41" s="9" t="n"/>
      <c r="K41" s="9" t="n"/>
      <c r="O41" s="18" t="n">
        <v>211.18</v>
      </c>
      <c r="P41" s="34" t="n">
        <v>211.18</v>
      </c>
      <c r="Q41" s="18" t="n">
        <v>211.18</v>
      </c>
      <c r="R41" s="18" t="n">
        <v>182.61</v>
      </c>
      <c r="S41" s="18" t="n">
        <v>238.74</v>
      </c>
      <c r="T41" s="18" t="n">
        <v>1739.52</v>
      </c>
      <c r="U41" s="34" t="n">
        <v>1739.52</v>
      </c>
      <c r="V41" s="18" t="n">
        <v>1735.22</v>
      </c>
      <c r="W41" s="18" t="n">
        <v>1742.46</v>
      </c>
      <c r="X41" s="18" t="n">
        <v>1744.48</v>
      </c>
      <c r="Y41" s="18" t="n">
        <v>1117.37</v>
      </c>
      <c r="Z41" s="34" t="n">
        <v>1117.37</v>
      </c>
      <c r="AA41" s="18" t="n">
        <v>1120.04</v>
      </c>
      <c r="AB41" s="19" t="n">
        <v>1101.47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장기차입금</t>
        </is>
      </c>
      <c r="F42" s="9" t="n"/>
      <c r="K42" s="9" t="n"/>
      <c r="P42" s="9" t="n"/>
      <c r="Q42" s="18" t="n">
        <v>8000</v>
      </c>
      <c r="R42" s="18" t="n">
        <v>8000</v>
      </c>
      <c r="S42" s="18" t="n">
        <v>11300</v>
      </c>
      <c r="T42" s="18" t="n">
        <v>11300</v>
      </c>
      <c r="U42" s="34" t="n">
        <v>11300</v>
      </c>
      <c r="V42" s="18" t="n">
        <v>11300</v>
      </c>
      <c r="W42" s="18" t="n">
        <v>11300</v>
      </c>
      <c r="X42" s="18" t="n">
        <v>11300</v>
      </c>
      <c r="Y42" s="18" t="n">
        <v>11300</v>
      </c>
      <c r="Z42" s="34" t="n">
        <v>11300</v>
      </c>
      <c r="AA42" s="18" t="n">
        <v>3300</v>
      </c>
      <c r="AB42" s="19" t="n">
        <v>3300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장기금융부채(face)</t>
        </is>
      </c>
      <c r="F43" s="9" t="n"/>
      <c r="K43" s="9" t="n"/>
      <c r="P43" s="9" t="n"/>
      <c r="Q43" s="18" t="n">
        <v>8000</v>
      </c>
      <c r="R43" s="18" t="n">
        <v>8000</v>
      </c>
      <c r="S43" s="18" t="n">
        <v>11300</v>
      </c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기타자본</t>
        </is>
      </c>
      <c r="F44" s="9" t="n"/>
      <c r="K44" s="9" t="n"/>
      <c r="P44" s="9" t="n"/>
      <c r="S44" s="18" t="n">
        <v>-139.72</v>
      </c>
      <c r="T44" s="18" t="n">
        <v>-139.72</v>
      </c>
      <c r="U44" s="34" t="n">
        <v>-139.72</v>
      </c>
      <c r="V44" s="18" t="n">
        <v>-139.72</v>
      </c>
      <c r="W44" s="18" t="n">
        <v>-139.72</v>
      </c>
      <c r="X44" s="18" t="n">
        <v>-139.72</v>
      </c>
      <c r="Y44" s="18" t="n">
        <v>-139.72</v>
      </c>
      <c r="Z44" s="34" t="n">
        <v>-139.72</v>
      </c>
      <c r="AA44" s="18" t="n">
        <v>-139.72</v>
      </c>
      <c r="AB44" s="19" t="n">
        <v>-139.72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당기법인세부채(미지급법인세)</t>
        </is>
      </c>
      <c r="F45" s="9" t="n"/>
      <c r="K45" s="9" t="n"/>
      <c r="P45" s="9" t="n"/>
      <c r="U45" s="9" t="n"/>
      <c r="W45" s="18" t="n">
        <v>27.32</v>
      </c>
      <c r="X45" s="18" t="n">
        <v>124.57</v>
      </c>
      <c r="Y45" s="18" t="n">
        <v>340.6</v>
      </c>
      <c r="Z45" s="34" t="n">
        <v>340.6</v>
      </c>
      <c r="AA45" s="18" t="n">
        <v>250.2</v>
      </c>
      <c r="AB45" s="19" t="n">
        <v>1188.36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단기금융상품</t>
        </is>
      </c>
      <c r="F46" s="9" t="n"/>
      <c r="K46" s="9" t="n"/>
      <c r="P46" s="9" t="n"/>
      <c r="U46" s="9" t="n"/>
      <c r="Y46" s="18" t="n">
        <v>0</v>
      </c>
      <c r="Z46" s="34" t="n">
        <v>0</v>
      </c>
      <c r="AA46" s="18" t="n">
        <v>1.18</v>
      </c>
      <c r="AB46" s="19" t="n">
        <v>1.2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단기금융자산</t>
        </is>
      </c>
      <c r="F47" s="9" t="n"/>
      <c r="K47" s="9" t="n"/>
      <c r="P47" s="9" t="n"/>
      <c r="U47" s="9" t="n"/>
      <c r="Y47" s="18" t="n">
        <v>0</v>
      </c>
      <c r="Z47" s="34" t="n">
        <v>0</v>
      </c>
      <c r="AA47" s="18" t="n">
        <v>1.18</v>
      </c>
      <c r="AB47" s="19" t="n">
        <v>1.2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사용권자산</t>
        </is>
      </c>
      <c r="F48" s="9" t="n"/>
      <c r="K48" s="9" t="n"/>
      <c r="P48" s="9" t="n"/>
      <c r="U48" s="9" t="n"/>
      <c r="Y48" s="18" t="n">
        <v>372.51</v>
      </c>
      <c r="Z48" s="34" t="n">
        <v>372.51</v>
      </c>
      <c r="AA48" s="18" t="n">
        <v>271.35</v>
      </c>
      <c r="AB48" s="19" t="n">
        <v>170.19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기타비유동자산</t>
        </is>
      </c>
      <c r="F49" s="9" t="n"/>
      <c r="K49" s="9" t="n"/>
      <c r="P49" s="9" t="n"/>
      <c r="U49" s="9" t="n"/>
      <c r="Y49" s="18" t="n">
        <v>372.51</v>
      </c>
      <c r="Z49" s="34" t="n">
        <v>372.51</v>
      </c>
      <c r="AA49" s="18" t="n">
        <v>271.35</v>
      </c>
      <c r="AB49" s="19" t="n">
        <v>170.19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매출액(수익)</t>
        </is>
      </c>
      <c r="E50" s="18" t="n">
        <v>8896.35</v>
      </c>
      <c r="F50" s="9" t="n"/>
      <c r="G50" s="18" t="n">
        <v>5724.77</v>
      </c>
      <c r="H50" s="18" t="n">
        <v>6749.96</v>
      </c>
      <c r="I50" s="18" t="n">
        <v>5989.29</v>
      </c>
      <c r="J50" s="18" t="n">
        <v>6395.81</v>
      </c>
      <c r="K50" s="34" t="n">
        <v>24859.83</v>
      </c>
      <c r="L50" s="18" t="n">
        <v>6879.2</v>
      </c>
      <c r="M50" s="18" t="n">
        <v>6790.69</v>
      </c>
      <c r="N50" s="18" t="n">
        <v>5610.19</v>
      </c>
      <c r="O50" s="18" t="n">
        <v>8027.89</v>
      </c>
      <c r="P50" s="34" t="n">
        <v>27307.97</v>
      </c>
      <c r="Q50" s="18" t="n">
        <v>5656.83</v>
      </c>
      <c r="R50" s="18" t="n">
        <v>7734.21</v>
      </c>
      <c r="S50" s="18" t="n">
        <v>9223.93</v>
      </c>
      <c r="T50" s="18" t="n">
        <v>13101.01</v>
      </c>
      <c r="U50" s="34" t="n">
        <v>35715.98</v>
      </c>
      <c r="V50" s="18" t="n">
        <v>8468.74</v>
      </c>
      <c r="W50" s="18" t="n">
        <v>8868.559999999999</v>
      </c>
      <c r="X50" s="18" t="n">
        <v>11506.66</v>
      </c>
      <c r="Y50" s="18" t="n">
        <v>13034.68</v>
      </c>
      <c r="Z50" s="34" t="n">
        <v>41878.64</v>
      </c>
      <c r="AA50" s="18" t="n">
        <v>9196.58</v>
      </c>
      <c r="AB50" s="19" t="n">
        <v>11660.47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매출원가</t>
        </is>
      </c>
      <c r="E51" s="18" t="n">
        <v>7373.45</v>
      </c>
      <c r="F51" s="9" t="n"/>
      <c r="G51" s="18" t="n">
        <v>5385.2</v>
      </c>
      <c r="H51" s="18" t="n">
        <v>5649.6</v>
      </c>
      <c r="I51" s="18" t="n">
        <v>5301.5</v>
      </c>
      <c r="J51" s="18" t="n">
        <v>4450.53</v>
      </c>
      <c r="K51" s="34" t="n">
        <v>20786.83</v>
      </c>
      <c r="L51" s="18" t="n">
        <v>5428.54</v>
      </c>
      <c r="M51" s="18" t="n">
        <v>5771.85</v>
      </c>
      <c r="N51" s="18" t="n">
        <v>4616.62</v>
      </c>
      <c r="O51" s="18" t="n">
        <v>5047.97</v>
      </c>
      <c r="P51" s="34" t="n">
        <v>20864.98</v>
      </c>
      <c r="Q51" s="18" t="n">
        <v>4779.58</v>
      </c>
      <c r="R51" s="18" t="n">
        <v>6116.21</v>
      </c>
      <c r="S51" s="18" t="n">
        <v>6921.26</v>
      </c>
      <c r="T51" s="18" t="n">
        <v>9113.049999999999</v>
      </c>
      <c r="U51" s="34" t="n">
        <v>26930.1</v>
      </c>
      <c r="V51" s="18" t="n">
        <v>6678.78</v>
      </c>
      <c r="W51" s="18" t="n">
        <v>6892.84</v>
      </c>
      <c r="X51" s="18" t="n">
        <v>7142.75</v>
      </c>
      <c r="Y51" s="18" t="n">
        <v>6432.4</v>
      </c>
      <c r="Z51" s="34" t="n">
        <v>27146.77</v>
      </c>
      <c r="AA51" s="18" t="n">
        <v>6303.8</v>
      </c>
      <c r="AB51" s="19" t="n">
        <v>6608.51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매출총이익</t>
        </is>
      </c>
      <c r="E52" s="18" t="n">
        <v>1522.9</v>
      </c>
      <c r="F52" s="9" t="n"/>
      <c r="G52" s="18" t="n">
        <v>339.57</v>
      </c>
      <c r="H52" s="18" t="n">
        <v>1100.36</v>
      </c>
      <c r="I52" s="18" t="n">
        <v>687.79</v>
      </c>
      <c r="J52" s="18" t="n">
        <v>1945.28</v>
      </c>
      <c r="K52" s="34" t="n">
        <v>4073</v>
      </c>
      <c r="L52" s="18" t="n">
        <v>1450.67</v>
      </c>
      <c r="M52" s="18" t="n">
        <v>1018.84</v>
      </c>
      <c r="N52" s="18" t="n">
        <v>993.5700000000001</v>
      </c>
      <c r="O52" s="18" t="n">
        <v>2979.92</v>
      </c>
      <c r="P52" s="34" t="n">
        <v>6443</v>
      </c>
      <c r="Q52" s="18" t="n">
        <v>877.25</v>
      </c>
      <c r="R52" s="18" t="n">
        <v>1618.01</v>
      </c>
      <c r="S52" s="18" t="n">
        <v>2302.67</v>
      </c>
      <c r="T52" s="18" t="n">
        <v>3987.95</v>
      </c>
      <c r="U52" s="34" t="n">
        <v>8785.879999999999</v>
      </c>
      <c r="V52" s="18" t="n">
        <v>1789.95</v>
      </c>
      <c r="W52" s="18" t="n">
        <v>1975.72</v>
      </c>
      <c r="X52" s="18" t="n">
        <v>4363.91</v>
      </c>
      <c r="Y52" s="18" t="n">
        <v>6602.28</v>
      </c>
      <c r="Z52" s="34" t="n">
        <v>14731.86</v>
      </c>
      <c r="AA52" s="18" t="n">
        <v>2892.78</v>
      </c>
      <c r="AB52" s="19" t="n">
        <v>5051.96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판관비</t>
        </is>
      </c>
      <c r="E53" s="18" t="n">
        <v>513.25</v>
      </c>
      <c r="F53" s="9" t="n"/>
      <c r="G53" s="18" t="n">
        <v>664.33</v>
      </c>
      <c r="H53" s="18" t="n">
        <v>547.6</v>
      </c>
      <c r="I53" s="18" t="n">
        <v>535.98</v>
      </c>
      <c r="J53" s="18" t="n">
        <v>925.95</v>
      </c>
      <c r="K53" s="34" t="n">
        <v>2673.86</v>
      </c>
      <c r="L53" s="18" t="n">
        <v>861.05</v>
      </c>
      <c r="M53" s="18" t="n">
        <v>671.89</v>
      </c>
      <c r="N53" s="18" t="n">
        <v>775.4400000000001</v>
      </c>
      <c r="O53" s="18" t="n">
        <v>720.46</v>
      </c>
      <c r="P53" s="34" t="n">
        <v>3028.84</v>
      </c>
      <c r="Q53" s="18" t="n">
        <v>955.45</v>
      </c>
      <c r="R53" s="18" t="n">
        <v>888.53</v>
      </c>
      <c r="S53" s="18" t="n">
        <v>1330.64</v>
      </c>
      <c r="T53" s="18" t="n">
        <v>1529.35</v>
      </c>
      <c r="U53" s="34" t="n">
        <v>4703.97</v>
      </c>
      <c r="V53" s="18" t="n">
        <v>1368.07</v>
      </c>
      <c r="W53" s="18" t="n">
        <v>1282.63</v>
      </c>
      <c r="X53" s="18" t="n">
        <v>1335.39</v>
      </c>
      <c r="Y53" s="18" t="n">
        <v>1456.41</v>
      </c>
      <c r="Z53" s="34" t="n">
        <v>5442.5</v>
      </c>
      <c r="AA53" s="18" t="n">
        <v>1337.79</v>
      </c>
      <c r="AB53" s="19" t="n">
        <v>1147.2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영업이익</t>
        </is>
      </c>
      <c r="E54" s="18" t="n">
        <v>1009.65</v>
      </c>
      <c r="F54" s="9" t="n"/>
      <c r="G54" s="18" t="n">
        <v>-324.76</v>
      </c>
      <c r="H54" s="18" t="n">
        <v>552.76</v>
      </c>
      <c r="I54" s="18" t="n">
        <v>151.82</v>
      </c>
      <c r="J54" s="18" t="n">
        <v>1019.33</v>
      </c>
      <c r="K54" s="34" t="n">
        <v>1399.15</v>
      </c>
      <c r="L54" s="18" t="n">
        <v>589.62</v>
      </c>
      <c r="M54" s="18" t="n">
        <v>346.94</v>
      </c>
      <c r="N54" s="18" t="n">
        <v>218.14</v>
      </c>
      <c r="O54" s="18" t="n">
        <v>2259.46</v>
      </c>
      <c r="P54" s="34" t="n">
        <v>3414.16</v>
      </c>
      <c r="Q54" s="18" t="n">
        <v>-78.2</v>
      </c>
      <c r="R54" s="18" t="n">
        <v>729.48</v>
      </c>
      <c r="S54" s="18" t="n">
        <v>972.03</v>
      </c>
      <c r="T54" s="18" t="n">
        <v>2458.6</v>
      </c>
      <c r="U54" s="34" t="n">
        <v>4081.91</v>
      </c>
      <c r="V54" s="18" t="n">
        <v>421.89</v>
      </c>
      <c r="W54" s="18" t="n">
        <v>693.09</v>
      </c>
      <c r="X54" s="18" t="n">
        <v>3028.52</v>
      </c>
      <c r="Y54" s="18" t="n">
        <v>5145.87</v>
      </c>
      <c r="Z54" s="34" t="n">
        <v>9289.370000000001</v>
      </c>
      <c r="AA54" s="18" t="n">
        <v>1554.99</v>
      </c>
      <c r="AB54" s="19" t="n">
        <v>3904.76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기타영업외수익</t>
        </is>
      </c>
      <c r="E55" s="18" t="n">
        <v>311.96</v>
      </c>
      <c r="F55" s="9" t="n"/>
      <c r="G55" s="18" t="n">
        <v>64.19</v>
      </c>
      <c r="H55" s="18" t="n">
        <v>43.86</v>
      </c>
      <c r="I55" s="18" t="n">
        <v>17.55</v>
      </c>
      <c r="J55" s="18" t="n">
        <v>6.22</v>
      </c>
      <c r="K55" s="34" t="n">
        <v>131.82</v>
      </c>
      <c r="L55" s="18" t="n">
        <v>14.08</v>
      </c>
      <c r="M55" s="18" t="n">
        <v>18.05</v>
      </c>
      <c r="N55" s="18" t="n">
        <v>5.88</v>
      </c>
      <c r="O55" s="18" t="n">
        <v>2.94</v>
      </c>
      <c r="P55" s="34" t="n">
        <v>40.95</v>
      </c>
      <c r="Q55" s="18" t="n">
        <v>10.4</v>
      </c>
      <c r="R55" s="18" t="n">
        <v>12.07</v>
      </c>
      <c r="S55" s="18" t="n">
        <v>14.66</v>
      </c>
      <c r="T55" s="18" t="n">
        <v>35.14</v>
      </c>
      <c r="U55" s="34" t="n">
        <v>72.27</v>
      </c>
      <c r="V55" s="18" t="n">
        <v>22.89</v>
      </c>
      <c r="W55" s="18" t="n">
        <v>45.86</v>
      </c>
      <c r="X55" s="18" t="n">
        <v>17.43</v>
      </c>
      <c r="Y55" s="18" t="n">
        <v>54.17</v>
      </c>
      <c r="Z55" s="34" t="n">
        <v>140.35</v>
      </c>
      <c r="AA55" s="18" t="n">
        <v>68.23</v>
      </c>
      <c r="AB55" s="19" t="n">
        <v>148.99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기타영업외비용</t>
        </is>
      </c>
      <c r="E56" s="18" t="n">
        <v>4.17</v>
      </c>
      <c r="F56" s="9" t="n"/>
      <c r="G56" s="18" t="n">
        <v>0.01</v>
      </c>
      <c r="H56" s="18" t="n">
        <v>75.37</v>
      </c>
      <c r="I56" s="18" t="n">
        <v>0.47</v>
      </c>
      <c r="J56" s="18" t="n">
        <v>1.68</v>
      </c>
      <c r="K56" s="34" t="n">
        <v>77.53</v>
      </c>
      <c r="L56" s="18" t="n">
        <v>4.18</v>
      </c>
      <c r="M56" s="18" t="n">
        <v>11.72</v>
      </c>
      <c r="N56" s="18" t="n">
        <v>-2.86</v>
      </c>
      <c r="O56" s="18" t="n">
        <v>0.76</v>
      </c>
      <c r="P56" s="34" t="n">
        <v>13.8</v>
      </c>
      <c r="Q56" s="18" t="n">
        <v>1.84</v>
      </c>
      <c r="R56" s="18" t="n">
        <v>0.45</v>
      </c>
      <c r="S56" s="18" t="n">
        <v>2.23</v>
      </c>
      <c r="T56" s="18" t="n">
        <v>21.6</v>
      </c>
      <c r="U56" s="34" t="n">
        <v>26.12</v>
      </c>
      <c r="V56" s="18" t="n">
        <v>2.24</v>
      </c>
      <c r="W56" s="18" t="n">
        <v>0.33</v>
      </c>
      <c r="X56" s="18" t="n">
        <v>-0.37</v>
      </c>
      <c r="Y56" s="18" t="n">
        <v>1.34</v>
      </c>
      <c r="Z56" s="34" t="n">
        <v>3.54</v>
      </c>
      <c r="AA56" s="18" t="n">
        <v>20.27</v>
      </c>
      <c r="AB56" s="19" t="n">
        <v>42.38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금융수익</t>
        </is>
      </c>
      <c r="E57" s="18" t="n">
        <v>39.14</v>
      </c>
      <c r="F57" s="9" t="n"/>
      <c r="G57" s="18" t="n">
        <v>10.37</v>
      </c>
      <c r="H57" s="18" t="n">
        <v>34.33</v>
      </c>
      <c r="I57" s="18" t="n">
        <v>190.06</v>
      </c>
      <c r="J57" s="18" t="n">
        <v>-174.05</v>
      </c>
      <c r="K57" s="34" t="n">
        <v>60.71</v>
      </c>
      <c r="L57" s="18" t="n">
        <v>17.91</v>
      </c>
      <c r="M57" s="18" t="n">
        <v>70.88</v>
      </c>
      <c r="N57" s="18" t="n">
        <v>44.8</v>
      </c>
      <c r="O57" s="18" t="n">
        <v>38.77</v>
      </c>
      <c r="P57" s="34" t="n">
        <v>172.36</v>
      </c>
      <c r="Q57" s="18" t="n">
        <v>178</v>
      </c>
      <c r="R57" s="18" t="n">
        <v>291.19</v>
      </c>
      <c r="S57" s="18" t="n">
        <v>-5.1</v>
      </c>
      <c r="T57" s="18" t="n">
        <v>444.83</v>
      </c>
      <c r="U57" s="34" t="n">
        <v>908.92</v>
      </c>
      <c r="V57" s="18" t="n">
        <v>11.5</v>
      </c>
      <c r="W57" s="18" t="n">
        <v>17.88</v>
      </c>
      <c r="X57" s="18" t="n">
        <v>24.31</v>
      </c>
      <c r="Y57" s="18" t="n">
        <v>7.22</v>
      </c>
      <c r="Z57" s="34" t="n">
        <v>60.91</v>
      </c>
      <c r="AA57" s="18" t="n">
        <v>55.3</v>
      </c>
      <c r="AB57" s="19" t="n">
        <v>7.89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금융비용</t>
        </is>
      </c>
      <c r="E58" s="18" t="n">
        <v>0.42</v>
      </c>
      <c r="F58" s="9" t="n"/>
      <c r="G58" s="18" t="n">
        <v>43.28</v>
      </c>
      <c r="H58" s="18" t="n">
        <v>125.16</v>
      </c>
      <c r="I58" s="18" t="n">
        <v>81.48999999999999</v>
      </c>
      <c r="J58" s="18" t="n">
        <v>54.72</v>
      </c>
      <c r="K58" s="34" t="n">
        <v>304.65</v>
      </c>
      <c r="L58" s="18" t="n">
        <v>157.29</v>
      </c>
      <c r="M58" s="18" t="n">
        <v>188.97</v>
      </c>
      <c r="N58" s="18" t="n">
        <v>171.54</v>
      </c>
      <c r="O58" s="18" t="n">
        <v>191.49</v>
      </c>
      <c r="P58" s="34" t="n">
        <v>709.29</v>
      </c>
      <c r="Q58" s="18" t="n">
        <v>98.04000000000001</v>
      </c>
      <c r="R58" s="18" t="n">
        <v>113.67</v>
      </c>
      <c r="S58" s="18" t="n">
        <v>185.5</v>
      </c>
      <c r="T58" s="18" t="n">
        <v>150.6</v>
      </c>
      <c r="U58" s="34" t="n">
        <v>547.8099999999999</v>
      </c>
      <c r="V58" s="18" t="n">
        <v>138.61</v>
      </c>
      <c r="W58" s="18" t="n">
        <v>282.02</v>
      </c>
      <c r="X58" s="18" t="n">
        <v>43.9</v>
      </c>
      <c r="Y58" s="18" t="n">
        <v>109.55</v>
      </c>
      <c r="Z58" s="34" t="n">
        <v>574.08</v>
      </c>
      <c r="AA58" s="18" t="n">
        <v>113.27</v>
      </c>
      <c r="AB58" s="19" t="n">
        <v>111.7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법인세비용차감전계속사업이익</t>
        </is>
      </c>
      <c r="E59" s="18" t="n">
        <v>1356.17</v>
      </c>
      <c r="F59" s="9" t="n"/>
      <c r="G59" s="18" t="n">
        <v>-293.49</v>
      </c>
      <c r="H59" s="18" t="n">
        <v>430.42</v>
      </c>
      <c r="I59" s="18" t="n">
        <v>277.46</v>
      </c>
      <c r="J59" s="18" t="n">
        <v>795.1</v>
      </c>
      <c r="K59" s="34" t="n">
        <v>1209.49</v>
      </c>
      <c r="L59" s="18" t="n">
        <v>460.14</v>
      </c>
      <c r="M59" s="18" t="n">
        <v>235.18</v>
      </c>
      <c r="N59" s="18" t="n">
        <v>100.13</v>
      </c>
      <c r="O59" s="18" t="n">
        <v>2108.94</v>
      </c>
      <c r="P59" s="34" t="n">
        <v>2904.39</v>
      </c>
      <c r="Q59" s="18" t="n">
        <v>10.32</v>
      </c>
      <c r="R59" s="18" t="n">
        <v>918.62</v>
      </c>
      <c r="S59" s="18" t="n">
        <v>793.87</v>
      </c>
      <c r="T59" s="18" t="n">
        <v>2766.36</v>
      </c>
      <c r="U59" s="34" t="n">
        <v>4489.17</v>
      </c>
      <c r="V59" s="18" t="n">
        <v>315.42</v>
      </c>
      <c r="W59" s="18" t="n">
        <v>474.47</v>
      </c>
      <c r="X59" s="18" t="n">
        <v>3026.72</v>
      </c>
      <c r="Y59" s="18" t="n">
        <v>5096.37</v>
      </c>
      <c r="Z59" s="34" t="n">
        <v>8912.98</v>
      </c>
      <c r="AA59" s="18" t="n">
        <v>1544.98</v>
      </c>
      <c r="AB59" s="19" t="n">
        <v>3907.57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법인세비용</t>
        </is>
      </c>
      <c r="E60" s="18" t="n">
        <v>141.96</v>
      </c>
      <c r="F60" s="9" t="n"/>
      <c r="H60" s="18" t="n">
        <v>1.46</v>
      </c>
      <c r="I60" s="18" t="n">
        <v>85.34</v>
      </c>
      <c r="J60" s="18" t="n">
        <v>-157.6</v>
      </c>
      <c r="K60" s="9" t="n"/>
      <c r="L60" s="18" t="n">
        <v>-4.54</v>
      </c>
      <c r="M60" s="18" t="n">
        <v>33.88</v>
      </c>
      <c r="N60" s="18" t="n">
        <v>-1.38</v>
      </c>
      <c r="O60" s="18" t="n">
        <v>-1920.06</v>
      </c>
      <c r="P60" s="34" t="n">
        <v>-1892.1</v>
      </c>
      <c r="Q60" s="18" t="n">
        <v>1.64</v>
      </c>
      <c r="R60" s="18" t="n">
        <v>3.55</v>
      </c>
      <c r="S60" s="18" t="n">
        <v>-54</v>
      </c>
      <c r="T60" s="18" t="n">
        <v>-1505.94</v>
      </c>
      <c r="U60" s="34" t="n">
        <v>-1554.75</v>
      </c>
      <c r="V60" s="18" t="n">
        <v>6.64</v>
      </c>
      <c r="W60" s="18" t="n">
        <v>22.48</v>
      </c>
      <c r="X60" s="18" t="n">
        <v>123.39</v>
      </c>
      <c r="Y60" s="18" t="n">
        <v>811.1799999999999</v>
      </c>
      <c r="Z60" s="34" t="n">
        <v>963.6900000000001</v>
      </c>
      <c r="AA60" s="18" t="n">
        <v>63.31</v>
      </c>
      <c r="AB60" s="19" t="n">
        <v>1125.25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당기순이익</t>
        </is>
      </c>
      <c r="E61" s="18" t="n">
        <v>1214.21</v>
      </c>
      <c r="F61" s="9" t="n"/>
      <c r="G61" s="18" t="n">
        <v>-293.49</v>
      </c>
      <c r="H61" s="18" t="n">
        <v>428.95</v>
      </c>
      <c r="I61" s="18" t="n">
        <v>192.13</v>
      </c>
      <c r="J61" s="18" t="n">
        <v>952.7</v>
      </c>
      <c r="K61" s="34" t="n">
        <v>1280.29</v>
      </c>
      <c r="L61" s="18" t="n">
        <v>464.68</v>
      </c>
      <c r="M61" s="18" t="n">
        <v>201.3</v>
      </c>
      <c r="N61" s="18" t="n">
        <v>101.51</v>
      </c>
      <c r="O61" s="18" t="n">
        <v>4029</v>
      </c>
      <c r="P61" s="34" t="n">
        <v>4796.49</v>
      </c>
      <c r="Q61" s="18" t="n">
        <v>8.68</v>
      </c>
      <c r="R61" s="18" t="n">
        <v>915.0700000000001</v>
      </c>
      <c r="S61" s="18" t="n">
        <v>847.86</v>
      </c>
      <c r="T61" s="18" t="n">
        <v>4272.29</v>
      </c>
      <c r="U61" s="34" t="n">
        <v>6043.9</v>
      </c>
      <c r="V61" s="18" t="n">
        <v>308.78</v>
      </c>
      <c r="W61" s="18" t="n">
        <v>451.99</v>
      </c>
      <c r="X61" s="18" t="n">
        <v>2903.33</v>
      </c>
      <c r="Y61" s="18" t="n">
        <v>4285.18</v>
      </c>
      <c r="Z61" s="34" t="n">
        <v>7949.28</v>
      </c>
      <c r="AA61" s="18" t="n">
        <v>1481.66</v>
      </c>
      <c r="AB61" s="19" t="n">
        <v>2782.33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총포괄손익</t>
        </is>
      </c>
      <c r="E62" s="18" t="n">
        <v>1148.74</v>
      </c>
      <c r="F62" s="9" t="n"/>
      <c r="G62" s="18" t="n">
        <v>-303.13</v>
      </c>
      <c r="H62" s="18" t="n">
        <v>694.58</v>
      </c>
      <c r="I62" s="18" t="n">
        <v>186.11</v>
      </c>
      <c r="J62" s="18" t="n">
        <v>1019.72</v>
      </c>
      <c r="K62" s="34" t="n">
        <v>1597.28</v>
      </c>
      <c r="L62" s="18" t="n">
        <v>459.82</v>
      </c>
      <c r="M62" s="18" t="n">
        <v>201.01</v>
      </c>
      <c r="N62" s="18" t="n">
        <v>97.11</v>
      </c>
      <c r="O62" s="18" t="n">
        <v>4032.88</v>
      </c>
      <c r="P62" s="34" t="n">
        <v>4790.82</v>
      </c>
      <c r="Q62" s="18" t="n">
        <v>2.46</v>
      </c>
      <c r="R62" s="18" t="n">
        <v>882.9</v>
      </c>
      <c r="S62" s="18" t="n">
        <v>839.8</v>
      </c>
      <c r="T62" s="18" t="n">
        <v>4291.78</v>
      </c>
      <c r="U62" s="34" t="n">
        <v>6016.94</v>
      </c>
      <c r="V62" s="18" t="n">
        <v>299.93</v>
      </c>
      <c r="W62" s="18" t="n">
        <v>449.72</v>
      </c>
      <c r="X62" s="18" t="n">
        <v>2895.69</v>
      </c>
      <c r="Y62" s="18" t="n">
        <v>4359.27</v>
      </c>
      <c r="Z62" s="34" t="n">
        <v>8004.61</v>
      </c>
      <c r="AA62" s="18" t="n">
        <v>1472.19</v>
      </c>
      <c r="AB62" s="19" t="n">
        <v>2848.16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금융손익</t>
        </is>
      </c>
      <c r="E63" s="18" t="n">
        <v>38.72</v>
      </c>
      <c r="F63" s="9" t="n"/>
      <c r="G63" s="18" t="n">
        <v>-32.91</v>
      </c>
      <c r="H63" s="18" t="n">
        <v>-90.83</v>
      </c>
      <c r="I63" s="18" t="n">
        <v>108.57</v>
      </c>
      <c r="J63" s="18" t="n">
        <v>-228.77</v>
      </c>
      <c r="K63" s="34" t="n">
        <v>-243.94</v>
      </c>
      <c r="L63" s="18" t="n">
        <v>-139.38</v>
      </c>
      <c r="M63" s="18" t="n">
        <v>-118.09</v>
      </c>
      <c r="N63" s="18" t="n">
        <v>-126.74</v>
      </c>
      <c r="O63" s="18" t="n">
        <v>-152.72</v>
      </c>
      <c r="P63" s="34" t="n">
        <v>-536.9299999999999</v>
      </c>
      <c r="Q63" s="18" t="n">
        <v>79.95999999999999</v>
      </c>
      <c r="R63" s="18" t="n">
        <v>177.52</v>
      </c>
      <c r="S63" s="18" t="n">
        <v>-190.6</v>
      </c>
      <c r="T63" s="18" t="n">
        <v>294.23</v>
      </c>
      <c r="U63" s="34" t="n">
        <v>361.11</v>
      </c>
      <c r="V63" s="18" t="n">
        <v>-127.11</v>
      </c>
      <c r="W63" s="18" t="n">
        <v>-264.14</v>
      </c>
      <c r="X63" s="18" t="n">
        <v>-19.59</v>
      </c>
      <c r="Y63" s="18" t="n">
        <v>-102.33</v>
      </c>
      <c r="Z63" s="34" t="n">
        <v>-513.17</v>
      </c>
      <c r="AA63" s="18" t="n">
        <v>-57.97</v>
      </c>
      <c r="AB63" s="19" t="n">
        <v>-103.81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기타영업외손익</t>
        </is>
      </c>
      <c r="E64" s="18" t="n">
        <v>307.79</v>
      </c>
      <c r="F64" s="9" t="n"/>
      <c r="G64" s="18" t="n">
        <v>64.18000000000001</v>
      </c>
      <c r="H64" s="18" t="n">
        <v>-31.51</v>
      </c>
      <c r="I64" s="18" t="n">
        <v>17.08</v>
      </c>
      <c r="J64" s="18" t="n">
        <v>4.54</v>
      </c>
      <c r="K64" s="34" t="n">
        <v>54.29</v>
      </c>
      <c r="L64" s="18" t="n">
        <v>9.9</v>
      </c>
      <c r="M64" s="18" t="n">
        <v>6.33</v>
      </c>
      <c r="N64" s="18" t="n">
        <v>8.74</v>
      </c>
      <c r="O64" s="18" t="n">
        <v>2.18</v>
      </c>
      <c r="P64" s="34" t="n">
        <v>27.15</v>
      </c>
      <c r="Q64" s="18" t="n">
        <v>8.56</v>
      </c>
      <c r="R64" s="18" t="n">
        <v>11.62</v>
      </c>
      <c r="S64" s="18" t="n">
        <v>12.43</v>
      </c>
      <c r="T64" s="18" t="n">
        <v>13.54</v>
      </c>
      <c r="U64" s="34" t="n">
        <v>46.15</v>
      </c>
      <c r="V64" s="18" t="n">
        <v>20.65</v>
      </c>
      <c r="W64" s="18" t="n">
        <v>45.53</v>
      </c>
      <c r="X64" s="18" t="n">
        <v>17.8</v>
      </c>
      <c r="Y64" s="18" t="n">
        <v>52.83</v>
      </c>
      <c r="Z64" s="34" t="n">
        <v>136.81</v>
      </c>
      <c r="AA64" s="18" t="n">
        <v>47.96</v>
      </c>
      <c r="AB64" s="19" t="n">
        <v>106.61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(지배주주지분)당기순이익</t>
        </is>
      </c>
      <c r="E65" s="18" t="n">
        <v>1214.21</v>
      </c>
      <c r="F65" s="9" t="n"/>
      <c r="G65" s="18" t="n">
        <v>-293.49</v>
      </c>
      <c r="H65" s="18" t="n">
        <v>428.95</v>
      </c>
      <c r="I65" s="18" t="n">
        <v>192.13</v>
      </c>
      <c r="J65" s="18" t="n">
        <v>952.7</v>
      </c>
      <c r="K65" s="34" t="n">
        <v>1280.29</v>
      </c>
      <c r="L65" s="18" t="n">
        <v>464.68</v>
      </c>
      <c r="M65" s="18" t="n">
        <v>201.3</v>
      </c>
      <c r="N65" s="18" t="n">
        <v>101.51</v>
      </c>
      <c r="O65" s="18" t="n">
        <v>4029</v>
      </c>
      <c r="P65" s="34" t="n">
        <v>4796.49</v>
      </c>
      <c r="Q65" s="18" t="n">
        <v>8.68</v>
      </c>
      <c r="R65" s="18" t="n">
        <v>915.0700000000001</v>
      </c>
      <c r="S65" s="18" t="n">
        <v>847.86</v>
      </c>
      <c r="T65" s="18" t="n">
        <v>4272.29</v>
      </c>
      <c r="U65" s="34" t="n">
        <v>6043.9</v>
      </c>
      <c r="V65" s="18" t="n">
        <v>308.78</v>
      </c>
      <c r="W65" s="18" t="n">
        <v>451.99</v>
      </c>
      <c r="X65" s="18" t="n">
        <v>2903.33</v>
      </c>
      <c r="Y65" s="18" t="n">
        <v>4285.18</v>
      </c>
      <c r="Z65" s="34" t="n">
        <v>7949.28</v>
      </c>
      <c r="AA65" s="18" t="n">
        <v>1481.66</v>
      </c>
      <c r="AB65" s="19" t="n">
        <v>2782.33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계속사업이익</t>
        </is>
      </c>
      <c r="E66" s="18" t="n">
        <v>1214.21</v>
      </c>
      <c r="F66" s="9" t="n"/>
      <c r="G66" s="18" t="n">
        <v>-293.49</v>
      </c>
      <c r="H66" s="18" t="n">
        <v>428.95</v>
      </c>
      <c r="I66" s="18" t="n">
        <v>192.13</v>
      </c>
      <c r="J66" s="18" t="n">
        <v>952.7</v>
      </c>
      <c r="K66" s="34" t="n">
        <v>1280.29</v>
      </c>
      <c r="L66" s="18" t="n">
        <v>464.68</v>
      </c>
      <c r="M66" s="18" t="n">
        <v>201.3</v>
      </c>
      <c r="N66" s="18" t="n">
        <v>101.51</v>
      </c>
      <c r="O66" s="18" t="n">
        <v>4029</v>
      </c>
      <c r="P66" s="34" t="n">
        <v>4796.49</v>
      </c>
      <c r="Q66" s="18" t="n">
        <v>8.68</v>
      </c>
      <c r="R66" s="18" t="n">
        <v>915.0700000000001</v>
      </c>
      <c r="S66" s="18" t="n">
        <v>847.86</v>
      </c>
      <c r="T66" s="18" t="n">
        <v>4272.29</v>
      </c>
      <c r="U66" s="34" t="n">
        <v>6043.9</v>
      </c>
      <c r="V66" s="18" t="n">
        <v>308.78</v>
      </c>
      <c r="W66" s="18" t="n">
        <v>451.99</v>
      </c>
      <c r="X66" s="18" t="n">
        <v>2903.33</v>
      </c>
      <c r="Y66" s="18" t="n">
        <v>4285.18</v>
      </c>
      <c r="Z66" s="34" t="n">
        <v>7949.28</v>
      </c>
      <c r="AA66" s="18" t="n">
        <v>1481.66</v>
      </c>
      <c r="AB66" s="19" t="n">
        <v>2782.33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영업활동으로인한현금흐름</t>
        </is>
      </c>
      <c r="E67" s="18" t="n">
        <v>90.41</v>
      </c>
      <c r="F67" s="9" t="n"/>
      <c r="G67" s="18" t="n">
        <v>-1301.67</v>
      </c>
      <c r="H67" s="18" t="n">
        <v>-1328.31</v>
      </c>
      <c r="I67" s="18" t="n">
        <v>1167.99</v>
      </c>
      <c r="J67" s="18" t="n">
        <v>1066.35</v>
      </c>
      <c r="K67" s="34" t="n">
        <v>-395.64</v>
      </c>
      <c r="L67" s="18" t="n">
        <v>1625.83</v>
      </c>
      <c r="M67" s="18" t="n">
        <v>1617.36</v>
      </c>
      <c r="N67" s="18" t="n">
        <v>1289.98</v>
      </c>
      <c r="O67" s="18" t="n">
        <v>544.49</v>
      </c>
      <c r="P67" s="34" t="n">
        <v>5077.66</v>
      </c>
      <c r="Q67" s="18" t="n">
        <v>2062.55</v>
      </c>
      <c r="R67" s="18" t="n">
        <v>-120.66</v>
      </c>
      <c r="S67" s="18" t="n">
        <v>1179.42</v>
      </c>
      <c r="T67" s="18" t="n">
        <v>1842.3</v>
      </c>
      <c r="U67" s="34" t="n">
        <v>4963.61</v>
      </c>
      <c r="V67" s="18" t="n">
        <v>231.45</v>
      </c>
      <c r="W67" s="18" t="n">
        <v>1341.84</v>
      </c>
      <c r="X67" s="18" t="n">
        <v>1889.15</v>
      </c>
      <c r="Y67" s="18" t="n">
        <v>6650.4</v>
      </c>
      <c r="Z67" s="34" t="n">
        <v>10112.84</v>
      </c>
      <c r="AA67" s="18" t="n">
        <v>2017.81</v>
      </c>
      <c r="AB67" s="19" t="n">
        <v>3345.05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감가상각비</t>
        </is>
      </c>
      <c r="E68" s="18" t="n">
        <v>136.06</v>
      </c>
      <c r="F68" s="9" t="n"/>
      <c r="G68" s="18" t="n">
        <v>126.46</v>
      </c>
      <c r="H68" s="18" t="n">
        <v>149.2</v>
      </c>
      <c r="I68" s="18" t="n">
        <v>144.3</v>
      </c>
      <c r="J68" s="18" t="n">
        <v>177.32</v>
      </c>
      <c r="K68" s="34" t="n">
        <v>597.28</v>
      </c>
      <c r="L68" s="18" t="n">
        <v>242.85</v>
      </c>
      <c r="M68" s="18" t="n">
        <v>238.59</v>
      </c>
      <c r="N68" s="18" t="n">
        <v>234.67</v>
      </c>
      <c r="O68" s="18" t="n">
        <v>234.34</v>
      </c>
      <c r="P68" s="34" t="n">
        <v>950.45</v>
      </c>
      <c r="U68" s="9" t="n"/>
      <c r="V68" s="18" t="n">
        <v>243.45</v>
      </c>
      <c r="W68" s="18" t="n">
        <v>240.47</v>
      </c>
      <c r="X68" s="18" t="n">
        <v>240.61</v>
      </c>
      <c r="Y68" s="18" t="n">
        <v>240.13</v>
      </c>
      <c r="Z68" s="34" t="n">
        <v>964.66</v>
      </c>
      <c r="AA68" s="18" t="n">
        <v>239.67</v>
      </c>
      <c r="AB68" s="19" t="n">
        <v>238.43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법인세납부(CF)</t>
        </is>
      </c>
      <c r="E69" s="18" t="n">
        <v>-5.9</v>
      </c>
      <c r="F69" s="9" t="n"/>
      <c r="G69" s="18" t="n">
        <v>12.7</v>
      </c>
      <c r="H69" s="18" t="n">
        <v>1.05</v>
      </c>
      <c r="I69" s="18" t="n">
        <v>-55.28</v>
      </c>
      <c r="J69" s="18" t="n">
        <v>-7.8</v>
      </c>
      <c r="K69" s="34" t="n">
        <v>-49.33</v>
      </c>
      <c r="L69" s="18" t="n">
        <v>-0.95</v>
      </c>
      <c r="M69" s="18" t="n">
        <v>9.02</v>
      </c>
      <c r="N69" s="18" t="n">
        <v>-3.39</v>
      </c>
      <c r="O69" s="18" t="n">
        <v>-1.1</v>
      </c>
      <c r="P69" s="34" t="n">
        <v>3.58</v>
      </c>
      <c r="Q69" s="18" t="n">
        <v>-1.1</v>
      </c>
      <c r="R69" s="18" t="n">
        <v>2.86</v>
      </c>
      <c r="S69" s="18" t="n">
        <v>-4.97</v>
      </c>
      <c r="T69" s="18" t="n">
        <v>-61.46</v>
      </c>
      <c r="U69" s="34" t="n">
        <v>-64.67</v>
      </c>
      <c r="V69" s="18" t="n">
        <v>-0.92</v>
      </c>
      <c r="W69" s="18" t="n">
        <v>67.73</v>
      </c>
      <c r="X69" s="18" t="n">
        <v>-26.14</v>
      </c>
      <c r="Y69" s="18" t="n">
        <v>-1.02</v>
      </c>
      <c r="Z69" s="34" t="n">
        <v>39.65</v>
      </c>
      <c r="AA69" s="18" t="n">
        <v>-153.72</v>
      </c>
      <c r="AB69" s="19" t="n">
        <v>-187.08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투자활동으로인한현금흐름</t>
        </is>
      </c>
      <c r="E70" s="18" t="n">
        <v>2100.72</v>
      </c>
      <c r="F70" s="9" t="n"/>
      <c r="G70" s="18" t="n">
        <v>-5327.88</v>
      </c>
      <c r="H70" s="18" t="n">
        <v>-1712.8</v>
      </c>
      <c r="I70" s="18" t="n">
        <v>-62.86</v>
      </c>
      <c r="J70" s="18" t="n">
        <v>-27.58</v>
      </c>
      <c r="K70" s="34" t="n">
        <v>-7131.12</v>
      </c>
      <c r="L70" s="18" t="n">
        <v>17.05</v>
      </c>
      <c r="M70" s="18" t="n">
        <v>0</v>
      </c>
      <c r="N70" s="18" t="n">
        <v>-9.890000000000001</v>
      </c>
      <c r="O70" s="18" t="n">
        <v>-126.42</v>
      </c>
      <c r="P70" s="34" t="n">
        <v>-119.26</v>
      </c>
      <c r="Q70" s="18" t="n">
        <v>506.12</v>
      </c>
      <c r="R70" s="18" t="n">
        <v>-12620.07</v>
      </c>
      <c r="S70" s="18" t="n">
        <v>70.42</v>
      </c>
      <c r="T70" s="18" t="n">
        <v>761.27</v>
      </c>
      <c r="U70" s="34" t="n">
        <v>-11282.26</v>
      </c>
      <c r="V70" s="18" t="n">
        <v>-117.22</v>
      </c>
      <c r="W70" s="18" t="n">
        <v>-12.44</v>
      </c>
      <c r="X70" s="18" t="n">
        <v>-29.35</v>
      </c>
      <c r="Y70" s="18" t="n">
        <v>474.17</v>
      </c>
      <c r="Z70" s="34" t="n">
        <v>315.16</v>
      </c>
      <c r="AA70" s="18" t="n">
        <v>-49.15</v>
      </c>
      <c r="AB70" s="19" t="n">
        <v>5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이자수취(CF)</t>
        </is>
      </c>
      <c r="E71" s="18" t="n">
        <v>46.29</v>
      </c>
      <c r="F71" s="9" t="n"/>
      <c r="G71" s="18" t="n">
        <v>41.79</v>
      </c>
      <c r="K71" s="9" t="n"/>
      <c r="P71" s="9" t="n"/>
      <c r="Q71" s="18" t="n">
        <v>7.56</v>
      </c>
      <c r="R71" s="18" t="n">
        <v>7.11</v>
      </c>
      <c r="S71" s="18" t="n">
        <v>5.83</v>
      </c>
      <c r="U71" s="9" t="n"/>
      <c r="Z71" s="9" t="n"/>
      <c r="AB71" s="5" t="n"/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배당금수취(CF)</t>
        </is>
      </c>
      <c r="E72" s="18" t="n">
        <v>0</v>
      </c>
      <c r="F72" s="9" t="n"/>
      <c r="I72" s="18" t="n">
        <v>31.36</v>
      </c>
      <c r="J72" s="18" t="n">
        <v>0</v>
      </c>
      <c r="K72" s="9" t="n"/>
      <c r="N72" s="18" t="n">
        <v>0</v>
      </c>
      <c r="O72" s="18" t="n">
        <v>0</v>
      </c>
      <c r="P72" s="9" t="n"/>
      <c r="S72" s="18" t="n">
        <v>0</v>
      </c>
      <c r="T72" s="18" t="n">
        <v>0</v>
      </c>
      <c r="U72" s="9" t="n"/>
      <c r="Z72" s="9" t="n"/>
      <c r="AB72" s="5" t="n"/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재무활동으로인한현금흐름</t>
        </is>
      </c>
      <c r="E73" s="18" t="n">
        <v>-31.74</v>
      </c>
      <c r="F73" s="9" t="n"/>
      <c r="G73" s="18" t="n">
        <v>7932.9</v>
      </c>
      <c r="H73" s="18" t="n">
        <v>35.11</v>
      </c>
      <c r="I73" s="18" t="n">
        <v>-0.57</v>
      </c>
      <c r="J73" s="18" t="n">
        <v>-33.36</v>
      </c>
      <c r="K73" s="34" t="n">
        <v>7934.08</v>
      </c>
      <c r="L73" s="18" t="n">
        <v>-98.66</v>
      </c>
      <c r="M73" s="18" t="n">
        <v>-100.26</v>
      </c>
      <c r="N73" s="18" t="n">
        <v>-101.88</v>
      </c>
      <c r="O73" s="18" t="n">
        <v>-101.7</v>
      </c>
      <c r="P73" s="34" t="n">
        <v>-402.5</v>
      </c>
      <c r="Q73" s="18" t="n">
        <v>770.0599999999999</v>
      </c>
      <c r="R73" s="18" t="n">
        <v>2899.13</v>
      </c>
      <c r="S73" s="18" t="n">
        <v>-941.98</v>
      </c>
      <c r="T73" s="18" t="n">
        <v>-814.79</v>
      </c>
      <c r="U73" s="34" t="n">
        <v>1912.42</v>
      </c>
      <c r="V73" s="18" t="n">
        <v>-682.73</v>
      </c>
      <c r="W73" s="18" t="n">
        <v>-1017.51</v>
      </c>
      <c r="X73" s="18" t="n">
        <v>-102.25</v>
      </c>
      <c r="Y73" s="18" t="n">
        <v>-101.9</v>
      </c>
      <c r="Z73" s="34" t="n">
        <v>-1904.39</v>
      </c>
      <c r="AA73" s="18" t="n">
        <v>-99.68000000000001</v>
      </c>
      <c r="AB73" s="19" t="n">
        <v>-101.03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이자지급(CF)</t>
        </is>
      </c>
      <c r="E74" s="18" t="n">
        <v>-0.66</v>
      </c>
      <c r="F74" s="9" t="n"/>
      <c r="G74" s="18" t="n">
        <v>-43.28</v>
      </c>
      <c r="K74" s="9" t="n"/>
      <c r="P74" s="9" t="n"/>
      <c r="U74" s="9" t="n"/>
      <c r="Z74" s="9" t="n"/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리스부채의상환</t>
        </is>
      </c>
      <c r="E75" s="18" t="n">
        <v>31.09</v>
      </c>
      <c r="F75" s="9" t="n"/>
      <c r="G75" s="18" t="n">
        <v>23.82</v>
      </c>
      <c r="H75" s="18" t="n">
        <v>8.17</v>
      </c>
      <c r="I75" s="18" t="n">
        <v>0.57</v>
      </c>
      <c r="J75" s="18" t="n">
        <v>33.36</v>
      </c>
      <c r="K75" s="34" t="n">
        <v>65.92</v>
      </c>
      <c r="L75" s="18" t="n">
        <v>98.66</v>
      </c>
      <c r="M75" s="18" t="n">
        <v>100.26</v>
      </c>
      <c r="N75" s="18" t="n">
        <v>101.88</v>
      </c>
      <c r="O75" s="18" t="n">
        <v>101.7</v>
      </c>
      <c r="P75" s="34" t="n">
        <v>402.5</v>
      </c>
      <c r="Q75" s="18" t="n">
        <v>99.51000000000001</v>
      </c>
      <c r="R75" s="18" t="n">
        <v>100.87</v>
      </c>
      <c r="S75" s="18" t="n">
        <v>102.26</v>
      </c>
      <c r="T75" s="18" t="n">
        <v>101.78</v>
      </c>
      <c r="U75" s="34" t="n">
        <v>404.42</v>
      </c>
      <c r="V75" s="18" t="n">
        <v>99.41</v>
      </c>
      <c r="W75" s="18" t="n">
        <v>100.83</v>
      </c>
      <c r="X75" s="18" t="n">
        <v>102.25</v>
      </c>
      <c r="Y75" s="18" t="n">
        <v>101.9</v>
      </c>
      <c r="Z75" s="34" t="n">
        <v>404.39</v>
      </c>
      <c r="AA75" s="18" t="n">
        <v>99.68000000000001</v>
      </c>
      <c r="AB75" s="19" t="n">
        <v>101.03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현금및현금성자산의증감</t>
        </is>
      </c>
      <c r="E76" s="18" t="n">
        <v>2159.38</v>
      </c>
      <c r="F76" s="9" t="n"/>
      <c r="G76" s="18" t="n">
        <v>1303.35</v>
      </c>
      <c r="H76" s="18" t="n">
        <v>-3006</v>
      </c>
      <c r="I76" s="18" t="n">
        <v>1104.56</v>
      </c>
      <c r="J76" s="18" t="n">
        <v>1005.41</v>
      </c>
      <c r="K76" s="34" t="n">
        <v>407.32</v>
      </c>
      <c r="L76" s="18" t="n">
        <v>1544.22</v>
      </c>
      <c r="M76" s="18" t="n">
        <v>1517.11</v>
      </c>
      <c r="N76" s="18" t="n">
        <v>1178.2</v>
      </c>
      <c r="O76" s="18" t="n">
        <v>316.38</v>
      </c>
      <c r="P76" s="34" t="n">
        <v>4555.91</v>
      </c>
      <c r="Q76" s="18" t="n">
        <v>3338.73</v>
      </c>
      <c r="R76" s="18" t="n">
        <v>-9841.49</v>
      </c>
      <c r="S76" s="18" t="n">
        <v>299.42</v>
      </c>
      <c r="T76" s="18" t="n">
        <v>1877.1</v>
      </c>
      <c r="U76" s="34" t="n">
        <v>-4326.24</v>
      </c>
      <c r="V76" s="18" t="n">
        <v>-567.64</v>
      </c>
      <c r="W76" s="18" t="n">
        <v>168.02</v>
      </c>
      <c r="X76" s="18" t="n">
        <v>1902.28</v>
      </c>
      <c r="Y76" s="18" t="n">
        <v>7016.32</v>
      </c>
      <c r="Z76" s="34" t="n">
        <v>8518.98</v>
      </c>
      <c r="AA76" s="18" t="n">
        <v>1878.18</v>
      </c>
      <c r="AB76" s="19" t="n">
        <v>3244.46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기말현금및현금성자산</t>
        </is>
      </c>
      <c r="E77" s="18" t="n">
        <v>2159.37</v>
      </c>
      <c r="F77" s="9" t="n"/>
      <c r="G77" s="18" t="n">
        <v>5159.23</v>
      </c>
      <c r="H77" s="18" t="n">
        <v>-3006</v>
      </c>
      <c r="I77" s="18" t="n">
        <v>1104.56</v>
      </c>
      <c r="J77" s="18" t="n">
        <v>1005.42</v>
      </c>
      <c r="K77" s="34" t="n">
        <v>4263.21</v>
      </c>
      <c r="L77" s="18" t="n">
        <v>5807.43</v>
      </c>
      <c r="M77" s="18" t="n">
        <v>1517.1</v>
      </c>
      <c r="N77" s="18" t="n">
        <v>1178.21</v>
      </c>
      <c r="O77" s="18" t="n">
        <v>316.38</v>
      </c>
      <c r="P77" s="34" t="n">
        <v>8819.120000000001</v>
      </c>
      <c r="Q77" s="18" t="n">
        <v>12157.85</v>
      </c>
      <c r="R77" s="18" t="n">
        <v>-9841.49</v>
      </c>
      <c r="S77" s="18" t="n">
        <v>299.42</v>
      </c>
      <c r="T77" s="18" t="n">
        <v>1877.1</v>
      </c>
      <c r="U77" s="34" t="n">
        <v>4492.88</v>
      </c>
      <c r="V77" s="18" t="n">
        <v>3925.24</v>
      </c>
      <c r="W77" s="18" t="n">
        <v>168.02</v>
      </c>
      <c r="X77" s="18" t="n">
        <v>1902.28</v>
      </c>
      <c r="Y77" s="18" t="n">
        <v>7016.32</v>
      </c>
      <c r="Z77" s="34" t="n">
        <v>13011.86</v>
      </c>
      <c r="AA77" s="18" t="n">
        <v>14890.05</v>
      </c>
      <c r="AB77" s="19" t="n">
        <v>3244.46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단기차입금의증가</t>
        </is>
      </c>
      <c r="F78" s="9" t="n"/>
      <c r="G78" s="18" t="n">
        <v>8000</v>
      </c>
      <c r="H78" s="18" t="n">
        <v>0</v>
      </c>
      <c r="I78" s="18" t="n">
        <v>0</v>
      </c>
      <c r="J78" s="18" t="n">
        <v>2400</v>
      </c>
      <c r="K78" s="34" t="n">
        <v>10400</v>
      </c>
      <c r="N78" s="18" t="n">
        <v>0</v>
      </c>
      <c r="O78" s="18" t="n">
        <v>0</v>
      </c>
      <c r="P78" s="9" t="n"/>
      <c r="S78" s="18" t="n">
        <v>0</v>
      </c>
      <c r="T78" s="18" t="n">
        <v>0</v>
      </c>
      <c r="U78" s="9" t="n"/>
      <c r="X78" s="18" t="n">
        <v>0</v>
      </c>
      <c r="Y78" s="18" t="n">
        <v>0</v>
      </c>
      <c r="Z78" s="9" t="n"/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유형자산의감소</t>
        </is>
      </c>
      <c r="F79" s="9" t="n"/>
      <c r="I79" s="18" t="n">
        <v>0</v>
      </c>
      <c r="J79" s="18" t="n">
        <v>4.04</v>
      </c>
      <c r="K79" s="9" t="n"/>
      <c r="N79" s="18" t="n">
        <v>0</v>
      </c>
      <c r="O79" s="18" t="n">
        <v>0</v>
      </c>
      <c r="P79" s="9" t="n"/>
      <c r="T79" s="18" t="n">
        <v>4.78</v>
      </c>
      <c r="U79" s="9" t="n"/>
      <c r="Y79" s="18" t="n">
        <v>0</v>
      </c>
      <c r="Z79" s="9" t="n"/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유형자산의증가</t>
        </is>
      </c>
      <c r="F80" s="9" t="n"/>
      <c r="J80" s="18" t="n">
        <v>8665.67</v>
      </c>
      <c r="K80" s="9" t="n"/>
      <c r="N80" s="18" t="n">
        <v>1.48</v>
      </c>
      <c r="O80" s="18" t="n">
        <v>64.88</v>
      </c>
      <c r="P80" s="9" t="n"/>
      <c r="Q80" s="18" t="n">
        <v>63.57</v>
      </c>
      <c r="R80" s="18" t="n">
        <v>220.7</v>
      </c>
      <c r="S80" s="18" t="n">
        <v>135.7</v>
      </c>
      <c r="T80" s="18" t="n">
        <v>50.88</v>
      </c>
      <c r="U80" s="34" t="n">
        <v>470.85</v>
      </c>
      <c r="V80" s="18" t="n">
        <v>121.97</v>
      </c>
      <c r="W80" s="18" t="n">
        <v>58.94</v>
      </c>
      <c r="X80" s="18" t="n">
        <v>27.35</v>
      </c>
      <c r="Y80" s="18" t="n">
        <v>61.65</v>
      </c>
      <c r="Z80" s="34" t="n">
        <v>269.91</v>
      </c>
      <c r="AA80" s="18" t="n">
        <v>46.47</v>
      </c>
      <c r="AB80" s="19" t="n">
        <v>0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CAPEX</t>
        </is>
      </c>
      <c r="F81" s="9" t="n"/>
      <c r="J81" s="18" t="n">
        <v>8665.67</v>
      </c>
      <c r="K81" s="9" t="n"/>
      <c r="N81" s="18" t="n">
        <v>9.890000000000001</v>
      </c>
      <c r="O81" s="18" t="n">
        <v>64.88</v>
      </c>
      <c r="P81" s="9" t="n"/>
      <c r="Q81" s="18" t="n">
        <v>63.57</v>
      </c>
      <c r="R81" s="18" t="n">
        <v>220.7</v>
      </c>
      <c r="S81" s="18" t="n">
        <v>135.7</v>
      </c>
      <c r="T81" s="18" t="n">
        <v>50.88</v>
      </c>
      <c r="U81" s="34" t="n">
        <v>470.85</v>
      </c>
      <c r="V81" s="18" t="n">
        <v>121.97</v>
      </c>
      <c r="W81" s="18" t="n">
        <v>58.94</v>
      </c>
      <c r="X81" s="18" t="n">
        <v>27.35</v>
      </c>
      <c r="Y81" s="18" t="n">
        <v>61.65</v>
      </c>
      <c r="Z81" s="34" t="n">
        <v>269.91</v>
      </c>
      <c r="AA81" s="18" t="n">
        <v>47.03</v>
      </c>
      <c r="AB81" s="19" t="n">
        <v>0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무형자산상각비</t>
        </is>
      </c>
      <c r="F82" s="9" t="n"/>
      <c r="K82" s="9" t="n"/>
      <c r="O82" s="18" t="n">
        <v>0.42</v>
      </c>
      <c r="P82" s="9" t="n"/>
      <c r="U82" s="9" t="n"/>
      <c r="V82" s="18" t="n">
        <v>122.61</v>
      </c>
      <c r="W82" s="18" t="n">
        <v>122.61</v>
      </c>
      <c r="X82" s="18" t="n">
        <v>122.6</v>
      </c>
      <c r="Y82" s="18" t="n">
        <v>122.61</v>
      </c>
      <c r="Z82" s="34" t="n">
        <v>490.43</v>
      </c>
      <c r="AA82" s="18" t="n">
        <v>122.62</v>
      </c>
      <c r="AB82" s="19" t="n">
        <v>122.63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무형자산의증가</t>
        </is>
      </c>
      <c r="F83" s="9" t="n"/>
      <c r="K83" s="9" t="n"/>
      <c r="O83" s="18" t="n">
        <v>0</v>
      </c>
      <c r="P83" s="9" t="n"/>
      <c r="T83" s="18" t="n">
        <v>0</v>
      </c>
      <c r="U83" s="9" t="n"/>
      <c r="Z83" s="9" t="n"/>
      <c r="AA83" s="18" t="n">
        <v>0.5600000000000001</v>
      </c>
      <c r="AB83" s="19" t="n">
        <v>0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장기차입금의증가</t>
        </is>
      </c>
      <c r="F84" s="9" t="n"/>
      <c r="K84" s="9" t="n"/>
      <c r="P84" s="9" t="n"/>
      <c r="Q84" s="18" t="n">
        <v>8000</v>
      </c>
      <c r="R84" s="18" t="n">
        <v>0</v>
      </c>
      <c r="S84" s="18" t="n">
        <v>3300</v>
      </c>
      <c r="T84" s="18" t="n">
        <v>0</v>
      </c>
      <c r="U84" s="34" t="n">
        <v>11300</v>
      </c>
      <c r="V84" s="18" t="n">
        <v>0</v>
      </c>
      <c r="W84" s="18" t="n">
        <v>0</v>
      </c>
      <c r="X84" s="18" t="n">
        <v>0</v>
      </c>
      <c r="Y84" s="18" t="n">
        <v>0</v>
      </c>
      <c r="Z84" s="34" t="n">
        <v>0</v>
      </c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단기차입금의감소</t>
        </is>
      </c>
      <c r="F85" s="9" t="n"/>
      <c r="K85" s="9" t="n"/>
      <c r="P85" s="9" t="n"/>
      <c r="Q85" s="18" t="n">
        <v>8000</v>
      </c>
      <c r="R85" s="18" t="n">
        <v>0</v>
      </c>
      <c r="S85" s="18" t="n">
        <v>4000</v>
      </c>
      <c r="T85" s="18" t="n">
        <v>1100</v>
      </c>
      <c r="U85" s="34" t="n">
        <v>13100</v>
      </c>
      <c r="V85" s="18" t="n">
        <v>800</v>
      </c>
      <c r="W85" s="18" t="n">
        <v>700</v>
      </c>
      <c r="X85" s="18" t="n">
        <v>0</v>
      </c>
      <c r="Y85" s="18" t="n">
        <v>0</v>
      </c>
      <c r="Z85" s="34" t="n">
        <v>1500</v>
      </c>
      <c r="AA85" s="18" t="n">
        <v>0</v>
      </c>
      <c r="AB85" s="19" t="n">
        <v>0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자기주식의취득</t>
        </is>
      </c>
      <c r="F86" s="9" t="n"/>
      <c r="K86" s="9" t="n"/>
      <c r="P86" s="9" t="n"/>
      <c r="T86" s="18" t="n">
        <v>0</v>
      </c>
      <c r="U86" s="9" t="n"/>
      <c r="Y86" s="18" t="n">
        <v>0</v>
      </c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IFERROR(VLOOKUP($D5,BS별도,MATCH(E$1,BS별도H,0),0)/100,"")</f>
        <v/>
      </c>
      <c r="F5" s="34" t="n"/>
      <c r="G5" s="18">
        <f>IFERROR(VLOOKUP($D5,BS별도,MATCH(G$1,BS별도H,0),0)/100,"")</f>
        <v/>
      </c>
      <c r="H5" s="18">
        <f>IFERROR(VLOOKUP($D5,BS별도,MATCH(H$1,BS별도H,0),0)/100,"")</f>
        <v/>
      </c>
      <c r="I5" s="18">
        <f>IFERROR(VLOOKUP($D5,BS별도,MATCH(I$1,BS별도H,0),0)/100,"")</f>
        <v/>
      </c>
      <c r="J5" s="18">
        <f>IFERROR(VLOOKUP($D5,BS별도,MATCH(J$1,BS별도H,0),0)/100,"")</f>
        <v/>
      </c>
      <c r="K5" s="34">
        <f>SUM(G5:J5)</f>
        <v/>
      </c>
      <c r="L5" s="18">
        <f>IFERROR(VLOOKUP($D5,BS별도,MATCH(L$1,BS별도H,0),0)/100,"")</f>
        <v/>
      </c>
      <c r="M5" s="18">
        <f>IFERROR(VLOOKUP($D5,BS별도,MATCH(M$1,BS별도H,0),0)/100,"")</f>
        <v/>
      </c>
      <c r="N5" s="18">
        <f>IFERROR(VLOOKUP($D5,BS별도,MATCH(N$1,BS별도H,0),0)/100,"")</f>
        <v/>
      </c>
      <c r="O5" s="18">
        <f>IFERROR(VLOOKUP($D5,BS별도,MATCH(O$1,BS별도H,0),0)/100,"")</f>
        <v/>
      </c>
      <c r="P5" s="34">
        <f>SUM(L5:O5)</f>
        <v/>
      </c>
      <c r="Q5" s="18">
        <f>IFERROR(VLOOKUP($D5,BS별도,MATCH(Q$1,BS별도H,0),0)/100,"")</f>
        <v/>
      </c>
      <c r="R5" s="18">
        <f>IFERROR(VLOOKUP($D5,BS별도,MATCH(R$1,BS별도H,0),0)/100,"")</f>
        <v/>
      </c>
      <c r="S5" s="18">
        <f>IFERROR(VLOOKUP($D5,BS별도,MATCH(S$1,BS별도H,0),0)/100,"")</f>
        <v/>
      </c>
      <c r="T5" s="18">
        <f>IFERROR(VLOOKUP($D5,BS별도,MATCH(T$1,BS별도H,0),0)/100,"")</f>
        <v/>
      </c>
      <c r="U5" s="34">
        <f>SUM(Q5:T5)</f>
        <v/>
      </c>
      <c r="V5" s="18">
        <f>IFERROR(VLOOKUP($D5,BS별도,MATCH(V$1,BS별도H,0),0)/100,"")</f>
        <v/>
      </c>
      <c r="W5" s="18">
        <f>IFERROR(VLOOKUP($D5,BS별도,MATCH(W$1,BS별도H,0),0)/100,"")</f>
        <v/>
      </c>
      <c r="X5" s="18">
        <f>IFERROR(VLOOKUP($D5,BS별도,MATCH(X$1,BS별도H,0),0)/100,"")</f>
        <v/>
      </c>
      <c r="Y5" s="18">
        <f>IFERROR(VLOOKUP($D5,BS별도,MATCH(Y$1,BS별도H,0),0)/100,"")</f>
        <v/>
      </c>
      <c r="Z5" s="34">
        <f>SUM(V5:Y5)</f>
        <v/>
      </c>
      <c r="AA5" s="18">
        <f>IFERROR(VLOOKUP($D5,BS별도,MATCH(AA$1,BS별도H,0),0)/100,"")</f>
        <v/>
      </c>
      <c r="AB5" s="19">
        <f>IFERROR(VLOOKUP($D5,BS별도,MATCH(AB$1,BS별도H,0),0)/100,"")</f>
        <v/>
      </c>
      <c r="AC5" s="20">
        <f>IFERROR(X5*(1+변수!AC21),"")</f>
        <v/>
      </c>
      <c r="AD5" s="20">
        <f>IFERROR(Y5*(1+변수!AD21),"")</f>
        <v/>
      </c>
      <c r="AE5" s="35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5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5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IFERROR(VLOOKUP($D6,BS별도,MATCH(E$1,BS별도H,0),0)/100,"")</f>
        <v/>
      </c>
      <c r="F6" s="34" t="n"/>
      <c r="G6" s="18">
        <f>IFERROR(VLOOKUP($D6,BS별도,MATCH(G$1,BS별도H,0),0)/100,"")</f>
        <v/>
      </c>
      <c r="H6" s="18">
        <f>IFERROR(VLOOKUP($D6,BS별도,MATCH(H$1,BS별도H,0),0)/100,"")</f>
        <v/>
      </c>
      <c r="I6" s="18">
        <f>IFERROR(VLOOKUP($D6,BS별도,MATCH(I$1,BS별도H,0),0)/100,"")</f>
        <v/>
      </c>
      <c r="J6" s="18">
        <f>IFERROR(VLOOKUP($D6,BS별도,MATCH(J$1,BS별도H,0),0)/100,"")</f>
        <v/>
      </c>
      <c r="K6" s="34">
        <f>SUM(G6:J6)</f>
        <v/>
      </c>
      <c r="L6" s="18">
        <f>IFERROR(VLOOKUP($D6,BS별도,MATCH(L$1,BS별도H,0),0)/100,"")</f>
        <v/>
      </c>
      <c r="M6" s="18">
        <f>IFERROR(VLOOKUP($D6,BS별도,MATCH(M$1,BS별도H,0),0)/100,"")</f>
        <v/>
      </c>
      <c r="N6" s="18">
        <f>IFERROR(VLOOKUP($D6,BS별도,MATCH(N$1,BS별도H,0),0)/100,"")</f>
        <v/>
      </c>
      <c r="O6" s="18">
        <f>IFERROR(VLOOKUP($D6,BS별도,MATCH(O$1,BS별도H,0),0)/100,"")</f>
        <v/>
      </c>
      <c r="P6" s="34">
        <f>SUM(L6:O6)</f>
        <v/>
      </c>
      <c r="Q6" s="18">
        <f>IFERROR(VLOOKUP($D6,BS별도,MATCH(Q$1,BS별도H,0),0)/100,"")</f>
        <v/>
      </c>
      <c r="R6" s="18">
        <f>IFERROR(VLOOKUP($D6,BS별도,MATCH(R$1,BS별도H,0),0)/100,"")</f>
        <v/>
      </c>
      <c r="S6" s="18">
        <f>IFERROR(VLOOKUP($D6,BS별도,MATCH(S$1,BS별도H,0),0)/100,"")</f>
        <v/>
      </c>
      <c r="T6" s="18">
        <f>IFERROR(VLOOKUP($D6,BS별도,MATCH(T$1,BS별도H,0),0)/100,"")</f>
        <v/>
      </c>
      <c r="U6" s="34">
        <f>SUM(Q6:T6)</f>
        <v/>
      </c>
      <c r="V6" s="18">
        <f>IFERROR(VLOOKUP($D6,BS별도,MATCH(V$1,BS별도H,0),0)/100,"")</f>
        <v/>
      </c>
      <c r="W6" s="18">
        <f>IFERROR(VLOOKUP($D6,BS별도,MATCH(W$1,BS별도H,0),0)/100,"")</f>
        <v/>
      </c>
      <c r="X6" s="18">
        <f>IFERROR(VLOOKUP($D6,BS별도,MATCH(X$1,BS별도H,0),0)/100,"")</f>
        <v/>
      </c>
      <c r="Y6" s="18">
        <f>IFERROR(VLOOKUP($D6,BS별도,MATCH(Y$1,BS별도H,0),0)/100,"")</f>
        <v/>
      </c>
      <c r="Z6" s="34">
        <f>SUM(V6:Y6)</f>
        <v/>
      </c>
      <c r="AA6" s="18">
        <f>IFERROR(VLOOKUP($D6,BS별도,MATCH(AA$1,BS별도H,0),0)/100,"")</f>
        <v/>
      </c>
      <c r="AB6" s="19">
        <f>IFERROR(VLOOKUP($D6,BS별도,MATCH(AB$1,BS별도H,0),0)/100,"")</f>
        <v/>
      </c>
      <c r="AC6" s="20">
        <f>IFERROR(AC5-AC7,"")</f>
        <v/>
      </c>
      <c r="AD6" s="20">
        <f>IFERROR(AD5-AD7,"")</f>
        <v/>
      </c>
      <c r="AE6" s="35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5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5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IFERROR(VLOOKUP($D7,BS별도,MATCH(E$1,BS별도H,0),0)/100,"")</f>
        <v/>
      </c>
      <c r="F7" s="34" t="n"/>
      <c r="G7" s="18">
        <f>IFERROR(VLOOKUP($D7,BS별도,MATCH(G$1,BS별도H,0),0)/100,"")</f>
        <v/>
      </c>
      <c r="H7" s="18">
        <f>IFERROR(VLOOKUP($D7,BS별도,MATCH(H$1,BS별도H,0),0)/100,"")</f>
        <v/>
      </c>
      <c r="I7" s="18">
        <f>IFERROR(VLOOKUP($D7,BS별도,MATCH(I$1,BS별도H,0),0)/100,"")</f>
        <v/>
      </c>
      <c r="J7" s="18">
        <f>IFERROR(VLOOKUP($D7,BS별도,MATCH(J$1,BS별도H,0),0)/100,"")</f>
        <v/>
      </c>
      <c r="K7" s="34">
        <f>SUM(G7:J7)</f>
        <v/>
      </c>
      <c r="L7" s="18">
        <f>IFERROR(VLOOKUP($D7,BS별도,MATCH(L$1,BS별도H,0),0)/100,"")</f>
        <v/>
      </c>
      <c r="M7" s="18">
        <f>IFERROR(VLOOKUP($D7,BS별도,MATCH(M$1,BS별도H,0),0)/100,"")</f>
        <v/>
      </c>
      <c r="N7" s="18">
        <f>IFERROR(VLOOKUP($D7,BS별도,MATCH(N$1,BS별도H,0),0)/100,"")</f>
        <v/>
      </c>
      <c r="O7" s="18">
        <f>IFERROR(VLOOKUP($D7,BS별도,MATCH(O$1,BS별도H,0),0)/100,"")</f>
        <v/>
      </c>
      <c r="P7" s="34">
        <f>SUM(L7:O7)</f>
        <v/>
      </c>
      <c r="Q7" s="18">
        <f>IFERROR(VLOOKUP($D7,BS별도,MATCH(Q$1,BS별도H,0),0)/100,"")</f>
        <v/>
      </c>
      <c r="R7" s="18">
        <f>IFERROR(VLOOKUP($D7,BS별도,MATCH(R$1,BS별도H,0),0)/100,"")</f>
        <v/>
      </c>
      <c r="S7" s="18">
        <f>IFERROR(VLOOKUP($D7,BS별도,MATCH(S$1,BS별도H,0),0)/100,"")</f>
        <v/>
      </c>
      <c r="T7" s="18">
        <f>IFERROR(VLOOKUP($D7,BS별도,MATCH(T$1,BS별도H,0),0)/100,"")</f>
        <v/>
      </c>
      <c r="U7" s="34">
        <f>SUM(Q7:T7)</f>
        <v/>
      </c>
      <c r="V7" s="18">
        <f>IFERROR(VLOOKUP($D7,BS별도,MATCH(V$1,BS별도H,0),0)/100,"")</f>
        <v/>
      </c>
      <c r="W7" s="18">
        <f>IFERROR(VLOOKUP($D7,BS별도,MATCH(W$1,BS별도H,0),0)/100,"")</f>
        <v/>
      </c>
      <c r="X7" s="18">
        <f>IFERROR(VLOOKUP($D7,BS별도,MATCH(X$1,BS별도H,0),0)/100,"")</f>
        <v/>
      </c>
      <c r="Y7" s="18">
        <f>IFERROR(VLOOKUP($D7,BS별도,MATCH(Y$1,BS별도H,0),0)/100,"")</f>
        <v/>
      </c>
      <c r="Z7" s="34">
        <f>SUM(V7:Y7)</f>
        <v/>
      </c>
      <c r="AA7" s="18">
        <f>IFERROR(VLOOKUP($D7,BS별도,MATCH(AA$1,BS별도H,0),0)/100,"")</f>
        <v/>
      </c>
      <c r="AB7" s="19">
        <f>IFERROR(VLOOKUP($D7,BS별도,MATCH(AB$1,BS별도H,0),0)/100,"")</f>
        <v/>
      </c>
      <c r="AC7" s="20">
        <f>IFERROR(AC9+AC8,"")</f>
        <v/>
      </c>
      <c r="AD7" s="20">
        <f>IFERROR(AD9+AD8,"")</f>
        <v/>
      </c>
      <c r="AE7" s="35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5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5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IFERROR(VLOOKUP($D8,BS별도,MATCH(E$1,BS별도H,0),0)/100,"")</f>
        <v/>
      </c>
      <c r="F8" s="34" t="n"/>
      <c r="G8" s="18">
        <f>IFERROR(VLOOKUP($D8,BS별도,MATCH(G$1,BS별도H,0),0)/100,"")</f>
        <v/>
      </c>
      <c r="H8" s="18">
        <f>IFERROR(VLOOKUP($D8,BS별도,MATCH(H$1,BS별도H,0),0)/100,"")</f>
        <v/>
      </c>
      <c r="I8" s="18">
        <f>IFERROR(VLOOKUP($D8,BS별도,MATCH(I$1,BS별도H,0),0)/100,"")</f>
        <v/>
      </c>
      <c r="J8" s="18">
        <f>IFERROR(VLOOKUP($D8,BS별도,MATCH(J$1,BS별도H,0),0)/100,"")</f>
        <v/>
      </c>
      <c r="K8" s="34">
        <f>SUM(G8:J8)</f>
        <v/>
      </c>
      <c r="L8" s="18">
        <f>IFERROR(VLOOKUP($D8,BS별도,MATCH(L$1,BS별도H,0),0)/100,"")</f>
        <v/>
      </c>
      <c r="M8" s="18">
        <f>IFERROR(VLOOKUP($D8,BS별도,MATCH(M$1,BS별도H,0),0)/100,"")</f>
        <v/>
      </c>
      <c r="N8" s="18">
        <f>IFERROR(VLOOKUP($D8,BS별도,MATCH(N$1,BS별도H,0),0)/100,"")</f>
        <v/>
      </c>
      <c r="O8" s="18">
        <f>IFERROR(VLOOKUP($D8,BS별도,MATCH(O$1,BS별도H,0),0)/100,"")</f>
        <v/>
      </c>
      <c r="P8" s="34">
        <f>SUM(L8:O8)</f>
        <v/>
      </c>
      <c r="Q8" s="18">
        <f>IFERROR(VLOOKUP($D8,BS별도,MATCH(Q$1,BS별도H,0),0)/100,"")</f>
        <v/>
      </c>
      <c r="R8" s="18">
        <f>IFERROR(VLOOKUP($D8,BS별도,MATCH(R$1,BS별도H,0),0)/100,"")</f>
        <v/>
      </c>
      <c r="S8" s="18">
        <f>IFERROR(VLOOKUP($D8,BS별도,MATCH(S$1,BS별도H,0),0)/100,"")</f>
        <v/>
      </c>
      <c r="T8" s="18">
        <f>IFERROR(VLOOKUP($D8,BS별도,MATCH(T$1,BS별도H,0),0)/100,"")</f>
        <v/>
      </c>
      <c r="U8" s="34">
        <f>SUM(Q8:T8)</f>
        <v/>
      </c>
      <c r="V8" s="18">
        <f>IFERROR(VLOOKUP($D8,BS별도,MATCH(V$1,BS별도H,0),0)/100,"")</f>
        <v/>
      </c>
      <c r="W8" s="18">
        <f>IFERROR(VLOOKUP($D8,BS별도,MATCH(W$1,BS별도H,0),0)/100,"")</f>
        <v/>
      </c>
      <c r="X8" s="18">
        <f>IFERROR(VLOOKUP($D8,BS별도,MATCH(X$1,BS별도H,0),0)/100,"")</f>
        <v/>
      </c>
      <c r="Y8" s="18">
        <f>IFERROR(VLOOKUP($D8,BS별도,MATCH(Y$1,BS별도H,0),0)/100,"")</f>
        <v/>
      </c>
      <c r="Z8" s="34">
        <f>SUM(V8:Y8)</f>
        <v/>
      </c>
      <c r="AA8" s="18">
        <f>IFERROR(VLOOKUP($D8,BS별도,MATCH(AA$1,BS별도H,0),0)/100,"")</f>
        <v/>
      </c>
      <c r="AB8" s="19">
        <f>IFERROR(VLOOKUP($D8,BS별도,MATCH(AB$1,BS별도H,0),0)/100,"")</f>
        <v/>
      </c>
      <c r="AC8" s="20">
        <f>IFERROR(AC5*변수!AC22,"")</f>
        <v/>
      </c>
      <c r="AD8" s="20">
        <f>IFERROR(AD5*변수!AD22,"")</f>
        <v/>
      </c>
      <c r="AE8" s="35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5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5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IFERROR(VLOOKUP($D9,BS별도,MATCH(E$1,BS별도H,0),0)/100,"")</f>
        <v/>
      </c>
      <c r="F9" s="34" t="n"/>
      <c r="G9" s="18">
        <f>IFERROR(VLOOKUP($D9,BS별도,MATCH(G$1,BS별도H,0),0)/100,"")</f>
        <v/>
      </c>
      <c r="H9" s="18">
        <f>IFERROR(VLOOKUP($D9,BS별도,MATCH(H$1,BS별도H,0),0)/100,"")</f>
        <v/>
      </c>
      <c r="I9" s="18">
        <f>IFERROR(VLOOKUP($D9,BS별도,MATCH(I$1,BS별도H,0),0)/100,"")</f>
        <v/>
      </c>
      <c r="J9" s="18">
        <f>IFERROR(VLOOKUP($D9,BS별도,MATCH(J$1,BS별도H,0),0)/100,"")</f>
        <v/>
      </c>
      <c r="K9" s="34">
        <f>SUM(G9:J9)</f>
        <v/>
      </c>
      <c r="L9" s="18">
        <f>IFERROR(VLOOKUP($D9,BS별도,MATCH(L$1,BS별도H,0),0)/100,"")</f>
        <v/>
      </c>
      <c r="M9" s="18">
        <f>IFERROR(VLOOKUP($D9,BS별도,MATCH(M$1,BS별도H,0),0)/100,"")</f>
        <v/>
      </c>
      <c r="N9" s="18">
        <f>IFERROR(VLOOKUP($D9,BS별도,MATCH(N$1,BS별도H,0),0)/100,"")</f>
        <v/>
      </c>
      <c r="O9" s="18">
        <f>IFERROR(VLOOKUP($D9,BS별도,MATCH(O$1,BS별도H,0),0)/100,"")</f>
        <v/>
      </c>
      <c r="P9" s="34">
        <f>SUM(L9:O9)</f>
        <v/>
      </c>
      <c r="Q9" s="18">
        <f>IFERROR(VLOOKUP($D9,BS별도,MATCH(Q$1,BS별도H,0),0)/100,"")</f>
        <v/>
      </c>
      <c r="R9" s="18">
        <f>IFERROR(VLOOKUP($D9,BS별도,MATCH(R$1,BS별도H,0),0)/100,"")</f>
        <v/>
      </c>
      <c r="S9" s="18">
        <f>IFERROR(VLOOKUP($D9,BS별도,MATCH(S$1,BS별도H,0),0)/100,"")</f>
        <v/>
      </c>
      <c r="T9" s="18">
        <f>IFERROR(VLOOKUP($D9,BS별도,MATCH(T$1,BS별도H,0),0)/100,"")</f>
        <v/>
      </c>
      <c r="U9" s="34">
        <f>SUM(Q9:T9)</f>
        <v/>
      </c>
      <c r="V9" s="18">
        <f>IFERROR(VLOOKUP($D9,BS별도,MATCH(V$1,BS별도H,0),0)/100,"")</f>
        <v/>
      </c>
      <c r="W9" s="18">
        <f>IFERROR(VLOOKUP($D9,BS별도,MATCH(W$1,BS별도H,0),0)/100,"")</f>
        <v/>
      </c>
      <c r="X9" s="18">
        <f>IFERROR(VLOOKUP($D9,BS별도,MATCH(X$1,BS별도H,0),0)/100,"")</f>
        <v/>
      </c>
      <c r="Y9" s="18">
        <f>IFERROR(VLOOKUP($D9,BS별도,MATCH(Y$1,BS별도H,0),0)/100,"")</f>
        <v/>
      </c>
      <c r="Z9" s="34">
        <f>SUM(V9:Y9)</f>
        <v/>
      </c>
      <c r="AA9" s="18">
        <f>IFERROR(VLOOKUP($D9,BS별도,MATCH(AA$1,BS별도H,0),0)/100,"")</f>
        <v/>
      </c>
      <c r="AB9" s="19">
        <f>IFERROR(VLOOKUP($D9,BS별도,MATCH(AB$1,BS별도H,0),0)/100,"")</f>
        <v/>
      </c>
      <c r="AC9" s="20">
        <f>IFERROR(AC5*변수!AC23,"")</f>
        <v/>
      </c>
      <c r="AD9" s="20">
        <f>IFERROR(AD5*변수!AD23,"")</f>
        <v/>
      </c>
      <c r="AE9" s="35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5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5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8" t="n">
        <v>0.1135</v>
      </c>
      <c r="F10" s="34" t="n"/>
      <c r="G10" s="18" t="n">
        <v>-0.0567</v>
      </c>
      <c r="H10" s="18" t="n">
        <v>0.0819</v>
      </c>
      <c r="I10" s="18" t="n">
        <v>0.0253</v>
      </c>
      <c r="J10" s="18" t="n">
        <v>0.1594</v>
      </c>
      <c r="K10" s="34">
        <f>SUM(G10:J10)</f>
        <v/>
      </c>
      <c r="L10" s="18" t="n">
        <v>0.0857</v>
      </c>
      <c r="M10" s="18" t="n">
        <v>0.0511</v>
      </c>
      <c r="N10" s="18" t="n">
        <v>0.0389</v>
      </c>
      <c r="O10" s="18" t="n">
        <v>0.2815</v>
      </c>
      <c r="P10" s="34">
        <f>SUM(L10:O10)</f>
        <v/>
      </c>
      <c r="Q10" s="18" t="n">
        <v>-0.0138</v>
      </c>
      <c r="R10" s="18" t="n">
        <v>0.09429999999999999</v>
      </c>
      <c r="S10" s="18" t="n">
        <v>0.1054</v>
      </c>
      <c r="T10" s="18" t="n">
        <v>0.1877</v>
      </c>
      <c r="U10" s="34">
        <f>SUM(Q10:T10)</f>
        <v/>
      </c>
      <c r="V10" s="18" t="n">
        <v>0.0498</v>
      </c>
      <c r="W10" s="18" t="n">
        <v>0.07820000000000001</v>
      </c>
      <c r="X10" s="18" t="n">
        <v>0.2632</v>
      </c>
      <c r="Y10" s="18" t="n">
        <v>0.3948</v>
      </c>
      <c r="Z10" s="34">
        <f>SUM(V10:Y10)</f>
        <v/>
      </c>
      <c r="AA10" s="18" t="n">
        <v>0.1691</v>
      </c>
      <c r="AB10" s="19" t="n">
        <v>0.3349</v>
      </c>
      <c r="AC10" s="20">
        <f>IFERROR(X10*(1+변수!AC24),"")</f>
        <v/>
      </c>
      <c r="AD10" s="20">
        <f>IFERROR(Y10*(1+변수!AD24),"")</f>
        <v/>
      </c>
      <c r="AE10" s="35">
        <f>SUM(AA10:AD10)</f>
        <v/>
      </c>
      <c r="AF10" s="20">
        <f>IFERROR(AA10*(1+변수!AF24),"")</f>
        <v/>
      </c>
      <c r="AG10" s="20">
        <f>IFERROR(AB10*(1+변수!AG24),"")</f>
        <v/>
      </c>
      <c r="AH10" s="20">
        <f>IFERROR(AC10*(1+변수!AH24),"")</f>
        <v/>
      </c>
      <c r="AI10" s="20">
        <f>IFERROR(AD10*(1+변수!AI24),"")</f>
        <v/>
      </c>
      <c r="AJ10" s="35">
        <f>SUM(AF10:AI10)</f>
        <v/>
      </c>
      <c r="AK10" s="20">
        <f>IFERROR(AF10*(1+변수!AK24),"")</f>
        <v/>
      </c>
      <c r="AL10" s="20">
        <f>IFERROR(AG10*(1+변수!AL24),"")</f>
        <v/>
      </c>
      <c r="AM10" s="20">
        <f>IFERROR(AH10*(1+변수!AM24),"")</f>
        <v/>
      </c>
      <c r="AN10" s="20">
        <f>IFERROR(AI10*(1+변수!AN24),"")</f>
        <v/>
      </c>
      <c r="AO10" s="35">
        <f>SUM(AK10:AN10)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IFERROR(VLOOKUP($D11,BS별도,MATCH(E$1,BS별도H,0),0)/100,"")</f>
        <v/>
      </c>
      <c r="F11" s="34" t="n"/>
      <c r="G11" s="18">
        <f>IFERROR(VLOOKUP($D11,BS별도,MATCH(G$1,BS별도H,0),0)/100,"")</f>
        <v/>
      </c>
      <c r="H11" s="18">
        <f>IFERROR(VLOOKUP($D11,BS별도,MATCH(H$1,BS별도H,0),0)/100,"")</f>
        <v/>
      </c>
      <c r="I11" s="18">
        <f>IFERROR(VLOOKUP($D11,BS별도,MATCH(I$1,BS별도H,0),0)/100,"")</f>
        <v/>
      </c>
      <c r="J11" s="18">
        <f>IFERROR(VLOOKUP($D11,BS별도,MATCH(J$1,BS별도H,0),0)/100,"")</f>
        <v/>
      </c>
      <c r="K11" s="34">
        <f>SUM(G11:J11)</f>
        <v/>
      </c>
      <c r="L11" s="18">
        <f>IFERROR(VLOOKUP($D11,BS별도,MATCH(L$1,BS별도H,0),0)/100,"")</f>
        <v/>
      </c>
      <c r="M11" s="18">
        <f>IFERROR(VLOOKUP($D11,BS별도,MATCH(M$1,BS별도H,0),0)/100,"")</f>
        <v/>
      </c>
      <c r="N11" s="18">
        <f>IFERROR(VLOOKUP($D11,BS별도,MATCH(N$1,BS별도H,0),0)/100,"")</f>
        <v/>
      </c>
      <c r="O11" s="18">
        <f>IFERROR(VLOOKUP($D11,BS별도,MATCH(O$1,BS별도H,0),0)/100,"")</f>
        <v/>
      </c>
      <c r="P11" s="34">
        <f>SUM(L11:O11)</f>
        <v/>
      </c>
      <c r="Q11" s="18">
        <f>IFERROR(VLOOKUP($D11,BS별도,MATCH(Q$1,BS별도H,0),0)/100,"")</f>
        <v/>
      </c>
      <c r="R11" s="18">
        <f>IFERROR(VLOOKUP($D11,BS별도,MATCH(R$1,BS별도H,0),0)/100,"")</f>
        <v/>
      </c>
      <c r="S11" s="18">
        <f>IFERROR(VLOOKUP($D11,BS별도,MATCH(S$1,BS별도H,0),0)/100,"")</f>
        <v/>
      </c>
      <c r="T11" s="18">
        <f>IFERROR(VLOOKUP($D11,BS별도,MATCH(T$1,BS별도H,0),0)/100,"")</f>
        <v/>
      </c>
      <c r="U11" s="34">
        <f>SUM(Q11:T11)</f>
        <v/>
      </c>
      <c r="V11" s="18">
        <f>IFERROR(VLOOKUP($D11,BS별도,MATCH(V$1,BS별도H,0),0)/100,"")</f>
        <v/>
      </c>
      <c r="W11" s="18">
        <f>IFERROR(VLOOKUP($D11,BS별도,MATCH(W$1,BS별도H,0),0)/100,"")</f>
        <v/>
      </c>
      <c r="X11" s="18">
        <f>IFERROR(VLOOKUP($D11,BS별도,MATCH(X$1,BS별도H,0),0)/100,"")</f>
        <v/>
      </c>
      <c r="Y11" s="18">
        <f>IFERROR(VLOOKUP($D11,BS별도,MATCH(Y$1,BS별도H,0),0)/100,"")</f>
        <v/>
      </c>
      <c r="Z11" s="34">
        <f>SUM(V11:Y11)</f>
        <v/>
      </c>
      <c r="AA11" s="18">
        <f>IFERROR(VLOOKUP($D11,BS별도,MATCH(AA$1,BS별도H,0),0)/100,"")</f>
        <v/>
      </c>
      <c r="AB11" s="19">
        <f>IFERROR(VLOOKUP($D11,BS별도,MATCH(AB$1,BS별도H,0),0)/100,"")</f>
        <v/>
      </c>
      <c r="AC11" s="20">
        <f>변수!AC25</f>
        <v/>
      </c>
      <c r="AD11" s="20">
        <f>변수!AD25</f>
        <v/>
      </c>
      <c r="AE11" s="35">
        <f>SUM(AA11:AD11)</f>
        <v/>
      </c>
      <c r="AF11" s="20">
        <f>변수!AF25</f>
        <v/>
      </c>
      <c r="AG11" s="20">
        <f>변수!AG25</f>
        <v/>
      </c>
      <c r="AH11" s="20">
        <f>변수!AH25</f>
        <v/>
      </c>
      <c r="AI11" s="20">
        <f>변수!AI25</f>
        <v/>
      </c>
      <c r="AJ11" s="35">
        <f>SUM(AF11:AI11)</f>
        <v/>
      </c>
      <c r="AK11" s="20">
        <f>변수!AK25</f>
        <v/>
      </c>
      <c r="AL11" s="20">
        <f>변수!AL25</f>
        <v/>
      </c>
      <c r="AM11" s="20">
        <f>변수!AM25</f>
        <v/>
      </c>
      <c r="AN11" s="20">
        <f>변수!AN25</f>
        <v/>
      </c>
      <c r="AO11" s="35">
        <f>SUM(AK11:AN11)</f>
        <v/>
      </c>
    </row>
    <row r="12">
      <c r="A12" s="12" t="inlineStr">
        <is>
          <t>기타영업외손익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기타영업외손익</t>
        </is>
      </c>
      <c r="E12" s="18">
        <f>IFERROR(VLOOKUP($D12,BS별도,MATCH(E$1,BS별도H,0),0)/100,"")</f>
        <v/>
      </c>
      <c r="F12" s="34" t="n"/>
      <c r="G12" s="18">
        <f>IFERROR(VLOOKUP($D12,BS별도,MATCH(G$1,BS별도H,0),0)/100,"")</f>
        <v/>
      </c>
      <c r="H12" s="18">
        <f>IFERROR(VLOOKUP($D12,BS별도,MATCH(H$1,BS별도H,0),0)/100,"")</f>
        <v/>
      </c>
      <c r="I12" s="18">
        <f>IFERROR(VLOOKUP($D12,BS별도,MATCH(I$1,BS별도H,0),0)/100,"")</f>
        <v/>
      </c>
      <c r="J12" s="18">
        <f>IFERROR(VLOOKUP($D12,BS별도,MATCH(J$1,BS별도H,0),0)/100,"")</f>
        <v/>
      </c>
      <c r="K12" s="34">
        <f>SUM(G12:J12)</f>
        <v/>
      </c>
      <c r="L12" s="18">
        <f>IFERROR(VLOOKUP($D12,BS별도,MATCH(L$1,BS별도H,0),0)/100,"")</f>
        <v/>
      </c>
      <c r="M12" s="18">
        <f>IFERROR(VLOOKUP($D12,BS별도,MATCH(M$1,BS별도H,0),0)/100,"")</f>
        <v/>
      </c>
      <c r="N12" s="18">
        <f>IFERROR(VLOOKUP($D12,BS별도,MATCH(N$1,BS별도H,0),0)/100,"")</f>
        <v/>
      </c>
      <c r="O12" s="18">
        <f>IFERROR(VLOOKUP($D12,BS별도,MATCH(O$1,BS별도H,0),0)/100,"")</f>
        <v/>
      </c>
      <c r="P12" s="34">
        <f>SUM(L12:O12)</f>
        <v/>
      </c>
      <c r="Q12" s="18">
        <f>IFERROR(VLOOKUP($D12,BS별도,MATCH(Q$1,BS별도H,0),0)/100,"")</f>
        <v/>
      </c>
      <c r="R12" s="18">
        <f>IFERROR(VLOOKUP($D12,BS별도,MATCH(R$1,BS별도H,0),0)/100,"")</f>
        <v/>
      </c>
      <c r="S12" s="18">
        <f>IFERROR(VLOOKUP($D12,BS별도,MATCH(S$1,BS별도H,0),0)/100,"")</f>
        <v/>
      </c>
      <c r="T12" s="18">
        <f>IFERROR(VLOOKUP($D12,BS별도,MATCH(T$1,BS별도H,0),0)/100,"")</f>
        <v/>
      </c>
      <c r="U12" s="34">
        <f>SUM(Q12:T12)</f>
        <v/>
      </c>
      <c r="V12" s="18">
        <f>IFERROR(VLOOKUP($D12,BS별도,MATCH(V$1,BS별도H,0),0)/100,"")</f>
        <v/>
      </c>
      <c r="W12" s="18">
        <f>IFERROR(VLOOKUP($D12,BS별도,MATCH(W$1,BS별도H,0),0)/100,"")</f>
        <v/>
      </c>
      <c r="X12" s="18">
        <f>IFERROR(VLOOKUP($D12,BS별도,MATCH(X$1,BS별도H,0),0)/100,"")</f>
        <v/>
      </c>
      <c r="Y12" s="18">
        <f>IFERROR(VLOOKUP($D12,BS별도,MATCH(Y$1,BS별도H,0),0)/100,"")</f>
        <v/>
      </c>
      <c r="Z12" s="34">
        <f>SUM(V12:Y12)</f>
        <v/>
      </c>
      <c r="AA12" s="18">
        <f>IFERROR(VLOOKUP($D12,BS별도,MATCH(AA$1,BS별도H,0),0)/100,"")</f>
        <v/>
      </c>
      <c r="AB12" s="19">
        <f>IFERROR(VLOOKUP($D12,BS별도,MATCH(AB$1,BS별도H,0),0)/100,"")</f>
        <v/>
      </c>
      <c r="AC12" s="20">
        <f>변수!AC26</f>
        <v/>
      </c>
      <c r="AD12" s="20">
        <f>변수!AD26</f>
        <v/>
      </c>
      <c r="AE12" s="35">
        <f>SUM(AA12:AD12)</f>
        <v/>
      </c>
      <c r="AF12" s="20">
        <f>변수!AF26</f>
        <v/>
      </c>
      <c r="AG12" s="20">
        <f>변수!AG26</f>
        <v/>
      </c>
      <c r="AH12" s="20">
        <f>변수!AH26</f>
        <v/>
      </c>
      <c r="AI12" s="20">
        <f>변수!AI26</f>
        <v/>
      </c>
      <c r="AJ12" s="35">
        <f>SUM(AF12:AI12)</f>
        <v/>
      </c>
      <c r="AK12" s="20">
        <f>변수!AK26</f>
        <v/>
      </c>
      <c r="AL12" s="20">
        <f>변수!AL26</f>
        <v/>
      </c>
      <c r="AM12" s="20">
        <f>변수!AM26</f>
        <v/>
      </c>
      <c r="AN12" s="20">
        <f>변수!AN26</f>
        <v/>
      </c>
      <c r="AO12" s="35">
        <f>SUM(AK12:AN12)</f>
        <v/>
      </c>
    </row>
    <row r="13">
      <c r="A13" s="12" t="inlineStr">
        <is>
          <t>세전이익</t>
        </is>
      </c>
      <c r="B13" t="inlineStr">
        <is>
          <t>손익</t>
        </is>
      </c>
      <c r="C13" t="inlineStr">
        <is>
          <t>억원</t>
        </is>
      </c>
      <c r="D13" t="inlineStr">
        <is>
          <t>법인세비용차감전계속사업이익</t>
        </is>
      </c>
      <c r="E13" s="18">
        <f>IFERROR(VLOOKUP($D13,BS별도,MATCH(E$1,BS별도H,0),0)/100,"")</f>
        <v/>
      </c>
      <c r="F13" s="34" t="n"/>
      <c r="G13" s="18">
        <f>IFERROR(VLOOKUP($D13,BS별도,MATCH(G$1,BS별도H,0),0)/100,"")</f>
        <v/>
      </c>
      <c r="H13" s="18">
        <f>IFERROR(VLOOKUP($D13,BS별도,MATCH(H$1,BS별도H,0),0)/100,"")</f>
        <v/>
      </c>
      <c r="I13" s="18">
        <f>IFERROR(VLOOKUP($D13,BS별도,MATCH(I$1,BS별도H,0),0)/100,"")</f>
        <v/>
      </c>
      <c r="J13" s="18">
        <f>IFERROR(VLOOKUP($D13,BS별도,MATCH(J$1,BS별도H,0),0)/100,"")</f>
        <v/>
      </c>
      <c r="K13" s="34">
        <f>SUM(G13:J13)</f>
        <v/>
      </c>
      <c r="L13" s="18">
        <f>IFERROR(VLOOKUP($D13,BS별도,MATCH(L$1,BS별도H,0),0)/100,"")</f>
        <v/>
      </c>
      <c r="M13" s="18">
        <f>IFERROR(VLOOKUP($D13,BS별도,MATCH(M$1,BS별도H,0),0)/100,"")</f>
        <v/>
      </c>
      <c r="N13" s="18">
        <f>IFERROR(VLOOKUP($D13,BS별도,MATCH(N$1,BS별도H,0),0)/100,"")</f>
        <v/>
      </c>
      <c r="O13" s="18">
        <f>IFERROR(VLOOKUP($D13,BS별도,MATCH(O$1,BS별도H,0),0)/100,"")</f>
        <v/>
      </c>
      <c r="P13" s="34">
        <f>SUM(L13:O13)</f>
        <v/>
      </c>
      <c r="Q13" s="18">
        <f>IFERROR(VLOOKUP($D13,BS별도,MATCH(Q$1,BS별도H,0),0)/100,"")</f>
        <v/>
      </c>
      <c r="R13" s="18">
        <f>IFERROR(VLOOKUP($D13,BS별도,MATCH(R$1,BS별도H,0),0)/100,"")</f>
        <v/>
      </c>
      <c r="S13" s="18">
        <f>IFERROR(VLOOKUP($D13,BS별도,MATCH(S$1,BS별도H,0),0)/100,"")</f>
        <v/>
      </c>
      <c r="T13" s="18">
        <f>IFERROR(VLOOKUP($D13,BS별도,MATCH(T$1,BS별도H,0),0)/100,"")</f>
        <v/>
      </c>
      <c r="U13" s="34">
        <f>SUM(Q13:T13)</f>
        <v/>
      </c>
      <c r="V13" s="18">
        <f>IFERROR(VLOOKUP($D13,BS별도,MATCH(V$1,BS별도H,0),0)/100,"")</f>
        <v/>
      </c>
      <c r="W13" s="18">
        <f>IFERROR(VLOOKUP($D13,BS별도,MATCH(W$1,BS별도H,0),0)/100,"")</f>
        <v/>
      </c>
      <c r="X13" s="18">
        <f>IFERROR(VLOOKUP($D13,BS별도,MATCH(X$1,BS별도H,0),0)/100,"")</f>
        <v/>
      </c>
      <c r="Y13" s="18">
        <f>IFERROR(VLOOKUP($D13,BS별도,MATCH(Y$1,BS별도H,0),0)/100,"")</f>
        <v/>
      </c>
      <c r="Z13" s="34">
        <f>SUM(V13:Y13)</f>
        <v/>
      </c>
      <c r="AA13" s="18">
        <f>IFERROR(VLOOKUP($D13,BS별도,MATCH(AA$1,BS별도H,0),0)/100,"")</f>
        <v/>
      </c>
      <c r="AB13" s="19">
        <f>IFERROR(VLOOKUP($D13,BS별도,MATCH(AB$1,BS별도H,0),0)/100,"")</f>
        <v/>
      </c>
      <c r="AC13" s="20">
        <f>IFERROR(AC9+AC11+AC12,"")</f>
        <v/>
      </c>
      <c r="AD13" s="20">
        <f>IFERROR(AD9+AD11+AD12,"")</f>
        <v/>
      </c>
      <c r="AE13" s="35">
        <f>SUM(AA13:AD13)</f>
        <v/>
      </c>
      <c r="AF13" s="20">
        <f>IFERROR(AF9+AF11+AF12,"")</f>
        <v/>
      </c>
      <c r="AG13" s="20">
        <f>IFERROR(AG9+AG11+AG12,"")</f>
        <v/>
      </c>
      <c r="AH13" s="20">
        <f>IFERROR(AH9+AH11+AH12,"")</f>
        <v/>
      </c>
      <c r="AI13" s="20">
        <f>IFERROR(AI9+AI11+AI12,"")</f>
        <v/>
      </c>
      <c r="AJ13" s="35">
        <f>SUM(AF13:AI13)</f>
        <v/>
      </c>
      <c r="AK13" s="20">
        <f>IFERROR(AK9+AK11+AK12,"")</f>
        <v/>
      </c>
      <c r="AL13" s="20">
        <f>IFERROR(AL9+AL11+AL12,"")</f>
        <v/>
      </c>
      <c r="AM13" s="20">
        <f>IFERROR(AM9+AM11+AM12,"")</f>
        <v/>
      </c>
      <c r="AN13" s="20">
        <f>IFERROR(AN9+AN11+AN12,"")</f>
        <v/>
      </c>
      <c r="AO13" s="35">
        <f>SUM(AK13:AN13)</f>
        <v/>
      </c>
    </row>
    <row r="14">
      <c r="A14" s="12" t="inlineStr">
        <is>
          <t>법인세비용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</t>
        </is>
      </c>
      <c r="E14" s="18">
        <f>IFERROR(VLOOKUP($D14,BS별도,MATCH(E$1,BS별도H,0),0)/100,"")</f>
        <v/>
      </c>
      <c r="F14" s="34" t="n"/>
      <c r="G14" s="18" t="n"/>
      <c r="H14" s="18">
        <f>IFERROR(VLOOKUP($D14,BS별도,MATCH(H$1,BS별도H,0),0)/100,"")</f>
        <v/>
      </c>
      <c r="I14" s="18">
        <f>IFERROR(VLOOKUP($D14,BS별도,MATCH(I$1,BS별도H,0),0)/100,"")</f>
        <v/>
      </c>
      <c r="J14" s="18">
        <f>IFERROR(VLOOKUP($D14,BS별도,MATCH(J$1,BS별도H,0),0)/100,"")</f>
        <v/>
      </c>
      <c r="K14" s="34">
        <f>SUM(G14:J14)</f>
        <v/>
      </c>
      <c r="L14" s="18">
        <f>IFERROR(VLOOKUP($D14,BS별도,MATCH(L$1,BS별도H,0),0)/100,"")</f>
        <v/>
      </c>
      <c r="M14" s="18">
        <f>IFERROR(VLOOKUP($D14,BS별도,MATCH(M$1,BS별도H,0),0)/100,"")</f>
        <v/>
      </c>
      <c r="N14" s="18">
        <f>IFERROR(VLOOKUP($D14,BS별도,MATCH(N$1,BS별도H,0),0)/100,"")</f>
        <v/>
      </c>
      <c r="O14" s="18">
        <f>IFERROR(VLOOKUP($D14,BS별도,MATCH(O$1,BS별도H,0),0)/100,"")</f>
        <v/>
      </c>
      <c r="P14" s="34">
        <f>SUM(L14:O14)</f>
        <v/>
      </c>
      <c r="Q14" s="18">
        <f>IFERROR(VLOOKUP($D14,BS별도,MATCH(Q$1,BS별도H,0),0)/100,"")</f>
        <v/>
      </c>
      <c r="R14" s="18">
        <f>IFERROR(VLOOKUP($D14,BS별도,MATCH(R$1,BS별도H,0),0)/100,"")</f>
        <v/>
      </c>
      <c r="S14" s="18">
        <f>IFERROR(VLOOKUP($D14,BS별도,MATCH(S$1,BS별도H,0),0)/100,"")</f>
        <v/>
      </c>
      <c r="T14" s="18">
        <f>IFERROR(VLOOKUP($D14,BS별도,MATCH(T$1,BS별도H,0),0)/100,"")</f>
        <v/>
      </c>
      <c r="U14" s="34">
        <f>SUM(Q14:T14)</f>
        <v/>
      </c>
      <c r="V14" s="18">
        <f>IFERROR(VLOOKUP($D14,BS별도,MATCH(V$1,BS별도H,0),0)/100,"")</f>
        <v/>
      </c>
      <c r="W14" s="18">
        <f>IFERROR(VLOOKUP($D14,BS별도,MATCH(W$1,BS별도H,0),0)/100,"")</f>
        <v/>
      </c>
      <c r="X14" s="18">
        <f>IFERROR(VLOOKUP($D14,BS별도,MATCH(X$1,BS별도H,0),0)/100,"")</f>
        <v/>
      </c>
      <c r="Y14" s="18">
        <f>IFERROR(VLOOKUP($D14,BS별도,MATCH(Y$1,BS별도H,0),0)/100,"")</f>
        <v/>
      </c>
      <c r="Z14" s="34">
        <f>SUM(V14:Y14)</f>
        <v/>
      </c>
      <c r="AA14" s="18">
        <f>IFERROR(VLOOKUP($D14,BS별도,MATCH(AA$1,BS별도H,0),0)/100,"")</f>
        <v/>
      </c>
      <c r="AB14" s="19">
        <f>IFERROR(VLOOKUP($D14,BS별도,MATCH(AB$1,BS별도H,0),0)/100,"")</f>
        <v/>
      </c>
      <c r="AC14" s="20">
        <f>IFERROR(AC13*변수!AC27,"")</f>
        <v/>
      </c>
      <c r="AD14" s="20">
        <f>IFERROR(AD13*변수!AD27,"")</f>
        <v/>
      </c>
      <c r="AE14" s="35">
        <f>SUM(AA14:AD14)</f>
        <v/>
      </c>
      <c r="AF14" s="20">
        <f>IFERROR(AF13*변수!AF27,"")</f>
        <v/>
      </c>
      <c r="AG14" s="20">
        <f>IFERROR(AG13*변수!AG27,"")</f>
        <v/>
      </c>
      <c r="AH14" s="20">
        <f>IFERROR(AH13*변수!AH27,"")</f>
        <v/>
      </c>
      <c r="AI14" s="20">
        <f>IFERROR(AI13*변수!AI27,"")</f>
        <v/>
      </c>
      <c r="AJ14" s="35">
        <f>SUM(AF14:AI14)</f>
        <v/>
      </c>
      <c r="AK14" s="20">
        <f>IFERROR(AK13*변수!AK27,"")</f>
        <v/>
      </c>
      <c r="AL14" s="20">
        <f>IFERROR(AL13*변수!AL27,"")</f>
        <v/>
      </c>
      <c r="AM14" s="20">
        <f>IFERROR(AM13*변수!AM27,"")</f>
        <v/>
      </c>
      <c r="AN14" s="20">
        <f>IFERROR(AN13*변수!AN27,"")</f>
        <v/>
      </c>
      <c r="AO14" s="35">
        <f>SUM(AK14:AN14)</f>
        <v/>
      </c>
    </row>
    <row r="15">
      <c r="A15" s="12" t="inlineStr">
        <is>
          <t>당기순이익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당기순이익</t>
        </is>
      </c>
      <c r="E15" s="18">
        <f>IFERROR(VLOOKUP($D15,BS별도,MATCH(E$1,BS별도H,0),0)/100,"")</f>
        <v/>
      </c>
      <c r="F15" s="34" t="n"/>
      <c r="G15" s="18">
        <f>IFERROR(VLOOKUP($D15,BS별도,MATCH(G$1,BS별도H,0),0)/100,"")</f>
        <v/>
      </c>
      <c r="H15" s="18">
        <f>IFERROR(VLOOKUP($D15,BS별도,MATCH(H$1,BS별도H,0),0)/100,"")</f>
        <v/>
      </c>
      <c r="I15" s="18">
        <f>IFERROR(VLOOKUP($D15,BS별도,MATCH(I$1,BS별도H,0),0)/100,"")</f>
        <v/>
      </c>
      <c r="J15" s="18">
        <f>IFERROR(VLOOKUP($D15,BS별도,MATCH(J$1,BS별도H,0),0)/100,"")</f>
        <v/>
      </c>
      <c r="K15" s="34">
        <f>SUM(G15:J15)</f>
        <v/>
      </c>
      <c r="L15" s="18">
        <f>IFERROR(VLOOKUP($D15,BS별도,MATCH(L$1,BS별도H,0),0)/100,"")</f>
        <v/>
      </c>
      <c r="M15" s="18">
        <f>IFERROR(VLOOKUP($D15,BS별도,MATCH(M$1,BS별도H,0),0)/100,"")</f>
        <v/>
      </c>
      <c r="N15" s="18">
        <f>IFERROR(VLOOKUP($D15,BS별도,MATCH(N$1,BS별도H,0),0)/100,"")</f>
        <v/>
      </c>
      <c r="O15" s="18">
        <f>IFERROR(VLOOKUP($D15,BS별도,MATCH(O$1,BS별도H,0),0)/100,"")</f>
        <v/>
      </c>
      <c r="P15" s="34">
        <f>SUM(L15:O15)</f>
        <v/>
      </c>
      <c r="Q15" s="18">
        <f>IFERROR(VLOOKUP($D15,BS별도,MATCH(Q$1,BS별도H,0),0)/100,"")</f>
        <v/>
      </c>
      <c r="R15" s="18">
        <f>IFERROR(VLOOKUP($D15,BS별도,MATCH(R$1,BS별도H,0),0)/100,"")</f>
        <v/>
      </c>
      <c r="S15" s="18">
        <f>IFERROR(VLOOKUP($D15,BS별도,MATCH(S$1,BS별도H,0),0)/100,"")</f>
        <v/>
      </c>
      <c r="T15" s="18">
        <f>IFERROR(VLOOKUP($D15,BS별도,MATCH(T$1,BS별도H,0),0)/100,"")</f>
        <v/>
      </c>
      <c r="U15" s="34">
        <f>SUM(Q15:T15)</f>
        <v/>
      </c>
      <c r="V15" s="18">
        <f>IFERROR(VLOOKUP($D15,BS별도,MATCH(V$1,BS별도H,0),0)/100,"")</f>
        <v/>
      </c>
      <c r="W15" s="18">
        <f>IFERROR(VLOOKUP($D15,BS별도,MATCH(W$1,BS별도H,0),0)/100,"")</f>
        <v/>
      </c>
      <c r="X15" s="18">
        <f>IFERROR(VLOOKUP($D15,BS별도,MATCH(X$1,BS별도H,0),0)/100,"")</f>
        <v/>
      </c>
      <c r="Y15" s="18">
        <f>IFERROR(VLOOKUP($D15,BS별도,MATCH(Y$1,BS별도H,0),0)/100,"")</f>
        <v/>
      </c>
      <c r="Z15" s="34">
        <f>SUM(V15:Y15)</f>
        <v/>
      </c>
      <c r="AA15" s="18">
        <f>IFERROR(VLOOKUP($D15,BS별도,MATCH(AA$1,BS별도H,0),0)/100,"")</f>
        <v/>
      </c>
      <c r="AB15" s="19">
        <f>IFERROR(VLOOKUP($D15,BS별도,MATCH(AB$1,BS별도H,0),0)/100,"")</f>
        <v/>
      </c>
      <c r="AC15" s="20">
        <f>IFERROR(AC13-AC14,"")</f>
        <v/>
      </c>
      <c r="AD15" s="20">
        <f>IFERROR(AD13-AD14,"")</f>
        <v/>
      </c>
      <c r="AE15" s="35">
        <f>SUM(AA15:AD15)</f>
        <v/>
      </c>
      <c r="AF15" s="20">
        <f>IFERROR(AF13-AF14,"")</f>
        <v/>
      </c>
      <c r="AG15" s="20">
        <f>IFERROR(AG13-AG14,"")</f>
        <v/>
      </c>
      <c r="AH15" s="20">
        <f>IFERROR(AH13-AH14,"")</f>
        <v/>
      </c>
      <c r="AI15" s="20">
        <f>IFERROR(AI13-AI14,"")</f>
        <v/>
      </c>
      <c r="AJ15" s="35">
        <f>SUM(AF15:AI15)</f>
        <v/>
      </c>
      <c r="AK15" s="20">
        <f>IFERROR(AK13-AK14,"")</f>
        <v/>
      </c>
      <c r="AL15" s="20">
        <f>IFERROR(AL13-AL14,"")</f>
        <v/>
      </c>
      <c r="AM15" s="20">
        <f>IFERROR(AM13-AM14,"")</f>
        <v/>
      </c>
      <c r="AN15" s="20">
        <f>IFERROR(AN13-AN14,"")</f>
        <v/>
      </c>
      <c r="AO15" s="35">
        <f>SUM(AK15:AN15)</f>
        <v/>
      </c>
    </row>
    <row r="16">
      <c r="A16" s="12" t="inlineStr">
        <is>
          <t>지배주주순이익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(지배주주지분)당기순이익</t>
        </is>
      </c>
      <c r="E16" s="18">
        <f>IFERROR(VLOOKUP($D16,BS별도,MATCH(E$1,BS별도H,0),0)/100,"")</f>
        <v/>
      </c>
      <c r="F16" s="34" t="n"/>
      <c r="G16" s="18">
        <f>IFERROR(VLOOKUP($D16,BS별도,MATCH(G$1,BS별도H,0),0)/100,"")</f>
        <v/>
      </c>
      <c r="H16" s="18">
        <f>IFERROR(VLOOKUP($D16,BS별도,MATCH(H$1,BS별도H,0),0)/100,"")</f>
        <v/>
      </c>
      <c r="I16" s="18">
        <f>IFERROR(VLOOKUP($D16,BS별도,MATCH(I$1,BS별도H,0),0)/100,"")</f>
        <v/>
      </c>
      <c r="J16" s="18">
        <f>IFERROR(VLOOKUP($D16,BS별도,MATCH(J$1,BS별도H,0),0)/100,"")</f>
        <v/>
      </c>
      <c r="K16" s="34">
        <f>SUM(G16:J16)</f>
        <v/>
      </c>
      <c r="L16" s="18">
        <f>IFERROR(VLOOKUP($D16,BS별도,MATCH(L$1,BS별도H,0),0)/100,"")</f>
        <v/>
      </c>
      <c r="M16" s="18">
        <f>IFERROR(VLOOKUP($D16,BS별도,MATCH(M$1,BS별도H,0),0)/100,"")</f>
        <v/>
      </c>
      <c r="N16" s="18">
        <f>IFERROR(VLOOKUP($D16,BS별도,MATCH(N$1,BS별도H,0),0)/100,"")</f>
        <v/>
      </c>
      <c r="O16" s="18">
        <f>IFERROR(VLOOKUP($D16,BS별도,MATCH(O$1,BS별도H,0),0)/100,"")</f>
        <v/>
      </c>
      <c r="P16" s="34">
        <f>SUM(L16:O16)</f>
        <v/>
      </c>
      <c r="Q16" s="18">
        <f>IFERROR(VLOOKUP($D16,BS별도,MATCH(Q$1,BS별도H,0),0)/100,"")</f>
        <v/>
      </c>
      <c r="R16" s="18">
        <f>IFERROR(VLOOKUP($D16,BS별도,MATCH(R$1,BS별도H,0),0)/100,"")</f>
        <v/>
      </c>
      <c r="S16" s="18">
        <f>IFERROR(VLOOKUP($D16,BS별도,MATCH(S$1,BS별도H,0),0)/100,"")</f>
        <v/>
      </c>
      <c r="T16" s="18">
        <f>IFERROR(VLOOKUP($D16,BS별도,MATCH(T$1,BS별도H,0),0)/100,"")</f>
        <v/>
      </c>
      <c r="U16" s="34">
        <f>SUM(Q16:T16)</f>
        <v/>
      </c>
      <c r="V16" s="18">
        <f>IFERROR(VLOOKUP($D16,BS별도,MATCH(V$1,BS별도H,0),0)/100,"")</f>
        <v/>
      </c>
      <c r="W16" s="18">
        <f>IFERROR(VLOOKUP($D16,BS별도,MATCH(W$1,BS별도H,0),0)/100,"")</f>
        <v/>
      </c>
      <c r="X16" s="18">
        <f>IFERROR(VLOOKUP($D16,BS별도,MATCH(X$1,BS별도H,0),0)/100,"")</f>
        <v/>
      </c>
      <c r="Y16" s="18">
        <f>IFERROR(VLOOKUP($D16,BS별도,MATCH(Y$1,BS별도H,0),0)/100,"")</f>
        <v/>
      </c>
      <c r="Z16" s="34">
        <f>SUM(V16:Y16)</f>
        <v/>
      </c>
      <c r="AA16" s="18">
        <f>IFERROR(VLOOKUP($D16,BS별도,MATCH(AA$1,BS별도H,0),0)/100,"")</f>
        <v/>
      </c>
      <c r="AB16" s="19">
        <f>IFERROR(VLOOKUP($D16,BS별도,MATCH(AB$1,BS별도H,0),0)/100,"")</f>
        <v/>
      </c>
      <c r="AC16" s="20">
        <f>IFERROR(AC15*변수!AC28,"")</f>
        <v/>
      </c>
      <c r="AD16" s="20">
        <f>IFERROR(AD15*변수!AD28,"")</f>
        <v/>
      </c>
      <c r="AE16" s="35">
        <f>SUM(AA16:AD16)</f>
        <v/>
      </c>
      <c r="AF16" s="20">
        <f>IFERROR(AF15*변수!AF28,"")</f>
        <v/>
      </c>
      <c r="AG16" s="20">
        <f>IFERROR(AG15*변수!AG28,"")</f>
        <v/>
      </c>
      <c r="AH16" s="20">
        <f>IFERROR(AH15*변수!AH28,"")</f>
        <v/>
      </c>
      <c r="AI16" s="20">
        <f>IFERROR(AI15*변수!AI28,"")</f>
        <v/>
      </c>
      <c r="AJ16" s="35">
        <f>SUM(AF16:AI16)</f>
        <v/>
      </c>
      <c r="AK16" s="20">
        <f>IFERROR(AK15*변수!AK28,"")</f>
        <v/>
      </c>
      <c r="AL16" s="20">
        <f>IFERROR(AL15*변수!AL28,"")</f>
        <v/>
      </c>
      <c r="AM16" s="20">
        <f>IFERROR(AM15*변수!AM28,"")</f>
        <v/>
      </c>
      <c r="AN16" s="20">
        <f>IFERROR(AN15*변수!AN28,"")</f>
        <v/>
      </c>
      <c r="AO16" s="35">
        <f>SUM(AK16:AN16)</f>
        <v/>
      </c>
    </row>
    <row r="17">
      <c r="A17" s="12" t="inlineStr">
        <is>
          <t>감가상각비</t>
        </is>
      </c>
      <c r="B17" t="inlineStr">
        <is>
          <t>손익</t>
        </is>
      </c>
      <c r="C17" t="inlineStr">
        <is>
          <t>억원</t>
        </is>
      </c>
      <c r="D17" t="inlineStr">
        <is>
          <t>감가상각비</t>
        </is>
      </c>
      <c r="E17" s="18">
        <f>IFERROR(VLOOKUP($D17,BS별도,MATCH(E$1,BS별도H,0),0)/100,"")</f>
        <v/>
      </c>
      <c r="F17" s="34" t="n"/>
      <c r="G17" s="18">
        <f>IFERROR(VLOOKUP($D17,BS별도,MATCH(G$1,BS별도H,0),0)/100,"")</f>
        <v/>
      </c>
      <c r="H17" s="18">
        <f>IFERROR(VLOOKUP($D17,BS별도,MATCH(H$1,BS별도H,0),0)/100,"")</f>
        <v/>
      </c>
      <c r="I17" s="18">
        <f>IFERROR(VLOOKUP($D17,BS별도,MATCH(I$1,BS별도H,0),0)/100,"")</f>
        <v/>
      </c>
      <c r="J17" s="18">
        <f>IFERROR(VLOOKUP($D17,BS별도,MATCH(J$1,BS별도H,0),0)/100,"")</f>
        <v/>
      </c>
      <c r="K17" s="34">
        <f>SUM(G17:J17)</f>
        <v/>
      </c>
      <c r="L17" s="18">
        <f>IFERROR(VLOOKUP($D17,BS별도,MATCH(L$1,BS별도H,0),0)/100,"")</f>
        <v/>
      </c>
      <c r="M17" s="18">
        <f>IFERROR(VLOOKUP($D17,BS별도,MATCH(M$1,BS별도H,0),0)/100,"")</f>
        <v/>
      </c>
      <c r="N17" s="18">
        <f>IFERROR(VLOOKUP($D17,BS별도,MATCH(N$1,BS별도H,0),0)/100,"")</f>
        <v/>
      </c>
      <c r="O17" s="18">
        <f>IFERROR(VLOOKUP($D17,BS별도,MATCH(O$1,BS별도H,0),0)/100,"")</f>
        <v/>
      </c>
      <c r="P17" s="34">
        <f>SUM(L17:O17)</f>
        <v/>
      </c>
      <c r="Q17" s="18" t="n"/>
      <c r="R17" s="18" t="n"/>
      <c r="S17" s="18" t="n"/>
      <c r="T17" s="18" t="n"/>
      <c r="U17" s="34">
        <f>SUM(Q17:T17)</f>
        <v/>
      </c>
      <c r="V17" s="18">
        <f>IFERROR(VLOOKUP($D17,BS별도,MATCH(V$1,BS별도H,0),0)/100,"")</f>
        <v/>
      </c>
      <c r="W17" s="18">
        <f>IFERROR(VLOOKUP($D17,BS별도,MATCH(W$1,BS별도H,0),0)/100,"")</f>
        <v/>
      </c>
      <c r="X17" s="18">
        <f>IFERROR(VLOOKUP($D17,BS별도,MATCH(X$1,BS별도H,0),0)/100,"")</f>
        <v/>
      </c>
      <c r="Y17" s="18">
        <f>IFERROR(VLOOKUP($D17,BS별도,MATCH(Y$1,BS별도H,0),0)/100,"")</f>
        <v/>
      </c>
      <c r="Z17" s="34">
        <f>SUM(V17:Y17)</f>
        <v/>
      </c>
      <c r="AA17" s="18">
        <f>IFERROR(VLOOKUP($D17,BS별도,MATCH(AA$1,BS별도H,0),0)/100,"")</f>
        <v/>
      </c>
      <c r="AB17" s="19">
        <f>IFERROR(VLOOKUP($D17,BS별도,MATCH(AB$1,BS별도H,0),0)/100,"")</f>
        <v/>
      </c>
      <c r="AC17" s="20">
        <f>IFERROR(X17*(1+변수!AC29),"")</f>
        <v/>
      </c>
      <c r="AD17" s="20">
        <f>IFERROR(Y17*(1+변수!AD29),"")</f>
        <v/>
      </c>
      <c r="AE17" s="35">
        <f>SUM(AA17:AD17)</f>
        <v/>
      </c>
      <c r="AF17" s="20">
        <f>IFERROR(AA17*(1+변수!AF29),"")</f>
        <v/>
      </c>
      <c r="AG17" s="20">
        <f>IFERROR(AB17*(1+변수!AG29),"")</f>
        <v/>
      </c>
      <c r="AH17" s="20">
        <f>IFERROR(AC17*(1+변수!AH29),"")</f>
        <v/>
      </c>
      <c r="AI17" s="20">
        <f>IFERROR(AD17*(1+변수!AI29),"")</f>
        <v/>
      </c>
      <c r="AJ17" s="35">
        <f>SUM(AF17:AI17)</f>
        <v/>
      </c>
      <c r="AK17" s="20">
        <f>IFERROR(AF17*(1+변수!AK29),"")</f>
        <v/>
      </c>
      <c r="AL17" s="20">
        <f>IFERROR(AG17*(1+변수!AL29),"")</f>
        <v/>
      </c>
      <c r="AM17" s="20">
        <f>IFERROR(AH17*(1+변수!AM29),"")</f>
        <v/>
      </c>
      <c r="AN17" s="20">
        <f>IFERROR(AI17*(1+변수!AN29),"")</f>
        <v/>
      </c>
      <c r="AO17" s="35">
        <f>SUM(AK17:AN17)</f>
        <v/>
      </c>
    </row>
    <row r="18">
      <c r="A18" s="12" t="inlineStr">
        <is>
          <t>EBITDA</t>
        </is>
      </c>
      <c r="B18" t="inlineStr">
        <is>
          <t>손익</t>
        </is>
      </c>
      <c r="C18" t="inlineStr">
        <is>
          <t>억원</t>
        </is>
      </c>
      <c r="D18" t="inlineStr">
        <is>
          <t>EBITDA</t>
        </is>
      </c>
      <c r="E18" s="18" t="n">
        <v>11.46</v>
      </c>
      <c r="F18" s="34" t="n"/>
      <c r="G18" s="18" t="n">
        <v>-1.98</v>
      </c>
      <c r="H18" s="18" t="n">
        <v>7.02</v>
      </c>
      <c r="I18" s="18" t="n">
        <v>2.96</v>
      </c>
      <c r="J18" s="18" t="n">
        <v>11.97</v>
      </c>
      <c r="K18" s="34">
        <f>SUM(G18:J18)</f>
        <v/>
      </c>
      <c r="L18" s="18" t="n">
        <v>8.32</v>
      </c>
      <c r="M18" s="18" t="n">
        <v>5.86</v>
      </c>
      <c r="N18" s="18" t="n">
        <v>4.53</v>
      </c>
      <c r="O18" s="18" t="n">
        <v>24.94</v>
      </c>
      <c r="P18" s="34">
        <f>SUM(L18:O18)</f>
        <v/>
      </c>
      <c r="Q18" s="18" t="n"/>
      <c r="R18" s="18" t="n"/>
      <c r="S18" s="18" t="n"/>
      <c r="T18" s="18" t="n"/>
      <c r="U18" s="34">
        <f>SUM(Q18:T18)</f>
        <v/>
      </c>
      <c r="V18" s="18" t="n">
        <v>6.65</v>
      </c>
      <c r="W18" s="18" t="n">
        <v>9.34</v>
      </c>
      <c r="X18" s="18" t="n">
        <v>32.69</v>
      </c>
      <c r="Y18" s="18" t="n">
        <v>53.86</v>
      </c>
      <c r="Z18" s="34">
        <f>SUM(V18:Y18)</f>
        <v/>
      </c>
      <c r="AA18" s="18" t="n">
        <v>17.95</v>
      </c>
      <c r="AB18" s="19" t="n">
        <v>41.43</v>
      </c>
      <c r="AC18" s="20">
        <f>IFERROR(X18*(1+변수!AC30),"")</f>
        <v/>
      </c>
      <c r="AD18" s="20">
        <f>IFERROR(Y18*(1+변수!AD30),"")</f>
        <v/>
      </c>
      <c r="AE18" s="35">
        <f>SUM(AA18:AD18)</f>
        <v/>
      </c>
      <c r="AF18" s="20">
        <f>IFERROR(AA18*(1+변수!AF30),"")</f>
        <v/>
      </c>
      <c r="AG18" s="20">
        <f>IFERROR(AB18*(1+변수!AG30),"")</f>
        <v/>
      </c>
      <c r="AH18" s="20">
        <f>IFERROR(AC18*(1+변수!AH30),"")</f>
        <v/>
      </c>
      <c r="AI18" s="20">
        <f>IFERROR(AD18*(1+변수!AI30),"")</f>
        <v/>
      </c>
      <c r="AJ18" s="35">
        <f>SUM(AF18:AI18)</f>
        <v/>
      </c>
      <c r="AK18" s="20">
        <f>IFERROR(AF18*(1+변수!AK30),"")</f>
        <v/>
      </c>
      <c r="AL18" s="20">
        <f>IFERROR(AG18*(1+변수!AL30),"")</f>
        <v/>
      </c>
      <c r="AM18" s="20">
        <f>IFERROR(AH18*(1+변수!AM30),"")</f>
        <v/>
      </c>
      <c r="AN18" s="20">
        <f>IFERROR(AI18*(1+변수!AN30),"")</f>
        <v/>
      </c>
      <c r="AO18" s="35">
        <f>SUM(AK18:AN18)</f>
        <v/>
      </c>
    </row>
    <row r="19">
      <c r="A19" s="12" t="inlineStr">
        <is>
          <t>자산총계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자산총계</t>
        </is>
      </c>
      <c r="E19" s="18">
        <f>IFERROR(VLOOKUP($D19,BS별도,MATCH(E$1,BS별도H,0),0)/100,"")</f>
        <v/>
      </c>
      <c r="F19" s="34" t="n">
        <v>347.88</v>
      </c>
      <c r="G19" s="18">
        <f>IFERROR(VLOOKUP($D19,BS별도,MATCH(G$1,BS별도H,0),0)/100,"")</f>
        <v/>
      </c>
      <c r="H19" s="18">
        <f>IFERROR(VLOOKUP($D19,BS별도,MATCH(H$1,BS별도H,0),0)/100,"")</f>
        <v/>
      </c>
      <c r="I19" s="18">
        <f>IFERROR(VLOOKUP($D19,BS별도,MATCH(I$1,BS별도H,0),0)/100,"")</f>
        <v/>
      </c>
      <c r="J19" s="18">
        <f>IFERROR(VLOOKUP($D19,BS별도,MATCH(J$1,BS별도H,0),0)/100,"")</f>
        <v/>
      </c>
      <c r="K19" s="34">
        <f>J19</f>
        <v/>
      </c>
      <c r="L19" s="18">
        <f>IFERROR(VLOOKUP($D19,BS별도,MATCH(L$1,BS별도H,0),0)/100,"")</f>
        <v/>
      </c>
      <c r="M19" s="18">
        <f>IFERROR(VLOOKUP($D19,BS별도,MATCH(M$1,BS별도H,0),0)/100,"")</f>
        <v/>
      </c>
      <c r="N19" s="18">
        <f>IFERROR(VLOOKUP($D19,BS별도,MATCH(N$1,BS별도H,0),0)/100,"")</f>
        <v/>
      </c>
      <c r="O19" s="18">
        <f>IFERROR(VLOOKUP($D19,BS별도,MATCH(O$1,BS별도H,0),0)/100,"")</f>
        <v/>
      </c>
      <c r="P19" s="34">
        <f>O19</f>
        <v/>
      </c>
      <c r="Q19" s="18">
        <f>IFERROR(VLOOKUP($D19,BS별도,MATCH(Q$1,BS별도H,0),0)/100,"")</f>
        <v/>
      </c>
      <c r="R19" s="18">
        <f>IFERROR(VLOOKUP($D19,BS별도,MATCH(R$1,BS별도H,0),0)/100,"")</f>
        <v/>
      </c>
      <c r="S19" s="18">
        <f>IFERROR(VLOOKUP($D19,BS별도,MATCH(S$1,BS별도H,0),0)/100,"")</f>
        <v/>
      </c>
      <c r="T19" s="18">
        <f>IFERROR(VLOOKUP($D19,BS별도,MATCH(T$1,BS별도H,0),0)/100,"")</f>
        <v/>
      </c>
      <c r="U19" s="34">
        <f>T19</f>
        <v/>
      </c>
      <c r="V19" s="18">
        <f>IFERROR(VLOOKUP($D19,BS별도,MATCH(V$1,BS별도H,0),0)/100,"")</f>
        <v/>
      </c>
      <c r="W19" s="18">
        <f>IFERROR(VLOOKUP($D19,BS별도,MATCH(W$1,BS별도H,0),0)/100,"")</f>
        <v/>
      </c>
      <c r="X19" s="18">
        <f>IFERROR(VLOOKUP($D19,BS별도,MATCH(X$1,BS별도H,0),0)/100,"")</f>
        <v/>
      </c>
      <c r="Y19" s="18">
        <f>IFERROR(VLOOKUP($D19,BS별도,MATCH(Y$1,BS별도H,0),0)/100,"")</f>
        <v/>
      </c>
      <c r="Z19" s="34">
        <f>Y19</f>
        <v/>
      </c>
      <c r="AA19" s="18">
        <f>IFERROR(VLOOKUP($D19,BS별도,MATCH(AA$1,BS별도H,0),0)/100,"")</f>
        <v/>
      </c>
      <c r="AB19" s="19">
        <f>IFERROR(VLOOKUP($D19,BS별도,MATCH(AB$1,BS별도H,0),0)/100,"")</f>
        <v/>
      </c>
      <c r="AC19" s="20">
        <f>IFERROR(AC20+AC21,"")</f>
        <v/>
      </c>
      <c r="AD19" s="20">
        <f>IFERROR(AD20+AD21,"")</f>
        <v/>
      </c>
      <c r="AE19" s="35">
        <f>AD19</f>
        <v/>
      </c>
      <c r="AF19" s="20">
        <f>IFERROR(AF20+AF21,"")</f>
        <v/>
      </c>
      <c r="AG19" s="20">
        <f>IFERROR(AG20+AG21,"")</f>
        <v/>
      </c>
      <c r="AH19" s="20">
        <f>IFERROR(AH20+AH21,"")</f>
        <v/>
      </c>
      <c r="AI19" s="20">
        <f>IFERROR(AI20+AI21,"")</f>
        <v/>
      </c>
      <c r="AJ19" s="35">
        <f>AI19</f>
        <v/>
      </c>
      <c r="AK19" s="20">
        <f>IFERROR(AK20+AK21,"")</f>
        <v/>
      </c>
      <c r="AL19" s="20">
        <f>IFERROR(AL20+AL21,"")</f>
        <v/>
      </c>
      <c r="AM19" s="20">
        <f>IFERROR(AM20+AM21,"")</f>
        <v/>
      </c>
      <c r="AN19" s="20">
        <f>IFERROR(AN20+AN21,"")</f>
        <v/>
      </c>
      <c r="AO19" s="35">
        <f>AN19</f>
        <v/>
      </c>
    </row>
    <row r="20">
      <c r="A20" s="12" t="inlineStr">
        <is>
          <t>부채총계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부채총계</t>
        </is>
      </c>
      <c r="E20" s="18">
        <f>IFERROR(VLOOKUP($D20,BS별도,MATCH(E$1,BS별도H,0),0)/100,"")</f>
        <v/>
      </c>
      <c r="F20" s="34" t="n">
        <v>60.88</v>
      </c>
      <c r="G20" s="18">
        <f>IFERROR(VLOOKUP($D20,BS별도,MATCH(G$1,BS별도H,0),0)/100,"")</f>
        <v/>
      </c>
      <c r="H20" s="18">
        <f>IFERROR(VLOOKUP($D20,BS별도,MATCH(H$1,BS별도H,0),0)/100,"")</f>
        <v/>
      </c>
      <c r="I20" s="18">
        <f>IFERROR(VLOOKUP($D20,BS별도,MATCH(I$1,BS별도H,0),0)/100,"")</f>
        <v/>
      </c>
      <c r="J20" s="18">
        <f>IFERROR(VLOOKUP($D20,BS별도,MATCH(J$1,BS별도H,0),0)/100,"")</f>
        <v/>
      </c>
      <c r="K20" s="34">
        <f>J20</f>
        <v/>
      </c>
      <c r="L20" s="18">
        <f>IFERROR(VLOOKUP($D20,BS별도,MATCH(L$1,BS별도H,0),0)/100,"")</f>
        <v/>
      </c>
      <c r="M20" s="18">
        <f>IFERROR(VLOOKUP($D20,BS별도,MATCH(M$1,BS별도H,0),0)/100,"")</f>
        <v/>
      </c>
      <c r="N20" s="18">
        <f>IFERROR(VLOOKUP($D20,BS별도,MATCH(N$1,BS별도H,0),0)/100,"")</f>
        <v/>
      </c>
      <c r="O20" s="18">
        <f>IFERROR(VLOOKUP($D20,BS별도,MATCH(O$1,BS별도H,0),0)/100,"")</f>
        <v/>
      </c>
      <c r="P20" s="34">
        <f>O20</f>
        <v/>
      </c>
      <c r="Q20" s="18">
        <f>IFERROR(VLOOKUP($D20,BS별도,MATCH(Q$1,BS별도H,0),0)/100,"")</f>
        <v/>
      </c>
      <c r="R20" s="18">
        <f>IFERROR(VLOOKUP($D20,BS별도,MATCH(R$1,BS별도H,0),0)/100,"")</f>
        <v/>
      </c>
      <c r="S20" s="18">
        <f>IFERROR(VLOOKUP($D20,BS별도,MATCH(S$1,BS별도H,0),0)/100,"")</f>
        <v/>
      </c>
      <c r="T20" s="18">
        <f>IFERROR(VLOOKUP($D20,BS별도,MATCH(T$1,BS별도H,0),0)/100,"")</f>
        <v/>
      </c>
      <c r="U20" s="34">
        <f>T20</f>
        <v/>
      </c>
      <c r="V20" s="18">
        <f>IFERROR(VLOOKUP($D20,BS별도,MATCH(V$1,BS별도H,0),0)/100,"")</f>
        <v/>
      </c>
      <c r="W20" s="18">
        <f>IFERROR(VLOOKUP($D20,BS별도,MATCH(W$1,BS별도H,0),0)/100,"")</f>
        <v/>
      </c>
      <c r="X20" s="18">
        <f>IFERROR(VLOOKUP($D20,BS별도,MATCH(X$1,BS별도H,0),0)/100,"")</f>
        <v/>
      </c>
      <c r="Y20" s="18">
        <f>IFERROR(VLOOKUP($D20,BS별도,MATCH(Y$1,BS별도H,0),0)/100,"")</f>
        <v/>
      </c>
      <c r="Z20" s="34">
        <f>Y20</f>
        <v/>
      </c>
      <c r="AA20" s="18">
        <f>IFERROR(VLOOKUP($D20,BS별도,MATCH(AA$1,BS별도H,0),0)/100,"")</f>
        <v/>
      </c>
      <c r="AB20" s="19">
        <f>IFERROR(VLOOKUP($D20,BS별도,MATCH(AB$1,BS별도H,0),0)/100,"")</f>
        <v/>
      </c>
      <c r="AC20" s="20">
        <f>IFERROR(AB20*(1+변수!AC31),"")</f>
        <v/>
      </c>
      <c r="AD20" s="20">
        <f>IFERROR(AC20*(1+변수!AD31),"")</f>
        <v/>
      </c>
      <c r="AE20" s="35">
        <f>AD20</f>
        <v/>
      </c>
      <c r="AF20" s="20">
        <f>IFERROR(AD20*(1+변수!AF31),"")</f>
        <v/>
      </c>
      <c r="AG20" s="20">
        <f>IFERROR(AF20*(1+변수!AG31),"")</f>
        <v/>
      </c>
      <c r="AH20" s="20">
        <f>IFERROR(AG20*(1+변수!AH31),"")</f>
        <v/>
      </c>
      <c r="AI20" s="20">
        <f>IFERROR(AH20*(1+변수!AI31),"")</f>
        <v/>
      </c>
      <c r="AJ20" s="35">
        <f>AI20</f>
        <v/>
      </c>
      <c r="AK20" s="20">
        <f>IFERROR(AI20*(1+변수!AK31),"")</f>
        <v/>
      </c>
      <c r="AL20" s="20">
        <f>IFERROR(AK20*(1+변수!AL31),"")</f>
        <v/>
      </c>
      <c r="AM20" s="20">
        <f>IFERROR(AL20*(1+변수!AM31),"")</f>
        <v/>
      </c>
      <c r="AN20" s="20">
        <f>IFERROR(AM20*(1+변수!AN31),"")</f>
        <v/>
      </c>
      <c r="AO20" s="35">
        <f>AN20</f>
        <v/>
      </c>
    </row>
    <row r="21">
      <c r="A21" s="12" t="inlineStr">
        <is>
          <t>자본총계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자본총계</t>
        </is>
      </c>
      <c r="E21" s="18">
        <f>IFERROR(VLOOKUP($D21,BS별도,MATCH(E$1,BS별도H,0),0)/100,"")</f>
        <v/>
      </c>
      <c r="F21" s="34" t="n">
        <v>286.99</v>
      </c>
      <c r="G21" s="18">
        <f>IFERROR(VLOOKUP($D21,BS별도,MATCH(G$1,BS별도H,0),0)/100,"")</f>
        <v/>
      </c>
      <c r="H21" s="18">
        <f>IFERROR(VLOOKUP($D21,BS별도,MATCH(H$1,BS별도H,0),0)/100,"")</f>
        <v/>
      </c>
      <c r="I21" s="18">
        <f>IFERROR(VLOOKUP($D21,BS별도,MATCH(I$1,BS별도H,0),0)/100,"")</f>
        <v/>
      </c>
      <c r="J21" s="18">
        <f>IFERROR(VLOOKUP($D21,BS별도,MATCH(J$1,BS별도H,0),0)/100,"")</f>
        <v/>
      </c>
      <c r="K21" s="34">
        <f>J21</f>
        <v/>
      </c>
      <c r="L21" s="18">
        <f>IFERROR(VLOOKUP($D21,BS별도,MATCH(L$1,BS별도H,0),0)/100,"")</f>
        <v/>
      </c>
      <c r="M21" s="18">
        <f>IFERROR(VLOOKUP($D21,BS별도,MATCH(M$1,BS별도H,0),0)/100,"")</f>
        <v/>
      </c>
      <c r="N21" s="18">
        <f>IFERROR(VLOOKUP($D21,BS별도,MATCH(N$1,BS별도H,0),0)/100,"")</f>
        <v/>
      </c>
      <c r="O21" s="18">
        <f>IFERROR(VLOOKUP($D21,BS별도,MATCH(O$1,BS별도H,0),0)/100,"")</f>
        <v/>
      </c>
      <c r="P21" s="34">
        <f>O21</f>
        <v/>
      </c>
      <c r="Q21" s="18">
        <f>IFERROR(VLOOKUP($D21,BS별도,MATCH(Q$1,BS별도H,0),0)/100,"")</f>
        <v/>
      </c>
      <c r="R21" s="18">
        <f>IFERROR(VLOOKUP($D21,BS별도,MATCH(R$1,BS별도H,0),0)/100,"")</f>
        <v/>
      </c>
      <c r="S21" s="18">
        <f>IFERROR(VLOOKUP($D21,BS별도,MATCH(S$1,BS별도H,0),0)/100,"")</f>
        <v/>
      </c>
      <c r="T21" s="18">
        <f>IFERROR(VLOOKUP($D21,BS별도,MATCH(T$1,BS별도H,0),0)/100,"")</f>
        <v/>
      </c>
      <c r="U21" s="34">
        <f>T21</f>
        <v/>
      </c>
      <c r="V21" s="18">
        <f>IFERROR(VLOOKUP($D21,BS별도,MATCH(V$1,BS별도H,0),0)/100,"")</f>
        <v/>
      </c>
      <c r="W21" s="18">
        <f>IFERROR(VLOOKUP($D21,BS별도,MATCH(W$1,BS별도H,0),0)/100,"")</f>
        <v/>
      </c>
      <c r="X21" s="18">
        <f>IFERROR(VLOOKUP($D21,BS별도,MATCH(X$1,BS별도H,0),0)/100,"")</f>
        <v/>
      </c>
      <c r="Y21" s="18">
        <f>IFERROR(VLOOKUP($D21,BS별도,MATCH(Y$1,BS별도H,0),0)/100,"")</f>
        <v/>
      </c>
      <c r="Z21" s="34">
        <f>Y21</f>
        <v/>
      </c>
      <c r="AA21" s="18">
        <f>IFERROR(VLOOKUP($D21,BS별도,MATCH(AA$1,BS별도H,0),0)/100,"")</f>
        <v/>
      </c>
      <c r="AB21" s="19">
        <f>IFERROR(VLOOKUP($D21,BS별도,MATCH(AB$1,BS별도H,0),0)/100,"")</f>
        <v/>
      </c>
      <c r="AC21" s="20">
        <f>IFERROR(AB21+AC15-변수!AC32,"")</f>
        <v/>
      </c>
      <c r="AD21" s="20">
        <f>IFERROR(AC21+AD15-변수!AD32,"")</f>
        <v/>
      </c>
      <c r="AE21" s="35">
        <f>AD21</f>
        <v/>
      </c>
      <c r="AF21" s="20">
        <f>IFERROR(AD21+AF15-변수!AF32,"")</f>
        <v/>
      </c>
      <c r="AG21" s="20">
        <f>IFERROR(AF21+AG15-변수!AG32,"")</f>
        <v/>
      </c>
      <c r="AH21" s="20">
        <f>IFERROR(AG21+AH15-변수!AH32,"")</f>
        <v/>
      </c>
      <c r="AI21" s="20">
        <f>IFERROR(AH21+AI15-변수!AI32,"")</f>
        <v/>
      </c>
      <c r="AJ21" s="35">
        <f>AI21</f>
        <v/>
      </c>
      <c r="AK21" s="20">
        <f>IFERROR(AI21+AK15-변수!AK32,"")</f>
        <v/>
      </c>
      <c r="AL21" s="20">
        <f>IFERROR(AK21+AL15-변수!AL32,"")</f>
        <v/>
      </c>
      <c r="AM21" s="20">
        <f>IFERROR(AL21+AM15-변수!AM32,"")</f>
        <v/>
      </c>
      <c r="AN21" s="20">
        <f>IFERROR(AM21+AN15-변수!AN32,"")</f>
        <v/>
      </c>
      <c r="AO21" s="35">
        <f>AN21</f>
        <v/>
      </c>
    </row>
    <row r="22">
      <c r="A22" s="12" t="inlineStr">
        <is>
          <t>지배주주지분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지배주주지분</t>
        </is>
      </c>
      <c r="E22" s="18">
        <f>IFERROR(VLOOKUP($D22,BS별도,MATCH(E$1,BS별도H,0),0)/100,"")</f>
        <v/>
      </c>
      <c r="F22" s="34" t="n">
        <v>286.99</v>
      </c>
      <c r="G22" s="18">
        <f>IFERROR(VLOOKUP($D22,BS별도,MATCH(G$1,BS별도H,0),0)/100,"")</f>
        <v/>
      </c>
      <c r="H22" s="18">
        <f>IFERROR(VLOOKUP($D22,BS별도,MATCH(H$1,BS별도H,0),0)/100,"")</f>
        <v/>
      </c>
      <c r="I22" s="18">
        <f>IFERROR(VLOOKUP($D22,BS별도,MATCH(I$1,BS별도H,0),0)/100,"")</f>
        <v/>
      </c>
      <c r="J22" s="18">
        <f>IFERROR(VLOOKUP($D22,BS별도,MATCH(J$1,BS별도H,0),0)/100,"")</f>
        <v/>
      </c>
      <c r="K22" s="34">
        <f>J22</f>
        <v/>
      </c>
      <c r="L22" s="18">
        <f>IFERROR(VLOOKUP($D22,BS별도,MATCH(L$1,BS별도H,0),0)/100,"")</f>
        <v/>
      </c>
      <c r="M22" s="18">
        <f>IFERROR(VLOOKUP($D22,BS별도,MATCH(M$1,BS별도H,0),0)/100,"")</f>
        <v/>
      </c>
      <c r="N22" s="18">
        <f>IFERROR(VLOOKUP($D22,BS별도,MATCH(N$1,BS별도H,0),0)/100,"")</f>
        <v/>
      </c>
      <c r="O22" s="18">
        <f>IFERROR(VLOOKUP($D22,BS별도,MATCH(O$1,BS별도H,0),0)/100,"")</f>
        <v/>
      </c>
      <c r="P22" s="34">
        <f>O22</f>
        <v/>
      </c>
      <c r="Q22" s="18">
        <f>IFERROR(VLOOKUP($D22,BS별도,MATCH(Q$1,BS별도H,0),0)/100,"")</f>
        <v/>
      </c>
      <c r="R22" s="18">
        <f>IFERROR(VLOOKUP($D22,BS별도,MATCH(R$1,BS별도H,0),0)/100,"")</f>
        <v/>
      </c>
      <c r="S22" s="18">
        <f>IFERROR(VLOOKUP($D22,BS별도,MATCH(S$1,BS별도H,0),0)/100,"")</f>
        <v/>
      </c>
      <c r="T22" s="18">
        <f>IFERROR(VLOOKUP($D22,BS별도,MATCH(T$1,BS별도H,0),0)/100,"")</f>
        <v/>
      </c>
      <c r="U22" s="34">
        <f>T22</f>
        <v/>
      </c>
      <c r="V22" s="18">
        <f>IFERROR(VLOOKUP($D22,BS별도,MATCH(V$1,BS별도H,0),0)/100,"")</f>
        <v/>
      </c>
      <c r="W22" s="18">
        <f>IFERROR(VLOOKUP($D22,BS별도,MATCH(W$1,BS별도H,0),0)/100,"")</f>
        <v/>
      </c>
      <c r="X22" s="18">
        <f>IFERROR(VLOOKUP($D22,BS별도,MATCH(X$1,BS별도H,0),0)/100,"")</f>
        <v/>
      </c>
      <c r="Y22" s="18">
        <f>IFERROR(VLOOKUP($D22,BS별도,MATCH(Y$1,BS별도H,0),0)/100,"")</f>
        <v/>
      </c>
      <c r="Z22" s="34">
        <f>Y22</f>
        <v/>
      </c>
      <c r="AA22" s="18">
        <f>IFERROR(VLOOKUP($D22,BS별도,MATCH(AA$1,BS별도H,0),0)/100,"")</f>
        <v/>
      </c>
      <c r="AB22" s="19">
        <f>IFERROR(VLOOKUP($D22,BS별도,MATCH(AB$1,BS별도H,0),0)/100,"")</f>
        <v/>
      </c>
      <c r="AC22" s="20">
        <f>IFERROR(AB22+AC16-변수!AC33,"")</f>
        <v/>
      </c>
      <c r="AD22" s="20">
        <f>IFERROR(AC22+AD16-변수!AD33,"")</f>
        <v/>
      </c>
      <c r="AE22" s="35">
        <f>AD22</f>
        <v/>
      </c>
      <c r="AF22" s="20">
        <f>IFERROR(AD22+AF16-변수!AF33,"")</f>
        <v/>
      </c>
      <c r="AG22" s="20">
        <f>IFERROR(AF22+AG16-변수!AG33,"")</f>
        <v/>
      </c>
      <c r="AH22" s="20">
        <f>IFERROR(AG22+AH16-변수!AH33,"")</f>
        <v/>
      </c>
      <c r="AI22" s="20">
        <f>IFERROR(AH22+AI16-변수!AI33,"")</f>
        <v/>
      </c>
      <c r="AJ22" s="35">
        <f>AI22</f>
        <v/>
      </c>
      <c r="AK22" s="20">
        <f>IFERROR(AI22+AK16-변수!AK33,"")</f>
        <v/>
      </c>
      <c r="AL22" s="20">
        <f>IFERROR(AK22+AL16-변수!AL33,"")</f>
        <v/>
      </c>
      <c r="AM22" s="20">
        <f>IFERROR(AL22+AM16-변수!AM33,"")</f>
        <v/>
      </c>
      <c r="AN22" s="20">
        <f>IFERROR(AM22+AN16-변수!AN33,"")</f>
        <v/>
      </c>
      <c r="AO22" s="35">
        <f>AN22</f>
        <v/>
      </c>
    </row>
    <row r="23">
      <c r="A23" s="12" t="inlineStr">
        <is>
          <t>총차입금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총차입금</t>
        </is>
      </c>
      <c r="E23" s="18" t="n"/>
      <c r="F23" s="34">
        <f>E23</f>
        <v/>
      </c>
      <c r="G23" s="18">
        <f>IFERROR(VLOOKUP($D23,BS별도,MATCH(G$1,BS별도H,0),0)/100,"")</f>
        <v/>
      </c>
      <c r="H23" s="18">
        <f>IFERROR(VLOOKUP($D23,BS별도,MATCH(H$1,BS별도H,0),0)/100,"")</f>
        <v/>
      </c>
      <c r="I23" s="18">
        <f>IFERROR(VLOOKUP($D23,BS별도,MATCH(I$1,BS별도H,0),0)/100,"")</f>
        <v/>
      </c>
      <c r="J23" s="18">
        <f>IFERROR(VLOOKUP($D23,BS별도,MATCH(J$1,BS별도H,0),0)/100,"")</f>
        <v/>
      </c>
      <c r="K23" s="34">
        <f>J23</f>
        <v/>
      </c>
      <c r="L23" s="18">
        <f>IFERROR(VLOOKUP($D23,BS별도,MATCH(L$1,BS별도H,0),0)/100,"")</f>
        <v/>
      </c>
      <c r="M23" s="18">
        <f>IFERROR(VLOOKUP($D23,BS별도,MATCH(M$1,BS별도H,0),0)/100,"")</f>
        <v/>
      </c>
      <c r="N23" s="18">
        <f>IFERROR(VLOOKUP($D23,BS별도,MATCH(N$1,BS별도H,0),0)/100,"")</f>
        <v/>
      </c>
      <c r="O23" s="18">
        <f>IFERROR(VLOOKUP($D23,BS별도,MATCH(O$1,BS별도H,0),0)/100,"")</f>
        <v/>
      </c>
      <c r="P23" s="34">
        <f>O23</f>
        <v/>
      </c>
      <c r="Q23" s="18">
        <f>IFERROR(VLOOKUP($D23,BS별도,MATCH(Q$1,BS별도H,0),0)/100,"")</f>
        <v/>
      </c>
      <c r="R23" s="18">
        <f>IFERROR(VLOOKUP($D23,BS별도,MATCH(R$1,BS별도H,0),0)/100,"")</f>
        <v/>
      </c>
      <c r="S23" s="18">
        <f>IFERROR(VLOOKUP($D23,BS별도,MATCH(S$1,BS별도H,0),0)/100,"")</f>
        <v/>
      </c>
      <c r="T23" s="18">
        <f>IFERROR(VLOOKUP($D23,BS별도,MATCH(T$1,BS별도H,0),0)/100,"")</f>
        <v/>
      </c>
      <c r="U23" s="34">
        <f>T23</f>
        <v/>
      </c>
      <c r="V23" s="18">
        <f>IFERROR(VLOOKUP($D23,BS별도,MATCH(V$1,BS별도H,0),0)/100,"")</f>
        <v/>
      </c>
      <c r="W23" s="18">
        <f>IFERROR(VLOOKUP($D23,BS별도,MATCH(W$1,BS별도H,0),0)/100,"")</f>
        <v/>
      </c>
      <c r="X23" s="18">
        <f>IFERROR(VLOOKUP($D23,BS별도,MATCH(X$1,BS별도H,0),0)/100,"")</f>
        <v/>
      </c>
      <c r="Y23" s="18">
        <f>IFERROR(VLOOKUP($D23,BS별도,MATCH(Y$1,BS별도H,0),0)/100,"")</f>
        <v/>
      </c>
      <c r="Z23" s="34">
        <f>Y23</f>
        <v/>
      </c>
      <c r="AA23" s="18">
        <f>IFERROR(VLOOKUP($D23,BS별도,MATCH(AA$1,BS별도H,0),0)/100,"")</f>
        <v/>
      </c>
      <c r="AB23" s="19">
        <f>IFERROR(VLOOKUP($D23,BS별도,MATCH(AB$1,BS별도H,0),0)/100,"")</f>
        <v/>
      </c>
      <c r="AC23" s="20">
        <f>IFERROR(AB23*(1+변수!AC34),"")</f>
        <v/>
      </c>
      <c r="AD23" s="20">
        <f>IFERROR(AC23*(1+변수!AD34),"")</f>
        <v/>
      </c>
      <c r="AE23" s="35">
        <f>AD23</f>
        <v/>
      </c>
      <c r="AF23" s="20">
        <f>IFERROR(AD23*(1+변수!AF34),"")</f>
        <v/>
      </c>
      <c r="AG23" s="20">
        <f>IFERROR(AF23*(1+변수!AG34),"")</f>
        <v/>
      </c>
      <c r="AH23" s="20">
        <f>IFERROR(AG23*(1+변수!AH34),"")</f>
        <v/>
      </c>
      <c r="AI23" s="20">
        <f>IFERROR(AH23*(1+변수!AI34),"")</f>
        <v/>
      </c>
      <c r="AJ23" s="35">
        <f>AI23</f>
        <v/>
      </c>
      <c r="AK23" s="20">
        <f>IFERROR(AI23*(1+변수!AK34),"")</f>
        <v/>
      </c>
      <c r="AL23" s="20">
        <f>IFERROR(AK23*(1+변수!AL34),"")</f>
        <v/>
      </c>
      <c r="AM23" s="20">
        <f>IFERROR(AL23*(1+변수!AM34),"")</f>
        <v/>
      </c>
      <c r="AN23" s="20">
        <f>IFERROR(AM23*(1+변수!AN34),"")</f>
        <v/>
      </c>
      <c r="AO23" s="35">
        <f>AN23</f>
        <v/>
      </c>
    </row>
    <row r="24">
      <c r="A24" s="12" t="inlineStr">
        <is>
          <t>순차입금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순차입금</t>
        </is>
      </c>
      <c r="E24" s="18" t="n"/>
      <c r="F24" s="34">
        <f>E24</f>
        <v/>
      </c>
      <c r="G24" s="18">
        <f>IFERROR(VLOOKUP($D24,BS별도,MATCH(G$1,BS별도H,0),0)/100,"")</f>
        <v/>
      </c>
      <c r="H24" s="18">
        <f>IFERROR(VLOOKUP($D24,BS별도,MATCH(H$1,BS별도H,0),0)/100,"")</f>
        <v/>
      </c>
      <c r="I24" s="18">
        <f>IFERROR(VLOOKUP($D24,BS별도,MATCH(I$1,BS별도H,0),0)/100,"")</f>
        <v/>
      </c>
      <c r="J24" s="18">
        <f>IFERROR(VLOOKUP($D24,BS별도,MATCH(J$1,BS별도H,0),0)/100,"")</f>
        <v/>
      </c>
      <c r="K24" s="34">
        <f>J24</f>
        <v/>
      </c>
      <c r="L24" s="18">
        <f>IFERROR(VLOOKUP($D24,BS별도,MATCH(L$1,BS별도H,0),0)/100,"")</f>
        <v/>
      </c>
      <c r="M24" s="18">
        <f>IFERROR(VLOOKUP($D24,BS별도,MATCH(M$1,BS별도H,0),0)/100,"")</f>
        <v/>
      </c>
      <c r="N24" s="18">
        <f>IFERROR(VLOOKUP($D24,BS별도,MATCH(N$1,BS별도H,0),0)/100,"")</f>
        <v/>
      </c>
      <c r="O24" s="18">
        <f>IFERROR(VLOOKUP($D24,BS별도,MATCH(O$1,BS별도H,0),0)/100,"")</f>
        <v/>
      </c>
      <c r="P24" s="34">
        <f>O24</f>
        <v/>
      </c>
      <c r="Q24" s="18">
        <f>IFERROR(VLOOKUP($D24,BS별도,MATCH(Q$1,BS별도H,0),0)/100,"")</f>
        <v/>
      </c>
      <c r="R24" s="18">
        <f>IFERROR(VLOOKUP($D24,BS별도,MATCH(R$1,BS별도H,0),0)/100,"")</f>
        <v/>
      </c>
      <c r="S24" s="18">
        <f>IFERROR(VLOOKUP($D24,BS별도,MATCH(S$1,BS별도H,0),0)/100,"")</f>
        <v/>
      </c>
      <c r="T24" s="18">
        <f>IFERROR(VLOOKUP($D24,BS별도,MATCH(T$1,BS별도H,0),0)/100,"")</f>
        <v/>
      </c>
      <c r="U24" s="34">
        <f>T24</f>
        <v/>
      </c>
      <c r="V24" s="18">
        <f>IFERROR(VLOOKUP($D24,BS별도,MATCH(V$1,BS별도H,0),0)/100,"")</f>
        <v/>
      </c>
      <c r="W24" s="18">
        <f>IFERROR(VLOOKUP($D24,BS별도,MATCH(W$1,BS별도H,0),0)/100,"")</f>
        <v/>
      </c>
      <c r="X24" s="18">
        <f>IFERROR(VLOOKUP($D24,BS별도,MATCH(X$1,BS별도H,0),0)/100,"")</f>
        <v/>
      </c>
      <c r="Y24" s="18">
        <f>IFERROR(VLOOKUP($D24,BS별도,MATCH(Y$1,BS별도H,0),0)/100,"")</f>
        <v/>
      </c>
      <c r="Z24" s="34">
        <f>Y24</f>
        <v/>
      </c>
      <c r="AA24" s="18">
        <f>IFERROR(VLOOKUP($D24,BS별도,MATCH(AA$1,BS별도H,0),0)/100,"")</f>
        <v/>
      </c>
      <c r="AB24" s="19">
        <f>IFERROR(VLOOKUP($D24,BS별도,MATCH(AB$1,BS별도H,0),0)/100,"")</f>
        <v/>
      </c>
      <c r="AC24" s="20">
        <f>IFERROR(AB24*(1+변수!AC35),"")</f>
        <v/>
      </c>
      <c r="AD24" s="20">
        <f>IFERROR(AC24*(1+변수!AD35),"")</f>
        <v/>
      </c>
      <c r="AE24" s="35">
        <f>AD24</f>
        <v/>
      </c>
      <c r="AF24" s="20">
        <f>IFERROR(AD24*(1+변수!AF35),"")</f>
        <v/>
      </c>
      <c r="AG24" s="20">
        <f>IFERROR(AF24*(1+변수!AG35),"")</f>
        <v/>
      </c>
      <c r="AH24" s="20">
        <f>IFERROR(AG24*(1+변수!AH35),"")</f>
        <v/>
      </c>
      <c r="AI24" s="20">
        <f>IFERROR(AH24*(1+변수!AI35),"")</f>
        <v/>
      </c>
      <c r="AJ24" s="35">
        <f>AI24</f>
        <v/>
      </c>
      <c r="AK24" s="20">
        <f>IFERROR(AI24*(1+변수!AK35),"")</f>
        <v/>
      </c>
      <c r="AL24" s="20">
        <f>IFERROR(AK24*(1+변수!AL35),"")</f>
        <v/>
      </c>
      <c r="AM24" s="20">
        <f>IFERROR(AL24*(1+변수!AM35),"")</f>
        <v/>
      </c>
      <c r="AN24" s="20">
        <f>IFERROR(AM24*(1+변수!AN35),"")</f>
        <v/>
      </c>
      <c r="AO24" s="35">
        <f>AN24</f>
        <v/>
      </c>
    </row>
    <row r="25">
      <c r="A25" s="12" t="inlineStr">
        <is>
          <t>이자발생자산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이자발생자산</t>
        </is>
      </c>
      <c r="E25" s="18">
        <f>IFERROR(VLOOKUP($D25,BS별도,MATCH(E$1,BS별도H,0),0)/100,"")</f>
        <v/>
      </c>
      <c r="F25" s="34" t="n">
        <v>43.75</v>
      </c>
      <c r="G25" s="18">
        <f>IFERROR(VLOOKUP($D25,BS별도,MATCH(G$1,BS별도H,0),0)/100,"")</f>
        <v/>
      </c>
      <c r="H25" s="18">
        <f>IFERROR(VLOOKUP($D25,BS별도,MATCH(H$1,BS별도H,0),0)/100,"")</f>
        <v/>
      </c>
      <c r="I25" s="18">
        <f>IFERROR(VLOOKUP($D25,BS별도,MATCH(I$1,BS별도H,0),0)/100,"")</f>
        <v/>
      </c>
      <c r="J25" s="18">
        <f>IFERROR(VLOOKUP($D25,BS별도,MATCH(J$1,BS별도H,0),0)/100,"")</f>
        <v/>
      </c>
      <c r="K25" s="34">
        <f>J25</f>
        <v/>
      </c>
      <c r="L25" s="18">
        <f>IFERROR(VLOOKUP($D25,BS별도,MATCH(L$1,BS별도H,0),0)/100,"")</f>
        <v/>
      </c>
      <c r="M25" s="18">
        <f>IFERROR(VLOOKUP($D25,BS별도,MATCH(M$1,BS별도H,0),0)/100,"")</f>
        <v/>
      </c>
      <c r="N25" s="18">
        <f>IFERROR(VLOOKUP($D25,BS별도,MATCH(N$1,BS별도H,0),0)/100,"")</f>
        <v/>
      </c>
      <c r="O25" s="18">
        <f>IFERROR(VLOOKUP($D25,BS별도,MATCH(O$1,BS별도H,0),0)/100,"")</f>
        <v/>
      </c>
      <c r="P25" s="34">
        <f>O25</f>
        <v/>
      </c>
      <c r="Q25" s="18">
        <f>IFERROR(VLOOKUP($D25,BS별도,MATCH(Q$1,BS별도H,0),0)/100,"")</f>
        <v/>
      </c>
      <c r="R25" s="18">
        <f>IFERROR(VLOOKUP($D25,BS별도,MATCH(R$1,BS별도H,0),0)/100,"")</f>
        <v/>
      </c>
      <c r="S25" s="18">
        <f>IFERROR(VLOOKUP($D25,BS별도,MATCH(S$1,BS별도H,0),0)/100,"")</f>
        <v/>
      </c>
      <c r="T25" s="18">
        <f>IFERROR(VLOOKUP($D25,BS별도,MATCH(T$1,BS별도H,0),0)/100,"")</f>
        <v/>
      </c>
      <c r="U25" s="34">
        <f>T25</f>
        <v/>
      </c>
      <c r="V25" s="18">
        <f>IFERROR(VLOOKUP($D25,BS별도,MATCH(V$1,BS별도H,0),0)/100,"")</f>
        <v/>
      </c>
      <c r="W25" s="18">
        <f>IFERROR(VLOOKUP($D25,BS별도,MATCH(W$1,BS별도H,0),0)/100,"")</f>
        <v/>
      </c>
      <c r="X25" s="18">
        <f>IFERROR(VLOOKUP($D25,BS별도,MATCH(X$1,BS별도H,0),0)/100,"")</f>
        <v/>
      </c>
      <c r="Y25" s="18">
        <f>IFERROR(VLOOKUP($D25,BS별도,MATCH(Y$1,BS별도H,0),0)/100,"")</f>
        <v/>
      </c>
      <c r="Z25" s="34">
        <f>Y25</f>
        <v/>
      </c>
      <c r="AA25" s="18">
        <f>IFERROR(VLOOKUP($D25,BS별도,MATCH(AA$1,BS별도H,0),0)/100,"")</f>
        <v/>
      </c>
      <c r="AB25" s="19">
        <f>IFERROR(VLOOKUP($D25,BS별도,MATCH(AB$1,BS별도H,0),0)/100,"")</f>
        <v/>
      </c>
      <c r="AC25" s="20">
        <f>IFERROR(AB25*(1+변수!AC36),"")</f>
        <v/>
      </c>
      <c r="AD25" s="20">
        <f>IFERROR(AC25*(1+변수!AD36),"")</f>
        <v/>
      </c>
      <c r="AE25" s="35">
        <f>AD25</f>
        <v/>
      </c>
      <c r="AF25" s="20">
        <f>IFERROR(AD25*(1+변수!AF36),"")</f>
        <v/>
      </c>
      <c r="AG25" s="20">
        <f>IFERROR(AF25*(1+변수!AG36),"")</f>
        <v/>
      </c>
      <c r="AH25" s="20">
        <f>IFERROR(AG25*(1+변수!AH36),"")</f>
        <v/>
      </c>
      <c r="AI25" s="20">
        <f>IFERROR(AH25*(1+변수!AI36),"")</f>
        <v/>
      </c>
      <c r="AJ25" s="35">
        <f>AI25</f>
        <v/>
      </c>
      <c r="AK25" s="20">
        <f>IFERROR(AI25*(1+변수!AK36),"")</f>
        <v/>
      </c>
      <c r="AL25" s="20">
        <f>IFERROR(AK25*(1+변수!AL36),"")</f>
        <v/>
      </c>
      <c r="AM25" s="20">
        <f>IFERROR(AL25*(1+변수!AM36),"")</f>
        <v/>
      </c>
      <c r="AN25" s="20">
        <f>IFERROR(AM25*(1+변수!AN36),"")</f>
        <v/>
      </c>
      <c r="AO25" s="35">
        <f>AN25</f>
        <v/>
      </c>
    </row>
    <row r="26">
      <c r="A26" s="12" t="inlineStr">
        <is>
          <t>현금및현금성자산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현금및현금성자산</t>
        </is>
      </c>
      <c r="E26" s="18">
        <f>IFERROR(VLOOKUP($D26,BS별도,MATCH(E$1,BS별도H,0),0)/100,"")</f>
        <v/>
      </c>
      <c r="F26" s="34" t="n">
        <v>38.56</v>
      </c>
      <c r="G26" s="18">
        <f>IFERROR(VLOOKUP($D26,BS별도,MATCH(G$1,BS별도H,0),0)/100,"")</f>
        <v/>
      </c>
      <c r="H26" s="18">
        <f>IFERROR(VLOOKUP($D26,BS별도,MATCH(H$1,BS별도H,0),0)/100,"")</f>
        <v/>
      </c>
      <c r="I26" s="18">
        <f>IFERROR(VLOOKUP($D26,BS별도,MATCH(I$1,BS별도H,0),0)/100,"")</f>
        <v/>
      </c>
      <c r="J26" s="18">
        <f>IFERROR(VLOOKUP($D26,BS별도,MATCH(J$1,BS별도H,0),0)/100,"")</f>
        <v/>
      </c>
      <c r="K26" s="34">
        <f>J26</f>
        <v/>
      </c>
      <c r="L26" s="18">
        <f>IFERROR(VLOOKUP($D26,BS별도,MATCH(L$1,BS별도H,0),0)/100,"")</f>
        <v/>
      </c>
      <c r="M26" s="18">
        <f>IFERROR(VLOOKUP($D26,BS별도,MATCH(M$1,BS별도H,0),0)/100,"")</f>
        <v/>
      </c>
      <c r="N26" s="18">
        <f>IFERROR(VLOOKUP($D26,BS별도,MATCH(N$1,BS별도H,0),0)/100,"")</f>
        <v/>
      </c>
      <c r="O26" s="18">
        <f>IFERROR(VLOOKUP($D26,BS별도,MATCH(O$1,BS별도H,0),0)/100,"")</f>
        <v/>
      </c>
      <c r="P26" s="34">
        <f>O26</f>
        <v/>
      </c>
      <c r="Q26" s="18">
        <f>IFERROR(VLOOKUP($D26,BS별도,MATCH(Q$1,BS별도H,0),0)/100,"")</f>
        <v/>
      </c>
      <c r="R26" s="18">
        <f>IFERROR(VLOOKUP($D26,BS별도,MATCH(R$1,BS별도H,0),0)/100,"")</f>
        <v/>
      </c>
      <c r="S26" s="18">
        <f>IFERROR(VLOOKUP($D26,BS별도,MATCH(S$1,BS별도H,0),0)/100,"")</f>
        <v/>
      </c>
      <c r="T26" s="18">
        <f>IFERROR(VLOOKUP($D26,BS별도,MATCH(T$1,BS별도H,0),0)/100,"")</f>
        <v/>
      </c>
      <c r="U26" s="34">
        <f>T26</f>
        <v/>
      </c>
      <c r="V26" s="18">
        <f>IFERROR(VLOOKUP($D26,BS별도,MATCH(V$1,BS별도H,0),0)/100,"")</f>
        <v/>
      </c>
      <c r="W26" s="18">
        <f>IFERROR(VLOOKUP($D26,BS별도,MATCH(W$1,BS별도H,0),0)/100,"")</f>
        <v/>
      </c>
      <c r="X26" s="18">
        <f>IFERROR(VLOOKUP($D26,BS별도,MATCH(X$1,BS별도H,0),0)/100,"")</f>
        <v/>
      </c>
      <c r="Y26" s="18">
        <f>IFERROR(VLOOKUP($D26,BS별도,MATCH(Y$1,BS별도H,0),0)/100,"")</f>
        <v/>
      </c>
      <c r="Z26" s="34">
        <f>Y26</f>
        <v/>
      </c>
      <c r="AA26" s="18">
        <f>IFERROR(VLOOKUP($D26,BS별도,MATCH(AA$1,BS별도H,0),0)/100,"")</f>
        <v/>
      </c>
      <c r="AB26" s="19">
        <f>IFERROR(VLOOKUP($D26,BS별도,MATCH(AB$1,BS별도H,0),0)/100,"")</f>
        <v/>
      </c>
      <c r="AC26" s="20" t="n"/>
      <c r="AD26" s="20" t="n"/>
      <c r="AE26" s="35">
        <f>AD26</f>
        <v/>
      </c>
      <c r="AF26" s="20" t="n"/>
      <c r="AG26" s="20" t="n"/>
      <c r="AH26" s="20" t="n"/>
      <c r="AI26" s="20" t="n"/>
      <c r="AJ26" s="35">
        <f>AI26</f>
        <v/>
      </c>
      <c r="AK26" s="20" t="n"/>
      <c r="AL26" s="20" t="n"/>
      <c r="AM26" s="20" t="n"/>
      <c r="AN26" s="20" t="n"/>
      <c r="AO26" s="35">
        <f>AN26</f>
        <v/>
      </c>
    </row>
    <row r="27">
      <c r="A27" s="12" t="inlineStr">
        <is>
          <t>CAPEX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CAPEX</t>
        </is>
      </c>
      <c r="E27" s="18" t="n"/>
      <c r="F27" s="34" t="n"/>
      <c r="G27" s="18" t="n"/>
      <c r="H27" s="18" t="n"/>
      <c r="I27" s="18" t="n"/>
      <c r="J27" s="18">
        <f>IFERROR(VLOOKUP($D27,BS별도,MATCH(J$1,BS별도H,0),0)/100,"")</f>
        <v/>
      </c>
      <c r="K27" s="34">
        <f>SUM(G27:J27)</f>
        <v/>
      </c>
      <c r="L27" s="18" t="n"/>
      <c r="M27" s="18" t="n"/>
      <c r="N27" s="18">
        <f>IFERROR(VLOOKUP($D27,BS별도,MATCH(N$1,BS별도H,0),0)/100,"")</f>
        <v/>
      </c>
      <c r="O27" s="18">
        <f>IFERROR(VLOOKUP($D27,BS별도,MATCH(O$1,BS별도H,0),0)/100,"")</f>
        <v/>
      </c>
      <c r="P27" s="34">
        <f>SUM(L27:O27)</f>
        <v/>
      </c>
      <c r="Q27" s="18">
        <f>IFERROR(VLOOKUP($D27,BS별도,MATCH(Q$1,BS별도H,0),0)/100,"")</f>
        <v/>
      </c>
      <c r="R27" s="18">
        <f>IFERROR(VLOOKUP($D27,BS별도,MATCH(R$1,BS별도H,0),0)/100,"")</f>
        <v/>
      </c>
      <c r="S27" s="18">
        <f>IFERROR(VLOOKUP($D27,BS별도,MATCH(S$1,BS별도H,0),0)/100,"")</f>
        <v/>
      </c>
      <c r="T27" s="18">
        <f>IFERROR(VLOOKUP($D27,BS별도,MATCH(T$1,BS별도H,0),0)/100,"")</f>
        <v/>
      </c>
      <c r="U27" s="34">
        <f>SUM(Q27:T27)</f>
        <v/>
      </c>
      <c r="V27" s="18">
        <f>IFERROR(VLOOKUP($D27,BS별도,MATCH(V$1,BS별도H,0),0)/100,"")</f>
        <v/>
      </c>
      <c r="W27" s="18">
        <f>IFERROR(VLOOKUP($D27,BS별도,MATCH(W$1,BS별도H,0),0)/100,"")</f>
        <v/>
      </c>
      <c r="X27" s="18">
        <f>IFERROR(VLOOKUP($D27,BS별도,MATCH(X$1,BS별도H,0),0)/100,"")</f>
        <v/>
      </c>
      <c r="Y27" s="18">
        <f>IFERROR(VLOOKUP($D27,BS별도,MATCH(Y$1,BS별도H,0),0)/100,"")</f>
        <v/>
      </c>
      <c r="Z27" s="34">
        <f>SUM(V27:Y27)</f>
        <v/>
      </c>
      <c r="AA27" s="18">
        <f>IFERROR(VLOOKUP($D27,BS별도,MATCH(AA$1,BS별도H,0),0)/100,"")</f>
        <v/>
      </c>
      <c r="AB27" s="19">
        <f>IFERROR(VLOOKUP($D27,BS별도,MATCH(AB$1,BS별도H,0),0)/100,"")</f>
        <v/>
      </c>
      <c r="AC27" s="20" t="n"/>
      <c r="AD27" s="20" t="n"/>
      <c r="AE27" s="35">
        <f>SUM(AA27:AD27)</f>
        <v/>
      </c>
      <c r="AF27" s="20" t="n"/>
      <c r="AG27" s="20" t="n"/>
      <c r="AH27" s="20" t="n"/>
      <c r="AI27" s="20" t="n"/>
      <c r="AJ27" s="35">
        <f>SUM(AF27:AI27)</f>
        <v/>
      </c>
      <c r="AK27" s="20" t="n"/>
      <c r="AL27" s="20" t="n"/>
      <c r="AM27" s="20" t="n"/>
      <c r="AN27" s="20" t="n"/>
      <c r="AO27" s="35">
        <f>SUM(AK27:AN27)</f>
        <v/>
      </c>
    </row>
    <row r="28">
      <c r="A28" s="12" t="inlineStr">
        <is>
          <t>영업활동현금흐름</t>
        </is>
      </c>
      <c r="B28" t="inlineStr">
        <is>
          <t>현금흐름</t>
        </is>
      </c>
      <c r="C28" t="inlineStr">
        <is>
          <t>억원</t>
        </is>
      </c>
      <c r="D28" t="inlineStr">
        <is>
          <t>영업활동현금흐름</t>
        </is>
      </c>
      <c r="E28" s="18" t="n">
        <v>0.9</v>
      </c>
      <c r="F28" s="34" t="n"/>
      <c r="G28" s="18" t="n">
        <v>-13.02</v>
      </c>
      <c r="H28" s="18" t="n">
        <v>-13.28</v>
      </c>
      <c r="I28" s="18" t="n">
        <v>11.68</v>
      </c>
      <c r="J28" s="18" t="n">
        <v>10.66</v>
      </c>
      <c r="K28" s="34">
        <f>SUM(G28:J28)</f>
        <v/>
      </c>
      <c r="L28" s="18" t="n">
        <v>16.26</v>
      </c>
      <c r="M28" s="18" t="n">
        <v>16.17</v>
      </c>
      <c r="N28" s="18" t="n">
        <v>12.9</v>
      </c>
      <c r="O28" s="18" t="n">
        <v>5.44</v>
      </c>
      <c r="P28" s="34">
        <f>SUM(L28:O28)</f>
        <v/>
      </c>
      <c r="Q28" s="18" t="n">
        <v>20.63</v>
      </c>
      <c r="R28" s="18" t="n">
        <v>-1.21</v>
      </c>
      <c r="S28" s="18" t="n">
        <v>11.79</v>
      </c>
      <c r="T28" s="18" t="n">
        <v>18.42</v>
      </c>
      <c r="U28" s="34">
        <f>SUM(Q28:T28)</f>
        <v/>
      </c>
      <c r="V28" s="18" t="n">
        <v>2.31</v>
      </c>
      <c r="W28" s="18" t="n">
        <v>13.42</v>
      </c>
      <c r="X28" s="18" t="n">
        <v>18.89</v>
      </c>
      <c r="Y28" s="18" t="n">
        <v>66.5</v>
      </c>
      <c r="Z28" s="34">
        <f>SUM(V28:Y28)</f>
        <v/>
      </c>
      <c r="AA28" s="18" t="n">
        <v>20.18</v>
      </c>
      <c r="AB28" s="19" t="n">
        <v>33.45</v>
      </c>
      <c r="AC28" s="20" t="n"/>
      <c r="AD28" s="20" t="n"/>
      <c r="AE28" s="35">
        <f>SUM(AA28:AD28)</f>
        <v/>
      </c>
      <c r="AF28" s="20" t="n"/>
      <c r="AG28" s="20" t="n"/>
      <c r="AH28" s="20" t="n"/>
      <c r="AI28" s="20" t="n"/>
      <c r="AJ28" s="35">
        <f>SUM(AF28:AI28)</f>
        <v/>
      </c>
      <c r="AK28" s="20" t="n"/>
      <c r="AL28" s="20" t="n"/>
      <c r="AM28" s="20" t="n"/>
      <c r="AN28" s="20" t="n"/>
      <c r="AO28" s="35">
        <f>SUM(AK28:AN28)</f>
        <v/>
      </c>
    </row>
    <row r="29">
      <c r="A29" s="12" t="inlineStr">
        <is>
          <t>주식수</t>
        </is>
      </c>
      <c r="B29" t="inlineStr">
        <is>
          <t>주당</t>
        </is>
      </c>
      <c r="C29" t="inlineStr">
        <is>
          <t>백만주</t>
        </is>
      </c>
      <c r="D29" t="inlineStr">
        <is>
          <t>유통주식수</t>
        </is>
      </c>
      <c r="E29" s="26" t="n">
        <v>13.541</v>
      </c>
      <c r="F29" s="27">
        <f>E29</f>
        <v/>
      </c>
      <c r="G29" s="26" t="n">
        <v>13.541</v>
      </c>
      <c r="H29" s="26" t="n">
        <v>13.541</v>
      </c>
      <c r="I29" s="26" t="n">
        <v>13.541</v>
      </c>
      <c r="J29" s="26" t="n">
        <v>13.541</v>
      </c>
      <c r="K29" s="27">
        <f>J29</f>
        <v/>
      </c>
      <c r="L29" s="26" t="n">
        <v>13.541</v>
      </c>
      <c r="M29" s="26" t="n">
        <v>13.541</v>
      </c>
      <c r="N29" s="26" t="n">
        <v>13.541</v>
      </c>
      <c r="O29" s="26" t="n">
        <v>13.541</v>
      </c>
      <c r="P29" s="27">
        <f>O29</f>
        <v/>
      </c>
      <c r="Q29" s="26" t="n">
        <v>13.541</v>
      </c>
      <c r="R29" s="26" t="n">
        <v>14</v>
      </c>
      <c r="S29" s="26" t="n">
        <v>14</v>
      </c>
      <c r="T29" s="26" t="n">
        <v>13.946</v>
      </c>
      <c r="U29" s="27">
        <f>T29</f>
        <v/>
      </c>
      <c r="V29" s="26" t="n">
        <v>13.946</v>
      </c>
      <c r="W29" s="26" t="n">
        <v>13.946</v>
      </c>
      <c r="X29" s="26" t="n">
        <v>13.946</v>
      </c>
      <c r="Y29" s="26" t="n">
        <v>13.946</v>
      </c>
      <c r="Z29" s="27">
        <f>Y29</f>
        <v/>
      </c>
      <c r="AA29" s="26" t="n">
        <v>13.946</v>
      </c>
      <c r="AB29" s="28" t="n">
        <v>13.946</v>
      </c>
      <c r="AC29" s="36">
        <f>IFERROR(AB29*(1+변수!AC40),"")</f>
        <v/>
      </c>
      <c r="AD29" s="36">
        <f>IFERROR(AC29*(1+변수!AD40),"")</f>
        <v/>
      </c>
      <c r="AE29" s="30">
        <f>AD29</f>
        <v/>
      </c>
      <c r="AF29" s="36">
        <f>IFERROR(AD29*(1+변수!AF40),"")</f>
        <v/>
      </c>
      <c r="AG29" s="36">
        <f>IFERROR(AF29*(1+변수!AG40),"")</f>
        <v/>
      </c>
      <c r="AH29" s="36">
        <f>IFERROR(AG29*(1+변수!AH40),"")</f>
        <v/>
      </c>
      <c r="AI29" s="36">
        <f>IFERROR(AH29*(1+변수!AI40),"")</f>
        <v/>
      </c>
      <c r="AJ29" s="30">
        <f>AI29</f>
        <v/>
      </c>
      <c r="AK29" s="36">
        <f>IFERROR(AI29*(1+변수!AK40),"")</f>
        <v/>
      </c>
      <c r="AL29" s="36">
        <f>IFERROR(AK29*(1+변수!AL40),"")</f>
        <v/>
      </c>
      <c r="AM29" s="36">
        <f>IFERROR(AL29*(1+변수!AM40),"")</f>
        <v/>
      </c>
      <c r="AN29" s="36">
        <f>IFERROR(AM29*(1+변수!AN40),"")</f>
        <v/>
      </c>
      <c r="AO29" s="30">
        <f>AN29</f>
        <v/>
      </c>
    </row>
    <row r="30">
      <c r="A30" s="12" t="inlineStr">
        <is>
          <t>EPS</t>
        </is>
      </c>
      <c r="B30" t="inlineStr">
        <is>
          <t>주당</t>
        </is>
      </c>
      <c r="C30" t="inlineStr">
        <is>
          <t>원</t>
        </is>
      </c>
      <c r="D30" t="inlineStr">
        <is>
          <t>EPS</t>
        </is>
      </c>
      <c r="E30" s="18">
        <f>IFERROR(E16*100/E29,"")</f>
        <v/>
      </c>
      <c r="F30" s="34" t="n"/>
      <c r="G30" s="18">
        <f>IFERROR(G16*100/G29,"")</f>
        <v/>
      </c>
      <c r="H30" s="18">
        <f>IFERROR(H16*100/H29,"")</f>
        <v/>
      </c>
      <c r="I30" s="18">
        <f>IFERROR(I16*100/I29,"")</f>
        <v/>
      </c>
      <c r="J30" s="18">
        <f>IFERROR(J16*100/J29,"")</f>
        <v/>
      </c>
      <c r="K30" s="34">
        <f>SUM(G30:J30)</f>
        <v/>
      </c>
      <c r="L30" s="18">
        <f>IFERROR(L16*100/L29,"")</f>
        <v/>
      </c>
      <c r="M30" s="18">
        <f>IFERROR(M16*100/M29,"")</f>
        <v/>
      </c>
      <c r="N30" s="18">
        <f>IFERROR(N16*100/N29,"")</f>
        <v/>
      </c>
      <c r="O30" s="18">
        <f>IFERROR(O16*100/O29,"")</f>
        <v/>
      </c>
      <c r="P30" s="34">
        <f>SUM(L30:O30)</f>
        <v/>
      </c>
      <c r="Q30" s="18">
        <f>IFERROR(Q16*100/Q29,"")</f>
        <v/>
      </c>
      <c r="R30" s="18">
        <f>IFERROR(R16*100/R29,"")</f>
        <v/>
      </c>
      <c r="S30" s="18">
        <f>IFERROR(S16*100/S29,"")</f>
        <v/>
      </c>
      <c r="T30" s="18">
        <f>IFERROR(T16*100/T29,"")</f>
        <v/>
      </c>
      <c r="U30" s="34">
        <f>SUM(Q30:T30)</f>
        <v/>
      </c>
      <c r="V30" s="18">
        <f>IFERROR(V16*100/V29,"")</f>
        <v/>
      </c>
      <c r="W30" s="18">
        <f>IFERROR(W16*100/W29,"")</f>
        <v/>
      </c>
      <c r="X30" s="18">
        <f>IFERROR(X16*100/X29,"")</f>
        <v/>
      </c>
      <c r="Y30" s="18">
        <f>IFERROR(Y16*100/Y29,"")</f>
        <v/>
      </c>
      <c r="Z30" s="34">
        <f>SUM(V30:Y30)</f>
        <v/>
      </c>
      <c r="AA30" s="18">
        <f>IFERROR(AA16*100/AA29,"")</f>
        <v/>
      </c>
      <c r="AB30" s="19">
        <f>IFERROR(AB16*100/AB29,"")</f>
        <v/>
      </c>
      <c r="AC30" s="20">
        <f>IFERROR(AC16*100/AC29,"")</f>
        <v/>
      </c>
      <c r="AD30" s="20">
        <f>IFERROR(AD16*100/AD29,"")</f>
        <v/>
      </c>
      <c r="AE30" s="35">
        <f>SUM(AA30:AD30)</f>
        <v/>
      </c>
      <c r="AF30" s="20">
        <f>IFERROR(AF16*100/AF29,"")</f>
        <v/>
      </c>
      <c r="AG30" s="20">
        <f>IFERROR(AG16*100/AG29,"")</f>
        <v/>
      </c>
      <c r="AH30" s="20">
        <f>IFERROR(AH16*100/AH29,"")</f>
        <v/>
      </c>
      <c r="AI30" s="20">
        <f>IFERROR(AI16*100/AI29,"")</f>
        <v/>
      </c>
      <c r="AJ30" s="35">
        <f>SUM(AF30:AI30)</f>
        <v/>
      </c>
      <c r="AK30" s="20">
        <f>IFERROR(AK16*100/AK29,"")</f>
        <v/>
      </c>
      <c r="AL30" s="20">
        <f>IFERROR(AL16*100/AL29,"")</f>
        <v/>
      </c>
      <c r="AM30" s="20">
        <f>IFERROR(AM16*100/AM29,"")</f>
        <v/>
      </c>
      <c r="AN30" s="20">
        <f>IFERROR(AN16*100/AN29,"")</f>
        <v/>
      </c>
      <c r="AO30" s="35">
        <f>SUM(AK30:AN30)</f>
        <v/>
      </c>
    </row>
    <row r="31">
      <c r="A31" s="12" t="inlineStr">
        <is>
          <t>BPS</t>
        </is>
      </c>
      <c r="B31" t="inlineStr">
        <is>
          <t>주당</t>
        </is>
      </c>
      <c r="C31" t="inlineStr">
        <is>
          <t>원</t>
        </is>
      </c>
      <c r="D31" t="inlineStr">
        <is>
          <t>BPS</t>
        </is>
      </c>
      <c r="E31" s="18">
        <f>IFERROR(E22*100/E29,"")</f>
        <v/>
      </c>
      <c r="F31" s="34">
        <f>E31</f>
        <v/>
      </c>
      <c r="G31" s="18">
        <f>IFERROR(G22*100/G29,"")</f>
        <v/>
      </c>
      <c r="H31" s="18">
        <f>IFERROR(H22*100/H29,"")</f>
        <v/>
      </c>
      <c r="I31" s="18">
        <f>IFERROR(I22*100/I29,"")</f>
        <v/>
      </c>
      <c r="J31" s="18">
        <f>IFERROR(J22*100/J29,"")</f>
        <v/>
      </c>
      <c r="K31" s="34">
        <f>J31</f>
        <v/>
      </c>
      <c r="L31" s="18">
        <f>IFERROR(L22*100/L29,"")</f>
        <v/>
      </c>
      <c r="M31" s="18">
        <f>IFERROR(M22*100/M29,"")</f>
        <v/>
      </c>
      <c r="N31" s="18">
        <f>IFERROR(N22*100/N29,"")</f>
        <v/>
      </c>
      <c r="O31" s="18">
        <f>IFERROR(O22*100/O29,"")</f>
        <v/>
      </c>
      <c r="P31" s="34">
        <f>O31</f>
        <v/>
      </c>
      <c r="Q31" s="18">
        <f>IFERROR(Q22*100/Q29,"")</f>
        <v/>
      </c>
      <c r="R31" s="18">
        <f>IFERROR(R22*100/R29,"")</f>
        <v/>
      </c>
      <c r="S31" s="18">
        <f>IFERROR(S22*100/S29,"")</f>
        <v/>
      </c>
      <c r="T31" s="18">
        <f>IFERROR(T22*100/T29,"")</f>
        <v/>
      </c>
      <c r="U31" s="34">
        <f>T31</f>
        <v/>
      </c>
      <c r="V31" s="18">
        <f>IFERROR(V22*100/V29,"")</f>
        <v/>
      </c>
      <c r="W31" s="18">
        <f>IFERROR(W22*100/W29,"")</f>
        <v/>
      </c>
      <c r="X31" s="18">
        <f>IFERROR(X22*100/X29,"")</f>
        <v/>
      </c>
      <c r="Y31" s="18">
        <f>IFERROR(Y22*100/Y29,"")</f>
        <v/>
      </c>
      <c r="Z31" s="34">
        <f>Y31</f>
        <v/>
      </c>
      <c r="AA31" s="18">
        <f>IFERROR(AA22*100/AA29,"")</f>
        <v/>
      </c>
      <c r="AB31" s="19">
        <f>IFERROR(AB22*100/AB29,"")</f>
        <v/>
      </c>
      <c r="AC31" s="20">
        <f>IFERROR(AC22*100/AC29,"")</f>
        <v/>
      </c>
      <c r="AD31" s="20">
        <f>IFERROR(AD22*100/AD29,"")</f>
        <v/>
      </c>
      <c r="AE31" s="35">
        <f>AD31</f>
        <v/>
      </c>
      <c r="AF31" s="20">
        <f>IFERROR(AF22*100/AF29,"")</f>
        <v/>
      </c>
      <c r="AG31" s="20">
        <f>IFERROR(AG22*100/AG29,"")</f>
        <v/>
      </c>
      <c r="AH31" s="20">
        <f>IFERROR(AH22*100/AH29,"")</f>
        <v/>
      </c>
      <c r="AI31" s="20">
        <f>IFERROR(AI22*100/AI29,"")</f>
        <v/>
      </c>
      <c r="AJ31" s="35">
        <f>AI31</f>
        <v/>
      </c>
      <c r="AK31" s="20">
        <f>IFERROR(AK22*100/AK29,"")</f>
        <v/>
      </c>
      <c r="AL31" s="20">
        <f>IFERROR(AL22*100/AL29,"")</f>
        <v/>
      </c>
      <c r="AM31" s="20">
        <f>IFERROR(AM22*100/AM29,"")</f>
        <v/>
      </c>
      <c r="AN31" s="20">
        <f>IFERROR(AN22*100/AN29,"")</f>
        <v/>
      </c>
      <c r="AO31" s="35">
        <f>AN31</f>
        <v/>
      </c>
    </row>
    <row r="32">
      <c r="A32" s="12" t="inlineStr">
        <is>
          <t>DPS</t>
        </is>
      </c>
      <c r="B32" t="inlineStr">
        <is>
          <t>주당</t>
        </is>
      </c>
      <c r="C32" t="inlineStr">
        <is>
          <t>원</t>
        </is>
      </c>
      <c r="D32" t="inlineStr">
        <is>
          <t>DPS(보통주)</t>
        </is>
      </c>
      <c r="E32" s="18" t="n">
        <v>0</v>
      </c>
      <c r="F32" s="34" t="n">
        <v>0</v>
      </c>
      <c r="G32" s="18" t="n"/>
      <c r="H32" s="18" t="n"/>
      <c r="I32" s="18" t="n"/>
      <c r="J32" s="18" t="n">
        <v>0</v>
      </c>
      <c r="K32" s="34">
        <f>SUM(G32:J32)</f>
        <v/>
      </c>
      <c r="L32" s="18" t="n"/>
      <c r="M32" s="18" t="n"/>
      <c r="N32" s="18" t="n"/>
      <c r="O32" s="18" t="n">
        <v>0</v>
      </c>
      <c r="P32" s="34">
        <f>SUM(L32:O32)</f>
        <v/>
      </c>
      <c r="Q32" s="18" t="n"/>
      <c r="R32" s="18" t="n"/>
      <c r="S32" s="18" t="n"/>
      <c r="T32" s="18" t="n">
        <v>0</v>
      </c>
      <c r="U32" s="34">
        <f>SUM(Q32:T32)</f>
        <v/>
      </c>
      <c r="V32" s="18" t="n"/>
      <c r="W32" s="18" t="n"/>
      <c r="X32" s="18" t="n"/>
      <c r="Y32" s="18" t="n">
        <v>0</v>
      </c>
      <c r="Z32" s="34">
        <f>SUM(V32:Y32)</f>
        <v/>
      </c>
      <c r="AA32" s="18" t="n"/>
      <c r="AB32" s="19" t="n"/>
      <c r="AC32" s="20" t="n"/>
      <c r="AD32" s="20" t="n">
        <v>0</v>
      </c>
      <c r="AE32" s="35">
        <f>SUM(AA32:AD32)</f>
        <v/>
      </c>
      <c r="AF32" s="20" t="n"/>
      <c r="AG32" s="20" t="n"/>
      <c r="AH32" s="20" t="n"/>
      <c r="AI32" s="20" t="n">
        <v>0</v>
      </c>
      <c r="AJ32" s="35">
        <f>SUM(AF32:AI32)</f>
        <v/>
      </c>
      <c r="AK32" s="20" t="n"/>
      <c r="AL32" s="20" t="n"/>
      <c r="AM32" s="20" t="n"/>
      <c r="AN32" s="20" t="n">
        <v>0</v>
      </c>
      <c r="AO32" s="35">
        <f>SUM(AK32:AN32)</f>
        <v/>
      </c>
    </row>
    <row r="33">
      <c r="A33" s="12" t="inlineStr">
        <is>
          <t>PER</t>
        </is>
      </c>
      <c r="B33" t="inlineStr">
        <is>
          <t>주당</t>
        </is>
      </c>
      <c r="C33" t="inlineStr">
        <is>
          <t>배</t>
        </is>
      </c>
      <c r="D33" t="inlineStr">
        <is>
          <t>PER</t>
        </is>
      </c>
      <c r="E33" s="18" t="n"/>
      <c r="F33" s="34" t="n"/>
      <c r="G33" s="18" t="n"/>
      <c r="H33" s="18" t="n"/>
      <c r="I33" s="18" t="n">
        <v>28.41</v>
      </c>
      <c r="J33" s="18" t="n">
        <v>28.64</v>
      </c>
      <c r="K33" s="34">
        <f>SUM(G33:J33)</f>
        <v/>
      </c>
      <c r="L33" s="18" t="n">
        <v>17.58</v>
      </c>
      <c r="M33" s="18" t="n">
        <v>21.95</v>
      </c>
      <c r="N33" s="18" t="n">
        <v>21.56</v>
      </c>
      <c r="O33" s="18" t="n">
        <v>6.46</v>
      </c>
      <c r="P33" s="34">
        <f>SUM(L33:O33)</f>
        <v/>
      </c>
      <c r="Q33" s="18" t="n">
        <v>7.08</v>
      </c>
      <c r="R33" s="18" t="n">
        <v>7.31</v>
      </c>
      <c r="S33" s="18" t="n">
        <v>6.27</v>
      </c>
      <c r="T33" s="18" t="n">
        <v>6.84</v>
      </c>
      <c r="U33" s="34">
        <f>SUM(Q33:T33)</f>
        <v/>
      </c>
      <c r="V33" s="18" t="n">
        <v>7.19</v>
      </c>
      <c r="W33" s="18" t="n">
        <v>8.41</v>
      </c>
      <c r="X33" s="18" t="n">
        <v>7.26</v>
      </c>
      <c r="Y33" s="18" t="n">
        <v>8.75</v>
      </c>
      <c r="Z33" s="34">
        <f>SUM(V33:Y33)</f>
        <v/>
      </c>
      <c r="AA33" s="18" t="n">
        <v>8.15</v>
      </c>
      <c r="AB33" s="19" t="n">
        <v>5.49</v>
      </c>
      <c r="AC33" s="20">
        <f>IFERROR(X33*(1+변수!AC42),"")</f>
        <v/>
      </c>
      <c r="AD33" s="20">
        <f>IFERROR(Y33*(1+변수!AD42),"")</f>
        <v/>
      </c>
      <c r="AE33" s="35">
        <f>SUM(AA33:AD33)</f>
        <v/>
      </c>
      <c r="AF33" s="20">
        <f>IFERROR(AA33*(1+변수!AF42),"")</f>
        <v/>
      </c>
      <c r="AG33" s="20">
        <f>IFERROR(AB33*(1+변수!AG42),"")</f>
        <v/>
      </c>
      <c r="AH33" s="20">
        <f>IFERROR(AC33*(1+변수!AH42),"")</f>
        <v/>
      </c>
      <c r="AI33" s="20">
        <f>IFERROR(AD33*(1+변수!AI42),"")</f>
        <v/>
      </c>
      <c r="AJ33" s="35">
        <f>SUM(AF33:AI33)</f>
        <v/>
      </c>
      <c r="AK33" s="20">
        <f>IFERROR(AF33*(1+변수!AK42),"")</f>
        <v/>
      </c>
      <c r="AL33" s="20">
        <f>IFERROR(AG33*(1+변수!AL42),"")</f>
        <v/>
      </c>
      <c r="AM33" s="20">
        <f>IFERROR(AH33*(1+변수!AM42),"")</f>
        <v/>
      </c>
      <c r="AN33" s="20">
        <f>IFERROR(AI33*(1+변수!AN42),"")</f>
        <v/>
      </c>
      <c r="AO33" s="35">
        <f>SUM(AK33:AN33)</f>
        <v/>
      </c>
    </row>
    <row r="34">
      <c r="A34" s="12" t="inlineStr">
        <is>
          <t>PBR</t>
        </is>
      </c>
      <c r="B34" t="inlineStr">
        <is>
          <t>주당</t>
        </is>
      </c>
      <c r="C34" t="inlineStr">
        <is>
          <t>배</t>
        </is>
      </c>
      <c r="D34" t="inlineStr">
        <is>
          <t>PBR</t>
        </is>
      </c>
      <c r="E34" s="18" t="n">
        <v>1.42</v>
      </c>
      <c r="F34" s="34" t="n">
        <v>1.53</v>
      </c>
      <c r="G34" s="18" t="n">
        <v>1.81</v>
      </c>
      <c r="H34" s="18" t="n">
        <v>1.84</v>
      </c>
      <c r="I34" s="18" t="n">
        <v>1.5</v>
      </c>
      <c r="J34" s="18" t="n">
        <v>1.21</v>
      </c>
      <c r="K34" s="34">
        <f>SUM(G34:J34)</f>
        <v/>
      </c>
      <c r="L34" s="18" t="n">
        <v>1.17</v>
      </c>
      <c r="M34" s="18" t="n">
        <v>1.28</v>
      </c>
      <c r="N34" s="18" t="n">
        <v>1.19</v>
      </c>
      <c r="O34" s="18" t="n">
        <v>0.88</v>
      </c>
      <c r="P34" s="34">
        <f>SUM(L34:O34)</f>
        <v/>
      </c>
      <c r="Q34" s="18" t="n">
        <v>0.85</v>
      </c>
      <c r="R34" s="18" t="n">
        <v>1.03</v>
      </c>
      <c r="S34" s="18" t="n">
        <v>0.99</v>
      </c>
      <c r="T34" s="18" t="n">
        <v>0.99</v>
      </c>
      <c r="U34" s="34">
        <f>SUM(Q34:T34)</f>
        <v/>
      </c>
      <c r="V34" s="18" t="n">
        <v>1.08</v>
      </c>
      <c r="W34" s="18" t="n">
        <v>1.16</v>
      </c>
      <c r="X34" s="18" t="n">
        <v>1.27</v>
      </c>
      <c r="Y34" s="18" t="n">
        <v>1.4</v>
      </c>
      <c r="Z34" s="34">
        <f>SUM(V34:Y34)</f>
        <v/>
      </c>
      <c r="AA34" s="18" t="n">
        <v>1.45</v>
      </c>
      <c r="AB34" s="19" t="n">
        <v>1.16</v>
      </c>
      <c r="AC34" s="20">
        <f>IFERROR(X34*(1+변수!AC43),"")</f>
        <v/>
      </c>
      <c r="AD34" s="20">
        <f>IFERROR(Y34*(1+변수!AD43),"")</f>
        <v/>
      </c>
      <c r="AE34" s="35">
        <f>SUM(AA34:AD34)</f>
        <v/>
      </c>
      <c r="AF34" s="20">
        <f>IFERROR(AA34*(1+변수!AF43),"")</f>
        <v/>
      </c>
      <c r="AG34" s="20">
        <f>IFERROR(AB34*(1+변수!AG43),"")</f>
        <v/>
      </c>
      <c r="AH34" s="20">
        <f>IFERROR(AC34*(1+변수!AH43),"")</f>
        <v/>
      </c>
      <c r="AI34" s="20">
        <f>IFERROR(AD34*(1+변수!AI43),"")</f>
        <v/>
      </c>
      <c r="AJ34" s="35">
        <f>SUM(AF34:AI34)</f>
        <v/>
      </c>
      <c r="AK34" s="20">
        <f>IFERROR(AF34*(1+변수!AK43),"")</f>
        <v/>
      </c>
      <c r="AL34" s="20">
        <f>IFERROR(AG34*(1+변수!AL43),"")</f>
        <v/>
      </c>
      <c r="AM34" s="20">
        <f>IFERROR(AH34*(1+변수!AM43),"")</f>
        <v/>
      </c>
      <c r="AN34" s="20">
        <f>IFERROR(AI34*(1+변수!AN43),"")</f>
        <v/>
      </c>
      <c r="AO34" s="35">
        <f>SUM(AK34:AN34)</f>
        <v/>
      </c>
    </row>
    <row r="35">
      <c r="A35" s="12" t="inlineStr">
        <is>
          <t>매출전사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매출 전사(부문 미분리)</t>
        </is>
      </c>
      <c r="E35" s="18" t="n">
        <v>88.95999999999999</v>
      </c>
      <c r="F35" s="34" t="n"/>
      <c r="G35" s="18" t="n">
        <v>57.25</v>
      </c>
      <c r="H35" s="18" t="n">
        <v>67.5</v>
      </c>
      <c r="I35" s="18" t="n">
        <v>59.89</v>
      </c>
      <c r="J35" s="18" t="n">
        <v>63.96</v>
      </c>
      <c r="K35" s="34">
        <f>SUM(G35:J35)</f>
        <v/>
      </c>
      <c r="L35" s="18" t="n">
        <v>68.79000000000001</v>
      </c>
      <c r="M35" s="18" t="n">
        <v>67.91</v>
      </c>
      <c r="N35" s="18" t="n">
        <v>56.1</v>
      </c>
      <c r="O35" s="18" t="n">
        <v>80.28</v>
      </c>
      <c r="P35" s="34">
        <f>SUM(L35:O35)</f>
        <v/>
      </c>
      <c r="Q35" s="18" t="n">
        <v>56.57</v>
      </c>
      <c r="R35" s="18" t="n">
        <v>77.34</v>
      </c>
      <c r="S35" s="18" t="n">
        <v>92.23999999999999</v>
      </c>
      <c r="T35" s="18" t="n">
        <v>131.01</v>
      </c>
      <c r="U35" s="34">
        <f>SUM(Q35:T35)</f>
        <v/>
      </c>
      <c r="V35" s="18" t="n">
        <v>84.69</v>
      </c>
      <c r="W35" s="18" t="n">
        <v>88.69</v>
      </c>
      <c r="X35" s="18" t="n">
        <v>115.07</v>
      </c>
      <c r="Y35" s="18" t="n">
        <v>130.35</v>
      </c>
      <c r="Z35" s="34">
        <f>SUM(V35:Y35)</f>
        <v/>
      </c>
      <c r="AA35" s="18" t="n">
        <v>91.97</v>
      </c>
      <c r="AB35" s="19" t="n">
        <v>116.6</v>
      </c>
      <c r="AC35" s="20">
        <f>IFERROR(AC5*변수!AC44,"")</f>
        <v/>
      </c>
      <c r="AD35" s="20">
        <f>IFERROR(AD5*변수!AD44,"")</f>
        <v/>
      </c>
      <c r="AE35" s="35">
        <f>SUM(AA35:AD35)</f>
        <v/>
      </c>
      <c r="AF35" s="20">
        <f>IFERROR(AF5*변수!AF44,"")</f>
        <v/>
      </c>
      <c r="AG35" s="20">
        <f>IFERROR(AG5*변수!AG44,"")</f>
        <v/>
      </c>
      <c r="AH35" s="20">
        <f>IFERROR(AH5*변수!AH44,"")</f>
        <v/>
      </c>
      <c r="AI35" s="20">
        <f>IFERROR(AI5*변수!AI44,"")</f>
        <v/>
      </c>
      <c r="AJ35" s="35">
        <f>SUM(AF35:AI35)</f>
        <v/>
      </c>
      <c r="AK35" s="20">
        <f>IFERROR(AK5*변수!AK44,"")</f>
        <v/>
      </c>
      <c r="AL35" s="20">
        <f>IFERROR(AL5*변수!AL44,"")</f>
        <v/>
      </c>
      <c r="AM35" s="20">
        <f>IFERROR(AM5*변수!AM44,"")</f>
        <v/>
      </c>
      <c r="AN35" s="20">
        <f>IFERROR(AN5*변수!AN44,"")</f>
        <v/>
      </c>
      <c r="AO35" s="35">
        <f>SUM(AK35:AN35)</f>
        <v/>
      </c>
    </row>
    <row r="36">
      <c r="A36" s="12" t="inlineStr">
        <is>
          <t>OP전사</t>
        </is>
      </c>
      <c r="B36" t="inlineStr">
        <is>
          <t>사업부</t>
        </is>
      </c>
      <c r="C36" t="inlineStr">
        <is>
          <t>억원</t>
        </is>
      </c>
      <c r="D36" t="inlineStr">
        <is>
          <t>OP 전사(부문 미분리)</t>
        </is>
      </c>
      <c r="E36" s="18" t="n">
        <v>10.1</v>
      </c>
      <c r="F36" s="34" t="n"/>
      <c r="G36" s="18" t="n">
        <v>-3.25</v>
      </c>
      <c r="H36" s="18" t="n">
        <v>5.53</v>
      </c>
      <c r="I36" s="18" t="n">
        <v>1.52</v>
      </c>
      <c r="J36" s="18" t="n">
        <v>10.19</v>
      </c>
      <c r="K36" s="34">
        <f>SUM(G36:J36)</f>
        <v/>
      </c>
      <c r="L36" s="18" t="n">
        <v>5.9</v>
      </c>
      <c r="M36" s="18" t="n">
        <v>3.47</v>
      </c>
      <c r="N36" s="18" t="n">
        <v>2.18</v>
      </c>
      <c r="O36" s="18" t="n">
        <v>22.59</v>
      </c>
      <c r="P36" s="34">
        <f>SUM(L36:O36)</f>
        <v/>
      </c>
      <c r="Q36" s="18" t="n">
        <v>-0.78</v>
      </c>
      <c r="R36" s="18" t="n">
        <v>7.29</v>
      </c>
      <c r="S36" s="18" t="n">
        <v>9.720000000000001</v>
      </c>
      <c r="T36" s="18" t="n">
        <v>24.59</v>
      </c>
      <c r="U36" s="34">
        <f>SUM(Q36:T36)</f>
        <v/>
      </c>
      <c r="V36" s="18" t="n">
        <v>4.22</v>
      </c>
      <c r="W36" s="18" t="n">
        <v>6.93</v>
      </c>
      <c r="X36" s="18" t="n">
        <v>30.29</v>
      </c>
      <c r="Y36" s="18" t="n">
        <v>51.46</v>
      </c>
      <c r="Z36" s="34">
        <f>SUM(V36:Y36)</f>
        <v/>
      </c>
      <c r="AA36" s="18" t="n">
        <v>15.55</v>
      </c>
      <c r="AB36" s="19" t="n">
        <v>39.05</v>
      </c>
      <c r="AC36" s="20">
        <f>IFERROR(AC35*변수!AC45,"")</f>
        <v/>
      </c>
      <c r="AD36" s="20">
        <f>IFERROR(AD35*변수!AD45,"")</f>
        <v/>
      </c>
      <c r="AE36" s="35">
        <f>SUM(AA36:AD36)</f>
        <v/>
      </c>
      <c r="AF36" s="20">
        <f>IFERROR(AF35*변수!AF45,"")</f>
        <v/>
      </c>
      <c r="AG36" s="20">
        <f>IFERROR(AG35*변수!AG45,"")</f>
        <v/>
      </c>
      <c r="AH36" s="20">
        <f>IFERROR(AH35*변수!AH45,"")</f>
        <v/>
      </c>
      <c r="AI36" s="20">
        <f>IFERROR(AI35*변수!AI45,"")</f>
        <v/>
      </c>
      <c r="AJ36" s="35">
        <f>SUM(AF36:AI36)</f>
        <v/>
      </c>
      <c r="AK36" s="20">
        <f>IFERROR(AK35*변수!AK45,"")</f>
        <v/>
      </c>
      <c r="AL36" s="20">
        <f>IFERROR(AL35*변수!AL45,"")</f>
        <v/>
      </c>
      <c r="AM36" s="20">
        <f>IFERROR(AM35*변수!AM45,"")</f>
        <v/>
      </c>
      <c r="AN36" s="20">
        <f>IFERROR(AN35*변수!AN45,"")</f>
        <v/>
      </c>
      <c r="AO36" s="35">
        <f>SUM(AK36:AN36)</f>
        <v/>
      </c>
    </row>
    <row r="37">
      <c r="B37" s="2" t="inlineStr">
        <is>
          <t>비율(참고)</t>
        </is>
      </c>
      <c r="F37" s="9" t="n"/>
      <c r="K37" s="9" t="n"/>
      <c r="P37" s="9" t="n"/>
      <c r="U37" s="9" t="n"/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s="12" t="inlineStr">
        <is>
          <t>OPM</t>
        </is>
      </c>
      <c r="C38" t="inlineStr">
        <is>
          <t>%</t>
        </is>
      </c>
      <c r="D38" t="inlineStr">
        <is>
          <t>영업이익 / 매출액</t>
        </is>
      </c>
      <c r="E38" s="21">
        <f>IFERROR(E9/E5,"")</f>
        <v/>
      </c>
      <c r="F38" s="22">
        <f>IFERROR(F9/F5,"")</f>
        <v/>
      </c>
      <c r="G38" s="21">
        <f>IFERROR(G9/G5,"")</f>
        <v/>
      </c>
      <c r="H38" s="21">
        <f>IFERROR(H9/H5,"")</f>
        <v/>
      </c>
      <c r="I38" s="21">
        <f>IFERROR(I9/I5,"")</f>
        <v/>
      </c>
      <c r="J38" s="21">
        <f>IFERROR(J9/J5,"")</f>
        <v/>
      </c>
      <c r="K38" s="22">
        <f>IFERROR(K9/K5,"")</f>
        <v/>
      </c>
      <c r="L38" s="21">
        <f>IFERROR(L9/L5,"")</f>
        <v/>
      </c>
      <c r="M38" s="21">
        <f>IFERROR(M9/M5,"")</f>
        <v/>
      </c>
      <c r="N38" s="21">
        <f>IFERROR(N9/N5,"")</f>
        <v/>
      </c>
      <c r="O38" s="21">
        <f>IFERROR(O9/O5,"")</f>
        <v/>
      </c>
      <c r="P38" s="22">
        <f>IFERROR(P9/P5,"")</f>
        <v/>
      </c>
      <c r="Q38" s="21">
        <f>IFERROR(Q9/Q5,"")</f>
        <v/>
      </c>
      <c r="R38" s="21">
        <f>IFERROR(R9/R5,"")</f>
        <v/>
      </c>
      <c r="S38" s="21">
        <f>IFERROR(S9/S5,"")</f>
        <v/>
      </c>
      <c r="T38" s="21">
        <f>IFERROR(T9/T5,"")</f>
        <v/>
      </c>
      <c r="U38" s="22">
        <f>IFERROR(U9/U5,"")</f>
        <v/>
      </c>
      <c r="V38" s="21">
        <f>IFERROR(V9/V5,"")</f>
        <v/>
      </c>
      <c r="W38" s="21">
        <f>IFERROR(W9/W5,"")</f>
        <v/>
      </c>
      <c r="X38" s="21">
        <f>IFERROR(X9/X5,"")</f>
        <v/>
      </c>
      <c r="Y38" s="21">
        <f>IFERROR(Y9/Y5,"")</f>
        <v/>
      </c>
      <c r="Z38" s="22">
        <f>IFERROR(Z9/Z5,"")</f>
        <v/>
      </c>
      <c r="AA38" s="21">
        <f>IFERROR(AA9/AA5,"")</f>
        <v/>
      </c>
      <c r="AB38" s="23">
        <f>IFERROR(AB9/AB5,"")</f>
        <v/>
      </c>
      <c r="AC38" s="31">
        <f>IFERROR(AC9/AC5,"")</f>
        <v/>
      </c>
      <c r="AD38" s="31">
        <f>IFERROR(AD9/AD5,"")</f>
        <v/>
      </c>
      <c r="AE38" s="25">
        <f>IFERROR(AE9/AE5,"")</f>
        <v/>
      </c>
      <c r="AF38" s="31">
        <f>IFERROR(AF9/AF5,"")</f>
        <v/>
      </c>
      <c r="AG38" s="31">
        <f>IFERROR(AG9/AG5,"")</f>
        <v/>
      </c>
      <c r="AH38" s="31">
        <f>IFERROR(AH9/AH5,"")</f>
        <v/>
      </c>
      <c r="AI38" s="31">
        <f>IFERROR(AI9/AI5,"")</f>
        <v/>
      </c>
      <c r="AJ38" s="25">
        <f>IFERROR(AJ9/AJ5,"")</f>
        <v/>
      </c>
      <c r="AK38" s="31">
        <f>IFERROR(AK9/AK5,"")</f>
        <v/>
      </c>
      <c r="AL38" s="31">
        <f>IFERROR(AL9/AL5,"")</f>
        <v/>
      </c>
      <c r="AM38" s="31">
        <f>IFERROR(AM9/AM5,"")</f>
        <v/>
      </c>
      <c r="AN38" s="31">
        <f>IFERROR(AN9/AN5,"")</f>
        <v/>
      </c>
      <c r="AO38" s="25">
        <f>IFERROR(AO9/AO5,"")</f>
        <v/>
      </c>
    </row>
    <row r="39">
      <c r="A39" s="12" t="inlineStr">
        <is>
          <t>NPM</t>
        </is>
      </c>
      <c r="C39" t="inlineStr">
        <is>
          <t>%</t>
        </is>
      </c>
      <c r="D39" t="inlineStr">
        <is>
          <t>지배주주순이익 / 매출액</t>
        </is>
      </c>
      <c r="E39" s="21">
        <f>IFERROR(E16/E5,"")</f>
        <v/>
      </c>
      <c r="F39" s="22">
        <f>IFERROR(F16/F5,"")</f>
        <v/>
      </c>
      <c r="G39" s="21">
        <f>IFERROR(G16/G5,"")</f>
        <v/>
      </c>
      <c r="H39" s="21">
        <f>IFERROR(H16/H5,"")</f>
        <v/>
      </c>
      <c r="I39" s="21">
        <f>IFERROR(I16/I5,"")</f>
        <v/>
      </c>
      <c r="J39" s="21">
        <f>IFERROR(J16/J5,"")</f>
        <v/>
      </c>
      <c r="K39" s="22">
        <f>IFERROR(K16/K5,"")</f>
        <v/>
      </c>
      <c r="L39" s="21">
        <f>IFERROR(L16/L5,"")</f>
        <v/>
      </c>
      <c r="M39" s="21">
        <f>IFERROR(M16/M5,"")</f>
        <v/>
      </c>
      <c r="N39" s="21">
        <f>IFERROR(N16/N5,"")</f>
        <v/>
      </c>
      <c r="O39" s="21">
        <f>IFERROR(O16/O5,"")</f>
        <v/>
      </c>
      <c r="P39" s="22">
        <f>IFERROR(P16/P5,"")</f>
        <v/>
      </c>
      <c r="Q39" s="21">
        <f>IFERROR(Q16/Q5,"")</f>
        <v/>
      </c>
      <c r="R39" s="21">
        <f>IFERROR(R16/R5,"")</f>
        <v/>
      </c>
      <c r="S39" s="21">
        <f>IFERROR(S16/S5,"")</f>
        <v/>
      </c>
      <c r="T39" s="21">
        <f>IFERROR(T16/T5,"")</f>
        <v/>
      </c>
      <c r="U39" s="22">
        <f>IFERROR(U16/U5,"")</f>
        <v/>
      </c>
      <c r="V39" s="21">
        <f>IFERROR(V16/V5,"")</f>
        <v/>
      </c>
      <c r="W39" s="21">
        <f>IFERROR(W16/W5,"")</f>
        <v/>
      </c>
      <c r="X39" s="21">
        <f>IFERROR(X16/X5,"")</f>
        <v/>
      </c>
      <c r="Y39" s="21">
        <f>IFERROR(Y16/Y5,"")</f>
        <v/>
      </c>
      <c r="Z39" s="22">
        <f>IFERROR(Z16/Z5,"")</f>
        <v/>
      </c>
      <c r="AA39" s="21">
        <f>IFERROR(AA16/AA5,"")</f>
        <v/>
      </c>
      <c r="AB39" s="23">
        <f>IFERROR(AB16/AB5,"")</f>
        <v/>
      </c>
      <c r="AC39" s="31">
        <f>IFERROR(AC16/AC5,"")</f>
        <v/>
      </c>
      <c r="AD39" s="31">
        <f>IFERROR(AD16/AD5,"")</f>
        <v/>
      </c>
      <c r="AE39" s="25">
        <f>IFERROR(AE16/AE5,"")</f>
        <v/>
      </c>
      <c r="AF39" s="31">
        <f>IFERROR(AF16/AF5,"")</f>
        <v/>
      </c>
      <c r="AG39" s="31">
        <f>IFERROR(AG16/AG5,"")</f>
        <v/>
      </c>
      <c r="AH39" s="31">
        <f>IFERROR(AH16/AH5,"")</f>
        <v/>
      </c>
      <c r="AI39" s="31">
        <f>IFERROR(AI16/AI5,"")</f>
        <v/>
      </c>
      <c r="AJ39" s="25">
        <f>IFERROR(AJ16/AJ5,"")</f>
        <v/>
      </c>
      <c r="AK39" s="31">
        <f>IFERROR(AK16/AK5,"")</f>
        <v/>
      </c>
      <c r="AL39" s="31">
        <f>IFERROR(AL16/AL5,"")</f>
        <v/>
      </c>
      <c r="AM39" s="31">
        <f>IFERROR(AM16/AM5,"")</f>
        <v/>
      </c>
      <c r="AN39" s="31">
        <f>IFERROR(AN16/AN5,"")</f>
        <v/>
      </c>
      <c r="AO39" s="25">
        <f>IFERROR(AO16/AO5,"")</f>
        <v/>
      </c>
    </row>
    <row r="40">
      <c r="A40" s="12" t="inlineStr">
        <is>
          <t>매출원가율</t>
        </is>
      </c>
      <c r="C40" t="inlineStr">
        <is>
          <t>%</t>
        </is>
      </c>
      <c r="D40" t="inlineStr">
        <is>
          <t>매출원가 / 매출액</t>
        </is>
      </c>
      <c r="E40" s="21">
        <f>IFERROR(E6/E5,"")</f>
        <v/>
      </c>
      <c r="F40" s="22">
        <f>IFERROR(F6/F5,"")</f>
        <v/>
      </c>
      <c r="G40" s="21">
        <f>IFERROR(G6/G5,"")</f>
        <v/>
      </c>
      <c r="H40" s="21">
        <f>IFERROR(H6/H5,"")</f>
        <v/>
      </c>
      <c r="I40" s="21">
        <f>IFERROR(I6/I5,"")</f>
        <v/>
      </c>
      <c r="J40" s="21">
        <f>IFERROR(J6/J5,"")</f>
        <v/>
      </c>
      <c r="K40" s="22">
        <f>IFERROR(K6/K5,"")</f>
        <v/>
      </c>
      <c r="L40" s="21">
        <f>IFERROR(L6/L5,"")</f>
        <v/>
      </c>
      <c r="M40" s="21">
        <f>IFERROR(M6/M5,"")</f>
        <v/>
      </c>
      <c r="N40" s="21">
        <f>IFERROR(N6/N5,"")</f>
        <v/>
      </c>
      <c r="O40" s="21">
        <f>IFERROR(O6/O5,"")</f>
        <v/>
      </c>
      <c r="P40" s="22">
        <f>IFERROR(P6/P5,"")</f>
        <v/>
      </c>
      <c r="Q40" s="21">
        <f>IFERROR(Q6/Q5,"")</f>
        <v/>
      </c>
      <c r="R40" s="21">
        <f>IFERROR(R6/R5,"")</f>
        <v/>
      </c>
      <c r="S40" s="21">
        <f>IFERROR(S6/S5,"")</f>
        <v/>
      </c>
      <c r="T40" s="21">
        <f>IFERROR(T6/T5,"")</f>
        <v/>
      </c>
      <c r="U40" s="22">
        <f>IFERROR(U6/U5,"")</f>
        <v/>
      </c>
      <c r="V40" s="21">
        <f>IFERROR(V6/V5,"")</f>
        <v/>
      </c>
      <c r="W40" s="21">
        <f>IFERROR(W6/W5,"")</f>
        <v/>
      </c>
      <c r="X40" s="21">
        <f>IFERROR(X6/X5,"")</f>
        <v/>
      </c>
      <c r="Y40" s="21">
        <f>IFERROR(Y6/Y5,"")</f>
        <v/>
      </c>
      <c r="Z40" s="22">
        <f>IFERROR(Z6/Z5,"")</f>
        <v/>
      </c>
      <c r="AA40" s="21">
        <f>IFERROR(AA6/AA5,"")</f>
        <v/>
      </c>
      <c r="AB40" s="23">
        <f>IFERROR(AB6/AB5,"")</f>
        <v/>
      </c>
      <c r="AC40" s="31">
        <f>IFERROR(AC6/AC5,"")</f>
        <v/>
      </c>
      <c r="AD40" s="31">
        <f>IFERROR(AD6/AD5,"")</f>
        <v/>
      </c>
      <c r="AE40" s="25">
        <f>IFERROR(AE6/AE5,"")</f>
        <v/>
      </c>
      <c r="AF40" s="31">
        <f>IFERROR(AF6/AF5,"")</f>
        <v/>
      </c>
      <c r="AG40" s="31">
        <f>IFERROR(AG6/AG5,"")</f>
        <v/>
      </c>
      <c r="AH40" s="31">
        <f>IFERROR(AH6/AH5,"")</f>
        <v/>
      </c>
      <c r="AI40" s="31">
        <f>IFERROR(AI6/AI5,"")</f>
        <v/>
      </c>
      <c r="AJ40" s="25">
        <f>IFERROR(AJ6/AJ5,"")</f>
        <v/>
      </c>
      <c r="AK40" s="31">
        <f>IFERROR(AK6/AK5,"")</f>
        <v/>
      </c>
      <c r="AL40" s="31">
        <f>IFERROR(AL6/AL5,"")</f>
        <v/>
      </c>
      <c r="AM40" s="31">
        <f>IFERROR(AM6/AM5,"")</f>
        <v/>
      </c>
      <c r="AN40" s="31">
        <f>IFERROR(AN6/AN5,"")</f>
        <v/>
      </c>
      <c r="AO40" s="25">
        <f>IFERROR(AO6/AO5,"")</f>
        <v/>
      </c>
    </row>
    <row r="41">
      <c r="A41" s="12" t="inlineStr">
        <is>
          <t>판관비율</t>
        </is>
      </c>
      <c r="C41" t="inlineStr">
        <is>
          <t>%</t>
        </is>
      </c>
      <c r="D41" t="inlineStr">
        <is>
          <t>판관비 / 매출액</t>
        </is>
      </c>
      <c r="E41" s="21">
        <f>IFERROR(E8/E5,"")</f>
        <v/>
      </c>
      <c r="F41" s="22">
        <f>IFERROR(F8/F5,"")</f>
        <v/>
      </c>
      <c r="G41" s="21">
        <f>IFERROR(G8/G5,"")</f>
        <v/>
      </c>
      <c r="H41" s="21">
        <f>IFERROR(H8/H5,"")</f>
        <v/>
      </c>
      <c r="I41" s="21">
        <f>IFERROR(I8/I5,"")</f>
        <v/>
      </c>
      <c r="J41" s="21">
        <f>IFERROR(J8/J5,"")</f>
        <v/>
      </c>
      <c r="K41" s="22">
        <f>IFERROR(K8/K5,"")</f>
        <v/>
      </c>
      <c r="L41" s="21">
        <f>IFERROR(L8/L5,"")</f>
        <v/>
      </c>
      <c r="M41" s="21">
        <f>IFERROR(M8/M5,"")</f>
        <v/>
      </c>
      <c r="N41" s="21">
        <f>IFERROR(N8/N5,"")</f>
        <v/>
      </c>
      <c r="O41" s="21">
        <f>IFERROR(O8/O5,"")</f>
        <v/>
      </c>
      <c r="P41" s="22">
        <f>IFERROR(P8/P5,"")</f>
        <v/>
      </c>
      <c r="Q41" s="21">
        <f>IFERROR(Q8/Q5,"")</f>
        <v/>
      </c>
      <c r="R41" s="21">
        <f>IFERROR(R8/R5,"")</f>
        <v/>
      </c>
      <c r="S41" s="21">
        <f>IFERROR(S8/S5,"")</f>
        <v/>
      </c>
      <c r="T41" s="21">
        <f>IFERROR(T8/T5,"")</f>
        <v/>
      </c>
      <c r="U41" s="22">
        <f>IFERROR(U8/U5,"")</f>
        <v/>
      </c>
      <c r="V41" s="21">
        <f>IFERROR(V8/V5,"")</f>
        <v/>
      </c>
      <c r="W41" s="21">
        <f>IFERROR(W8/W5,"")</f>
        <v/>
      </c>
      <c r="X41" s="21">
        <f>IFERROR(X8/X5,"")</f>
        <v/>
      </c>
      <c r="Y41" s="21">
        <f>IFERROR(Y8/Y5,"")</f>
        <v/>
      </c>
      <c r="Z41" s="22">
        <f>IFERROR(Z8/Z5,"")</f>
        <v/>
      </c>
      <c r="AA41" s="21">
        <f>IFERROR(AA8/AA5,"")</f>
        <v/>
      </c>
      <c r="AB41" s="23">
        <f>IFERROR(AB8/AB5,"")</f>
        <v/>
      </c>
      <c r="AC41" s="31">
        <f>IFERROR(AC8/AC5,"")</f>
        <v/>
      </c>
      <c r="AD41" s="31">
        <f>IFERROR(AD8/AD5,"")</f>
        <v/>
      </c>
      <c r="AE41" s="25">
        <f>IFERROR(AE8/AE5,"")</f>
        <v/>
      </c>
      <c r="AF41" s="31">
        <f>IFERROR(AF8/AF5,"")</f>
        <v/>
      </c>
      <c r="AG41" s="31">
        <f>IFERROR(AG8/AG5,"")</f>
        <v/>
      </c>
      <c r="AH41" s="31">
        <f>IFERROR(AH8/AH5,"")</f>
        <v/>
      </c>
      <c r="AI41" s="31">
        <f>IFERROR(AI8/AI5,"")</f>
        <v/>
      </c>
      <c r="AJ41" s="25">
        <f>IFERROR(AJ8/AJ5,"")</f>
        <v/>
      </c>
      <c r="AK41" s="31">
        <f>IFERROR(AK8/AK5,"")</f>
        <v/>
      </c>
      <c r="AL41" s="31">
        <f>IFERROR(AL8/AL5,"")</f>
        <v/>
      </c>
      <c r="AM41" s="31">
        <f>IFERROR(AM8/AM5,"")</f>
        <v/>
      </c>
      <c r="AN41" s="31">
        <f>IFERROR(AN8/AN5,"")</f>
        <v/>
      </c>
      <c r="AO41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7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변수!D48</f>
        <v/>
      </c>
      <c r="W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39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0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1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1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1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1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1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2">
        <f>IFERROR(VLOOKUP($A10,subQ,MATCH(W$1,SUBQH,0),0),"")</f>
        <v/>
      </c>
      <c r="X10" s="31">
        <f>IFERROR(VLOOKUP($A10,subQ,MATCH(X$1,SUBQH,0),0),"")</f>
        <v/>
      </c>
      <c r="Y10" s="31">
        <f>IFERROR(VLOOKUP($A10,subQ,MATCH(Y$1,SUBQH,0),0),"")</f>
        <v/>
      </c>
      <c r="Z10" s="31">
        <f>IFERROR(VLOOKUP($A10,subQ,MATCH(Z$1,SUBQH,0),0),"")</f>
        <v/>
      </c>
      <c r="AA10" s="31">
        <f>IFERROR(VLOOKUP($A10,subQ,MATCH(AA$1,SUBQH,0),0),"")</f>
        <v/>
      </c>
      <c r="AB10" s="31">
        <f>IFERROR(VLOOKUP($A10,subQ,MATCH(AB$1,SUBQH,0),0),"")</f>
        <v/>
      </c>
      <c r="AC10" s="31">
        <f>IFERROR(VLOOKUP($A10,subQ,MATCH(AC$1,SUBQH,0),0),"")</f>
        <v/>
      </c>
      <c r="AD10" s="31">
        <f>IFERROR(VLOOKUP($A10,subQ,MATCH(AD$1,SUBQH,0),0),"")</f>
        <v/>
      </c>
      <c r="AE10" s="31">
        <f>IFERROR(VLOOKUP($A10,subQ,MATCH(AE$1,SUBQH,0),0),"")</f>
        <v/>
      </c>
      <c r="AF10" s="31">
        <f>IFERROR(VLOOKUP($A10,subQ,MATCH(AF$1,SUBQH,0),0),"")</f>
        <v/>
      </c>
      <c r="AG10" s="31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1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1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세전이익</t>
        </is>
      </c>
      <c r="D13" t="inlineStr">
        <is>
          <t>법인세비용차감전이익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1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법인세비용</t>
        </is>
      </c>
      <c r="D14" t="inlineStr">
        <is>
          <t>법인세비용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1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당기순이익</t>
        </is>
      </c>
      <c r="D15" t="inlineStr">
        <is>
          <t>당기순이익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1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지배주주순이익</t>
        </is>
      </c>
      <c r="D16" t="inlineStr">
        <is>
          <t>지배주주순이익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1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감가상각비</t>
        </is>
      </c>
      <c r="D17" t="inlineStr">
        <is>
          <t>감가상각비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1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EBITDA</t>
        </is>
      </c>
      <c r="D18" t="inlineStr">
        <is>
          <t>EBITDA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1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1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1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1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1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1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1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1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1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1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1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6">
        <f>IFERROR(VLOOKUP($A29,subQ,MATCH(E$1,SUBQH,0),0),"")</f>
        <v/>
      </c>
      <c r="F29" s="26">
        <f>IFERROR(VLOOKUP($A29,subQ,MATCH(F$1,SUBQH,0),0),"")</f>
        <v/>
      </c>
      <c r="G29" s="26">
        <f>IFERROR(VLOOKUP($A29,subQ,MATCH(G$1,SUBQH,0),0),"")</f>
        <v/>
      </c>
      <c r="H29" s="26">
        <f>IFERROR(VLOOKUP($A29,subQ,MATCH(H$1,SUBQH,0),0),"")</f>
        <v/>
      </c>
      <c r="I29" s="26">
        <f>IFERROR(VLOOKUP($A29,subQ,MATCH(I$1,SUBQH,0),0),"")</f>
        <v/>
      </c>
      <c r="J29" s="26">
        <f>IFERROR(VLOOKUP($A29,subQ,MATCH(J$1,SUBQH,0),0),"")</f>
        <v/>
      </c>
      <c r="K29" s="26">
        <f>IFERROR(VLOOKUP($A29,subQ,MATCH(K$1,SUBQH,0),0),"")</f>
        <v/>
      </c>
      <c r="L29" s="26">
        <f>IFERROR(VLOOKUP($A29,subQ,MATCH(L$1,SUBQH,0),0),"")</f>
        <v/>
      </c>
      <c r="M29" s="26">
        <f>IFERROR(VLOOKUP($A29,subQ,MATCH(M$1,SUBQH,0),0),"")</f>
        <v/>
      </c>
      <c r="N29" s="26">
        <f>IFERROR(VLOOKUP($A29,subQ,MATCH(N$1,SUBQH,0),0),"")</f>
        <v/>
      </c>
      <c r="O29" s="26">
        <f>IFERROR(VLOOKUP($A29,subQ,MATCH(O$1,SUBQH,0),0),"")</f>
        <v/>
      </c>
      <c r="P29" s="26">
        <f>IFERROR(VLOOKUP($A29,subQ,MATCH(P$1,SUBQH,0),0),"")</f>
        <v/>
      </c>
      <c r="Q29" s="26">
        <f>IFERROR(VLOOKUP($A29,subQ,MATCH(Q$1,SUBQH,0),0),"")</f>
        <v/>
      </c>
      <c r="R29" s="26">
        <f>IFERROR(VLOOKUP($A29,subQ,MATCH(R$1,SUBQH,0),0),"")</f>
        <v/>
      </c>
      <c r="S29" s="26">
        <f>IFERROR(VLOOKUP($A29,subQ,MATCH(S$1,SUBQH,0),0),"")</f>
        <v/>
      </c>
      <c r="T29" s="26">
        <f>IFERROR(VLOOKUP($A29,subQ,MATCH(T$1,SUBQH,0),0),"")</f>
        <v/>
      </c>
      <c r="U29" s="26">
        <f>IFERROR(VLOOKUP($A29,subQ,MATCH(U$1,SUBQH,0),0),"")</f>
        <v/>
      </c>
      <c r="V29" s="26">
        <f>IFERROR(VLOOKUP($A29,subQ,MATCH(V$1,SUBQH,0),0),"")</f>
        <v/>
      </c>
      <c r="W29" s="43">
        <f>IFERROR(VLOOKUP($A29,subQ,MATCH(W$1,SUBQH,0),0),"")</f>
        <v/>
      </c>
      <c r="X29" s="36">
        <f>IFERROR(VLOOKUP($A29,subQ,MATCH(X$1,SUBQH,0),0),"")</f>
        <v/>
      </c>
      <c r="Y29" s="36">
        <f>IFERROR(VLOOKUP($A29,subQ,MATCH(Y$1,SUBQH,0),0),"")</f>
        <v/>
      </c>
      <c r="Z29" s="36">
        <f>IFERROR(VLOOKUP($A29,subQ,MATCH(Z$1,SUBQH,0),0),"")</f>
        <v/>
      </c>
      <c r="AA29" s="36">
        <f>IFERROR(VLOOKUP($A29,subQ,MATCH(AA$1,SUBQH,0),0),"")</f>
        <v/>
      </c>
      <c r="AB29" s="36">
        <f>IFERROR(VLOOKUP($A29,subQ,MATCH(AB$1,SUBQH,0),0),"")</f>
        <v/>
      </c>
      <c r="AC29" s="36">
        <f>IFERROR(VLOOKUP($A29,subQ,MATCH(AC$1,SUBQH,0),0),"")</f>
        <v/>
      </c>
      <c r="AD29" s="36">
        <f>IFERROR(VLOOKUP($A29,subQ,MATCH(AD$1,SUBQH,0),0),"")</f>
        <v/>
      </c>
      <c r="AE29" s="36">
        <f>IFERROR(VLOOKUP($A29,subQ,MATCH(AE$1,SUBQH,0),0),"")</f>
        <v/>
      </c>
      <c r="AF29" s="36">
        <f>IFERROR(VLOOKUP($A29,subQ,MATCH(AF$1,SUBQH,0),0),"")</f>
        <v/>
      </c>
      <c r="AG29" s="36">
        <f>IFERROR(VLOOKUP($A29,subQ,MATCH(AG$1,SUBQH,0),0),"")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1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BPS</t>
        </is>
      </c>
      <c r="D31" t="inlineStr">
        <is>
          <t>BPS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1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DPS</t>
        </is>
      </c>
      <c r="D32" t="inlineStr">
        <is>
          <t>DPS(보통주)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1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PER</t>
        </is>
      </c>
      <c r="D33" t="inlineStr">
        <is>
          <t>PER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1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PBR</t>
        </is>
      </c>
      <c r="D34" t="inlineStr">
        <is>
          <t>PBR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1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1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1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OPM</t>
        </is>
      </c>
      <c r="D37" t="inlineStr">
        <is>
          <t>영업이익률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21">
        <f>IFERROR(VLOOKUP($A37,subQ,MATCH(I$1,SUBQH,0),0),"")</f>
        <v/>
      </c>
      <c r="J37" s="21">
        <f>IFERROR(VLOOKUP($A37,subQ,MATCH(J$1,SUBQH,0),0),"")</f>
        <v/>
      </c>
      <c r="K37" s="21">
        <f>IFERROR(VLOOKUP($A37,subQ,MATCH(K$1,SUBQH,0),0),"")</f>
        <v/>
      </c>
      <c r="L37" s="21">
        <f>IFERROR(VLOOKUP($A37,subQ,MATCH(L$1,SUBQH,0),0),"")</f>
        <v/>
      </c>
      <c r="M37" s="21">
        <f>IFERROR(VLOOKUP($A37,subQ,MATCH(M$1,SUBQH,0),0),"")</f>
        <v/>
      </c>
      <c r="N37" s="21">
        <f>IFERROR(VLOOKUP($A37,subQ,MATCH(N$1,SUBQH,0),0),"")</f>
        <v/>
      </c>
      <c r="O37" s="21">
        <f>IFERROR(VLOOKUP($A37,subQ,MATCH(O$1,SUBQH,0),0),"")</f>
        <v/>
      </c>
      <c r="P37" s="21">
        <f>IFERROR(VLOOKUP($A37,subQ,MATCH(P$1,SUBQH,0),0),"")</f>
        <v/>
      </c>
      <c r="Q37" s="21">
        <f>IFERROR(VLOOKUP($A37,subQ,MATCH(Q$1,SUBQH,0),0),"")</f>
        <v/>
      </c>
      <c r="R37" s="21">
        <f>IFERROR(VLOOKUP($A37,subQ,MATCH(R$1,SUBQH,0),0),"")</f>
        <v/>
      </c>
      <c r="S37" s="21">
        <f>IFERROR(VLOOKUP($A37,subQ,MATCH(S$1,SUBQH,0),0),"")</f>
        <v/>
      </c>
      <c r="T37" s="21">
        <f>IFERROR(VLOOKUP($A37,subQ,MATCH(T$1,SUBQH,0),0),"")</f>
        <v/>
      </c>
      <c r="U37" s="21">
        <f>IFERROR(VLOOKUP($A37,subQ,MATCH(U$1,SUBQH,0),0),"")</f>
        <v/>
      </c>
      <c r="V37" s="21">
        <f>IFERROR(VLOOKUP($A37,subQ,MATCH(V$1,SUBQH,0),0),"")</f>
        <v/>
      </c>
      <c r="W37" s="42">
        <f>IFERROR(VLOOKUP($A37,subQ,MATCH(W$1,SUBQH,0),0),"")</f>
        <v/>
      </c>
      <c r="X37" s="31">
        <f>IFERROR(VLOOKUP($A37,subQ,MATCH(X$1,SUBQH,0),0),"")</f>
        <v/>
      </c>
      <c r="Y37" s="31">
        <f>IFERROR(VLOOKUP($A37,subQ,MATCH(Y$1,SUBQH,0),0),"")</f>
        <v/>
      </c>
      <c r="Z37" s="31">
        <f>IFERROR(VLOOKUP($A37,subQ,MATCH(Z$1,SUBQH,0),0),"")</f>
        <v/>
      </c>
      <c r="AA37" s="31">
        <f>IFERROR(VLOOKUP($A37,subQ,MATCH(AA$1,SUBQH,0),0),"")</f>
        <v/>
      </c>
      <c r="AB37" s="31">
        <f>IFERROR(VLOOKUP($A37,subQ,MATCH(AB$1,SUBQH,0),0),"")</f>
        <v/>
      </c>
      <c r="AC37" s="31">
        <f>IFERROR(VLOOKUP($A37,subQ,MATCH(AC$1,SUBQH,0),0),"")</f>
        <v/>
      </c>
      <c r="AD37" s="31">
        <f>IFERROR(VLOOKUP($A37,subQ,MATCH(AD$1,SUBQH,0),0),"")</f>
        <v/>
      </c>
      <c r="AE37" s="31">
        <f>IFERROR(VLOOKUP($A37,subQ,MATCH(AE$1,SUBQH,0),0),"")</f>
        <v/>
      </c>
      <c r="AF37" s="31">
        <f>IFERROR(VLOOKUP($A37,subQ,MATCH(AF$1,SUBQH,0),0),"")</f>
        <v/>
      </c>
      <c r="AG37" s="31">
        <f>IFERROR(VLOOKUP($A37,subQ,MATCH(AG$1,SUBQH,0),0),"")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21">
        <f>IFERROR(VLOOKUP($A38,subQ,MATCH(G$1,SUBQH,0),0),"")</f>
        <v/>
      </c>
      <c r="H38" s="21">
        <f>IFERROR(VLOOKUP($A38,subQ,MATCH(H$1,SUBQH,0),0),"")</f>
        <v/>
      </c>
      <c r="I38" s="21">
        <f>IFERROR(VLOOKUP($A38,subQ,MATCH(I$1,SUBQH,0),0),"")</f>
        <v/>
      </c>
      <c r="J38" s="21">
        <f>IFERROR(VLOOKUP($A38,subQ,MATCH(J$1,SUBQH,0),0),"")</f>
        <v/>
      </c>
      <c r="K38" s="21">
        <f>IFERROR(VLOOKUP($A38,subQ,MATCH(K$1,SUBQH,0),0),"")</f>
        <v/>
      </c>
      <c r="L38" s="21">
        <f>IFERROR(VLOOKUP($A38,subQ,MATCH(L$1,SUBQH,0),0),"")</f>
        <v/>
      </c>
      <c r="M38" s="21">
        <f>IFERROR(VLOOKUP($A38,subQ,MATCH(M$1,SUBQH,0),0),"")</f>
        <v/>
      </c>
      <c r="N38" s="21">
        <f>IFERROR(VLOOKUP($A38,subQ,MATCH(N$1,SUBQH,0),0),"")</f>
        <v/>
      </c>
      <c r="O38" s="21">
        <f>IFERROR(VLOOKUP($A38,subQ,MATCH(O$1,SUBQH,0),0),"")</f>
        <v/>
      </c>
      <c r="P38" s="21">
        <f>IFERROR(VLOOKUP($A38,subQ,MATCH(P$1,SUBQH,0),0),"")</f>
        <v/>
      </c>
      <c r="Q38" s="21">
        <f>IFERROR(VLOOKUP($A38,subQ,MATCH(Q$1,SUBQH,0),0),"")</f>
        <v/>
      </c>
      <c r="R38" s="21">
        <f>IFERROR(VLOOKUP($A38,subQ,MATCH(R$1,SUBQH,0),0),"")</f>
        <v/>
      </c>
      <c r="S38" s="21">
        <f>IFERROR(VLOOKUP($A38,subQ,MATCH(S$1,SUBQH,0),0),"")</f>
        <v/>
      </c>
      <c r="T38" s="21">
        <f>IFERROR(VLOOKUP($A38,subQ,MATCH(T$1,SUBQH,0),0),"")</f>
        <v/>
      </c>
      <c r="U38" s="21">
        <f>IFERROR(VLOOKUP($A38,subQ,MATCH(U$1,SUBQH,0),0),"")</f>
        <v/>
      </c>
      <c r="V38" s="21">
        <f>IFERROR(VLOOKUP($A38,subQ,MATCH(V$1,SUBQH,0),0),"")</f>
        <v/>
      </c>
      <c r="W38" s="42">
        <f>IFERROR(VLOOKUP($A38,subQ,MATCH(W$1,SUBQH,0),0),"")</f>
        <v/>
      </c>
      <c r="X38" s="31">
        <f>IFERROR(VLOOKUP($A38,subQ,MATCH(X$1,SUBQH,0),0),"")</f>
        <v/>
      </c>
      <c r="Y38" s="31">
        <f>IFERROR(VLOOKUP($A38,subQ,MATCH(Y$1,SUBQH,0),0),"")</f>
        <v/>
      </c>
      <c r="Z38" s="31">
        <f>IFERROR(VLOOKUP($A38,subQ,MATCH(Z$1,SUBQH,0),0),"")</f>
        <v/>
      </c>
      <c r="AA38" s="31">
        <f>IFERROR(VLOOKUP($A38,subQ,MATCH(AA$1,SUBQH,0),0),"")</f>
        <v/>
      </c>
      <c r="AB38" s="31">
        <f>IFERROR(VLOOKUP($A38,subQ,MATCH(AB$1,SUBQH,0),0),"")</f>
        <v/>
      </c>
      <c r="AC38" s="31">
        <f>IFERROR(VLOOKUP($A38,subQ,MATCH(AC$1,SUBQH,0),0),"")</f>
        <v/>
      </c>
      <c r="AD38" s="31">
        <f>IFERROR(VLOOKUP($A38,subQ,MATCH(AD$1,SUBQH,0),0),"")</f>
        <v/>
      </c>
      <c r="AE38" s="31">
        <f>IFERROR(VLOOKUP($A38,subQ,MATCH(AE$1,SUBQH,0),0),"")</f>
        <v/>
      </c>
      <c r="AF38" s="31">
        <f>IFERROR(VLOOKUP($A38,subQ,MATCH(AF$1,SUBQH,0),0),"")</f>
        <v/>
      </c>
      <c r="AG38" s="31">
        <f>IFERROR(VLOOKUP($A38,subQ,MATCH(AG$1,SUBQH,0),0),"")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I39" s="21">
        <f>IFERROR(I5/E5-1,"")</f>
        <v/>
      </c>
      <c r="J39" s="21">
        <f>IFERROR(J5/F5-1,"")</f>
        <v/>
      </c>
      <c r="K39" s="21">
        <f>IFERROR(K5/G5-1,"")</f>
        <v/>
      </c>
      <c r="L39" s="21">
        <f>IFERROR(L5/H5-1,"")</f>
        <v/>
      </c>
      <c r="M39" s="21">
        <f>IFERROR(M5/I5-1,"")</f>
        <v/>
      </c>
      <c r="N39" s="21">
        <f>IFERROR(N5/J5-1,"")</f>
        <v/>
      </c>
      <c r="O39" s="21">
        <f>IFERROR(O5/K5-1,"")</f>
        <v/>
      </c>
      <c r="P39" s="21">
        <f>IFERROR(P5/L5-1,"")</f>
        <v/>
      </c>
      <c r="Q39" s="21">
        <f>IFERROR(Q5/M5-1,"")</f>
        <v/>
      </c>
      <c r="R39" s="21">
        <f>IFERROR(R5/N5-1,"")</f>
        <v/>
      </c>
      <c r="S39" s="21">
        <f>IFERROR(S5/O5-1,"")</f>
        <v/>
      </c>
      <c r="T39" s="21">
        <f>IFERROR(T5/P5-1,"")</f>
        <v/>
      </c>
      <c r="U39" s="21">
        <f>IFERROR(U5/Q5-1,"")</f>
        <v/>
      </c>
      <c r="V39" s="21">
        <f>IFERROR(V5/R5-1,"")</f>
        <v/>
      </c>
      <c r="W39" s="42">
        <f>IFERROR(W5/S5-1,"")</f>
        <v/>
      </c>
      <c r="X39" s="31">
        <f>IFERROR(X5/T5-1,"")</f>
        <v/>
      </c>
      <c r="Y39" s="31">
        <f>IFERROR(Y5/U5-1,"")</f>
        <v/>
      </c>
      <c r="Z39" s="31">
        <f>IFERROR(Z5/V5-1,"")</f>
        <v/>
      </c>
      <c r="AA39" s="31">
        <f>IFERROR(AA5/W5-1,"")</f>
        <v/>
      </c>
      <c r="AB39" s="31">
        <f>IFERROR(AB5/X5-1,"")</f>
        <v/>
      </c>
      <c r="AC39" s="31">
        <f>IFERROR(AC5/Y5-1,"")</f>
        <v/>
      </c>
      <c r="AD39" s="31">
        <f>IFERROR(AD5/Z5-1,"")</f>
        <v/>
      </c>
      <c r="AE39" s="31">
        <f>IFERROR(AE5/AA5-1,"")</f>
        <v/>
      </c>
      <c r="AF39" s="31">
        <f>IFERROR(AF5/AB5-1,"")</f>
        <v/>
      </c>
      <c r="AG39" s="31">
        <f>IFERROR(AG5/AC5-1,"")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I40" s="21">
        <f>IFERROR(I9/E9-1,"")</f>
        <v/>
      </c>
      <c r="J40" s="21">
        <f>IFERROR(J9/F9-1,"")</f>
        <v/>
      </c>
      <c r="K40" s="21">
        <f>IFERROR(K9/G9-1,"")</f>
        <v/>
      </c>
      <c r="L40" s="21">
        <f>IFERROR(L9/H9-1,"")</f>
        <v/>
      </c>
      <c r="M40" s="21">
        <f>IFERROR(M9/I9-1,"")</f>
        <v/>
      </c>
      <c r="N40" s="21">
        <f>IFERROR(N9/J9-1,"")</f>
        <v/>
      </c>
      <c r="O40" s="21">
        <f>IFERROR(O9/K9-1,"")</f>
        <v/>
      </c>
      <c r="P40" s="21">
        <f>IFERROR(P9/L9-1,"")</f>
        <v/>
      </c>
      <c r="Q40" s="21">
        <f>IFERROR(Q9/M9-1,"")</f>
        <v/>
      </c>
      <c r="R40" s="21">
        <f>IFERROR(R9/N9-1,"")</f>
        <v/>
      </c>
      <c r="S40" s="21">
        <f>IFERROR(S9/O9-1,"")</f>
        <v/>
      </c>
      <c r="T40" s="21">
        <f>IFERROR(T9/P9-1,"")</f>
        <v/>
      </c>
      <c r="U40" s="21">
        <f>IFERROR(U9/Q9-1,"")</f>
        <v/>
      </c>
      <c r="V40" s="21">
        <f>IFERROR(V9/R9-1,"")</f>
        <v/>
      </c>
      <c r="W40" s="42">
        <f>IFERROR(W9/S9-1,"")</f>
        <v/>
      </c>
      <c r="X40" s="31">
        <f>IFERROR(X9/T9-1,"")</f>
        <v/>
      </c>
      <c r="Y40" s="31">
        <f>IFERROR(Y9/U9-1,"")</f>
        <v/>
      </c>
      <c r="Z40" s="31">
        <f>IFERROR(Z9/V9-1,"")</f>
        <v/>
      </c>
      <c r="AA40" s="31">
        <f>IFERROR(AA9/W9-1,"")</f>
        <v/>
      </c>
      <c r="AB40" s="31">
        <f>IFERROR(AB9/X9-1,"")</f>
        <v/>
      </c>
      <c r="AC40" s="31">
        <f>IFERROR(AC9/Y9-1,"")</f>
        <v/>
      </c>
      <c r="AD40" s="31">
        <f>IFERROR(AD9/Z9-1,"")</f>
        <v/>
      </c>
      <c r="AE40" s="31">
        <f>IFERROR(AE9/AA9-1,"")</f>
        <v/>
      </c>
      <c r="AF40" s="31">
        <f>IFERROR(AF9/AB9-1,"")</f>
        <v/>
      </c>
      <c r="AG40" s="31">
        <f>IFERROR(AG9/AC9-1,"")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I41" s="21">
        <f>IFERROR(I16/E16-1,"")</f>
        <v/>
      </c>
      <c r="J41" s="21">
        <f>IFERROR(J16/F16-1,"")</f>
        <v/>
      </c>
      <c r="K41" s="21">
        <f>IFERROR(K16/G16-1,"")</f>
        <v/>
      </c>
      <c r="L41" s="21">
        <f>IFERROR(L16/H16-1,"")</f>
        <v/>
      </c>
      <c r="M41" s="21">
        <f>IFERROR(M16/I16-1,"")</f>
        <v/>
      </c>
      <c r="N41" s="21">
        <f>IFERROR(N16/J16-1,"")</f>
        <v/>
      </c>
      <c r="O41" s="21">
        <f>IFERROR(O16/K16-1,"")</f>
        <v/>
      </c>
      <c r="P41" s="21">
        <f>IFERROR(P16/L16-1,"")</f>
        <v/>
      </c>
      <c r="Q41" s="21">
        <f>IFERROR(Q16/M16-1,"")</f>
        <v/>
      </c>
      <c r="R41" s="21">
        <f>IFERROR(R16/N16-1,"")</f>
        <v/>
      </c>
      <c r="S41" s="21">
        <f>IFERROR(S16/O16-1,"")</f>
        <v/>
      </c>
      <c r="T41" s="21">
        <f>IFERROR(T16/P16-1,"")</f>
        <v/>
      </c>
      <c r="U41" s="21">
        <f>IFERROR(U16/Q16-1,"")</f>
        <v/>
      </c>
      <c r="V41" s="21">
        <f>IFERROR(V16/R16-1,"")</f>
        <v/>
      </c>
      <c r="W41" s="42">
        <f>IFERROR(W16/S16-1,"")</f>
        <v/>
      </c>
      <c r="X41" s="31">
        <f>IFERROR(X16/T16-1,"")</f>
        <v/>
      </c>
      <c r="Y41" s="31">
        <f>IFERROR(Y16/U16-1,"")</f>
        <v/>
      </c>
      <c r="Z41" s="31">
        <f>IFERROR(Z16/V16-1,"")</f>
        <v/>
      </c>
      <c r="AA41" s="31">
        <f>IFERROR(AA16/W16-1,"")</f>
        <v/>
      </c>
      <c r="AB41" s="31">
        <f>IFERROR(AB16/X16-1,"")</f>
        <v/>
      </c>
      <c r="AC41" s="31">
        <f>IFERROR(AC16/Y16-1,"")</f>
        <v/>
      </c>
      <c r="AD41" s="31">
        <f>IFERROR(AD16/Z16-1,"")</f>
        <v/>
      </c>
      <c r="AE41" s="31">
        <f>IFERROR(AE16/AA16-1,"")</f>
        <v/>
      </c>
      <c r="AF41" s="31">
        <f>IFERROR(AF16/AB16-1,"")</f>
        <v/>
      </c>
      <c r="AG41" s="31">
        <f>IFERROR(AG16/AC16-1,"")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37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변수!D48</f>
        <v/>
      </c>
      <c r="I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39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0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1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1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1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1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1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2">
        <f>IFERROR(VLOOKUP($A10,subQ,MATCH(I$1,SUBQH,0),0),"")</f>
        <v/>
      </c>
      <c r="J10" s="31">
        <f>IFERROR(VLOOKUP($A10,subQ,MATCH(J$1,SUBQH,0),0),"")</f>
        <v/>
      </c>
      <c r="K10" s="31">
        <f>IFERROR(VLOOKUP($A10,subQ,MATCH(K$1,SUBQH,0),0),"")</f>
        <v/>
      </c>
      <c r="L10" s="31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1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1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세전이익</t>
        </is>
      </c>
      <c r="D13" t="inlineStr">
        <is>
          <t>법인세비용차감전이익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1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법인세비용</t>
        </is>
      </c>
      <c r="D14" t="inlineStr">
        <is>
          <t>법인세비용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1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당기순이익</t>
        </is>
      </c>
      <c r="D15" t="inlineStr">
        <is>
          <t>당기순이익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1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지배주주순이익</t>
        </is>
      </c>
      <c r="D16" t="inlineStr">
        <is>
          <t>지배주주순이익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1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감가상각비</t>
        </is>
      </c>
      <c r="D17" t="inlineStr">
        <is>
          <t>감가상각비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1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EBITDA</t>
        </is>
      </c>
      <c r="D18" t="inlineStr">
        <is>
          <t>EBITDA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1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1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1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1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1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1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1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1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1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1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1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6">
        <f>IFERROR(VLOOKUP($A29,subQ,MATCH(E$1,SUBQH,0),0),"")</f>
        <v/>
      </c>
      <c r="F29" s="26">
        <f>IFERROR(VLOOKUP($A29,subQ,MATCH(F$1,SUBQH,0),0),"")</f>
        <v/>
      </c>
      <c r="G29" s="26">
        <f>IFERROR(VLOOKUP($A29,subQ,MATCH(G$1,SUBQH,0),0),"")</f>
        <v/>
      </c>
      <c r="H29" s="26">
        <f>IFERROR(VLOOKUP($A29,subQ,MATCH(H$1,SUBQH,0),0),"")</f>
        <v/>
      </c>
      <c r="I29" s="43">
        <f>IFERROR(VLOOKUP($A29,subQ,MATCH(I$1,SUBQH,0),0),"")</f>
        <v/>
      </c>
      <c r="J29" s="36">
        <f>IFERROR(VLOOKUP($A29,subQ,MATCH(J$1,SUBQH,0),0),"")</f>
        <v/>
      </c>
      <c r="K29" s="36">
        <f>IFERROR(VLOOKUP($A29,subQ,MATCH(K$1,SUBQH,0),0),"")</f>
        <v/>
      </c>
      <c r="L29" s="36">
        <f>IFERROR(VLOOKUP($A29,subQ,MATCH(L$1,SUBQH,0),0),"")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1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BPS</t>
        </is>
      </c>
      <c r="D31" t="inlineStr">
        <is>
          <t>BPS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1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DPS</t>
        </is>
      </c>
      <c r="D32" t="inlineStr">
        <is>
          <t>DPS(보통주)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1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PER</t>
        </is>
      </c>
      <c r="D33" t="inlineStr">
        <is>
          <t>PER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1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PBR</t>
        </is>
      </c>
      <c r="D34" t="inlineStr">
        <is>
          <t>PBR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1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1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1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OPM</t>
        </is>
      </c>
      <c r="D37" t="inlineStr">
        <is>
          <t>영업이익률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42">
        <f>IFERROR(VLOOKUP($A37,subQ,MATCH(I$1,SUBQH,0),0),"")</f>
        <v/>
      </c>
      <c r="J37" s="31">
        <f>IFERROR(VLOOKUP($A37,subQ,MATCH(J$1,SUBQH,0),0),"")</f>
        <v/>
      </c>
      <c r="K37" s="31">
        <f>IFERROR(VLOOKUP($A37,subQ,MATCH(K$1,SUBQH,0),0),"")</f>
        <v/>
      </c>
      <c r="L37" s="31">
        <f>IFERROR(VLOOKUP($A37,subQ,MATCH(L$1,SUBQH,0),0),"")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21">
        <f>IFERROR(VLOOKUP($A38,subQ,MATCH(G$1,SUBQH,0),0),"")</f>
        <v/>
      </c>
      <c r="H38" s="21">
        <f>IFERROR(VLOOKUP($A38,subQ,MATCH(H$1,SUBQH,0),0),"")</f>
        <v/>
      </c>
      <c r="I38" s="42">
        <f>IFERROR(VLOOKUP($A38,subQ,MATCH(I$1,SUBQH,0),0),"")</f>
        <v/>
      </c>
      <c r="J38" s="31">
        <f>IFERROR(VLOOKUP($A38,subQ,MATCH(J$1,SUBQH,0),0),"")</f>
        <v/>
      </c>
      <c r="K38" s="31">
        <f>IFERROR(VLOOKUP($A38,subQ,MATCH(K$1,SUBQH,0),0),"")</f>
        <v/>
      </c>
      <c r="L38" s="31">
        <f>IFERROR(VLOOKUP($A38,subQ,MATCH(L$1,SUBQH,0),0),"")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F39" s="21">
        <f>IFERROR(F5/E5-1,"")</f>
        <v/>
      </c>
      <c r="G39" s="21">
        <f>IFERROR(G5/F5-1,"")</f>
        <v/>
      </c>
      <c r="H39" s="21">
        <f>IFERROR(H5/G5-1,"")</f>
        <v/>
      </c>
      <c r="I39" s="42">
        <f>IFERROR(I5/H5-1,"")</f>
        <v/>
      </c>
      <c r="J39" s="31">
        <f>IFERROR(J5/I5-1,"")</f>
        <v/>
      </c>
      <c r="K39" s="31">
        <f>IFERROR(K5/J5-1,"")</f>
        <v/>
      </c>
      <c r="L39" s="31">
        <f>IFERROR(L5/K5-1,"")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F40" s="21">
        <f>IFERROR(F9/E9-1,"")</f>
        <v/>
      </c>
      <c r="G40" s="21">
        <f>IFERROR(G9/F9-1,"")</f>
        <v/>
      </c>
      <c r="H40" s="21">
        <f>IFERROR(H9/G9-1,"")</f>
        <v/>
      </c>
      <c r="I40" s="42">
        <f>IFERROR(I9/H9-1,"")</f>
        <v/>
      </c>
      <c r="J40" s="31">
        <f>IFERROR(J9/I9-1,"")</f>
        <v/>
      </c>
      <c r="K40" s="31">
        <f>IFERROR(K9/J9-1,"")</f>
        <v/>
      </c>
      <c r="L40" s="31">
        <f>IFERROR(L9/K9-1,"")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F41" s="21">
        <f>IFERROR(F16/E16-1,"")</f>
        <v/>
      </c>
      <c r="G41" s="21">
        <f>IFERROR(G16/F16-1,"")</f>
        <v/>
      </c>
      <c r="H41" s="21">
        <f>IFERROR(H16/G16-1,"")</f>
        <v/>
      </c>
      <c r="I41" s="42">
        <f>IFERROR(I16/H16-1,"")</f>
        <v/>
      </c>
      <c r="J41" s="31">
        <f>IFERROR(J16/I16-1,"")</f>
        <v/>
      </c>
      <c r="K41" s="31">
        <f>IFERROR(K16/J16-1,"")</f>
        <v/>
      </c>
      <c r="L41" s="31">
        <f>IFERROR(L16/K16-1,"")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변수!D48</f>
        <v/>
      </c>
    </row>
    <row r="2">
      <c r="B2" s="1" t="inlineStr">
        <is>
          <t>기준일</t>
        </is>
      </c>
      <c r="C2">
        <f>변수!D49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4" t="n">
        <v>2025</v>
      </c>
      <c r="E5" s="44" t="n">
        <v>2026</v>
      </c>
      <c r="F5" s="44" t="n">
        <v>2027</v>
      </c>
      <c r="G5" s="44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IFERROR(E7*변수!D54+F7*(1-변수!D54),"")</f>
        <v/>
      </c>
    </row>
    <row r="15">
      <c r="C15" t="inlineStr">
        <is>
          <t>적정가치 @PER_lo</t>
        </is>
      </c>
      <c r="D15" s="26">
        <f>변수!D51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변수!D52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변수!D53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변수!D50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582.8</v>
      </c>
    </row>
    <row r="30">
      <c r="C30" s="2" t="inlineStr">
        <is>
          <t>bps_latest</t>
        </is>
      </c>
      <c r="D30" t="n">
        <v>3883.5</v>
      </c>
    </row>
    <row r="31">
      <c r="C31" s="2" t="inlineStr">
        <is>
          <t>per_now</t>
        </is>
      </c>
      <c r="D31" t="n">
        <v>5.28</v>
      </c>
    </row>
    <row r="32">
      <c r="C32" s="2" t="inlineStr">
        <is>
          <t>pbr_now</t>
        </is>
      </c>
      <c r="D32" t="n">
        <v>0.79</v>
      </c>
    </row>
    <row r="33">
      <c r="C33" s="2" t="inlineStr">
        <is>
          <t>roe_fwd</t>
        </is>
      </c>
      <c r="D33" t="n">
        <v>0.1501</v>
      </c>
    </row>
    <row r="34">
      <c r="C34" s="2" t="inlineStr">
        <is>
          <t>fair_pbr</t>
        </is>
      </c>
      <c r="D34" t="n">
        <v>1.67</v>
      </c>
    </row>
    <row r="35">
      <c r="C35" s="2" t="inlineStr">
        <is>
          <t>fair_value_pbr</t>
        </is>
      </c>
      <c r="D35" t="n">
        <v>6500</v>
      </c>
    </row>
    <row r="36">
      <c r="C36" s="2" t="inlineStr">
        <is>
          <t>ev_ebitda</t>
        </is>
      </c>
      <c r="D36" t="n">
        <v>3.89</v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5">
        <f>IFERROR(VLOOKUP($D5,환율,MATCH(X$1,변수H,0),0),"")</f>
        <v/>
      </c>
      <c r="Y5" s="45">
        <f>IFERROR(VLOOKUP($D5,환율,MATCH(Y$1,변수H,0),0),"")</f>
        <v/>
      </c>
      <c r="Z5" s="45">
        <f>IFERROR(VLOOKUP($D5,환율,MATCH(Z$1,변수H,0),0),"")</f>
        <v/>
      </c>
      <c r="AA5" s="45">
        <f>IFERROR(VLOOKUP($D5,환율,MATCH(AA$1,변수H,0),0),"")</f>
        <v/>
      </c>
      <c r="AB5" s="45">
        <f>IFERROR(VLOOKUP($D5,환율,MATCH(AB$1,변수H,0),0),"")</f>
        <v/>
      </c>
      <c r="AC5" s="45">
        <f>IFERROR(VLOOKUP($D5,환율,MATCH(AC$1,변수H,0),0),"")</f>
        <v/>
      </c>
      <c r="AD5" s="45">
        <f>IFERROR(VLOOKUP($D5,환율,MATCH(AD$1,변수H,0),0),"")</f>
        <v/>
      </c>
      <c r="AE5" s="45">
        <f>IFERROR(VLOOKUP($D5,환율,MATCH(AE$1,변수H,0),0),"")</f>
        <v/>
      </c>
      <c r="AF5" s="45">
        <f>IFERROR(VLOOKUP($D5,환율,MATCH(AF$1,변수H,0),0),"")</f>
        <v/>
      </c>
      <c r="AG5" s="45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1">
        <f>IFERROR(X5/W5-1,"")</f>
        <v/>
      </c>
      <c r="Y6" s="31">
        <f>IFERROR(Y5/X5-1,"")</f>
        <v/>
      </c>
      <c r="Z6" s="31">
        <f>IFERROR(Z5/Y5-1,"")</f>
        <v/>
      </c>
      <c r="AA6" s="31">
        <f>IFERROR(AA5/Z5-1,"")</f>
        <v/>
      </c>
      <c r="AB6" s="31">
        <f>IFERROR(AB5/AA5-1,"")</f>
        <v/>
      </c>
      <c r="AC6" s="31">
        <f>IFERROR(AC5/AB5-1,"")</f>
        <v/>
      </c>
      <c r="AD6" s="31">
        <f>IFERROR(AD5/AC5-1,"")</f>
        <v/>
      </c>
      <c r="AE6" s="31">
        <f>IFERROR(AE5/AD5-1,"")</f>
        <v/>
      </c>
      <c r="AF6" s="31">
        <f>IFERROR(AF5/AE5-1,"")</f>
        <v/>
      </c>
      <c r="AG6" s="31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5">
        <f>IFERROR(VLOOKUP($D7,환율,MATCH(X$1,변수H,0),0),"")</f>
        <v/>
      </c>
      <c r="Y7" s="45">
        <f>IFERROR(VLOOKUP($D7,환율,MATCH(Y$1,변수H,0),0),"")</f>
        <v/>
      </c>
      <c r="Z7" s="45">
        <f>IFERROR(VLOOKUP($D7,환율,MATCH(Z$1,변수H,0),0),"")</f>
        <v/>
      </c>
      <c r="AA7" s="45">
        <f>IFERROR(VLOOKUP($D7,환율,MATCH(AA$1,변수H,0),0),"")</f>
        <v/>
      </c>
      <c r="AB7" s="45">
        <f>IFERROR(VLOOKUP($D7,환율,MATCH(AB$1,변수H,0),0),"")</f>
        <v/>
      </c>
      <c r="AC7" s="45">
        <f>IFERROR(VLOOKUP($D7,환율,MATCH(AC$1,변수H,0),0),"")</f>
        <v/>
      </c>
      <c r="AD7" s="45">
        <f>IFERROR(VLOOKUP($D7,환율,MATCH(AD$1,변수H,0),0),"")</f>
        <v/>
      </c>
      <c r="AE7" s="45">
        <f>IFERROR(VLOOKUP($D7,환율,MATCH(AE$1,변수H,0),0),"")</f>
        <v/>
      </c>
      <c r="AF7" s="45">
        <f>IFERROR(VLOOKUP($D7,환율,MATCH(AF$1,변수H,0),0),"")</f>
        <v/>
      </c>
      <c r="AG7" s="45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1">
        <f>IFERROR(X7/W7-1,"")</f>
        <v/>
      </c>
      <c r="Y8" s="31">
        <f>IFERROR(Y7/X7-1,"")</f>
        <v/>
      </c>
      <c r="Z8" s="31">
        <f>IFERROR(Z7/Y7-1,"")</f>
        <v/>
      </c>
      <c r="AA8" s="31">
        <f>IFERROR(AA7/Z7-1,"")</f>
        <v/>
      </c>
      <c r="AB8" s="31">
        <f>IFERROR(AB7/AA7-1,"")</f>
        <v/>
      </c>
      <c r="AC8" s="31">
        <f>IFERROR(AC7/AB7-1,"")</f>
        <v/>
      </c>
      <c r="AD8" s="31">
        <f>IFERROR(AD7/AC7-1,"")</f>
        <v/>
      </c>
      <c r="AE8" s="31">
        <f>IFERROR(AE7/AD7-1,"")</f>
        <v/>
      </c>
      <c r="AF8" s="31">
        <f>IFERROR(AF7/AE7-1,"")</f>
        <v/>
      </c>
      <c r="AG8" s="31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5">
        <f>IFERROR(VLOOKUP($D9,환율,MATCH(X$1,변수H,0),0),"")</f>
        <v/>
      </c>
      <c r="Y9" s="45">
        <f>IFERROR(VLOOKUP($D9,환율,MATCH(Y$1,변수H,0),0),"")</f>
        <v/>
      </c>
      <c r="Z9" s="45">
        <f>IFERROR(VLOOKUP($D9,환율,MATCH(Z$1,변수H,0),0),"")</f>
        <v/>
      </c>
      <c r="AA9" s="45">
        <f>IFERROR(VLOOKUP($D9,환율,MATCH(AA$1,변수H,0),0),"")</f>
        <v/>
      </c>
      <c r="AB9" s="45">
        <f>IFERROR(VLOOKUP($D9,환율,MATCH(AB$1,변수H,0),0),"")</f>
        <v/>
      </c>
      <c r="AC9" s="45">
        <f>IFERROR(VLOOKUP($D9,환율,MATCH(AC$1,변수H,0),0),"")</f>
        <v/>
      </c>
      <c r="AD9" s="45">
        <f>IFERROR(VLOOKUP($D9,환율,MATCH(AD$1,변수H,0),0),"")</f>
        <v/>
      </c>
      <c r="AE9" s="45">
        <f>IFERROR(VLOOKUP($D9,환율,MATCH(AE$1,변수H,0),0),"")</f>
        <v/>
      </c>
      <c r="AF9" s="45">
        <f>IFERROR(VLOOKUP($D9,환율,MATCH(AF$1,변수H,0),0),"")</f>
        <v/>
      </c>
      <c r="AG9" s="45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1">
        <f>IFERROR(X9/W9-1,"")</f>
        <v/>
      </c>
      <c r="Y10" s="31">
        <f>IFERROR(Y9/X9-1,"")</f>
        <v/>
      </c>
      <c r="Z10" s="31">
        <f>IFERROR(Z9/Y9-1,"")</f>
        <v/>
      </c>
      <c r="AA10" s="31">
        <f>IFERROR(AA9/Z9-1,"")</f>
        <v/>
      </c>
      <c r="AB10" s="31">
        <f>IFERROR(AB9/AA9-1,"")</f>
        <v/>
      </c>
      <c r="AC10" s="31">
        <f>IFERROR(AC9/AB9-1,"")</f>
        <v/>
      </c>
      <c r="AD10" s="31">
        <f>IFERROR(AD9/AC9-1,"")</f>
        <v/>
      </c>
      <c r="AE10" s="31">
        <f>IFERROR(AE9/AD9-1,"")</f>
        <v/>
      </c>
      <c r="AF10" s="31">
        <f>IFERROR(AF9/AE9-1,"")</f>
        <v/>
      </c>
      <c r="AG10" s="31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5">
        <f>IFERROR(VLOOKUP($D11,환율,MATCH(X$1,변수H,0),0),"")</f>
        <v/>
      </c>
      <c r="Y11" s="45">
        <f>IFERROR(VLOOKUP($D11,환율,MATCH(Y$1,변수H,0),0),"")</f>
        <v/>
      </c>
      <c r="Z11" s="45">
        <f>IFERROR(VLOOKUP($D11,환율,MATCH(Z$1,변수H,0),0),"")</f>
        <v/>
      </c>
      <c r="AA11" s="45">
        <f>IFERROR(VLOOKUP($D11,환율,MATCH(AA$1,변수H,0),0),"")</f>
        <v/>
      </c>
      <c r="AB11" s="45">
        <f>IFERROR(VLOOKUP($D11,환율,MATCH(AB$1,변수H,0),0),"")</f>
        <v/>
      </c>
      <c r="AC11" s="45">
        <f>IFERROR(VLOOKUP($D11,환율,MATCH(AC$1,변수H,0),0),"")</f>
        <v/>
      </c>
      <c r="AD11" s="45">
        <f>IFERROR(VLOOKUP($D11,환율,MATCH(AD$1,변수H,0),0),"")</f>
        <v/>
      </c>
      <c r="AE11" s="45">
        <f>IFERROR(VLOOKUP($D11,환율,MATCH(AE$1,변수H,0),0),"")</f>
        <v/>
      </c>
      <c r="AF11" s="45">
        <f>IFERROR(VLOOKUP($D11,환율,MATCH(AF$1,변수H,0),0),"")</f>
        <v/>
      </c>
      <c r="AG11" s="45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1">
        <f>IFERROR(X11/W11-1,"")</f>
        <v/>
      </c>
      <c r="Y12" s="31">
        <f>IFERROR(Y11/X11-1,"")</f>
        <v/>
      </c>
      <c r="Z12" s="31">
        <f>IFERROR(Z11/Y11-1,"")</f>
        <v/>
      </c>
      <c r="AA12" s="31">
        <f>IFERROR(AA11/Z11-1,"")</f>
        <v/>
      </c>
      <c r="AB12" s="31">
        <f>IFERROR(AB11/AA11-1,"")</f>
        <v/>
      </c>
      <c r="AC12" s="31">
        <f>IFERROR(AC11/AB11-1,"")</f>
        <v/>
      </c>
      <c r="AD12" s="31">
        <f>IFERROR(AD11/AC11-1,"")</f>
        <v/>
      </c>
      <c r="AE12" s="31">
        <f>IFERROR(AE11/AD11-1,"")</f>
        <v/>
      </c>
      <c r="AF12" s="31">
        <f>IFERROR(AF11/AE11-1,"")</f>
        <v/>
      </c>
      <c r="AG12" s="31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5">
        <f>IFERROR(VLOOKUP($D13,환율,MATCH(X$1,변수H,0),0),"")</f>
        <v/>
      </c>
      <c r="Y13" s="45">
        <f>IFERROR(VLOOKUP($D13,환율,MATCH(Y$1,변수H,0),0),"")</f>
        <v/>
      </c>
      <c r="Z13" s="45">
        <f>IFERROR(VLOOKUP($D13,환율,MATCH(Z$1,변수H,0),0),"")</f>
        <v/>
      </c>
      <c r="AA13" s="45">
        <f>IFERROR(VLOOKUP($D13,환율,MATCH(AA$1,변수H,0),0),"")</f>
        <v/>
      </c>
      <c r="AB13" s="45">
        <f>IFERROR(VLOOKUP($D13,환율,MATCH(AB$1,변수H,0),0),"")</f>
        <v/>
      </c>
      <c r="AC13" s="45">
        <f>IFERROR(VLOOKUP($D13,환율,MATCH(AC$1,변수H,0),0),"")</f>
        <v/>
      </c>
      <c r="AD13" s="45">
        <f>IFERROR(VLOOKUP($D13,환율,MATCH(AD$1,변수H,0),0),"")</f>
        <v/>
      </c>
      <c r="AE13" s="45">
        <f>IFERROR(VLOOKUP($D13,환율,MATCH(AE$1,변수H,0),0),"")</f>
        <v/>
      </c>
      <c r="AF13" s="45">
        <f>IFERROR(VLOOKUP($D13,환율,MATCH(AF$1,변수H,0),0),"")</f>
        <v/>
      </c>
      <c r="AG13" s="45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1">
        <f>IFERROR(X13/W13-1,"")</f>
        <v/>
      </c>
      <c r="Y14" s="31">
        <f>IFERROR(Y13/X13-1,"")</f>
        <v/>
      </c>
      <c r="Z14" s="31">
        <f>IFERROR(Z13/Y13-1,"")</f>
        <v/>
      </c>
      <c r="AA14" s="31">
        <f>IFERROR(AA13/Z13-1,"")</f>
        <v/>
      </c>
      <c r="AB14" s="31">
        <f>IFERROR(AB13/AA13-1,"")</f>
        <v/>
      </c>
      <c r="AC14" s="31">
        <f>IFERROR(AC13/AB13-1,"")</f>
        <v/>
      </c>
      <c r="AD14" s="31">
        <f>IFERROR(AD13/AC13-1,"")</f>
        <v/>
      </c>
      <c r="AE14" s="31">
        <f>IFERROR(AE13/AD13-1,"")</f>
        <v/>
      </c>
      <c r="AF14" s="31">
        <f>IFERROR(AF13/AE13-1,"")</f>
        <v/>
      </c>
      <c r="AG14" s="31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변수!D58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2026-09-30T00:00:00Z</dcterms:created>
  <dcterms:modified xmlns:dcterms="http://purl.org/dc/terms/" xmlns:xsi="http://www.w3.org/2001/XMLSchema-instance" xsi:type="dcterms:W3CDTF">2026-09-30T00:00:00Z</dcterms:modified>
</cp:coreProperties>
</file>