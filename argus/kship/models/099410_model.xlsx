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BS연결!$C$5:$AO$5</definedName>
    <definedName name="BS별도H">BS별도!$C$1:$AO$1</definedName>
    <definedName name="BS별도">BS별도!$C$5:$AO$98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이동합(t−0) 80223억 × 비례계수 0.0055 × 계절비중 Q3 0.246(계절비중 — 최근 3개 연도(2026, 2025, 2024) 분기/연간 비중 평균; 격자 lag0~4×창8/12/19×수준·YoY·4Q합 중 최대 r=0.98, n=12, 창 12)</t>
      </text>
    </comment>
    <comment ref="AD21" authorId="0" shapeId="0">
      <text>
        <t>모델값 역산(implied): v / 전년동기 − 1
고객지수 4분기 이동합(t−0) 85298억 × 비례계수 0.0055 × 계절비중 Q4 0.324(계절비중 — 최근 3개 연도(2026, 2025, 2024) 분기/연간 비중 평균; 격자 lag0~4×창8/12/19×수준·YoY·4Q합 중 최대 r=0.98, n=12, 창 12)</t>
      </text>
    </comment>
    <comment ref="AF21" authorId="0" shapeId="0">
      <text>
        <t>모델값 역산(implied): v / 전년동기 − 1
고객지수 4분기 이동합(t−0) 88507억 × 비례계수 0.0055 × 계절비중 Q1 0.204(계절비중 — 최근 3개 연도(2026, 2025, 2024) 분기/연간 비중 평균; 격자 lag0~4×창8/12/19×수준·YoY·4Q합 중 최대 r=0.98, n=12, 창 12)</t>
      </text>
    </comment>
    <comment ref="AG21" authorId="0" shapeId="0">
      <text>
        <t>모델값 역산(implied): v / 전년동기 − 1
고객지수 4분기 이동합(t−0) 91437억 × 비례계수 0.0055 × 계절비중 Q2 0.226(계절비중 — 최근 3개 연도(2026, 2025, 2024) 분기/연간 비중 평균; 격자 lag0~4×창8/12/19×수준·YoY·4Q합 중 최대 r=0.98, n=12, 창 12)</t>
      </text>
    </comment>
    <comment ref="AH21" authorId="0" shapeId="0">
      <text>
        <t>모델값 역산(implied): v / 전년동기 − 1
고객지수 4분기 이동합(t−0) 94759억 × 비례계수 0.0055 × 계절비중 Q3 0.246(계절비중 — 최근 3개 연도(2026, 2025, 2024) 분기/연간 비중 평균; 격자 lag0~4×창8/12/19×수준·YoY·4Q합 중 최대 r=0.98, n=12, 창 12)</t>
      </text>
    </comment>
    <comment ref="AI21" authorId="0" shapeId="0">
      <text>
        <t>모델값 역산(implied): v / 전년동기 − 1
고객지수 4분기 이동합(t−0) 99239억 × 비례계수 0.0055 × 계절비중 Q4 0.324(계절비중 — 최근 3개 연도(2026, 2025, 2024) 분기/연간 비중 평균; 격자 lag0~4×창8/12/19×수준·YoY·4Q합 중 최대 r=0.98, n=12, 창 12)</t>
      </text>
    </comment>
    <comment ref="AK21" authorId="0" shapeId="0">
      <text>
        <t>모델값 역산(implied): v / 전년동기 − 1
고객지수 4분기 이동합(t−0) 104812억 × 비례계수 0.0055 × 계절비중 Q1 0.204(계절비중 — 최근 3개 연도(2026, 2025, 2024) 분기/연간 비중 평균; 격자 lag0~4×창8/12/19×수준·YoY·4Q합 중 최대 r=0.98, n=12, 창 12)</t>
      </text>
    </comment>
    <comment ref="AL21" authorId="0" shapeId="0">
      <text>
        <t>모델값 역산(implied): v / 전년동기 − 1
고객지수 4분기 이동합(t−0) 111021억 × 비례계수 0.0055 × 계절비중 Q2 0.226(계절비중 — 최근 3개 연도(2026, 2025, 2024) 분기/연간 비중 평균; 격자 lag0~4×창8/12/19×수준·YoY·4Q합 중 최대 r=0.98, n=12, 창 12)</t>
      </text>
    </comment>
    <comment ref="AM21" authorId="0" shapeId="0">
      <text>
        <t>모델값 역산(implied): v / 전년동기 − 1
고객지수 4분기 이동합(t−0) 117367억 × 비례계수 0.0055 × 계절비중 Q3 0.246(계절비중 — 최근 3개 연도(2026, 2025, 2024) 분기/연간 비중 평균; 격자 lag0~4×창8/12/19×수준·YoY·4Q합 중 최대 r=0.98, n=12, 창 12)</t>
      </text>
    </comment>
    <comment ref="AN21" authorId="0" shapeId="0">
      <text>
        <t>모델값 역산(implied): v / 전년동기 − 1
고객지수 4분기 이동합(t−0) 123182억 × 비례계수 0.0055 × 계절비중 Q4 0.324(계절비중 — 최근 3개 연도(2026, 2025, 2024) 분기/연간 비중 평균; 격자 lag0~4×창8/12/19×수준·YoY·4Q합 중 최대 r=0.98, n=12, 창 12)</t>
      </text>
    </comment>
    <comment ref="AC22" authorId="0" shapeId="0">
      <text>
        <t>3절 스칼라 '판관비율' 참조 — 숫자로 덮어쓰면 이 분기만 바뀐다
매출액 × 판관비율 11.39%(최근 4분기 중위)</t>
      </text>
    </comment>
    <comment ref="AD22" authorId="0" shapeId="0">
      <text>
        <t>3절 스칼라 '판관비율' 참조 — 숫자로 덮어쓰면 이 분기만 바뀐다
매출액 × 판관비율 11.39%(최근 4분기 중위)</t>
      </text>
    </comment>
    <comment ref="AF22" authorId="0" shapeId="0">
      <text>
        <t>3절 스칼라 '판관비율' 참조 — 숫자로 덮어쓰면 이 분기만 바뀐다
매출액 × 판관비율 11.39%(최근 4분기 중위)</t>
      </text>
    </comment>
    <comment ref="AG22" authorId="0" shapeId="0">
      <text>
        <t>3절 스칼라 '판관비율' 참조 — 숫자로 덮어쓰면 이 분기만 바뀐다
매출액 × 판관비율 11.39%(최근 4분기 중위)</t>
      </text>
    </comment>
    <comment ref="AH22" authorId="0" shapeId="0">
      <text>
        <t>3절 스칼라 '판관비율' 참조 — 숫자로 덮어쓰면 이 분기만 바뀐다
매출액 × 판관비율 11.39%(최근 4분기 중위)</t>
      </text>
    </comment>
    <comment ref="AI22" authorId="0" shapeId="0">
      <text>
        <t>3절 스칼라 '판관비율' 참조 — 숫자로 덮어쓰면 이 분기만 바뀐다
매출액 × 판관비율 11.39%(최근 4분기 중위)</t>
      </text>
    </comment>
    <comment ref="AK22" authorId="0" shapeId="0">
      <text>
        <t>3절 스칼라 '판관비율' 참조 — 숫자로 덮어쓰면 이 분기만 바뀐다
매출액 × 판관비율 11.39%(최근 4분기 중위)</t>
      </text>
    </comment>
    <comment ref="AL22" authorId="0" shapeId="0">
      <text>
        <t>3절 스칼라 '판관비율' 참조 — 숫자로 덮어쓰면 이 분기만 바뀐다
매출액 × 판관비율 11.39%(최근 4분기 중위)</t>
      </text>
    </comment>
    <comment ref="AM22" authorId="0" shapeId="0">
      <text>
        <t>3절 스칼라 '판관비율' 참조 — 숫자로 덮어쓰면 이 분기만 바뀐다
매출액 × 판관비율 11.39%(최근 4분기 중위)</t>
      </text>
    </comment>
    <comment ref="AN22" authorId="0" shapeId="0">
      <text>
        <t>3절 스칼라 '판관비율' 참조 — 숫자로 덮어쓰면 이 분기만 바뀐다
매출액 × 판관비율 11.39%(최근 4분기 중위)</t>
      </text>
    </comment>
    <comment ref="AC23" authorId="0" shapeId="0">
      <text>
        <t>모델값 역산(implied): v / 매출액
매출액 × OPM(최근 8분기 OPM 중위 17.8% 유지)</t>
      </text>
    </comment>
    <comment ref="AD23" authorId="0" shapeId="0">
      <text>
        <t>모델값 역산(implied): v / 매출액
매출액 × OPM(최근 8분기 OPM 중위 17.8% 유지)</t>
      </text>
    </comment>
    <comment ref="AF23" authorId="0" shapeId="0">
      <text>
        <t>모델값 역산(implied): v / 매출액
매출액 × OPM(최근 8분기 OPM 중위 17.8% 유지)</t>
      </text>
    </comment>
    <comment ref="AG23" authorId="0" shapeId="0">
      <text>
        <t>모델값 역산(implied): v / 매출액
매출액 × OPM(최근 8분기 OPM 중위 17.8% 유지)</t>
      </text>
    </comment>
    <comment ref="AH23" authorId="0" shapeId="0">
      <text>
        <t>모델값 역산(implied): v / 매출액
매출액 × OPM(최근 8분기 OPM 중위 17.8% 유지)</t>
      </text>
    </comment>
    <comment ref="AI23" authorId="0" shapeId="0">
      <text>
        <t>모델값 역산(implied): v / 매출액
매출액 × OPM(최근 8분기 OPM 중위 17.8% 유지)</t>
      </text>
    </comment>
    <comment ref="AK23" authorId="0" shapeId="0">
      <text>
        <t>모델값 역산(implied): v / 매출액
매출액 × OPM(최근 8분기 OPM 중위 17.8% 유지)</t>
      </text>
    </comment>
    <comment ref="AL23" authorId="0" shapeId="0">
      <text>
        <t>모델값 역산(implied): v / 매출액
매출액 × OPM(최근 8분기 OPM 중위 17.8% 유지)</t>
      </text>
    </comment>
    <comment ref="AM23" authorId="0" shapeId="0">
      <text>
        <t>모델값 역산(implied): v / 매출액
매출액 × OPM(최근 8분기 OPM 중위 17.8% 유지)</t>
      </text>
    </comment>
    <comment ref="AN23" authorId="0" shapeId="0">
      <text>
        <t>모델값 역산(implied): v / 매출액
매출액 × OPM(최근 8분기 OPM 중위 17.8%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D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F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G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H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I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K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L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M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N26" authorId="0" shapeId="0">
      <text>
        <t>3절 스칼라 '세율' 참조 — 숫자로 덮어쓰면 이 분기만 바뀐다
max(세전, 0) × 세율 22.0%(최근 12분기 유효세율 -6.3% 가 5~27% 밖; 세전 &gt; 0 분기 중위 4.1% 도 5~27% 밖 → 법정세율 근사 22% 가정)</t>
      </text>
    </comment>
    <comment ref="AC27" authorId="0" shapeId="0">
      <text>
        <t>3절 스칼라 '지배주주비중' 참조 — 숫자로 덮어쓰면 이 분기만 바뀐다
당기순이익 × (1 − 비지배 비중 0.0%, 최근 8분기 실측)</t>
      </text>
    </comment>
    <comment ref="AD27" authorId="0" shapeId="0">
      <text>
        <t>3절 스칼라 '지배주주비중' 참조 — 숫자로 덮어쓰면 이 분기만 바뀐다
당기순이익 × (1 − 비지배 비중 0.0%, 최근 8분기 실측)</t>
      </text>
    </comment>
    <comment ref="AF27" authorId="0" shapeId="0">
      <text>
        <t>3절 스칼라 '지배주주비중' 참조 — 숫자로 덮어쓰면 이 분기만 바뀐다
당기순이익 × (1 − 비지배 비중 0.0%, 최근 8분기 실측)</t>
      </text>
    </comment>
    <comment ref="AG27" authorId="0" shapeId="0">
      <text>
        <t>3절 스칼라 '지배주주비중' 참조 — 숫자로 덮어쓰면 이 분기만 바뀐다
당기순이익 × (1 − 비지배 비중 0.0%, 최근 8분기 실측)</t>
      </text>
    </comment>
    <comment ref="AH27" authorId="0" shapeId="0">
      <text>
        <t>3절 스칼라 '지배주주비중' 참조 — 숫자로 덮어쓰면 이 분기만 바뀐다
당기순이익 × (1 − 비지배 비중 0.0%, 최근 8분기 실측)</t>
      </text>
    </comment>
    <comment ref="AI27" authorId="0" shapeId="0">
      <text>
        <t>3절 스칼라 '지배주주비중' 참조 — 숫자로 덮어쓰면 이 분기만 바뀐다
당기순이익 × (1 − 비지배 비중 0.0%, 최근 8분기 실측)</t>
      </text>
    </comment>
    <comment ref="AK27" authorId="0" shapeId="0">
      <text>
        <t>3절 스칼라 '지배주주비중' 참조 — 숫자로 덮어쓰면 이 분기만 바뀐다
당기순이익 × (1 − 비지배 비중 0.0%, 최근 8분기 실측)</t>
      </text>
    </comment>
    <comment ref="AL27" authorId="0" shapeId="0">
      <text>
        <t>3절 스칼라 '지배주주비중' 참조 — 숫자로 덮어쓰면 이 분기만 바뀐다
당기순이익 × (1 − 비지배 비중 0.0%, 최근 8분기 실측)</t>
      </text>
    </comment>
    <comment ref="AM27" authorId="0" shapeId="0">
      <text>
        <t>3절 스칼라 '지배주주비중' 참조 — 숫자로 덮어쓰면 이 분기만 바뀐다
당기순이익 × (1 − 비지배 비중 0.0%, 최근 8분기 실측)</t>
      </text>
    </comment>
    <comment ref="AN27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모델값 역산(implied): 모델 v 그대로
최근 4분기 감가상각비 중위 유지</t>
      </text>
    </comment>
    <comment ref="AD28" authorId="0" shapeId="0">
      <text>
        <t>모델값 역산(implied): 모델 v 그대로
최근 4분기 감가상각비 중위 유지</t>
      </text>
    </comment>
    <comment ref="AF28" authorId="0" shapeId="0">
      <text>
        <t>모델값 역산(implied): 모델 v 그대로
최근 4분기 감가상각비 중위 유지</t>
      </text>
    </comment>
    <comment ref="AG28" authorId="0" shapeId="0">
      <text>
        <t>모델값 역산(implied): 모델 v 그대로
최근 4분기 감가상각비 중위 유지</t>
      </text>
    </comment>
    <comment ref="AH28" authorId="0" shapeId="0">
      <text>
        <t>모델값 역산(implied): 모델 v 그대로
최근 4분기 감가상각비 중위 유지</t>
      </text>
    </comment>
    <comment ref="AI28" authorId="0" shapeId="0">
      <text>
        <t>모델값 역산(implied): 모델 v 그대로
최근 4분기 감가상각비 중위 유지</t>
      </text>
    </comment>
    <comment ref="AK28" authorId="0" shapeId="0">
      <text>
        <t>모델값 역산(implied): 모델 v 그대로
최근 4분기 감가상각비 중위 유지</t>
      </text>
    </comment>
    <comment ref="AL28" authorId="0" shapeId="0">
      <text>
        <t>모델값 역산(implied): 모델 v 그대로
최근 4분기 감가상각비 중위 유지</t>
      </text>
    </comment>
    <comment ref="AM28" authorId="0" shapeId="0">
      <text>
        <t>모델값 역산(implied): 모델 v 그대로
최근 4분기 감가상각비 중위 유지</t>
      </text>
    </comment>
    <comment ref="AN28" authorId="0" shapeId="0">
      <text>
        <t>모델값 역산(implied): 모델 v 그대로
최근 4분기 감가상각비 중위 유지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D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F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G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H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I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K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L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M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N33" authorId="0" shapeId="0">
      <text>
        <t>모델값 역산(implied): v / 전분기 − 1
전분기 − FCF 근사[순이익 + 감가상각비 2억 − CAPEX 0억(각 최근 4분기 중위) − 배당]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반영(FCF 근사)</t>
      </text>
    </comment>
    <comment ref="AD36" authorId="0" shapeId="0">
      <text>
        <t>모델값 역산(implied): v / 전년동기 − 1
최근 4분기(2025Q3~2026Q2) CAPEX 중위 유지 — 순차입금 롤에 반영(FCF 근사)</t>
      </text>
    </comment>
    <comment ref="AF36" authorId="0" shapeId="0">
      <text>
        <t>모델값 역산(implied): v / 전년동기 − 1
최근 4분기(2025Q3~2026Q2) CAPEX 중위 유지 — 순차입금 롤에 반영(FCF 근사)</t>
      </text>
    </comment>
    <comment ref="AG36" authorId="0" shapeId="0">
      <text>
        <t>모델값 역산(implied): v / 전분기 − 1 (전년동기 없음 → 전분기 대비)
최근 4분기(2025Q3~2026Q2) CAPEX 중위 유지 — 순차입금 롤에 반영(FCF 근사)</t>
      </text>
    </comment>
    <comment ref="AH36" authorId="0" shapeId="0">
      <text>
        <t>모델값 역산(implied): v / 전년동기 − 1
최근 4분기(2025Q3~2026Q2) CAPEX 중위 유지 — 순차입금 롤에 반영(FCF 근사)</t>
      </text>
    </comment>
    <comment ref="AI36" authorId="0" shapeId="0">
      <text>
        <t>모델값 역산(implied): v / 전년동기 − 1
최근 4분기(2025Q3~2026Q2) CAPEX 중위 유지 — 순차입금 롤에 반영(FCF 근사)</t>
      </text>
    </comment>
    <comment ref="AK36" authorId="0" shapeId="0">
      <text>
        <t>모델값 역산(implied): v / 전년동기 − 1
최근 4분기(2025Q3~2026Q2) CAPEX 중위 유지 — 순차입금 롤에 반영(FCF 근사)</t>
      </text>
    </comment>
    <comment ref="AL36" authorId="0" shapeId="0">
      <text>
        <t>모델값 역산(implied): v / 전년동기 − 1
최근 4분기(2025Q3~2026Q2) CAPEX 중위 유지 — 순차입금 롤에 반영(FCF 근사)</t>
      </text>
    </comment>
    <comment ref="AM36" authorId="0" shapeId="0">
      <text>
        <t>모델값 역산(implied): v / 전년동기 − 1
최근 4분기(2025Q3~2026Q2) CAPEX 중위 유지 — 순차입금 롤에 반영(FCF 근사)</t>
      </text>
    </comment>
    <comment ref="AN36" authorId="0" shapeId="0">
      <text>
        <t>모델값 역산(implied): v / 전년동기 − 1
최근 4분기(2025Q3~2026Q2) CAPEX 중위 유지 — 순차입금 롤에 반영(FCF 근사)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이동합(t−0) 80223억 × 비례계수 0.0055 × 계절비중 Q3 0.246(계절비중 — 최근 3개 연도(2026, 2025, 2024) 분기/연간 비중 평균; 격자 lag0~4×창8/12/19×수준·YoY·4Q합 중 최대 r=0.98, n=12, 창 12)
[yoy]</t>
      </text>
    </comment>
    <comment ref="AD5" authorId="0" shapeId="0">
      <text>
        <t>추정: 고객지수 4분기 이동합(t−0) 85298억 × 비례계수 0.0055 × 계절비중 Q4 0.324(계절비중 — 최근 3개 연도(2026, 2025, 2024) 분기/연간 비중 평균; 격자 lag0~4×창8/12/19×수준·YoY·4Q합 중 최대 r=0.98, n=12, 창 12)
[yoy]</t>
      </text>
    </comment>
    <comment ref="AF5" authorId="0" shapeId="0">
      <text>
        <t>추정: 고객지수 4분기 이동합(t−0) 88507억 × 비례계수 0.0055 × 계절비중 Q1 0.204(계절비중 — 최근 3개 연도(2026, 2025, 2024) 분기/연간 비중 평균; 격자 lag0~4×창8/12/19×수준·YoY·4Q합 중 최대 r=0.98, n=12, 창 12)
[yoy]</t>
      </text>
    </comment>
    <comment ref="AG5" authorId="0" shapeId="0">
      <text>
        <t>추정: 고객지수 4분기 이동합(t−0) 91437억 × 비례계수 0.0055 × 계절비중 Q2 0.226(계절비중 — 최근 3개 연도(2026, 2025, 2024) 분기/연간 비중 평균; 격자 lag0~4×창8/12/19×수준·YoY·4Q합 중 최대 r=0.98, n=12, 창 12)
[yoy]</t>
      </text>
    </comment>
    <comment ref="AH5" authorId="0" shapeId="0">
      <text>
        <t>추정: 고객지수 4분기 이동합(t−0) 94759억 × 비례계수 0.0055 × 계절비중 Q3 0.246(계절비중 — 최근 3개 연도(2026, 2025, 2024) 분기/연간 비중 평균; 격자 lag0~4×창8/12/19×수준·YoY·4Q합 중 최대 r=0.98, n=12, 창 12)
[yoy]</t>
      </text>
    </comment>
    <comment ref="AI5" authorId="0" shapeId="0">
      <text>
        <t>추정: 고객지수 4분기 이동합(t−0) 99239억 × 비례계수 0.0055 × 계절비중 Q4 0.324(계절비중 — 최근 3개 연도(2026, 2025, 2024) 분기/연간 비중 평균; 격자 lag0~4×창8/12/19×수준·YoY·4Q합 중 최대 r=0.98, n=12, 창 12)
[yoy]</t>
      </text>
    </comment>
    <comment ref="AK5" authorId="0" shapeId="0">
      <text>
        <t>추정: 고객지수 4분기 이동합(t−0) 104812억 × 비례계수 0.0055 × 계절비중 Q1 0.204(계절비중 — 최근 3개 연도(2026, 2025, 2024) 분기/연간 비중 평균; 격자 lag0~4×창8/12/19×수준·YoY·4Q합 중 최대 r=0.98, n=12, 창 12)
[yoy]</t>
      </text>
    </comment>
    <comment ref="AL5" authorId="0" shapeId="0">
      <text>
        <t>추정: 고객지수 4분기 이동합(t−0) 111021억 × 비례계수 0.0055 × 계절비중 Q2 0.226(계절비중 — 최근 3개 연도(2026, 2025, 2024) 분기/연간 비중 평균; 격자 lag0~4×창8/12/19×수준·YoY·4Q합 중 최대 r=0.98, n=12, 창 12)
[yoy]</t>
      </text>
    </comment>
    <comment ref="AM5" authorId="0" shapeId="0">
      <text>
        <t>추정: 고객지수 4분기 이동합(t−0) 117367억 × 비례계수 0.0055 × 계절비중 Q3 0.246(계절비중 — 최근 3개 연도(2026, 2025, 2024) 분기/연간 비중 평균; 격자 lag0~4×창8/12/19×수준·YoY·4Q합 중 최대 r=0.98, n=12, 창 12)
[yoy]</t>
      </text>
    </comment>
    <comment ref="AN5" authorId="0" shapeId="0">
      <text>
        <t>추정: 고객지수 4분기 이동합(t−0) 123182억 × 비례계수 0.0055 × 계절비중 Q4 0.324(계절비중 — 최근 3개 연도(2026, 2025, 2024) 분기/연간 비중 평균; 격자 lag0~4×창8/12/19×수준·YoY·4Q합 중 최대 r=0.98, n=12, 창 12)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11.39%(최근 4분기 중위)
[ratio]</t>
      </text>
    </comment>
    <comment ref="AD8" authorId="0" shapeId="0">
      <text>
        <t>추정: 매출액 × 판관비율 11.39%(최근 4분기 중위)
[ratio]</t>
      </text>
    </comment>
    <comment ref="AF8" authorId="0" shapeId="0">
      <text>
        <t>추정: 매출액 × 판관비율 11.39%(최근 4분기 중위)
[ratio]</t>
      </text>
    </comment>
    <comment ref="AG8" authorId="0" shapeId="0">
      <text>
        <t>추정: 매출액 × 판관비율 11.39%(최근 4분기 중위)
[ratio]</t>
      </text>
    </comment>
    <comment ref="AH8" authorId="0" shapeId="0">
      <text>
        <t>추정: 매출액 × 판관비율 11.39%(최근 4분기 중위)
[ratio]</t>
      </text>
    </comment>
    <comment ref="AI8" authorId="0" shapeId="0">
      <text>
        <t>추정: 매출액 × 판관비율 11.39%(최근 4분기 중위)
[ratio]</t>
      </text>
    </comment>
    <comment ref="AK8" authorId="0" shapeId="0">
      <text>
        <t>추정: 매출액 × 판관비율 11.39%(최근 4분기 중위)
[ratio]</t>
      </text>
    </comment>
    <comment ref="AL8" authorId="0" shapeId="0">
      <text>
        <t>추정: 매출액 × 판관비율 11.39%(최근 4분기 중위)
[ratio]</t>
      </text>
    </comment>
    <comment ref="AM8" authorId="0" shapeId="0">
      <text>
        <t>추정: 매출액 × 판관비율 11.39%(최근 4분기 중위)
[ratio]</t>
      </text>
    </comment>
    <comment ref="AN8" authorId="0" shapeId="0">
      <text>
        <t>추정: 매출액 × 판관비율 11.39%(최근 4분기 중위)
[ratio]</t>
      </text>
    </comment>
    <comment ref="AC9" authorId="0" shapeId="0">
      <text>
        <t>추정: 매출액 × OPM(최근 8분기 OPM 중위 17.8% 유지)
[ratio]</t>
      </text>
    </comment>
    <comment ref="AD9" authorId="0" shapeId="0">
      <text>
        <t>추정: 매출액 × OPM(최근 8분기 OPM 중위 17.8% 유지)
[ratio]</t>
      </text>
    </comment>
    <comment ref="AF9" authorId="0" shapeId="0">
      <text>
        <t>추정: 매출액 × OPM(최근 8분기 OPM 중위 17.8% 유지)
[ratio]</t>
      </text>
    </comment>
    <comment ref="AG9" authorId="0" shapeId="0">
      <text>
        <t>추정: 매출액 × OPM(최근 8분기 OPM 중위 17.8% 유지)
[ratio]</t>
      </text>
    </comment>
    <comment ref="AH9" authorId="0" shapeId="0">
      <text>
        <t>추정: 매출액 × OPM(최근 8분기 OPM 중위 17.8% 유지)
[ratio]</t>
      </text>
    </comment>
    <comment ref="AI9" authorId="0" shapeId="0">
      <text>
        <t>추정: 매출액 × OPM(최근 8분기 OPM 중위 17.8% 유지)
[ratio]</t>
      </text>
    </comment>
    <comment ref="AK9" authorId="0" shapeId="0">
      <text>
        <t>추정: 매출액 × OPM(최근 8분기 OPM 중위 17.8% 유지)
[ratio]</t>
      </text>
    </comment>
    <comment ref="AL9" authorId="0" shapeId="0">
      <text>
        <t>추정: 매출액 × OPM(최근 8분기 OPM 중위 17.8% 유지)
[ratio]</t>
      </text>
    </comment>
    <comment ref="AM9" authorId="0" shapeId="0">
      <text>
        <t>추정: 매출액 × OPM(최근 8분기 OPM 중위 17.8% 유지)
[ratio]</t>
      </text>
    </comment>
    <comment ref="AN9" authorId="0" shapeId="0">
      <text>
        <t>추정: 매출액 × OPM(최근 8분기 OPM 중위 17.8% 유지)
[ratio]</t>
      </text>
    </comment>
    <comment ref="AC10" authorId="0" shapeId="0">
      <text>
        <t>추정: 최근 8분기 OPM 중위 17.8% 유지
[divide]</t>
      </text>
    </comment>
    <comment ref="AD10" authorId="0" shapeId="0">
      <text>
        <t>추정: 최근 8분기 OPM 중위 17.8% 유지
[divide]</t>
      </text>
    </comment>
    <comment ref="AF10" authorId="0" shapeId="0">
      <text>
        <t>추정: 최근 8분기 OPM 중위 17.8% 유지
[divide]</t>
      </text>
    </comment>
    <comment ref="AG10" authorId="0" shapeId="0">
      <text>
        <t>추정: 최근 8분기 OPM 중위 17.8% 유지
[divide]</t>
      </text>
    </comment>
    <comment ref="AH10" authorId="0" shapeId="0">
      <text>
        <t>추정: 최근 8분기 OPM 중위 17.8% 유지
[divide]</t>
      </text>
    </comment>
    <comment ref="AI10" authorId="0" shapeId="0">
      <text>
        <t>추정: 최근 8분기 OPM 중위 17.8% 유지
[divide]</t>
      </text>
    </comment>
    <comment ref="AK10" authorId="0" shapeId="0">
      <text>
        <t>추정: 최근 8분기 OPM 중위 17.8% 유지
[divide]</t>
      </text>
    </comment>
    <comment ref="AL10" authorId="0" shapeId="0">
      <text>
        <t>추정: 최근 8분기 OPM 중위 17.8% 유지
[divide]</t>
      </text>
    </comment>
    <comment ref="AM10" authorId="0" shapeId="0">
      <text>
        <t>추정: 최근 8분기 OPM 중위 17.8% 유지
[divide]</t>
      </text>
    </comment>
    <comment ref="AN10" authorId="0" shapeId="0">
      <text>
        <t>추정: 최근 8분기 OPM 중위 17.8% 유지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182억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198억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220억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236억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253억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272억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298억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315억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336억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359억 × 0.10%(주석 이자수익 ÷ 평균 이자발생자산(2025Q3~2026Q2)) − 총차입금 113억 × 3.62%(주석 이자비용 ÷ 평균 총차입금(2025Q3~2026Q2)) (연율) ÷ 4; 환율 효과는 환관련손익 행 별도
[identity]</t>
      </text>
    </comment>
    <comment ref="AC12" authorId="0" shapeId="0">
      <text>
        <t>추정: 이자발생자산 182억 × 0.10%(주석 이자수익 ÷ 평균 이자발생자산(2025Q3~2026Q2)) − 총차입금 113억 × 3.62%(주석 이자비용 ÷ 평균 총차입금(2025Q3~2026Q2)) (연율) ÷ 4
[interest]</t>
      </text>
    </comment>
    <comment ref="AD12" authorId="0" shapeId="0">
      <text>
        <t>추정: 이자발생자산 198억 × 0.10%(주석 이자수익 ÷ 평균 이자발생자산(2025Q3~2026Q2)) − 총차입금 113억 × 3.62%(주석 이자비용 ÷ 평균 총차입금(2025Q3~2026Q2)) (연율) ÷ 4
[interest]</t>
      </text>
    </comment>
    <comment ref="AF12" authorId="0" shapeId="0">
      <text>
        <t>추정: 이자발생자산 220억 × 0.10%(주석 이자수익 ÷ 평균 이자발생자산(2025Q3~2026Q2)) − 총차입금 113억 × 3.62%(주석 이자비용 ÷ 평균 총차입금(2025Q3~2026Q2)) (연율) ÷ 4
[interest]</t>
      </text>
    </comment>
    <comment ref="AG12" authorId="0" shapeId="0">
      <text>
        <t>추정: 이자발생자산 236억 × 0.10%(주석 이자수익 ÷ 평균 이자발생자산(2025Q3~2026Q2)) − 총차입금 113억 × 3.62%(주석 이자비용 ÷ 평균 총차입금(2025Q3~2026Q2)) (연율) ÷ 4
[interest]</t>
      </text>
    </comment>
    <comment ref="AH12" authorId="0" shapeId="0">
      <text>
        <t>추정: 이자발생자산 253억 × 0.10%(주석 이자수익 ÷ 평균 이자발생자산(2025Q3~2026Q2)) − 총차입금 113억 × 3.62%(주석 이자비용 ÷ 평균 총차입금(2025Q3~2026Q2)) (연율) ÷ 4
[interest]</t>
      </text>
    </comment>
    <comment ref="AI12" authorId="0" shapeId="0">
      <text>
        <t>추정: 이자발생자산 272억 × 0.10%(주석 이자수익 ÷ 평균 이자발생자산(2025Q3~2026Q2)) − 총차입금 113억 × 3.62%(주석 이자비용 ÷ 평균 총차입금(2025Q3~2026Q2)) (연율) ÷ 4
[interest]</t>
      </text>
    </comment>
    <comment ref="AK12" authorId="0" shapeId="0">
      <text>
        <t>추정: 이자발생자산 298억 × 0.10%(주석 이자수익 ÷ 평균 이자발생자산(2025Q3~2026Q2)) − 총차입금 113억 × 3.62%(주석 이자비용 ÷ 평균 총차입금(2025Q3~2026Q2)) (연율) ÷ 4
[interest]</t>
      </text>
    </comment>
    <comment ref="AL12" authorId="0" shapeId="0">
      <text>
        <t>추정: 이자발생자산 315억 × 0.10%(주석 이자수익 ÷ 평균 이자발생자산(2025Q3~2026Q2)) − 총차입금 113억 × 3.62%(주석 이자비용 ÷ 평균 총차입금(2025Q3~2026Q2)) (연율) ÷ 4
[interest]</t>
      </text>
    </comment>
    <comment ref="AM12" authorId="0" shapeId="0">
      <text>
        <t>추정: 이자발생자산 336억 × 0.10%(주석 이자수익 ÷ 평균 이자발생자산(2025Q3~2026Q2)) − 총차입금 113억 × 3.62%(주석 이자비용 ÷ 평균 총차입금(2025Q3~2026Q2)) (연율) ÷ 4
[interest]</t>
      </text>
    </comment>
    <comment ref="AN12" authorId="0" shapeId="0">
      <text>
        <t>추정: 이자발생자산 359억 × 0.10%(주석 이자수익 ÷ 평균 이자발생자산(2025Q3~2026Q2)) − 총차입금 113억 × 3.62%(주석 이자비용 ÷ 평균 총차입금(2025Q3~2026Q2)) (연율) ÷ 4
[interest]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D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F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G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H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I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K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L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M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N16" authorId="0" shapeId="0">
      <text>
        <t>추정: max(세전, 0) × 세율 22.0%(최근 12분기 유효세율 -6.3% 가 5~27% 밖; 세전 &gt; 0 분기 중위 4.1% 도 5~27% 밖 → 법정세율 근사 22% 가정)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19" authorId="0" shapeId="0">
      <text>
        <t>추정: 최근 4분기 감가상각비 중위 유지
[abs]</t>
      </text>
    </comment>
    <comment ref="AD19" authorId="0" shapeId="0">
      <text>
        <t>추정: 최근 4분기 감가상각비 중위 유지
[abs]</t>
      </text>
    </comment>
    <comment ref="AF19" authorId="0" shapeId="0">
      <text>
        <t>추정: 최근 4분기 감가상각비 중위 유지
[abs]</t>
      </text>
    </comment>
    <comment ref="AG19" authorId="0" shapeId="0">
      <text>
        <t>추정: 최근 4분기 감가상각비 중위 유지
[abs]</t>
      </text>
    </comment>
    <comment ref="AH19" authorId="0" shapeId="0">
      <text>
        <t>추정: 최근 4분기 감가상각비 중위 유지
[abs]</t>
      </text>
    </comment>
    <comment ref="AI19" authorId="0" shapeId="0">
      <text>
        <t>추정: 최근 4분기 감가상각비 중위 유지
[abs]</t>
      </text>
    </comment>
    <comment ref="AK19" authorId="0" shapeId="0">
      <text>
        <t>추정: 최근 4분기 감가상각비 중위 유지
[abs]</t>
      </text>
    </comment>
    <comment ref="AL19" authorId="0" shapeId="0">
      <text>
        <t>추정: 최근 4분기 감가상각비 중위 유지
[abs]</t>
      </text>
    </comment>
    <comment ref="AM19" authorId="0" shapeId="0">
      <text>
        <t>추정: 최근 4분기 감가상각비 중위 유지
[abs]</t>
      </text>
    </comment>
    <comment ref="AN19" authorId="0" shapeId="0">
      <text>
        <t>추정: 최근 4분기 감가상각비 중위 유지
[abs]</t>
      </text>
    </comment>
    <comment ref="E20" authorId="0" shapeId="0">
      <text>
        <t>실측(계정 매핑 없음(파생·부문·시세 행) — 모델값 직접) — 영업이익 + 감가상각비(CF)</t>
      </text>
    </comment>
    <comment ref="G20" authorId="0" shapeId="0">
      <text>
        <t>실측(계정 매핑 없음(파생·부문·시세 행) — 모델값 직접) — 영업이익 + 감가상각비(CF)</t>
      </text>
    </comment>
    <comment ref="H20" authorId="0" shapeId="0">
      <text>
        <t>실측(계정 매핑 없음(파생·부문·시세 행) — 모델값 직접) — 영업이익 + 감가상각비(CF)</t>
      </text>
    </comment>
    <comment ref="I20" authorId="0" shapeId="0">
      <text>
        <t>실측(계정 매핑 없음(파생·부문·시세 행) — 모델값 직접) — 영업이익 + 감가상각비(CF)</t>
      </text>
    </comment>
    <comment ref="J20" authorId="0" shapeId="0">
      <text>
        <t>실측(계정 매핑 없음(파생·부문·시세 행) — 모델값 직접) — 영업이익 + 감가상각비(CF)</t>
      </text>
    </comment>
    <comment ref="L20" authorId="0" shapeId="0">
      <text>
        <t>실측(계정 매핑 없음(파생·부문·시세 행) — 모델값 직접) — 영업이익 + 감가상각비(CF)</t>
      </text>
    </comment>
    <comment ref="M20" authorId="0" shapeId="0">
      <text>
        <t>실측(계정 매핑 없음(파생·부문·시세 행) — 모델값 직접) — 영업이익 + 감가상각비(CF)</t>
      </text>
    </comment>
    <comment ref="N20" authorId="0" shapeId="0">
      <text>
        <t>실측(계정 매핑 없음(파생·부문·시세 행) — 모델값 직접) — 영업이익 + 감가상각비(CF)</t>
      </text>
    </comment>
    <comment ref="O20" authorId="0" shapeId="0">
      <text>
        <t>실측(계정 매핑 없음(파생·부문·시세 행) — 모델값 직접) — 영업이익 + 감가상각비(CF)</t>
      </text>
    </comment>
    <comment ref="V20" authorId="0" shapeId="0">
      <text>
        <t>실측(계정 매핑 없음(파생·부문·시세 행) — 모델값 직접) — 영업이익 + 감가상각비(CF)</t>
      </text>
    </comment>
    <comment ref="W20" authorId="0" shapeId="0">
      <text>
        <t>실측(계정 매핑 없음(파생·부문·시세 행) — 모델값 직접) — 영업이익 + 감가상각비(CF)</t>
      </text>
    </comment>
    <comment ref="X20" authorId="0" shapeId="0">
      <text>
        <t>실측(계정 매핑 없음(파생·부문·시세 행) — 모델값 직접) — 영업이익 + 감가상각비(CF)</t>
      </text>
    </comment>
    <comment ref="Y20" authorId="0" shapeId="0">
      <text>
        <t>실측(계정 매핑 없음(파생·부문·시세 행) — 모델값 직접) — 영업이익 + 감가상각비(CF)</t>
      </text>
    </comment>
    <comment ref="AA20" authorId="0" shapeId="0">
      <text>
        <t>실측(계정 매핑 없음(파생·부문·시세 행) — 모델값 직접) — 영업이익 + 감가상각비(CF)</t>
      </text>
    </comment>
    <comment ref="AB20" authorId="0" shapeId="0">
      <text>
        <t>실측(계정 매핑 없음(파생·부문·시세 행) — 모델값 직접) — 영업이익 + 감가상각비(CF)</t>
      </text>
    </comment>
    <comment ref="AC20" authorId="0" shapeId="0">
      <text>
        <t>추정: 영업이익 + 감가상각비
[identity]</t>
      </text>
    </comment>
    <comment ref="AD20" authorId="0" shapeId="0">
      <text>
        <t>추정: 영업이익 + 감가상각비
[identity]</t>
      </text>
    </comment>
    <comment ref="AF20" authorId="0" shapeId="0">
      <text>
        <t>추정: 영업이익 + 감가상각비
[identity]</t>
      </text>
    </comment>
    <comment ref="AG20" authorId="0" shapeId="0">
      <text>
        <t>추정: 영업이익 + 감가상각비
[identity]</t>
      </text>
    </comment>
    <comment ref="AH20" authorId="0" shapeId="0">
      <text>
        <t>추정: 영업이익 + 감가상각비
[identity]</t>
      </text>
    </comment>
    <comment ref="AI20" authorId="0" shapeId="0">
      <text>
        <t>추정: 영업이익 + 감가상각비
[identity]</t>
      </text>
    </comment>
    <comment ref="AK20" authorId="0" shapeId="0">
      <text>
        <t>추정: 영업이익 + 감가상각비
[identity]</t>
      </text>
    </comment>
    <comment ref="AL20" authorId="0" shapeId="0">
      <text>
        <t>추정: 영업이익 + 감가상각비
[identity]</t>
      </text>
    </comment>
    <comment ref="AM20" authorId="0" shapeId="0">
      <text>
        <t>추정: 영업이익 + 감가상각비
[identity]</t>
      </text>
    </comment>
    <comment ref="AN20" authorId="0" shapeId="0">
      <text>
        <t>추정: 영업이익 + 감가상각비
[identity]</t>
      </text>
    </comment>
    <comment ref="F21" authorId="0" shapeId="0">
      <text>
        <t>연간 실측(BS 시트에 2021.12A 없음 — 모델 a 값 직접)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F22" authorId="0" shapeId="0">
      <text>
        <t>연간 실측(BS 시트에 2021.12A 없음 — 모델 a 값 직접)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F23" authorId="0" shapeId="0">
      <text>
        <t>연간 실측(BS 시트에 2021.12A 없음 — 모델 a 값 직접)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F24" authorId="0" shapeId="0">
      <text>
        <t>연간 실측(BS 시트에 2021.12A 없음 — 모델 a 값 직접)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D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F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G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H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I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K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L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M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AN26" authorId="0" shapeId="0">
      <text>
        <t>추정: 전분기 − FCF 근사[순이익 + 감가상각비 2억 − CAPEX 0억(각 최근 4분기 중위) − 배당] (운전자본 불변·총차입금 유지 가정 → 변동은 전부 현금)
[qoq]</t>
      </text>
    </comment>
    <comment ref="F27" authorId="0" shapeId="0">
      <text>
        <t>연간 실측(BS 시트에 2021.12A 없음 — 모델 a 값 직접)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F28" authorId="0" shapeId="0">
      <text>
        <t>연간 실측(BS 시트에 2021.12A 없음 — 모델 a 값 직접)</t>
      </text>
    </comment>
    <comment ref="AC29" authorId="0" shapeId="0">
      <text>
        <t>추정: 최근 4분기(2025Q3~2026Q2) CAPEX 중위 유지 — 순차입금 롤에 반영(FCF 근사)
[yoy]</t>
      </text>
    </comment>
    <comment ref="AD29" authorId="0" shapeId="0">
      <text>
        <t>추정: 최근 4분기(2025Q3~2026Q2) CAPEX 중위 유지 — 순차입금 롤에 반영(FCF 근사)
[yoy]</t>
      </text>
    </comment>
    <comment ref="AF29" authorId="0" shapeId="0">
      <text>
        <t>추정: 최근 4분기(2025Q3~2026Q2) CAPEX 중위 유지 — 순차입금 롤에 반영(FCF 근사)
[yoy]</t>
      </text>
    </comment>
    <comment ref="AG29" authorId="0" shapeId="0">
      <text>
        <t>추정: 최근 4분기(2025Q3~2026Q2) CAPEX 중위 유지 — 순차입금 롤에 반영(FCF 근사)
[yoy]</t>
      </text>
    </comment>
    <comment ref="AH29" authorId="0" shapeId="0">
      <text>
        <t>추정: 최근 4분기(2025Q3~2026Q2) CAPEX 중위 유지 — 순차입금 롤에 반영(FCF 근사)
[yoy]</t>
      </text>
    </comment>
    <comment ref="AI29" authorId="0" shapeId="0">
      <text>
        <t>추정: 최근 4분기(2025Q3~2026Q2) CAPEX 중위 유지 — 순차입금 롤에 반영(FCF 근사)
[yoy]</t>
      </text>
    </comment>
    <comment ref="AK29" authorId="0" shapeId="0">
      <text>
        <t>추정: 최근 4분기(2025Q3~2026Q2) CAPEX 중위 유지 — 순차입금 롤에 반영(FCF 근사)
[yoy]</t>
      </text>
    </comment>
    <comment ref="AL29" authorId="0" shapeId="0">
      <text>
        <t>추정: 최근 4분기(2025Q3~2026Q2) CAPEX 중위 유지 — 순차입금 롤에 반영(FCF 근사)
[yoy]</t>
      </text>
    </comment>
    <comment ref="AM29" authorId="0" shapeId="0">
      <text>
        <t>추정: 최근 4분기(2025Q3~2026Q2) CAPEX 중위 유지 — 순차입금 롤에 반영(FCF 근사)
[yoy]</t>
      </text>
    </comment>
    <comment ref="AN29" authorId="0" shapeId="0">
      <text>
        <t>추정: 최근 4분기(2025Q3~2026Q2) CAPEX 중위 유지 — 순차입금 롤에 반영(FCF 근사)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AN34" authorId="0" shapeId="0">
      <text>
        <t>추정: 직전 결산 DPS 0원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동방선기(099410) 실적 모델 — ARGUS 한국조선</t>
        </is>
      </c>
    </row>
    <row r="2">
      <c r="A2" t="inlineStr">
        <is>
          <t>기준 분기 2026Q2 · 마지막 실적 2026Q2 · 생성 2026-10-19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법인세 = MAX(세전,0) × 세율, 추정 전 분기 연결(Σ법인세/Σmax(세전,0) 역산, 재현 오차 ≤ 0.05억). 모델 가정 22.00% · 근거: 최근 12분기 유효세율 -6.3% 가 5~27% 밖; 세전 &gt; 0 분기 중위 4.1% 도 5~27% 밖 → 법정세율 근사 22% 가정</t>
        </is>
      </c>
    </row>
    <row r="23">
      <c r="A23" t="inlineStr">
        <is>
          <t>· 판관비율 11.39%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0.10% / 부채 3.63% — 이자손익 = (전분기 이자발생자산 × 자산이자율 − 전분기 총차입금 × 부채이자율)/4, 최소자승 역산(모델 assumptions [0.001, 0.0362]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7.1/7.7/21.6배(hist_quarterly(분기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assets/models/099410.json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(없음)</t>
        </is>
      </c>
    </row>
    <row r="34">
      <c r="A34" t="inlineStr">
        <is>
          <t>백테스트: {"freeze": "2025Q2", "horizon": 4, "revenue_wape_pct": 14.2, "op_wape_pct": 75.4, "n": 4, "note": "단일 회사 4분기 — 통계 아님", "driver_at_freeze": "customer_yard_revenue_weighted", "selection_oos_at_freeze": {"freeze": "2024Q2", "n": 4, "wape_link": 24.2, "wape_trend": 29.3,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86.17, "rev_act": 115.07, "op_pred": 7.43, "op_act": 30.29}, {"q": "2025Q4", "rev_pred": 117.41, "rev_act": 130.35, "op_pred": 10.12, "op_act": 51.46}, {"q": "2026Q1", "rev_pred": 84.9, "rev_act": 91.97, "op_pred": 7.32, "op_act": 15.55}, {"q": "2026Q2", "rev_pred": 101.23, "rev_act": 116.6, "op_pred": 8.73, "op_act": 39.05}]}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1342.11</v>
      </c>
      <c r="AE6" s="17" t="n">
        <v>1454.27</v>
      </c>
      <c r="AF6" s="16" t="n">
        <v>1332.1</v>
      </c>
      <c r="AG6" s="16" t="n">
        <v>1332.1</v>
      </c>
      <c r="AH6" s="16" t="n">
        <v>1332.1</v>
      </c>
      <c r="AI6" s="16" t="n">
        <v>1332.1</v>
      </c>
      <c r="AJ6" s="11" t="n"/>
      <c r="AK6" s="16" t="n">
        <v>1332.1</v>
      </c>
      <c r="AL6" s="16" t="n">
        <v>1332.1</v>
      </c>
      <c r="AM6" s="16" t="n">
        <v>1332.1</v>
      </c>
      <c r="AN6" s="16" t="n">
        <v>1332.1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1332.1</v>
      </c>
      <c r="AE7" s="17" t="n">
        <v>1332.1</v>
      </c>
      <c r="AF7" s="16" t="n">
        <v>1332.1</v>
      </c>
      <c r="AG7" s="16" t="n">
        <v>1332.1</v>
      </c>
      <c r="AH7" s="16" t="n">
        <v>1332.1</v>
      </c>
      <c r="AI7" s="16" t="n">
        <v>1332.1</v>
      </c>
      <c r="AJ7" s="11" t="n"/>
      <c r="AK7" s="16" t="n">
        <v>1332.1</v>
      </c>
      <c r="AL7" s="16" t="n">
        <v>1332.1</v>
      </c>
      <c r="AM7" s="16" t="n">
        <v>1332.1</v>
      </c>
      <c r="AN7" s="16" t="n">
        <v>1332.1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848.59</v>
      </c>
      <c r="AE8" s="17" t="n">
        <v>917.39</v>
      </c>
      <c r="AF8" s="16" t="n">
        <v>842.99</v>
      </c>
      <c r="AG8" s="16" t="n">
        <v>842.99</v>
      </c>
      <c r="AH8" s="16" t="n">
        <v>842.99</v>
      </c>
      <c r="AI8" s="16" t="n">
        <v>842.99</v>
      </c>
      <c r="AJ8" s="11" t="n"/>
      <c r="AK8" s="16" t="n">
        <v>842.99</v>
      </c>
      <c r="AL8" s="16" t="n">
        <v>842.99</v>
      </c>
      <c r="AM8" s="16" t="n">
        <v>842.99</v>
      </c>
      <c r="AN8" s="16" t="n">
        <v>842.99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842.99</v>
      </c>
      <c r="AE9" s="17" t="n">
        <v>842.99</v>
      </c>
      <c r="AF9" s="16" t="n">
        <v>842.99</v>
      </c>
      <c r="AG9" s="16" t="n">
        <v>842.99</v>
      </c>
      <c r="AH9" s="16" t="n">
        <v>842.99</v>
      </c>
      <c r="AI9" s="16" t="n">
        <v>842.99</v>
      </c>
      <c r="AJ9" s="11" t="n"/>
      <c r="AK9" s="16" t="n">
        <v>842.99</v>
      </c>
      <c r="AL9" s="16" t="n">
        <v>842.99</v>
      </c>
      <c r="AM9" s="16" t="n">
        <v>842.99</v>
      </c>
      <c r="AN9" s="16" t="n">
        <v>842.99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1505.3</v>
      </c>
      <c r="AE10" s="17" t="n">
        <v>1685.25</v>
      </c>
      <c r="AF10" s="16" t="n">
        <v>1499.02</v>
      </c>
      <c r="AG10" s="16" t="n">
        <v>1499.02</v>
      </c>
      <c r="AH10" s="16" t="n">
        <v>1499.02</v>
      </c>
      <c r="AI10" s="16" t="n">
        <v>1499.02</v>
      </c>
      <c r="AJ10" s="11" t="n"/>
      <c r="AK10" s="16" t="n">
        <v>1499.02</v>
      </c>
      <c r="AL10" s="16" t="n">
        <v>1499.02</v>
      </c>
      <c r="AM10" s="16" t="n">
        <v>1499.02</v>
      </c>
      <c r="AN10" s="16" t="n">
        <v>1499.02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1499.02</v>
      </c>
      <c r="AE11" s="17" t="n">
        <v>1499.02</v>
      </c>
      <c r="AF11" s="16" t="n">
        <v>1499.02</v>
      </c>
      <c r="AG11" s="16" t="n">
        <v>1499.02</v>
      </c>
      <c r="AH11" s="16" t="n">
        <v>1499.02</v>
      </c>
      <c r="AI11" s="16" t="n">
        <v>1499.02</v>
      </c>
      <c r="AJ11" s="11" t="n"/>
      <c r="AK11" s="16" t="n">
        <v>1499.02</v>
      </c>
      <c r="AL11" s="16" t="n">
        <v>1499.02</v>
      </c>
      <c r="AM11" s="16" t="n">
        <v>1499.02</v>
      </c>
      <c r="AN11" s="16" t="n">
        <v>1499.02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200.38</v>
      </c>
      <c r="AE12" s="17" t="n">
        <v>213.41</v>
      </c>
      <c r="AF12" s="16" t="n">
        <v>199.23</v>
      </c>
      <c r="AG12" s="16" t="n">
        <v>199.23</v>
      </c>
      <c r="AH12" s="16" t="n">
        <v>199.23</v>
      </c>
      <c r="AI12" s="16" t="n">
        <v>199.23</v>
      </c>
      <c r="AJ12" s="11" t="n"/>
      <c r="AK12" s="16" t="n">
        <v>199.23</v>
      </c>
      <c r="AL12" s="16" t="n">
        <v>199.23</v>
      </c>
      <c r="AM12" s="16" t="n">
        <v>199.23</v>
      </c>
      <c r="AN12" s="16" t="n">
        <v>199.23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199.23</v>
      </c>
      <c r="AE13" s="17" t="n">
        <v>199.23</v>
      </c>
      <c r="AF13" s="16" t="n">
        <v>199.23</v>
      </c>
      <c r="AG13" s="16" t="n">
        <v>199.23</v>
      </c>
      <c r="AH13" s="16" t="n">
        <v>199.23</v>
      </c>
      <c r="AI13" s="16" t="n">
        <v>199.23</v>
      </c>
      <c r="AJ13" s="11" t="n"/>
      <c r="AK13" s="16" t="n">
        <v>199.23</v>
      </c>
      <c r="AL13" s="16" t="n">
        <v>199.23</v>
      </c>
      <c r="AM13" s="16" t="n">
        <v>199.23</v>
      </c>
      <c r="AN13" s="16" t="n">
        <v>199.23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3235</v>
      </c>
      <c r="F15" s="9" t="n"/>
      <c r="G15" s="18" t="n">
        <v>3805</v>
      </c>
      <c r="H15" s="18" t="n">
        <v>3285</v>
      </c>
      <c r="I15" s="18" t="n">
        <v>2660</v>
      </c>
      <c r="J15" s="18" t="n">
        <v>2495</v>
      </c>
      <c r="K15" s="9" t="n"/>
      <c r="L15" s="18" t="n">
        <v>2590</v>
      </c>
      <c r="M15" s="18" t="n">
        <v>3065</v>
      </c>
      <c r="N15" s="18" t="n">
        <v>2385</v>
      </c>
      <c r="O15" s="18" t="n">
        <v>2305</v>
      </c>
      <c r="P15" s="9" t="n"/>
      <c r="Q15" s="18" t="n">
        <v>2420</v>
      </c>
      <c r="R15" s="18" t="n">
        <v>2735</v>
      </c>
      <c r="S15" s="18" t="n">
        <v>2670</v>
      </c>
      <c r="T15" s="18" t="n">
        <v>3055</v>
      </c>
      <c r="U15" s="9" t="n"/>
      <c r="V15" s="18" t="n">
        <v>3180</v>
      </c>
      <c r="W15" s="18" t="n">
        <v>3410</v>
      </c>
      <c r="X15" s="18" t="n">
        <v>5100</v>
      </c>
      <c r="Y15" s="18" t="n">
        <v>4510</v>
      </c>
      <c r="Z15" s="9" t="n"/>
      <c r="AA15" s="18" t="n">
        <v>4600</v>
      </c>
      <c r="AB15" s="19" t="n">
        <v>3200</v>
      </c>
      <c r="AC15" s="20" t="n">
        <v>3100</v>
      </c>
      <c r="AD15" s="20" t="n">
        <v>2725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3880</v>
      </c>
      <c r="F16" s="9" t="n"/>
      <c r="G16" s="18" t="n">
        <v>4480</v>
      </c>
      <c r="H16" s="18" t="n">
        <v>5550</v>
      </c>
      <c r="I16" s="18" t="n">
        <v>4175</v>
      </c>
      <c r="J16" s="18" t="n">
        <v>3330</v>
      </c>
      <c r="K16" s="9" t="n"/>
      <c r="L16" s="18" t="n">
        <v>3075</v>
      </c>
      <c r="M16" s="18" t="n">
        <v>3775</v>
      </c>
      <c r="N16" s="18" t="n">
        <v>3395</v>
      </c>
      <c r="O16" s="18" t="n">
        <v>2550</v>
      </c>
      <c r="P16" s="9" t="n"/>
      <c r="Q16" s="18" t="n">
        <v>2615</v>
      </c>
      <c r="R16" s="18" t="n">
        <v>3150</v>
      </c>
      <c r="S16" s="18" t="n">
        <v>2975</v>
      </c>
      <c r="T16" s="18" t="n">
        <v>3470</v>
      </c>
      <c r="U16" s="9" t="n"/>
      <c r="V16" s="18" t="n">
        <v>3860</v>
      </c>
      <c r="W16" s="18" t="n">
        <v>4070</v>
      </c>
      <c r="X16" s="18" t="n">
        <v>7340</v>
      </c>
      <c r="Y16" s="18" t="n">
        <v>6370</v>
      </c>
      <c r="Z16" s="9" t="n"/>
      <c r="AA16" s="18" t="n">
        <v>6360</v>
      </c>
      <c r="AB16" s="19" t="n">
        <v>6780</v>
      </c>
      <c r="AC16" s="20" t="n">
        <v>3800</v>
      </c>
      <c r="AD16" s="20" t="n">
        <v>3125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2400</v>
      </c>
      <c r="F17" s="9" t="n"/>
      <c r="G17" s="18" t="n">
        <v>3110</v>
      </c>
      <c r="H17" s="18" t="n">
        <v>2725</v>
      </c>
      <c r="I17" s="18" t="n">
        <v>2535</v>
      </c>
      <c r="J17" s="18" t="n">
        <v>2400</v>
      </c>
      <c r="K17" s="9" t="n"/>
      <c r="L17" s="18" t="n">
        <v>2305</v>
      </c>
      <c r="M17" s="18" t="n">
        <v>2400</v>
      </c>
      <c r="N17" s="18" t="n">
        <v>2285</v>
      </c>
      <c r="O17" s="18" t="n">
        <v>2080</v>
      </c>
      <c r="P17" s="9" t="n"/>
      <c r="Q17" s="18" t="n">
        <v>2025</v>
      </c>
      <c r="R17" s="18" t="n">
        <v>2425</v>
      </c>
      <c r="S17" s="18" t="n">
        <v>2350</v>
      </c>
      <c r="T17" s="18" t="n">
        <v>2570</v>
      </c>
      <c r="U17" s="9" t="n"/>
      <c r="V17" s="18" t="n">
        <v>2920</v>
      </c>
      <c r="W17" s="18" t="n">
        <v>2785</v>
      </c>
      <c r="X17" s="18" t="n">
        <v>3170</v>
      </c>
      <c r="Y17" s="18" t="n">
        <v>4425</v>
      </c>
      <c r="Z17" s="9" t="n"/>
      <c r="AA17" s="18" t="n">
        <v>4400</v>
      </c>
      <c r="AB17" s="19" t="n">
        <v>2880</v>
      </c>
      <c r="AC17" s="20" t="n">
        <v>2475</v>
      </c>
      <c r="AD17" s="20" t="n">
        <v>2585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2823.9</v>
      </c>
      <c r="F18" s="9" t="n"/>
      <c r="G18" s="18" t="n">
        <v>3794.7</v>
      </c>
      <c r="H18" s="18" t="n">
        <v>3946.9</v>
      </c>
      <c r="I18" s="18" t="n">
        <v>3235.8</v>
      </c>
      <c r="J18" s="18" t="n">
        <v>2709.7</v>
      </c>
      <c r="K18" s="9" t="n"/>
      <c r="L18" s="18" t="n">
        <v>2648</v>
      </c>
      <c r="M18" s="18" t="n">
        <v>2936.7</v>
      </c>
      <c r="N18" s="18" t="n">
        <v>2739.7</v>
      </c>
      <c r="O18" s="18" t="n">
        <v>2289</v>
      </c>
      <c r="P18" s="9" t="n"/>
      <c r="Q18" s="18" t="n">
        <v>2270</v>
      </c>
      <c r="R18" s="18" t="n">
        <v>2712.2</v>
      </c>
      <c r="S18" s="18" t="n">
        <v>2661.1</v>
      </c>
      <c r="T18" s="18" t="n">
        <v>2963.2</v>
      </c>
      <c r="U18" s="9" t="n"/>
      <c r="V18" s="18" t="n">
        <v>3266.9</v>
      </c>
      <c r="W18" s="18" t="n">
        <v>3544.4</v>
      </c>
      <c r="X18" s="18" t="n">
        <v>4129.2</v>
      </c>
      <c r="Y18" s="18" t="n">
        <v>4988.8</v>
      </c>
      <c r="Z18" s="9" t="n"/>
      <c r="AA18" s="18" t="n">
        <v>5329.2</v>
      </c>
      <c r="AB18" s="19" t="n">
        <v>4507.6</v>
      </c>
      <c r="AC18" s="20" t="n">
        <v>3134.4</v>
      </c>
      <c r="AD18" s="20" t="n">
        <v>2876.4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-0.056111852</v>
      </c>
      <c r="AD21" s="24" t="n">
        <v>0.166196639</v>
      </c>
      <c r="AE21" s="25" t="n"/>
      <c r="AF21" s="24" t="n">
        <v>0.080727836</v>
      </c>
      <c r="AG21" s="24" t="n">
        <v>-0.026711616</v>
      </c>
      <c r="AH21" s="24" t="n">
        <v>0.181198785</v>
      </c>
      <c r="AI21" s="24" t="n">
        <v>0.163410302</v>
      </c>
      <c r="AJ21" s="25" t="n"/>
      <c r="AK21" s="24" t="n">
        <v>0.184223765</v>
      </c>
      <c r="AL21" s="24" t="n">
        <v>0.214115781</v>
      </c>
      <c r="AM21" s="24" t="n">
        <v>0.238600047</v>
      </c>
      <c r="AN21" s="24" t="n">
        <v>0.241277919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0.178344535</v>
      </c>
      <c r="AD23" s="24" t="n">
        <v>0.17834353</v>
      </c>
      <c r="AE23" s="25">
        <f>IFERROR(subQ!AE9/subQ!AE5,"")</f>
        <v/>
      </c>
      <c r="AF23" s="24" t="n">
        <v>0.178388168</v>
      </c>
      <c r="AG23" s="24" t="n">
        <v>0.178341704</v>
      </c>
      <c r="AH23" s="24" t="n">
        <v>0.178345935</v>
      </c>
      <c r="AI23" s="24" t="n">
        <v>0.178399774</v>
      </c>
      <c r="AJ23" s="25">
        <f>IFERROR(subQ!AJ9/subQ!AJ5,"")</f>
        <v/>
      </c>
      <c r="AK23" s="24" t="n">
        <v>0.178334749</v>
      </c>
      <c r="AL23" s="24" t="n">
        <v>0.178387401</v>
      </c>
      <c r="AM23" s="24" t="n">
        <v>0.178351164</v>
      </c>
      <c r="AN23" s="24" t="n">
        <v>0.178389213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drv:법인세비용</t>
        </is>
      </c>
      <c r="B26" s="2" t="inlineStr">
        <is>
          <t>tax</t>
        </is>
      </c>
      <c r="C26" t="inlineStr">
        <is>
          <t>법인세율(/세전) — 법인세 = MAX(세전,0) × 세율</t>
        </is>
      </c>
      <c r="E26" s="21">
        <f>IFERROR(subQ!E16/subQ!E15,"")</f>
        <v/>
      </c>
      <c r="F26" s="22">
        <f>IFERROR(subQ!F16/subQ!F15,"")</f>
        <v/>
      </c>
      <c r="G26" s="21">
        <f>IFERROR(subQ!G16/subQ!G15,"")</f>
        <v/>
      </c>
      <c r="H26" s="21">
        <f>IFERROR(subQ!H16/subQ!H15,"")</f>
        <v/>
      </c>
      <c r="I26" s="21">
        <f>IFERROR(subQ!I16/subQ!I15,"")</f>
        <v/>
      </c>
      <c r="J26" s="21">
        <f>IFERROR(subQ!J16/subQ!J15,"")</f>
        <v/>
      </c>
      <c r="K26" s="22">
        <f>IFERROR(subQ!K16/subQ!K15,"")</f>
        <v/>
      </c>
      <c r="L26" s="21">
        <f>IFERROR(subQ!L16/subQ!L15,"")</f>
        <v/>
      </c>
      <c r="M26" s="21">
        <f>IFERROR(subQ!M16/subQ!M15,"")</f>
        <v/>
      </c>
      <c r="N26" s="21">
        <f>IFERROR(subQ!N16/subQ!N15,"")</f>
        <v/>
      </c>
      <c r="O26" s="21">
        <f>IFERROR(subQ!O16/subQ!O15,"")</f>
        <v/>
      </c>
      <c r="P26" s="22">
        <f>IFERROR(subQ!P16/subQ!P15,"")</f>
        <v/>
      </c>
      <c r="Q26" s="21">
        <f>IFERROR(subQ!Q16/subQ!Q15,"")</f>
        <v/>
      </c>
      <c r="R26" s="21">
        <f>IFERROR(subQ!R16/subQ!R15,"")</f>
        <v/>
      </c>
      <c r="S26" s="21">
        <f>IFERROR(subQ!S16/subQ!S15,"")</f>
        <v/>
      </c>
      <c r="T26" s="21">
        <f>IFERROR(subQ!T16/subQ!T15,"")</f>
        <v/>
      </c>
      <c r="U26" s="22">
        <f>IFERROR(subQ!U16/subQ!U15,"")</f>
        <v/>
      </c>
      <c r="V26" s="21">
        <f>IFERROR(subQ!V16/subQ!V15,"")</f>
        <v/>
      </c>
      <c r="W26" s="21">
        <f>IFERROR(subQ!W16/subQ!W15,"")</f>
        <v/>
      </c>
      <c r="X26" s="21">
        <f>IFERROR(subQ!X16/subQ!X15,"")</f>
        <v/>
      </c>
      <c r="Y26" s="21">
        <f>IFERROR(subQ!Y16/subQ!Y15,"")</f>
        <v/>
      </c>
      <c r="Z26" s="22">
        <f>IFERROR(subQ!Z16/subQ!Z15,"")</f>
        <v/>
      </c>
      <c r="AA26" s="21">
        <f>IFERROR(subQ!AA16/subQ!AA15,"")</f>
        <v/>
      </c>
      <c r="AB26" s="23">
        <f>IFERROR(subQ!AB16/subQ!AB15,"")</f>
        <v/>
      </c>
      <c r="AC26" s="26">
        <f>$D$49</f>
        <v/>
      </c>
      <c r="AD26" s="26">
        <f>$D$49</f>
        <v/>
      </c>
      <c r="AE26" s="25">
        <f>IFERROR(subQ!AE16/subQ!AE15,"")</f>
        <v/>
      </c>
      <c r="AF26" s="26">
        <f>$D$49</f>
        <v/>
      </c>
      <c r="AG26" s="26">
        <f>$D$49</f>
        <v/>
      </c>
      <c r="AH26" s="26">
        <f>$D$49</f>
        <v/>
      </c>
      <c r="AI26" s="26">
        <f>$D$49</f>
        <v/>
      </c>
      <c r="AJ26" s="25">
        <f>IFERROR(subQ!AJ16/subQ!AJ15,"")</f>
        <v/>
      </c>
      <c r="AK26" s="26">
        <f>$D$49</f>
        <v/>
      </c>
      <c r="AL26" s="26">
        <f>$D$49</f>
        <v/>
      </c>
      <c r="AM26" s="26">
        <f>$D$49</f>
        <v/>
      </c>
      <c r="AN26" s="26">
        <f>$D$49</f>
        <v/>
      </c>
      <c r="AO26" s="25">
        <f>IFERROR(subQ!AO16/subQ!AO15,"")</f>
        <v/>
      </c>
    </row>
    <row r="27">
      <c r="A27" s="12" t="inlineStr">
        <is>
          <t>drv:지배주주순이익</t>
        </is>
      </c>
      <c r="B27" s="2" t="inlineStr">
        <is>
          <t>ratio</t>
        </is>
      </c>
      <c r="C27" t="inlineStr">
        <is>
          <t>지배주주 비중(/당기순이익)</t>
        </is>
      </c>
      <c r="E27" s="21">
        <f>IFERROR(subQ!E18/subQ!E17,"")</f>
        <v/>
      </c>
      <c r="F27" s="22">
        <f>IFERROR(subQ!F18/subQ!F17,"")</f>
        <v/>
      </c>
      <c r="G27" s="21">
        <f>IFERROR(subQ!G18/subQ!G17,"")</f>
        <v/>
      </c>
      <c r="H27" s="21">
        <f>IFERROR(subQ!H18/subQ!H17,"")</f>
        <v/>
      </c>
      <c r="I27" s="21">
        <f>IFERROR(subQ!I18/subQ!I17,"")</f>
        <v/>
      </c>
      <c r="J27" s="21">
        <f>IFERROR(subQ!J18/subQ!J17,"")</f>
        <v/>
      </c>
      <c r="K27" s="22">
        <f>IFERROR(subQ!K18/subQ!K17,"")</f>
        <v/>
      </c>
      <c r="L27" s="21">
        <f>IFERROR(subQ!L18/subQ!L17,"")</f>
        <v/>
      </c>
      <c r="M27" s="21">
        <f>IFERROR(subQ!M18/subQ!M17,"")</f>
        <v/>
      </c>
      <c r="N27" s="21">
        <f>IFERROR(subQ!N18/subQ!N17,"")</f>
        <v/>
      </c>
      <c r="O27" s="21">
        <f>IFERROR(subQ!O18/subQ!O17,"")</f>
        <v/>
      </c>
      <c r="P27" s="22">
        <f>IFERROR(subQ!P18/subQ!P17,"")</f>
        <v/>
      </c>
      <c r="Q27" s="21">
        <f>IFERROR(subQ!Q18/subQ!Q17,"")</f>
        <v/>
      </c>
      <c r="R27" s="21">
        <f>IFERROR(subQ!R18/subQ!R17,"")</f>
        <v/>
      </c>
      <c r="S27" s="21">
        <f>IFERROR(subQ!S18/subQ!S17,"")</f>
        <v/>
      </c>
      <c r="T27" s="21">
        <f>IFERROR(subQ!T18/subQ!T17,"")</f>
        <v/>
      </c>
      <c r="U27" s="22">
        <f>IFERROR(subQ!U18/subQ!U17,"")</f>
        <v/>
      </c>
      <c r="V27" s="21">
        <f>IFERROR(subQ!V18/subQ!V17,"")</f>
        <v/>
      </c>
      <c r="W27" s="21">
        <f>IFERROR(subQ!W18/subQ!W17,"")</f>
        <v/>
      </c>
      <c r="X27" s="21">
        <f>IFERROR(subQ!X18/subQ!X17,"")</f>
        <v/>
      </c>
      <c r="Y27" s="21">
        <f>IFERROR(subQ!Y18/subQ!Y17,"")</f>
        <v/>
      </c>
      <c r="Z27" s="22">
        <f>IFERROR(subQ!Z18/subQ!Z17,"")</f>
        <v/>
      </c>
      <c r="AA27" s="21">
        <f>IFERROR(subQ!AA18/subQ!AA17,"")</f>
        <v/>
      </c>
      <c r="AB27" s="23">
        <f>IFERROR(subQ!AB18/subQ!AB17,"")</f>
        <v/>
      </c>
      <c r="AC27" s="26">
        <f>$D$51</f>
        <v/>
      </c>
      <c r="AD27" s="26">
        <f>$D$51</f>
        <v/>
      </c>
      <c r="AE27" s="25">
        <f>IFERROR(subQ!AE18/subQ!AE17,"")</f>
        <v/>
      </c>
      <c r="AF27" s="26">
        <f>$D$51</f>
        <v/>
      </c>
      <c r="AG27" s="26">
        <f>$D$51</f>
        <v/>
      </c>
      <c r="AH27" s="26">
        <f>$D$51</f>
        <v/>
      </c>
      <c r="AI27" s="26">
        <f>$D$51</f>
        <v/>
      </c>
      <c r="AJ27" s="25">
        <f>IFERROR(subQ!AJ18/subQ!AJ17,"")</f>
        <v/>
      </c>
      <c r="AK27" s="26">
        <f>$D$51</f>
        <v/>
      </c>
      <c r="AL27" s="26">
        <f>$D$51</f>
        <v/>
      </c>
      <c r="AM27" s="26">
        <f>$D$51</f>
        <v/>
      </c>
      <c r="AN27" s="26">
        <f>$D$51</f>
        <v/>
      </c>
      <c r="AO27" s="25">
        <f>IFERROR(subQ!AO18/subQ!AO17,"")</f>
        <v/>
      </c>
    </row>
    <row r="28">
      <c r="A28" s="12" t="inlineStr">
        <is>
          <t>drv:감가상각비</t>
        </is>
      </c>
      <c r="B28" s="2" t="inlineStr">
        <is>
          <t>abs</t>
        </is>
      </c>
      <c r="C28" t="inlineStr">
        <is>
          <t>감가상각비 (가정, 억원)</t>
        </is>
      </c>
      <c r="E28" s="27">
        <f>subQ!E19</f>
        <v/>
      </c>
      <c r="F28" s="28">
        <f>subQ!F19</f>
        <v/>
      </c>
      <c r="G28" s="27">
        <f>subQ!G19</f>
        <v/>
      </c>
      <c r="H28" s="27">
        <f>subQ!H19</f>
        <v/>
      </c>
      <c r="I28" s="27">
        <f>subQ!I19</f>
        <v/>
      </c>
      <c r="J28" s="27">
        <f>subQ!J19</f>
        <v/>
      </c>
      <c r="K28" s="28">
        <f>subQ!K19</f>
        <v/>
      </c>
      <c r="L28" s="27">
        <f>subQ!L19</f>
        <v/>
      </c>
      <c r="M28" s="27">
        <f>subQ!M19</f>
        <v/>
      </c>
      <c r="N28" s="27">
        <f>subQ!N19</f>
        <v/>
      </c>
      <c r="O28" s="27">
        <f>subQ!O19</f>
        <v/>
      </c>
      <c r="P28" s="28">
        <f>subQ!P19</f>
        <v/>
      </c>
      <c r="Q28" s="27">
        <f>subQ!Q19</f>
        <v/>
      </c>
      <c r="R28" s="27">
        <f>subQ!R19</f>
        <v/>
      </c>
      <c r="S28" s="27">
        <f>subQ!S19</f>
        <v/>
      </c>
      <c r="T28" s="27">
        <f>subQ!T19</f>
        <v/>
      </c>
      <c r="U28" s="28">
        <f>subQ!U19</f>
        <v/>
      </c>
      <c r="V28" s="27">
        <f>subQ!V19</f>
        <v/>
      </c>
      <c r="W28" s="27">
        <f>subQ!W19</f>
        <v/>
      </c>
      <c r="X28" s="27">
        <f>subQ!X19</f>
        <v/>
      </c>
      <c r="Y28" s="27">
        <f>subQ!Y19</f>
        <v/>
      </c>
      <c r="Z28" s="28">
        <f>subQ!Z19</f>
        <v/>
      </c>
      <c r="AA28" s="27">
        <f>subQ!AA19</f>
        <v/>
      </c>
      <c r="AB28" s="29">
        <f>subQ!AB19</f>
        <v/>
      </c>
      <c r="AC28" s="30" t="n">
        <v>2.4</v>
      </c>
      <c r="AD28" s="30" t="n">
        <v>2.4</v>
      </c>
      <c r="AE28" s="31">
        <f>subQ!AE19</f>
        <v/>
      </c>
      <c r="AF28" s="30" t="n">
        <v>2.4</v>
      </c>
      <c r="AG28" s="30" t="n">
        <v>2.4</v>
      </c>
      <c r="AH28" s="30" t="n">
        <v>2.4</v>
      </c>
      <c r="AI28" s="30" t="n">
        <v>2.4</v>
      </c>
      <c r="AJ28" s="31">
        <f>subQ!AJ19</f>
        <v/>
      </c>
      <c r="AK28" s="30" t="n">
        <v>2.4</v>
      </c>
      <c r="AL28" s="30" t="n">
        <v>2.4</v>
      </c>
      <c r="AM28" s="30" t="n">
        <v>2.4</v>
      </c>
      <c r="AN28" s="30" t="n">
        <v>2.4</v>
      </c>
      <c r="AO28" s="31">
        <f>subQ!AO19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IFERROR(subQ!G22/subQ!E22-1,"")</f>
        <v/>
      </c>
      <c r="H29" s="21">
        <f>IFERROR(subQ!H22/subQ!G22-1,"")</f>
        <v/>
      </c>
      <c r="I29" s="21">
        <f>IFERROR(subQ!I22/subQ!H22-1,"")</f>
        <v/>
      </c>
      <c r="J29" s="21">
        <f>IFERROR(subQ!J22/subQ!I22-1,"")</f>
        <v/>
      </c>
      <c r="K29" s="22" t="n"/>
      <c r="L29" s="21">
        <f>IFERROR(subQ!L22/subQ!J22-1,"")</f>
        <v/>
      </c>
      <c r="M29" s="21">
        <f>IFERROR(subQ!M22/subQ!L22-1,"")</f>
        <v/>
      </c>
      <c r="N29" s="21">
        <f>IFERROR(subQ!N22/subQ!M22-1,"")</f>
        <v/>
      </c>
      <c r="O29" s="21">
        <f>IFERROR(subQ!O22/subQ!N22-1,"")</f>
        <v/>
      </c>
      <c r="P29" s="22" t="n"/>
      <c r="Q29" s="21">
        <f>IFERROR(subQ!Q22/subQ!O22-1,"")</f>
        <v/>
      </c>
      <c r="R29" s="21">
        <f>IFERROR(subQ!R22/subQ!Q22-1,"")</f>
        <v/>
      </c>
      <c r="S29" s="21">
        <f>IFERROR(subQ!S22/subQ!R22-1,"")</f>
        <v/>
      </c>
      <c r="T29" s="21">
        <f>IFERROR(subQ!T22/subQ!S22-1,"")</f>
        <v/>
      </c>
      <c r="U29" s="22" t="n"/>
      <c r="V29" s="21">
        <f>IFERROR(subQ!V22/subQ!T22-1,"")</f>
        <v/>
      </c>
      <c r="W29" s="21">
        <f>IFERROR(subQ!W22/subQ!V22-1,"")</f>
        <v/>
      </c>
      <c r="X29" s="21">
        <f>IFERROR(subQ!X22/subQ!W22-1,"")</f>
        <v/>
      </c>
      <c r="Y29" s="21">
        <f>IFERROR(subQ!Y22/subQ!X22-1,"")</f>
        <v/>
      </c>
      <c r="Z29" s="22" t="n"/>
      <c r="AA29" s="21">
        <f>IFERROR(subQ!AA22/subQ!Y22-1,"")</f>
        <v/>
      </c>
      <c r="AB29" s="23">
        <f>IFERROR(subQ!AB22/subQ!AA22-1,"")</f>
        <v/>
      </c>
      <c r="AC29" s="24" t="n">
        <v>2.156e-05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IFERROR(subQ!E23+subQ!G17-subQ!G23,"")</f>
        <v/>
      </c>
      <c r="H30" s="27">
        <f>IFERROR(subQ!G23+subQ!H17-subQ!H23,"")</f>
        <v/>
      </c>
      <c r="I30" s="27">
        <f>IFERROR(subQ!H23+subQ!I17-subQ!I23,"")</f>
        <v/>
      </c>
      <c r="J30" s="27">
        <f>IFERROR(subQ!I23+subQ!J17-subQ!J23,"")</f>
        <v/>
      </c>
      <c r="K30" s="28" t="n"/>
      <c r="L30" s="27">
        <f>IFERROR(subQ!J23+subQ!L17-subQ!L23,"")</f>
        <v/>
      </c>
      <c r="M30" s="27">
        <f>IFERROR(subQ!L23+subQ!M17-subQ!M23,"")</f>
        <v/>
      </c>
      <c r="N30" s="27">
        <f>IFERROR(subQ!M23+subQ!N17-subQ!N23,"")</f>
        <v/>
      </c>
      <c r="O30" s="27">
        <f>IFERROR(subQ!N23+subQ!O17-subQ!O23,"")</f>
        <v/>
      </c>
      <c r="P30" s="28" t="n"/>
      <c r="Q30" s="27">
        <f>IFERROR(subQ!O23+subQ!Q17-subQ!Q23,"")</f>
        <v/>
      </c>
      <c r="R30" s="27">
        <f>IFERROR(subQ!Q23+subQ!R17-subQ!R23,"")</f>
        <v/>
      </c>
      <c r="S30" s="27">
        <f>IFERROR(subQ!R23+subQ!S17-subQ!S23,"")</f>
        <v/>
      </c>
      <c r="T30" s="27">
        <f>IFERROR(subQ!S23+subQ!T17-subQ!T23,"")</f>
        <v/>
      </c>
      <c r="U30" s="28" t="n"/>
      <c r="V30" s="27">
        <f>IFERROR(subQ!T23+subQ!V17-subQ!V23,"")</f>
        <v/>
      </c>
      <c r="W30" s="27">
        <f>IFERROR(subQ!V23+subQ!W17-subQ!W23,"")</f>
        <v/>
      </c>
      <c r="X30" s="27">
        <f>IFERROR(subQ!W23+subQ!X17-subQ!X23,"")</f>
        <v/>
      </c>
      <c r="Y30" s="27">
        <f>IFERROR(subQ!X23+subQ!Y17-subQ!Y23,"")</f>
        <v/>
      </c>
      <c r="Z30" s="28" t="n"/>
      <c r="AA30" s="27">
        <f>IFERROR(subQ!Y23+subQ!AA17-subQ!AA23,"")</f>
        <v/>
      </c>
      <c r="AB30" s="29">
        <f>IFERROR(subQ!AA23+subQ!AB17-subQ!AB23,"")</f>
        <v/>
      </c>
      <c r="AC30" s="30" t="n">
        <v>-0.000553264</v>
      </c>
      <c r="AD30" s="30" t="n">
        <v>-0.002841034</v>
      </c>
      <c r="AE30" s="31" t="n"/>
      <c r="AF30" s="30" t="n">
        <v>-0.004770662</v>
      </c>
      <c r="AG30" s="30" t="n">
        <v>0.006128894</v>
      </c>
      <c r="AH30" s="30" t="n">
        <v>-0.011169092</v>
      </c>
      <c r="AI30" s="30" t="n">
        <v>0.005412113</v>
      </c>
      <c r="AJ30" s="31" t="n"/>
      <c r="AK30" s="30" t="n">
        <v>0.003779339</v>
      </c>
      <c r="AL30" s="30" t="n">
        <v>-0.002389091</v>
      </c>
      <c r="AM30" s="30" t="n">
        <v>-0.005385727</v>
      </c>
      <c r="AN30" s="30" t="n">
        <v>0.009088308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IFERROR(subQ!E24+subQ!G18-subQ!G24,"")</f>
        <v/>
      </c>
      <c r="H31" s="27">
        <f>IFERROR(subQ!G24+subQ!H18-subQ!H24,"")</f>
        <v/>
      </c>
      <c r="I31" s="27">
        <f>IFERROR(subQ!H24+subQ!I18-subQ!I24,"")</f>
        <v/>
      </c>
      <c r="J31" s="27">
        <f>IFERROR(subQ!I24+subQ!J18-subQ!J24,"")</f>
        <v/>
      </c>
      <c r="K31" s="28" t="n"/>
      <c r="L31" s="27">
        <f>IFERROR(subQ!J24+subQ!L18-subQ!L24,"")</f>
        <v/>
      </c>
      <c r="M31" s="27">
        <f>IFERROR(subQ!L24+subQ!M18-subQ!M24,"")</f>
        <v/>
      </c>
      <c r="N31" s="27">
        <f>IFERROR(subQ!M24+subQ!N18-subQ!N24,"")</f>
        <v/>
      </c>
      <c r="O31" s="27">
        <f>IFERROR(subQ!N24+subQ!O18-subQ!O24,"")</f>
        <v/>
      </c>
      <c r="P31" s="28" t="n"/>
      <c r="Q31" s="27">
        <f>IFERROR(subQ!O24+subQ!Q18-subQ!Q24,"")</f>
        <v/>
      </c>
      <c r="R31" s="27">
        <f>IFERROR(subQ!Q24+subQ!R18-subQ!R24,"")</f>
        <v/>
      </c>
      <c r="S31" s="27">
        <f>IFERROR(subQ!R24+subQ!S18-subQ!S24,"")</f>
        <v/>
      </c>
      <c r="T31" s="27">
        <f>IFERROR(subQ!S24+subQ!T18-subQ!T24,"")</f>
        <v/>
      </c>
      <c r="U31" s="28" t="n"/>
      <c r="V31" s="27">
        <f>IFERROR(subQ!T24+subQ!V18-subQ!V24,"")</f>
        <v/>
      </c>
      <c r="W31" s="27">
        <f>IFERROR(subQ!V24+subQ!W18-subQ!W24,"")</f>
        <v/>
      </c>
      <c r="X31" s="27">
        <f>IFERROR(subQ!W24+subQ!X18-subQ!X24,"")</f>
        <v/>
      </c>
      <c r="Y31" s="27">
        <f>IFERROR(subQ!X24+subQ!Y18-subQ!Y24,"")</f>
        <v/>
      </c>
      <c r="Z31" s="28" t="n"/>
      <c r="AA31" s="27">
        <f>IFERROR(subQ!Y24+subQ!AA18-subQ!AA24,"")</f>
        <v/>
      </c>
      <c r="AB31" s="29">
        <f>IFERROR(subQ!AA24+subQ!AB18-subQ!AB24,"")</f>
        <v/>
      </c>
      <c r="AC31" s="30" t="n">
        <v>-0.000553264</v>
      </c>
      <c r="AD31" s="30" t="n">
        <v>-0.002841034</v>
      </c>
      <c r="AE31" s="31" t="n"/>
      <c r="AF31" s="30" t="n">
        <v>-0.004770662</v>
      </c>
      <c r="AG31" s="30" t="n">
        <v>0.006128894</v>
      </c>
      <c r="AH31" s="30" t="n">
        <v>-0.011169092</v>
      </c>
      <c r="AI31" s="30" t="n">
        <v>0.005412113</v>
      </c>
      <c r="AJ31" s="31" t="n"/>
      <c r="AK31" s="30" t="n">
        <v>0.003779339</v>
      </c>
      <c r="AL31" s="30" t="n">
        <v>-0.002389091</v>
      </c>
      <c r="AM31" s="30" t="n">
        <v>-0.005385727</v>
      </c>
      <c r="AN31" s="30" t="n">
        <v>0.009088308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24" t="n">
        <v>0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IFERROR(subQ!G26/subQ!E26-1,"")</f>
        <v/>
      </c>
      <c r="H33" s="21">
        <f>IFERROR(subQ!H26/subQ!G26-1,"")</f>
        <v/>
      </c>
      <c r="I33" s="21">
        <f>IFERROR(subQ!I26/subQ!H26-1,"")</f>
        <v/>
      </c>
      <c r="J33" s="21">
        <f>IFERROR(subQ!J26/subQ!I26-1,"")</f>
        <v/>
      </c>
      <c r="K33" s="22" t="n"/>
      <c r="L33" s="21">
        <f>IFERROR(subQ!L26/subQ!J26-1,"")</f>
        <v/>
      </c>
      <c r="M33" s="21">
        <f>IFERROR(subQ!M26/subQ!L26-1,"")</f>
        <v/>
      </c>
      <c r="N33" s="21">
        <f>IFERROR(subQ!N26/subQ!M26-1,"")</f>
        <v/>
      </c>
      <c r="O33" s="21">
        <f>IFERROR(subQ!O26/subQ!N26-1,"")</f>
        <v/>
      </c>
      <c r="P33" s="22" t="n"/>
      <c r="Q33" s="21">
        <f>IFERROR(subQ!Q26/subQ!O26-1,"")</f>
        <v/>
      </c>
      <c r="R33" s="21">
        <f>IFERROR(subQ!R26/subQ!Q26-1,"")</f>
        <v/>
      </c>
      <c r="S33" s="21">
        <f>IFERROR(subQ!S26/subQ!R26-1,"")</f>
        <v/>
      </c>
      <c r="T33" s="21">
        <f>IFERROR(subQ!T26/subQ!S26-1,"")</f>
        <v/>
      </c>
      <c r="U33" s="22" t="n"/>
      <c r="V33" s="21">
        <f>IFERROR(subQ!V26/subQ!T26-1,"")</f>
        <v/>
      </c>
      <c r="W33" s="21">
        <f>IFERROR(subQ!W26/subQ!V26-1,"")</f>
        <v/>
      </c>
      <c r="X33" s="21">
        <f>IFERROR(subQ!X26/subQ!W26-1,"")</f>
        <v/>
      </c>
      <c r="Y33" s="21">
        <f>IFERROR(subQ!Y26/subQ!X26-1,"")</f>
        <v/>
      </c>
      <c r="Z33" s="22" t="n"/>
      <c r="AA33" s="21">
        <f>IFERROR(subQ!AA26/subQ!Y26-1,"")</f>
        <v/>
      </c>
      <c r="AB33" s="23">
        <f>IFERROR(subQ!AB26/subQ!AA26-1,"")</f>
        <v/>
      </c>
      <c r="AC33" s="24" t="n">
        <v>0.239520108</v>
      </c>
      <c r="AD33" s="24" t="n">
        <v>0.264605217</v>
      </c>
      <c r="AE33" s="25" t="n"/>
      <c r="AF33" s="24" t="n">
        <v>0.140923938</v>
      </c>
      <c r="AG33" s="24" t="n">
        <v>0.139631902</v>
      </c>
      <c r="AH33" s="24" t="n">
        <v>0.13730979</v>
      </c>
      <c r="AI33" s="24" t="n">
        <v>0.163332281</v>
      </c>
      <c r="AJ33" s="25" t="n"/>
      <c r="AK33" s="24" t="n">
        <v>0.095860685</v>
      </c>
      <c r="AL33" s="24" t="n">
        <v>0.101287129</v>
      </c>
      <c r="AM33" s="24" t="n">
        <v>0.105187449</v>
      </c>
      <c r="AN33" s="24" t="n">
        <v>0.12954527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IFERROR(subQ!G27/subQ!E27-1,"")</f>
        <v/>
      </c>
      <c r="H34" s="21">
        <f>IFERROR(subQ!H27/subQ!G27-1,"")</f>
        <v/>
      </c>
      <c r="I34" s="21">
        <f>IFERROR(subQ!I27/subQ!H27-1,"")</f>
        <v/>
      </c>
      <c r="J34" s="21">
        <f>IFERROR(subQ!J27/subQ!I27-1,"")</f>
        <v/>
      </c>
      <c r="K34" s="22" t="n"/>
      <c r="L34" s="21">
        <f>IFERROR(subQ!L27/subQ!J27-1,"")</f>
        <v/>
      </c>
      <c r="M34" s="21">
        <f>IFERROR(subQ!M27/subQ!L27-1,"")</f>
        <v/>
      </c>
      <c r="N34" s="21">
        <f>IFERROR(subQ!N27/subQ!M27-1,"")</f>
        <v/>
      </c>
      <c r="O34" s="21">
        <f>IFERROR(subQ!O27/subQ!N27-1,"")</f>
        <v/>
      </c>
      <c r="P34" s="22" t="n"/>
      <c r="Q34" s="21">
        <f>IFERROR(subQ!Q27/subQ!O27-1,"")</f>
        <v/>
      </c>
      <c r="R34" s="21">
        <f>IFERROR(subQ!R27/subQ!Q27-1,"")</f>
        <v/>
      </c>
      <c r="S34" s="21">
        <f>IFERROR(subQ!S27/subQ!R27-1,"")</f>
        <v/>
      </c>
      <c r="T34" s="21">
        <f>IFERROR(subQ!T27/subQ!S27-1,"")</f>
        <v/>
      </c>
      <c r="U34" s="22" t="n"/>
      <c r="V34" s="21">
        <f>IFERROR(subQ!V27/subQ!T27-1,"")</f>
        <v/>
      </c>
      <c r="W34" s="21">
        <f>IFERROR(subQ!W27/subQ!V27-1,"")</f>
        <v/>
      </c>
      <c r="X34" s="21">
        <f>IFERROR(subQ!X27/subQ!W27-1,"")</f>
        <v/>
      </c>
      <c r="Y34" s="21">
        <f>IFERROR(subQ!Y27/subQ!X27-1,"")</f>
        <v/>
      </c>
      <c r="Z34" s="22" t="n"/>
      <c r="AA34" s="21">
        <f>IFERROR(subQ!AA27/subQ!Y27-1,"")</f>
        <v/>
      </c>
      <c r="AB34" s="23">
        <f>IFERROR(subQ!AB27/subQ!AA27-1,"")</f>
        <v/>
      </c>
      <c r="AC34" s="24" t="n">
        <v>0.090158958</v>
      </c>
      <c r="AD34" s="24" t="n">
        <v>0.113141819</v>
      </c>
      <c r="AE34" s="25" t="n"/>
      <c r="AF34" s="24" t="n">
        <v>0.068486938</v>
      </c>
      <c r="AG34" s="24" t="n">
        <v>0.072459462</v>
      </c>
      <c r="AH34" s="24" t="n">
        <v>0.07571739600000001</v>
      </c>
      <c r="AI34" s="24" t="n">
        <v>0.095260873</v>
      </c>
      <c r="AJ34" s="25" t="n"/>
      <c r="AK34" s="24" t="n">
        <v>0.059327443</v>
      </c>
      <c r="AL34" s="24" t="n">
        <v>0.06488440700000001</v>
      </c>
      <c r="AM34" s="24" t="n">
        <v>0.069716192</v>
      </c>
      <c r="AN34" s="24" t="n">
        <v>0.088641425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IFERROR(subQ!J29/subQ!E29-1,"")</f>
        <v/>
      </c>
      <c r="K36" s="22" t="n"/>
      <c r="L36" s="21">
        <f>IFERROR(subQ!L29/subQ!G29-1,"")</f>
        <v/>
      </c>
      <c r="M36" s="21">
        <f>IFERROR(subQ!M29/subQ!H29-1,"")</f>
        <v/>
      </c>
      <c r="N36" s="21">
        <f>IFERROR(subQ!N29/subQ!I29-1,"")</f>
        <v/>
      </c>
      <c r="O36" s="21">
        <f>IFERROR(subQ!O29/subQ!J29-1,"")</f>
        <v/>
      </c>
      <c r="P36" s="22" t="n"/>
      <c r="Q36" s="21">
        <f>IFERROR(subQ!Q29/subQ!L29-1,"")</f>
        <v/>
      </c>
      <c r="R36" s="21">
        <f>IFERROR(subQ!R29/subQ!M29-1,"")</f>
        <v/>
      </c>
      <c r="S36" s="21">
        <f>IFERROR(subQ!S29/subQ!N29-1,"")</f>
        <v/>
      </c>
      <c r="T36" s="21">
        <f>IFERROR(subQ!T29/subQ!O29-1,"")</f>
        <v/>
      </c>
      <c r="U36" s="22" t="n"/>
      <c r="V36" s="21">
        <f>IFERROR(subQ!V29/subQ!Q29-1,"")</f>
        <v/>
      </c>
      <c r="W36" s="21">
        <f>IFERROR(subQ!W29/subQ!R29-1,"")</f>
        <v/>
      </c>
      <c r="X36" s="21">
        <f>IFERROR(subQ!X29/subQ!S29-1,"")</f>
        <v/>
      </c>
      <c r="Y36" s="21">
        <f>IFERROR(subQ!Y29/subQ!T29-1,"")</f>
        <v/>
      </c>
      <c r="Z36" s="22" t="n"/>
      <c r="AA36" s="21">
        <f>IFERROR(subQ!AA29/subQ!V29-1,"")</f>
        <v/>
      </c>
      <c r="AB36" s="23">
        <f>IFERROR(subQ!AB29/subQ!W29-1,"")</f>
        <v/>
      </c>
      <c r="AC36" s="24" t="n">
        <v>0.352833638</v>
      </c>
      <c r="AD36" s="24" t="n">
        <v>-0.399837794</v>
      </c>
      <c r="AE36" s="25" t="n"/>
      <c r="AF36" s="24" t="n">
        <v>-0.213268127</v>
      </c>
      <c r="AG36" s="24" t="n">
        <v>0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IFERROR(subQ!J30/subQ!E30-1,"")</f>
        <v/>
      </c>
      <c r="K37" s="22" t="n"/>
      <c r="L37" s="21">
        <f>IFERROR(subQ!L30/subQ!G30-1,"")</f>
        <v/>
      </c>
      <c r="M37" s="21">
        <f>IFERROR(subQ!M30/subQ!H30-1,"")</f>
        <v/>
      </c>
      <c r="N37" s="21">
        <f>IFERROR(subQ!N30/subQ!I30-1,"")</f>
        <v/>
      </c>
      <c r="O37" s="21">
        <f>IFERROR(subQ!O30/subQ!J30-1,"")</f>
        <v/>
      </c>
      <c r="P37" s="22" t="n"/>
      <c r="Q37" s="21">
        <f>IFERROR(subQ!Q30/subQ!L30-1,"")</f>
        <v/>
      </c>
      <c r="R37" s="21">
        <f>IFERROR(subQ!R30/subQ!M30-1,"")</f>
        <v/>
      </c>
      <c r="S37" s="21">
        <f>IFERROR(subQ!S30/subQ!N30-1,"")</f>
        <v/>
      </c>
      <c r="T37" s="21">
        <f>IFERROR(subQ!T30/subQ!O30-1,"")</f>
        <v/>
      </c>
      <c r="U37" s="22" t="n"/>
      <c r="V37" s="21">
        <f>IFERROR(subQ!V30/subQ!Q30-1,"")</f>
        <v/>
      </c>
      <c r="W37" s="21">
        <f>IFERROR(subQ!W30/subQ!R30-1,"")</f>
        <v/>
      </c>
      <c r="X37" s="21">
        <f>IFERROR(subQ!X30/subQ!S30-1,"")</f>
        <v/>
      </c>
      <c r="Y37" s="21">
        <f>IFERROR(subQ!Y30/subQ!T30-1,"")</f>
        <v/>
      </c>
      <c r="Z37" s="22" t="n"/>
      <c r="AA37" s="21">
        <f>IFERROR(subQ!AA30/subQ!V30-1,"")</f>
        <v/>
      </c>
      <c r="AB37" s="23">
        <f>IFERROR(subQ!AB30/subQ!W30-1,"")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7">
        <f>subQ!W34</f>
        <v/>
      </c>
      <c r="X39" s="27">
        <f>subQ!X34</f>
        <v/>
      </c>
      <c r="Y39" s="27">
        <f>subQ!Y34</f>
        <v/>
      </c>
      <c r="Z39" s="28">
        <f>subQ!Z34</f>
        <v/>
      </c>
      <c r="AA39" s="27">
        <f>subQ!AA34</f>
        <v/>
      </c>
      <c r="AB39" s="29">
        <f>subQ!AB34</f>
        <v/>
      </c>
      <c r="AC39" s="33" t="n"/>
      <c r="AD39" s="30" t="n">
        <v>0</v>
      </c>
      <c r="AE39" s="31">
        <f>subQ!AE34</f>
        <v/>
      </c>
      <c r="AF39" s="33" t="n"/>
      <c r="AG39" s="33" t="n"/>
      <c r="AH39" s="33" t="n"/>
      <c r="AI39" s="30" t="n">
        <v>0</v>
      </c>
      <c r="AJ39" s="31">
        <f>subQ!AJ34</f>
        <v/>
      </c>
      <c r="AK39" s="33" t="n"/>
      <c r="AL39" s="33" t="n"/>
      <c r="AM39" s="33" t="n"/>
      <c r="AN39" s="30" t="n">
        <v>0</v>
      </c>
      <c r="AO39" s="31">
        <f>subQ!AO34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2725</v>
      </c>
      <c r="E42" s="2" t="inlineStr">
        <is>
          <t>원 — 네이버 정규장 종가(aik 확정종가 대조 · aik 2,605원)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20261019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7.1</v>
      </c>
      <c r="E45" s="2" t="inlineStr">
        <is>
          <t>PER 밴드 하단(배) — hist_quarterly(분기 평균가 ÷ TTM EPS, 16분기, 25/50/75 백분위)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7.7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21.6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0.2199900998267469</v>
      </c>
      <c r="E49" s="2" t="inlineStr">
        <is>
          <t>연결 — 법인세 = MAX(세전,0) × 세율(역산, 재현 오차 ≤ 0.05억 · 모델 assumptions 0.22) · 최근 12분기 유효세율 -6.3% 가 5~27% 밖; 세전 &gt; 0 분기 중위 4.1% 도 5~27% 밖 → 법정세율 근사 22% 가정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0.1138933135110261</v>
      </c>
      <c r="E50" s="2" t="inlineStr">
        <is>
          <t>연결 — 판관비 = 매출액 × 판관비율(역산, 재현 오차 ≤ 0.05억 · 모델 assumptions 0.1139)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0.00104421477434002</v>
      </c>
      <c r="E52" s="2" t="inlineStr">
        <is>
          <t>연결 — 이자손익 = (전분기 이자발생자산 × 자산이자율 − 전분기 총차입금 × 부채이자율)/4(역산, 재현 오차 ≤ 0.05억 · 모델 assumptions 0.001)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0.03627098645105468</v>
      </c>
      <c r="E53" s="2" t="inlineStr">
        <is>
          <t>연결 — 같은 수식의 부채 쪽(총차입금 행이 없으면 0)(역산, 재현 오차 ≤ 0.05억 · 모델 assumptions 0.0362)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>
        <v>0</v>
      </c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동방선기(연)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동방선기(별)</t>
        </is>
      </c>
      <c r="C3" s="2" t="inlineStr">
        <is>
          <t>UPDATE: 26-10-19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14708.88</v>
      </c>
      <c r="F5" s="37" t="n">
        <v>14708.88</v>
      </c>
      <c r="G5" s="18" t="n">
        <v>15604.44</v>
      </c>
      <c r="H5" s="18" t="n">
        <v>13137.08</v>
      </c>
      <c r="I5" s="18" t="n">
        <v>13574.47</v>
      </c>
      <c r="J5" s="18" t="n">
        <v>15284.88</v>
      </c>
      <c r="K5" s="37" t="n">
        <v>15284.88</v>
      </c>
      <c r="L5" s="18" t="n">
        <v>15456.2</v>
      </c>
      <c r="M5" s="18" t="n">
        <v>15406.53</v>
      </c>
      <c r="N5" s="18" t="n">
        <v>15871.37</v>
      </c>
      <c r="O5" s="18" t="n">
        <v>17350.75</v>
      </c>
      <c r="P5" s="37" t="n">
        <v>17350.75</v>
      </c>
      <c r="Q5" s="18" t="n">
        <v>18484.12</v>
      </c>
      <c r="R5" s="18" t="n">
        <v>12259.74</v>
      </c>
      <c r="S5" s="18" t="n">
        <v>12324.29</v>
      </c>
      <c r="T5" s="18" t="n">
        <v>15741.67</v>
      </c>
      <c r="U5" s="37" t="n">
        <v>15741.67</v>
      </c>
      <c r="V5" s="18" t="n">
        <v>15782.76</v>
      </c>
      <c r="W5" s="18" t="n">
        <v>15127.59</v>
      </c>
      <c r="X5" s="18" t="n">
        <v>18111.63</v>
      </c>
      <c r="Y5" s="18" t="n">
        <v>24546.46</v>
      </c>
      <c r="Z5" s="37" t="n">
        <v>24546.46</v>
      </c>
      <c r="AA5" s="18" t="n">
        <v>26062.97</v>
      </c>
      <c r="AB5" s="19" t="n">
        <v>29165.64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3855.88</v>
      </c>
      <c r="F6" s="37" t="n">
        <v>3855.88</v>
      </c>
      <c r="G6" s="18" t="n">
        <v>5159.23</v>
      </c>
      <c r="H6" s="18" t="n">
        <v>2153.23</v>
      </c>
      <c r="I6" s="18" t="n">
        <v>3257.79</v>
      </c>
      <c r="J6" s="18" t="n">
        <v>4263.21</v>
      </c>
      <c r="K6" s="37" t="n">
        <v>4263.21</v>
      </c>
      <c r="L6" s="18" t="n">
        <v>5807.43</v>
      </c>
      <c r="M6" s="18" t="n">
        <v>7324.53</v>
      </c>
      <c r="N6" s="18" t="n">
        <v>8502.74</v>
      </c>
      <c r="O6" s="18" t="n">
        <v>8819.120000000001</v>
      </c>
      <c r="P6" s="37" t="n">
        <v>8819.120000000001</v>
      </c>
      <c r="Q6" s="18" t="n">
        <v>12157.85</v>
      </c>
      <c r="R6" s="18" t="n">
        <v>2316.36</v>
      </c>
      <c r="S6" s="18" t="n">
        <v>2615.78</v>
      </c>
      <c r="T6" s="18" t="n">
        <v>4492.88</v>
      </c>
      <c r="U6" s="37" t="n">
        <v>4492.88</v>
      </c>
      <c r="V6" s="18" t="n">
        <v>3925.24</v>
      </c>
      <c r="W6" s="18" t="n">
        <v>4093.26</v>
      </c>
      <c r="X6" s="18" t="n">
        <v>5995.54</v>
      </c>
      <c r="Y6" s="18" t="n">
        <v>13011.86</v>
      </c>
      <c r="Z6" s="37" t="n">
        <v>13011.86</v>
      </c>
      <c r="AA6" s="18" t="n">
        <v>14890.05</v>
      </c>
      <c r="AB6" s="19" t="n">
        <v>18134.51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5238.12</v>
      </c>
      <c r="F7" s="37" t="n">
        <v>5238.12</v>
      </c>
      <c r="G7" s="18" t="n">
        <v>5444.25</v>
      </c>
      <c r="H7" s="18" t="n">
        <v>5681.06</v>
      </c>
      <c r="I7" s="18" t="n">
        <v>4984.28</v>
      </c>
      <c r="J7" s="18" t="n">
        <v>6039.03</v>
      </c>
      <c r="K7" s="37" t="n">
        <v>6039.03</v>
      </c>
      <c r="L7" s="18" t="n">
        <v>4979.35</v>
      </c>
      <c r="M7" s="18" t="n">
        <v>4813.76</v>
      </c>
      <c r="N7" s="18" t="n">
        <v>4126.7</v>
      </c>
      <c r="O7" s="18" t="n">
        <v>6262.42</v>
      </c>
      <c r="P7" s="37" t="n">
        <v>6262.42</v>
      </c>
      <c r="Q7" s="18" t="n">
        <v>4396.51</v>
      </c>
      <c r="R7" s="18" t="n">
        <v>6905.55</v>
      </c>
      <c r="S7" s="18" t="n">
        <v>6266.99</v>
      </c>
      <c r="T7" s="18" t="n">
        <v>8459.690000000001</v>
      </c>
      <c r="U7" s="37" t="n">
        <v>8459.690000000001</v>
      </c>
      <c r="V7" s="18" t="n">
        <v>8265.01</v>
      </c>
      <c r="W7" s="18" t="n">
        <v>6963.06</v>
      </c>
      <c r="X7" s="18" t="n">
        <v>8176.19</v>
      </c>
      <c r="Y7" s="18" t="n">
        <v>7277.09</v>
      </c>
      <c r="Z7" s="37" t="n">
        <v>7277.09</v>
      </c>
      <c r="AA7" s="18" t="n">
        <v>6118.23</v>
      </c>
      <c r="AB7" s="19" t="n">
        <v>5919.33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기타유동금융자산</t>
        </is>
      </c>
      <c r="E8" s="18" t="n">
        <v>2378.27</v>
      </c>
      <c r="F8" s="37" t="n">
        <v>2378.27</v>
      </c>
      <c r="G8" s="18" t="n">
        <v>436.36</v>
      </c>
      <c r="H8" s="18" t="n">
        <v>386.91</v>
      </c>
      <c r="I8" s="18" t="n">
        <v>382.89</v>
      </c>
      <c r="J8" s="18" t="n">
        <v>394.77</v>
      </c>
      <c r="K8" s="37" t="n">
        <v>394.77</v>
      </c>
      <c r="L8" s="18" t="n">
        <v>406.03</v>
      </c>
      <c r="M8" s="18" t="n">
        <v>415.68</v>
      </c>
      <c r="N8" s="18" t="n">
        <v>450.65</v>
      </c>
      <c r="O8" s="18" t="n">
        <v>476.78</v>
      </c>
      <c r="P8" s="37" t="n">
        <v>476.78</v>
      </c>
      <c r="Q8" s="18" t="n">
        <v>0</v>
      </c>
      <c r="R8" s="18" t="n">
        <v>0</v>
      </c>
      <c r="S8" s="18" t="n">
        <v>0</v>
      </c>
      <c r="T8" s="18" t="n">
        <v>1.75</v>
      </c>
      <c r="U8" s="37" t="n">
        <v>1.75</v>
      </c>
      <c r="V8" s="18" t="n">
        <v>0</v>
      </c>
      <c r="W8" s="18" t="n">
        <v>0</v>
      </c>
      <c r="X8" s="18" t="n">
        <v>0</v>
      </c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3188.11</v>
      </c>
      <c r="F9" s="37" t="n">
        <v>3188.11</v>
      </c>
      <c r="G9" s="18" t="n">
        <v>4496.21</v>
      </c>
      <c r="H9" s="18" t="n">
        <v>4895.77</v>
      </c>
      <c r="I9" s="18" t="n">
        <v>4926.46</v>
      </c>
      <c r="J9" s="18" t="n">
        <v>4566.67</v>
      </c>
      <c r="K9" s="37" t="n">
        <v>4566.67</v>
      </c>
      <c r="L9" s="18" t="n">
        <v>4242.92</v>
      </c>
      <c r="M9" s="18" t="n">
        <v>2844.27</v>
      </c>
      <c r="N9" s="18" t="n">
        <v>2781.82</v>
      </c>
      <c r="O9" s="18" t="n">
        <v>1779.04</v>
      </c>
      <c r="P9" s="37" t="n">
        <v>1779.04</v>
      </c>
      <c r="Q9" s="18" t="n">
        <v>1916.32</v>
      </c>
      <c r="R9" s="18" t="n">
        <v>3025.01</v>
      </c>
      <c r="S9" s="18" t="n">
        <v>3422.19</v>
      </c>
      <c r="T9" s="18" t="n">
        <v>2701.95</v>
      </c>
      <c r="U9" s="37" t="n">
        <v>2701.95</v>
      </c>
      <c r="V9" s="18" t="n">
        <v>3511.04</v>
      </c>
      <c r="W9" s="18" t="n">
        <v>4060.22</v>
      </c>
      <c r="X9" s="18" t="n">
        <v>3925.73</v>
      </c>
      <c r="Y9" s="18" t="n">
        <v>4240.76</v>
      </c>
      <c r="Z9" s="37" t="n">
        <v>4240.76</v>
      </c>
      <c r="AA9" s="18" t="n">
        <v>5043.44</v>
      </c>
      <c r="AB9" s="19" t="n">
        <v>5084.12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27.71</v>
      </c>
      <c r="F10" s="37" t="n">
        <v>27.71</v>
      </c>
      <c r="G10" s="18" t="n">
        <v>60.3</v>
      </c>
      <c r="H10" s="18" t="n">
        <v>13.08</v>
      </c>
      <c r="I10" s="18" t="n">
        <v>14.85</v>
      </c>
      <c r="J10" s="18" t="n">
        <v>11.2</v>
      </c>
      <c r="K10" s="37" t="n">
        <v>11.2</v>
      </c>
      <c r="L10" s="18" t="n">
        <v>9.529999999999999</v>
      </c>
      <c r="M10" s="18" t="n">
        <v>6.36</v>
      </c>
      <c r="N10" s="18" t="n">
        <v>6.53</v>
      </c>
      <c r="P10" s="9" t="n"/>
      <c r="Q10" s="18" t="n">
        <v>8.4</v>
      </c>
      <c r="R10" s="18" t="n">
        <v>10.65</v>
      </c>
      <c r="S10" s="18" t="n">
        <v>12.18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20.78</v>
      </c>
      <c r="F11" s="37" t="n">
        <v>20.78</v>
      </c>
      <c r="G11" s="18" t="n">
        <v>8.09</v>
      </c>
      <c r="H11" s="18" t="n">
        <v>7.03</v>
      </c>
      <c r="I11" s="18" t="n">
        <v>8.199999999999999</v>
      </c>
      <c r="J11" s="18" t="n">
        <v>10</v>
      </c>
      <c r="K11" s="37" t="n">
        <v>10</v>
      </c>
      <c r="L11" s="18" t="n">
        <v>10.95</v>
      </c>
      <c r="M11" s="18" t="n">
        <v>1.93</v>
      </c>
      <c r="N11" s="18" t="n">
        <v>2.93</v>
      </c>
      <c r="O11" s="18" t="n">
        <v>3.94</v>
      </c>
      <c r="P11" s="37" t="n">
        <v>3.94</v>
      </c>
      <c r="Q11" s="18" t="n">
        <v>5.03</v>
      </c>
      <c r="R11" s="18" t="n">
        <v>2.18</v>
      </c>
      <c r="S11" s="18" t="n">
        <v>7.15</v>
      </c>
      <c r="T11" s="18" t="n">
        <v>68.59999999999999</v>
      </c>
      <c r="U11" s="37" t="n">
        <v>68.59999999999999</v>
      </c>
      <c r="V11" s="18" t="n">
        <v>69.52</v>
      </c>
      <c r="W11" s="18" t="n">
        <v>0</v>
      </c>
      <c r="X11" s="18" t="n">
        <v>0</v>
      </c>
      <c r="Y11" s="18" t="n">
        <v>0</v>
      </c>
      <c r="Z11" s="37" t="n">
        <v>0</v>
      </c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20078.86</v>
      </c>
      <c r="F12" s="37" t="n">
        <v>20078.86</v>
      </c>
      <c r="G12" s="18" t="n">
        <v>27986.83</v>
      </c>
      <c r="H12" s="18" t="n">
        <v>28860.97</v>
      </c>
      <c r="I12" s="18" t="n">
        <v>28964.51</v>
      </c>
      <c r="J12" s="18" t="n">
        <v>29030.34</v>
      </c>
      <c r="K12" s="37" t="n">
        <v>29030.34</v>
      </c>
      <c r="L12" s="18" t="n">
        <v>28726.65</v>
      </c>
      <c r="M12" s="18" t="n">
        <v>28422.82</v>
      </c>
      <c r="N12" s="18" t="n">
        <v>28136.73</v>
      </c>
      <c r="O12" s="18" t="n">
        <v>28492.9</v>
      </c>
      <c r="P12" s="37" t="n">
        <v>28492.9</v>
      </c>
      <c r="Q12" s="18" t="n">
        <v>28409.53</v>
      </c>
      <c r="R12" s="18" t="n">
        <v>43664.72</v>
      </c>
      <c r="S12" s="18" t="n">
        <v>43437.39</v>
      </c>
      <c r="T12" s="18" t="n">
        <v>44356.03</v>
      </c>
      <c r="U12" s="37" t="n">
        <v>44356.03</v>
      </c>
      <c r="V12" s="18" t="n">
        <v>44108.47</v>
      </c>
      <c r="W12" s="18" t="n">
        <v>43768.49</v>
      </c>
      <c r="X12" s="18" t="n">
        <v>43452.87</v>
      </c>
      <c r="Y12" s="18" t="n">
        <v>42383.51</v>
      </c>
      <c r="Z12" s="37" t="n">
        <v>42383.51</v>
      </c>
      <c r="AA12" s="18" t="n">
        <v>42070.92</v>
      </c>
      <c r="AB12" s="19" t="n">
        <v>41691.29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장기매출채권및기타채권</t>
        </is>
      </c>
      <c r="E13" s="18" t="n">
        <v>1.96</v>
      </c>
      <c r="F13" s="37" t="n">
        <v>1.96</v>
      </c>
      <c r="G13" s="18" t="n">
        <v>1.96</v>
      </c>
      <c r="H13" s="18" t="n">
        <v>1.96</v>
      </c>
      <c r="I13" s="18" t="n">
        <v>1.53</v>
      </c>
      <c r="J13" s="18" t="n">
        <v>1.53</v>
      </c>
      <c r="K13" s="37" t="n">
        <v>1.53</v>
      </c>
      <c r="L13" s="18" t="n">
        <v>1.53</v>
      </c>
      <c r="M13" s="18" t="n">
        <v>1.53</v>
      </c>
      <c r="N13" s="18" t="n">
        <v>1.53</v>
      </c>
      <c r="O13" s="18" t="n">
        <v>1.53</v>
      </c>
      <c r="P13" s="37" t="n">
        <v>1.53</v>
      </c>
      <c r="Q13" s="18" t="n">
        <v>14.53</v>
      </c>
      <c r="R13" s="18" t="n">
        <v>14.71</v>
      </c>
      <c r="S13" s="18" t="n">
        <v>14.71</v>
      </c>
      <c r="T13" s="18" t="n">
        <v>1.71</v>
      </c>
      <c r="U13" s="37" t="n">
        <v>1.71</v>
      </c>
      <c r="V13" s="18" t="n">
        <v>1.71</v>
      </c>
      <c r="W13" s="18" t="n">
        <v>1.71</v>
      </c>
      <c r="X13" s="18" t="n">
        <v>1.71</v>
      </c>
      <c r="Y13" s="18" t="n">
        <v>1.71</v>
      </c>
      <c r="Z13" s="37" t="n">
        <v>1.71</v>
      </c>
      <c r="AA13" s="18" t="n">
        <v>1.71</v>
      </c>
      <c r="AB13" s="19" t="n">
        <v>1.71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무형자산</t>
        </is>
      </c>
      <c r="E14" s="18" t="n">
        <v>0</v>
      </c>
      <c r="F14" s="37" t="n">
        <v>0</v>
      </c>
      <c r="G14" s="18" t="n">
        <v>0</v>
      </c>
      <c r="K14" s="9" t="n"/>
      <c r="N14" s="18" t="n">
        <v>8.27</v>
      </c>
      <c r="O14" s="18" t="n">
        <v>7.85</v>
      </c>
      <c r="P14" s="37" t="n">
        <v>7.85</v>
      </c>
      <c r="Q14" s="18" t="n">
        <v>7.43</v>
      </c>
      <c r="R14" s="18" t="n">
        <v>10592.26</v>
      </c>
      <c r="S14" s="18" t="n">
        <v>10585.87</v>
      </c>
      <c r="T14" s="18" t="n">
        <v>10297.31</v>
      </c>
      <c r="U14" s="37" t="n">
        <v>10297.31</v>
      </c>
      <c r="V14" s="18" t="n">
        <v>10174.71</v>
      </c>
      <c r="W14" s="18" t="n">
        <v>10052.1</v>
      </c>
      <c r="X14" s="18" t="n">
        <v>9929.49</v>
      </c>
      <c r="Y14" s="18" t="n">
        <v>9806.879999999999</v>
      </c>
      <c r="Z14" s="37" t="n">
        <v>9806.879999999999</v>
      </c>
      <c r="AA14" s="18" t="n">
        <v>9684.82</v>
      </c>
      <c r="AB14" s="19" t="n">
        <v>9562.190000000001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518.79</v>
      </c>
      <c r="F15" s="37" t="n">
        <v>518.79</v>
      </c>
      <c r="G15" s="18" t="n">
        <v>518.79</v>
      </c>
      <c r="H15" s="18" t="n">
        <v>1037.18</v>
      </c>
      <c r="I15" s="18" t="n">
        <v>1176.15</v>
      </c>
      <c r="J15" s="18" t="n">
        <v>991.9299999999999</v>
      </c>
      <c r="K15" s="37" t="n">
        <v>991.9299999999999</v>
      </c>
      <c r="L15" s="18" t="n">
        <v>931.08</v>
      </c>
      <c r="M15" s="18" t="n">
        <v>865.85</v>
      </c>
      <c r="N15" s="18" t="n">
        <v>804.67</v>
      </c>
      <c r="O15" s="18" t="n">
        <v>720.36</v>
      </c>
      <c r="P15" s="37" t="n">
        <v>720.36</v>
      </c>
      <c r="Q15" s="18" t="n">
        <v>838.4</v>
      </c>
      <c r="R15" s="18" t="n">
        <v>1121.12</v>
      </c>
      <c r="S15" s="18" t="n">
        <v>953.21</v>
      </c>
      <c r="T15" s="18" t="n">
        <v>510.67</v>
      </c>
      <c r="U15" s="37" t="n">
        <v>510.67</v>
      </c>
      <c r="V15" s="18" t="n">
        <v>511.5</v>
      </c>
      <c r="W15" s="18" t="n">
        <v>511.92</v>
      </c>
      <c r="X15" s="18" t="n">
        <v>530.15</v>
      </c>
      <c r="Y15" s="18" t="n">
        <v>33.2</v>
      </c>
      <c r="Z15" s="37" t="n">
        <v>33.2</v>
      </c>
      <c r="AA15" s="18" t="n">
        <v>33.2</v>
      </c>
      <c r="AB15" s="19" t="n">
        <v>33.2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518.79</v>
      </c>
      <c r="F16" s="37" t="n">
        <v>518.79</v>
      </c>
      <c r="G16" s="18" t="n">
        <v>518.79</v>
      </c>
      <c r="H16" s="18" t="n">
        <v>1037.18</v>
      </c>
      <c r="I16" s="18" t="n">
        <v>1176.15</v>
      </c>
      <c r="J16" s="18" t="n">
        <v>991.9299999999999</v>
      </c>
      <c r="K16" s="37" t="n">
        <v>991.9299999999999</v>
      </c>
      <c r="L16" s="18" t="n">
        <v>931.08</v>
      </c>
      <c r="M16" s="18" t="n">
        <v>865.85</v>
      </c>
      <c r="N16" s="18" t="n">
        <v>804.67</v>
      </c>
      <c r="O16" s="18" t="n">
        <v>720.36</v>
      </c>
      <c r="P16" s="37" t="n">
        <v>720.36</v>
      </c>
      <c r="Q16" s="18" t="n">
        <v>838.4</v>
      </c>
      <c r="R16" s="18" t="n">
        <v>1121.12</v>
      </c>
      <c r="S16" s="18" t="n">
        <v>953.21</v>
      </c>
      <c r="T16" s="18" t="n">
        <v>510.67</v>
      </c>
      <c r="U16" s="37" t="n">
        <v>510.67</v>
      </c>
      <c r="V16" s="18" t="n">
        <v>511.5</v>
      </c>
      <c r="W16" s="18" t="n">
        <v>511.92</v>
      </c>
      <c r="X16" s="18" t="n">
        <v>530.15</v>
      </c>
      <c r="Y16" s="18" t="n">
        <v>33.2</v>
      </c>
      <c r="Z16" s="37" t="n">
        <v>33.2</v>
      </c>
      <c r="AA16" s="18" t="n">
        <v>33.2</v>
      </c>
      <c r="AB16" s="19" t="n">
        <v>33.2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19558.12</v>
      </c>
      <c r="F17" s="37" t="n">
        <v>19558.12</v>
      </c>
      <c r="G17" s="18" t="n">
        <v>27466.08</v>
      </c>
      <c r="H17" s="18" t="n">
        <v>27821.82</v>
      </c>
      <c r="I17" s="18" t="n">
        <v>27786.83</v>
      </c>
      <c r="J17" s="18" t="n">
        <v>28036.89</v>
      </c>
      <c r="K17" s="37" t="n">
        <v>28036.89</v>
      </c>
      <c r="L17" s="18" t="n">
        <v>27794.05</v>
      </c>
      <c r="M17" s="18" t="n">
        <v>27555.45</v>
      </c>
      <c r="N17" s="18" t="n">
        <v>27322.27</v>
      </c>
      <c r="O17" s="18" t="n">
        <v>27551.98</v>
      </c>
      <c r="P17" s="37" t="n">
        <v>27551.98</v>
      </c>
      <c r="Q17" s="18" t="n">
        <v>27338</v>
      </c>
      <c r="R17" s="18" t="n">
        <v>31754.02</v>
      </c>
      <c r="S17" s="18" t="n">
        <v>31644.88</v>
      </c>
      <c r="T17" s="18" t="n">
        <v>31806.82</v>
      </c>
      <c r="U17" s="37" t="n">
        <v>31806.82</v>
      </c>
      <c r="V17" s="18" t="n">
        <v>31685.34</v>
      </c>
      <c r="W17" s="18" t="n">
        <v>31460.31</v>
      </c>
      <c r="X17" s="18" t="n">
        <v>31247.05</v>
      </c>
      <c r="Y17" s="18" t="n">
        <v>31051.84</v>
      </c>
      <c r="Z17" s="37" t="n">
        <v>31051.84</v>
      </c>
      <c r="AA17" s="18" t="n">
        <v>30959.8</v>
      </c>
      <c r="AB17" s="19" t="n">
        <v>30822.54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자산총계</t>
        </is>
      </c>
      <c r="E18" s="18" t="n">
        <v>34787.74</v>
      </c>
      <c r="F18" s="37" t="n">
        <v>34787.74</v>
      </c>
      <c r="G18" s="18" t="n">
        <v>43591.27</v>
      </c>
      <c r="H18" s="18" t="n">
        <v>41998.05</v>
      </c>
      <c r="I18" s="18" t="n">
        <v>42538.98</v>
      </c>
      <c r="J18" s="18" t="n">
        <v>44315.23</v>
      </c>
      <c r="K18" s="37" t="n">
        <v>44315.23</v>
      </c>
      <c r="L18" s="18" t="n">
        <v>44182.86</v>
      </c>
      <c r="M18" s="18" t="n">
        <v>43829.35</v>
      </c>
      <c r="N18" s="18" t="n">
        <v>44008.1</v>
      </c>
      <c r="O18" s="18" t="n">
        <v>45843.65</v>
      </c>
      <c r="P18" s="37" t="n">
        <v>45843.65</v>
      </c>
      <c r="Q18" s="18" t="n">
        <v>46893.66</v>
      </c>
      <c r="R18" s="18" t="n">
        <v>55924.46</v>
      </c>
      <c r="S18" s="18" t="n">
        <v>55761.68</v>
      </c>
      <c r="T18" s="18" t="n">
        <v>60097.7</v>
      </c>
      <c r="U18" s="37" t="n">
        <v>60097.7</v>
      </c>
      <c r="V18" s="18" t="n">
        <v>59891.23</v>
      </c>
      <c r="W18" s="18" t="n">
        <v>58896.08</v>
      </c>
      <c r="X18" s="18" t="n">
        <v>61564.5</v>
      </c>
      <c r="Y18" s="18" t="n">
        <v>66929.97</v>
      </c>
      <c r="Z18" s="37" t="n">
        <v>66929.97</v>
      </c>
      <c r="AA18" s="18" t="n">
        <v>68133.89</v>
      </c>
      <c r="AB18" s="19" t="n">
        <v>70856.92999999999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유동부채</t>
        </is>
      </c>
      <c r="E19" s="18" t="n">
        <v>3943.09</v>
      </c>
      <c r="F19" s="37" t="n">
        <v>3943.09</v>
      </c>
      <c r="G19" s="18" t="n">
        <v>13164.67</v>
      </c>
      <c r="H19" s="18" t="n">
        <v>10970</v>
      </c>
      <c r="I19" s="18" t="n">
        <v>11220.67</v>
      </c>
      <c r="J19" s="18" t="n">
        <v>12195.8</v>
      </c>
      <c r="K19" s="37" t="n">
        <v>12195.8</v>
      </c>
      <c r="L19" s="18" t="n">
        <v>11576.5</v>
      </c>
      <c r="M19" s="18" t="n">
        <v>10952.52</v>
      </c>
      <c r="N19" s="18" t="n">
        <v>11019.39</v>
      </c>
      <c r="O19" s="18" t="n">
        <v>10700.16</v>
      </c>
      <c r="P19" s="37" t="n">
        <v>10700.16</v>
      </c>
      <c r="Q19" s="18" t="n">
        <v>2825.51</v>
      </c>
      <c r="R19" s="18" t="n">
        <v>10782.73</v>
      </c>
      <c r="S19" s="18" t="n">
        <v>6532.24</v>
      </c>
      <c r="T19" s="18" t="n">
        <v>6674.59</v>
      </c>
      <c r="U19" s="37" t="n">
        <v>6674.59</v>
      </c>
      <c r="V19" s="18" t="n">
        <v>6096.46</v>
      </c>
      <c r="W19" s="18" t="n">
        <v>4619.82</v>
      </c>
      <c r="X19" s="18" t="n">
        <v>4251.42</v>
      </c>
      <c r="Y19" s="18" t="n">
        <v>5433.49</v>
      </c>
      <c r="Z19" s="37" t="n">
        <v>5433.49</v>
      </c>
      <c r="AA19" s="18" t="n">
        <v>13083.74</v>
      </c>
      <c r="AB19" s="19" t="n">
        <v>12947.14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매입채무및기타채무</t>
        </is>
      </c>
      <c r="E20" s="18" t="n">
        <v>3471.03</v>
      </c>
      <c r="F20" s="37" t="n">
        <v>3471.03</v>
      </c>
      <c r="G20" s="18" t="n">
        <v>4971.34</v>
      </c>
      <c r="H20" s="18" t="n">
        <v>2921.35</v>
      </c>
      <c r="I20" s="18" t="n">
        <v>3203.41</v>
      </c>
      <c r="J20" s="18" t="n">
        <v>3619.3</v>
      </c>
      <c r="K20" s="37" t="n">
        <v>3619.3</v>
      </c>
      <c r="L20" s="18" t="n">
        <v>3100.4</v>
      </c>
      <c r="M20" s="18" t="n">
        <v>2439.81</v>
      </c>
      <c r="N20" s="18" t="n">
        <v>2740.34</v>
      </c>
      <c r="O20" s="18" t="n">
        <v>1880.87</v>
      </c>
      <c r="P20" s="37" t="n">
        <v>1880.87</v>
      </c>
      <c r="Q20" s="18" t="n">
        <v>2441.5</v>
      </c>
      <c r="R20" s="18" t="n">
        <v>3560.44</v>
      </c>
      <c r="S20" s="18" t="n">
        <v>3458.49</v>
      </c>
      <c r="T20" s="18" t="n">
        <v>3832.84</v>
      </c>
      <c r="U20" s="37" t="n">
        <v>3832.84</v>
      </c>
      <c r="V20" s="18" t="n">
        <v>4469.64</v>
      </c>
      <c r="W20" s="18" t="n">
        <v>3676.28</v>
      </c>
      <c r="X20" s="18" t="n">
        <v>3155.71</v>
      </c>
      <c r="Y20" s="18" t="n">
        <v>3721.47</v>
      </c>
      <c r="Z20" s="37" t="n">
        <v>3721.47</v>
      </c>
      <c r="AA20" s="18" t="n">
        <v>3887.48</v>
      </c>
      <c r="AB20" s="19" t="n">
        <v>2760.5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유동리스부채</t>
        </is>
      </c>
      <c r="E21" s="18" t="n">
        <v>41.71</v>
      </c>
      <c r="F21" s="37" t="n">
        <v>41.71</v>
      </c>
      <c r="G21" s="18" t="n">
        <v>17.89</v>
      </c>
      <c r="H21" s="18" t="n">
        <v>4.95</v>
      </c>
      <c r="I21" s="18" t="n">
        <v>5.01</v>
      </c>
      <c r="J21" s="18" t="n">
        <v>370.06</v>
      </c>
      <c r="K21" s="37" t="n">
        <v>370.06</v>
      </c>
      <c r="L21" s="18" t="n">
        <v>272.7</v>
      </c>
      <c r="M21" s="18" t="n">
        <v>173.76</v>
      </c>
      <c r="N21" s="18" t="n">
        <v>73.20999999999999</v>
      </c>
      <c r="O21" s="18" t="n">
        <v>372.04</v>
      </c>
      <c r="P21" s="37" t="n">
        <v>372.04</v>
      </c>
      <c r="Q21" s="18" t="n">
        <v>273.9</v>
      </c>
      <c r="R21" s="18" t="n">
        <v>174.4</v>
      </c>
      <c r="S21" s="18" t="n">
        <v>73.54000000000001</v>
      </c>
      <c r="T21" s="18" t="n">
        <v>371.94</v>
      </c>
      <c r="U21" s="37" t="n">
        <v>371.94</v>
      </c>
      <c r="V21" s="18" t="n">
        <v>273.95</v>
      </c>
      <c r="W21" s="18" t="n">
        <v>173.13</v>
      </c>
      <c r="X21" s="18" t="n">
        <v>73.78</v>
      </c>
      <c r="Y21" s="18" t="n">
        <v>372.64</v>
      </c>
      <c r="Z21" s="37" t="n">
        <v>372.64</v>
      </c>
      <c r="AA21" s="18" t="n">
        <v>273.46</v>
      </c>
      <c r="AB21" s="19" t="n">
        <v>172.94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리스부채</t>
        </is>
      </c>
      <c r="E22" s="18" t="n">
        <v>41.71</v>
      </c>
      <c r="F22" s="37" t="n">
        <v>41.71</v>
      </c>
      <c r="G22" s="18" t="n">
        <v>17.89</v>
      </c>
      <c r="H22" s="18" t="n">
        <v>25.17</v>
      </c>
      <c r="I22" s="18" t="n">
        <v>23.96</v>
      </c>
      <c r="J22" s="18" t="n">
        <v>387.72</v>
      </c>
      <c r="K22" s="37" t="n">
        <v>387.72</v>
      </c>
      <c r="L22" s="18" t="n">
        <v>289.05</v>
      </c>
      <c r="M22" s="18" t="n">
        <v>188.8</v>
      </c>
      <c r="N22" s="18" t="n">
        <v>86.91</v>
      </c>
      <c r="O22" s="18" t="n">
        <v>384.4</v>
      </c>
      <c r="P22" s="37" t="n">
        <v>384.4</v>
      </c>
      <c r="Q22" s="18" t="n">
        <v>284.89</v>
      </c>
      <c r="R22" s="18" t="n">
        <v>184.01</v>
      </c>
      <c r="S22" s="18" t="n">
        <v>81.76000000000001</v>
      </c>
      <c r="T22" s="18" t="n">
        <v>378.75</v>
      </c>
      <c r="U22" s="37" t="n">
        <v>378.75</v>
      </c>
      <c r="V22" s="18" t="n">
        <v>279.33</v>
      </c>
      <c r="W22" s="18" t="n">
        <v>178.51</v>
      </c>
      <c r="X22" s="18" t="n">
        <v>76.26000000000001</v>
      </c>
      <c r="Y22" s="18" t="n">
        <v>373.64</v>
      </c>
      <c r="Z22" s="37" t="n">
        <v>373.64</v>
      </c>
      <c r="AA22" s="18" t="n">
        <v>273.97</v>
      </c>
      <c r="AB22" s="19" t="n">
        <v>172.94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단기금융부채</t>
        </is>
      </c>
      <c r="E23" s="18" t="n">
        <v>41.71</v>
      </c>
      <c r="F23" s="37" t="n">
        <v>41.71</v>
      </c>
      <c r="G23" s="18" t="n">
        <v>17.89</v>
      </c>
      <c r="H23" s="18" t="n">
        <v>4.95</v>
      </c>
      <c r="I23" s="18" t="n">
        <v>5.01</v>
      </c>
      <c r="J23" s="18" t="n">
        <v>370.06</v>
      </c>
      <c r="K23" s="37" t="n">
        <v>370.06</v>
      </c>
      <c r="L23" s="18" t="n">
        <v>272.7</v>
      </c>
      <c r="M23" s="18" t="n">
        <v>173.76</v>
      </c>
      <c r="N23" s="18" t="n">
        <v>73.20999999999999</v>
      </c>
      <c r="O23" s="18" t="n">
        <v>372.04</v>
      </c>
      <c r="P23" s="37" t="n">
        <v>372.04</v>
      </c>
      <c r="Q23" s="18" t="n">
        <v>273.9</v>
      </c>
      <c r="R23" s="18" t="n">
        <v>174.4</v>
      </c>
      <c r="S23" s="18" t="n">
        <v>73.54000000000001</v>
      </c>
      <c r="T23" s="18" t="n">
        <v>371.94</v>
      </c>
      <c r="U23" s="37" t="n">
        <v>371.94</v>
      </c>
      <c r="V23" s="18" t="n">
        <v>273.95</v>
      </c>
      <c r="W23" s="18" t="n">
        <v>173.13</v>
      </c>
      <c r="X23" s="18" t="n">
        <v>73.78</v>
      </c>
      <c r="Y23" s="18" t="n">
        <v>372.64</v>
      </c>
      <c r="Z23" s="37" t="n">
        <v>372.64</v>
      </c>
      <c r="AA23" s="18" t="n">
        <v>273.46</v>
      </c>
      <c r="AB23" s="19" t="n">
        <v>172.94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기타유동부채</t>
        </is>
      </c>
      <c r="E24" s="18" t="n">
        <v>430.35</v>
      </c>
      <c r="F24" s="37" t="n">
        <v>430.35</v>
      </c>
      <c r="G24" s="18" t="n">
        <v>175.44</v>
      </c>
      <c r="H24" s="18" t="n">
        <v>43.7</v>
      </c>
      <c r="I24" s="18" t="n">
        <v>12.25</v>
      </c>
      <c r="J24" s="18" t="n">
        <v>206.44</v>
      </c>
      <c r="K24" s="37" t="n">
        <v>206.44</v>
      </c>
      <c r="L24" s="18" t="n">
        <v>203.4</v>
      </c>
      <c r="M24" s="18" t="n">
        <v>338.96</v>
      </c>
      <c r="N24" s="18" t="n">
        <v>205.84</v>
      </c>
      <c r="O24" s="18" t="n">
        <v>447.24</v>
      </c>
      <c r="P24" s="37" t="n">
        <v>447.24</v>
      </c>
      <c r="Q24" s="18" t="n">
        <v>110.11</v>
      </c>
      <c r="R24" s="18" t="n">
        <v>447.89</v>
      </c>
      <c r="S24" s="18" t="n">
        <v>400.21</v>
      </c>
      <c r="T24" s="18" t="n">
        <v>969.8099999999999</v>
      </c>
      <c r="U24" s="37" t="n">
        <v>969.8099999999999</v>
      </c>
      <c r="V24" s="18" t="n">
        <v>652.86</v>
      </c>
      <c r="W24" s="18" t="n">
        <v>743.09</v>
      </c>
      <c r="X24" s="18" t="n">
        <v>897.35</v>
      </c>
      <c r="Y24" s="18" t="n">
        <v>998.78</v>
      </c>
      <c r="Z24" s="37" t="n">
        <v>998.78</v>
      </c>
      <c r="AA24" s="18" t="n">
        <v>672.61</v>
      </c>
      <c r="AB24" s="19" t="n">
        <v>825.34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비유동부채</t>
        </is>
      </c>
      <c r="E25" s="18" t="n">
        <v>2145.21</v>
      </c>
      <c r="F25" s="37" t="n">
        <v>2145.21</v>
      </c>
      <c r="G25" s="18" t="n">
        <v>2030.28</v>
      </c>
      <c r="H25" s="18" t="n">
        <v>1937.15</v>
      </c>
      <c r="I25" s="18" t="n">
        <v>2041.31</v>
      </c>
      <c r="J25" s="18" t="n">
        <v>1822.69</v>
      </c>
      <c r="K25" s="37" t="n">
        <v>1822.69</v>
      </c>
      <c r="L25" s="18" t="n">
        <v>1849.81</v>
      </c>
      <c r="M25" s="18" t="n">
        <v>1919.27</v>
      </c>
      <c r="N25" s="18" t="n">
        <v>1934.05</v>
      </c>
      <c r="O25" s="18" t="n">
        <v>55.94</v>
      </c>
      <c r="P25" s="37" t="n">
        <v>55.94</v>
      </c>
      <c r="Q25" s="18" t="n">
        <v>8108.57</v>
      </c>
      <c r="R25" s="18" t="n">
        <v>8299.26</v>
      </c>
      <c r="S25" s="18" t="n">
        <v>11686.88</v>
      </c>
      <c r="T25" s="18" t="n">
        <v>11588.77</v>
      </c>
      <c r="U25" s="37" t="n">
        <v>11588.77</v>
      </c>
      <c r="V25" s="18" t="n">
        <v>11660.51</v>
      </c>
      <c r="W25" s="18" t="n">
        <v>11692.28</v>
      </c>
      <c r="X25" s="18" t="n">
        <v>11833.4</v>
      </c>
      <c r="Y25" s="18" t="n">
        <v>11657.54</v>
      </c>
      <c r="Z25" s="37" t="n">
        <v>11657.54</v>
      </c>
      <c r="AA25" s="18" t="n">
        <v>3739.02</v>
      </c>
      <c r="AB25" s="19" t="n">
        <v>3750.5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장기매입채무및기타채무</t>
        </is>
      </c>
      <c r="E26" s="18" t="n">
        <v>0</v>
      </c>
      <c r="F26" s="37" t="n">
        <v>0</v>
      </c>
      <c r="G26" s="18" t="n">
        <v>0</v>
      </c>
      <c r="K26" s="9" t="n"/>
      <c r="P26" s="9" t="n"/>
      <c r="U26" s="9" t="n"/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확정급여부채</t>
        </is>
      </c>
      <c r="E27" s="18" t="n">
        <v>405.8</v>
      </c>
      <c r="F27" s="37" t="n">
        <v>405.8</v>
      </c>
      <c r="G27" s="18" t="n">
        <v>290.88</v>
      </c>
      <c r="H27" s="18" t="n">
        <v>103.86</v>
      </c>
      <c r="I27" s="18" t="n">
        <v>179.77</v>
      </c>
      <c r="J27" s="18" t="n">
        <v>118.98</v>
      </c>
      <c r="K27" s="37" t="n">
        <v>118.98</v>
      </c>
      <c r="L27" s="18" t="n">
        <v>153.22</v>
      </c>
      <c r="M27" s="18" t="n">
        <v>190.2</v>
      </c>
      <c r="N27" s="18" t="n">
        <v>211.74</v>
      </c>
      <c r="O27" s="18" t="n">
        <v>43.58</v>
      </c>
      <c r="P27" s="37" t="n">
        <v>43.58</v>
      </c>
      <c r="Q27" s="18" t="n">
        <v>97.58</v>
      </c>
      <c r="R27" s="18" t="n">
        <v>289.64</v>
      </c>
      <c r="S27" s="18" t="n">
        <v>378.66</v>
      </c>
      <c r="T27" s="18" t="n">
        <v>232.78</v>
      </c>
      <c r="U27" s="37" t="n">
        <v>232.78</v>
      </c>
      <c r="V27" s="18" t="n">
        <v>301.55</v>
      </c>
      <c r="W27" s="18" t="n">
        <v>328.69</v>
      </c>
      <c r="X27" s="18" t="n">
        <v>468.2</v>
      </c>
      <c r="Y27" s="18" t="n">
        <v>281.85</v>
      </c>
      <c r="Z27" s="37" t="n">
        <v>281.85</v>
      </c>
      <c r="AA27" s="18" t="n">
        <v>358.71</v>
      </c>
      <c r="AB27" s="19" t="n">
        <v>378.46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이연법인세부채</t>
        </is>
      </c>
      <c r="E28" s="18" t="n">
        <v>1739.41</v>
      </c>
      <c r="F28" s="37" t="n">
        <v>1739.41</v>
      </c>
      <c r="G28" s="18" t="n">
        <v>1739.41</v>
      </c>
      <c r="H28" s="18" t="n">
        <v>1813.07</v>
      </c>
      <c r="I28" s="18" t="n">
        <v>1842.6</v>
      </c>
      <c r="J28" s="18" t="n">
        <v>1686.06</v>
      </c>
      <c r="K28" s="37" t="n">
        <v>1686.06</v>
      </c>
      <c r="L28" s="18" t="n">
        <v>1680.23</v>
      </c>
      <c r="M28" s="18" t="n">
        <v>1714.03</v>
      </c>
      <c r="N28" s="18" t="n">
        <v>1708.6</v>
      </c>
      <c r="O28" s="18" t="n">
        <v>0</v>
      </c>
      <c r="P28" s="37" t="n">
        <v>0</v>
      </c>
      <c r="T28" s="18" t="n">
        <v>0</v>
      </c>
      <c r="U28" s="37" t="n">
        <v>0</v>
      </c>
      <c r="W28" s="18" t="n">
        <v>0</v>
      </c>
      <c r="X28" s="18" t="n">
        <v>0</v>
      </c>
      <c r="Y28" s="18" t="n">
        <v>0</v>
      </c>
      <c r="Z28" s="37" t="n">
        <v>0</v>
      </c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부채총계</t>
        </is>
      </c>
      <c r="E29" s="18" t="n">
        <v>6088.3</v>
      </c>
      <c r="F29" s="37" t="n">
        <v>6088.3</v>
      </c>
      <c r="G29" s="18" t="n">
        <v>15194.95</v>
      </c>
      <c r="H29" s="18" t="n">
        <v>12907.15</v>
      </c>
      <c r="I29" s="18" t="n">
        <v>13261.98</v>
      </c>
      <c r="J29" s="18" t="n">
        <v>14018.5</v>
      </c>
      <c r="K29" s="37" t="n">
        <v>14018.5</v>
      </c>
      <c r="L29" s="18" t="n">
        <v>13426.3</v>
      </c>
      <c r="M29" s="18" t="n">
        <v>12871.79</v>
      </c>
      <c r="N29" s="18" t="n">
        <v>12953.44</v>
      </c>
      <c r="O29" s="18" t="n">
        <v>10756.1</v>
      </c>
      <c r="P29" s="37" t="n">
        <v>10756.1</v>
      </c>
      <c r="Q29" s="18" t="n">
        <v>10934.08</v>
      </c>
      <c r="R29" s="18" t="n">
        <v>19081.98</v>
      </c>
      <c r="S29" s="18" t="n">
        <v>18219.12</v>
      </c>
      <c r="T29" s="18" t="n">
        <v>18263.36</v>
      </c>
      <c r="U29" s="37" t="n">
        <v>18263.36</v>
      </c>
      <c r="V29" s="18" t="n">
        <v>17756.96</v>
      </c>
      <c r="W29" s="18" t="n">
        <v>16312.1</v>
      </c>
      <c r="X29" s="18" t="n">
        <v>16084.82</v>
      </c>
      <c r="Y29" s="18" t="n">
        <v>17091.03</v>
      </c>
      <c r="Z29" s="37" t="n">
        <v>17091.03</v>
      </c>
      <c r="AA29" s="18" t="n">
        <v>16822.76</v>
      </c>
      <c r="AB29" s="19" t="n">
        <v>16697.64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자본금</t>
        </is>
      </c>
      <c r="E30" s="18" t="n">
        <v>6770.5</v>
      </c>
      <c r="F30" s="37" t="n">
        <v>6770.5</v>
      </c>
      <c r="G30" s="18" t="n">
        <v>6770.5</v>
      </c>
      <c r="H30" s="18" t="n">
        <v>6770.5</v>
      </c>
      <c r="I30" s="18" t="n">
        <v>6770.5</v>
      </c>
      <c r="J30" s="18" t="n">
        <v>6770.5</v>
      </c>
      <c r="K30" s="37" t="n">
        <v>6770.5</v>
      </c>
      <c r="L30" s="18" t="n">
        <v>6770.5</v>
      </c>
      <c r="M30" s="18" t="n">
        <v>6770.5</v>
      </c>
      <c r="N30" s="18" t="n">
        <v>6770.5</v>
      </c>
      <c r="O30" s="18" t="n">
        <v>6770.5</v>
      </c>
      <c r="P30" s="37" t="n">
        <v>6770.5</v>
      </c>
      <c r="Q30" s="18" t="n">
        <v>7000</v>
      </c>
      <c r="R30" s="18" t="n">
        <v>7000</v>
      </c>
      <c r="S30" s="18" t="n">
        <v>7000</v>
      </c>
      <c r="T30" s="18" t="n">
        <v>7000</v>
      </c>
      <c r="U30" s="37" t="n">
        <v>7000</v>
      </c>
      <c r="V30" s="18" t="n">
        <v>7000</v>
      </c>
      <c r="W30" s="18" t="n">
        <v>7000</v>
      </c>
      <c r="X30" s="18" t="n">
        <v>7000</v>
      </c>
      <c r="Y30" s="18" t="n">
        <v>7000</v>
      </c>
      <c r="Z30" s="37" t="n">
        <v>7000</v>
      </c>
      <c r="AA30" s="18" t="n">
        <v>7000</v>
      </c>
      <c r="AB30" s="19" t="n">
        <v>7000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자본잉여금</t>
        </is>
      </c>
      <c r="E31" s="18" t="n">
        <v>20687.74</v>
      </c>
      <c r="F31" s="37" t="n">
        <v>20687.74</v>
      </c>
      <c r="G31" s="18" t="n">
        <v>20687.74</v>
      </c>
      <c r="H31" s="18" t="n">
        <v>20687.74</v>
      </c>
      <c r="I31" s="18" t="n">
        <v>20687.74</v>
      </c>
      <c r="J31" s="18" t="n">
        <v>20687.74</v>
      </c>
      <c r="K31" s="37" t="n">
        <v>20687.74</v>
      </c>
      <c r="L31" s="18" t="n">
        <v>20687.74</v>
      </c>
      <c r="M31" s="18" t="n">
        <v>20687.74</v>
      </c>
      <c r="N31" s="18" t="n">
        <v>20687.74</v>
      </c>
      <c r="O31" s="18" t="n">
        <v>20687.74</v>
      </c>
      <c r="P31" s="37" t="n">
        <v>20687.74</v>
      </c>
      <c r="Q31" s="18" t="n">
        <v>21327.81</v>
      </c>
      <c r="R31" s="18" t="n">
        <v>21327.81</v>
      </c>
      <c r="S31" s="18" t="n">
        <v>21327.81</v>
      </c>
      <c r="T31" s="18" t="n">
        <v>21327.81</v>
      </c>
      <c r="U31" s="37" t="n">
        <v>21327.81</v>
      </c>
      <c r="V31" s="18" t="n">
        <v>21327.81</v>
      </c>
      <c r="W31" s="18" t="n">
        <v>21327.81</v>
      </c>
      <c r="X31" s="18" t="n">
        <v>21327.81</v>
      </c>
      <c r="Y31" s="18" t="n">
        <v>21327.81</v>
      </c>
      <c r="Z31" s="37" t="n">
        <v>21327.81</v>
      </c>
      <c r="AA31" s="18" t="n">
        <v>21327.81</v>
      </c>
      <c r="AB31" s="19" t="n">
        <v>21327.81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이익잉여금</t>
        </is>
      </c>
      <c r="E32" s="18" t="n">
        <v>1241.21</v>
      </c>
      <c r="F32" s="37" t="n">
        <v>1241.21</v>
      </c>
      <c r="G32" s="18" t="n">
        <v>938.08</v>
      </c>
      <c r="H32" s="18" t="n">
        <v>1632.65</v>
      </c>
      <c r="I32" s="18" t="n">
        <v>1818.76</v>
      </c>
      <c r="J32" s="18" t="n">
        <v>2838.49</v>
      </c>
      <c r="K32" s="37" t="n">
        <v>2838.49</v>
      </c>
      <c r="L32" s="18" t="n">
        <v>3298.31</v>
      </c>
      <c r="M32" s="18" t="n">
        <v>3499.32</v>
      </c>
      <c r="N32" s="18" t="n">
        <v>3596.43</v>
      </c>
      <c r="O32" s="18" t="n">
        <v>7629.32</v>
      </c>
      <c r="P32" s="37" t="n">
        <v>7629.32</v>
      </c>
      <c r="Q32" s="18" t="n">
        <v>7631.77</v>
      </c>
      <c r="R32" s="18" t="n">
        <v>8514.67</v>
      </c>
      <c r="S32" s="18" t="n">
        <v>9354.469999999999</v>
      </c>
      <c r="T32" s="18" t="n">
        <v>13646.25</v>
      </c>
      <c r="U32" s="37" t="n">
        <v>13646.25</v>
      </c>
      <c r="V32" s="18" t="n">
        <v>13946.18</v>
      </c>
      <c r="W32" s="18" t="n">
        <v>14395.89</v>
      </c>
      <c r="X32" s="18" t="n">
        <v>17291.58</v>
      </c>
      <c r="Y32" s="18" t="n">
        <v>21650.85</v>
      </c>
      <c r="Z32" s="37" t="n">
        <v>21650.85</v>
      </c>
      <c r="AA32" s="18" t="n">
        <v>23123.04</v>
      </c>
      <c r="AB32" s="19" t="n">
        <v>25971.2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자본총계</t>
        </is>
      </c>
      <c r="E33" s="18" t="n">
        <v>28699.45</v>
      </c>
      <c r="F33" s="37" t="n">
        <v>28699.45</v>
      </c>
      <c r="G33" s="18" t="n">
        <v>28396.32</v>
      </c>
      <c r="H33" s="18" t="n">
        <v>29090.89</v>
      </c>
      <c r="I33" s="18" t="n">
        <v>29277</v>
      </c>
      <c r="J33" s="18" t="n">
        <v>30296.73</v>
      </c>
      <c r="K33" s="37" t="n">
        <v>30296.73</v>
      </c>
      <c r="L33" s="18" t="n">
        <v>30756.55</v>
      </c>
      <c r="M33" s="18" t="n">
        <v>30957.56</v>
      </c>
      <c r="N33" s="18" t="n">
        <v>31054.67</v>
      </c>
      <c r="O33" s="18" t="n">
        <v>35087.55</v>
      </c>
      <c r="P33" s="37" t="n">
        <v>35087.55</v>
      </c>
      <c r="Q33" s="18" t="n">
        <v>35959.58</v>
      </c>
      <c r="R33" s="18" t="n">
        <v>36842.48</v>
      </c>
      <c r="S33" s="18" t="n">
        <v>37542.56</v>
      </c>
      <c r="T33" s="18" t="n">
        <v>41834.34</v>
      </c>
      <c r="U33" s="37" t="n">
        <v>41834.34</v>
      </c>
      <c r="V33" s="18" t="n">
        <v>42134.27</v>
      </c>
      <c r="W33" s="18" t="n">
        <v>42583.98</v>
      </c>
      <c r="X33" s="18" t="n">
        <v>45479.68</v>
      </c>
      <c r="Y33" s="18" t="n">
        <v>49838.95</v>
      </c>
      <c r="Z33" s="37" t="n">
        <v>49838.95</v>
      </c>
      <c r="AA33" s="18" t="n">
        <v>51311.13</v>
      </c>
      <c r="AB33" s="19" t="n">
        <v>54159.29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부채와자본총계</t>
        </is>
      </c>
      <c r="E34" s="18" t="n">
        <v>34787.74</v>
      </c>
      <c r="F34" s="37" t="n">
        <v>34787.74</v>
      </c>
      <c r="G34" s="18" t="n">
        <v>43591.27</v>
      </c>
      <c r="H34" s="18" t="n">
        <v>41998.05</v>
      </c>
      <c r="I34" s="18" t="n">
        <v>42538.98</v>
      </c>
      <c r="J34" s="18" t="n">
        <v>44315.23</v>
      </c>
      <c r="K34" s="37" t="n">
        <v>44315.23</v>
      </c>
      <c r="L34" s="18" t="n">
        <v>44182.86</v>
      </c>
      <c r="M34" s="18" t="n">
        <v>43829.35</v>
      </c>
      <c r="N34" s="18" t="n">
        <v>44008.1</v>
      </c>
      <c r="O34" s="18" t="n">
        <v>45843.65</v>
      </c>
      <c r="P34" s="37" t="n">
        <v>45843.65</v>
      </c>
      <c r="Q34" s="18" t="n">
        <v>46893.66</v>
      </c>
      <c r="R34" s="18" t="n">
        <v>55924.46</v>
      </c>
      <c r="S34" s="18" t="n">
        <v>55761.68</v>
      </c>
      <c r="T34" s="18" t="n">
        <v>60097.7</v>
      </c>
      <c r="U34" s="37" t="n">
        <v>60097.7</v>
      </c>
      <c r="V34" s="18" t="n">
        <v>59891.23</v>
      </c>
      <c r="W34" s="18" t="n">
        <v>58896.08</v>
      </c>
      <c r="X34" s="18" t="n">
        <v>61564.5</v>
      </c>
      <c r="Y34" s="18" t="n">
        <v>66929.97</v>
      </c>
      <c r="Z34" s="37" t="n">
        <v>66929.97</v>
      </c>
      <c r="AA34" s="18" t="n">
        <v>68133.89</v>
      </c>
      <c r="AB34" s="19" t="n">
        <v>70856.92999999999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지배주주지분</t>
        </is>
      </c>
      <c r="E35" s="18" t="n">
        <v>28699.45</v>
      </c>
      <c r="F35" s="37" t="n">
        <v>28699.45</v>
      </c>
      <c r="G35" s="18" t="n">
        <v>28396.32</v>
      </c>
      <c r="H35" s="18" t="n">
        <v>29090.89</v>
      </c>
      <c r="I35" s="18" t="n">
        <v>29277</v>
      </c>
      <c r="J35" s="18" t="n">
        <v>30296.73</v>
      </c>
      <c r="K35" s="37" t="n">
        <v>30296.73</v>
      </c>
      <c r="L35" s="18" t="n">
        <v>30756.55</v>
      </c>
      <c r="M35" s="18" t="n">
        <v>30957.56</v>
      </c>
      <c r="N35" s="18" t="n">
        <v>31054.67</v>
      </c>
      <c r="O35" s="18" t="n">
        <v>35087.55</v>
      </c>
      <c r="P35" s="37" t="n">
        <v>35087.55</v>
      </c>
      <c r="Q35" s="18" t="n">
        <v>35959.58</v>
      </c>
      <c r="R35" s="18" t="n">
        <v>36842.48</v>
      </c>
      <c r="S35" s="18" t="n">
        <v>37542.56</v>
      </c>
      <c r="T35" s="18" t="n">
        <v>41834.34</v>
      </c>
      <c r="U35" s="37" t="n">
        <v>41834.34</v>
      </c>
      <c r="V35" s="18" t="n">
        <v>42134.27</v>
      </c>
      <c r="W35" s="18" t="n">
        <v>42583.98</v>
      </c>
      <c r="X35" s="18" t="n">
        <v>45479.68</v>
      </c>
      <c r="Y35" s="18" t="n">
        <v>49838.95</v>
      </c>
      <c r="Z35" s="37" t="n">
        <v>49838.95</v>
      </c>
      <c r="AA35" s="18" t="n">
        <v>51311.13</v>
      </c>
      <c r="AB35" s="19" t="n">
        <v>54159.29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이자발생자산</t>
        </is>
      </c>
      <c r="E36" s="18" t="n">
        <v>4374.67</v>
      </c>
      <c r="F36" s="37" t="n">
        <v>4374.67</v>
      </c>
      <c r="G36" s="18" t="n">
        <v>5678.02</v>
      </c>
      <c r="H36" s="18" t="n">
        <v>3190.41</v>
      </c>
      <c r="I36" s="18" t="n">
        <v>4433.94</v>
      </c>
      <c r="J36" s="18" t="n">
        <v>5255.14</v>
      </c>
      <c r="K36" s="37" t="n">
        <v>5255.14</v>
      </c>
      <c r="L36" s="18" t="n">
        <v>6738.51</v>
      </c>
      <c r="M36" s="18" t="n">
        <v>8190.38</v>
      </c>
      <c r="N36" s="18" t="n">
        <v>9307.41</v>
      </c>
      <c r="O36" s="18" t="n">
        <v>9539.48</v>
      </c>
      <c r="P36" s="37" t="n">
        <v>9539.48</v>
      </c>
      <c r="Q36" s="18" t="n">
        <v>12996.25</v>
      </c>
      <c r="R36" s="18" t="n">
        <v>3437.48</v>
      </c>
      <c r="S36" s="18" t="n">
        <v>3568.99</v>
      </c>
      <c r="T36" s="18" t="n">
        <v>5003.55</v>
      </c>
      <c r="U36" s="37" t="n">
        <v>5003.55</v>
      </c>
      <c r="V36" s="18" t="n">
        <v>4436.74</v>
      </c>
      <c r="W36" s="18" t="n">
        <v>4605.18</v>
      </c>
      <c r="X36" s="18" t="n">
        <v>6525.69</v>
      </c>
      <c r="Y36" s="18" t="n">
        <v>13045.06</v>
      </c>
      <c r="Z36" s="37" t="n">
        <v>13045.06</v>
      </c>
      <c r="AA36" s="18" t="n">
        <v>14924.43</v>
      </c>
      <c r="AB36" s="19" t="n">
        <v>18168.91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단기차입금</t>
        </is>
      </c>
      <c r="F37" s="9" t="n"/>
      <c r="G37" s="18" t="n">
        <v>8000</v>
      </c>
      <c r="H37" s="18" t="n">
        <v>8000</v>
      </c>
      <c r="I37" s="18" t="n">
        <v>8000</v>
      </c>
      <c r="J37" s="18" t="n">
        <v>8000</v>
      </c>
      <c r="K37" s="37" t="n">
        <v>8000</v>
      </c>
      <c r="L37" s="18" t="n">
        <v>8000</v>
      </c>
      <c r="M37" s="18" t="n">
        <v>8000</v>
      </c>
      <c r="N37" s="18" t="n">
        <v>8000</v>
      </c>
      <c r="O37" s="18" t="n">
        <v>8000</v>
      </c>
      <c r="P37" s="37" t="n">
        <v>8000</v>
      </c>
      <c r="Q37" s="18" t="n">
        <v>0</v>
      </c>
      <c r="R37" s="18" t="n">
        <v>6600</v>
      </c>
      <c r="S37" s="18" t="n">
        <v>2600</v>
      </c>
      <c r="T37" s="18" t="n">
        <v>1500</v>
      </c>
      <c r="U37" s="37" t="n">
        <v>1500</v>
      </c>
      <c r="V37" s="18" t="n">
        <v>700</v>
      </c>
      <c r="W37" s="18" t="n">
        <v>0</v>
      </c>
      <c r="X37" s="18" t="n">
        <v>0</v>
      </c>
      <c r="Y37" s="18" t="n">
        <v>0</v>
      </c>
      <c r="Z37" s="37" t="n">
        <v>0</v>
      </c>
      <c r="AA37" s="18" t="n">
        <v>0</v>
      </c>
      <c r="AB37" s="19" t="n">
        <v>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총차입금</t>
        </is>
      </c>
      <c r="F38" s="9" t="n"/>
      <c r="G38" s="18" t="n">
        <v>8000</v>
      </c>
      <c r="H38" s="18" t="n">
        <v>8000</v>
      </c>
      <c r="I38" s="18" t="n">
        <v>8000</v>
      </c>
      <c r="J38" s="18" t="n">
        <v>8000</v>
      </c>
      <c r="K38" s="37" t="n">
        <v>8000</v>
      </c>
      <c r="L38" s="18" t="n">
        <v>8000</v>
      </c>
      <c r="M38" s="18" t="n">
        <v>8000</v>
      </c>
      <c r="N38" s="18" t="n">
        <v>8000</v>
      </c>
      <c r="O38" s="18" t="n">
        <v>8000</v>
      </c>
      <c r="P38" s="37" t="n">
        <v>8000</v>
      </c>
      <c r="Q38" s="18" t="n">
        <v>8000</v>
      </c>
      <c r="R38" s="18" t="n">
        <v>14600</v>
      </c>
      <c r="S38" s="18" t="n">
        <v>13900</v>
      </c>
      <c r="T38" s="18" t="n">
        <v>12800</v>
      </c>
      <c r="U38" s="37" t="n">
        <v>12800</v>
      </c>
      <c r="V38" s="18" t="n">
        <v>12000</v>
      </c>
      <c r="W38" s="18" t="n">
        <v>11300</v>
      </c>
      <c r="X38" s="18" t="n">
        <v>11300</v>
      </c>
      <c r="Y38" s="18" t="n">
        <v>11300</v>
      </c>
      <c r="Z38" s="37" t="n">
        <v>11300</v>
      </c>
      <c r="AA38" s="18" t="n">
        <v>11300</v>
      </c>
      <c r="AB38" s="19" t="n">
        <v>11300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순차입금</t>
        </is>
      </c>
      <c r="F39" s="9" t="n"/>
      <c r="G39" s="18" t="n">
        <v>2840.77</v>
      </c>
      <c r="H39" s="18" t="n">
        <v>5846.77</v>
      </c>
      <c r="I39" s="18" t="n">
        <v>4742.21</v>
      </c>
      <c r="J39" s="18" t="n">
        <v>3736.79</v>
      </c>
      <c r="K39" s="37" t="n">
        <v>3736.79</v>
      </c>
      <c r="L39" s="18" t="n">
        <v>2192.57</v>
      </c>
      <c r="M39" s="18" t="n">
        <v>675.47</v>
      </c>
      <c r="N39" s="18" t="n">
        <v>-502.74</v>
      </c>
      <c r="O39" s="18" t="n">
        <v>-819.12</v>
      </c>
      <c r="P39" s="37" t="n">
        <v>-819.12</v>
      </c>
      <c r="Q39" s="18" t="n">
        <v>-4157.85</v>
      </c>
      <c r="R39" s="18" t="n">
        <v>12283.64</v>
      </c>
      <c r="S39" s="18" t="n">
        <v>11284.22</v>
      </c>
      <c r="T39" s="18" t="n">
        <v>8307.120000000001</v>
      </c>
      <c r="U39" s="37" t="n">
        <v>8307.120000000001</v>
      </c>
      <c r="V39" s="18" t="n">
        <v>8074.76</v>
      </c>
      <c r="W39" s="18" t="n">
        <v>7206.74</v>
      </c>
      <c r="X39" s="18" t="n">
        <v>5304.46</v>
      </c>
      <c r="Y39" s="18" t="n">
        <v>-1711.86</v>
      </c>
      <c r="Z39" s="37" t="n">
        <v>-1711.86</v>
      </c>
      <c r="AA39" s="18" t="n">
        <v>-3591.23</v>
      </c>
      <c r="AB39" s="19" t="n">
        <v>-6835.71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F40" s="9" t="n"/>
      <c r="H40" s="18" t="n">
        <v>20.22</v>
      </c>
      <c r="I40" s="18" t="n">
        <v>18.95</v>
      </c>
      <c r="J40" s="18" t="n">
        <v>17.66</v>
      </c>
      <c r="K40" s="37" t="n">
        <v>17.66</v>
      </c>
      <c r="L40" s="18" t="n">
        <v>16.35</v>
      </c>
      <c r="M40" s="18" t="n">
        <v>15.04</v>
      </c>
      <c r="N40" s="18" t="n">
        <v>13.7</v>
      </c>
      <c r="O40" s="18" t="n">
        <v>12.36</v>
      </c>
      <c r="P40" s="37" t="n">
        <v>12.36</v>
      </c>
      <c r="Q40" s="18" t="n">
        <v>10.99</v>
      </c>
      <c r="R40" s="18" t="n">
        <v>9.609999999999999</v>
      </c>
      <c r="S40" s="18" t="n">
        <v>8.220000000000001</v>
      </c>
      <c r="T40" s="18" t="n">
        <v>6.81</v>
      </c>
      <c r="U40" s="37" t="n">
        <v>6.81</v>
      </c>
      <c r="V40" s="18" t="n">
        <v>5.38</v>
      </c>
      <c r="W40" s="18" t="n">
        <v>5.38</v>
      </c>
      <c r="X40" s="18" t="n">
        <v>2.48</v>
      </c>
      <c r="Y40" s="18" t="n">
        <v>1</v>
      </c>
      <c r="Z40" s="37" t="n">
        <v>1</v>
      </c>
      <c r="AA40" s="18" t="n">
        <v>0.51</v>
      </c>
      <c r="AB40" s="19" t="n">
        <v>0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장기금융부채</t>
        </is>
      </c>
      <c r="F41" s="9" t="n"/>
      <c r="H41" s="18" t="n">
        <v>20.22</v>
      </c>
      <c r="I41" s="18" t="n">
        <v>18.95</v>
      </c>
      <c r="J41" s="18" t="n">
        <v>17.66</v>
      </c>
      <c r="K41" s="37" t="n">
        <v>17.66</v>
      </c>
      <c r="L41" s="18" t="n">
        <v>16.35</v>
      </c>
      <c r="M41" s="18" t="n">
        <v>15.04</v>
      </c>
      <c r="N41" s="18" t="n">
        <v>13.7</v>
      </c>
      <c r="O41" s="18" t="n">
        <v>12.36</v>
      </c>
      <c r="P41" s="37" t="n">
        <v>12.36</v>
      </c>
      <c r="Q41" s="18" t="n">
        <v>10.99</v>
      </c>
      <c r="R41" s="18" t="n">
        <v>9.609999999999999</v>
      </c>
      <c r="S41" s="18" t="n">
        <v>8.220000000000001</v>
      </c>
      <c r="T41" s="18" t="n">
        <v>6.81</v>
      </c>
      <c r="U41" s="37" t="n">
        <v>6.81</v>
      </c>
      <c r="V41" s="18" t="n">
        <v>5.38</v>
      </c>
      <c r="W41" s="18" t="n">
        <v>5.38</v>
      </c>
      <c r="X41" s="18" t="n">
        <v>2.48</v>
      </c>
      <c r="Y41" s="18" t="n">
        <v>1</v>
      </c>
      <c r="Z41" s="37" t="n">
        <v>1</v>
      </c>
      <c r="AA41" s="18" t="n">
        <v>0.51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이연법인세자산</t>
        </is>
      </c>
      <c r="F42" s="9" t="n"/>
      <c r="K42" s="9" t="n"/>
      <c r="O42" s="18" t="n">
        <v>211.18</v>
      </c>
      <c r="P42" s="37" t="n">
        <v>211.18</v>
      </c>
      <c r="Q42" s="18" t="n">
        <v>211.18</v>
      </c>
      <c r="R42" s="18" t="n">
        <v>182.61</v>
      </c>
      <c r="S42" s="18" t="n">
        <v>238.74</v>
      </c>
      <c r="T42" s="18" t="n">
        <v>1739.52</v>
      </c>
      <c r="U42" s="37" t="n">
        <v>1739.52</v>
      </c>
      <c r="V42" s="18" t="n">
        <v>1735.22</v>
      </c>
      <c r="W42" s="18" t="n">
        <v>1742.46</v>
      </c>
      <c r="X42" s="18" t="n">
        <v>1744.48</v>
      </c>
      <c r="Y42" s="18" t="n">
        <v>1117.37</v>
      </c>
      <c r="Z42" s="37" t="n">
        <v>1117.37</v>
      </c>
      <c r="AA42" s="18" t="n">
        <v>1120.04</v>
      </c>
      <c r="AB42" s="19" t="n">
        <v>1101.47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단기금융부채(face)</t>
        </is>
      </c>
      <c r="F43" s="9" t="n"/>
      <c r="K43" s="9" t="n"/>
      <c r="P43" s="9" t="n"/>
      <c r="Q43" s="18" t="n">
        <v>0</v>
      </c>
      <c r="R43" s="18" t="n">
        <v>6600</v>
      </c>
      <c r="U43" s="9" t="n"/>
      <c r="Y43" s="18" t="n">
        <v>0</v>
      </c>
      <c r="Z43" s="37" t="n">
        <v>0</v>
      </c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장기차입금</t>
        </is>
      </c>
      <c r="F44" s="9" t="n"/>
      <c r="K44" s="9" t="n"/>
      <c r="P44" s="9" t="n"/>
      <c r="Q44" s="18" t="n">
        <v>8000</v>
      </c>
      <c r="R44" s="18" t="n">
        <v>8000</v>
      </c>
      <c r="S44" s="18" t="n">
        <v>11300</v>
      </c>
      <c r="T44" s="18" t="n">
        <v>11300</v>
      </c>
      <c r="U44" s="37" t="n">
        <v>11300</v>
      </c>
      <c r="V44" s="18" t="n">
        <v>11300</v>
      </c>
      <c r="W44" s="18" t="n">
        <v>11300</v>
      </c>
      <c r="X44" s="18" t="n">
        <v>11300</v>
      </c>
      <c r="Y44" s="18" t="n">
        <v>11300</v>
      </c>
      <c r="Z44" s="37" t="n">
        <v>11300</v>
      </c>
      <c r="AA44" s="18" t="n">
        <v>3300</v>
      </c>
      <c r="AB44" s="19" t="n">
        <v>3300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장기금융부채(face)</t>
        </is>
      </c>
      <c r="F45" s="9" t="n"/>
      <c r="K45" s="9" t="n"/>
      <c r="P45" s="9" t="n"/>
      <c r="S45" s="18" t="n">
        <v>11300</v>
      </c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기타자본</t>
        </is>
      </c>
      <c r="F46" s="9" t="n"/>
      <c r="K46" s="9" t="n"/>
      <c r="P46" s="9" t="n"/>
      <c r="S46" s="18" t="n">
        <v>-139.72</v>
      </c>
      <c r="T46" s="18" t="n">
        <v>-139.72</v>
      </c>
      <c r="U46" s="37" t="n">
        <v>-139.72</v>
      </c>
      <c r="V46" s="18" t="n">
        <v>-139.72</v>
      </c>
      <c r="W46" s="18" t="n">
        <v>-139.72</v>
      </c>
      <c r="X46" s="18" t="n">
        <v>-139.72</v>
      </c>
      <c r="Y46" s="18" t="n">
        <v>-139.72</v>
      </c>
      <c r="Z46" s="37" t="n">
        <v>-139.72</v>
      </c>
      <c r="AA46" s="18" t="n">
        <v>-139.72</v>
      </c>
      <c r="AB46" s="19" t="n">
        <v>-139.72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기타비유동부채</t>
        </is>
      </c>
      <c r="F47" s="9" t="n"/>
      <c r="K47" s="9" t="n"/>
      <c r="P47" s="9" t="n"/>
      <c r="T47" s="18" t="n">
        <v>49.17</v>
      </c>
      <c r="U47" s="37" t="n">
        <v>49.17</v>
      </c>
      <c r="V47" s="18" t="n">
        <v>53.58</v>
      </c>
      <c r="W47" s="18" t="n">
        <v>58.2</v>
      </c>
      <c r="X47" s="18" t="n">
        <v>62.72</v>
      </c>
      <c r="Y47" s="18" t="n">
        <v>74.69</v>
      </c>
      <c r="Z47" s="37" t="n">
        <v>74.69</v>
      </c>
      <c r="AA47" s="18" t="n">
        <v>79.81</v>
      </c>
      <c r="AB47" s="19" t="n">
        <v>72.04000000000001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당기법인세부채(미지급법인세)</t>
        </is>
      </c>
      <c r="F48" s="9" t="n"/>
      <c r="K48" s="9" t="n"/>
      <c r="P48" s="9" t="n"/>
      <c r="U48" s="9" t="n"/>
      <c r="W48" s="18" t="n">
        <v>27.32</v>
      </c>
      <c r="X48" s="18" t="n">
        <v>124.57</v>
      </c>
      <c r="Y48" s="18" t="n">
        <v>340.6</v>
      </c>
      <c r="Z48" s="37" t="n">
        <v>340.6</v>
      </c>
      <c r="AA48" s="18" t="n">
        <v>250.2</v>
      </c>
      <c r="AB48" s="19" t="n">
        <v>1188.36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단기금융상품</t>
        </is>
      </c>
      <c r="F49" s="9" t="n"/>
      <c r="K49" s="9" t="n"/>
      <c r="P49" s="9" t="n"/>
      <c r="U49" s="9" t="n"/>
      <c r="Y49" s="18" t="n">
        <v>0</v>
      </c>
      <c r="Z49" s="37" t="n">
        <v>0</v>
      </c>
      <c r="AA49" s="18" t="n">
        <v>1.18</v>
      </c>
      <c r="AB49" s="19" t="n">
        <v>1.2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단기금융자산</t>
        </is>
      </c>
      <c r="F50" s="9" t="n"/>
      <c r="K50" s="9" t="n"/>
      <c r="P50" s="9" t="n"/>
      <c r="U50" s="9" t="n"/>
      <c r="Y50" s="18" t="n">
        <v>0</v>
      </c>
      <c r="Z50" s="37" t="n">
        <v>0</v>
      </c>
      <c r="AA50" s="18" t="n">
        <v>1.18</v>
      </c>
      <c r="AB50" s="19" t="n">
        <v>1.2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사용권자산</t>
        </is>
      </c>
      <c r="F51" s="9" t="n"/>
      <c r="K51" s="9" t="n"/>
      <c r="P51" s="9" t="n"/>
      <c r="U51" s="9" t="n"/>
      <c r="Y51" s="18" t="n">
        <v>372.51</v>
      </c>
      <c r="Z51" s="37" t="n">
        <v>372.51</v>
      </c>
      <c r="AA51" s="18" t="n">
        <v>271.35</v>
      </c>
      <c r="AB51" s="19" t="n">
        <v>170.19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기타비유동자산</t>
        </is>
      </c>
      <c r="F52" s="9" t="n"/>
      <c r="K52" s="9" t="n"/>
      <c r="P52" s="9" t="n"/>
      <c r="U52" s="9" t="n"/>
      <c r="Y52" s="18" t="n">
        <v>372.51</v>
      </c>
      <c r="Z52" s="37" t="n">
        <v>372.51</v>
      </c>
      <c r="AA52" s="18" t="n">
        <v>271.35</v>
      </c>
      <c r="AB52" s="19" t="n">
        <v>170.19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유동성장기부채</t>
        </is>
      </c>
      <c r="F53" s="9" t="n"/>
      <c r="K53" s="9" t="n"/>
      <c r="P53" s="9" t="n"/>
      <c r="U53" s="9" t="n"/>
      <c r="Z53" s="9" t="n"/>
      <c r="AA53" s="18" t="n">
        <v>8000</v>
      </c>
      <c r="AB53" s="19" t="n">
        <v>8000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매출액(수익)</t>
        </is>
      </c>
      <c r="E54" s="18" t="n">
        <v>8896.35</v>
      </c>
      <c r="F54" s="9" t="n"/>
      <c r="G54" s="18" t="n">
        <v>5724.77</v>
      </c>
      <c r="H54" s="18" t="n">
        <v>6749.96</v>
      </c>
      <c r="I54" s="18" t="n">
        <v>5989.29</v>
      </c>
      <c r="J54" s="18" t="n">
        <v>6395.81</v>
      </c>
      <c r="K54" s="37" t="n">
        <v>24859.83</v>
      </c>
      <c r="L54" s="18" t="n">
        <v>6879.2</v>
      </c>
      <c r="M54" s="18" t="n">
        <v>6790.69</v>
      </c>
      <c r="N54" s="18" t="n">
        <v>5610.19</v>
      </c>
      <c r="O54" s="18" t="n">
        <v>8027.89</v>
      </c>
      <c r="P54" s="37" t="n">
        <v>27307.97</v>
      </c>
      <c r="Q54" s="18" t="n">
        <v>5656.83</v>
      </c>
      <c r="R54" s="18" t="n">
        <v>7734.21</v>
      </c>
      <c r="S54" s="18" t="n">
        <v>9223.93</v>
      </c>
      <c r="T54" s="18" t="n">
        <v>13101.01</v>
      </c>
      <c r="U54" s="37" t="n">
        <v>35715.98</v>
      </c>
      <c r="V54" s="18" t="n">
        <v>8468.74</v>
      </c>
      <c r="W54" s="18" t="n">
        <v>8868.559999999999</v>
      </c>
      <c r="X54" s="18" t="n">
        <v>11506.66</v>
      </c>
      <c r="Y54" s="18" t="n">
        <v>13034.68</v>
      </c>
      <c r="Z54" s="37" t="n">
        <v>41878.64</v>
      </c>
      <c r="AA54" s="18" t="n">
        <v>9196.58</v>
      </c>
      <c r="AB54" s="19" t="n">
        <v>11660.47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매출원가</t>
        </is>
      </c>
      <c r="E55" s="18" t="n">
        <v>7373.45</v>
      </c>
      <c r="F55" s="9" t="n"/>
      <c r="G55" s="18" t="n">
        <v>5385.2</v>
      </c>
      <c r="H55" s="18" t="n">
        <v>5649.6</v>
      </c>
      <c r="I55" s="18" t="n">
        <v>5301.5</v>
      </c>
      <c r="J55" s="18" t="n">
        <v>4450.53</v>
      </c>
      <c r="K55" s="37" t="n">
        <v>20786.83</v>
      </c>
      <c r="L55" s="18" t="n">
        <v>5428.54</v>
      </c>
      <c r="M55" s="18" t="n">
        <v>5771.85</v>
      </c>
      <c r="N55" s="18" t="n">
        <v>4616.62</v>
      </c>
      <c r="O55" s="18" t="n">
        <v>5047.97</v>
      </c>
      <c r="P55" s="37" t="n">
        <v>20864.98</v>
      </c>
      <c r="Q55" s="18" t="n">
        <v>4779.58</v>
      </c>
      <c r="R55" s="18" t="n">
        <v>6116.21</v>
      </c>
      <c r="S55" s="18" t="n">
        <v>6921.26</v>
      </c>
      <c r="T55" s="18" t="n">
        <v>9113.049999999999</v>
      </c>
      <c r="U55" s="37" t="n">
        <v>26930.1</v>
      </c>
      <c r="V55" s="18" t="n">
        <v>6678.78</v>
      </c>
      <c r="W55" s="18" t="n">
        <v>6892.84</v>
      </c>
      <c r="X55" s="18" t="n">
        <v>7142.75</v>
      </c>
      <c r="Y55" s="18" t="n">
        <v>6432.4</v>
      </c>
      <c r="Z55" s="37" t="n">
        <v>27146.77</v>
      </c>
      <c r="AA55" s="18" t="n">
        <v>6303.8</v>
      </c>
      <c r="AB55" s="19" t="n">
        <v>6608.51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매출총이익</t>
        </is>
      </c>
      <c r="E56" s="18" t="n">
        <v>1522.9</v>
      </c>
      <c r="F56" s="9" t="n"/>
      <c r="G56" s="18" t="n">
        <v>339.57</v>
      </c>
      <c r="H56" s="18" t="n">
        <v>1100.36</v>
      </c>
      <c r="I56" s="18" t="n">
        <v>687.79</v>
      </c>
      <c r="J56" s="18" t="n">
        <v>1945.28</v>
      </c>
      <c r="K56" s="37" t="n">
        <v>4073</v>
      </c>
      <c r="L56" s="18" t="n">
        <v>1450.67</v>
      </c>
      <c r="M56" s="18" t="n">
        <v>1018.84</v>
      </c>
      <c r="N56" s="18" t="n">
        <v>993.5700000000001</v>
      </c>
      <c r="O56" s="18" t="n">
        <v>2979.92</v>
      </c>
      <c r="P56" s="37" t="n">
        <v>6443</v>
      </c>
      <c r="Q56" s="18" t="n">
        <v>877.25</v>
      </c>
      <c r="R56" s="18" t="n">
        <v>1618.01</v>
      </c>
      <c r="S56" s="18" t="n">
        <v>2302.67</v>
      </c>
      <c r="T56" s="18" t="n">
        <v>3987.95</v>
      </c>
      <c r="U56" s="37" t="n">
        <v>8785.879999999999</v>
      </c>
      <c r="V56" s="18" t="n">
        <v>1789.95</v>
      </c>
      <c r="W56" s="18" t="n">
        <v>1975.72</v>
      </c>
      <c r="X56" s="18" t="n">
        <v>4363.91</v>
      </c>
      <c r="Y56" s="18" t="n">
        <v>6602.28</v>
      </c>
      <c r="Z56" s="37" t="n">
        <v>14731.86</v>
      </c>
      <c r="AA56" s="18" t="n">
        <v>2892.78</v>
      </c>
      <c r="AB56" s="19" t="n">
        <v>5051.96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판관비</t>
        </is>
      </c>
      <c r="E57" s="18" t="n">
        <v>513.25</v>
      </c>
      <c r="F57" s="9" t="n"/>
      <c r="G57" s="18" t="n">
        <v>664.33</v>
      </c>
      <c r="H57" s="18" t="n">
        <v>547.6</v>
      </c>
      <c r="I57" s="18" t="n">
        <v>535.98</v>
      </c>
      <c r="J57" s="18" t="n">
        <v>925.95</v>
      </c>
      <c r="K57" s="37" t="n">
        <v>2673.86</v>
      </c>
      <c r="L57" s="18" t="n">
        <v>861.05</v>
      </c>
      <c r="M57" s="18" t="n">
        <v>671.89</v>
      </c>
      <c r="N57" s="18" t="n">
        <v>775.4400000000001</v>
      </c>
      <c r="O57" s="18" t="n">
        <v>720.46</v>
      </c>
      <c r="P57" s="37" t="n">
        <v>3028.84</v>
      </c>
      <c r="Q57" s="18" t="n">
        <v>955.45</v>
      </c>
      <c r="R57" s="18" t="n">
        <v>888.53</v>
      </c>
      <c r="S57" s="18" t="n">
        <v>1330.64</v>
      </c>
      <c r="T57" s="18" t="n">
        <v>1529.35</v>
      </c>
      <c r="U57" s="37" t="n">
        <v>4703.97</v>
      </c>
      <c r="V57" s="18" t="n">
        <v>1368.07</v>
      </c>
      <c r="W57" s="18" t="n">
        <v>1282.63</v>
      </c>
      <c r="X57" s="18" t="n">
        <v>1335.39</v>
      </c>
      <c r="Y57" s="18" t="n">
        <v>1456.41</v>
      </c>
      <c r="Z57" s="37" t="n">
        <v>5442.5</v>
      </c>
      <c r="AA57" s="18" t="n">
        <v>1337.79</v>
      </c>
      <c r="AB57" s="19" t="n">
        <v>1147.2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영업이익</t>
        </is>
      </c>
      <c r="E58" s="18" t="n">
        <v>1009.65</v>
      </c>
      <c r="F58" s="9" t="n"/>
      <c r="G58" s="18" t="n">
        <v>-324.76</v>
      </c>
      <c r="H58" s="18" t="n">
        <v>552.76</v>
      </c>
      <c r="I58" s="18" t="n">
        <v>151.82</v>
      </c>
      <c r="J58" s="18" t="n">
        <v>1019.33</v>
      </c>
      <c r="K58" s="37" t="n">
        <v>1399.15</v>
      </c>
      <c r="L58" s="18" t="n">
        <v>589.62</v>
      </c>
      <c r="M58" s="18" t="n">
        <v>346.94</v>
      </c>
      <c r="N58" s="18" t="n">
        <v>218.14</v>
      </c>
      <c r="O58" s="18" t="n">
        <v>2259.46</v>
      </c>
      <c r="P58" s="37" t="n">
        <v>3414.16</v>
      </c>
      <c r="Q58" s="18" t="n">
        <v>-78.2</v>
      </c>
      <c r="R58" s="18" t="n">
        <v>729.48</v>
      </c>
      <c r="S58" s="18" t="n">
        <v>972.03</v>
      </c>
      <c r="T58" s="18" t="n">
        <v>2458.6</v>
      </c>
      <c r="U58" s="37" t="n">
        <v>4081.91</v>
      </c>
      <c r="V58" s="18" t="n">
        <v>421.89</v>
      </c>
      <c r="W58" s="18" t="n">
        <v>693.09</v>
      </c>
      <c r="X58" s="18" t="n">
        <v>3028.52</v>
      </c>
      <c r="Y58" s="18" t="n">
        <v>5145.87</v>
      </c>
      <c r="Z58" s="37" t="n">
        <v>9289.370000000001</v>
      </c>
      <c r="AA58" s="18" t="n">
        <v>1554.99</v>
      </c>
      <c r="AB58" s="19" t="n">
        <v>3904.76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기타영업외수익</t>
        </is>
      </c>
      <c r="E59" s="18" t="n">
        <v>311.96</v>
      </c>
      <c r="F59" s="9" t="n"/>
      <c r="G59" s="18" t="n">
        <v>64.19</v>
      </c>
      <c r="H59" s="18" t="n">
        <v>43.86</v>
      </c>
      <c r="I59" s="18" t="n">
        <v>17.55</v>
      </c>
      <c r="J59" s="18" t="n">
        <v>6.22</v>
      </c>
      <c r="K59" s="37" t="n">
        <v>131.82</v>
      </c>
      <c r="L59" s="18" t="n">
        <v>14.08</v>
      </c>
      <c r="M59" s="18" t="n">
        <v>18.05</v>
      </c>
      <c r="N59" s="18" t="n">
        <v>5.88</v>
      </c>
      <c r="O59" s="18" t="n">
        <v>2.94</v>
      </c>
      <c r="P59" s="37" t="n">
        <v>40.95</v>
      </c>
      <c r="Q59" s="18" t="n">
        <v>10.4</v>
      </c>
      <c r="R59" s="18" t="n">
        <v>12.07</v>
      </c>
      <c r="S59" s="18" t="n">
        <v>14.66</v>
      </c>
      <c r="T59" s="18" t="n">
        <v>35.14</v>
      </c>
      <c r="U59" s="37" t="n">
        <v>72.27</v>
      </c>
      <c r="V59" s="18" t="n">
        <v>22.89</v>
      </c>
      <c r="W59" s="18" t="n">
        <v>45.86</v>
      </c>
      <c r="X59" s="18" t="n">
        <v>17.43</v>
      </c>
      <c r="Y59" s="18" t="n">
        <v>54.17</v>
      </c>
      <c r="Z59" s="37" t="n">
        <v>140.35</v>
      </c>
      <c r="AA59" s="18" t="n">
        <v>68.23</v>
      </c>
      <c r="AB59" s="19" t="n">
        <v>148.99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기타영업외비용</t>
        </is>
      </c>
      <c r="E60" s="18" t="n">
        <v>4.17</v>
      </c>
      <c r="F60" s="9" t="n"/>
      <c r="G60" s="18" t="n">
        <v>0.01</v>
      </c>
      <c r="H60" s="18" t="n">
        <v>75.37</v>
      </c>
      <c r="I60" s="18" t="n">
        <v>0.47</v>
      </c>
      <c r="J60" s="18" t="n">
        <v>1.68</v>
      </c>
      <c r="K60" s="37" t="n">
        <v>77.53</v>
      </c>
      <c r="L60" s="18" t="n">
        <v>4.18</v>
      </c>
      <c r="M60" s="18" t="n">
        <v>11.72</v>
      </c>
      <c r="N60" s="18" t="n">
        <v>-2.86</v>
      </c>
      <c r="O60" s="18" t="n">
        <v>0.76</v>
      </c>
      <c r="P60" s="37" t="n">
        <v>13.8</v>
      </c>
      <c r="Q60" s="18" t="n">
        <v>1.84</v>
      </c>
      <c r="R60" s="18" t="n">
        <v>0.45</v>
      </c>
      <c r="S60" s="18" t="n">
        <v>2.23</v>
      </c>
      <c r="T60" s="18" t="n">
        <v>21.6</v>
      </c>
      <c r="U60" s="37" t="n">
        <v>26.12</v>
      </c>
      <c r="V60" s="18" t="n">
        <v>2.24</v>
      </c>
      <c r="W60" s="18" t="n">
        <v>0.33</v>
      </c>
      <c r="X60" s="18" t="n">
        <v>-0.37</v>
      </c>
      <c r="Y60" s="18" t="n">
        <v>1.34</v>
      </c>
      <c r="Z60" s="37" t="n">
        <v>3.54</v>
      </c>
      <c r="AA60" s="18" t="n">
        <v>20.27</v>
      </c>
      <c r="AB60" s="19" t="n">
        <v>42.38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금융수익</t>
        </is>
      </c>
      <c r="E61" s="18" t="n">
        <v>39.14</v>
      </c>
      <c r="F61" s="9" t="n"/>
      <c r="G61" s="18" t="n">
        <v>10.37</v>
      </c>
      <c r="H61" s="18" t="n">
        <v>34.33</v>
      </c>
      <c r="I61" s="18" t="n">
        <v>190.06</v>
      </c>
      <c r="J61" s="18" t="n">
        <v>-174.05</v>
      </c>
      <c r="K61" s="37" t="n">
        <v>60.71</v>
      </c>
      <c r="L61" s="18" t="n">
        <v>17.91</v>
      </c>
      <c r="M61" s="18" t="n">
        <v>70.88</v>
      </c>
      <c r="N61" s="18" t="n">
        <v>44.8</v>
      </c>
      <c r="O61" s="18" t="n">
        <v>38.77</v>
      </c>
      <c r="P61" s="37" t="n">
        <v>172.36</v>
      </c>
      <c r="Q61" s="18" t="n">
        <v>178</v>
      </c>
      <c r="R61" s="18" t="n">
        <v>291.19</v>
      </c>
      <c r="S61" s="18" t="n">
        <v>-5.1</v>
      </c>
      <c r="T61" s="18" t="n">
        <v>444.83</v>
      </c>
      <c r="U61" s="37" t="n">
        <v>908.92</v>
      </c>
      <c r="V61" s="18" t="n">
        <v>11.5</v>
      </c>
      <c r="W61" s="18" t="n">
        <v>17.88</v>
      </c>
      <c r="X61" s="18" t="n">
        <v>24.31</v>
      </c>
      <c r="Y61" s="18" t="n">
        <v>7.22</v>
      </c>
      <c r="Z61" s="37" t="n">
        <v>60.91</v>
      </c>
      <c r="AA61" s="18" t="n">
        <v>55.3</v>
      </c>
      <c r="AB61" s="19" t="n">
        <v>7.89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금융비용</t>
        </is>
      </c>
      <c r="E62" s="18" t="n">
        <v>0.42</v>
      </c>
      <c r="F62" s="9" t="n"/>
      <c r="G62" s="18" t="n">
        <v>43.28</v>
      </c>
      <c r="H62" s="18" t="n">
        <v>125.16</v>
      </c>
      <c r="I62" s="18" t="n">
        <v>81.48999999999999</v>
      </c>
      <c r="J62" s="18" t="n">
        <v>54.72</v>
      </c>
      <c r="K62" s="37" t="n">
        <v>304.65</v>
      </c>
      <c r="L62" s="18" t="n">
        <v>157.29</v>
      </c>
      <c r="M62" s="18" t="n">
        <v>188.97</v>
      </c>
      <c r="N62" s="18" t="n">
        <v>171.54</v>
      </c>
      <c r="O62" s="18" t="n">
        <v>191.49</v>
      </c>
      <c r="P62" s="37" t="n">
        <v>709.29</v>
      </c>
      <c r="Q62" s="18" t="n">
        <v>98.04000000000001</v>
      </c>
      <c r="R62" s="18" t="n">
        <v>113.67</v>
      </c>
      <c r="S62" s="18" t="n">
        <v>185.5</v>
      </c>
      <c r="T62" s="18" t="n">
        <v>150.6</v>
      </c>
      <c r="U62" s="37" t="n">
        <v>547.8099999999999</v>
      </c>
      <c r="V62" s="18" t="n">
        <v>138.61</v>
      </c>
      <c r="W62" s="18" t="n">
        <v>282.02</v>
      </c>
      <c r="X62" s="18" t="n">
        <v>43.9</v>
      </c>
      <c r="Y62" s="18" t="n">
        <v>109.55</v>
      </c>
      <c r="Z62" s="37" t="n">
        <v>574.08</v>
      </c>
      <c r="AA62" s="18" t="n">
        <v>113.27</v>
      </c>
      <c r="AB62" s="19" t="n">
        <v>111.7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법인세비용차감전계속사업이익</t>
        </is>
      </c>
      <c r="E63" s="18" t="n">
        <v>1356.17</v>
      </c>
      <c r="F63" s="9" t="n"/>
      <c r="G63" s="18" t="n">
        <v>-293.49</v>
      </c>
      <c r="H63" s="18" t="n">
        <v>430.42</v>
      </c>
      <c r="I63" s="18" t="n">
        <v>277.46</v>
      </c>
      <c r="J63" s="18" t="n">
        <v>795.1</v>
      </c>
      <c r="K63" s="37" t="n">
        <v>1209.49</v>
      </c>
      <c r="L63" s="18" t="n">
        <v>460.14</v>
      </c>
      <c r="M63" s="18" t="n">
        <v>235.18</v>
      </c>
      <c r="N63" s="18" t="n">
        <v>100.13</v>
      </c>
      <c r="O63" s="18" t="n">
        <v>2108.94</v>
      </c>
      <c r="P63" s="37" t="n">
        <v>2904.39</v>
      </c>
      <c r="Q63" s="18" t="n">
        <v>10.32</v>
      </c>
      <c r="R63" s="18" t="n">
        <v>918.62</v>
      </c>
      <c r="S63" s="18" t="n">
        <v>793.87</v>
      </c>
      <c r="T63" s="18" t="n">
        <v>2766.36</v>
      </c>
      <c r="U63" s="37" t="n">
        <v>4489.17</v>
      </c>
      <c r="V63" s="18" t="n">
        <v>315.42</v>
      </c>
      <c r="W63" s="18" t="n">
        <v>474.47</v>
      </c>
      <c r="X63" s="18" t="n">
        <v>3026.72</v>
      </c>
      <c r="Y63" s="18" t="n">
        <v>5096.37</v>
      </c>
      <c r="Z63" s="37" t="n">
        <v>8912.98</v>
      </c>
      <c r="AA63" s="18" t="n">
        <v>1544.98</v>
      </c>
      <c r="AB63" s="19" t="n">
        <v>3907.57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</t>
        </is>
      </c>
      <c r="E64" s="18" t="n">
        <v>141.96</v>
      </c>
      <c r="F64" s="9" t="n"/>
      <c r="H64" s="18" t="n">
        <v>1.46</v>
      </c>
      <c r="I64" s="18" t="n">
        <v>85.34</v>
      </c>
      <c r="J64" s="18" t="n">
        <v>-157.6</v>
      </c>
      <c r="K64" s="9" t="n"/>
      <c r="L64" s="18" t="n">
        <v>-4.54</v>
      </c>
      <c r="M64" s="18" t="n">
        <v>33.88</v>
      </c>
      <c r="N64" s="18" t="n">
        <v>-1.38</v>
      </c>
      <c r="O64" s="18" t="n">
        <v>-1920.06</v>
      </c>
      <c r="P64" s="37" t="n">
        <v>-1892.1</v>
      </c>
      <c r="Q64" s="18" t="n">
        <v>1.64</v>
      </c>
      <c r="R64" s="18" t="n">
        <v>3.55</v>
      </c>
      <c r="S64" s="18" t="n">
        <v>-54</v>
      </c>
      <c r="T64" s="18" t="n">
        <v>-1505.94</v>
      </c>
      <c r="U64" s="37" t="n">
        <v>-1554.75</v>
      </c>
      <c r="V64" s="18" t="n">
        <v>6.64</v>
      </c>
      <c r="W64" s="18" t="n">
        <v>22.48</v>
      </c>
      <c r="X64" s="18" t="n">
        <v>123.39</v>
      </c>
      <c r="Y64" s="18" t="n">
        <v>811.1799999999999</v>
      </c>
      <c r="Z64" s="37" t="n">
        <v>963.6900000000001</v>
      </c>
      <c r="AA64" s="18" t="n">
        <v>63.31</v>
      </c>
      <c r="AB64" s="19" t="n">
        <v>1125.25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1214.21</v>
      </c>
      <c r="F65" s="9" t="n"/>
      <c r="G65" s="18" t="n">
        <v>-293.49</v>
      </c>
      <c r="H65" s="18" t="n">
        <v>428.95</v>
      </c>
      <c r="I65" s="18" t="n">
        <v>192.13</v>
      </c>
      <c r="J65" s="18" t="n">
        <v>952.7</v>
      </c>
      <c r="K65" s="37" t="n">
        <v>1280.29</v>
      </c>
      <c r="L65" s="18" t="n">
        <v>464.68</v>
      </c>
      <c r="M65" s="18" t="n">
        <v>201.3</v>
      </c>
      <c r="N65" s="18" t="n">
        <v>101.51</v>
      </c>
      <c r="O65" s="18" t="n">
        <v>4029</v>
      </c>
      <c r="P65" s="37" t="n">
        <v>4796.49</v>
      </c>
      <c r="Q65" s="18" t="n">
        <v>8.68</v>
      </c>
      <c r="R65" s="18" t="n">
        <v>915.0700000000001</v>
      </c>
      <c r="S65" s="18" t="n">
        <v>847.86</v>
      </c>
      <c r="T65" s="18" t="n">
        <v>4272.29</v>
      </c>
      <c r="U65" s="37" t="n">
        <v>6043.9</v>
      </c>
      <c r="V65" s="18" t="n">
        <v>308.78</v>
      </c>
      <c r="W65" s="18" t="n">
        <v>451.99</v>
      </c>
      <c r="X65" s="18" t="n">
        <v>2903.33</v>
      </c>
      <c r="Y65" s="18" t="n">
        <v>4285.18</v>
      </c>
      <c r="Z65" s="37" t="n">
        <v>7949.28</v>
      </c>
      <c r="AA65" s="18" t="n">
        <v>1481.66</v>
      </c>
      <c r="AB65" s="19" t="n">
        <v>2782.33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총포괄손익</t>
        </is>
      </c>
      <c r="E66" s="18" t="n">
        <v>1148.74</v>
      </c>
      <c r="F66" s="9" t="n"/>
      <c r="G66" s="18" t="n">
        <v>-303.13</v>
      </c>
      <c r="H66" s="18" t="n">
        <v>694.58</v>
      </c>
      <c r="I66" s="18" t="n">
        <v>186.11</v>
      </c>
      <c r="J66" s="18" t="n">
        <v>1019.72</v>
      </c>
      <c r="K66" s="37" t="n">
        <v>1597.28</v>
      </c>
      <c r="L66" s="18" t="n">
        <v>459.82</v>
      </c>
      <c r="M66" s="18" t="n">
        <v>201.01</v>
      </c>
      <c r="N66" s="18" t="n">
        <v>97.11</v>
      </c>
      <c r="O66" s="18" t="n">
        <v>4032.88</v>
      </c>
      <c r="P66" s="37" t="n">
        <v>4790.82</v>
      </c>
      <c r="Q66" s="18" t="n">
        <v>2.46</v>
      </c>
      <c r="R66" s="18" t="n">
        <v>882.9</v>
      </c>
      <c r="S66" s="18" t="n">
        <v>839.8</v>
      </c>
      <c r="T66" s="18" t="n">
        <v>4291.78</v>
      </c>
      <c r="U66" s="37" t="n">
        <v>6016.94</v>
      </c>
      <c r="V66" s="18" t="n">
        <v>299.93</v>
      </c>
      <c r="W66" s="18" t="n">
        <v>449.72</v>
      </c>
      <c r="X66" s="18" t="n">
        <v>2895.69</v>
      </c>
      <c r="Y66" s="18" t="n">
        <v>4359.27</v>
      </c>
      <c r="Z66" s="37" t="n">
        <v>8004.61</v>
      </c>
      <c r="AA66" s="18" t="n">
        <v>1472.19</v>
      </c>
      <c r="AB66" s="19" t="n">
        <v>2848.16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금융손익</t>
        </is>
      </c>
      <c r="E67" s="18" t="n">
        <v>38.72</v>
      </c>
      <c r="F67" s="9" t="n"/>
      <c r="G67" s="18" t="n">
        <v>-32.91</v>
      </c>
      <c r="H67" s="18" t="n">
        <v>-90.83</v>
      </c>
      <c r="I67" s="18" t="n">
        <v>108.57</v>
      </c>
      <c r="J67" s="18" t="n">
        <v>-228.77</v>
      </c>
      <c r="K67" s="37" t="n">
        <v>-243.94</v>
      </c>
      <c r="L67" s="18" t="n">
        <v>-139.38</v>
      </c>
      <c r="M67" s="18" t="n">
        <v>-118.09</v>
      </c>
      <c r="N67" s="18" t="n">
        <v>-126.74</v>
      </c>
      <c r="O67" s="18" t="n">
        <v>-152.72</v>
      </c>
      <c r="P67" s="37" t="n">
        <v>-536.9299999999999</v>
      </c>
      <c r="Q67" s="18" t="n">
        <v>79.95999999999999</v>
      </c>
      <c r="R67" s="18" t="n">
        <v>177.52</v>
      </c>
      <c r="S67" s="18" t="n">
        <v>-190.6</v>
      </c>
      <c r="T67" s="18" t="n">
        <v>294.23</v>
      </c>
      <c r="U67" s="37" t="n">
        <v>361.11</v>
      </c>
      <c r="V67" s="18" t="n">
        <v>-127.11</v>
      </c>
      <c r="W67" s="18" t="n">
        <v>-264.14</v>
      </c>
      <c r="X67" s="18" t="n">
        <v>-19.59</v>
      </c>
      <c r="Y67" s="18" t="n">
        <v>-102.33</v>
      </c>
      <c r="Z67" s="37" t="n">
        <v>-513.17</v>
      </c>
      <c r="AA67" s="18" t="n">
        <v>-57.97</v>
      </c>
      <c r="AB67" s="19" t="n">
        <v>-103.81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기타영업외손익</t>
        </is>
      </c>
      <c r="E68" s="18" t="n">
        <v>307.79</v>
      </c>
      <c r="F68" s="9" t="n"/>
      <c r="G68" s="18" t="n">
        <v>64.18000000000001</v>
      </c>
      <c r="H68" s="18" t="n">
        <v>-31.51</v>
      </c>
      <c r="I68" s="18" t="n">
        <v>17.08</v>
      </c>
      <c r="J68" s="18" t="n">
        <v>4.54</v>
      </c>
      <c r="K68" s="37" t="n">
        <v>54.29</v>
      </c>
      <c r="L68" s="18" t="n">
        <v>9.9</v>
      </c>
      <c r="M68" s="18" t="n">
        <v>6.33</v>
      </c>
      <c r="N68" s="18" t="n">
        <v>8.74</v>
      </c>
      <c r="O68" s="18" t="n">
        <v>2.18</v>
      </c>
      <c r="P68" s="37" t="n">
        <v>27.15</v>
      </c>
      <c r="Q68" s="18" t="n">
        <v>8.56</v>
      </c>
      <c r="R68" s="18" t="n">
        <v>11.62</v>
      </c>
      <c r="S68" s="18" t="n">
        <v>12.43</v>
      </c>
      <c r="T68" s="18" t="n">
        <v>13.54</v>
      </c>
      <c r="U68" s="37" t="n">
        <v>46.15</v>
      </c>
      <c r="V68" s="18" t="n">
        <v>20.65</v>
      </c>
      <c r="W68" s="18" t="n">
        <v>45.53</v>
      </c>
      <c r="X68" s="18" t="n">
        <v>17.8</v>
      </c>
      <c r="Y68" s="18" t="n">
        <v>52.83</v>
      </c>
      <c r="Z68" s="37" t="n">
        <v>136.81</v>
      </c>
      <c r="AA68" s="18" t="n">
        <v>47.96</v>
      </c>
      <c r="AB68" s="19" t="n">
        <v>106.61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(지배주주지분)당기순이익</t>
        </is>
      </c>
      <c r="E69" s="18" t="n">
        <v>1214.21</v>
      </c>
      <c r="F69" s="9" t="n"/>
      <c r="G69" s="18" t="n">
        <v>-293.49</v>
      </c>
      <c r="H69" s="18" t="n">
        <v>428.95</v>
      </c>
      <c r="I69" s="18" t="n">
        <v>192.13</v>
      </c>
      <c r="J69" s="18" t="n">
        <v>952.7</v>
      </c>
      <c r="K69" s="37" t="n">
        <v>1280.29</v>
      </c>
      <c r="L69" s="18" t="n">
        <v>464.68</v>
      </c>
      <c r="M69" s="18" t="n">
        <v>201.3</v>
      </c>
      <c r="N69" s="18" t="n">
        <v>101.51</v>
      </c>
      <c r="O69" s="18" t="n">
        <v>4029</v>
      </c>
      <c r="P69" s="37" t="n">
        <v>4796.49</v>
      </c>
      <c r="Q69" s="18" t="n">
        <v>8.68</v>
      </c>
      <c r="R69" s="18" t="n">
        <v>915.0700000000001</v>
      </c>
      <c r="S69" s="18" t="n">
        <v>847.86</v>
      </c>
      <c r="T69" s="18" t="n">
        <v>4272.29</v>
      </c>
      <c r="U69" s="37" t="n">
        <v>6043.9</v>
      </c>
      <c r="V69" s="18" t="n">
        <v>308.78</v>
      </c>
      <c r="W69" s="18" t="n">
        <v>451.99</v>
      </c>
      <c r="X69" s="18" t="n">
        <v>2903.33</v>
      </c>
      <c r="Y69" s="18" t="n">
        <v>4285.18</v>
      </c>
      <c r="Z69" s="37" t="n">
        <v>7949.28</v>
      </c>
      <c r="AA69" s="18" t="n">
        <v>1481.66</v>
      </c>
      <c r="AB69" s="19" t="n">
        <v>2782.33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1214.21</v>
      </c>
      <c r="F70" s="9" t="n"/>
      <c r="G70" s="18" t="n">
        <v>-293.49</v>
      </c>
      <c r="H70" s="18" t="n">
        <v>428.95</v>
      </c>
      <c r="I70" s="18" t="n">
        <v>192.13</v>
      </c>
      <c r="J70" s="18" t="n">
        <v>952.7</v>
      </c>
      <c r="K70" s="37" t="n">
        <v>1280.29</v>
      </c>
      <c r="L70" s="18" t="n">
        <v>464.68</v>
      </c>
      <c r="M70" s="18" t="n">
        <v>201.3</v>
      </c>
      <c r="N70" s="18" t="n">
        <v>101.51</v>
      </c>
      <c r="O70" s="18" t="n">
        <v>4029</v>
      </c>
      <c r="P70" s="37" t="n">
        <v>4796.49</v>
      </c>
      <c r="Q70" s="18" t="n">
        <v>8.68</v>
      </c>
      <c r="R70" s="18" t="n">
        <v>915.0700000000001</v>
      </c>
      <c r="S70" s="18" t="n">
        <v>847.86</v>
      </c>
      <c r="T70" s="18" t="n">
        <v>4272.29</v>
      </c>
      <c r="U70" s="37" t="n">
        <v>6043.9</v>
      </c>
      <c r="V70" s="18" t="n">
        <v>308.78</v>
      </c>
      <c r="W70" s="18" t="n">
        <v>451.99</v>
      </c>
      <c r="X70" s="18" t="n">
        <v>2903.33</v>
      </c>
      <c r="Y70" s="18" t="n">
        <v>4285.18</v>
      </c>
      <c r="Z70" s="37" t="n">
        <v>7949.28</v>
      </c>
      <c r="AA70" s="18" t="n">
        <v>1481.66</v>
      </c>
      <c r="AB70" s="19" t="n">
        <v>2782.33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이자수익</t>
        </is>
      </c>
      <c r="F71" s="9" t="n"/>
      <c r="H71" s="18" t="n">
        <v>7.32</v>
      </c>
      <c r="I71" s="18" t="n">
        <v>7.07</v>
      </c>
      <c r="J71" s="18" t="n">
        <v>10.3</v>
      </c>
      <c r="K71" s="9" t="n"/>
      <c r="L71" s="18" t="n">
        <v>6.65</v>
      </c>
      <c r="M71" s="18" t="n">
        <v>6.86</v>
      </c>
      <c r="N71" s="18" t="n">
        <v>6.94</v>
      </c>
      <c r="O71" s="18" t="n">
        <v>7.01</v>
      </c>
      <c r="P71" s="37" t="n">
        <v>27.46</v>
      </c>
      <c r="Q71" s="18" t="n">
        <v>7.55</v>
      </c>
      <c r="R71" s="18" t="n">
        <v>7.12</v>
      </c>
      <c r="S71" s="18" t="n">
        <v>5.83</v>
      </c>
      <c r="T71" s="18" t="n">
        <v>5.95</v>
      </c>
      <c r="U71" s="37" t="n">
        <v>26.45</v>
      </c>
      <c r="V71" s="18" t="n">
        <v>5.95</v>
      </c>
      <c r="W71" s="18" t="n">
        <v>5.75</v>
      </c>
      <c r="X71" s="18" t="n">
        <v>5.65</v>
      </c>
      <c r="Y71" s="18" t="n">
        <v>6.66</v>
      </c>
      <c r="Z71" s="37" t="n">
        <v>24.01</v>
      </c>
      <c r="AA71" s="18" t="n">
        <v>0.33</v>
      </c>
      <c r="AB71" s="19" t="n">
        <v>0.97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이자비용</t>
        </is>
      </c>
      <c r="F72" s="9" t="n"/>
      <c r="H72" s="18" t="n">
        <v>67.09999999999999</v>
      </c>
      <c r="I72" s="18" t="n">
        <v>64.81</v>
      </c>
      <c r="J72" s="18" t="n">
        <v>66.92</v>
      </c>
      <c r="K72" s="9" t="n"/>
      <c r="L72" s="18" t="n">
        <v>96.5</v>
      </c>
      <c r="M72" s="18" t="n">
        <v>107.96</v>
      </c>
      <c r="N72" s="18" t="n">
        <v>107.48</v>
      </c>
      <c r="O72" s="18" t="n">
        <v>101.54</v>
      </c>
      <c r="P72" s="37" t="n">
        <v>413.48</v>
      </c>
      <c r="Q72" s="18" t="n">
        <v>98.04000000000001</v>
      </c>
      <c r="R72" s="18" t="n">
        <v>112.53</v>
      </c>
      <c r="S72" s="18" t="n">
        <v>160.58</v>
      </c>
      <c r="T72" s="18" t="n">
        <v>151</v>
      </c>
      <c r="U72" s="37" t="n">
        <v>522.15</v>
      </c>
      <c r="V72" s="18" t="n">
        <v>130.27</v>
      </c>
      <c r="W72" s="18" t="n">
        <v>113.77</v>
      </c>
      <c r="X72" s="18" t="n">
        <v>101.56</v>
      </c>
      <c r="Y72" s="18" t="n">
        <v>98.92</v>
      </c>
      <c r="Z72" s="37" t="n">
        <v>444.52</v>
      </c>
      <c r="AA72" s="18" t="n">
        <v>103.61</v>
      </c>
      <c r="AB72" s="19" t="n">
        <v>105.5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이자손익</t>
        </is>
      </c>
      <c r="F73" s="9" t="n"/>
      <c r="H73" s="18" t="n">
        <v>-59.78</v>
      </c>
      <c r="I73" s="18" t="n">
        <v>-57.74</v>
      </c>
      <c r="J73" s="18" t="n">
        <v>-56.62</v>
      </c>
      <c r="K73" s="9" t="n"/>
      <c r="L73" s="18" t="n">
        <v>-89.84999999999999</v>
      </c>
      <c r="M73" s="18" t="n">
        <v>-101.1</v>
      </c>
      <c r="N73" s="18" t="n">
        <v>-100.54</v>
      </c>
      <c r="O73" s="18" t="n">
        <v>-94.53</v>
      </c>
      <c r="P73" s="37" t="n">
        <v>-386.02</v>
      </c>
      <c r="Q73" s="18" t="n">
        <v>-90.48999999999999</v>
      </c>
      <c r="R73" s="18" t="n">
        <v>-105.41</v>
      </c>
      <c r="S73" s="18" t="n">
        <v>-154.75</v>
      </c>
      <c r="T73" s="18" t="n">
        <v>-145.05</v>
      </c>
      <c r="U73" s="37" t="n">
        <v>-495.7</v>
      </c>
      <c r="V73" s="18" t="n">
        <v>-124.32</v>
      </c>
      <c r="W73" s="18" t="n">
        <v>-108.02</v>
      </c>
      <c r="X73" s="18" t="n">
        <v>-95.91</v>
      </c>
      <c r="Y73" s="18" t="n">
        <v>-92.26000000000001</v>
      </c>
      <c r="Z73" s="37" t="n">
        <v>-420.51</v>
      </c>
      <c r="AA73" s="18" t="n">
        <v>-103.28</v>
      </c>
      <c r="AB73" s="19" t="n">
        <v>-104.53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배당금수익</t>
        </is>
      </c>
      <c r="F74" s="9" t="n"/>
      <c r="I74" s="18" t="n">
        <v>31.36</v>
      </c>
      <c r="J74" s="18" t="n">
        <v>0</v>
      </c>
      <c r="K74" s="9" t="n"/>
      <c r="M74" s="18" t="n">
        <v>38.59</v>
      </c>
      <c r="N74" s="18" t="n">
        <v>0</v>
      </c>
      <c r="O74" s="18" t="n">
        <v>0</v>
      </c>
      <c r="P74" s="9" t="n"/>
      <c r="U74" s="9" t="n"/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외환차익</t>
        </is>
      </c>
      <c r="F75" s="9" t="n"/>
      <c r="K75" s="9" t="n"/>
      <c r="P75" s="9" t="n"/>
      <c r="R75" s="18" t="n">
        <v>0.11</v>
      </c>
      <c r="S75" s="18" t="n">
        <v>1.02</v>
      </c>
      <c r="T75" s="18" t="n">
        <v>23.24</v>
      </c>
      <c r="U75" s="9" t="n"/>
      <c r="V75" s="18" t="n">
        <v>3.27</v>
      </c>
      <c r="W75" s="18" t="n">
        <v>2.94</v>
      </c>
      <c r="X75" s="18" t="n">
        <v>2.21</v>
      </c>
      <c r="Y75" s="18" t="n">
        <v>9.08</v>
      </c>
      <c r="Z75" s="37" t="n">
        <v>17.5</v>
      </c>
      <c r="AA75" s="18" t="n">
        <v>34.53</v>
      </c>
      <c r="AB75" s="19" t="n">
        <v>13.38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외환차손</t>
        </is>
      </c>
      <c r="F76" s="9" t="n"/>
      <c r="K76" s="9" t="n"/>
      <c r="P76" s="9" t="n"/>
      <c r="R76" s="18" t="n">
        <v>0.1</v>
      </c>
      <c r="S76" s="18" t="n">
        <v>10.72</v>
      </c>
      <c r="T76" s="18" t="n">
        <v>6.12</v>
      </c>
      <c r="U76" s="9" t="n"/>
      <c r="V76" s="18" t="n">
        <v>3.1</v>
      </c>
      <c r="W76" s="18" t="n">
        <v>27.26</v>
      </c>
      <c r="X76" s="18" t="n">
        <v>86.8</v>
      </c>
      <c r="Y76" s="18" t="n">
        <v>0.8</v>
      </c>
      <c r="Z76" s="37" t="n">
        <v>117.96</v>
      </c>
      <c r="AA76" s="18" t="n">
        <v>5.46</v>
      </c>
      <c r="AB76" s="19" t="n">
        <v>6.35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외화환산이익</t>
        </is>
      </c>
      <c r="F77" s="9" t="n"/>
      <c r="K77" s="9" t="n"/>
      <c r="P77" s="9" t="n"/>
      <c r="R77" s="18" t="n">
        <v>3.24</v>
      </c>
      <c r="S77" s="18" t="n">
        <v>1.9</v>
      </c>
      <c r="T77" s="18" t="n">
        <v>92.65000000000001</v>
      </c>
      <c r="U77" s="9" t="n"/>
      <c r="V77" s="18" t="n">
        <v>1.44</v>
      </c>
      <c r="W77" s="18" t="n">
        <v>8.779999999999999</v>
      </c>
      <c r="X77" s="18" t="n">
        <v>-1.78</v>
      </c>
      <c r="Y77" s="18" t="n">
        <v>-3.89</v>
      </c>
      <c r="Z77" s="37" t="n">
        <v>4.55</v>
      </c>
      <c r="AA77" s="18" t="n">
        <v>20.44</v>
      </c>
      <c r="AB77" s="19" t="n">
        <v>-6.46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외화환산손실</t>
        </is>
      </c>
      <c r="F78" s="9" t="n"/>
      <c r="K78" s="9" t="n"/>
      <c r="P78" s="9" t="n"/>
      <c r="R78" s="18" t="n">
        <v>1.03</v>
      </c>
      <c r="S78" s="18" t="n">
        <v>14.2</v>
      </c>
      <c r="T78" s="18" t="n">
        <v>-6.51</v>
      </c>
      <c r="U78" s="9" t="n"/>
      <c r="V78" s="18" t="n">
        <v>5.24</v>
      </c>
      <c r="W78" s="18" t="n">
        <v>140.98</v>
      </c>
      <c r="X78" s="18" t="n">
        <v>-144.46</v>
      </c>
      <c r="Y78" s="18" t="n">
        <v>9.82</v>
      </c>
      <c r="Z78" s="37" t="n">
        <v>11.58</v>
      </c>
      <c r="AA78" s="18" t="n">
        <v>4.2</v>
      </c>
      <c r="AB78" s="19" t="n">
        <v>-0.15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영업활동으로인한현금흐름</t>
        </is>
      </c>
      <c r="E79" s="18" t="n">
        <v>90.41</v>
      </c>
      <c r="F79" s="9" t="n"/>
      <c r="G79" s="18" t="n">
        <v>-1301.67</v>
      </c>
      <c r="H79" s="18" t="n">
        <v>-1328.31</v>
      </c>
      <c r="I79" s="18" t="n">
        <v>1167.99</v>
      </c>
      <c r="J79" s="18" t="n">
        <v>1066.35</v>
      </c>
      <c r="K79" s="37" t="n">
        <v>-395.64</v>
      </c>
      <c r="L79" s="18" t="n">
        <v>1625.83</v>
      </c>
      <c r="M79" s="18" t="n">
        <v>1617.36</v>
      </c>
      <c r="N79" s="18" t="n">
        <v>1289.98</v>
      </c>
      <c r="O79" s="18" t="n">
        <v>544.49</v>
      </c>
      <c r="P79" s="37" t="n">
        <v>5077.66</v>
      </c>
      <c r="Q79" s="18" t="n">
        <v>2062.55</v>
      </c>
      <c r="R79" s="18" t="n">
        <v>-120.66</v>
      </c>
      <c r="S79" s="18" t="n">
        <v>1179.42</v>
      </c>
      <c r="T79" s="18" t="n">
        <v>1842.3</v>
      </c>
      <c r="U79" s="37" t="n">
        <v>4963.61</v>
      </c>
      <c r="V79" s="18" t="n">
        <v>231.45</v>
      </c>
      <c r="W79" s="18" t="n">
        <v>1341.84</v>
      </c>
      <c r="X79" s="18" t="n">
        <v>1889.15</v>
      </c>
      <c r="Y79" s="18" t="n">
        <v>6650.4</v>
      </c>
      <c r="Z79" s="37" t="n">
        <v>10112.84</v>
      </c>
      <c r="AA79" s="18" t="n">
        <v>2017.81</v>
      </c>
      <c r="AB79" s="19" t="n">
        <v>3345.05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감가상각비</t>
        </is>
      </c>
      <c r="E80" s="18" t="n">
        <v>136.06</v>
      </c>
      <c r="F80" s="9" t="n"/>
      <c r="G80" s="18" t="n">
        <v>126.46</v>
      </c>
      <c r="H80" s="18" t="n">
        <v>149.2</v>
      </c>
      <c r="I80" s="18" t="n">
        <v>144.3</v>
      </c>
      <c r="J80" s="18" t="n">
        <v>177.32</v>
      </c>
      <c r="K80" s="37" t="n">
        <v>597.28</v>
      </c>
      <c r="L80" s="18" t="n">
        <v>242.85</v>
      </c>
      <c r="M80" s="18" t="n">
        <v>238.59</v>
      </c>
      <c r="N80" s="18" t="n">
        <v>234.67</v>
      </c>
      <c r="O80" s="18" t="n">
        <v>234.34</v>
      </c>
      <c r="P80" s="37" t="n">
        <v>950.45</v>
      </c>
      <c r="U80" s="9" t="n"/>
      <c r="V80" s="18" t="n">
        <v>243.45</v>
      </c>
      <c r="W80" s="18" t="n">
        <v>240.47</v>
      </c>
      <c r="X80" s="18" t="n">
        <v>240.61</v>
      </c>
      <c r="Y80" s="18" t="n">
        <v>240.13</v>
      </c>
      <c r="Z80" s="37" t="n">
        <v>964.66</v>
      </c>
      <c r="AA80" s="18" t="n">
        <v>239.67</v>
      </c>
      <c r="AB80" s="19" t="n">
        <v>238.43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18" t="n">
        <v>-5.9</v>
      </c>
      <c r="F81" s="9" t="n"/>
      <c r="G81" s="18" t="n">
        <v>12.7</v>
      </c>
      <c r="H81" s="18" t="n">
        <v>1.05</v>
      </c>
      <c r="I81" s="18" t="n">
        <v>-55.28</v>
      </c>
      <c r="J81" s="18" t="n">
        <v>-7.8</v>
      </c>
      <c r="K81" s="37" t="n">
        <v>-49.33</v>
      </c>
      <c r="L81" s="18" t="n">
        <v>-0.95</v>
      </c>
      <c r="M81" s="18" t="n">
        <v>9.02</v>
      </c>
      <c r="N81" s="18" t="n">
        <v>-3.39</v>
      </c>
      <c r="O81" s="18" t="n">
        <v>-1.1</v>
      </c>
      <c r="P81" s="37" t="n">
        <v>3.58</v>
      </c>
      <c r="Q81" s="18" t="n">
        <v>-1.1</v>
      </c>
      <c r="R81" s="18" t="n">
        <v>2.86</v>
      </c>
      <c r="S81" s="18" t="n">
        <v>-4.97</v>
      </c>
      <c r="T81" s="18" t="n">
        <v>-61.46</v>
      </c>
      <c r="U81" s="37" t="n">
        <v>-64.67</v>
      </c>
      <c r="V81" s="18" t="n">
        <v>-0.92</v>
      </c>
      <c r="W81" s="18" t="n">
        <v>67.73</v>
      </c>
      <c r="X81" s="18" t="n">
        <v>-26.14</v>
      </c>
      <c r="Y81" s="18" t="n">
        <v>-1.02</v>
      </c>
      <c r="Z81" s="37" t="n">
        <v>39.65</v>
      </c>
      <c r="AA81" s="18" t="n">
        <v>-153.72</v>
      </c>
      <c r="AB81" s="19" t="n">
        <v>-187.08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E82" s="18" t="n">
        <v>2100.72</v>
      </c>
      <c r="F82" s="9" t="n"/>
      <c r="G82" s="18" t="n">
        <v>-5327.88</v>
      </c>
      <c r="H82" s="18" t="n">
        <v>-1712.8</v>
      </c>
      <c r="I82" s="18" t="n">
        <v>-62.86</v>
      </c>
      <c r="J82" s="18" t="n">
        <v>-27.58</v>
      </c>
      <c r="K82" s="37" t="n">
        <v>-7131.12</v>
      </c>
      <c r="L82" s="18" t="n">
        <v>17.05</v>
      </c>
      <c r="M82" s="18" t="n">
        <v>0</v>
      </c>
      <c r="N82" s="18" t="n">
        <v>-9.890000000000001</v>
      </c>
      <c r="O82" s="18" t="n">
        <v>-126.42</v>
      </c>
      <c r="P82" s="37" t="n">
        <v>-119.26</v>
      </c>
      <c r="Q82" s="18" t="n">
        <v>506.12</v>
      </c>
      <c r="R82" s="18" t="n">
        <v>-12620.07</v>
      </c>
      <c r="S82" s="18" t="n">
        <v>70.42</v>
      </c>
      <c r="T82" s="18" t="n">
        <v>761.27</v>
      </c>
      <c r="U82" s="37" t="n">
        <v>-11282.26</v>
      </c>
      <c r="V82" s="18" t="n">
        <v>-117.22</v>
      </c>
      <c r="W82" s="18" t="n">
        <v>-12.44</v>
      </c>
      <c r="X82" s="18" t="n">
        <v>-29.35</v>
      </c>
      <c r="Y82" s="18" t="n">
        <v>474.17</v>
      </c>
      <c r="Z82" s="37" t="n">
        <v>315.16</v>
      </c>
      <c r="AA82" s="18" t="n">
        <v>-49.15</v>
      </c>
      <c r="AB82" s="19" t="n">
        <v>5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이자수취(CF)</t>
        </is>
      </c>
      <c r="E83" s="18" t="n">
        <v>46.29</v>
      </c>
      <c r="F83" s="9" t="n"/>
      <c r="G83" s="18" t="n">
        <v>41.79</v>
      </c>
      <c r="K83" s="9" t="n"/>
      <c r="P83" s="9" t="n"/>
      <c r="Q83" s="18" t="n">
        <v>7.56</v>
      </c>
      <c r="R83" s="18" t="n">
        <v>7.11</v>
      </c>
      <c r="S83" s="18" t="n">
        <v>5.83</v>
      </c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배당금수취(CF)</t>
        </is>
      </c>
      <c r="E84" s="18" t="n">
        <v>0</v>
      </c>
      <c r="F84" s="9" t="n"/>
      <c r="I84" s="18" t="n">
        <v>31.36</v>
      </c>
      <c r="J84" s="18" t="n">
        <v>0</v>
      </c>
      <c r="K84" s="9" t="n"/>
      <c r="N84" s="18" t="n">
        <v>0</v>
      </c>
      <c r="O84" s="18" t="n">
        <v>0</v>
      </c>
      <c r="P84" s="9" t="n"/>
      <c r="S84" s="18" t="n">
        <v>0</v>
      </c>
      <c r="T84" s="18" t="n">
        <v>0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재무활동으로인한현금흐름</t>
        </is>
      </c>
      <c r="E85" s="18" t="n">
        <v>-31.74</v>
      </c>
      <c r="F85" s="9" t="n"/>
      <c r="G85" s="18" t="n">
        <v>7932.9</v>
      </c>
      <c r="H85" s="18" t="n">
        <v>35.11</v>
      </c>
      <c r="I85" s="18" t="n">
        <v>-0.57</v>
      </c>
      <c r="J85" s="18" t="n">
        <v>-33.36</v>
      </c>
      <c r="K85" s="37" t="n">
        <v>7934.08</v>
      </c>
      <c r="L85" s="18" t="n">
        <v>-98.66</v>
      </c>
      <c r="M85" s="18" t="n">
        <v>-100.26</v>
      </c>
      <c r="N85" s="18" t="n">
        <v>-101.88</v>
      </c>
      <c r="O85" s="18" t="n">
        <v>-101.7</v>
      </c>
      <c r="P85" s="37" t="n">
        <v>-402.5</v>
      </c>
      <c r="Q85" s="18" t="n">
        <v>770.0599999999999</v>
      </c>
      <c r="R85" s="18" t="n">
        <v>2899.13</v>
      </c>
      <c r="S85" s="18" t="n">
        <v>-941.98</v>
      </c>
      <c r="T85" s="18" t="n">
        <v>-814.79</v>
      </c>
      <c r="U85" s="37" t="n">
        <v>1912.42</v>
      </c>
      <c r="V85" s="18" t="n">
        <v>-682.73</v>
      </c>
      <c r="W85" s="18" t="n">
        <v>-1017.51</v>
      </c>
      <c r="X85" s="18" t="n">
        <v>-102.25</v>
      </c>
      <c r="Y85" s="18" t="n">
        <v>-101.9</v>
      </c>
      <c r="Z85" s="37" t="n">
        <v>-1904.39</v>
      </c>
      <c r="AA85" s="18" t="n">
        <v>-99.68000000000001</v>
      </c>
      <c r="AB85" s="19" t="n">
        <v>-101.03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이자지급(CF)</t>
        </is>
      </c>
      <c r="E86" s="18" t="n">
        <v>-0.66</v>
      </c>
      <c r="F86" s="9" t="n"/>
      <c r="G86" s="18" t="n">
        <v>-43.28</v>
      </c>
      <c r="K86" s="9" t="n"/>
      <c r="P86" s="9" t="n"/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리스부채의상환</t>
        </is>
      </c>
      <c r="E87" s="18" t="n">
        <v>31.09</v>
      </c>
      <c r="F87" s="9" t="n"/>
      <c r="G87" s="18" t="n">
        <v>23.82</v>
      </c>
      <c r="H87" s="18" t="n">
        <v>8.17</v>
      </c>
      <c r="I87" s="18" t="n">
        <v>0.57</v>
      </c>
      <c r="J87" s="18" t="n">
        <v>33.36</v>
      </c>
      <c r="K87" s="37" t="n">
        <v>65.92</v>
      </c>
      <c r="L87" s="18" t="n">
        <v>98.66</v>
      </c>
      <c r="M87" s="18" t="n">
        <v>100.26</v>
      </c>
      <c r="N87" s="18" t="n">
        <v>101.88</v>
      </c>
      <c r="O87" s="18" t="n">
        <v>101.7</v>
      </c>
      <c r="P87" s="37" t="n">
        <v>402.5</v>
      </c>
      <c r="Q87" s="18" t="n">
        <v>99.51000000000001</v>
      </c>
      <c r="R87" s="18" t="n">
        <v>100.87</v>
      </c>
      <c r="S87" s="18" t="n">
        <v>102.26</v>
      </c>
      <c r="T87" s="18" t="n">
        <v>101.78</v>
      </c>
      <c r="U87" s="37" t="n">
        <v>404.42</v>
      </c>
      <c r="V87" s="18" t="n">
        <v>99.41</v>
      </c>
      <c r="W87" s="18" t="n">
        <v>100.83</v>
      </c>
      <c r="X87" s="18" t="n">
        <v>102.25</v>
      </c>
      <c r="Y87" s="18" t="n">
        <v>101.9</v>
      </c>
      <c r="Z87" s="37" t="n">
        <v>404.39</v>
      </c>
      <c r="AA87" s="18" t="n">
        <v>99.68000000000001</v>
      </c>
      <c r="AB87" s="19" t="n">
        <v>101.03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현금및현금성자산의증감</t>
        </is>
      </c>
      <c r="E88" s="18" t="n">
        <v>2159.38</v>
      </c>
      <c r="F88" s="9" t="n"/>
      <c r="G88" s="18" t="n">
        <v>1303.35</v>
      </c>
      <c r="H88" s="18" t="n">
        <v>-3006</v>
      </c>
      <c r="I88" s="18" t="n">
        <v>1104.56</v>
      </c>
      <c r="J88" s="18" t="n">
        <v>1005.41</v>
      </c>
      <c r="K88" s="37" t="n">
        <v>407.32</v>
      </c>
      <c r="L88" s="18" t="n">
        <v>1544.22</v>
      </c>
      <c r="M88" s="18" t="n">
        <v>1517.11</v>
      </c>
      <c r="N88" s="18" t="n">
        <v>1178.2</v>
      </c>
      <c r="O88" s="18" t="n">
        <v>316.38</v>
      </c>
      <c r="P88" s="37" t="n">
        <v>4555.91</v>
      </c>
      <c r="Q88" s="18" t="n">
        <v>3338.73</v>
      </c>
      <c r="R88" s="18" t="n">
        <v>-9841.49</v>
      </c>
      <c r="S88" s="18" t="n">
        <v>299.42</v>
      </c>
      <c r="T88" s="18" t="n">
        <v>1877.1</v>
      </c>
      <c r="U88" s="37" t="n">
        <v>-4326.24</v>
      </c>
      <c r="V88" s="18" t="n">
        <v>-567.64</v>
      </c>
      <c r="W88" s="18" t="n">
        <v>168.02</v>
      </c>
      <c r="X88" s="18" t="n">
        <v>1902.28</v>
      </c>
      <c r="Y88" s="18" t="n">
        <v>7016.32</v>
      </c>
      <c r="Z88" s="37" t="n">
        <v>8518.98</v>
      </c>
      <c r="AA88" s="18" t="n">
        <v>1878.18</v>
      </c>
      <c r="AB88" s="19" t="n">
        <v>3244.46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기말현금및현금성자산</t>
        </is>
      </c>
      <c r="E89" s="18" t="n">
        <v>2159.37</v>
      </c>
      <c r="F89" s="9" t="n"/>
      <c r="G89" s="18" t="n">
        <v>5159.23</v>
      </c>
      <c r="H89" s="18" t="n">
        <v>-3006</v>
      </c>
      <c r="I89" s="18" t="n">
        <v>1104.56</v>
      </c>
      <c r="J89" s="18" t="n">
        <v>1005.42</v>
      </c>
      <c r="K89" s="37" t="n">
        <v>4263.21</v>
      </c>
      <c r="L89" s="18" t="n">
        <v>5807.43</v>
      </c>
      <c r="M89" s="18" t="n">
        <v>1517.1</v>
      </c>
      <c r="N89" s="18" t="n">
        <v>1178.21</v>
      </c>
      <c r="O89" s="18" t="n">
        <v>316.38</v>
      </c>
      <c r="P89" s="37" t="n">
        <v>8819.120000000001</v>
      </c>
      <c r="Q89" s="18" t="n">
        <v>12157.85</v>
      </c>
      <c r="R89" s="18" t="n">
        <v>-9841.49</v>
      </c>
      <c r="S89" s="18" t="n">
        <v>299.42</v>
      </c>
      <c r="T89" s="18" t="n">
        <v>1877.1</v>
      </c>
      <c r="U89" s="37" t="n">
        <v>4492.88</v>
      </c>
      <c r="V89" s="18" t="n">
        <v>3925.24</v>
      </c>
      <c r="W89" s="18" t="n">
        <v>168.02</v>
      </c>
      <c r="X89" s="18" t="n">
        <v>1902.28</v>
      </c>
      <c r="Y89" s="18" t="n">
        <v>7016.32</v>
      </c>
      <c r="Z89" s="37" t="n">
        <v>13011.86</v>
      </c>
      <c r="AA89" s="18" t="n">
        <v>14890.05</v>
      </c>
      <c r="AB89" s="19" t="n">
        <v>3244.46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단기차입금의증가</t>
        </is>
      </c>
      <c r="F90" s="9" t="n"/>
      <c r="G90" s="18" t="n">
        <v>8000</v>
      </c>
      <c r="H90" s="18" t="n">
        <v>0</v>
      </c>
      <c r="I90" s="18" t="n">
        <v>0</v>
      </c>
      <c r="J90" s="18" t="n">
        <v>2400</v>
      </c>
      <c r="K90" s="37" t="n">
        <v>10400</v>
      </c>
      <c r="N90" s="18" t="n">
        <v>0</v>
      </c>
      <c r="O90" s="18" t="n">
        <v>0</v>
      </c>
      <c r="P90" s="9" t="n"/>
      <c r="S90" s="18" t="n">
        <v>0</v>
      </c>
      <c r="T90" s="18" t="n">
        <v>0</v>
      </c>
      <c r="U90" s="9" t="n"/>
      <c r="X90" s="18" t="n">
        <v>0</v>
      </c>
      <c r="Y90" s="18" t="n">
        <v>0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유형자산의감소</t>
        </is>
      </c>
      <c r="F91" s="9" t="n"/>
      <c r="I91" s="18" t="n">
        <v>0</v>
      </c>
      <c r="J91" s="18" t="n">
        <v>4.04</v>
      </c>
      <c r="K91" s="9" t="n"/>
      <c r="N91" s="18" t="n">
        <v>0</v>
      </c>
      <c r="O91" s="18" t="n">
        <v>0</v>
      </c>
      <c r="P91" s="9" t="n"/>
      <c r="T91" s="18" t="n">
        <v>4.78</v>
      </c>
      <c r="U91" s="9" t="n"/>
      <c r="Y91" s="18" t="n">
        <v>0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유형자산의증가</t>
        </is>
      </c>
      <c r="F92" s="9" t="n"/>
      <c r="J92" s="18" t="n">
        <v>8665.67</v>
      </c>
      <c r="K92" s="9" t="n"/>
      <c r="N92" s="18" t="n">
        <v>1.48</v>
      </c>
      <c r="O92" s="18" t="n">
        <v>64.88</v>
      </c>
      <c r="P92" s="9" t="n"/>
      <c r="Q92" s="18" t="n">
        <v>63.57</v>
      </c>
      <c r="R92" s="18" t="n">
        <v>220.7</v>
      </c>
      <c r="S92" s="18" t="n">
        <v>135.7</v>
      </c>
      <c r="T92" s="18" t="n">
        <v>50.88</v>
      </c>
      <c r="U92" s="37" t="n">
        <v>470.85</v>
      </c>
      <c r="V92" s="18" t="n">
        <v>121.97</v>
      </c>
      <c r="W92" s="18" t="n">
        <v>58.94</v>
      </c>
      <c r="X92" s="18" t="n">
        <v>27.35</v>
      </c>
      <c r="Y92" s="18" t="n">
        <v>61.65</v>
      </c>
      <c r="Z92" s="37" t="n">
        <v>269.91</v>
      </c>
      <c r="AA92" s="18" t="n">
        <v>46.47</v>
      </c>
      <c r="AB92" s="19" t="n">
        <v>0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CAPEX</t>
        </is>
      </c>
      <c r="F93" s="9" t="n"/>
      <c r="J93" s="18" t="n">
        <v>8665.67</v>
      </c>
      <c r="K93" s="9" t="n"/>
      <c r="N93" s="18" t="n">
        <v>9.890000000000001</v>
      </c>
      <c r="O93" s="18" t="n">
        <v>64.88</v>
      </c>
      <c r="P93" s="9" t="n"/>
      <c r="Q93" s="18" t="n">
        <v>63.57</v>
      </c>
      <c r="R93" s="18" t="n">
        <v>220.7</v>
      </c>
      <c r="S93" s="18" t="n">
        <v>135.7</v>
      </c>
      <c r="T93" s="18" t="n">
        <v>50.88</v>
      </c>
      <c r="U93" s="37" t="n">
        <v>470.85</v>
      </c>
      <c r="V93" s="18" t="n">
        <v>121.97</v>
      </c>
      <c r="W93" s="18" t="n">
        <v>58.94</v>
      </c>
      <c r="X93" s="18" t="n">
        <v>27.35</v>
      </c>
      <c r="Y93" s="18" t="n">
        <v>61.65</v>
      </c>
      <c r="Z93" s="37" t="n">
        <v>269.91</v>
      </c>
      <c r="AA93" s="18" t="n">
        <v>47.03</v>
      </c>
      <c r="AB93" s="19" t="n">
        <v>0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무형자산상각비</t>
        </is>
      </c>
      <c r="F94" s="9" t="n"/>
      <c r="K94" s="9" t="n"/>
      <c r="O94" s="18" t="n">
        <v>0.42</v>
      </c>
      <c r="P94" s="9" t="n"/>
      <c r="U94" s="9" t="n"/>
      <c r="V94" s="18" t="n">
        <v>122.61</v>
      </c>
      <c r="W94" s="18" t="n">
        <v>122.61</v>
      </c>
      <c r="X94" s="18" t="n">
        <v>122.6</v>
      </c>
      <c r="Y94" s="18" t="n">
        <v>122.61</v>
      </c>
      <c r="Z94" s="37" t="n">
        <v>490.43</v>
      </c>
      <c r="AA94" s="18" t="n">
        <v>122.62</v>
      </c>
      <c r="AB94" s="19" t="n">
        <v>122.63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무형자산의증가</t>
        </is>
      </c>
      <c r="F95" s="9" t="n"/>
      <c r="K95" s="9" t="n"/>
      <c r="O95" s="18" t="n">
        <v>0</v>
      </c>
      <c r="P95" s="9" t="n"/>
      <c r="T95" s="18" t="n">
        <v>0</v>
      </c>
      <c r="U95" s="9" t="n"/>
      <c r="Z95" s="9" t="n"/>
      <c r="AA95" s="18" t="n">
        <v>0.5600000000000001</v>
      </c>
      <c r="AB95" s="19" t="n">
        <v>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장기차입금의증가</t>
        </is>
      </c>
      <c r="F96" s="9" t="n"/>
      <c r="K96" s="9" t="n"/>
      <c r="P96" s="9" t="n"/>
      <c r="Q96" s="18" t="n">
        <v>8000</v>
      </c>
      <c r="R96" s="18" t="n">
        <v>0</v>
      </c>
      <c r="S96" s="18" t="n">
        <v>3300</v>
      </c>
      <c r="T96" s="18" t="n">
        <v>0</v>
      </c>
      <c r="U96" s="37" t="n">
        <v>11300</v>
      </c>
      <c r="V96" s="18" t="n">
        <v>0</v>
      </c>
      <c r="W96" s="18" t="n">
        <v>0</v>
      </c>
      <c r="X96" s="18" t="n">
        <v>0</v>
      </c>
      <c r="Y96" s="18" t="n">
        <v>0</v>
      </c>
      <c r="Z96" s="37" t="n">
        <v>0</v>
      </c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단기차입금의감소</t>
        </is>
      </c>
      <c r="F97" s="9" t="n"/>
      <c r="K97" s="9" t="n"/>
      <c r="P97" s="9" t="n"/>
      <c r="Q97" s="18" t="n">
        <v>8000</v>
      </c>
      <c r="R97" s="18" t="n">
        <v>0</v>
      </c>
      <c r="S97" s="18" t="n">
        <v>4000</v>
      </c>
      <c r="T97" s="18" t="n">
        <v>1100</v>
      </c>
      <c r="U97" s="37" t="n">
        <v>13100</v>
      </c>
      <c r="V97" s="18" t="n">
        <v>800</v>
      </c>
      <c r="W97" s="18" t="n">
        <v>700</v>
      </c>
      <c r="X97" s="18" t="n">
        <v>0</v>
      </c>
      <c r="Y97" s="18" t="n">
        <v>0</v>
      </c>
      <c r="Z97" s="37" t="n">
        <v>1500</v>
      </c>
      <c r="AA97" s="18" t="n">
        <v>0</v>
      </c>
      <c r="AB97" s="19" t="n">
        <v>0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자기주식의취득</t>
        </is>
      </c>
      <c r="F98" s="9" t="n"/>
      <c r="K98" s="9" t="n"/>
      <c r="P98" s="9" t="n"/>
      <c r="T98" s="18" t="n">
        <v>0</v>
      </c>
      <c r="U98" s="9" t="n"/>
      <c r="Y98" s="18" t="n">
        <v>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IFERROR(VLOOKUP($D5,BS별도,MATCH(E$1,BS별도H,0),0)/100,"")</f>
        <v/>
      </c>
      <c r="F5" s="37" t="n"/>
      <c r="G5" s="18">
        <f>IFERROR(VLOOKUP($D5,BS별도,MATCH(G$1,BS별도H,0),0)/100,"")</f>
        <v/>
      </c>
      <c r="H5" s="18">
        <f>IFERROR(VLOOKUP($D5,BS별도,MATCH(H$1,BS별도H,0),0)/100,"")</f>
        <v/>
      </c>
      <c r="I5" s="18">
        <f>IFERROR(VLOOKUP($D5,BS별도,MATCH(I$1,BS별도H,0),0)/100,"")</f>
        <v/>
      </c>
      <c r="J5" s="18">
        <f>IFERROR(VLOOKUP($D5,BS별도,MATCH(J$1,BS별도H,0),0)/100,"")</f>
        <v/>
      </c>
      <c r="K5" s="37">
        <f>SUM(G5:J5)</f>
        <v/>
      </c>
      <c r="L5" s="18">
        <f>IFERROR(VLOOKUP($D5,BS별도,MATCH(L$1,BS별도H,0),0)/100,"")</f>
        <v/>
      </c>
      <c r="M5" s="18">
        <f>IFERROR(VLOOKUP($D5,BS별도,MATCH(M$1,BS별도H,0),0)/100,"")</f>
        <v/>
      </c>
      <c r="N5" s="18">
        <f>IFERROR(VLOOKUP($D5,BS별도,MATCH(N$1,BS별도H,0),0)/100,"")</f>
        <v/>
      </c>
      <c r="O5" s="18">
        <f>IFERROR(VLOOKUP($D5,BS별도,MATCH(O$1,BS별도H,0),0)/100,"")</f>
        <v/>
      </c>
      <c r="P5" s="37">
        <f>SUM(L5:O5)</f>
        <v/>
      </c>
      <c r="Q5" s="18">
        <f>IFERROR(VLOOKUP($D5,BS별도,MATCH(Q$1,BS별도H,0),0)/100,"")</f>
        <v/>
      </c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8">
        <f>IFERROR(VLOOKUP($D5,BS별도,MATCH(W$1,BS별도H,0),0)/100,"")</f>
        <v/>
      </c>
      <c r="X5" s="18">
        <f>IFERROR(VLOOKUP($D5,BS별도,MATCH(X$1,BS별도H,0),0)/100,"")</f>
        <v/>
      </c>
      <c r="Y5" s="18">
        <f>IFERROR(VLOOKUP($D5,BS별도,MATCH(Y$1,BS별도H,0),0)/100,"")</f>
        <v/>
      </c>
      <c r="Z5" s="37">
        <f>SUM(V5:Y5)</f>
        <v/>
      </c>
      <c r="AA5" s="18">
        <f>IFERROR(VLOOKUP($D5,BS별도,MATCH(AA$1,BS별도H,0),0)/100,"")</f>
        <v/>
      </c>
      <c r="AB5" s="19">
        <f>IFERROR(VLOOKUP($D5,BS별도,MATCH(AB$1,BS별도H,0),0)/100,"")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IFERROR(VLOOKUP($D6,BS별도,MATCH(E$1,BS별도H,0),0)/100,"")</f>
        <v/>
      </c>
      <c r="F6" s="37" t="n"/>
      <c r="G6" s="18">
        <f>IFERROR(VLOOKUP($D6,BS별도,MATCH(G$1,BS별도H,0),0)/100,"")</f>
        <v/>
      </c>
      <c r="H6" s="18">
        <f>IFERROR(VLOOKUP($D6,BS별도,MATCH(H$1,BS별도H,0),0)/100,"")</f>
        <v/>
      </c>
      <c r="I6" s="18">
        <f>IFERROR(VLOOKUP($D6,BS별도,MATCH(I$1,BS별도H,0),0)/100,"")</f>
        <v/>
      </c>
      <c r="J6" s="18">
        <f>IFERROR(VLOOKUP($D6,BS별도,MATCH(J$1,BS별도H,0),0)/100,"")</f>
        <v/>
      </c>
      <c r="K6" s="37">
        <f>SUM(G6:J6)</f>
        <v/>
      </c>
      <c r="L6" s="18">
        <f>IFERROR(VLOOKUP($D6,BS별도,MATCH(L$1,BS별도H,0),0)/100,"")</f>
        <v/>
      </c>
      <c r="M6" s="18">
        <f>IFERROR(VLOOKUP($D6,BS별도,MATCH(M$1,BS별도H,0),0)/100,"")</f>
        <v/>
      </c>
      <c r="N6" s="18">
        <f>IFERROR(VLOOKUP($D6,BS별도,MATCH(N$1,BS별도H,0),0)/100,"")</f>
        <v/>
      </c>
      <c r="O6" s="18">
        <f>IFERROR(VLOOKUP($D6,BS별도,MATCH(O$1,BS별도H,0),0)/100,"")</f>
        <v/>
      </c>
      <c r="P6" s="37">
        <f>SUM(L6:O6)</f>
        <v/>
      </c>
      <c r="Q6" s="18">
        <f>IFERROR(VLOOKUP($D6,BS별도,MATCH(Q$1,BS별도H,0),0)/100,"")</f>
        <v/>
      </c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8">
        <f>IFERROR(VLOOKUP($D6,BS별도,MATCH(W$1,BS별도H,0),0)/100,"")</f>
        <v/>
      </c>
      <c r="X6" s="18">
        <f>IFERROR(VLOOKUP($D6,BS별도,MATCH(X$1,BS별도H,0),0)/100,"")</f>
        <v/>
      </c>
      <c r="Y6" s="18">
        <f>IFERROR(VLOOKUP($D6,BS별도,MATCH(Y$1,BS별도H,0),0)/100,"")</f>
        <v/>
      </c>
      <c r="Z6" s="37">
        <f>SUM(V6:Y6)</f>
        <v/>
      </c>
      <c r="AA6" s="18">
        <f>IFERROR(VLOOKUP($D6,BS별도,MATCH(AA$1,BS별도H,0),0)/100,"")</f>
        <v/>
      </c>
      <c r="AB6" s="19">
        <f>IFERROR(VLOOKUP($D6,BS별도,MATCH(AB$1,BS별도H,0),0)/100,"")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IFERROR(VLOOKUP($D7,BS별도,MATCH(E$1,BS별도H,0),0)/100,"")</f>
        <v/>
      </c>
      <c r="F7" s="37" t="n"/>
      <c r="G7" s="18">
        <f>IFERROR(VLOOKUP($D7,BS별도,MATCH(G$1,BS별도H,0),0)/100,"")</f>
        <v/>
      </c>
      <c r="H7" s="18">
        <f>IFERROR(VLOOKUP($D7,BS별도,MATCH(H$1,BS별도H,0),0)/100,"")</f>
        <v/>
      </c>
      <c r="I7" s="18">
        <f>IFERROR(VLOOKUP($D7,BS별도,MATCH(I$1,BS별도H,0),0)/100,"")</f>
        <v/>
      </c>
      <c r="J7" s="18">
        <f>IFERROR(VLOOKUP($D7,BS별도,MATCH(J$1,BS별도H,0),0)/100,"")</f>
        <v/>
      </c>
      <c r="K7" s="37">
        <f>SUM(G7:J7)</f>
        <v/>
      </c>
      <c r="L7" s="18">
        <f>IFERROR(VLOOKUP($D7,BS별도,MATCH(L$1,BS별도H,0),0)/100,"")</f>
        <v/>
      </c>
      <c r="M7" s="18">
        <f>IFERROR(VLOOKUP($D7,BS별도,MATCH(M$1,BS별도H,0),0)/100,"")</f>
        <v/>
      </c>
      <c r="N7" s="18">
        <f>IFERROR(VLOOKUP($D7,BS별도,MATCH(N$1,BS별도H,0),0)/100,"")</f>
        <v/>
      </c>
      <c r="O7" s="18">
        <f>IFERROR(VLOOKUP($D7,BS별도,MATCH(O$1,BS별도H,0),0)/100,"")</f>
        <v/>
      </c>
      <c r="P7" s="37">
        <f>SUM(L7:O7)</f>
        <v/>
      </c>
      <c r="Q7" s="18">
        <f>IFERROR(VLOOKUP($D7,BS별도,MATCH(Q$1,BS별도H,0),0)/100,"")</f>
        <v/>
      </c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8">
        <f>IFERROR(VLOOKUP($D7,BS별도,MATCH(W$1,BS별도H,0),0)/100,"")</f>
        <v/>
      </c>
      <c r="X7" s="18">
        <f>IFERROR(VLOOKUP($D7,BS별도,MATCH(X$1,BS별도H,0),0)/100,"")</f>
        <v/>
      </c>
      <c r="Y7" s="18">
        <f>IFERROR(VLOOKUP($D7,BS별도,MATCH(Y$1,BS별도H,0),0)/100,"")</f>
        <v/>
      </c>
      <c r="Z7" s="37">
        <f>SUM(V7:Y7)</f>
        <v/>
      </c>
      <c r="AA7" s="18">
        <f>IFERROR(VLOOKUP($D7,BS별도,MATCH(AA$1,BS별도H,0),0)/100,"")</f>
        <v/>
      </c>
      <c r="AB7" s="19">
        <f>IFERROR(VLOOKUP($D7,BS별도,MATCH(AB$1,BS별도H,0),0)/100,"")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IFERROR(VLOOKUP($D8,BS별도,MATCH(E$1,BS별도H,0),0)/100,"")</f>
        <v/>
      </c>
      <c r="F8" s="37" t="n"/>
      <c r="G8" s="18">
        <f>IFERROR(VLOOKUP($D8,BS별도,MATCH(G$1,BS별도H,0),0)/100,"")</f>
        <v/>
      </c>
      <c r="H8" s="18">
        <f>IFERROR(VLOOKUP($D8,BS별도,MATCH(H$1,BS별도H,0),0)/100,"")</f>
        <v/>
      </c>
      <c r="I8" s="18">
        <f>IFERROR(VLOOKUP($D8,BS별도,MATCH(I$1,BS별도H,0),0)/100,"")</f>
        <v/>
      </c>
      <c r="J8" s="18">
        <f>IFERROR(VLOOKUP($D8,BS별도,MATCH(J$1,BS별도H,0),0)/100,"")</f>
        <v/>
      </c>
      <c r="K8" s="37">
        <f>SUM(G8:J8)</f>
        <v/>
      </c>
      <c r="L8" s="18">
        <f>IFERROR(VLOOKUP($D8,BS별도,MATCH(L$1,BS별도H,0),0)/100,"")</f>
        <v/>
      </c>
      <c r="M8" s="18">
        <f>IFERROR(VLOOKUP($D8,BS별도,MATCH(M$1,BS별도H,0),0)/100,"")</f>
        <v/>
      </c>
      <c r="N8" s="18">
        <f>IFERROR(VLOOKUP($D8,BS별도,MATCH(N$1,BS별도H,0),0)/100,"")</f>
        <v/>
      </c>
      <c r="O8" s="18">
        <f>IFERROR(VLOOKUP($D8,BS별도,MATCH(O$1,BS별도H,0),0)/100,"")</f>
        <v/>
      </c>
      <c r="P8" s="37">
        <f>SUM(L8:O8)</f>
        <v/>
      </c>
      <c r="Q8" s="18">
        <f>IFERROR(VLOOKUP($D8,BS별도,MATCH(Q$1,BS별도H,0),0)/100,"")</f>
        <v/>
      </c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8">
        <f>IFERROR(VLOOKUP($D8,BS별도,MATCH(W$1,BS별도H,0),0)/100,"")</f>
        <v/>
      </c>
      <c r="X8" s="18">
        <f>IFERROR(VLOOKUP($D8,BS별도,MATCH(X$1,BS별도H,0),0)/100,"")</f>
        <v/>
      </c>
      <c r="Y8" s="18">
        <f>IFERROR(VLOOKUP($D8,BS별도,MATCH(Y$1,BS별도H,0),0)/100,"")</f>
        <v/>
      </c>
      <c r="Z8" s="37">
        <f>SUM(V8:Y8)</f>
        <v/>
      </c>
      <c r="AA8" s="18">
        <f>IFERROR(VLOOKUP($D8,BS별도,MATCH(AA$1,BS별도H,0),0)/100,"")</f>
        <v/>
      </c>
      <c r="AB8" s="19">
        <f>IFERROR(VLOOKUP($D8,BS별도,MATCH(AB$1,BS별도H,0),0)/100,"")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IFERROR(VLOOKUP($D9,BS별도,MATCH(E$1,BS별도H,0),0)/100,"")</f>
        <v/>
      </c>
      <c r="F9" s="37" t="n"/>
      <c r="G9" s="18">
        <f>IFERROR(VLOOKUP($D9,BS별도,MATCH(G$1,BS별도H,0),0)/100,"")</f>
        <v/>
      </c>
      <c r="H9" s="18">
        <f>IFERROR(VLOOKUP($D9,BS별도,MATCH(H$1,BS별도H,0),0)/100,"")</f>
        <v/>
      </c>
      <c r="I9" s="18">
        <f>IFERROR(VLOOKUP($D9,BS별도,MATCH(I$1,BS별도H,0),0)/100,"")</f>
        <v/>
      </c>
      <c r="J9" s="18">
        <f>IFERROR(VLOOKUP($D9,BS별도,MATCH(J$1,BS별도H,0),0)/100,"")</f>
        <v/>
      </c>
      <c r="K9" s="37">
        <f>SUM(G9:J9)</f>
        <v/>
      </c>
      <c r="L9" s="18">
        <f>IFERROR(VLOOKUP($D9,BS별도,MATCH(L$1,BS별도H,0),0)/100,"")</f>
        <v/>
      </c>
      <c r="M9" s="18">
        <f>IFERROR(VLOOKUP($D9,BS별도,MATCH(M$1,BS별도H,0),0)/100,"")</f>
        <v/>
      </c>
      <c r="N9" s="18">
        <f>IFERROR(VLOOKUP($D9,BS별도,MATCH(N$1,BS별도H,0),0)/100,"")</f>
        <v/>
      </c>
      <c r="O9" s="18">
        <f>IFERROR(VLOOKUP($D9,BS별도,MATCH(O$1,BS별도H,0),0)/100,"")</f>
        <v/>
      </c>
      <c r="P9" s="37">
        <f>SUM(L9:O9)</f>
        <v/>
      </c>
      <c r="Q9" s="18">
        <f>IFERROR(VLOOKUP($D9,BS별도,MATCH(Q$1,BS별도H,0),0)/100,"")</f>
        <v/>
      </c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8">
        <f>IFERROR(VLOOKUP($D9,BS별도,MATCH(W$1,BS별도H,0),0)/100,"")</f>
        <v/>
      </c>
      <c r="X9" s="18">
        <f>IFERROR(VLOOKUP($D9,BS별도,MATCH(X$1,BS별도H,0),0)/100,"")</f>
        <v/>
      </c>
      <c r="Y9" s="18">
        <f>IFERROR(VLOOKUP($D9,BS별도,MATCH(Y$1,BS별도H,0),0)/100,"")</f>
        <v/>
      </c>
      <c r="Z9" s="37">
        <f>SUM(V9:Y9)</f>
        <v/>
      </c>
      <c r="AA9" s="18">
        <f>IFERROR(VLOOKUP($D9,BS별도,MATCH(AA$1,BS별도H,0),0)/100,"")</f>
        <v/>
      </c>
      <c r="AB9" s="19">
        <f>IFERROR(VLOOKUP($D9,BS별도,MATCH(AB$1,BS별도H,0),0)/100,"")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IFERROR(VLOOKUP($D11,BS별도,MATCH(E$1,BS별도H,0),0)/100,"")</f>
        <v/>
      </c>
      <c r="F11" s="37" t="n"/>
      <c r="G11" s="18">
        <f>IFERROR(VLOOKUP($D11,BS별도,MATCH(G$1,BS별도H,0),0)/100,"")</f>
        <v/>
      </c>
      <c r="H11" s="18">
        <f>IFERROR(VLOOKUP($D11,BS별도,MATCH(H$1,BS별도H,0),0)/100,"")</f>
        <v/>
      </c>
      <c r="I11" s="18">
        <f>IFERROR(VLOOKUP($D11,BS별도,MATCH(I$1,BS별도H,0),0)/100,"")</f>
        <v/>
      </c>
      <c r="J11" s="18">
        <f>IFERROR(VLOOKUP($D11,BS별도,MATCH(J$1,BS별도H,0),0)/100,"")</f>
        <v/>
      </c>
      <c r="K11" s="37">
        <f>SUM(G11:J11)</f>
        <v/>
      </c>
      <c r="L11" s="18">
        <f>IFERROR(VLOOKUP($D11,BS별도,MATCH(L$1,BS별도H,0),0)/100,"")</f>
        <v/>
      </c>
      <c r="M11" s="18">
        <f>IFERROR(VLOOKUP($D11,BS별도,MATCH(M$1,BS별도H,0),0)/100,"")</f>
        <v/>
      </c>
      <c r="N11" s="18">
        <f>IFERROR(VLOOKUP($D11,BS별도,MATCH(N$1,BS별도H,0),0)/100,"")</f>
        <v/>
      </c>
      <c r="O11" s="18">
        <f>IFERROR(VLOOKUP($D11,BS별도,MATCH(O$1,BS별도H,0),0)/100,"")</f>
        <v/>
      </c>
      <c r="P11" s="37">
        <f>SUM(L11:O11)</f>
        <v/>
      </c>
      <c r="Q11" s="18">
        <f>IFERROR(VLOOKUP($D11,BS별도,MATCH(Q$1,BS별도H,0),0)/100,"")</f>
        <v/>
      </c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8">
        <f>IFERROR(VLOOKUP($D11,BS별도,MATCH(W$1,BS별도H,0),0)/100,"")</f>
        <v/>
      </c>
      <c r="X11" s="18">
        <f>IFERROR(VLOOKUP($D11,BS별도,MATCH(X$1,BS별도H,0),0)/100,"")</f>
        <v/>
      </c>
      <c r="Y11" s="18">
        <f>IFERROR(VLOOKUP($D11,BS별도,MATCH(Y$1,BS별도H,0),0)/100,"")</f>
        <v/>
      </c>
      <c r="Z11" s="37">
        <f>SUM(V11:Y11)</f>
        <v/>
      </c>
      <c r="AA11" s="18">
        <f>IFERROR(VLOOKUP($D11,BS별도,MATCH(AA$1,BS별도H,0),0)/100,"")</f>
        <v/>
      </c>
      <c r="AB11" s="19">
        <f>IFERROR(VLOOKUP($D11,BS별도,MATCH(AB$1,BS별도H,0),0)/100,"")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>
        <f>IFERROR(VLOOKUP($D12,BS별도,MATCH(H$1,BS별도H,0),0)/100,"")</f>
        <v/>
      </c>
      <c r="I12" s="18">
        <f>IFERROR(VLOOKUP($D12,BS별도,MATCH(I$1,BS별도H,0),0)/100,"")</f>
        <v/>
      </c>
      <c r="J12" s="18">
        <f>IFERROR(VLOOKUP($D12,BS별도,MATCH(J$1,BS별도H,0),0)/100,"")</f>
        <v/>
      </c>
      <c r="K12" s="37">
        <f>SUM(G12:J12)</f>
        <v/>
      </c>
      <c r="L12" s="18">
        <f>IFERROR(VLOOKUP($D12,BS별도,MATCH(L$1,BS별도H,0),0)/100,"")</f>
        <v/>
      </c>
      <c r="M12" s="18">
        <f>IFERROR(VLOOKUP($D12,BS별도,MATCH(M$1,BS별도H,0),0)/100,"")</f>
        <v/>
      </c>
      <c r="N12" s="18">
        <f>IFERROR(VLOOKUP($D12,BS별도,MATCH(N$1,BS별도H,0),0)/100,"")</f>
        <v/>
      </c>
      <c r="O12" s="18">
        <f>IFERROR(VLOOKUP($D12,BS별도,MATCH(O$1,BS별도H,0),0)/100,"")</f>
        <v/>
      </c>
      <c r="P12" s="37">
        <f>SUM(L12:O12)</f>
        <v/>
      </c>
      <c r="Q12" s="18">
        <f>IFERROR(VLOOKUP($D12,BS별도,MATCH(Q$1,BS별도H,0),0)/100,"")</f>
        <v/>
      </c>
      <c r="R12" s="18">
        <f>IFERROR(VLOOKUP($D12,BS별도,MATCH(R$1,BS별도H,0),0)/100,"")</f>
        <v/>
      </c>
      <c r="S12" s="18">
        <f>IFERROR(VLOOKUP($D12,BS별도,MATCH(S$1,BS별도H,0),0)/100,"")</f>
        <v/>
      </c>
      <c r="T12" s="18">
        <f>IFERROR(VLOOKUP($D12,BS별도,MATCH(T$1,BS별도H,0),0)/100,"")</f>
        <v/>
      </c>
      <c r="U12" s="37">
        <f>SUM(Q12:T12)</f>
        <v/>
      </c>
      <c r="V12" s="18">
        <f>IFERROR(VLOOKUP($D12,BS별도,MATCH(V$1,BS별도H,0),0)/100,"")</f>
        <v/>
      </c>
      <c r="W12" s="18">
        <f>IFERROR(VLOOKUP($D12,BS별도,MATCH(W$1,BS별도H,0),0)/100,"")</f>
        <v/>
      </c>
      <c r="X12" s="18">
        <f>IFERROR(VLOOKUP($D12,BS별도,MATCH(X$1,BS별도H,0),0)/100,"")</f>
        <v/>
      </c>
      <c r="Y12" s="18">
        <f>IFERROR(VLOOKUP($D12,BS별도,MATCH(Y$1,BS별도H,0),0)/100,"")</f>
        <v/>
      </c>
      <c r="Z12" s="37">
        <f>SUM(V12:Y12)</f>
        <v/>
      </c>
      <c r="AA12" s="18">
        <f>IFERROR(VLOOKUP($D12,BS별도,MATCH(AA$1,BS별도H,0),0)/100,"")</f>
        <v/>
      </c>
      <c r="AB12" s="19">
        <f>IFERROR(VLOOKUP($D12,BS별도,MATCH(AB$1,BS별도H,0),0)/100,"")</f>
        <v/>
      </c>
      <c r="AC12" s="20">
        <f>IFERROR((AB27*변수!$D$52-AB25*변수!$D$53)/4,"")</f>
        <v/>
      </c>
      <c r="AD12" s="20">
        <f>IFERROR((AC27*변수!$D$52-AC25*변수!$D$53)/4,"")</f>
        <v/>
      </c>
      <c r="AE12" s="38">
        <f>SUM(AA12:AD12)</f>
        <v/>
      </c>
      <c r="AF12" s="20">
        <f>IFERROR((AD27*변수!$D$52-AD25*변수!$D$53)/4,"")</f>
        <v/>
      </c>
      <c r="AG12" s="20">
        <f>IFERROR((AF27*변수!$D$52-AF25*변수!$D$53)/4,"")</f>
        <v/>
      </c>
      <c r="AH12" s="20">
        <f>IFERROR((AG27*변수!$D$52-AG25*변수!$D$53)/4,"")</f>
        <v/>
      </c>
      <c r="AI12" s="20">
        <f>IFERROR((AH27*변수!$D$52-AH25*변수!$D$53)/4,"")</f>
        <v/>
      </c>
      <c r="AJ12" s="38">
        <f>SUM(AF12:AI12)</f>
        <v/>
      </c>
      <c r="AK12" s="20">
        <f>IFERROR((AI27*변수!$D$52-AI25*변수!$D$53)/4,"")</f>
        <v/>
      </c>
      <c r="AL12" s="20">
        <f>IFERROR((AK27*변수!$D$52-AK25*변수!$D$53)/4,"")</f>
        <v/>
      </c>
      <c r="AM12" s="20">
        <f>IFERROR((AL27*변수!$D$52-AL25*변수!$D$53)/4,"")</f>
        <v/>
      </c>
      <c r="AN12" s="20">
        <f>IFERROR((AM27*변수!$D$52-AM25*변수!$D$53)/4,"")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>
        <f>IFERROR((VLOOKUP("외환차익",BS별도,MATCH(R$1,BS별도H,0),0)-VLOOKUP("외환차손",BS별도,MATCH(R$1,BS별도H,0),0)+VLOOKUP("외화환산이익",BS별도,MATCH(R$1,BS별도H,0),0)-VLOOKUP("외화환산손실",BS별도,MATCH(R$1,BS별도H,0),0))/100,"")</f>
        <v/>
      </c>
      <c r="S13" s="18">
        <f>IFERROR((VLOOKUP("외환차익",BS별도,MATCH(S$1,BS별도H,0),0)-VLOOKUP("외환차손",BS별도,MATCH(S$1,BS별도H,0),0)+VLOOKUP("외화환산이익",BS별도,MATCH(S$1,BS별도H,0),0)-VLOOKUP("외화환산손실",BS별도,MATCH(S$1,BS별도H,0),0))/100,"")</f>
        <v/>
      </c>
      <c r="T13" s="18">
        <f>IFERROR((VLOOKUP("외환차익",BS별도,MATCH(T$1,BS별도H,0),0)-VLOOKUP("외환차손",BS별도,MATCH(T$1,BS별도H,0),0)+VLOOKUP("외화환산이익",BS별도,MATCH(T$1,BS별도H,0),0)-VLOOKUP("외화환산손실",BS별도,MATCH(T$1,BS별도H,0),0))/100,"")</f>
        <v/>
      </c>
      <c r="U13" s="37">
        <f>SUM(Q13:T13)</f>
        <v/>
      </c>
      <c r="V13" s="18">
        <f>IFERROR((VLOOKUP("외환차익",BS별도,MATCH(V$1,BS별도H,0),0)-VLOOKUP("외환차손",BS별도,MATCH(V$1,BS별도H,0),0)+VLOOKUP("외화환산이익",BS별도,MATCH(V$1,BS별도H,0),0)-VLOOKUP("외화환산손실",BS별도,MATCH(V$1,BS별도H,0),0))/100,"")</f>
        <v/>
      </c>
      <c r="W13" s="18">
        <f>IFERROR((VLOOKUP("외환차익",BS별도,MATCH(W$1,BS별도H,0),0)-VLOOKUP("외환차손",BS별도,MATCH(W$1,BS별도H,0),0)+VLOOKUP("외화환산이익",BS별도,MATCH(W$1,BS별도H,0),0)-VLOOKUP("외화환산손실",BS별도,MATCH(W$1,BS별도H,0),0))/100,"")</f>
        <v/>
      </c>
      <c r="X13" s="18">
        <f>IFERROR((VLOOKUP("외환차익",BS별도,MATCH(X$1,BS별도H,0),0)-VLOOKUP("외환차손",BS별도,MATCH(X$1,BS별도H,0),0)+VLOOKUP("외화환산이익",BS별도,MATCH(X$1,BS별도H,0),0)-VLOOKUP("외화환산손실",BS별도,MATCH(X$1,BS별도H,0),0))/100,"")</f>
        <v/>
      </c>
      <c r="Y13" s="18">
        <f>IFERROR((VLOOKUP("외환차익",BS별도,MATCH(Y$1,BS별도H,0),0)-VLOOKUP("외환차손",BS별도,MATCH(Y$1,BS별도H,0),0)+VLOOKUP("외화환산이익",BS별도,MATCH(Y$1,BS별도H,0),0)-VLOOKUP("외화환산손실",BS별도,MATCH(Y$1,BS별도H,0),0))/100,"")</f>
        <v/>
      </c>
      <c r="Z13" s="37">
        <f>SUM(V13:Y13)</f>
        <v/>
      </c>
      <c r="AA13" s="18">
        <f>IFERROR((VLOOKUP("외환차익",BS별도,MATCH(AA$1,BS별도H,0),0)-VLOOKUP("외환차손",BS별도,MATCH(AA$1,BS별도H,0),0)+VLOOKUP("외화환산이익",BS별도,MATCH(AA$1,BS별도H,0),0)-VLOOKUP("외화환산손실",BS별도,MATCH(AA$1,BS별도H,0),0))/100,"")</f>
        <v/>
      </c>
      <c r="AB13" s="19">
        <f>IFERROR((VLOOKUP("외환차익",BS별도,MATCH(AB$1,BS별도H,0),0)-VLOOKUP("외환차손",BS별도,MATCH(AB$1,BS별도H,0),0)+VLOOKUP("외화환산이익",BS별도,MATCH(AB$1,BS별도H,0),0)-VLOOKUP("외화환산손실",BS별도,MATCH(AB$1,BS별도H,0),0))/100,"")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IFERROR(VLOOKUP($D14,BS별도,MATCH(E$1,BS별도H,0),0)/100,"")</f>
        <v/>
      </c>
      <c r="F14" s="37" t="n"/>
      <c r="G14" s="18">
        <f>IFERROR(VLOOKUP($D14,BS별도,MATCH(G$1,BS별도H,0),0)/100,"")</f>
        <v/>
      </c>
      <c r="H14" s="18">
        <f>IFERROR(VLOOKUP($D14,BS별도,MATCH(H$1,BS별도H,0),0)/100,"")</f>
        <v/>
      </c>
      <c r="I14" s="18">
        <f>IFERROR(VLOOKUP($D14,BS별도,MATCH(I$1,BS별도H,0),0)/100,"")</f>
        <v/>
      </c>
      <c r="J14" s="18">
        <f>IFERROR(VLOOKUP($D14,BS별도,MATCH(J$1,BS별도H,0),0)/100,"")</f>
        <v/>
      </c>
      <c r="K14" s="37">
        <f>SUM(G14:J14)</f>
        <v/>
      </c>
      <c r="L14" s="18">
        <f>IFERROR(VLOOKUP($D14,BS별도,MATCH(L$1,BS별도H,0),0)/100,"")</f>
        <v/>
      </c>
      <c r="M14" s="18">
        <f>IFERROR(VLOOKUP($D14,BS별도,MATCH(M$1,BS별도H,0),0)/100,"")</f>
        <v/>
      </c>
      <c r="N14" s="18">
        <f>IFERROR(VLOOKUP($D14,BS별도,MATCH(N$1,BS별도H,0),0)/100,"")</f>
        <v/>
      </c>
      <c r="O14" s="18">
        <f>IFERROR(VLOOKUP($D14,BS별도,MATCH(O$1,BS별도H,0),0)/100,"")</f>
        <v/>
      </c>
      <c r="P14" s="37">
        <f>SUM(L14:O14)</f>
        <v/>
      </c>
      <c r="Q14" s="18">
        <f>IFERROR(VLOOKUP($D14,BS별도,MATCH(Q$1,BS별도H,0),0)/100,"")</f>
        <v/>
      </c>
      <c r="R14" s="18">
        <f>IFERROR(VLOOKUP($D14,BS별도,MATCH(R$1,BS별도H,0),0)/100,"")</f>
        <v/>
      </c>
      <c r="S14" s="18">
        <f>IFERROR(VLOOKUP($D14,BS별도,MATCH(S$1,BS별도H,0),0)/100,"")</f>
        <v/>
      </c>
      <c r="T14" s="18">
        <f>IFERROR(VLOOKUP($D14,BS별도,MATCH(T$1,BS별도H,0),0)/100,"")</f>
        <v/>
      </c>
      <c r="U14" s="37">
        <f>SUM(Q14:T14)</f>
        <v/>
      </c>
      <c r="V14" s="18">
        <f>IFERROR(VLOOKUP($D14,BS별도,MATCH(V$1,BS별도H,0),0)/100,"")</f>
        <v/>
      </c>
      <c r="W14" s="18">
        <f>IFERROR(VLOOKUP($D14,BS별도,MATCH(W$1,BS별도H,0),0)/100,"")</f>
        <v/>
      </c>
      <c r="X14" s="18">
        <f>IFERROR(VLOOKUP($D14,BS별도,MATCH(X$1,BS별도H,0),0)/100,"")</f>
        <v/>
      </c>
      <c r="Y14" s="18">
        <f>IFERROR(VLOOKUP($D14,BS별도,MATCH(Y$1,BS별도H,0),0)/100,"")</f>
        <v/>
      </c>
      <c r="Z14" s="37">
        <f>SUM(V14:Y14)</f>
        <v/>
      </c>
      <c r="AA14" s="18">
        <f>IFERROR(VLOOKUP($D14,BS별도,MATCH(AA$1,BS별도H,0),0)/100,"")</f>
        <v/>
      </c>
      <c r="AB14" s="19">
        <f>IFERROR(VLOOKUP($D14,BS별도,MATCH(AB$1,BS별도H,0),0)/100,"")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IFERROR(VLOOKUP($D15,BS별도,MATCH(E$1,BS별도H,0),0)/100,"")</f>
        <v/>
      </c>
      <c r="F15" s="37" t="n"/>
      <c r="G15" s="18">
        <f>IFERROR(VLOOKUP($D15,BS별도,MATCH(G$1,BS별도H,0),0)/100,"")</f>
        <v/>
      </c>
      <c r="H15" s="18">
        <f>IFERROR(VLOOKUP($D15,BS별도,MATCH(H$1,BS별도H,0),0)/100,"")</f>
        <v/>
      </c>
      <c r="I15" s="18">
        <f>IFERROR(VLOOKUP($D15,BS별도,MATCH(I$1,BS별도H,0),0)/100,"")</f>
        <v/>
      </c>
      <c r="J15" s="18">
        <f>IFERROR(VLOOKUP($D15,BS별도,MATCH(J$1,BS별도H,0),0)/100,"")</f>
        <v/>
      </c>
      <c r="K15" s="37">
        <f>SUM(G15:J15)</f>
        <v/>
      </c>
      <c r="L15" s="18">
        <f>IFERROR(VLOOKUP($D15,BS별도,MATCH(L$1,BS별도H,0),0)/100,"")</f>
        <v/>
      </c>
      <c r="M15" s="18">
        <f>IFERROR(VLOOKUP($D15,BS별도,MATCH(M$1,BS별도H,0),0)/100,"")</f>
        <v/>
      </c>
      <c r="N15" s="18">
        <f>IFERROR(VLOOKUP($D15,BS별도,MATCH(N$1,BS별도H,0),0)/100,"")</f>
        <v/>
      </c>
      <c r="O15" s="18">
        <f>IFERROR(VLOOKUP($D15,BS별도,MATCH(O$1,BS별도H,0),0)/100,"")</f>
        <v/>
      </c>
      <c r="P15" s="37">
        <f>SUM(L15:O15)</f>
        <v/>
      </c>
      <c r="Q15" s="18">
        <f>IFERROR(VLOOKUP($D15,BS별도,MATCH(Q$1,BS별도H,0),0)/100,"")</f>
        <v/>
      </c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IFERROR(VLOOKUP($D15,BS별도,MATCH(V$1,BS별도H,0),0)/100,"")</f>
        <v/>
      </c>
      <c r="W15" s="18">
        <f>IFERROR(VLOOKUP($D15,BS별도,MATCH(W$1,BS별도H,0),0)/100,"")</f>
        <v/>
      </c>
      <c r="X15" s="18">
        <f>IFERROR(VLOOKUP($D15,BS별도,MATCH(X$1,BS별도H,0),0)/100,"")</f>
        <v/>
      </c>
      <c r="Y15" s="18">
        <f>IFERROR(VLOOKUP($D15,BS별도,MATCH(Y$1,BS별도H,0),0)/100,"")</f>
        <v/>
      </c>
      <c r="Z15" s="37">
        <f>SUM(V15:Y15)</f>
        <v/>
      </c>
      <c r="AA15" s="18">
        <f>IFERROR(VLOOKUP($D15,BS별도,MATCH(AA$1,BS별도H,0),0)/100,"")</f>
        <v/>
      </c>
      <c r="AB15" s="19">
        <f>IFERROR(VLOOKUP($D15,BS별도,MATCH(AB$1,BS별도H,0),0)/100,"")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IFERROR(VLOOKUP($D16,BS별도,MATCH(E$1,BS별도H,0),0)/100,"")</f>
        <v/>
      </c>
      <c r="F16" s="37" t="n"/>
      <c r="G16" s="18" t="n"/>
      <c r="H16" s="18">
        <f>IFERROR(VLOOKUP($D16,BS별도,MATCH(H$1,BS별도H,0),0)/100,"")</f>
        <v/>
      </c>
      <c r="I16" s="18">
        <f>IFERROR(VLOOKUP($D16,BS별도,MATCH(I$1,BS별도H,0),0)/100,"")</f>
        <v/>
      </c>
      <c r="J16" s="18">
        <f>IFERROR(VLOOKUP($D16,BS별도,MATCH(J$1,BS별도H,0),0)/100,"")</f>
        <v/>
      </c>
      <c r="K16" s="37">
        <f>SUM(G16:J16)</f>
        <v/>
      </c>
      <c r="L16" s="18">
        <f>IFERROR(VLOOKUP($D16,BS별도,MATCH(L$1,BS별도H,0),0)/100,"")</f>
        <v/>
      </c>
      <c r="M16" s="18">
        <f>IFERROR(VLOOKUP($D16,BS별도,MATCH(M$1,BS별도H,0),0)/100,"")</f>
        <v/>
      </c>
      <c r="N16" s="18">
        <f>IFERROR(VLOOKUP($D16,BS별도,MATCH(N$1,BS별도H,0),0)/100,"")</f>
        <v/>
      </c>
      <c r="O16" s="18">
        <f>IFERROR(VLOOKUP($D16,BS별도,MATCH(O$1,BS별도H,0),0)/100,"")</f>
        <v/>
      </c>
      <c r="P16" s="37">
        <f>SUM(L16:O16)</f>
        <v/>
      </c>
      <c r="Q16" s="18">
        <f>IFERROR(VLOOKUP($D16,BS별도,MATCH(Q$1,BS별도H,0),0)/100,"")</f>
        <v/>
      </c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8">
        <f>IFERROR(VLOOKUP($D16,BS별도,MATCH(W$1,BS별도H,0),0)/100,"")</f>
        <v/>
      </c>
      <c r="X16" s="18">
        <f>IFERROR(VLOOKUP($D16,BS별도,MATCH(X$1,BS별도H,0),0)/100,"")</f>
        <v/>
      </c>
      <c r="Y16" s="18">
        <f>IFERROR(VLOOKUP($D16,BS별도,MATCH(Y$1,BS별도H,0),0)/100,"")</f>
        <v/>
      </c>
      <c r="Z16" s="37">
        <f>SUM(V16:Y16)</f>
        <v/>
      </c>
      <c r="AA16" s="18">
        <f>IFERROR(VLOOKUP($D16,BS별도,MATCH(AA$1,BS별도H,0),0)/100,"")</f>
        <v/>
      </c>
      <c r="AB16" s="19">
        <f>IFERROR(VLOOKUP($D16,BS별도,MATCH(AB$1,BS별도H,0),0)/100,"")</f>
        <v/>
      </c>
      <c r="AC16" s="20">
        <f>IFERROR(MAX(AC15,0)*변수!AC26,"")</f>
        <v/>
      </c>
      <c r="AD16" s="20">
        <f>IFERROR(MAX(AD15,0)*변수!AD26,"")</f>
        <v/>
      </c>
      <c r="AE16" s="38">
        <f>SUM(AA16:AD16)</f>
        <v/>
      </c>
      <c r="AF16" s="20">
        <f>IFERROR(MAX(AF15,0)*변수!AF26,"")</f>
        <v/>
      </c>
      <c r="AG16" s="20">
        <f>IFERROR(MAX(AG15,0)*변수!AG26,"")</f>
        <v/>
      </c>
      <c r="AH16" s="20">
        <f>IFERROR(MAX(AH15,0)*변수!AH26,"")</f>
        <v/>
      </c>
      <c r="AI16" s="20">
        <f>IFERROR(MAX(AI15,0)*변수!AI26,"")</f>
        <v/>
      </c>
      <c r="AJ16" s="38">
        <f>SUM(AF16:AI16)</f>
        <v/>
      </c>
      <c r="AK16" s="20">
        <f>IFERROR(MAX(AK15,0)*변수!AK26,"")</f>
        <v/>
      </c>
      <c r="AL16" s="20">
        <f>IFERROR(MAX(AL15,0)*변수!AL26,"")</f>
        <v/>
      </c>
      <c r="AM16" s="20">
        <f>IFERROR(MAX(AM15,0)*변수!AM26,"")</f>
        <v/>
      </c>
      <c r="AN16" s="20">
        <f>IFERROR(MAX(AN15,0)*변수!AN26,"")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IFERROR(VLOOKUP($D17,BS별도,MATCH(E$1,BS별도H,0),0)/100,"")</f>
        <v/>
      </c>
      <c r="F17" s="37" t="n"/>
      <c r="G17" s="18">
        <f>IFERROR(VLOOKUP($D17,BS별도,MATCH(G$1,BS별도H,0),0)/100,"")</f>
        <v/>
      </c>
      <c r="H17" s="18">
        <f>IFERROR(VLOOKUP($D17,BS별도,MATCH(H$1,BS별도H,0),0)/100,"")</f>
        <v/>
      </c>
      <c r="I17" s="18">
        <f>IFERROR(VLOOKUP($D17,BS별도,MATCH(I$1,BS별도H,0),0)/100,"")</f>
        <v/>
      </c>
      <c r="J17" s="18">
        <f>IFERROR(VLOOKUP($D17,BS별도,MATCH(J$1,BS별도H,0),0)/100,"")</f>
        <v/>
      </c>
      <c r="K17" s="37">
        <f>SUM(G17:J17)</f>
        <v/>
      </c>
      <c r="L17" s="18">
        <f>IFERROR(VLOOKUP($D17,BS별도,MATCH(L$1,BS별도H,0),0)/100,"")</f>
        <v/>
      </c>
      <c r="M17" s="18">
        <f>IFERROR(VLOOKUP($D17,BS별도,MATCH(M$1,BS별도H,0),0)/100,"")</f>
        <v/>
      </c>
      <c r="N17" s="18">
        <f>IFERROR(VLOOKUP($D17,BS별도,MATCH(N$1,BS별도H,0),0)/100,"")</f>
        <v/>
      </c>
      <c r="O17" s="18">
        <f>IFERROR(VLOOKUP($D17,BS별도,MATCH(O$1,BS별도H,0),0)/100,"")</f>
        <v/>
      </c>
      <c r="P17" s="37">
        <f>SUM(L17:O17)</f>
        <v/>
      </c>
      <c r="Q17" s="18">
        <f>IFERROR(VLOOKUP($D17,BS별도,MATCH(Q$1,BS별도H,0),0)/100,"")</f>
        <v/>
      </c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8">
        <f>IFERROR(VLOOKUP($D17,BS별도,MATCH(W$1,BS별도H,0),0)/100,"")</f>
        <v/>
      </c>
      <c r="X17" s="18">
        <f>IFERROR(VLOOKUP($D17,BS별도,MATCH(X$1,BS별도H,0),0)/100,"")</f>
        <v/>
      </c>
      <c r="Y17" s="18">
        <f>IFERROR(VLOOKUP($D17,BS별도,MATCH(Y$1,BS별도H,0),0)/100,"")</f>
        <v/>
      </c>
      <c r="Z17" s="37">
        <f>SUM(V17:Y17)</f>
        <v/>
      </c>
      <c r="AA17" s="18">
        <f>IFERROR(VLOOKUP($D17,BS별도,MATCH(AA$1,BS별도H,0),0)/100,"")</f>
        <v/>
      </c>
      <c r="AB17" s="19">
        <f>IFERROR(VLOOKUP($D17,BS별도,MATCH(AB$1,BS별도H,0),0)/100,"")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IFERROR(VLOOKUP($D18,BS별도,MATCH(E$1,BS별도H,0),0)/100,"")</f>
        <v/>
      </c>
      <c r="F18" s="37" t="n"/>
      <c r="G18" s="18">
        <f>IFERROR(VLOOKUP($D18,BS별도,MATCH(G$1,BS별도H,0),0)/100,"")</f>
        <v/>
      </c>
      <c r="H18" s="18">
        <f>IFERROR(VLOOKUP($D18,BS별도,MATCH(H$1,BS별도H,0),0)/100,"")</f>
        <v/>
      </c>
      <c r="I18" s="18">
        <f>IFERROR(VLOOKUP($D18,BS별도,MATCH(I$1,BS별도H,0),0)/100,"")</f>
        <v/>
      </c>
      <c r="J18" s="18">
        <f>IFERROR(VLOOKUP($D18,BS별도,MATCH(J$1,BS별도H,0),0)/100,"")</f>
        <v/>
      </c>
      <c r="K18" s="37">
        <f>SUM(G18:J18)</f>
        <v/>
      </c>
      <c r="L18" s="18">
        <f>IFERROR(VLOOKUP($D18,BS별도,MATCH(L$1,BS별도H,0),0)/100,"")</f>
        <v/>
      </c>
      <c r="M18" s="18">
        <f>IFERROR(VLOOKUP($D18,BS별도,MATCH(M$1,BS별도H,0),0)/100,"")</f>
        <v/>
      </c>
      <c r="N18" s="18">
        <f>IFERROR(VLOOKUP($D18,BS별도,MATCH(N$1,BS별도H,0),0)/100,"")</f>
        <v/>
      </c>
      <c r="O18" s="18">
        <f>IFERROR(VLOOKUP($D18,BS별도,MATCH(O$1,BS별도H,0),0)/100,"")</f>
        <v/>
      </c>
      <c r="P18" s="37">
        <f>SUM(L18:O18)</f>
        <v/>
      </c>
      <c r="Q18" s="18">
        <f>IFERROR(VLOOKUP($D18,BS별도,MATCH(Q$1,BS별도H,0),0)/100,"")</f>
        <v/>
      </c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8">
        <f>IFERROR(VLOOKUP($D18,BS별도,MATCH(W$1,BS별도H,0),0)/100,"")</f>
        <v/>
      </c>
      <c r="X18" s="18">
        <f>IFERROR(VLOOKUP($D18,BS별도,MATCH(X$1,BS별도H,0),0)/100,"")</f>
        <v/>
      </c>
      <c r="Y18" s="18">
        <f>IFERROR(VLOOKUP($D18,BS별도,MATCH(Y$1,BS별도H,0),0)/100,"")</f>
        <v/>
      </c>
      <c r="Z18" s="37">
        <f>SUM(V18:Y18)</f>
        <v/>
      </c>
      <c r="AA18" s="18">
        <f>IFERROR(VLOOKUP($D18,BS별도,MATCH(AA$1,BS별도H,0),0)/100,"")</f>
        <v/>
      </c>
      <c r="AB18" s="19">
        <f>IFERROR(VLOOKUP($D18,BS별도,MATCH(AB$1,BS별도H,0),0)/100,"")</f>
        <v/>
      </c>
      <c r="AC18" s="20">
        <f>IFERROR(AC17*변수!AC27,"")</f>
        <v/>
      </c>
      <c r="AD18" s="20">
        <f>IFERROR(AD17*변수!AD27,"")</f>
        <v/>
      </c>
      <c r="AE18" s="38">
        <f>SUM(AA18:AD18)</f>
        <v/>
      </c>
      <c r="AF18" s="20">
        <f>IFERROR(AF17*변수!AF27,"")</f>
        <v/>
      </c>
      <c r="AG18" s="20">
        <f>IFERROR(AG17*변수!AG27,"")</f>
        <v/>
      </c>
      <c r="AH18" s="20">
        <f>IFERROR(AH17*변수!AH27,"")</f>
        <v/>
      </c>
      <c r="AI18" s="20">
        <f>IFERROR(AI17*변수!AI27,"")</f>
        <v/>
      </c>
      <c r="AJ18" s="38">
        <f>SUM(AF18:AI18)</f>
        <v/>
      </c>
      <c r="AK18" s="20">
        <f>IFERROR(AK17*변수!AK27,"")</f>
        <v/>
      </c>
      <c r="AL18" s="20">
        <f>IFERROR(AL17*변수!AL27,"")</f>
        <v/>
      </c>
      <c r="AM18" s="20">
        <f>IFERROR(AM17*변수!AM27,"")</f>
        <v/>
      </c>
      <c r="AN18" s="20">
        <f>IFERROR(AN17*변수!AN27,"")</f>
        <v/>
      </c>
      <c r="AO18" s="38">
        <f>SUM(AK18:AN18)</f>
        <v/>
      </c>
    </row>
    <row r="19">
      <c r="A19" s="12" t="inlineStr">
        <is>
          <t>감가상각비</t>
        </is>
      </c>
      <c r="B19" t="inlineStr">
        <is>
          <t>손익</t>
        </is>
      </c>
      <c r="C19" t="inlineStr">
        <is>
          <t>억원</t>
        </is>
      </c>
      <c r="D19" t="inlineStr">
        <is>
          <t>감가상각비</t>
        </is>
      </c>
      <c r="E19" s="18">
        <f>IFERROR(VLOOKUP($D19,BS별도,MATCH(E$1,BS별도H,0),0)/100,"")</f>
        <v/>
      </c>
      <c r="F19" s="37" t="n"/>
      <c r="G19" s="18">
        <f>IFERROR(VLOOKUP($D19,BS별도,MATCH(G$1,BS별도H,0),0)/100,"")</f>
        <v/>
      </c>
      <c r="H19" s="18">
        <f>IFERROR(VLOOKUP($D19,BS별도,MATCH(H$1,BS별도H,0),0)/100,"")</f>
        <v/>
      </c>
      <c r="I19" s="18">
        <f>IFERROR(VLOOKUP($D19,BS별도,MATCH(I$1,BS별도H,0),0)/100,"")</f>
        <v/>
      </c>
      <c r="J19" s="18">
        <f>IFERROR(VLOOKUP($D19,BS별도,MATCH(J$1,BS별도H,0),0)/100,"")</f>
        <v/>
      </c>
      <c r="K19" s="37">
        <f>SUM(G19:J19)</f>
        <v/>
      </c>
      <c r="L19" s="18">
        <f>IFERROR(VLOOKUP($D19,BS별도,MATCH(L$1,BS별도H,0),0)/100,"")</f>
        <v/>
      </c>
      <c r="M19" s="18">
        <f>IFERROR(VLOOKUP($D19,BS별도,MATCH(M$1,BS별도H,0),0)/100,"")</f>
        <v/>
      </c>
      <c r="N19" s="18">
        <f>IFERROR(VLOOKUP($D19,BS별도,MATCH(N$1,BS별도H,0),0)/100,"")</f>
        <v/>
      </c>
      <c r="O19" s="18">
        <f>IFERROR(VLOOKUP($D19,BS별도,MATCH(O$1,BS별도H,0),0)/100,"")</f>
        <v/>
      </c>
      <c r="P19" s="37">
        <f>SUM(L19:O19)</f>
        <v/>
      </c>
      <c r="Q19" s="18" t="n"/>
      <c r="R19" s="18" t="n"/>
      <c r="S19" s="18" t="n"/>
      <c r="T19" s="18" t="n"/>
      <c r="U19" s="37">
        <f>SUM(Q19:T19)</f>
        <v/>
      </c>
      <c r="V19" s="18">
        <f>IFERROR(VLOOKUP($D19,BS별도,MATCH(V$1,BS별도H,0),0)/100,"")</f>
        <v/>
      </c>
      <c r="W19" s="18">
        <f>IFERROR(VLOOKUP($D19,BS별도,MATCH(W$1,BS별도H,0),0)/100,"")</f>
        <v/>
      </c>
      <c r="X19" s="18">
        <f>IFERROR(VLOOKUP($D19,BS별도,MATCH(X$1,BS별도H,0),0)/100,"")</f>
        <v/>
      </c>
      <c r="Y19" s="18">
        <f>IFERROR(VLOOKUP($D19,BS별도,MATCH(Y$1,BS별도H,0),0)/100,"")</f>
        <v/>
      </c>
      <c r="Z19" s="37">
        <f>SUM(V19:Y19)</f>
        <v/>
      </c>
      <c r="AA19" s="18">
        <f>IFERROR(VLOOKUP($D19,BS별도,MATCH(AA$1,BS별도H,0),0)/100,"")</f>
        <v/>
      </c>
      <c r="AB19" s="19">
        <f>IFERROR(VLOOKUP($D19,BS별도,MATCH(AB$1,BS별도H,0),0)/100,"")</f>
        <v/>
      </c>
      <c r="AC19" s="20">
        <f>변수!AC28</f>
        <v/>
      </c>
      <c r="AD19" s="20">
        <f>변수!AD28</f>
        <v/>
      </c>
      <c r="AE19" s="38">
        <f>SUM(AA19:AD19)</f>
        <v/>
      </c>
      <c r="AF19" s="20">
        <f>변수!AF28</f>
        <v/>
      </c>
      <c r="AG19" s="20">
        <f>변수!AG28</f>
        <v/>
      </c>
      <c r="AH19" s="20">
        <f>변수!AH28</f>
        <v/>
      </c>
      <c r="AI19" s="20">
        <f>변수!AI28</f>
        <v/>
      </c>
      <c r="AJ19" s="38">
        <f>SUM(AF19:AI19)</f>
        <v/>
      </c>
      <c r="AK19" s="20">
        <f>변수!AK28</f>
        <v/>
      </c>
      <c r="AL19" s="20">
        <f>변수!AL28</f>
        <v/>
      </c>
      <c r="AM19" s="20">
        <f>변수!AM28</f>
        <v/>
      </c>
      <c r="AN19" s="20">
        <f>변수!AN28</f>
        <v/>
      </c>
      <c r="AO19" s="38">
        <f>SUM(AK19:AN19)</f>
        <v/>
      </c>
    </row>
    <row r="20">
      <c r="A20" s="12" t="inlineStr">
        <is>
          <t>EBITDA</t>
        </is>
      </c>
      <c r="B20" t="inlineStr">
        <is>
          <t>손익</t>
        </is>
      </c>
      <c r="C20" t="inlineStr">
        <is>
          <t>억원</t>
        </is>
      </c>
      <c r="D20" t="inlineStr">
        <is>
          <t>EBITDA</t>
        </is>
      </c>
      <c r="E20" s="18" t="n">
        <v>11.46</v>
      </c>
      <c r="F20" s="37" t="n"/>
      <c r="G20" s="18" t="n">
        <v>-1.98</v>
      </c>
      <c r="H20" s="18" t="n">
        <v>7.02</v>
      </c>
      <c r="I20" s="18" t="n">
        <v>2.96</v>
      </c>
      <c r="J20" s="18" t="n">
        <v>11.97</v>
      </c>
      <c r="K20" s="37">
        <f>SUM(G20:J20)</f>
        <v/>
      </c>
      <c r="L20" s="18" t="n">
        <v>8.32</v>
      </c>
      <c r="M20" s="18" t="n">
        <v>5.86</v>
      </c>
      <c r="N20" s="18" t="n">
        <v>4.53</v>
      </c>
      <c r="O20" s="18" t="n">
        <v>24.94</v>
      </c>
      <c r="P20" s="37">
        <f>SUM(L20:O20)</f>
        <v/>
      </c>
      <c r="Q20" s="18" t="n"/>
      <c r="R20" s="18" t="n"/>
      <c r="S20" s="18" t="n"/>
      <c r="T20" s="18" t="n"/>
      <c r="U20" s="37">
        <f>SUM(Q20:T20)</f>
        <v/>
      </c>
      <c r="V20" s="18" t="n">
        <v>6.65</v>
      </c>
      <c r="W20" s="18" t="n">
        <v>9.34</v>
      </c>
      <c r="X20" s="18" t="n">
        <v>32.69</v>
      </c>
      <c r="Y20" s="18" t="n">
        <v>53.86</v>
      </c>
      <c r="Z20" s="37">
        <f>SUM(V20:Y20)</f>
        <v/>
      </c>
      <c r="AA20" s="18" t="n">
        <v>17.95</v>
      </c>
      <c r="AB20" s="19" t="n">
        <v>41.43</v>
      </c>
      <c r="AC20" s="20">
        <f>IFERROR(AC9+AC19,"")</f>
        <v/>
      </c>
      <c r="AD20" s="20">
        <f>IFERROR(AD9+AD19,"")</f>
        <v/>
      </c>
      <c r="AE20" s="38">
        <f>SUM(AA20:AD20)</f>
        <v/>
      </c>
      <c r="AF20" s="20">
        <f>IFERROR(AF9+AF19,"")</f>
        <v/>
      </c>
      <c r="AG20" s="20">
        <f>IFERROR(AG9+AG19,"")</f>
        <v/>
      </c>
      <c r="AH20" s="20">
        <f>IFERROR(AH9+AH19,"")</f>
        <v/>
      </c>
      <c r="AI20" s="20">
        <f>IFERROR(AI9+AI19,"")</f>
        <v/>
      </c>
      <c r="AJ20" s="38">
        <f>SUM(AF20:AI20)</f>
        <v/>
      </c>
      <c r="AK20" s="20">
        <f>IFERROR(AK9+AK19,"")</f>
        <v/>
      </c>
      <c r="AL20" s="20">
        <f>IFERROR(AL9+AL19,"")</f>
        <v/>
      </c>
      <c r="AM20" s="20">
        <f>IFERROR(AM9+AM19,"")</f>
        <v/>
      </c>
      <c r="AN20" s="20">
        <f>IFERROR(AN9+AN19,"")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IFERROR(VLOOKUP($D21,BS별도,MATCH(E$1,BS별도H,0),0)/100,"")</f>
        <v/>
      </c>
      <c r="F21" s="37" t="n">
        <v>347.88</v>
      </c>
      <c r="G21" s="18">
        <f>IFERROR(VLOOKUP($D21,BS별도,MATCH(G$1,BS별도H,0),0)/100,"")</f>
        <v/>
      </c>
      <c r="H21" s="18">
        <f>IFERROR(VLOOKUP($D21,BS별도,MATCH(H$1,BS별도H,0),0)/100,"")</f>
        <v/>
      </c>
      <c r="I21" s="18">
        <f>IFERROR(VLOOKUP($D21,BS별도,MATCH(I$1,BS별도H,0),0)/100,"")</f>
        <v/>
      </c>
      <c r="J21" s="18">
        <f>IFERROR(VLOOKUP($D21,BS별도,MATCH(J$1,BS별도H,0),0)/100,"")</f>
        <v/>
      </c>
      <c r="K21" s="37">
        <f>J21</f>
        <v/>
      </c>
      <c r="L21" s="18">
        <f>IFERROR(VLOOKUP($D21,BS별도,MATCH(L$1,BS별도H,0),0)/100,"")</f>
        <v/>
      </c>
      <c r="M21" s="18">
        <f>IFERROR(VLOOKUP($D21,BS별도,MATCH(M$1,BS별도H,0),0)/100,"")</f>
        <v/>
      </c>
      <c r="N21" s="18">
        <f>IFERROR(VLOOKUP($D21,BS별도,MATCH(N$1,BS별도H,0),0)/100,"")</f>
        <v/>
      </c>
      <c r="O21" s="18">
        <f>IFERROR(VLOOKUP($D21,BS별도,MATCH(O$1,BS별도H,0),0)/100,"")</f>
        <v/>
      </c>
      <c r="P21" s="37">
        <f>O21</f>
        <v/>
      </c>
      <c r="Q21" s="18">
        <f>IFERROR(VLOOKUP($D21,BS별도,MATCH(Q$1,BS별도H,0),0)/100,"")</f>
        <v/>
      </c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8">
        <f>IFERROR(VLOOKUP($D21,BS별도,MATCH(W$1,BS별도H,0),0)/100,"")</f>
        <v/>
      </c>
      <c r="X21" s="18">
        <f>IFERROR(VLOOKUP($D21,BS별도,MATCH(X$1,BS별도H,0),0)/100,"")</f>
        <v/>
      </c>
      <c r="Y21" s="18">
        <f>IFERROR(VLOOKUP($D21,BS별도,MATCH(Y$1,BS별도H,0),0)/100,"")</f>
        <v/>
      </c>
      <c r="Z21" s="37">
        <f>Y21</f>
        <v/>
      </c>
      <c r="AA21" s="18">
        <f>IFERROR(VLOOKUP($D21,BS별도,MATCH(AA$1,BS별도H,0),0)/100,"")</f>
        <v/>
      </c>
      <c r="AB21" s="19">
        <f>IFERROR(VLOOKUP($D21,BS별도,MATCH(AB$1,BS별도H,0),0)/100,"")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IFERROR(VLOOKUP($D22,BS별도,MATCH(E$1,BS별도H,0),0)/100,"")</f>
        <v/>
      </c>
      <c r="F22" s="37" t="n">
        <v>60.88</v>
      </c>
      <c r="G22" s="18">
        <f>IFERROR(VLOOKUP($D22,BS별도,MATCH(G$1,BS별도H,0),0)/100,"")</f>
        <v/>
      </c>
      <c r="H22" s="18">
        <f>IFERROR(VLOOKUP($D22,BS별도,MATCH(H$1,BS별도H,0),0)/100,"")</f>
        <v/>
      </c>
      <c r="I22" s="18">
        <f>IFERROR(VLOOKUP($D22,BS별도,MATCH(I$1,BS별도H,0),0)/100,"")</f>
        <v/>
      </c>
      <c r="J22" s="18">
        <f>IFERROR(VLOOKUP($D22,BS별도,MATCH(J$1,BS별도H,0),0)/100,"")</f>
        <v/>
      </c>
      <c r="K22" s="37">
        <f>J22</f>
        <v/>
      </c>
      <c r="L22" s="18">
        <f>IFERROR(VLOOKUP($D22,BS별도,MATCH(L$1,BS별도H,0),0)/100,"")</f>
        <v/>
      </c>
      <c r="M22" s="18">
        <f>IFERROR(VLOOKUP($D22,BS별도,MATCH(M$1,BS별도H,0),0)/100,"")</f>
        <v/>
      </c>
      <c r="N22" s="18">
        <f>IFERROR(VLOOKUP($D22,BS별도,MATCH(N$1,BS별도H,0),0)/100,"")</f>
        <v/>
      </c>
      <c r="O22" s="18">
        <f>IFERROR(VLOOKUP($D22,BS별도,MATCH(O$1,BS별도H,0),0)/100,"")</f>
        <v/>
      </c>
      <c r="P22" s="37">
        <f>O22</f>
        <v/>
      </c>
      <c r="Q22" s="18">
        <f>IFERROR(VLOOKUP($D22,BS별도,MATCH(Q$1,BS별도H,0),0)/100,"")</f>
        <v/>
      </c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8">
        <f>IFERROR(VLOOKUP($D22,BS별도,MATCH(W$1,BS별도H,0),0)/100,"")</f>
        <v/>
      </c>
      <c r="X22" s="18">
        <f>IFERROR(VLOOKUP($D22,BS별도,MATCH(X$1,BS별도H,0),0)/100,"")</f>
        <v/>
      </c>
      <c r="Y22" s="18">
        <f>IFERROR(VLOOKUP($D22,BS별도,MATCH(Y$1,BS별도H,0),0)/100,"")</f>
        <v/>
      </c>
      <c r="Z22" s="37">
        <f>Y22</f>
        <v/>
      </c>
      <c r="AA22" s="18">
        <f>IFERROR(VLOOKUP($D22,BS별도,MATCH(AA$1,BS별도H,0),0)/100,"")</f>
        <v/>
      </c>
      <c r="AB22" s="19">
        <f>IFERROR(VLOOKUP($D22,BS별도,MATCH(AB$1,BS별도H,0),0)/100,"")</f>
        <v/>
      </c>
      <c r="AC22" s="20">
        <f>IFERROR(AB22*(1+변수!AC29),"")</f>
        <v/>
      </c>
      <c r="AD22" s="20">
        <f>IFERROR(AC22*(1+변수!AD29),"")</f>
        <v/>
      </c>
      <c r="AE22" s="38">
        <f>AD22</f>
        <v/>
      </c>
      <c r="AF22" s="20">
        <f>IFERROR(AD22*(1+변수!AF29),"")</f>
        <v/>
      </c>
      <c r="AG22" s="20">
        <f>IFERROR(AF22*(1+변수!AG29),"")</f>
        <v/>
      </c>
      <c r="AH22" s="20">
        <f>IFERROR(AG22*(1+변수!AH29),"")</f>
        <v/>
      </c>
      <c r="AI22" s="20">
        <f>IFERROR(AH22*(1+변수!AI29),"")</f>
        <v/>
      </c>
      <c r="AJ22" s="38">
        <f>AI22</f>
        <v/>
      </c>
      <c r="AK22" s="20">
        <f>IFERROR(AI22*(1+변수!AK29),"")</f>
        <v/>
      </c>
      <c r="AL22" s="20">
        <f>IFERROR(AK22*(1+변수!AL29),"")</f>
        <v/>
      </c>
      <c r="AM22" s="20">
        <f>IFERROR(AL22*(1+변수!AM29),"")</f>
        <v/>
      </c>
      <c r="AN22" s="20">
        <f>IFERROR(AM22*(1+변수!AN29),"")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IFERROR(VLOOKUP($D23,BS별도,MATCH(E$1,BS별도H,0),0)/100,"")</f>
        <v/>
      </c>
      <c r="F23" s="37" t="n">
        <v>286.99</v>
      </c>
      <c r="G23" s="18">
        <f>IFERROR(VLOOKUP($D23,BS별도,MATCH(G$1,BS별도H,0),0)/100,"")</f>
        <v/>
      </c>
      <c r="H23" s="18">
        <f>IFERROR(VLOOKUP($D23,BS별도,MATCH(H$1,BS별도H,0),0)/100,"")</f>
        <v/>
      </c>
      <c r="I23" s="18">
        <f>IFERROR(VLOOKUP($D23,BS별도,MATCH(I$1,BS별도H,0),0)/100,"")</f>
        <v/>
      </c>
      <c r="J23" s="18">
        <f>IFERROR(VLOOKUP($D23,BS별도,MATCH(J$1,BS별도H,0),0)/100,"")</f>
        <v/>
      </c>
      <c r="K23" s="37">
        <f>J23</f>
        <v/>
      </c>
      <c r="L23" s="18">
        <f>IFERROR(VLOOKUP($D23,BS별도,MATCH(L$1,BS별도H,0),0)/100,"")</f>
        <v/>
      </c>
      <c r="M23" s="18">
        <f>IFERROR(VLOOKUP($D23,BS별도,MATCH(M$1,BS별도H,0),0)/100,"")</f>
        <v/>
      </c>
      <c r="N23" s="18">
        <f>IFERROR(VLOOKUP($D23,BS별도,MATCH(N$1,BS별도H,0),0)/100,"")</f>
        <v/>
      </c>
      <c r="O23" s="18">
        <f>IFERROR(VLOOKUP($D23,BS별도,MATCH(O$1,BS별도H,0),0)/100,"")</f>
        <v/>
      </c>
      <c r="P23" s="37">
        <f>O23</f>
        <v/>
      </c>
      <c r="Q23" s="18">
        <f>IFERROR(VLOOKUP($D23,BS별도,MATCH(Q$1,BS별도H,0),0)/100,"")</f>
        <v/>
      </c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IFERROR(VLOOKUP($D23,BS별도,MATCH(V$1,BS별도H,0),0)/100,"")</f>
        <v/>
      </c>
      <c r="W23" s="18">
        <f>IFERROR(VLOOKUP($D23,BS별도,MATCH(W$1,BS별도H,0),0)/100,"")</f>
        <v/>
      </c>
      <c r="X23" s="18">
        <f>IFERROR(VLOOKUP($D23,BS별도,MATCH(X$1,BS별도H,0),0)/100,"")</f>
        <v/>
      </c>
      <c r="Y23" s="18">
        <f>IFERROR(VLOOKUP($D23,BS별도,MATCH(Y$1,BS별도H,0),0)/100,"")</f>
        <v/>
      </c>
      <c r="Z23" s="37">
        <f>Y23</f>
        <v/>
      </c>
      <c r="AA23" s="18">
        <f>IFERROR(VLOOKUP($D23,BS별도,MATCH(AA$1,BS별도H,0),0)/100,"")</f>
        <v/>
      </c>
      <c r="AB23" s="19">
        <f>IFERROR(VLOOKUP($D23,BS별도,MATCH(AB$1,BS별도H,0),0)/100,"")</f>
        <v/>
      </c>
      <c r="AC23" s="20">
        <f>IFERROR(AB23+AC17-변수!AC30,"")</f>
        <v/>
      </c>
      <c r="AD23" s="20">
        <f>IFERROR(AC23+AD17-변수!AD30,"")</f>
        <v/>
      </c>
      <c r="AE23" s="38">
        <f>AD23</f>
        <v/>
      </c>
      <c r="AF23" s="20">
        <f>IFERROR(AD23+AF17-변수!AF30,"")</f>
        <v/>
      </c>
      <c r="AG23" s="20">
        <f>IFERROR(AF23+AG17-변수!AG30,"")</f>
        <v/>
      </c>
      <c r="AH23" s="20">
        <f>IFERROR(AG23+AH17-변수!AH30,"")</f>
        <v/>
      </c>
      <c r="AI23" s="20">
        <f>IFERROR(AH23+AI17-변수!AI30,"")</f>
        <v/>
      </c>
      <c r="AJ23" s="38">
        <f>AI23</f>
        <v/>
      </c>
      <c r="AK23" s="20">
        <f>IFERROR(AI23+AK17-변수!AK30,"")</f>
        <v/>
      </c>
      <c r="AL23" s="20">
        <f>IFERROR(AK23+AL17-변수!AL30,"")</f>
        <v/>
      </c>
      <c r="AM23" s="20">
        <f>IFERROR(AL23+AM17-변수!AM30,"")</f>
        <v/>
      </c>
      <c r="AN23" s="20">
        <f>IFERROR(AM23+AN17-변수!AN30,"")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IFERROR(VLOOKUP($D24,BS별도,MATCH(E$1,BS별도H,0),0)/100,"")</f>
        <v/>
      </c>
      <c r="F24" s="37" t="n">
        <v>286.99</v>
      </c>
      <c r="G24" s="18">
        <f>IFERROR(VLOOKUP($D24,BS별도,MATCH(G$1,BS별도H,0),0)/100,"")</f>
        <v/>
      </c>
      <c r="H24" s="18">
        <f>IFERROR(VLOOKUP($D24,BS별도,MATCH(H$1,BS별도H,0),0)/100,"")</f>
        <v/>
      </c>
      <c r="I24" s="18">
        <f>IFERROR(VLOOKUP($D24,BS별도,MATCH(I$1,BS별도H,0),0)/100,"")</f>
        <v/>
      </c>
      <c r="J24" s="18">
        <f>IFERROR(VLOOKUP($D24,BS별도,MATCH(J$1,BS별도H,0),0)/100,"")</f>
        <v/>
      </c>
      <c r="K24" s="37">
        <f>J24</f>
        <v/>
      </c>
      <c r="L24" s="18">
        <f>IFERROR(VLOOKUP($D24,BS별도,MATCH(L$1,BS별도H,0),0)/100,"")</f>
        <v/>
      </c>
      <c r="M24" s="18">
        <f>IFERROR(VLOOKUP($D24,BS별도,MATCH(M$1,BS별도H,0),0)/100,"")</f>
        <v/>
      </c>
      <c r="N24" s="18">
        <f>IFERROR(VLOOKUP($D24,BS별도,MATCH(N$1,BS별도H,0),0)/100,"")</f>
        <v/>
      </c>
      <c r="O24" s="18">
        <f>IFERROR(VLOOKUP($D24,BS별도,MATCH(O$1,BS별도H,0),0)/100,"")</f>
        <v/>
      </c>
      <c r="P24" s="37">
        <f>O24</f>
        <v/>
      </c>
      <c r="Q24" s="18">
        <f>IFERROR(VLOOKUP($D24,BS별도,MATCH(Q$1,BS별도H,0),0)/100,"")</f>
        <v/>
      </c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7">
        <f>T24</f>
        <v/>
      </c>
      <c r="V24" s="18">
        <f>IFERROR(VLOOKUP($D24,BS별도,MATCH(V$1,BS별도H,0),0)/100,"")</f>
        <v/>
      </c>
      <c r="W24" s="18">
        <f>IFERROR(VLOOKUP($D24,BS별도,MATCH(W$1,BS별도H,0),0)/100,"")</f>
        <v/>
      </c>
      <c r="X24" s="18">
        <f>IFERROR(VLOOKUP($D24,BS별도,MATCH(X$1,BS별도H,0),0)/100,"")</f>
        <v/>
      </c>
      <c r="Y24" s="18">
        <f>IFERROR(VLOOKUP($D24,BS별도,MATCH(Y$1,BS별도H,0),0)/100,"")</f>
        <v/>
      </c>
      <c r="Z24" s="37">
        <f>Y24</f>
        <v/>
      </c>
      <c r="AA24" s="18">
        <f>IFERROR(VLOOKUP($D24,BS별도,MATCH(AA$1,BS별도H,0),0)/100,"")</f>
        <v/>
      </c>
      <c r="AB24" s="19">
        <f>IFERROR(VLOOKUP($D24,BS별도,MATCH(AB$1,BS별도H,0),0)/100,"")</f>
        <v/>
      </c>
      <c r="AC24" s="20">
        <f>IFERROR(AB24+AC18-변수!AC31,"")</f>
        <v/>
      </c>
      <c r="AD24" s="20">
        <f>IFERROR(AC24+AD18-변수!AD31,"")</f>
        <v/>
      </c>
      <c r="AE24" s="38">
        <f>AD24</f>
        <v/>
      </c>
      <c r="AF24" s="20">
        <f>IFERROR(AD24+AF18-변수!AF31,"")</f>
        <v/>
      </c>
      <c r="AG24" s="20">
        <f>IFERROR(AF24+AG18-변수!AG31,"")</f>
        <v/>
      </c>
      <c r="AH24" s="20">
        <f>IFERROR(AG24+AH18-변수!AH31,"")</f>
        <v/>
      </c>
      <c r="AI24" s="20">
        <f>IFERROR(AH24+AI18-변수!AI31,"")</f>
        <v/>
      </c>
      <c r="AJ24" s="38">
        <f>AI24</f>
        <v/>
      </c>
      <c r="AK24" s="20">
        <f>IFERROR(AI24+AK18-변수!AK31,"")</f>
        <v/>
      </c>
      <c r="AL24" s="20">
        <f>IFERROR(AK24+AL18-변수!AL31,"")</f>
        <v/>
      </c>
      <c r="AM24" s="20">
        <f>IFERROR(AL24+AM18-변수!AM31,"")</f>
        <v/>
      </c>
      <c r="AN24" s="20">
        <f>IFERROR(AM24+AN18-변수!AN31,"")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 t="n"/>
      <c r="F25" s="37">
        <f>E25</f>
        <v/>
      </c>
      <c r="G25" s="18">
        <f>IFERROR(VLOOKUP($D25,BS별도,MATCH(G$1,BS별도H,0),0)/100,"")</f>
        <v/>
      </c>
      <c r="H25" s="18">
        <f>IFERROR(VLOOKUP($D25,BS별도,MATCH(H$1,BS별도H,0),0)/100,"")</f>
        <v/>
      </c>
      <c r="I25" s="18">
        <f>IFERROR(VLOOKUP($D25,BS별도,MATCH(I$1,BS별도H,0),0)/100,"")</f>
        <v/>
      </c>
      <c r="J25" s="18">
        <f>IFERROR(VLOOKUP($D25,BS별도,MATCH(J$1,BS별도H,0),0)/100,"")</f>
        <v/>
      </c>
      <c r="K25" s="37">
        <f>J25</f>
        <v/>
      </c>
      <c r="L25" s="18">
        <f>IFERROR(VLOOKUP($D25,BS별도,MATCH(L$1,BS별도H,0),0)/100,"")</f>
        <v/>
      </c>
      <c r="M25" s="18">
        <f>IFERROR(VLOOKUP($D25,BS별도,MATCH(M$1,BS별도H,0),0)/100,"")</f>
        <v/>
      </c>
      <c r="N25" s="18">
        <f>IFERROR(VLOOKUP($D25,BS별도,MATCH(N$1,BS별도H,0),0)/100,"")</f>
        <v/>
      </c>
      <c r="O25" s="18">
        <f>IFERROR(VLOOKUP($D25,BS별도,MATCH(O$1,BS별도H,0),0)/100,"")</f>
        <v/>
      </c>
      <c r="P25" s="37">
        <f>O25</f>
        <v/>
      </c>
      <c r="Q25" s="18">
        <f>IFERROR(VLOOKUP($D25,BS별도,MATCH(Q$1,BS별도H,0),0)/100,"")</f>
        <v/>
      </c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8">
        <f>IFERROR(VLOOKUP($D25,BS별도,MATCH(W$1,BS별도H,0),0)/100,"")</f>
        <v/>
      </c>
      <c r="X25" s="18">
        <f>IFERROR(VLOOKUP($D25,BS별도,MATCH(X$1,BS별도H,0),0)/100,"")</f>
        <v/>
      </c>
      <c r="Y25" s="18">
        <f>IFERROR(VLOOKUP($D25,BS별도,MATCH(Y$1,BS별도H,0),0)/100,"")</f>
        <v/>
      </c>
      <c r="Z25" s="37">
        <f>Y25</f>
        <v/>
      </c>
      <c r="AA25" s="18">
        <f>IFERROR(VLOOKUP($D25,BS별도,MATCH(AA$1,BS별도H,0),0)/100,"")</f>
        <v/>
      </c>
      <c r="AB25" s="19">
        <f>IFERROR(VLOOKUP($D25,BS별도,MATCH(AB$1,BS별도H,0),0)/100,"")</f>
        <v/>
      </c>
      <c r="AC25" s="20">
        <f>IFERROR(AB25*(1+변수!AC32),"")</f>
        <v/>
      </c>
      <c r="AD25" s="20">
        <f>IFERROR(AC25*(1+변수!AD32),"")</f>
        <v/>
      </c>
      <c r="AE25" s="38">
        <f>AD25</f>
        <v/>
      </c>
      <c r="AF25" s="20">
        <f>IFERROR(AD25*(1+변수!AF32),"")</f>
        <v/>
      </c>
      <c r="AG25" s="20">
        <f>IFERROR(AF25*(1+변수!AG32),"")</f>
        <v/>
      </c>
      <c r="AH25" s="20">
        <f>IFERROR(AG25*(1+변수!AH32),"")</f>
        <v/>
      </c>
      <c r="AI25" s="20">
        <f>IFERROR(AH25*(1+변수!AI32),"")</f>
        <v/>
      </c>
      <c r="AJ25" s="38">
        <f>AI25</f>
        <v/>
      </c>
      <c r="AK25" s="20">
        <f>IFERROR(AI25*(1+변수!AK32),"")</f>
        <v/>
      </c>
      <c r="AL25" s="20">
        <f>IFERROR(AK25*(1+변수!AL32),"")</f>
        <v/>
      </c>
      <c r="AM25" s="20">
        <f>IFERROR(AL25*(1+변수!AM32),"")</f>
        <v/>
      </c>
      <c r="AN25" s="20">
        <f>IFERROR(AM25*(1+변수!AN32),"")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 t="n"/>
      <c r="F26" s="37">
        <f>E26</f>
        <v/>
      </c>
      <c r="G26" s="18">
        <f>IFERROR(VLOOKUP($D26,BS별도,MATCH(G$1,BS별도H,0),0)/100,"")</f>
        <v/>
      </c>
      <c r="H26" s="18">
        <f>IFERROR(VLOOKUP($D26,BS별도,MATCH(H$1,BS별도H,0),0)/100,"")</f>
        <v/>
      </c>
      <c r="I26" s="18">
        <f>IFERROR(VLOOKUP($D26,BS별도,MATCH(I$1,BS별도H,0),0)/100,"")</f>
        <v/>
      </c>
      <c r="J26" s="18">
        <f>IFERROR(VLOOKUP($D26,BS별도,MATCH(J$1,BS별도H,0),0)/100,"")</f>
        <v/>
      </c>
      <c r="K26" s="37">
        <f>J26</f>
        <v/>
      </c>
      <c r="L26" s="18">
        <f>IFERROR(VLOOKUP($D26,BS별도,MATCH(L$1,BS별도H,0),0)/100,"")</f>
        <v/>
      </c>
      <c r="M26" s="18">
        <f>IFERROR(VLOOKUP($D26,BS별도,MATCH(M$1,BS별도H,0),0)/100,"")</f>
        <v/>
      </c>
      <c r="N26" s="18">
        <f>IFERROR(VLOOKUP($D26,BS별도,MATCH(N$1,BS별도H,0),0)/100,"")</f>
        <v/>
      </c>
      <c r="O26" s="18">
        <f>IFERROR(VLOOKUP($D26,BS별도,MATCH(O$1,BS별도H,0),0)/100,"")</f>
        <v/>
      </c>
      <c r="P26" s="37">
        <f>O26</f>
        <v/>
      </c>
      <c r="Q26" s="18">
        <f>IFERROR(VLOOKUP($D26,BS별도,MATCH(Q$1,BS별도H,0),0)/100,"")</f>
        <v/>
      </c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8">
        <f>IFERROR(VLOOKUP($D26,BS별도,MATCH(W$1,BS별도H,0),0)/100,"")</f>
        <v/>
      </c>
      <c r="X26" s="18">
        <f>IFERROR(VLOOKUP($D26,BS별도,MATCH(X$1,BS별도H,0),0)/100,"")</f>
        <v/>
      </c>
      <c r="Y26" s="18">
        <f>IFERROR(VLOOKUP($D26,BS별도,MATCH(Y$1,BS별도H,0),0)/100,"")</f>
        <v/>
      </c>
      <c r="Z26" s="37">
        <f>Y26</f>
        <v/>
      </c>
      <c r="AA26" s="18">
        <f>IFERROR(VLOOKUP($D26,BS별도,MATCH(AA$1,BS별도H,0),0)/100,"")</f>
        <v/>
      </c>
      <c r="AB26" s="19">
        <f>IFERROR(VLOOKUP($D26,BS별도,MATCH(AB$1,BS별도H,0),0)/100,"")</f>
        <v/>
      </c>
      <c r="AC26" s="20">
        <f>IFERROR(AB26*(1+변수!AC33),"")</f>
        <v/>
      </c>
      <c r="AD26" s="20">
        <f>IFERROR(AC26*(1+변수!AD33),"")</f>
        <v/>
      </c>
      <c r="AE26" s="38">
        <f>AD26</f>
        <v/>
      </c>
      <c r="AF26" s="20">
        <f>IFERROR(AD26*(1+변수!AF33),"")</f>
        <v/>
      </c>
      <c r="AG26" s="20">
        <f>IFERROR(AF26*(1+변수!AG33),"")</f>
        <v/>
      </c>
      <c r="AH26" s="20">
        <f>IFERROR(AG26*(1+변수!AH33),"")</f>
        <v/>
      </c>
      <c r="AI26" s="20">
        <f>IFERROR(AH26*(1+변수!AI33),"")</f>
        <v/>
      </c>
      <c r="AJ26" s="38">
        <f>AI26</f>
        <v/>
      </c>
      <c r="AK26" s="20">
        <f>IFERROR(AI26*(1+변수!AK33),"")</f>
        <v/>
      </c>
      <c r="AL26" s="20">
        <f>IFERROR(AK26*(1+변수!AL33),"")</f>
        <v/>
      </c>
      <c r="AM26" s="20">
        <f>IFERROR(AL26*(1+변수!AM33),"")</f>
        <v/>
      </c>
      <c r="AN26" s="20">
        <f>IFERROR(AM26*(1+변수!AN33),"")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IFERROR(VLOOKUP($D27,BS별도,MATCH(E$1,BS별도H,0),0)/100,"")</f>
        <v/>
      </c>
      <c r="F27" s="37" t="n">
        <v>43.75</v>
      </c>
      <c r="G27" s="18">
        <f>IFERROR(VLOOKUP($D27,BS별도,MATCH(G$1,BS별도H,0),0)/100,"")</f>
        <v/>
      </c>
      <c r="H27" s="18">
        <f>IFERROR(VLOOKUP($D27,BS별도,MATCH(H$1,BS별도H,0),0)/100,"")</f>
        <v/>
      </c>
      <c r="I27" s="18">
        <f>IFERROR(VLOOKUP($D27,BS별도,MATCH(I$1,BS별도H,0),0)/100,"")</f>
        <v/>
      </c>
      <c r="J27" s="18">
        <f>IFERROR(VLOOKUP($D27,BS별도,MATCH(J$1,BS별도H,0),0)/100,"")</f>
        <v/>
      </c>
      <c r="K27" s="37">
        <f>J27</f>
        <v/>
      </c>
      <c r="L27" s="18">
        <f>IFERROR(VLOOKUP($D27,BS별도,MATCH(L$1,BS별도H,0),0)/100,"")</f>
        <v/>
      </c>
      <c r="M27" s="18">
        <f>IFERROR(VLOOKUP($D27,BS별도,MATCH(M$1,BS별도H,0),0)/100,"")</f>
        <v/>
      </c>
      <c r="N27" s="18">
        <f>IFERROR(VLOOKUP($D27,BS별도,MATCH(N$1,BS별도H,0),0)/100,"")</f>
        <v/>
      </c>
      <c r="O27" s="18">
        <f>IFERROR(VLOOKUP($D27,BS별도,MATCH(O$1,BS별도H,0),0)/100,"")</f>
        <v/>
      </c>
      <c r="P27" s="37">
        <f>O27</f>
        <v/>
      </c>
      <c r="Q27" s="18">
        <f>IFERROR(VLOOKUP($D27,BS별도,MATCH(Q$1,BS별도H,0),0)/100,"")</f>
        <v/>
      </c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T27</f>
        <v/>
      </c>
      <c r="V27" s="18">
        <f>IFERROR(VLOOKUP($D27,BS별도,MATCH(V$1,BS별도H,0),0)/100,"")</f>
        <v/>
      </c>
      <c r="W27" s="18">
        <f>IFERROR(VLOOKUP($D27,BS별도,MATCH(W$1,BS별도H,0),0)/100,"")</f>
        <v/>
      </c>
      <c r="X27" s="18">
        <f>IFERROR(VLOOKUP($D27,BS별도,MATCH(X$1,BS별도H,0),0)/100,"")</f>
        <v/>
      </c>
      <c r="Y27" s="18">
        <f>IFERROR(VLOOKUP($D27,BS별도,MATCH(Y$1,BS별도H,0),0)/100,"")</f>
        <v/>
      </c>
      <c r="Z27" s="37">
        <f>Y27</f>
        <v/>
      </c>
      <c r="AA27" s="18">
        <f>IFERROR(VLOOKUP($D27,BS별도,MATCH(AA$1,BS별도H,0),0)/100,"")</f>
        <v/>
      </c>
      <c r="AB27" s="19">
        <f>IFERROR(VLOOKUP($D27,BS별도,MATCH(AB$1,BS별도H,0),0)/100,"")</f>
        <v/>
      </c>
      <c r="AC27" s="20">
        <f>IFERROR(AB27*(1+변수!AC34),"")</f>
        <v/>
      </c>
      <c r="AD27" s="20">
        <f>IFERROR(AC27*(1+변수!AD34),"")</f>
        <v/>
      </c>
      <c r="AE27" s="38">
        <f>AD27</f>
        <v/>
      </c>
      <c r="AF27" s="20">
        <f>IFERROR(AD27*(1+변수!AF34),"")</f>
        <v/>
      </c>
      <c r="AG27" s="20">
        <f>IFERROR(AF27*(1+변수!AG34),"")</f>
        <v/>
      </c>
      <c r="AH27" s="20">
        <f>IFERROR(AG27*(1+변수!AH34),"")</f>
        <v/>
      </c>
      <c r="AI27" s="20">
        <f>IFERROR(AH27*(1+변수!AI34),"")</f>
        <v/>
      </c>
      <c r="AJ27" s="38">
        <f>AI27</f>
        <v/>
      </c>
      <c r="AK27" s="20">
        <f>IFERROR(AI27*(1+변수!AK34),"")</f>
        <v/>
      </c>
      <c r="AL27" s="20">
        <f>IFERROR(AK27*(1+변수!AL34),"")</f>
        <v/>
      </c>
      <c r="AM27" s="20">
        <f>IFERROR(AL27*(1+변수!AM34),"")</f>
        <v/>
      </c>
      <c r="AN27" s="20">
        <f>IFERROR(AM27*(1+변수!AN34),"")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IFERROR(VLOOKUP($D28,BS별도,MATCH(E$1,BS별도H,0),0)/100,"")</f>
        <v/>
      </c>
      <c r="F28" s="37" t="n">
        <v>38.56</v>
      </c>
      <c r="G28" s="18">
        <f>IFERROR(VLOOKUP($D28,BS별도,MATCH(G$1,BS별도H,0),0)/100,"")</f>
        <v/>
      </c>
      <c r="H28" s="18">
        <f>IFERROR(VLOOKUP($D28,BS별도,MATCH(H$1,BS별도H,0),0)/100,"")</f>
        <v/>
      </c>
      <c r="I28" s="18">
        <f>IFERROR(VLOOKUP($D28,BS별도,MATCH(I$1,BS별도H,0),0)/100,"")</f>
        <v/>
      </c>
      <c r="J28" s="18">
        <f>IFERROR(VLOOKUP($D28,BS별도,MATCH(J$1,BS별도H,0),0)/100,"")</f>
        <v/>
      </c>
      <c r="K28" s="37">
        <f>J28</f>
        <v/>
      </c>
      <c r="L28" s="18">
        <f>IFERROR(VLOOKUP($D28,BS별도,MATCH(L$1,BS별도H,0),0)/100,"")</f>
        <v/>
      </c>
      <c r="M28" s="18">
        <f>IFERROR(VLOOKUP($D28,BS별도,MATCH(M$1,BS별도H,0),0)/100,"")</f>
        <v/>
      </c>
      <c r="N28" s="18">
        <f>IFERROR(VLOOKUP($D28,BS별도,MATCH(N$1,BS별도H,0),0)/100,"")</f>
        <v/>
      </c>
      <c r="O28" s="18">
        <f>IFERROR(VLOOKUP($D28,BS별도,MATCH(O$1,BS별도H,0),0)/100,"")</f>
        <v/>
      </c>
      <c r="P28" s="37">
        <f>O28</f>
        <v/>
      </c>
      <c r="Q28" s="18">
        <f>IFERROR(VLOOKUP($D28,BS별도,MATCH(Q$1,BS별도H,0),0)/100,"")</f>
        <v/>
      </c>
      <c r="R28" s="18">
        <f>IFERROR(VLOOKUP($D28,BS별도,MATCH(R$1,BS별도H,0),0)/100,"")</f>
        <v/>
      </c>
      <c r="S28" s="18">
        <f>IFERROR(VLOOKUP($D28,BS별도,MATCH(S$1,BS별도H,0),0)/100,"")</f>
        <v/>
      </c>
      <c r="T28" s="18">
        <f>IFERROR(VLOOKUP($D28,BS별도,MATCH(T$1,BS별도H,0),0)/100,"")</f>
        <v/>
      </c>
      <c r="U28" s="37">
        <f>T28</f>
        <v/>
      </c>
      <c r="V28" s="18">
        <f>IFERROR(VLOOKUP($D28,BS별도,MATCH(V$1,BS별도H,0),0)/100,"")</f>
        <v/>
      </c>
      <c r="W28" s="18">
        <f>IFERROR(VLOOKUP($D28,BS별도,MATCH(W$1,BS별도H,0),0)/100,"")</f>
        <v/>
      </c>
      <c r="X28" s="18">
        <f>IFERROR(VLOOKUP($D28,BS별도,MATCH(X$1,BS별도H,0),0)/100,"")</f>
        <v/>
      </c>
      <c r="Y28" s="18">
        <f>IFERROR(VLOOKUP($D28,BS별도,MATCH(Y$1,BS별도H,0),0)/100,"")</f>
        <v/>
      </c>
      <c r="Z28" s="37">
        <f>Y28</f>
        <v/>
      </c>
      <c r="AA28" s="18">
        <f>IFERROR(VLOOKUP($D28,BS별도,MATCH(AA$1,BS별도H,0),0)/100,"")</f>
        <v/>
      </c>
      <c r="AB28" s="19">
        <f>IFERROR(VLOOKUP($D28,BS별도,MATCH(AB$1,BS별도H,0),0)/100,"")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 t="n"/>
      <c r="F29" s="37" t="n"/>
      <c r="G29" s="18" t="n"/>
      <c r="H29" s="18" t="n"/>
      <c r="I29" s="18" t="n"/>
      <c r="J29" s="18">
        <f>IFERROR(VLOOKUP($D29,BS별도,MATCH(J$1,BS별도H,0),0)/100,"")</f>
        <v/>
      </c>
      <c r="K29" s="37">
        <f>SUM(G29:J29)</f>
        <v/>
      </c>
      <c r="L29" s="18" t="n"/>
      <c r="M29" s="18" t="n"/>
      <c r="N29" s="18">
        <f>IFERROR(VLOOKUP($D29,BS별도,MATCH(N$1,BS별도H,0),0)/100,"")</f>
        <v/>
      </c>
      <c r="O29" s="18">
        <f>IFERROR(VLOOKUP($D29,BS별도,MATCH(O$1,BS별도H,0),0)/100,"")</f>
        <v/>
      </c>
      <c r="P29" s="37">
        <f>SUM(L29:O29)</f>
        <v/>
      </c>
      <c r="Q29" s="18">
        <f>IFERROR(VLOOKUP($D29,BS별도,MATCH(Q$1,BS별도H,0),0)/100,"")</f>
        <v/>
      </c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7">
        <f>SUM(Q29:T29)</f>
        <v/>
      </c>
      <c r="V29" s="18">
        <f>IFERROR(VLOOKUP($D29,BS별도,MATCH(V$1,BS별도H,0),0)/100,"")</f>
        <v/>
      </c>
      <c r="W29" s="18">
        <f>IFERROR(VLOOKUP($D29,BS별도,MATCH(W$1,BS별도H,0),0)/100,"")</f>
        <v/>
      </c>
      <c r="X29" s="18">
        <f>IFERROR(VLOOKUP($D29,BS별도,MATCH(X$1,BS별도H,0),0)/100,"")</f>
        <v/>
      </c>
      <c r="Y29" s="18">
        <f>IFERROR(VLOOKUP($D29,BS별도,MATCH(Y$1,BS별도H,0),0)/100,"")</f>
        <v/>
      </c>
      <c r="Z29" s="37">
        <f>SUM(V29:Y29)</f>
        <v/>
      </c>
      <c r="AA29" s="18">
        <f>IFERROR(VLOOKUP($D29,BS별도,MATCH(AA$1,BS별도H,0),0)/100,"")</f>
        <v/>
      </c>
      <c r="AB29" s="19">
        <f>IFERROR(VLOOKUP($D29,BS별도,MATCH(AB$1,BS별도H,0),0)/100,"")</f>
        <v/>
      </c>
      <c r="AC29" s="20">
        <f>IFERROR(X29*(1+변수!AC36),"")</f>
        <v/>
      </c>
      <c r="AD29" s="20">
        <f>IFERROR(Y29*(1+변수!AD36),"")</f>
        <v/>
      </c>
      <c r="AE29" s="38">
        <f>SUM(AA29:AD29)</f>
        <v/>
      </c>
      <c r="AF29" s="20">
        <f>IFERROR(AA29*(1+변수!AF36),"")</f>
        <v/>
      </c>
      <c r="AG29" s="20">
        <f>IFERROR(AF29*(1+변수!AG36),"")</f>
        <v/>
      </c>
      <c r="AH29" s="20">
        <f>IFERROR(AC29*(1+변수!AH36),"")</f>
        <v/>
      </c>
      <c r="AI29" s="20">
        <f>IFERROR(AD29*(1+변수!AI36),"")</f>
        <v/>
      </c>
      <c r="AJ29" s="38">
        <f>SUM(AF29:AI29)</f>
        <v/>
      </c>
      <c r="AK29" s="20">
        <f>IFERROR(AF29*(1+변수!AK36),"")</f>
        <v/>
      </c>
      <c r="AL29" s="20">
        <f>IFERROR(AG29*(1+변수!AL36),"")</f>
        <v/>
      </c>
      <c r="AM29" s="20">
        <f>IFERROR(AH29*(1+변수!AM36),"")</f>
        <v/>
      </c>
      <c r="AN29" s="20">
        <f>IFERROR(AI29*(1+변수!AN36),"")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IFERROR(VLOOKUP($D30,BS별도,MATCH(E$1,BS별도H,0),0)/100,"")</f>
        <v/>
      </c>
      <c r="F30" s="37" t="n"/>
      <c r="G30" s="18">
        <f>IFERROR(VLOOKUP($D30,BS별도,MATCH(G$1,BS별도H,0),0)/100,"")</f>
        <v/>
      </c>
      <c r="H30" s="18">
        <f>IFERROR(VLOOKUP($D30,BS별도,MATCH(H$1,BS별도H,0),0)/100,"")</f>
        <v/>
      </c>
      <c r="I30" s="18">
        <f>IFERROR(VLOOKUP($D30,BS별도,MATCH(I$1,BS별도H,0),0)/100,"")</f>
        <v/>
      </c>
      <c r="J30" s="18">
        <f>IFERROR(VLOOKUP($D30,BS별도,MATCH(J$1,BS별도H,0),0)/100,"")</f>
        <v/>
      </c>
      <c r="K30" s="37">
        <f>SUM(G30:J30)</f>
        <v/>
      </c>
      <c r="L30" s="18">
        <f>IFERROR(VLOOKUP($D30,BS별도,MATCH(L$1,BS별도H,0),0)/100,"")</f>
        <v/>
      </c>
      <c r="M30" s="18">
        <f>IFERROR(VLOOKUP($D30,BS별도,MATCH(M$1,BS별도H,0),0)/100,"")</f>
        <v/>
      </c>
      <c r="N30" s="18">
        <f>IFERROR(VLOOKUP($D30,BS별도,MATCH(N$1,BS별도H,0),0)/100,"")</f>
        <v/>
      </c>
      <c r="O30" s="18">
        <f>IFERROR(VLOOKUP($D30,BS별도,MATCH(O$1,BS별도H,0),0)/100,"")</f>
        <v/>
      </c>
      <c r="P30" s="37">
        <f>SUM(L30:O30)</f>
        <v/>
      </c>
      <c r="Q30" s="18">
        <f>IFERROR(VLOOKUP($D30,BS별도,MATCH(Q$1,BS별도H,0),0)/100,"")</f>
        <v/>
      </c>
      <c r="R30" s="18">
        <f>IFERROR(VLOOKUP($D30,BS별도,MATCH(R$1,BS별도H,0),0)/100,"")</f>
        <v/>
      </c>
      <c r="S30" s="18">
        <f>IFERROR(VLOOKUP($D30,BS별도,MATCH(S$1,BS별도H,0),0)/100,"")</f>
        <v/>
      </c>
      <c r="T30" s="18">
        <f>IFERROR(VLOOKUP($D30,BS별도,MATCH(T$1,BS별도H,0),0)/100,"")</f>
        <v/>
      </c>
      <c r="U30" s="37">
        <f>SUM(Q30:T30)</f>
        <v/>
      </c>
      <c r="V30" s="18">
        <f>IFERROR(VLOOKUP($D30,BS별도,MATCH(V$1,BS별도H,0),0)/100,"")</f>
        <v/>
      </c>
      <c r="W30" s="18">
        <f>IFERROR(VLOOKUP($D30,BS별도,MATCH(W$1,BS별도H,0),0)/100,"")</f>
        <v/>
      </c>
      <c r="X30" s="18">
        <f>IFERROR(VLOOKUP($D30,BS별도,MATCH(X$1,BS별도H,0),0)/100,"")</f>
        <v/>
      </c>
      <c r="Y30" s="18">
        <f>IFERROR(VLOOKUP($D30,BS별도,MATCH(Y$1,BS별도H,0),0)/100,"")</f>
        <v/>
      </c>
      <c r="Z30" s="37">
        <f>SUM(V30:Y30)</f>
        <v/>
      </c>
      <c r="AA30" s="18">
        <f>IFERROR(VLOOKUP($D30,BS별도,MATCH(AA$1,BS별도H,0),0)/100,"")</f>
        <v/>
      </c>
      <c r="AB30" s="19">
        <f>IFERROR(VLOOKUP($D30,BS별도,MATCH(AB$1,BS별도H,0),0)/100,"")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13.541</v>
      </c>
      <c r="F31" s="28">
        <f>E31</f>
        <v/>
      </c>
      <c r="G31" s="27" t="n">
        <v>13.541</v>
      </c>
      <c r="H31" s="27" t="n">
        <v>13.541</v>
      </c>
      <c r="I31" s="27" t="n">
        <v>13.541</v>
      </c>
      <c r="J31" s="27" t="n">
        <v>13.541</v>
      </c>
      <c r="K31" s="28">
        <f>J31</f>
        <v/>
      </c>
      <c r="L31" s="27" t="n">
        <v>13.541</v>
      </c>
      <c r="M31" s="27" t="n">
        <v>13.541</v>
      </c>
      <c r="N31" s="27" t="n">
        <v>13.541</v>
      </c>
      <c r="O31" s="27" t="n">
        <v>13.541</v>
      </c>
      <c r="P31" s="28">
        <f>O31</f>
        <v/>
      </c>
      <c r="Q31" s="27" t="n">
        <v>13.541</v>
      </c>
      <c r="R31" s="27" t="n">
        <v>14</v>
      </c>
      <c r="S31" s="27" t="n">
        <v>14</v>
      </c>
      <c r="T31" s="27" t="n">
        <v>13.946</v>
      </c>
      <c r="U31" s="28">
        <f>T31</f>
        <v/>
      </c>
      <c r="V31" s="27" t="n">
        <v>13.946</v>
      </c>
      <c r="W31" s="27" t="n">
        <v>13.946</v>
      </c>
      <c r="X31" s="27" t="n">
        <v>13.946</v>
      </c>
      <c r="Y31" s="27" t="n">
        <v>13.946</v>
      </c>
      <c r="Z31" s="28">
        <f>Y31</f>
        <v/>
      </c>
      <c r="AA31" s="27" t="n">
        <v>13.946</v>
      </c>
      <c r="AB31" s="29" t="n">
        <v>13.946</v>
      </c>
      <c r="AC31" s="33">
        <f>IFERROR(AB31*(1+변수!AC38),"")</f>
        <v/>
      </c>
      <c r="AD31" s="33">
        <f>IFERROR(AC31*(1+변수!AD38),"")</f>
        <v/>
      </c>
      <c r="AE31" s="31">
        <f>AD31</f>
        <v/>
      </c>
      <c r="AF31" s="33">
        <f>IFERROR(AD31*(1+변수!AF38),"")</f>
        <v/>
      </c>
      <c r="AG31" s="33">
        <f>IFERROR(AF31*(1+변수!AG38),"")</f>
        <v/>
      </c>
      <c r="AH31" s="33">
        <f>IFERROR(AG31*(1+변수!AH38),"")</f>
        <v/>
      </c>
      <c r="AI31" s="33">
        <f>IFERROR(AH31*(1+변수!AI38),"")</f>
        <v/>
      </c>
      <c r="AJ31" s="31">
        <f>AI31</f>
        <v/>
      </c>
      <c r="AK31" s="33">
        <f>IFERROR(AI31*(1+변수!AK38),"")</f>
        <v/>
      </c>
      <c r="AL31" s="33">
        <f>IFERROR(AK31*(1+변수!AL38),"")</f>
        <v/>
      </c>
      <c r="AM31" s="33">
        <f>IFERROR(AL31*(1+변수!AM38),"")</f>
        <v/>
      </c>
      <c r="AN31" s="33">
        <f>IFERROR(AM31*(1+변수!AN38),"")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IFERROR(E18*100/E31,"")</f>
        <v/>
      </c>
      <c r="F32" s="37" t="n"/>
      <c r="G32" s="18">
        <f>IFERROR(G18*100/G31,"")</f>
        <v/>
      </c>
      <c r="H32" s="18">
        <f>IFERROR(H18*100/H31,"")</f>
        <v/>
      </c>
      <c r="I32" s="18">
        <f>IFERROR(I18*100/I31,"")</f>
        <v/>
      </c>
      <c r="J32" s="18">
        <f>IFERROR(J18*100/J31,"")</f>
        <v/>
      </c>
      <c r="K32" s="37">
        <f>SUM(G32:J32)</f>
        <v/>
      </c>
      <c r="L32" s="18">
        <f>IFERROR(L18*100/L31,"")</f>
        <v/>
      </c>
      <c r="M32" s="18">
        <f>IFERROR(M18*100/M31,"")</f>
        <v/>
      </c>
      <c r="N32" s="18">
        <f>IFERROR(N18*100/N31,"")</f>
        <v/>
      </c>
      <c r="O32" s="18">
        <f>IFERROR(O18*100/O31,"")</f>
        <v/>
      </c>
      <c r="P32" s="37">
        <f>SUM(L32:O32)</f>
        <v/>
      </c>
      <c r="Q32" s="18">
        <f>IFERROR(Q18*100/Q31,"")</f>
        <v/>
      </c>
      <c r="R32" s="18">
        <f>IFERROR(R18*100/R31,"")</f>
        <v/>
      </c>
      <c r="S32" s="18">
        <f>IFERROR(S18*100/S31,"")</f>
        <v/>
      </c>
      <c r="T32" s="18">
        <f>IFERROR(T18*100/T31,"")</f>
        <v/>
      </c>
      <c r="U32" s="37">
        <f>SUM(Q32:T32)</f>
        <v/>
      </c>
      <c r="V32" s="18">
        <f>IFERROR(V18*100/V31,"")</f>
        <v/>
      </c>
      <c r="W32" s="18">
        <f>IFERROR(W18*100/W31,"")</f>
        <v/>
      </c>
      <c r="X32" s="18">
        <f>IFERROR(X18*100/X31,"")</f>
        <v/>
      </c>
      <c r="Y32" s="18">
        <f>IFERROR(Y18*100/Y31,"")</f>
        <v/>
      </c>
      <c r="Z32" s="37">
        <f>SUM(V32:Y32)</f>
        <v/>
      </c>
      <c r="AA32" s="18">
        <f>IFERROR(AA18*100/AA31,"")</f>
        <v/>
      </c>
      <c r="AB32" s="19">
        <f>IFERROR(AB18*100/AB31,"")</f>
        <v/>
      </c>
      <c r="AC32" s="20">
        <f>IFERROR(AC18*100/AC31,"")</f>
        <v/>
      </c>
      <c r="AD32" s="20">
        <f>IFERROR(AD18*100/AD31,"")</f>
        <v/>
      </c>
      <c r="AE32" s="38">
        <f>SUM(AA32:AD32)</f>
        <v/>
      </c>
      <c r="AF32" s="20">
        <f>IFERROR(AF18*100/AF31,"")</f>
        <v/>
      </c>
      <c r="AG32" s="20">
        <f>IFERROR(AG18*100/AG31,"")</f>
        <v/>
      </c>
      <c r="AH32" s="20">
        <f>IFERROR(AH18*100/AH31,"")</f>
        <v/>
      </c>
      <c r="AI32" s="20">
        <f>IFERROR(AI18*100/AI31,"")</f>
        <v/>
      </c>
      <c r="AJ32" s="38">
        <f>SUM(AF32:AI32)</f>
        <v/>
      </c>
      <c r="AK32" s="20">
        <f>IFERROR(AK18*100/AK31,"")</f>
        <v/>
      </c>
      <c r="AL32" s="20">
        <f>IFERROR(AL18*100/AL31,"")</f>
        <v/>
      </c>
      <c r="AM32" s="20">
        <f>IFERROR(AM18*100/AM31,"")</f>
        <v/>
      </c>
      <c r="AN32" s="20">
        <f>IFERROR(AN18*100/AN31,"")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8" t="n"/>
      <c r="X34" s="18" t="n"/>
      <c r="Y34" s="18" t="n">
        <v>0</v>
      </c>
      <c r="Z34" s="37">
        <f>SUM(V34:Y34)</f>
        <v/>
      </c>
      <c r="AA34" s="18" t="n"/>
      <c r="AB34" s="19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  <c r="AK34" s="20" t="n"/>
      <c r="AL34" s="20" t="n"/>
      <c r="AM34" s="20" t="n"/>
      <c r="AN34" s="20">
        <f>변수!AN39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>
        <f>IFERROR(변수!I18/(E32+G32+H32+I32),"")</f>
        <v/>
      </c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IFERROR(변수!$D$42/(Y32+AA32+AB32+AC32),"")</f>
        <v/>
      </c>
      <c r="AD35" s="39">
        <f>IFERROR(변수!$D$42/(AA32+AB32+AC32+AD32),"")</f>
        <v/>
      </c>
      <c r="AE35" s="40">
        <f>AD35</f>
        <v/>
      </c>
      <c r="AF35" s="39">
        <f>IFERROR(변수!$D$42/(AB32+AC32+AD32+AF32),"")</f>
        <v/>
      </c>
      <c r="AG35" s="39">
        <f>IFERROR(변수!$D$42/(AC32+AD32+AF32+AG32),"")</f>
        <v/>
      </c>
      <c r="AH35" s="39">
        <f>IFERROR(변수!$D$42/(AD32+AF32+AG32+AH32),"")</f>
        <v/>
      </c>
      <c r="AI35" s="39">
        <f>IFERROR(변수!$D$42/(AF32+AG32+AH32+AI32),"")</f>
        <v/>
      </c>
      <c r="AJ35" s="40">
        <f>AI35</f>
        <v/>
      </c>
      <c r="AK35" s="39">
        <f>IFERROR(변수!$D$42/(AG32+AH32+AI32+AK32),"")</f>
        <v/>
      </c>
      <c r="AL35" s="39">
        <f>IFERROR(변수!$D$42/(AH32+AI32+AK32+AL32),"")</f>
        <v/>
      </c>
      <c r="AM35" s="39">
        <f>IFERROR(변수!$D$42/(AI32+AK32+AL32+AM32),"")</f>
        <v/>
      </c>
      <c r="AN35" s="39">
        <f>IFERROR(변수!$D$42/(AK32+AL32+AM32+AN32),"")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  <c r="AK36" s="39">
        <f>IFERROR(변수!$D$42/AK33,"")</f>
        <v/>
      </c>
      <c r="AL36" s="39">
        <f>IFERROR(변수!$D$42/AL33,"")</f>
        <v/>
      </c>
      <c r="AM36" s="39">
        <f>IFERROR(변수!$D$42/AM33,"")</f>
        <v/>
      </c>
      <c r="AN36" s="39">
        <f>IFERROR(변수!$D$42/AN33,"")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88.95999999999999</v>
      </c>
      <c r="F37" s="37" t="n"/>
      <c r="G37" s="18" t="n">
        <v>57.25</v>
      </c>
      <c r="H37" s="18" t="n">
        <v>67.5</v>
      </c>
      <c r="I37" s="18" t="n">
        <v>59.89</v>
      </c>
      <c r="J37" s="18" t="n">
        <v>63.96</v>
      </c>
      <c r="K37" s="37">
        <f>SUM(G37:J37)</f>
        <v/>
      </c>
      <c r="L37" s="18" t="n">
        <v>68.79000000000001</v>
      </c>
      <c r="M37" s="18" t="n">
        <v>67.91</v>
      </c>
      <c r="N37" s="18" t="n">
        <v>56.1</v>
      </c>
      <c r="O37" s="18" t="n">
        <v>80.28</v>
      </c>
      <c r="P37" s="37">
        <f>SUM(L37:O37)</f>
        <v/>
      </c>
      <c r="Q37" s="18" t="n">
        <v>56.57</v>
      </c>
      <c r="R37" s="18" t="n">
        <v>77.34</v>
      </c>
      <c r="S37" s="18" t="n">
        <v>92.23999999999999</v>
      </c>
      <c r="T37" s="18" t="n">
        <v>131.01</v>
      </c>
      <c r="U37" s="37">
        <f>SUM(Q37:T37)</f>
        <v/>
      </c>
      <c r="V37" s="18" t="n">
        <v>84.69</v>
      </c>
      <c r="W37" s="18" t="n">
        <v>88.69</v>
      </c>
      <c r="X37" s="18" t="n">
        <v>115.07</v>
      </c>
      <c r="Y37" s="18" t="n">
        <v>130.35</v>
      </c>
      <c r="Z37" s="37">
        <f>SUM(V37:Y37)</f>
        <v/>
      </c>
      <c r="AA37" s="18" t="n">
        <v>91.97</v>
      </c>
      <c r="AB37" s="19" t="n">
        <v>116.6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10.1</v>
      </c>
      <c r="F38" s="37" t="n"/>
      <c r="G38" s="18" t="n">
        <v>-3.25</v>
      </c>
      <c r="H38" s="18" t="n">
        <v>5.53</v>
      </c>
      <c r="I38" s="18" t="n">
        <v>1.52</v>
      </c>
      <c r="J38" s="18" t="n">
        <v>10.19</v>
      </c>
      <c r="K38" s="37">
        <f>SUM(G38:J38)</f>
        <v/>
      </c>
      <c r="L38" s="18" t="n">
        <v>5.9</v>
      </c>
      <c r="M38" s="18" t="n">
        <v>3.47</v>
      </c>
      <c r="N38" s="18" t="n">
        <v>2.18</v>
      </c>
      <c r="O38" s="18" t="n">
        <v>22.59</v>
      </c>
      <c r="P38" s="37">
        <f>SUM(L38:O38)</f>
        <v/>
      </c>
      <c r="Q38" s="18" t="n">
        <v>-0.78</v>
      </c>
      <c r="R38" s="18" t="n">
        <v>7.29</v>
      </c>
      <c r="S38" s="18" t="n">
        <v>9.720000000000001</v>
      </c>
      <c r="T38" s="18" t="n">
        <v>24.59</v>
      </c>
      <c r="U38" s="37">
        <f>SUM(Q38:T38)</f>
        <v/>
      </c>
      <c r="V38" s="18" t="n">
        <v>4.22</v>
      </c>
      <c r="W38" s="18" t="n">
        <v>6.93</v>
      </c>
      <c r="X38" s="18" t="n">
        <v>30.29</v>
      </c>
      <c r="Y38" s="18" t="n">
        <v>51.46</v>
      </c>
      <c r="Z38" s="37">
        <f>SUM(V38:Y38)</f>
        <v/>
      </c>
      <c r="AA38" s="18" t="n">
        <v>15.55</v>
      </c>
      <c r="AB38" s="19" t="n">
        <v>39.05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IFERROR(E18/E5,"")</f>
        <v/>
      </c>
      <c r="F40" s="22">
        <f>IFERROR(F18/F5,"")</f>
        <v/>
      </c>
      <c r="G40" s="21">
        <f>IFERROR(G18/G5,"")</f>
        <v/>
      </c>
      <c r="H40" s="21">
        <f>IFERROR(H18/H5,"")</f>
        <v/>
      </c>
      <c r="I40" s="21">
        <f>IFERROR(I18/I5,"")</f>
        <v/>
      </c>
      <c r="J40" s="21">
        <f>IFERROR(J18/J5,"")</f>
        <v/>
      </c>
      <c r="K40" s="22">
        <f>IFERROR(K18/K5,"")</f>
        <v/>
      </c>
      <c r="L40" s="21">
        <f>IFERROR(L18/L5,"")</f>
        <v/>
      </c>
      <c r="M40" s="21">
        <f>IFERROR(M18/M5,"")</f>
        <v/>
      </c>
      <c r="N40" s="21">
        <f>IFERROR(N18/N5,"")</f>
        <v/>
      </c>
      <c r="O40" s="21">
        <f>IFERROR(O18/O5,"")</f>
        <v/>
      </c>
      <c r="P40" s="22">
        <f>IFERROR(P18/P5,"")</f>
        <v/>
      </c>
      <c r="Q40" s="21">
        <f>IFERROR(Q18/Q5,"")</f>
        <v/>
      </c>
      <c r="R40" s="21">
        <f>IFERROR(R18/R5,"")</f>
        <v/>
      </c>
      <c r="S40" s="21">
        <f>IFERROR(S18/S5,"")</f>
        <v/>
      </c>
      <c r="T40" s="21">
        <f>IFERROR(T18/T5,"")</f>
        <v/>
      </c>
      <c r="U40" s="22">
        <f>IFERROR(U18/U5,"")</f>
        <v/>
      </c>
      <c r="V40" s="21">
        <f>IFERROR(V18/V5,"")</f>
        <v/>
      </c>
      <c r="W40" s="21">
        <f>IFERROR(W18/W5,"")</f>
        <v/>
      </c>
      <c r="X40" s="21">
        <f>IFERROR(X18/X5,"")</f>
        <v/>
      </c>
      <c r="Y40" s="21">
        <f>IFERROR(Y18/Y5,"")</f>
        <v/>
      </c>
      <c r="Z40" s="22">
        <f>IFERROR(Z18/Z5,"")</f>
        <v/>
      </c>
      <c r="AA40" s="21">
        <f>IFERROR(AA18/AA5,"")</f>
        <v/>
      </c>
      <c r="AB40" s="23">
        <f>IFERROR(AB18/AB5,"")</f>
        <v/>
      </c>
      <c r="AC40" s="32">
        <f>IFERROR(AC18/AC5,"")</f>
        <v/>
      </c>
      <c r="AD40" s="32">
        <f>IFERROR(AD18/AD5,"")</f>
        <v/>
      </c>
      <c r="AE40" s="25">
        <f>IFERROR(AE18/AE5,"")</f>
        <v/>
      </c>
      <c r="AF40" s="32">
        <f>IFERROR(AF18/AF5,"")</f>
        <v/>
      </c>
      <c r="AG40" s="32">
        <f>IFERROR(AG18/AG5,"")</f>
        <v/>
      </c>
      <c r="AH40" s="32">
        <f>IFERROR(AH18/AH5,"")</f>
        <v/>
      </c>
      <c r="AI40" s="32">
        <f>IFERROR(AI18/AI5,"")</f>
        <v/>
      </c>
      <c r="AJ40" s="25">
        <f>IFERROR(AJ18/AJ5,"")</f>
        <v/>
      </c>
      <c r="AK40" s="32">
        <f>IFERROR(AK18/AK5,"")</f>
        <v/>
      </c>
      <c r="AL40" s="32">
        <f>IFERROR(AL18/AL5,"")</f>
        <v/>
      </c>
      <c r="AM40" s="32">
        <f>IFERROR(AM18/AM5,"")</f>
        <v/>
      </c>
      <c r="AN40" s="32">
        <f>IFERROR(AN18/AN5,"")</f>
        <v/>
      </c>
      <c r="AO40" s="25">
        <f>IFERROR(AO18/AO5,"")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IFERROR(I18/E18-1,"")</f>
        <v/>
      </c>
      <c r="J42" s="21">
        <f>IFERROR(J18/F18-1,"")</f>
        <v/>
      </c>
      <c r="K42" s="21">
        <f>IFERROR(K18/G18-1,"")</f>
        <v/>
      </c>
      <c r="L42" s="21">
        <f>IFERROR(L18/H18-1,"")</f>
        <v/>
      </c>
      <c r="M42" s="21">
        <f>IFERROR(M18/I18-1,"")</f>
        <v/>
      </c>
      <c r="N42" s="21">
        <f>IFERROR(N18/J18-1,"")</f>
        <v/>
      </c>
      <c r="O42" s="21">
        <f>IFERROR(O18/K18-1,"")</f>
        <v/>
      </c>
      <c r="P42" s="21">
        <f>IFERROR(P18/L18-1,"")</f>
        <v/>
      </c>
      <c r="Q42" s="21">
        <f>IFERROR(Q18/M18-1,"")</f>
        <v/>
      </c>
      <c r="R42" s="21">
        <f>IFERROR(R18/N18-1,"")</f>
        <v/>
      </c>
      <c r="S42" s="21">
        <f>IFERROR(S18/O18-1,"")</f>
        <v/>
      </c>
      <c r="T42" s="21">
        <f>IFERROR(T18/P18-1,"")</f>
        <v/>
      </c>
      <c r="U42" s="21">
        <f>IFERROR(U18/Q18-1,"")</f>
        <v/>
      </c>
      <c r="V42" s="21">
        <f>IFERROR(V18/R18-1,"")</f>
        <v/>
      </c>
      <c r="W42" s="46">
        <f>IFERROR(W18/S18-1,"")</f>
        <v/>
      </c>
      <c r="X42" s="32">
        <f>IFERROR(X18/T18-1,"")</f>
        <v/>
      </c>
      <c r="Y42" s="32">
        <f>IFERROR(Y18/U18-1,"")</f>
        <v/>
      </c>
      <c r="Z42" s="32">
        <f>IFERROR(Z18/V18-1,"")</f>
        <v/>
      </c>
      <c r="AA42" s="32">
        <f>IFERROR(AA18/W18-1,"")</f>
        <v/>
      </c>
      <c r="AB42" s="32">
        <f>IFERROR(AB18/X18-1,"")</f>
        <v/>
      </c>
      <c r="AC42" s="32">
        <f>IFERROR(AC18/Y18-1,"")</f>
        <v/>
      </c>
      <c r="AD42" s="32">
        <f>IFERROR(AD18/Z18-1,"")</f>
        <v/>
      </c>
      <c r="AE42" s="32">
        <f>IFERROR(AE18/AA18-1,"")</f>
        <v/>
      </c>
      <c r="AF42" s="32">
        <f>IFERROR(AF18/AB18-1,"")</f>
        <v/>
      </c>
      <c r="AG42" s="32">
        <f>IFERROR(AG18/AC18-1,"")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20261019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감가상각비</t>
        </is>
      </c>
      <c r="D19" t="inlineStr">
        <is>
          <t>감가상각비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EBITDA</t>
        </is>
      </c>
      <c r="D20" t="inlineStr">
        <is>
          <t>EBITDA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IFERROR(F18/E18-1,"")</f>
        <v/>
      </c>
      <c r="G42" s="21">
        <f>IFERROR(G18/F18-1,"")</f>
        <v/>
      </c>
      <c r="H42" s="21">
        <f>IFERROR(H18/G18-1,"")</f>
        <v/>
      </c>
      <c r="I42" s="46">
        <f>IFERROR(I18/H18-1,"")</f>
        <v/>
      </c>
      <c r="J42" s="32">
        <f>IFERROR(J18/I18-1,"")</f>
        <v/>
      </c>
      <c r="K42" s="32">
        <f>IFERROR(K18/J18-1,"")</f>
        <v/>
      </c>
      <c r="L42" s="32">
        <f>IFERROR(L18/K18-1,"")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450.6</v>
      </c>
    </row>
    <row r="30">
      <c r="C30" s="2" t="inlineStr">
        <is>
          <t>bps_latest</t>
        </is>
      </c>
      <c r="D30" t="n">
        <v>3883.5</v>
      </c>
    </row>
    <row r="31">
      <c r="C31" s="2" t="inlineStr">
        <is>
          <t>per_now</t>
        </is>
      </c>
      <c r="D31" t="n">
        <v>6.05</v>
      </c>
    </row>
    <row r="32">
      <c r="C32" s="2" t="inlineStr">
        <is>
          <t>pbr_now</t>
        </is>
      </c>
      <c r="D32" t="n">
        <v>0.7</v>
      </c>
    </row>
    <row r="33">
      <c r="C33" s="2" t="inlineStr">
        <is>
          <t>roe_fwd</t>
        </is>
      </c>
      <c r="D33" t="n">
        <v>0.116</v>
      </c>
    </row>
    <row r="34">
      <c r="C34" s="2" t="inlineStr">
        <is>
          <t>fair_pbr</t>
        </is>
      </c>
      <c r="D34" t="n">
        <v>1.29</v>
      </c>
    </row>
    <row r="35">
      <c r="C35" s="2" t="inlineStr">
        <is>
          <t>fair_value_pbr</t>
        </is>
      </c>
      <c r="D35" t="n">
        <v>5000</v>
      </c>
    </row>
    <row r="36">
      <c r="C36" s="2" t="inlineStr">
        <is>
          <t>ev_ebitda</t>
        </is>
      </c>
      <c r="D36" t="n">
        <v>3.31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2026-10-19T00:00:00Z</dcterms:created>
  <dcterms:modified xsi:type="dcterms:W3CDTF">2026-10-19T00:00:00Z</dcterms:modified>
</cp:coreProperties>
</file>