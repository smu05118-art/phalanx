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84754억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87803억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90772억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94467억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99595억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105674억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112191억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118643억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124361억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84754억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87803억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90772억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94467억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99595억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105674억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112191억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118643억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124361억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271억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297억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235억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252억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271억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297억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2905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2870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3023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-0.058284507</v>
      </c>
      <c r="AD21" s="24" t="n">
        <v>0.158754952</v>
      </c>
      <c r="AE21" s="25" t="n"/>
      <c r="AF21" s="24" t="n">
        <v>0.07213768600000001</v>
      </c>
      <c r="AG21" s="24" t="n">
        <v>-0.033829683</v>
      </c>
      <c r="AH21" s="24" t="n">
        <v>0.180232558</v>
      </c>
      <c r="AI21" s="24" t="n">
        <v>0.175052966</v>
      </c>
      <c r="AJ21" s="25" t="n"/>
      <c r="AK21" s="24" t="n">
        <v>0.203549696</v>
      </c>
      <c r="AL21" s="24" t="n">
        <v>0.236019883</v>
      </c>
      <c r="AM21" s="24" t="n">
        <v>0.255923059</v>
      </c>
      <c r="AN21" s="24" t="n">
        <v>0.248704079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0.178386859</v>
      </c>
      <c r="AD23" s="24" t="n">
        <v>0.178363347</v>
      </c>
      <c r="AE23" s="25">
        <f>IFERROR(subQ!AE9/subQ!AE5,"")</f>
        <v/>
      </c>
      <c r="AF23" s="24" t="n">
        <v>0.178397566</v>
      </c>
      <c r="AG23" s="24" t="n">
        <v>0.178412924</v>
      </c>
      <c r="AH23" s="24" t="n">
        <v>0.1783564</v>
      </c>
      <c r="AI23" s="24" t="n">
        <v>0.178386297</v>
      </c>
      <c r="AJ23" s="25">
        <f>IFERROR(subQ!AJ9/subQ!AJ5,"")</f>
        <v/>
      </c>
      <c r="AK23" s="24" t="n">
        <v>0.178393865</v>
      </c>
      <c r="AL23" s="24" t="n">
        <v>0.178384201</v>
      </c>
      <c r="AM23" s="24" t="n">
        <v>0.178371311</v>
      </c>
      <c r="AN23" s="24" t="n">
        <v>0.178368378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-0.003156313</v>
      </c>
      <c r="AD30" s="30" t="n">
        <v>0.002542243</v>
      </c>
      <c r="AE30" s="31" t="n"/>
      <c r="AF30" s="30" t="n">
        <v>-0.005278464</v>
      </c>
      <c r="AG30" s="30" t="n">
        <v>0.005397835</v>
      </c>
      <c r="AH30" s="30" t="n">
        <v>-0.007538908</v>
      </c>
      <c r="AI30" s="30" t="n">
        <v>-0.001270727</v>
      </c>
      <c r="AJ30" s="31" t="n"/>
      <c r="AK30" s="30" t="n">
        <v>0.002540064</v>
      </c>
      <c r="AL30" s="30" t="n">
        <v>-0.001492093</v>
      </c>
      <c r="AM30" s="30" t="n">
        <v>-0.005752084</v>
      </c>
      <c r="AN30" s="30" t="n">
        <v>-0.005292428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-0.003156313</v>
      </c>
      <c r="AD31" s="30" t="n">
        <v>0.002542243</v>
      </c>
      <c r="AE31" s="31" t="n"/>
      <c r="AF31" s="30" t="n">
        <v>-0.005278464</v>
      </c>
      <c r="AG31" s="30" t="n">
        <v>0.005397835</v>
      </c>
      <c r="AH31" s="30" t="n">
        <v>-0.007538908</v>
      </c>
      <c r="AI31" s="30" t="n">
        <v>-0.001270727</v>
      </c>
      <c r="AJ31" s="31" t="n"/>
      <c r="AK31" s="30" t="n">
        <v>0.002540064</v>
      </c>
      <c r="AL31" s="30" t="n">
        <v>-0.001492093</v>
      </c>
      <c r="AM31" s="30" t="n">
        <v>-0.005752084</v>
      </c>
      <c r="AN31" s="30" t="n">
        <v>-0.005292428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0.239081237</v>
      </c>
      <c r="AD33" s="24" t="n">
        <v>0.263046045</v>
      </c>
      <c r="AE33" s="25" t="n"/>
      <c r="AF33" s="24" t="n">
        <v>0.140119649</v>
      </c>
      <c r="AG33" s="24" t="n">
        <v>0.138968599</v>
      </c>
      <c r="AH33" s="24" t="n">
        <v>0.137345235</v>
      </c>
      <c r="AI33" s="24" t="n">
        <v>0.164367089</v>
      </c>
      <c r="AJ33" s="25" t="n"/>
      <c r="AK33" s="24" t="n">
        <v>0.096754906</v>
      </c>
      <c r="AL33" s="24" t="n">
        <v>0.102443376</v>
      </c>
      <c r="AM33" s="24" t="n">
        <v>0.10627585</v>
      </c>
      <c r="AN33" s="24" t="n">
        <v>0.130607932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0.089938802</v>
      </c>
      <c r="AD34" s="24" t="n">
        <v>0.112508206</v>
      </c>
      <c r="AE34" s="25" t="n"/>
      <c r="AF34" s="24" t="n">
        <v>0.068040488</v>
      </c>
      <c r="AG34" s="24" t="n">
        <v>0.072078198</v>
      </c>
      <c r="AH34" s="24" t="n">
        <v>0.075596607</v>
      </c>
      <c r="AI34" s="24" t="n">
        <v>0.095750562</v>
      </c>
      <c r="AJ34" s="25" t="n"/>
      <c r="AK34" s="24" t="n">
        <v>0.059870169</v>
      </c>
      <c r="AL34" s="24" t="n">
        <v>0.06556440600000001</v>
      </c>
      <c r="AM34" s="24" t="n">
        <v>0.070435119</v>
      </c>
      <c r="AN34" s="24" t="n">
        <v>0.089394024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2905</v>
      </c>
      <c r="E42" s="2" t="inlineStr">
        <is>
          <t>원 — 네이버 정규장 종가(aik 확정종가 대조 · aik 3,075원)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0.2200691187361145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0.113890085369901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0.001043449592365151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0.03626760062161501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5346.76</v>
      </c>
      <c r="I7" s="18" t="n">
        <v>4611.6</v>
      </c>
      <c r="J7" s="18" t="n">
        <v>5857.9</v>
      </c>
      <c r="K7" s="37" t="n">
        <v>5857.9</v>
      </c>
      <c r="L7" s="18" t="n">
        <v>4859.19</v>
      </c>
      <c r="M7" s="18" t="n">
        <v>4702.91</v>
      </c>
      <c r="N7" s="18" t="n">
        <v>4032.89</v>
      </c>
      <c r="O7" s="18" t="n">
        <v>6102.43</v>
      </c>
      <c r="P7" s="37" t="n">
        <v>6102.43</v>
      </c>
      <c r="Q7" s="18" t="n">
        <v>4252.74</v>
      </c>
      <c r="R7" s="18" t="n">
        <v>6380.87</v>
      </c>
      <c r="S7" s="18" t="n">
        <v>6224.25</v>
      </c>
      <c r="T7" s="18" t="n">
        <v>8404.27</v>
      </c>
      <c r="U7" s="37" t="n">
        <v>8404.27</v>
      </c>
      <c r="V7" s="18" t="n">
        <v>8198.59</v>
      </c>
      <c r="W7" s="18" t="n">
        <v>6911.11</v>
      </c>
      <c r="X7" s="18" t="n">
        <v>8124.96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K8" s="9" t="n"/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K10" s="9" t="n"/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K13" s="9" t="n"/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K15" s="9" t="n"/>
      <c r="P15" s="9" t="n"/>
      <c r="U15" s="9" t="n"/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K16" s="9" t="n"/>
      <c r="P16" s="9" t="n"/>
      <c r="U16" s="9" t="n"/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2204.35</v>
      </c>
      <c r="I20" s="18" t="n">
        <v>2463.55</v>
      </c>
      <c r="J20" s="18" t="n">
        <v>2797.5</v>
      </c>
      <c r="K20" s="37" t="n">
        <v>2797.5</v>
      </c>
      <c r="L20" s="18" t="n">
        <v>2490.2</v>
      </c>
      <c r="M20" s="18" t="n">
        <v>1891.23</v>
      </c>
      <c r="N20" s="18" t="n">
        <v>2085.78</v>
      </c>
      <c r="O20" s="18" t="n">
        <v>1880.87</v>
      </c>
      <c r="P20" s="37" t="n">
        <v>1880.87</v>
      </c>
      <c r="Q20" s="18" t="n">
        <v>1956.7</v>
      </c>
      <c r="R20" s="18" t="n">
        <v>2950.74</v>
      </c>
      <c r="S20" s="18" t="n">
        <v>2809.86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K21" s="9" t="n"/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K23" s="9" t="n"/>
      <c r="P23" s="9" t="n"/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2153.23</v>
      </c>
      <c r="I36" s="18" t="n">
        <v>3257.79</v>
      </c>
      <c r="J36" s="18" t="n">
        <v>4263.21</v>
      </c>
      <c r="K36" s="37" t="n">
        <v>4263.21</v>
      </c>
      <c r="L36" s="18" t="n">
        <v>5807.43</v>
      </c>
      <c r="M36" s="18" t="n">
        <v>7324.53</v>
      </c>
      <c r="N36" s="18" t="n">
        <v>8502.74</v>
      </c>
      <c r="O36" s="18" t="n">
        <v>8819.120000000001</v>
      </c>
      <c r="P36" s="37" t="n">
        <v>8819.120000000001</v>
      </c>
      <c r="Q36" s="18" t="n">
        <v>12157.85</v>
      </c>
      <c r="R36" s="18" t="n">
        <v>2316.36</v>
      </c>
      <c r="S36" s="18" t="n">
        <v>2615.78</v>
      </c>
      <c r="T36" s="18" t="n">
        <v>4492.88</v>
      </c>
      <c r="U36" s="37" t="n">
        <v>4492.88</v>
      </c>
      <c r="V36" s="18" t="n">
        <v>3925.24</v>
      </c>
      <c r="W36" s="18" t="n">
        <v>4093.26</v>
      </c>
      <c r="X36" s="18" t="n">
        <v>5995.54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이연법인세자산</t>
        </is>
      </c>
      <c r="F40" s="9" t="n"/>
      <c r="K40" s="9" t="n"/>
      <c r="O40" s="18" t="n">
        <v>211.18</v>
      </c>
      <c r="P40" s="37" t="n">
        <v>211.18</v>
      </c>
      <c r="Q40" s="18" t="n">
        <v>211.18</v>
      </c>
      <c r="R40" s="18" t="n">
        <v>182.61</v>
      </c>
      <c r="S40" s="18" t="n">
        <v>238.74</v>
      </c>
      <c r="T40" s="18" t="n">
        <v>1739.52</v>
      </c>
      <c r="U40" s="37" t="n">
        <v>1739.52</v>
      </c>
      <c r="V40" s="18" t="n">
        <v>1735.22</v>
      </c>
      <c r="W40" s="18" t="n">
        <v>1742.46</v>
      </c>
      <c r="X40" s="18" t="n">
        <v>1744.48</v>
      </c>
      <c r="Y40" s="18" t="n">
        <v>1117.37</v>
      </c>
      <c r="Z40" s="37" t="n">
        <v>1117.37</v>
      </c>
      <c r="AA40" s="18" t="n">
        <v>1120.04</v>
      </c>
      <c r="AB40" s="19" t="n">
        <v>1101.47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F41" s="9" t="n"/>
      <c r="K41" s="9" t="n"/>
      <c r="P41" s="9" t="n"/>
      <c r="Q41" s="18" t="n">
        <v>0</v>
      </c>
      <c r="R41" s="18" t="n">
        <v>6600</v>
      </c>
      <c r="U41" s="9" t="n"/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F42" s="9" t="n"/>
      <c r="K42" s="9" t="n"/>
      <c r="P42" s="9" t="n"/>
      <c r="Q42" s="18" t="n">
        <v>8000</v>
      </c>
      <c r="R42" s="18" t="n">
        <v>8000</v>
      </c>
      <c r="S42" s="18" t="n">
        <v>11300</v>
      </c>
      <c r="T42" s="18" t="n">
        <v>11300</v>
      </c>
      <c r="U42" s="37" t="n">
        <v>11300</v>
      </c>
      <c r="V42" s="18" t="n">
        <v>11300</v>
      </c>
      <c r="W42" s="18" t="n">
        <v>11300</v>
      </c>
      <c r="X42" s="18" t="n">
        <v>11300</v>
      </c>
      <c r="Y42" s="18" t="n">
        <v>11300</v>
      </c>
      <c r="Z42" s="37" t="n">
        <v>11300</v>
      </c>
      <c r="AA42" s="18" t="n">
        <v>3300</v>
      </c>
      <c r="AB42" s="19" t="n">
        <v>3300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F43" s="9" t="n"/>
      <c r="K43" s="9" t="n"/>
      <c r="P43" s="9" t="n"/>
      <c r="S43" s="18" t="n">
        <v>11300</v>
      </c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P44" s="9" t="n"/>
      <c r="S44" s="18" t="n">
        <v>-139.72</v>
      </c>
      <c r="T44" s="18" t="n">
        <v>-139.72</v>
      </c>
      <c r="U44" s="37" t="n">
        <v>-139.72</v>
      </c>
      <c r="V44" s="18" t="n">
        <v>-139.72</v>
      </c>
      <c r="W44" s="18" t="n">
        <v>-139.72</v>
      </c>
      <c r="X44" s="18" t="n">
        <v>-139.72</v>
      </c>
      <c r="Y44" s="18" t="n">
        <v>-139.72</v>
      </c>
      <c r="Z44" s="37" t="n">
        <v>-139.72</v>
      </c>
      <c r="AA44" s="18" t="n">
        <v>-139.72</v>
      </c>
      <c r="AB44" s="19" t="n">
        <v>-139.72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P45" s="9" t="n"/>
      <c r="U45" s="9" t="n"/>
      <c r="W45" s="18" t="n">
        <v>27.32</v>
      </c>
      <c r="X45" s="18" t="n">
        <v>124.57</v>
      </c>
      <c r="Y45" s="18" t="n">
        <v>340.6</v>
      </c>
      <c r="Z45" s="37" t="n">
        <v>340.6</v>
      </c>
      <c r="AA45" s="18" t="n">
        <v>250.2</v>
      </c>
      <c r="AB45" s="19" t="n">
        <v>1188.36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단기금융상품</t>
        </is>
      </c>
      <c r="F46" s="9" t="n"/>
      <c r="K46" s="9" t="n"/>
      <c r="P46" s="9" t="n"/>
      <c r="U46" s="9" t="n"/>
      <c r="Y46" s="18" t="n">
        <v>0</v>
      </c>
      <c r="Z46" s="37" t="n">
        <v>0</v>
      </c>
      <c r="AA46" s="18" t="n">
        <v>1.18</v>
      </c>
      <c r="AB46" s="19" t="n">
        <v>1.2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단기금융자산</t>
        </is>
      </c>
      <c r="F47" s="9" t="n"/>
      <c r="K47" s="9" t="n"/>
      <c r="P47" s="9" t="n"/>
      <c r="U47" s="9" t="n"/>
      <c r="Y47" s="18" t="n">
        <v>0</v>
      </c>
      <c r="Z47" s="37" t="n">
        <v>0</v>
      </c>
      <c r="AA47" s="18" t="n">
        <v>1.18</v>
      </c>
      <c r="AB47" s="19" t="n">
        <v>1.2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372.51</v>
      </c>
      <c r="Z48" s="37" t="n">
        <v>372.51</v>
      </c>
      <c r="AA48" s="18" t="n">
        <v>271.35</v>
      </c>
      <c r="AB48" s="19" t="n">
        <v>170.19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U49" s="9" t="n"/>
      <c r="Y49" s="18" t="n">
        <v>372.51</v>
      </c>
      <c r="Z49" s="37" t="n">
        <v>372.51</v>
      </c>
      <c r="AA49" s="18" t="n">
        <v>271.35</v>
      </c>
      <c r="AB49" s="19" t="n">
        <v>170.19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유동성장기부채</t>
        </is>
      </c>
      <c r="F50" s="9" t="n"/>
      <c r="K50" s="9" t="n"/>
      <c r="P50" s="9" t="n"/>
      <c r="U50" s="9" t="n"/>
      <c r="Z50" s="9" t="n"/>
      <c r="AA50" s="18" t="n">
        <v>8000</v>
      </c>
      <c r="AB50" s="19" t="n">
        <v>8000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8896.35</v>
      </c>
      <c r="F51" s="9" t="n"/>
      <c r="G51" s="18" t="n">
        <v>5724.77</v>
      </c>
      <c r="H51" s="18" t="n">
        <v>6749.96</v>
      </c>
      <c r="I51" s="18" t="n">
        <v>5989.29</v>
      </c>
      <c r="J51" s="18" t="n">
        <v>6395.81</v>
      </c>
      <c r="K51" s="37" t="n">
        <v>24859.83</v>
      </c>
      <c r="L51" s="18" t="n">
        <v>6879.2</v>
      </c>
      <c r="M51" s="18" t="n">
        <v>6790.69</v>
      </c>
      <c r="N51" s="18" t="n">
        <v>5610.19</v>
      </c>
      <c r="O51" s="18" t="n">
        <v>8027.89</v>
      </c>
      <c r="P51" s="37" t="n">
        <v>27307.97</v>
      </c>
      <c r="Q51" s="18" t="n">
        <v>5656.83</v>
      </c>
      <c r="R51" s="18" t="n">
        <v>7734.21</v>
      </c>
      <c r="S51" s="18" t="n">
        <v>9223.93</v>
      </c>
      <c r="T51" s="18" t="n">
        <v>13101.01</v>
      </c>
      <c r="U51" s="37" t="n">
        <v>35715.98</v>
      </c>
      <c r="V51" s="18" t="n">
        <v>8468.74</v>
      </c>
      <c r="W51" s="18" t="n">
        <v>8868.559999999999</v>
      </c>
      <c r="X51" s="18" t="n">
        <v>11506.66</v>
      </c>
      <c r="Y51" s="18" t="n">
        <v>13034.68</v>
      </c>
      <c r="Z51" s="37" t="n">
        <v>41878.64</v>
      </c>
      <c r="AA51" s="18" t="n">
        <v>9196.58</v>
      </c>
      <c r="AB51" s="19" t="n">
        <v>11660.47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7373.45</v>
      </c>
      <c r="F52" s="9" t="n"/>
      <c r="G52" s="18" t="n">
        <v>5385.2</v>
      </c>
      <c r="H52" s="18" t="n">
        <v>5649.6</v>
      </c>
      <c r="I52" s="18" t="n">
        <v>5301.5</v>
      </c>
      <c r="J52" s="18" t="n">
        <v>4450.53</v>
      </c>
      <c r="K52" s="37" t="n">
        <v>20786.83</v>
      </c>
      <c r="L52" s="18" t="n">
        <v>5428.54</v>
      </c>
      <c r="M52" s="18" t="n">
        <v>5771.85</v>
      </c>
      <c r="N52" s="18" t="n">
        <v>4616.62</v>
      </c>
      <c r="O52" s="18" t="n">
        <v>5047.97</v>
      </c>
      <c r="P52" s="37" t="n">
        <v>20864.98</v>
      </c>
      <c r="Q52" s="18" t="n">
        <v>4779.58</v>
      </c>
      <c r="R52" s="18" t="n">
        <v>6116.21</v>
      </c>
      <c r="S52" s="18" t="n">
        <v>6921.26</v>
      </c>
      <c r="T52" s="18" t="n">
        <v>9113.049999999999</v>
      </c>
      <c r="U52" s="37" t="n">
        <v>26930.1</v>
      </c>
      <c r="V52" s="18" t="n">
        <v>6678.78</v>
      </c>
      <c r="W52" s="18" t="n">
        <v>6892.84</v>
      </c>
      <c r="X52" s="18" t="n">
        <v>7142.75</v>
      </c>
      <c r="Y52" s="18" t="n">
        <v>6432.4</v>
      </c>
      <c r="Z52" s="37" t="n">
        <v>27146.77</v>
      </c>
      <c r="AA52" s="18" t="n">
        <v>6303.8</v>
      </c>
      <c r="AB52" s="19" t="n">
        <v>6608.51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1522.9</v>
      </c>
      <c r="F53" s="9" t="n"/>
      <c r="G53" s="18" t="n">
        <v>339.57</v>
      </c>
      <c r="H53" s="18" t="n">
        <v>1100.36</v>
      </c>
      <c r="I53" s="18" t="n">
        <v>687.79</v>
      </c>
      <c r="J53" s="18" t="n">
        <v>1945.28</v>
      </c>
      <c r="K53" s="37" t="n">
        <v>4073</v>
      </c>
      <c r="L53" s="18" t="n">
        <v>1450.67</v>
      </c>
      <c r="M53" s="18" t="n">
        <v>1018.84</v>
      </c>
      <c r="N53" s="18" t="n">
        <v>993.5700000000001</v>
      </c>
      <c r="O53" s="18" t="n">
        <v>2979.92</v>
      </c>
      <c r="P53" s="37" t="n">
        <v>6443</v>
      </c>
      <c r="Q53" s="18" t="n">
        <v>877.25</v>
      </c>
      <c r="R53" s="18" t="n">
        <v>1618.01</v>
      </c>
      <c r="S53" s="18" t="n">
        <v>2302.67</v>
      </c>
      <c r="T53" s="18" t="n">
        <v>3987.95</v>
      </c>
      <c r="U53" s="37" t="n">
        <v>8785.879999999999</v>
      </c>
      <c r="V53" s="18" t="n">
        <v>1789.95</v>
      </c>
      <c r="W53" s="18" t="n">
        <v>1975.72</v>
      </c>
      <c r="X53" s="18" t="n">
        <v>4363.91</v>
      </c>
      <c r="Y53" s="18" t="n">
        <v>6602.28</v>
      </c>
      <c r="Z53" s="37" t="n">
        <v>14731.86</v>
      </c>
      <c r="AA53" s="18" t="n">
        <v>2892.78</v>
      </c>
      <c r="AB53" s="19" t="n">
        <v>5051.96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513.25</v>
      </c>
      <c r="F54" s="9" t="n"/>
      <c r="G54" s="18" t="n">
        <v>664.33</v>
      </c>
      <c r="H54" s="18" t="n">
        <v>547.6</v>
      </c>
      <c r="I54" s="18" t="n">
        <v>535.98</v>
      </c>
      <c r="J54" s="18" t="n">
        <v>925.95</v>
      </c>
      <c r="K54" s="37" t="n">
        <v>2673.86</v>
      </c>
      <c r="L54" s="18" t="n">
        <v>861.05</v>
      </c>
      <c r="M54" s="18" t="n">
        <v>671.89</v>
      </c>
      <c r="N54" s="18" t="n">
        <v>775.4400000000001</v>
      </c>
      <c r="O54" s="18" t="n">
        <v>720.46</v>
      </c>
      <c r="P54" s="37" t="n">
        <v>3028.84</v>
      </c>
      <c r="Q54" s="18" t="n">
        <v>955.45</v>
      </c>
      <c r="R54" s="18" t="n">
        <v>888.53</v>
      </c>
      <c r="S54" s="18" t="n">
        <v>1330.64</v>
      </c>
      <c r="T54" s="18" t="n">
        <v>1529.35</v>
      </c>
      <c r="U54" s="37" t="n">
        <v>4703.97</v>
      </c>
      <c r="V54" s="18" t="n">
        <v>1368.07</v>
      </c>
      <c r="W54" s="18" t="n">
        <v>1282.63</v>
      </c>
      <c r="X54" s="18" t="n">
        <v>1335.39</v>
      </c>
      <c r="Y54" s="18" t="n">
        <v>1456.41</v>
      </c>
      <c r="Z54" s="37" t="n">
        <v>5442.5</v>
      </c>
      <c r="AA54" s="18" t="n">
        <v>1337.79</v>
      </c>
      <c r="AB54" s="19" t="n">
        <v>1147.2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1009.65</v>
      </c>
      <c r="F55" s="9" t="n"/>
      <c r="G55" s="18" t="n">
        <v>-324.76</v>
      </c>
      <c r="H55" s="18" t="n">
        <v>552.76</v>
      </c>
      <c r="I55" s="18" t="n">
        <v>151.82</v>
      </c>
      <c r="J55" s="18" t="n">
        <v>1019.33</v>
      </c>
      <c r="K55" s="37" t="n">
        <v>1399.15</v>
      </c>
      <c r="L55" s="18" t="n">
        <v>589.62</v>
      </c>
      <c r="M55" s="18" t="n">
        <v>346.94</v>
      </c>
      <c r="N55" s="18" t="n">
        <v>218.14</v>
      </c>
      <c r="O55" s="18" t="n">
        <v>2259.46</v>
      </c>
      <c r="P55" s="37" t="n">
        <v>3414.16</v>
      </c>
      <c r="Q55" s="18" t="n">
        <v>-78.2</v>
      </c>
      <c r="R55" s="18" t="n">
        <v>729.48</v>
      </c>
      <c r="S55" s="18" t="n">
        <v>972.03</v>
      </c>
      <c r="T55" s="18" t="n">
        <v>2458.6</v>
      </c>
      <c r="U55" s="37" t="n">
        <v>4081.91</v>
      </c>
      <c r="V55" s="18" t="n">
        <v>421.89</v>
      </c>
      <c r="W55" s="18" t="n">
        <v>693.09</v>
      </c>
      <c r="X55" s="18" t="n">
        <v>3028.52</v>
      </c>
      <c r="Y55" s="18" t="n">
        <v>5145.87</v>
      </c>
      <c r="Z55" s="37" t="n">
        <v>9289.370000000001</v>
      </c>
      <c r="AA55" s="18" t="n">
        <v>1554.99</v>
      </c>
      <c r="AB55" s="19" t="n">
        <v>3904.76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311.96</v>
      </c>
      <c r="F56" s="9" t="n"/>
      <c r="G56" s="18" t="n">
        <v>64.19</v>
      </c>
      <c r="H56" s="18" t="n">
        <v>43.86</v>
      </c>
      <c r="I56" s="18" t="n">
        <v>17.55</v>
      </c>
      <c r="J56" s="18" t="n">
        <v>6.22</v>
      </c>
      <c r="K56" s="37" t="n">
        <v>131.82</v>
      </c>
      <c r="L56" s="18" t="n">
        <v>14.08</v>
      </c>
      <c r="M56" s="18" t="n">
        <v>18.05</v>
      </c>
      <c r="N56" s="18" t="n">
        <v>5.88</v>
      </c>
      <c r="O56" s="18" t="n">
        <v>2.94</v>
      </c>
      <c r="P56" s="37" t="n">
        <v>40.95</v>
      </c>
      <c r="Q56" s="18" t="n">
        <v>10.4</v>
      </c>
      <c r="R56" s="18" t="n">
        <v>12.07</v>
      </c>
      <c r="S56" s="18" t="n">
        <v>14.66</v>
      </c>
      <c r="T56" s="18" t="n">
        <v>35.14</v>
      </c>
      <c r="U56" s="37" t="n">
        <v>72.27</v>
      </c>
      <c r="V56" s="18" t="n">
        <v>22.89</v>
      </c>
      <c r="W56" s="18" t="n">
        <v>45.86</v>
      </c>
      <c r="X56" s="18" t="n">
        <v>17.43</v>
      </c>
      <c r="Y56" s="18" t="n">
        <v>54.17</v>
      </c>
      <c r="Z56" s="37" t="n">
        <v>140.35</v>
      </c>
      <c r="AA56" s="18" t="n">
        <v>68.23</v>
      </c>
      <c r="AB56" s="19" t="n">
        <v>148.99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4.17</v>
      </c>
      <c r="F57" s="9" t="n"/>
      <c r="G57" s="18" t="n">
        <v>0.01</v>
      </c>
      <c r="H57" s="18" t="n">
        <v>75.37</v>
      </c>
      <c r="I57" s="18" t="n">
        <v>0.47</v>
      </c>
      <c r="J57" s="18" t="n">
        <v>1.68</v>
      </c>
      <c r="K57" s="37" t="n">
        <v>77.53</v>
      </c>
      <c r="L57" s="18" t="n">
        <v>4.18</v>
      </c>
      <c r="M57" s="18" t="n">
        <v>11.72</v>
      </c>
      <c r="N57" s="18" t="n">
        <v>-2.86</v>
      </c>
      <c r="O57" s="18" t="n">
        <v>0.76</v>
      </c>
      <c r="P57" s="37" t="n">
        <v>13.8</v>
      </c>
      <c r="Q57" s="18" t="n">
        <v>1.84</v>
      </c>
      <c r="R57" s="18" t="n">
        <v>0.45</v>
      </c>
      <c r="S57" s="18" t="n">
        <v>2.23</v>
      </c>
      <c r="T57" s="18" t="n">
        <v>21.6</v>
      </c>
      <c r="U57" s="37" t="n">
        <v>26.12</v>
      </c>
      <c r="V57" s="18" t="n">
        <v>2.24</v>
      </c>
      <c r="W57" s="18" t="n">
        <v>0.33</v>
      </c>
      <c r="X57" s="18" t="n">
        <v>-0.37</v>
      </c>
      <c r="Y57" s="18" t="n">
        <v>1.34</v>
      </c>
      <c r="Z57" s="37" t="n">
        <v>3.54</v>
      </c>
      <c r="AA57" s="18" t="n">
        <v>20.27</v>
      </c>
      <c r="AB57" s="19" t="n">
        <v>42.38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39.14</v>
      </c>
      <c r="F58" s="9" t="n"/>
      <c r="G58" s="18" t="n">
        <v>10.37</v>
      </c>
      <c r="H58" s="18" t="n">
        <v>34.33</v>
      </c>
      <c r="I58" s="18" t="n">
        <v>190.06</v>
      </c>
      <c r="J58" s="18" t="n">
        <v>-174.05</v>
      </c>
      <c r="K58" s="37" t="n">
        <v>60.71</v>
      </c>
      <c r="L58" s="18" t="n">
        <v>17.91</v>
      </c>
      <c r="M58" s="18" t="n">
        <v>70.88</v>
      </c>
      <c r="N58" s="18" t="n">
        <v>44.8</v>
      </c>
      <c r="O58" s="18" t="n">
        <v>38.77</v>
      </c>
      <c r="P58" s="37" t="n">
        <v>172.36</v>
      </c>
      <c r="Q58" s="18" t="n">
        <v>178</v>
      </c>
      <c r="R58" s="18" t="n">
        <v>291.19</v>
      </c>
      <c r="S58" s="18" t="n">
        <v>-5.1</v>
      </c>
      <c r="T58" s="18" t="n">
        <v>444.83</v>
      </c>
      <c r="U58" s="37" t="n">
        <v>908.92</v>
      </c>
      <c r="V58" s="18" t="n">
        <v>11.5</v>
      </c>
      <c r="W58" s="18" t="n">
        <v>17.88</v>
      </c>
      <c r="X58" s="18" t="n">
        <v>24.31</v>
      </c>
      <c r="Y58" s="18" t="n">
        <v>7.22</v>
      </c>
      <c r="Z58" s="37" t="n">
        <v>60.91</v>
      </c>
      <c r="AA58" s="18" t="n">
        <v>55.3</v>
      </c>
      <c r="AB58" s="19" t="n">
        <v>7.89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0.42</v>
      </c>
      <c r="F59" s="9" t="n"/>
      <c r="G59" s="18" t="n">
        <v>43.28</v>
      </c>
      <c r="H59" s="18" t="n">
        <v>125.16</v>
      </c>
      <c r="I59" s="18" t="n">
        <v>81.48999999999999</v>
      </c>
      <c r="J59" s="18" t="n">
        <v>54.72</v>
      </c>
      <c r="K59" s="37" t="n">
        <v>304.65</v>
      </c>
      <c r="L59" s="18" t="n">
        <v>157.29</v>
      </c>
      <c r="M59" s="18" t="n">
        <v>188.97</v>
      </c>
      <c r="N59" s="18" t="n">
        <v>171.54</v>
      </c>
      <c r="O59" s="18" t="n">
        <v>191.49</v>
      </c>
      <c r="P59" s="37" t="n">
        <v>709.29</v>
      </c>
      <c r="Q59" s="18" t="n">
        <v>98.04000000000001</v>
      </c>
      <c r="R59" s="18" t="n">
        <v>113.67</v>
      </c>
      <c r="S59" s="18" t="n">
        <v>185.5</v>
      </c>
      <c r="T59" s="18" t="n">
        <v>150.6</v>
      </c>
      <c r="U59" s="37" t="n">
        <v>547.8099999999999</v>
      </c>
      <c r="V59" s="18" t="n">
        <v>138.61</v>
      </c>
      <c r="W59" s="18" t="n">
        <v>282.02</v>
      </c>
      <c r="X59" s="18" t="n">
        <v>43.9</v>
      </c>
      <c r="Y59" s="18" t="n">
        <v>109.55</v>
      </c>
      <c r="Z59" s="37" t="n">
        <v>574.08</v>
      </c>
      <c r="AA59" s="18" t="n">
        <v>113.27</v>
      </c>
      <c r="AB59" s="19" t="n">
        <v>111.7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E60" s="18" t="n">
        <v>1356.17</v>
      </c>
      <c r="F60" s="9" t="n"/>
      <c r="G60" s="18" t="n">
        <v>-293.49</v>
      </c>
      <c r="H60" s="18" t="n">
        <v>430.42</v>
      </c>
      <c r="I60" s="18" t="n">
        <v>277.46</v>
      </c>
      <c r="J60" s="18" t="n">
        <v>795.1</v>
      </c>
      <c r="K60" s="37" t="n">
        <v>1209.49</v>
      </c>
      <c r="L60" s="18" t="n">
        <v>460.14</v>
      </c>
      <c r="M60" s="18" t="n">
        <v>235.18</v>
      </c>
      <c r="N60" s="18" t="n">
        <v>100.13</v>
      </c>
      <c r="O60" s="18" t="n">
        <v>2108.94</v>
      </c>
      <c r="P60" s="37" t="n">
        <v>2904.39</v>
      </c>
      <c r="Q60" s="18" t="n">
        <v>10.32</v>
      </c>
      <c r="R60" s="18" t="n">
        <v>918.62</v>
      </c>
      <c r="S60" s="18" t="n">
        <v>793.87</v>
      </c>
      <c r="T60" s="18" t="n">
        <v>2766.36</v>
      </c>
      <c r="U60" s="37" t="n">
        <v>4489.17</v>
      </c>
      <c r="V60" s="18" t="n">
        <v>315.42</v>
      </c>
      <c r="W60" s="18" t="n">
        <v>474.47</v>
      </c>
      <c r="X60" s="18" t="n">
        <v>3026.72</v>
      </c>
      <c r="Y60" s="18" t="n">
        <v>5096.37</v>
      </c>
      <c r="Z60" s="37" t="n">
        <v>8912.98</v>
      </c>
      <c r="AA60" s="18" t="n">
        <v>1544.98</v>
      </c>
      <c r="AB60" s="19" t="n">
        <v>3907.57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E61" s="18" t="n">
        <v>141.96</v>
      </c>
      <c r="F61" s="9" t="n"/>
      <c r="H61" s="18" t="n">
        <v>1.46</v>
      </c>
      <c r="I61" s="18" t="n">
        <v>85.34</v>
      </c>
      <c r="J61" s="18" t="n">
        <v>-157.6</v>
      </c>
      <c r="K61" s="9" t="n"/>
      <c r="L61" s="18" t="n">
        <v>-4.54</v>
      </c>
      <c r="M61" s="18" t="n">
        <v>33.88</v>
      </c>
      <c r="N61" s="18" t="n">
        <v>-1.38</v>
      </c>
      <c r="O61" s="18" t="n">
        <v>-1920.06</v>
      </c>
      <c r="P61" s="37" t="n">
        <v>-1892.1</v>
      </c>
      <c r="Q61" s="18" t="n">
        <v>1.64</v>
      </c>
      <c r="R61" s="18" t="n">
        <v>3.55</v>
      </c>
      <c r="S61" s="18" t="n">
        <v>-54</v>
      </c>
      <c r="T61" s="18" t="n">
        <v>-1505.94</v>
      </c>
      <c r="U61" s="37" t="n">
        <v>-1554.75</v>
      </c>
      <c r="V61" s="18" t="n">
        <v>6.64</v>
      </c>
      <c r="W61" s="18" t="n">
        <v>22.48</v>
      </c>
      <c r="X61" s="18" t="n">
        <v>123.39</v>
      </c>
      <c r="Y61" s="18" t="n">
        <v>811.1799999999999</v>
      </c>
      <c r="Z61" s="37" t="n">
        <v>963.6900000000001</v>
      </c>
      <c r="AA61" s="18" t="n">
        <v>63.31</v>
      </c>
      <c r="AB61" s="19" t="n">
        <v>1125.25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1214.21</v>
      </c>
      <c r="F62" s="9" t="n"/>
      <c r="G62" s="18" t="n">
        <v>-293.49</v>
      </c>
      <c r="H62" s="18" t="n">
        <v>428.95</v>
      </c>
      <c r="I62" s="18" t="n">
        <v>192.13</v>
      </c>
      <c r="J62" s="18" t="n">
        <v>952.7</v>
      </c>
      <c r="K62" s="37" t="n">
        <v>1280.29</v>
      </c>
      <c r="L62" s="18" t="n">
        <v>464.68</v>
      </c>
      <c r="M62" s="18" t="n">
        <v>201.3</v>
      </c>
      <c r="N62" s="18" t="n">
        <v>101.51</v>
      </c>
      <c r="O62" s="18" t="n">
        <v>4029</v>
      </c>
      <c r="P62" s="37" t="n">
        <v>4796.49</v>
      </c>
      <c r="Q62" s="18" t="n">
        <v>8.68</v>
      </c>
      <c r="R62" s="18" t="n">
        <v>915.0700000000001</v>
      </c>
      <c r="S62" s="18" t="n">
        <v>847.86</v>
      </c>
      <c r="T62" s="18" t="n">
        <v>4272.29</v>
      </c>
      <c r="U62" s="37" t="n">
        <v>6043.9</v>
      </c>
      <c r="V62" s="18" t="n">
        <v>308.78</v>
      </c>
      <c r="W62" s="18" t="n">
        <v>451.99</v>
      </c>
      <c r="X62" s="18" t="n">
        <v>2903.33</v>
      </c>
      <c r="Y62" s="18" t="n">
        <v>4285.18</v>
      </c>
      <c r="Z62" s="37" t="n">
        <v>7949.28</v>
      </c>
      <c r="AA62" s="18" t="n">
        <v>1481.66</v>
      </c>
      <c r="AB62" s="19" t="n">
        <v>2782.33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1148.74</v>
      </c>
      <c r="F63" s="9" t="n"/>
      <c r="G63" s="18" t="n">
        <v>-303.13</v>
      </c>
      <c r="H63" s="18" t="n">
        <v>694.58</v>
      </c>
      <c r="I63" s="18" t="n">
        <v>186.11</v>
      </c>
      <c r="J63" s="18" t="n">
        <v>1019.72</v>
      </c>
      <c r="K63" s="37" t="n">
        <v>1597.28</v>
      </c>
      <c r="L63" s="18" t="n">
        <v>459.82</v>
      </c>
      <c r="M63" s="18" t="n">
        <v>201.01</v>
      </c>
      <c r="N63" s="18" t="n">
        <v>97.11</v>
      </c>
      <c r="O63" s="18" t="n">
        <v>4032.88</v>
      </c>
      <c r="P63" s="37" t="n">
        <v>4790.82</v>
      </c>
      <c r="Q63" s="18" t="n">
        <v>2.46</v>
      </c>
      <c r="R63" s="18" t="n">
        <v>882.9</v>
      </c>
      <c r="S63" s="18" t="n">
        <v>839.8</v>
      </c>
      <c r="T63" s="18" t="n">
        <v>4291.78</v>
      </c>
      <c r="U63" s="37" t="n">
        <v>6016.94</v>
      </c>
      <c r="V63" s="18" t="n">
        <v>299.93</v>
      </c>
      <c r="W63" s="18" t="n">
        <v>449.72</v>
      </c>
      <c r="X63" s="18" t="n">
        <v>2895.69</v>
      </c>
      <c r="Y63" s="18" t="n">
        <v>4359.27</v>
      </c>
      <c r="Z63" s="37" t="n">
        <v>8004.61</v>
      </c>
      <c r="AA63" s="18" t="n">
        <v>1472.19</v>
      </c>
      <c r="AB63" s="19" t="n">
        <v>2848.16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38.72</v>
      </c>
      <c r="F64" s="9" t="n"/>
      <c r="G64" s="18" t="n">
        <v>-32.91</v>
      </c>
      <c r="H64" s="18" t="n">
        <v>-90.83</v>
      </c>
      <c r="I64" s="18" t="n">
        <v>108.57</v>
      </c>
      <c r="J64" s="18" t="n">
        <v>-228.77</v>
      </c>
      <c r="K64" s="37" t="n">
        <v>-243.94</v>
      </c>
      <c r="L64" s="18" t="n">
        <v>-139.38</v>
      </c>
      <c r="M64" s="18" t="n">
        <v>-118.09</v>
      </c>
      <c r="N64" s="18" t="n">
        <v>-126.74</v>
      </c>
      <c r="O64" s="18" t="n">
        <v>-152.72</v>
      </c>
      <c r="P64" s="37" t="n">
        <v>-536.9299999999999</v>
      </c>
      <c r="Q64" s="18" t="n">
        <v>79.95999999999999</v>
      </c>
      <c r="R64" s="18" t="n">
        <v>177.52</v>
      </c>
      <c r="S64" s="18" t="n">
        <v>-190.6</v>
      </c>
      <c r="T64" s="18" t="n">
        <v>294.23</v>
      </c>
      <c r="U64" s="37" t="n">
        <v>361.11</v>
      </c>
      <c r="V64" s="18" t="n">
        <v>-127.11</v>
      </c>
      <c r="W64" s="18" t="n">
        <v>-264.14</v>
      </c>
      <c r="X64" s="18" t="n">
        <v>-19.59</v>
      </c>
      <c r="Y64" s="18" t="n">
        <v>-102.33</v>
      </c>
      <c r="Z64" s="37" t="n">
        <v>-513.17</v>
      </c>
      <c r="AA64" s="18" t="n">
        <v>-57.97</v>
      </c>
      <c r="AB64" s="19" t="n">
        <v>-103.81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307.79</v>
      </c>
      <c r="F65" s="9" t="n"/>
      <c r="G65" s="18" t="n">
        <v>64.18000000000001</v>
      </c>
      <c r="H65" s="18" t="n">
        <v>-31.51</v>
      </c>
      <c r="I65" s="18" t="n">
        <v>17.08</v>
      </c>
      <c r="J65" s="18" t="n">
        <v>4.54</v>
      </c>
      <c r="K65" s="37" t="n">
        <v>54.29</v>
      </c>
      <c r="L65" s="18" t="n">
        <v>9.9</v>
      </c>
      <c r="M65" s="18" t="n">
        <v>6.33</v>
      </c>
      <c r="N65" s="18" t="n">
        <v>8.74</v>
      </c>
      <c r="O65" s="18" t="n">
        <v>2.18</v>
      </c>
      <c r="P65" s="37" t="n">
        <v>27.15</v>
      </c>
      <c r="Q65" s="18" t="n">
        <v>8.56</v>
      </c>
      <c r="R65" s="18" t="n">
        <v>11.62</v>
      </c>
      <c r="S65" s="18" t="n">
        <v>12.43</v>
      </c>
      <c r="T65" s="18" t="n">
        <v>13.54</v>
      </c>
      <c r="U65" s="37" t="n">
        <v>46.15</v>
      </c>
      <c r="V65" s="18" t="n">
        <v>20.65</v>
      </c>
      <c r="W65" s="18" t="n">
        <v>45.53</v>
      </c>
      <c r="X65" s="18" t="n">
        <v>17.8</v>
      </c>
      <c r="Y65" s="18" t="n">
        <v>52.83</v>
      </c>
      <c r="Z65" s="37" t="n">
        <v>136.81</v>
      </c>
      <c r="AA65" s="18" t="n">
        <v>47.96</v>
      </c>
      <c r="AB65" s="19" t="n">
        <v>106.61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1214.21</v>
      </c>
      <c r="F66" s="9" t="n"/>
      <c r="G66" s="18" t="n">
        <v>-293.49</v>
      </c>
      <c r="H66" s="18" t="n">
        <v>428.95</v>
      </c>
      <c r="I66" s="18" t="n">
        <v>192.13</v>
      </c>
      <c r="J66" s="18" t="n">
        <v>952.7</v>
      </c>
      <c r="K66" s="37" t="n">
        <v>1280.29</v>
      </c>
      <c r="L66" s="18" t="n">
        <v>464.68</v>
      </c>
      <c r="M66" s="18" t="n">
        <v>201.3</v>
      </c>
      <c r="N66" s="18" t="n">
        <v>101.51</v>
      </c>
      <c r="O66" s="18" t="n">
        <v>4029</v>
      </c>
      <c r="P66" s="37" t="n">
        <v>4796.49</v>
      </c>
      <c r="Q66" s="18" t="n">
        <v>8.68</v>
      </c>
      <c r="R66" s="18" t="n">
        <v>915.0700000000001</v>
      </c>
      <c r="S66" s="18" t="n">
        <v>847.86</v>
      </c>
      <c r="T66" s="18" t="n">
        <v>4272.29</v>
      </c>
      <c r="U66" s="37" t="n">
        <v>6043.9</v>
      </c>
      <c r="V66" s="18" t="n">
        <v>308.78</v>
      </c>
      <c r="W66" s="18" t="n">
        <v>451.99</v>
      </c>
      <c r="X66" s="18" t="n">
        <v>2903.33</v>
      </c>
      <c r="Y66" s="18" t="n">
        <v>4285.18</v>
      </c>
      <c r="Z66" s="37" t="n">
        <v>7949.28</v>
      </c>
      <c r="AA66" s="18" t="n">
        <v>1481.66</v>
      </c>
      <c r="AB66" s="19" t="n">
        <v>2782.33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1214.21</v>
      </c>
      <c r="F67" s="9" t="n"/>
      <c r="G67" s="18" t="n">
        <v>-293.49</v>
      </c>
      <c r="H67" s="18" t="n">
        <v>428.95</v>
      </c>
      <c r="I67" s="18" t="n">
        <v>192.13</v>
      </c>
      <c r="J67" s="18" t="n">
        <v>952.7</v>
      </c>
      <c r="K67" s="37" t="n">
        <v>1280.29</v>
      </c>
      <c r="L67" s="18" t="n">
        <v>464.68</v>
      </c>
      <c r="M67" s="18" t="n">
        <v>201.3</v>
      </c>
      <c r="N67" s="18" t="n">
        <v>101.51</v>
      </c>
      <c r="O67" s="18" t="n">
        <v>4029</v>
      </c>
      <c r="P67" s="37" t="n">
        <v>4796.49</v>
      </c>
      <c r="Q67" s="18" t="n">
        <v>8.68</v>
      </c>
      <c r="R67" s="18" t="n">
        <v>915.0700000000001</v>
      </c>
      <c r="S67" s="18" t="n">
        <v>847.86</v>
      </c>
      <c r="T67" s="18" t="n">
        <v>4272.29</v>
      </c>
      <c r="U67" s="37" t="n">
        <v>6043.9</v>
      </c>
      <c r="V67" s="18" t="n">
        <v>308.78</v>
      </c>
      <c r="W67" s="18" t="n">
        <v>451.99</v>
      </c>
      <c r="X67" s="18" t="n">
        <v>2903.33</v>
      </c>
      <c r="Y67" s="18" t="n">
        <v>4285.18</v>
      </c>
      <c r="Z67" s="37" t="n">
        <v>7949.28</v>
      </c>
      <c r="AA67" s="18" t="n">
        <v>1481.66</v>
      </c>
      <c r="AB67" s="19" t="n">
        <v>2782.33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H68" s="18" t="n">
        <v>0.01</v>
      </c>
      <c r="I68" s="18" t="n">
        <v>0.01</v>
      </c>
      <c r="J68" s="18" t="n">
        <v>35.04</v>
      </c>
      <c r="K68" s="9" t="n"/>
      <c r="L68" s="18" t="n">
        <v>6.65</v>
      </c>
      <c r="M68" s="18" t="n">
        <v>6.86</v>
      </c>
      <c r="N68" s="18" t="n">
        <v>6.94</v>
      </c>
      <c r="O68" s="18" t="n">
        <v>7.01</v>
      </c>
      <c r="P68" s="37" t="n">
        <v>27.46</v>
      </c>
      <c r="Q68" s="18" t="n">
        <v>7.55</v>
      </c>
      <c r="R68" s="18" t="n">
        <v>7.12</v>
      </c>
      <c r="S68" s="18" t="n">
        <v>5.83</v>
      </c>
      <c r="T68" s="18" t="n">
        <v>5.95</v>
      </c>
      <c r="U68" s="37" t="n">
        <v>26.45</v>
      </c>
      <c r="V68" s="18" t="n">
        <v>5.95</v>
      </c>
      <c r="W68" s="18" t="n">
        <v>5.75</v>
      </c>
      <c r="X68" s="18" t="n">
        <v>5.65</v>
      </c>
      <c r="Y68" s="18" t="n">
        <v>6.66</v>
      </c>
      <c r="Z68" s="37" t="n">
        <v>24.01</v>
      </c>
      <c r="AA68" s="18" t="n">
        <v>0.33</v>
      </c>
      <c r="AB68" s="19" t="n">
        <v>0.97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H69" s="18" t="n">
        <v>0.07000000000000001</v>
      </c>
      <c r="I69" s="18" t="n">
        <v>0.06</v>
      </c>
      <c r="J69" s="18" t="n">
        <v>241.93</v>
      </c>
      <c r="K69" s="9" t="n"/>
      <c r="L69" s="18" t="n">
        <v>96.5</v>
      </c>
      <c r="M69" s="18" t="n">
        <v>107.96</v>
      </c>
      <c r="N69" s="18" t="n">
        <v>107.48</v>
      </c>
      <c r="O69" s="18" t="n">
        <v>101.54</v>
      </c>
      <c r="P69" s="37" t="n">
        <v>413.48</v>
      </c>
      <c r="Q69" s="18" t="n">
        <v>98.04000000000001</v>
      </c>
      <c r="R69" s="18" t="n">
        <v>112.53</v>
      </c>
      <c r="S69" s="18" t="n">
        <v>160.58</v>
      </c>
      <c r="T69" s="18" t="n">
        <v>151</v>
      </c>
      <c r="U69" s="37" t="n">
        <v>522.15</v>
      </c>
      <c r="V69" s="18" t="n">
        <v>130.27</v>
      </c>
      <c r="W69" s="18" t="n">
        <v>113.77</v>
      </c>
      <c r="X69" s="18" t="n">
        <v>101.56</v>
      </c>
      <c r="Y69" s="18" t="n">
        <v>98.92</v>
      </c>
      <c r="Z69" s="37" t="n">
        <v>444.52</v>
      </c>
      <c r="AA69" s="18" t="n">
        <v>103.61</v>
      </c>
      <c r="AB69" s="19" t="n">
        <v>105.5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이자손익</t>
        </is>
      </c>
      <c r="F70" s="9" t="n"/>
      <c r="H70" s="18" t="n">
        <v>-0.06</v>
      </c>
      <c r="I70" s="18" t="n">
        <v>-0.05</v>
      </c>
      <c r="J70" s="18" t="n">
        <v>-206.89</v>
      </c>
      <c r="K70" s="9" t="n"/>
      <c r="L70" s="18" t="n">
        <v>-89.84999999999999</v>
      </c>
      <c r="M70" s="18" t="n">
        <v>-101.1</v>
      </c>
      <c r="N70" s="18" t="n">
        <v>-100.54</v>
      </c>
      <c r="O70" s="18" t="n">
        <v>-94.53</v>
      </c>
      <c r="P70" s="37" t="n">
        <v>-386.02</v>
      </c>
      <c r="Q70" s="18" t="n">
        <v>-90.48999999999999</v>
      </c>
      <c r="R70" s="18" t="n">
        <v>-105.41</v>
      </c>
      <c r="S70" s="18" t="n">
        <v>-154.75</v>
      </c>
      <c r="T70" s="18" t="n">
        <v>-145.05</v>
      </c>
      <c r="U70" s="37" t="n">
        <v>-495.7</v>
      </c>
      <c r="V70" s="18" t="n">
        <v>-124.32</v>
      </c>
      <c r="W70" s="18" t="n">
        <v>-108.02</v>
      </c>
      <c r="X70" s="18" t="n">
        <v>-95.91</v>
      </c>
      <c r="Y70" s="18" t="n">
        <v>-92.26000000000001</v>
      </c>
      <c r="Z70" s="37" t="n">
        <v>-420.51</v>
      </c>
      <c r="AA70" s="18" t="n">
        <v>-103.28</v>
      </c>
      <c r="AB70" s="19" t="n">
        <v>-104.53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배당금수익</t>
        </is>
      </c>
      <c r="F71" s="9" t="n"/>
      <c r="I71" s="18" t="n">
        <v>0.03</v>
      </c>
      <c r="J71" s="18" t="n">
        <v>31.33</v>
      </c>
      <c r="K71" s="9" t="n"/>
      <c r="M71" s="18" t="n">
        <v>38.59</v>
      </c>
      <c r="N71" s="18" t="n">
        <v>0</v>
      </c>
      <c r="O71" s="18" t="n">
        <v>0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외환차익</t>
        </is>
      </c>
      <c r="F72" s="9" t="n"/>
      <c r="K72" s="9" t="n"/>
      <c r="P72" s="9" t="n"/>
      <c r="R72" s="18" t="n">
        <v>0.11</v>
      </c>
      <c r="S72" s="18" t="n">
        <v>1.02</v>
      </c>
      <c r="T72" s="18" t="n">
        <v>23.24</v>
      </c>
      <c r="U72" s="9" t="n"/>
      <c r="V72" s="18" t="n">
        <v>3.27</v>
      </c>
      <c r="W72" s="18" t="n">
        <v>2.94</v>
      </c>
      <c r="X72" s="18" t="n">
        <v>2.21</v>
      </c>
      <c r="Y72" s="18" t="n">
        <v>9.08</v>
      </c>
      <c r="Z72" s="37" t="n">
        <v>17.5</v>
      </c>
      <c r="AA72" s="18" t="n">
        <v>34.53</v>
      </c>
      <c r="AB72" s="19" t="n">
        <v>13.38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외환차손</t>
        </is>
      </c>
      <c r="F73" s="9" t="n"/>
      <c r="K73" s="9" t="n"/>
      <c r="P73" s="9" t="n"/>
      <c r="R73" s="18" t="n">
        <v>0.1</v>
      </c>
      <c r="S73" s="18" t="n">
        <v>10.72</v>
      </c>
      <c r="T73" s="18" t="n">
        <v>6.12</v>
      </c>
      <c r="U73" s="9" t="n"/>
      <c r="V73" s="18" t="n">
        <v>3.1</v>
      </c>
      <c r="W73" s="18" t="n">
        <v>27.26</v>
      </c>
      <c r="X73" s="18" t="n">
        <v>86.8</v>
      </c>
      <c r="Y73" s="18" t="n">
        <v>0.8</v>
      </c>
      <c r="Z73" s="37" t="n">
        <v>117.96</v>
      </c>
      <c r="AA73" s="18" t="n">
        <v>5.46</v>
      </c>
      <c r="AB73" s="19" t="n">
        <v>6.35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외화환산이익</t>
        </is>
      </c>
      <c r="F74" s="9" t="n"/>
      <c r="K74" s="9" t="n"/>
      <c r="P74" s="9" t="n"/>
      <c r="R74" s="18" t="n">
        <v>3.24</v>
      </c>
      <c r="S74" s="18" t="n">
        <v>1.9</v>
      </c>
      <c r="T74" s="18" t="n">
        <v>92.65000000000001</v>
      </c>
      <c r="U74" s="9" t="n"/>
      <c r="V74" s="18" t="n">
        <v>1.44</v>
      </c>
      <c r="W74" s="18" t="n">
        <v>8.779999999999999</v>
      </c>
      <c r="X74" s="18" t="n">
        <v>-1.78</v>
      </c>
      <c r="Y74" s="18" t="n">
        <v>-3.89</v>
      </c>
      <c r="Z74" s="37" t="n">
        <v>4.55</v>
      </c>
      <c r="AA74" s="18" t="n">
        <v>20.44</v>
      </c>
      <c r="AB74" s="19" t="n">
        <v>-6.46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K75" s="9" t="n"/>
      <c r="P75" s="9" t="n"/>
      <c r="R75" s="18" t="n">
        <v>1.03</v>
      </c>
      <c r="S75" s="18" t="n">
        <v>14.2</v>
      </c>
      <c r="T75" s="18" t="n">
        <v>-6.51</v>
      </c>
      <c r="U75" s="9" t="n"/>
      <c r="V75" s="18" t="n">
        <v>5.24</v>
      </c>
      <c r="W75" s="18" t="n">
        <v>140.98</v>
      </c>
      <c r="X75" s="18" t="n">
        <v>-144.46</v>
      </c>
      <c r="Y75" s="18" t="n">
        <v>9.82</v>
      </c>
      <c r="Z75" s="37" t="n">
        <v>11.58</v>
      </c>
      <c r="AA75" s="18" t="n">
        <v>4.2</v>
      </c>
      <c r="AB75" s="19" t="n">
        <v>-0.15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90.41</v>
      </c>
      <c r="F76" s="9" t="n"/>
      <c r="G76" s="18" t="n">
        <v>-1301.67</v>
      </c>
      <c r="H76" s="18" t="n">
        <v>-1328.31</v>
      </c>
      <c r="I76" s="18" t="n">
        <v>1167.99</v>
      </c>
      <c r="J76" s="18" t="n">
        <v>1066.35</v>
      </c>
      <c r="K76" s="37" t="n">
        <v>-395.64</v>
      </c>
      <c r="L76" s="18" t="n">
        <v>1625.83</v>
      </c>
      <c r="M76" s="18" t="n">
        <v>1617.36</v>
      </c>
      <c r="N76" s="18" t="n">
        <v>1289.98</v>
      </c>
      <c r="O76" s="18" t="n">
        <v>544.49</v>
      </c>
      <c r="P76" s="37" t="n">
        <v>5077.66</v>
      </c>
      <c r="Q76" s="18" t="n">
        <v>2062.55</v>
      </c>
      <c r="R76" s="18" t="n">
        <v>-120.66</v>
      </c>
      <c r="S76" s="18" t="n">
        <v>1179.42</v>
      </c>
      <c r="T76" s="18" t="n">
        <v>1842.3</v>
      </c>
      <c r="U76" s="37" t="n">
        <v>4963.61</v>
      </c>
      <c r="V76" s="18" t="n">
        <v>231.45</v>
      </c>
      <c r="W76" s="18" t="n">
        <v>1341.84</v>
      </c>
      <c r="X76" s="18" t="n">
        <v>1889.15</v>
      </c>
      <c r="Y76" s="18" t="n">
        <v>6650.4</v>
      </c>
      <c r="Z76" s="37" t="n">
        <v>10112.84</v>
      </c>
      <c r="AA76" s="18" t="n">
        <v>2017.81</v>
      </c>
      <c r="AB76" s="19" t="n">
        <v>3345.05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136.06</v>
      </c>
      <c r="F77" s="9" t="n"/>
      <c r="G77" s="18" t="n">
        <v>126.46</v>
      </c>
      <c r="H77" s="18" t="n">
        <v>149.2</v>
      </c>
      <c r="I77" s="18" t="n">
        <v>144.3</v>
      </c>
      <c r="J77" s="18" t="n">
        <v>177.32</v>
      </c>
      <c r="K77" s="37" t="n">
        <v>597.28</v>
      </c>
      <c r="L77" s="18" t="n">
        <v>242.85</v>
      </c>
      <c r="M77" s="18" t="n">
        <v>238.59</v>
      </c>
      <c r="N77" s="18" t="n">
        <v>234.67</v>
      </c>
      <c r="O77" s="18" t="n">
        <v>234.34</v>
      </c>
      <c r="P77" s="37" t="n">
        <v>950.45</v>
      </c>
      <c r="U77" s="9" t="n"/>
      <c r="V77" s="18" t="n">
        <v>243.45</v>
      </c>
      <c r="W77" s="18" t="n">
        <v>240.47</v>
      </c>
      <c r="X77" s="18" t="n">
        <v>240.61</v>
      </c>
      <c r="Y77" s="18" t="n">
        <v>240.13</v>
      </c>
      <c r="Z77" s="37" t="n">
        <v>964.66</v>
      </c>
      <c r="AA77" s="18" t="n">
        <v>239.67</v>
      </c>
      <c r="AB77" s="19" t="n">
        <v>238.43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-5.9</v>
      </c>
      <c r="F78" s="9" t="n"/>
      <c r="G78" s="18" t="n">
        <v>12.7</v>
      </c>
      <c r="H78" s="18" t="n">
        <v>1.05</v>
      </c>
      <c r="I78" s="18" t="n">
        <v>-55.28</v>
      </c>
      <c r="J78" s="18" t="n">
        <v>-7.8</v>
      </c>
      <c r="K78" s="37" t="n">
        <v>-49.33</v>
      </c>
      <c r="L78" s="18" t="n">
        <v>-0.95</v>
      </c>
      <c r="M78" s="18" t="n">
        <v>9.02</v>
      </c>
      <c r="N78" s="18" t="n">
        <v>-3.39</v>
      </c>
      <c r="O78" s="18" t="n">
        <v>-1.1</v>
      </c>
      <c r="P78" s="37" t="n">
        <v>3.58</v>
      </c>
      <c r="Q78" s="18" t="n">
        <v>-1.1</v>
      </c>
      <c r="R78" s="18" t="n">
        <v>2.86</v>
      </c>
      <c r="S78" s="18" t="n">
        <v>-4.97</v>
      </c>
      <c r="T78" s="18" t="n">
        <v>-61.46</v>
      </c>
      <c r="U78" s="37" t="n">
        <v>-64.67</v>
      </c>
      <c r="V78" s="18" t="n">
        <v>-0.92</v>
      </c>
      <c r="W78" s="18" t="n">
        <v>67.73</v>
      </c>
      <c r="X78" s="18" t="n">
        <v>-26.14</v>
      </c>
      <c r="Y78" s="18" t="n">
        <v>-1.02</v>
      </c>
      <c r="Z78" s="37" t="n">
        <v>39.65</v>
      </c>
      <c r="AA78" s="18" t="n">
        <v>-153.72</v>
      </c>
      <c r="AB78" s="19" t="n">
        <v>-187.08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2100.72</v>
      </c>
      <c r="F79" s="9" t="n"/>
      <c r="G79" s="18" t="n">
        <v>-5327.88</v>
      </c>
      <c r="H79" s="18" t="n">
        <v>-1712.8</v>
      </c>
      <c r="I79" s="18" t="n">
        <v>-62.86</v>
      </c>
      <c r="J79" s="18" t="n">
        <v>-27.58</v>
      </c>
      <c r="K79" s="37" t="n">
        <v>-7131.12</v>
      </c>
      <c r="L79" s="18" t="n">
        <v>17.05</v>
      </c>
      <c r="M79" s="18" t="n">
        <v>0</v>
      </c>
      <c r="N79" s="18" t="n">
        <v>-9.890000000000001</v>
      </c>
      <c r="O79" s="18" t="n">
        <v>-126.42</v>
      </c>
      <c r="P79" s="37" t="n">
        <v>-119.26</v>
      </c>
      <c r="Q79" s="18" t="n">
        <v>506.12</v>
      </c>
      <c r="R79" s="18" t="n">
        <v>-12620.07</v>
      </c>
      <c r="S79" s="18" t="n">
        <v>70.42</v>
      </c>
      <c r="T79" s="18" t="n">
        <v>761.27</v>
      </c>
      <c r="U79" s="37" t="n">
        <v>-11282.26</v>
      </c>
      <c r="V79" s="18" t="n">
        <v>-117.22</v>
      </c>
      <c r="W79" s="18" t="n">
        <v>-12.44</v>
      </c>
      <c r="X79" s="18" t="n">
        <v>-29.35</v>
      </c>
      <c r="Y79" s="18" t="n">
        <v>474.17</v>
      </c>
      <c r="Z79" s="37" t="n">
        <v>315.16</v>
      </c>
      <c r="AA79" s="18" t="n">
        <v>-49.15</v>
      </c>
      <c r="AB79" s="19" t="n">
        <v>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46.29</v>
      </c>
      <c r="F80" s="9" t="n"/>
      <c r="G80" s="18" t="n">
        <v>41.79</v>
      </c>
      <c r="K80" s="9" t="n"/>
      <c r="P80" s="9" t="n"/>
      <c r="Q80" s="18" t="n">
        <v>7.56</v>
      </c>
      <c r="R80" s="18" t="n">
        <v>7.11</v>
      </c>
      <c r="S80" s="18" t="n">
        <v>5.83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31.36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-31.74</v>
      </c>
      <c r="F82" s="9" t="n"/>
      <c r="G82" s="18" t="n">
        <v>7932.9</v>
      </c>
      <c r="H82" s="18" t="n">
        <v>35.11</v>
      </c>
      <c r="I82" s="18" t="n">
        <v>-0.57</v>
      </c>
      <c r="J82" s="18" t="n">
        <v>-33.36</v>
      </c>
      <c r="K82" s="37" t="n">
        <v>7934.08</v>
      </c>
      <c r="L82" s="18" t="n">
        <v>-98.66</v>
      </c>
      <c r="M82" s="18" t="n">
        <v>-100.26</v>
      </c>
      <c r="N82" s="18" t="n">
        <v>-101.88</v>
      </c>
      <c r="O82" s="18" t="n">
        <v>-101.7</v>
      </c>
      <c r="P82" s="37" t="n">
        <v>-402.5</v>
      </c>
      <c r="Q82" s="18" t="n">
        <v>770.0599999999999</v>
      </c>
      <c r="R82" s="18" t="n">
        <v>2899.13</v>
      </c>
      <c r="S82" s="18" t="n">
        <v>-941.98</v>
      </c>
      <c r="T82" s="18" t="n">
        <v>-814.79</v>
      </c>
      <c r="U82" s="37" t="n">
        <v>1912.42</v>
      </c>
      <c r="V82" s="18" t="n">
        <v>-682.73</v>
      </c>
      <c r="W82" s="18" t="n">
        <v>-1017.51</v>
      </c>
      <c r="X82" s="18" t="n">
        <v>-102.25</v>
      </c>
      <c r="Y82" s="18" t="n">
        <v>-101.9</v>
      </c>
      <c r="Z82" s="37" t="n">
        <v>-1904.39</v>
      </c>
      <c r="AA82" s="18" t="n">
        <v>-99.68000000000001</v>
      </c>
      <c r="AB82" s="19" t="n">
        <v>-101.03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이자지급(CF)</t>
        </is>
      </c>
      <c r="E83" s="18" t="n">
        <v>-0.66</v>
      </c>
      <c r="F83" s="9" t="n"/>
      <c r="G83" s="18" t="n">
        <v>-43.28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31.09</v>
      </c>
      <c r="F84" s="9" t="n"/>
      <c r="G84" s="18" t="n">
        <v>23.82</v>
      </c>
      <c r="H84" s="18" t="n">
        <v>8.17</v>
      </c>
      <c r="I84" s="18" t="n">
        <v>0.57</v>
      </c>
      <c r="J84" s="18" t="n">
        <v>33.36</v>
      </c>
      <c r="K84" s="37" t="n">
        <v>65.92</v>
      </c>
      <c r="L84" s="18" t="n">
        <v>98.66</v>
      </c>
      <c r="M84" s="18" t="n">
        <v>100.26</v>
      </c>
      <c r="N84" s="18" t="n">
        <v>101.88</v>
      </c>
      <c r="O84" s="18" t="n">
        <v>101.7</v>
      </c>
      <c r="P84" s="37" t="n">
        <v>402.5</v>
      </c>
      <c r="Q84" s="18" t="n">
        <v>99.51000000000001</v>
      </c>
      <c r="R84" s="18" t="n">
        <v>100.87</v>
      </c>
      <c r="S84" s="18" t="n">
        <v>102.26</v>
      </c>
      <c r="T84" s="18" t="n">
        <v>101.78</v>
      </c>
      <c r="U84" s="37" t="n">
        <v>404.42</v>
      </c>
      <c r="V84" s="18" t="n">
        <v>99.41</v>
      </c>
      <c r="W84" s="18" t="n">
        <v>100.83</v>
      </c>
      <c r="X84" s="18" t="n">
        <v>102.25</v>
      </c>
      <c r="Y84" s="18" t="n">
        <v>101.9</v>
      </c>
      <c r="Z84" s="37" t="n">
        <v>404.39</v>
      </c>
      <c r="AA84" s="18" t="n">
        <v>99.68000000000001</v>
      </c>
      <c r="AB84" s="19" t="n">
        <v>101.03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2159.38</v>
      </c>
      <c r="F85" s="9" t="n"/>
      <c r="G85" s="18" t="n">
        <v>1303.35</v>
      </c>
      <c r="H85" s="18" t="n">
        <v>-3006</v>
      </c>
      <c r="I85" s="18" t="n">
        <v>1104.56</v>
      </c>
      <c r="J85" s="18" t="n">
        <v>1005.41</v>
      </c>
      <c r="K85" s="37" t="n">
        <v>407.32</v>
      </c>
      <c r="L85" s="18" t="n">
        <v>1544.22</v>
      </c>
      <c r="M85" s="18" t="n">
        <v>1517.11</v>
      </c>
      <c r="N85" s="18" t="n">
        <v>1178.2</v>
      </c>
      <c r="O85" s="18" t="n">
        <v>316.38</v>
      </c>
      <c r="P85" s="37" t="n">
        <v>4555.91</v>
      </c>
      <c r="Q85" s="18" t="n">
        <v>3338.73</v>
      </c>
      <c r="R85" s="18" t="n">
        <v>-9841.49</v>
      </c>
      <c r="S85" s="18" t="n">
        <v>299.42</v>
      </c>
      <c r="T85" s="18" t="n">
        <v>1877.1</v>
      </c>
      <c r="U85" s="37" t="n">
        <v>-4326.24</v>
      </c>
      <c r="V85" s="18" t="n">
        <v>-567.64</v>
      </c>
      <c r="W85" s="18" t="n">
        <v>168.02</v>
      </c>
      <c r="X85" s="18" t="n">
        <v>1902.28</v>
      </c>
      <c r="Y85" s="18" t="n">
        <v>7016.32</v>
      </c>
      <c r="Z85" s="37" t="n">
        <v>8518.98</v>
      </c>
      <c r="AA85" s="18" t="n">
        <v>1878.18</v>
      </c>
      <c r="AB85" s="19" t="n">
        <v>3244.46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2159.37</v>
      </c>
      <c r="F86" s="9" t="n"/>
      <c r="G86" s="18" t="n">
        <v>5159.23</v>
      </c>
      <c r="H86" s="18" t="n">
        <v>-3006</v>
      </c>
      <c r="I86" s="18" t="n">
        <v>1104.56</v>
      </c>
      <c r="J86" s="18" t="n">
        <v>1005.42</v>
      </c>
      <c r="K86" s="37" t="n">
        <v>4263.21</v>
      </c>
      <c r="L86" s="18" t="n">
        <v>5807.43</v>
      </c>
      <c r="M86" s="18" t="n">
        <v>1517.1</v>
      </c>
      <c r="N86" s="18" t="n">
        <v>1178.21</v>
      </c>
      <c r="O86" s="18" t="n">
        <v>316.38</v>
      </c>
      <c r="P86" s="37" t="n">
        <v>8819.120000000001</v>
      </c>
      <c r="Q86" s="18" t="n">
        <v>12157.85</v>
      </c>
      <c r="R86" s="18" t="n">
        <v>-9841.49</v>
      </c>
      <c r="S86" s="18" t="n">
        <v>299.42</v>
      </c>
      <c r="T86" s="18" t="n">
        <v>1877.1</v>
      </c>
      <c r="U86" s="37" t="n">
        <v>4492.88</v>
      </c>
      <c r="V86" s="18" t="n">
        <v>3925.24</v>
      </c>
      <c r="W86" s="18" t="n">
        <v>168.02</v>
      </c>
      <c r="X86" s="18" t="n">
        <v>1902.28</v>
      </c>
      <c r="Y86" s="18" t="n">
        <v>7016.32</v>
      </c>
      <c r="Z86" s="37" t="n">
        <v>13011.86</v>
      </c>
      <c r="AA86" s="18" t="n">
        <v>14890.05</v>
      </c>
      <c r="AB86" s="19" t="n">
        <v>3244.46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G87" s="18" t="n">
        <v>8000</v>
      </c>
      <c r="H87" s="18" t="n">
        <v>0</v>
      </c>
      <c r="I87" s="18" t="n">
        <v>0</v>
      </c>
      <c r="J87" s="18" t="n">
        <v>2400</v>
      </c>
      <c r="K87" s="37" t="n">
        <v>10400</v>
      </c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I88" s="18" t="n">
        <v>0</v>
      </c>
      <c r="J88" s="18" t="n">
        <v>4.04</v>
      </c>
      <c r="K88" s="9" t="n"/>
      <c r="N88" s="18" t="n">
        <v>0</v>
      </c>
      <c r="O88" s="18" t="n">
        <v>0</v>
      </c>
      <c r="P88" s="9" t="n"/>
      <c r="T88" s="18" t="n">
        <v>4.78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F89" s="9" t="n"/>
      <c r="J89" s="18" t="n">
        <v>8665.67</v>
      </c>
      <c r="K89" s="9" t="n"/>
      <c r="N89" s="18" t="n">
        <v>1.48</v>
      </c>
      <c r="O89" s="18" t="n">
        <v>64.88</v>
      </c>
      <c r="P89" s="9" t="n"/>
      <c r="Q89" s="18" t="n">
        <v>63.57</v>
      </c>
      <c r="R89" s="18" t="n">
        <v>220.7</v>
      </c>
      <c r="S89" s="18" t="n">
        <v>135.7</v>
      </c>
      <c r="T89" s="18" t="n">
        <v>50.88</v>
      </c>
      <c r="U89" s="37" t="n">
        <v>470.85</v>
      </c>
      <c r="V89" s="18" t="n">
        <v>121.97</v>
      </c>
      <c r="W89" s="18" t="n">
        <v>58.94</v>
      </c>
      <c r="X89" s="18" t="n">
        <v>27.35</v>
      </c>
      <c r="Y89" s="18" t="n">
        <v>61.65</v>
      </c>
      <c r="Z89" s="37" t="n">
        <v>269.91</v>
      </c>
      <c r="AA89" s="18" t="n">
        <v>46.47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F90" s="9" t="n"/>
      <c r="J90" s="18" t="n">
        <v>8665.67</v>
      </c>
      <c r="K90" s="9" t="n"/>
      <c r="N90" s="18" t="n">
        <v>9.890000000000001</v>
      </c>
      <c r="O90" s="18" t="n">
        <v>64.88</v>
      </c>
      <c r="P90" s="9" t="n"/>
      <c r="Q90" s="18" t="n">
        <v>63.57</v>
      </c>
      <c r="R90" s="18" t="n">
        <v>220.7</v>
      </c>
      <c r="S90" s="18" t="n">
        <v>135.7</v>
      </c>
      <c r="T90" s="18" t="n">
        <v>50.88</v>
      </c>
      <c r="U90" s="37" t="n">
        <v>470.85</v>
      </c>
      <c r="V90" s="18" t="n">
        <v>121.97</v>
      </c>
      <c r="W90" s="18" t="n">
        <v>58.94</v>
      </c>
      <c r="X90" s="18" t="n">
        <v>27.35</v>
      </c>
      <c r="Y90" s="18" t="n">
        <v>61.65</v>
      </c>
      <c r="Z90" s="37" t="n">
        <v>269.91</v>
      </c>
      <c r="AA90" s="18" t="n">
        <v>47.03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F91" s="9" t="n"/>
      <c r="K91" s="9" t="n"/>
      <c r="O91" s="18" t="n">
        <v>0.42</v>
      </c>
      <c r="P91" s="9" t="n"/>
      <c r="U91" s="9" t="n"/>
      <c r="V91" s="18" t="n">
        <v>122.61</v>
      </c>
      <c r="W91" s="18" t="n">
        <v>122.61</v>
      </c>
      <c r="X91" s="18" t="n">
        <v>122.6</v>
      </c>
      <c r="Y91" s="18" t="n">
        <v>122.61</v>
      </c>
      <c r="Z91" s="37" t="n">
        <v>490.43</v>
      </c>
      <c r="AA91" s="18" t="n">
        <v>122.62</v>
      </c>
      <c r="AB91" s="19" t="n">
        <v>122.63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O92" s="18" t="n">
        <v>0</v>
      </c>
      <c r="P92" s="9" t="n"/>
      <c r="T92" s="18" t="n">
        <v>0</v>
      </c>
      <c r="U92" s="9" t="n"/>
      <c r="Z92" s="9" t="n"/>
      <c r="AA92" s="18" t="n">
        <v>0.5600000000000001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F93" s="9" t="n"/>
      <c r="K93" s="9" t="n"/>
      <c r="P93" s="9" t="n"/>
      <c r="Q93" s="18" t="n">
        <v>8000</v>
      </c>
      <c r="R93" s="18" t="n">
        <v>0</v>
      </c>
      <c r="S93" s="18" t="n">
        <v>3300</v>
      </c>
      <c r="T93" s="18" t="n">
        <v>0</v>
      </c>
      <c r="U93" s="37" t="n">
        <v>11300</v>
      </c>
      <c r="V93" s="18" t="n">
        <v>0</v>
      </c>
      <c r="W93" s="18" t="n">
        <v>0</v>
      </c>
      <c r="X93" s="18" t="n">
        <v>0</v>
      </c>
      <c r="Y93" s="18" t="n">
        <v>0</v>
      </c>
      <c r="Z93" s="37" t="n">
        <v>0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F94" s="9" t="n"/>
      <c r="K94" s="9" t="n"/>
      <c r="P94" s="9" t="n"/>
      <c r="Q94" s="18" t="n">
        <v>8000</v>
      </c>
      <c r="R94" s="18" t="n">
        <v>0</v>
      </c>
      <c r="S94" s="18" t="n">
        <v>4000</v>
      </c>
      <c r="T94" s="18" t="n">
        <v>1100</v>
      </c>
      <c r="U94" s="37" t="n">
        <v>13100</v>
      </c>
      <c r="V94" s="18" t="n">
        <v>800</v>
      </c>
      <c r="W94" s="18" t="n">
        <v>700</v>
      </c>
      <c r="X94" s="18" t="n">
        <v>0</v>
      </c>
      <c r="Y94" s="18" t="n">
        <v>0</v>
      </c>
      <c r="Z94" s="37" t="n">
        <v>1500</v>
      </c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T95" s="18" t="n">
        <v>0</v>
      </c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447.8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6.49</v>
      </c>
    </row>
    <row r="32">
      <c r="C32" s="2" t="inlineStr">
        <is>
          <t>pbr_now</t>
        </is>
      </c>
      <c r="D32" t="n">
        <v>0.75</v>
      </c>
    </row>
    <row r="33">
      <c r="C33" s="2" t="inlineStr">
        <is>
          <t>roe_fwd</t>
        </is>
      </c>
      <c r="D33" t="n">
        <v>0.1153</v>
      </c>
    </row>
    <row r="34">
      <c r="C34" s="2" t="inlineStr">
        <is>
          <t>fair_pbr</t>
        </is>
      </c>
      <c r="D34" t="n">
        <v>1.28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3.6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