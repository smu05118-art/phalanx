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85182억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88314억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91241억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94620억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99317억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105097억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111447억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117868억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123693억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85182억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88314억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91241억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94620억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99317억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105097억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111447억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117868억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123693억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2880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2870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3018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0.164585552</v>
      </c>
      <c r="AE21" s="25" t="n"/>
      <c r="AF21" s="24" t="n">
        <v>0.078335642</v>
      </c>
      <c r="AG21" s="24" t="n">
        <v>-0.028855612</v>
      </c>
      <c r="AH21" s="24" t="n">
        <v>0.179449406</v>
      </c>
      <c r="AI21" s="24" t="n">
        <v>0.165942029</v>
      </c>
      <c r="AJ21" s="25" t="n"/>
      <c r="AK21" s="24" t="n">
        <v>0.190077644</v>
      </c>
      <c r="AL21" s="24" t="n">
        <v>0.22147651</v>
      </c>
      <c r="AM21" s="24" t="n">
        <v>0.245745511</v>
      </c>
      <c r="AN21" s="24" t="n">
        <v>0.245437595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0.178392622</v>
      </c>
      <c r="AE23" s="25">
        <f>IFERROR(subQ!AE9/subQ!AE5,"")</f>
        <v/>
      </c>
      <c r="AF23" s="24" t="n">
        <v>0.178380559</v>
      </c>
      <c r="AG23" s="24" t="n">
        <v>0.178382197</v>
      </c>
      <c r="AH23" s="24" t="n">
        <v>0.178376269</v>
      </c>
      <c r="AI23" s="24" t="n">
        <v>0.178371659</v>
      </c>
      <c r="AJ23" s="25">
        <f>IFERROR(subQ!AJ9/subQ!AJ5,"")</f>
        <v/>
      </c>
      <c r="AK23" s="24" t="n">
        <v>0.1783596</v>
      </c>
      <c r="AL23" s="24" t="n">
        <v>0.17835454</v>
      </c>
      <c r="AM23" s="24" t="n">
        <v>0.178343151</v>
      </c>
      <c r="AN23" s="24" t="n">
        <v>0.178378624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-0.001602013</v>
      </c>
      <c r="AD30" s="30" t="n">
        <v>0.002263797</v>
      </c>
      <c r="AE30" s="31" t="n"/>
      <c r="AF30" s="30" t="n">
        <v>-0.006932139</v>
      </c>
      <c r="AG30" s="30" t="n">
        <v>0.003815266</v>
      </c>
      <c r="AH30" s="30" t="n">
        <v>-0.005842963</v>
      </c>
      <c r="AI30" s="30" t="n">
        <v>-0.000772126</v>
      </c>
      <c r="AJ30" s="31" t="n"/>
      <c r="AK30" s="30" t="n">
        <v>-0.000595518</v>
      </c>
      <c r="AL30" s="30" t="n">
        <v>-0.003565817</v>
      </c>
      <c r="AM30" s="30" t="n">
        <v>-0.003366139</v>
      </c>
      <c r="AN30" s="30" t="n">
        <v>0.001698157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-0.001602013</v>
      </c>
      <c r="AD31" s="30" t="n">
        <v>0.002263797</v>
      </c>
      <c r="AE31" s="31" t="n"/>
      <c r="AF31" s="30" t="n">
        <v>-0.006932139</v>
      </c>
      <c r="AG31" s="30" t="n">
        <v>0.003815266</v>
      </c>
      <c r="AH31" s="30" t="n">
        <v>-0.005842963</v>
      </c>
      <c r="AI31" s="30" t="n">
        <v>-0.000772126</v>
      </c>
      <c r="AJ31" s="31" t="n"/>
      <c r="AK31" s="30" t="n">
        <v>-0.000595518</v>
      </c>
      <c r="AL31" s="30" t="n">
        <v>-0.003565817</v>
      </c>
      <c r="AM31" s="30" t="n">
        <v>-0.003366139</v>
      </c>
      <c r="AN31" s="30" t="n">
        <v>0.001698157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0.264251151</v>
      </c>
      <c r="AE33" s="25" t="n"/>
      <c r="AF33" s="24" t="n">
        <v>0.140683346</v>
      </c>
      <c r="AG33" s="24" t="n">
        <v>0.139373107</v>
      </c>
      <c r="AH33" s="24" t="n">
        <v>0.137264761</v>
      </c>
      <c r="AI33" s="24" t="n">
        <v>0.163582391</v>
      </c>
      <c r="AJ33" s="25" t="n"/>
      <c r="AK33" s="24" t="n">
        <v>0.096129838</v>
      </c>
      <c r="AL33" s="24" t="n">
        <v>0.10171338</v>
      </c>
      <c r="AM33" s="24" t="n">
        <v>0.105627472</v>
      </c>
      <c r="AN33" s="24" t="n">
        <v>0.129969916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0.112990357</v>
      </c>
      <c r="AE34" s="25" t="n"/>
      <c r="AF34" s="24" t="n">
        <v>0.068360172</v>
      </c>
      <c r="AG34" s="24" t="n">
        <v>0.072350543</v>
      </c>
      <c r="AH34" s="24" t="n">
        <v>0.075625594</v>
      </c>
      <c r="AI34" s="24" t="n">
        <v>0.09537657400000001</v>
      </c>
      <c r="AJ34" s="25" t="n"/>
      <c r="AK34" s="24" t="n">
        <v>0.059481803</v>
      </c>
      <c r="AL34" s="24" t="n">
        <v>0.065150506</v>
      </c>
      <c r="AM34" s="24" t="n">
        <v>0.069980048</v>
      </c>
      <c r="AN34" s="24" t="n">
        <v>0.08897609300000001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2880</v>
      </c>
      <c r="E42" s="2" t="inlineStr">
        <is>
          <t>원 — 네이버 정규장 종가(aik 확정종가 대조 · aik 2,950원)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0.2200477916941332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0.1138970203498649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0.001043874528198475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0.03626987818853011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450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6.4</v>
      </c>
    </row>
    <row r="32">
      <c r="C32" s="2" t="inlineStr">
        <is>
          <t>pbr_now</t>
        </is>
      </c>
      <c r="D32" t="n">
        <v>0.74</v>
      </c>
    </row>
    <row r="33">
      <c r="C33" s="2" t="inlineStr">
        <is>
          <t>roe_fwd</t>
        </is>
      </c>
      <c r="D33" t="n">
        <v>0.1159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3.55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