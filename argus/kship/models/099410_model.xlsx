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85183억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88307억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91228억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94600억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99289억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105070억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111421억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117844억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123670억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85183억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88307억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91228억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94600억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99289억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105070억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111421억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117844억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123670억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220억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253억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220억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236억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253억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272억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298억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21.99%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2905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2870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3023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-0.056111852</v>
      </c>
      <c r="AD21" s="24" t="n">
        <v>0.164585552</v>
      </c>
      <c r="AE21" s="25" t="n"/>
      <c r="AF21" s="24" t="n">
        <v>0.078226906</v>
      </c>
      <c r="AG21" s="24" t="n">
        <v>-0.028941372</v>
      </c>
      <c r="AH21" s="24" t="n">
        <v>0.179173188</v>
      </c>
      <c r="AI21" s="24" t="n">
        <v>0.165612648</v>
      </c>
      <c r="AJ21" s="25" t="n"/>
      <c r="AK21" s="24" t="n">
        <v>0.189895119</v>
      </c>
      <c r="AL21" s="24" t="n">
        <v>0.221319438</v>
      </c>
      <c r="AM21" s="24" t="n">
        <v>0.245724994</v>
      </c>
      <c r="AN21" s="24" t="n">
        <v>0.245563468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0.178344535</v>
      </c>
      <c r="AD23" s="24" t="n">
        <v>0.178392622</v>
      </c>
      <c r="AE23" s="25">
        <f>IFERROR(subQ!AE9/subQ!AE5,"")</f>
        <v/>
      </c>
      <c r="AF23" s="24" t="n">
        <v>0.178398548</v>
      </c>
      <c r="AG23" s="24" t="n">
        <v>0.178397951</v>
      </c>
      <c r="AH23" s="24" t="n">
        <v>0.178418053</v>
      </c>
      <c r="AI23" s="24" t="n">
        <v>0.178365548</v>
      </c>
      <c r="AJ23" s="25">
        <f>IFERROR(subQ!AJ9/subQ!AJ5,"")</f>
        <v/>
      </c>
      <c r="AK23" s="24" t="n">
        <v>0.17840495</v>
      </c>
      <c r="AL23" s="24" t="n">
        <v>0.178393232</v>
      </c>
      <c r="AM23" s="24" t="n">
        <v>0.178387865</v>
      </c>
      <c r="AN23" s="24" t="n">
        <v>0.178365625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0.000594952</v>
      </c>
      <c r="AD30" s="30" t="n">
        <v>0.00538313</v>
      </c>
      <c r="AE30" s="31" t="n"/>
      <c r="AF30" s="30" t="n">
        <v>-0.004933406</v>
      </c>
      <c r="AG30" s="30" t="n">
        <v>0.006114923</v>
      </c>
      <c r="AH30" s="30" t="n">
        <v>0.006772416</v>
      </c>
      <c r="AI30" s="30" t="n">
        <v>0.005085886</v>
      </c>
      <c r="AJ30" s="31" t="n"/>
      <c r="AK30" s="30" t="n">
        <v>0.001805738</v>
      </c>
      <c r="AL30" s="30" t="n">
        <v>-0.000728797</v>
      </c>
      <c r="AM30" s="30" t="n">
        <v>0.009922965000000001</v>
      </c>
      <c r="AN30" s="30" t="n">
        <v>-0.001516197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0.000594952</v>
      </c>
      <c r="AD31" s="30" t="n">
        <v>0.00538313</v>
      </c>
      <c r="AE31" s="31" t="n"/>
      <c r="AF31" s="30" t="n">
        <v>-0.004933406</v>
      </c>
      <c r="AG31" s="30" t="n">
        <v>0.006114923</v>
      </c>
      <c r="AH31" s="30" t="n">
        <v>0.006772416</v>
      </c>
      <c r="AI31" s="30" t="n">
        <v>0.005085886</v>
      </c>
      <c r="AJ31" s="31" t="n"/>
      <c r="AK31" s="30" t="n">
        <v>0.001805738</v>
      </c>
      <c r="AL31" s="30" t="n">
        <v>-0.000728797</v>
      </c>
      <c r="AM31" s="30" t="n">
        <v>0.009922965000000001</v>
      </c>
      <c r="AN31" s="30" t="n">
        <v>-0.001516197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0.239520108</v>
      </c>
      <c r="AD33" s="24" t="n">
        <v>0.264251151</v>
      </c>
      <c r="AE33" s="25" t="n"/>
      <c r="AF33" s="24" t="n">
        <v>0.140683346</v>
      </c>
      <c r="AG33" s="24" t="n">
        <v>0.139373107</v>
      </c>
      <c r="AH33" s="24" t="n">
        <v>0.137192932</v>
      </c>
      <c r="AI33" s="24" t="n">
        <v>0.163592724</v>
      </c>
      <c r="AJ33" s="25" t="n"/>
      <c r="AK33" s="24" t="n">
        <v>0.09608077299999999</v>
      </c>
      <c r="AL33" s="24" t="n">
        <v>0.101723455</v>
      </c>
      <c r="AM33" s="24" t="n">
        <v>0.105592017</v>
      </c>
      <c r="AN33" s="24" t="n">
        <v>0.129945111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0.090158958</v>
      </c>
      <c r="AD34" s="24" t="n">
        <v>0.112990357</v>
      </c>
      <c r="AE34" s="25" t="n"/>
      <c r="AF34" s="24" t="n">
        <v>0.068360172</v>
      </c>
      <c r="AG34" s="24" t="n">
        <v>0.07230808399999999</v>
      </c>
      <c r="AH34" s="24" t="n">
        <v>0.075628588</v>
      </c>
      <c r="AI34" s="24" t="n">
        <v>0.09534327300000001</v>
      </c>
      <c r="AJ34" s="25" t="n"/>
      <c r="AK34" s="24" t="n">
        <v>0.059519409</v>
      </c>
      <c r="AL34" s="24" t="n">
        <v>0.06512085300000001</v>
      </c>
      <c r="AM34" s="24" t="n">
        <v>0.06995443599999999</v>
      </c>
      <c r="AN34" s="24" t="n">
        <v>0.08898352299999999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2905</v>
      </c>
      <c r="E42" s="2" t="inlineStr">
        <is>
          <t>원 — 네이버 정규장 종가(aik 확정종가 대조 · aik 3,075원)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0.2199282976882185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0.1138951358538069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0.001044049219686043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0.03627019823816484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5681.06</v>
      </c>
      <c r="I7" s="18" t="n">
        <v>4984.28</v>
      </c>
      <c r="J7" s="18" t="n">
        <v>6039.03</v>
      </c>
      <c r="K7" s="37" t="n">
        <v>6039.03</v>
      </c>
      <c r="L7" s="18" t="n">
        <v>4979.35</v>
      </c>
      <c r="M7" s="18" t="n">
        <v>4813.76</v>
      </c>
      <c r="N7" s="18" t="n">
        <v>4126.7</v>
      </c>
      <c r="O7" s="18" t="n">
        <v>6262.42</v>
      </c>
      <c r="P7" s="37" t="n">
        <v>6262.42</v>
      </c>
      <c r="Q7" s="18" t="n">
        <v>4396.51</v>
      </c>
      <c r="R7" s="18" t="n">
        <v>6905.55</v>
      </c>
      <c r="S7" s="18" t="n">
        <v>6266.99</v>
      </c>
      <c r="T7" s="18" t="n">
        <v>8459.690000000001</v>
      </c>
      <c r="U7" s="37" t="n">
        <v>8459.690000000001</v>
      </c>
      <c r="V7" s="18" t="n">
        <v>8265.01</v>
      </c>
      <c r="W7" s="18" t="n">
        <v>6963.06</v>
      </c>
      <c r="X7" s="18" t="n">
        <v>8176.19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H8" s="18" t="n">
        <v>386.91</v>
      </c>
      <c r="I8" s="18" t="n">
        <v>382.89</v>
      </c>
      <c r="J8" s="18" t="n">
        <v>394.77</v>
      </c>
      <c r="K8" s="37" t="n">
        <v>394.77</v>
      </c>
      <c r="L8" s="18" t="n">
        <v>406.03</v>
      </c>
      <c r="M8" s="18" t="n">
        <v>415.68</v>
      </c>
      <c r="N8" s="18" t="n">
        <v>450.65</v>
      </c>
      <c r="O8" s="18" t="n">
        <v>476.78</v>
      </c>
      <c r="P8" s="37" t="n">
        <v>476.78</v>
      </c>
      <c r="Q8" s="18" t="n">
        <v>0</v>
      </c>
      <c r="R8" s="18" t="n">
        <v>0</v>
      </c>
      <c r="S8" s="18" t="n">
        <v>0</v>
      </c>
      <c r="T8" s="18" t="n">
        <v>1.75</v>
      </c>
      <c r="U8" s="37" t="n">
        <v>1.75</v>
      </c>
      <c r="V8" s="18" t="n">
        <v>0</v>
      </c>
      <c r="W8" s="18" t="n">
        <v>0</v>
      </c>
      <c r="X8" s="18" t="n">
        <v>0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H10" s="18" t="n">
        <v>13.08</v>
      </c>
      <c r="I10" s="18" t="n">
        <v>14.85</v>
      </c>
      <c r="J10" s="18" t="n">
        <v>11.2</v>
      </c>
      <c r="K10" s="37" t="n">
        <v>11.2</v>
      </c>
      <c r="L10" s="18" t="n">
        <v>9.529999999999999</v>
      </c>
      <c r="M10" s="18" t="n">
        <v>6.36</v>
      </c>
      <c r="N10" s="18" t="n">
        <v>6.53</v>
      </c>
      <c r="P10" s="9" t="n"/>
      <c r="Q10" s="18" t="n">
        <v>8.4</v>
      </c>
      <c r="R10" s="18" t="n">
        <v>10.65</v>
      </c>
      <c r="S10" s="18" t="n">
        <v>12.18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H13" s="18" t="n">
        <v>1.96</v>
      </c>
      <c r="I13" s="18" t="n">
        <v>1.53</v>
      </c>
      <c r="J13" s="18" t="n">
        <v>1.53</v>
      </c>
      <c r="K13" s="37" t="n">
        <v>1.53</v>
      </c>
      <c r="L13" s="18" t="n">
        <v>1.53</v>
      </c>
      <c r="M13" s="18" t="n">
        <v>1.53</v>
      </c>
      <c r="N13" s="18" t="n">
        <v>1.53</v>
      </c>
      <c r="O13" s="18" t="n">
        <v>1.53</v>
      </c>
      <c r="P13" s="37" t="n">
        <v>1.53</v>
      </c>
      <c r="Q13" s="18" t="n">
        <v>14.53</v>
      </c>
      <c r="R13" s="18" t="n">
        <v>14.71</v>
      </c>
      <c r="S13" s="18" t="n">
        <v>14.71</v>
      </c>
      <c r="T13" s="18" t="n">
        <v>1.71</v>
      </c>
      <c r="U13" s="37" t="n">
        <v>1.71</v>
      </c>
      <c r="V13" s="18" t="n">
        <v>1.71</v>
      </c>
      <c r="W13" s="18" t="n">
        <v>1.71</v>
      </c>
      <c r="X13" s="18" t="n">
        <v>1.71</v>
      </c>
      <c r="Y13" s="18" t="n">
        <v>1.71</v>
      </c>
      <c r="Z13" s="37" t="n">
        <v>1.71</v>
      </c>
      <c r="AA13" s="18" t="n">
        <v>1.71</v>
      </c>
      <c r="AB13" s="19" t="n">
        <v>1.71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H15" s="18" t="n">
        <v>1037.18</v>
      </c>
      <c r="I15" s="18" t="n">
        <v>1176.15</v>
      </c>
      <c r="J15" s="18" t="n">
        <v>991.9299999999999</v>
      </c>
      <c r="K15" s="37" t="n">
        <v>991.9299999999999</v>
      </c>
      <c r="L15" s="18" t="n">
        <v>931.08</v>
      </c>
      <c r="M15" s="18" t="n">
        <v>865.85</v>
      </c>
      <c r="N15" s="18" t="n">
        <v>804.67</v>
      </c>
      <c r="O15" s="18" t="n">
        <v>720.36</v>
      </c>
      <c r="P15" s="37" t="n">
        <v>720.36</v>
      </c>
      <c r="Q15" s="18" t="n">
        <v>838.4</v>
      </c>
      <c r="R15" s="18" t="n">
        <v>1121.12</v>
      </c>
      <c r="S15" s="18" t="n">
        <v>953.21</v>
      </c>
      <c r="T15" s="18" t="n">
        <v>510.67</v>
      </c>
      <c r="U15" s="37" t="n">
        <v>510.67</v>
      </c>
      <c r="V15" s="18" t="n">
        <v>511.5</v>
      </c>
      <c r="W15" s="18" t="n">
        <v>511.92</v>
      </c>
      <c r="X15" s="18" t="n">
        <v>530.15</v>
      </c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H16" s="18" t="n">
        <v>1037.18</v>
      </c>
      <c r="I16" s="18" t="n">
        <v>1176.15</v>
      </c>
      <c r="J16" s="18" t="n">
        <v>991.9299999999999</v>
      </c>
      <c r="K16" s="37" t="n">
        <v>991.9299999999999</v>
      </c>
      <c r="L16" s="18" t="n">
        <v>931.08</v>
      </c>
      <c r="M16" s="18" t="n">
        <v>865.85</v>
      </c>
      <c r="N16" s="18" t="n">
        <v>804.67</v>
      </c>
      <c r="O16" s="18" t="n">
        <v>720.36</v>
      </c>
      <c r="P16" s="37" t="n">
        <v>720.36</v>
      </c>
      <c r="Q16" s="18" t="n">
        <v>838.4</v>
      </c>
      <c r="R16" s="18" t="n">
        <v>1121.12</v>
      </c>
      <c r="S16" s="18" t="n">
        <v>953.21</v>
      </c>
      <c r="T16" s="18" t="n">
        <v>510.67</v>
      </c>
      <c r="U16" s="37" t="n">
        <v>510.67</v>
      </c>
      <c r="V16" s="18" t="n">
        <v>511.5</v>
      </c>
      <c r="W16" s="18" t="n">
        <v>511.92</v>
      </c>
      <c r="X16" s="18" t="n">
        <v>530.15</v>
      </c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2921.35</v>
      </c>
      <c r="I20" s="18" t="n">
        <v>3203.41</v>
      </c>
      <c r="J20" s="18" t="n">
        <v>3619.3</v>
      </c>
      <c r="K20" s="37" t="n">
        <v>3619.3</v>
      </c>
      <c r="L20" s="18" t="n">
        <v>3100.4</v>
      </c>
      <c r="M20" s="18" t="n">
        <v>2439.81</v>
      </c>
      <c r="N20" s="18" t="n">
        <v>2740.34</v>
      </c>
      <c r="O20" s="18" t="n">
        <v>1880.87</v>
      </c>
      <c r="P20" s="37" t="n">
        <v>1880.87</v>
      </c>
      <c r="Q20" s="18" t="n">
        <v>2441.5</v>
      </c>
      <c r="R20" s="18" t="n">
        <v>3560.44</v>
      </c>
      <c r="S20" s="18" t="n">
        <v>3458.49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H21" s="18" t="n">
        <v>4.95</v>
      </c>
      <c r="I21" s="18" t="n">
        <v>5.01</v>
      </c>
      <c r="J21" s="18" t="n">
        <v>370.06</v>
      </c>
      <c r="K21" s="37" t="n">
        <v>370.06</v>
      </c>
      <c r="L21" s="18" t="n">
        <v>272.7</v>
      </c>
      <c r="M21" s="18" t="n">
        <v>173.76</v>
      </c>
      <c r="N21" s="18" t="n">
        <v>73.20999999999999</v>
      </c>
      <c r="O21" s="18" t="n">
        <v>372.04</v>
      </c>
      <c r="P21" s="37" t="n">
        <v>372.04</v>
      </c>
      <c r="Q21" s="18" t="n">
        <v>273.9</v>
      </c>
      <c r="R21" s="18" t="n">
        <v>174.4</v>
      </c>
      <c r="S21" s="18" t="n">
        <v>73.54000000000001</v>
      </c>
      <c r="T21" s="18" t="n">
        <v>371.94</v>
      </c>
      <c r="U21" s="37" t="n">
        <v>371.94</v>
      </c>
      <c r="V21" s="18" t="n">
        <v>273.95</v>
      </c>
      <c r="W21" s="18" t="n">
        <v>173.13</v>
      </c>
      <c r="X21" s="18" t="n">
        <v>73.78</v>
      </c>
      <c r="Y21" s="18" t="n">
        <v>372.64</v>
      </c>
      <c r="Z21" s="37" t="n">
        <v>372.64</v>
      </c>
      <c r="AA21" s="18" t="n">
        <v>273.46</v>
      </c>
      <c r="AB21" s="19" t="n">
        <v>172.94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H22" s="18" t="n">
        <v>25.17</v>
      </c>
      <c r="I22" s="18" t="n">
        <v>23.96</v>
      </c>
      <c r="J22" s="18" t="n">
        <v>387.72</v>
      </c>
      <c r="K22" s="37" t="n">
        <v>387.72</v>
      </c>
      <c r="L22" s="18" t="n">
        <v>289.05</v>
      </c>
      <c r="M22" s="18" t="n">
        <v>188.8</v>
      </c>
      <c r="N22" s="18" t="n">
        <v>86.91</v>
      </c>
      <c r="O22" s="18" t="n">
        <v>384.4</v>
      </c>
      <c r="P22" s="37" t="n">
        <v>384.4</v>
      </c>
      <c r="Q22" s="18" t="n">
        <v>284.89</v>
      </c>
      <c r="R22" s="18" t="n">
        <v>184.01</v>
      </c>
      <c r="S22" s="18" t="n">
        <v>81.76000000000001</v>
      </c>
      <c r="T22" s="18" t="n">
        <v>378.75</v>
      </c>
      <c r="U22" s="37" t="n">
        <v>378.75</v>
      </c>
      <c r="V22" s="18" t="n">
        <v>279.33</v>
      </c>
      <c r="W22" s="18" t="n">
        <v>178.51</v>
      </c>
      <c r="X22" s="18" t="n">
        <v>76.26000000000001</v>
      </c>
      <c r="Y22" s="18" t="n">
        <v>373.64</v>
      </c>
      <c r="Z22" s="37" t="n">
        <v>373.64</v>
      </c>
      <c r="AA22" s="18" t="n">
        <v>273.97</v>
      </c>
      <c r="AB22" s="19" t="n">
        <v>172.94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H23" s="18" t="n">
        <v>4.95</v>
      </c>
      <c r="I23" s="18" t="n">
        <v>5.01</v>
      </c>
      <c r="J23" s="18" t="n">
        <v>370.06</v>
      </c>
      <c r="K23" s="37" t="n">
        <v>370.06</v>
      </c>
      <c r="L23" s="18" t="n">
        <v>272.7</v>
      </c>
      <c r="M23" s="18" t="n">
        <v>173.76</v>
      </c>
      <c r="N23" s="18" t="n">
        <v>73.20999999999999</v>
      </c>
      <c r="O23" s="18" t="n">
        <v>372.04</v>
      </c>
      <c r="P23" s="37" t="n">
        <v>372.04</v>
      </c>
      <c r="Q23" s="18" t="n">
        <v>273.9</v>
      </c>
      <c r="R23" s="18" t="n">
        <v>174.4</v>
      </c>
      <c r="S23" s="18" t="n">
        <v>73.54000000000001</v>
      </c>
      <c r="T23" s="18" t="n">
        <v>371.94</v>
      </c>
      <c r="U23" s="37" t="n">
        <v>371.94</v>
      </c>
      <c r="V23" s="18" t="n">
        <v>273.95</v>
      </c>
      <c r="W23" s="18" t="n">
        <v>173.13</v>
      </c>
      <c r="X23" s="18" t="n">
        <v>73.78</v>
      </c>
      <c r="Y23" s="18" t="n">
        <v>372.64</v>
      </c>
      <c r="Z23" s="37" t="n">
        <v>372.64</v>
      </c>
      <c r="AA23" s="18" t="n">
        <v>273.46</v>
      </c>
      <c r="AB23" s="19" t="n">
        <v>172.94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H24" s="18" t="n">
        <v>43.7</v>
      </c>
      <c r="I24" s="18" t="n">
        <v>12.25</v>
      </c>
      <c r="J24" s="18" t="n">
        <v>206.44</v>
      </c>
      <c r="K24" s="37" t="n">
        <v>206.44</v>
      </c>
      <c r="L24" s="18" t="n">
        <v>203.4</v>
      </c>
      <c r="M24" s="18" t="n">
        <v>338.96</v>
      </c>
      <c r="N24" s="18" t="n">
        <v>205.84</v>
      </c>
      <c r="O24" s="18" t="n">
        <v>447.24</v>
      </c>
      <c r="P24" s="37" t="n">
        <v>447.24</v>
      </c>
      <c r="Q24" s="18" t="n">
        <v>110.11</v>
      </c>
      <c r="R24" s="18" t="n">
        <v>447.89</v>
      </c>
      <c r="S24" s="18" t="n">
        <v>400.21</v>
      </c>
      <c r="T24" s="18" t="n">
        <v>969.8099999999999</v>
      </c>
      <c r="U24" s="37" t="n">
        <v>969.8099999999999</v>
      </c>
      <c r="V24" s="18" t="n">
        <v>652.86</v>
      </c>
      <c r="W24" s="18" t="n">
        <v>743.09</v>
      </c>
      <c r="X24" s="18" t="n">
        <v>897.35</v>
      </c>
      <c r="Y24" s="18" t="n">
        <v>998.78</v>
      </c>
      <c r="Z24" s="37" t="n">
        <v>998.78</v>
      </c>
      <c r="AA24" s="18" t="n">
        <v>672.61</v>
      </c>
      <c r="AB24" s="19" t="n">
        <v>825.34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3190.41</v>
      </c>
      <c r="I36" s="18" t="n">
        <v>4433.94</v>
      </c>
      <c r="J36" s="18" t="n">
        <v>5255.14</v>
      </c>
      <c r="K36" s="37" t="n">
        <v>5255.14</v>
      </c>
      <c r="L36" s="18" t="n">
        <v>6738.51</v>
      </c>
      <c r="M36" s="18" t="n">
        <v>8190.38</v>
      </c>
      <c r="N36" s="18" t="n">
        <v>9307.41</v>
      </c>
      <c r="O36" s="18" t="n">
        <v>9539.48</v>
      </c>
      <c r="P36" s="37" t="n">
        <v>9539.48</v>
      </c>
      <c r="Q36" s="18" t="n">
        <v>12996.25</v>
      </c>
      <c r="R36" s="18" t="n">
        <v>3437.48</v>
      </c>
      <c r="S36" s="18" t="n">
        <v>3568.99</v>
      </c>
      <c r="T36" s="18" t="n">
        <v>5003.55</v>
      </c>
      <c r="U36" s="37" t="n">
        <v>5003.55</v>
      </c>
      <c r="V36" s="18" t="n">
        <v>4436.74</v>
      </c>
      <c r="W36" s="18" t="n">
        <v>4605.18</v>
      </c>
      <c r="X36" s="18" t="n">
        <v>6525.69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F40" s="9" t="n"/>
      <c r="H40" s="18" t="n">
        <v>20.22</v>
      </c>
      <c r="I40" s="18" t="n">
        <v>18.95</v>
      </c>
      <c r="J40" s="18" t="n">
        <v>17.66</v>
      </c>
      <c r="K40" s="37" t="n">
        <v>17.66</v>
      </c>
      <c r="L40" s="18" t="n">
        <v>16.35</v>
      </c>
      <c r="M40" s="18" t="n">
        <v>15.04</v>
      </c>
      <c r="N40" s="18" t="n">
        <v>13.7</v>
      </c>
      <c r="O40" s="18" t="n">
        <v>12.36</v>
      </c>
      <c r="P40" s="37" t="n">
        <v>12.36</v>
      </c>
      <c r="Q40" s="18" t="n">
        <v>10.99</v>
      </c>
      <c r="R40" s="18" t="n">
        <v>9.609999999999999</v>
      </c>
      <c r="S40" s="18" t="n">
        <v>8.220000000000001</v>
      </c>
      <c r="T40" s="18" t="n">
        <v>6.81</v>
      </c>
      <c r="U40" s="37" t="n">
        <v>6.81</v>
      </c>
      <c r="V40" s="18" t="n">
        <v>5.38</v>
      </c>
      <c r="W40" s="18" t="n">
        <v>5.38</v>
      </c>
      <c r="X40" s="18" t="n">
        <v>2.48</v>
      </c>
      <c r="Y40" s="18" t="n">
        <v>1</v>
      </c>
      <c r="Z40" s="37" t="n">
        <v>1</v>
      </c>
      <c r="AA40" s="18" t="n">
        <v>0.51</v>
      </c>
      <c r="AB40" s="19" t="n">
        <v>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F41" s="9" t="n"/>
      <c r="H41" s="18" t="n">
        <v>20.22</v>
      </c>
      <c r="I41" s="18" t="n">
        <v>18.95</v>
      </c>
      <c r="J41" s="18" t="n">
        <v>17.66</v>
      </c>
      <c r="K41" s="37" t="n">
        <v>17.66</v>
      </c>
      <c r="L41" s="18" t="n">
        <v>16.35</v>
      </c>
      <c r="M41" s="18" t="n">
        <v>15.04</v>
      </c>
      <c r="N41" s="18" t="n">
        <v>13.7</v>
      </c>
      <c r="O41" s="18" t="n">
        <v>12.36</v>
      </c>
      <c r="P41" s="37" t="n">
        <v>12.36</v>
      </c>
      <c r="Q41" s="18" t="n">
        <v>10.99</v>
      </c>
      <c r="R41" s="18" t="n">
        <v>9.609999999999999</v>
      </c>
      <c r="S41" s="18" t="n">
        <v>8.220000000000001</v>
      </c>
      <c r="T41" s="18" t="n">
        <v>6.81</v>
      </c>
      <c r="U41" s="37" t="n">
        <v>6.81</v>
      </c>
      <c r="V41" s="18" t="n">
        <v>5.38</v>
      </c>
      <c r="W41" s="18" t="n">
        <v>5.38</v>
      </c>
      <c r="X41" s="18" t="n">
        <v>2.48</v>
      </c>
      <c r="Y41" s="18" t="n">
        <v>1</v>
      </c>
      <c r="Z41" s="37" t="n">
        <v>1</v>
      </c>
      <c r="AA41" s="18" t="n">
        <v>0.51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K42" s="9" t="n"/>
      <c r="O42" s="18" t="n">
        <v>211.18</v>
      </c>
      <c r="P42" s="37" t="n">
        <v>211.18</v>
      </c>
      <c r="Q42" s="18" t="n">
        <v>211.18</v>
      </c>
      <c r="R42" s="18" t="n">
        <v>182.61</v>
      </c>
      <c r="S42" s="18" t="n">
        <v>238.74</v>
      </c>
      <c r="T42" s="18" t="n">
        <v>1739.52</v>
      </c>
      <c r="U42" s="37" t="n">
        <v>1739.52</v>
      </c>
      <c r="V42" s="18" t="n">
        <v>1735.22</v>
      </c>
      <c r="W42" s="18" t="n">
        <v>1742.46</v>
      </c>
      <c r="X42" s="18" t="n">
        <v>1744.48</v>
      </c>
      <c r="Y42" s="18" t="n">
        <v>1117.37</v>
      </c>
      <c r="Z42" s="37" t="n">
        <v>1117.37</v>
      </c>
      <c r="AA42" s="18" t="n">
        <v>1120.04</v>
      </c>
      <c r="AB42" s="19" t="n">
        <v>1101.47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Q43" s="18" t="n">
        <v>0</v>
      </c>
      <c r="R43" s="18" t="n">
        <v>6600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F44" s="9" t="n"/>
      <c r="K44" s="9" t="n"/>
      <c r="P44" s="9" t="n"/>
      <c r="Q44" s="18" t="n">
        <v>8000</v>
      </c>
      <c r="R44" s="18" t="n">
        <v>8000</v>
      </c>
      <c r="S44" s="18" t="n">
        <v>11300</v>
      </c>
      <c r="T44" s="18" t="n">
        <v>11300</v>
      </c>
      <c r="U44" s="37" t="n">
        <v>11300</v>
      </c>
      <c r="V44" s="18" t="n">
        <v>11300</v>
      </c>
      <c r="W44" s="18" t="n">
        <v>11300</v>
      </c>
      <c r="X44" s="18" t="n">
        <v>11300</v>
      </c>
      <c r="Y44" s="18" t="n">
        <v>11300</v>
      </c>
      <c r="Z44" s="37" t="n">
        <v>11300</v>
      </c>
      <c r="AA44" s="18" t="n">
        <v>3300</v>
      </c>
      <c r="AB44" s="19" t="n">
        <v>3300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F45" s="9" t="n"/>
      <c r="K45" s="9" t="n"/>
      <c r="P45" s="9" t="n"/>
      <c r="S45" s="18" t="n">
        <v>11300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F46" s="9" t="n"/>
      <c r="K46" s="9" t="n"/>
      <c r="P46" s="9" t="n"/>
      <c r="S46" s="18" t="n">
        <v>-139.72</v>
      </c>
      <c r="T46" s="18" t="n">
        <v>-139.72</v>
      </c>
      <c r="U46" s="37" t="n">
        <v>-139.72</v>
      </c>
      <c r="V46" s="18" t="n">
        <v>-139.72</v>
      </c>
      <c r="W46" s="18" t="n">
        <v>-139.72</v>
      </c>
      <c r="X46" s="18" t="n">
        <v>-139.72</v>
      </c>
      <c r="Y46" s="18" t="n">
        <v>-139.72</v>
      </c>
      <c r="Z46" s="37" t="n">
        <v>-139.72</v>
      </c>
      <c r="AA46" s="18" t="n">
        <v>-139.72</v>
      </c>
      <c r="AB46" s="19" t="n">
        <v>-139.72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P47" s="9" t="n"/>
      <c r="T47" s="18" t="n">
        <v>49.17</v>
      </c>
      <c r="U47" s="37" t="n">
        <v>49.17</v>
      </c>
      <c r="V47" s="18" t="n">
        <v>53.58</v>
      </c>
      <c r="W47" s="18" t="n">
        <v>58.2</v>
      </c>
      <c r="X47" s="18" t="n">
        <v>62.72</v>
      </c>
      <c r="Y47" s="18" t="n">
        <v>74.69</v>
      </c>
      <c r="Z47" s="37" t="n">
        <v>74.69</v>
      </c>
      <c r="AA47" s="18" t="n">
        <v>79.81</v>
      </c>
      <c r="AB47" s="19" t="n">
        <v>72.04000000000001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K48" s="9" t="n"/>
      <c r="P48" s="9" t="n"/>
      <c r="U48" s="9" t="n"/>
      <c r="W48" s="18" t="n">
        <v>27.32</v>
      </c>
      <c r="X48" s="18" t="n">
        <v>124.57</v>
      </c>
      <c r="Y48" s="18" t="n">
        <v>340.6</v>
      </c>
      <c r="Z48" s="37" t="n">
        <v>340.6</v>
      </c>
      <c r="AA48" s="18" t="n">
        <v>250.2</v>
      </c>
      <c r="AB48" s="19" t="n">
        <v>1188.36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단기금융상품</t>
        </is>
      </c>
      <c r="F49" s="9" t="n"/>
      <c r="K49" s="9" t="n"/>
      <c r="P49" s="9" t="n"/>
      <c r="U49" s="9" t="n"/>
      <c r="Y49" s="18" t="n">
        <v>0</v>
      </c>
      <c r="Z49" s="37" t="n">
        <v>0</v>
      </c>
      <c r="AA49" s="18" t="n">
        <v>1.18</v>
      </c>
      <c r="AB49" s="19" t="n">
        <v>1.2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단기금융자산</t>
        </is>
      </c>
      <c r="F50" s="9" t="n"/>
      <c r="K50" s="9" t="n"/>
      <c r="P50" s="9" t="n"/>
      <c r="U50" s="9" t="n"/>
      <c r="Y50" s="18" t="n">
        <v>0</v>
      </c>
      <c r="Z50" s="37" t="n">
        <v>0</v>
      </c>
      <c r="AA50" s="18" t="n">
        <v>1.18</v>
      </c>
      <c r="AB50" s="19" t="n">
        <v>1.2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372.51</v>
      </c>
      <c r="Z51" s="37" t="n">
        <v>372.51</v>
      </c>
      <c r="AA51" s="18" t="n">
        <v>271.35</v>
      </c>
      <c r="AB51" s="19" t="n">
        <v>170.19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372.51</v>
      </c>
      <c r="Z52" s="37" t="n">
        <v>372.51</v>
      </c>
      <c r="AA52" s="18" t="n">
        <v>271.35</v>
      </c>
      <c r="AB52" s="19" t="n">
        <v>170.19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유동성장기부채</t>
        </is>
      </c>
      <c r="F53" s="9" t="n"/>
      <c r="K53" s="9" t="n"/>
      <c r="P53" s="9" t="n"/>
      <c r="U53" s="9" t="n"/>
      <c r="Z53" s="9" t="n"/>
      <c r="AA53" s="18" t="n">
        <v>8000</v>
      </c>
      <c r="AB53" s="19" t="n">
        <v>8000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8896.35</v>
      </c>
      <c r="F54" s="9" t="n"/>
      <c r="G54" s="18" t="n">
        <v>5724.77</v>
      </c>
      <c r="H54" s="18" t="n">
        <v>6749.96</v>
      </c>
      <c r="I54" s="18" t="n">
        <v>5989.29</v>
      </c>
      <c r="J54" s="18" t="n">
        <v>6395.81</v>
      </c>
      <c r="K54" s="37" t="n">
        <v>24859.83</v>
      </c>
      <c r="L54" s="18" t="n">
        <v>6879.2</v>
      </c>
      <c r="M54" s="18" t="n">
        <v>6790.69</v>
      </c>
      <c r="N54" s="18" t="n">
        <v>5610.19</v>
      </c>
      <c r="O54" s="18" t="n">
        <v>8027.89</v>
      </c>
      <c r="P54" s="37" t="n">
        <v>27307.97</v>
      </c>
      <c r="Q54" s="18" t="n">
        <v>5656.83</v>
      </c>
      <c r="R54" s="18" t="n">
        <v>7734.21</v>
      </c>
      <c r="S54" s="18" t="n">
        <v>9223.93</v>
      </c>
      <c r="T54" s="18" t="n">
        <v>13101.01</v>
      </c>
      <c r="U54" s="37" t="n">
        <v>35715.98</v>
      </c>
      <c r="V54" s="18" t="n">
        <v>8468.74</v>
      </c>
      <c r="W54" s="18" t="n">
        <v>8868.559999999999</v>
      </c>
      <c r="X54" s="18" t="n">
        <v>11506.66</v>
      </c>
      <c r="Y54" s="18" t="n">
        <v>13034.68</v>
      </c>
      <c r="Z54" s="37" t="n">
        <v>41878.64</v>
      </c>
      <c r="AA54" s="18" t="n">
        <v>9196.58</v>
      </c>
      <c r="AB54" s="19" t="n">
        <v>11660.47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7373.45</v>
      </c>
      <c r="F55" s="9" t="n"/>
      <c r="G55" s="18" t="n">
        <v>5385.2</v>
      </c>
      <c r="H55" s="18" t="n">
        <v>5649.6</v>
      </c>
      <c r="I55" s="18" t="n">
        <v>5301.5</v>
      </c>
      <c r="J55" s="18" t="n">
        <v>4450.53</v>
      </c>
      <c r="K55" s="37" t="n">
        <v>20786.83</v>
      </c>
      <c r="L55" s="18" t="n">
        <v>5428.54</v>
      </c>
      <c r="M55" s="18" t="n">
        <v>5771.85</v>
      </c>
      <c r="N55" s="18" t="n">
        <v>4616.62</v>
      </c>
      <c r="O55" s="18" t="n">
        <v>5047.97</v>
      </c>
      <c r="P55" s="37" t="n">
        <v>20864.98</v>
      </c>
      <c r="Q55" s="18" t="n">
        <v>4779.58</v>
      </c>
      <c r="R55" s="18" t="n">
        <v>6116.21</v>
      </c>
      <c r="S55" s="18" t="n">
        <v>6921.26</v>
      </c>
      <c r="T55" s="18" t="n">
        <v>9113.049999999999</v>
      </c>
      <c r="U55" s="37" t="n">
        <v>26930.1</v>
      </c>
      <c r="V55" s="18" t="n">
        <v>6678.78</v>
      </c>
      <c r="W55" s="18" t="n">
        <v>6892.84</v>
      </c>
      <c r="X55" s="18" t="n">
        <v>7142.75</v>
      </c>
      <c r="Y55" s="18" t="n">
        <v>6432.4</v>
      </c>
      <c r="Z55" s="37" t="n">
        <v>27146.77</v>
      </c>
      <c r="AA55" s="18" t="n">
        <v>6303.8</v>
      </c>
      <c r="AB55" s="19" t="n">
        <v>6608.51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1522.9</v>
      </c>
      <c r="F56" s="9" t="n"/>
      <c r="G56" s="18" t="n">
        <v>339.57</v>
      </c>
      <c r="H56" s="18" t="n">
        <v>1100.36</v>
      </c>
      <c r="I56" s="18" t="n">
        <v>687.79</v>
      </c>
      <c r="J56" s="18" t="n">
        <v>1945.28</v>
      </c>
      <c r="K56" s="37" t="n">
        <v>4073</v>
      </c>
      <c r="L56" s="18" t="n">
        <v>1450.67</v>
      </c>
      <c r="M56" s="18" t="n">
        <v>1018.84</v>
      </c>
      <c r="N56" s="18" t="n">
        <v>993.5700000000001</v>
      </c>
      <c r="O56" s="18" t="n">
        <v>2979.92</v>
      </c>
      <c r="P56" s="37" t="n">
        <v>6443</v>
      </c>
      <c r="Q56" s="18" t="n">
        <v>877.25</v>
      </c>
      <c r="R56" s="18" t="n">
        <v>1618.01</v>
      </c>
      <c r="S56" s="18" t="n">
        <v>2302.67</v>
      </c>
      <c r="T56" s="18" t="n">
        <v>3987.95</v>
      </c>
      <c r="U56" s="37" t="n">
        <v>8785.879999999999</v>
      </c>
      <c r="V56" s="18" t="n">
        <v>1789.95</v>
      </c>
      <c r="W56" s="18" t="n">
        <v>1975.72</v>
      </c>
      <c r="X56" s="18" t="n">
        <v>4363.91</v>
      </c>
      <c r="Y56" s="18" t="n">
        <v>6602.28</v>
      </c>
      <c r="Z56" s="37" t="n">
        <v>14731.86</v>
      </c>
      <c r="AA56" s="18" t="n">
        <v>2892.78</v>
      </c>
      <c r="AB56" s="19" t="n">
        <v>5051.96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513.25</v>
      </c>
      <c r="F57" s="9" t="n"/>
      <c r="G57" s="18" t="n">
        <v>664.33</v>
      </c>
      <c r="H57" s="18" t="n">
        <v>547.6</v>
      </c>
      <c r="I57" s="18" t="n">
        <v>535.98</v>
      </c>
      <c r="J57" s="18" t="n">
        <v>925.95</v>
      </c>
      <c r="K57" s="37" t="n">
        <v>2673.86</v>
      </c>
      <c r="L57" s="18" t="n">
        <v>861.05</v>
      </c>
      <c r="M57" s="18" t="n">
        <v>671.89</v>
      </c>
      <c r="N57" s="18" t="n">
        <v>775.4400000000001</v>
      </c>
      <c r="O57" s="18" t="n">
        <v>720.46</v>
      </c>
      <c r="P57" s="37" t="n">
        <v>3028.84</v>
      </c>
      <c r="Q57" s="18" t="n">
        <v>955.45</v>
      </c>
      <c r="R57" s="18" t="n">
        <v>888.53</v>
      </c>
      <c r="S57" s="18" t="n">
        <v>1330.64</v>
      </c>
      <c r="T57" s="18" t="n">
        <v>1529.35</v>
      </c>
      <c r="U57" s="37" t="n">
        <v>4703.97</v>
      </c>
      <c r="V57" s="18" t="n">
        <v>1368.07</v>
      </c>
      <c r="W57" s="18" t="n">
        <v>1282.63</v>
      </c>
      <c r="X57" s="18" t="n">
        <v>1335.39</v>
      </c>
      <c r="Y57" s="18" t="n">
        <v>1456.41</v>
      </c>
      <c r="Z57" s="37" t="n">
        <v>5442.5</v>
      </c>
      <c r="AA57" s="18" t="n">
        <v>1337.79</v>
      </c>
      <c r="AB57" s="19" t="n">
        <v>1147.2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1009.65</v>
      </c>
      <c r="F58" s="9" t="n"/>
      <c r="G58" s="18" t="n">
        <v>-324.76</v>
      </c>
      <c r="H58" s="18" t="n">
        <v>552.76</v>
      </c>
      <c r="I58" s="18" t="n">
        <v>151.82</v>
      </c>
      <c r="J58" s="18" t="n">
        <v>1019.33</v>
      </c>
      <c r="K58" s="37" t="n">
        <v>1399.15</v>
      </c>
      <c r="L58" s="18" t="n">
        <v>589.62</v>
      </c>
      <c r="M58" s="18" t="n">
        <v>346.94</v>
      </c>
      <c r="N58" s="18" t="n">
        <v>218.14</v>
      </c>
      <c r="O58" s="18" t="n">
        <v>2259.46</v>
      </c>
      <c r="P58" s="37" t="n">
        <v>3414.16</v>
      </c>
      <c r="Q58" s="18" t="n">
        <v>-78.2</v>
      </c>
      <c r="R58" s="18" t="n">
        <v>729.48</v>
      </c>
      <c r="S58" s="18" t="n">
        <v>972.03</v>
      </c>
      <c r="T58" s="18" t="n">
        <v>2458.6</v>
      </c>
      <c r="U58" s="37" t="n">
        <v>4081.91</v>
      </c>
      <c r="V58" s="18" t="n">
        <v>421.89</v>
      </c>
      <c r="W58" s="18" t="n">
        <v>693.09</v>
      </c>
      <c r="X58" s="18" t="n">
        <v>3028.52</v>
      </c>
      <c r="Y58" s="18" t="n">
        <v>5145.87</v>
      </c>
      <c r="Z58" s="37" t="n">
        <v>9289.370000000001</v>
      </c>
      <c r="AA58" s="18" t="n">
        <v>1554.99</v>
      </c>
      <c r="AB58" s="19" t="n">
        <v>3904.76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311.96</v>
      </c>
      <c r="F59" s="9" t="n"/>
      <c r="G59" s="18" t="n">
        <v>64.19</v>
      </c>
      <c r="H59" s="18" t="n">
        <v>43.86</v>
      </c>
      <c r="I59" s="18" t="n">
        <v>17.55</v>
      </c>
      <c r="J59" s="18" t="n">
        <v>6.22</v>
      </c>
      <c r="K59" s="37" t="n">
        <v>131.82</v>
      </c>
      <c r="L59" s="18" t="n">
        <v>14.08</v>
      </c>
      <c r="M59" s="18" t="n">
        <v>18.05</v>
      </c>
      <c r="N59" s="18" t="n">
        <v>5.88</v>
      </c>
      <c r="O59" s="18" t="n">
        <v>2.94</v>
      </c>
      <c r="P59" s="37" t="n">
        <v>40.95</v>
      </c>
      <c r="Q59" s="18" t="n">
        <v>10.4</v>
      </c>
      <c r="R59" s="18" t="n">
        <v>12.07</v>
      </c>
      <c r="S59" s="18" t="n">
        <v>14.66</v>
      </c>
      <c r="T59" s="18" t="n">
        <v>35.14</v>
      </c>
      <c r="U59" s="37" t="n">
        <v>72.27</v>
      </c>
      <c r="V59" s="18" t="n">
        <v>22.89</v>
      </c>
      <c r="W59" s="18" t="n">
        <v>45.86</v>
      </c>
      <c r="X59" s="18" t="n">
        <v>17.43</v>
      </c>
      <c r="Y59" s="18" t="n">
        <v>54.17</v>
      </c>
      <c r="Z59" s="37" t="n">
        <v>140.35</v>
      </c>
      <c r="AA59" s="18" t="n">
        <v>68.23</v>
      </c>
      <c r="AB59" s="19" t="n">
        <v>148.99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4.17</v>
      </c>
      <c r="F60" s="9" t="n"/>
      <c r="G60" s="18" t="n">
        <v>0.01</v>
      </c>
      <c r="H60" s="18" t="n">
        <v>75.37</v>
      </c>
      <c r="I60" s="18" t="n">
        <v>0.47</v>
      </c>
      <c r="J60" s="18" t="n">
        <v>1.68</v>
      </c>
      <c r="K60" s="37" t="n">
        <v>77.53</v>
      </c>
      <c r="L60" s="18" t="n">
        <v>4.18</v>
      </c>
      <c r="M60" s="18" t="n">
        <v>11.72</v>
      </c>
      <c r="N60" s="18" t="n">
        <v>-2.86</v>
      </c>
      <c r="O60" s="18" t="n">
        <v>0.76</v>
      </c>
      <c r="P60" s="37" t="n">
        <v>13.8</v>
      </c>
      <c r="Q60" s="18" t="n">
        <v>1.84</v>
      </c>
      <c r="R60" s="18" t="n">
        <v>0.45</v>
      </c>
      <c r="S60" s="18" t="n">
        <v>2.23</v>
      </c>
      <c r="T60" s="18" t="n">
        <v>21.6</v>
      </c>
      <c r="U60" s="37" t="n">
        <v>26.12</v>
      </c>
      <c r="V60" s="18" t="n">
        <v>2.24</v>
      </c>
      <c r="W60" s="18" t="n">
        <v>0.33</v>
      </c>
      <c r="X60" s="18" t="n">
        <v>-0.37</v>
      </c>
      <c r="Y60" s="18" t="n">
        <v>1.34</v>
      </c>
      <c r="Z60" s="37" t="n">
        <v>3.54</v>
      </c>
      <c r="AA60" s="18" t="n">
        <v>20.27</v>
      </c>
      <c r="AB60" s="19" t="n">
        <v>42.38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39.14</v>
      </c>
      <c r="F61" s="9" t="n"/>
      <c r="G61" s="18" t="n">
        <v>10.37</v>
      </c>
      <c r="H61" s="18" t="n">
        <v>34.33</v>
      </c>
      <c r="I61" s="18" t="n">
        <v>190.06</v>
      </c>
      <c r="J61" s="18" t="n">
        <v>-174.05</v>
      </c>
      <c r="K61" s="37" t="n">
        <v>60.71</v>
      </c>
      <c r="L61" s="18" t="n">
        <v>17.91</v>
      </c>
      <c r="M61" s="18" t="n">
        <v>70.88</v>
      </c>
      <c r="N61" s="18" t="n">
        <v>44.8</v>
      </c>
      <c r="O61" s="18" t="n">
        <v>38.77</v>
      </c>
      <c r="P61" s="37" t="n">
        <v>172.36</v>
      </c>
      <c r="Q61" s="18" t="n">
        <v>178</v>
      </c>
      <c r="R61" s="18" t="n">
        <v>291.19</v>
      </c>
      <c r="S61" s="18" t="n">
        <v>-5.1</v>
      </c>
      <c r="T61" s="18" t="n">
        <v>444.83</v>
      </c>
      <c r="U61" s="37" t="n">
        <v>908.92</v>
      </c>
      <c r="V61" s="18" t="n">
        <v>11.5</v>
      </c>
      <c r="W61" s="18" t="n">
        <v>17.88</v>
      </c>
      <c r="X61" s="18" t="n">
        <v>24.31</v>
      </c>
      <c r="Y61" s="18" t="n">
        <v>7.22</v>
      </c>
      <c r="Z61" s="37" t="n">
        <v>60.91</v>
      </c>
      <c r="AA61" s="18" t="n">
        <v>55.3</v>
      </c>
      <c r="AB61" s="19" t="n">
        <v>7.89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0.42</v>
      </c>
      <c r="F62" s="9" t="n"/>
      <c r="G62" s="18" t="n">
        <v>43.28</v>
      </c>
      <c r="H62" s="18" t="n">
        <v>125.16</v>
      </c>
      <c r="I62" s="18" t="n">
        <v>81.48999999999999</v>
      </c>
      <c r="J62" s="18" t="n">
        <v>54.72</v>
      </c>
      <c r="K62" s="37" t="n">
        <v>304.65</v>
      </c>
      <c r="L62" s="18" t="n">
        <v>157.29</v>
      </c>
      <c r="M62" s="18" t="n">
        <v>188.97</v>
      </c>
      <c r="N62" s="18" t="n">
        <v>171.54</v>
      </c>
      <c r="O62" s="18" t="n">
        <v>191.49</v>
      </c>
      <c r="P62" s="37" t="n">
        <v>709.29</v>
      </c>
      <c r="Q62" s="18" t="n">
        <v>98.04000000000001</v>
      </c>
      <c r="R62" s="18" t="n">
        <v>113.67</v>
      </c>
      <c r="S62" s="18" t="n">
        <v>185.5</v>
      </c>
      <c r="T62" s="18" t="n">
        <v>150.6</v>
      </c>
      <c r="U62" s="37" t="n">
        <v>547.8099999999999</v>
      </c>
      <c r="V62" s="18" t="n">
        <v>138.61</v>
      </c>
      <c r="W62" s="18" t="n">
        <v>282.02</v>
      </c>
      <c r="X62" s="18" t="n">
        <v>43.9</v>
      </c>
      <c r="Y62" s="18" t="n">
        <v>109.55</v>
      </c>
      <c r="Z62" s="37" t="n">
        <v>574.08</v>
      </c>
      <c r="AA62" s="18" t="n">
        <v>113.27</v>
      </c>
      <c r="AB62" s="19" t="n">
        <v>111.7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1356.17</v>
      </c>
      <c r="F63" s="9" t="n"/>
      <c r="G63" s="18" t="n">
        <v>-293.49</v>
      </c>
      <c r="H63" s="18" t="n">
        <v>430.42</v>
      </c>
      <c r="I63" s="18" t="n">
        <v>277.46</v>
      </c>
      <c r="J63" s="18" t="n">
        <v>795.1</v>
      </c>
      <c r="K63" s="37" t="n">
        <v>1209.49</v>
      </c>
      <c r="L63" s="18" t="n">
        <v>460.14</v>
      </c>
      <c r="M63" s="18" t="n">
        <v>235.18</v>
      </c>
      <c r="N63" s="18" t="n">
        <v>100.13</v>
      </c>
      <c r="O63" s="18" t="n">
        <v>2108.94</v>
      </c>
      <c r="P63" s="37" t="n">
        <v>2904.39</v>
      </c>
      <c r="Q63" s="18" t="n">
        <v>10.32</v>
      </c>
      <c r="R63" s="18" t="n">
        <v>918.62</v>
      </c>
      <c r="S63" s="18" t="n">
        <v>793.87</v>
      </c>
      <c r="T63" s="18" t="n">
        <v>2766.36</v>
      </c>
      <c r="U63" s="37" t="n">
        <v>4489.17</v>
      </c>
      <c r="V63" s="18" t="n">
        <v>315.42</v>
      </c>
      <c r="W63" s="18" t="n">
        <v>474.47</v>
      </c>
      <c r="X63" s="18" t="n">
        <v>3026.72</v>
      </c>
      <c r="Y63" s="18" t="n">
        <v>5096.37</v>
      </c>
      <c r="Z63" s="37" t="n">
        <v>8912.98</v>
      </c>
      <c r="AA63" s="18" t="n">
        <v>1544.98</v>
      </c>
      <c r="AB63" s="19" t="n">
        <v>3907.57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141.96</v>
      </c>
      <c r="F64" s="9" t="n"/>
      <c r="H64" s="18" t="n">
        <v>1.46</v>
      </c>
      <c r="I64" s="18" t="n">
        <v>85.34</v>
      </c>
      <c r="J64" s="18" t="n">
        <v>-157.6</v>
      </c>
      <c r="K64" s="9" t="n"/>
      <c r="L64" s="18" t="n">
        <v>-4.54</v>
      </c>
      <c r="M64" s="18" t="n">
        <v>33.88</v>
      </c>
      <c r="N64" s="18" t="n">
        <v>-1.38</v>
      </c>
      <c r="O64" s="18" t="n">
        <v>-1920.06</v>
      </c>
      <c r="P64" s="37" t="n">
        <v>-1892.1</v>
      </c>
      <c r="Q64" s="18" t="n">
        <v>1.64</v>
      </c>
      <c r="R64" s="18" t="n">
        <v>3.55</v>
      </c>
      <c r="S64" s="18" t="n">
        <v>-54</v>
      </c>
      <c r="T64" s="18" t="n">
        <v>-1505.94</v>
      </c>
      <c r="U64" s="37" t="n">
        <v>-1554.75</v>
      </c>
      <c r="V64" s="18" t="n">
        <v>6.64</v>
      </c>
      <c r="W64" s="18" t="n">
        <v>22.48</v>
      </c>
      <c r="X64" s="18" t="n">
        <v>123.39</v>
      </c>
      <c r="Y64" s="18" t="n">
        <v>811.1799999999999</v>
      </c>
      <c r="Z64" s="37" t="n">
        <v>963.6900000000001</v>
      </c>
      <c r="AA64" s="18" t="n">
        <v>63.31</v>
      </c>
      <c r="AB64" s="19" t="n">
        <v>1125.25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7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7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7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7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1148.74</v>
      </c>
      <c r="F66" s="9" t="n"/>
      <c r="G66" s="18" t="n">
        <v>-303.13</v>
      </c>
      <c r="H66" s="18" t="n">
        <v>694.58</v>
      </c>
      <c r="I66" s="18" t="n">
        <v>186.11</v>
      </c>
      <c r="J66" s="18" t="n">
        <v>1019.72</v>
      </c>
      <c r="K66" s="37" t="n">
        <v>1597.28</v>
      </c>
      <c r="L66" s="18" t="n">
        <v>459.82</v>
      </c>
      <c r="M66" s="18" t="n">
        <v>201.01</v>
      </c>
      <c r="N66" s="18" t="n">
        <v>97.11</v>
      </c>
      <c r="O66" s="18" t="n">
        <v>4032.88</v>
      </c>
      <c r="P66" s="37" t="n">
        <v>4790.82</v>
      </c>
      <c r="Q66" s="18" t="n">
        <v>2.46</v>
      </c>
      <c r="R66" s="18" t="n">
        <v>882.9</v>
      </c>
      <c r="S66" s="18" t="n">
        <v>839.8</v>
      </c>
      <c r="T66" s="18" t="n">
        <v>4291.78</v>
      </c>
      <c r="U66" s="37" t="n">
        <v>6016.94</v>
      </c>
      <c r="V66" s="18" t="n">
        <v>299.93</v>
      </c>
      <c r="W66" s="18" t="n">
        <v>449.72</v>
      </c>
      <c r="X66" s="18" t="n">
        <v>2895.69</v>
      </c>
      <c r="Y66" s="18" t="n">
        <v>4359.27</v>
      </c>
      <c r="Z66" s="37" t="n">
        <v>8004.61</v>
      </c>
      <c r="AA66" s="18" t="n">
        <v>1472.19</v>
      </c>
      <c r="AB66" s="19" t="n">
        <v>2848.16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38.72</v>
      </c>
      <c r="F67" s="9" t="n"/>
      <c r="G67" s="18" t="n">
        <v>-32.91</v>
      </c>
      <c r="H67" s="18" t="n">
        <v>-90.83</v>
      </c>
      <c r="I67" s="18" t="n">
        <v>108.57</v>
      </c>
      <c r="J67" s="18" t="n">
        <v>-228.77</v>
      </c>
      <c r="K67" s="37" t="n">
        <v>-243.94</v>
      </c>
      <c r="L67" s="18" t="n">
        <v>-139.38</v>
      </c>
      <c r="M67" s="18" t="n">
        <v>-118.09</v>
      </c>
      <c r="N67" s="18" t="n">
        <v>-126.74</v>
      </c>
      <c r="O67" s="18" t="n">
        <v>-152.72</v>
      </c>
      <c r="P67" s="37" t="n">
        <v>-536.9299999999999</v>
      </c>
      <c r="Q67" s="18" t="n">
        <v>79.95999999999999</v>
      </c>
      <c r="R67" s="18" t="n">
        <v>177.52</v>
      </c>
      <c r="S67" s="18" t="n">
        <v>-190.6</v>
      </c>
      <c r="T67" s="18" t="n">
        <v>294.23</v>
      </c>
      <c r="U67" s="37" t="n">
        <v>361.11</v>
      </c>
      <c r="V67" s="18" t="n">
        <v>-127.11</v>
      </c>
      <c r="W67" s="18" t="n">
        <v>-264.14</v>
      </c>
      <c r="X67" s="18" t="n">
        <v>-19.59</v>
      </c>
      <c r="Y67" s="18" t="n">
        <v>-102.33</v>
      </c>
      <c r="Z67" s="37" t="n">
        <v>-513.17</v>
      </c>
      <c r="AA67" s="18" t="n">
        <v>-57.97</v>
      </c>
      <c r="AB67" s="19" t="n">
        <v>-103.81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307.79</v>
      </c>
      <c r="F68" s="9" t="n"/>
      <c r="G68" s="18" t="n">
        <v>64.18000000000001</v>
      </c>
      <c r="H68" s="18" t="n">
        <v>-31.51</v>
      </c>
      <c r="I68" s="18" t="n">
        <v>17.08</v>
      </c>
      <c r="J68" s="18" t="n">
        <v>4.54</v>
      </c>
      <c r="K68" s="37" t="n">
        <v>54.29</v>
      </c>
      <c r="L68" s="18" t="n">
        <v>9.9</v>
      </c>
      <c r="M68" s="18" t="n">
        <v>6.33</v>
      </c>
      <c r="N68" s="18" t="n">
        <v>8.74</v>
      </c>
      <c r="O68" s="18" t="n">
        <v>2.18</v>
      </c>
      <c r="P68" s="37" t="n">
        <v>27.15</v>
      </c>
      <c r="Q68" s="18" t="n">
        <v>8.56</v>
      </c>
      <c r="R68" s="18" t="n">
        <v>11.62</v>
      </c>
      <c r="S68" s="18" t="n">
        <v>12.43</v>
      </c>
      <c r="T68" s="18" t="n">
        <v>13.54</v>
      </c>
      <c r="U68" s="37" t="n">
        <v>46.15</v>
      </c>
      <c r="V68" s="18" t="n">
        <v>20.65</v>
      </c>
      <c r="W68" s="18" t="n">
        <v>45.53</v>
      </c>
      <c r="X68" s="18" t="n">
        <v>17.8</v>
      </c>
      <c r="Y68" s="18" t="n">
        <v>52.83</v>
      </c>
      <c r="Z68" s="37" t="n">
        <v>136.81</v>
      </c>
      <c r="AA68" s="18" t="n">
        <v>47.96</v>
      </c>
      <c r="AB68" s="19" t="n">
        <v>106.61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1214.21</v>
      </c>
      <c r="F69" s="9" t="n"/>
      <c r="G69" s="18" t="n">
        <v>-293.49</v>
      </c>
      <c r="H69" s="18" t="n">
        <v>428.95</v>
      </c>
      <c r="I69" s="18" t="n">
        <v>192.13</v>
      </c>
      <c r="J69" s="18" t="n">
        <v>952.7</v>
      </c>
      <c r="K69" s="37" t="n">
        <v>1280.29</v>
      </c>
      <c r="L69" s="18" t="n">
        <v>464.68</v>
      </c>
      <c r="M69" s="18" t="n">
        <v>201.3</v>
      </c>
      <c r="N69" s="18" t="n">
        <v>101.51</v>
      </c>
      <c r="O69" s="18" t="n">
        <v>4029</v>
      </c>
      <c r="P69" s="37" t="n">
        <v>4796.49</v>
      </c>
      <c r="Q69" s="18" t="n">
        <v>8.68</v>
      </c>
      <c r="R69" s="18" t="n">
        <v>915.0700000000001</v>
      </c>
      <c r="S69" s="18" t="n">
        <v>847.86</v>
      </c>
      <c r="T69" s="18" t="n">
        <v>4272.29</v>
      </c>
      <c r="U69" s="37" t="n">
        <v>6043.9</v>
      </c>
      <c r="V69" s="18" t="n">
        <v>308.78</v>
      </c>
      <c r="W69" s="18" t="n">
        <v>451.99</v>
      </c>
      <c r="X69" s="18" t="n">
        <v>2903.33</v>
      </c>
      <c r="Y69" s="18" t="n">
        <v>4285.18</v>
      </c>
      <c r="Z69" s="37" t="n">
        <v>7949.28</v>
      </c>
      <c r="AA69" s="18" t="n">
        <v>1481.66</v>
      </c>
      <c r="AB69" s="19" t="n">
        <v>2782.33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1214.21</v>
      </c>
      <c r="F70" s="9" t="n"/>
      <c r="G70" s="18" t="n">
        <v>-293.49</v>
      </c>
      <c r="H70" s="18" t="n">
        <v>428.95</v>
      </c>
      <c r="I70" s="18" t="n">
        <v>192.13</v>
      </c>
      <c r="J70" s="18" t="n">
        <v>952.7</v>
      </c>
      <c r="K70" s="37" t="n">
        <v>1280.29</v>
      </c>
      <c r="L70" s="18" t="n">
        <v>464.68</v>
      </c>
      <c r="M70" s="18" t="n">
        <v>201.3</v>
      </c>
      <c r="N70" s="18" t="n">
        <v>101.51</v>
      </c>
      <c r="O70" s="18" t="n">
        <v>4029</v>
      </c>
      <c r="P70" s="37" t="n">
        <v>4796.49</v>
      </c>
      <c r="Q70" s="18" t="n">
        <v>8.68</v>
      </c>
      <c r="R70" s="18" t="n">
        <v>915.0700000000001</v>
      </c>
      <c r="S70" s="18" t="n">
        <v>847.86</v>
      </c>
      <c r="T70" s="18" t="n">
        <v>4272.29</v>
      </c>
      <c r="U70" s="37" t="n">
        <v>6043.9</v>
      </c>
      <c r="V70" s="18" t="n">
        <v>308.78</v>
      </c>
      <c r="W70" s="18" t="n">
        <v>451.99</v>
      </c>
      <c r="X70" s="18" t="n">
        <v>2903.33</v>
      </c>
      <c r="Y70" s="18" t="n">
        <v>4285.18</v>
      </c>
      <c r="Z70" s="37" t="n">
        <v>7949.28</v>
      </c>
      <c r="AA70" s="18" t="n">
        <v>1481.66</v>
      </c>
      <c r="AB70" s="19" t="n">
        <v>2782.33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H71" s="18" t="n">
        <v>7.32</v>
      </c>
      <c r="I71" s="18" t="n">
        <v>7.07</v>
      </c>
      <c r="J71" s="18" t="n">
        <v>10.3</v>
      </c>
      <c r="K71" s="9" t="n"/>
      <c r="L71" s="18" t="n">
        <v>6.65</v>
      </c>
      <c r="M71" s="18" t="n">
        <v>6.86</v>
      </c>
      <c r="N71" s="18" t="n">
        <v>6.94</v>
      </c>
      <c r="O71" s="18" t="n">
        <v>7.01</v>
      </c>
      <c r="P71" s="37" t="n">
        <v>27.46</v>
      </c>
      <c r="Q71" s="18" t="n">
        <v>7.55</v>
      </c>
      <c r="R71" s="18" t="n">
        <v>7.12</v>
      </c>
      <c r="S71" s="18" t="n">
        <v>5.83</v>
      </c>
      <c r="T71" s="18" t="n">
        <v>5.95</v>
      </c>
      <c r="U71" s="37" t="n">
        <v>26.45</v>
      </c>
      <c r="V71" s="18" t="n">
        <v>5.95</v>
      </c>
      <c r="W71" s="18" t="n">
        <v>5.75</v>
      </c>
      <c r="X71" s="18" t="n">
        <v>5.65</v>
      </c>
      <c r="Y71" s="18" t="n">
        <v>6.66</v>
      </c>
      <c r="Z71" s="37" t="n">
        <v>24.01</v>
      </c>
      <c r="AA71" s="18" t="n">
        <v>0.33</v>
      </c>
      <c r="AB71" s="19" t="n">
        <v>0.97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H72" s="18" t="n">
        <v>67.09999999999999</v>
      </c>
      <c r="I72" s="18" t="n">
        <v>64.81</v>
      </c>
      <c r="J72" s="18" t="n">
        <v>66.92</v>
      </c>
      <c r="K72" s="9" t="n"/>
      <c r="L72" s="18" t="n">
        <v>96.5</v>
      </c>
      <c r="M72" s="18" t="n">
        <v>107.96</v>
      </c>
      <c r="N72" s="18" t="n">
        <v>107.48</v>
      </c>
      <c r="O72" s="18" t="n">
        <v>101.54</v>
      </c>
      <c r="P72" s="37" t="n">
        <v>413.48</v>
      </c>
      <c r="Q72" s="18" t="n">
        <v>98.04000000000001</v>
      </c>
      <c r="R72" s="18" t="n">
        <v>112.53</v>
      </c>
      <c r="S72" s="18" t="n">
        <v>160.58</v>
      </c>
      <c r="T72" s="18" t="n">
        <v>151</v>
      </c>
      <c r="U72" s="37" t="n">
        <v>522.15</v>
      </c>
      <c r="V72" s="18" t="n">
        <v>130.27</v>
      </c>
      <c r="W72" s="18" t="n">
        <v>113.77</v>
      </c>
      <c r="X72" s="18" t="n">
        <v>101.56</v>
      </c>
      <c r="Y72" s="18" t="n">
        <v>98.92</v>
      </c>
      <c r="Z72" s="37" t="n">
        <v>444.52</v>
      </c>
      <c r="AA72" s="18" t="n">
        <v>103.61</v>
      </c>
      <c r="AB72" s="19" t="n">
        <v>105.5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H73" s="18" t="n">
        <v>-59.78</v>
      </c>
      <c r="I73" s="18" t="n">
        <v>-57.74</v>
      </c>
      <c r="J73" s="18" t="n">
        <v>-56.62</v>
      </c>
      <c r="K73" s="9" t="n"/>
      <c r="L73" s="18" t="n">
        <v>-89.84999999999999</v>
      </c>
      <c r="M73" s="18" t="n">
        <v>-101.1</v>
      </c>
      <c r="N73" s="18" t="n">
        <v>-100.54</v>
      </c>
      <c r="O73" s="18" t="n">
        <v>-94.53</v>
      </c>
      <c r="P73" s="37" t="n">
        <v>-386.02</v>
      </c>
      <c r="Q73" s="18" t="n">
        <v>-90.48999999999999</v>
      </c>
      <c r="R73" s="18" t="n">
        <v>-105.41</v>
      </c>
      <c r="S73" s="18" t="n">
        <v>-154.75</v>
      </c>
      <c r="T73" s="18" t="n">
        <v>-145.05</v>
      </c>
      <c r="U73" s="37" t="n">
        <v>-495.7</v>
      </c>
      <c r="V73" s="18" t="n">
        <v>-124.32</v>
      </c>
      <c r="W73" s="18" t="n">
        <v>-108.02</v>
      </c>
      <c r="X73" s="18" t="n">
        <v>-95.91</v>
      </c>
      <c r="Y73" s="18" t="n">
        <v>-92.26000000000001</v>
      </c>
      <c r="Z73" s="37" t="n">
        <v>-420.51</v>
      </c>
      <c r="AA73" s="18" t="n">
        <v>-103.28</v>
      </c>
      <c r="AB73" s="19" t="n">
        <v>-104.53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31.36</v>
      </c>
      <c r="J74" s="18" t="n">
        <v>0</v>
      </c>
      <c r="K74" s="9" t="n"/>
      <c r="M74" s="18" t="n">
        <v>38.59</v>
      </c>
      <c r="N74" s="18" t="n">
        <v>0</v>
      </c>
      <c r="O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K75" s="9" t="n"/>
      <c r="P75" s="9" t="n"/>
      <c r="R75" s="18" t="n">
        <v>0.11</v>
      </c>
      <c r="S75" s="18" t="n">
        <v>1.02</v>
      </c>
      <c r="T75" s="18" t="n">
        <v>23.24</v>
      </c>
      <c r="U75" s="9" t="n"/>
      <c r="V75" s="18" t="n">
        <v>3.27</v>
      </c>
      <c r="W75" s="18" t="n">
        <v>2.94</v>
      </c>
      <c r="X75" s="18" t="n">
        <v>2.21</v>
      </c>
      <c r="Y75" s="18" t="n">
        <v>9.08</v>
      </c>
      <c r="Z75" s="37" t="n">
        <v>17.5</v>
      </c>
      <c r="AA75" s="18" t="n">
        <v>34.53</v>
      </c>
      <c r="AB75" s="19" t="n">
        <v>13.38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외환차손</t>
        </is>
      </c>
      <c r="F76" s="9" t="n"/>
      <c r="K76" s="9" t="n"/>
      <c r="P76" s="9" t="n"/>
      <c r="R76" s="18" t="n">
        <v>0.1</v>
      </c>
      <c r="S76" s="18" t="n">
        <v>10.72</v>
      </c>
      <c r="T76" s="18" t="n">
        <v>6.12</v>
      </c>
      <c r="U76" s="9" t="n"/>
      <c r="V76" s="18" t="n">
        <v>3.1</v>
      </c>
      <c r="W76" s="18" t="n">
        <v>27.26</v>
      </c>
      <c r="X76" s="18" t="n">
        <v>86.8</v>
      </c>
      <c r="Y76" s="18" t="n">
        <v>0.8</v>
      </c>
      <c r="Z76" s="37" t="n">
        <v>117.96</v>
      </c>
      <c r="AA76" s="18" t="n">
        <v>5.46</v>
      </c>
      <c r="AB76" s="19" t="n">
        <v>6.35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P77" s="9" t="n"/>
      <c r="R77" s="18" t="n">
        <v>3.24</v>
      </c>
      <c r="S77" s="18" t="n">
        <v>1.9</v>
      </c>
      <c r="T77" s="18" t="n">
        <v>92.65000000000001</v>
      </c>
      <c r="U77" s="9" t="n"/>
      <c r="V77" s="18" t="n">
        <v>1.44</v>
      </c>
      <c r="W77" s="18" t="n">
        <v>8.779999999999999</v>
      </c>
      <c r="X77" s="18" t="n">
        <v>-1.78</v>
      </c>
      <c r="Y77" s="18" t="n">
        <v>-3.89</v>
      </c>
      <c r="Z77" s="37" t="n">
        <v>4.55</v>
      </c>
      <c r="AA77" s="18" t="n">
        <v>20.44</v>
      </c>
      <c r="AB77" s="19" t="n">
        <v>-6.46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K78" s="9" t="n"/>
      <c r="P78" s="9" t="n"/>
      <c r="R78" s="18" t="n">
        <v>1.03</v>
      </c>
      <c r="S78" s="18" t="n">
        <v>14.2</v>
      </c>
      <c r="T78" s="18" t="n">
        <v>-6.51</v>
      </c>
      <c r="U78" s="9" t="n"/>
      <c r="V78" s="18" t="n">
        <v>5.24</v>
      </c>
      <c r="W78" s="18" t="n">
        <v>140.98</v>
      </c>
      <c r="X78" s="18" t="n">
        <v>-144.46</v>
      </c>
      <c r="Y78" s="18" t="n">
        <v>9.82</v>
      </c>
      <c r="Z78" s="37" t="n">
        <v>11.58</v>
      </c>
      <c r="AA78" s="18" t="n">
        <v>4.2</v>
      </c>
      <c r="AB78" s="19" t="n">
        <v>-0.15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90.41</v>
      </c>
      <c r="F79" s="9" t="n"/>
      <c r="G79" s="18" t="n">
        <v>-1301.67</v>
      </c>
      <c r="H79" s="18" t="n">
        <v>-1328.31</v>
      </c>
      <c r="I79" s="18" t="n">
        <v>1167.99</v>
      </c>
      <c r="J79" s="18" t="n">
        <v>1066.35</v>
      </c>
      <c r="K79" s="37" t="n">
        <v>-395.64</v>
      </c>
      <c r="L79" s="18" t="n">
        <v>1625.83</v>
      </c>
      <c r="M79" s="18" t="n">
        <v>1617.36</v>
      </c>
      <c r="N79" s="18" t="n">
        <v>1289.98</v>
      </c>
      <c r="O79" s="18" t="n">
        <v>544.49</v>
      </c>
      <c r="P79" s="37" t="n">
        <v>5077.66</v>
      </c>
      <c r="Q79" s="18" t="n">
        <v>2062.55</v>
      </c>
      <c r="R79" s="18" t="n">
        <v>-120.66</v>
      </c>
      <c r="S79" s="18" t="n">
        <v>1179.42</v>
      </c>
      <c r="T79" s="18" t="n">
        <v>1842.3</v>
      </c>
      <c r="U79" s="37" t="n">
        <v>4963.61</v>
      </c>
      <c r="V79" s="18" t="n">
        <v>231.45</v>
      </c>
      <c r="W79" s="18" t="n">
        <v>1341.84</v>
      </c>
      <c r="X79" s="18" t="n">
        <v>1889.15</v>
      </c>
      <c r="Y79" s="18" t="n">
        <v>6650.4</v>
      </c>
      <c r="Z79" s="37" t="n">
        <v>10112.84</v>
      </c>
      <c r="AA79" s="18" t="n">
        <v>2017.81</v>
      </c>
      <c r="AB79" s="19" t="n">
        <v>3345.05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136.06</v>
      </c>
      <c r="F80" s="9" t="n"/>
      <c r="G80" s="18" t="n">
        <v>126.46</v>
      </c>
      <c r="H80" s="18" t="n">
        <v>149.2</v>
      </c>
      <c r="I80" s="18" t="n">
        <v>144.3</v>
      </c>
      <c r="J80" s="18" t="n">
        <v>177.32</v>
      </c>
      <c r="K80" s="37" t="n">
        <v>597.28</v>
      </c>
      <c r="L80" s="18" t="n">
        <v>242.85</v>
      </c>
      <c r="M80" s="18" t="n">
        <v>238.59</v>
      </c>
      <c r="N80" s="18" t="n">
        <v>234.67</v>
      </c>
      <c r="O80" s="18" t="n">
        <v>234.34</v>
      </c>
      <c r="P80" s="37" t="n">
        <v>950.45</v>
      </c>
      <c r="U80" s="9" t="n"/>
      <c r="V80" s="18" t="n">
        <v>243.45</v>
      </c>
      <c r="W80" s="18" t="n">
        <v>240.47</v>
      </c>
      <c r="X80" s="18" t="n">
        <v>240.61</v>
      </c>
      <c r="Y80" s="18" t="n">
        <v>240.13</v>
      </c>
      <c r="Z80" s="37" t="n">
        <v>964.66</v>
      </c>
      <c r="AA80" s="18" t="n">
        <v>239.67</v>
      </c>
      <c r="AB80" s="19" t="n">
        <v>238.43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-5.9</v>
      </c>
      <c r="F81" s="9" t="n"/>
      <c r="G81" s="18" t="n">
        <v>12.7</v>
      </c>
      <c r="H81" s="18" t="n">
        <v>1.05</v>
      </c>
      <c r="I81" s="18" t="n">
        <v>-55.28</v>
      </c>
      <c r="J81" s="18" t="n">
        <v>-7.8</v>
      </c>
      <c r="K81" s="37" t="n">
        <v>-49.33</v>
      </c>
      <c r="L81" s="18" t="n">
        <v>-0.95</v>
      </c>
      <c r="M81" s="18" t="n">
        <v>9.02</v>
      </c>
      <c r="N81" s="18" t="n">
        <v>-3.39</v>
      </c>
      <c r="O81" s="18" t="n">
        <v>-1.1</v>
      </c>
      <c r="P81" s="37" t="n">
        <v>3.58</v>
      </c>
      <c r="Q81" s="18" t="n">
        <v>-1.1</v>
      </c>
      <c r="R81" s="18" t="n">
        <v>2.86</v>
      </c>
      <c r="S81" s="18" t="n">
        <v>-4.97</v>
      </c>
      <c r="T81" s="18" t="n">
        <v>-61.46</v>
      </c>
      <c r="U81" s="37" t="n">
        <v>-64.67</v>
      </c>
      <c r="V81" s="18" t="n">
        <v>-0.92</v>
      </c>
      <c r="W81" s="18" t="n">
        <v>67.73</v>
      </c>
      <c r="X81" s="18" t="n">
        <v>-26.14</v>
      </c>
      <c r="Y81" s="18" t="n">
        <v>-1.02</v>
      </c>
      <c r="Z81" s="37" t="n">
        <v>39.65</v>
      </c>
      <c r="AA81" s="18" t="n">
        <v>-153.72</v>
      </c>
      <c r="AB81" s="19" t="n">
        <v>-187.08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2100.72</v>
      </c>
      <c r="F82" s="9" t="n"/>
      <c r="G82" s="18" t="n">
        <v>-5327.88</v>
      </c>
      <c r="H82" s="18" t="n">
        <v>-1712.8</v>
      </c>
      <c r="I82" s="18" t="n">
        <v>-62.86</v>
      </c>
      <c r="J82" s="18" t="n">
        <v>-27.58</v>
      </c>
      <c r="K82" s="37" t="n">
        <v>-7131.12</v>
      </c>
      <c r="L82" s="18" t="n">
        <v>17.05</v>
      </c>
      <c r="M82" s="18" t="n">
        <v>0</v>
      </c>
      <c r="N82" s="18" t="n">
        <v>-9.890000000000001</v>
      </c>
      <c r="O82" s="18" t="n">
        <v>-126.42</v>
      </c>
      <c r="P82" s="37" t="n">
        <v>-119.26</v>
      </c>
      <c r="Q82" s="18" t="n">
        <v>506.12</v>
      </c>
      <c r="R82" s="18" t="n">
        <v>-12620.07</v>
      </c>
      <c r="S82" s="18" t="n">
        <v>70.42</v>
      </c>
      <c r="T82" s="18" t="n">
        <v>761.27</v>
      </c>
      <c r="U82" s="37" t="n">
        <v>-11282.26</v>
      </c>
      <c r="V82" s="18" t="n">
        <v>-117.22</v>
      </c>
      <c r="W82" s="18" t="n">
        <v>-12.44</v>
      </c>
      <c r="X82" s="18" t="n">
        <v>-29.35</v>
      </c>
      <c r="Y82" s="18" t="n">
        <v>474.17</v>
      </c>
      <c r="Z82" s="37" t="n">
        <v>315.16</v>
      </c>
      <c r="AA82" s="18" t="n">
        <v>-49.15</v>
      </c>
      <c r="AB82" s="19" t="n">
        <v>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46.29</v>
      </c>
      <c r="F83" s="9" t="n"/>
      <c r="G83" s="18" t="n">
        <v>41.79</v>
      </c>
      <c r="K83" s="9" t="n"/>
      <c r="P83" s="9" t="n"/>
      <c r="Q83" s="18" t="n">
        <v>7.56</v>
      </c>
      <c r="R83" s="18" t="n">
        <v>7.11</v>
      </c>
      <c r="S83" s="18" t="n">
        <v>5.83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0</v>
      </c>
      <c r="F84" s="9" t="n"/>
      <c r="I84" s="18" t="n">
        <v>31.36</v>
      </c>
      <c r="J84" s="18" t="n">
        <v>0</v>
      </c>
      <c r="K84" s="9" t="n"/>
      <c r="N84" s="18" t="n">
        <v>0</v>
      </c>
      <c r="O84" s="18" t="n">
        <v>0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-31.74</v>
      </c>
      <c r="F85" s="9" t="n"/>
      <c r="G85" s="18" t="n">
        <v>7932.9</v>
      </c>
      <c r="H85" s="18" t="n">
        <v>35.11</v>
      </c>
      <c r="I85" s="18" t="n">
        <v>-0.57</v>
      </c>
      <c r="J85" s="18" t="n">
        <v>-33.36</v>
      </c>
      <c r="K85" s="37" t="n">
        <v>7934.08</v>
      </c>
      <c r="L85" s="18" t="n">
        <v>-98.66</v>
      </c>
      <c r="M85" s="18" t="n">
        <v>-100.26</v>
      </c>
      <c r="N85" s="18" t="n">
        <v>-101.88</v>
      </c>
      <c r="O85" s="18" t="n">
        <v>-101.7</v>
      </c>
      <c r="P85" s="37" t="n">
        <v>-402.5</v>
      </c>
      <c r="Q85" s="18" t="n">
        <v>770.0599999999999</v>
      </c>
      <c r="R85" s="18" t="n">
        <v>2899.13</v>
      </c>
      <c r="S85" s="18" t="n">
        <v>-941.98</v>
      </c>
      <c r="T85" s="18" t="n">
        <v>-814.79</v>
      </c>
      <c r="U85" s="37" t="n">
        <v>1912.42</v>
      </c>
      <c r="V85" s="18" t="n">
        <v>-682.73</v>
      </c>
      <c r="W85" s="18" t="n">
        <v>-1017.51</v>
      </c>
      <c r="X85" s="18" t="n">
        <v>-102.25</v>
      </c>
      <c r="Y85" s="18" t="n">
        <v>-101.9</v>
      </c>
      <c r="Z85" s="37" t="n">
        <v>-1904.39</v>
      </c>
      <c r="AA85" s="18" t="n">
        <v>-99.68000000000001</v>
      </c>
      <c r="AB85" s="19" t="n">
        <v>-101.03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E86" s="18" t="n">
        <v>-0.66</v>
      </c>
      <c r="F86" s="9" t="n"/>
      <c r="G86" s="18" t="n">
        <v>-43.28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31.09</v>
      </c>
      <c r="F87" s="9" t="n"/>
      <c r="G87" s="18" t="n">
        <v>23.82</v>
      </c>
      <c r="H87" s="18" t="n">
        <v>8.17</v>
      </c>
      <c r="I87" s="18" t="n">
        <v>0.57</v>
      </c>
      <c r="J87" s="18" t="n">
        <v>33.36</v>
      </c>
      <c r="K87" s="37" t="n">
        <v>65.92</v>
      </c>
      <c r="L87" s="18" t="n">
        <v>98.66</v>
      </c>
      <c r="M87" s="18" t="n">
        <v>100.26</v>
      </c>
      <c r="N87" s="18" t="n">
        <v>101.88</v>
      </c>
      <c r="O87" s="18" t="n">
        <v>101.7</v>
      </c>
      <c r="P87" s="37" t="n">
        <v>402.5</v>
      </c>
      <c r="Q87" s="18" t="n">
        <v>99.51000000000001</v>
      </c>
      <c r="R87" s="18" t="n">
        <v>100.87</v>
      </c>
      <c r="S87" s="18" t="n">
        <v>102.26</v>
      </c>
      <c r="T87" s="18" t="n">
        <v>101.78</v>
      </c>
      <c r="U87" s="37" t="n">
        <v>404.42</v>
      </c>
      <c r="V87" s="18" t="n">
        <v>99.41</v>
      </c>
      <c r="W87" s="18" t="n">
        <v>100.83</v>
      </c>
      <c r="X87" s="18" t="n">
        <v>102.25</v>
      </c>
      <c r="Y87" s="18" t="n">
        <v>101.9</v>
      </c>
      <c r="Z87" s="37" t="n">
        <v>404.39</v>
      </c>
      <c r="AA87" s="18" t="n">
        <v>99.68000000000001</v>
      </c>
      <c r="AB87" s="19" t="n">
        <v>101.03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2159.38</v>
      </c>
      <c r="F88" s="9" t="n"/>
      <c r="G88" s="18" t="n">
        <v>1303.35</v>
      </c>
      <c r="H88" s="18" t="n">
        <v>-3006</v>
      </c>
      <c r="I88" s="18" t="n">
        <v>1104.56</v>
      </c>
      <c r="J88" s="18" t="n">
        <v>1005.41</v>
      </c>
      <c r="K88" s="37" t="n">
        <v>407.32</v>
      </c>
      <c r="L88" s="18" t="n">
        <v>1544.22</v>
      </c>
      <c r="M88" s="18" t="n">
        <v>1517.11</v>
      </c>
      <c r="N88" s="18" t="n">
        <v>1178.2</v>
      </c>
      <c r="O88" s="18" t="n">
        <v>316.38</v>
      </c>
      <c r="P88" s="37" t="n">
        <v>4555.91</v>
      </c>
      <c r="Q88" s="18" t="n">
        <v>3338.73</v>
      </c>
      <c r="R88" s="18" t="n">
        <v>-9841.49</v>
      </c>
      <c r="S88" s="18" t="n">
        <v>299.42</v>
      </c>
      <c r="T88" s="18" t="n">
        <v>1877.1</v>
      </c>
      <c r="U88" s="37" t="n">
        <v>-4326.24</v>
      </c>
      <c r="V88" s="18" t="n">
        <v>-567.64</v>
      </c>
      <c r="W88" s="18" t="n">
        <v>168.02</v>
      </c>
      <c r="X88" s="18" t="n">
        <v>1902.28</v>
      </c>
      <c r="Y88" s="18" t="n">
        <v>7016.32</v>
      </c>
      <c r="Z88" s="37" t="n">
        <v>8518.98</v>
      </c>
      <c r="AA88" s="18" t="n">
        <v>1878.18</v>
      </c>
      <c r="AB88" s="19" t="n">
        <v>3244.46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2159.37</v>
      </c>
      <c r="F89" s="9" t="n"/>
      <c r="G89" s="18" t="n">
        <v>5159.23</v>
      </c>
      <c r="H89" s="18" t="n">
        <v>-3006</v>
      </c>
      <c r="I89" s="18" t="n">
        <v>1104.56</v>
      </c>
      <c r="J89" s="18" t="n">
        <v>1005.42</v>
      </c>
      <c r="K89" s="37" t="n">
        <v>4263.21</v>
      </c>
      <c r="L89" s="18" t="n">
        <v>5807.43</v>
      </c>
      <c r="M89" s="18" t="n">
        <v>1517.1</v>
      </c>
      <c r="N89" s="18" t="n">
        <v>1178.21</v>
      </c>
      <c r="O89" s="18" t="n">
        <v>316.38</v>
      </c>
      <c r="P89" s="37" t="n">
        <v>8819.120000000001</v>
      </c>
      <c r="Q89" s="18" t="n">
        <v>12157.85</v>
      </c>
      <c r="R89" s="18" t="n">
        <v>-9841.49</v>
      </c>
      <c r="S89" s="18" t="n">
        <v>299.42</v>
      </c>
      <c r="T89" s="18" t="n">
        <v>1877.1</v>
      </c>
      <c r="U89" s="37" t="n">
        <v>4492.88</v>
      </c>
      <c r="V89" s="18" t="n">
        <v>3925.24</v>
      </c>
      <c r="W89" s="18" t="n">
        <v>168.02</v>
      </c>
      <c r="X89" s="18" t="n">
        <v>1902.28</v>
      </c>
      <c r="Y89" s="18" t="n">
        <v>7016.32</v>
      </c>
      <c r="Z89" s="37" t="n">
        <v>13011.86</v>
      </c>
      <c r="AA89" s="18" t="n">
        <v>14890.05</v>
      </c>
      <c r="AB89" s="19" t="n">
        <v>3244.46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F90" s="9" t="n"/>
      <c r="G90" s="18" t="n">
        <v>8000</v>
      </c>
      <c r="H90" s="18" t="n">
        <v>0</v>
      </c>
      <c r="I90" s="18" t="n">
        <v>0</v>
      </c>
      <c r="J90" s="18" t="n">
        <v>2400</v>
      </c>
      <c r="K90" s="37" t="n">
        <v>10400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I91" s="18" t="n">
        <v>0</v>
      </c>
      <c r="J91" s="18" t="n">
        <v>4.04</v>
      </c>
      <c r="K91" s="9" t="n"/>
      <c r="N91" s="18" t="n">
        <v>0</v>
      </c>
      <c r="O91" s="18" t="n">
        <v>0</v>
      </c>
      <c r="P91" s="9" t="n"/>
      <c r="T91" s="18" t="n">
        <v>4.78</v>
      </c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F92" s="9" t="n"/>
      <c r="J92" s="18" t="n">
        <v>8665.67</v>
      </c>
      <c r="K92" s="9" t="n"/>
      <c r="N92" s="18" t="n">
        <v>1.48</v>
      </c>
      <c r="O92" s="18" t="n">
        <v>64.88</v>
      </c>
      <c r="P92" s="9" t="n"/>
      <c r="Q92" s="18" t="n">
        <v>63.57</v>
      </c>
      <c r="R92" s="18" t="n">
        <v>220.7</v>
      </c>
      <c r="S92" s="18" t="n">
        <v>135.7</v>
      </c>
      <c r="T92" s="18" t="n">
        <v>50.88</v>
      </c>
      <c r="U92" s="37" t="n">
        <v>470.85</v>
      </c>
      <c r="V92" s="18" t="n">
        <v>121.97</v>
      </c>
      <c r="W92" s="18" t="n">
        <v>58.94</v>
      </c>
      <c r="X92" s="18" t="n">
        <v>27.35</v>
      </c>
      <c r="Y92" s="18" t="n">
        <v>61.65</v>
      </c>
      <c r="Z92" s="37" t="n">
        <v>269.91</v>
      </c>
      <c r="AA92" s="18" t="n">
        <v>46.47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F93" s="9" t="n"/>
      <c r="J93" s="18" t="n">
        <v>8665.67</v>
      </c>
      <c r="K93" s="9" t="n"/>
      <c r="N93" s="18" t="n">
        <v>9.890000000000001</v>
      </c>
      <c r="O93" s="18" t="n">
        <v>64.88</v>
      </c>
      <c r="P93" s="9" t="n"/>
      <c r="Q93" s="18" t="n">
        <v>63.57</v>
      </c>
      <c r="R93" s="18" t="n">
        <v>220.7</v>
      </c>
      <c r="S93" s="18" t="n">
        <v>135.7</v>
      </c>
      <c r="T93" s="18" t="n">
        <v>50.88</v>
      </c>
      <c r="U93" s="37" t="n">
        <v>470.85</v>
      </c>
      <c r="V93" s="18" t="n">
        <v>121.97</v>
      </c>
      <c r="W93" s="18" t="n">
        <v>58.94</v>
      </c>
      <c r="X93" s="18" t="n">
        <v>27.35</v>
      </c>
      <c r="Y93" s="18" t="n">
        <v>61.65</v>
      </c>
      <c r="Z93" s="37" t="n">
        <v>269.91</v>
      </c>
      <c r="AA93" s="18" t="n">
        <v>47.03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F94" s="9" t="n"/>
      <c r="K94" s="9" t="n"/>
      <c r="O94" s="18" t="n">
        <v>0.42</v>
      </c>
      <c r="P94" s="9" t="n"/>
      <c r="U94" s="9" t="n"/>
      <c r="V94" s="18" t="n">
        <v>122.61</v>
      </c>
      <c r="W94" s="18" t="n">
        <v>122.61</v>
      </c>
      <c r="X94" s="18" t="n">
        <v>122.6</v>
      </c>
      <c r="Y94" s="18" t="n">
        <v>122.61</v>
      </c>
      <c r="Z94" s="37" t="n">
        <v>490.43</v>
      </c>
      <c r="AA94" s="18" t="n">
        <v>122.62</v>
      </c>
      <c r="AB94" s="19" t="n">
        <v>122.63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K95" s="9" t="n"/>
      <c r="O95" s="18" t="n">
        <v>0</v>
      </c>
      <c r="P95" s="9" t="n"/>
      <c r="T95" s="18" t="n">
        <v>0</v>
      </c>
      <c r="U95" s="9" t="n"/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F96" s="9" t="n"/>
      <c r="K96" s="9" t="n"/>
      <c r="P96" s="9" t="n"/>
      <c r="Q96" s="18" t="n">
        <v>8000</v>
      </c>
      <c r="R96" s="18" t="n">
        <v>0</v>
      </c>
      <c r="S96" s="18" t="n">
        <v>3300</v>
      </c>
      <c r="T96" s="18" t="n">
        <v>0</v>
      </c>
      <c r="U96" s="37" t="n">
        <v>11300</v>
      </c>
      <c r="V96" s="18" t="n">
        <v>0</v>
      </c>
      <c r="W96" s="18" t="n">
        <v>0</v>
      </c>
      <c r="X96" s="18" t="n">
        <v>0</v>
      </c>
      <c r="Y96" s="18" t="n">
        <v>0</v>
      </c>
      <c r="Z96" s="37" t="n">
        <v>0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단기차입금의감소</t>
        </is>
      </c>
      <c r="F97" s="9" t="n"/>
      <c r="K97" s="9" t="n"/>
      <c r="P97" s="9" t="n"/>
      <c r="Q97" s="18" t="n">
        <v>8000</v>
      </c>
      <c r="R97" s="18" t="n">
        <v>0</v>
      </c>
      <c r="S97" s="18" t="n">
        <v>4000</v>
      </c>
      <c r="T97" s="18" t="n">
        <v>1100</v>
      </c>
      <c r="U97" s="37" t="n">
        <v>13100</v>
      </c>
      <c r="V97" s="18" t="n">
        <v>800</v>
      </c>
      <c r="W97" s="18" t="n">
        <v>700</v>
      </c>
      <c r="X97" s="18" t="n">
        <v>0</v>
      </c>
      <c r="Y97" s="18" t="n">
        <v>0</v>
      </c>
      <c r="Z97" s="37" t="n">
        <v>1500</v>
      </c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T98" s="18" t="n">
        <v>0</v>
      </c>
      <c r="U98" s="9" t="n"/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450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6.46</v>
      </c>
    </row>
    <row r="32">
      <c r="C32" s="2" t="inlineStr">
        <is>
          <t>pbr_now</t>
        </is>
      </c>
      <c r="D32" t="n">
        <v>0.75</v>
      </c>
    </row>
    <row r="33">
      <c r="C33" s="2" t="inlineStr">
        <is>
          <t>roe_fwd</t>
        </is>
      </c>
      <c r="D33" t="n">
        <v>0.1159</v>
      </c>
    </row>
    <row r="34">
      <c r="C34" s="2" t="inlineStr">
        <is>
          <t>fair_pbr</t>
        </is>
      </c>
      <c r="D34" t="n">
        <v>1.29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3.58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