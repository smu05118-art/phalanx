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BS별도!$C$5:$AO$86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80224억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85287억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88687억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92009억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95873억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101010억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107090억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113604억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120051억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125764억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모델값 역산(implied): v / 매출액
매출액 × 판관비율 11.39%(최근 4분기 중위)</t>
      </text>
    </comment>
    <comment ref="AD22" authorId="0" shapeId="0">
      <text>
        <t>모델값 역산(implied): v / 매출액
매출액 × 판관비율 11.39%(최근 4분기 중위)</t>
      </text>
    </comment>
    <comment ref="AF22" authorId="0" shapeId="0">
      <text>
        <t>모델값 역산(implied): v / 매출액
매출액 × 판관비율 11.39%(최근 4분기 중위)</t>
      </text>
    </comment>
    <comment ref="AG22" authorId="0" shapeId="0">
      <text>
        <t>모델값 역산(implied): v / 매출액
매출액 × 판관비율 11.39%(최근 4분기 중위)</t>
      </text>
    </comment>
    <comment ref="AH22" authorId="0" shapeId="0">
      <text>
        <t>모델값 역산(implied): v / 매출액
매출액 × 판관비율 11.39%(최근 4분기 중위)</t>
      </text>
    </comment>
    <comment ref="AI22" authorId="0" shapeId="0">
      <text>
        <t>모델값 역산(implied): v / 매출액
매출액 × 판관비율 11.39%(최근 4분기 중위)</t>
      </text>
    </comment>
    <comment ref="AK22" authorId="0" shapeId="0">
      <text>
        <t>모델값 역산(implied): v / 매출액
매출액 × 판관비율 11.39%(최근 4분기 중위)</t>
      </text>
    </comment>
    <comment ref="AL22" authorId="0" shapeId="0">
      <text>
        <t>모델값 역산(implied): v / 매출액
매출액 × 판관비율 11.39%(최근 4분기 중위)</t>
      </text>
    </comment>
    <comment ref="AM22" authorId="0" shapeId="0">
      <text>
        <t>모델값 역산(implied): v / 매출액
매출액 × 판관비율 11.39%(최근 4분기 중위)</t>
      </text>
    </comment>
    <comment ref="AN22" authorId="0" shapeId="0">
      <text>
        <t>모델값 역산(implied): v / 매출액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v / 전년동기 − 1
최근 8분기 OPM 중위 17.8% 유지</t>
      </text>
    </comment>
    <comment ref="AD24" authorId="0" shapeId="0">
      <text>
        <t>모델값 역산(implied): v / 전년동기 − 1
최근 8분기 OPM 중위 17.8% 유지</t>
      </text>
    </comment>
    <comment ref="AF24" authorId="0" shapeId="0">
      <text>
        <t>모델값 역산(implied): v / 전년동기 − 1
최근 8분기 OPM 중위 17.8% 유지</t>
      </text>
    </comment>
    <comment ref="AG24" authorId="0" shapeId="0">
      <text>
        <t>모델값 역산(implied): v / 전년동기 − 1
최근 8분기 OPM 중위 17.8% 유지</t>
      </text>
    </comment>
    <comment ref="AH24" authorId="0" shapeId="0">
      <text>
        <t>모델값 역산(implied): v / 전년동기 − 1
최근 8분기 OPM 중위 17.8% 유지</t>
      </text>
    </comment>
    <comment ref="AI24" authorId="0" shapeId="0">
      <text>
        <t>모델값 역산(implied): v / 전년동기 − 1
최근 8분기 OPM 중위 17.8% 유지</t>
      </text>
    </comment>
    <comment ref="AK24" authorId="0" shapeId="0">
      <text>
        <t>모델값 역산(implied): v / 전년동기 − 1
최근 8분기 OPM 중위 17.8% 유지</t>
      </text>
    </comment>
    <comment ref="AL24" authorId="0" shapeId="0">
      <text>
        <t>모델값 역산(implied): v / 전년동기 − 1
최근 8분기 OPM 중위 17.8% 유지</t>
      </text>
    </comment>
    <comment ref="AM24" authorId="0" shapeId="0">
      <text>
        <t>모델값 역산(implied): v / 전년동기 − 1
최근 8분기 OPM 중위 17.8% 유지</t>
      </text>
    </comment>
    <comment ref="AN24" authorId="0" shapeId="0">
      <text>
        <t>모델값 역산(implied): v / 전년동기 − 1
최근 8분기 OPM 중위 17.8% 유지</t>
      </text>
    </comment>
    <comment ref="AC25" authorId="0" shapeId="0">
      <text>
        <t>모델값 역산(implied): 모델 v 그대로
이자손익 = 이자발생자산 182억 × 1.09% − 총차입금 113억 × 0.00% (연율, CF 실측) ÷ 4; 환·평가손익 0 가정</t>
      </text>
    </comment>
    <comment ref="AD25" authorId="0" shapeId="0">
      <text>
        <t>모델값 역산(implied): 모델 v 그대로
이자손익 = 이자발생자산 201억 × 1.09% − 총차입금 113억 × 0.00% (연율, CF 실측) ÷ 4; 환·평가손익 0 가정</t>
      </text>
    </comment>
    <comment ref="AF25" authorId="0" shapeId="0">
      <text>
        <t>모델값 역산(implied): 모델 v 그대로
이자손익 = 이자발생자산 227억 × 1.09% − 총차입금 113억 × 0.00% (연율, CF 실측) ÷ 4; 환·평가손익 0 가정</t>
      </text>
    </comment>
    <comment ref="AG25" authorId="0" shapeId="0">
      <text>
        <t>모델값 역산(implied): 모델 v 그대로
이자손익 = 이자발생자산 244억 × 1.09% − 총차입금 113억 × 0.00% (연율, CF 실측) ÷ 4; 환·평가손익 0 가정</t>
      </text>
    </comment>
    <comment ref="AH25" authorId="0" shapeId="0">
      <text>
        <t>모델값 역산(implied): 모델 v 그대로
이자손익 = 이자발생자산 264억 × 1.09% − 총차입금 113억 × 0.00% (연율, CF 실측) ÷ 4; 환·평가손익 0 가정</t>
      </text>
    </comment>
    <comment ref="AI25" authorId="0" shapeId="0">
      <text>
        <t>모델값 역산(implied): 모델 v 그대로
이자손익 = 이자발생자산 287억 × 1.09% − 총차입금 113억 × 0.00% (연율, CF 실측) ÷ 4; 환·평가손익 0 가정</t>
      </text>
    </comment>
    <comment ref="AK25" authorId="0" shapeId="0">
      <text>
        <t>모델값 역산(implied): 모델 v 그대로
이자손익 = 이자발생자산 318억 × 1.09% − 총차입금 113억 × 0.00% (연율, CF 실측) ÷ 4; 환·평가손익 0 가정</t>
      </text>
    </comment>
    <comment ref="AL25" authorId="0" shapeId="0">
      <text>
        <t>모델값 역산(implied): 모델 v 그대로
이자손익 = 이자발생자산 339억 × 1.09% − 총차입금 113억 × 0.00% (연율, CF 실측) ÷ 4; 환·평가손익 0 가정</t>
      </text>
    </comment>
    <comment ref="AM25" authorId="0" shapeId="0">
      <text>
        <t>모델값 역산(implied): 모델 v 그대로
이자손익 = 이자발생자산 364억 × 1.09% − 총차입금 113억 × 0.00% (연율, CF 실측) ÷ 4; 환·평가손익 0 가정</t>
      </text>
    </comment>
    <comment ref="AN25" authorId="0" shapeId="0">
      <text>
        <t>모델값 역산(implied): 모델 v 그대로
이자손익 = 이자발생자산 393억 × 1.09% − 총차입금 113억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-6.3% → 5~27% 클립)</t>
      </text>
    </comment>
    <comment ref="AD27" authorId="0" shapeId="0">
      <text>
        <t>모델값 역산(implied): v / 세전이익
max(세전, 0) × 세율 5.0%(최근 12분기 유효세율 -6.3% → 5~27% 클립)</t>
      </text>
    </comment>
    <comment ref="AF27" authorId="0" shapeId="0">
      <text>
        <t>모델값 역산(implied): v / 세전이익
max(세전, 0) × 세율 5.0%(최근 12분기 유효세율 -6.3% → 5~27% 클립)</t>
      </text>
    </comment>
    <comment ref="AG27" authorId="0" shapeId="0">
      <text>
        <t>모델값 역산(implied): v / 세전이익
max(세전, 0) × 세율 5.0%(최근 12분기 유효세율 -6.3% → 5~27% 클립)</t>
      </text>
    </comment>
    <comment ref="AH27" authorId="0" shapeId="0">
      <text>
        <t>모델값 역산(implied): v / 세전이익
max(세전, 0) × 세율 5.0%(최근 12분기 유효세율 -6.3% → 5~27% 클립)</t>
      </text>
    </comment>
    <comment ref="AI27" authorId="0" shapeId="0">
      <text>
        <t>모델값 역산(implied): v / 세전이익
max(세전, 0) × 세율 5.0%(최근 12분기 유효세율 -6.3% → 5~27% 클립)</t>
      </text>
    </comment>
    <comment ref="AK27" authorId="0" shapeId="0">
      <text>
        <t>모델값 역산(implied): v / 세전이익
max(세전, 0) × 세율 5.0%(최근 12분기 유효세율 -6.3% → 5~27% 클립)</t>
      </text>
    </comment>
    <comment ref="AL27" authorId="0" shapeId="0">
      <text>
        <t>모델값 역산(implied): v / 세전이익
max(세전, 0) × 세율 5.0%(최근 12분기 유효세율 -6.3% → 5~27% 클립)</t>
      </text>
    </comment>
    <comment ref="AM27" authorId="0" shapeId="0">
      <text>
        <t>모델값 역산(implied): v / 세전이익
max(세전, 0) × 세율 5.0%(최근 12분기 유효세율 -6.3% → 5~27% 클립)</t>
      </text>
    </comment>
    <comment ref="AN27" authorId="0" shapeId="0">
      <text>
        <t>모델값 역산(implied): v / 세전이익
max(세전, 0) × 세율 5.0%(최근 12분기 유효세율 -6.3%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전년동기 − 1
최근 4분기 감가상각비 중위 유지</t>
      </text>
    </comment>
    <comment ref="AD29" authorId="0" shapeId="0">
      <text>
        <t>모델값 역산(implied): v / 전년동기 − 1
최근 4분기 감가상각비 중위 유지</t>
      </text>
    </comment>
    <comment ref="AF29" authorId="0" shapeId="0">
      <text>
        <t>모델값 역산(implied): v / 전년동기 − 1
최근 4분기 감가상각비 중위 유지</t>
      </text>
    </comment>
    <comment ref="AG29" authorId="0" shapeId="0">
      <text>
        <t>모델값 역산(implied): v / 전년동기 − 1
최근 4분기 감가상각비 중위 유지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C30" authorId="0" shapeId="0">
      <text>
        <t>모델값 역산(implied): v / 전년동기 − 1
영업이익 + 감가상각비</t>
      </text>
    </comment>
    <comment ref="AD30" authorId="0" shapeId="0">
      <text>
        <t>모델값 역산(implied): v / 전년동기 − 1
영업이익 + 감가상각비</t>
      </text>
    </comment>
    <comment ref="AF30" authorId="0" shapeId="0">
      <text>
        <t>모델값 역산(implied): v / 전년동기 − 1
영업이익 + 감가상각비</t>
      </text>
    </comment>
    <comment ref="AG30" authorId="0" shapeId="0">
      <text>
        <t>모델값 역산(implied): v / 전년동기 − 1
영업이익 + 감가상각비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80224억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85287억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88687억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92009억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95873억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101010억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107090억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113604억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120051억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125764억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17.8% 유지
[yoy]</t>
      </text>
    </comment>
    <comment ref="AD10" authorId="0" shapeId="0">
      <text>
        <t>추정: 최근 8분기 OPM 중위 17.8% 유지
[yoy]</t>
      </text>
    </comment>
    <comment ref="AF10" authorId="0" shapeId="0">
      <text>
        <t>추정: 최근 8분기 OPM 중위 17.8% 유지
[yoy]</t>
      </text>
    </comment>
    <comment ref="AG10" authorId="0" shapeId="0">
      <text>
        <t>추정: 최근 8분기 OPM 중위 17.8% 유지
[yoy]</t>
      </text>
    </comment>
    <comment ref="AH10" authorId="0" shapeId="0">
      <text>
        <t>추정: 최근 8분기 OPM 중위 17.8% 유지
[yoy]</t>
      </text>
    </comment>
    <comment ref="AI10" authorId="0" shapeId="0">
      <text>
        <t>추정: 최근 8분기 OPM 중위 17.8% 유지
[yoy]</t>
      </text>
    </comment>
    <comment ref="AK10" authorId="0" shapeId="0">
      <text>
        <t>추정: 최근 8분기 OPM 중위 17.8% 유지
[yoy]</t>
      </text>
    </comment>
    <comment ref="AL10" authorId="0" shapeId="0">
      <text>
        <t>추정: 최근 8분기 OPM 중위 17.8% 유지
[yoy]</t>
      </text>
    </comment>
    <comment ref="AM10" authorId="0" shapeId="0">
      <text>
        <t>추정: 최근 8분기 OPM 중위 17.8% 유지
[yoy]</t>
      </text>
    </comment>
    <comment ref="AN10" authorId="0" shapeId="0">
      <text>
        <t>추정: 최근 8분기 OPM 중위 17.8% 유지
[yoy]</t>
      </text>
    </comment>
    <comment ref="AC11" authorId="0" shapeId="0">
      <text>
        <t>추정: 이자손익 = 이자발생자산 182억 × 1.09% − 총차입금 113억 × 0.00% (연율, CF 실측) ÷ 4; 환·평가손익 0 가정
[abs]</t>
      </text>
    </comment>
    <comment ref="AD11" authorId="0" shapeId="0">
      <text>
        <t>추정: 이자손익 = 이자발생자산 201억 × 1.09% − 총차입금 113억 × 0.00% (연율, CF 실측) ÷ 4; 환·평가손익 0 가정
[abs]</t>
      </text>
    </comment>
    <comment ref="AF11" authorId="0" shapeId="0">
      <text>
        <t>추정: 이자손익 = 이자발생자산 227억 × 1.09% − 총차입금 113억 × 0.00% (연율, CF 실측) ÷ 4; 환·평가손익 0 가정
[abs]</t>
      </text>
    </comment>
    <comment ref="AG11" authorId="0" shapeId="0">
      <text>
        <t>추정: 이자손익 = 이자발생자산 244억 × 1.09% − 총차입금 113억 × 0.00% (연율, CF 실측) ÷ 4; 환·평가손익 0 가정
[abs]</t>
      </text>
    </comment>
    <comment ref="AH11" authorId="0" shapeId="0">
      <text>
        <t>추정: 이자손익 = 이자발생자산 264억 × 1.09% − 총차입금 113억 × 0.00% (연율, CF 실측) ÷ 4; 환·평가손익 0 가정
[abs]</t>
      </text>
    </comment>
    <comment ref="AI11" authorId="0" shapeId="0">
      <text>
        <t>추정: 이자손익 = 이자발생자산 287억 × 1.09% − 총차입금 113억 × 0.00% (연율, CF 실측) ÷ 4; 환·평가손익 0 가정
[abs]</t>
      </text>
    </comment>
    <comment ref="AK11" authorId="0" shapeId="0">
      <text>
        <t>추정: 이자손익 = 이자발생자산 318억 × 1.09% − 총차입금 113억 × 0.00% (연율, CF 실측) ÷ 4; 환·평가손익 0 가정
[abs]</t>
      </text>
    </comment>
    <comment ref="AL11" authorId="0" shapeId="0">
      <text>
        <t>추정: 이자손익 = 이자발생자산 339억 × 1.09% − 총차입금 113억 × 0.00% (연율, CF 실측) ÷ 4; 환·평가손익 0 가정
[abs]</t>
      </text>
    </comment>
    <comment ref="AM11" authorId="0" shapeId="0">
      <text>
        <t>추정: 이자손익 = 이자발생자산 364억 × 1.09% − 총차입금 113억 × 0.00% (연율, CF 실측) ÷ 4; 환·평가손익 0 가정
[abs]</t>
      </text>
    </comment>
    <comment ref="AN11" authorId="0" shapeId="0">
      <text>
        <t>추정: 이자손익 = 이자발생자산 393억 × 1.09% − 총차입금 113억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-6.3% → 5~27% 클립)
[ratio]</t>
      </text>
    </comment>
    <comment ref="AD14" authorId="0" shapeId="0">
      <text>
        <t>추정: max(세전, 0) × 세율 5.0%(최근 12분기 유효세율 -6.3% → 5~27% 클립)
[ratio]</t>
      </text>
    </comment>
    <comment ref="AF14" authorId="0" shapeId="0">
      <text>
        <t>추정: max(세전, 0) × 세율 5.0%(최근 12분기 유효세율 -6.3% → 5~27% 클립)
[ratio]</t>
      </text>
    </comment>
    <comment ref="AG14" authorId="0" shapeId="0">
      <text>
        <t>추정: max(세전, 0) × 세율 5.0%(최근 12분기 유효세율 -6.3% → 5~27% 클립)
[ratio]</t>
      </text>
    </comment>
    <comment ref="AH14" authorId="0" shapeId="0">
      <text>
        <t>추정: max(세전, 0) × 세율 5.0%(최근 12분기 유효세율 -6.3% → 5~27% 클립)
[ratio]</t>
      </text>
    </comment>
    <comment ref="AI14" authorId="0" shapeId="0">
      <text>
        <t>추정: max(세전, 0) × 세율 5.0%(최근 12분기 유효세율 -6.3% → 5~27% 클립)
[ratio]</t>
      </text>
    </comment>
    <comment ref="AK14" authorId="0" shapeId="0">
      <text>
        <t>추정: max(세전, 0) × 세율 5.0%(최근 12분기 유효세율 -6.3% → 5~27% 클립)
[ratio]</t>
      </text>
    </comment>
    <comment ref="AL14" authorId="0" shapeId="0">
      <text>
        <t>추정: max(세전, 0) × 세율 5.0%(최근 12분기 유효세율 -6.3% → 5~27% 클립)
[ratio]</t>
      </text>
    </comment>
    <comment ref="AM14" authorId="0" shapeId="0">
      <text>
        <t>추정: max(세전, 0) × 세율 5.0%(최근 12분기 유효세율 -6.3% → 5~27% 클립)
[ratio]</t>
      </text>
    </comment>
    <comment ref="AN14" authorId="0" shapeId="0">
      <text>
        <t>추정: max(세전, 0) × 세율 5.0%(최근 12분기 유효세율 -6.3%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추정: 최근 4분기 감가상각비 중위 유지
[yoy]</t>
      </text>
    </comment>
    <comment ref="AF17" authorId="0" shapeId="0">
      <text>
        <t>추정: 최근 4분기 감가상각비 중위 유지
[yoy]</t>
      </text>
    </comment>
    <comment ref="AG17" authorId="0" shapeId="0">
      <text>
        <t>추정: 최근 4분기 감가상각비 중위 유지
[yoy]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V18" authorId="0" shapeId="0">
      <text>
        <t>실측(계정 매핑 없음 — 모델값 직접) — 영업이익 + 감가상각비(CF)</t>
      </text>
    </comment>
    <comment ref="W18" authorId="0" shapeId="0">
      <text>
        <t>실측(계정 매핑 없음 — 모델값 직접) — 영업이익 + 감가상각비(CF)</t>
      </text>
    </comment>
    <comment ref="X18" authorId="0" shapeId="0">
      <text>
        <t>실측(계정 매핑 없음 — 모델값 직접) — 영업이익 + 감가상각비(CF)</t>
      </text>
    </comment>
    <comment ref="Y18" authorId="0" shapeId="0">
      <text>
        <t>실측(계정 매핑 없음 — 모델값 직접) — 영업이익 + 감가상각비(CF)</t>
      </text>
    </comment>
    <comment ref="AA18" authorId="0" shapeId="0">
      <text>
        <t>실측(계정 매핑 없음 — 모델값 직접) — 영업이익 + 감가상각비(CF)</t>
      </text>
    </comment>
    <comment ref="AB18" authorId="0" shapeId="0">
      <text>
        <t>실측(계정 매핑 없음 — 모델값 직접) — 영업이익 + 감가상각비(CF)</t>
      </text>
    </comment>
    <comment ref="AC18" authorId="0" shapeId="0">
      <text>
        <t>추정: 영업이익 + 감가상각비
[yoy]</t>
      </text>
    </comment>
    <comment ref="AD18" authorId="0" shapeId="0">
      <text>
        <t>추정: 영업이익 + 감가상각비
[yoy]</t>
      </text>
    </comment>
    <comment ref="AF18" authorId="0" shapeId="0">
      <text>
        <t>추정: 영업이익 + 감가상각비
[yoy]</t>
      </text>
    </comment>
    <comment ref="AG18" authorId="0" shapeId="0">
      <text>
        <t>추정: 영업이익 + 감가상각비
[yoy]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F26" authorId="0" shapeId="0">
      <text>
        <t>연간 실측(BS 시트에 2021.12A 없음 — 모델 a 값 직접)</t>
      </text>
    </comment>
    <comment ref="E28" authorId="0" shapeId="0">
      <text>
        <t>실측(계정 매핑 없음 — 모델값 직접) — fin.sep.cf.영업활동으로인한현금흐름</t>
      </text>
    </comment>
    <comment ref="G28" authorId="0" shapeId="0">
      <text>
        <t>실측(계정 매핑 없음 — 모델값 직접) — fin.sep.cf.영업활동으로인한현금흐름</t>
      </text>
    </comment>
    <comment ref="H28" authorId="0" shapeId="0">
      <text>
        <t>실측(계정 매핑 없음 — 모델값 직접) — fin.sep.cf.영업활동으로인한현금흐름</t>
      </text>
    </comment>
    <comment ref="I28" authorId="0" shapeId="0">
      <text>
        <t>실측(계정 매핑 없음 — 모델값 직접) — fin.sep.cf.영업활동으로인한현금흐름</t>
      </text>
    </comment>
    <comment ref="J28" authorId="0" shapeId="0">
      <text>
        <t>실측(계정 매핑 없음 — 모델값 직접) — fin.sep.cf.영업활동으로인한현금흐름</t>
      </text>
    </comment>
    <comment ref="L28" authorId="0" shapeId="0">
      <text>
        <t>실측(계정 매핑 없음 — 모델값 직접) — fin.sep.cf.영업활동으로인한현금흐름</t>
      </text>
    </comment>
    <comment ref="M28" authorId="0" shapeId="0">
      <text>
        <t>실측(계정 매핑 없음 — 모델값 직접) — fin.sep.cf.영업활동으로인한현금흐름</t>
      </text>
    </comment>
    <comment ref="N28" authorId="0" shapeId="0">
      <text>
        <t>실측(계정 매핑 없음 — 모델값 직접) — fin.sep.cf.영업활동으로인한현금흐름</t>
      </text>
    </comment>
    <comment ref="O28" authorId="0" shapeId="0">
      <text>
        <t>실측(계정 매핑 없음 — 모델값 직접) — fin.sep.cf.영업활동으로인한현금흐름</t>
      </text>
    </comment>
    <comment ref="Q28" authorId="0" shapeId="0">
      <text>
        <t>실측(계정 매핑 없음 — 모델값 직접) — fin.sep.cf.영업활동으로인한현금흐름</t>
      </text>
    </comment>
    <comment ref="R28" authorId="0" shapeId="0">
      <text>
        <t>실측(계정 매핑 없음 — 모델값 직접) — fin.sep.cf.영업활동으로인한현금흐름</t>
      </text>
    </comment>
    <comment ref="S28" authorId="0" shapeId="0">
      <text>
        <t>실측(계정 매핑 없음 — 모델값 직접) — fin.sep.cf.영업활동으로인한현금흐름</t>
      </text>
    </comment>
    <comment ref="T28" authorId="0" shapeId="0">
      <text>
        <t>실측(계정 매핑 없음 — 모델값 직접) — fin.sep.cf.영업활동으로인한현금흐름</t>
      </text>
    </comment>
    <comment ref="V28" authorId="0" shapeId="0">
      <text>
        <t>실측(계정 매핑 없음 — 모델값 직접) — fin.sep.cf.영업활동으로인한현금흐름</t>
      </text>
    </comment>
    <comment ref="W28" authorId="0" shapeId="0">
      <text>
        <t>실측(계정 매핑 없음 — 모델값 직접) — fin.sep.cf.영업활동으로인한현금흐름</t>
      </text>
    </comment>
    <comment ref="X28" authorId="0" shapeId="0">
      <text>
        <t>실측(계정 매핑 없음 — 모델값 직접) — fin.sep.cf.영업활동으로인한현금흐름</t>
      </text>
    </comment>
    <comment ref="Y28" authorId="0" shapeId="0">
      <text>
        <t>실측(계정 매핑 없음 — 모델값 직접) — fin.sep.cf.영업활동으로인한현금흐름</t>
      </text>
    </comment>
    <comment ref="AA28" authorId="0" shapeId="0">
      <text>
        <t>실측(계정 매핑 없음 — 모델값 직접) — fin.sep.cf.영업활동으로인한현금흐름</t>
      </text>
    </comment>
    <comment ref="AB28" authorId="0" shapeId="0">
      <text>
        <t>실측(계정 매핑 없음 — 모델값 직접) — fin.sep.cf.영업활동으로인한현금흐름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assets/models/099410.json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23.3, "wape_trend": 29.3,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3009.8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-0.056112</v>
      </c>
      <c r="AD21" s="24" t="n">
        <v>0.166043</v>
      </c>
      <c r="AE21" s="25" t="n"/>
      <c r="AF21" s="24" t="n">
        <v>0.082903</v>
      </c>
      <c r="AG21" s="24" t="n">
        <v>-0.020623</v>
      </c>
      <c r="AH21" s="24" t="n">
        <v>0.195102</v>
      </c>
      <c r="AI21" s="24" t="n">
        <v>0.184354</v>
      </c>
      <c r="AJ21" s="25" t="n"/>
      <c r="AK21" s="24" t="n">
        <v>0.207551</v>
      </c>
      <c r="AL21" s="24" t="n">
        <v>0.234676</v>
      </c>
      <c r="AM21" s="24" t="n">
        <v>0.252157</v>
      </c>
      <c r="AN21" s="24" t="n">
        <v>0.245042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0.113894</v>
      </c>
      <c r="AD22" s="24" t="n">
        <v>0.113889</v>
      </c>
      <c r="AE22" s="25">
        <f>IFERROR(subQ!AE8/subQ!AE5,"")</f>
        <v/>
      </c>
      <c r="AF22" s="24" t="n">
        <v>0.113867</v>
      </c>
      <c r="AG22" s="24" t="n">
        <v>0.113923</v>
      </c>
      <c r="AH22" s="24" t="n">
        <v>0.113867</v>
      </c>
      <c r="AI22" s="24" t="n">
        <v>0.113883</v>
      </c>
      <c r="AJ22" s="25">
        <f>IFERROR(subQ!AJ8/subQ!AJ5,"")</f>
        <v/>
      </c>
      <c r="AK22" s="24" t="n">
        <v>0.11392</v>
      </c>
      <c r="AL22" s="24" t="n">
        <v>0.113901</v>
      </c>
      <c r="AM22" s="24" t="n">
        <v>0.113887</v>
      </c>
      <c r="AN22" s="24" t="n">
        <v>0.113912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0.178345</v>
      </c>
      <c r="AD23" s="24" t="n">
        <v>0.178367</v>
      </c>
      <c r="AE23" s="25">
        <f>IFERROR(subQ!AE9/subQ!AE5,"")</f>
        <v/>
      </c>
      <c r="AF23" s="24" t="n">
        <v>0.178331</v>
      </c>
      <c r="AG23" s="24" t="n">
        <v>0.178371</v>
      </c>
      <c r="AH23" s="24" t="n">
        <v>0.178351</v>
      </c>
      <c r="AI23" s="24" t="n">
        <v>0.178379</v>
      </c>
      <c r="AJ23" s="25">
        <f>IFERROR(subQ!AJ9/subQ!AJ5,"")</f>
        <v/>
      </c>
      <c r="AK23" s="24" t="n">
        <v>0.178364</v>
      </c>
      <c r="AL23" s="24" t="n">
        <v>0.178369</v>
      </c>
      <c r="AM23" s="24" t="n">
        <v>0.178367</v>
      </c>
      <c r="AN23" s="24" t="n">
        <v>0.178387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-0.322188</v>
      </c>
      <c r="AD24" s="24" t="n">
        <v>-0.548126</v>
      </c>
      <c r="AE24" s="25" t="n"/>
      <c r="AF24" s="24" t="n">
        <v>0.054997</v>
      </c>
      <c r="AG24" s="24" t="n">
        <v>-0.467304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0.5</v>
      </c>
      <c r="AD25" s="29" t="n">
        <v>0.55</v>
      </c>
      <c r="AE25" s="30">
        <f>subQ!AE11</f>
        <v/>
      </c>
      <c r="AF25" s="29" t="n">
        <v>0.62</v>
      </c>
      <c r="AG25" s="29" t="n">
        <v>0.67</v>
      </c>
      <c r="AH25" s="29" t="n">
        <v>0.72</v>
      </c>
      <c r="AI25" s="29" t="n">
        <v>0.79</v>
      </c>
      <c r="AJ25" s="30">
        <f>subQ!AJ11</f>
        <v/>
      </c>
      <c r="AK25" s="29" t="n">
        <v>0.87</v>
      </c>
      <c r="AL25" s="29" t="n">
        <v>0.93</v>
      </c>
      <c r="AM25" s="29" t="n">
        <v>1</v>
      </c>
      <c r="AN25" s="29" t="n">
        <v>1.07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0.049824</v>
      </c>
      <c r="AD27" s="24" t="n">
        <v>0.049892</v>
      </c>
      <c r="AE27" s="25">
        <f>IFERROR(subQ!AE14/subQ!AE13,"")</f>
        <v/>
      </c>
      <c r="AF27" s="24" t="n">
        <v>0.050054</v>
      </c>
      <c r="AG27" s="24" t="n">
        <v>0.049905</v>
      </c>
      <c r="AH27" s="24" t="n">
        <v>0.049832</v>
      </c>
      <c r="AI27" s="24" t="n">
        <v>0.049863</v>
      </c>
      <c r="AJ27" s="25">
        <f>IFERROR(subQ!AJ14/subQ!AJ13,"")</f>
        <v/>
      </c>
      <c r="AK27" s="24" t="n">
        <v>0.050179</v>
      </c>
      <c r="AL27" s="24" t="n">
        <v>0.049847</v>
      </c>
      <c r="AM27" s="24" t="n">
        <v>0.050017</v>
      </c>
      <c r="AN27" s="24" t="n">
        <v>0.049939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24" t="n">
        <v>-0.002535</v>
      </c>
      <c r="AD29" s="24" t="n">
        <v>-0.000541</v>
      </c>
      <c r="AE29" s="25" t="n"/>
      <c r="AF29" s="24" t="n">
        <v>0.001377</v>
      </c>
      <c r="AG29" s="24" t="n">
        <v>0.006585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24" t="n">
        <v>-0.334047</v>
      </c>
      <c r="AD30" s="24" t="n">
        <v>-0.452098</v>
      </c>
      <c r="AE30" s="25" t="n"/>
      <c r="AF30" s="24" t="n">
        <v>0.12312</v>
      </c>
      <c r="AG30" s="24" t="n">
        <v>-0.450398</v>
      </c>
      <c r="AH30" s="24" t="n">
        <v>0.173633</v>
      </c>
      <c r="AI30" s="24" t="n">
        <v>0.169434</v>
      </c>
      <c r="AJ30" s="25" t="n"/>
      <c r="AK30" s="24" t="n">
        <v>0.183036</v>
      </c>
      <c r="AL30" s="24" t="n">
        <v>0.209925</v>
      </c>
      <c r="AM30" s="24" t="n">
        <v>0.228571</v>
      </c>
      <c r="AN30" s="24" t="n">
        <v>0.22805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2.2e-05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0.0029</v>
      </c>
      <c r="AD32" s="29" t="n">
        <v>0</v>
      </c>
      <c r="AE32" s="30" t="n"/>
      <c r="AF32" s="29" t="n">
        <v>0.01</v>
      </c>
      <c r="AG32" s="29" t="n">
        <v>0</v>
      </c>
      <c r="AH32" s="29" t="n">
        <v>0</v>
      </c>
      <c r="AI32" s="29" t="n">
        <v>0</v>
      </c>
      <c r="AJ32" s="30" t="n"/>
      <c r="AK32" s="29" t="n">
        <v>0.01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0.0029</v>
      </c>
      <c r="AD33" s="29" t="n">
        <v>0</v>
      </c>
      <c r="AE33" s="30" t="n"/>
      <c r="AF33" s="29" t="n">
        <v>0.01</v>
      </c>
      <c r="AG33" s="29" t="n">
        <v>0</v>
      </c>
      <c r="AH33" s="29" t="n">
        <v>0</v>
      </c>
      <c r="AI33" s="29" t="n">
        <v>0</v>
      </c>
      <c r="AJ33" s="30" t="n"/>
      <c r="AK33" s="29" t="n">
        <v>0.01</v>
      </c>
      <c r="AL33" s="29" t="n">
        <v>0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0.276093</v>
      </c>
      <c r="AD35" s="24" t="n">
        <v>0.301272</v>
      </c>
      <c r="AE35" s="25" t="n"/>
      <c r="AF35" s="24" t="n">
        <v>0.153907</v>
      </c>
      <c r="AG35" s="24" t="n">
        <v>0.152542</v>
      </c>
      <c r="AH35" s="24" t="n">
        <v>0.150238</v>
      </c>
      <c r="AI35" s="24" t="n">
        <v>0.17997</v>
      </c>
      <c r="AJ35" s="25" t="n"/>
      <c r="AK35" s="24" t="n">
        <v>0.103519</v>
      </c>
      <c r="AL35" s="24" t="n">
        <v>0.109553</v>
      </c>
      <c r="AM35" s="24" t="n">
        <v>0.113565</v>
      </c>
      <c r="AN35" s="24" t="n">
        <v>0.139605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0.103919</v>
      </c>
      <c r="AD36" s="24" t="n">
        <v>0.130977</v>
      </c>
      <c r="AE36" s="25" t="n"/>
      <c r="AF36" s="24" t="n">
        <v>0.077015</v>
      </c>
      <c r="AG36" s="24" t="n">
        <v>0.08178100000000001</v>
      </c>
      <c r="AH36" s="24" t="n">
        <v>0.085853</v>
      </c>
      <c r="AI36" s="24" t="n">
        <v>0.108858</v>
      </c>
      <c r="AJ36" s="25" t="n"/>
      <c r="AK36" s="24" t="n">
        <v>0.066652</v>
      </c>
      <c r="AL36" s="24" t="n">
        <v>0.073005</v>
      </c>
      <c r="AM36" s="24" t="n">
        <v>0.078197</v>
      </c>
      <c r="AN36" s="24" t="n">
        <v>0.099315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-0.432507</v>
      </c>
      <c r="AD42" s="24" t="n">
        <v>-0.441143</v>
      </c>
      <c r="AE42" s="25" t="n"/>
      <c r="AF42" s="24" t="n">
        <v>-0.417178</v>
      </c>
      <c r="AG42" s="24" t="n">
        <v>-0.052823</v>
      </c>
      <c r="AH42" s="24" t="n">
        <v>0.206311</v>
      </c>
      <c r="AI42" s="24" t="n">
        <v>-0.038855</v>
      </c>
      <c r="AJ42" s="25" t="n"/>
      <c r="AK42" s="24" t="n">
        <v>-0.048421</v>
      </c>
      <c r="AL42" s="24" t="n">
        <v>-0.173077</v>
      </c>
      <c r="AM42" s="24" t="n">
        <v>-0.183099</v>
      </c>
      <c r="AN42" s="24" t="n">
        <v>-0.193617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-0.393701</v>
      </c>
      <c r="AD43" s="24" t="n">
        <v>-0.478571</v>
      </c>
      <c r="AE43" s="25" t="n"/>
      <c r="AF43" s="24" t="n">
        <v>-0.510345</v>
      </c>
      <c r="AG43" s="24" t="n">
        <v>-0.405172</v>
      </c>
      <c r="AH43" s="24" t="n">
        <v>-0.142857</v>
      </c>
      <c r="AI43" s="24" t="n">
        <v>-0.136986</v>
      </c>
      <c r="AJ43" s="25" t="n"/>
      <c r="AK43" s="24" t="n">
        <v>-0.140845</v>
      </c>
      <c r="AL43" s="24" t="n">
        <v>-0.144928</v>
      </c>
      <c r="AM43" s="24" t="n">
        <v>-0.136364</v>
      </c>
      <c r="AN43" s="24" t="n">
        <v>-0.142857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0.178345</v>
      </c>
      <c r="AD45" s="24" t="n">
        <v>0.178367</v>
      </c>
      <c r="AE45" s="25">
        <f>IFERROR(subQ!AE36/subQ!AE35,"")</f>
        <v/>
      </c>
      <c r="AF45" s="24" t="n">
        <v>0.178331</v>
      </c>
      <c r="AG45" s="24" t="n">
        <v>0.178371</v>
      </c>
      <c r="AH45" s="24" t="n">
        <v>0.178351</v>
      </c>
      <c r="AI45" s="24" t="n">
        <v>0.178379</v>
      </c>
      <c r="AJ45" s="25">
        <f>IFERROR(subQ!AJ36/subQ!AJ35,"")</f>
        <v/>
      </c>
      <c r="AK45" s="24" t="n">
        <v>0.178364</v>
      </c>
      <c r="AL45" s="24" t="n">
        <v>0.178369</v>
      </c>
      <c r="AM45" s="24" t="n">
        <v>0.178367</v>
      </c>
      <c r="AN45" s="24" t="n">
        <v>0.178387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3080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7.1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7.7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21.6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0.05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0.1139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4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4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4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4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4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4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4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4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4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4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4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4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4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4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4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4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4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4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4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4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4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4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4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4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4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4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4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4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4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4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4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4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4" t="n">
        <v>0</v>
      </c>
      <c r="G14" s="18" t="n">
        <v>0</v>
      </c>
      <c r="K14" s="9" t="n"/>
      <c r="N14" s="18" t="n">
        <v>8.27</v>
      </c>
      <c r="O14" s="18" t="n">
        <v>7.85</v>
      </c>
      <c r="P14" s="34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4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4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4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4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4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4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4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4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4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4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4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4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4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4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4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4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4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4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4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4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4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4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4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4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4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4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4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4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4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4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4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4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4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4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4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4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4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4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4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4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4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4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4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4" t="n">
        <v>0</v>
      </c>
      <c r="T28" s="18" t="n">
        <v>0</v>
      </c>
      <c r="U28" s="34" t="n">
        <v>0</v>
      </c>
      <c r="W28" s="18" t="n">
        <v>0</v>
      </c>
      <c r="X28" s="18" t="n">
        <v>0</v>
      </c>
      <c r="Y28" s="18" t="n">
        <v>0</v>
      </c>
      <c r="Z28" s="34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4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4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4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4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4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4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4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4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4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4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4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4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4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4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4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4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4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4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4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4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4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4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4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4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4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4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4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4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4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4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4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4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4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4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4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4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4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4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4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4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4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4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4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4" t="n">
        <v>0</v>
      </c>
      <c r="AA37" s="18" t="n">
        <v>8000</v>
      </c>
      <c r="AB37" s="19" t="n">
        <v>8000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4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4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4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4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4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4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4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4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단기금융부채(face)</t>
        </is>
      </c>
      <c r="F40" s="9" t="n"/>
      <c r="H40" s="18" t="n">
        <v>8000</v>
      </c>
      <c r="I40" s="18" t="n">
        <v>8000</v>
      </c>
      <c r="J40" s="18" t="n">
        <v>8000</v>
      </c>
      <c r="K40" s="34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4" t="n">
        <v>8000</v>
      </c>
      <c r="Q40" s="18" t="n">
        <v>0</v>
      </c>
      <c r="R40" s="18" t="n">
        <v>6600</v>
      </c>
      <c r="S40" s="18" t="n">
        <v>2600</v>
      </c>
      <c r="U40" s="9" t="n"/>
      <c r="Y40" s="18" t="n">
        <v>0</v>
      </c>
      <c r="Z40" s="34" t="n">
        <v>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이연법인세자산</t>
        </is>
      </c>
      <c r="F41" s="9" t="n"/>
      <c r="K41" s="9" t="n"/>
      <c r="O41" s="18" t="n">
        <v>211.18</v>
      </c>
      <c r="P41" s="34" t="n">
        <v>211.18</v>
      </c>
      <c r="Q41" s="18" t="n">
        <v>211.18</v>
      </c>
      <c r="R41" s="18" t="n">
        <v>182.61</v>
      </c>
      <c r="S41" s="18" t="n">
        <v>238.74</v>
      </c>
      <c r="T41" s="18" t="n">
        <v>1739.52</v>
      </c>
      <c r="U41" s="34" t="n">
        <v>1739.52</v>
      </c>
      <c r="V41" s="18" t="n">
        <v>1735.22</v>
      </c>
      <c r="W41" s="18" t="n">
        <v>1742.46</v>
      </c>
      <c r="X41" s="18" t="n">
        <v>1744.48</v>
      </c>
      <c r="Y41" s="18" t="n">
        <v>1117.37</v>
      </c>
      <c r="Z41" s="34" t="n">
        <v>1117.37</v>
      </c>
      <c r="AA41" s="18" t="n">
        <v>1120.04</v>
      </c>
      <c r="AB41" s="19" t="n">
        <v>1101.47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4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4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Q43" s="18" t="n">
        <v>8000</v>
      </c>
      <c r="R43" s="18" t="n">
        <v>8000</v>
      </c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4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4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4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4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4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4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4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8896.35</v>
      </c>
      <c r="F50" s="9" t="n"/>
      <c r="G50" s="18" t="n">
        <v>5724.77</v>
      </c>
      <c r="H50" s="18" t="n">
        <v>6749.96</v>
      </c>
      <c r="I50" s="18" t="n">
        <v>5989.29</v>
      </c>
      <c r="J50" s="18" t="n">
        <v>6395.81</v>
      </c>
      <c r="K50" s="34" t="n">
        <v>24859.83</v>
      </c>
      <c r="L50" s="18" t="n">
        <v>6879.2</v>
      </c>
      <c r="M50" s="18" t="n">
        <v>6790.69</v>
      </c>
      <c r="N50" s="18" t="n">
        <v>5610.19</v>
      </c>
      <c r="O50" s="18" t="n">
        <v>8027.89</v>
      </c>
      <c r="P50" s="34" t="n">
        <v>27307.97</v>
      </c>
      <c r="Q50" s="18" t="n">
        <v>5656.83</v>
      </c>
      <c r="R50" s="18" t="n">
        <v>7734.21</v>
      </c>
      <c r="S50" s="18" t="n">
        <v>9223.93</v>
      </c>
      <c r="T50" s="18" t="n">
        <v>13101.01</v>
      </c>
      <c r="U50" s="34" t="n">
        <v>35715.98</v>
      </c>
      <c r="V50" s="18" t="n">
        <v>8468.74</v>
      </c>
      <c r="W50" s="18" t="n">
        <v>8868.559999999999</v>
      </c>
      <c r="X50" s="18" t="n">
        <v>11506.66</v>
      </c>
      <c r="Y50" s="18" t="n">
        <v>13034.68</v>
      </c>
      <c r="Z50" s="34" t="n">
        <v>41878.64</v>
      </c>
      <c r="AA50" s="18" t="n">
        <v>9196.58</v>
      </c>
      <c r="AB50" s="19" t="n">
        <v>11660.47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7373.45</v>
      </c>
      <c r="F51" s="9" t="n"/>
      <c r="G51" s="18" t="n">
        <v>5385.2</v>
      </c>
      <c r="H51" s="18" t="n">
        <v>5649.6</v>
      </c>
      <c r="I51" s="18" t="n">
        <v>5301.5</v>
      </c>
      <c r="J51" s="18" t="n">
        <v>4450.53</v>
      </c>
      <c r="K51" s="34" t="n">
        <v>20786.83</v>
      </c>
      <c r="L51" s="18" t="n">
        <v>5428.54</v>
      </c>
      <c r="M51" s="18" t="n">
        <v>5771.85</v>
      </c>
      <c r="N51" s="18" t="n">
        <v>4616.62</v>
      </c>
      <c r="O51" s="18" t="n">
        <v>5047.97</v>
      </c>
      <c r="P51" s="34" t="n">
        <v>20864.98</v>
      </c>
      <c r="Q51" s="18" t="n">
        <v>4779.58</v>
      </c>
      <c r="R51" s="18" t="n">
        <v>6116.21</v>
      </c>
      <c r="S51" s="18" t="n">
        <v>6921.26</v>
      </c>
      <c r="T51" s="18" t="n">
        <v>9113.049999999999</v>
      </c>
      <c r="U51" s="34" t="n">
        <v>26930.1</v>
      </c>
      <c r="V51" s="18" t="n">
        <v>6678.78</v>
      </c>
      <c r="W51" s="18" t="n">
        <v>6892.84</v>
      </c>
      <c r="X51" s="18" t="n">
        <v>7142.75</v>
      </c>
      <c r="Y51" s="18" t="n">
        <v>6432.4</v>
      </c>
      <c r="Z51" s="34" t="n">
        <v>27146.77</v>
      </c>
      <c r="AA51" s="18" t="n">
        <v>6303.8</v>
      </c>
      <c r="AB51" s="19" t="n">
        <v>6608.51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1522.9</v>
      </c>
      <c r="F52" s="9" t="n"/>
      <c r="G52" s="18" t="n">
        <v>339.57</v>
      </c>
      <c r="H52" s="18" t="n">
        <v>1100.36</v>
      </c>
      <c r="I52" s="18" t="n">
        <v>687.79</v>
      </c>
      <c r="J52" s="18" t="n">
        <v>1945.28</v>
      </c>
      <c r="K52" s="34" t="n">
        <v>4073</v>
      </c>
      <c r="L52" s="18" t="n">
        <v>1450.67</v>
      </c>
      <c r="M52" s="18" t="n">
        <v>1018.84</v>
      </c>
      <c r="N52" s="18" t="n">
        <v>993.5700000000001</v>
      </c>
      <c r="O52" s="18" t="n">
        <v>2979.92</v>
      </c>
      <c r="P52" s="34" t="n">
        <v>6443</v>
      </c>
      <c r="Q52" s="18" t="n">
        <v>877.25</v>
      </c>
      <c r="R52" s="18" t="n">
        <v>1618.01</v>
      </c>
      <c r="S52" s="18" t="n">
        <v>2302.67</v>
      </c>
      <c r="T52" s="18" t="n">
        <v>3987.95</v>
      </c>
      <c r="U52" s="34" t="n">
        <v>8785.879999999999</v>
      </c>
      <c r="V52" s="18" t="n">
        <v>1789.95</v>
      </c>
      <c r="W52" s="18" t="n">
        <v>1975.72</v>
      </c>
      <c r="X52" s="18" t="n">
        <v>4363.91</v>
      </c>
      <c r="Y52" s="18" t="n">
        <v>6602.28</v>
      </c>
      <c r="Z52" s="34" t="n">
        <v>14731.86</v>
      </c>
      <c r="AA52" s="18" t="n">
        <v>2892.78</v>
      </c>
      <c r="AB52" s="19" t="n">
        <v>5051.96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513.25</v>
      </c>
      <c r="F53" s="9" t="n"/>
      <c r="G53" s="18" t="n">
        <v>664.33</v>
      </c>
      <c r="H53" s="18" t="n">
        <v>547.6</v>
      </c>
      <c r="I53" s="18" t="n">
        <v>535.98</v>
      </c>
      <c r="J53" s="18" t="n">
        <v>925.95</v>
      </c>
      <c r="K53" s="34" t="n">
        <v>2673.86</v>
      </c>
      <c r="L53" s="18" t="n">
        <v>861.05</v>
      </c>
      <c r="M53" s="18" t="n">
        <v>671.89</v>
      </c>
      <c r="N53" s="18" t="n">
        <v>775.4400000000001</v>
      </c>
      <c r="O53" s="18" t="n">
        <v>720.46</v>
      </c>
      <c r="P53" s="34" t="n">
        <v>3028.84</v>
      </c>
      <c r="Q53" s="18" t="n">
        <v>955.45</v>
      </c>
      <c r="R53" s="18" t="n">
        <v>888.53</v>
      </c>
      <c r="S53" s="18" t="n">
        <v>1330.64</v>
      </c>
      <c r="T53" s="18" t="n">
        <v>1529.35</v>
      </c>
      <c r="U53" s="34" t="n">
        <v>4703.97</v>
      </c>
      <c r="V53" s="18" t="n">
        <v>1368.07</v>
      </c>
      <c r="W53" s="18" t="n">
        <v>1282.63</v>
      </c>
      <c r="X53" s="18" t="n">
        <v>1335.39</v>
      </c>
      <c r="Y53" s="18" t="n">
        <v>1456.41</v>
      </c>
      <c r="Z53" s="34" t="n">
        <v>5442.5</v>
      </c>
      <c r="AA53" s="18" t="n">
        <v>1337.79</v>
      </c>
      <c r="AB53" s="19" t="n">
        <v>1147.2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1009.65</v>
      </c>
      <c r="F54" s="9" t="n"/>
      <c r="G54" s="18" t="n">
        <v>-324.76</v>
      </c>
      <c r="H54" s="18" t="n">
        <v>552.76</v>
      </c>
      <c r="I54" s="18" t="n">
        <v>151.82</v>
      </c>
      <c r="J54" s="18" t="n">
        <v>1019.33</v>
      </c>
      <c r="K54" s="34" t="n">
        <v>1399.15</v>
      </c>
      <c r="L54" s="18" t="n">
        <v>589.62</v>
      </c>
      <c r="M54" s="18" t="n">
        <v>346.94</v>
      </c>
      <c r="N54" s="18" t="n">
        <v>218.14</v>
      </c>
      <c r="O54" s="18" t="n">
        <v>2259.46</v>
      </c>
      <c r="P54" s="34" t="n">
        <v>3414.16</v>
      </c>
      <c r="Q54" s="18" t="n">
        <v>-78.2</v>
      </c>
      <c r="R54" s="18" t="n">
        <v>729.48</v>
      </c>
      <c r="S54" s="18" t="n">
        <v>972.03</v>
      </c>
      <c r="T54" s="18" t="n">
        <v>2458.6</v>
      </c>
      <c r="U54" s="34" t="n">
        <v>4081.91</v>
      </c>
      <c r="V54" s="18" t="n">
        <v>421.89</v>
      </c>
      <c r="W54" s="18" t="n">
        <v>693.09</v>
      </c>
      <c r="X54" s="18" t="n">
        <v>3028.52</v>
      </c>
      <c r="Y54" s="18" t="n">
        <v>5145.87</v>
      </c>
      <c r="Z54" s="34" t="n">
        <v>9289.370000000001</v>
      </c>
      <c r="AA54" s="18" t="n">
        <v>1554.99</v>
      </c>
      <c r="AB54" s="19" t="n">
        <v>3904.76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311.96</v>
      </c>
      <c r="F55" s="9" t="n"/>
      <c r="G55" s="18" t="n">
        <v>64.19</v>
      </c>
      <c r="H55" s="18" t="n">
        <v>43.86</v>
      </c>
      <c r="I55" s="18" t="n">
        <v>17.55</v>
      </c>
      <c r="J55" s="18" t="n">
        <v>6.22</v>
      </c>
      <c r="K55" s="34" t="n">
        <v>131.82</v>
      </c>
      <c r="L55" s="18" t="n">
        <v>14.08</v>
      </c>
      <c r="M55" s="18" t="n">
        <v>18.05</v>
      </c>
      <c r="N55" s="18" t="n">
        <v>5.88</v>
      </c>
      <c r="O55" s="18" t="n">
        <v>2.94</v>
      </c>
      <c r="P55" s="34" t="n">
        <v>40.95</v>
      </c>
      <c r="Q55" s="18" t="n">
        <v>10.4</v>
      </c>
      <c r="R55" s="18" t="n">
        <v>12.07</v>
      </c>
      <c r="S55" s="18" t="n">
        <v>14.66</v>
      </c>
      <c r="T55" s="18" t="n">
        <v>35.14</v>
      </c>
      <c r="U55" s="34" t="n">
        <v>72.27</v>
      </c>
      <c r="V55" s="18" t="n">
        <v>22.89</v>
      </c>
      <c r="W55" s="18" t="n">
        <v>45.86</v>
      </c>
      <c r="X55" s="18" t="n">
        <v>17.43</v>
      </c>
      <c r="Y55" s="18" t="n">
        <v>54.17</v>
      </c>
      <c r="Z55" s="34" t="n">
        <v>140.35</v>
      </c>
      <c r="AA55" s="18" t="n">
        <v>68.23</v>
      </c>
      <c r="AB55" s="19" t="n">
        <v>148.99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4.17</v>
      </c>
      <c r="F56" s="9" t="n"/>
      <c r="G56" s="18" t="n">
        <v>0.01</v>
      </c>
      <c r="H56" s="18" t="n">
        <v>75.37</v>
      </c>
      <c r="I56" s="18" t="n">
        <v>0.47</v>
      </c>
      <c r="J56" s="18" t="n">
        <v>1.68</v>
      </c>
      <c r="K56" s="34" t="n">
        <v>77.53</v>
      </c>
      <c r="L56" s="18" t="n">
        <v>4.18</v>
      </c>
      <c r="M56" s="18" t="n">
        <v>11.72</v>
      </c>
      <c r="N56" s="18" t="n">
        <v>-2.86</v>
      </c>
      <c r="O56" s="18" t="n">
        <v>0.76</v>
      </c>
      <c r="P56" s="34" t="n">
        <v>13.8</v>
      </c>
      <c r="Q56" s="18" t="n">
        <v>1.84</v>
      </c>
      <c r="R56" s="18" t="n">
        <v>0.45</v>
      </c>
      <c r="S56" s="18" t="n">
        <v>2.23</v>
      </c>
      <c r="T56" s="18" t="n">
        <v>21.6</v>
      </c>
      <c r="U56" s="34" t="n">
        <v>26.12</v>
      </c>
      <c r="V56" s="18" t="n">
        <v>2.24</v>
      </c>
      <c r="W56" s="18" t="n">
        <v>0.33</v>
      </c>
      <c r="X56" s="18" t="n">
        <v>-0.37</v>
      </c>
      <c r="Y56" s="18" t="n">
        <v>1.34</v>
      </c>
      <c r="Z56" s="34" t="n">
        <v>3.54</v>
      </c>
      <c r="AA56" s="18" t="n">
        <v>20.27</v>
      </c>
      <c r="AB56" s="19" t="n">
        <v>42.38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39.14</v>
      </c>
      <c r="F57" s="9" t="n"/>
      <c r="G57" s="18" t="n">
        <v>10.37</v>
      </c>
      <c r="H57" s="18" t="n">
        <v>34.33</v>
      </c>
      <c r="I57" s="18" t="n">
        <v>190.06</v>
      </c>
      <c r="J57" s="18" t="n">
        <v>-174.05</v>
      </c>
      <c r="K57" s="34" t="n">
        <v>60.71</v>
      </c>
      <c r="L57" s="18" t="n">
        <v>17.91</v>
      </c>
      <c r="M57" s="18" t="n">
        <v>70.88</v>
      </c>
      <c r="N57" s="18" t="n">
        <v>44.8</v>
      </c>
      <c r="O57" s="18" t="n">
        <v>38.77</v>
      </c>
      <c r="P57" s="34" t="n">
        <v>172.36</v>
      </c>
      <c r="Q57" s="18" t="n">
        <v>178</v>
      </c>
      <c r="R57" s="18" t="n">
        <v>291.19</v>
      </c>
      <c r="S57" s="18" t="n">
        <v>-5.1</v>
      </c>
      <c r="T57" s="18" t="n">
        <v>444.83</v>
      </c>
      <c r="U57" s="34" t="n">
        <v>908.92</v>
      </c>
      <c r="V57" s="18" t="n">
        <v>11.5</v>
      </c>
      <c r="W57" s="18" t="n">
        <v>17.88</v>
      </c>
      <c r="X57" s="18" t="n">
        <v>24.31</v>
      </c>
      <c r="Y57" s="18" t="n">
        <v>7.22</v>
      </c>
      <c r="Z57" s="34" t="n">
        <v>60.91</v>
      </c>
      <c r="AA57" s="18" t="n">
        <v>55.3</v>
      </c>
      <c r="AB57" s="19" t="n">
        <v>7.89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0.42</v>
      </c>
      <c r="F58" s="9" t="n"/>
      <c r="G58" s="18" t="n">
        <v>43.28</v>
      </c>
      <c r="H58" s="18" t="n">
        <v>125.16</v>
      </c>
      <c r="I58" s="18" t="n">
        <v>81.48999999999999</v>
      </c>
      <c r="J58" s="18" t="n">
        <v>54.72</v>
      </c>
      <c r="K58" s="34" t="n">
        <v>304.65</v>
      </c>
      <c r="L58" s="18" t="n">
        <v>157.29</v>
      </c>
      <c r="M58" s="18" t="n">
        <v>188.97</v>
      </c>
      <c r="N58" s="18" t="n">
        <v>171.54</v>
      </c>
      <c r="O58" s="18" t="n">
        <v>191.49</v>
      </c>
      <c r="P58" s="34" t="n">
        <v>709.29</v>
      </c>
      <c r="Q58" s="18" t="n">
        <v>98.04000000000001</v>
      </c>
      <c r="R58" s="18" t="n">
        <v>113.67</v>
      </c>
      <c r="S58" s="18" t="n">
        <v>185.5</v>
      </c>
      <c r="T58" s="18" t="n">
        <v>150.6</v>
      </c>
      <c r="U58" s="34" t="n">
        <v>547.8099999999999</v>
      </c>
      <c r="V58" s="18" t="n">
        <v>138.61</v>
      </c>
      <c r="W58" s="18" t="n">
        <v>282.02</v>
      </c>
      <c r="X58" s="18" t="n">
        <v>43.9</v>
      </c>
      <c r="Y58" s="18" t="n">
        <v>109.55</v>
      </c>
      <c r="Z58" s="34" t="n">
        <v>574.08</v>
      </c>
      <c r="AA58" s="18" t="n">
        <v>113.27</v>
      </c>
      <c r="AB58" s="19" t="n">
        <v>111.7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1356.17</v>
      </c>
      <c r="F59" s="9" t="n"/>
      <c r="G59" s="18" t="n">
        <v>-293.49</v>
      </c>
      <c r="H59" s="18" t="n">
        <v>430.42</v>
      </c>
      <c r="I59" s="18" t="n">
        <v>277.46</v>
      </c>
      <c r="J59" s="18" t="n">
        <v>795.1</v>
      </c>
      <c r="K59" s="34" t="n">
        <v>1209.49</v>
      </c>
      <c r="L59" s="18" t="n">
        <v>460.14</v>
      </c>
      <c r="M59" s="18" t="n">
        <v>235.18</v>
      </c>
      <c r="N59" s="18" t="n">
        <v>100.13</v>
      </c>
      <c r="O59" s="18" t="n">
        <v>2108.94</v>
      </c>
      <c r="P59" s="34" t="n">
        <v>2904.39</v>
      </c>
      <c r="Q59" s="18" t="n">
        <v>10.32</v>
      </c>
      <c r="R59" s="18" t="n">
        <v>918.62</v>
      </c>
      <c r="S59" s="18" t="n">
        <v>793.87</v>
      </c>
      <c r="T59" s="18" t="n">
        <v>2766.36</v>
      </c>
      <c r="U59" s="34" t="n">
        <v>4489.17</v>
      </c>
      <c r="V59" s="18" t="n">
        <v>315.42</v>
      </c>
      <c r="W59" s="18" t="n">
        <v>474.47</v>
      </c>
      <c r="X59" s="18" t="n">
        <v>3026.72</v>
      </c>
      <c r="Y59" s="18" t="n">
        <v>5096.37</v>
      </c>
      <c r="Z59" s="34" t="n">
        <v>8912.98</v>
      </c>
      <c r="AA59" s="18" t="n">
        <v>1544.98</v>
      </c>
      <c r="AB59" s="19" t="n">
        <v>3907.57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141.96</v>
      </c>
      <c r="F60" s="9" t="n"/>
      <c r="H60" s="18" t="n">
        <v>1.46</v>
      </c>
      <c r="I60" s="18" t="n">
        <v>85.34</v>
      </c>
      <c r="J60" s="18" t="n">
        <v>-157.6</v>
      </c>
      <c r="K60" s="9" t="n"/>
      <c r="L60" s="18" t="n">
        <v>-4.54</v>
      </c>
      <c r="M60" s="18" t="n">
        <v>33.88</v>
      </c>
      <c r="N60" s="18" t="n">
        <v>-1.38</v>
      </c>
      <c r="O60" s="18" t="n">
        <v>-1920.06</v>
      </c>
      <c r="P60" s="34" t="n">
        <v>-1892.1</v>
      </c>
      <c r="Q60" s="18" t="n">
        <v>1.64</v>
      </c>
      <c r="R60" s="18" t="n">
        <v>3.55</v>
      </c>
      <c r="S60" s="18" t="n">
        <v>-54</v>
      </c>
      <c r="T60" s="18" t="n">
        <v>-1505.94</v>
      </c>
      <c r="U60" s="34" t="n">
        <v>-1554.75</v>
      </c>
      <c r="V60" s="18" t="n">
        <v>6.64</v>
      </c>
      <c r="W60" s="18" t="n">
        <v>22.48</v>
      </c>
      <c r="X60" s="18" t="n">
        <v>123.39</v>
      </c>
      <c r="Y60" s="18" t="n">
        <v>811.1799999999999</v>
      </c>
      <c r="Z60" s="34" t="n">
        <v>963.6900000000001</v>
      </c>
      <c r="AA60" s="18" t="n">
        <v>63.31</v>
      </c>
      <c r="AB60" s="19" t="n">
        <v>1125.25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1214.21</v>
      </c>
      <c r="F61" s="9" t="n"/>
      <c r="G61" s="18" t="n">
        <v>-293.49</v>
      </c>
      <c r="H61" s="18" t="n">
        <v>428.95</v>
      </c>
      <c r="I61" s="18" t="n">
        <v>192.13</v>
      </c>
      <c r="J61" s="18" t="n">
        <v>952.7</v>
      </c>
      <c r="K61" s="34" t="n">
        <v>1280.29</v>
      </c>
      <c r="L61" s="18" t="n">
        <v>464.68</v>
      </c>
      <c r="M61" s="18" t="n">
        <v>201.3</v>
      </c>
      <c r="N61" s="18" t="n">
        <v>101.51</v>
      </c>
      <c r="O61" s="18" t="n">
        <v>4029</v>
      </c>
      <c r="P61" s="34" t="n">
        <v>4796.49</v>
      </c>
      <c r="Q61" s="18" t="n">
        <v>8.68</v>
      </c>
      <c r="R61" s="18" t="n">
        <v>915.0700000000001</v>
      </c>
      <c r="S61" s="18" t="n">
        <v>847.86</v>
      </c>
      <c r="T61" s="18" t="n">
        <v>4272.29</v>
      </c>
      <c r="U61" s="34" t="n">
        <v>6043.9</v>
      </c>
      <c r="V61" s="18" t="n">
        <v>308.78</v>
      </c>
      <c r="W61" s="18" t="n">
        <v>451.99</v>
      </c>
      <c r="X61" s="18" t="n">
        <v>2903.33</v>
      </c>
      <c r="Y61" s="18" t="n">
        <v>4285.18</v>
      </c>
      <c r="Z61" s="34" t="n">
        <v>7949.28</v>
      </c>
      <c r="AA61" s="18" t="n">
        <v>1481.66</v>
      </c>
      <c r="AB61" s="19" t="n">
        <v>2782.33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1148.74</v>
      </c>
      <c r="F62" s="9" t="n"/>
      <c r="G62" s="18" t="n">
        <v>-303.13</v>
      </c>
      <c r="H62" s="18" t="n">
        <v>694.58</v>
      </c>
      <c r="I62" s="18" t="n">
        <v>186.11</v>
      </c>
      <c r="J62" s="18" t="n">
        <v>1019.72</v>
      </c>
      <c r="K62" s="34" t="n">
        <v>1597.28</v>
      </c>
      <c r="L62" s="18" t="n">
        <v>459.82</v>
      </c>
      <c r="M62" s="18" t="n">
        <v>201.01</v>
      </c>
      <c r="N62" s="18" t="n">
        <v>97.11</v>
      </c>
      <c r="O62" s="18" t="n">
        <v>4032.88</v>
      </c>
      <c r="P62" s="34" t="n">
        <v>4790.82</v>
      </c>
      <c r="Q62" s="18" t="n">
        <v>2.46</v>
      </c>
      <c r="R62" s="18" t="n">
        <v>882.9</v>
      </c>
      <c r="S62" s="18" t="n">
        <v>839.8</v>
      </c>
      <c r="T62" s="18" t="n">
        <v>4291.78</v>
      </c>
      <c r="U62" s="34" t="n">
        <v>6016.94</v>
      </c>
      <c r="V62" s="18" t="n">
        <v>299.93</v>
      </c>
      <c r="W62" s="18" t="n">
        <v>449.72</v>
      </c>
      <c r="X62" s="18" t="n">
        <v>2895.69</v>
      </c>
      <c r="Y62" s="18" t="n">
        <v>4359.27</v>
      </c>
      <c r="Z62" s="34" t="n">
        <v>8004.61</v>
      </c>
      <c r="AA62" s="18" t="n">
        <v>1472.19</v>
      </c>
      <c r="AB62" s="19" t="n">
        <v>2848.16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38.72</v>
      </c>
      <c r="F63" s="9" t="n"/>
      <c r="G63" s="18" t="n">
        <v>-32.91</v>
      </c>
      <c r="H63" s="18" t="n">
        <v>-90.83</v>
      </c>
      <c r="I63" s="18" t="n">
        <v>108.57</v>
      </c>
      <c r="J63" s="18" t="n">
        <v>-228.77</v>
      </c>
      <c r="K63" s="34" t="n">
        <v>-243.94</v>
      </c>
      <c r="L63" s="18" t="n">
        <v>-139.38</v>
      </c>
      <c r="M63" s="18" t="n">
        <v>-118.09</v>
      </c>
      <c r="N63" s="18" t="n">
        <v>-126.74</v>
      </c>
      <c r="O63" s="18" t="n">
        <v>-152.72</v>
      </c>
      <c r="P63" s="34" t="n">
        <v>-536.9299999999999</v>
      </c>
      <c r="Q63" s="18" t="n">
        <v>79.95999999999999</v>
      </c>
      <c r="R63" s="18" t="n">
        <v>177.52</v>
      </c>
      <c r="S63" s="18" t="n">
        <v>-190.6</v>
      </c>
      <c r="T63" s="18" t="n">
        <v>294.23</v>
      </c>
      <c r="U63" s="34" t="n">
        <v>361.11</v>
      </c>
      <c r="V63" s="18" t="n">
        <v>-127.11</v>
      </c>
      <c r="W63" s="18" t="n">
        <v>-264.14</v>
      </c>
      <c r="X63" s="18" t="n">
        <v>-19.59</v>
      </c>
      <c r="Y63" s="18" t="n">
        <v>-102.33</v>
      </c>
      <c r="Z63" s="34" t="n">
        <v>-513.17</v>
      </c>
      <c r="AA63" s="18" t="n">
        <v>-57.97</v>
      </c>
      <c r="AB63" s="19" t="n">
        <v>-103.81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307.79</v>
      </c>
      <c r="F64" s="9" t="n"/>
      <c r="G64" s="18" t="n">
        <v>64.18000000000001</v>
      </c>
      <c r="H64" s="18" t="n">
        <v>-31.51</v>
      </c>
      <c r="I64" s="18" t="n">
        <v>17.08</v>
      </c>
      <c r="J64" s="18" t="n">
        <v>4.54</v>
      </c>
      <c r="K64" s="34" t="n">
        <v>54.29</v>
      </c>
      <c r="L64" s="18" t="n">
        <v>9.9</v>
      </c>
      <c r="M64" s="18" t="n">
        <v>6.33</v>
      </c>
      <c r="N64" s="18" t="n">
        <v>8.74</v>
      </c>
      <c r="O64" s="18" t="n">
        <v>2.18</v>
      </c>
      <c r="P64" s="34" t="n">
        <v>27.15</v>
      </c>
      <c r="Q64" s="18" t="n">
        <v>8.56</v>
      </c>
      <c r="R64" s="18" t="n">
        <v>11.62</v>
      </c>
      <c r="S64" s="18" t="n">
        <v>12.43</v>
      </c>
      <c r="T64" s="18" t="n">
        <v>13.54</v>
      </c>
      <c r="U64" s="34" t="n">
        <v>46.15</v>
      </c>
      <c r="V64" s="18" t="n">
        <v>20.65</v>
      </c>
      <c r="W64" s="18" t="n">
        <v>45.53</v>
      </c>
      <c r="X64" s="18" t="n">
        <v>17.8</v>
      </c>
      <c r="Y64" s="18" t="n">
        <v>52.83</v>
      </c>
      <c r="Z64" s="34" t="n">
        <v>136.81</v>
      </c>
      <c r="AA64" s="18" t="n">
        <v>47.96</v>
      </c>
      <c r="AB64" s="19" t="n">
        <v>106.61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4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4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4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4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4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4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4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4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90.41</v>
      </c>
      <c r="F67" s="9" t="n"/>
      <c r="G67" s="18" t="n">
        <v>-1301.67</v>
      </c>
      <c r="H67" s="18" t="n">
        <v>-1328.31</v>
      </c>
      <c r="I67" s="18" t="n">
        <v>1167.99</v>
      </c>
      <c r="J67" s="18" t="n">
        <v>1066.35</v>
      </c>
      <c r="K67" s="34" t="n">
        <v>-395.64</v>
      </c>
      <c r="L67" s="18" t="n">
        <v>1625.83</v>
      </c>
      <c r="M67" s="18" t="n">
        <v>1617.36</v>
      </c>
      <c r="N67" s="18" t="n">
        <v>1289.98</v>
      </c>
      <c r="O67" s="18" t="n">
        <v>544.49</v>
      </c>
      <c r="P67" s="34" t="n">
        <v>5077.66</v>
      </c>
      <c r="Q67" s="18" t="n">
        <v>2062.55</v>
      </c>
      <c r="R67" s="18" t="n">
        <v>-120.66</v>
      </c>
      <c r="S67" s="18" t="n">
        <v>1179.42</v>
      </c>
      <c r="T67" s="18" t="n">
        <v>1842.3</v>
      </c>
      <c r="U67" s="34" t="n">
        <v>4963.61</v>
      </c>
      <c r="V67" s="18" t="n">
        <v>231.45</v>
      </c>
      <c r="W67" s="18" t="n">
        <v>1341.84</v>
      </c>
      <c r="X67" s="18" t="n">
        <v>1889.15</v>
      </c>
      <c r="Y67" s="18" t="n">
        <v>6650.4</v>
      </c>
      <c r="Z67" s="34" t="n">
        <v>10112.84</v>
      </c>
      <c r="AA67" s="18" t="n">
        <v>2017.81</v>
      </c>
      <c r="AB67" s="19" t="n">
        <v>3345.05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감가상각비</t>
        </is>
      </c>
      <c r="E68" s="18" t="n">
        <v>136.06</v>
      </c>
      <c r="F68" s="9" t="n"/>
      <c r="G68" s="18" t="n">
        <v>126.46</v>
      </c>
      <c r="H68" s="18" t="n">
        <v>149.2</v>
      </c>
      <c r="I68" s="18" t="n">
        <v>144.3</v>
      </c>
      <c r="J68" s="18" t="n">
        <v>177.32</v>
      </c>
      <c r="K68" s="34" t="n">
        <v>597.28</v>
      </c>
      <c r="L68" s="18" t="n">
        <v>242.85</v>
      </c>
      <c r="M68" s="18" t="n">
        <v>238.59</v>
      </c>
      <c r="N68" s="18" t="n">
        <v>234.67</v>
      </c>
      <c r="O68" s="18" t="n">
        <v>234.34</v>
      </c>
      <c r="P68" s="34" t="n">
        <v>950.45</v>
      </c>
      <c r="U68" s="9" t="n"/>
      <c r="V68" s="18" t="n">
        <v>243.45</v>
      </c>
      <c r="W68" s="18" t="n">
        <v>240.47</v>
      </c>
      <c r="X68" s="18" t="n">
        <v>240.61</v>
      </c>
      <c r="Y68" s="18" t="n">
        <v>240.13</v>
      </c>
      <c r="Z68" s="34" t="n">
        <v>964.66</v>
      </c>
      <c r="AA68" s="18" t="n">
        <v>239.67</v>
      </c>
      <c r="AB68" s="19" t="n">
        <v>238.43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-5.9</v>
      </c>
      <c r="F69" s="9" t="n"/>
      <c r="G69" s="18" t="n">
        <v>12.7</v>
      </c>
      <c r="H69" s="18" t="n">
        <v>1.05</v>
      </c>
      <c r="I69" s="18" t="n">
        <v>-55.28</v>
      </c>
      <c r="J69" s="18" t="n">
        <v>-7.8</v>
      </c>
      <c r="K69" s="34" t="n">
        <v>-49.33</v>
      </c>
      <c r="L69" s="18" t="n">
        <v>-0.95</v>
      </c>
      <c r="M69" s="18" t="n">
        <v>9.02</v>
      </c>
      <c r="N69" s="18" t="n">
        <v>-3.39</v>
      </c>
      <c r="O69" s="18" t="n">
        <v>-1.1</v>
      </c>
      <c r="P69" s="34" t="n">
        <v>3.58</v>
      </c>
      <c r="Q69" s="18" t="n">
        <v>-1.1</v>
      </c>
      <c r="R69" s="18" t="n">
        <v>2.86</v>
      </c>
      <c r="S69" s="18" t="n">
        <v>-4.97</v>
      </c>
      <c r="T69" s="18" t="n">
        <v>-61.46</v>
      </c>
      <c r="U69" s="34" t="n">
        <v>-64.67</v>
      </c>
      <c r="V69" s="18" t="n">
        <v>-0.92</v>
      </c>
      <c r="W69" s="18" t="n">
        <v>67.73</v>
      </c>
      <c r="X69" s="18" t="n">
        <v>-26.14</v>
      </c>
      <c r="Y69" s="18" t="n">
        <v>-1.02</v>
      </c>
      <c r="Z69" s="34" t="n">
        <v>39.65</v>
      </c>
      <c r="AA69" s="18" t="n">
        <v>-153.72</v>
      </c>
      <c r="AB69" s="19" t="n">
        <v>-187.08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2100.72</v>
      </c>
      <c r="F70" s="9" t="n"/>
      <c r="G70" s="18" t="n">
        <v>-5327.88</v>
      </c>
      <c r="H70" s="18" t="n">
        <v>-1712.8</v>
      </c>
      <c r="I70" s="18" t="n">
        <v>-62.86</v>
      </c>
      <c r="J70" s="18" t="n">
        <v>-27.58</v>
      </c>
      <c r="K70" s="34" t="n">
        <v>-7131.12</v>
      </c>
      <c r="L70" s="18" t="n">
        <v>17.05</v>
      </c>
      <c r="M70" s="18" t="n">
        <v>0</v>
      </c>
      <c r="N70" s="18" t="n">
        <v>-9.890000000000001</v>
      </c>
      <c r="O70" s="18" t="n">
        <v>-126.42</v>
      </c>
      <c r="P70" s="34" t="n">
        <v>-119.26</v>
      </c>
      <c r="Q70" s="18" t="n">
        <v>506.12</v>
      </c>
      <c r="R70" s="18" t="n">
        <v>-12620.07</v>
      </c>
      <c r="S70" s="18" t="n">
        <v>70.42</v>
      </c>
      <c r="T70" s="18" t="n">
        <v>761.27</v>
      </c>
      <c r="U70" s="34" t="n">
        <v>-11282.26</v>
      </c>
      <c r="V70" s="18" t="n">
        <v>-117.22</v>
      </c>
      <c r="W70" s="18" t="n">
        <v>-12.44</v>
      </c>
      <c r="X70" s="18" t="n">
        <v>-29.35</v>
      </c>
      <c r="Y70" s="18" t="n">
        <v>474.17</v>
      </c>
      <c r="Z70" s="34" t="n">
        <v>315.16</v>
      </c>
      <c r="AA70" s="18" t="n">
        <v>-49.15</v>
      </c>
      <c r="AB70" s="19" t="n">
        <v>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46.29</v>
      </c>
      <c r="F71" s="9" t="n"/>
      <c r="G71" s="18" t="n">
        <v>41.79</v>
      </c>
      <c r="K71" s="9" t="n"/>
      <c r="P71" s="9" t="n"/>
      <c r="Q71" s="18" t="n">
        <v>7.56</v>
      </c>
      <c r="R71" s="18" t="n">
        <v>7.11</v>
      </c>
      <c r="S71" s="18" t="n">
        <v>5.83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0</v>
      </c>
      <c r="F72" s="9" t="n"/>
      <c r="I72" s="18" t="n">
        <v>31.36</v>
      </c>
      <c r="J72" s="18" t="n">
        <v>0</v>
      </c>
      <c r="K72" s="9" t="n"/>
      <c r="N72" s="18" t="n">
        <v>0</v>
      </c>
      <c r="O72" s="18" t="n">
        <v>0</v>
      </c>
      <c r="P72" s="9" t="n"/>
      <c r="S72" s="18" t="n">
        <v>0</v>
      </c>
      <c r="T72" s="18" t="n">
        <v>0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-31.74</v>
      </c>
      <c r="F73" s="9" t="n"/>
      <c r="G73" s="18" t="n">
        <v>7932.9</v>
      </c>
      <c r="H73" s="18" t="n">
        <v>35.11</v>
      </c>
      <c r="I73" s="18" t="n">
        <v>-0.57</v>
      </c>
      <c r="J73" s="18" t="n">
        <v>-33.36</v>
      </c>
      <c r="K73" s="34" t="n">
        <v>7934.08</v>
      </c>
      <c r="L73" s="18" t="n">
        <v>-98.66</v>
      </c>
      <c r="M73" s="18" t="n">
        <v>-100.26</v>
      </c>
      <c r="N73" s="18" t="n">
        <v>-101.88</v>
      </c>
      <c r="O73" s="18" t="n">
        <v>-101.7</v>
      </c>
      <c r="P73" s="34" t="n">
        <v>-402.5</v>
      </c>
      <c r="Q73" s="18" t="n">
        <v>770.0599999999999</v>
      </c>
      <c r="R73" s="18" t="n">
        <v>2899.13</v>
      </c>
      <c r="S73" s="18" t="n">
        <v>-941.98</v>
      </c>
      <c r="T73" s="18" t="n">
        <v>-814.79</v>
      </c>
      <c r="U73" s="34" t="n">
        <v>1912.42</v>
      </c>
      <c r="V73" s="18" t="n">
        <v>-682.73</v>
      </c>
      <c r="W73" s="18" t="n">
        <v>-1017.51</v>
      </c>
      <c r="X73" s="18" t="n">
        <v>-102.25</v>
      </c>
      <c r="Y73" s="18" t="n">
        <v>-101.9</v>
      </c>
      <c r="Z73" s="34" t="n">
        <v>-1904.39</v>
      </c>
      <c r="AA73" s="18" t="n">
        <v>-99.68000000000001</v>
      </c>
      <c r="AB73" s="19" t="n">
        <v>-101.03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-0.66</v>
      </c>
      <c r="F74" s="9" t="n"/>
      <c r="G74" s="18" t="n">
        <v>-43.28</v>
      </c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리스부채의상환</t>
        </is>
      </c>
      <c r="E75" s="18" t="n">
        <v>31.09</v>
      </c>
      <c r="F75" s="9" t="n"/>
      <c r="G75" s="18" t="n">
        <v>23.82</v>
      </c>
      <c r="H75" s="18" t="n">
        <v>8.17</v>
      </c>
      <c r="I75" s="18" t="n">
        <v>0.57</v>
      </c>
      <c r="J75" s="18" t="n">
        <v>33.36</v>
      </c>
      <c r="K75" s="34" t="n">
        <v>65.92</v>
      </c>
      <c r="L75" s="18" t="n">
        <v>98.66</v>
      </c>
      <c r="M75" s="18" t="n">
        <v>100.26</v>
      </c>
      <c r="N75" s="18" t="n">
        <v>101.88</v>
      </c>
      <c r="O75" s="18" t="n">
        <v>101.7</v>
      </c>
      <c r="P75" s="34" t="n">
        <v>402.5</v>
      </c>
      <c r="Q75" s="18" t="n">
        <v>99.51000000000001</v>
      </c>
      <c r="R75" s="18" t="n">
        <v>100.87</v>
      </c>
      <c r="S75" s="18" t="n">
        <v>102.26</v>
      </c>
      <c r="T75" s="18" t="n">
        <v>101.78</v>
      </c>
      <c r="U75" s="34" t="n">
        <v>404.42</v>
      </c>
      <c r="V75" s="18" t="n">
        <v>99.41</v>
      </c>
      <c r="W75" s="18" t="n">
        <v>100.83</v>
      </c>
      <c r="X75" s="18" t="n">
        <v>102.25</v>
      </c>
      <c r="Y75" s="18" t="n">
        <v>101.9</v>
      </c>
      <c r="Z75" s="34" t="n">
        <v>404.39</v>
      </c>
      <c r="AA75" s="18" t="n">
        <v>99.68000000000001</v>
      </c>
      <c r="AB75" s="19" t="n">
        <v>101.03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현금및현금성자산의증감</t>
        </is>
      </c>
      <c r="E76" s="18" t="n">
        <v>2159.38</v>
      </c>
      <c r="F76" s="9" t="n"/>
      <c r="G76" s="18" t="n">
        <v>1303.35</v>
      </c>
      <c r="H76" s="18" t="n">
        <v>-3006</v>
      </c>
      <c r="I76" s="18" t="n">
        <v>1104.56</v>
      </c>
      <c r="J76" s="18" t="n">
        <v>1005.41</v>
      </c>
      <c r="K76" s="34" t="n">
        <v>407.32</v>
      </c>
      <c r="L76" s="18" t="n">
        <v>1544.22</v>
      </c>
      <c r="M76" s="18" t="n">
        <v>1517.11</v>
      </c>
      <c r="N76" s="18" t="n">
        <v>1178.2</v>
      </c>
      <c r="O76" s="18" t="n">
        <v>316.38</v>
      </c>
      <c r="P76" s="34" t="n">
        <v>4555.91</v>
      </c>
      <c r="Q76" s="18" t="n">
        <v>3338.73</v>
      </c>
      <c r="R76" s="18" t="n">
        <v>-9841.49</v>
      </c>
      <c r="S76" s="18" t="n">
        <v>299.42</v>
      </c>
      <c r="T76" s="18" t="n">
        <v>1877.1</v>
      </c>
      <c r="U76" s="34" t="n">
        <v>-4326.24</v>
      </c>
      <c r="V76" s="18" t="n">
        <v>-567.64</v>
      </c>
      <c r="W76" s="18" t="n">
        <v>168.02</v>
      </c>
      <c r="X76" s="18" t="n">
        <v>1902.28</v>
      </c>
      <c r="Y76" s="18" t="n">
        <v>7016.32</v>
      </c>
      <c r="Z76" s="34" t="n">
        <v>8518.98</v>
      </c>
      <c r="AA76" s="18" t="n">
        <v>1878.18</v>
      </c>
      <c r="AB76" s="19" t="n">
        <v>3244.46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기말현금및현금성자산</t>
        </is>
      </c>
      <c r="E77" s="18" t="n">
        <v>2159.37</v>
      </c>
      <c r="F77" s="9" t="n"/>
      <c r="G77" s="18" t="n">
        <v>5159.23</v>
      </c>
      <c r="H77" s="18" t="n">
        <v>-3006</v>
      </c>
      <c r="I77" s="18" t="n">
        <v>1104.56</v>
      </c>
      <c r="J77" s="18" t="n">
        <v>1005.42</v>
      </c>
      <c r="K77" s="34" t="n">
        <v>4263.21</v>
      </c>
      <c r="L77" s="18" t="n">
        <v>5807.43</v>
      </c>
      <c r="M77" s="18" t="n">
        <v>1517.1</v>
      </c>
      <c r="N77" s="18" t="n">
        <v>1178.21</v>
      </c>
      <c r="O77" s="18" t="n">
        <v>316.38</v>
      </c>
      <c r="P77" s="34" t="n">
        <v>8819.120000000001</v>
      </c>
      <c r="Q77" s="18" t="n">
        <v>12157.85</v>
      </c>
      <c r="R77" s="18" t="n">
        <v>-9841.49</v>
      </c>
      <c r="S77" s="18" t="n">
        <v>299.42</v>
      </c>
      <c r="T77" s="18" t="n">
        <v>1877.1</v>
      </c>
      <c r="U77" s="34" t="n">
        <v>4492.88</v>
      </c>
      <c r="V77" s="18" t="n">
        <v>3925.24</v>
      </c>
      <c r="W77" s="18" t="n">
        <v>168.02</v>
      </c>
      <c r="X77" s="18" t="n">
        <v>1902.28</v>
      </c>
      <c r="Y77" s="18" t="n">
        <v>7016.32</v>
      </c>
      <c r="Z77" s="34" t="n">
        <v>13011.86</v>
      </c>
      <c r="AA77" s="18" t="n">
        <v>14890.05</v>
      </c>
      <c r="AB77" s="19" t="n">
        <v>3244.46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F78" s="9" t="n"/>
      <c r="G78" s="18" t="n">
        <v>8000</v>
      </c>
      <c r="H78" s="18" t="n">
        <v>0</v>
      </c>
      <c r="I78" s="18" t="n">
        <v>0</v>
      </c>
      <c r="J78" s="18" t="n">
        <v>2400</v>
      </c>
      <c r="K78" s="34" t="n">
        <v>10400</v>
      </c>
      <c r="N78" s="18" t="n">
        <v>0</v>
      </c>
      <c r="O78" s="18" t="n">
        <v>0</v>
      </c>
      <c r="P78" s="9" t="n"/>
      <c r="S78" s="18" t="n">
        <v>0</v>
      </c>
      <c r="T78" s="18" t="n">
        <v>0</v>
      </c>
      <c r="U78" s="9" t="n"/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F79" s="9" t="n"/>
      <c r="I79" s="18" t="n">
        <v>0</v>
      </c>
      <c r="J79" s="18" t="n">
        <v>4.04</v>
      </c>
      <c r="K79" s="9" t="n"/>
      <c r="N79" s="18" t="n">
        <v>0</v>
      </c>
      <c r="O79" s="18" t="n">
        <v>0</v>
      </c>
      <c r="P79" s="9" t="n"/>
      <c r="T79" s="18" t="n">
        <v>4.78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F80" s="9" t="n"/>
      <c r="J80" s="18" t="n">
        <v>8665.67</v>
      </c>
      <c r="K80" s="9" t="n"/>
      <c r="N80" s="18" t="n">
        <v>1.48</v>
      </c>
      <c r="O80" s="18" t="n">
        <v>64.88</v>
      </c>
      <c r="P80" s="9" t="n"/>
      <c r="Q80" s="18" t="n">
        <v>63.57</v>
      </c>
      <c r="R80" s="18" t="n">
        <v>220.7</v>
      </c>
      <c r="S80" s="18" t="n">
        <v>135.7</v>
      </c>
      <c r="T80" s="18" t="n">
        <v>50.88</v>
      </c>
      <c r="U80" s="34" t="n">
        <v>470.85</v>
      </c>
      <c r="V80" s="18" t="n">
        <v>121.97</v>
      </c>
      <c r="W80" s="18" t="n">
        <v>58.94</v>
      </c>
      <c r="X80" s="18" t="n">
        <v>27.35</v>
      </c>
      <c r="Y80" s="18" t="n">
        <v>61.65</v>
      </c>
      <c r="Z80" s="34" t="n">
        <v>269.91</v>
      </c>
      <c r="AA80" s="18" t="n">
        <v>46.47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F81" s="9" t="n"/>
      <c r="J81" s="18" t="n">
        <v>8665.67</v>
      </c>
      <c r="K81" s="9" t="n"/>
      <c r="N81" s="18" t="n">
        <v>9.890000000000001</v>
      </c>
      <c r="O81" s="18" t="n">
        <v>64.88</v>
      </c>
      <c r="P81" s="9" t="n"/>
      <c r="Q81" s="18" t="n">
        <v>63.57</v>
      </c>
      <c r="R81" s="18" t="n">
        <v>220.7</v>
      </c>
      <c r="S81" s="18" t="n">
        <v>135.7</v>
      </c>
      <c r="T81" s="18" t="n">
        <v>50.88</v>
      </c>
      <c r="U81" s="34" t="n">
        <v>470.85</v>
      </c>
      <c r="V81" s="18" t="n">
        <v>121.97</v>
      </c>
      <c r="W81" s="18" t="n">
        <v>58.94</v>
      </c>
      <c r="X81" s="18" t="n">
        <v>27.35</v>
      </c>
      <c r="Y81" s="18" t="n">
        <v>61.65</v>
      </c>
      <c r="Z81" s="34" t="n">
        <v>269.91</v>
      </c>
      <c r="AA81" s="18" t="n">
        <v>47.03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무형자산상각비</t>
        </is>
      </c>
      <c r="F82" s="9" t="n"/>
      <c r="K82" s="9" t="n"/>
      <c r="O82" s="18" t="n">
        <v>0.42</v>
      </c>
      <c r="P82" s="9" t="n"/>
      <c r="U82" s="9" t="n"/>
      <c r="V82" s="18" t="n">
        <v>122.61</v>
      </c>
      <c r="W82" s="18" t="n">
        <v>122.61</v>
      </c>
      <c r="X82" s="18" t="n">
        <v>122.6</v>
      </c>
      <c r="Y82" s="18" t="n">
        <v>122.61</v>
      </c>
      <c r="Z82" s="34" t="n">
        <v>490.43</v>
      </c>
      <c r="AA82" s="18" t="n">
        <v>122.62</v>
      </c>
      <c r="AB82" s="19" t="n">
        <v>122.63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O83" s="18" t="n">
        <v>0</v>
      </c>
      <c r="P83" s="9" t="n"/>
      <c r="T83" s="18" t="n">
        <v>0</v>
      </c>
      <c r="U83" s="9" t="n"/>
      <c r="Z83" s="9" t="n"/>
      <c r="AA83" s="18" t="n">
        <v>0.5600000000000001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F84" s="9" t="n"/>
      <c r="K84" s="9" t="n"/>
      <c r="P84" s="9" t="n"/>
      <c r="Q84" s="18" t="n">
        <v>8000</v>
      </c>
      <c r="R84" s="18" t="n">
        <v>0</v>
      </c>
      <c r="S84" s="18" t="n">
        <v>3300</v>
      </c>
      <c r="T84" s="18" t="n">
        <v>0</v>
      </c>
      <c r="U84" s="34" t="n">
        <v>11300</v>
      </c>
      <c r="V84" s="18" t="n">
        <v>0</v>
      </c>
      <c r="W84" s="18" t="n">
        <v>0</v>
      </c>
      <c r="X84" s="18" t="n">
        <v>0</v>
      </c>
      <c r="Y84" s="18" t="n">
        <v>0</v>
      </c>
      <c r="Z84" s="34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F85" s="9" t="n"/>
      <c r="K85" s="9" t="n"/>
      <c r="P85" s="9" t="n"/>
      <c r="Q85" s="18" t="n">
        <v>8000</v>
      </c>
      <c r="R85" s="18" t="n">
        <v>0</v>
      </c>
      <c r="S85" s="18" t="n">
        <v>4000</v>
      </c>
      <c r="T85" s="18" t="n">
        <v>1100</v>
      </c>
      <c r="U85" s="34" t="n">
        <v>13100</v>
      </c>
      <c r="V85" s="18" t="n">
        <v>800</v>
      </c>
      <c r="W85" s="18" t="n">
        <v>700</v>
      </c>
      <c r="X85" s="18" t="n">
        <v>0</v>
      </c>
      <c r="Y85" s="18" t="n">
        <v>0</v>
      </c>
      <c r="Z85" s="34" t="n">
        <v>1500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K86" s="9" t="n"/>
      <c r="P86" s="9" t="n"/>
      <c r="T86" s="18" t="n">
        <v>0</v>
      </c>
      <c r="U86" s="9" t="n"/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0.1135</v>
      </c>
      <c r="F10" s="34" t="n"/>
      <c r="G10" s="18" t="n">
        <v>-0.0567</v>
      </c>
      <c r="H10" s="18" t="n">
        <v>0.0819</v>
      </c>
      <c r="I10" s="18" t="n">
        <v>0.0253</v>
      </c>
      <c r="J10" s="18" t="n">
        <v>0.1594</v>
      </c>
      <c r="K10" s="34">
        <f>SUM(G10:J10)</f>
        <v/>
      </c>
      <c r="L10" s="18" t="n">
        <v>0.0857</v>
      </c>
      <c r="M10" s="18" t="n">
        <v>0.0511</v>
      </c>
      <c r="N10" s="18" t="n">
        <v>0.0389</v>
      </c>
      <c r="O10" s="18" t="n">
        <v>0.2815</v>
      </c>
      <c r="P10" s="34">
        <f>SUM(L10:O10)</f>
        <v/>
      </c>
      <c r="Q10" s="18" t="n">
        <v>-0.0138</v>
      </c>
      <c r="R10" s="18" t="n">
        <v>0.09429999999999999</v>
      </c>
      <c r="S10" s="18" t="n">
        <v>0.1054</v>
      </c>
      <c r="T10" s="18" t="n">
        <v>0.1877</v>
      </c>
      <c r="U10" s="34">
        <f>SUM(Q10:T10)</f>
        <v/>
      </c>
      <c r="V10" s="18" t="n">
        <v>0.0498</v>
      </c>
      <c r="W10" s="18" t="n">
        <v>0.07820000000000001</v>
      </c>
      <c r="X10" s="18" t="n">
        <v>0.2632</v>
      </c>
      <c r="Y10" s="18" t="n">
        <v>0.3948</v>
      </c>
      <c r="Z10" s="34">
        <f>SUM(V10:Y10)</f>
        <v/>
      </c>
      <c r="AA10" s="18" t="n">
        <v>0.1691</v>
      </c>
      <c r="AB10" s="19" t="n">
        <v>0.3349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IFERROR(X17*(1+변수!AC29),"")</f>
        <v/>
      </c>
      <c r="AD17" s="20">
        <f>IFERROR(Y17*(1+변수!AD29),"")</f>
        <v/>
      </c>
      <c r="AE17" s="35">
        <f>SUM(AA17:AD17)</f>
        <v/>
      </c>
      <c r="AF17" s="20">
        <f>IFERROR(AA17*(1+변수!AF29),"")</f>
        <v/>
      </c>
      <c r="AG17" s="20">
        <f>IFERROR(AB17*(1+변수!AG29),"")</f>
        <v/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11.46</v>
      </c>
      <c r="F18" s="34" t="n"/>
      <c r="G18" s="18" t="n">
        <v>-1.98</v>
      </c>
      <c r="H18" s="18" t="n">
        <v>7.02</v>
      </c>
      <c r="I18" s="18" t="n">
        <v>2.96</v>
      </c>
      <c r="J18" s="18" t="n">
        <v>11.97</v>
      </c>
      <c r="K18" s="34">
        <f>SUM(G18:J18)</f>
        <v/>
      </c>
      <c r="L18" s="18" t="n">
        <v>8.32</v>
      </c>
      <c r="M18" s="18" t="n">
        <v>5.86</v>
      </c>
      <c r="N18" s="18" t="n">
        <v>4.53</v>
      </c>
      <c r="O18" s="18" t="n">
        <v>24.94</v>
      </c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>
        <v>6.65</v>
      </c>
      <c r="W18" s="18" t="n">
        <v>9.34</v>
      </c>
      <c r="X18" s="18" t="n">
        <v>32.69</v>
      </c>
      <c r="Y18" s="18" t="n">
        <v>53.86</v>
      </c>
      <c r="Z18" s="34">
        <f>SUM(V18:Y18)</f>
        <v/>
      </c>
      <c r="AA18" s="18" t="n">
        <v>17.95</v>
      </c>
      <c r="AB18" s="19" t="n">
        <v>41.43</v>
      </c>
      <c r="AC18" s="20">
        <f>IFERROR(X18*(1+변수!AC30),"")</f>
        <v/>
      </c>
      <c r="AD18" s="20">
        <f>IFERROR(Y18*(1+변수!AD30),"")</f>
        <v/>
      </c>
      <c r="AE18" s="35">
        <f>SUM(AA18:AD18)</f>
        <v/>
      </c>
      <c r="AF18" s="20">
        <f>IFERROR(AA18*(1+변수!AF30),"")</f>
        <v/>
      </c>
      <c r="AG18" s="20">
        <f>IFERROR(AB18*(1+변수!AG30),"")</f>
        <v/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347.88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60.88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286.99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286.99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4">
        <f>E23</f>
        <v/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4">
        <f>E24</f>
        <v/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43.75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38.56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4" t="n"/>
      <c r="G27" s="18" t="n"/>
      <c r="H27" s="18" t="n"/>
      <c r="I27" s="18" t="n"/>
      <c r="J27" s="18">
        <f>IFERROR(VLOOKUP($D27,BS별도,MATCH(J$1,BS별도H,0),0)/100,"")</f>
        <v/>
      </c>
      <c r="K27" s="34">
        <f>SUM(G27:J27)</f>
        <v/>
      </c>
      <c r="L27" s="18" t="n"/>
      <c r="M27" s="18" t="n"/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0.9</v>
      </c>
      <c r="F28" s="34" t="n"/>
      <c r="G28" s="18" t="n">
        <v>-13.02</v>
      </c>
      <c r="H28" s="18" t="n">
        <v>-13.28</v>
      </c>
      <c r="I28" s="18" t="n">
        <v>11.68</v>
      </c>
      <c r="J28" s="18" t="n">
        <v>10.66</v>
      </c>
      <c r="K28" s="34">
        <f>SUM(G28:J28)</f>
        <v/>
      </c>
      <c r="L28" s="18" t="n">
        <v>16.26</v>
      </c>
      <c r="M28" s="18" t="n">
        <v>16.17</v>
      </c>
      <c r="N28" s="18" t="n">
        <v>12.9</v>
      </c>
      <c r="O28" s="18" t="n">
        <v>5.44</v>
      </c>
      <c r="P28" s="34">
        <f>SUM(L28:O28)</f>
        <v/>
      </c>
      <c r="Q28" s="18" t="n">
        <v>20.63</v>
      </c>
      <c r="R28" s="18" t="n">
        <v>-1.21</v>
      </c>
      <c r="S28" s="18" t="n">
        <v>11.79</v>
      </c>
      <c r="T28" s="18" t="n">
        <v>18.42</v>
      </c>
      <c r="U28" s="34">
        <f>SUM(Q28:T28)</f>
        <v/>
      </c>
      <c r="V28" s="18" t="n">
        <v>2.31</v>
      </c>
      <c r="W28" s="18" t="n">
        <v>13.42</v>
      </c>
      <c r="X28" s="18" t="n">
        <v>18.89</v>
      </c>
      <c r="Y28" s="18" t="n">
        <v>66.5</v>
      </c>
      <c r="Z28" s="34">
        <f>SUM(V28:Y28)</f>
        <v/>
      </c>
      <c r="AA28" s="18" t="n">
        <v>20.18</v>
      </c>
      <c r="AB28" s="19" t="n">
        <v>33.45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13.541</v>
      </c>
      <c r="F29" s="27">
        <f>E29</f>
        <v/>
      </c>
      <c r="G29" s="26" t="n">
        <v>13.541</v>
      </c>
      <c r="H29" s="26" t="n">
        <v>13.541</v>
      </c>
      <c r="I29" s="26" t="n">
        <v>13.541</v>
      </c>
      <c r="J29" s="26" t="n">
        <v>13.541</v>
      </c>
      <c r="K29" s="27">
        <f>J29</f>
        <v/>
      </c>
      <c r="L29" s="26" t="n">
        <v>13.541</v>
      </c>
      <c r="M29" s="26" t="n">
        <v>13.541</v>
      </c>
      <c r="N29" s="26" t="n">
        <v>13.541</v>
      </c>
      <c r="O29" s="26" t="n">
        <v>13.541</v>
      </c>
      <c r="P29" s="27">
        <f>O29</f>
        <v/>
      </c>
      <c r="Q29" s="26" t="n">
        <v>13.541</v>
      </c>
      <c r="R29" s="26" t="n">
        <v>14</v>
      </c>
      <c r="S29" s="26" t="n">
        <v>14</v>
      </c>
      <c r="T29" s="26" t="n">
        <v>13.946</v>
      </c>
      <c r="U29" s="27">
        <f>T29</f>
        <v/>
      </c>
      <c r="V29" s="26" t="n">
        <v>13.946</v>
      </c>
      <c r="W29" s="26" t="n">
        <v>13.946</v>
      </c>
      <c r="X29" s="26" t="n">
        <v>13.946</v>
      </c>
      <c r="Y29" s="26" t="n">
        <v>13.946</v>
      </c>
      <c r="Z29" s="27">
        <f>Y29</f>
        <v/>
      </c>
      <c r="AA29" s="26" t="n">
        <v>13.946</v>
      </c>
      <c r="AB29" s="28" t="n">
        <v>13.946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28.41</v>
      </c>
      <c r="J33" s="18" t="n">
        <v>28.64</v>
      </c>
      <c r="K33" s="34">
        <f>SUM(G33:J33)</f>
        <v/>
      </c>
      <c r="L33" s="18" t="n">
        <v>17.58</v>
      </c>
      <c r="M33" s="18" t="n">
        <v>21.95</v>
      </c>
      <c r="N33" s="18" t="n">
        <v>21.56</v>
      </c>
      <c r="O33" s="18" t="n">
        <v>6.46</v>
      </c>
      <c r="P33" s="34">
        <f>SUM(L33:O33)</f>
        <v/>
      </c>
      <c r="Q33" s="18" t="n">
        <v>7.08</v>
      </c>
      <c r="R33" s="18" t="n">
        <v>7.31</v>
      </c>
      <c r="S33" s="18" t="n">
        <v>6.27</v>
      </c>
      <c r="T33" s="18" t="n">
        <v>6.84</v>
      </c>
      <c r="U33" s="34">
        <f>SUM(Q33:T33)</f>
        <v/>
      </c>
      <c r="V33" s="18" t="n">
        <v>7.19</v>
      </c>
      <c r="W33" s="18" t="n">
        <v>8.41</v>
      </c>
      <c r="X33" s="18" t="n">
        <v>7.26</v>
      </c>
      <c r="Y33" s="18" t="n">
        <v>8.75</v>
      </c>
      <c r="Z33" s="34">
        <f>SUM(V33:Y33)</f>
        <v/>
      </c>
      <c r="AA33" s="18" t="n">
        <v>8.15</v>
      </c>
      <c r="AB33" s="19" t="n">
        <v>5.49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1.42</v>
      </c>
      <c r="F34" s="34" t="n">
        <v>1.53</v>
      </c>
      <c r="G34" s="18" t="n">
        <v>1.81</v>
      </c>
      <c r="H34" s="18" t="n">
        <v>1.84</v>
      </c>
      <c r="I34" s="18" t="n">
        <v>1.5</v>
      </c>
      <c r="J34" s="18" t="n">
        <v>1.21</v>
      </c>
      <c r="K34" s="34">
        <f>SUM(G34:J34)</f>
        <v/>
      </c>
      <c r="L34" s="18" t="n">
        <v>1.17</v>
      </c>
      <c r="M34" s="18" t="n">
        <v>1.28</v>
      </c>
      <c r="N34" s="18" t="n">
        <v>1.19</v>
      </c>
      <c r="O34" s="18" t="n">
        <v>0.88</v>
      </c>
      <c r="P34" s="34">
        <f>SUM(L34:O34)</f>
        <v/>
      </c>
      <c r="Q34" s="18" t="n">
        <v>0.85</v>
      </c>
      <c r="R34" s="18" t="n">
        <v>1.03</v>
      </c>
      <c r="S34" s="18" t="n">
        <v>0.99</v>
      </c>
      <c r="T34" s="18" t="n">
        <v>0.99</v>
      </c>
      <c r="U34" s="34">
        <f>SUM(Q34:T34)</f>
        <v/>
      </c>
      <c r="V34" s="18" t="n">
        <v>1.08</v>
      </c>
      <c r="W34" s="18" t="n">
        <v>1.16</v>
      </c>
      <c r="X34" s="18" t="n">
        <v>1.27</v>
      </c>
      <c r="Y34" s="18" t="n">
        <v>1.4</v>
      </c>
      <c r="Z34" s="34">
        <f>SUM(V34:Y34)</f>
        <v/>
      </c>
      <c r="AA34" s="18" t="n">
        <v>1.45</v>
      </c>
      <c r="AB34" s="19" t="n">
        <v>1.16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88.95999999999999</v>
      </c>
      <c r="F35" s="34" t="n"/>
      <c r="G35" s="18" t="n">
        <v>57.25</v>
      </c>
      <c r="H35" s="18" t="n">
        <v>67.5</v>
      </c>
      <c r="I35" s="18" t="n">
        <v>59.89</v>
      </c>
      <c r="J35" s="18" t="n">
        <v>63.96</v>
      </c>
      <c r="K35" s="34">
        <f>SUM(G35:J35)</f>
        <v/>
      </c>
      <c r="L35" s="18" t="n">
        <v>68.79000000000001</v>
      </c>
      <c r="M35" s="18" t="n">
        <v>67.91</v>
      </c>
      <c r="N35" s="18" t="n">
        <v>56.1</v>
      </c>
      <c r="O35" s="18" t="n">
        <v>80.28</v>
      </c>
      <c r="P35" s="34">
        <f>SUM(L35:O35)</f>
        <v/>
      </c>
      <c r="Q35" s="18" t="n">
        <v>56.57</v>
      </c>
      <c r="R35" s="18" t="n">
        <v>77.34</v>
      </c>
      <c r="S35" s="18" t="n">
        <v>92.23999999999999</v>
      </c>
      <c r="T35" s="18" t="n">
        <v>131.01</v>
      </c>
      <c r="U35" s="34">
        <f>SUM(Q35:T35)</f>
        <v/>
      </c>
      <c r="V35" s="18" t="n">
        <v>84.69</v>
      </c>
      <c r="W35" s="18" t="n">
        <v>88.69</v>
      </c>
      <c r="X35" s="18" t="n">
        <v>115.07</v>
      </c>
      <c r="Y35" s="18" t="n">
        <v>130.35</v>
      </c>
      <c r="Z35" s="34">
        <f>SUM(V35:Y35)</f>
        <v/>
      </c>
      <c r="AA35" s="18" t="n">
        <v>91.97</v>
      </c>
      <c r="AB35" s="19" t="n">
        <v>116.6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10.1</v>
      </c>
      <c r="F36" s="34" t="n"/>
      <c r="G36" s="18" t="n">
        <v>-3.25</v>
      </c>
      <c r="H36" s="18" t="n">
        <v>5.53</v>
      </c>
      <c r="I36" s="18" t="n">
        <v>1.52</v>
      </c>
      <c r="J36" s="18" t="n">
        <v>10.19</v>
      </c>
      <c r="K36" s="34">
        <f>SUM(G36:J36)</f>
        <v/>
      </c>
      <c r="L36" s="18" t="n">
        <v>5.9</v>
      </c>
      <c r="M36" s="18" t="n">
        <v>3.47</v>
      </c>
      <c r="N36" s="18" t="n">
        <v>2.18</v>
      </c>
      <c r="O36" s="18" t="n">
        <v>22.59</v>
      </c>
      <c r="P36" s="34">
        <f>SUM(L36:O36)</f>
        <v/>
      </c>
      <c r="Q36" s="18" t="n">
        <v>-0.78</v>
      </c>
      <c r="R36" s="18" t="n">
        <v>7.29</v>
      </c>
      <c r="S36" s="18" t="n">
        <v>9.720000000000001</v>
      </c>
      <c r="T36" s="18" t="n">
        <v>24.59</v>
      </c>
      <c r="U36" s="34">
        <f>SUM(Q36:T36)</f>
        <v/>
      </c>
      <c r="V36" s="18" t="n">
        <v>4.22</v>
      </c>
      <c r="W36" s="18" t="n">
        <v>6.93</v>
      </c>
      <c r="X36" s="18" t="n">
        <v>30.29</v>
      </c>
      <c r="Y36" s="18" t="n">
        <v>51.46</v>
      </c>
      <c r="Z36" s="34">
        <f>SUM(V36:Y36)</f>
        <v/>
      </c>
      <c r="AA36" s="18" t="n">
        <v>15.55</v>
      </c>
      <c r="AB36" s="19" t="n">
        <v>39.05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592.3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5.2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0.1525</v>
      </c>
    </row>
    <row r="34">
      <c r="C34" s="2" t="inlineStr">
        <is>
          <t>fair_pbr</t>
        </is>
      </c>
      <c r="D34" t="n">
        <v>1.69</v>
      </c>
    </row>
    <row r="35">
      <c r="C35" s="2" t="inlineStr">
        <is>
          <t>fair_value_pbr</t>
        </is>
      </c>
      <c r="D35" t="n">
        <v>6600</v>
      </c>
    </row>
    <row r="36">
      <c r="C36" s="2" t="inlineStr">
        <is>
          <t>ev_ebitda</t>
        </is>
      </c>
      <c r="D36" t="n">
        <v>3.83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