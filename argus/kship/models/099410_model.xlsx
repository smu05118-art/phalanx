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84767억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87841억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90833억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94551억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99688억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105764억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112277억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118724억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124436억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모델값 역산(implied): v / 매출액
매출액 × 판관비율 11.39%(최근 4분기 중위)</t>
      </text>
    </comment>
    <comment ref="AD22" authorId="0" shapeId="0">
      <text>
        <t>모델값 역산(implied): v / 매출액
매출액 × 판관비율 11.39%(최근 4분기 중위)</t>
      </text>
    </comment>
    <comment ref="AF22" authorId="0" shapeId="0">
      <text>
        <t>모델값 역산(implied): v / 매출액
매출액 × 판관비율 11.39%(최근 4분기 중위)</t>
      </text>
    </comment>
    <comment ref="AG22" authorId="0" shapeId="0">
      <text>
        <t>모델값 역산(implied): v / 매출액
매출액 × 판관비율 11.39%(최근 4분기 중위)</t>
      </text>
    </comment>
    <comment ref="AH22" authorId="0" shapeId="0">
      <text>
        <t>모델값 역산(implied): v / 매출액
매출액 × 판관비율 11.39%(최근 4분기 중위)</t>
      </text>
    </comment>
    <comment ref="AI22" authorId="0" shapeId="0">
      <text>
        <t>모델값 역산(implied): v / 매출액
매출액 × 판관비율 11.39%(최근 4분기 중위)</t>
      </text>
    </comment>
    <comment ref="AK22" authorId="0" shapeId="0">
      <text>
        <t>모델값 역산(implied): v / 매출액
매출액 × 판관비율 11.39%(최근 4분기 중위)</t>
      </text>
    </comment>
    <comment ref="AL22" authorId="0" shapeId="0">
      <text>
        <t>모델값 역산(implied): v / 매출액
매출액 × 판관비율 11.39%(최근 4분기 중위)</t>
      </text>
    </comment>
    <comment ref="AM22" authorId="0" shapeId="0">
      <text>
        <t>모델값 역산(implied): v / 매출액
매출액 × 판관비율 11.39%(최근 4분기 중위)</t>
      </text>
    </comment>
    <comment ref="AN22" authorId="0" shapeId="0">
      <text>
        <t>모델값 역산(implied): v / 매출액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v / 전년동기 − 1
최근 8분기 OPM 중위 17.8% 유지</t>
      </text>
    </comment>
    <comment ref="AD24" authorId="0" shapeId="0">
      <text>
        <t>모델값 역산(implied): v / 전년동기 − 1
최근 8분기 OPM 중위 17.8% 유지</t>
      </text>
    </comment>
    <comment ref="AF24" authorId="0" shapeId="0">
      <text>
        <t>모델값 역산(implied): v / 전년동기 − 1
최근 8분기 OPM 중위 17.8% 유지</t>
      </text>
    </comment>
    <comment ref="AG24" authorId="0" shapeId="0">
      <text>
        <t>모델값 역산(implied): v / 전년동기 − 1
최근 8분기 OPM 중위 17.8% 유지</t>
      </text>
    </comment>
    <comment ref="AH24" authorId="0" shapeId="0">
      <text>
        <t>모델값 역산(implied): v / 전년동기 − 1
최근 8분기 OPM 중위 17.8% 유지</t>
      </text>
    </comment>
    <comment ref="AI24" authorId="0" shapeId="0">
      <text>
        <t>모델값 역산(implied): v / 전년동기 − 1
최근 8분기 OPM 중위 17.8% 유지</t>
      </text>
    </comment>
    <comment ref="AK24" authorId="0" shapeId="0">
      <text>
        <t>모델값 역산(implied): v / 전년동기 − 1
최근 8분기 OPM 중위 17.8% 유지</t>
      </text>
    </comment>
    <comment ref="AL24" authorId="0" shapeId="0">
      <text>
        <t>모델값 역산(implied): v / 전년동기 − 1
최근 8분기 OPM 중위 17.8% 유지</t>
      </text>
    </comment>
    <comment ref="AM24" authorId="0" shapeId="0">
      <text>
        <t>모델값 역산(implied): v / 전년동기 − 1
최근 8분기 OPM 중위 17.8% 유지</t>
      </text>
    </comment>
    <comment ref="AN24" authorId="0" shapeId="0">
      <text>
        <t>모델값 역산(implied): v / 전년동기 − 1
최근 8분기 OPM 중위 17.8%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196억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216억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229억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244억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261억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285억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301억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320억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341억 × 0.10%(주석 이자수익 ÷ 평균 이자발생자산(2025Q3~2026Q2)) − 총차입금 113억 × 3.62%(주석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182억 × 0.10%(주석 이자수익 ÷ 평균 이자발생자산(2025Q3~2026Q2)) − 총차입금 113억 × 3.62%(주석 이자비용 ÷ 평균 총차입금(2025Q3~2026Q2)) (연율) ÷ 4</t>
      </text>
    </comment>
    <comment ref="AD26" authorId="0" shapeId="0">
      <text>
        <t>모델값 역산(implied): 모델 v 그대로
이자발생자산 196억 × 0.10%(주석 이자수익 ÷ 평균 이자발생자산(2025Q3~2026Q2)) − 총차입금 113억 × 3.62%(주석 이자비용 ÷ 평균 총차입금(2025Q3~2026Q2)) (연율) ÷ 4</t>
      </text>
    </comment>
    <comment ref="AF26" authorId="0" shapeId="0">
      <text>
        <t>모델값 역산(implied): 모델 v 그대로
이자발생자산 216억 × 0.10%(주석 이자수익 ÷ 평균 이자발생자산(2025Q3~2026Q2)) − 총차입금 113억 × 3.62%(주석 이자비용 ÷ 평균 총차입금(2025Q3~2026Q2)) (연율) ÷ 4</t>
      </text>
    </comment>
    <comment ref="AG26" authorId="0" shapeId="0">
      <text>
        <t>모델값 역산(implied): 모델 v 그대로
이자발생자산 229억 × 0.10%(주석 이자수익 ÷ 평균 이자발생자산(2025Q3~2026Q2)) − 총차입금 113억 × 3.62%(주석 이자비용 ÷ 평균 총차입금(2025Q3~2026Q2)) (연율) ÷ 4</t>
      </text>
    </comment>
    <comment ref="AH26" authorId="0" shapeId="0">
      <text>
        <t>모델값 역산(implied): 모델 v 그대로
이자발생자산 244억 × 0.10%(주석 이자수익 ÷ 평균 이자발생자산(2025Q3~2026Q2)) − 총차입금 113억 × 3.62%(주석 이자비용 ÷ 평균 총차입금(2025Q3~2026Q2)) (연율) ÷ 4</t>
      </text>
    </comment>
    <comment ref="AI26" authorId="0" shapeId="0">
      <text>
        <t>모델값 역산(implied): 모델 v 그대로
이자발생자산 261억 × 0.10%(주석 이자수익 ÷ 평균 이자발생자산(2025Q3~2026Q2)) − 총차입금 113억 × 3.62%(주석 이자비용 ÷ 평균 총차입금(2025Q3~2026Q2)) (연율) ÷ 4</t>
      </text>
    </comment>
    <comment ref="AK26" authorId="0" shapeId="0">
      <text>
        <t>모델값 역산(implied): 모델 v 그대로
이자발생자산 285억 × 0.10%(주석 이자수익 ÷ 평균 이자발생자산(2025Q3~2026Q2)) − 총차입금 113억 × 3.62%(주석 이자비용 ÷ 평균 총차입금(2025Q3~2026Q2)) (연율) ÷ 4</t>
      </text>
    </comment>
    <comment ref="AL26" authorId="0" shapeId="0">
      <text>
        <t>모델값 역산(implied): 모델 v 그대로
이자발생자산 301억 × 0.10%(주석 이자수익 ÷ 평균 이자발생자산(2025Q3~2026Q2)) − 총차입금 113억 × 3.62%(주석 이자비용 ÷ 평균 총차입금(2025Q3~2026Q2)) (연율) ÷ 4</t>
      </text>
    </comment>
    <comment ref="AM26" authorId="0" shapeId="0">
      <text>
        <t>모델값 역산(implied): 모델 v 그대로
이자발생자산 320억 × 0.10%(주석 이자수익 ÷ 평균 이자발생자산(2025Q3~2026Q2)) − 총차입금 113억 × 3.62%(주석 이자비용 ÷ 평균 총차입금(2025Q3~2026Q2)) (연율) ÷ 4</t>
      </text>
    </comment>
    <comment ref="AN26" authorId="0" shapeId="0">
      <text>
        <t>모델값 역산(implied): 모델 v 그대로
이자발생자산 341억 × 0.10%(주석 이자수익 ÷ 평균 이자발생자산(2025Q3~2026Q2)) − 총차입금 113억 × 3.62%(주석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D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F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G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H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I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K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L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M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N29" authorId="0" shapeId="0">
      <text>
        <t>모델값 역산(implied): v / 세전이익
max(세전, 0) × 세율 22.0%(최근 12분기 유효세율 -6.3% 가 5~27% 밖; 세전 &gt; 0 분기 중위 4.1% 도 5~27% 밖 → 법정세율 근사 22% 가정)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전년동기 − 1
최근 4분기 감가상각비 중위 유지</t>
      </text>
    </comment>
    <comment ref="AD31" authorId="0" shapeId="0">
      <text>
        <t>모델값 역산(implied): v / 전년동기 − 1
최근 4분기 감가상각비 중위 유지</t>
      </text>
    </comment>
    <comment ref="AF31" authorId="0" shapeId="0">
      <text>
        <t>모델값 역산(implied): v / 전년동기 − 1
최근 4분기 감가상각비 중위 유지</t>
      </text>
    </comment>
    <comment ref="AG31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C32" authorId="0" shapeId="0">
      <text>
        <t>모델값 역산(implied): v / 전년동기 − 1
영업이익 + 감가상각비</t>
      </text>
    </comment>
    <comment ref="AD32" authorId="0" shapeId="0">
      <text>
        <t>모델값 역산(implied): v / 전년동기 − 1
영업이익 + 감가상각비</t>
      </text>
    </comment>
    <comment ref="AF32" authorId="0" shapeId="0">
      <text>
        <t>모델값 역산(implied): v / 전년동기 − 1
영업이익 + 감가상각비</t>
      </text>
    </comment>
    <comment ref="AG32" authorId="0" shapeId="0">
      <text>
        <t>모델값 역산(implied): v / 전년동기 − 1
영업이익 + 감가상각비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84767억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87841억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90833억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94551억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99688억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105764억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112277억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118724억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124436억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17.8% 유지
[yoy]</t>
      </text>
    </comment>
    <comment ref="AD10" authorId="0" shapeId="0">
      <text>
        <t>추정: 최근 8분기 OPM 중위 17.8% 유지
[yoy]</t>
      </text>
    </comment>
    <comment ref="AF10" authorId="0" shapeId="0">
      <text>
        <t>추정: 최근 8분기 OPM 중위 17.8% 유지
[yoy]</t>
      </text>
    </comment>
    <comment ref="AG10" authorId="0" shapeId="0">
      <text>
        <t>추정: 최근 8분기 OPM 중위 17.8% 유지
[yoy]</t>
      </text>
    </comment>
    <comment ref="AH10" authorId="0" shapeId="0">
      <text>
        <t>추정: 최근 8분기 OPM 중위 17.8% 유지
[yoy]</t>
      </text>
    </comment>
    <comment ref="AI10" authorId="0" shapeId="0">
      <text>
        <t>추정: 최근 8분기 OPM 중위 17.8% 유지
[yoy]</t>
      </text>
    </comment>
    <comment ref="AK10" authorId="0" shapeId="0">
      <text>
        <t>추정: 최근 8분기 OPM 중위 17.8% 유지
[yoy]</t>
      </text>
    </comment>
    <comment ref="AL10" authorId="0" shapeId="0">
      <text>
        <t>추정: 최근 8분기 OPM 중위 17.8% 유지
[yoy]</t>
      </text>
    </comment>
    <comment ref="AM10" authorId="0" shapeId="0">
      <text>
        <t>추정: 최근 8분기 OPM 중위 17.8% 유지
[yoy]</t>
      </text>
    </comment>
    <comment ref="AN10" authorId="0" shapeId="0">
      <text>
        <t>추정: 최근 8분기 OPM 중위 17.8%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196억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216억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229억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244억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261억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285억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301억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320억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341억 × 0.10%(주석 이자수익 ÷ 평균 이자발생자산(2025Q3~2026Q2)) − 총차입금 113억 × 3.62%(주석 이자비용 ÷ 평균 총차입금(2025Q3~2026Q2)) (연율) ÷ 4; 환율 효과는 환관련손익 행 별도
[abs]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[abs]</t>
      </text>
    </comment>
    <comment ref="AD12" authorId="0" shapeId="0">
      <text>
        <t>추정: 이자발생자산 196억 × 0.10%(주석 이자수익 ÷ 평균 이자발생자산(2025Q3~2026Q2)) − 총차입금 113억 × 3.62%(주석 이자비용 ÷ 평균 총차입금(2025Q3~2026Q2)) (연율) ÷ 4
[abs]</t>
      </text>
    </comment>
    <comment ref="AF12" authorId="0" shapeId="0">
      <text>
        <t>추정: 이자발생자산 216억 × 0.10%(주석 이자수익 ÷ 평균 이자발생자산(2025Q3~2026Q2)) − 총차입금 113억 × 3.62%(주석 이자비용 ÷ 평균 총차입금(2025Q3~2026Q2)) (연율) ÷ 4
[abs]</t>
      </text>
    </comment>
    <comment ref="AG12" authorId="0" shapeId="0">
      <text>
        <t>추정: 이자발생자산 229억 × 0.10%(주석 이자수익 ÷ 평균 이자발생자산(2025Q3~2026Q2)) − 총차입금 113억 × 3.62%(주석 이자비용 ÷ 평균 총차입금(2025Q3~2026Q2)) (연율) ÷ 4
[abs]</t>
      </text>
    </comment>
    <comment ref="AH12" authorId="0" shapeId="0">
      <text>
        <t>추정: 이자발생자산 244억 × 0.10%(주석 이자수익 ÷ 평균 이자발생자산(2025Q3~2026Q2)) − 총차입금 113억 × 3.62%(주석 이자비용 ÷ 평균 총차입금(2025Q3~2026Q2)) (연율) ÷ 4
[abs]</t>
      </text>
    </comment>
    <comment ref="AI12" authorId="0" shapeId="0">
      <text>
        <t>추정: 이자발생자산 261억 × 0.10%(주석 이자수익 ÷ 평균 이자발생자산(2025Q3~2026Q2)) − 총차입금 113억 × 3.62%(주석 이자비용 ÷ 평균 총차입금(2025Q3~2026Q2)) (연율) ÷ 4
[abs]</t>
      </text>
    </comment>
    <comment ref="AK12" authorId="0" shapeId="0">
      <text>
        <t>추정: 이자발생자산 285억 × 0.10%(주석 이자수익 ÷ 평균 이자발생자산(2025Q3~2026Q2)) − 총차입금 113억 × 3.62%(주석 이자비용 ÷ 평균 총차입금(2025Q3~2026Q2)) (연율) ÷ 4
[abs]</t>
      </text>
    </comment>
    <comment ref="AL12" authorId="0" shapeId="0">
      <text>
        <t>추정: 이자발생자산 301억 × 0.10%(주석 이자수익 ÷ 평균 이자발생자산(2025Q3~2026Q2)) − 총차입금 113억 × 3.62%(주석 이자비용 ÷ 평균 총차입금(2025Q3~2026Q2)) (연율) ÷ 4
[abs]</t>
      </text>
    </comment>
    <comment ref="AM12" authorId="0" shapeId="0">
      <text>
        <t>추정: 이자발생자산 320억 × 0.10%(주석 이자수익 ÷ 평균 이자발생자산(2025Q3~2026Q2)) − 총차입금 113억 × 3.62%(주석 이자비용 ÷ 평균 총차입금(2025Q3~2026Q2)) (연율) ÷ 4
[abs]</t>
      </text>
    </comment>
    <comment ref="AN12" authorId="0" shapeId="0">
      <text>
        <t>추정: 이자발생자산 341억 × 0.10%(주석 이자수익 ÷ 평균 이자발생자산(2025Q3~2026Q2)) − 총차입금 113억 × 3.62%(주석 이자비용 ÷ 평균 총차입금(2025Q3~2026Q2)) (연율) ÷ 4
[abs]</t>
      </text>
    </comment>
    <comment ref="R13" authorId="0" shapeId="0">
      <text>
        <t>실측(계정 매핑 없음 — 모델값 직접) — fin.sep.is.외환차익 − fin.sep.is.외환차손 + fin.sep.is.외화환산이익 − fin.sep.is.외화환산손실</t>
      </text>
    </comment>
    <comment ref="S13" authorId="0" shapeId="0">
      <text>
        <t>실측(계정 매핑 없음 — 모델값 직접) — fin.sep.is.외환차익 − fin.sep.is.외환차손 + fin.sep.is.외화환산이익 − fin.sep.is.외화환산손실</t>
      </text>
    </comment>
    <comment ref="T13" authorId="0" shapeId="0">
      <text>
        <t>실측(계정 매핑 없음 — 모델값 직접) — fin.sep.is.외환차익 − fin.sep.is.외환차손 + fin.sep.is.외화환산이익 − fin.sep.is.외화환산손실</t>
      </text>
    </comment>
    <comment ref="V13" authorId="0" shapeId="0">
      <text>
        <t>실측(계정 매핑 없음 — 모델값 직접) — fin.sep.is.외환차익 − fin.sep.is.외환차손 + fin.sep.is.외화환산이익 − fin.sep.is.외화환산손실</t>
      </text>
    </comment>
    <comment ref="W13" authorId="0" shapeId="0">
      <text>
        <t>실측(계정 매핑 없음 — 모델값 직접) — fin.sep.is.외환차익 − fin.sep.is.외환차손 + fin.sep.is.외화환산이익 − fin.sep.is.외화환산손실</t>
      </text>
    </comment>
    <comment ref="X13" authorId="0" shapeId="0">
      <text>
        <t>실측(계정 매핑 없음 — 모델값 직접) — fin.sep.is.외환차익 − fin.sep.is.외환차손 + fin.sep.is.외화환산이익 − fin.sep.is.외화환산손실</t>
      </text>
    </comment>
    <comment ref="Y13" authorId="0" shapeId="0">
      <text>
        <t>실측(계정 매핑 없음 — 모델값 직접) — fin.sep.is.외환차익 − fin.sep.is.외환차손 + fin.sep.is.외화환산이익 − fin.sep.is.외화환산손실</t>
      </text>
    </comment>
    <comment ref="AA13" authorId="0" shapeId="0">
      <text>
        <t>실측(계정 매핑 없음 — 모델값 직접) — fin.sep.is.외환차익 − fin.sep.is.외환차손 + fin.sep.is.외화환산이익 − fin.sep.is.외화환산손실</t>
      </text>
    </comment>
    <comment ref="AB13" authorId="0" shapeId="0">
      <text>
        <t>실측(계정 매핑 없음 — 모델값 직접) — fin.sep.is.외환차익 − fin.sep.is.외환차손 + fin.sep.is.외화환산이익 − fin.sep.is.외화환산손실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[yoy]</t>
      </text>
    </comment>
    <comment ref="AD19" authorId="0" shapeId="0">
      <text>
        <t>추정: 최근 4분기 감가상각비 중위 유지
[yoy]</t>
      </text>
    </comment>
    <comment ref="AF19" authorId="0" shapeId="0">
      <text>
        <t>추정: 최근 4분기 감가상각비 중위 유지
[yoy]</t>
      </text>
    </comment>
    <comment ref="AG19" authorId="0" shapeId="0">
      <text>
        <t>추정: 최근 4분기 감가상각비 중위 유지
[yoy]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N20" authorId="0" shapeId="0">
      <text>
        <t>실측(계정 매핑 없음 — 모델값 직접) — 영업이익 + 감가상각비(CF)</t>
      </text>
    </comment>
    <comment ref="O20" authorId="0" shapeId="0">
      <text>
        <t>실측(계정 매핑 없음 — 모델값 직접) — 영업이익 + 감가상각비(CF)</t>
      </text>
    </comment>
    <comment ref="V20" authorId="0" shapeId="0">
      <text>
        <t>실측(계정 매핑 없음 — 모델값 직접) — 영업이익 + 감가상각비(CF)</t>
      </text>
    </comment>
    <comment ref="W20" authorId="0" shapeId="0">
      <text>
        <t>실측(계정 매핑 없음 — 모델값 직접) — 영업이익 + 감가상각비(CF)</t>
      </text>
    </comment>
    <comment ref="X20" authorId="0" shapeId="0">
      <text>
        <t>실측(계정 매핑 없음 — 모델값 직접) — 영업이익 + 감가상각비(CF)</t>
      </text>
    </comment>
    <comment ref="Y20" authorId="0" shapeId="0">
      <text>
        <t>실측(계정 매핑 없음 — 모델값 직접) — 영업이익 + 감가상각비(CF)</t>
      </text>
    </comment>
    <comment ref="AA20" authorId="0" shapeId="0">
      <text>
        <t>실측(계정 매핑 없음 — 모델값 직접) — 영업이익 + 감가상각비(CF)</t>
      </text>
    </comment>
    <comment ref="AB20" authorId="0" shapeId="0">
      <text>
        <t>실측(계정 매핑 없음 — 모델값 직접) — 영업이익 + 감가상각비(CF)</t>
      </text>
    </comment>
    <comment ref="AC20" authorId="0" shapeId="0">
      <text>
        <t>추정: 영업이익 + 감가상각비
[yoy]</t>
      </text>
    </comment>
    <comment ref="AD20" authorId="0" shapeId="0">
      <text>
        <t>추정: 영업이익 + 감가상각비
[yoy]</t>
      </text>
    </comment>
    <comment ref="AF20" authorId="0" shapeId="0">
      <text>
        <t>추정: 영업이익 + 감가상각비
[yoy]</t>
      </text>
    </comment>
    <comment ref="AG20" authorId="0" shapeId="0">
      <text>
        <t>추정: 영업이익 + 감가상각비
[yoy]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F28" authorId="0" shapeId="0">
      <text>
        <t>연간 실측(BS 시트에 2021.12A 없음 — 모델 a 값 직접)</t>
      </text>
    </comment>
    <comment ref="E30" authorId="0" shapeId="0">
      <text>
        <t>실측(계정 매핑 없음 — 모델값 직접) — fin.sep.cf.영업활동으로인한현금흐름</t>
      </text>
    </comment>
    <comment ref="G30" authorId="0" shapeId="0">
      <text>
        <t>실측(계정 매핑 없음 — 모델값 직접) — fin.sep.cf.영업활동으로인한현금흐름</t>
      </text>
    </comment>
    <comment ref="H30" authorId="0" shapeId="0">
      <text>
        <t>실측(계정 매핑 없음 — 모델값 직접) — fin.sep.cf.영업활동으로인한현금흐름</t>
      </text>
    </comment>
    <comment ref="I30" authorId="0" shapeId="0">
      <text>
        <t>실측(계정 매핑 없음 — 모델값 직접) — fin.sep.cf.영업활동으로인한현금흐름</t>
      </text>
    </comment>
    <comment ref="J30" authorId="0" shapeId="0">
      <text>
        <t>실측(계정 매핑 없음 — 모델값 직접) — fin.sep.cf.영업활동으로인한현금흐름</t>
      </text>
    </comment>
    <comment ref="L30" authorId="0" shapeId="0">
      <text>
        <t>실측(계정 매핑 없음 — 모델값 직접) — fin.sep.cf.영업활동으로인한현금흐름</t>
      </text>
    </comment>
    <comment ref="M30" authorId="0" shapeId="0">
      <text>
        <t>실측(계정 매핑 없음 — 모델값 직접) — fin.sep.cf.영업활동으로인한현금흐름</t>
      </text>
    </comment>
    <comment ref="N30" authorId="0" shapeId="0">
      <text>
        <t>실측(계정 매핑 없음 — 모델값 직접) — fin.sep.cf.영업활동으로인한현금흐름</t>
      </text>
    </comment>
    <comment ref="O30" authorId="0" shapeId="0">
      <text>
        <t>실측(계정 매핑 없음 — 모델값 직접) — fin.sep.cf.영업활동으로인한현금흐름</t>
      </text>
    </comment>
    <comment ref="Q30" authorId="0" shapeId="0">
      <text>
        <t>실측(계정 매핑 없음 — 모델값 직접) — fin.sep.cf.영업활동으로인한현금흐름</t>
      </text>
    </comment>
    <comment ref="R30" authorId="0" shapeId="0">
      <text>
        <t>실측(계정 매핑 없음 — 모델값 직접) — fin.sep.cf.영업활동으로인한현금흐름</t>
      </text>
    </comment>
    <comment ref="S30" authorId="0" shapeId="0">
      <text>
        <t>실측(계정 매핑 없음 — 모델값 직접) — fin.sep.cf.영업활동으로인한현금흐름</t>
      </text>
    </comment>
    <comment ref="T30" authorId="0" shapeId="0">
      <text>
        <t>실측(계정 매핑 없음 — 모델값 직접) — fin.sep.cf.영업활동으로인한현금흐름</t>
      </text>
    </comment>
    <comment ref="V30" authorId="0" shapeId="0">
      <text>
        <t>실측(계정 매핑 없음 — 모델값 직접) — fin.sep.cf.영업활동으로인한현금흐름</t>
      </text>
    </comment>
    <comment ref="W30" authorId="0" shapeId="0">
      <text>
        <t>실측(계정 매핑 없음 — 모델값 직접) — fin.sep.cf.영업활동으로인한현금흐름</t>
      </text>
    </comment>
    <comment ref="X30" authorId="0" shapeId="0">
      <text>
        <t>실측(계정 매핑 없음 — 모델값 직접) — fin.sep.cf.영업활동으로인한현금흐름</t>
      </text>
    </comment>
    <comment ref="Y30" authorId="0" shapeId="0">
      <text>
        <t>실측(계정 매핑 없음 — 모델값 직접) — fin.sep.cf.영업활동으로인한현금흐름</t>
      </text>
    </comment>
    <comment ref="AA30" authorId="0" shapeId="0">
      <text>
        <t>실측(계정 매핑 없음 — 모델값 직접) — fin.sep.cf.영업활동으로인한현금흐름</t>
      </text>
    </comment>
    <comment ref="AB30" authorId="0" shapeId="0">
      <text>
        <t>실측(계정 매핑 없음 — 모델값 직접) — fin.sep.cf.영업활동으로인한현금흐름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추정(가정 셀 참조 불가 — 기준값 없음, 모델값 직접): 직전 결산 DPS 0원 유지</t>
      </text>
    </comment>
    <comment ref="AI34" authorId="0" shapeId="0">
      <text>
        <t>추정(가정 셀 참조 불가 — 기준값 없음, 모델값 직접): 직전 결산 DPS 0원 유지</t>
      </text>
    </comment>
    <comment ref="AN34" authorId="0" shapeId="0">
      <text>
        <t>추정(가정 셀 참조 불가 — 기준값 없음, 모델값 직접): 직전 결산 DPS 0원 유지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assets/models/099410.json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3009.8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-0.058285</v>
      </c>
      <c r="AD21" s="24" t="n">
        <v>0.158908</v>
      </c>
      <c r="AE21" s="25" t="n"/>
      <c r="AF21" s="24" t="n">
        <v>0.072573</v>
      </c>
      <c r="AG21" s="24" t="n">
        <v>-0.033144</v>
      </c>
      <c r="AH21" s="24" t="n">
        <v>0.18134</v>
      </c>
      <c r="AI21" s="24" t="n">
        <v>0.176023</v>
      </c>
      <c r="AJ21" s="25" t="n"/>
      <c r="AK21" s="24" t="n">
        <v>0.204075</v>
      </c>
      <c r="AL21" s="24" t="n">
        <v>0.23603</v>
      </c>
      <c r="AM21" s="24" t="n">
        <v>0.255605</v>
      </c>
      <c r="AN21" s="24" t="n">
        <v>0.248241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0.11388</v>
      </c>
      <c r="AD22" s="24" t="n">
        <v>0.113862</v>
      </c>
      <c r="AE22" s="25">
        <f>IFERROR(subQ!AE8/subQ!AE5,"")</f>
        <v/>
      </c>
      <c r="AF22" s="24" t="n">
        <v>0.113848</v>
      </c>
      <c r="AG22" s="24" t="n">
        <v>0.11389</v>
      </c>
      <c r="AH22" s="24" t="n">
        <v>0.113897</v>
      </c>
      <c r="AI22" s="24" t="n">
        <v>0.113876</v>
      </c>
      <c r="AJ22" s="25">
        <f>IFERROR(subQ!AJ8/subQ!AJ5,"")</f>
        <v/>
      </c>
      <c r="AK22" s="24" t="n">
        <v>0.113918</v>
      </c>
      <c r="AL22" s="24" t="n">
        <v>0.113886</v>
      </c>
      <c r="AM22" s="24" t="n">
        <v>0.113918</v>
      </c>
      <c r="AN22" s="24" t="n">
        <v>0.113912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0.178387</v>
      </c>
      <c r="AD23" s="24" t="n">
        <v>0.178406</v>
      </c>
      <c r="AE23" s="25">
        <f>IFERROR(subQ!AE9/subQ!AE5,"")</f>
        <v/>
      </c>
      <c r="AF23" s="24" t="n">
        <v>0.178325</v>
      </c>
      <c r="AG23" s="24" t="n">
        <v>0.178375</v>
      </c>
      <c r="AH23" s="24" t="n">
        <v>0.178345</v>
      </c>
      <c r="AI23" s="24" t="n">
        <v>0.178384</v>
      </c>
      <c r="AJ23" s="25">
        <f>IFERROR(subQ!AJ9/subQ!AJ5,"")</f>
        <v/>
      </c>
      <c r="AK23" s="24" t="n">
        <v>0.178328</v>
      </c>
      <c r="AL23" s="24" t="n">
        <v>0.1784</v>
      </c>
      <c r="AM23" s="24" t="n">
        <v>0.178374</v>
      </c>
      <c r="AN23" s="24" t="n">
        <v>0.178399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-0.322188</v>
      </c>
      <c r="AD24" s="24" t="n">
        <v>-0.548126</v>
      </c>
      <c r="AE24" s="25" t="n"/>
      <c r="AF24" s="24" t="n">
        <v>0.054997</v>
      </c>
      <c r="AG24" s="24" t="n">
        <v>-0.467304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-0.98</v>
      </c>
      <c r="AD25" s="29" t="n">
        <v>-0.97</v>
      </c>
      <c r="AE25" s="30">
        <f>subQ!AE11</f>
        <v/>
      </c>
      <c r="AF25" s="29" t="n">
        <v>-0.97</v>
      </c>
      <c r="AG25" s="29" t="n">
        <v>-0.96</v>
      </c>
      <c r="AH25" s="29" t="n">
        <v>-0.96</v>
      </c>
      <c r="AI25" s="29" t="n">
        <v>-0.96</v>
      </c>
      <c r="AJ25" s="30">
        <f>subQ!AJ11</f>
        <v/>
      </c>
      <c r="AK25" s="29" t="n">
        <v>-0.95</v>
      </c>
      <c r="AL25" s="29" t="n">
        <v>-0.95</v>
      </c>
      <c r="AM25" s="29" t="n">
        <v>-0.9399999999999999</v>
      </c>
      <c r="AN25" s="29" t="n">
        <v>-0.93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-0.98</v>
      </c>
      <c r="AD26" s="29" t="n">
        <v>-0.97</v>
      </c>
      <c r="AE26" s="30">
        <f>subQ!AE12</f>
        <v/>
      </c>
      <c r="AF26" s="29" t="n">
        <v>-0.97</v>
      </c>
      <c r="AG26" s="29" t="n">
        <v>-0.96</v>
      </c>
      <c r="AH26" s="29" t="n">
        <v>-0.96</v>
      </c>
      <c r="AI26" s="29" t="n">
        <v>-0.96</v>
      </c>
      <c r="AJ26" s="30">
        <f>subQ!AJ12</f>
        <v/>
      </c>
      <c r="AK26" s="29" t="n">
        <v>-0.95</v>
      </c>
      <c r="AL26" s="29" t="n">
        <v>-0.95</v>
      </c>
      <c r="AM26" s="29" t="n">
        <v>-0.9399999999999999</v>
      </c>
      <c r="AN26" s="29" t="n">
        <v>-0.93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0.220163</v>
      </c>
      <c r="AD29" s="24" t="n">
        <v>0.219869</v>
      </c>
      <c r="AE29" s="25">
        <f>IFERROR(subQ!AE16/subQ!AE15,"")</f>
        <v/>
      </c>
      <c r="AF29" s="24" t="n">
        <v>0.220084</v>
      </c>
      <c r="AG29" s="24" t="n">
        <v>0.219843</v>
      </c>
      <c r="AH29" s="24" t="n">
        <v>0.219936</v>
      </c>
      <c r="AI29" s="24" t="n">
        <v>0.21998</v>
      </c>
      <c r="AJ29" s="25">
        <f>IFERROR(subQ!AJ16/subQ!AJ15,"")</f>
        <v/>
      </c>
      <c r="AK29" s="24" t="n">
        <v>0.219862</v>
      </c>
      <c r="AL29" s="24" t="n">
        <v>0.219992</v>
      </c>
      <c r="AM29" s="24" t="n">
        <v>0.219978</v>
      </c>
      <c r="AN29" s="24" t="n">
        <v>0.220093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24" t="n">
        <v>-0.002535</v>
      </c>
      <c r="AD31" s="24" t="n">
        <v>-0.000541</v>
      </c>
      <c r="AE31" s="25" t="n"/>
      <c r="AF31" s="24" t="n">
        <v>0.001377</v>
      </c>
      <c r="AG31" s="24" t="n">
        <v>0.006585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-0.335271</v>
      </c>
      <c r="AD32" s="24" t="n">
        <v>-0.455254</v>
      </c>
      <c r="AE32" s="25" t="n"/>
      <c r="AF32" s="24" t="n">
        <v>0.113649</v>
      </c>
      <c r="AG32" s="24" t="n">
        <v>-0.456674</v>
      </c>
      <c r="AH32" s="24" t="n">
        <v>0.161068</v>
      </c>
      <c r="AI32" s="24" t="n">
        <v>0.161895</v>
      </c>
      <c r="AJ32" s="25" t="n"/>
      <c r="AK32" s="24" t="n">
        <v>0.17959</v>
      </c>
      <c r="AL32" s="24" t="n">
        <v>0.211017</v>
      </c>
      <c r="AM32" s="24" t="n">
        <v>0.23147</v>
      </c>
      <c r="AN32" s="24" t="n">
        <v>0.230566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2.2e-05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-0.0071</v>
      </c>
      <c r="AD34" s="29" t="n">
        <v>0</v>
      </c>
      <c r="AE34" s="30" t="n"/>
      <c r="AF34" s="29" t="n">
        <v>0</v>
      </c>
      <c r="AG34" s="29" t="n">
        <v>-0</v>
      </c>
      <c r="AH34" s="29" t="n">
        <v>0</v>
      </c>
      <c r="AI34" s="29" t="n">
        <v>0</v>
      </c>
      <c r="AJ34" s="30" t="n"/>
      <c r="AK34" s="29" t="n">
        <v>0</v>
      </c>
      <c r="AL34" s="29" t="n">
        <v>-0.01</v>
      </c>
      <c r="AM34" s="29" t="n">
        <v>0.01</v>
      </c>
      <c r="AN34" s="29" t="n">
        <v>-0.01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IFERROR(subQ!E24+subQ!G18-subQ!G24,"")</f>
        <v/>
      </c>
      <c r="H35" s="26">
        <f>IFERROR(subQ!G24+subQ!H18-subQ!H24,"")</f>
        <v/>
      </c>
      <c r="I35" s="26">
        <f>IFERROR(subQ!H24+subQ!I18-subQ!I24,"")</f>
        <v/>
      </c>
      <c r="J35" s="26">
        <f>IFERROR(subQ!I24+subQ!J18-subQ!J24,"")</f>
        <v/>
      </c>
      <c r="K35" s="27" t="n"/>
      <c r="L35" s="26">
        <f>IFERROR(subQ!J24+subQ!L18-subQ!L24,"")</f>
        <v/>
      </c>
      <c r="M35" s="26">
        <f>IFERROR(subQ!L24+subQ!M18-subQ!M24,"")</f>
        <v/>
      </c>
      <c r="N35" s="26">
        <f>IFERROR(subQ!M24+subQ!N18-subQ!N24,"")</f>
        <v/>
      </c>
      <c r="O35" s="26">
        <f>IFERROR(subQ!N24+subQ!O18-subQ!O24,"")</f>
        <v/>
      </c>
      <c r="P35" s="27" t="n"/>
      <c r="Q35" s="26">
        <f>IFERROR(subQ!O24+subQ!Q18-subQ!Q24,"")</f>
        <v/>
      </c>
      <c r="R35" s="26">
        <f>IFERROR(subQ!Q24+subQ!R18-subQ!R24,"")</f>
        <v/>
      </c>
      <c r="S35" s="26">
        <f>IFERROR(subQ!R24+subQ!S18-subQ!S24,"")</f>
        <v/>
      </c>
      <c r="T35" s="26">
        <f>IFERROR(subQ!S24+subQ!T18-subQ!T24,"")</f>
        <v/>
      </c>
      <c r="U35" s="27" t="n"/>
      <c r="V35" s="26">
        <f>IFERROR(subQ!T24+subQ!V18-subQ!V24,"")</f>
        <v/>
      </c>
      <c r="W35" s="26">
        <f>IFERROR(subQ!V24+subQ!W18-subQ!W24,"")</f>
        <v/>
      </c>
      <c r="X35" s="26">
        <f>IFERROR(subQ!W24+subQ!X18-subQ!X24,"")</f>
        <v/>
      </c>
      <c r="Y35" s="26">
        <f>IFERROR(subQ!X24+subQ!Y18-subQ!Y24,"")</f>
        <v/>
      </c>
      <c r="Z35" s="27" t="n"/>
      <c r="AA35" s="26">
        <f>IFERROR(subQ!Y24+subQ!AA18-subQ!AA24,"")</f>
        <v/>
      </c>
      <c r="AB35" s="28">
        <f>IFERROR(subQ!AA24+subQ!AB18-subQ!AB24,"")</f>
        <v/>
      </c>
      <c r="AC35" s="29" t="n">
        <v>-0.0071</v>
      </c>
      <c r="AD35" s="29" t="n">
        <v>0</v>
      </c>
      <c r="AE35" s="30" t="n"/>
      <c r="AF35" s="29" t="n">
        <v>0</v>
      </c>
      <c r="AG35" s="29" t="n">
        <v>-0</v>
      </c>
      <c r="AH35" s="29" t="n">
        <v>0</v>
      </c>
      <c r="AI35" s="29" t="n">
        <v>0</v>
      </c>
      <c r="AJ35" s="30" t="n"/>
      <c r="AK35" s="29" t="n">
        <v>0</v>
      </c>
      <c r="AL35" s="29" t="n">
        <v>-0.01</v>
      </c>
      <c r="AM35" s="29" t="n">
        <v>0.01</v>
      </c>
      <c r="AN35" s="29" t="n">
        <v>-0.01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0.209384</v>
      </c>
      <c r="AD37" s="24" t="n">
        <v>0.245071</v>
      </c>
      <c r="AE37" s="25" t="n"/>
      <c r="AF37" s="24" t="n">
        <v>0.126008</v>
      </c>
      <c r="AG37" s="24" t="n">
        <v>0.128818</v>
      </c>
      <c r="AH37" s="24" t="n">
        <v>0.130398</v>
      </c>
      <c r="AI37" s="24" t="n">
        <v>0.16208</v>
      </c>
      <c r="AJ37" s="25" t="n"/>
      <c r="AK37" s="24" t="n">
        <v>0.091877</v>
      </c>
      <c r="AL37" s="24" t="n">
        <v>0.099387</v>
      </c>
      <c r="AM37" s="24" t="n">
        <v>0.104847</v>
      </c>
      <c r="AN37" s="24" t="n">
        <v>0.132146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0.078766</v>
      </c>
      <c r="AD38" s="24" t="n">
        <v>0.103367</v>
      </c>
      <c r="AE38" s="25" t="n"/>
      <c r="AF38" s="24" t="n">
        <v>0.059974</v>
      </c>
      <c r="AG38" s="24" t="n">
        <v>0.06513099999999999</v>
      </c>
      <c r="AH38" s="24" t="n">
        <v>0.069913</v>
      </c>
      <c r="AI38" s="24" t="n">
        <v>0.09175800000000001</v>
      </c>
      <c r="AJ38" s="25" t="n"/>
      <c r="AK38" s="24" t="n">
        <v>0.05533</v>
      </c>
      <c r="AL38" s="24" t="n">
        <v>0.061964</v>
      </c>
      <c r="AM38" s="24" t="n">
        <v>0.067672</v>
      </c>
      <c r="AN38" s="24" t="n">
        <v>0.08826100000000001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-0.407713</v>
      </c>
      <c r="AD44" s="24" t="n">
        <v>-0.364571</v>
      </c>
      <c r="AE44" s="25" t="n"/>
      <c r="AF44" s="24" t="n">
        <v>-0.300613</v>
      </c>
      <c r="AG44" s="24" t="n">
        <v>0.253188</v>
      </c>
      <c r="AH44" s="24" t="n">
        <v>0.532558</v>
      </c>
      <c r="AI44" s="24" t="n">
        <v>0.120504</v>
      </c>
      <c r="AJ44" s="25" t="n"/>
      <c r="AK44" s="24" t="n">
        <v>0.050877</v>
      </c>
      <c r="AL44" s="24" t="n">
        <v>-0.172965</v>
      </c>
      <c r="AM44" s="24" t="n">
        <v>-0.185129</v>
      </c>
      <c r="AN44" s="24" t="n">
        <v>-0.200642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-0.393701</v>
      </c>
      <c r="AD45" s="24" t="n">
        <v>-0.464286</v>
      </c>
      <c r="AE45" s="25" t="n"/>
      <c r="AF45" s="24" t="n">
        <v>-0.496552</v>
      </c>
      <c r="AG45" s="24" t="n">
        <v>-0.387931</v>
      </c>
      <c r="AH45" s="24" t="n">
        <v>-0.103896</v>
      </c>
      <c r="AI45" s="24" t="n">
        <v>-0.106667</v>
      </c>
      <c r="AJ45" s="25" t="n"/>
      <c r="AK45" s="24" t="n">
        <v>-0.109589</v>
      </c>
      <c r="AL45" s="24" t="n">
        <v>-0.112676</v>
      </c>
      <c r="AM45" s="24" t="n">
        <v>-0.115942</v>
      </c>
      <c r="AN45" s="24" t="n">
        <v>-0.119403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0.178387</v>
      </c>
      <c r="AD47" s="24" t="n">
        <v>0.178406</v>
      </c>
      <c r="AE47" s="25">
        <f>IFERROR(subQ!AE38/subQ!AE37,"")</f>
        <v/>
      </c>
      <c r="AF47" s="24" t="n">
        <v>0.178325</v>
      </c>
      <c r="AG47" s="24" t="n">
        <v>0.178375</v>
      </c>
      <c r="AH47" s="24" t="n">
        <v>0.178345</v>
      </c>
      <c r="AI47" s="24" t="n">
        <v>0.178384</v>
      </c>
      <c r="AJ47" s="25">
        <f>IFERROR(subQ!AJ38/subQ!AJ37,"")</f>
        <v/>
      </c>
      <c r="AK47" s="24" t="n">
        <v>0.178328</v>
      </c>
      <c r="AL47" s="24" t="n">
        <v>0.1784</v>
      </c>
      <c r="AM47" s="24" t="n">
        <v>0.178374</v>
      </c>
      <c r="AN47" s="24" t="n">
        <v>0.178399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3080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7.1</v>
      </c>
      <c r="E53" s="2" t="inlineStr">
        <is>
          <t>PER 밴드 하단(배) — hist_quarterly(분기 평균가 ÷ TTM EPS, 16분기,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7.7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21.6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0.22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0.1139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4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4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4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4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4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4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4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4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4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4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4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4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4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4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4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4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4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4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4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4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4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4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4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4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4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4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4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4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4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4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4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4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4" t="n">
        <v>0</v>
      </c>
      <c r="G14" s="18" t="n">
        <v>0</v>
      </c>
      <c r="K14" s="9" t="n"/>
      <c r="N14" s="18" t="n">
        <v>8.27</v>
      </c>
      <c r="O14" s="18" t="n">
        <v>7.85</v>
      </c>
      <c r="P14" s="34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4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4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4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4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4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4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4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4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4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4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4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4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4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4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4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4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4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4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4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4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4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4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4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4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4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4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4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4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4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4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4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4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4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4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4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4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4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4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4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4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4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4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4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4" t="n">
        <v>0</v>
      </c>
      <c r="T28" s="18" t="n">
        <v>0</v>
      </c>
      <c r="U28" s="34" t="n">
        <v>0</v>
      </c>
      <c r="W28" s="18" t="n">
        <v>0</v>
      </c>
      <c r="X28" s="18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4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4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4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4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4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4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4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4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4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4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4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4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4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4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4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4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4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4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4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4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4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4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4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4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4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4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4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4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4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4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4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4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4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4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4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4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4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4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4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4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4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4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4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4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4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4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4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4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4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4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이연법인세자산</t>
        </is>
      </c>
      <c r="F40" s="9" t="n"/>
      <c r="K40" s="9" t="n"/>
      <c r="O40" s="18" t="n">
        <v>211.18</v>
      </c>
      <c r="P40" s="34" t="n">
        <v>211.18</v>
      </c>
      <c r="Q40" s="18" t="n">
        <v>211.18</v>
      </c>
      <c r="R40" s="18" t="n">
        <v>182.61</v>
      </c>
      <c r="S40" s="18" t="n">
        <v>238.74</v>
      </c>
      <c r="T40" s="18" t="n">
        <v>1739.52</v>
      </c>
      <c r="U40" s="34" t="n">
        <v>1739.52</v>
      </c>
      <c r="V40" s="18" t="n">
        <v>1735.22</v>
      </c>
      <c r="W40" s="18" t="n">
        <v>1742.46</v>
      </c>
      <c r="X40" s="18" t="n">
        <v>1744.48</v>
      </c>
      <c r="Y40" s="18" t="n">
        <v>1117.37</v>
      </c>
      <c r="Z40" s="34" t="n">
        <v>1117.37</v>
      </c>
      <c r="AA40" s="18" t="n">
        <v>1120.04</v>
      </c>
      <c r="AB40" s="19" t="n">
        <v>1101.47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F41" s="9" t="n"/>
      <c r="K41" s="9" t="n"/>
      <c r="P41" s="9" t="n"/>
      <c r="Q41" s="18" t="n">
        <v>0</v>
      </c>
      <c r="R41" s="18" t="n">
        <v>6600</v>
      </c>
      <c r="U41" s="9" t="n"/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4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4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4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4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4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4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4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4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4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P50" s="9" t="n"/>
      <c r="U50" s="9" t="n"/>
      <c r="Z50" s="9" t="n"/>
      <c r="AA50" s="18" t="n">
        <v>8000</v>
      </c>
      <c r="AB50" s="19" t="n">
        <v>8000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8896.35</v>
      </c>
      <c r="F51" s="9" t="n"/>
      <c r="G51" s="18" t="n">
        <v>5724.77</v>
      </c>
      <c r="H51" s="18" t="n">
        <v>6749.96</v>
      </c>
      <c r="I51" s="18" t="n">
        <v>5989.29</v>
      </c>
      <c r="J51" s="18" t="n">
        <v>6395.81</v>
      </c>
      <c r="K51" s="34" t="n">
        <v>24859.83</v>
      </c>
      <c r="L51" s="18" t="n">
        <v>6879.2</v>
      </c>
      <c r="M51" s="18" t="n">
        <v>6790.69</v>
      </c>
      <c r="N51" s="18" t="n">
        <v>5610.19</v>
      </c>
      <c r="O51" s="18" t="n">
        <v>8027.89</v>
      </c>
      <c r="P51" s="34" t="n">
        <v>27307.97</v>
      </c>
      <c r="Q51" s="18" t="n">
        <v>5656.83</v>
      </c>
      <c r="R51" s="18" t="n">
        <v>7734.21</v>
      </c>
      <c r="S51" s="18" t="n">
        <v>9223.93</v>
      </c>
      <c r="T51" s="18" t="n">
        <v>13101.01</v>
      </c>
      <c r="U51" s="34" t="n">
        <v>35715.98</v>
      </c>
      <c r="V51" s="18" t="n">
        <v>8468.74</v>
      </c>
      <c r="W51" s="18" t="n">
        <v>8868.559999999999</v>
      </c>
      <c r="X51" s="18" t="n">
        <v>11506.66</v>
      </c>
      <c r="Y51" s="18" t="n">
        <v>13034.68</v>
      </c>
      <c r="Z51" s="34" t="n">
        <v>41878.64</v>
      </c>
      <c r="AA51" s="18" t="n">
        <v>9196.58</v>
      </c>
      <c r="AB51" s="19" t="n">
        <v>11660.47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7373.45</v>
      </c>
      <c r="F52" s="9" t="n"/>
      <c r="G52" s="18" t="n">
        <v>5385.2</v>
      </c>
      <c r="H52" s="18" t="n">
        <v>5649.6</v>
      </c>
      <c r="I52" s="18" t="n">
        <v>5301.5</v>
      </c>
      <c r="J52" s="18" t="n">
        <v>4450.53</v>
      </c>
      <c r="K52" s="34" t="n">
        <v>20786.83</v>
      </c>
      <c r="L52" s="18" t="n">
        <v>5428.54</v>
      </c>
      <c r="M52" s="18" t="n">
        <v>5771.85</v>
      </c>
      <c r="N52" s="18" t="n">
        <v>4616.62</v>
      </c>
      <c r="O52" s="18" t="n">
        <v>5047.97</v>
      </c>
      <c r="P52" s="34" t="n">
        <v>20864.98</v>
      </c>
      <c r="Q52" s="18" t="n">
        <v>4779.58</v>
      </c>
      <c r="R52" s="18" t="n">
        <v>6116.21</v>
      </c>
      <c r="S52" s="18" t="n">
        <v>6921.26</v>
      </c>
      <c r="T52" s="18" t="n">
        <v>9113.049999999999</v>
      </c>
      <c r="U52" s="34" t="n">
        <v>26930.1</v>
      </c>
      <c r="V52" s="18" t="n">
        <v>6678.78</v>
      </c>
      <c r="W52" s="18" t="n">
        <v>6892.84</v>
      </c>
      <c r="X52" s="18" t="n">
        <v>7142.75</v>
      </c>
      <c r="Y52" s="18" t="n">
        <v>6432.4</v>
      </c>
      <c r="Z52" s="34" t="n">
        <v>27146.77</v>
      </c>
      <c r="AA52" s="18" t="n">
        <v>6303.8</v>
      </c>
      <c r="AB52" s="19" t="n">
        <v>6608.51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1522.9</v>
      </c>
      <c r="F53" s="9" t="n"/>
      <c r="G53" s="18" t="n">
        <v>339.57</v>
      </c>
      <c r="H53" s="18" t="n">
        <v>1100.36</v>
      </c>
      <c r="I53" s="18" t="n">
        <v>687.79</v>
      </c>
      <c r="J53" s="18" t="n">
        <v>1945.28</v>
      </c>
      <c r="K53" s="34" t="n">
        <v>4073</v>
      </c>
      <c r="L53" s="18" t="n">
        <v>1450.67</v>
      </c>
      <c r="M53" s="18" t="n">
        <v>1018.84</v>
      </c>
      <c r="N53" s="18" t="n">
        <v>993.5700000000001</v>
      </c>
      <c r="O53" s="18" t="n">
        <v>2979.92</v>
      </c>
      <c r="P53" s="34" t="n">
        <v>6443</v>
      </c>
      <c r="Q53" s="18" t="n">
        <v>877.25</v>
      </c>
      <c r="R53" s="18" t="n">
        <v>1618.01</v>
      </c>
      <c r="S53" s="18" t="n">
        <v>2302.67</v>
      </c>
      <c r="T53" s="18" t="n">
        <v>3987.95</v>
      </c>
      <c r="U53" s="34" t="n">
        <v>8785.879999999999</v>
      </c>
      <c r="V53" s="18" t="n">
        <v>1789.95</v>
      </c>
      <c r="W53" s="18" t="n">
        <v>1975.72</v>
      </c>
      <c r="X53" s="18" t="n">
        <v>4363.91</v>
      </c>
      <c r="Y53" s="18" t="n">
        <v>6602.28</v>
      </c>
      <c r="Z53" s="34" t="n">
        <v>14731.86</v>
      </c>
      <c r="AA53" s="18" t="n">
        <v>2892.78</v>
      </c>
      <c r="AB53" s="19" t="n">
        <v>5051.96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513.25</v>
      </c>
      <c r="F54" s="9" t="n"/>
      <c r="G54" s="18" t="n">
        <v>664.33</v>
      </c>
      <c r="H54" s="18" t="n">
        <v>547.6</v>
      </c>
      <c r="I54" s="18" t="n">
        <v>535.98</v>
      </c>
      <c r="J54" s="18" t="n">
        <v>925.95</v>
      </c>
      <c r="K54" s="34" t="n">
        <v>2673.86</v>
      </c>
      <c r="L54" s="18" t="n">
        <v>861.05</v>
      </c>
      <c r="M54" s="18" t="n">
        <v>671.89</v>
      </c>
      <c r="N54" s="18" t="n">
        <v>775.4400000000001</v>
      </c>
      <c r="O54" s="18" t="n">
        <v>720.46</v>
      </c>
      <c r="P54" s="34" t="n">
        <v>3028.84</v>
      </c>
      <c r="Q54" s="18" t="n">
        <v>955.45</v>
      </c>
      <c r="R54" s="18" t="n">
        <v>888.53</v>
      </c>
      <c r="S54" s="18" t="n">
        <v>1330.64</v>
      </c>
      <c r="T54" s="18" t="n">
        <v>1529.35</v>
      </c>
      <c r="U54" s="34" t="n">
        <v>4703.97</v>
      </c>
      <c r="V54" s="18" t="n">
        <v>1368.07</v>
      </c>
      <c r="W54" s="18" t="n">
        <v>1282.63</v>
      </c>
      <c r="X54" s="18" t="n">
        <v>1335.39</v>
      </c>
      <c r="Y54" s="18" t="n">
        <v>1456.41</v>
      </c>
      <c r="Z54" s="34" t="n">
        <v>5442.5</v>
      </c>
      <c r="AA54" s="18" t="n">
        <v>1337.79</v>
      </c>
      <c r="AB54" s="19" t="n">
        <v>1147.2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1009.65</v>
      </c>
      <c r="F55" s="9" t="n"/>
      <c r="G55" s="18" t="n">
        <v>-324.76</v>
      </c>
      <c r="H55" s="18" t="n">
        <v>552.76</v>
      </c>
      <c r="I55" s="18" t="n">
        <v>151.82</v>
      </c>
      <c r="J55" s="18" t="n">
        <v>1019.33</v>
      </c>
      <c r="K55" s="34" t="n">
        <v>1399.15</v>
      </c>
      <c r="L55" s="18" t="n">
        <v>589.62</v>
      </c>
      <c r="M55" s="18" t="n">
        <v>346.94</v>
      </c>
      <c r="N55" s="18" t="n">
        <v>218.14</v>
      </c>
      <c r="O55" s="18" t="n">
        <v>2259.46</v>
      </c>
      <c r="P55" s="34" t="n">
        <v>3414.16</v>
      </c>
      <c r="Q55" s="18" t="n">
        <v>-78.2</v>
      </c>
      <c r="R55" s="18" t="n">
        <v>729.48</v>
      </c>
      <c r="S55" s="18" t="n">
        <v>972.03</v>
      </c>
      <c r="T55" s="18" t="n">
        <v>2458.6</v>
      </c>
      <c r="U55" s="34" t="n">
        <v>4081.91</v>
      </c>
      <c r="V55" s="18" t="n">
        <v>421.89</v>
      </c>
      <c r="W55" s="18" t="n">
        <v>693.09</v>
      </c>
      <c r="X55" s="18" t="n">
        <v>3028.52</v>
      </c>
      <c r="Y55" s="18" t="n">
        <v>5145.87</v>
      </c>
      <c r="Z55" s="34" t="n">
        <v>9289.370000000001</v>
      </c>
      <c r="AA55" s="18" t="n">
        <v>1554.99</v>
      </c>
      <c r="AB55" s="19" t="n">
        <v>3904.76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311.96</v>
      </c>
      <c r="F56" s="9" t="n"/>
      <c r="G56" s="18" t="n">
        <v>64.19</v>
      </c>
      <c r="H56" s="18" t="n">
        <v>43.86</v>
      </c>
      <c r="I56" s="18" t="n">
        <v>17.55</v>
      </c>
      <c r="J56" s="18" t="n">
        <v>6.22</v>
      </c>
      <c r="K56" s="34" t="n">
        <v>131.82</v>
      </c>
      <c r="L56" s="18" t="n">
        <v>14.08</v>
      </c>
      <c r="M56" s="18" t="n">
        <v>18.05</v>
      </c>
      <c r="N56" s="18" t="n">
        <v>5.88</v>
      </c>
      <c r="O56" s="18" t="n">
        <v>2.94</v>
      </c>
      <c r="P56" s="34" t="n">
        <v>40.95</v>
      </c>
      <c r="Q56" s="18" t="n">
        <v>10.4</v>
      </c>
      <c r="R56" s="18" t="n">
        <v>12.07</v>
      </c>
      <c r="S56" s="18" t="n">
        <v>14.66</v>
      </c>
      <c r="T56" s="18" t="n">
        <v>35.14</v>
      </c>
      <c r="U56" s="34" t="n">
        <v>72.27</v>
      </c>
      <c r="V56" s="18" t="n">
        <v>22.89</v>
      </c>
      <c r="W56" s="18" t="n">
        <v>45.86</v>
      </c>
      <c r="X56" s="18" t="n">
        <v>17.43</v>
      </c>
      <c r="Y56" s="18" t="n">
        <v>54.17</v>
      </c>
      <c r="Z56" s="34" t="n">
        <v>140.35</v>
      </c>
      <c r="AA56" s="18" t="n">
        <v>68.23</v>
      </c>
      <c r="AB56" s="19" t="n">
        <v>148.99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4.17</v>
      </c>
      <c r="F57" s="9" t="n"/>
      <c r="G57" s="18" t="n">
        <v>0.01</v>
      </c>
      <c r="H57" s="18" t="n">
        <v>75.37</v>
      </c>
      <c r="I57" s="18" t="n">
        <v>0.47</v>
      </c>
      <c r="J57" s="18" t="n">
        <v>1.68</v>
      </c>
      <c r="K57" s="34" t="n">
        <v>77.53</v>
      </c>
      <c r="L57" s="18" t="n">
        <v>4.18</v>
      </c>
      <c r="M57" s="18" t="n">
        <v>11.72</v>
      </c>
      <c r="N57" s="18" t="n">
        <v>-2.86</v>
      </c>
      <c r="O57" s="18" t="n">
        <v>0.76</v>
      </c>
      <c r="P57" s="34" t="n">
        <v>13.8</v>
      </c>
      <c r="Q57" s="18" t="n">
        <v>1.84</v>
      </c>
      <c r="R57" s="18" t="n">
        <v>0.45</v>
      </c>
      <c r="S57" s="18" t="n">
        <v>2.23</v>
      </c>
      <c r="T57" s="18" t="n">
        <v>21.6</v>
      </c>
      <c r="U57" s="34" t="n">
        <v>26.12</v>
      </c>
      <c r="V57" s="18" t="n">
        <v>2.24</v>
      </c>
      <c r="W57" s="18" t="n">
        <v>0.33</v>
      </c>
      <c r="X57" s="18" t="n">
        <v>-0.37</v>
      </c>
      <c r="Y57" s="18" t="n">
        <v>1.34</v>
      </c>
      <c r="Z57" s="34" t="n">
        <v>3.54</v>
      </c>
      <c r="AA57" s="18" t="n">
        <v>20.27</v>
      </c>
      <c r="AB57" s="19" t="n">
        <v>42.38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39.14</v>
      </c>
      <c r="F58" s="9" t="n"/>
      <c r="G58" s="18" t="n">
        <v>10.37</v>
      </c>
      <c r="H58" s="18" t="n">
        <v>34.33</v>
      </c>
      <c r="I58" s="18" t="n">
        <v>190.06</v>
      </c>
      <c r="J58" s="18" t="n">
        <v>-174.05</v>
      </c>
      <c r="K58" s="34" t="n">
        <v>60.71</v>
      </c>
      <c r="L58" s="18" t="n">
        <v>17.91</v>
      </c>
      <c r="M58" s="18" t="n">
        <v>70.88</v>
      </c>
      <c r="N58" s="18" t="n">
        <v>44.8</v>
      </c>
      <c r="O58" s="18" t="n">
        <v>38.77</v>
      </c>
      <c r="P58" s="34" t="n">
        <v>172.36</v>
      </c>
      <c r="Q58" s="18" t="n">
        <v>178</v>
      </c>
      <c r="R58" s="18" t="n">
        <v>291.19</v>
      </c>
      <c r="S58" s="18" t="n">
        <v>-5.1</v>
      </c>
      <c r="T58" s="18" t="n">
        <v>444.83</v>
      </c>
      <c r="U58" s="34" t="n">
        <v>908.92</v>
      </c>
      <c r="V58" s="18" t="n">
        <v>11.5</v>
      </c>
      <c r="W58" s="18" t="n">
        <v>17.88</v>
      </c>
      <c r="X58" s="18" t="n">
        <v>24.31</v>
      </c>
      <c r="Y58" s="18" t="n">
        <v>7.22</v>
      </c>
      <c r="Z58" s="34" t="n">
        <v>60.91</v>
      </c>
      <c r="AA58" s="18" t="n">
        <v>55.3</v>
      </c>
      <c r="AB58" s="19" t="n">
        <v>7.89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0.42</v>
      </c>
      <c r="F59" s="9" t="n"/>
      <c r="G59" s="18" t="n">
        <v>43.28</v>
      </c>
      <c r="H59" s="18" t="n">
        <v>125.16</v>
      </c>
      <c r="I59" s="18" t="n">
        <v>81.48999999999999</v>
      </c>
      <c r="J59" s="18" t="n">
        <v>54.72</v>
      </c>
      <c r="K59" s="34" t="n">
        <v>304.65</v>
      </c>
      <c r="L59" s="18" t="n">
        <v>157.29</v>
      </c>
      <c r="M59" s="18" t="n">
        <v>188.97</v>
      </c>
      <c r="N59" s="18" t="n">
        <v>171.54</v>
      </c>
      <c r="O59" s="18" t="n">
        <v>191.49</v>
      </c>
      <c r="P59" s="34" t="n">
        <v>709.29</v>
      </c>
      <c r="Q59" s="18" t="n">
        <v>98.04000000000001</v>
      </c>
      <c r="R59" s="18" t="n">
        <v>113.67</v>
      </c>
      <c r="S59" s="18" t="n">
        <v>185.5</v>
      </c>
      <c r="T59" s="18" t="n">
        <v>150.6</v>
      </c>
      <c r="U59" s="34" t="n">
        <v>547.8099999999999</v>
      </c>
      <c r="V59" s="18" t="n">
        <v>138.61</v>
      </c>
      <c r="W59" s="18" t="n">
        <v>282.02</v>
      </c>
      <c r="X59" s="18" t="n">
        <v>43.9</v>
      </c>
      <c r="Y59" s="18" t="n">
        <v>109.55</v>
      </c>
      <c r="Z59" s="34" t="n">
        <v>574.08</v>
      </c>
      <c r="AA59" s="18" t="n">
        <v>113.27</v>
      </c>
      <c r="AB59" s="19" t="n">
        <v>111.7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1356.17</v>
      </c>
      <c r="F60" s="9" t="n"/>
      <c r="G60" s="18" t="n">
        <v>-293.49</v>
      </c>
      <c r="H60" s="18" t="n">
        <v>430.42</v>
      </c>
      <c r="I60" s="18" t="n">
        <v>277.46</v>
      </c>
      <c r="J60" s="18" t="n">
        <v>795.1</v>
      </c>
      <c r="K60" s="34" t="n">
        <v>1209.49</v>
      </c>
      <c r="L60" s="18" t="n">
        <v>460.14</v>
      </c>
      <c r="M60" s="18" t="n">
        <v>235.18</v>
      </c>
      <c r="N60" s="18" t="n">
        <v>100.13</v>
      </c>
      <c r="O60" s="18" t="n">
        <v>2108.94</v>
      </c>
      <c r="P60" s="34" t="n">
        <v>2904.39</v>
      </c>
      <c r="Q60" s="18" t="n">
        <v>10.32</v>
      </c>
      <c r="R60" s="18" t="n">
        <v>918.62</v>
      </c>
      <c r="S60" s="18" t="n">
        <v>793.87</v>
      </c>
      <c r="T60" s="18" t="n">
        <v>2766.36</v>
      </c>
      <c r="U60" s="34" t="n">
        <v>4489.17</v>
      </c>
      <c r="V60" s="18" t="n">
        <v>315.42</v>
      </c>
      <c r="W60" s="18" t="n">
        <v>474.47</v>
      </c>
      <c r="X60" s="18" t="n">
        <v>3026.72</v>
      </c>
      <c r="Y60" s="18" t="n">
        <v>5096.37</v>
      </c>
      <c r="Z60" s="34" t="n">
        <v>8912.98</v>
      </c>
      <c r="AA60" s="18" t="n">
        <v>1544.98</v>
      </c>
      <c r="AB60" s="19" t="n">
        <v>3907.57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E61" s="18" t="n">
        <v>141.96</v>
      </c>
      <c r="F61" s="9" t="n"/>
      <c r="H61" s="18" t="n">
        <v>1.46</v>
      </c>
      <c r="I61" s="18" t="n">
        <v>85.34</v>
      </c>
      <c r="J61" s="18" t="n">
        <v>-157.6</v>
      </c>
      <c r="K61" s="9" t="n"/>
      <c r="L61" s="18" t="n">
        <v>-4.54</v>
      </c>
      <c r="M61" s="18" t="n">
        <v>33.88</v>
      </c>
      <c r="N61" s="18" t="n">
        <v>-1.38</v>
      </c>
      <c r="O61" s="18" t="n">
        <v>-1920.06</v>
      </c>
      <c r="P61" s="34" t="n">
        <v>-1892.1</v>
      </c>
      <c r="Q61" s="18" t="n">
        <v>1.64</v>
      </c>
      <c r="R61" s="18" t="n">
        <v>3.55</v>
      </c>
      <c r="S61" s="18" t="n">
        <v>-54</v>
      </c>
      <c r="T61" s="18" t="n">
        <v>-1505.94</v>
      </c>
      <c r="U61" s="34" t="n">
        <v>-1554.75</v>
      </c>
      <c r="V61" s="18" t="n">
        <v>6.64</v>
      </c>
      <c r="W61" s="18" t="n">
        <v>22.48</v>
      </c>
      <c r="X61" s="18" t="n">
        <v>123.39</v>
      </c>
      <c r="Y61" s="18" t="n">
        <v>811.1799999999999</v>
      </c>
      <c r="Z61" s="34" t="n">
        <v>963.6900000000001</v>
      </c>
      <c r="AA61" s="18" t="n">
        <v>63.31</v>
      </c>
      <c r="AB61" s="19" t="n">
        <v>1125.25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1214.21</v>
      </c>
      <c r="F62" s="9" t="n"/>
      <c r="G62" s="18" t="n">
        <v>-293.49</v>
      </c>
      <c r="H62" s="18" t="n">
        <v>428.95</v>
      </c>
      <c r="I62" s="18" t="n">
        <v>192.13</v>
      </c>
      <c r="J62" s="18" t="n">
        <v>952.7</v>
      </c>
      <c r="K62" s="34" t="n">
        <v>1280.29</v>
      </c>
      <c r="L62" s="18" t="n">
        <v>464.68</v>
      </c>
      <c r="M62" s="18" t="n">
        <v>201.3</v>
      </c>
      <c r="N62" s="18" t="n">
        <v>101.51</v>
      </c>
      <c r="O62" s="18" t="n">
        <v>4029</v>
      </c>
      <c r="P62" s="34" t="n">
        <v>4796.49</v>
      </c>
      <c r="Q62" s="18" t="n">
        <v>8.68</v>
      </c>
      <c r="R62" s="18" t="n">
        <v>915.0700000000001</v>
      </c>
      <c r="S62" s="18" t="n">
        <v>847.86</v>
      </c>
      <c r="T62" s="18" t="n">
        <v>4272.29</v>
      </c>
      <c r="U62" s="34" t="n">
        <v>6043.9</v>
      </c>
      <c r="V62" s="18" t="n">
        <v>308.78</v>
      </c>
      <c r="W62" s="18" t="n">
        <v>451.99</v>
      </c>
      <c r="X62" s="18" t="n">
        <v>2903.33</v>
      </c>
      <c r="Y62" s="18" t="n">
        <v>4285.18</v>
      </c>
      <c r="Z62" s="34" t="n">
        <v>7949.28</v>
      </c>
      <c r="AA62" s="18" t="n">
        <v>1481.66</v>
      </c>
      <c r="AB62" s="19" t="n">
        <v>2782.33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1148.74</v>
      </c>
      <c r="F63" s="9" t="n"/>
      <c r="G63" s="18" t="n">
        <v>-303.13</v>
      </c>
      <c r="H63" s="18" t="n">
        <v>694.58</v>
      </c>
      <c r="I63" s="18" t="n">
        <v>186.11</v>
      </c>
      <c r="J63" s="18" t="n">
        <v>1019.72</v>
      </c>
      <c r="K63" s="34" t="n">
        <v>1597.28</v>
      </c>
      <c r="L63" s="18" t="n">
        <v>459.82</v>
      </c>
      <c r="M63" s="18" t="n">
        <v>201.01</v>
      </c>
      <c r="N63" s="18" t="n">
        <v>97.11</v>
      </c>
      <c r="O63" s="18" t="n">
        <v>4032.88</v>
      </c>
      <c r="P63" s="34" t="n">
        <v>4790.82</v>
      </c>
      <c r="Q63" s="18" t="n">
        <v>2.46</v>
      </c>
      <c r="R63" s="18" t="n">
        <v>882.9</v>
      </c>
      <c r="S63" s="18" t="n">
        <v>839.8</v>
      </c>
      <c r="T63" s="18" t="n">
        <v>4291.78</v>
      </c>
      <c r="U63" s="34" t="n">
        <v>6016.94</v>
      </c>
      <c r="V63" s="18" t="n">
        <v>299.93</v>
      </c>
      <c r="W63" s="18" t="n">
        <v>449.72</v>
      </c>
      <c r="X63" s="18" t="n">
        <v>2895.69</v>
      </c>
      <c r="Y63" s="18" t="n">
        <v>4359.27</v>
      </c>
      <c r="Z63" s="34" t="n">
        <v>8004.61</v>
      </c>
      <c r="AA63" s="18" t="n">
        <v>1472.19</v>
      </c>
      <c r="AB63" s="19" t="n">
        <v>2848.16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38.72</v>
      </c>
      <c r="F64" s="9" t="n"/>
      <c r="G64" s="18" t="n">
        <v>-32.91</v>
      </c>
      <c r="H64" s="18" t="n">
        <v>-90.83</v>
      </c>
      <c r="I64" s="18" t="n">
        <v>108.57</v>
      </c>
      <c r="J64" s="18" t="n">
        <v>-228.77</v>
      </c>
      <c r="K64" s="34" t="n">
        <v>-243.94</v>
      </c>
      <c r="L64" s="18" t="n">
        <v>-139.38</v>
      </c>
      <c r="M64" s="18" t="n">
        <v>-118.09</v>
      </c>
      <c r="N64" s="18" t="n">
        <v>-126.74</v>
      </c>
      <c r="O64" s="18" t="n">
        <v>-152.72</v>
      </c>
      <c r="P64" s="34" t="n">
        <v>-536.9299999999999</v>
      </c>
      <c r="Q64" s="18" t="n">
        <v>79.95999999999999</v>
      </c>
      <c r="R64" s="18" t="n">
        <v>177.52</v>
      </c>
      <c r="S64" s="18" t="n">
        <v>-190.6</v>
      </c>
      <c r="T64" s="18" t="n">
        <v>294.23</v>
      </c>
      <c r="U64" s="34" t="n">
        <v>361.11</v>
      </c>
      <c r="V64" s="18" t="n">
        <v>-127.11</v>
      </c>
      <c r="W64" s="18" t="n">
        <v>-264.14</v>
      </c>
      <c r="X64" s="18" t="n">
        <v>-19.59</v>
      </c>
      <c r="Y64" s="18" t="n">
        <v>-102.33</v>
      </c>
      <c r="Z64" s="34" t="n">
        <v>-513.17</v>
      </c>
      <c r="AA64" s="18" t="n">
        <v>-57.97</v>
      </c>
      <c r="AB64" s="19" t="n">
        <v>-103.81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307.79</v>
      </c>
      <c r="F65" s="9" t="n"/>
      <c r="G65" s="18" t="n">
        <v>64.18000000000001</v>
      </c>
      <c r="H65" s="18" t="n">
        <v>-31.51</v>
      </c>
      <c r="I65" s="18" t="n">
        <v>17.08</v>
      </c>
      <c r="J65" s="18" t="n">
        <v>4.54</v>
      </c>
      <c r="K65" s="34" t="n">
        <v>54.29</v>
      </c>
      <c r="L65" s="18" t="n">
        <v>9.9</v>
      </c>
      <c r="M65" s="18" t="n">
        <v>6.33</v>
      </c>
      <c r="N65" s="18" t="n">
        <v>8.74</v>
      </c>
      <c r="O65" s="18" t="n">
        <v>2.18</v>
      </c>
      <c r="P65" s="34" t="n">
        <v>27.15</v>
      </c>
      <c r="Q65" s="18" t="n">
        <v>8.56</v>
      </c>
      <c r="R65" s="18" t="n">
        <v>11.62</v>
      </c>
      <c r="S65" s="18" t="n">
        <v>12.43</v>
      </c>
      <c r="T65" s="18" t="n">
        <v>13.54</v>
      </c>
      <c r="U65" s="34" t="n">
        <v>46.15</v>
      </c>
      <c r="V65" s="18" t="n">
        <v>20.65</v>
      </c>
      <c r="W65" s="18" t="n">
        <v>45.53</v>
      </c>
      <c r="X65" s="18" t="n">
        <v>17.8</v>
      </c>
      <c r="Y65" s="18" t="n">
        <v>52.83</v>
      </c>
      <c r="Z65" s="34" t="n">
        <v>136.81</v>
      </c>
      <c r="AA65" s="18" t="n">
        <v>47.96</v>
      </c>
      <c r="AB65" s="19" t="n">
        <v>106.61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4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4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4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4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1214.21</v>
      </c>
      <c r="F67" s="9" t="n"/>
      <c r="G67" s="18" t="n">
        <v>-293.49</v>
      </c>
      <c r="H67" s="18" t="n">
        <v>428.95</v>
      </c>
      <c r="I67" s="18" t="n">
        <v>192.13</v>
      </c>
      <c r="J67" s="18" t="n">
        <v>952.7</v>
      </c>
      <c r="K67" s="34" t="n">
        <v>1280.29</v>
      </c>
      <c r="L67" s="18" t="n">
        <v>464.68</v>
      </c>
      <c r="M67" s="18" t="n">
        <v>201.3</v>
      </c>
      <c r="N67" s="18" t="n">
        <v>101.51</v>
      </c>
      <c r="O67" s="18" t="n">
        <v>4029</v>
      </c>
      <c r="P67" s="34" t="n">
        <v>4796.49</v>
      </c>
      <c r="Q67" s="18" t="n">
        <v>8.68</v>
      </c>
      <c r="R67" s="18" t="n">
        <v>915.0700000000001</v>
      </c>
      <c r="S67" s="18" t="n">
        <v>847.86</v>
      </c>
      <c r="T67" s="18" t="n">
        <v>4272.29</v>
      </c>
      <c r="U67" s="34" t="n">
        <v>6043.9</v>
      </c>
      <c r="V67" s="18" t="n">
        <v>308.78</v>
      </c>
      <c r="W67" s="18" t="n">
        <v>451.99</v>
      </c>
      <c r="X67" s="18" t="n">
        <v>2903.33</v>
      </c>
      <c r="Y67" s="18" t="n">
        <v>4285.18</v>
      </c>
      <c r="Z67" s="34" t="n">
        <v>7949.28</v>
      </c>
      <c r="AA67" s="18" t="n">
        <v>1481.66</v>
      </c>
      <c r="AB67" s="19" t="n">
        <v>2782.33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H68" s="18" t="n">
        <v>0.01</v>
      </c>
      <c r="I68" s="18" t="n">
        <v>0.01</v>
      </c>
      <c r="J68" s="18" t="n">
        <v>35.04</v>
      </c>
      <c r="K68" s="9" t="n"/>
      <c r="L68" s="18" t="n">
        <v>6.65</v>
      </c>
      <c r="M68" s="18" t="n">
        <v>6.86</v>
      </c>
      <c r="N68" s="18" t="n">
        <v>6.94</v>
      </c>
      <c r="O68" s="18" t="n">
        <v>7.01</v>
      </c>
      <c r="P68" s="34" t="n">
        <v>27.46</v>
      </c>
      <c r="Q68" s="18" t="n">
        <v>7.55</v>
      </c>
      <c r="R68" s="18" t="n">
        <v>7.12</v>
      </c>
      <c r="S68" s="18" t="n">
        <v>5.83</v>
      </c>
      <c r="T68" s="18" t="n">
        <v>5.95</v>
      </c>
      <c r="U68" s="34" t="n">
        <v>26.45</v>
      </c>
      <c r="V68" s="18" t="n">
        <v>5.95</v>
      </c>
      <c r="W68" s="18" t="n">
        <v>5.75</v>
      </c>
      <c r="X68" s="18" t="n">
        <v>5.65</v>
      </c>
      <c r="Y68" s="18" t="n">
        <v>6.66</v>
      </c>
      <c r="Z68" s="34" t="n">
        <v>24.01</v>
      </c>
      <c r="AA68" s="18" t="n">
        <v>0.33</v>
      </c>
      <c r="AB68" s="19" t="n">
        <v>0.97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H69" s="18" t="n">
        <v>0.07000000000000001</v>
      </c>
      <c r="I69" s="18" t="n">
        <v>0.06</v>
      </c>
      <c r="J69" s="18" t="n">
        <v>241.93</v>
      </c>
      <c r="K69" s="9" t="n"/>
      <c r="L69" s="18" t="n">
        <v>96.5</v>
      </c>
      <c r="M69" s="18" t="n">
        <v>107.96</v>
      </c>
      <c r="N69" s="18" t="n">
        <v>107.48</v>
      </c>
      <c r="O69" s="18" t="n">
        <v>101.54</v>
      </c>
      <c r="P69" s="34" t="n">
        <v>413.48</v>
      </c>
      <c r="Q69" s="18" t="n">
        <v>98.04000000000001</v>
      </c>
      <c r="R69" s="18" t="n">
        <v>112.53</v>
      </c>
      <c r="S69" s="18" t="n">
        <v>160.58</v>
      </c>
      <c r="T69" s="18" t="n">
        <v>151</v>
      </c>
      <c r="U69" s="34" t="n">
        <v>522.15</v>
      </c>
      <c r="V69" s="18" t="n">
        <v>130.27</v>
      </c>
      <c r="W69" s="18" t="n">
        <v>113.77</v>
      </c>
      <c r="X69" s="18" t="n">
        <v>101.56</v>
      </c>
      <c r="Y69" s="18" t="n">
        <v>98.92</v>
      </c>
      <c r="Z69" s="34" t="n">
        <v>444.52</v>
      </c>
      <c r="AA69" s="18" t="n">
        <v>103.61</v>
      </c>
      <c r="AB69" s="19" t="n">
        <v>105.5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H70" s="18" t="n">
        <v>-0.06</v>
      </c>
      <c r="I70" s="18" t="n">
        <v>-0.05</v>
      </c>
      <c r="J70" s="18" t="n">
        <v>-206.89</v>
      </c>
      <c r="K70" s="9" t="n"/>
      <c r="L70" s="18" t="n">
        <v>-89.84999999999999</v>
      </c>
      <c r="M70" s="18" t="n">
        <v>-101.1</v>
      </c>
      <c r="N70" s="18" t="n">
        <v>-100.54</v>
      </c>
      <c r="O70" s="18" t="n">
        <v>-94.53</v>
      </c>
      <c r="P70" s="34" t="n">
        <v>-386.02</v>
      </c>
      <c r="Q70" s="18" t="n">
        <v>-90.48999999999999</v>
      </c>
      <c r="R70" s="18" t="n">
        <v>-105.41</v>
      </c>
      <c r="S70" s="18" t="n">
        <v>-154.75</v>
      </c>
      <c r="T70" s="18" t="n">
        <v>-145.05</v>
      </c>
      <c r="U70" s="34" t="n">
        <v>-495.7</v>
      </c>
      <c r="V70" s="18" t="n">
        <v>-124.32</v>
      </c>
      <c r="W70" s="18" t="n">
        <v>-108.02</v>
      </c>
      <c r="X70" s="18" t="n">
        <v>-95.91</v>
      </c>
      <c r="Y70" s="18" t="n">
        <v>-92.26000000000001</v>
      </c>
      <c r="Z70" s="34" t="n">
        <v>-420.51</v>
      </c>
      <c r="AA70" s="18" t="n">
        <v>-103.28</v>
      </c>
      <c r="AB70" s="19" t="n">
        <v>-104.53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배당금수익</t>
        </is>
      </c>
      <c r="F71" s="9" t="n"/>
      <c r="I71" s="18" t="n">
        <v>0.03</v>
      </c>
      <c r="J71" s="18" t="n">
        <v>31.33</v>
      </c>
      <c r="K71" s="9" t="n"/>
      <c r="M71" s="18" t="n">
        <v>38.59</v>
      </c>
      <c r="N71" s="18" t="n">
        <v>0</v>
      </c>
      <c r="O71" s="18" t="n">
        <v>0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K72" s="9" t="n"/>
      <c r="P72" s="9" t="n"/>
      <c r="R72" s="18" t="n">
        <v>0.11</v>
      </c>
      <c r="S72" s="18" t="n">
        <v>1.02</v>
      </c>
      <c r="T72" s="18" t="n">
        <v>23.24</v>
      </c>
      <c r="U72" s="9" t="n"/>
      <c r="V72" s="18" t="n">
        <v>3.27</v>
      </c>
      <c r="W72" s="18" t="n">
        <v>2.94</v>
      </c>
      <c r="X72" s="18" t="n">
        <v>2.21</v>
      </c>
      <c r="Y72" s="18" t="n">
        <v>9.08</v>
      </c>
      <c r="Z72" s="34" t="n">
        <v>17.5</v>
      </c>
      <c r="AA72" s="18" t="n">
        <v>34.53</v>
      </c>
      <c r="AB72" s="19" t="n">
        <v>13.38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K73" s="9" t="n"/>
      <c r="P73" s="9" t="n"/>
      <c r="R73" s="18" t="n">
        <v>0.1</v>
      </c>
      <c r="S73" s="18" t="n">
        <v>10.72</v>
      </c>
      <c r="T73" s="18" t="n">
        <v>6.12</v>
      </c>
      <c r="U73" s="9" t="n"/>
      <c r="V73" s="18" t="n">
        <v>3.1</v>
      </c>
      <c r="W73" s="18" t="n">
        <v>27.26</v>
      </c>
      <c r="X73" s="18" t="n">
        <v>86.8</v>
      </c>
      <c r="Y73" s="18" t="n">
        <v>0.8</v>
      </c>
      <c r="Z73" s="34" t="n">
        <v>117.96</v>
      </c>
      <c r="AA73" s="18" t="n">
        <v>5.46</v>
      </c>
      <c r="AB73" s="19" t="n">
        <v>6.35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K74" s="9" t="n"/>
      <c r="P74" s="9" t="n"/>
      <c r="R74" s="18" t="n">
        <v>3.24</v>
      </c>
      <c r="S74" s="18" t="n">
        <v>1.9</v>
      </c>
      <c r="T74" s="18" t="n">
        <v>92.65000000000001</v>
      </c>
      <c r="U74" s="9" t="n"/>
      <c r="V74" s="18" t="n">
        <v>1.44</v>
      </c>
      <c r="W74" s="18" t="n">
        <v>8.779999999999999</v>
      </c>
      <c r="X74" s="18" t="n">
        <v>-1.78</v>
      </c>
      <c r="Y74" s="18" t="n">
        <v>-3.89</v>
      </c>
      <c r="Z74" s="34" t="n">
        <v>4.55</v>
      </c>
      <c r="AA74" s="18" t="n">
        <v>20.44</v>
      </c>
      <c r="AB74" s="19" t="n">
        <v>-6.46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K75" s="9" t="n"/>
      <c r="P75" s="9" t="n"/>
      <c r="R75" s="18" t="n">
        <v>1.03</v>
      </c>
      <c r="S75" s="18" t="n">
        <v>14.2</v>
      </c>
      <c r="T75" s="18" t="n">
        <v>-6.51</v>
      </c>
      <c r="U75" s="9" t="n"/>
      <c r="V75" s="18" t="n">
        <v>5.24</v>
      </c>
      <c r="W75" s="18" t="n">
        <v>140.98</v>
      </c>
      <c r="X75" s="18" t="n">
        <v>-144.46</v>
      </c>
      <c r="Y75" s="18" t="n">
        <v>9.82</v>
      </c>
      <c r="Z75" s="34" t="n">
        <v>11.58</v>
      </c>
      <c r="AA75" s="18" t="n">
        <v>4.2</v>
      </c>
      <c r="AB75" s="19" t="n">
        <v>-0.15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90.41</v>
      </c>
      <c r="F76" s="9" t="n"/>
      <c r="G76" s="18" t="n">
        <v>-1301.67</v>
      </c>
      <c r="H76" s="18" t="n">
        <v>-1328.31</v>
      </c>
      <c r="I76" s="18" t="n">
        <v>1167.99</v>
      </c>
      <c r="J76" s="18" t="n">
        <v>1066.35</v>
      </c>
      <c r="K76" s="34" t="n">
        <v>-395.64</v>
      </c>
      <c r="L76" s="18" t="n">
        <v>1625.83</v>
      </c>
      <c r="M76" s="18" t="n">
        <v>1617.36</v>
      </c>
      <c r="N76" s="18" t="n">
        <v>1289.98</v>
      </c>
      <c r="O76" s="18" t="n">
        <v>544.49</v>
      </c>
      <c r="P76" s="34" t="n">
        <v>5077.66</v>
      </c>
      <c r="Q76" s="18" t="n">
        <v>2062.55</v>
      </c>
      <c r="R76" s="18" t="n">
        <v>-120.66</v>
      </c>
      <c r="S76" s="18" t="n">
        <v>1179.42</v>
      </c>
      <c r="T76" s="18" t="n">
        <v>1842.3</v>
      </c>
      <c r="U76" s="34" t="n">
        <v>4963.61</v>
      </c>
      <c r="V76" s="18" t="n">
        <v>231.45</v>
      </c>
      <c r="W76" s="18" t="n">
        <v>1341.84</v>
      </c>
      <c r="X76" s="18" t="n">
        <v>1889.15</v>
      </c>
      <c r="Y76" s="18" t="n">
        <v>6650.4</v>
      </c>
      <c r="Z76" s="34" t="n">
        <v>10112.84</v>
      </c>
      <c r="AA76" s="18" t="n">
        <v>2017.81</v>
      </c>
      <c r="AB76" s="19" t="n">
        <v>3345.05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136.06</v>
      </c>
      <c r="F77" s="9" t="n"/>
      <c r="G77" s="18" t="n">
        <v>126.46</v>
      </c>
      <c r="H77" s="18" t="n">
        <v>149.2</v>
      </c>
      <c r="I77" s="18" t="n">
        <v>144.3</v>
      </c>
      <c r="J77" s="18" t="n">
        <v>177.32</v>
      </c>
      <c r="K77" s="34" t="n">
        <v>597.28</v>
      </c>
      <c r="L77" s="18" t="n">
        <v>242.85</v>
      </c>
      <c r="M77" s="18" t="n">
        <v>238.59</v>
      </c>
      <c r="N77" s="18" t="n">
        <v>234.67</v>
      </c>
      <c r="O77" s="18" t="n">
        <v>234.34</v>
      </c>
      <c r="P77" s="34" t="n">
        <v>950.45</v>
      </c>
      <c r="U77" s="9" t="n"/>
      <c r="V77" s="18" t="n">
        <v>243.45</v>
      </c>
      <c r="W77" s="18" t="n">
        <v>240.47</v>
      </c>
      <c r="X77" s="18" t="n">
        <v>240.61</v>
      </c>
      <c r="Y77" s="18" t="n">
        <v>240.13</v>
      </c>
      <c r="Z77" s="34" t="n">
        <v>964.66</v>
      </c>
      <c r="AA77" s="18" t="n">
        <v>239.67</v>
      </c>
      <c r="AB77" s="19" t="n">
        <v>238.43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-5.9</v>
      </c>
      <c r="F78" s="9" t="n"/>
      <c r="G78" s="18" t="n">
        <v>12.7</v>
      </c>
      <c r="H78" s="18" t="n">
        <v>1.05</v>
      </c>
      <c r="I78" s="18" t="n">
        <v>-55.28</v>
      </c>
      <c r="J78" s="18" t="n">
        <v>-7.8</v>
      </c>
      <c r="K78" s="34" t="n">
        <v>-49.33</v>
      </c>
      <c r="L78" s="18" t="n">
        <v>-0.95</v>
      </c>
      <c r="M78" s="18" t="n">
        <v>9.02</v>
      </c>
      <c r="N78" s="18" t="n">
        <v>-3.39</v>
      </c>
      <c r="O78" s="18" t="n">
        <v>-1.1</v>
      </c>
      <c r="P78" s="34" t="n">
        <v>3.58</v>
      </c>
      <c r="Q78" s="18" t="n">
        <v>-1.1</v>
      </c>
      <c r="R78" s="18" t="n">
        <v>2.86</v>
      </c>
      <c r="S78" s="18" t="n">
        <v>-4.97</v>
      </c>
      <c r="T78" s="18" t="n">
        <v>-61.46</v>
      </c>
      <c r="U78" s="34" t="n">
        <v>-64.67</v>
      </c>
      <c r="V78" s="18" t="n">
        <v>-0.92</v>
      </c>
      <c r="W78" s="18" t="n">
        <v>67.73</v>
      </c>
      <c r="X78" s="18" t="n">
        <v>-26.14</v>
      </c>
      <c r="Y78" s="18" t="n">
        <v>-1.02</v>
      </c>
      <c r="Z78" s="34" t="n">
        <v>39.65</v>
      </c>
      <c r="AA78" s="18" t="n">
        <v>-153.72</v>
      </c>
      <c r="AB78" s="19" t="n">
        <v>-187.08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2100.72</v>
      </c>
      <c r="F79" s="9" t="n"/>
      <c r="G79" s="18" t="n">
        <v>-5327.88</v>
      </c>
      <c r="H79" s="18" t="n">
        <v>-1712.8</v>
      </c>
      <c r="I79" s="18" t="n">
        <v>-62.86</v>
      </c>
      <c r="J79" s="18" t="n">
        <v>-27.58</v>
      </c>
      <c r="K79" s="34" t="n">
        <v>-7131.12</v>
      </c>
      <c r="L79" s="18" t="n">
        <v>17.05</v>
      </c>
      <c r="M79" s="18" t="n">
        <v>0</v>
      </c>
      <c r="N79" s="18" t="n">
        <v>-9.890000000000001</v>
      </c>
      <c r="O79" s="18" t="n">
        <v>-126.42</v>
      </c>
      <c r="P79" s="34" t="n">
        <v>-119.26</v>
      </c>
      <c r="Q79" s="18" t="n">
        <v>506.12</v>
      </c>
      <c r="R79" s="18" t="n">
        <v>-12620.07</v>
      </c>
      <c r="S79" s="18" t="n">
        <v>70.42</v>
      </c>
      <c r="T79" s="18" t="n">
        <v>761.27</v>
      </c>
      <c r="U79" s="34" t="n">
        <v>-11282.26</v>
      </c>
      <c r="V79" s="18" t="n">
        <v>-117.22</v>
      </c>
      <c r="W79" s="18" t="n">
        <v>-12.44</v>
      </c>
      <c r="X79" s="18" t="n">
        <v>-29.35</v>
      </c>
      <c r="Y79" s="18" t="n">
        <v>474.17</v>
      </c>
      <c r="Z79" s="34" t="n">
        <v>315.16</v>
      </c>
      <c r="AA79" s="18" t="n">
        <v>-49.15</v>
      </c>
      <c r="AB79" s="19" t="n">
        <v>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46.29</v>
      </c>
      <c r="F80" s="9" t="n"/>
      <c r="G80" s="18" t="n">
        <v>41.79</v>
      </c>
      <c r="K80" s="9" t="n"/>
      <c r="P80" s="9" t="n"/>
      <c r="Q80" s="18" t="n">
        <v>7.56</v>
      </c>
      <c r="R80" s="18" t="n">
        <v>7.11</v>
      </c>
      <c r="S80" s="18" t="n">
        <v>5.83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31.36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-31.74</v>
      </c>
      <c r="F82" s="9" t="n"/>
      <c r="G82" s="18" t="n">
        <v>7932.9</v>
      </c>
      <c r="H82" s="18" t="n">
        <v>35.11</v>
      </c>
      <c r="I82" s="18" t="n">
        <v>-0.57</v>
      </c>
      <c r="J82" s="18" t="n">
        <v>-33.36</v>
      </c>
      <c r="K82" s="34" t="n">
        <v>7934.08</v>
      </c>
      <c r="L82" s="18" t="n">
        <v>-98.66</v>
      </c>
      <c r="M82" s="18" t="n">
        <v>-100.26</v>
      </c>
      <c r="N82" s="18" t="n">
        <v>-101.88</v>
      </c>
      <c r="O82" s="18" t="n">
        <v>-101.7</v>
      </c>
      <c r="P82" s="34" t="n">
        <v>-402.5</v>
      </c>
      <c r="Q82" s="18" t="n">
        <v>770.0599999999999</v>
      </c>
      <c r="R82" s="18" t="n">
        <v>2899.13</v>
      </c>
      <c r="S82" s="18" t="n">
        <v>-941.98</v>
      </c>
      <c r="T82" s="18" t="n">
        <v>-814.79</v>
      </c>
      <c r="U82" s="34" t="n">
        <v>1912.42</v>
      </c>
      <c r="V82" s="18" t="n">
        <v>-682.73</v>
      </c>
      <c r="W82" s="18" t="n">
        <v>-1017.51</v>
      </c>
      <c r="X82" s="18" t="n">
        <v>-102.25</v>
      </c>
      <c r="Y82" s="18" t="n">
        <v>-101.9</v>
      </c>
      <c r="Z82" s="34" t="n">
        <v>-1904.39</v>
      </c>
      <c r="AA82" s="18" t="n">
        <v>-99.68000000000001</v>
      </c>
      <c r="AB82" s="19" t="n">
        <v>-101.03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E83" s="18" t="n">
        <v>-0.66</v>
      </c>
      <c r="F83" s="9" t="n"/>
      <c r="G83" s="18" t="n">
        <v>-43.28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31.09</v>
      </c>
      <c r="F84" s="9" t="n"/>
      <c r="G84" s="18" t="n">
        <v>23.82</v>
      </c>
      <c r="H84" s="18" t="n">
        <v>8.17</v>
      </c>
      <c r="I84" s="18" t="n">
        <v>0.57</v>
      </c>
      <c r="J84" s="18" t="n">
        <v>33.36</v>
      </c>
      <c r="K84" s="34" t="n">
        <v>65.92</v>
      </c>
      <c r="L84" s="18" t="n">
        <v>98.66</v>
      </c>
      <c r="M84" s="18" t="n">
        <v>100.26</v>
      </c>
      <c r="N84" s="18" t="n">
        <v>101.88</v>
      </c>
      <c r="O84" s="18" t="n">
        <v>101.7</v>
      </c>
      <c r="P84" s="34" t="n">
        <v>402.5</v>
      </c>
      <c r="Q84" s="18" t="n">
        <v>99.51000000000001</v>
      </c>
      <c r="R84" s="18" t="n">
        <v>100.87</v>
      </c>
      <c r="S84" s="18" t="n">
        <v>102.26</v>
      </c>
      <c r="T84" s="18" t="n">
        <v>101.78</v>
      </c>
      <c r="U84" s="34" t="n">
        <v>404.42</v>
      </c>
      <c r="V84" s="18" t="n">
        <v>99.41</v>
      </c>
      <c r="W84" s="18" t="n">
        <v>100.83</v>
      </c>
      <c r="X84" s="18" t="n">
        <v>102.25</v>
      </c>
      <c r="Y84" s="18" t="n">
        <v>101.9</v>
      </c>
      <c r="Z84" s="34" t="n">
        <v>404.39</v>
      </c>
      <c r="AA84" s="18" t="n">
        <v>99.68000000000001</v>
      </c>
      <c r="AB84" s="19" t="n">
        <v>101.03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2159.38</v>
      </c>
      <c r="F85" s="9" t="n"/>
      <c r="G85" s="18" t="n">
        <v>1303.35</v>
      </c>
      <c r="H85" s="18" t="n">
        <v>-3006</v>
      </c>
      <c r="I85" s="18" t="n">
        <v>1104.56</v>
      </c>
      <c r="J85" s="18" t="n">
        <v>1005.41</v>
      </c>
      <c r="K85" s="34" t="n">
        <v>407.32</v>
      </c>
      <c r="L85" s="18" t="n">
        <v>1544.22</v>
      </c>
      <c r="M85" s="18" t="n">
        <v>1517.11</v>
      </c>
      <c r="N85" s="18" t="n">
        <v>1178.2</v>
      </c>
      <c r="O85" s="18" t="n">
        <v>316.38</v>
      </c>
      <c r="P85" s="34" t="n">
        <v>4555.91</v>
      </c>
      <c r="Q85" s="18" t="n">
        <v>3338.73</v>
      </c>
      <c r="R85" s="18" t="n">
        <v>-9841.49</v>
      </c>
      <c r="S85" s="18" t="n">
        <v>299.42</v>
      </c>
      <c r="T85" s="18" t="n">
        <v>1877.1</v>
      </c>
      <c r="U85" s="34" t="n">
        <v>-4326.24</v>
      </c>
      <c r="V85" s="18" t="n">
        <v>-567.64</v>
      </c>
      <c r="W85" s="18" t="n">
        <v>168.02</v>
      </c>
      <c r="X85" s="18" t="n">
        <v>1902.28</v>
      </c>
      <c r="Y85" s="18" t="n">
        <v>7016.32</v>
      </c>
      <c r="Z85" s="34" t="n">
        <v>8518.98</v>
      </c>
      <c r="AA85" s="18" t="n">
        <v>1878.18</v>
      </c>
      <c r="AB85" s="19" t="n">
        <v>3244.46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2159.37</v>
      </c>
      <c r="F86" s="9" t="n"/>
      <c r="G86" s="18" t="n">
        <v>5159.23</v>
      </c>
      <c r="H86" s="18" t="n">
        <v>-3006</v>
      </c>
      <c r="I86" s="18" t="n">
        <v>1104.56</v>
      </c>
      <c r="J86" s="18" t="n">
        <v>1005.42</v>
      </c>
      <c r="K86" s="34" t="n">
        <v>4263.21</v>
      </c>
      <c r="L86" s="18" t="n">
        <v>5807.43</v>
      </c>
      <c r="M86" s="18" t="n">
        <v>1517.1</v>
      </c>
      <c r="N86" s="18" t="n">
        <v>1178.21</v>
      </c>
      <c r="O86" s="18" t="n">
        <v>316.38</v>
      </c>
      <c r="P86" s="34" t="n">
        <v>8819.120000000001</v>
      </c>
      <c r="Q86" s="18" t="n">
        <v>12157.85</v>
      </c>
      <c r="R86" s="18" t="n">
        <v>-9841.49</v>
      </c>
      <c r="S86" s="18" t="n">
        <v>299.42</v>
      </c>
      <c r="T86" s="18" t="n">
        <v>1877.1</v>
      </c>
      <c r="U86" s="34" t="n">
        <v>4492.88</v>
      </c>
      <c r="V86" s="18" t="n">
        <v>3925.24</v>
      </c>
      <c r="W86" s="18" t="n">
        <v>168.02</v>
      </c>
      <c r="X86" s="18" t="n">
        <v>1902.28</v>
      </c>
      <c r="Y86" s="18" t="n">
        <v>7016.32</v>
      </c>
      <c r="Z86" s="34" t="n">
        <v>13011.86</v>
      </c>
      <c r="AA86" s="18" t="n">
        <v>14890.05</v>
      </c>
      <c r="AB86" s="19" t="n">
        <v>3244.46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G87" s="18" t="n">
        <v>8000</v>
      </c>
      <c r="H87" s="18" t="n">
        <v>0</v>
      </c>
      <c r="I87" s="18" t="n">
        <v>0</v>
      </c>
      <c r="J87" s="18" t="n">
        <v>2400</v>
      </c>
      <c r="K87" s="34" t="n">
        <v>10400</v>
      </c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I88" s="18" t="n">
        <v>0</v>
      </c>
      <c r="J88" s="18" t="n">
        <v>4.04</v>
      </c>
      <c r="K88" s="9" t="n"/>
      <c r="N88" s="18" t="n">
        <v>0</v>
      </c>
      <c r="O88" s="18" t="n">
        <v>0</v>
      </c>
      <c r="P88" s="9" t="n"/>
      <c r="T88" s="18" t="n">
        <v>4.78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F89" s="9" t="n"/>
      <c r="J89" s="18" t="n">
        <v>8665.67</v>
      </c>
      <c r="K89" s="9" t="n"/>
      <c r="N89" s="18" t="n">
        <v>1.48</v>
      </c>
      <c r="O89" s="18" t="n">
        <v>64.88</v>
      </c>
      <c r="P89" s="9" t="n"/>
      <c r="Q89" s="18" t="n">
        <v>63.57</v>
      </c>
      <c r="R89" s="18" t="n">
        <v>220.7</v>
      </c>
      <c r="S89" s="18" t="n">
        <v>135.7</v>
      </c>
      <c r="T89" s="18" t="n">
        <v>50.88</v>
      </c>
      <c r="U89" s="34" t="n">
        <v>470.85</v>
      </c>
      <c r="V89" s="18" t="n">
        <v>121.97</v>
      </c>
      <c r="W89" s="18" t="n">
        <v>58.94</v>
      </c>
      <c r="X89" s="18" t="n">
        <v>27.35</v>
      </c>
      <c r="Y89" s="18" t="n">
        <v>61.65</v>
      </c>
      <c r="Z89" s="34" t="n">
        <v>269.91</v>
      </c>
      <c r="AA89" s="18" t="n">
        <v>46.47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F90" s="9" t="n"/>
      <c r="J90" s="18" t="n">
        <v>8665.67</v>
      </c>
      <c r="K90" s="9" t="n"/>
      <c r="N90" s="18" t="n">
        <v>9.890000000000001</v>
      </c>
      <c r="O90" s="18" t="n">
        <v>64.88</v>
      </c>
      <c r="P90" s="9" t="n"/>
      <c r="Q90" s="18" t="n">
        <v>63.57</v>
      </c>
      <c r="R90" s="18" t="n">
        <v>220.7</v>
      </c>
      <c r="S90" s="18" t="n">
        <v>135.7</v>
      </c>
      <c r="T90" s="18" t="n">
        <v>50.88</v>
      </c>
      <c r="U90" s="34" t="n">
        <v>470.85</v>
      </c>
      <c r="V90" s="18" t="n">
        <v>121.97</v>
      </c>
      <c r="W90" s="18" t="n">
        <v>58.94</v>
      </c>
      <c r="X90" s="18" t="n">
        <v>27.35</v>
      </c>
      <c r="Y90" s="18" t="n">
        <v>61.65</v>
      </c>
      <c r="Z90" s="34" t="n">
        <v>269.91</v>
      </c>
      <c r="AA90" s="18" t="n">
        <v>47.03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F91" s="9" t="n"/>
      <c r="K91" s="9" t="n"/>
      <c r="O91" s="18" t="n">
        <v>0.42</v>
      </c>
      <c r="P91" s="9" t="n"/>
      <c r="U91" s="9" t="n"/>
      <c r="V91" s="18" t="n">
        <v>122.61</v>
      </c>
      <c r="W91" s="18" t="n">
        <v>122.61</v>
      </c>
      <c r="X91" s="18" t="n">
        <v>122.6</v>
      </c>
      <c r="Y91" s="18" t="n">
        <v>122.61</v>
      </c>
      <c r="Z91" s="34" t="n">
        <v>490.43</v>
      </c>
      <c r="AA91" s="18" t="n">
        <v>122.62</v>
      </c>
      <c r="AB91" s="19" t="n">
        <v>122.63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O92" s="18" t="n">
        <v>0</v>
      </c>
      <c r="P92" s="9" t="n"/>
      <c r="T92" s="18" t="n">
        <v>0</v>
      </c>
      <c r="U92" s="9" t="n"/>
      <c r="Z92" s="9" t="n"/>
      <c r="AA92" s="18" t="n">
        <v>0.5600000000000001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K93" s="9" t="n"/>
      <c r="P93" s="9" t="n"/>
      <c r="Q93" s="18" t="n">
        <v>8000</v>
      </c>
      <c r="R93" s="18" t="n">
        <v>0</v>
      </c>
      <c r="S93" s="18" t="n">
        <v>3300</v>
      </c>
      <c r="T93" s="18" t="n">
        <v>0</v>
      </c>
      <c r="U93" s="34" t="n">
        <v>11300</v>
      </c>
      <c r="V93" s="18" t="n">
        <v>0</v>
      </c>
      <c r="W93" s="18" t="n">
        <v>0</v>
      </c>
      <c r="X93" s="18" t="n">
        <v>0</v>
      </c>
      <c r="Y93" s="18" t="n">
        <v>0</v>
      </c>
      <c r="Z93" s="34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P94" s="9" t="n"/>
      <c r="Q94" s="18" t="n">
        <v>8000</v>
      </c>
      <c r="R94" s="18" t="n">
        <v>0</v>
      </c>
      <c r="S94" s="18" t="n">
        <v>4000</v>
      </c>
      <c r="T94" s="18" t="n">
        <v>1100</v>
      </c>
      <c r="U94" s="34" t="n">
        <v>13100</v>
      </c>
      <c r="V94" s="18" t="n">
        <v>800</v>
      </c>
      <c r="W94" s="18" t="n">
        <v>700</v>
      </c>
      <c r="X94" s="18" t="n">
        <v>0</v>
      </c>
      <c r="Y94" s="18" t="n">
        <v>0</v>
      </c>
      <c r="Z94" s="34" t="n">
        <v>1500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T95" s="18" t="n">
        <v>0</v>
      </c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0.1135</v>
      </c>
      <c r="F10" s="34" t="n"/>
      <c r="G10" s="18" t="n">
        <v>-0.0567</v>
      </c>
      <c r="H10" s="18" t="n">
        <v>0.0819</v>
      </c>
      <c r="I10" s="18" t="n">
        <v>0.0253</v>
      </c>
      <c r="J10" s="18" t="n">
        <v>0.1594</v>
      </c>
      <c r="K10" s="34">
        <f>SUM(G10:J10)</f>
        <v/>
      </c>
      <c r="L10" s="18" t="n">
        <v>0.0857</v>
      </c>
      <c r="M10" s="18" t="n">
        <v>0.0511</v>
      </c>
      <c r="N10" s="18" t="n">
        <v>0.0389</v>
      </c>
      <c r="O10" s="18" t="n">
        <v>0.2815</v>
      </c>
      <c r="P10" s="34">
        <f>SUM(L10:O10)</f>
        <v/>
      </c>
      <c r="Q10" s="18" t="n">
        <v>-0.0138</v>
      </c>
      <c r="R10" s="18" t="n">
        <v>0.09429999999999999</v>
      </c>
      <c r="S10" s="18" t="n">
        <v>0.1054</v>
      </c>
      <c r="T10" s="18" t="n">
        <v>0.1877</v>
      </c>
      <c r="U10" s="34">
        <f>SUM(Q10:T10)</f>
        <v/>
      </c>
      <c r="V10" s="18" t="n">
        <v>0.0498</v>
      </c>
      <c r="W10" s="18" t="n">
        <v>0.07820000000000001</v>
      </c>
      <c r="X10" s="18" t="n">
        <v>0.2632</v>
      </c>
      <c r="Y10" s="18" t="n">
        <v>0.3948</v>
      </c>
      <c r="Z10" s="34">
        <f>SUM(V10:Y10)</f>
        <v/>
      </c>
      <c r="AA10" s="18" t="n">
        <v>0.1691</v>
      </c>
      <c r="AB10" s="19" t="n">
        <v>0.3349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>
        <v>0.02</v>
      </c>
      <c r="S13" s="18" t="n">
        <v>-0.22</v>
      </c>
      <c r="T13" s="18" t="n">
        <v>1.16</v>
      </c>
      <c r="U13" s="34">
        <f>SUM(Q13:T13)</f>
        <v/>
      </c>
      <c r="V13" s="18" t="n">
        <v>-0.04</v>
      </c>
      <c r="W13" s="18" t="n">
        <v>-1.57</v>
      </c>
      <c r="X13" s="18" t="n">
        <v>0.58</v>
      </c>
      <c r="Y13" s="18" t="n">
        <v>-0.05</v>
      </c>
      <c r="Z13" s="34">
        <f>SUM(V13:Y13)</f>
        <v/>
      </c>
      <c r="AA13" s="18" t="n">
        <v>0.45</v>
      </c>
      <c r="AB13" s="19" t="n">
        <v>0.01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4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4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IFERROR(X19*(1+변수!AC31),"")</f>
        <v/>
      </c>
      <c r="AD19" s="20">
        <f>IFERROR(Y19*(1+변수!AD31),"")</f>
        <v/>
      </c>
      <c r="AE19" s="35">
        <f>SUM(AA19:AD19)</f>
        <v/>
      </c>
      <c r="AF19" s="20">
        <f>IFERROR(AA19*(1+변수!AF31),"")</f>
        <v/>
      </c>
      <c r="AG19" s="20">
        <f>IFERROR(AB19*(1+변수!AG31),"")</f>
        <v/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4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4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4">
        <f>SUM(L20:O20)</f>
        <v/>
      </c>
      <c r="Q20" s="18" t="n"/>
      <c r="R20" s="18" t="n"/>
      <c r="S20" s="18" t="n"/>
      <c r="T20" s="18" t="n"/>
      <c r="U20" s="34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4">
        <f>SUM(V20:Y20)</f>
        <v/>
      </c>
      <c r="AA20" s="18" t="n">
        <v>17.95</v>
      </c>
      <c r="AB20" s="19" t="n">
        <v>41.43</v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4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4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4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4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IFERROR(AB24+AC18-변수!AC35,"")</f>
        <v/>
      </c>
      <c r="AD24" s="20">
        <f>IFERROR(AC24+AD18-변수!AD35,"")</f>
        <v/>
      </c>
      <c r="AE24" s="35">
        <f>AD24</f>
        <v/>
      </c>
      <c r="AF24" s="20">
        <f>IFERROR(AD24+AF18-변수!AF35,"")</f>
        <v/>
      </c>
      <c r="AG24" s="20">
        <f>IFERROR(AF24+AG18-변수!AG35,"")</f>
        <v/>
      </c>
      <c r="AH24" s="20">
        <f>IFERROR(AG24+AH18-변수!AH35,"")</f>
        <v/>
      </c>
      <c r="AI24" s="20">
        <f>IFERROR(AH24+AI18-변수!AI35,"")</f>
        <v/>
      </c>
      <c r="AJ24" s="35">
        <f>AI24</f>
        <v/>
      </c>
      <c r="AK24" s="20">
        <f>IFERROR(AI24+AK18-변수!AK35,"")</f>
        <v/>
      </c>
      <c r="AL24" s="20">
        <f>IFERROR(AK24+AL18-변수!AL35,"")</f>
        <v/>
      </c>
      <c r="AM24" s="20">
        <f>IFERROR(AL24+AM18-변수!AM35,"")</f>
        <v/>
      </c>
      <c r="AN24" s="20">
        <f>IFERROR(AM24+AN18-변수!AN35,"")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4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4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4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4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4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4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4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4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4" t="n"/>
      <c r="G29" s="18" t="n"/>
      <c r="H29" s="18" t="n"/>
      <c r="I29" s="18" t="n"/>
      <c r="J29" s="18">
        <f>IFERROR(VLOOKUP($D29,BS별도,MATCH(J$1,BS별도H,0),0)/100,"")</f>
        <v/>
      </c>
      <c r="K29" s="34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4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4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4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0.9</v>
      </c>
      <c r="F30" s="34" t="n"/>
      <c r="G30" s="18" t="n">
        <v>-13.02</v>
      </c>
      <c r="H30" s="18" t="n">
        <v>-13.28</v>
      </c>
      <c r="I30" s="18" t="n">
        <v>11.68</v>
      </c>
      <c r="J30" s="18" t="n">
        <v>10.66</v>
      </c>
      <c r="K30" s="34">
        <f>SUM(G30:J30)</f>
        <v/>
      </c>
      <c r="L30" s="18" t="n">
        <v>16.26</v>
      </c>
      <c r="M30" s="18" t="n">
        <v>16.17</v>
      </c>
      <c r="N30" s="18" t="n">
        <v>12.9</v>
      </c>
      <c r="O30" s="18" t="n">
        <v>5.44</v>
      </c>
      <c r="P30" s="34">
        <f>SUM(L30:O30)</f>
        <v/>
      </c>
      <c r="Q30" s="18" t="n">
        <v>20.63</v>
      </c>
      <c r="R30" s="18" t="n">
        <v>-1.21</v>
      </c>
      <c r="S30" s="18" t="n">
        <v>11.79</v>
      </c>
      <c r="T30" s="18" t="n">
        <v>18.42</v>
      </c>
      <c r="U30" s="34">
        <f>SUM(Q30:T30)</f>
        <v/>
      </c>
      <c r="V30" s="18" t="n">
        <v>2.31</v>
      </c>
      <c r="W30" s="18" t="n">
        <v>13.42</v>
      </c>
      <c r="X30" s="18" t="n">
        <v>18.89</v>
      </c>
      <c r="Y30" s="18" t="n">
        <v>66.5</v>
      </c>
      <c r="Z30" s="34">
        <f>SUM(V30:Y30)</f>
        <v/>
      </c>
      <c r="AA30" s="18" t="n">
        <v>20.18</v>
      </c>
      <c r="AB30" s="19" t="n">
        <v>33.45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13.541</v>
      </c>
      <c r="F31" s="27">
        <f>E31</f>
        <v/>
      </c>
      <c r="G31" s="26" t="n">
        <v>13.541</v>
      </c>
      <c r="H31" s="26" t="n">
        <v>13.541</v>
      </c>
      <c r="I31" s="26" t="n">
        <v>13.541</v>
      </c>
      <c r="J31" s="26" t="n">
        <v>13.541</v>
      </c>
      <c r="K31" s="27">
        <f>J31</f>
        <v/>
      </c>
      <c r="L31" s="26" t="n">
        <v>13.541</v>
      </c>
      <c r="M31" s="26" t="n">
        <v>13.541</v>
      </c>
      <c r="N31" s="26" t="n">
        <v>13.541</v>
      </c>
      <c r="O31" s="26" t="n">
        <v>13.541</v>
      </c>
      <c r="P31" s="27">
        <f>O31</f>
        <v/>
      </c>
      <c r="Q31" s="26" t="n">
        <v>13.541</v>
      </c>
      <c r="R31" s="26" t="n">
        <v>14</v>
      </c>
      <c r="S31" s="26" t="n">
        <v>14</v>
      </c>
      <c r="T31" s="26" t="n">
        <v>13.946</v>
      </c>
      <c r="U31" s="27">
        <f>T31</f>
        <v/>
      </c>
      <c r="V31" s="26" t="n">
        <v>13.946</v>
      </c>
      <c r="W31" s="26" t="n">
        <v>13.946</v>
      </c>
      <c r="X31" s="26" t="n">
        <v>13.946</v>
      </c>
      <c r="Y31" s="26" t="n">
        <v>13.946</v>
      </c>
      <c r="Z31" s="27">
        <f>Y31</f>
        <v/>
      </c>
      <c r="AA31" s="26" t="n">
        <v>13.946</v>
      </c>
      <c r="AB31" s="28" t="n">
        <v>13.946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4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4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4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4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4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5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5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0</v>
      </c>
      <c r="P34" s="34">
        <f>SUM(L34:O34)</f>
        <v/>
      </c>
      <c r="Q34" s="18" t="n"/>
      <c r="R34" s="18" t="n"/>
      <c r="S34" s="18" t="n"/>
      <c r="T34" s="18" t="n">
        <v>0</v>
      </c>
      <c r="U34" s="34">
        <f>SUM(Q34:T34)</f>
        <v/>
      </c>
      <c r="V34" s="18" t="n"/>
      <c r="W34" s="18" t="n"/>
      <c r="X34" s="18" t="n"/>
      <c r="Y34" s="18" t="n">
        <v>0</v>
      </c>
      <c r="Z34" s="34">
        <f>SUM(V34:Y34)</f>
        <v/>
      </c>
      <c r="AA34" s="18" t="n"/>
      <c r="AB34" s="19" t="n"/>
      <c r="AC34" s="20" t="n"/>
      <c r="AD34" s="20" t="n">
        <v>0</v>
      </c>
      <c r="AE34" s="35">
        <f>SUM(AA34:AD34)</f>
        <v/>
      </c>
      <c r="AF34" s="20" t="n"/>
      <c r="AG34" s="20" t="n"/>
      <c r="AH34" s="20" t="n"/>
      <c r="AI34" s="20" t="n">
        <v>0</v>
      </c>
      <c r="AJ34" s="35">
        <f>SUM(AF34:AI34)</f>
        <v/>
      </c>
      <c r="AK34" s="20" t="n"/>
      <c r="AL34" s="20" t="n"/>
      <c r="AM34" s="20" t="n"/>
      <c r="AN34" s="20" t="n">
        <v>0</v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28.41</v>
      </c>
      <c r="J35" s="18" t="n">
        <v>28.64</v>
      </c>
      <c r="K35" s="34">
        <f>SUM(G35:J35)</f>
        <v/>
      </c>
      <c r="L35" s="18" t="n">
        <v>17.58</v>
      </c>
      <c r="M35" s="18" t="n">
        <v>21.95</v>
      </c>
      <c r="N35" s="18" t="n">
        <v>21.56</v>
      </c>
      <c r="O35" s="18" t="n">
        <v>6.46</v>
      </c>
      <c r="P35" s="34">
        <f>SUM(L35:O35)</f>
        <v/>
      </c>
      <c r="Q35" s="18" t="n">
        <v>7.08</v>
      </c>
      <c r="R35" s="18" t="n">
        <v>7.31</v>
      </c>
      <c r="S35" s="18" t="n">
        <v>6.27</v>
      </c>
      <c r="T35" s="18" t="n">
        <v>6.84</v>
      </c>
      <c r="U35" s="34">
        <f>SUM(Q35:T35)</f>
        <v/>
      </c>
      <c r="V35" s="18" t="n">
        <v>7.19</v>
      </c>
      <c r="W35" s="18" t="n">
        <v>8.41</v>
      </c>
      <c r="X35" s="18" t="n">
        <v>7.26</v>
      </c>
      <c r="Y35" s="18" t="n">
        <v>8.75</v>
      </c>
      <c r="Z35" s="34">
        <f>SUM(V35:Y35)</f>
        <v/>
      </c>
      <c r="AA35" s="18" t="n">
        <v>8.15</v>
      </c>
      <c r="AB35" s="19" t="n">
        <v>5.49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1.42</v>
      </c>
      <c r="F36" s="34" t="n">
        <v>1.53</v>
      </c>
      <c r="G36" s="18" t="n">
        <v>1.81</v>
      </c>
      <c r="H36" s="18" t="n">
        <v>1.84</v>
      </c>
      <c r="I36" s="18" t="n">
        <v>1.5</v>
      </c>
      <c r="J36" s="18" t="n">
        <v>1.21</v>
      </c>
      <c r="K36" s="34">
        <f>SUM(G36:J36)</f>
        <v/>
      </c>
      <c r="L36" s="18" t="n">
        <v>1.17</v>
      </c>
      <c r="M36" s="18" t="n">
        <v>1.28</v>
      </c>
      <c r="N36" s="18" t="n">
        <v>1.19</v>
      </c>
      <c r="O36" s="18" t="n">
        <v>0.88</v>
      </c>
      <c r="P36" s="34">
        <f>SUM(L36:O36)</f>
        <v/>
      </c>
      <c r="Q36" s="18" t="n">
        <v>0.85</v>
      </c>
      <c r="R36" s="18" t="n">
        <v>1.03</v>
      </c>
      <c r="S36" s="18" t="n">
        <v>0.99</v>
      </c>
      <c r="T36" s="18" t="n">
        <v>0.99</v>
      </c>
      <c r="U36" s="34">
        <f>SUM(Q36:T36)</f>
        <v/>
      </c>
      <c r="V36" s="18" t="n">
        <v>1.08</v>
      </c>
      <c r="W36" s="18" t="n">
        <v>1.16</v>
      </c>
      <c r="X36" s="18" t="n">
        <v>1.27</v>
      </c>
      <c r="Y36" s="18" t="n">
        <v>1.4</v>
      </c>
      <c r="Z36" s="34">
        <f>SUM(V36:Y36)</f>
        <v/>
      </c>
      <c r="AA36" s="18" t="n">
        <v>1.45</v>
      </c>
      <c r="AB36" s="19" t="n">
        <v>1.16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4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4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4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4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4">
        <f>SUM(V37:Y37)</f>
        <v/>
      </c>
      <c r="AA37" s="18" t="n">
        <v>91.97</v>
      </c>
      <c r="AB37" s="19" t="n">
        <v>116.6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4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4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4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4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4">
        <f>SUM(V38:Y38)</f>
        <v/>
      </c>
      <c r="AA38" s="18" t="n">
        <v>15.55</v>
      </c>
      <c r="AB38" s="19" t="n">
        <v>39.05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1">
        <f>IFERROR(AC18/AC5,"")</f>
        <v/>
      </c>
      <c r="AD41" s="31">
        <f>IFERROR(AD18/AD5,"")</f>
        <v/>
      </c>
      <c r="AE41" s="25">
        <f>IFERROR(AE18/AE5,"")</f>
        <v/>
      </c>
      <c r="AF41" s="31">
        <f>IFERROR(AF18/AF5,"")</f>
        <v/>
      </c>
      <c r="AG41" s="31">
        <f>IFERROR(AG18/AG5,"")</f>
        <v/>
      </c>
      <c r="AH41" s="31">
        <f>IFERROR(AH18/AH5,"")</f>
        <v/>
      </c>
      <c r="AI41" s="31">
        <f>IFERROR(AI18/AI5,"")</f>
        <v/>
      </c>
      <c r="AJ41" s="25">
        <f>IFERROR(AJ18/AJ5,"")</f>
        <v/>
      </c>
      <c r="AK41" s="31">
        <f>IFERROR(AK18/AK5,"")</f>
        <v/>
      </c>
      <c r="AL41" s="31">
        <f>IFERROR(AL18/AL5,"")</f>
        <v/>
      </c>
      <c r="AM41" s="31">
        <f>IFERROR(AM18/AM5,"")</f>
        <v/>
      </c>
      <c r="AN41" s="31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2">
        <f>IFERROR(W18/S18-1,"")</f>
        <v/>
      </c>
      <c r="X43" s="31">
        <f>IFERROR(X18/T18-1,"")</f>
        <v/>
      </c>
      <c r="Y43" s="31">
        <f>IFERROR(Y18/U18-1,"")</f>
        <v/>
      </c>
      <c r="Z43" s="31">
        <f>IFERROR(Z18/V18-1,"")</f>
        <v/>
      </c>
      <c r="AA43" s="31">
        <f>IFERROR(AA18/W18-1,"")</f>
        <v/>
      </c>
      <c r="AB43" s="31">
        <f>IFERROR(AB18/X18-1,"")</f>
        <v/>
      </c>
      <c r="AC43" s="31">
        <f>IFERROR(AC18/Y18-1,"")</f>
        <v/>
      </c>
      <c r="AD43" s="31">
        <f>IFERROR(AD18/Z18-1,"")</f>
        <v/>
      </c>
      <c r="AE43" s="31">
        <f>IFERROR(AE18/AA18-1,"")</f>
        <v/>
      </c>
      <c r="AF43" s="31">
        <f>IFERROR(AF18/AB18-1,"")</f>
        <v/>
      </c>
      <c r="AG43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2">
        <f>IFERROR(I18/H18-1,"")</f>
        <v/>
      </c>
      <c r="J43" s="31">
        <f>IFERROR(J18/I18-1,"")</f>
        <v/>
      </c>
      <c r="K43" s="31">
        <f>IFERROR(K18/J18-1,"")</f>
        <v/>
      </c>
      <c r="L43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448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6.88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0.1154</v>
      </c>
    </row>
    <row r="34">
      <c r="C34" s="2" t="inlineStr">
        <is>
          <t>fair_pbr</t>
        </is>
      </c>
      <c r="D34" t="n">
        <v>1.28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3.86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