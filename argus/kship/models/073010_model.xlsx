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BS연결!$C$5:$AO$84</definedName>
    <definedName name="BS별도H">BS별도!$C$1:$AO$1</definedName>
    <definedName name="BS별도">BS별도!$C$5:$AO$86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(1+20.0%) — g=최근 4분기 합 YoY 20.0% 클립(−30~+50%), 연차별 절반 감쇠(가정)</t>
      </text>
    </comment>
    <comment ref="AD21" authorId="0" shapeId="0">
      <text>
        <t>모델값 역산(implied): v / 전년동기 − 1
전년동기 × (1+20.0%) — g=최근 4분기 합 YoY 20.0% 클립(−30~+50%), 연차별 절반 감쇠(가정)</t>
      </text>
    </comment>
    <comment ref="AF21" authorId="0" shapeId="0">
      <text>
        <t>모델값 역산(implied): v / 전년동기 − 1
전년동기 × (1+20.0%) — g=최근 4분기 합 YoY 20.0% 클립(−30~+50%), 연차별 절반 감쇠(가정)</t>
      </text>
    </comment>
    <comment ref="AG21" authorId="0" shapeId="0">
      <text>
        <t>모델값 역산(implied): v / 전년동기 − 1
전년동기 × (1+20.0%) — g=최근 4분기 합 YoY 20.0% 클립(−30~+50%), 연차별 절반 감쇠(가정)</t>
      </text>
    </comment>
    <comment ref="AH21" authorId="0" shapeId="0">
      <text>
        <t>모델값 역산(implied): v / 전년동기 − 1
전년동기 × (1+10.0%) — g=최근 4분기 합 YoY 20.0% 클립(−30~+50%), 연차별 절반 감쇠(가정)</t>
      </text>
    </comment>
    <comment ref="AI21" authorId="0" shapeId="0">
      <text>
        <t>모델값 역산(implied): v / 전년동기 − 1
전년동기 × (1+10.0%) — g=최근 4분기 합 YoY 20.0% 클립(−30~+50%), 연차별 절반 감쇠(가정)</t>
      </text>
    </comment>
    <comment ref="AK21" authorId="0" shapeId="0">
      <text>
        <t>모델값 역산(implied): v / 전년동기 − 1
전년동기 × (1+10.0%) — g=최근 4분기 합 YoY 20.0% 클립(−30~+50%), 연차별 절반 감쇠(가정)</t>
      </text>
    </comment>
    <comment ref="AL21" authorId="0" shapeId="0">
      <text>
        <t>모델값 역산(implied): v / 전년동기 − 1
전년동기 × (1+10.0%) — g=최근 4분기 합 YoY 20.0% 클립(−30~+50%), 연차별 절반 감쇠(가정)</t>
      </text>
    </comment>
    <comment ref="AM21" authorId="0" shapeId="0">
      <text>
        <t>모델값 역산(implied): v / 전년동기 − 1
전년동기 × (1+5.0%) — g=최근 4분기 합 YoY 20.0% 클립(−30~+50%), 연차별 절반 감쇠(가정)</t>
      </text>
    </comment>
    <comment ref="AN21" authorId="0" shapeId="0">
      <text>
        <t>모델값 역산(implied): v / 전년동기 − 1
전년동기 × (1+5.0%) — g=최근 4분기 합 YoY 20.0% 클립(−30~+50%), 연차별 절반 감쇠(가정)</t>
      </text>
    </comment>
    <comment ref="AC22" authorId="0" shapeId="0">
      <text>
        <t>3절 스칼라 '판관비율' 참조 — 숫자로 덮어쓰면 이 분기만 바뀐다
매출액 × 판관비율 6.08%(최근 4분기 중위)</t>
      </text>
    </comment>
    <comment ref="AD22" authorId="0" shapeId="0">
      <text>
        <t>3절 스칼라 '판관비율' 참조 — 숫자로 덮어쓰면 이 분기만 바뀐다
매출액 × 판관비율 6.08%(최근 4분기 중위)</t>
      </text>
    </comment>
    <comment ref="AF22" authorId="0" shapeId="0">
      <text>
        <t>3절 스칼라 '판관비율' 참조 — 숫자로 덮어쓰면 이 분기만 바뀐다
매출액 × 판관비율 6.08%(최근 4분기 중위)</t>
      </text>
    </comment>
    <comment ref="AG22" authorId="0" shapeId="0">
      <text>
        <t>3절 스칼라 '판관비율' 참조 — 숫자로 덮어쓰면 이 분기만 바뀐다
매출액 × 판관비율 6.08%(최근 4분기 중위)</t>
      </text>
    </comment>
    <comment ref="AH22" authorId="0" shapeId="0">
      <text>
        <t>3절 스칼라 '판관비율' 참조 — 숫자로 덮어쓰면 이 분기만 바뀐다
매출액 × 판관비율 6.08%(최근 4분기 중위)</t>
      </text>
    </comment>
    <comment ref="AI22" authorId="0" shapeId="0">
      <text>
        <t>3절 스칼라 '판관비율' 참조 — 숫자로 덮어쓰면 이 분기만 바뀐다
매출액 × 판관비율 6.08%(최근 4분기 중위)</t>
      </text>
    </comment>
    <comment ref="AK22" authorId="0" shapeId="0">
      <text>
        <t>3절 스칼라 '판관비율' 참조 — 숫자로 덮어쓰면 이 분기만 바뀐다
매출액 × 판관비율 6.08%(최근 4분기 중위)</t>
      </text>
    </comment>
    <comment ref="AL22" authorId="0" shapeId="0">
      <text>
        <t>3절 스칼라 '판관비율' 참조 — 숫자로 덮어쓰면 이 분기만 바뀐다
매출액 × 판관비율 6.08%(최근 4분기 중위)</t>
      </text>
    </comment>
    <comment ref="AM22" authorId="0" shapeId="0">
      <text>
        <t>3절 스칼라 '판관비율' 참조 — 숫자로 덮어쓰면 이 분기만 바뀐다
매출액 × 판관비율 6.08%(최근 4분기 중위)</t>
      </text>
    </comment>
    <comment ref="AN22" authorId="0" shapeId="0">
      <text>
        <t>3절 스칼라 '판관비율' 참조 — 숫자로 덮어쓰면 이 분기만 바뀐다
매출액 × 판관비율 6.08%(최근 4분기 중위)</t>
      </text>
    </comment>
    <comment ref="AC23" authorId="0" shapeId="0">
      <text>
        <t>모델값 역산(implied): v / 매출액
매출액 × OPM(최근 8분기 OPM 중위 13.3% 유지(클립 −20~40%))</t>
      </text>
    </comment>
    <comment ref="AD23" authorId="0" shapeId="0">
      <text>
        <t>모델값 역산(implied): v / 매출액
매출액 × OPM(최근 8분기 OPM 중위 13.3% 유지(클립 −20~40%))</t>
      </text>
    </comment>
    <comment ref="AF23" authorId="0" shapeId="0">
      <text>
        <t>모델값 역산(implied): v / 매출액
매출액 × OPM(최근 8분기 OPM 중위 13.3% 유지(클립 −20~40%))</t>
      </text>
    </comment>
    <comment ref="AG23" authorId="0" shapeId="0">
      <text>
        <t>모델값 역산(implied): v / 매출액
매출액 × OPM(최근 8분기 OPM 중위 13.3% 유지(클립 −20~40%))</t>
      </text>
    </comment>
    <comment ref="AH23" authorId="0" shapeId="0">
      <text>
        <t>모델값 역산(implied): v / 매출액
매출액 × OPM(최근 8분기 OPM 중위 13.3% 유지(클립 −20~40%))</t>
      </text>
    </comment>
    <comment ref="AI23" authorId="0" shapeId="0">
      <text>
        <t>모델값 역산(implied): v / 매출액
매출액 × OPM(최근 8분기 OPM 중위 13.3% 유지(클립 −20~40%))</t>
      </text>
    </comment>
    <comment ref="AK23" authorId="0" shapeId="0">
      <text>
        <t>모델값 역산(implied): v / 매출액
매출액 × OPM(최근 8분기 OPM 중위 13.3% 유지(클립 −20~40%))</t>
      </text>
    </comment>
    <comment ref="AL23" authorId="0" shapeId="0">
      <text>
        <t>모델값 역산(implied): v / 매출액
매출액 × OPM(최근 8분기 OPM 중위 13.3% 유지(클립 −20~40%))</t>
      </text>
    </comment>
    <comment ref="AM23" authorId="0" shapeId="0">
      <text>
        <t>모델값 역산(implied): v / 매출액
매출액 × OPM(최근 8분기 OPM 중위 13.3% 유지(클립 −20~40%))</t>
      </text>
    </comment>
    <comment ref="AN23" authorId="0" shapeId="0">
      <text>
        <t>모델값 역산(implied): v / 매출액
매출액 × OPM(최근 8분기 OPM 중위 13.3%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D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F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G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H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I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K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L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M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N25" authorId="0" shapeId="0">
      <text>
        <t>3절 스칼라 '세율' 참조 — 숫자로 덮어쓰면 이 분기만 바뀐다
max(세전, 0) × 세율 19.6%(최근 12분기 유효세율 -3.3% 가 5~27% 밖 → 클립 대신 최근 8분기 중 세전 &gt; 0 인 8분기(2024Q3~2026Q2)의 법인세/세전 중위 19.6%)</t>
      </text>
    </comment>
    <comment ref="AC26" authorId="0" shapeId="0">
      <text>
        <t>3절 스칼라 '지배주주비중' 참조 — 숫자로 덮어쓰면 이 분기만 바뀐다
당기순이익 × (1 − 비지배 비중 0.0%, 최근 8분기 실측)</t>
      </text>
    </comment>
    <comment ref="AD26" authorId="0" shapeId="0">
      <text>
        <t>3절 스칼라 '지배주주비중' 참조 — 숫자로 덮어쓰면 이 분기만 바뀐다
당기순이익 × (1 − 비지배 비중 0.0%, 최근 8분기 실측)</t>
      </text>
    </comment>
    <comment ref="AF26" authorId="0" shapeId="0">
      <text>
        <t>3절 스칼라 '지배주주비중' 참조 — 숫자로 덮어쓰면 이 분기만 바뀐다
당기순이익 × (1 − 비지배 비중 0.0%, 최근 8분기 실측)</t>
      </text>
    </comment>
    <comment ref="AG26" authorId="0" shapeId="0">
      <text>
        <t>3절 스칼라 '지배주주비중' 참조 — 숫자로 덮어쓰면 이 분기만 바뀐다
당기순이익 × (1 − 비지배 비중 0.0%, 최근 8분기 실측)</t>
      </text>
    </comment>
    <comment ref="AH26" authorId="0" shapeId="0">
      <text>
        <t>3절 스칼라 '지배주주비중' 참조 — 숫자로 덮어쓰면 이 분기만 바뀐다
당기순이익 × (1 − 비지배 비중 0.0%, 최근 8분기 실측)</t>
      </text>
    </comment>
    <comment ref="AI26" authorId="0" shapeId="0">
      <text>
        <t>3절 스칼라 '지배주주비중' 참조 — 숫자로 덮어쓰면 이 분기만 바뀐다
당기순이익 × (1 − 비지배 비중 0.0%, 최근 8분기 실측)</t>
      </text>
    </comment>
    <comment ref="AK26" authorId="0" shapeId="0">
      <text>
        <t>3절 스칼라 '지배주주비중' 참조 — 숫자로 덮어쓰면 이 분기만 바뀐다
당기순이익 × (1 − 비지배 비중 0.0%, 최근 8분기 실측)</t>
      </text>
    </comment>
    <comment ref="AL26" authorId="0" shapeId="0">
      <text>
        <t>3절 스칼라 '지배주주비중' 참조 — 숫자로 덮어쓰면 이 분기만 바뀐다
당기순이익 × (1 − 비지배 비중 0.0%, 최근 8분기 실측)</t>
      </text>
    </comment>
    <comment ref="AM26" authorId="0" shapeId="0">
      <text>
        <t>3절 스칼라 '지배주주비중' 참조 — 숫자로 덮어쓰면 이 분기만 바뀐다
당기순이익 × (1 − 비지배 비중 0.0%, 최근 8분기 실측)</t>
      </text>
    </comment>
    <comment ref="AN26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8" authorId="0" shapeId="0">
      <text>
        <t>모델값 역산(implied): 전분기(시트값) + 당기순이익(시트 수식값) − v
전분기 + 당기순이익 − 배당(Q2 지급 가정)</t>
      </text>
    </comment>
    <comment ref="AD28" authorId="0" shapeId="0">
      <text>
        <t>모델값 역산(implied): 전분기(시트값) + 당기순이익(시트 수식값) − v
전분기 + 당기순이익 − 배당(Q2 지급 가정)</t>
      </text>
    </comment>
    <comment ref="AF28" authorId="0" shapeId="0">
      <text>
        <t>모델값 역산(implied): 전분기(시트값) + 당기순이익(시트 수식값) − v
전분기 + 당기순이익 − 배당(Q2 지급 가정)</t>
      </text>
    </comment>
    <comment ref="AG28" authorId="0" shapeId="0">
      <text>
        <t>모델값 역산(implied): 전분기(시트값) + 당기순이익(시트 수식값) − v
전분기 + 당기순이익 − 배당(Q2 지급 가정)</t>
      </text>
    </comment>
    <comment ref="AH28" authorId="0" shapeId="0">
      <text>
        <t>모델값 역산(implied): 전분기(시트값) + 당기순이익(시트 수식값) − v
전분기 + 당기순이익 − 배당(Q2 지급 가정)</t>
      </text>
    </comment>
    <comment ref="AI28" authorId="0" shapeId="0">
      <text>
        <t>모델값 역산(implied): 전분기(시트값) + 당기순이익(시트 수식값) − v
전분기 + 당기순이익 − 배당(Q2 지급 가정)</t>
      </text>
    </comment>
    <comment ref="AK28" authorId="0" shapeId="0">
      <text>
        <t>모델값 역산(implied): 전분기(시트값) + 당기순이익(시트 수식값) − v
전분기 + 당기순이익 − 배당(Q2 지급 가정)</t>
      </text>
    </comment>
    <comment ref="AL28" authorId="0" shapeId="0">
      <text>
        <t>모델값 역산(implied): 전분기(시트값) + 당기순이익(시트 수식값) − v
전분기 + 당기순이익 − 배당(Q2 지급 가정)</t>
      </text>
    </comment>
    <comment ref="AM28" authorId="0" shapeId="0">
      <text>
        <t>모델값 역산(implied): 전분기(시트값) + 당기순이익(시트 수식값) − v
전분기 + 당기순이익 − 배당(Q2 지급 가정)</t>
      </text>
    </comment>
    <comment ref="AN28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D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F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G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H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I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K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L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M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N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C32" authorId="0" shapeId="0">
      <text>
        <t>모델값 역산(implied): v / 전분기 − 1
전분기 + FCF 근사 — 순차입금 롤과 같은 가정</t>
      </text>
    </comment>
    <comment ref="AD32" authorId="0" shapeId="0">
      <text>
        <t>모델값 역산(implied): v / 전분기 − 1
전분기 + FCF 근사 — 순차입금 롤과 같은 가정</t>
      </text>
    </comment>
    <comment ref="AF32" authorId="0" shapeId="0">
      <text>
        <t>모델값 역산(implied): v / 전분기 − 1
전분기 + FCF 근사 — 순차입금 롤과 같은 가정</t>
      </text>
    </comment>
    <comment ref="AG32" authorId="0" shapeId="0">
      <text>
        <t>모델값 역산(implied): v / 전분기 − 1
전분기 + FCF 근사 — 순차입금 롤과 같은 가정</t>
      </text>
    </comment>
    <comment ref="AH32" authorId="0" shapeId="0">
      <text>
        <t>모델값 역산(implied): v / 전분기 − 1
전분기 + FCF 근사 — 순차입금 롤과 같은 가정</t>
      </text>
    </comment>
    <comment ref="AI32" authorId="0" shapeId="0">
      <text>
        <t>모델값 역산(implied): v / 전분기 − 1
전분기 + FCF 근사 — 순차입금 롤과 같은 가정</t>
      </text>
    </comment>
    <comment ref="AK32" authorId="0" shapeId="0">
      <text>
        <t>모델값 역산(implied): v / 전분기 − 1
전분기 + FCF 근사 — 순차입금 롤과 같은 가정</t>
      </text>
    </comment>
    <comment ref="AL32" authorId="0" shapeId="0">
      <text>
        <t>모델값 역산(implied): v / 전분기 − 1
전분기 + FCF 근사 — 순차입금 롤과 같은 가정</t>
      </text>
    </comment>
    <comment ref="AM32" authorId="0" shapeId="0">
      <text>
        <t>모델값 역산(implied): v / 전분기 − 1
전분기 + FCF 근사 — 순차입금 롤과 같은 가정</t>
      </text>
    </comment>
    <comment ref="AN32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20원 유지</t>
      </text>
    </comment>
    <comment ref="AI37" authorId="0" shapeId="0">
      <text>
        <t>모델값 역산(implied): 모델 v 그대로
직전 결산 DPS 20원 유지</t>
      </text>
    </comment>
    <comment ref="AN37" authorId="0" shapeId="0">
      <text>
        <t>모델값 역산(implied): 모델 v 그대로
직전 결산 DPS 20원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(1+20.0%) — g=최근 4분기 합 YoY 20.0% 클립(−30~+50%), 연차별 절반 감쇠(가정)
[yoy]</t>
      </text>
    </comment>
    <comment ref="AD5" authorId="0" shapeId="0">
      <text>
        <t>추정: 전년동기 × (1+20.0%) — g=최근 4분기 합 YoY 20.0% 클립(−30~+50%), 연차별 절반 감쇠(가정)
[yoy]</t>
      </text>
    </comment>
    <comment ref="AF5" authorId="0" shapeId="0">
      <text>
        <t>추정: 전년동기 × (1+20.0%) — g=최근 4분기 합 YoY 20.0% 클립(−30~+50%), 연차별 절반 감쇠(가정)
[yoy]</t>
      </text>
    </comment>
    <comment ref="AG5" authorId="0" shapeId="0">
      <text>
        <t>추정: 전년동기 × (1+20.0%) — g=최근 4분기 합 YoY 20.0% 클립(−30~+50%), 연차별 절반 감쇠(가정)
[yoy]</t>
      </text>
    </comment>
    <comment ref="AH5" authorId="0" shapeId="0">
      <text>
        <t>추정: 전년동기 × (1+10.0%) — g=최근 4분기 합 YoY 20.0% 클립(−30~+50%), 연차별 절반 감쇠(가정)
[yoy]</t>
      </text>
    </comment>
    <comment ref="AI5" authorId="0" shapeId="0">
      <text>
        <t>추정: 전년동기 × (1+10.0%) — g=최근 4분기 합 YoY 20.0% 클립(−30~+50%), 연차별 절반 감쇠(가정)
[yoy]</t>
      </text>
    </comment>
    <comment ref="AK5" authorId="0" shapeId="0">
      <text>
        <t>추정: 전년동기 × (1+10.0%) — g=최근 4분기 합 YoY 20.0% 클립(−30~+50%), 연차별 절반 감쇠(가정)
[yoy]</t>
      </text>
    </comment>
    <comment ref="AL5" authorId="0" shapeId="0">
      <text>
        <t>추정: 전년동기 × (1+10.0%) — g=최근 4분기 합 YoY 20.0% 클립(−30~+50%), 연차별 절반 감쇠(가정)
[yoy]</t>
      </text>
    </comment>
    <comment ref="AM5" authorId="0" shapeId="0">
      <text>
        <t>추정: 전년동기 × (1+5.0%) — g=최근 4분기 합 YoY 20.0% 클립(−30~+50%), 연차별 절반 감쇠(가정)
[yoy]</t>
      </text>
    </comment>
    <comment ref="AN5" authorId="0" shapeId="0">
      <text>
        <t>추정: 전년동기 × (1+5.0%) — g=최근 4분기 합 YoY 20.0%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6.08%(최근 4분기 중위)
[ratio]</t>
      </text>
    </comment>
    <comment ref="AD8" authorId="0" shapeId="0">
      <text>
        <t>추정: 매출액 × 판관비율 6.08%(최근 4분기 중위)
[ratio]</t>
      </text>
    </comment>
    <comment ref="AF8" authorId="0" shapeId="0">
      <text>
        <t>추정: 매출액 × 판관비율 6.08%(최근 4분기 중위)
[ratio]</t>
      </text>
    </comment>
    <comment ref="AG8" authorId="0" shapeId="0">
      <text>
        <t>추정: 매출액 × 판관비율 6.08%(최근 4분기 중위)
[ratio]</t>
      </text>
    </comment>
    <comment ref="AH8" authorId="0" shapeId="0">
      <text>
        <t>추정: 매출액 × 판관비율 6.08%(최근 4분기 중위)
[ratio]</t>
      </text>
    </comment>
    <comment ref="AI8" authorId="0" shapeId="0">
      <text>
        <t>추정: 매출액 × 판관비율 6.08%(최근 4분기 중위)
[ratio]</t>
      </text>
    </comment>
    <comment ref="AK8" authorId="0" shapeId="0">
      <text>
        <t>추정: 매출액 × 판관비율 6.08%(최근 4분기 중위)
[ratio]</t>
      </text>
    </comment>
    <comment ref="AL8" authorId="0" shapeId="0">
      <text>
        <t>추정: 매출액 × 판관비율 6.08%(최근 4분기 중위)
[ratio]</t>
      </text>
    </comment>
    <comment ref="AM8" authorId="0" shapeId="0">
      <text>
        <t>추정: 매출액 × 판관비율 6.08%(최근 4분기 중위)
[ratio]</t>
      </text>
    </comment>
    <comment ref="AN8" authorId="0" shapeId="0">
      <text>
        <t>추정: 매출액 × 판관비율 6.08%(최근 4분기 중위)
[ratio]</t>
      </text>
    </comment>
    <comment ref="AC9" authorId="0" shapeId="0">
      <text>
        <t>추정: 매출액 × OPM(최근 8분기 OPM 중위 13.3% 유지(클립 −20~40%))
[ratio]</t>
      </text>
    </comment>
    <comment ref="AD9" authorId="0" shapeId="0">
      <text>
        <t>추정: 매출액 × OPM(최근 8분기 OPM 중위 13.3% 유지(클립 −20~40%))
[ratio]</t>
      </text>
    </comment>
    <comment ref="AF9" authorId="0" shapeId="0">
      <text>
        <t>추정: 매출액 × OPM(최근 8분기 OPM 중위 13.3% 유지(클립 −20~40%))
[ratio]</t>
      </text>
    </comment>
    <comment ref="AG9" authorId="0" shapeId="0">
      <text>
        <t>추정: 매출액 × OPM(최근 8분기 OPM 중위 13.3% 유지(클립 −20~40%))
[ratio]</t>
      </text>
    </comment>
    <comment ref="AH9" authorId="0" shapeId="0">
      <text>
        <t>추정: 매출액 × OPM(최근 8분기 OPM 중위 13.3% 유지(클립 −20~40%))
[ratio]</t>
      </text>
    </comment>
    <comment ref="AI9" authorId="0" shapeId="0">
      <text>
        <t>추정: 매출액 × OPM(최근 8분기 OPM 중위 13.3% 유지(클립 −20~40%))
[ratio]</t>
      </text>
    </comment>
    <comment ref="AK9" authorId="0" shapeId="0">
      <text>
        <t>추정: 매출액 × OPM(최근 8분기 OPM 중위 13.3% 유지(클립 −20~40%))
[ratio]</t>
      </text>
    </comment>
    <comment ref="AL9" authorId="0" shapeId="0">
      <text>
        <t>추정: 매출액 × OPM(최근 8분기 OPM 중위 13.3% 유지(클립 −20~40%))
[ratio]</t>
      </text>
    </comment>
    <comment ref="AM9" authorId="0" shapeId="0">
      <text>
        <t>추정: 매출액 × OPM(최근 8분기 OPM 중위 13.3% 유지(클립 −20~40%))
[ratio]</t>
      </text>
    </comment>
    <comment ref="AN9" authorId="0" shapeId="0">
      <text>
        <t>추정: 매출액 × OPM(최근 8분기 OPM 중위 13.3% 유지(클립 −20~40%))
[ratio]</t>
      </text>
    </comment>
    <comment ref="AC10" authorId="0" shapeId="0">
      <text>
        <t>추정: 최근 8분기 OPM 중위 13.3% 유지(클립 −20~40%)
[divide]</t>
      </text>
    </comment>
    <comment ref="AD10" authorId="0" shapeId="0">
      <text>
        <t>추정: 최근 8분기 OPM 중위 13.3% 유지(클립 −20~40%)
[divide]</t>
      </text>
    </comment>
    <comment ref="AF10" authorId="0" shapeId="0">
      <text>
        <t>추정: 최근 8분기 OPM 중위 13.3% 유지(클립 −20~40%)
[divide]</t>
      </text>
    </comment>
    <comment ref="AG10" authorId="0" shapeId="0">
      <text>
        <t>추정: 최근 8분기 OPM 중위 13.3% 유지(클립 −20~40%)
[divide]</t>
      </text>
    </comment>
    <comment ref="AH10" authorId="0" shapeId="0">
      <text>
        <t>추정: 최근 8분기 OPM 중위 13.3% 유지(클립 −20~40%)
[divide]</t>
      </text>
    </comment>
    <comment ref="AI10" authorId="0" shapeId="0">
      <text>
        <t>추정: 최근 8분기 OPM 중위 13.3% 유지(클립 −20~40%)
[divide]</t>
      </text>
    </comment>
    <comment ref="AK10" authorId="0" shapeId="0">
      <text>
        <t>추정: 최근 8분기 OPM 중위 13.3% 유지(클립 −20~40%)
[divide]</t>
      </text>
    </comment>
    <comment ref="AL10" authorId="0" shapeId="0">
      <text>
        <t>추정: 최근 8분기 OPM 중위 13.3% 유지(클립 −20~40%)
[divide]</t>
      </text>
    </comment>
    <comment ref="AM10" authorId="0" shapeId="0">
      <text>
        <t>추정: 최근 8분기 OPM 중위 13.3% 유지(클립 −20~40%)
[divide]</t>
      </text>
    </comment>
    <comment ref="AN10" authorId="0" shapeId="0">
      <text>
        <t>추정: 최근 8분기 OPM 중위 13.3%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182억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209억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237억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265억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293억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323억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355억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387억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419억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451억 × 0.96%(주석 이자수익 ÷ 평균 이자발생자산(2025Q3~2026Q2)) − 총차입금 459억 × 5.27%(주석 이자비용 ÷ 평균 총차입금(2025Q3~2026Q2)) (연율) ÷ 4; 환율 효과는 환관련손익 행 별도
[identity]</t>
      </text>
    </comment>
    <comment ref="AC12" authorId="0" shapeId="0">
      <text>
        <t>추정: 이자발생자산 182억 × 0.96%(주석 이자수익 ÷ 평균 이자발생자산(2025Q3~2026Q2)) − 총차입금 459억 × 5.27%(주석 이자비용 ÷ 평균 총차입금(2025Q3~2026Q2)) (연율) ÷ 4
[interest]</t>
      </text>
    </comment>
    <comment ref="AD12" authorId="0" shapeId="0">
      <text>
        <t>추정: 이자발생자산 209억 × 0.96%(주석 이자수익 ÷ 평균 이자발생자산(2025Q3~2026Q2)) − 총차입금 459억 × 5.27%(주석 이자비용 ÷ 평균 총차입금(2025Q3~2026Q2)) (연율) ÷ 4
[interest]</t>
      </text>
    </comment>
    <comment ref="AF12" authorId="0" shapeId="0">
      <text>
        <t>추정: 이자발생자산 237억 × 0.96%(주석 이자수익 ÷ 평균 이자발생자산(2025Q3~2026Q2)) − 총차입금 459억 × 5.27%(주석 이자비용 ÷ 평균 총차입금(2025Q3~2026Q2)) (연율) ÷ 4
[interest]</t>
      </text>
    </comment>
    <comment ref="AG12" authorId="0" shapeId="0">
      <text>
        <t>추정: 이자발생자산 265억 × 0.96%(주석 이자수익 ÷ 평균 이자발생자산(2025Q3~2026Q2)) − 총차입금 459억 × 5.27%(주석 이자비용 ÷ 평균 총차입금(2025Q3~2026Q2)) (연율) ÷ 4
[interest]</t>
      </text>
    </comment>
    <comment ref="AH12" authorId="0" shapeId="0">
      <text>
        <t>추정: 이자발생자산 293억 × 0.96%(주석 이자수익 ÷ 평균 이자발생자산(2025Q3~2026Q2)) − 총차입금 459억 × 5.27%(주석 이자비용 ÷ 평균 총차입금(2025Q3~2026Q2)) (연율) ÷ 4
[interest]</t>
      </text>
    </comment>
    <comment ref="AI12" authorId="0" shapeId="0">
      <text>
        <t>추정: 이자발생자산 323억 × 0.96%(주석 이자수익 ÷ 평균 이자발생자산(2025Q3~2026Q2)) − 총차입금 459억 × 5.27%(주석 이자비용 ÷ 평균 총차입금(2025Q3~2026Q2)) (연율) ÷ 4
[interest]</t>
      </text>
    </comment>
    <comment ref="AK12" authorId="0" shapeId="0">
      <text>
        <t>추정: 이자발생자산 355억 × 0.96%(주석 이자수익 ÷ 평균 이자발생자산(2025Q3~2026Q2)) − 총차입금 459억 × 5.27%(주석 이자비용 ÷ 평균 총차입금(2025Q3~2026Q2)) (연율) ÷ 4
[interest]</t>
      </text>
    </comment>
    <comment ref="AL12" authorId="0" shapeId="0">
      <text>
        <t>추정: 이자발생자산 387억 × 0.96%(주석 이자수익 ÷ 평균 이자발생자산(2025Q3~2026Q2)) − 총차입금 459억 × 5.27%(주석 이자비용 ÷ 평균 총차입금(2025Q3~2026Q2)) (연율) ÷ 4
[interest]</t>
      </text>
    </comment>
    <comment ref="AM12" authorId="0" shapeId="0">
      <text>
        <t>추정: 이자발생자산 419억 × 0.96%(주석 이자수익 ÷ 평균 이자발생자산(2025Q3~2026Q2)) − 총차입금 459억 × 5.27%(주석 이자비용 ÷ 평균 총차입금(2025Q3~2026Q2)) (연율) ÷ 4
[interest]</t>
      </text>
    </comment>
    <comment ref="AN12" authorId="0" shapeId="0">
      <text>
        <t>추정: 이자발생자산 451억 × 0.96%(주석 이자수익 ÷ 평균 이자발생자산(2025Q3~2026Q2)) − 총차입금 459억 × 5.27%(주석 이자비용 ÷ 평균 총차입금(2025Q3~2026Q2))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D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F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G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H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I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K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L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M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N15" authorId="0" shapeId="0">
      <text>
        <t>추정: max(세전, 0) × 세율 19.6%(최근 12분기 유효세율 -3.3% 가 5~27% 밖 → 클립 대신 최근 8분기 중 세전 &gt; 0 인 8분기(2024Q3~2026Q2)의 법인세/세전 중위 19.6%)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C17" authorId="0" shapeId="0">
      <text>
        <t>추정: 당기순이익 × (1 − 비지배 비중 0.0%, 최근 8분기 실측)
[ratio]</t>
      </text>
    </comment>
    <comment ref="AD17" authorId="0" shapeId="0">
      <text>
        <t>추정: 당기순이익 × (1 − 비지배 비중 0.0%, 최근 8분기 실측)
[ratio]</t>
      </text>
    </comment>
    <comment ref="AF17" authorId="0" shapeId="0">
      <text>
        <t>추정: 당기순이익 × (1 − 비지배 비중 0.0%, 최근 8분기 실측)
[ratio]</t>
      </text>
    </comment>
    <comment ref="AG17" authorId="0" shapeId="0">
      <text>
        <t>추정: 당기순이익 × (1 − 비지배 비중 0.0%, 최근 8분기 실측)
[ratio]</t>
      </text>
    </comment>
    <comment ref="AH17" authorId="0" shapeId="0">
      <text>
        <t>추정: 당기순이익 × (1 − 비지배 비중 0.0%, 최근 8분기 실측)
[ratio]</t>
      </text>
    </comment>
    <comment ref="AI17" authorId="0" shapeId="0">
      <text>
        <t>추정: 당기순이익 × (1 − 비지배 비중 0.0%, 최근 8분기 실측)
[ratio]</t>
      </text>
    </comment>
    <comment ref="AK17" authorId="0" shapeId="0">
      <text>
        <t>추정: 당기순이익 × (1 − 비지배 비중 0.0%, 최근 8분기 실측)
[ratio]</t>
      </text>
    </comment>
    <comment ref="AL17" authorId="0" shapeId="0">
      <text>
        <t>추정: 당기순이익 × (1 − 비지배 비중 0.0%, 최근 8분기 실측)
[ratio]</t>
      </text>
    </comment>
    <comment ref="AM17" authorId="0" shapeId="0">
      <text>
        <t>추정: 당기순이익 × (1 − 비지배 비중 0.0%, 최근 8분기 실측)
[ratio]</t>
      </text>
    </comment>
    <comment ref="AN17" authorId="0" shapeId="0">
      <text>
        <t>추정: 당기순이익 × (1 − 비지배 비중 0.0%, 최근 8분기 실측)
[ratio]</t>
      </text>
    </comment>
    <comment ref="F18" authorId="0" shapeId="0">
      <text>
        <t>연간 실측(BS 시트에 2021.12A 없음 — 모델 a 값 직접)</t>
      </text>
    </comment>
    <comment ref="AC18" authorId="0" shapeId="0">
      <text>
        <t>추정: 부채총계 + 자본총계(항등식)
[identity]</t>
      </text>
    </comment>
    <comment ref="AD18" authorId="0" shapeId="0">
      <text>
        <t>추정: 부채총계 + 자본총계(항등식)
[identity]</t>
      </text>
    </comment>
    <comment ref="AF18" authorId="0" shapeId="0">
      <text>
        <t>추정: 부채총계 + 자본총계(항등식)
[identity]</t>
      </text>
    </comment>
    <comment ref="AG18" authorId="0" shapeId="0">
      <text>
        <t>추정: 부채총계 + 자본총계(항등식)
[identity]</t>
      </text>
    </comment>
    <comment ref="AH18" authorId="0" shapeId="0">
      <text>
        <t>추정: 부채총계 + 자본총계(항등식)
[identity]</t>
      </text>
    </comment>
    <comment ref="AI18" authorId="0" shapeId="0">
      <text>
        <t>추정: 부채총계 + 자본총계(항등식)
[identity]</t>
      </text>
    </comment>
    <comment ref="AK18" authorId="0" shapeId="0">
      <text>
        <t>추정: 부채총계 + 자본총계(항등식)
[identity]</t>
      </text>
    </comment>
    <comment ref="AL18" authorId="0" shapeId="0">
      <text>
        <t>추정: 부채총계 + 자본총계(항등식)
[identity]</t>
      </text>
    </comment>
    <comment ref="AM18" authorId="0" shapeId="0">
      <text>
        <t>추정: 부채총계 + 자본총계(항등식)
[identity]</t>
      </text>
    </comment>
    <comment ref="AN18" authorId="0" shapeId="0">
      <text>
        <t>추정: 부채총계 + 자본총계(항등식)
[identity]</t>
      </text>
    </comment>
    <comment ref="F19" authorId="0" shapeId="0">
      <text>
        <t>연간 실측(BS 시트에 2021.12A 없음 — 모델 a 값 직접)</t>
      </text>
    </comment>
    <comment ref="AC19" authorId="0" shapeId="0">
      <text>
        <t>추정: 마지막 실적 유지(가정)
[qoq]</t>
      </text>
    </comment>
    <comment ref="AD19" authorId="0" shapeId="0">
      <text>
        <t>추정: 마지막 실적 유지(가정)
[qoq]</t>
      </text>
    </comment>
    <comment ref="AF19" authorId="0" shapeId="0">
      <text>
        <t>추정: 마지막 실적 유지(가정)
[qoq]</t>
      </text>
    </comment>
    <comment ref="AG19" authorId="0" shapeId="0">
      <text>
        <t>추정: 마지막 실적 유지(가정)
[qoq]</t>
      </text>
    </comment>
    <comment ref="AH19" authorId="0" shapeId="0">
      <text>
        <t>추정: 마지막 실적 유지(가정)
[qoq]</t>
      </text>
    </comment>
    <comment ref="AI19" authorId="0" shapeId="0">
      <text>
        <t>추정: 마지막 실적 유지(가정)
[qoq]</t>
      </text>
    </comment>
    <comment ref="AK19" authorId="0" shapeId="0">
      <text>
        <t>추정: 마지막 실적 유지(가정)
[qoq]</t>
      </text>
    </comment>
    <comment ref="AL19" authorId="0" shapeId="0">
      <text>
        <t>추정: 마지막 실적 유지(가정)
[qoq]</t>
      </text>
    </comment>
    <comment ref="AM19" authorId="0" shapeId="0">
      <text>
        <t>추정: 마지막 실적 유지(가정)
[qoq]</t>
      </text>
    </comment>
    <comment ref="AN19" authorId="0" shapeId="0">
      <text>
        <t>추정: 마지막 실적 유지(가정)
[qoq]</t>
      </text>
    </comment>
    <comment ref="F20" authorId="0" shapeId="0">
      <text>
        <t>연간 실측(BS 시트에 2021.12A 없음 — 모델 a 값 직접)</t>
      </text>
    </comment>
    <comment ref="AC20" authorId="0" shapeId="0">
      <text>
        <t>추정: 전분기 + 당기순이익 − 배당(Q2 지급 가정)
[roll]</t>
      </text>
    </comment>
    <comment ref="AD20" authorId="0" shapeId="0">
      <text>
        <t>추정: 전분기 + 당기순이익 − 배당(Q2 지급 가정)
[roll]</t>
      </text>
    </comment>
    <comment ref="AF20" authorId="0" shapeId="0">
      <text>
        <t>추정: 전분기 + 당기순이익 − 배당(Q2 지급 가정)
[roll]</t>
      </text>
    </comment>
    <comment ref="AG20" authorId="0" shapeId="0">
      <text>
        <t>추정: 전분기 + 당기순이익 − 배당(Q2 지급 가정)
[roll]</t>
      </text>
    </comment>
    <comment ref="AH20" authorId="0" shapeId="0">
      <text>
        <t>추정: 전분기 + 당기순이익 − 배당(Q2 지급 가정)
[roll]</t>
      </text>
    </comment>
    <comment ref="AI20" authorId="0" shapeId="0">
      <text>
        <t>추정: 전분기 + 당기순이익 − 배당(Q2 지급 가정)
[roll]</t>
      </text>
    </comment>
    <comment ref="AK20" authorId="0" shapeId="0">
      <text>
        <t>추정: 전분기 + 당기순이익 − 배당(Q2 지급 가정)
[roll]</t>
      </text>
    </comment>
    <comment ref="AL20" authorId="0" shapeId="0">
      <text>
        <t>추정: 전분기 + 당기순이익 − 배당(Q2 지급 가정)
[roll]</t>
      </text>
    </comment>
    <comment ref="AM20" authorId="0" shapeId="0">
      <text>
        <t>추정: 전분기 + 당기순이익 − 배당(Q2 지급 가정)
[roll]</t>
      </text>
    </comment>
    <comment ref="AN20" authorId="0" shapeId="0">
      <text>
        <t>추정: 전분기 + 당기순이익 − 배당(Q2 지급 가정)
[roll]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전분기 + 지배주주순이익 − 배당
[roll]</t>
      </text>
    </comment>
    <comment ref="AD21" authorId="0" shapeId="0">
      <text>
        <t>추정: 전분기 + 지배주주순이익 − 배당
[roll]</t>
      </text>
    </comment>
    <comment ref="AF21" authorId="0" shapeId="0">
      <text>
        <t>추정: 전분기 + 지배주주순이익 − 배당
[roll]</t>
      </text>
    </comment>
    <comment ref="AG21" authorId="0" shapeId="0">
      <text>
        <t>추정: 전분기 + 지배주주순이익 − 배당
[roll]</t>
      </text>
    </comment>
    <comment ref="AH21" authorId="0" shapeId="0">
      <text>
        <t>추정: 전분기 + 지배주주순이익 − 배당
[roll]</t>
      </text>
    </comment>
    <comment ref="AI21" authorId="0" shapeId="0">
      <text>
        <t>추정: 전분기 + 지배주주순이익 − 배당
[roll]</t>
      </text>
    </comment>
    <comment ref="AK21" authorId="0" shapeId="0">
      <text>
        <t>추정: 전분기 + 지배주주순이익 − 배당
[roll]</t>
      </text>
    </comment>
    <comment ref="AL21" authorId="0" shapeId="0">
      <text>
        <t>추정: 전분기 + 지배주주순이익 − 배당
[roll]</t>
      </text>
    </comment>
    <comment ref="AM21" authorId="0" shapeId="0">
      <text>
        <t>추정: 전분기 + 지배주주순이익 − 배당
[roll]</t>
      </text>
    </comment>
    <comment ref="AN21" authorId="0" shapeId="0">
      <text>
        <t>추정: 전분기 + 지배주주순이익 − 배당
[roll]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D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F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G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H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I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K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L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M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N23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전분기 + FCF 근사 — 순차입금 롤과 같은 가정
[qoq]</t>
      </text>
    </comment>
    <comment ref="AD24" authorId="0" shapeId="0">
      <text>
        <t>추정: 전분기 + FCF 근사 — 순차입금 롤과 같은 가정
[qoq]</t>
      </text>
    </comment>
    <comment ref="AF24" authorId="0" shapeId="0">
      <text>
        <t>추정: 전분기 + FCF 근사 — 순차입금 롤과 같은 가정
[qoq]</t>
      </text>
    </comment>
    <comment ref="AG24" authorId="0" shapeId="0">
      <text>
        <t>추정: 전분기 + FCF 근사 — 순차입금 롤과 같은 가정
[qoq]</t>
      </text>
    </comment>
    <comment ref="AH24" authorId="0" shapeId="0">
      <text>
        <t>추정: 전분기 + FCF 근사 — 순차입금 롤과 같은 가정
[qoq]</t>
      </text>
    </comment>
    <comment ref="AI24" authorId="0" shapeId="0">
      <text>
        <t>추정: 전분기 + FCF 근사 — 순차입금 롤과 같은 가정
[qoq]</t>
      </text>
    </comment>
    <comment ref="AK24" authorId="0" shapeId="0">
      <text>
        <t>추정: 전분기 + FCF 근사 — 순차입금 롤과 같은 가정
[qoq]</t>
      </text>
    </comment>
    <comment ref="AL24" authorId="0" shapeId="0">
      <text>
        <t>추정: 전분기 + FCF 근사 — 순차입금 롤과 같은 가정
[qoq]</t>
      </text>
    </comment>
    <comment ref="AM24" authorId="0" shapeId="0">
      <text>
        <t>추정: 전분기 + FCF 근사 — 순차입금 롤과 같은 가정
[qoq]</t>
      </text>
    </comment>
    <comment ref="AN24" authorId="0" shapeId="0">
      <text>
        <t>추정: 전분기 + FCF 근사 — 순차입금 롤과 같은 가정
[qoq]</t>
      </text>
    </comment>
    <comment ref="F25" authorId="0" shapeId="0">
      <text>
        <t>연간 실측(BS 시트에 2021.12A 없음 — 모델 a 값 직접)</t>
      </text>
    </comment>
    <comment ref="AC26" authorId="0" shapeId="0">
      <text>
        <t>추정: 최근 4분기(2025Q3~2026Q2) CAPEX 중위 유지 — 순차입금 롤에 미반영(감가상각비 없음 → CAPEX≈감가 가정)
[yoy]</t>
      </text>
    </comment>
    <comment ref="AD26" authorId="0" shapeId="0">
      <text>
        <t>추정: 최근 4분기(2025Q3~2026Q2) CAPEX 중위 유지 — 순차입금 롤에 미반영(감가상각비 없음 → CAPEX≈감가 가정)
[yoy]</t>
      </text>
    </comment>
    <comment ref="AF26" authorId="0" shapeId="0">
      <text>
        <t>추정: 최근 4분기(2025Q3~2026Q2) CAPEX 중위 유지 — 순차입금 롤에 미반영(감가상각비 없음 → CAPEX≈감가 가정)
[yoy]</t>
      </text>
    </comment>
    <comment ref="AG26" authorId="0" shapeId="0">
      <text>
        <t>추정: 최근 4분기(2025Q3~2026Q2) CAPEX 중위 유지 — 순차입금 롤에 미반영(감가상각비 없음 → CAPEX≈감가 가정)
[yoy]</t>
      </text>
    </comment>
    <comment ref="AH26" authorId="0" shapeId="0">
      <text>
        <t>추정: 최근 4분기(2025Q3~2026Q2) CAPEX 중위 유지 — 순차입금 롤에 미반영(감가상각비 없음 → CAPEX≈감가 가정)
[yoy]</t>
      </text>
    </comment>
    <comment ref="AI26" authorId="0" shapeId="0">
      <text>
        <t>추정: 최근 4분기(2025Q3~2026Q2) CAPEX 중위 유지 — 순차입금 롤에 미반영(감가상각비 없음 → CAPEX≈감가 가정)
[yoy]</t>
      </text>
    </comment>
    <comment ref="AK26" authorId="0" shapeId="0">
      <text>
        <t>추정: 최근 4분기(2025Q3~2026Q2) CAPEX 중위 유지 — 순차입금 롤에 미반영(감가상각비 없음 → CAPEX≈감가 가정)
[yoy]</t>
      </text>
    </comment>
    <comment ref="AL26" authorId="0" shapeId="0">
      <text>
        <t>추정: 최근 4분기(2025Q3~2026Q2) CAPEX 중위 유지 — 순차입금 롤에 미반영(감가상각비 없음 → CAPEX≈감가 가정)
[yoy]</t>
      </text>
    </comment>
    <comment ref="AM26" authorId="0" shapeId="0">
      <text>
        <t>추정: 최근 4분기(2025Q3~2026Q2) CAPEX 중위 유지 — 순차입금 롤에 미반영(감가상각비 없음 → CAPEX≈감가 가정)
[yoy]</t>
      </text>
    </comment>
    <comment ref="AN26" authorId="0" shapeId="0">
      <text>
        <t>추정: 최근 4분기(2025Q3~2026Q2) CAPEX 중위 유지 — 순차입금 롤에 미반영(감가상각비 없음 → CAPEX≈감가 가정)
[yoy]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20원 유지
[abs]</t>
      </text>
    </comment>
    <comment ref="AI31" authorId="0" shapeId="0">
      <text>
        <t>추정: 직전 결산 DPS 20원 유지
[abs]</t>
      </text>
    </comment>
    <comment ref="AN31" authorId="0" shapeId="0">
      <text>
        <t>추정: 직전 결산 DPS 20원 유지
[abs]</t>
      </text>
    </comment>
    <comment ref="AC32" authorId="0" shapeId="0">
      <text>
        <t>추정: 현재 종가 ÷ TTM EPS(추정 포함)
[valuation]</t>
      </text>
    </comment>
    <comment ref="AD32" authorId="0" shapeId="0">
      <text>
        <t>추정: 현재 종가 ÷ TTM EPS(추정 포함)
[valuation]</t>
      </text>
    </comment>
    <comment ref="AF32" authorId="0" shapeId="0">
      <text>
        <t>추정: 현재 종가 ÷ TTM EPS(추정 포함)
[valuation]</t>
      </text>
    </comment>
    <comment ref="AG32" authorId="0" shapeId="0">
      <text>
        <t>추정: 현재 종가 ÷ TTM EPS(추정 포함)
[valuation]</t>
      </text>
    </comment>
    <comment ref="AH32" authorId="0" shapeId="0">
      <text>
        <t>추정: 현재 종가 ÷ TTM EPS(추정 포함)
[valuation]</t>
      </text>
    </comment>
    <comment ref="AI32" authorId="0" shapeId="0">
      <text>
        <t>추정: 현재 종가 ÷ TTM EPS(추정 포함)
[valuation]</t>
      </text>
    </comment>
    <comment ref="AK32" authorId="0" shapeId="0">
      <text>
        <t>추정: 현재 종가 ÷ TTM EPS(추정 포함)
[valuation]</t>
      </text>
    </comment>
    <comment ref="AL32" authorId="0" shapeId="0">
      <text>
        <t>추정: 현재 종가 ÷ TTM EPS(추정 포함)
[valuation]</t>
      </text>
    </comment>
    <comment ref="AM32" authorId="0" shapeId="0">
      <text>
        <t>추정: 현재 종가 ÷ TTM EPS(추정 포함)
[valuation]</t>
      </text>
    </comment>
    <comment ref="AN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케이에스피(073010)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19.61% — 법인세 = MAX(세전,0) × 세율, 추정 전 분기 연결(Σ법인세/Σmax(세전,0) 역산, 재현 오차 ≤ 0.05억). 모델 가정 19.62% · 근거: 최근 12분기 유효세율 -3.3% 가 5~27% 밖 → 클립 대신 최근 8분기 중 세전 &gt; 0 인 8분기(2024Q3~2026Q2)의 법인세/세전 중위 19.6%</t>
        </is>
      </c>
    </row>
    <row r="23">
      <c r="A23" t="inlineStr">
        <is>
          <t>· 판관비율 6.08%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0.96% / 부채 5.27% — 이자손익 = (전분기 이자발생자산 × 자산이자율 − 전분기 총차입금 × 부채이자율)/4, 최소자승 역산(모델 assumptions [0.0096, 0.0527]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10.7/13.5/21.5배(hist_quarterly(분기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assets/models/073010.json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연결 손익 없는 분기 13개는 별도 재무제표로 보충(셀 src 표기; fin issues no_cons_statements·no_prior_ytd; 겹치는 마지막 분기 2026Q2 연결/별도 매출 +6.6%): 2021Q4, 2022Q1, 2022Q2, 2022Q3, 2022Q4, 2023Q1, 2023Q2, 2023Q3, 2023Q4, 2024Q1, 2024Q2, 2024Q3… / 감가상각비가 face·CF 에 없음(주석 미파싱) → EBITDA·EV/EBITDA 미산출</t>
        </is>
      </c>
    </row>
    <row r="34">
      <c r="A34" t="inlineStr">
        <is>
          <t>백테스트: {"freeze": "2025Q2", "horizon": 4, "revenue_wape_pct": 13.0, "op_wape_pct": 18.7,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198.97, "rev_act": 242.19, "op_pred": 33.86, "op_act": 29.53}, {"q": "2025Q4", "rev_pred": 253.45, "rev_act": 258.99, "op_pred": 43.14, "op_act": 24.37}, {"q": "2026Q1", "rev_pred": 227.13, "rev_act": 250.21, "op_pred": 38.66, "op_act": 40.26}, {"q": "2026Q2", "rev_pred": 247.23, "rev_act": 313.58, "op_pred": 42.08, "op_act": 42.97}]}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1862</v>
      </c>
      <c r="F15" s="9" t="n"/>
      <c r="G15" s="18" t="n">
        <v>1901</v>
      </c>
      <c r="H15" s="18" t="n">
        <v>2221</v>
      </c>
      <c r="I15" s="18" t="n">
        <v>1793</v>
      </c>
      <c r="J15" s="18" t="n">
        <v>1724</v>
      </c>
      <c r="K15" s="9" t="n"/>
      <c r="L15" s="18" t="n">
        <v>1741</v>
      </c>
      <c r="M15" s="18" t="n">
        <v>2527</v>
      </c>
      <c r="N15" s="18" t="n">
        <v>2743</v>
      </c>
      <c r="O15" s="18" t="n">
        <v>2950</v>
      </c>
      <c r="P15" s="9" t="n"/>
      <c r="Q15" s="18" t="n">
        <v>3680</v>
      </c>
      <c r="R15" s="18" t="n">
        <v>4430</v>
      </c>
      <c r="S15" s="18" t="n">
        <v>3780</v>
      </c>
      <c r="T15" s="18" t="n">
        <v>4260</v>
      </c>
      <c r="U15" s="9" t="n"/>
      <c r="V15" s="18" t="n">
        <v>3700</v>
      </c>
      <c r="W15" s="18" t="n">
        <v>4435</v>
      </c>
      <c r="X15" s="18" t="n">
        <v>6020</v>
      </c>
      <c r="Y15" s="18" t="n">
        <v>4200</v>
      </c>
      <c r="Z15" s="9" t="n"/>
      <c r="AA15" s="18" t="n">
        <v>3265</v>
      </c>
      <c r="AB15" s="19" t="n">
        <v>3065</v>
      </c>
      <c r="AC15" s="20" t="n">
        <v>3325</v>
      </c>
      <c r="AD15" s="20" t="n">
        <v>2780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2304</v>
      </c>
      <c r="F16" s="9" t="n"/>
      <c r="G16" s="18" t="n">
        <v>1950</v>
      </c>
      <c r="H16" s="18" t="n">
        <v>2453</v>
      </c>
      <c r="I16" s="18" t="n">
        <v>3152</v>
      </c>
      <c r="J16" s="18" t="n">
        <v>2216</v>
      </c>
      <c r="K16" s="9" t="n"/>
      <c r="L16" s="18" t="n">
        <v>1961</v>
      </c>
      <c r="M16" s="18" t="n">
        <v>2842</v>
      </c>
      <c r="N16" s="18" t="n">
        <v>3890</v>
      </c>
      <c r="O16" s="18" t="n">
        <v>3443</v>
      </c>
      <c r="P16" s="9" t="n"/>
      <c r="Q16" s="18" t="n">
        <v>4125</v>
      </c>
      <c r="R16" s="18" t="n">
        <v>5650</v>
      </c>
      <c r="S16" s="18" t="n">
        <v>5530</v>
      </c>
      <c r="T16" s="18" t="n">
        <v>4845</v>
      </c>
      <c r="U16" s="9" t="n"/>
      <c r="V16" s="18" t="n">
        <v>5030</v>
      </c>
      <c r="W16" s="18" t="n">
        <v>4980</v>
      </c>
      <c r="X16" s="18" t="n">
        <v>8260</v>
      </c>
      <c r="Y16" s="18" t="n">
        <v>7060</v>
      </c>
      <c r="Z16" s="9" t="n"/>
      <c r="AA16" s="18" t="n">
        <v>4735</v>
      </c>
      <c r="AB16" s="19" t="n">
        <v>7080</v>
      </c>
      <c r="AC16" s="20" t="n">
        <v>3860</v>
      </c>
      <c r="AD16" s="20" t="n">
        <v>3370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1585</v>
      </c>
      <c r="F17" s="9" t="n"/>
      <c r="G17" s="18" t="n">
        <v>1610</v>
      </c>
      <c r="H17" s="18" t="n">
        <v>1777</v>
      </c>
      <c r="I17" s="18" t="n">
        <v>1694</v>
      </c>
      <c r="J17" s="18" t="n">
        <v>1575</v>
      </c>
      <c r="K17" s="9" t="n"/>
      <c r="L17" s="18" t="n">
        <v>1600</v>
      </c>
      <c r="M17" s="18" t="n">
        <v>1606</v>
      </c>
      <c r="N17" s="18" t="n">
        <v>2471</v>
      </c>
      <c r="O17" s="18" t="n">
        <v>2501</v>
      </c>
      <c r="P17" s="9" t="n"/>
      <c r="Q17" s="18" t="n">
        <v>2690</v>
      </c>
      <c r="R17" s="18" t="n">
        <v>3560</v>
      </c>
      <c r="S17" s="18" t="n">
        <v>3340</v>
      </c>
      <c r="T17" s="18" t="n">
        <v>3650</v>
      </c>
      <c r="U17" s="9" t="n"/>
      <c r="V17" s="18" t="n">
        <v>3700</v>
      </c>
      <c r="W17" s="18" t="n">
        <v>3490</v>
      </c>
      <c r="X17" s="18" t="n">
        <v>3810</v>
      </c>
      <c r="Y17" s="18" t="n">
        <v>4175</v>
      </c>
      <c r="Z17" s="9" t="n"/>
      <c r="AA17" s="18" t="n">
        <v>3225</v>
      </c>
      <c r="AB17" s="19" t="n">
        <v>2780</v>
      </c>
      <c r="AC17" s="20" t="n">
        <v>2050</v>
      </c>
      <c r="AD17" s="20" t="n">
        <v>2615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1889.9</v>
      </c>
      <c r="F18" s="9" t="n"/>
      <c r="G18" s="18" t="n">
        <v>1791.1</v>
      </c>
      <c r="H18" s="18" t="n">
        <v>2022.7</v>
      </c>
      <c r="I18" s="18" t="n">
        <v>2175.7</v>
      </c>
      <c r="J18" s="18" t="n">
        <v>1762.4</v>
      </c>
      <c r="K18" s="9" t="n"/>
      <c r="L18" s="18" t="n">
        <v>1800.8</v>
      </c>
      <c r="M18" s="18" t="n">
        <v>2002.9</v>
      </c>
      <c r="N18" s="18" t="n">
        <v>2843.3</v>
      </c>
      <c r="O18" s="18" t="n">
        <v>2796.1</v>
      </c>
      <c r="P18" s="9" t="n"/>
      <c r="Q18" s="18" t="n">
        <v>3306.7</v>
      </c>
      <c r="R18" s="18" t="n">
        <v>4170</v>
      </c>
      <c r="S18" s="18" t="n">
        <v>4316.6</v>
      </c>
      <c r="T18" s="18" t="n">
        <v>4083</v>
      </c>
      <c r="U18" s="9" t="n"/>
      <c r="V18" s="18" t="n">
        <v>4433.6</v>
      </c>
      <c r="W18" s="18" t="n">
        <v>4268.3</v>
      </c>
      <c r="X18" s="18" t="n">
        <v>5166.7</v>
      </c>
      <c r="Y18" s="18" t="n">
        <v>5186.4</v>
      </c>
      <c r="Z18" s="9" t="n"/>
      <c r="AA18" s="18" t="n">
        <v>4036.5</v>
      </c>
      <c r="AB18" s="19" t="n">
        <v>4234.7</v>
      </c>
      <c r="AC18" s="20" t="n">
        <v>2917.5</v>
      </c>
      <c r="AD18" s="20" t="n">
        <v>3084.3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0.200280933</v>
      </c>
      <c r="AD21" s="24" t="n">
        <v>0.200269661</v>
      </c>
      <c r="AE21" s="25" t="n"/>
      <c r="AF21" s="24" t="n">
        <v>0.200287122</v>
      </c>
      <c r="AG21" s="24" t="n">
        <v>0.200281008</v>
      </c>
      <c r="AH21" s="24" t="n">
        <v>0.100137599</v>
      </c>
      <c r="AI21" s="24" t="n">
        <v>0.100141543</v>
      </c>
      <c r="AJ21" s="25" t="n"/>
      <c r="AK21" s="24" t="n">
        <v>0.100126532</v>
      </c>
      <c r="AL21" s="24" t="n">
        <v>0.100135498</v>
      </c>
      <c r="AM21" s="24" t="n">
        <v>0.050060974</v>
      </c>
      <c r="AN21" s="24" t="n">
        <v>0.050059943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$D$48</f>
        <v/>
      </c>
      <c r="AD22" s="26">
        <f>$D$48</f>
        <v/>
      </c>
      <c r="AE22" s="25">
        <f>IFERROR(subQ!AE8/subQ!AE5,"")</f>
        <v/>
      </c>
      <c r="AF22" s="26">
        <f>$D$48</f>
        <v/>
      </c>
      <c r="AG22" s="26">
        <f>$D$48</f>
        <v/>
      </c>
      <c r="AH22" s="26">
        <f>$D$48</f>
        <v/>
      </c>
      <c r="AI22" s="26">
        <f>$D$48</f>
        <v/>
      </c>
      <c r="AJ22" s="25">
        <f>IFERROR(subQ!AJ8/subQ!AJ5,"")</f>
        <v/>
      </c>
      <c r="AK22" s="26">
        <f>$D$48</f>
        <v/>
      </c>
      <c r="AL22" s="26">
        <f>$D$48</f>
        <v/>
      </c>
      <c r="AM22" s="26">
        <f>$D$48</f>
        <v/>
      </c>
      <c r="AN22" s="26">
        <f>$D$48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0.133092535</v>
      </c>
      <c r="AD23" s="24" t="n">
        <v>0.133082417</v>
      </c>
      <c r="AE23" s="25">
        <f>IFERROR(subQ!AE9/subQ!AE5,"")</f>
        <v/>
      </c>
      <c r="AF23" s="24" t="n">
        <v>0.133091369</v>
      </c>
      <c r="AG23" s="24" t="n">
        <v>0.133106618</v>
      </c>
      <c r="AH23" s="24" t="n">
        <v>0.133110284</v>
      </c>
      <c r="AI23" s="24" t="n">
        <v>0.133103307</v>
      </c>
      <c r="AJ23" s="25">
        <f>IFERROR(subQ!AJ9/subQ!AJ5,"")</f>
        <v/>
      </c>
      <c r="AK23" s="24" t="n">
        <v>0.133085142</v>
      </c>
      <c r="AL23" s="24" t="n">
        <v>0.133090224</v>
      </c>
      <c r="AM23" s="24" t="n">
        <v>0.133107022</v>
      </c>
      <c r="AN23" s="24" t="n">
        <v>0.133106847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$D$47</f>
        <v/>
      </c>
      <c r="AD25" s="26">
        <f>$D$47</f>
        <v/>
      </c>
      <c r="AE25" s="25">
        <f>IFERROR(subQ!AE15/subQ!AE14,"")</f>
        <v/>
      </c>
      <c r="AF25" s="26">
        <f>$D$47</f>
        <v/>
      </c>
      <c r="AG25" s="26">
        <f>$D$47</f>
        <v/>
      </c>
      <c r="AH25" s="26">
        <f>$D$47</f>
        <v/>
      </c>
      <c r="AI25" s="26">
        <f>$D$47</f>
        <v/>
      </c>
      <c r="AJ25" s="25">
        <f>IFERROR(subQ!AJ15/subQ!AJ14,"")</f>
        <v/>
      </c>
      <c r="AK25" s="26">
        <f>$D$47</f>
        <v/>
      </c>
      <c r="AL25" s="26">
        <f>$D$47</f>
        <v/>
      </c>
      <c r="AM25" s="26">
        <f>$D$47</f>
        <v/>
      </c>
      <c r="AN25" s="26">
        <f>$D$47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$D$49</f>
        <v/>
      </c>
      <c r="AD26" s="26">
        <f>$D$49</f>
        <v/>
      </c>
      <c r="AE26" s="25">
        <f>IFERROR(subQ!AE17/subQ!AE16,"")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IFERROR(subQ!AJ17/subQ!AJ16,"")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IFERROR(subQ!AO17/subQ!AO16,"")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IFERROR(subQ!G19/subQ!E19-1,"")</f>
        <v/>
      </c>
      <c r="H27" s="21">
        <f>IFERROR(subQ!H19/subQ!G19-1,"")</f>
        <v/>
      </c>
      <c r="I27" s="21">
        <f>IFERROR(subQ!I19/subQ!H19-1,"")</f>
        <v/>
      </c>
      <c r="J27" s="21">
        <f>IFERROR(subQ!J19/subQ!I19-1,"")</f>
        <v/>
      </c>
      <c r="K27" s="22" t="n"/>
      <c r="L27" s="21">
        <f>IFERROR(subQ!L19/subQ!J19-1,"")</f>
        <v/>
      </c>
      <c r="M27" s="21">
        <f>IFERROR(subQ!M19/subQ!L19-1,"")</f>
        <v/>
      </c>
      <c r="N27" s="21">
        <f>IFERROR(subQ!N19/subQ!M19-1,"")</f>
        <v/>
      </c>
      <c r="O27" s="21">
        <f>IFERROR(subQ!O19/subQ!N19-1,"")</f>
        <v/>
      </c>
      <c r="P27" s="22" t="n"/>
      <c r="Q27" s="21">
        <f>IFERROR(subQ!Q19/subQ!O19-1,"")</f>
        <v/>
      </c>
      <c r="R27" s="21">
        <f>IFERROR(subQ!R19/subQ!Q19-1,"")</f>
        <v/>
      </c>
      <c r="S27" s="21">
        <f>IFERROR(subQ!S19/subQ!R19-1,"")</f>
        <v/>
      </c>
      <c r="T27" s="21">
        <f>IFERROR(subQ!T19/subQ!S19-1,"")</f>
        <v/>
      </c>
      <c r="U27" s="22" t="n"/>
      <c r="V27" s="21">
        <f>IFERROR(subQ!V19/subQ!T19-1,"")</f>
        <v/>
      </c>
      <c r="W27" s="21">
        <f>IFERROR(subQ!W19/subQ!V19-1,"")</f>
        <v/>
      </c>
      <c r="X27" s="21">
        <f>IFERROR(subQ!X19/subQ!W19-1,"")</f>
        <v/>
      </c>
      <c r="Y27" s="21">
        <f>IFERROR(subQ!Y19/subQ!X19-1,"")</f>
        <v/>
      </c>
      <c r="Z27" s="22" t="n"/>
      <c r="AA27" s="21">
        <f>IFERROR(subQ!AA19/subQ!Y19-1,"")</f>
        <v/>
      </c>
      <c r="AB27" s="23">
        <f>IFERROR(subQ!AB19/subQ!AA19-1,"")</f>
        <v/>
      </c>
      <c r="AC27" s="24" t="n">
        <v>0</v>
      </c>
      <c r="AD27" s="24" t="n">
        <v>0</v>
      </c>
      <c r="AE27" s="25" t="n"/>
      <c r="AF27" s="24" t="n">
        <v>0</v>
      </c>
      <c r="AG27" s="24" t="n">
        <v>0</v>
      </c>
      <c r="AH27" s="24" t="n">
        <v>0</v>
      </c>
      <c r="AI27" s="24" t="n">
        <v>0</v>
      </c>
      <c r="AJ27" s="25" t="n"/>
      <c r="AK27" s="24" t="n">
        <v>0</v>
      </c>
      <c r="AL27" s="24" t="n">
        <v>0</v>
      </c>
      <c r="AM27" s="24" t="n">
        <v>0</v>
      </c>
      <c r="AN27" s="24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8" t="n"/>
      <c r="G28" s="27">
        <f>IFERROR(subQ!E20+subQ!G16-subQ!G20,"")</f>
        <v/>
      </c>
      <c r="H28" s="27">
        <f>IFERROR(subQ!G20+subQ!H16-subQ!H20,"")</f>
        <v/>
      </c>
      <c r="I28" s="27">
        <f>IFERROR(subQ!H20+subQ!I16-subQ!I20,"")</f>
        <v/>
      </c>
      <c r="J28" s="27">
        <f>IFERROR(subQ!I20+subQ!J16-subQ!J20,"")</f>
        <v/>
      </c>
      <c r="K28" s="28" t="n"/>
      <c r="L28" s="27">
        <f>IFERROR(subQ!J20+subQ!L16-subQ!L20,"")</f>
        <v/>
      </c>
      <c r="M28" s="27">
        <f>IFERROR(subQ!L20+subQ!M16-subQ!M20,"")</f>
        <v/>
      </c>
      <c r="N28" s="27">
        <f>IFERROR(subQ!M20+subQ!N16-subQ!N20,"")</f>
        <v/>
      </c>
      <c r="O28" s="27">
        <f>IFERROR(subQ!N20+subQ!O16-subQ!O20,"")</f>
        <v/>
      </c>
      <c r="P28" s="28" t="n"/>
      <c r="Q28" s="27">
        <f>IFERROR(subQ!O20+subQ!Q16-subQ!Q20,"")</f>
        <v/>
      </c>
      <c r="R28" s="27">
        <f>IFERROR(subQ!Q20+subQ!R16-subQ!R20,"")</f>
        <v/>
      </c>
      <c r="S28" s="27">
        <f>IFERROR(subQ!R20+subQ!S16-subQ!S20,"")</f>
        <v/>
      </c>
      <c r="T28" s="27">
        <f>IFERROR(subQ!S20+subQ!T16-subQ!T20,"")</f>
        <v/>
      </c>
      <c r="U28" s="28" t="n"/>
      <c r="V28" s="27">
        <f>IFERROR(subQ!T20+subQ!V16-subQ!V20,"")</f>
        <v/>
      </c>
      <c r="W28" s="27">
        <f>IFERROR(subQ!V20+subQ!W16-subQ!W20,"")</f>
        <v/>
      </c>
      <c r="X28" s="27">
        <f>IFERROR(subQ!W20+subQ!X16-subQ!X20,"")</f>
        <v/>
      </c>
      <c r="Y28" s="27">
        <f>IFERROR(subQ!X20+subQ!Y16-subQ!Y20,"")</f>
        <v/>
      </c>
      <c r="Z28" s="28" t="n"/>
      <c r="AA28" s="27">
        <f>IFERROR(subQ!Y20+subQ!AA16-subQ!AA20,"")</f>
        <v/>
      </c>
      <c r="AB28" s="29">
        <f>IFERROR(subQ!AA20+subQ!AB16-subQ!AB20,"")</f>
        <v/>
      </c>
      <c r="AC28" s="30" t="n">
        <v>0.002105358</v>
      </c>
      <c r="AD28" s="30" t="n">
        <v>-0.008277733000000001</v>
      </c>
      <c r="AE28" s="31" t="n"/>
      <c r="AF28" s="30" t="n">
        <v>0.001854077</v>
      </c>
      <c r="AG28" s="30" t="n">
        <v>8.018367183000001</v>
      </c>
      <c r="AH28" s="30" t="n">
        <v>-0.000875474</v>
      </c>
      <c r="AI28" s="30" t="n">
        <v>-0.001808884</v>
      </c>
      <c r="AJ28" s="31" t="n"/>
      <c r="AK28" s="30" t="n">
        <v>0.004570398</v>
      </c>
      <c r="AL28" s="30" t="n">
        <v>8.009630437</v>
      </c>
      <c r="AM28" s="30" t="n">
        <v>0.003514922</v>
      </c>
      <c r="AN28" s="30" t="n">
        <v>0.006919572</v>
      </c>
      <c r="AO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0.002105358</v>
      </c>
      <c r="AD29" s="30" t="n">
        <v>-0.008277733000000001</v>
      </c>
      <c r="AE29" s="31" t="n"/>
      <c r="AF29" s="30" t="n">
        <v>0.001854077</v>
      </c>
      <c r="AG29" s="30" t="n">
        <v>8.018367183000001</v>
      </c>
      <c r="AH29" s="30" t="n">
        <v>-0.000875474</v>
      </c>
      <c r="AI29" s="30" t="n">
        <v>-0.001808884</v>
      </c>
      <c r="AJ29" s="31" t="n"/>
      <c r="AK29" s="30" t="n">
        <v>0.004570398</v>
      </c>
      <c r="AL29" s="30" t="n">
        <v>8.009630437</v>
      </c>
      <c r="AM29" s="30" t="n">
        <v>0.003514922</v>
      </c>
      <c r="AN29" s="30" t="n">
        <v>0.006919572</v>
      </c>
      <c r="AO29" s="31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-3.92e-06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-0.091313777</v>
      </c>
      <c r="AD31" s="24" t="n">
        <v>-0.108864109</v>
      </c>
      <c r="AE31" s="25" t="n"/>
      <c r="AF31" s="24" t="n">
        <v>-0.117582185</v>
      </c>
      <c r="AG31" s="24" t="n">
        <v>-0.134115272</v>
      </c>
      <c r="AH31" s="24" t="n">
        <v>-0.166102259</v>
      </c>
      <c r="AI31" s="24" t="n">
        <v>-0.215298582</v>
      </c>
      <c r="AJ31" s="25" t="n"/>
      <c r="AK31" s="24" t="n">
        <v>-0.264443879</v>
      </c>
      <c r="AL31" s="24" t="n">
        <v>-0.371049596</v>
      </c>
      <c r="AM31" s="24" t="n">
        <v>-0.584448927</v>
      </c>
      <c r="AN31" s="24" t="n">
        <v>-1.518976169</v>
      </c>
      <c r="AO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0.145987999</v>
      </c>
      <c r="AD32" s="24" t="n">
        <v>0.137997125</v>
      </c>
      <c r="AE32" s="25" t="n"/>
      <c r="AF32" s="24" t="n">
        <v>0.116715789</v>
      </c>
      <c r="AG32" s="24" t="n">
        <v>0.105195687</v>
      </c>
      <c r="AH32" s="24" t="n">
        <v>0.102074236</v>
      </c>
      <c r="AI32" s="24" t="n">
        <v>0.100111441</v>
      </c>
      <c r="AJ32" s="25" t="n"/>
      <c r="AK32" s="24" t="n">
        <v>0.087708931</v>
      </c>
      <c r="AL32" s="24" t="n">
        <v>0.083223386</v>
      </c>
      <c r="AM32" s="24" t="n">
        <v>0.076112916</v>
      </c>
      <c r="AN32" s="24" t="n">
        <v>0.076388735</v>
      </c>
      <c r="AO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2" t="n"/>
      <c r="G34" s="21" t="n"/>
      <c r="H34" s="21" t="n"/>
      <c r="I34" s="21" t="n"/>
      <c r="J34" s="21">
        <f>IFERROR(subQ!J26/subQ!E26-1,"")</f>
        <v/>
      </c>
      <c r="K34" s="22" t="n"/>
      <c r="L34" s="21">
        <f>IFERROR(subQ!L26/subQ!G26-1,"")</f>
        <v/>
      </c>
      <c r="M34" s="21">
        <f>IFERROR(subQ!M26/subQ!H26-1,"")</f>
        <v/>
      </c>
      <c r="N34" s="21">
        <f>IFERROR(subQ!N26/subQ!I26-1,"")</f>
        <v/>
      </c>
      <c r="O34" s="21">
        <f>IFERROR(subQ!O26/subQ!J26-1,"")</f>
        <v/>
      </c>
      <c r="P34" s="22" t="n"/>
      <c r="Q34" s="21">
        <f>IFERROR(subQ!Q26/subQ!L26-1,"")</f>
        <v/>
      </c>
      <c r="R34" s="21">
        <f>IFERROR(subQ!R26/subQ!M26-1,"")</f>
        <v/>
      </c>
      <c r="S34" s="21">
        <f>IFERROR(subQ!S26/subQ!N26-1,"")</f>
        <v/>
      </c>
      <c r="T34" s="21">
        <f>IFERROR(subQ!T26/subQ!O26-1,"")</f>
        <v/>
      </c>
      <c r="U34" s="22" t="n"/>
      <c r="V34" s="21">
        <f>IFERROR(subQ!V26/subQ!Q26-1,"")</f>
        <v/>
      </c>
      <c r="W34" s="21">
        <f>IFERROR(subQ!W26/subQ!R26-1,"")</f>
        <v/>
      </c>
      <c r="X34" s="21">
        <f>IFERROR(subQ!X26/subQ!S26-1,"")</f>
        <v/>
      </c>
      <c r="Y34" s="21">
        <f>IFERROR(subQ!Y26/subQ!T26-1,"")</f>
        <v/>
      </c>
      <c r="Z34" s="22" t="n"/>
      <c r="AA34" s="21">
        <f>IFERROR(subQ!AA26/subQ!V26-1,"")</f>
        <v/>
      </c>
      <c r="AB34" s="23">
        <f>IFERROR(subQ!AB26/subQ!W26-1,"")</f>
        <v/>
      </c>
      <c r="AC34" s="24" t="n">
        <v>0.313847002</v>
      </c>
      <c r="AD34" s="24" t="n">
        <v>-0.851617026</v>
      </c>
      <c r="AE34" s="25" t="n"/>
      <c r="AF34" s="24" t="n">
        <v>3.042870881</v>
      </c>
      <c r="AG34" s="24" t="n">
        <v>-0.19264154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8">
        <f>subQ!F31</f>
        <v/>
      </c>
      <c r="G37" s="27">
        <f>subQ!G31</f>
        <v/>
      </c>
      <c r="H37" s="27">
        <f>subQ!H31</f>
        <v/>
      </c>
      <c r="I37" s="27">
        <f>subQ!I31</f>
        <v/>
      </c>
      <c r="J37" s="27">
        <f>subQ!J31</f>
        <v/>
      </c>
      <c r="K37" s="28">
        <f>subQ!K31</f>
        <v/>
      </c>
      <c r="L37" s="27">
        <f>subQ!L31</f>
        <v/>
      </c>
      <c r="M37" s="27">
        <f>subQ!M31</f>
        <v/>
      </c>
      <c r="N37" s="27">
        <f>subQ!N31</f>
        <v/>
      </c>
      <c r="O37" s="27">
        <f>subQ!O31</f>
        <v/>
      </c>
      <c r="P37" s="28">
        <f>subQ!P31</f>
        <v/>
      </c>
      <c r="Q37" s="27">
        <f>subQ!Q31</f>
        <v/>
      </c>
      <c r="R37" s="27">
        <f>subQ!R31</f>
        <v/>
      </c>
      <c r="S37" s="27">
        <f>subQ!S31</f>
        <v/>
      </c>
      <c r="T37" s="27">
        <f>subQ!T31</f>
        <v/>
      </c>
      <c r="U37" s="28">
        <f>subQ!U31</f>
        <v/>
      </c>
      <c r="V37" s="27">
        <f>subQ!V31</f>
        <v/>
      </c>
      <c r="W37" s="27">
        <f>subQ!W31</f>
        <v/>
      </c>
      <c r="X37" s="27">
        <f>subQ!X31</f>
        <v/>
      </c>
      <c r="Y37" s="27">
        <f>subQ!Y31</f>
        <v/>
      </c>
      <c r="Z37" s="28">
        <f>subQ!Z31</f>
        <v/>
      </c>
      <c r="AA37" s="27">
        <f>subQ!AA31</f>
        <v/>
      </c>
      <c r="AB37" s="29">
        <f>subQ!AB31</f>
        <v/>
      </c>
      <c r="AC37" s="33" t="n"/>
      <c r="AD37" s="30" t="n">
        <v>20</v>
      </c>
      <c r="AE37" s="31">
        <f>subQ!AE31</f>
        <v/>
      </c>
      <c r="AF37" s="33" t="n"/>
      <c r="AG37" s="33" t="n"/>
      <c r="AH37" s="33" t="n"/>
      <c r="AI37" s="30" t="n">
        <v>20</v>
      </c>
      <c r="AJ37" s="31">
        <f>subQ!AJ31</f>
        <v/>
      </c>
      <c r="AK37" s="33" t="n"/>
      <c r="AL37" s="33" t="n"/>
      <c r="AM37" s="33" t="n"/>
      <c r="AN37" s="30" t="n">
        <v>20</v>
      </c>
      <c r="AO37" s="31">
        <f>subQ!AO31</f>
        <v/>
      </c>
    </row>
    <row r="38"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2780</v>
      </c>
      <c r="E40" s="2" t="inlineStr">
        <is>
          <t>원 — 네이버 정규장 종가(aik 확정종가 대조 · aik 3,020원)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20261013</t>
        </is>
      </c>
      <c r="E41" s="2" t="inlineStr">
        <is>
          <t>종가 기준일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10.7</v>
      </c>
      <c r="E43" s="2" t="inlineStr">
        <is>
          <t>PER 밴드 하단(배) — hist_quarterly(분기 평균가 ÷ TTM EPS, 16분기, 25/50/75 백분위)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13.5</v>
      </c>
      <c r="E44" s="2" t="inlineStr">
        <is>
          <t>PER 밴드 중단(배)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21.5</v>
      </c>
      <c r="E45" s="2" t="inlineStr">
        <is>
          <t>PER 밴드 상단(배)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0.1961436672967864</v>
      </c>
      <c r="E47" s="2" t="inlineStr">
        <is>
          <t>연결 — 법인세 = MAX(세전,0) × 세율(역산, 재현 오차 ≤ 0.05억 · 모델 assumptions 0.1962) · 최근 12분기 유효세율 -3.3% 가 5~27% 밖 → 클립 대신 최근 8분기 중 세전 &gt; 0 인 8분기(2024Q3~2026Q2)의 법인세/세전 중위 19.6%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0.06081722873705048</v>
      </c>
      <c r="E48" s="2" t="inlineStr">
        <is>
          <t>연결 — 판관비 = 매출액 × 판관비율(역산, 재현 오차 ≤ 0.05억 · 모델 assumptions 0.0608)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1</v>
      </c>
      <c r="E49" s="2" t="inlineStr">
        <is>
          <t>연결 — 지배주주순이익 = 당기순이익 × 비중(역산,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0.009594524084542651</v>
      </c>
      <c r="E50" s="2" t="inlineStr">
        <is>
          <t>연결 — 이자손익 = (전분기 이자발생자산 × 자산이자율 − 전분기 총차입금 × 부채이자율)/4(역산, 재현 오차 ≤ 0.05억 · 모델 assumptions 0.0096)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0.0527328072742572</v>
      </c>
      <c r="E51" s="2" t="inlineStr">
        <is>
          <t>연결 — 같은 수식의 부채 쪽(총차입금 행이 없으면 0)(역산, 재현 오차 ≤ 0.05억 · 모델 assumptions 0.0527)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>
        <v>0.1222</v>
      </c>
      <c r="E52" s="2" t="inlineStr">
        <is>
          <t>배당성향(참고 — 모델은 직전 DPS 유지·Q2 지급 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케이에스피(연)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F5" s="9" t="n"/>
      <c r="K5" s="9" t="n"/>
      <c r="P5" s="9" t="n"/>
      <c r="U5" s="9" t="n"/>
      <c r="V5" s="18" t="n">
        <v>57359.3</v>
      </c>
      <c r="W5" s="18" t="n">
        <v>58204.6</v>
      </c>
      <c r="X5" s="18" t="n">
        <v>80166.12</v>
      </c>
      <c r="Y5" s="18" t="n">
        <v>60819.67</v>
      </c>
      <c r="Z5" s="37" t="n">
        <v>60819.67</v>
      </c>
      <c r="AA5" s="18" t="n">
        <v>65490.98</v>
      </c>
      <c r="AB5" s="19" t="n">
        <v>64254.75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F6" s="9" t="n"/>
      <c r="K6" s="9" t="n"/>
      <c r="P6" s="9" t="n"/>
      <c r="U6" s="9" t="n"/>
      <c r="V6" s="18" t="n">
        <v>22400.75</v>
      </c>
      <c r="W6" s="18" t="n">
        <v>19017.44</v>
      </c>
      <c r="X6" s="18" t="n">
        <v>40043.99</v>
      </c>
      <c r="Y6" s="18" t="n">
        <v>17008.86</v>
      </c>
      <c r="Z6" s="37" t="n">
        <v>17008.86</v>
      </c>
      <c r="AA6" s="18" t="n">
        <v>18900.16</v>
      </c>
      <c r="AB6" s="19" t="n">
        <v>16805.72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F7" s="9" t="n"/>
      <c r="K7" s="9" t="n"/>
      <c r="P7" s="9" t="n"/>
      <c r="U7" s="9" t="n"/>
      <c r="V7" s="18" t="n">
        <v>10573.23</v>
      </c>
      <c r="W7" s="18" t="n">
        <v>11927.68</v>
      </c>
      <c r="X7" s="18" t="n">
        <v>9916.26</v>
      </c>
      <c r="Y7" s="18" t="n">
        <v>13658.12</v>
      </c>
      <c r="Z7" s="37" t="n">
        <v>13658.12</v>
      </c>
      <c r="AA7" s="18" t="n">
        <v>13555.65</v>
      </c>
      <c r="AB7" s="19" t="n">
        <v>14496.02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F8" s="9" t="n"/>
      <c r="K8" s="9" t="n"/>
      <c r="P8" s="9" t="n"/>
      <c r="U8" s="9" t="n"/>
      <c r="V8" s="18" t="n">
        <v>23785.66</v>
      </c>
      <c r="W8" s="18" t="n">
        <v>26161.79</v>
      </c>
      <c r="X8" s="18" t="n">
        <v>27187.9</v>
      </c>
      <c r="Y8" s="18" t="n">
        <v>28539.85</v>
      </c>
      <c r="Z8" s="37" t="n">
        <v>28539.85</v>
      </c>
      <c r="AA8" s="18" t="n">
        <v>31788.42</v>
      </c>
      <c r="AB8" s="19" t="n">
        <v>31409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F9" s="9" t="n"/>
      <c r="K9" s="9" t="n"/>
      <c r="P9" s="9" t="n"/>
      <c r="U9" s="9" t="n"/>
      <c r="V9" s="18" t="n">
        <v>174.6</v>
      </c>
      <c r="W9" s="18" t="n">
        <v>103.08</v>
      </c>
      <c r="X9" s="18" t="n">
        <v>2208</v>
      </c>
      <c r="Y9" s="18" t="n">
        <v>1032.98</v>
      </c>
      <c r="Z9" s="37" t="n">
        <v>1032.98</v>
      </c>
      <c r="AA9" s="18" t="n">
        <v>617.37</v>
      </c>
      <c r="AB9" s="19" t="n">
        <v>645.3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F10" s="9" t="n"/>
      <c r="K10" s="9" t="n"/>
      <c r="P10" s="9" t="n"/>
      <c r="U10" s="9" t="n"/>
      <c r="V10" s="18" t="n">
        <v>425.07</v>
      </c>
      <c r="W10" s="18" t="n">
        <v>994.61</v>
      </c>
      <c r="X10" s="18" t="n">
        <v>809.98</v>
      </c>
      <c r="Y10" s="18" t="n">
        <v>579.86</v>
      </c>
      <c r="Z10" s="37" t="n">
        <v>579.86</v>
      </c>
      <c r="AA10" s="18" t="n">
        <v>629.38</v>
      </c>
      <c r="AB10" s="19" t="n">
        <v>898.7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F11" s="9" t="n"/>
      <c r="K11" s="9" t="n"/>
      <c r="P11" s="9" t="n"/>
      <c r="U11" s="9" t="n"/>
      <c r="V11" s="18" t="n">
        <v>60847.44</v>
      </c>
      <c r="W11" s="18" t="n">
        <v>60746.86</v>
      </c>
      <c r="X11" s="18" t="n">
        <v>62609.57</v>
      </c>
      <c r="Y11" s="18" t="n">
        <v>83191.92</v>
      </c>
      <c r="Z11" s="37" t="n">
        <v>83191.92</v>
      </c>
      <c r="AA11" s="18" t="n">
        <v>83824.44</v>
      </c>
      <c r="AB11" s="19" t="n">
        <v>86575.86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F12" s="9" t="n"/>
      <c r="K12" s="9" t="n"/>
      <c r="P12" s="9" t="n"/>
      <c r="U12" s="9" t="n"/>
      <c r="V12" s="18" t="n">
        <v>331.9</v>
      </c>
      <c r="W12" s="18" t="n">
        <v>330.7</v>
      </c>
      <c r="X12" s="18" t="n">
        <v>330.11</v>
      </c>
      <c r="Y12" s="18" t="n">
        <v>1155.1</v>
      </c>
      <c r="Z12" s="37" t="n">
        <v>1155.1</v>
      </c>
      <c r="AA12" s="18" t="n">
        <v>1405.6</v>
      </c>
      <c r="AB12" s="19" t="n">
        <v>1405.64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F13" s="9" t="n"/>
      <c r="K13" s="9" t="n"/>
      <c r="P13" s="9" t="n"/>
      <c r="U13" s="9" t="n"/>
      <c r="V13" s="18" t="n">
        <v>331.9</v>
      </c>
      <c r="W13" s="18" t="n">
        <v>330.7</v>
      </c>
      <c r="X13" s="18" t="n">
        <v>330.11</v>
      </c>
      <c r="Y13" s="18" t="n">
        <v>1155.1</v>
      </c>
      <c r="Z13" s="37" t="n">
        <v>1155.1</v>
      </c>
      <c r="AA13" s="18" t="n">
        <v>1405.6</v>
      </c>
      <c r="AB13" s="19" t="n">
        <v>1405.64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유형자산</t>
        </is>
      </c>
      <c r="F14" s="9" t="n"/>
      <c r="K14" s="9" t="n"/>
      <c r="P14" s="9" t="n"/>
      <c r="U14" s="9" t="n"/>
      <c r="V14" s="18" t="n">
        <v>58019.31</v>
      </c>
      <c r="W14" s="18" t="n">
        <v>58359.29</v>
      </c>
      <c r="X14" s="18" t="n">
        <v>60632.29</v>
      </c>
      <c r="Y14" s="18" t="n">
        <v>81303.74000000001</v>
      </c>
      <c r="Z14" s="37" t="n">
        <v>81303.74000000001</v>
      </c>
      <c r="AA14" s="18" t="n">
        <v>81946.47</v>
      </c>
      <c r="AB14" s="19" t="n">
        <v>84326.97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무형자산</t>
        </is>
      </c>
      <c r="F15" s="9" t="n"/>
      <c r="K15" s="9" t="n"/>
      <c r="P15" s="9" t="n"/>
      <c r="U15" s="9" t="n"/>
      <c r="V15" s="18" t="n">
        <v>395.36</v>
      </c>
      <c r="W15" s="18" t="n">
        <v>394.23</v>
      </c>
      <c r="X15" s="18" t="n">
        <v>393.09</v>
      </c>
      <c r="Y15" s="18" t="n">
        <v>396.14</v>
      </c>
      <c r="Z15" s="37" t="n">
        <v>396.14</v>
      </c>
      <c r="AA15" s="18" t="n">
        <v>397.95</v>
      </c>
      <c r="AB15" s="19" t="n">
        <v>396.57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기타비유동자산</t>
        </is>
      </c>
      <c r="F16" s="9" t="n"/>
      <c r="K16" s="9" t="n"/>
      <c r="P16" s="9" t="n"/>
      <c r="U16" s="9" t="n"/>
      <c r="V16" s="18" t="n">
        <v>0</v>
      </c>
      <c r="W16" s="18" t="n">
        <v>0</v>
      </c>
      <c r="X16" s="18" t="n">
        <v>0</v>
      </c>
      <c r="Y16" s="18" t="n">
        <v>336.94</v>
      </c>
      <c r="Z16" s="37" t="n">
        <v>336.94</v>
      </c>
      <c r="AA16" s="18" t="n">
        <v>74.42</v>
      </c>
      <c r="AB16" s="19" t="n">
        <v>446.68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이연법인세자산</t>
        </is>
      </c>
      <c r="F17" s="9" t="n"/>
      <c r="K17" s="9" t="n"/>
      <c r="P17" s="9" t="n"/>
      <c r="U17" s="9" t="n"/>
      <c r="V17" s="18" t="n">
        <v>2100.87</v>
      </c>
      <c r="W17" s="18" t="n">
        <v>1662.65</v>
      </c>
      <c r="X17" s="18" t="n">
        <v>1254.08</v>
      </c>
      <c r="Y17" s="18" t="n">
        <v>0</v>
      </c>
      <c r="Z17" s="37" t="n">
        <v>0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자산총계</t>
        </is>
      </c>
      <c r="F18" s="9" t="n"/>
      <c r="K18" s="9" t="n"/>
      <c r="P18" s="9" t="n"/>
      <c r="U18" s="9" t="n"/>
      <c r="V18" s="18" t="n">
        <v>118206.74</v>
      </c>
      <c r="W18" s="18" t="n">
        <v>118951.46</v>
      </c>
      <c r="X18" s="18" t="n">
        <v>142775.69</v>
      </c>
      <c r="Y18" s="18" t="n">
        <v>144011.58</v>
      </c>
      <c r="Z18" s="37" t="n">
        <v>144011.58</v>
      </c>
      <c r="AA18" s="18" t="n">
        <v>149315.42</v>
      </c>
      <c r="AB18" s="19" t="n">
        <v>150830.6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유동부채</t>
        </is>
      </c>
      <c r="F19" s="9" t="n"/>
      <c r="K19" s="9" t="n"/>
      <c r="P19" s="9" t="n"/>
      <c r="U19" s="9" t="n"/>
      <c r="V19" s="18" t="n">
        <v>42866.62</v>
      </c>
      <c r="W19" s="18" t="n">
        <v>41964.63</v>
      </c>
      <c r="X19" s="18" t="n">
        <v>41035.01</v>
      </c>
      <c r="Y19" s="18" t="n">
        <v>42454.01</v>
      </c>
      <c r="Z19" s="37" t="n">
        <v>42454.01</v>
      </c>
      <c r="AA19" s="18" t="n">
        <v>44865.07</v>
      </c>
      <c r="AB19" s="19" t="n">
        <v>42476.49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매입채무및기타채무</t>
        </is>
      </c>
      <c r="F20" s="9" t="n"/>
      <c r="K20" s="9" t="n"/>
      <c r="P20" s="9" t="n"/>
      <c r="U20" s="9" t="n"/>
      <c r="V20" s="18" t="n">
        <v>3796.78</v>
      </c>
      <c r="W20" s="18" t="n">
        <v>4030.07</v>
      </c>
      <c r="X20" s="18" t="n">
        <v>3475.69</v>
      </c>
      <c r="Y20" s="18" t="n">
        <v>4469.4</v>
      </c>
      <c r="Z20" s="37" t="n">
        <v>4469.4</v>
      </c>
      <c r="AA20" s="18" t="n">
        <v>5493.26</v>
      </c>
      <c r="AB20" s="19" t="n">
        <v>4013.24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단기차입금</t>
        </is>
      </c>
      <c r="F21" s="9" t="n"/>
      <c r="K21" s="9" t="n"/>
      <c r="P21" s="9" t="n"/>
      <c r="U21" s="9" t="n"/>
      <c r="V21" s="18" t="n">
        <v>23268</v>
      </c>
      <c r="W21" s="18" t="n">
        <v>22968</v>
      </c>
      <c r="X21" s="18" t="n">
        <v>22968</v>
      </c>
      <c r="Y21" s="18" t="n">
        <v>22968</v>
      </c>
      <c r="Z21" s="37" t="n">
        <v>22968</v>
      </c>
      <c r="AA21" s="18" t="n">
        <v>28087.6</v>
      </c>
      <c r="AB21" s="19" t="n">
        <v>27668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당기법인세부채(미지급법인세)</t>
        </is>
      </c>
      <c r="F22" s="9" t="n"/>
      <c r="K22" s="9" t="n"/>
      <c r="P22" s="9" t="n"/>
      <c r="U22" s="9" t="n"/>
      <c r="V22" s="18" t="n">
        <v>263.07</v>
      </c>
      <c r="W22" s="18" t="n">
        <v>193.4</v>
      </c>
      <c r="X22" s="18" t="n">
        <v>132.77</v>
      </c>
      <c r="Y22" s="18" t="n">
        <v>245.38</v>
      </c>
      <c r="Z22" s="37" t="n">
        <v>245.38</v>
      </c>
      <c r="AA22" s="18" t="n">
        <v>205.62</v>
      </c>
      <c r="AB22" s="19" t="n">
        <v>266.3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기타유동금융부채</t>
        </is>
      </c>
      <c r="F23" s="9" t="n"/>
      <c r="K23" s="9" t="n"/>
      <c r="P23" s="9" t="n"/>
      <c r="U23" s="9" t="n"/>
      <c r="V23" s="18" t="n">
        <v>3309.2</v>
      </c>
      <c r="W23" s="18" t="n">
        <v>3050.95</v>
      </c>
      <c r="X23" s="18" t="n">
        <v>3428.69</v>
      </c>
      <c r="Y23" s="18" t="n">
        <v>3695.07</v>
      </c>
      <c r="Z23" s="37" t="n">
        <v>3695.07</v>
      </c>
      <c r="AA23" s="18" t="n">
        <v>3469.92</v>
      </c>
      <c r="AB23" s="19" t="n">
        <v>3464.25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단기금융부채</t>
        </is>
      </c>
      <c r="F24" s="9" t="n"/>
      <c r="K24" s="9" t="n"/>
      <c r="P24" s="9" t="n"/>
      <c r="U24" s="9" t="n"/>
      <c r="V24" s="18" t="n">
        <v>3309.2</v>
      </c>
      <c r="W24" s="18" t="n">
        <v>3050.95</v>
      </c>
      <c r="X24" s="18" t="n">
        <v>3428.69</v>
      </c>
      <c r="Y24" s="18" t="n">
        <v>3695.07</v>
      </c>
      <c r="Z24" s="37" t="n">
        <v>3695.07</v>
      </c>
      <c r="AA24" s="18" t="n">
        <v>3469.92</v>
      </c>
      <c r="AB24" s="19" t="n">
        <v>3464.25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F25" s="9" t="n"/>
      <c r="K25" s="9" t="n"/>
      <c r="P25" s="9" t="n"/>
      <c r="U25" s="9" t="n"/>
      <c r="V25" s="18" t="n">
        <v>1095.98</v>
      </c>
      <c r="W25" s="18" t="n">
        <v>610.71</v>
      </c>
      <c r="X25" s="18" t="n">
        <v>140.46</v>
      </c>
      <c r="Y25" s="18" t="n">
        <v>208.84</v>
      </c>
      <c r="Z25" s="37" t="n">
        <v>208.84</v>
      </c>
      <c r="AA25" s="18" t="n">
        <v>1754.08</v>
      </c>
      <c r="AB25" s="19" t="n">
        <v>915.65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비유동부채</t>
        </is>
      </c>
      <c r="F26" s="9" t="n"/>
      <c r="K26" s="9" t="n"/>
      <c r="P26" s="9" t="n"/>
      <c r="U26" s="9" t="n"/>
      <c r="V26" s="18" t="n">
        <v>2786.51</v>
      </c>
      <c r="W26" s="18" t="n">
        <v>2408.09</v>
      </c>
      <c r="X26" s="18" t="n">
        <v>17370.87</v>
      </c>
      <c r="Y26" s="18" t="n">
        <v>18457.31</v>
      </c>
      <c r="Z26" s="37" t="n">
        <v>18457.31</v>
      </c>
      <c r="AA26" s="18" t="n">
        <v>19665.64</v>
      </c>
      <c r="AB26" s="19" t="n">
        <v>20608.5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장기매입채무및기타채무</t>
        </is>
      </c>
      <c r="F27" s="9" t="n"/>
      <c r="K27" s="9" t="n"/>
      <c r="P27" s="9" t="n"/>
      <c r="U27" s="9" t="n"/>
      <c r="V27" s="18" t="n">
        <v>1145.83</v>
      </c>
      <c r="W27" s="18" t="n">
        <v>1120.18</v>
      </c>
      <c r="X27" s="18" t="n">
        <v>1294.53</v>
      </c>
      <c r="Y27" s="18" t="n">
        <v>1268.88</v>
      </c>
      <c r="Z27" s="37" t="n">
        <v>1268.88</v>
      </c>
      <c r="AA27" s="18" t="n">
        <v>1243.23</v>
      </c>
      <c r="AB27" s="19" t="n">
        <v>923.12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확정급여부채</t>
        </is>
      </c>
      <c r="F28" s="9" t="n"/>
      <c r="K28" s="9" t="n"/>
      <c r="P28" s="9" t="n"/>
      <c r="U28" s="9" t="n"/>
      <c r="V28" s="18" t="n">
        <v>418.31</v>
      </c>
      <c r="W28" s="18" t="n">
        <v>57.06</v>
      </c>
      <c r="X28" s="18" t="n">
        <v>137.34</v>
      </c>
      <c r="Y28" s="18" t="n">
        <v>0</v>
      </c>
      <c r="Z28" s="37" t="n">
        <v>0</v>
      </c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기타비유동금융부채</t>
        </is>
      </c>
      <c r="F29" s="9" t="n"/>
      <c r="K29" s="9" t="n"/>
      <c r="P29" s="9" t="n"/>
      <c r="U29" s="9" t="n"/>
      <c r="V29" s="18" t="n">
        <v>71.48</v>
      </c>
      <c r="W29" s="18" t="n">
        <v>76.19</v>
      </c>
      <c r="X29" s="18" t="n">
        <v>4724.48</v>
      </c>
      <c r="Y29" s="18" t="n">
        <v>5127.47</v>
      </c>
      <c r="Z29" s="37" t="n">
        <v>5127.47</v>
      </c>
      <c r="AA29" s="18" t="n">
        <v>5449.02</v>
      </c>
      <c r="AB29" s="19" t="n">
        <v>5681.68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장기금융부채</t>
        </is>
      </c>
      <c r="F30" s="9" t="n"/>
      <c r="K30" s="9" t="n"/>
      <c r="P30" s="9" t="n"/>
      <c r="U30" s="9" t="n"/>
      <c r="V30" s="18" t="n">
        <v>71.48</v>
      </c>
      <c r="W30" s="18" t="n">
        <v>76.19</v>
      </c>
      <c r="X30" s="18" t="n">
        <v>4724.48</v>
      </c>
      <c r="Y30" s="18" t="n">
        <v>5127.47</v>
      </c>
      <c r="Z30" s="37" t="n">
        <v>5127.47</v>
      </c>
      <c r="AA30" s="18" t="n">
        <v>5449.02</v>
      </c>
      <c r="AB30" s="19" t="n">
        <v>5681.68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기타비유동부채</t>
        </is>
      </c>
      <c r="F31" s="9" t="n"/>
      <c r="K31" s="9" t="n"/>
      <c r="P31" s="9" t="n"/>
      <c r="U31" s="9" t="n"/>
      <c r="V31" s="18" t="n">
        <v>147.44</v>
      </c>
      <c r="W31" s="18" t="n">
        <v>151.2</v>
      </c>
      <c r="X31" s="18" t="n">
        <v>155.6</v>
      </c>
      <c r="Y31" s="18" t="n">
        <v>158.78</v>
      </c>
      <c r="Z31" s="37" t="n">
        <v>158.78</v>
      </c>
      <c r="AA31" s="18" t="n">
        <v>161.13</v>
      </c>
      <c r="AB31" s="19" t="n">
        <v>170.33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이연법인세부채</t>
        </is>
      </c>
      <c r="F32" s="9" t="n"/>
      <c r="K32" s="9" t="n"/>
      <c r="P32" s="9" t="n"/>
      <c r="U32" s="9" t="n"/>
      <c r="V32" s="18" t="n">
        <v>1003.46</v>
      </c>
      <c r="W32" s="18" t="n">
        <v>1003.46</v>
      </c>
      <c r="X32" s="18" t="n">
        <v>1003.46</v>
      </c>
      <c r="Y32" s="18" t="n">
        <v>1490.32</v>
      </c>
      <c r="Z32" s="37" t="n">
        <v>1490.32</v>
      </c>
      <c r="AA32" s="18" t="n">
        <v>2018.95</v>
      </c>
      <c r="AB32" s="19" t="n">
        <v>2654.37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부채총계</t>
        </is>
      </c>
      <c r="F33" s="9" t="n"/>
      <c r="K33" s="9" t="n"/>
      <c r="P33" s="9" t="n"/>
      <c r="U33" s="9" t="n"/>
      <c r="V33" s="18" t="n">
        <v>45653.13</v>
      </c>
      <c r="W33" s="18" t="n">
        <v>44372.72</v>
      </c>
      <c r="X33" s="18" t="n">
        <v>58405.88</v>
      </c>
      <c r="Y33" s="18" t="n">
        <v>60911.32</v>
      </c>
      <c r="Z33" s="37" t="n">
        <v>60911.32</v>
      </c>
      <c r="AA33" s="18" t="n">
        <v>64530.71</v>
      </c>
      <c r="AB33" s="19" t="n">
        <v>63085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지배주주지분</t>
        </is>
      </c>
      <c r="F34" s="9" t="n"/>
      <c r="K34" s="9" t="n"/>
      <c r="P34" s="9" t="n"/>
      <c r="U34" s="9" t="n"/>
      <c r="V34" s="18" t="n">
        <v>72553.61</v>
      </c>
      <c r="W34" s="18" t="n">
        <v>74578.74000000001</v>
      </c>
      <c r="X34" s="18" t="n">
        <v>84369.81</v>
      </c>
      <c r="Y34" s="18" t="n">
        <v>83100.27</v>
      </c>
      <c r="Z34" s="37" t="n">
        <v>83100.27</v>
      </c>
      <c r="AA34" s="18" t="n">
        <v>84784.71000000001</v>
      </c>
      <c r="AB34" s="19" t="n">
        <v>87745.60000000001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자본금</t>
        </is>
      </c>
      <c r="F35" s="9" t="n"/>
      <c r="K35" s="9" t="n"/>
      <c r="P35" s="9" t="n"/>
      <c r="U35" s="9" t="n"/>
      <c r="V35" s="18" t="n">
        <v>20095.62</v>
      </c>
      <c r="W35" s="18" t="n">
        <v>20095.62</v>
      </c>
      <c r="X35" s="18" t="n">
        <v>20095.62</v>
      </c>
      <c r="Y35" s="18" t="n">
        <v>20095.62</v>
      </c>
      <c r="Z35" s="37" t="n">
        <v>20095.62</v>
      </c>
      <c r="AA35" s="18" t="n">
        <v>20095.62</v>
      </c>
      <c r="AB35" s="19" t="n">
        <v>20095.62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자본잉여금</t>
        </is>
      </c>
      <c r="F36" s="9" t="n"/>
      <c r="K36" s="9" t="n"/>
      <c r="P36" s="9" t="n"/>
      <c r="U36" s="9" t="n"/>
      <c r="V36" s="18" t="n">
        <v>10714.92</v>
      </c>
      <c r="W36" s="18" t="n">
        <v>10714.92</v>
      </c>
      <c r="X36" s="18" t="n">
        <v>18514.86</v>
      </c>
      <c r="Y36" s="18" t="n">
        <v>16798.87</v>
      </c>
      <c r="Z36" s="37" t="n">
        <v>16798.87</v>
      </c>
      <c r="AA36" s="18" t="n">
        <v>16798.87</v>
      </c>
      <c r="AB36" s="19" t="n">
        <v>16798.87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기타자본</t>
        </is>
      </c>
      <c r="F37" s="9" t="n"/>
      <c r="K37" s="9" t="n"/>
      <c r="P37" s="9" t="n"/>
      <c r="U37" s="9" t="n"/>
      <c r="V37" s="18" t="n">
        <v>-566.77</v>
      </c>
      <c r="W37" s="18" t="n">
        <v>-566.77</v>
      </c>
      <c r="X37" s="18" t="n">
        <v>-566.77</v>
      </c>
      <c r="Y37" s="18" t="n">
        <v>-566.77</v>
      </c>
      <c r="Z37" s="37" t="n">
        <v>-566.77</v>
      </c>
      <c r="AA37" s="18" t="n">
        <v>-566.77</v>
      </c>
      <c r="AB37" s="19" t="n">
        <v>-566.77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기타포괄이익누계액</t>
        </is>
      </c>
      <c r="F38" s="9" t="n"/>
      <c r="K38" s="9" t="n"/>
      <c r="P38" s="9" t="n"/>
      <c r="U38" s="9" t="n"/>
      <c r="V38" s="18" t="n">
        <v>6616.04</v>
      </c>
      <c r="W38" s="18" t="n">
        <v>6616.04</v>
      </c>
      <c r="X38" s="18" t="n">
        <v>6616.04</v>
      </c>
      <c r="Y38" s="18" t="n">
        <v>6524.04</v>
      </c>
      <c r="Z38" s="37" t="n">
        <v>6524.04</v>
      </c>
      <c r="AA38" s="18" t="n">
        <v>6524.04</v>
      </c>
      <c r="AB38" s="19" t="n">
        <v>6524.04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이익잉여금</t>
        </is>
      </c>
      <c r="F39" s="9" t="n"/>
      <c r="K39" s="9" t="n"/>
      <c r="P39" s="9" t="n"/>
      <c r="U39" s="9" t="n"/>
      <c r="V39" s="18" t="n">
        <v>35693.8</v>
      </c>
      <c r="W39" s="18" t="n">
        <v>37718.93</v>
      </c>
      <c r="X39" s="18" t="n">
        <v>39710.06</v>
      </c>
      <c r="Y39" s="18" t="n">
        <v>40248.51</v>
      </c>
      <c r="Z39" s="37" t="n">
        <v>40248.51</v>
      </c>
      <c r="AA39" s="18" t="n">
        <v>41932.96</v>
      </c>
      <c r="AB39" s="19" t="n">
        <v>44893.85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자본총계</t>
        </is>
      </c>
      <c r="F40" s="9" t="n"/>
      <c r="K40" s="9" t="n"/>
      <c r="P40" s="9" t="n"/>
      <c r="U40" s="9" t="n"/>
      <c r="V40" s="18" t="n">
        <v>72553.61</v>
      </c>
      <c r="W40" s="18" t="n">
        <v>74578.74000000001</v>
      </c>
      <c r="X40" s="18" t="n">
        <v>84369.81</v>
      </c>
      <c r="Y40" s="18" t="n">
        <v>83100.27</v>
      </c>
      <c r="Z40" s="37" t="n">
        <v>83100.27</v>
      </c>
      <c r="AA40" s="18" t="n">
        <v>84784.71000000001</v>
      </c>
      <c r="AB40" s="19" t="n">
        <v>87745.60000000001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부채와자본총계</t>
        </is>
      </c>
      <c r="F41" s="9" t="n"/>
      <c r="K41" s="9" t="n"/>
      <c r="P41" s="9" t="n"/>
      <c r="U41" s="9" t="n"/>
      <c r="V41" s="18" t="n">
        <v>118206.74</v>
      </c>
      <c r="W41" s="18" t="n">
        <v>118951.46</v>
      </c>
      <c r="X41" s="18" t="n">
        <v>142775.69</v>
      </c>
      <c r="Y41" s="18" t="n">
        <v>144011.58</v>
      </c>
      <c r="Z41" s="37" t="n">
        <v>144011.58</v>
      </c>
      <c r="AA41" s="18" t="n">
        <v>149315.42</v>
      </c>
      <c r="AB41" s="19" t="n">
        <v>150830.6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F42" s="9" t="n"/>
      <c r="K42" s="9" t="n"/>
      <c r="P42" s="9" t="n"/>
      <c r="U42" s="9" t="n"/>
      <c r="V42" s="18" t="n">
        <v>35547.42</v>
      </c>
      <c r="W42" s="18" t="n">
        <v>35199.68</v>
      </c>
      <c r="X42" s="18" t="n">
        <v>45207.4</v>
      </c>
      <c r="Y42" s="18" t="n">
        <v>45516.06</v>
      </c>
      <c r="Z42" s="37" t="n">
        <v>45516.06</v>
      </c>
      <c r="AA42" s="18" t="n">
        <v>45978.74</v>
      </c>
      <c r="AB42" s="19" t="n">
        <v>45919.18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F43" s="9" t="n"/>
      <c r="K43" s="9" t="n"/>
      <c r="P43" s="9" t="n"/>
      <c r="U43" s="9" t="n"/>
      <c r="V43" s="18" t="n">
        <v>13146.67</v>
      </c>
      <c r="W43" s="18" t="n">
        <v>16182.24</v>
      </c>
      <c r="X43" s="18" t="n">
        <v>5163.41</v>
      </c>
      <c r="Y43" s="18" t="n">
        <v>28507.2</v>
      </c>
      <c r="Z43" s="37" t="n">
        <v>28507.2</v>
      </c>
      <c r="AA43" s="18" t="n">
        <v>27078.58</v>
      </c>
      <c r="AB43" s="19" t="n">
        <v>29113.46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F44" s="9" t="n"/>
      <c r="K44" s="9" t="n"/>
      <c r="P44" s="9" t="n"/>
      <c r="U44" s="9" t="n"/>
      <c r="V44" s="18" t="n">
        <v>22732.65</v>
      </c>
      <c r="W44" s="18" t="n">
        <v>19348.14</v>
      </c>
      <c r="X44" s="18" t="n">
        <v>40374.1</v>
      </c>
      <c r="Y44" s="18" t="n">
        <v>18163.96</v>
      </c>
      <c r="Z44" s="37" t="n">
        <v>18163.96</v>
      </c>
      <c r="AA44" s="18" t="n">
        <v>20305.76</v>
      </c>
      <c r="AB44" s="19" t="n">
        <v>18211.36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유동성장기부채</t>
        </is>
      </c>
      <c r="F45" s="9" t="n"/>
      <c r="K45" s="9" t="n"/>
      <c r="P45" s="9" t="n"/>
      <c r="U45" s="9" t="n"/>
      <c r="V45" s="18" t="n">
        <v>11133.59</v>
      </c>
      <c r="W45" s="18" t="n">
        <v>11111.5</v>
      </c>
      <c r="X45" s="18" t="n">
        <v>10889.41</v>
      </c>
      <c r="Y45" s="18" t="n">
        <v>10867.32</v>
      </c>
      <c r="Z45" s="37" t="n">
        <v>10867.32</v>
      </c>
      <c r="AA45" s="18" t="n">
        <v>5854.6</v>
      </c>
      <c r="AB45" s="19" t="n">
        <v>6149.06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F46" s="9" t="n"/>
      <c r="K46" s="9" t="n"/>
      <c r="P46" s="9" t="n"/>
      <c r="U46" s="9" t="n"/>
      <c r="V46" s="18" t="n">
        <v>1145.83</v>
      </c>
      <c r="W46" s="18" t="n">
        <v>1120.18</v>
      </c>
      <c r="X46" s="18" t="n">
        <v>1294.53</v>
      </c>
      <c r="Y46" s="18" t="n">
        <v>1268.88</v>
      </c>
      <c r="Z46" s="37" t="n">
        <v>1268.88</v>
      </c>
      <c r="AA46" s="18" t="n">
        <v>1243.23</v>
      </c>
      <c r="AB46" s="19" t="n">
        <v>923.12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사채</t>
        </is>
      </c>
      <c r="F47" s="9" t="n"/>
      <c r="K47" s="9" t="n"/>
      <c r="P47" s="9" t="n"/>
      <c r="U47" s="9" t="n"/>
      <c r="X47" s="18" t="n">
        <v>10055.46</v>
      </c>
      <c r="Y47" s="18" t="n">
        <v>10411.86</v>
      </c>
      <c r="Z47" s="37" t="n">
        <v>10411.86</v>
      </c>
      <c r="AA47" s="18" t="n">
        <v>10793.31</v>
      </c>
      <c r="AB47" s="19" t="n">
        <v>11179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매출액(수익)</t>
        </is>
      </c>
      <c r="F48" s="9" t="n"/>
      <c r="K48" s="9" t="n"/>
      <c r="P48" s="9" t="n"/>
      <c r="U48" s="9" t="n"/>
      <c r="V48" s="18" t="n">
        <v>21745.03</v>
      </c>
      <c r="W48" s="18" t="n">
        <v>23669.22</v>
      </c>
      <c r="X48" s="18" t="n">
        <v>24219.33</v>
      </c>
      <c r="Y48" s="18" t="n">
        <v>25899.18</v>
      </c>
      <c r="Z48" s="37" t="n">
        <v>95532.75999999999</v>
      </c>
      <c r="AA48" s="18" t="n">
        <v>25020.68</v>
      </c>
      <c r="AB48" s="19" t="n">
        <v>31358.49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매출원가</t>
        </is>
      </c>
      <c r="F49" s="9" t="n"/>
      <c r="K49" s="9" t="n"/>
      <c r="P49" s="9" t="n"/>
      <c r="U49" s="9" t="n"/>
      <c r="V49" s="18" t="n">
        <v>17507.06</v>
      </c>
      <c r="W49" s="18" t="n">
        <v>18917.92</v>
      </c>
      <c r="X49" s="18" t="n">
        <v>19763.66</v>
      </c>
      <c r="Y49" s="18" t="n">
        <v>21598.81</v>
      </c>
      <c r="Z49" s="37" t="n">
        <v>77787.45</v>
      </c>
      <c r="AA49" s="18" t="n">
        <v>19504.39</v>
      </c>
      <c r="AB49" s="19" t="n">
        <v>25456.63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매출총이익</t>
        </is>
      </c>
      <c r="F50" s="9" t="n"/>
      <c r="K50" s="9" t="n"/>
      <c r="P50" s="9" t="n"/>
      <c r="U50" s="9" t="n"/>
      <c r="V50" s="18" t="n">
        <v>4237.98</v>
      </c>
      <c r="W50" s="18" t="n">
        <v>4751.3</v>
      </c>
      <c r="X50" s="18" t="n">
        <v>4455.66</v>
      </c>
      <c r="Y50" s="18" t="n">
        <v>4300.38</v>
      </c>
      <c r="Z50" s="37" t="n">
        <v>17745.32</v>
      </c>
      <c r="AA50" s="18" t="n">
        <v>5516.29</v>
      </c>
      <c r="AB50" s="19" t="n">
        <v>5901.86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판관비</t>
        </is>
      </c>
      <c r="F51" s="9" t="n"/>
      <c r="K51" s="9" t="n"/>
      <c r="P51" s="9" t="n"/>
      <c r="U51" s="9" t="n"/>
      <c r="V51" s="18" t="n">
        <v>1429.12</v>
      </c>
      <c r="W51" s="18" t="n">
        <v>1409.94</v>
      </c>
      <c r="X51" s="18" t="n">
        <v>1503.03</v>
      </c>
      <c r="Y51" s="18" t="n">
        <v>1863.43</v>
      </c>
      <c r="Z51" s="37" t="n">
        <v>6205.52</v>
      </c>
      <c r="AA51" s="18" t="n">
        <v>1490.79</v>
      </c>
      <c r="AB51" s="19" t="n">
        <v>1605.11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영업이익</t>
        </is>
      </c>
      <c r="F52" s="9" t="n"/>
      <c r="K52" s="9" t="n"/>
      <c r="P52" s="9" t="n"/>
      <c r="U52" s="9" t="n"/>
      <c r="V52" s="18" t="n">
        <v>2808.86</v>
      </c>
      <c r="W52" s="18" t="n">
        <v>3341.36</v>
      </c>
      <c r="X52" s="18" t="n">
        <v>2952.64</v>
      </c>
      <c r="Y52" s="18" t="n">
        <v>2436.95</v>
      </c>
      <c r="Z52" s="37" t="n">
        <v>11539.81</v>
      </c>
      <c r="AA52" s="18" t="n">
        <v>4025.5</v>
      </c>
      <c r="AB52" s="19" t="n">
        <v>4296.76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금융수익</t>
        </is>
      </c>
      <c r="F53" s="9" t="n"/>
      <c r="K53" s="9" t="n"/>
      <c r="P53" s="9" t="n"/>
      <c r="U53" s="9" t="n"/>
      <c r="V53" s="18" t="n">
        <v>38.51</v>
      </c>
      <c r="W53" s="18" t="n">
        <v>59.85</v>
      </c>
      <c r="X53" s="18" t="n">
        <v>67.90000000000001</v>
      </c>
      <c r="Y53" s="18" t="n">
        <v>89.59</v>
      </c>
      <c r="Z53" s="37" t="n">
        <v>255.85</v>
      </c>
      <c r="AA53" s="18" t="n">
        <v>38.61</v>
      </c>
      <c r="AB53" s="19" t="n">
        <v>35.67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금융비용</t>
        </is>
      </c>
      <c r="F54" s="9" t="n"/>
      <c r="K54" s="9" t="n"/>
      <c r="P54" s="9" t="n"/>
      <c r="U54" s="9" t="n"/>
      <c r="V54" s="18" t="n">
        <v>372.46</v>
      </c>
      <c r="W54" s="18" t="n">
        <v>349.17</v>
      </c>
      <c r="X54" s="18" t="n">
        <v>835.53</v>
      </c>
      <c r="Y54" s="18" t="n">
        <v>2130.15</v>
      </c>
      <c r="Z54" s="37" t="n">
        <v>3687.31</v>
      </c>
      <c r="AA54" s="18" t="n">
        <v>1389.61</v>
      </c>
      <c r="AB54" s="19" t="n">
        <v>930.4299999999999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기타영업외수익</t>
        </is>
      </c>
      <c r="F55" s="9" t="n"/>
      <c r="K55" s="9" t="n"/>
      <c r="P55" s="9" t="n"/>
      <c r="U55" s="9" t="n"/>
      <c r="V55" s="18" t="n">
        <v>204.2</v>
      </c>
      <c r="W55" s="18" t="n">
        <v>386.32</v>
      </c>
      <c r="X55" s="18" t="n">
        <v>206.83</v>
      </c>
      <c r="Y55" s="18" t="n">
        <v>387.77</v>
      </c>
      <c r="Z55" s="37" t="n">
        <v>1185.12</v>
      </c>
      <c r="AA55" s="18" t="n">
        <v>765.34</v>
      </c>
      <c r="AB55" s="19" t="n">
        <v>386.45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기타영업외비용</t>
        </is>
      </c>
      <c r="F56" s="9" t="n"/>
      <c r="K56" s="9" t="n"/>
      <c r="P56" s="9" t="n"/>
      <c r="U56" s="9" t="n"/>
      <c r="V56" s="18" t="n">
        <v>113.99</v>
      </c>
      <c r="W56" s="18" t="n">
        <v>825.88</v>
      </c>
      <c r="X56" s="18" t="n">
        <v>-74.26000000000001</v>
      </c>
      <c r="Y56" s="18" t="n">
        <v>215.32</v>
      </c>
      <c r="Z56" s="37" t="n">
        <v>1080.93</v>
      </c>
      <c r="AA56" s="18" t="n">
        <v>369.83</v>
      </c>
      <c r="AB56" s="19" t="n">
        <v>22.97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법인세비용차감전계속사업이익</t>
        </is>
      </c>
      <c r="F57" s="9" t="n"/>
      <c r="K57" s="9" t="n"/>
      <c r="P57" s="9" t="n"/>
      <c r="U57" s="9" t="n"/>
      <c r="V57" s="18" t="n">
        <v>2565.12</v>
      </c>
      <c r="W57" s="18" t="n">
        <v>2612.48</v>
      </c>
      <c r="X57" s="18" t="n">
        <v>2466.09</v>
      </c>
      <c r="Y57" s="18" t="n">
        <v>568.85</v>
      </c>
      <c r="Z57" s="37" t="n">
        <v>8212.540000000001</v>
      </c>
      <c r="AA57" s="18" t="n">
        <v>3070.01</v>
      </c>
      <c r="AB57" s="19" t="n">
        <v>3765.49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</t>
        </is>
      </c>
      <c r="F58" s="9" t="n"/>
      <c r="K58" s="9" t="n"/>
      <c r="P58" s="9" t="n"/>
      <c r="U58" s="9" t="n"/>
      <c r="V58" s="18" t="n">
        <v>541.22</v>
      </c>
      <c r="W58" s="18" t="n">
        <v>545.46</v>
      </c>
      <c r="X58" s="18" t="n">
        <v>500.06</v>
      </c>
      <c r="Y58" s="18" t="n">
        <v>66.78</v>
      </c>
      <c r="Z58" s="37" t="n">
        <v>1653.52</v>
      </c>
      <c r="AA58" s="18" t="n">
        <v>581.85</v>
      </c>
      <c r="AB58" s="19" t="n">
        <v>812.04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당기순이익</t>
        </is>
      </c>
      <c r="F59" s="9" t="n"/>
      <c r="K59" s="9" t="n"/>
      <c r="P59" s="9" t="n"/>
      <c r="U59" s="9" t="n"/>
      <c r="V59" s="18" t="n">
        <v>2023.9</v>
      </c>
      <c r="W59" s="18" t="n">
        <v>2067.02</v>
      </c>
      <c r="X59" s="18" t="n">
        <v>1966.03</v>
      </c>
      <c r="Y59" s="18" t="n">
        <v>502.06</v>
      </c>
      <c r="Z59" s="37" t="n">
        <v>6559.01</v>
      </c>
      <c r="AA59" s="18" t="n">
        <v>2488.16</v>
      </c>
      <c r="AB59" s="19" t="n">
        <v>2953.44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총포괄손익</t>
        </is>
      </c>
      <c r="F60" s="9" t="n"/>
      <c r="K60" s="9" t="n"/>
      <c r="P60" s="9" t="n"/>
      <c r="U60" s="9" t="n"/>
      <c r="V60" s="18" t="n">
        <v>1765.74</v>
      </c>
      <c r="W60" s="18" t="n">
        <v>2025.13</v>
      </c>
      <c r="X60" s="18" t="n">
        <v>1991.13</v>
      </c>
      <c r="Y60" s="18" t="n">
        <v>446.44</v>
      </c>
      <c r="Z60" s="37" t="n">
        <v>6228.44</v>
      </c>
      <c r="AA60" s="18" t="n">
        <v>2485.83</v>
      </c>
      <c r="AB60" s="19" t="n">
        <v>2960.89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(지배주주지분)당기순이익</t>
        </is>
      </c>
      <c r="F61" s="9" t="n"/>
      <c r="K61" s="9" t="n"/>
      <c r="P61" s="9" t="n"/>
      <c r="U61" s="9" t="n"/>
      <c r="V61" s="18" t="n">
        <v>2023.9</v>
      </c>
      <c r="W61" s="18" t="n">
        <v>2067.02</v>
      </c>
      <c r="X61" s="18" t="n">
        <v>1966.03</v>
      </c>
      <c r="Y61" s="18" t="n">
        <v>502.06</v>
      </c>
      <c r="Z61" s="37" t="n">
        <v>6559.01</v>
      </c>
      <c r="AA61" s="18" t="n">
        <v>2488.16</v>
      </c>
      <c r="AB61" s="19" t="n">
        <v>2953.44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금융손익</t>
        </is>
      </c>
      <c r="F62" s="9" t="n"/>
      <c r="K62" s="9" t="n"/>
      <c r="P62" s="9" t="n"/>
      <c r="U62" s="9" t="n"/>
      <c r="V62" s="18" t="n">
        <v>-333.95</v>
      </c>
      <c r="W62" s="18" t="n">
        <v>-289.32</v>
      </c>
      <c r="X62" s="18" t="n">
        <v>-767.63</v>
      </c>
      <c r="Y62" s="18" t="n">
        <v>-2040.56</v>
      </c>
      <c r="Z62" s="37" t="n">
        <v>-3431.46</v>
      </c>
      <c r="AA62" s="18" t="n">
        <v>-1351</v>
      </c>
      <c r="AB62" s="19" t="n">
        <v>-894.76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기타영업외손익</t>
        </is>
      </c>
      <c r="F63" s="9" t="n"/>
      <c r="K63" s="9" t="n"/>
      <c r="P63" s="9" t="n"/>
      <c r="U63" s="9" t="n"/>
      <c r="V63" s="18" t="n">
        <v>90.20999999999999</v>
      </c>
      <c r="W63" s="18" t="n">
        <v>-439.56</v>
      </c>
      <c r="X63" s="18" t="n">
        <v>281.09</v>
      </c>
      <c r="Y63" s="18" t="n">
        <v>172.45</v>
      </c>
      <c r="Z63" s="37" t="n">
        <v>104.19</v>
      </c>
      <c r="AA63" s="18" t="n">
        <v>395.51</v>
      </c>
      <c r="AB63" s="19" t="n">
        <v>363.48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계속사업이익</t>
        </is>
      </c>
      <c r="F64" s="9" t="n"/>
      <c r="K64" s="9" t="n"/>
      <c r="P64" s="9" t="n"/>
      <c r="U64" s="9" t="n"/>
      <c r="V64" s="18" t="n">
        <v>2023.9</v>
      </c>
      <c r="W64" s="18" t="n">
        <v>2067.02</v>
      </c>
      <c r="X64" s="18" t="n">
        <v>1966.03</v>
      </c>
      <c r="Y64" s="18" t="n">
        <v>502.06</v>
      </c>
      <c r="Z64" s="37" t="n">
        <v>6559.01</v>
      </c>
      <c r="AA64" s="18" t="n">
        <v>2488.16</v>
      </c>
      <c r="AB64" s="19" t="n">
        <v>2953.44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이자수익</t>
        </is>
      </c>
      <c r="F65" s="9" t="n"/>
      <c r="K65" s="9" t="n"/>
      <c r="P65" s="9" t="n"/>
      <c r="U65" s="9" t="n"/>
      <c r="V65" s="18" t="n">
        <v>38.51</v>
      </c>
      <c r="W65" s="18" t="n">
        <v>59.85</v>
      </c>
      <c r="X65" s="18" t="n">
        <v>67.90000000000001</v>
      </c>
      <c r="Y65" s="18" t="n">
        <v>89.59</v>
      </c>
      <c r="Z65" s="37" t="n">
        <v>255.85</v>
      </c>
      <c r="AA65" s="18" t="n">
        <v>38.61</v>
      </c>
      <c r="AB65" s="19" t="n">
        <v>35.67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이자비용</t>
        </is>
      </c>
      <c r="F66" s="9" t="n"/>
      <c r="K66" s="9" t="n"/>
      <c r="P66" s="9" t="n"/>
      <c r="U66" s="9" t="n"/>
      <c r="V66" s="18" t="n">
        <v>372.46</v>
      </c>
      <c r="W66" s="18" t="n">
        <v>349.17</v>
      </c>
      <c r="X66" s="18" t="n">
        <v>385.15</v>
      </c>
      <c r="Y66" s="18" t="n">
        <v>672.0700000000001</v>
      </c>
      <c r="Z66" s="37" t="n">
        <v>1778.85</v>
      </c>
      <c r="AA66" s="18" t="n">
        <v>672.95</v>
      </c>
      <c r="AB66" s="19" t="n">
        <v>676.11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이자손익</t>
        </is>
      </c>
      <c r="F67" s="9" t="n"/>
      <c r="K67" s="9" t="n"/>
      <c r="P67" s="9" t="n"/>
      <c r="U67" s="9" t="n"/>
      <c r="V67" s="18" t="n">
        <v>-333.95</v>
      </c>
      <c r="W67" s="18" t="n">
        <v>-289.32</v>
      </c>
      <c r="X67" s="18" t="n">
        <v>-317.25</v>
      </c>
      <c r="Y67" s="18" t="n">
        <v>-582.48</v>
      </c>
      <c r="Z67" s="37" t="n">
        <v>-1523</v>
      </c>
      <c r="AA67" s="18" t="n">
        <v>-634.34</v>
      </c>
      <c r="AB67" s="19" t="n">
        <v>-640.4400000000001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파생상품손실</t>
        </is>
      </c>
      <c r="F68" s="9" t="n"/>
      <c r="K68" s="9" t="n"/>
      <c r="P68" s="9" t="n"/>
      <c r="U68" s="9" t="n"/>
      <c r="X68" s="18" t="n">
        <v>450.38</v>
      </c>
      <c r="Y68" s="18" t="n">
        <v>1458.08</v>
      </c>
      <c r="Z68" s="9" t="n"/>
      <c r="AA68" s="18" t="n">
        <v>716.66</v>
      </c>
      <c r="AB68" s="19" t="n">
        <v>254.32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영업활동으로인한현금흐름</t>
        </is>
      </c>
      <c r="F69" s="9" t="n"/>
      <c r="K69" s="9" t="n"/>
      <c r="P69" s="9" t="n"/>
      <c r="U69" s="9" t="n"/>
      <c r="V69" s="18" t="n">
        <v>1179.44</v>
      </c>
      <c r="W69" s="18" t="n">
        <v>-1181.86</v>
      </c>
      <c r="X69" s="18" t="n">
        <v>3383.98</v>
      </c>
      <c r="Y69" s="18" t="n">
        <v>-510.38</v>
      </c>
      <c r="Z69" s="37" t="n">
        <v>2871.18</v>
      </c>
      <c r="AA69" s="18" t="n">
        <v>2661.38</v>
      </c>
      <c r="AB69" s="19" t="n">
        <v>3053.96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이자수취(CF)</t>
        </is>
      </c>
      <c r="F70" s="9" t="n"/>
      <c r="K70" s="9" t="n"/>
      <c r="P70" s="9" t="n"/>
      <c r="U70" s="9" t="n"/>
      <c r="V70" s="18" t="n">
        <v>36.26</v>
      </c>
      <c r="W70" s="18" t="n">
        <v>57.17</v>
      </c>
      <c r="X70" s="18" t="n">
        <v>65.51000000000001</v>
      </c>
      <c r="Y70" s="18" t="n">
        <v>87.18000000000001</v>
      </c>
      <c r="Z70" s="37" t="n">
        <v>246.12</v>
      </c>
      <c r="AA70" s="18" t="n">
        <v>34.22</v>
      </c>
      <c r="AB70" s="19" t="n">
        <v>31.64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법인세납부(CF)</t>
        </is>
      </c>
      <c r="F71" s="9" t="n"/>
      <c r="K71" s="9" t="n"/>
      <c r="P71" s="9" t="n"/>
      <c r="U71" s="9" t="n"/>
      <c r="V71" s="18" t="n">
        <v>-148.6</v>
      </c>
      <c r="W71" s="18" t="n">
        <v>-165.84</v>
      </c>
      <c r="X71" s="18" t="n">
        <v>-158.75</v>
      </c>
      <c r="Y71" s="18" t="n">
        <v>-13.46</v>
      </c>
      <c r="Z71" s="37" t="n">
        <v>-486.65</v>
      </c>
      <c r="AA71" s="18" t="n">
        <v>-92.33</v>
      </c>
      <c r="AB71" s="19" t="n">
        <v>-118.04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투자활동으로인한현금흐름</t>
        </is>
      </c>
      <c r="F72" s="9" t="n"/>
      <c r="K72" s="9" t="n"/>
      <c r="P72" s="9" t="n"/>
      <c r="U72" s="9" t="n"/>
      <c r="V72" s="18" t="n">
        <v>-3722.68</v>
      </c>
      <c r="W72" s="18" t="n">
        <v>-1148.96</v>
      </c>
      <c r="X72" s="18" t="n">
        <v>-2416.9</v>
      </c>
      <c r="Y72" s="18" t="n">
        <v>-22338.45</v>
      </c>
      <c r="Z72" s="37" t="n">
        <v>-29626.99</v>
      </c>
      <c r="AA72" s="18" t="n">
        <v>-1052.46</v>
      </c>
      <c r="AB72" s="19" t="n">
        <v>-3893.71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유형자산의감소</t>
        </is>
      </c>
      <c r="F73" s="9" t="n"/>
      <c r="K73" s="9" t="n"/>
      <c r="P73" s="9" t="n"/>
      <c r="U73" s="9" t="n"/>
      <c r="V73" s="18" t="n">
        <v>1.12</v>
      </c>
      <c r="W73" s="18" t="n">
        <v>0</v>
      </c>
      <c r="X73" s="18" t="n">
        <v>16.16</v>
      </c>
      <c r="Y73" s="18" t="n">
        <v>16.25</v>
      </c>
      <c r="Z73" s="37" t="n">
        <v>33.53</v>
      </c>
      <c r="AA73" s="18" t="n">
        <v>0</v>
      </c>
      <c r="AB73" s="19" t="n">
        <v>73.64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유형자산의증가</t>
        </is>
      </c>
      <c r="F74" s="9" t="n"/>
      <c r="K74" s="9" t="n"/>
      <c r="P74" s="9" t="n"/>
      <c r="U74" s="9" t="n"/>
      <c r="V74" s="18" t="n">
        <v>845.54</v>
      </c>
      <c r="W74" s="18" t="n">
        <v>1117.46</v>
      </c>
      <c r="X74" s="18" t="n">
        <v>2431.79</v>
      </c>
      <c r="Y74" s="18" t="n">
        <v>21527.79</v>
      </c>
      <c r="Z74" s="37" t="n">
        <v>25922.58</v>
      </c>
      <c r="AA74" s="18" t="n">
        <v>787.15</v>
      </c>
      <c r="AB74" s="19" t="n">
        <v>3957.35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CAPEX</t>
        </is>
      </c>
      <c r="F75" s="9" t="n"/>
      <c r="K75" s="9" t="n"/>
      <c r="P75" s="9" t="n"/>
      <c r="U75" s="9" t="n"/>
      <c r="V75" s="18" t="n">
        <v>845.54</v>
      </c>
      <c r="W75" s="18" t="n">
        <v>1117.46</v>
      </c>
      <c r="X75" s="18" t="n">
        <v>2431.79</v>
      </c>
      <c r="Y75" s="18" t="n">
        <v>21532.12</v>
      </c>
      <c r="Z75" s="37" t="n">
        <v>25926.91</v>
      </c>
      <c r="AA75" s="18" t="n">
        <v>790.28</v>
      </c>
      <c r="AB75" s="19" t="n">
        <v>3957.35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재무활동으로인한현금흐름</t>
        </is>
      </c>
      <c r="F76" s="9" t="n"/>
      <c r="K76" s="9" t="n"/>
      <c r="P76" s="9" t="n"/>
      <c r="U76" s="9" t="n"/>
      <c r="V76" s="18" t="n">
        <v>-53.82</v>
      </c>
      <c r="W76" s="18" t="n">
        <v>-954.73</v>
      </c>
      <c r="X76" s="18" t="n">
        <v>19946.13</v>
      </c>
      <c r="Y76" s="18" t="n">
        <v>-53.71</v>
      </c>
      <c r="Z76" s="37" t="n">
        <v>18883.87</v>
      </c>
      <c r="AA76" s="18" t="n">
        <v>76.93000000000001</v>
      </c>
      <c r="AB76" s="19" t="n">
        <v>-1252.02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장기차입금의증가</t>
        </is>
      </c>
      <c r="F77" s="9" t="n"/>
      <c r="K77" s="9" t="n"/>
      <c r="P77" s="9" t="n"/>
      <c r="U77" s="9" t="n"/>
      <c r="V77" s="18" t="n">
        <v>0</v>
      </c>
      <c r="W77" s="18" t="n">
        <v>0</v>
      </c>
      <c r="X77" s="18" t="n">
        <v>0</v>
      </c>
      <c r="Y77" s="18" t="n">
        <v>0</v>
      </c>
      <c r="Z77" s="37" t="n">
        <v>0</v>
      </c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유동성장기부채의감소</t>
        </is>
      </c>
      <c r="F78" s="9" t="n"/>
      <c r="K78" s="9" t="n"/>
      <c r="P78" s="9" t="n"/>
      <c r="U78" s="9" t="n"/>
      <c r="V78" s="18" t="n">
        <v>47.74</v>
      </c>
      <c r="W78" s="18" t="n">
        <v>47.74</v>
      </c>
      <c r="X78" s="18" t="n">
        <v>47.74</v>
      </c>
      <c r="Y78" s="18" t="n">
        <v>47.74</v>
      </c>
      <c r="Z78" s="37" t="n">
        <v>190.96</v>
      </c>
      <c r="AA78" s="18" t="n">
        <v>5038.37</v>
      </c>
      <c r="AB78" s="19" t="n">
        <v>25.65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현금및현금성자산의증감</t>
        </is>
      </c>
      <c r="F79" s="9" t="n"/>
      <c r="K79" s="9" t="n"/>
      <c r="P79" s="9" t="n"/>
      <c r="U79" s="9" t="n"/>
      <c r="V79" s="18" t="n">
        <v>-2597.06</v>
      </c>
      <c r="W79" s="18" t="n">
        <v>-3285.55</v>
      </c>
      <c r="X79" s="18" t="n">
        <v>20913.21</v>
      </c>
      <c r="Y79" s="18" t="n">
        <v>-22902.54</v>
      </c>
      <c r="Z79" s="37" t="n">
        <v>-7871.94</v>
      </c>
      <c r="AA79" s="18" t="n">
        <v>1685.85</v>
      </c>
      <c r="AB79" s="19" t="n">
        <v>-2091.78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기말현금및현금성자산</t>
        </is>
      </c>
      <c r="F80" s="9" t="n"/>
      <c r="K80" s="9" t="n"/>
      <c r="P80" s="9" t="n"/>
      <c r="U80" s="9" t="n"/>
      <c r="V80" s="18" t="n">
        <v>22400.75</v>
      </c>
      <c r="W80" s="18" t="n">
        <v>-3383.31</v>
      </c>
      <c r="X80" s="18" t="n">
        <v>21026.55</v>
      </c>
      <c r="Y80" s="18" t="n">
        <v>-23035.13</v>
      </c>
      <c r="Z80" s="37" t="n">
        <v>17008.86</v>
      </c>
      <c r="AA80" s="18" t="n">
        <v>18900.16</v>
      </c>
      <c r="AB80" s="19" t="n">
        <v>-2094.44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단기차입금의감소</t>
        </is>
      </c>
      <c r="F81" s="9" t="n"/>
      <c r="K81" s="9" t="n"/>
      <c r="P81" s="9" t="n"/>
      <c r="U81" s="9" t="n"/>
      <c r="X81" s="18" t="n">
        <v>0</v>
      </c>
      <c r="Y81" s="18" t="n">
        <v>0</v>
      </c>
      <c r="Z81" s="9" t="n"/>
      <c r="AA81" s="18" t="n">
        <v>2000</v>
      </c>
      <c r="AB81" s="19" t="n">
        <v>551.12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배당금지급</t>
        </is>
      </c>
      <c r="F82" s="9" t="n"/>
      <c r="K82" s="9" t="n"/>
      <c r="P82" s="9" t="n"/>
      <c r="U82" s="9" t="n"/>
      <c r="X82" s="18" t="n">
        <v>0</v>
      </c>
      <c r="Y82" s="18" t="n">
        <v>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무형자산의증가</t>
        </is>
      </c>
      <c r="F83" s="9" t="n"/>
      <c r="K83" s="9" t="n"/>
      <c r="P83" s="9" t="n"/>
      <c r="U83" s="9" t="n"/>
      <c r="Y83" s="18" t="n">
        <v>4.33</v>
      </c>
      <c r="Z83" s="9" t="n"/>
      <c r="AA83" s="18" t="n">
        <v>3.13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단기차입금의증가</t>
        </is>
      </c>
      <c r="F84" s="9" t="n"/>
      <c r="K84" s="9" t="n"/>
      <c r="P84" s="9" t="n"/>
      <c r="U84" s="9" t="n"/>
      <c r="Z84" s="9" t="n"/>
      <c r="AA84" s="18" t="n">
        <v>7119.6</v>
      </c>
      <c r="AB84" s="19" t="n">
        <v>131.52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케이에스피(별)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25613.45</v>
      </c>
      <c r="F5" s="37" t="n">
        <v>25613.45</v>
      </c>
      <c r="G5" s="18" t="n">
        <v>27661.5</v>
      </c>
      <c r="H5" s="18" t="n">
        <v>28661.42</v>
      </c>
      <c r="I5" s="18" t="n">
        <v>33026.69</v>
      </c>
      <c r="J5" s="18" t="n">
        <v>31844.69</v>
      </c>
      <c r="K5" s="37" t="n">
        <v>31844.69</v>
      </c>
      <c r="L5" s="18" t="n">
        <v>38931.14</v>
      </c>
      <c r="M5" s="18" t="n">
        <v>41172.93</v>
      </c>
      <c r="N5" s="18" t="n">
        <v>41915.62</v>
      </c>
      <c r="O5" s="18" t="n">
        <v>44908.97</v>
      </c>
      <c r="P5" s="37" t="n">
        <v>44908.97</v>
      </c>
      <c r="Q5" s="18" t="n">
        <v>54373.38</v>
      </c>
      <c r="R5" s="18" t="n">
        <v>53969.35</v>
      </c>
      <c r="S5" s="18" t="n">
        <v>55353.1</v>
      </c>
      <c r="T5" s="18" t="n">
        <v>56476.59</v>
      </c>
      <c r="U5" s="37" t="n">
        <v>56476.59</v>
      </c>
      <c r="V5" s="18" t="n">
        <v>55510.7</v>
      </c>
      <c r="W5" s="18" t="n">
        <v>56393.67</v>
      </c>
      <c r="X5" s="18" t="n">
        <v>78714.66</v>
      </c>
      <c r="Y5" s="18" t="n">
        <v>59516.86</v>
      </c>
      <c r="Z5" s="37" t="n">
        <v>59516.86</v>
      </c>
      <c r="AA5" s="18" t="n">
        <v>63878.09</v>
      </c>
      <c r="AB5" s="19" t="n">
        <v>62582.68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8674</v>
      </c>
      <c r="F6" s="37" t="n">
        <v>8674</v>
      </c>
      <c r="G6" s="18" t="n">
        <v>9228.219999999999</v>
      </c>
      <c r="H6" s="18" t="n">
        <v>7803.27</v>
      </c>
      <c r="I6" s="18" t="n">
        <v>9488.540000000001</v>
      </c>
      <c r="J6" s="18" t="n">
        <v>3809.12</v>
      </c>
      <c r="K6" s="37" t="n">
        <v>3809.12</v>
      </c>
      <c r="L6" s="18" t="n">
        <v>5126.93</v>
      </c>
      <c r="M6" s="18" t="n">
        <v>3888.88</v>
      </c>
      <c r="N6" s="18" t="n">
        <v>3395.35</v>
      </c>
      <c r="O6" s="18" t="n">
        <v>9353.33</v>
      </c>
      <c r="P6" s="37" t="n">
        <v>9353.33</v>
      </c>
      <c r="Q6" s="18" t="n">
        <v>16149.58</v>
      </c>
      <c r="R6" s="18" t="n">
        <v>14719.03</v>
      </c>
      <c r="S6" s="18" t="n">
        <v>20053.67</v>
      </c>
      <c r="T6" s="18" t="n">
        <v>24978.78</v>
      </c>
      <c r="U6" s="37" t="n">
        <v>24978.78</v>
      </c>
      <c r="V6" s="18" t="n">
        <v>22138.97</v>
      </c>
      <c r="W6" s="18" t="n">
        <v>18786.96</v>
      </c>
      <c r="X6" s="18" t="n">
        <v>39916.95</v>
      </c>
      <c r="Y6" s="18" t="n">
        <v>16915.67</v>
      </c>
      <c r="Z6" s="37" t="n">
        <v>16915.67</v>
      </c>
      <c r="AA6" s="18" t="n">
        <v>18681.38</v>
      </c>
      <c r="AB6" s="19" t="n">
        <v>16439.04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6586.48</v>
      </c>
      <c r="F7" s="37" t="n">
        <v>6586.48</v>
      </c>
      <c r="G7" s="18" t="n">
        <v>6764.06</v>
      </c>
      <c r="H7" s="18" t="n">
        <v>7323.06</v>
      </c>
      <c r="I7" s="18" t="n">
        <v>8351.540000000001</v>
      </c>
      <c r="J7" s="18" t="n">
        <v>9520.639999999999</v>
      </c>
      <c r="K7" s="37" t="n">
        <v>9520.639999999999</v>
      </c>
      <c r="L7" s="18" t="n">
        <v>11812.99</v>
      </c>
      <c r="M7" s="18" t="n">
        <v>10733.82</v>
      </c>
      <c r="N7" s="18" t="n">
        <v>10623.57</v>
      </c>
      <c r="O7" s="18" t="n">
        <v>10640.36</v>
      </c>
      <c r="P7" s="37" t="n">
        <v>10640.36</v>
      </c>
      <c r="Q7" s="18" t="n">
        <v>12751.88</v>
      </c>
      <c r="R7" s="18" t="n">
        <v>12539.74</v>
      </c>
      <c r="S7" s="18" t="n">
        <v>7500.05</v>
      </c>
      <c r="T7" s="18" t="n">
        <v>9612.77</v>
      </c>
      <c r="U7" s="37" t="n">
        <v>9612.77</v>
      </c>
      <c r="V7" s="18" t="n">
        <v>9987.040000000001</v>
      </c>
      <c r="W7" s="18" t="n">
        <v>11471.6</v>
      </c>
      <c r="X7" s="18" t="n">
        <v>9475.49</v>
      </c>
      <c r="Y7" s="18" t="n">
        <v>13159</v>
      </c>
      <c r="Z7" s="37" t="n">
        <v>13159</v>
      </c>
      <c r="AA7" s="18" t="n">
        <v>12873.36</v>
      </c>
      <c r="AB7" s="19" t="n">
        <v>13815.57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9630.129999999999</v>
      </c>
      <c r="F8" s="37" t="n">
        <v>9630.129999999999</v>
      </c>
      <c r="G8" s="18" t="n">
        <v>10799.44</v>
      </c>
      <c r="H8" s="18" t="n">
        <v>12812.13</v>
      </c>
      <c r="I8" s="18" t="n">
        <v>14376.73</v>
      </c>
      <c r="J8" s="18" t="n">
        <v>16690.16</v>
      </c>
      <c r="K8" s="37" t="n">
        <v>16690.16</v>
      </c>
      <c r="L8" s="18" t="n">
        <v>21331.01</v>
      </c>
      <c r="M8" s="18" t="n">
        <v>25461.46</v>
      </c>
      <c r="N8" s="18" t="n">
        <v>27092.41</v>
      </c>
      <c r="O8" s="18" t="n">
        <v>24342.71</v>
      </c>
      <c r="P8" s="37" t="n">
        <v>24342.71</v>
      </c>
      <c r="Q8" s="18" t="n">
        <v>25035.63</v>
      </c>
      <c r="R8" s="18" t="n">
        <v>25877.01</v>
      </c>
      <c r="S8" s="18" t="n">
        <v>27307.08</v>
      </c>
      <c r="T8" s="18" t="n">
        <v>21281.17</v>
      </c>
      <c r="U8" s="37" t="n">
        <v>21281.17</v>
      </c>
      <c r="V8" s="18" t="n">
        <v>22836.69</v>
      </c>
      <c r="W8" s="18" t="n">
        <v>25086.09</v>
      </c>
      <c r="X8" s="18" t="n">
        <v>26429.79</v>
      </c>
      <c r="Y8" s="18" t="n">
        <v>27943.95</v>
      </c>
      <c r="Z8" s="37" t="n">
        <v>27943.95</v>
      </c>
      <c r="AA8" s="18" t="n">
        <v>31246.3</v>
      </c>
      <c r="AB8" s="19" t="n">
        <v>30972.11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475.25</v>
      </c>
      <c r="F9" s="37" t="n">
        <v>475.25</v>
      </c>
      <c r="G9" s="18" t="n">
        <v>439.75</v>
      </c>
      <c r="H9" s="18" t="n">
        <v>384.68</v>
      </c>
      <c r="I9" s="18" t="n">
        <v>414.53</v>
      </c>
      <c r="J9" s="18" t="n">
        <v>1103</v>
      </c>
      <c r="K9" s="37" t="n">
        <v>1103</v>
      </c>
      <c r="L9" s="18" t="n">
        <v>130.43</v>
      </c>
      <c r="M9" s="18" t="n">
        <v>134.04</v>
      </c>
      <c r="N9" s="18" t="n">
        <v>120.32</v>
      </c>
      <c r="O9" s="18" t="n">
        <v>165.59</v>
      </c>
      <c r="P9" s="37" t="n">
        <v>165.59</v>
      </c>
      <c r="Q9" s="18" t="n">
        <v>63.94</v>
      </c>
      <c r="R9" s="18" t="n">
        <v>79.76000000000001</v>
      </c>
      <c r="S9" s="18" t="n">
        <v>141.39</v>
      </c>
      <c r="T9" s="18" t="n">
        <v>213.89</v>
      </c>
      <c r="U9" s="37" t="n">
        <v>213.89</v>
      </c>
      <c r="V9" s="18" t="n">
        <v>167.86</v>
      </c>
      <c r="W9" s="18" t="n">
        <v>103.08</v>
      </c>
      <c r="X9" s="18" t="n">
        <v>2213.37</v>
      </c>
      <c r="Y9" s="18" t="n">
        <v>1032.98</v>
      </c>
      <c r="Z9" s="37" t="n">
        <v>1032.98</v>
      </c>
      <c r="AA9" s="18" t="n">
        <v>610.3200000000001</v>
      </c>
      <c r="AB9" s="19" t="n">
        <v>645.3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247.59</v>
      </c>
      <c r="F10" s="37" t="n">
        <v>247.59</v>
      </c>
      <c r="G10" s="18" t="n">
        <v>430.03</v>
      </c>
      <c r="H10" s="18" t="n">
        <v>338.28</v>
      </c>
      <c r="I10" s="18" t="n">
        <v>395.36</v>
      </c>
      <c r="J10" s="18" t="n">
        <v>721.77</v>
      </c>
      <c r="K10" s="37" t="n">
        <v>721.77</v>
      </c>
      <c r="L10" s="18" t="n">
        <v>529.78</v>
      </c>
      <c r="M10" s="18" t="n">
        <v>954.73</v>
      </c>
      <c r="N10" s="18" t="n">
        <v>683.97</v>
      </c>
      <c r="O10" s="18" t="n">
        <v>406.98</v>
      </c>
      <c r="P10" s="37" t="n">
        <v>406.98</v>
      </c>
      <c r="Q10" s="18" t="n">
        <v>372.34</v>
      </c>
      <c r="R10" s="18" t="n">
        <v>753.8099999999999</v>
      </c>
      <c r="S10" s="18" t="n">
        <v>350.92</v>
      </c>
      <c r="T10" s="18" t="n">
        <v>389.98</v>
      </c>
      <c r="U10" s="37" t="n">
        <v>389.98</v>
      </c>
      <c r="V10" s="18" t="n">
        <v>380.14</v>
      </c>
      <c r="W10" s="18" t="n">
        <v>945.9400000000001</v>
      </c>
      <c r="X10" s="18" t="n">
        <v>679.0599999999999</v>
      </c>
      <c r="Y10" s="18" t="n">
        <v>465.26</v>
      </c>
      <c r="Z10" s="37" t="n">
        <v>465.26</v>
      </c>
      <c r="AA10" s="18" t="n">
        <v>466.73</v>
      </c>
      <c r="AB10" s="19" t="n">
        <v>710.67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23844.35</v>
      </c>
      <c r="F11" s="37" t="n">
        <v>23844.35</v>
      </c>
      <c r="G11" s="18" t="n">
        <v>23650.94</v>
      </c>
      <c r="H11" s="18" t="n">
        <v>23583.6</v>
      </c>
      <c r="I11" s="18" t="n">
        <v>23621.16</v>
      </c>
      <c r="J11" s="18" t="n">
        <v>28553.19</v>
      </c>
      <c r="K11" s="37" t="n">
        <v>28553.19</v>
      </c>
      <c r="L11" s="18" t="n">
        <v>29559.35</v>
      </c>
      <c r="M11" s="18" t="n">
        <v>30157.01</v>
      </c>
      <c r="N11" s="18" t="n">
        <v>30139.7</v>
      </c>
      <c r="O11" s="18" t="n">
        <v>30412.61</v>
      </c>
      <c r="P11" s="37" t="n">
        <v>30412.61</v>
      </c>
      <c r="Q11" s="18" t="n">
        <v>39338.18</v>
      </c>
      <c r="R11" s="18" t="n">
        <v>43004.39</v>
      </c>
      <c r="S11" s="18" t="n">
        <v>43899.64</v>
      </c>
      <c r="T11" s="18" t="n">
        <v>49036.4</v>
      </c>
      <c r="U11" s="37" t="n">
        <v>49036.4</v>
      </c>
      <c r="V11" s="18" t="n">
        <v>52216.27</v>
      </c>
      <c r="W11" s="18" t="n">
        <v>52384.48</v>
      </c>
      <c r="X11" s="18" t="n">
        <v>54268.41</v>
      </c>
      <c r="Y11" s="18" t="n">
        <v>75079.66</v>
      </c>
      <c r="Z11" s="37" t="n">
        <v>75079.66</v>
      </c>
      <c r="AA11" s="18" t="n">
        <v>75806.21000000001</v>
      </c>
      <c r="AB11" s="19" t="n">
        <v>78445.42999999999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84.18000000000001</v>
      </c>
      <c r="F12" s="37" t="n">
        <v>84.18000000000001</v>
      </c>
      <c r="G12" s="18" t="n">
        <v>77.59</v>
      </c>
      <c r="H12" s="18" t="n">
        <v>77.59</v>
      </c>
      <c r="I12" s="18" t="n">
        <v>77.59</v>
      </c>
      <c r="J12" s="18" t="n">
        <v>77.59</v>
      </c>
      <c r="K12" s="37" t="n">
        <v>77.59</v>
      </c>
      <c r="L12" s="18" t="n">
        <v>838.0599999999999</v>
      </c>
      <c r="M12" s="18" t="n">
        <v>842.83</v>
      </c>
      <c r="N12" s="18" t="n">
        <v>847.3099999999999</v>
      </c>
      <c r="O12" s="18" t="n">
        <v>848.88</v>
      </c>
      <c r="P12" s="37" t="n">
        <v>848.88</v>
      </c>
      <c r="Q12" s="18" t="n">
        <v>800.46</v>
      </c>
      <c r="R12" s="18" t="n">
        <v>774.89</v>
      </c>
      <c r="S12" s="18" t="n">
        <v>774.23</v>
      </c>
      <c r="T12" s="18" t="n">
        <v>776.46</v>
      </c>
      <c r="U12" s="37" t="n">
        <v>776.46</v>
      </c>
      <c r="V12" s="18" t="n">
        <v>308.71</v>
      </c>
      <c r="W12" s="18" t="n">
        <v>307.51</v>
      </c>
      <c r="X12" s="18" t="n">
        <v>306.92</v>
      </c>
      <c r="Y12" s="18" t="n">
        <v>1151.91</v>
      </c>
      <c r="Z12" s="37" t="n">
        <v>1151.91</v>
      </c>
      <c r="AA12" s="18" t="n">
        <v>1402.42</v>
      </c>
      <c r="AB12" s="19" t="n">
        <v>1402.45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84.18000000000001</v>
      </c>
      <c r="F13" s="37" t="n">
        <v>84.18000000000001</v>
      </c>
      <c r="G13" s="18" t="n">
        <v>77.59</v>
      </c>
      <c r="H13" s="18" t="n">
        <v>77.59</v>
      </c>
      <c r="I13" s="18" t="n">
        <v>77.59</v>
      </c>
      <c r="J13" s="18" t="n">
        <v>77.59</v>
      </c>
      <c r="K13" s="37" t="n">
        <v>77.59</v>
      </c>
      <c r="L13" s="18" t="n">
        <v>838.0599999999999</v>
      </c>
      <c r="M13" s="18" t="n">
        <v>842.83</v>
      </c>
      <c r="N13" s="18" t="n">
        <v>847.3099999999999</v>
      </c>
      <c r="O13" s="18" t="n">
        <v>848.88</v>
      </c>
      <c r="P13" s="37" t="n">
        <v>848.88</v>
      </c>
      <c r="Q13" s="18" t="n">
        <v>800.46</v>
      </c>
      <c r="R13" s="18" t="n">
        <v>774.89</v>
      </c>
      <c r="S13" s="18" t="n">
        <v>774.23</v>
      </c>
      <c r="T13" s="18" t="n">
        <v>776.46</v>
      </c>
      <c r="U13" s="37" t="n">
        <v>776.46</v>
      </c>
      <c r="V13" s="18" t="n">
        <v>4228.3</v>
      </c>
      <c r="W13" s="18" t="n">
        <v>4227.1</v>
      </c>
      <c r="X13" s="18" t="n">
        <v>4226.51</v>
      </c>
      <c r="Y13" s="18" t="n">
        <v>5071.5</v>
      </c>
      <c r="Z13" s="37" t="n">
        <v>5071.5</v>
      </c>
      <c r="AA13" s="18" t="n">
        <v>5322.01</v>
      </c>
      <c r="AB13" s="19" t="n">
        <v>5322.04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유형자산</t>
        </is>
      </c>
      <c r="E14" s="18" t="n">
        <v>23747.67</v>
      </c>
      <c r="F14" s="37" t="n">
        <v>23747.67</v>
      </c>
      <c r="G14" s="18" t="n">
        <v>23563.02</v>
      </c>
      <c r="H14" s="18" t="n">
        <v>23496.77</v>
      </c>
      <c r="I14" s="18" t="n">
        <v>23525.29</v>
      </c>
      <c r="J14" s="18" t="n">
        <v>28380.57</v>
      </c>
      <c r="K14" s="37" t="n">
        <v>28380.57</v>
      </c>
      <c r="L14" s="18" t="n">
        <v>28711.84</v>
      </c>
      <c r="M14" s="18" t="n">
        <v>29305.82</v>
      </c>
      <c r="N14" s="18" t="n">
        <v>29123.01</v>
      </c>
      <c r="O14" s="18" t="n">
        <v>29012.09</v>
      </c>
      <c r="P14" s="37" t="n">
        <v>29012.09</v>
      </c>
      <c r="Q14" s="18" t="n">
        <v>37987.18</v>
      </c>
      <c r="R14" s="18" t="n">
        <v>41596.72</v>
      </c>
      <c r="S14" s="18" t="n">
        <v>42431.09</v>
      </c>
      <c r="T14" s="18" t="n">
        <v>45202.8</v>
      </c>
      <c r="U14" s="37" t="n">
        <v>45202.8</v>
      </c>
      <c r="V14" s="18" t="n">
        <v>45870.5</v>
      </c>
      <c r="W14" s="18" t="n">
        <v>46321.03</v>
      </c>
      <c r="X14" s="18" t="n">
        <v>48692.47</v>
      </c>
      <c r="Y14" s="18" t="n">
        <v>69455.28</v>
      </c>
      <c r="Z14" s="37" t="n">
        <v>69455.28</v>
      </c>
      <c r="AA14" s="18" t="n">
        <v>70166.28</v>
      </c>
      <c r="AB14" s="19" t="n">
        <v>72632.64999999999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무형자산</t>
        </is>
      </c>
      <c r="E15" s="18" t="n">
        <v>12.5</v>
      </c>
      <c r="F15" s="37" t="n">
        <v>12.5</v>
      </c>
      <c r="G15" s="18" t="n">
        <v>10.33</v>
      </c>
      <c r="H15" s="18" t="n">
        <v>9.25</v>
      </c>
      <c r="I15" s="18" t="n">
        <v>8.26</v>
      </c>
      <c r="J15" s="18" t="n">
        <v>7.32</v>
      </c>
      <c r="K15" s="37" t="n">
        <v>7.32</v>
      </c>
      <c r="L15" s="18" t="n">
        <v>9.449999999999999</v>
      </c>
      <c r="M15" s="18" t="n">
        <v>8.35</v>
      </c>
      <c r="N15" s="18" t="n">
        <v>7.25</v>
      </c>
      <c r="O15" s="18" t="n">
        <v>6.15</v>
      </c>
      <c r="P15" s="37" t="n">
        <v>6.15</v>
      </c>
      <c r="Q15" s="18" t="n">
        <v>5.04</v>
      </c>
      <c r="R15" s="18" t="n">
        <v>3.94</v>
      </c>
      <c r="S15" s="18" t="n">
        <v>18.88</v>
      </c>
      <c r="T15" s="18" t="n">
        <v>17.74</v>
      </c>
      <c r="U15" s="37" t="n">
        <v>17.74</v>
      </c>
      <c r="V15" s="18" t="n">
        <v>16.6</v>
      </c>
      <c r="W15" s="18" t="n">
        <v>15.47</v>
      </c>
      <c r="X15" s="18" t="n">
        <v>14.33</v>
      </c>
      <c r="Y15" s="18" t="n">
        <v>17.38</v>
      </c>
      <c r="Z15" s="37" t="n">
        <v>17.38</v>
      </c>
      <c r="AA15" s="18" t="n">
        <v>19.19</v>
      </c>
      <c r="AB15" s="19" t="n">
        <v>17.81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자산총계</t>
        </is>
      </c>
      <c r="E16" s="18" t="n">
        <v>49457.79</v>
      </c>
      <c r="F16" s="37" t="n">
        <v>49457.79</v>
      </c>
      <c r="G16" s="18" t="n">
        <v>51312.44</v>
      </c>
      <c r="H16" s="18" t="n">
        <v>52245.02</v>
      </c>
      <c r="I16" s="18" t="n">
        <v>56647.85</v>
      </c>
      <c r="J16" s="18" t="n">
        <v>60397.88</v>
      </c>
      <c r="K16" s="37" t="n">
        <v>60397.88</v>
      </c>
      <c r="L16" s="18" t="n">
        <v>68490.49000000001</v>
      </c>
      <c r="M16" s="18" t="n">
        <v>71329.94</v>
      </c>
      <c r="N16" s="18" t="n">
        <v>72055.32000000001</v>
      </c>
      <c r="O16" s="18" t="n">
        <v>75321.58</v>
      </c>
      <c r="P16" s="37" t="n">
        <v>75321.58</v>
      </c>
      <c r="Q16" s="18" t="n">
        <v>93711.56</v>
      </c>
      <c r="R16" s="18" t="n">
        <v>96973.74000000001</v>
      </c>
      <c r="S16" s="18" t="n">
        <v>99252.74000000001</v>
      </c>
      <c r="T16" s="18" t="n">
        <v>105513</v>
      </c>
      <c r="U16" s="37" t="n">
        <v>105513</v>
      </c>
      <c r="V16" s="18" t="n">
        <v>107726.97</v>
      </c>
      <c r="W16" s="18" t="n">
        <v>108778.16</v>
      </c>
      <c r="X16" s="18" t="n">
        <v>132983.08</v>
      </c>
      <c r="Y16" s="18" t="n">
        <v>134596.52</v>
      </c>
      <c r="Z16" s="37" t="n">
        <v>134596.52</v>
      </c>
      <c r="AA16" s="18" t="n">
        <v>139684.3</v>
      </c>
      <c r="AB16" s="19" t="n">
        <v>141028.1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유동부채</t>
        </is>
      </c>
      <c r="E17" s="18" t="n">
        <v>19012.43</v>
      </c>
      <c r="F17" s="37" t="n">
        <v>19012.43</v>
      </c>
      <c r="G17" s="18" t="n">
        <v>20037.14</v>
      </c>
      <c r="H17" s="18" t="n">
        <v>20072.38</v>
      </c>
      <c r="I17" s="18" t="n">
        <v>25218.01</v>
      </c>
      <c r="J17" s="18" t="n">
        <v>23310.52</v>
      </c>
      <c r="K17" s="37" t="n">
        <v>23310.52</v>
      </c>
      <c r="L17" s="18" t="n">
        <v>29860.18</v>
      </c>
      <c r="M17" s="18" t="n">
        <v>30330.12</v>
      </c>
      <c r="N17" s="18" t="n">
        <v>28697.13</v>
      </c>
      <c r="O17" s="18" t="n">
        <v>28675.55</v>
      </c>
      <c r="P17" s="37" t="n">
        <v>28675.55</v>
      </c>
      <c r="Q17" s="18" t="n">
        <v>29373.28</v>
      </c>
      <c r="R17" s="18" t="n">
        <v>28782.93</v>
      </c>
      <c r="S17" s="18" t="n">
        <v>28482.32</v>
      </c>
      <c r="T17" s="18" t="n">
        <v>29969.81</v>
      </c>
      <c r="U17" s="37" t="n">
        <v>29969.81</v>
      </c>
      <c r="V17" s="18" t="n">
        <v>34724.91</v>
      </c>
      <c r="W17" s="18" t="n">
        <v>33889.68</v>
      </c>
      <c r="X17" s="18" t="n">
        <v>33649.49</v>
      </c>
      <c r="Y17" s="18" t="n">
        <v>34949.56</v>
      </c>
      <c r="Z17" s="37" t="n">
        <v>34949.56</v>
      </c>
      <c r="AA17" s="18" t="n">
        <v>37148.67</v>
      </c>
      <c r="AB17" s="19" t="n">
        <v>34453.34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매입채무및기타채무</t>
        </is>
      </c>
      <c r="E18" s="18" t="n">
        <v>1673.74</v>
      </c>
      <c r="F18" s="37" t="n">
        <v>1673.74</v>
      </c>
      <c r="G18" s="18" t="n">
        <v>3060.47</v>
      </c>
      <c r="H18" s="18" t="n">
        <v>2659.32</v>
      </c>
      <c r="I18" s="18" t="n">
        <v>5466.5</v>
      </c>
      <c r="J18" s="18" t="n">
        <v>3426.26</v>
      </c>
      <c r="K18" s="37" t="n">
        <v>3426.26</v>
      </c>
      <c r="L18" s="18" t="n">
        <v>7629.74</v>
      </c>
      <c r="M18" s="18" t="n">
        <v>4233.61</v>
      </c>
      <c r="N18" s="18" t="n">
        <v>3618.4</v>
      </c>
      <c r="O18" s="18" t="n">
        <v>2636.21</v>
      </c>
      <c r="P18" s="37" t="n">
        <v>2636.21</v>
      </c>
      <c r="Q18" s="18" t="n">
        <v>2396.57</v>
      </c>
      <c r="R18" s="18" t="n">
        <v>2409.81</v>
      </c>
      <c r="S18" s="18" t="n">
        <v>2176.87</v>
      </c>
      <c r="T18" s="18" t="n">
        <v>1964.66</v>
      </c>
      <c r="U18" s="37" t="n">
        <v>1964.66</v>
      </c>
      <c r="V18" s="18" t="n">
        <v>3160.34</v>
      </c>
      <c r="W18" s="18" t="n">
        <v>3566.24</v>
      </c>
      <c r="X18" s="18" t="n">
        <v>2978.37</v>
      </c>
      <c r="Y18" s="18" t="n">
        <v>3914.13</v>
      </c>
      <c r="Z18" s="37" t="n">
        <v>3914.13</v>
      </c>
      <c r="AA18" s="18" t="n">
        <v>4941.49</v>
      </c>
      <c r="AB18" s="19" t="n">
        <v>3354.61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단기차입금</t>
        </is>
      </c>
      <c r="E19" s="18" t="n">
        <v>15500</v>
      </c>
      <c r="F19" s="37" t="n">
        <v>15500</v>
      </c>
      <c r="G19" s="18" t="n">
        <v>15500</v>
      </c>
      <c r="H19" s="18" t="n">
        <v>15500</v>
      </c>
      <c r="I19" s="18" t="n">
        <v>18000</v>
      </c>
      <c r="J19" s="18" t="n">
        <v>18000</v>
      </c>
      <c r="K19" s="37" t="n">
        <v>18000</v>
      </c>
      <c r="L19" s="18" t="n">
        <v>20000</v>
      </c>
      <c r="M19" s="18" t="n">
        <v>23716.45</v>
      </c>
      <c r="N19" s="18" t="n">
        <v>23000</v>
      </c>
      <c r="O19" s="18" t="n">
        <v>23000</v>
      </c>
      <c r="P19" s="37" t="n">
        <v>23000</v>
      </c>
      <c r="Q19" s="18" t="n">
        <v>23000</v>
      </c>
      <c r="R19" s="18" t="n">
        <v>22700</v>
      </c>
      <c r="S19" s="18" t="n">
        <v>22700</v>
      </c>
      <c r="T19" s="18" t="n">
        <v>22700</v>
      </c>
      <c r="U19" s="37" t="n">
        <v>22700</v>
      </c>
      <c r="V19" s="18" t="n">
        <v>27700</v>
      </c>
      <c r="W19" s="18" t="n">
        <v>27400</v>
      </c>
      <c r="X19" s="18" t="n">
        <v>27400</v>
      </c>
      <c r="Y19" s="18" t="n">
        <v>27400</v>
      </c>
      <c r="Z19" s="37" t="n">
        <v>27400</v>
      </c>
      <c r="AA19" s="18" t="n">
        <v>27400</v>
      </c>
      <c r="AB19" s="19" t="n">
        <v>27100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기타유동금융부채</t>
        </is>
      </c>
      <c r="E20" s="18" t="n">
        <v>1794.24</v>
      </c>
      <c r="F20" s="37" t="n">
        <v>1794.24</v>
      </c>
      <c r="G20" s="18" t="n">
        <v>1430.92</v>
      </c>
      <c r="H20" s="18" t="n">
        <v>1779.35</v>
      </c>
      <c r="I20" s="18" t="n">
        <v>1598.19</v>
      </c>
      <c r="J20" s="18" t="n">
        <v>1771.51</v>
      </c>
      <c r="K20" s="37" t="n">
        <v>1771.51</v>
      </c>
      <c r="L20" s="18" t="n">
        <v>2124.98</v>
      </c>
      <c r="M20" s="18" t="n">
        <v>2304.11</v>
      </c>
      <c r="N20" s="18" t="n">
        <v>1968.09</v>
      </c>
      <c r="O20" s="18" t="n">
        <v>2889.84</v>
      </c>
      <c r="P20" s="37" t="n">
        <v>2889.84</v>
      </c>
      <c r="Q20" s="18" t="n">
        <v>2422.4</v>
      </c>
      <c r="R20" s="18" t="n">
        <v>2501.58</v>
      </c>
      <c r="S20" s="18" t="n">
        <v>2498.87</v>
      </c>
      <c r="T20" s="18" t="n">
        <v>3747.89</v>
      </c>
      <c r="U20" s="37" t="n">
        <v>3747.89</v>
      </c>
      <c r="V20" s="18" t="n">
        <v>2854.8</v>
      </c>
      <c r="W20" s="18" t="n">
        <v>2603.39</v>
      </c>
      <c r="X20" s="18" t="n">
        <v>3004.8</v>
      </c>
      <c r="Y20" s="18" t="n">
        <v>3188.19</v>
      </c>
      <c r="Z20" s="37" t="n">
        <v>3188.19</v>
      </c>
      <c r="AA20" s="18" t="n">
        <v>2943.46</v>
      </c>
      <c r="AB20" s="19" t="n">
        <v>2925.91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단기금융부채</t>
        </is>
      </c>
      <c r="E21" s="18" t="n">
        <v>1794.24</v>
      </c>
      <c r="F21" s="37" t="n">
        <v>1794.24</v>
      </c>
      <c r="G21" s="18" t="n">
        <v>1430.92</v>
      </c>
      <c r="H21" s="18" t="n">
        <v>1779.35</v>
      </c>
      <c r="I21" s="18" t="n">
        <v>1598.19</v>
      </c>
      <c r="J21" s="18" t="n">
        <v>1771.51</v>
      </c>
      <c r="K21" s="37" t="n">
        <v>1771.51</v>
      </c>
      <c r="L21" s="18" t="n">
        <v>2124.98</v>
      </c>
      <c r="M21" s="18" t="n">
        <v>2304.11</v>
      </c>
      <c r="N21" s="18" t="n">
        <v>1968.09</v>
      </c>
      <c r="O21" s="18" t="n">
        <v>2889.84</v>
      </c>
      <c r="P21" s="37" t="n">
        <v>2889.84</v>
      </c>
      <c r="Q21" s="18" t="n">
        <v>2422.4</v>
      </c>
      <c r="R21" s="18" t="n">
        <v>2501.58</v>
      </c>
      <c r="S21" s="18" t="n">
        <v>2498.87</v>
      </c>
      <c r="T21" s="18" t="n">
        <v>3747.89</v>
      </c>
      <c r="U21" s="37" t="n">
        <v>3747.89</v>
      </c>
      <c r="V21" s="18" t="n">
        <v>2854.8</v>
      </c>
      <c r="W21" s="18" t="n">
        <v>2603.39</v>
      </c>
      <c r="X21" s="18" t="n">
        <v>3004.8</v>
      </c>
      <c r="Y21" s="18" t="n">
        <v>3188.19</v>
      </c>
      <c r="Z21" s="37" t="n">
        <v>3188.19</v>
      </c>
      <c r="AA21" s="18" t="n">
        <v>2943.46</v>
      </c>
      <c r="AB21" s="19" t="n">
        <v>2925.91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기타유동부채</t>
        </is>
      </c>
      <c r="E22" s="18" t="n">
        <v>44.45</v>
      </c>
      <c r="F22" s="37" t="n">
        <v>44.45</v>
      </c>
      <c r="G22" s="18" t="n">
        <v>45.75</v>
      </c>
      <c r="H22" s="18" t="n">
        <v>77.33</v>
      </c>
      <c r="I22" s="18" t="n">
        <v>56.83</v>
      </c>
      <c r="J22" s="18" t="n">
        <v>112.75</v>
      </c>
      <c r="K22" s="37" t="n">
        <v>112.75</v>
      </c>
      <c r="L22" s="18" t="n">
        <v>105.45</v>
      </c>
      <c r="M22" s="18" t="n">
        <v>75.94</v>
      </c>
      <c r="N22" s="18" t="n">
        <v>110.64</v>
      </c>
      <c r="O22" s="18" t="n">
        <v>108.13</v>
      </c>
      <c r="P22" s="37" t="n">
        <v>108.13</v>
      </c>
      <c r="Q22" s="18" t="n">
        <v>451.55</v>
      </c>
      <c r="R22" s="18" t="n">
        <v>171.55</v>
      </c>
      <c r="S22" s="18" t="n">
        <v>106.58</v>
      </c>
      <c r="T22" s="18" t="n">
        <v>178.89</v>
      </c>
      <c r="U22" s="37" t="n">
        <v>178.89</v>
      </c>
      <c r="V22" s="18" t="n">
        <v>746.71</v>
      </c>
      <c r="W22" s="18" t="n">
        <v>126.66</v>
      </c>
      <c r="X22" s="18" t="n">
        <v>133.55</v>
      </c>
      <c r="Y22" s="18" t="n">
        <v>201.86</v>
      </c>
      <c r="Z22" s="37" t="n">
        <v>201.86</v>
      </c>
      <c r="AA22" s="18" t="n">
        <v>1658.1</v>
      </c>
      <c r="AB22" s="19" t="n">
        <v>806.51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비유동부채</t>
        </is>
      </c>
      <c r="E23" s="18" t="n">
        <v>4246.29</v>
      </c>
      <c r="F23" s="37" t="n">
        <v>4246.29</v>
      </c>
      <c r="G23" s="18" t="n">
        <v>4304.86</v>
      </c>
      <c r="H23" s="18" t="n">
        <v>4419.88</v>
      </c>
      <c r="I23" s="18" t="n">
        <v>2757.58</v>
      </c>
      <c r="J23" s="18" t="n">
        <v>3056.02</v>
      </c>
      <c r="K23" s="37" t="n">
        <v>3056.02</v>
      </c>
      <c r="L23" s="18" t="n">
        <v>3430.01</v>
      </c>
      <c r="M23" s="18" t="n">
        <v>3373.05</v>
      </c>
      <c r="N23" s="18" t="n">
        <v>3087.6</v>
      </c>
      <c r="O23" s="18" t="n">
        <v>385.71</v>
      </c>
      <c r="P23" s="37" t="n">
        <v>385.71</v>
      </c>
      <c r="Q23" s="18" t="n">
        <v>4582.85</v>
      </c>
      <c r="R23" s="18" t="n">
        <v>4288.62</v>
      </c>
      <c r="S23" s="18" t="n">
        <v>4307.18</v>
      </c>
      <c r="T23" s="18" t="n">
        <v>4154.28</v>
      </c>
      <c r="U23" s="37" t="n">
        <v>4154.28</v>
      </c>
      <c r="V23" s="18" t="n">
        <v>382.82</v>
      </c>
      <c r="W23" s="18" t="n">
        <v>205.56</v>
      </c>
      <c r="X23" s="18" t="n">
        <v>14916.32</v>
      </c>
      <c r="Y23" s="18" t="n">
        <v>16091.5</v>
      </c>
      <c r="Z23" s="37" t="n">
        <v>16091.5</v>
      </c>
      <c r="AA23" s="18" t="n">
        <v>17328.15</v>
      </c>
      <c r="AB23" s="19" t="n">
        <v>18605.03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사채</t>
        </is>
      </c>
      <c r="E24" s="18" t="n">
        <v>1500</v>
      </c>
      <c r="F24" s="37" t="n">
        <v>1500</v>
      </c>
      <c r="G24" s="18" t="n">
        <v>1500</v>
      </c>
      <c r="H24" s="18" t="n">
        <v>1500</v>
      </c>
      <c r="I24" s="18" t="n">
        <v>0</v>
      </c>
      <c r="J24" s="18" t="n">
        <v>0</v>
      </c>
      <c r="K24" s="37" t="n">
        <v>0</v>
      </c>
      <c r="O24" s="18" t="n">
        <v>0</v>
      </c>
      <c r="P24" s="37" t="n">
        <v>0</v>
      </c>
      <c r="U24" s="9" t="n"/>
      <c r="X24" s="18" t="n">
        <v>10055.46</v>
      </c>
      <c r="Y24" s="18" t="n">
        <v>10411.86</v>
      </c>
      <c r="Z24" s="37" t="n">
        <v>10411.86</v>
      </c>
      <c r="AA24" s="18" t="n">
        <v>10793.31</v>
      </c>
      <c r="AB24" s="19" t="n">
        <v>11179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확정급여부채</t>
        </is>
      </c>
      <c r="E25" s="18" t="n">
        <v>58.81</v>
      </c>
      <c r="F25" s="37" t="n">
        <v>58.81</v>
      </c>
      <c r="G25" s="18" t="n">
        <v>75.18000000000001</v>
      </c>
      <c r="H25" s="18" t="n">
        <v>179.37</v>
      </c>
      <c r="I25" s="18" t="n">
        <v>0</v>
      </c>
      <c r="J25" s="18" t="n">
        <v>0</v>
      </c>
      <c r="K25" s="37" t="n">
        <v>0</v>
      </c>
      <c r="L25" s="18" t="n">
        <v>356.04</v>
      </c>
      <c r="M25" s="18" t="n">
        <v>292.84</v>
      </c>
      <c r="O25" s="18" t="n">
        <v>44.9</v>
      </c>
      <c r="P25" s="37" t="n">
        <v>44.9</v>
      </c>
      <c r="Q25" s="18" t="n">
        <v>301.99</v>
      </c>
      <c r="R25" s="18" t="n">
        <v>0</v>
      </c>
      <c r="S25" s="18" t="n">
        <v>0</v>
      </c>
      <c r="T25" s="18" t="n">
        <v>0</v>
      </c>
      <c r="U25" s="37" t="n">
        <v>0</v>
      </c>
      <c r="V25" s="18" t="n">
        <v>188.32</v>
      </c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기타비유동금융부채</t>
        </is>
      </c>
      <c r="E26" s="18" t="n">
        <v>316.33</v>
      </c>
      <c r="F26" s="37" t="n">
        <v>316.33</v>
      </c>
      <c r="G26" s="18" t="n">
        <v>355.25</v>
      </c>
      <c r="H26" s="18" t="n">
        <v>364.6</v>
      </c>
      <c r="I26" s="18" t="n">
        <v>377.65</v>
      </c>
      <c r="J26" s="18" t="n">
        <v>545.03</v>
      </c>
      <c r="K26" s="37" t="n">
        <v>545.03</v>
      </c>
      <c r="L26" s="18" t="n">
        <v>555.02</v>
      </c>
      <c r="M26" s="18" t="n">
        <v>551.14</v>
      </c>
      <c r="N26" s="18" t="n">
        <v>548.11</v>
      </c>
      <c r="O26" s="18" t="n">
        <v>228.05</v>
      </c>
      <c r="P26" s="37" t="n">
        <v>228.05</v>
      </c>
      <c r="Q26" s="18" t="n">
        <v>158.87</v>
      </c>
      <c r="R26" s="18" t="n">
        <v>158.4</v>
      </c>
      <c r="S26" s="18" t="n">
        <v>170.82</v>
      </c>
      <c r="T26" s="18" t="n">
        <v>11.33</v>
      </c>
      <c r="U26" s="37" t="n">
        <v>11.33</v>
      </c>
      <c r="V26" s="18" t="n">
        <v>47.06</v>
      </c>
      <c r="W26" s="18" t="n">
        <v>54.36</v>
      </c>
      <c r="X26" s="18" t="n">
        <v>4705.26</v>
      </c>
      <c r="Y26" s="18" t="n">
        <v>5110.88</v>
      </c>
      <c r="Z26" s="37" t="n">
        <v>5110.88</v>
      </c>
      <c r="AA26" s="18" t="n">
        <v>5435.11</v>
      </c>
      <c r="AB26" s="19" t="n">
        <v>5681.68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장기금융부채</t>
        </is>
      </c>
      <c r="E27" s="18" t="n">
        <v>316.33</v>
      </c>
      <c r="F27" s="37" t="n">
        <v>316.33</v>
      </c>
      <c r="G27" s="18" t="n">
        <v>355.25</v>
      </c>
      <c r="H27" s="18" t="n">
        <v>364.6</v>
      </c>
      <c r="I27" s="18" t="n">
        <v>377.65</v>
      </c>
      <c r="J27" s="18" t="n">
        <v>545.03</v>
      </c>
      <c r="K27" s="37" t="n">
        <v>545.03</v>
      </c>
      <c r="L27" s="18" t="n">
        <v>555.02</v>
      </c>
      <c r="M27" s="18" t="n">
        <v>551.14</v>
      </c>
      <c r="N27" s="18" t="n">
        <v>548.11</v>
      </c>
      <c r="O27" s="18" t="n">
        <v>228.05</v>
      </c>
      <c r="P27" s="37" t="n">
        <v>228.05</v>
      </c>
      <c r="Q27" s="18" t="n">
        <v>158.87</v>
      </c>
      <c r="R27" s="18" t="n">
        <v>158.4</v>
      </c>
      <c r="S27" s="18" t="n">
        <v>170.82</v>
      </c>
      <c r="T27" s="18" t="n">
        <v>11.33</v>
      </c>
      <c r="U27" s="37" t="n">
        <v>11.33</v>
      </c>
      <c r="V27" s="18" t="n">
        <v>47.06</v>
      </c>
      <c r="W27" s="18" t="n">
        <v>54.36</v>
      </c>
      <c r="X27" s="18" t="n">
        <v>4705.26</v>
      </c>
      <c r="Y27" s="18" t="n">
        <v>5110.88</v>
      </c>
      <c r="Z27" s="37" t="n">
        <v>5110.88</v>
      </c>
      <c r="AA27" s="18" t="n">
        <v>5435.11</v>
      </c>
      <c r="AB27" s="19" t="n">
        <v>5681.68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기타비유동부채</t>
        </is>
      </c>
      <c r="E28" s="18" t="n">
        <v>57.14</v>
      </c>
      <c r="F28" s="37" t="n">
        <v>57.14</v>
      </c>
      <c r="G28" s="18" t="n">
        <v>60.43</v>
      </c>
      <c r="H28" s="18" t="n">
        <v>61.89</v>
      </c>
      <c r="I28" s="18" t="n">
        <v>65.93000000000001</v>
      </c>
      <c r="J28" s="18" t="n">
        <v>72.28</v>
      </c>
      <c r="K28" s="37" t="n">
        <v>72.28</v>
      </c>
      <c r="L28" s="18" t="n">
        <v>80.23999999999999</v>
      </c>
      <c r="M28" s="18" t="n">
        <v>90.34999999999999</v>
      </c>
      <c r="N28" s="18" t="n">
        <v>100.78</v>
      </c>
      <c r="O28" s="18" t="n">
        <v>112.75</v>
      </c>
      <c r="P28" s="37" t="n">
        <v>112.75</v>
      </c>
      <c r="Q28" s="18" t="n">
        <v>121.99</v>
      </c>
      <c r="R28" s="18" t="n">
        <v>130.21</v>
      </c>
      <c r="S28" s="18" t="n">
        <v>136.36</v>
      </c>
      <c r="T28" s="18" t="n">
        <v>142.95</v>
      </c>
      <c r="U28" s="37" t="n">
        <v>142.95</v>
      </c>
      <c r="V28" s="18" t="n">
        <v>147.44</v>
      </c>
      <c r="W28" s="18" t="n">
        <v>151.2</v>
      </c>
      <c r="X28" s="18" t="n">
        <v>155.6</v>
      </c>
      <c r="Y28" s="18" t="n">
        <v>158.78</v>
      </c>
      <c r="Z28" s="37" t="n">
        <v>158.78</v>
      </c>
      <c r="AA28" s="18" t="n">
        <v>161.13</v>
      </c>
      <c r="AB28" s="19" t="n">
        <v>170.33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이연법인세부채</t>
        </is>
      </c>
      <c r="E29" s="18" t="n">
        <v>2314</v>
      </c>
      <c r="F29" s="37" t="n">
        <v>2314</v>
      </c>
      <c r="G29" s="18" t="n">
        <v>2314</v>
      </c>
      <c r="H29" s="18" t="n">
        <v>2314</v>
      </c>
      <c r="I29" s="18" t="n">
        <v>2314</v>
      </c>
      <c r="J29" s="18" t="n">
        <v>2438.72</v>
      </c>
      <c r="K29" s="37" t="n">
        <v>2438.72</v>
      </c>
      <c r="L29" s="18" t="n">
        <v>2438.72</v>
      </c>
      <c r="M29" s="18" t="n">
        <v>2438.72</v>
      </c>
      <c r="N29" s="18" t="n">
        <v>2438.72</v>
      </c>
      <c r="O29" s="18" t="n">
        <v>0</v>
      </c>
      <c r="P29" s="37" t="n">
        <v>0</v>
      </c>
      <c r="T29" s="18" t="n">
        <v>0</v>
      </c>
      <c r="U29" s="37" t="n">
        <v>0</v>
      </c>
      <c r="Y29" s="18" t="n">
        <v>409.97</v>
      </c>
      <c r="Z29" s="37" t="n">
        <v>409.97</v>
      </c>
      <c r="AA29" s="18" t="n">
        <v>938.6</v>
      </c>
      <c r="AB29" s="19" t="n">
        <v>1574.02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부채총계</t>
        </is>
      </c>
      <c r="E30" s="18" t="n">
        <v>23258.73</v>
      </c>
      <c r="F30" s="37" t="n">
        <v>23258.73</v>
      </c>
      <c r="G30" s="18" t="n">
        <v>24342</v>
      </c>
      <c r="H30" s="18" t="n">
        <v>24492.25</v>
      </c>
      <c r="I30" s="18" t="n">
        <v>27975.6</v>
      </c>
      <c r="J30" s="18" t="n">
        <v>26366.55</v>
      </c>
      <c r="K30" s="37" t="n">
        <v>26366.55</v>
      </c>
      <c r="L30" s="18" t="n">
        <v>33290.19</v>
      </c>
      <c r="M30" s="18" t="n">
        <v>33703.16</v>
      </c>
      <c r="N30" s="18" t="n">
        <v>31784.73</v>
      </c>
      <c r="O30" s="18" t="n">
        <v>29061.25</v>
      </c>
      <c r="P30" s="37" t="n">
        <v>29061.25</v>
      </c>
      <c r="Q30" s="18" t="n">
        <v>33956.13</v>
      </c>
      <c r="R30" s="18" t="n">
        <v>33071.55</v>
      </c>
      <c r="S30" s="18" t="n">
        <v>32789.5</v>
      </c>
      <c r="T30" s="18" t="n">
        <v>34124.09</v>
      </c>
      <c r="U30" s="37" t="n">
        <v>34124.09</v>
      </c>
      <c r="V30" s="18" t="n">
        <v>35107.73</v>
      </c>
      <c r="W30" s="18" t="n">
        <v>34095.24</v>
      </c>
      <c r="X30" s="18" t="n">
        <v>48565.81</v>
      </c>
      <c r="Y30" s="18" t="n">
        <v>51041.06</v>
      </c>
      <c r="Z30" s="37" t="n">
        <v>51041.06</v>
      </c>
      <c r="AA30" s="18" t="n">
        <v>54476.82</v>
      </c>
      <c r="AB30" s="19" t="n">
        <v>53058.37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자본금</t>
        </is>
      </c>
      <c r="E31" s="18" t="n">
        <v>18096.13</v>
      </c>
      <c r="F31" s="37" t="n">
        <v>18096.13</v>
      </c>
      <c r="G31" s="18" t="n">
        <v>18096.13</v>
      </c>
      <c r="H31" s="18" t="n">
        <v>18096.13</v>
      </c>
      <c r="I31" s="18" t="n">
        <v>18096.13</v>
      </c>
      <c r="J31" s="18" t="n">
        <v>18096.13</v>
      </c>
      <c r="K31" s="37" t="n">
        <v>18096.13</v>
      </c>
      <c r="L31" s="18" t="n">
        <v>18096.13</v>
      </c>
      <c r="M31" s="18" t="n">
        <v>18096.13</v>
      </c>
      <c r="N31" s="18" t="n">
        <v>18096.13</v>
      </c>
      <c r="O31" s="18" t="n">
        <v>18096.13</v>
      </c>
      <c r="P31" s="37" t="n">
        <v>18096.13</v>
      </c>
      <c r="Q31" s="18" t="n">
        <v>20095.62</v>
      </c>
      <c r="R31" s="18" t="n">
        <v>20095.62</v>
      </c>
      <c r="S31" s="18" t="n">
        <v>20095.62</v>
      </c>
      <c r="T31" s="18" t="n">
        <v>20095.62</v>
      </c>
      <c r="U31" s="37" t="n">
        <v>20095.62</v>
      </c>
      <c r="V31" s="18" t="n">
        <v>20095.62</v>
      </c>
      <c r="W31" s="18" t="n">
        <v>20095.62</v>
      </c>
      <c r="X31" s="18" t="n">
        <v>20095.62</v>
      </c>
      <c r="Y31" s="18" t="n">
        <v>20095.62</v>
      </c>
      <c r="Z31" s="37" t="n">
        <v>20095.62</v>
      </c>
      <c r="AA31" s="18" t="n">
        <v>20095.62</v>
      </c>
      <c r="AB31" s="19" t="n">
        <v>20095.62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자본잉여금</t>
        </is>
      </c>
      <c r="E32" s="18" t="n">
        <v>2414.02</v>
      </c>
      <c r="F32" s="37" t="n">
        <v>2414.02</v>
      </c>
      <c r="G32" s="18" t="n">
        <v>2414.02</v>
      </c>
      <c r="H32" s="18" t="n">
        <v>2414.02</v>
      </c>
      <c r="I32" s="18" t="n">
        <v>2414.02</v>
      </c>
      <c r="J32" s="18" t="n">
        <v>2414.02</v>
      </c>
      <c r="K32" s="37" t="n">
        <v>2414.02</v>
      </c>
      <c r="L32" s="18" t="n">
        <v>2414.02</v>
      </c>
      <c r="M32" s="18" t="n">
        <v>2414.02</v>
      </c>
      <c r="N32" s="18" t="n">
        <v>2414.02</v>
      </c>
      <c r="O32" s="18" t="n">
        <v>2414.02</v>
      </c>
      <c r="P32" s="37" t="n">
        <v>2414.02</v>
      </c>
      <c r="Q32" s="18" t="n">
        <v>10714.92</v>
      </c>
      <c r="R32" s="18" t="n">
        <v>10714.92</v>
      </c>
      <c r="S32" s="18" t="n">
        <v>10714.92</v>
      </c>
      <c r="T32" s="18" t="n">
        <v>10714.92</v>
      </c>
      <c r="U32" s="37" t="n">
        <v>10714.92</v>
      </c>
      <c r="V32" s="18" t="n">
        <v>10714.92</v>
      </c>
      <c r="W32" s="18" t="n">
        <v>10714.92</v>
      </c>
      <c r="X32" s="18" t="n">
        <v>18514.86</v>
      </c>
      <c r="Y32" s="18" t="n">
        <v>16798.87</v>
      </c>
      <c r="Z32" s="37" t="n">
        <v>16798.87</v>
      </c>
      <c r="AA32" s="18" t="n">
        <v>16798.87</v>
      </c>
      <c r="AB32" s="19" t="n">
        <v>16798.87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기타자본</t>
        </is>
      </c>
      <c r="E33" s="18" t="n">
        <v>-566.77</v>
      </c>
      <c r="F33" s="37" t="n">
        <v>-566.77</v>
      </c>
      <c r="G33" s="18" t="n">
        <v>-566.77</v>
      </c>
      <c r="H33" s="18" t="n">
        <v>-566.77</v>
      </c>
      <c r="I33" s="18" t="n">
        <v>-566.77</v>
      </c>
      <c r="J33" s="18" t="n">
        <v>-566.77</v>
      </c>
      <c r="K33" s="37" t="n">
        <v>-566.77</v>
      </c>
      <c r="L33" s="18" t="n">
        <v>-566.77</v>
      </c>
      <c r="M33" s="18" t="n">
        <v>-566.77</v>
      </c>
      <c r="N33" s="18" t="n">
        <v>-566.77</v>
      </c>
      <c r="O33" s="18" t="n">
        <v>-566.77</v>
      </c>
      <c r="P33" s="37" t="n">
        <v>-566.77</v>
      </c>
      <c r="Q33" s="18" t="n">
        <v>-566.77</v>
      </c>
      <c r="R33" s="18" t="n">
        <v>-566.77</v>
      </c>
      <c r="S33" s="18" t="n">
        <v>-566.77</v>
      </c>
      <c r="T33" s="18" t="n">
        <v>-566.77</v>
      </c>
      <c r="U33" s="37" t="n">
        <v>-566.77</v>
      </c>
      <c r="V33" s="18" t="n">
        <v>-566.77</v>
      </c>
      <c r="W33" s="18" t="n">
        <v>-566.77</v>
      </c>
      <c r="X33" s="18" t="n">
        <v>-566.77</v>
      </c>
      <c r="Y33" s="18" t="n">
        <v>-566.77</v>
      </c>
      <c r="Z33" s="37" t="n">
        <v>-566.77</v>
      </c>
      <c r="AA33" s="18" t="n">
        <v>-566.77</v>
      </c>
      <c r="AB33" s="19" t="n">
        <v>-566.77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기타포괄이익누계액</t>
        </is>
      </c>
      <c r="E34" s="18" t="n">
        <v>2726.92</v>
      </c>
      <c r="F34" s="37" t="n">
        <v>2726.92</v>
      </c>
      <c r="G34" s="18" t="n">
        <v>2726.92</v>
      </c>
      <c r="H34" s="18" t="n">
        <v>2726.92</v>
      </c>
      <c r="I34" s="18" t="n">
        <v>2726.92</v>
      </c>
      <c r="J34" s="18" t="n">
        <v>6607.68</v>
      </c>
      <c r="K34" s="37" t="n">
        <v>6607.68</v>
      </c>
      <c r="L34" s="18" t="n">
        <v>6607.68</v>
      </c>
      <c r="M34" s="18" t="n">
        <v>6607.68</v>
      </c>
      <c r="N34" s="18" t="n">
        <v>6607.68</v>
      </c>
      <c r="O34" s="18" t="n">
        <v>6616.04</v>
      </c>
      <c r="P34" s="37" t="n">
        <v>6616.04</v>
      </c>
      <c r="Q34" s="18" t="n">
        <v>6616.04</v>
      </c>
      <c r="R34" s="18" t="n">
        <v>6616.04</v>
      </c>
      <c r="S34" s="18" t="n">
        <v>6616.04</v>
      </c>
      <c r="T34" s="18" t="n">
        <v>6616.04</v>
      </c>
      <c r="U34" s="37" t="n">
        <v>6616.04</v>
      </c>
      <c r="V34" s="18" t="n">
        <v>6616.04</v>
      </c>
      <c r="W34" s="18" t="n">
        <v>6616.04</v>
      </c>
      <c r="X34" s="18" t="n">
        <v>6616.04</v>
      </c>
      <c r="Y34" s="18" t="n">
        <v>6524.04</v>
      </c>
      <c r="Z34" s="37" t="n">
        <v>6524.04</v>
      </c>
      <c r="AA34" s="18" t="n">
        <v>6524.04</v>
      </c>
      <c r="AB34" s="19" t="n">
        <v>6524.04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이익잉여금</t>
        </is>
      </c>
      <c r="E35" s="18" t="n">
        <v>3528.77</v>
      </c>
      <c r="F35" s="37" t="n">
        <v>3528.77</v>
      </c>
      <c r="G35" s="18" t="n">
        <v>4300.14</v>
      </c>
      <c r="H35" s="18" t="n">
        <v>5082.47</v>
      </c>
      <c r="I35" s="18" t="n">
        <v>6001.96</v>
      </c>
      <c r="J35" s="18" t="n">
        <v>7480.28</v>
      </c>
      <c r="K35" s="37" t="n">
        <v>7480.28</v>
      </c>
      <c r="L35" s="18" t="n">
        <v>8649.25</v>
      </c>
      <c r="M35" s="18" t="n">
        <v>11075.73</v>
      </c>
      <c r="N35" s="18" t="n">
        <v>13719.54</v>
      </c>
      <c r="O35" s="18" t="n">
        <v>19700.91</v>
      </c>
      <c r="P35" s="37" t="n">
        <v>19700.91</v>
      </c>
      <c r="Q35" s="18" t="n">
        <v>22895.63</v>
      </c>
      <c r="R35" s="18" t="n">
        <v>27042.38</v>
      </c>
      <c r="S35" s="18" t="n">
        <v>29603.43</v>
      </c>
      <c r="T35" s="18" t="n">
        <v>34529.1</v>
      </c>
      <c r="U35" s="37" t="n">
        <v>34529.1</v>
      </c>
      <c r="V35" s="18" t="n">
        <v>35759.43</v>
      </c>
      <c r="W35" s="18" t="n">
        <v>37823.11</v>
      </c>
      <c r="X35" s="18" t="n">
        <v>39757.52</v>
      </c>
      <c r="Y35" s="18" t="n">
        <v>40703.7</v>
      </c>
      <c r="Z35" s="37" t="n">
        <v>40703.7</v>
      </c>
      <c r="AA35" s="18" t="n">
        <v>42355.73</v>
      </c>
      <c r="AB35" s="19" t="n">
        <v>45117.97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자본총계</t>
        </is>
      </c>
      <c r="E36" s="18" t="n">
        <v>26199.07</v>
      </c>
      <c r="F36" s="37" t="n">
        <v>26199.07</v>
      </c>
      <c r="G36" s="18" t="n">
        <v>26970.44</v>
      </c>
      <c r="H36" s="18" t="n">
        <v>27752.77</v>
      </c>
      <c r="I36" s="18" t="n">
        <v>28672.25</v>
      </c>
      <c r="J36" s="18" t="n">
        <v>34031.33</v>
      </c>
      <c r="K36" s="37" t="n">
        <v>34031.33</v>
      </c>
      <c r="L36" s="18" t="n">
        <v>35200.3</v>
      </c>
      <c r="M36" s="18" t="n">
        <v>37626.78</v>
      </c>
      <c r="N36" s="18" t="n">
        <v>40270.59</v>
      </c>
      <c r="O36" s="18" t="n">
        <v>46260.33</v>
      </c>
      <c r="P36" s="37" t="n">
        <v>46260.33</v>
      </c>
      <c r="Q36" s="18" t="n">
        <v>59755.44</v>
      </c>
      <c r="R36" s="18" t="n">
        <v>63902.19</v>
      </c>
      <c r="S36" s="18" t="n">
        <v>66463.24000000001</v>
      </c>
      <c r="T36" s="18" t="n">
        <v>71388.91</v>
      </c>
      <c r="U36" s="37" t="n">
        <v>71388.91</v>
      </c>
      <c r="V36" s="18" t="n">
        <v>72619.24000000001</v>
      </c>
      <c r="W36" s="18" t="n">
        <v>74682.92</v>
      </c>
      <c r="X36" s="18" t="n">
        <v>84417.27</v>
      </c>
      <c r="Y36" s="18" t="n">
        <v>83555.46000000001</v>
      </c>
      <c r="Z36" s="37" t="n">
        <v>83555.46000000001</v>
      </c>
      <c r="AA36" s="18" t="n">
        <v>85207.48</v>
      </c>
      <c r="AB36" s="19" t="n">
        <v>87969.73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부채와자본총계</t>
        </is>
      </c>
      <c r="E37" s="18" t="n">
        <v>49457.79</v>
      </c>
      <c r="F37" s="37" t="n">
        <v>49457.79</v>
      </c>
      <c r="G37" s="18" t="n">
        <v>51312.44</v>
      </c>
      <c r="H37" s="18" t="n">
        <v>52245.02</v>
      </c>
      <c r="I37" s="18" t="n">
        <v>56647.85</v>
      </c>
      <c r="J37" s="18" t="n">
        <v>60397.88</v>
      </c>
      <c r="K37" s="37" t="n">
        <v>60397.88</v>
      </c>
      <c r="L37" s="18" t="n">
        <v>68490.49000000001</v>
      </c>
      <c r="M37" s="18" t="n">
        <v>71329.94</v>
      </c>
      <c r="N37" s="18" t="n">
        <v>72055.32000000001</v>
      </c>
      <c r="O37" s="18" t="n">
        <v>75321.58</v>
      </c>
      <c r="P37" s="37" t="n">
        <v>75321.58</v>
      </c>
      <c r="Q37" s="18" t="n">
        <v>93711.56</v>
      </c>
      <c r="R37" s="18" t="n">
        <v>96973.74000000001</v>
      </c>
      <c r="S37" s="18" t="n">
        <v>99252.74000000001</v>
      </c>
      <c r="T37" s="18" t="n">
        <v>105513</v>
      </c>
      <c r="U37" s="37" t="n">
        <v>105513</v>
      </c>
      <c r="V37" s="18" t="n">
        <v>107726.97</v>
      </c>
      <c r="W37" s="18" t="n">
        <v>108778.16</v>
      </c>
      <c r="X37" s="18" t="n">
        <v>132983.08</v>
      </c>
      <c r="Y37" s="18" t="n">
        <v>134596.52</v>
      </c>
      <c r="Z37" s="37" t="n">
        <v>134596.52</v>
      </c>
      <c r="AA37" s="18" t="n">
        <v>139684.3</v>
      </c>
      <c r="AB37" s="19" t="n">
        <v>141028.1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26199.07</v>
      </c>
      <c r="F38" s="37" t="n">
        <v>26199.07</v>
      </c>
      <c r="G38" s="18" t="n">
        <v>26970.44</v>
      </c>
      <c r="H38" s="18" t="n">
        <v>27752.77</v>
      </c>
      <c r="I38" s="18" t="n">
        <v>28672.25</v>
      </c>
      <c r="J38" s="18" t="n">
        <v>34031.33</v>
      </c>
      <c r="K38" s="37" t="n">
        <v>34031.33</v>
      </c>
      <c r="L38" s="18" t="n">
        <v>35200.3</v>
      </c>
      <c r="M38" s="18" t="n">
        <v>37626.78</v>
      </c>
      <c r="N38" s="18" t="n">
        <v>40270.59</v>
      </c>
      <c r="O38" s="18" t="n">
        <v>46260.33</v>
      </c>
      <c r="P38" s="37" t="n">
        <v>46260.33</v>
      </c>
      <c r="Q38" s="18" t="n">
        <v>59755.44</v>
      </c>
      <c r="R38" s="18" t="n">
        <v>63902.19</v>
      </c>
      <c r="S38" s="18" t="n">
        <v>66463.24000000001</v>
      </c>
      <c r="T38" s="18" t="n">
        <v>71388.91</v>
      </c>
      <c r="U38" s="37" t="n">
        <v>71388.91</v>
      </c>
      <c r="V38" s="18" t="n">
        <v>72619.24000000001</v>
      </c>
      <c r="W38" s="18" t="n">
        <v>74682.92</v>
      </c>
      <c r="X38" s="18" t="n">
        <v>84417.27</v>
      </c>
      <c r="Y38" s="18" t="n">
        <v>83555.46000000001</v>
      </c>
      <c r="Z38" s="37" t="n">
        <v>83555.46000000001</v>
      </c>
      <c r="AA38" s="18" t="n">
        <v>85207.48</v>
      </c>
      <c r="AB38" s="19" t="n">
        <v>87969.73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총차입금</t>
        </is>
      </c>
      <c r="E39" s="18" t="n">
        <v>17000</v>
      </c>
      <c r="F39" s="37" t="n">
        <v>17000</v>
      </c>
      <c r="G39" s="18" t="n">
        <v>17000</v>
      </c>
      <c r="H39" s="18" t="n">
        <v>17000</v>
      </c>
      <c r="I39" s="18" t="n">
        <v>18000</v>
      </c>
      <c r="J39" s="18" t="n">
        <v>18000</v>
      </c>
      <c r="K39" s="37" t="n">
        <v>18000</v>
      </c>
      <c r="L39" s="18" t="n">
        <v>20000</v>
      </c>
      <c r="M39" s="18" t="n">
        <v>23716.45</v>
      </c>
      <c r="N39" s="18" t="n">
        <v>23000</v>
      </c>
      <c r="O39" s="18" t="n">
        <v>23000</v>
      </c>
      <c r="P39" s="37" t="n">
        <v>23000</v>
      </c>
      <c r="Q39" s="18" t="n">
        <v>28000</v>
      </c>
      <c r="R39" s="18" t="n">
        <v>27700</v>
      </c>
      <c r="S39" s="18" t="n">
        <v>27700</v>
      </c>
      <c r="T39" s="18" t="n">
        <v>27700</v>
      </c>
      <c r="U39" s="37" t="n">
        <v>27700</v>
      </c>
      <c r="V39" s="18" t="n">
        <v>27700</v>
      </c>
      <c r="W39" s="18" t="n">
        <v>27400</v>
      </c>
      <c r="X39" s="18" t="n">
        <v>37455.46</v>
      </c>
      <c r="Y39" s="18" t="n">
        <v>37811.86</v>
      </c>
      <c r="Z39" s="37" t="n">
        <v>37811.86</v>
      </c>
      <c r="AA39" s="18" t="n">
        <v>38193.31</v>
      </c>
      <c r="AB39" s="19" t="n">
        <v>38279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순차입금</t>
        </is>
      </c>
      <c r="E40" s="18" t="n">
        <v>8326</v>
      </c>
      <c r="F40" s="37" t="n">
        <v>8326</v>
      </c>
      <c r="G40" s="18" t="n">
        <v>7771.78</v>
      </c>
      <c r="H40" s="18" t="n">
        <v>9196.73</v>
      </c>
      <c r="I40" s="18" t="n">
        <v>8511.459999999999</v>
      </c>
      <c r="J40" s="18" t="n">
        <v>14190.88</v>
      </c>
      <c r="K40" s="37" t="n">
        <v>14190.88</v>
      </c>
      <c r="L40" s="18" t="n">
        <v>14873.07</v>
      </c>
      <c r="M40" s="18" t="n">
        <v>19827.57</v>
      </c>
      <c r="N40" s="18" t="n">
        <v>19604.65</v>
      </c>
      <c r="O40" s="18" t="n">
        <v>13646.67</v>
      </c>
      <c r="P40" s="37" t="n">
        <v>13646.67</v>
      </c>
      <c r="Q40" s="18" t="n">
        <v>11850.42</v>
      </c>
      <c r="R40" s="18" t="n">
        <v>12980.97</v>
      </c>
      <c r="S40" s="18" t="n">
        <v>7646.33</v>
      </c>
      <c r="T40" s="18" t="n">
        <v>2721.22</v>
      </c>
      <c r="U40" s="37" t="n">
        <v>2721.22</v>
      </c>
      <c r="V40" s="18" t="n">
        <v>5561.03</v>
      </c>
      <c r="W40" s="18" t="n">
        <v>8613.040000000001</v>
      </c>
      <c r="X40" s="18" t="n">
        <v>-2461.49</v>
      </c>
      <c r="Y40" s="18" t="n">
        <v>20896.19</v>
      </c>
      <c r="Z40" s="37" t="n">
        <v>20896.19</v>
      </c>
      <c r="AA40" s="18" t="n">
        <v>19511.93</v>
      </c>
      <c r="AB40" s="19" t="n">
        <v>21839.96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이자발생자산</t>
        </is>
      </c>
      <c r="E41" s="18" t="n">
        <v>8758.18</v>
      </c>
      <c r="F41" s="37" t="n">
        <v>8758.18</v>
      </c>
      <c r="G41" s="18" t="n">
        <v>9305.809999999999</v>
      </c>
      <c r="H41" s="18" t="n">
        <v>7880.86</v>
      </c>
      <c r="I41" s="18" t="n">
        <v>9566.129999999999</v>
      </c>
      <c r="J41" s="18" t="n">
        <v>3886.71</v>
      </c>
      <c r="K41" s="37" t="n">
        <v>3886.71</v>
      </c>
      <c r="L41" s="18" t="n">
        <v>5964.99</v>
      </c>
      <c r="M41" s="18" t="n">
        <v>4731.71</v>
      </c>
      <c r="N41" s="18" t="n">
        <v>4242.66</v>
      </c>
      <c r="O41" s="18" t="n">
        <v>10202.21</v>
      </c>
      <c r="P41" s="37" t="n">
        <v>10202.21</v>
      </c>
      <c r="Q41" s="18" t="n">
        <v>16950.04</v>
      </c>
      <c r="R41" s="18" t="n">
        <v>15493.92</v>
      </c>
      <c r="S41" s="18" t="n">
        <v>20827.9</v>
      </c>
      <c r="T41" s="18" t="n">
        <v>25755.24</v>
      </c>
      <c r="U41" s="37" t="n">
        <v>25755.24</v>
      </c>
      <c r="V41" s="18" t="n">
        <v>22447.68</v>
      </c>
      <c r="W41" s="18" t="n">
        <v>19094.47</v>
      </c>
      <c r="X41" s="18" t="n">
        <v>40223.87</v>
      </c>
      <c r="Y41" s="18" t="n">
        <v>18067.58</v>
      </c>
      <c r="Z41" s="37" t="n">
        <v>18067.58</v>
      </c>
      <c r="AA41" s="18" t="n">
        <v>20083.8</v>
      </c>
      <c r="AB41" s="19" t="n">
        <v>17841.49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당기법인세부채(미지급법인세)</t>
        </is>
      </c>
      <c r="F42" s="9" t="n"/>
      <c r="H42" s="18" t="n">
        <v>56.38</v>
      </c>
      <c r="I42" s="18" t="n">
        <v>96.48999999999999</v>
      </c>
      <c r="K42" s="9" t="n"/>
      <c r="O42" s="18" t="n">
        <v>41.36</v>
      </c>
      <c r="P42" s="37" t="n">
        <v>41.36</v>
      </c>
      <c r="Q42" s="18" t="n">
        <v>102.76</v>
      </c>
      <c r="R42" s="18" t="n">
        <v>0</v>
      </c>
      <c r="S42" s="18" t="n">
        <v>0</v>
      </c>
      <c r="T42" s="18" t="n">
        <v>378.37</v>
      </c>
      <c r="U42" s="37" t="n">
        <v>378.37</v>
      </c>
      <c r="V42" s="18" t="n">
        <v>263.07</v>
      </c>
      <c r="W42" s="18" t="n">
        <v>193.4</v>
      </c>
      <c r="X42" s="18" t="n">
        <v>132.77</v>
      </c>
      <c r="Y42" s="18" t="n">
        <v>245.38</v>
      </c>
      <c r="Z42" s="37" t="n">
        <v>245.38</v>
      </c>
      <c r="AA42" s="18" t="n">
        <v>205.62</v>
      </c>
      <c r="AB42" s="19" t="n">
        <v>266.3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이연법인세자산</t>
        </is>
      </c>
      <c r="F43" s="9" t="n"/>
      <c r="K43" s="9" t="n"/>
      <c r="O43" s="18" t="n">
        <v>545.5</v>
      </c>
      <c r="P43" s="37" t="n">
        <v>545.5</v>
      </c>
      <c r="Q43" s="18" t="n">
        <v>545.5</v>
      </c>
      <c r="R43" s="18" t="n">
        <v>545.5</v>
      </c>
      <c r="S43" s="18" t="n">
        <v>545.5</v>
      </c>
      <c r="T43" s="18" t="n">
        <v>2540.58</v>
      </c>
      <c r="U43" s="37" t="n">
        <v>2540.58</v>
      </c>
      <c r="V43" s="18" t="n">
        <v>2100.87</v>
      </c>
      <c r="W43" s="18" t="n">
        <v>1662.65</v>
      </c>
      <c r="X43" s="18" t="n">
        <v>1254.08</v>
      </c>
      <c r="Y43" s="18" t="n">
        <v>0</v>
      </c>
      <c r="Z43" s="37" t="n">
        <v>0</v>
      </c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장기매입채무및기타채무</t>
        </is>
      </c>
      <c r="F44" s="9" t="n"/>
      <c r="K44" s="9" t="n"/>
      <c r="P44" s="9" t="n"/>
      <c r="Q44" s="18" t="n">
        <v>4000</v>
      </c>
      <c r="S44" s="18" t="n">
        <v>4000</v>
      </c>
      <c r="T44" s="18" t="n">
        <v>4000</v>
      </c>
      <c r="U44" s="37" t="n">
        <v>4000</v>
      </c>
      <c r="V44" s="18" t="n">
        <v>0</v>
      </c>
      <c r="W44" s="18" t="n">
        <v>0</v>
      </c>
      <c r="X44" s="18" t="n">
        <v>0</v>
      </c>
      <c r="Y44" s="18" t="n">
        <v>0</v>
      </c>
      <c r="Z44" s="37" t="n">
        <v>0</v>
      </c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유동성장기부채</t>
        </is>
      </c>
      <c r="F45" s="9" t="n"/>
      <c r="K45" s="9" t="n"/>
      <c r="P45" s="9" t="n"/>
      <c r="Q45" s="18" t="n">
        <v>1000</v>
      </c>
      <c r="R45" s="18" t="n">
        <v>1000</v>
      </c>
      <c r="S45" s="18" t="n">
        <v>1000</v>
      </c>
      <c r="T45" s="18" t="n">
        <v>1000</v>
      </c>
      <c r="U45" s="37" t="n">
        <v>1000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F46" s="9" t="n"/>
      <c r="K46" s="9" t="n"/>
      <c r="P46" s="9" t="n"/>
      <c r="Q46" s="18" t="n">
        <v>4000</v>
      </c>
      <c r="R46" s="18" t="n">
        <v>4000</v>
      </c>
      <c r="S46" s="18" t="n">
        <v>4000</v>
      </c>
      <c r="T46" s="18" t="n">
        <v>4000</v>
      </c>
      <c r="U46" s="37" t="n">
        <v>4000</v>
      </c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종속기업및관계기업투자</t>
        </is>
      </c>
      <c r="F47" s="9" t="n"/>
      <c r="K47" s="9" t="n"/>
      <c r="P47" s="9" t="n"/>
      <c r="U47" s="9" t="n"/>
      <c r="V47" s="18" t="n">
        <v>3919.59</v>
      </c>
      <c r="W47" s="18" t="n">
        <v>3919.59</v>
      </c>
      <c r="X47" s="18" t="n">
        <v>3919.59</v>
      </c>
      <c r="Y47" s="18" t="n">
        <v>3919.59</v>
      </c>
      <c r="Z47" s="37" t="n">
        <v>3919.59</v>
      </c>
      <c r="AA47" s="18" t="n">
        <v>3919.59</v>
      </c>
      <c r="AB47" s="19" t="n">
        <v>3919.59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기타비유동자산</t>
        </is>
      </c>
      <c r="F48" s="9" t="n"/>
      <c r="K48" s="9" t="n"/>
      <c r="P48" s="9" t="n"/>
      <c r="U48" s="9" t="n"/>
      <c r="V48" s="18" t="n">
        <v>0</v>
      </c>
      <c r="W48" s="18" t="n">
        <v>158.24</v>
      </c>
      <c r="X48" s="18" t="n">
        <v>81.02</v>
      </c>
      <c r="Y48" s="18" t="n">
        <v>535.49</v>
      </c>
      <c r="Z48" s="37" t="n">
        <v>535.49</v>
      </c>
      <c r="AA48" s="18" t="n">
        <v>298.74</v>
      </c>
      <c r="AB48" s="19" t="n">
        <v>472.92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단기금융부채(face)</t>
        </is>
      </c>
      <c r="F49" s="9" t="n"/>
      <c r="K49" s="9" t="n"/>
      <c r="P49" s="9" t="n"/>
      <c r="U49" s="9" t="n"/>
      <c r="V49" s="18" t="n">
        <v>27700</v>
      </c>
      <c r="W49" s="18" t="n">
        <v>27400</v>
      </c>
      <c r="X49" s="18" t="n">
        <v>27400</v>
      </c>
      <c r="Y49" s="18" t="n">
        <v>27400</v>
      </c>
      <c r="Z49" s="37" t="n">
        <v>27400</v>
      </c>
      <c r="AA49" s="18" t="n">
        <v>27400</v>
      </c>
      <c r="AB49" s="19" t="n">
        <v>27100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매출액(수익)</t>
        </is>
      </c>
      <c r="E50" s="18" t="n">
        <v>13202.98</v>
      </c>
      <c r="F50" s="9" t="n"/>
      <c r="G50" s="18" t="n">
        <v>13263.01</v>
      </c>
      <c r="H50" s="18" t="n">
        <v>14453.33</v>
      </c>
      <c r="I50" s="18" t="n">
        <v>16944.97</v>
      </c>
      <c r="J50" s="18" t="n">
        <v>19007.22</v>
      </c>
      <c r="K50" s="37" t="n">
        <v>63668.53</v>
      </c>
      <c r="L50" s="18" t="n">
        <v>18967.35</v>
      </c>
      <c r="M50" s="18" t="n">
        <v>19664.99</v>
      </c>
      <c r="N50" s="18" t="n">
        <v>19704.17</v>
      </c>
      <c r="O50" s="18" t="n">
        <v>23290.16</v>
      </c>
      <c r="P50" s="37" t="n">
        <v>81626.67</v>
      </c>
      <c r="Q50" s="18" t="n">
        <v>21389.67</v>
      </c>
      <c r="R50" s="18" t="n">
        <v>20562.04</v>
      </c>
      <c r="S50" s="18" t="n">
        <v>19048.61</v>
      </c>
      <c r="T50" s="18" t="n">
        <v>24264.76</v>
      </c>
      <c r="U50" s="37" t="n">
        <v>85265.08</v>
      </c>
      <c r="V50" s="18" t="n">
        <v>20330.61</v>
      </c>
      <c r="W50" s="18" t="n">
        <v>22207.31</v>
      </c>
      <c r="X50" s="18" t="n">
        <v>22403.23</v>
      </c>
      <c r="Y50" s="18" t="n">
        <v>24651.94</v>
      </c>
      <c r="Z50" s="37" t="n">
        <v>89593.09</v>
      </c>
      <c r="AA50" s="18" t="n">
        <v>23432.27</v>
      </c>
      <c r="AB50" s="19" t="n">
        <v>29407.62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매출원가</t>
        </is>
      </c>
      <c r="E51" s="18" t="n">
        <v>12130.65</v>
      </c>
      <c r="F51" s="9" t="n"/>
      <c r="G51" s="18" t="n">
        <v>11843.62</v>
      </c>
      <c r="H51" s="18" t="n">
        <v>12987.45</v>
      </c>
      <c r="I51" s="18" t="n">
        <v>15295.49</v>
      </c>
      <c r="J51" s="18" t="n">
        <v>17284.97</v>
      </c>
      <c r="K51" s="37" t="n">
        <v>57411.53</v>
      </c>
      <c r="L51" s="18" t="n">
        <v>16277.25</v>
      </c>
      <c r="M51" s="18" t="n">
        <v>16078.78</v>
      </c>
      <c r="N51" s="18" t="n">
        <v>15256.52</v>
      </c>
      <c r="O51" s="18" t="n">
        <v>18095.52</v>
      </c>
      <c r="P51" s="37" t="n">
        <v>65708.07000000001</v>
      </c>
      <c r="Q51" s="18" t="n">
        <v>16344.38</v>
      </c>
      <c r="R51" s="18" t="n">
        <v>15062.47</v>
      </c>
      <c r="S51" s="18" t="n">
        <v>14686.91</v>
      </c>
      <c r="T51" s="18" t="n">
        <v>20254.97</v>
      </c>
      <c r="U51" s="37" t="n">
        <v>66348.73</v>
      </c>
      <c r="V51" s="18" t="n">
        <v>16296.92</v>
      </c>
      <c r="W51" s="18" t="n">
        <v>17691.03</v>
      </c>
      <c r="X51" s="18" t="n">
        <v>18290.87</v>
      </c>
      <c r="Y51" s="18" t="n">
        <v>20337.58</v>
      </c>
      <c r="Z51" s="37" t="n">
        <v>72616.39999999999</v>
      </c>
      <c r="AA51" s="18" t="n">
        <v>18186.82</v>
      </c>
      <c r="AB51" s="19" t="n">
        <v>23888.66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매출총이익</t>
        </is>
      </c>
      <c r="E52" s="18" t="n">
        <v>1072.33</v>
      </c>
      <c r="F52" s="9" t="n"/>
      <c r="G52" s="18" t="n">
        <v>1419.39</v>
      </c>
      <c r="H52" s="18" t="n">
        <v>1465.88</v>
      </c>
      <c r="I52" s="18" t="n">
        <v>1649.48</v>
      </c>
      <c r="J52" s="18" t="n">
        <v>1722.25</v>
      </c>
      <c r="K52" s="37" t="n">
        <v>6257</v>
      </c>
      <c r="L52" s="18" t="n">
        <v>2690.1</v>
      </c>
      <c r="M52" s="18" t="n">
        <v>3586.2</v>
      </c>
      <c r="N52" s="18" t="n">
        <v>4447.65</v>
      </c>
      <c r="O52" s="18" t="n">
        <v>5194.64</v>
      </c>
      <c r="P52" s="37" t="n">
        <v>15918.59</v>
      </c>
      <c r="Q52" s="18" t="n">
        <v>5045.29</v>
      </c>
      <c r="R52" s="18" t="n">
        <v>5499.57</v>
      </c>
      <c r="S52" s="18" t="n">
        <v>4361.7</v>
      </c>
      <c r="T52" s="18" t="n">
        <v>4009.79</v>
      </c>
      <c r="U52" s="37" t="n">
        <v>18916.35</v>
      </c>
      <c r="V52" s="18" t="n">
        <v>4033.7</v>
      </c>
      <c r="W52" s="18" t="n">
        <v>4516.28</v>
      </c>
      <c r="X52" s="18" t="n">
        <v>4112.36</v>
      </c>
      <c r="Y52" s="18" t="n">
        <v>4314.36</v>
      </c>
      <c r="Z52" s="37" t="n">
        <v>16976.7</v>
      </c>
      <c r="AA52" s="18" t="n">
        <v>5245.45</v>
      </c>
      <c r="AB52" s="19" t="n">
        <v>5518.96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판관비</t>
        </is>
      </c>
      <c r="E53" s="18" t="n">
        <v>584.17</v>
      </c>
      <c r="F53" s="9" t="n"/>
      <c r="G53" s="18" t="n">
        <v>626.3099999999999</v>
      </c>
      <c r="H53" s="18" t="n">
        <v>608.5700000000001</v>
      </c>
      <c r="I53" s="18" t="n">
        <v>729.77</v>
      </c>
      <c r="J53" s="18" t="n">
        <v>811.04</v>
      </c>
      <c r="K53" s="37" t="n">
        <v>2775.69</v>
      </c>
      <c r="L53" s="18" t="n">
        <v>1028.11</v>
      </c>
      <c r="M53" s="18" t="n">
        <v>889.55</v>
      </c>
      <c r="N53" s="18" t="n">
        <v>1135.3</v>
      </c>
      <c r="O53" s="18" t="n">
        <v>1027.35</v>
      </c>
      <c r="P53" s="37" t="n">
        <v>4080.31</v>
      </c>
      <c r="Q53" s="18" t="n">
        <v>1132.59</v>
      </c>
      <c r="R53" s="18" t="n">
        <v>1309.7</v>
      </c>
      <c r="S53" s="18" t="n">
        <v>1079.72</v>
      </c>
      <c r="T53" s="18" t="n">
        <v>1583.93</v>
      </c>
      <c r="U53" s="37" t="n">
        <v>5105.94</v>
      </c>
      <c r="V53" s="18" t="n">
        <v>1250.87</v>
      </c>
      <c r="W53" s="18" t="n">
        <v>1241.09</v>
      </c>
      <c r="X53" s="18" t="n">
        <v>1300.19</v>
      </c>
      <c r="Y53" s="18" t="n">
        <v>1631.42</v>
      </c>
      <c r="Z53" s="37" t="n">
        <v>5423.57</v>
      </c>
      <c r="AA53" s="18" t="n">
        <v>1332.07</v>
      </c>
      <c r="AB53" s="19" t="n">
        <v>1436.78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영업이익</t>
        </is>
      </c>
      <c r="E54" s="18" t="n">
        <v>488.16</v>
      </c>
      <c r="F54" s="9" t="n"/>
      <c r="G54" s="18" t="n">
        <v>793.08</v>
      </c>
      <c r="H54" s="18" t="n">
        <v>857.3099999999999</v>
      </c>
      <c r="I54" s="18" t="n">
        <v>919.71</v>
      </c>
      <c r="J54" s="18" t="n">
        <v>911.21</v>
      </c>
      <c r="K54" s="37" t="n">
        <v>3481.31</v>
      </c>
      <c r="L54" s="18" t="n">
        <v>1661.99</v>
      </c>
      <c r="M54" s="18" t="n">
        <v>2696.65</v>
      </c>
      <c r="N54" s="18" t="n">
        <v>3312.35</v>
      </c>
      <c r="O54" s="18" t="n">
        <v>4167.28</v>
      </c>
      <c r="P54" s="37" t="n">
        <v>11838.27</v>
      </c>
      <c r="Q54" s="18" t="n">
        <v>3912.7</v>
      </c>
      <c r="R54" s="18" t="n">
        <v>4189.86</v>
      </c>
      <c r="S54" s="18" t="n">
        <v>3281.98</v>
      </c>
      <c r="T54" s="18" t="n">
        <v>2425.87</v>
      </c>
      <c r="U54" s="37" t="n">
        <v>13810.41</v>
      </c>
      <c r="V54" s="18" t="n">
        <v>2782.82</v>
      </c>
      <c r="W54" s="18" t="n">
        <v>3275.19</v>
      </c>
      <c r="X54" s="18" t="n">
        <v>2812.17</v>
      </c>
      <c r="Y54" s="18" t="n">
        <v>2682.94</v>
      </c>
      <c r="Z54" s="37" t="n">
        <v>11553.12</v>
      </c>
      <c r="AA54" s="18" t="n">
        <v>3913.38</v>
      </c>
      <c r="AB54" s="19" t="n">
        <v>4082.19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금융수익</t>
        </is>
      </c>
      <c r="E55" s="18" t="n">
        <v>4.12</v>
      </c>
      <c r="F55" s="9" t="n"/>
      <c r="G55" s="18" t="n">
        <v>2.11</v>
      </c>
      <c r="H55" s="18" t="n">
        <v>5.41</v>
      </c>
      <c r="I55" s="18" t="n">
        <v>5.06</v>
      </c>
      <c r="J55" s="18" t="n">
        <v>17.85</v>
      </c>
      <c r="K55" s="37" t="n">
        <v>30.43</v>
      </c>
      <c r="L55" s="18" t="n">
        <v>15.07</v>
      </c>
      <c r="M55" s="18" t="n">
        <v>11.79</v>
      </c>
      <c r="N55" s="18" t="n">
        <v>10.69</v>
      </c>
      <c r="O55" s="18" t="n">
        <v>9.73</v>
      </c>
      <c r="P55" s="37" t="n">
        <v>47.28</v>
      </c>
      <c r="Q55" s="18" t="n">
        <v>14.77</v>
      </c>
      <c r="R55" s="18" t="n">
        <v>36.55</v>
      </c>
      <c r="S55" s="18" t="n">
        <v>26.18</v>
      </c>
      <c r="T55" s="18" t="n">
        <v>39.08</v>
      </c>
      <c r="U55" s="37" t="n">
        <v>116.58</v>
      </c>
      <c r="V55" s="18" t="n">
        <v>38.51</v>
      </c>
      <c r="W55" s="18" t="n">
        <v>59.82</v>
      </c>
      <c r="X55" s="18" t="n">
        <v>67.90000000000001</v>
      </c>
      <c r="Y55" s="18" t="n">
        <v>89.58</v>
      </c>
      <c r="Z55" s="37" t="n">
        <v>255.81</v>
      </c>
      <c r="AA55" s="18" t="n">
        <v>38.61</v>
      </c>
      <c r="AB55" s="19" t="n">
        <v>35.66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금융비용</t>
        </is>
      </c>
      <c r="E56" s="18" t="n">
        <v>112.06</v>
      </c>
      <c r="F56" s="9" t="n"/>
      <c r="G56" s="18" t="n">
        <v>108.38</v>
      </c>
      <c r="H56" s="18" t="n">
        <v>109.49</v>
      </c>
      <c r="I56" s="18" t="n">
        <v>117.83</v>
      </c>
      <c r="J56" s="18" t="n">
        <v>229.89</v>
      </c>
      <c r="K56" s="37" t="n">
        <v>565.59</v>
      </c>
      <c r="L56" s="18" t="n">
        <v>259.56</v>
      </c>
      <c r="M56" s="18" t="n">
        <v>307.17</v>
      </c>
      <c r="N56" s="18" t="n">
        <v>315.55</v>
      </c>
      <c r="O56" s="18" t="n">
        <v>296.82</v>
      </c>
      <c r="P56" s="37" t="n">
        <v>1179.1</v>
      </c>
      <c r="Q56" s="18" t="n">
        <v>311.75</v>
      </c>
      <c r="R56" s="18" t="n">
        <v>332.15</v>
      </c>
      <c r="S56" s="18" t="n">
        <v>327.77</v>
      </c>
      <c r="T56" s="18" t="n">
        <v>311.96</v>
      </c>
      <c r="U56" s="37" t="n">
        <v>1283.63</v>
      </c>
      <c r="V56" s="18" t="n">
        <v>281.58</v>
      </c>
      <c r="W56" s="18" t="n">
        <v>260.99</v>
      </c>
      <c r="X56" s="18" t="n">
        <v>747.77</v>
      </c>
      <c r="Y56" s="18" t="n">
        <v>2043.01</v>
      </c>
      <c r="Z56" s="37" t="n">
        <v>3333.35</v>
      </c>
      <c r="AA56" s="18" t="n">
        <v>1301.52</v>
      </c>
      <c r="AB56" s="19" t="n">
        <v>842.15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기타영업외수익</t>
        </is>
      </c>
      <c r="E57" s="18" t="n">
        <v>29.36</v>
      </c>
      <c r="F57" s="9" t="n"/>
      <c r="G57" s="18" t="n">
        <v>80.66</v>
      </c>
      <c r="H57" s="18" t="n">
        <v>184.31</v>
      </c>
      <c r="I57" s="18" t="n">
        <v>276.44</v>
      </c>
      <c r="J57" s="18" t="n">
        <v>5.92</v>
      </c>
      <c r="K57" s="37" t="n">
        <v>547.33</v>
      </c>
      <c r="L57" s="18" t="n">
        <v>222.52</v>
      </c>
      <c r="M57" s="18" t="n">
        <v>182.04</v>
      </c>
      <c r="N57" s="18" t="n">
        <v>184.89</v>
      </c>
      <c r="O57" s="18" t="n">
        <v>21.28</v>
      </c>
      <c r="P57" s="37" t="n">
        <v>610.73</v>
      </c>
      <c r="Q57" s="18" t="n">
        <v>384.28</v>
      </c>
      <c r="R57" s="18" t="n">
        <v>286.58</v>
      </c>
      <c r="S57" s="18" t="n">
        <v>-51.17</v>
      </c>
      <c r="T57" s="18" t="n">
        <v>1130.89</v>
      </c>
      <c r="U57" s="37" t="n">
        <v>1750.58</v>
      </c>
      <c r="V57" s="18" t="n">
        <v>202.51</v>
      </c>
      <c r="W57" s="18" t="n">
        <v>372.8</v>
      </c>
      <c r="X57" s="18" t="n">
        <v>211.75</v>
      </c>
      <c r="Y57" s="18" t="n">
        <v>394.99</v>
      </c>
      <c r="Z57" s="37" t="n">
        <v>1182.05</v>
      </c>
      <c r="AA57" s="18" t="n">
        <v>764.6900000000001</v>
      </c>
      <c r="AB57" s="19" t="n">
        <v>314.22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기타영업외비용</t>
        </is>
      </c>
      <c r="E58" s="18" t="n">
        <v>20.51</v>
      </c>
      <c r="F58" s="9" t="n"/>
      <c r="G58" s="18" t="n">
        <v>21.93</v>
      </c>
      <c r="H58" s="18" t="n">
        <v>43.81</v>
      </c>
      <c r="I58" s="18" t="n">
        <v>11.88</v>
      </c>
      <c r="J58" s="18" t="n">
        <v>312.47</v>
      </c>
      <c r="K58" s="37" t="n">
        <v>390.09</v>
      </c>
      <c r="L58" s="18" t="n">
        <v>76.26000000000001</v>
      </c>
      <c r="M58" s="18" t="n">
        <v>133.63</v>
      </c>
      <c r="N58" s="18" t="n">
        <v>457.18</v>
      </c>
      <c r="O58" s="18" t="n">
        <v>565.55</v>
      </c>
      <c r="P58" s="37" t="n">
        <v>1232.62</v>
      </c>
      <c r="Q58" s="18" t="n">
        <v>20.32</v>
      </c>
      <c r="R58" s="18" t="n">
        <v>351.37</v>
      </c>
      <c r="S58" s="18" t="n">
        <v>343.54</v>
      </c>
      <c r="T58" s="18" t="n">
        <v>-181.56</v>
      </c>
      <c r="U58" s="37" t="n">
        <v>533.67</v>
      </c>
      <c r="V58" s="18" t="n">
        <v>112.43</v>
      </c>
      <c r="W58" s="18" t="n">
        <v>825.88</v>
      </c>
      <c r="X58" s="18" t="n">
        <v>-74.75</v>
      </c>
      <c r="Y58" s="18" t="n">
        <v>215.28</v>
      </c>
      <c r="Z58" s="37" t="n">
        <v>1078.84</v>
      </c>
      <c r="AA58" s="18" t="n">
        <v>369.82</v>
      </c>
      <c r="AB58" s="19" t="n">
        <v>21.37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법인세비용차감전계속사업이익</t>
        </is>
      </c>
      <c r="E59" s="18" t="n">
        <v>389.06</v>
      </c>
      <c r="F59" s="9" t="n"/>
      <c r="G59" s="18" t="n">
        <v>745.54</v>
      </c>
      <c r="H59" s="18" t="n">
        <v>893.73</v>
      </c>
      <c r="I59" s="18" t="n">
        <v>1071.5</v>
      </c>
      <c r="J59" s="18" t="n">
        <v>392.61</v>
      </c>
      <c r="K59" s="37" t="n">
        <v>3103.38</v>
      </c>
      <c r="L59" s="18" t="n">
        <v>1563.77</v>
      </c>
      <c r="M59" s="18" t="n">
        <v>2449.68</v>
      </c>
      <c r="N59" s="18" t="n">
        <v>2735.2</v>
      </c>
      <c r="O59" s="18" t="n">
        <v>3335.93</v>
      </c>
      <c r="P59" s="37" t="n">
        <v>10084.58</v>
      </c>
      <c r="Q59" s="18" t="n">
        <v>3979.68</v>
      </c>
      <c r="R59" s="18" t="n">
        <v>3829.46</v>
      </c>
      <c r="S59" s="18" t="n">
        <v>2585.68</v>
      </c>
      <c r="T59" s="18" t="n">
        <v>3465.42</v>
      </c>
      <c r="U59" s="37" t="n">
        <v>13860.24</v>
      </c>
      <c r="V59" s="18" t="n">
        <v>2629.83</v>
      </c>
      <c r="W59" s="18" t="n">
        <v>2620.94</v>
      </c>
      <c r="X59" s="18" t="n">
        <v>2418.79</v>
      </c>
      <c r="Y59" s="18" t="n">
        <v>909.2</v>
      </c>
      <c r="Z59" s="37" t="n">
        <v>8578.76</v>
      </c>
      <c r="AA59" s="18" t="n">
        <v>3045.33</v>
      </c>
      <c r="AB59" s="19" t="n">
        <v>3568.54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법인세비용</t>
        </is>
      </c>
      <c r="E60" s="18" t="n">
        <v>-0.31</v>
      </c>
      <c r="F60" s="9" t="n"/>
      <c r="G60" s="18" t="n">
        <v>-5.68</v>
      </c>
      <c r="H60" s="18" t="n">
        <v>69.09</v>
      </c>
      <c r="I60" s="18" t="n">
        <v>65.14</v>
      </c>
      <c r="J60" s="18" t="n">
        <v>-989.14</v>
      </c>
      <c r="K60" s="37" t="n">
        <v>-860.59</v>
      </c>
      <c r="L60" s="18" t="n">
        <v>82.51000000000001</v>
      </c>
      <c r="M60" s="18" t="n">
        <v>4.85</v>
      </c>
      <c r="N60" s="18" t="n">
        <v>97.12</v>
      </c>
      <c r="O60" s="18" t="n">
        <v>-2869.09</v>
      </c>
      <c r="P60" s="37" t="n">
        <v>-2684.61</v>
      </c>
      <c r="Q60" s="18" t="n">
        <v>138.87</v>
      </c>
      <c r="R60" s="18" t="n">
        <v>-66.31</v>
      </c>
      <c r="S60" s="18" t="n">
        <v>5.15</v>
      </c>
      <c r="T60" s="18" t="n">
        <v>-1508.2</v>
      </c>
      <c r="U60" s="37" t="n">
        <v>-1430.49</v>
      </c>
      <c r="V60" s="18" t="n">
        <v>541.03</v>
      </c>
      <c r="W60" s="18" t="n">
        <v>539.17</v>
      </c>
      <c r="X60" s="18" t="n">
        <v>502.03</v>
      </c>
      <c r="Y60" s="18" t="n">
        <v>-8.18</v>
      </c>
      <c r="Z60" s="37" t="n">
        <v>1574.05</v>
      </c>
      <c r="AA60" s="18" t="n">
        <v>583.55</v>
      </c>
      <c r="AB60" s="19" t="n">
        <v>812.42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당기순이익</t>
        </is>
      </c>
      <c r="E61" s="18" t="n">
        <v>389.37</v>
      </c>
      <c r="F61" s="9" t="n"/>
      <c r="G61" s="18" t="n">
        <v>751.22</v>
      </c>
      <c r="H61" s="18" t="n">
        <v>824.64</v>
      </c>
      <c r="I61" s="18" t="n">
        <v>1006.36</v>
      </c>
      <c r="J61" s="18" t="n">
        <v>1381.75</v>
      </c>
      <c r="K61" s="37" t="n">
        <v>3963.97</v>
      </c>
      <c r="L61" s="18" t="n">
        <v>1481.25</v>
      </c>
      <c r="M61" s="18" t="n">
        <v>2444.83</v>
      </c>
      <c r="N61" s="18" t="n">
        <v>2638.09</v>
      </c>
      <c r="O61" s="18" t="n">
        <v>6205.02</v>
      </c>
      <c r="P61" s="37" t="n">
        <v>12769.19</v>
      </c>
      <c r="Q61" s="18" t="n">
        <v>3840.81</v>
      </c>
      <c r="R61" s="18" t="n">
        <v>3895.78</v>
      </c>
      <c r="S61" s="18" t="n">
        <v>2580.53</v>
      </c>
      <c r="T61" s="18" t="n">
        <v>4973.62</v>
      </c>
      <c r="U61" s="37" t="n">
        <v>15290.74</v>
      </c>
      <c r="V61" s="18" t="n">
        <v>2088.81</v>
      </c>
      <c r="W61" s="18" t="n">
        <v>2081.77</v>
      </c>
      <c r="X61" s="18" t="n">
        <v>1916.77</v>
      </c>
      <c r="Y61" s="18" t="n">
        <v>917.38</v>
      </c>
      <c r="Z61" s="37" t="n">
        <v>7004.73</v>
      </c>
      <c r="AA61" s="18" t="n">
        <v>2461.78</v>
      </c>
      <c r="AB61" s="19" t="n">
        <v>2756.13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총포괄손익</t>
        </is>
      </c>
      <c r="E62" s="18" t="n">
        <v>390.46</v>
      </c>
      <c r="F62" s="9" t="n"/>
      <c r="G62" s="18" t="n">
        <v>771.37</v>
      </c>
      <c r="H62" s="18" t="n">
        <v>782.33</v>
      </c>
      <c r="I62" s="18" t="n">
        <v>919.48</v>
      </c>
      <c r="J62" s="18" t="n">
        <v>5359.09</v>
      </c>
      <c r="K62" s="37" t="n">
        <v>7832.27</v>
      </c>
      <c r="L62" s="18" t="n">
        <v>1168.97</v>
      </c>
      <c r="M62" s="18" t="n">
        <v>2426.48</v>
      </c>
      <c r="N62" s="18" t="n">
        <v>2643.81</v>
      </c>
      <c r="O62" s="18" t="n">
        <v>5989.75</v>
      </c>
      <c r="P62" s="37" t="n">
        <v>12229.01</v>
      </c>
      <c r="Q62" s="18" t="n">
        <v>3555.42</v>
      </c>
      <c r="R62" s="18" t="n">
        <v>4146.75</v>
      </c>
      <c r="S62" s="18" t="n">
        <v>2561.06</v>
      </c>
      <c r="T62" s="18" t="n">
        <v>4925.67</v>
      </c>
      <c r="U62" s="37" t="n">
        <v>15188.9</v>
      </c>
      <c r="V62" s="18" t="n">
        <v>1831.37</v>
      </c>
      <c r="W62" s="18" t="n">
        <v>2063.67</v>
      </c>
      <c r="X62" s="18" t="n">
        <v>1934.41</v>
      </c>
      <c r="Y62" s="18" t="n">
        <v>854.1799999999999</v>
      </c>
      <c r="Z62" s="37" t="n">
        <v>6683.63</v>
      </c>
      <c r="AA62" s="18" t="n">
        <v>2453.41</v>
      </c>
      <c r="AB62" s="19" t="n">
        <v>2762.25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-107.94</v>
      </c>
      <c r="F63" s="9" t="n"/>
      <c r="G63" s="18" t="n">
        <v>-106.27</v>
      </c>
      <c r="H63" s="18" t="n">
        <v>-104.08</v>
      </c>
      <c r="I63" s="18" t="n">
        <v>-112.77</v>
      </c>
      <c r="J63" s="18" t="n">
        <v>-212.04</v>
      </c>
      <c r="K63" s="37" t="n">
        <v>-535.16</v>
      </c>
      <c r="L63" s="18" t="n">
        <v>-244.49</v>
      </c>
      <c r="M63" s="18" t="n">
        <v>-295.38</v>
      </c>
      <c r="N63" s="18" t="n">
        <v>-304.86</v>
      </c>
      <c r="O63" s="18" t="n">
        <v>-287.09</v>
      </c>
      <c r="P63" s="37" t="n">
        <v>-1131.82</v>
      </c>
      <c r="Q63" s="18" t="n">
        <v>-296.98</v>
      </c>
      <c r="R63" s="18" t="n">
        <v>-295.6</v>
      </c>
      <c r="S63" s="18" t="n">
        <v>-301.59</v>
      </c>
      <c r="T63" s="18" t="n">
        <v>-272.88</v>
      </c>
      <c r="U63" s="37" t="n">
        <v>-1167.05</v>
      </c>
      <c r="V63" s="18" t="n">
        <v>-243.07</v>
      </c>
      <c r="W63" s="18" t="n">
        <v>-201.17</v>
      </c>
      <c r="X63" s="18" t="n">
        <v>-679.87</v>
      </c>
      <c r="Y63" s="18" t="n">
        <v>-1953.43</v>
      </c>
      <c r="Z63" s="37" t="n">
        <v>-3077.54</v>
      </c>
      <c r="AA63" s="18" t="n">
        <v>-1262.91</v>
      </c>
      <c r="AB63" s="19" t="n">
        <v>-806.49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8.85</v>
      </c>
      <c r="F64" s="9" t="n"/>
      <c r="G64" s="18" t="n">
        <v>58.73</v>
      </c>
      <c r="H64" s="18" t="n">
        <v>140.5</v>
      </c>
      <c r="I64" s="18" t="n">
        <v>264.56</v>
      </c>
      <c r="J64" s="18" t="n">
        <v>-306.55</v>
      </c>
      <c r="K64" s="37" t="n">
        <v>157.24</v>
      </c>
      <c r="L64" s="18" t="n">
        <v>146.26</v>
      </c>
      <c r="M64" s="18" t="n">
        <v>48.41</v>
      </c>
      <c r="N64" s="18" t="n">
        <v>-272.29</v>
      </c>
      <c r="O64" s="18" t="n">
        <v>-544.27</v>
      </c>
      <c r="P64" s="37" t="n">
        <v>-621.89</v>
      </c>
      <c r="Q64" s="18" t="n">
        <v>363.96</v>
      </c>
      <c r="R64" s="18" t="n">
        <v>-64.79000000000001</v>
      </c>
      <c r="S64" s="18" t="n">
        <v>-394.71</v>
      </c>
      <c r="T64" s="18" t="n">
        <v>1312.45</v>
      </c>
      <c r="U64" s="37" t="n">
        <v>1216.91</v>
      </c>
      <c r="V64" s="18" t="n">
        <v>90.08</v>
      </c>
      <c r="W64" s="18" t="n">
        <v>-453.08</v>
      </c>
      <c r="X64" s="18" t="n">
        <v>286.5</v>
      </c>
      <c r="Y64" s="18" t="n">
        <v>179.71</v>
      </c>
      <c r="Z64" s="37" t="n">
        <v>103.21</v>
      </c>
      <c r="AA64" s="18" t="n">
        <v>394.87</v>
      </c>
      <c r="AB64" s="19" t="n">
        <v>292.85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(지배주주지분)당기순이익</t>
        </is>
      </c>
      <c r="E65" s="18" t="n">
        <v>389.37</v>
      </c>
      <c r="F65" s="9" t="n"/>
      <c r="G65" s="18" t="n">
        <v>751.22</v>
      </c>
      <c r="H65" s="18" t="n">
        <v>824.64</v>
      </c>
      <c r="I65" s="18" t="n">
        <v>1006.36</v>
      </c>
      <c r="J65" s="18" t="n">
        <v>1381.75</v>
      </c>
      <c r="K65" s="37" t="n">
        <v>3963.97</v>
      </c>
      <c r="L65" s="18" t="n">
        <v>1481.25</v>
      </c>
      <c r="M65" s="18" t="n">
        <v>2444.83</v>
      </c>
      <c r="N65" s="18" t="n">
        <v>2638.09</v>
      </c>
      <c r="O65" s="18" t="n">
        <v>6205.02</v>
      </c>
      <c r="P65" s="37" t="n">
        <v>12769.19</v>
      </c>
      <c r="Q65" s="18" t="n">
        <v>3840.81</v>
      </c>
      <c r="R65" s="18" t="n">
        <v>3895.78</v>
      </c>
      <c r="S65" s="18" t="n">
        <v>2580.53</v>
      </c>
      <c r="T65" s="18" t="n">
        <v>4973.62</v>
      </c>
      <c r="U65" s="37" t="n">
        <v>15290.74</v>
      </c>
      <c r="V65" s="18" t="n">
        <v>2088.81</v>
      </c>
      <c r="W65" s="18" t="n">
        <v>2081.77</v>
      </c>
      <c r="X65" s="18" t="n">
        <v>1916.77</v>
      </c>
      <c r="Y65" s="18" t="n">
        <v>917.38</v>
      </c>
      <c r="Z65" s="37" t="n">
        <v>7004.73</v>
      </c>
      <c r="AA65" s="18" t="n">
        <v>2461.78</v>
      </c>
      <c r="AB65" s="19" t="n">
        <v>2756.13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계속사업이익</t>
        </is>
      </c>
      <c r="E66" s="18" t="n">
        <v>389.37</v>
      </c>
      <c r="F66" s="9" t="n"/>
      <c r="G66" s="18" t="n">
        <v>751.22</v>
      </c>
      <c r="H66" s="18" t="n">
        <v>824.64</v>
      </c>
      <c r="I66" s="18" t="n">
        <v>1006.36</v>
      </c>
      <c r="J66" s="18" t="n">
        <v>1381.75</v>
      </c>
      <c r="K66" s="37" t="n">
        <v>3963.97</v>
      </c>
      <c r="L66" s="18" t="n">
        <v>1481.25</v>
      </c>
      <c r="M66" s="18" t="n">
        <v>2444.83</v>
      </c>
      <c r="N66" s="18" t="n">
        <v>2638.09</v>
      </c>
      <c r="O66" s="18" t="n">
        <v>6205.02</v>
      </c>
      <c r="P66" s="37" t="n">
        <v>12769.19</v>
      </c>
      <c r="Q66" s="18" t="n">
        <v>3840.81</v>
      </c>
      <c r="R66" s="18" t="n">
        <v>3895.78</v>
      </c>
      <c r="S66" s="18" t="n">
        <v>2580.53</v>
      </c>
      <c r="T66" s="18" t="n">
        <v>4973.62</v>
      </c>
      <c r="U66" s="37" t="n">
        <v>15290.74</v>
      </c>
      <c r="V66" s="18" t="n">
        <v>2088.81</v>
      </c>
      <c r="W66" s="18" t="n">
        <v>2081.77</v>
      </c>
      <c r="X66" s="18" t="n">
        <v>1916.77</v>
      </c>
      <c r="Y66" s="18" t="n">
        <v>917.38</v>
      </c>
      <c r="Z66" s="37" t="n">
        <v>7004.73</v>
      </c>
      <c r="AA66" s="18" t="n">
        <v>2461.78</v>
      </c>
      <c r="AB66" s="19" t="n">
        <v>2756.13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이자수익</t>
        </is>
      </c>
      <c r="F67" s="9" t="n"/>
      <c r="G67" s="18" t="n">
        <v>2.11</v>
      </c>
      <c r="H67" s="18" t="n">
        <v>5.41</v>
      </c>
      <c r="I67" s="18" t="n">
        <v>5.06</v>
      </c>
      <c r="J67" s="18" t="n">
        <v>17.85</v>
      </c>
      <c r="K67" s="37" t="n">
        <v>30.43</v>
      </c>
      <c r="L67" s="18" t="n">
        <v>15.07</v>
      </c>
      <c r="M67" s="18" t="n">
        <v>11.79</v>
      </c>
      <c r="N67" s="18" t="n">
        <v>10.69</v>
      </c>
      <c r="O67" s="18" t="n">
        <v>9.73</v>
      </c>
      <c r="P67" s="37" t="n">
        <v>47.28</v>
      </c>
      <c r="Q67" s="18" t="n">
        <v>14.77</v>
      </c>
      <c r="R67" s="18" t="n">
        <v>36.55</v>
      </c>
      <c r="S67" s="18" t="n">
        <v>26.18</v>
      </c>
      <c r="T67" s="18" t="n">
        <v>39.08</v>
      </c>
      <c r="U67" s="37" t="n">
        <v>116.58</v>
      </c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이자비용</t>
        </is>
      </c>
      <c r="F68" s="9" t="n"/>
      <c r="G68" s="18" t="n">
        <v>108.38</v>
      </c>
      <c r="H68" s="18" t="n">
        <v>109.49</v>
      </c>
      <c r="I68" s="18" t="n">
        <v>117.83</v>
      </c>
      <c r="J68" s="18" t="n">
        <v>229.89</v>
      </c>
      <c r="K68" s="37" t="n">
        <v>565.59</v>
      </c>
      <c r="L68" s="18" t="n">
        <v>259.56</v>
      </c>
      <c r="M68" s="18" t="n">
        <v>307.17</v>
      </c>
      <c r="N68" s="18" t="n">
        <v>315.55</v>
      </c>
      <c r="O68" s="18" t="n">
        <v>296.82</v>
      </c>
      <c r="P68" s="37" t="n">
        <v>1179.1</v>
      </c>
      <c r="Q68" s="18" t="n">
        <v>311.75</v>
      </c>
      <c r="R68" s="18" t="n">
        <v>332.15</v>
      </c>
      <c r="S68" s="18" t="n">
        <v>327.77</v>
      </c>
      <c r="T68" s="18" t="n">
        <v>311.96</v>
      </c>
      <c r="U68" s="37" t="n">
        <v>1283.63</v>
      </c>
      <c r="Z68" s="9" t="n"/>
      <c r="AB68" s="5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이자손익</t>
        </is>
      </c>
      <c r="F69" s="9" t="n"/>
      <c r="G69" s="18" t="n">
        <v>-106.27</v>
      </c>
      <c r="H69" s="18" t="n">
        <v>-104.08</v>
      </c>
      <c r="I69" s="18" t="n">
        <v>-112.77</v>
      </c>
      <c r="J69" s="18" t="n">
        <v>-212.04</v>
      </c>
      <c r="K69" s="37" t="n">
        <v>-535.16</v>
      </c>
      <c r="L69" s="18" t="n">
        <v>-244.49</v>
      </c>
      <c r="M69" s="18" t="n">
        <v>-295.38</v>
      </c>
      <c r="N69" s="18" t="n">
        <v>-304.86</v>
      </c>
      <c r="O69" s="18" t="n">
        <v>-287.09</v>
      </c>
      <c r="P69" s="37" t="n">
        <v>-1131.82</v>
      </c>
      <c r="Q69" s="18" t="n">
        <v>-296.98</v>
      </c>
      <c r="R69" s="18" t="n">
        <v>-295.6</v>
      </c>
      <c r="S69" s="18" t="n">
        <v>-301.59</v>
      </c>
      <c r="T69" s="18" t="n">
        <v>-272.88</v>
      </c>
      <c r="U69" s="37" t="n">
        <v>-1167.05</v>
      </c>
      <c r="Z69" s="9" t="n"/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영업활동으로인한현금흐름</t>
        </is>
      </c>
      <c r="E70" s="18" t="n">
        <v>-839.86</v>
      </c>
      <c r="F70" s="9" t="n"/>
      <c r="G70" s="18" t="n">
        <v>577.4400000000001</v>
      </c>
      <c r="H70" s="18" t="n">
        <v>-1293.53</v>
      </c>
      <c r="I70" s="18" t="n">
        <v>936.4400000000001</v>
      </c>
      <c r="J70" s="18" t="n">
        <v>-5633.48</v>
      </c>
      <c r="K70" s="37" t="n">
        <v>-5413.13</v>
      </c>
      <c r="L70" s="18" t="n">
        <v>-552.0599999999999</v>
      </c>
      <c r="M70" s="18" t="n">
        <v>-3528.29</v>
      </c>
      <c r="N70" s="18" t="n">
        <v>302.57</v>
      </c>
      <c r="O70" s="18" t="n">
        <v>6248.39</v>
      </c>
      <c r="P70" s="37" t="n">
        <v>2470.61</v>
      </c>
      <c r="Q70" s="18" t="n">
        <v>778.34</v>
      </c>
      <c r="R70" s="18" t="n">
        <v>2966.23</v>
      </c>
      <c r="S70" s="18" t="n">
        <v>6766.23</v>
      </c>
      <c r="T70" s="18" t="n">
        <v>7033.83</v>
      </c>
      <c r="U70" s="37" t="n">
        <v>17544.63</v>
      </c>
      <c r="V70" s="18" t="n">
        <v>1397.09</v>
      </c>
      <c r="W70" s="18" t="n">
        <v>-1209.81</v>
      </c>
      <c r="X70" s="18" t="n">
        <v>3405.38</v>
      </c>
      <c r="Y70" s="18" t="n">
        <v>-555.45</v>
      </c>
      <c r="Z70" s="37" t="n">
        <v>3037.21</v>
      </c>
      <c r="AA70" s="18" t="n">
        <v>2572.79</v>
      </c>
      <c r="AB70" s="19" t="n">
        <v>2772.09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법인세납부(CF)</t>
        </is>
      </c>
      <c r="E71" s="18" t="n">
        <v>0.75</v>
      </c>
      <c r="F71" s="9" t="n"/>
      <c r="G71" s="18" t="n">
        <v>-0.13</v>
      </c>
      <c r="H71" s="18" t="n">
        <v>1.03</v>
      </c>
      <c r="I71" s="18" t="n">
        <v>-1.3</v>
      </c>
      <c r="J71" s="18" t="n">
        <v>-2.61</v>
      </c>
      <c r="K71" s="37" t="n">
        <v>-3.01</v>
      </c>
      <c r="L71" s="18" t="n">
        <v>-2.12</v>
      </c>
      <c r="M71" s="18" t="n">
        <v>2.3</v>
      </c>
      <c r="N71" s="18" t="n">
        <v>-100.07</v>
      </c>
      <c r="O71" s="18" t="n">
        <v>-1.28</v>
      </c>
      <c r="P71" s="37" t="n">
        <v>-101.17</v>
      </c>
      <c r="Q71" s="18" t="n">
        <v>-2.06</v>
      </c>
      <c r="R71" s="18" t="n">
        <v>-5.35</v>
      </c>
      <c r="S71" s="18" t="n">
        <v>-82.73</v>
      </c>
      <c r="T71" s="18" t="n">
        <v>-5.7</v>
      </c>
      <c r="U71" s="37" t="n">
        <v>-95.84</v>
      </c>
      <c r="V71" s="18" t="n">
        <v>-148.6</v>
      </c>
      <c r="W71" s="18" t="n">
        <v>-165.84</v>
      </c>
      <c r="X71" s="18" t="n">
        <v>-158.75</v>
      </c>
      <c r="Y71" s="18" t="n">
        <v>-13.46</v>
      </c>
      <c r="Z71" s="37" t="n">
        <v>-486.65</v>
      </c>
      <c r="AA71" s="18" t="n">
        <v>-92.33</v>
      </c>
      <c r="AB71" s="19" t="n">
        <v>-118.04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투자활동으로인한현금흐름</t>
        </is>
      </c>
      <c r="E72" s="18" t="n">
        <v>-49.71</v>
      </c>
      <c r="F72" s="9" t="n"/>
      <c r="G72" s="18" t="n">
        <v>3.61</v>
      </c>
      <c r="H72" s="18" t="n">
        <v>-120.66</v>
      </c>
      <c r="I72" s="18" t="n">
        <v>-248.27</v>
      </c>
      <c r="J72" s="18" t="n">
        <v>-7.52</v>
      </c>
      <c r="K72" s="37" t="n">
        <v>-372.84</v>
      </c>
      <c r="L72" s="18" t="n">
        <v>-111.96</v>
      </c>
      <c r="M72" s="18" t="n">
        <v>-691.09</v>
      </c>
      <c r="N72" s="18" t="n">
        <v>-788.39</v>
      </c>
      <c r="O72" s="18" t="n">
        <v>-174.51</v>
      </c>
      <c r="P72" s="37" t="n">
        <v>-1765.95</v>
      </c>
      <c r="Q72" s="18" t="n">
        <v>-9335.51</v>
      </c>
      <c r="R72" s="18" t="n">
        <v>-3806.58</v>
      </c>
      <c r="S72" s="18" t="n">
        <v>-1086.35</v>
      </c>
      <c r="T72" s="18" t="n">
        <v>-3076.7</v>
      </c>
      <c r="U72" s="37" t="n">
        <v>-17305.14</v>
      </c>
      <c r="V72" s="18" t="n">
        <v>-4254.01</v>
      </c>
      <c r="W72" s="18" t="n">
        <v>-1141.66</v>
      </c>
      <c r="X72" s="18" t="n">
        <v>-2386.85</v>
      </c>
      <c r="Y72" s="18" t="n">
        <v>-22311.35</v>
      </c>
      <c r="Z72" s="37" t="n">
        <v>-30093.87</v>
      </c>
      <c r="AA72" s="18" t="n">
        <v>-1010.78</v>
      </c>
      <c r="AB72" s="19" t="n">
        <v>-3907.77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유형자산의증가</t>
        </is>
      </c>
      <c r="E73" s="18" t="n">
        <v>47.7</v>
      </c>
      <c r="F73" s="9" t="n"/>
      <c r="G73" s="18" t="n">
        <v>9.98</v>
      </c>
      <c r="H73" s="18" t="n">
        <v>255.26</v>
      </c>
      <c r="I73" s="18" t="n">
        <v>248.27</v>
      </c>
      <c r="J73" s="18" t="n">
        <v>7.52</v>
      </c>
      <c r="K73" s="37" t="n">
        <v>521.03</v>
      </c>
      <c r="L73" s="18" t="n">
        <v>308.78</v>
      </c>
      <c r="M73" s="18" t="n">
        <v>687.45</v>
      </c>
      <c r="N73" s="18" t="n">
        <v>785.3</v>
      </c>
      <c r="O73" s="18" t="n">
        <v>174.51</v>
      </c>
      <c r="P73" s="37" t="n">
        <v>1956.04</v>
      </c>
      <c r="Q73" s="18" t="n">
        <v>9355.51</v>
      </c>
      <c r="R73" s="18" t="n">
        <v>3812.31</v>
      </c>
      <c r="S73" s="18" t="n">
        <v>1096.99</v>
      </c>
      <c r="T73" s="18" t="n">
        <v>3096.77</v>
      </c>
      <c r="U73" s="37" t="n">
        <v>17361.58</v>
      </c>
      <c r="V73" s="18" t="n">
        <v>840.54</v>
      </c>
      <c r="W73" s="18" t="n">
        <v>1110.16</v>
      </c>
      <c r="X73" s="18" t="n">
        <v>2401.74</v>
      </c>
      <c r="Y73" s="18" t="n">
        <v>21480.69</v>
      </c>
      <c r="Z73" s="37" t="n">
        <v>25833.13</v>
      </c>
      <c r="AA73" s="18" t="n">
        <v>745.46</v>
      </c>
      <c r="AB73" s="19" t="n">
        <v>3901.42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CAPEX</t>
        </is>
      </c>
      <c r="E74" s="18" t="n">
        <v>47.7</v>
      </c>
      <c r="F74" s="9" t="n"/>
      <c r="G74" s="18" t="n">
        <v>9.98</v>
      </c>
      <c r="H74" s="18" t="n">
        <v>255.26</v>
      </c>
      <c r="I74" s="18" t="n">
        <v>248.27</v>
      </c>
      <c r="J74" s="18" t="n">
        <v>7.52</v>
      </c>
      <c r="K74" s="37" t="n">
        <v>521.03</v>
      </c>
      <c r="L74" s="18" t="n">
        <v>311.97</v>
      </c>
      <c r="M74" s="18" t="n">
        <v>687.45</v>
      </c>
      <c r="N74" s="18" t="n">
        <v>785.3</v>
      </c>
      <c r="O74" s="18" t="n">
        <v>174.51</v>
      </c>
      <c r="P74" s="37" t="n">
        <v>1959.23</v>
      </c>
      <c r="Q74" s="18" t="n">
        <v>9355.51</v>
      </c>
      <c r="R74" s="18" t="n">
        <v>3812.31</v>
      </c>
      <c r="S74" s="18" t="n">
        <v>1113.87</v>
      </c>
      <c r="T74" s="18" t="n">
        <v>3096.77</v>
      </c>
      <c r="U74" s="37" t="n">
        <v>17378.46</v>
      </c>
      <c r="V74" s="18" t="n">
        <v>840.54</v>
      </c>
      <c r="W74" s="18" t="n">
        <v>1110.16</v>
      </c>
      <c r="X74" s="18" t="n">
        <v>2401.74</v>
      </c>
      <c r="Y74" s="18" t="n">
        <v>21485.02</v>
      </c>
      <c r="Z74" s="37" t="n">
        <v>25837.46</v>
      </c>
      <c r="AA74" s="18" t="n">
        <v>748.59</v>
      </c>
      <c r="AB74" s="19" t="n">
        <v>3901.42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유형자산의감소</t>
        </is>
      </c>
      <c r="E75" s="18" t="n">
        <v>0</v>
      </c>
      <c r="F75" s="9" t="n"/>
      <c r="G75" s="18" t="n">
        <v>7</v>
      </c>
      <c r="H75" s="18" t="n">
        <v>134.6</v>
      </c>
      <c r="I75" s="18" t="n">
        <v>0</v>
      </c>
      <c r="J75" s="18" t="n">
        <v>0</v>
      </c>
      <c r="K75" s="37" t="n">
        <v>141.6</v>
      </c>
      <c r="L75" s="18" t="n">
        <v>0</v>
      </c>
      <c r="M75" s="18" t="n">
        <v>0</v>
      </c>
      <c r="N75" s="18" t="n">
        <v>0</v>
      </c>
      <c r="O75" s="18" t="n">
        <v>0</v>
      </c>
      <c r="P75" s="37" t="n">
        <v>0</v>
      </c>
      <c r="S75" s="18" t="n">
        <v>30</v>
      </c>
      <c r="T75" s="18" t="n">
        <v>20.07</v>
      </c>
      <c r="U75" s="9" t="n"/>
      <c r="V75" s="18" t="n">
        <v>1.12</v>
      </c>
      <c r="W75" s="18" t="n">
        <v>0</v>
      </c>
      <c r="X75" s="18" t="n">
        <v>16.16</v>
      </c>
      <c r="Y75" s="18" t="n">
        <v>16.25</v>
      </c>
      <c r="Z75" s="37" t="n">
        <v>33.53</v>
      </c>
      <c r="AA75" s="18" t="n">
        <v>0</v>
      </c>
      <c r="AB75" s="19" t="n">
        <v>3.64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무형자산의증가</t>
        </is>
      </c>
      <c r="E76" s="18" t="n">
        <v>0</v>
      </c>
      <c r="F76" s="9" t="n"/>
      <c r="G76" s="18" t="n">
        <v>0</v>
      </c>
      <c r="H76" s="18" t="n">
        <v>0</v>
      </c>
      <c r="I76" s="18" t="n">
        <v>0</v>
      </c>
      <c r="J76" s="18" t="n">
        <v>0</v>
      </c>
      <c r="K76" s="37" t="n">
        <v>0</v>
      </c>
      <c r="L76" s="18" t="n">
        <v>3.19</v>
      </c>
      <c r="M76" s="18" t="n">
        <v>0</v>
      </c>
      <c r="N76" s="18" t="n">
        <v>0</v>
      </c>
      <c r="O76" s="18" t="n">
        <v>0</v>
      </c>
      <c r="P76" s="37" t="n">
        <v>3.19</v>
      </c>
      <c r="Q76" s="18" t="n">
        <v>0</v>
      </c>
      <c r="R76" s="18" t="n">
        <v>0</v>
      </c>
      <c r="S76" s="18" t="n">
        <v>16.88</v>
      </c>
      <c r="T76" s="18" t="n">
        <v>0</v>
      </c>
      <c r="U76" s="37" t="n">
        <v>16.88</v>
      </c>
      <c r="Y76" s="18" t="n">
        <v>4.33</v>
      </c>
      <c r="Z76" s="9" t="n"/>
      <c r="AA76" s="18" t="n">
        <v>3.13</v>
      </c>
      <c r="AB76" s="19" t="n">
        <v>0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재무활동으로인한현금흐름</t>
        </is>
      </c>
      <c r="E77" s="18" t="n">
        <v>-19.4</v>
      </c>
      <c r="F77" s="9" t="n"/>
      <c r="G77" s="18" t="n">
        <v>-19.47</v>
      </c>
      <c r="H77" s="18" t="n">
        <v>-19.62</v>
      </c>
      <c r="I77" s="18" t="n">
        <v>980.25</v>
      </c>
      <c r="J77" s="18" t="n">
        <v>-19.9</v>
      </c>
      <c r="K77" s="37" t="n">
        <v>921.26</v>
      </c>
      <c r="L77" s="18" t="n">
        <v>1981.87</v>
      </c>
      <c r="M77" s="18" t="n">
        <v>2981.23</v>
      </c>
      <c r="N77" s="18" t="n">
        <v>-19.02</v>
      </c>
      <c r="O77" s="18" t="n">
        <v>-19.26</v>
      </c>
      <c r="P77" s="37" t="n">
        <v>4924.82</v>
      </c>
      <c r="Q77" s="18" t="n">
        <v>15282.2</v>
      </c>
      <c r="R77" s="18" t="n">
        <v>-662.6900000000001</v>
      </c>
      <c r="S77" s="18" t="n">
        <v>-2.07</v>
      </c>
      <c r="T77" s="18" t="n">
        <v>-2.09</v>
      </c>
      <c r="U77" s="37" t="n">
        <v>14615.35</v>
      </c>
      <c r="V77" s="18" t="n">
        <v>-1.92</v>
      </c>
      <c r="W77" s="18" t="n">
        <v>-902.78</v>
      </c>
      <c r="X77" s="18" t="n">
        <v>19998.13</v>
      </c>
      <c r="Y77" s="18" t="n">
        <v>-1.89</v>
      </c>
      <c r="Z77" s="37" t="n">
        <v>19091.54</v>
      </c>
      <c r="AA77" s="18" t="n">
        <v>-1.75</v>
      </c>
      <c r="AB77" s="19" t="n">
        <v>-1104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현금및현금성자산의증감</t>
        </is>
      </c>
      <c r="E78" s="18" t="n">
        <v>-908.97</v>
      </c>
      <c r="F78" s="9" t="n"/>
      <c r="G78" s="18" t="n">
        <v>561.5700000000001</v>
      </c>
      <c r="H78" s="18" t="n">
        <v>-1433.79</v>
      </c>
      <c r="I78" s="18" t="n">
        <v>1668.4</v>
      </c>
      <c r="J78" s="18" t="n">
        <v>-5660.89</v>
      </c>
      <c r="K78" s="37" t="n">
        <v>-4864.71</v>
      </c>
      <c r="L78" s="18" t="n">
        <v>1317.84</v>
      </c>
      <c r="M78" s="18" t="n">
        <v>-1238.15</v>
      </c>
      <c r="N78" s="18" t="n">
        <v>-504.82</v>
      </c>
      <c r="O78" s="18" t="n">
        <v>6054.62</v>
      </c>
      <c r="P78" s="37" t="n">
        <v>5629.49</v>
      </c>
      <c r="Q78" s="18" t="n">
        <v>6725.03</v>
      </c>
      <c r="R78" s="18" t="n">
        <v>-1503.03</v>
      </c>
      <c r="S78" s="18" t="n">
        <v>5677.79</v>
      </c>
      <c r="T78" s="18" t="n">
        <v>3955.05</v>
      </c>
      <c r="U78" s="37" t="n">
        <v>14854.84</v>
      </c>
      <c r="V78" s="18" t="n">
        <v>-2858.84</v>
      </c>
      <c r="W78" s="18" t="n">
        <v>-3254.25</v>
      </c>
      <c r="X78" s="18" t="n">
        <v>21016.66</v>
      </c>
      <c r="Y78" s="18" t="n">
        <v>-22868.7</v>
      </c>
      <c r="Z78" s="37" t="n">
        <v>-7965.13</v>
      </c>
      <c r="AA78" s="18" t="n">
        <v>1560.27</v>
      </c>
      <c r="AB78" s="19" t="n">
        <v>-2239.69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기말현금및현금성자산</t>
        </is>
      </c>
      <c r="E79" s="18" t="n">
        <v>-959.61</v>
      </c>
      <c r="F79" s="9" t="n"/>
      <c r="G79" s="18" t="n">
        <v>9228.219999999999</v>
      </c>
      <c r="H79" s="18" t="n">
        <v>-1424.95</v>
      </c>
      <c r="I79" s="18" t="n">
        <v>1685.27</v>
      </c>
      <c r="J79" s="18" t="n">
        <v>-5679.42</v>
      </c>
      <c r="K79" s="37" t="n">
        <v>3809.12</v>
      </c>
      <c r="L79" s="18" t="n">
        <v>5126.93</v>
      </c>
      <c r="M79" s="18" t="n">
        <v>-1238.05</v>
      </c>
      <c r="N79" s="18" t="n">
        <v>-493.53</v>
      </c>
      <c r="O79" s="18" t="n">
        <v>5957.98</v>
      </c>
      <c r="P79" s="37" t="n">
        <v>9353.33</v>
      </c>
      <c r="Q79" s="18" t="n">
        <v>16149.58</v>
      </c>
      <c r="R79" s="18" t="n">
        <v>-1430.55</v>
      </c>
      <c r="S79" s="18" t="n">
        <v>5334.64</v>
      </c>
      <c r="T79" s="18" t="n">
        <v>4925.11</v>
      </c>
      <c r="U79" s="37" t="n">
        <v>24978.78</v>
      </c>
      <c r="V79" s="18" t="n">
        <v>22138.97</v>
      </c>
      <c r="W79" s="18" t="n">
        <v>-3352.01</v>
      </c>
      <c r="X79" s="18" t="n">
        <v>21129.99</v>
      </c>
      <c r="Y79" s="18" t="n">
        <v>-23001.28</v>
      </c>
      <c r="Z79" s="37" t="n">
        <v>16915.67</v>
      </c>
      <c r="AA79" s="18" t="n">
        <v>18681.38</v>
      </c>
      <c r="AB79" s="19" t="n">
        <v>-2242.34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단기차입금의증가</t>
        </is>
      </c>
      <c r="F80" s="9" t="n"/>
      <c r="J80" s="18" t="n">
        <v>0</v>
      </c>
      <c r="K80" s="9" t="n"/>
      <c r="L80" s="18" t="n">
        <v>2000</v>
      </c>
      <c r="M80" s="18" t="n">
        <v>3000</v>
      </c>
      <c r="N80" s="18" t="n">
        <v>0</v>
      </c>
      <c r="O80" s="18" t="n">
        <v>0</v>
      </c>
      <c r="P80" s="37" t="n">
        <v>5000</v>
      </c>
      <c r="Q80" s="18" t="n">
        <v>0</v>
      </c>
      <c r="R80" s="18" t="n">
        <v>0</v>
      </c>
      <c r="S80" s="18" t="n">
        <v>0</v>
      </c>
      <c r="T80" s="18" t="n">
        <v>0</v>
      </c>
      <c r="U80" s="37" t="n">
        <v>0</v>
      </c>
      <c r="Z80" s="9" t="n"/>
      <c r="AA80" s="18" t="n">
        <v>7000</v>
      </c>
      <c r="AB80" s="19" t="n">
        <v>0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사채의감소</t>
        </is>
      </c>
      <c r="F81" s="9" t="n"/>
      <c r="J81" s="18" t="n">
        <v>0</v>
      </c>
      <c r="K81" s="9" t="n"/>
      <c r="O81" s="18" t="n">
        <v>0</v>
      </c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이자수취(CF)</t>
        </is>
      </c>
      <c r="F82" s="9" t="n"/>
      <c r="K82" s="9" t="n"/>
      <c r="O82" s="18" t="n">
        <v>8.17</v>
      </c>
      <c r="P82" s="9" t="n"/>
      <c r="Q82" s="18" t="n">
        <v>13.19</v>
      </c>
      <c r="R82" s="18" t="n">
        <v>34.92</v>
      </c>
      <c r="S82" s="18" t="n">
        <v>23.97</v>
      </c>
      <c r="T82" s="18" t="n">
        <v>36.85</v>
      </c>
      <c r="U82" s="37" t="n">
        <v>108.93</v>
      </c>
      <c r="V82" s="18" t="n">
        <v>36.26</v>
      </c>
      <c r="W82" s="18" t="n">
        <v>57.13</v>
      </c>
      <c r="X82" s="18" t="n">
        <v>65.51000000000001</v>
      </c>
      <c r="Y82" s="18" t="n">
        <v>87.17</v>
      </c>
      <c r="Z82" s="37" t="n">
        <v>246.07</v>
      </c>
      <c r="AA82" s="18" t="n">
        <v>34.22</v>
      </c>
      <c r="AB82" s="19" t="n">
        <v>31.62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장기차입금의증가</t>
        </is>
      </c>
      <c r="F83" s="9" t="n"/>
      <c r="K83" s="9" t="n"/>
      <c r="P83" s="9" t="n"/>
      <c r="Q83" s="18" t="n">
        <v>5000</v>
      </c>
      <c r="R83" s="18" t="n">
        <v>0</v>
      </c>
      <c r="S83" s="18" t="n">
        <v>0</v>
      </c>
      <c r="T83" s="18" t="n">
        <v>0</v>
      </c>
      <c r="U83" s="37" t="n">
        <v>5000</v>
      </c>
      <c r="V83" s="18" t="n">
        <v>0</v>
      </c>
      <c r="W83" s="18" t="n">
        <v>0</v>
      </c>
      <c r="X83" s="18" t="n">
        <v>0</v>
      </c>
      <c r="Y83" s="18" t="n">
        <v>0</v>
      </c>
      <c r="Z83" s="37" t="n">
        <v>0</v>
      </c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단기차입금의감소</t>
        </is>
      </c>
      <c r="F84" s="9" t="n"/>
      <c r="K84" s="9" t="n"/>
      <c r="P84" s="9" t="n"/>
      <c r="S84" s="18" t="n">
        <v>0</v>
      </c>
      <c r="T84" s="18" t="n">
        <v>0</v>
      </c>
      <c r="U84" s="9" t="n"/>
      <c r="X84" s="18" t="n">
        <v>0</v>
      </c>
      <c r="Y84" s="18" t="n">
        <v>0</v>
      </c>
      <c r="Z84" s="9" t="n"/>
      <c r="AA84" s="18" t="n">
        <v>2000</v>
      </c>
      <c r="AB84" s="19" t="n">
        <v>300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배당금지급</t>
        </is>
      </c>
      <c r="F85" s="9" t="n"/>
      <c r="K85" s="9" t="n"/>
      <c r="P85" s="9" t="n"/>
      <c r="S85" s="18" t="n">
        <v>0</v>
      </c>
      <c r="T85" s="18" t="n">
        <v>0</v>
      </c>
      <c r="U85" s="9" t="n"/>
      <c r="X85" s="18" t="n">
        <v>0</v>
      </c>
      <c r="Y85" s="18" t="n">
        <v>0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유동성장기부채의감소</t>
        </is>
      </c>
      <c r="F86" s="9" t="n"/>
      <c r="K86" s="9" t="n"/>
      <c r="P86" s="9" t="n"/>
      <c r="U86" s="9" t="n"/>
      <c r="Z86" s="9" t="n"/>
      <c r="AA86" s="18" t="n">
        <v>5000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IFERROR(VLOOKUP($D12,BS별도,MATCH(G$1,BS별도H,0),0)/100,"")</f>
        <v/>
      </c>
      <c r="H12" s="18">
        <f>IFERROR(VLOOKUP($D12,BS별도,MATCH(H$1,BS별도H,0),0)/100,"")</f>
        <v/>
      </c>
      <c r="I12" s="18">
        <f>IFERROR(VLOOKUP($D12,BS별도,MATCH(I$1,BS별도H,0),0)/100,"")</f>
        <v/>
      </c>
      <c r="J12" s="18">
        <f>IFERROR(VLOOKUP($D12,BS별도,MATCH(J$1,BS별도H,0),0)/100,"")</f>
        <v/>
      </c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>
        <f>IFERROR(VLOOKUP($D12,BS별도,MATCH(N$1,BS별도H,0),0)/100,"")</f>
        <v/>
      </c>
      <c r="O12" s="18">
        <f>IFERROR(VLOOKUP($D12,BS별도,MATCH(O$1,BS별도H,0),0)/100,"")</f>
        <v/>
      </c>
      <c r="P12" s="37">
        <f>SUM(L12:O12)</f>
        <v/>
      </c>
      <c r="Q12" s="18">
        <f>IFERROR(VLOOKUP($D12,BS별도,MATCH(Q$1,BS별도H,0),0)/100,"")</f>
        <v/>
      </c>
      <c r="R12" s="18">
        <f>IFERROR(VLOOKUP($D12,BS별도,MATCH(R$1,BS별도H,0),0)/100,"")</f>
        <v/>
      </c>
      <c r="S12" s="18">
        <f>IFERROR(VLOOKUP($D12,BS별도,MATCH(S$1,BS별도H,0),0)/100,"")</f>
        <v/>
      </c>
      <c r="T12" s="18">
        <f>IFERROR(VLOOKUP($D12,BS별도,MATCH(T$1,BS별도H,0),0)/100,"")</f>
        <v/>
      </c>
      <c r="U12" s="37">
        <f>SUM(Q12:T12)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IFERROR((AB24*변수!$D$50-AB22*변수!$D$51)/4,"")</f>
        <v/>
      </c>
      <c r="AD12" s="20">
        <f>IFERROR((AC24*변수!$D$50-AC22*변수!$D$51)/4,"")</f>
        <v/>
      </c>
      <c r="AE12" s="38">
        <f>SUM(AA12:AD12)</f>
        <v/>
      </c>
      <c r="AF12" s="20">
        <f>IFERROR((AD24*변수!$D$50-AD22*변수!$D$51)/4,"")</f>
        <v/>
      </c>
      <c r="AG12" s="20">
        <f>IFERROR((AF24*변수!$D$50-AF22*변수!$D$51)/4,"")</f>
        <v/>
      </c>
      <c r="AH12" s="20">
        <f>IFERROR((AG24*변수!$D$50-AG22*변수!$D$51)/4,"")</f>
        <v/>
      </c>
      <c r="AI12" s="20">
        <f>IFERROR((AH24*변수!$D$50-AH22*변수!$D$51)/4,"")</f>
        <v/>
      </c>
      <c r="AJ12" s="38">
        <f>SUM(AF12:AI12)</f>
        <v/>
      </c>
      <c r="AK12" s="20">
        <f>IFERROR((AI24*변수!$D$50-AI22*변수!$D$51)/4,"")</f>
        <v/>
      </c>
      <c r="AL12" s="20">
        <f>IFERROR((AK24*변수!$D$50-AK22*변수!$D$51)/4,"")</f>
        <v/>
      </c>
      <c r="AM12" s="20">
        <f>IFERROR((AL24*변수!$D$50-AL22*변수!$D$51)/4,"")</f>
        <v/>
      </c>
      <c r="AN12" s="20">
        <f>IFERROR((AM24*변수!$D$50-AM22*변수!$D$51)/4,"")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IFERROR(VLOOKUP($D13,BS별도,MATCH(E$1,BS별도H,0),0)/100,"")</f>
        <v/>
      </c>
      <c r="F13" s="37" t="n"/>
      <c r="G13" s="18">
        <f>IFERROR(VLOOKUP($D13,BS별도,MATCH(G$1,BS별도H,0),0)/100,"")</f>
        <v/>
      </c>
      <c r="H13" s="18">
        <f>IFERROR(VLOOKUP($D13,BS별도,MATCH(H$1,BS별도H,0),0)/100,"")</f>
        <v/>
      </c>
      <c r="I13" s="18">
        <f>IFERROR(VLOOKUP($D13,BS별도,MATCH(I$1,BS별도H,0),0)/100,"")</f>
        <v/>
      </c>
      <c r="J13" s="18">
        <f>IFERROR(VLOOKUP($D13,BS별도,MATCH(J$1,BS별도H,0),0)/100,"")</f>
        <v/>
      </c>
      <c r="K13" s="37">
        <f>SUM(G13:J13)</f>
        <v/>
      </c>
      <c r="L13" s="18">
        <f>IFERROR(VLOOKUP($D13,BS별도,MATCH(L$1,BS별도H,0),0)/100,"")</f>
        <v/>
      </c>
      <c r="M13" s="18">
        <f>IFERROR(VLOOKUP($D13,BS별도,MATCH(M$1,BS별도H,0),0)/100,"")</f>
        <v/>
      </c>
      <c r="N13" s="18">
        <f>IFERROR(VLOOKUP($D13,BS별도,MATCH(N$1,BS별도H,0),0)/100,"")</f>
        <v/>
      </c>
      <c r="O13" s="18">
        <f>IFERROR(VLOOKUP($D13,BS별도,MATCH(O$1,BS별도H,0),0)/100,"")</f>
        <v/>
      </c>
      <c r="P13" s="37">
        <f>SUM(L13:O13)</f>
        <v/>
      </c>
      <c r="Q13" s="18">
        <f>IFERROR(VLOOKUP($D13,BS별도,MATCH(Q$1,BS별도H,0),0)/100,"")</f>
        <v/>
      </c>
      <c r="R13" s="18">
        <f>IFERROR(VLOOKUP($D13,BS별도,MATCH(R$1,BS별도H,0),0)/100,"")</f>
        <v/>
      </c>
      <c r="S13" s="18">
        <f>IFERROR(VLOOKUP($D13,BS별도,MATCH(S$1,BS별도H,0),0)/100,"")</f>
        <v/>
      </c>
      <c r="T13" s="18">
        <f>IFERROR(VLOOKUP($D13,BS별도,MATCH(T$1,BS별도H,0),0)/100,"")</f>
        <v/>
      </c>
      <c r="U13" s="37">
        <f>SUM(Q13:T13)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SUM(V13:Y13)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IFERROR(VLOOKUP($D15,BS별도,MATCH(N$1,BS별도H,0),0)/100,"")</f>
        <v/>
      </c>
      <c r="O15" s="18">
        <f>IFERROR(VLOOKUP($D15,BS별도,MATCH(O$1,BS별도H,0),0)/100,"")</f>
        <v/>
      </c>
      <c r="P15" s="37">
        <f>SUM(L15:O15)</f>
        <v/>
      </c>
      <c r="Q15" s="18">
        <f>IFERROR(VLOOKUP($D15,BS별도,MATCH(Q$1,BS별도H,0),0)/100,"")</f>
        <v/>
      </c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IFERROR(VLOOKUP($D18,BS별도,MATCH(E$1,BS별도H,0),0)/100,"")</f>
        <v/>
      </c>
      <c r="F18" s="37" t="n">
        <v>494.58</v>
      </c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J18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O18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T18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IFERROR(AC19+AC20,"")</f>
        <v/>
      </c>
      <c r="AD18" s="20">
        <f>IFERROR(AD19+AD20,"")</f>
        <v/>
      </c>
      <c r="AE18" s="38">
        <f>AD18</f>
        <v/>
      </c>
      <c r="AF18" s="20">
        <f>IFERROR(AF19+AF20,"")</f>
        <v/>
      </c>
      <c r="AG18" s="20">
        <f>IFERROR(AG19+AG20,"")</f>
        <v/>
      </c>
      <c r="AH18" s="20">
        <f>IFERROR(AH19+AH20,"")</f>
        <v/>
      </c>
      <c r="AI18" s="20">
        <f>IFERROR(AI19+AI20,"")</f>
        <v/>
      </c>
      <c r="AJ18" s="38">
        <f>AI18</f>
        <v/>
      </c>
      <c r="AK18" s="20">
        <f>IFERROR(AK19+AK20,"")</f>
        <v/>
      </c>
      <c r="AL18" s="20">
        <f>IFERROR(AL19+AL20,"")</f>
        <v/>
      </c>
      <c r="AM18" s="20">
        <f>IFERROR(AM19+AM20,"")</f>
        <v/>
      </c>
      <c r="AN18" s="20">
        <f>IFERROR(AN19+AN20,"")</f>
        <v/>
      </c>
      <c r="AO18" s="38">
        <f>AN18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IFERROR(VLOOKUP($D19,BS별도,MATCH(E$1,BS별도H,0),0)/100,"")</f>
        <v/>
      </c>
      <c r="F19" s="37" t="n">
        <v>232.59</v>
      </c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J19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O19</f>
        <v/>
      </c>
      <c r="Q19" s="18">
        <f>IFERROR(VLOOKUP($D19,BS별도,MATCH(Q$1,BS별도H,0),0)/100,"")</f>
        <v/>
      </c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T19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IFERROR(AB19*(1+변수!AC27),"")</f>
        <v/>
      </c>
      <c r="AD19" s="20">
        <f>IFERROR(AC19*(1+변수!AD27),"")</f>
        <v/>
      </c>
      <c r="AE19" s="38">
        <f>AD19</f>
        <v/>
      </c>
      <c r="AF19" s="20">
        <f>IFERROR(AD19*(1+변수!AF27),"")</f>
        <v/>
      </c>
      <c r="AG19" s="20">
        <f>IFERROR(AF19*(1+변수!AG27),"")</f>
        <v/>
      </c>
      <c r="AH19" s="20">
        <f>IFERROR(AG19*(1+변수!AH27),"")</f>
        <v/>
      </c>
      <c r="AI19" s="20">
        <f>IFERROR(AH19*(1+변수!AI27),"")</f>
        <v/>
      </c>
      <c r="AJ19" s="38">
        <f>AI19</f>
        <v/>
      </c>
      <c r="AK19" s="20">
        <f>IFERROR(AI19*(1+변수!AK27),"")</f>
        <v/>
      </c>
      <c r="AL19" s="20">
        <f>IFERROR(AK19*(1+변수!AL27),"")</f>
        <v/>
      </c>
      <c r="AM19" s="20">
        <f>IFERROR(AL19*(1+변수!AM27),"")</f>
        <v/>
      </c>
      <c r="AN19" s="20">
        <f>IFERROR(AM19*(1+변수!AN27),"")</f>
        <v/>
      </c>
      <c r="AO19" s="38">
        <f>AN19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IFERROR(VLOOKUP($D20,BS별도,MATCH(E$1,BS별도H,0),0)/100,"")</f>
        <v/>
      </c>
      <c r="F20" s="37" t="n">
        <v>261.99</v>
      </c>
      <c r="G20" s="18">
        <f>IFERROR(VLOOKUP($D20,BS별도,MATCH(G$1,BS별도H,0),0)/100,"")</f>
        <v/>
      </c>
      <c r="H20" s="18">
        <f>IFERROR(VLOOKUP($D20,BS별도,MATCH(H$1,BS별도H,0),0)/100,"")</f>
        <v/>
      </c>
      <c r="I20" s="18">
        <f>IFERROR(VLOOKUP($D20,BS별도,MATCH(I$1,BS별도H,0),0)/100,"")</f>
        <v/>
      </c>
      <c r="J20" s="18">
        <f>IFERROR(VLOOKUP($D20,BS별도,MATCH(J$1,BS별도H,0),0)/100,"")</f>
        <v/>
      </c>
      <c r="K20" s="37">
        <f>J20</f>
        <v/>
      </c>
      <c r="L20" s="18">
        <f>IFERROR(VLOOKUP($D20,BS별도,MATCH(L$1,BS별도H,0),0)/100,"")</f>
        <v/>
      </c>
      <c r="M20" s="18">
        <f>IFERROR(VLOOKUP($D20,BS별도,MATCH(M$1,BS별도H,0),0)/100,"")</f>
        <v/>
      </c>
      <c r="N20" s="18">
        <f>IFERROR(VLOOKUP($D20,BS별도,MATCH(N$1,BS별도H,0),0)/100,"")</f>
        <v/>
      </c>
      <c r="O20" s="18">
        <f>IFERROR(VLOOKUP($D20,BS별도,MATCH(O$1,BS별도H,0),0)/100,"")</f>
        <v/>
      </c>
      <c r="P20" s="37">
        <f>O20</f>
        <v/>
      </c>
      <c r="Q20" s="18">
        <f>IFERROR(VLOOKUP($D20,BS별도,MATCH(Q$1,BS별도H,0),0)/100,"")</f>
        <v/>
      </c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IFERROR(AB20+AC16-변수!AC28,"")</f>
        <v/>
      </c>
      <c r="AD20" s="20">
        <f>IFERROR(AC20+AD16-변수!AD28,"")</f>
        <v/>
      </c>
      <c r="AE20" s="38">
        <f>AD20</f>
        <v/>
      </c>
      <c r="AF20" s="20">
        <f>IFERROR(AD20+AF16-변수!AF28,"")</f>
        <v/>
      </c>
      <c r="AG20" s="20">
        <f>IFERROR(AF20+AG16-변수!AG28,"")</f>
        <v/>
      </c>
      <c r="AH20" s="20">
        <f>IFERROR(AG20+AH16-변수!AH28,"")</f>
        <v/>
      </c>
      <c r="AI20" s="20">
        <f>IFERROR(AH20+AI16-변수!AI28,"")</f>
        <v/>
      </c>
      <c r="AJ20" s="38">
        <f>AI20</f>
        <v/>
      </c>
      <c r="AK20" s="20">
        <f>IFERROR(AI20+AK16-변수!AK28,"")</f>
        <v/>
      </c>
      <c r="AL20" s="20">
        <f>IFERROR(AK20+AL16-변수!AL28,"")</f>
        <v/>
      </c>
      <c r="AM20" s="20">
        <f>IFERROR(AL20+AM16-변수!AM28,"")</f>
        <v/>
      </c>
      <c r="AN20" s="20">
        <f>IFERROR(AM20+AN16-변수!AN28,"")</f>
        <v/>
      </c>
      <c r="AO20" s="38">
        <f>AN20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IFERROR(VLOOKUP($D21,BS별도,MATCH(E$1,BS별도H,0),0)/100,"")</f>
        <v/>
      </c>
      <c r="F21" s="37" t="n">
        <v>261.99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총차입금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총차입금</t>
        </is>
      </c>
      <c r="E22" s="18">
        <f>IFERROR(VLOOKUP($D22,BS별도,MATCH(E$1,BS별도H,0),0)/100,"")</f>
        <v/>
      </c>
      <c r="F22" s="37" t="n">
        <v>170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순차입금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순차입금</t>
        </is>
      </c>
      <c r="E23" s="18">
        <f>IFERROR(VLOOKUP($D23,BS별도,MATCH(E$1,BS별도H,0),0)/100,"")</f>
        <v/>
      </c>
      <c r="F23" s="37" t="n">
        <v>83.26000000000001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IFERROR(VLOOKUP($D24,BS별도,MATCH(E$1,BS별도H,0),0)/100,"")</f>
        <v/>
      </c>
      <c r="F24" s="37" t="n">
        <v>87.58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7">
        <f>T24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IFERROR(VLOOKUP($D25,BS별도,MATCH(E$1,BS별도H,0),0)/100,"")</f>
        <v/>
      </c>
      <c r="F25" s="37" t="n">
        <v>86.73999999999999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IFERROR(VLOOKUP($D26,BS별도,MATCH(E$1,BS별도H,0),0)/100,"")</f>
        <v/>
      </c>
      <c r="F26" s="37" t="n"/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SUM(G26:J26)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SUM(L26:O26)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SUM(Q26:T26)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IFERROR(X26*(1+변수!AC34),"")</f>
        <v/>
      </c>
      <c r="AD26" s="20">
        <f>IFERROR(Y26*(1+변수!AD34),"")</f>
        <v/>
      </c>
      <c r="AE26" s="38">
        <f>SUM(AA26:AD26)</f>
        <v/>
      </c>
      <c r="AF26" s="20">
        <f>IFERROR(AA26*(1+변수!AF34),"")</f>
        <v/>
      </c>
      <c r="AG26" s="20">
        <f>IFERROR(AB26*(1+변수!AG34),"")</f>
        <v/>
      </c>
      <c r="AH26" s="20">
        <f>IFERROR(AC26*(1+변수!AH34),"")</f>
        <v/>
      </c>
      <c r="AI26" s="20">
        <f>IFERROR(AD26*(1+변수!AI34),"")</f>
        <v/>
      </c>
      <c r="AJ26" s="38">
        <f>SUM(AF26:AI26)</f>
        <v/>
      </c>
      <c r="AK26" s="20">
        <f>IFERROR(AF26*(1+변수!AK34),"")</f>
        <v/>
      </c>
      <c r="AL26" s="20">
        <f>IFERROR(AG26*(1+변수!AL34),"")</f>
        <v/>
      </c>
      <c r="AM26" s="20">
        <f>IFERROR(AH26*(1+변수!AM34),"")</f>
        <v/>
      </c>
      <c r="AN26" s="20">
        <f>IFERROR(AI26*(1+변수!AN34),"")</f>
        <v/>
      </c>
      <c r="AO26" s="38">
        <f>SUM(AK26:AN26)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IFERROR(VLOOKUP($D27,BS별도,MATCH(E$1,BS별도H,0),0)/100,"")</f>
        <v/>
      </c>
      <c r="F27" s="37" t="n"/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SUM(G27:J27)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SUM(L27:O27)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SUM(Q27:T27)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36.07</v>
      </c>
      <c r="F28" s="28">
        <f>E28</f>
        <v/>
      </c>
      <c r="G28" s="27" t="n">
        <v>36.07</v>
      </c>
      <c r="H28" s="27" t="n">
        <v>36.07</v>
      </c>
      <c r="I28" s="27" t="n">
        <v>36.07</v>
      </c>
      <c r="J28" s="27" t="n">
        <v>36.07</v>
      </c>
      <c r="K28" s="28">
        <f>J28</f>
        <v/>
      </c>
      <c r="L28" s="27" t="n">
        <v>36.07</v>
      </c>
      <c r="M28" s="27" t="n">
        <v>36.07</v>
      </c>
      <c r="N28" s="27" t="n">
        <v>36.07</v>
      </c>
      <c r="O28" s="27" t="n">
        <v>36.07</v>
      </c>
      <c r="P28" s="28">
        <f>O28</f>
        <v/>
      </c>
      <c r="Q28" s="27" t="n">
        <v>40.069</v>
      </c>
      <c r="R28" s="27" t="n">
        <v>40.069</v>
      </c>
      <c r="S28" s="27" t="n">
        <v>40.069</v>
      </c>
      <c r="T28" s="27" t="n">
        <v>40.069</v>
      </c>
      <c r="U28" s="28">
        <f>T28</f>
        <v/>
      </c>
      <c r="V28" s="27" t="n">
        <v>40.069</v>
      </c>
      <c r="W28" s="27" t="n">
        <v>40.069</v>
      </c>
      <c r="X28" s="27" t="n">
        <v>40.069</v>
      </c>
      <c r="Y28" s="27" t="n">
        <v>40.069</v>
      </c>
      <c r="Z28" s="28">
        <f>Y28</f>
        <v/>
      </c>
      <c r="AA28" s="27" t="n">
        <v>40.069</v>
      </c>
      <c r="AB28" s="29" t="n">
        <v>40.069</v>
      </c>
      <c r="AC28" s="33">
        <f>IFERROR(AB28*(1+변수!AC36),"")</f>
        <v/>
      </c>
      <c r="AD28" s="33">
        <f>IFERROR(AC28*(1+변수!AD36),"")</f>
        <v/>
      </c>
      <c r="AE28" s="31">
        <f>AD28</f>
        <v/>
      </c>
      <c r="AF28" s="33">
        <f>IFERROR(AD28*(1+변수!AF36),"")</f>
        <v/>
      </c>
      <c r="AG28" s="33">
        <f>IFERROR(AF28*(1+변수!AG36),"")</f>
        <v/>
      </c>
      <c r="AH28" s="33">
        <f>IFERROR(AG28*(1+변수!AH36),"")</f>
        <v/>
      </c>
      <c r="AI28" s="33">
        <f>IFERROR(AH28*(1+변수!AI36),"")</f>
        <v/>
      </c>
      <c r="AJ28" s="31">
        <f>AI28</f>
        <v/>
      </c>
      <c r="AK28" s="33">
        <f>IFERROR(AI28*(1+변수!AK36),"")</f>
        <v/>
      </c>
      <c r="AL28" s="33">
        <f>IFERROR(AK28*(1+변수!AL36),"")</f>
        <v/>
      </c>
      <c r="AM28" s="33">
        <f>IFERROR(AL28*(1+변수!AM36),"")</f>
        <v/>
      </c>
      <c r="AN28" s="33">
        <f>IFERROR(AM28*(1+변수!AN36),"")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37" t="n"/>
      <c r="G29" s="18">
        <f>IFERROR(G17*100/G28,"")</f>
        <v/>
      </c>
      <c r="H29" s="18">
        <f>IFERROR(H17*100/H28,"")</f>
        <v/>
      </c>
      <c r="I29" s="18">
        <f>IFERROR(I17*100/I28,"")</f>
        <v/>
      </c>
      <c r="J29" s="18">
        <f>IFERROR(J17*100/J28,"")</f>
        <v/>
      </c>
      <c r="K29" s="37">
        <f>SUM(G29:J29)</f>
        <v/>
      </c>
      <c r="L29" s="18">
        <f>IFERROR(L17*100/L28,"")</f>
        <v/>
      </c>
      <c r="M29" s="18">
        <f>IFERROR(M17*100/M28,"")</f>
        <v/>
      </c>
      <c r="N29" s="18">
        <f>IFERROR(N17*100/N28,"")</f>
        <v/>
      </c>
      <c r="O29" s="18">
        <f>IFERROR(O17*100/O28,"")</f>
        <v/>
      </c>
      <c r="P29" s="37">
        <f>SUM(L29:O29)</f>
        <v/>
      </c>
      <c r="Q29" s="18">
        <f>IFERROR(Q17*100/Q28,"")</f>
        <v/>
      </c>
      <c r="R29" s="18">
        <f>IFERROR(R17*100/R28,"")</f>
        <v/>
      </c>
      <c r="S29" s="18">
        <f>IFERROR(S17*100/S28,"")</f>
        <v/>
      </c>
      <c r="T29" s="18">
        <f>IFERROR(T17*100/T28,"")</f>
        <v/>
      </c>
      <c r="U29" s="37">
        <f>SUM(Q29:T29)</f>
        <v/>
      </c>
      <c r="V29" s="18">
        <f>IFERROR(V17*100/V28,"")</f>
        <v/>
      </c>
      <c r="W29" s="18">
        <f>IFERROR(W17*100/W28,"")</f>
        <v/>
      </c>
      <c r="X29" s="18">
        <f>IFERROR(X17*100/X28,"")</f>
        <v/>
      </c>
      <c r="Y29" s="18">
        <f>IFERROR(Y17*100/Y28,"")</f>
        <v/>
      </c>
      <c r="Z29" s="37">
        <f>SUM(V29:Y29)</f>
        <v/>
      </c>
      <c r="AA29" s="18">
        <f>IFERROR(AA17*100/AA28,"")</f>
        <v/>
      </c>
      <c r="AB29" s="19">
        <f>IFERROR(AB17*100/AB28,"")</f>
        <v/>
      </c>
      <c r="AC29" s="20">
        <f>IFERROR(AC17*100/AC28,"")</f>
        <v/>
      </c>
      <c r="AD29" s="20">
        <f>IFERROR(AD17*100/AD28,"")</f>
        <v/>
      </c>
      <c r="AE29" s="38">
        <f>SUM(AA29:AD29)</f>
        <v/>
      </c>
      <c r="AF29" s="20">
        <f>IFERROR(AF17*100/AF28,"")</f>
        <v/>
      </c>
      <c r="AG29" s="20">
        <f>IFERROR(AG17*100/AG28,"")</f>
        <v/>
      </c>
      <c r="AH29" s="20">
        <f>IFERROR(AH17*100/AH28,"")</f>
        <v/>
      </c>
      <c r="AI29" s="20">
        <f>IFERROR(AI17*100/AI28,"")</f>
        <v/>
      </c>
      <c r="AJ29" s="38">
        <f>SUM(AF29:AI29)</f>
        <v/>
      </c>
      <c r="AK29" s="20">
        <f>IFERROR(AK17*100/AK28,"")</f>
        <v/>
      </c>
      <c r="AL29" s="20">
        <f>IFERROR(AL17*100/AL28,"")</f>
        <v/>
      </c>
      <c r="AM29" s="20">
        <f>IFERROR(AM17*100/AM28,"")</f>
        <v/>
      </c>
      <c r="AN29" s="20">
        <f>IFERROR(AN17*100/AN28,"")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IFERROR(E21*100/E28,"")</f>
        <v/>
      </c>
      <c r="F30" s="37">
        <f>E30</f>
        <v/>
      </c>
      <c r="G30" s="18">
        <f>IFERROR(G21*100/G28,"")</f>
        <v/>
      </c>
      <c r="H30" s="18">
        <f>IFERROR(H21*100/H28,"")</f>
        <v/>
      </c>
      <c r="I30" s="18">
        <f>IFERROR(I21*100/I28,"")</f>
        <v/>
      </c>
      <c r="J30" s="18">
        <f>IFERROR(J21*100/J28,"")</f>
        <v/>
      </c>
      <c r="K30" s="37">
        <f>J30</f>
        <v/>
      </c>
      <c r="L30" s="18">
        <f>IFERROR(L21*100/L28,"")</f>
        <v/>
      </c>
      <c r="M30" s="18">
        <f>IFERROR(M21*100/M28,"")</f>
        <v/>
      </c>
      <c r="N30" s="18">
        <f>IFERROR(N21*100/N28,"")</f>
        <v/>
      </c>
      <c r="O30" s="18">
        <f>IFERROR(O21*100/O28,"")</f>
        <v/>
      </c>
      <c r="P30" s="37">
        <f>O30</f>
        <v/>
      </c>
      <c r="Q30" s="18">
        <f>IFERROR(Q21*100/Q28,"")</f>
        <v/>
      </c>
      <c r="R30" s="18">
        <f>IFERROR(R21*100/R28,"")</f>
        <v/>
      </c>
      <c r="S30" s="18">
        <f>IFERROR(S21*100/S28,"")</f>
        <v/>
      </c>
      <c r="T30" s="18">
        <f>IFERROR(T21*100/T28,"")</f>
        <v/>
      </c>
      <c r="U30" s="37">
        <f>T30</f>
        <v/>
      </c>
      <c r="V30" s="18">
        <f>IFERROR(V21*100/V28,"")</f>
        <v/>
      </c>
      <c r="W30" s="18">
        <f>IFERROR(W21*100/W28,"")</f>
        <v/>
      </c>
      <c r="X30" s="18">
        <f>IFERROR(X21*100/X28,"")</f>
        <v/>
      </c>
      <c r="Y30" s="18">
        <f>IFERROR(Y21*100/Y28,"")</f>
        <v/>
      </c>
      <c r="Z30" s="37">
        <f>Y30</f>
        <v/>
      </c>
      <c r="AA30" s="18">
        <f>IFERROR(AA21*100/AA28,"")</f>
        <v/>
      </c>
      <c r="AB30" s="19">
        <f>IFERROR(AB21*100/AB28,"")</f>
        <v/>
      </c>
      <c r="AC30" s="20">
        <f>IFERROR(AC21*100/AC28,"")</f>
        <v/>
      </c>
      <c r="AD30" s="20">
        <f>IFERROR(AD21*100/AD28,"")</f>
        <v/>
      </c>
      <c r="AE30" s="38">
        <f>AD30</f>
        <v/>
      </c>
      <c r="AF30" s="20">
        <f>IFERROR(AF21*100/AF28,"")</f>
        <v/>
      </c>
      <c r="AG30" s="20">
        <f>IFERROR(AG21*100/AG28,"")</f>
        <v/>
      </c>
      <c r="AH30" s="20">
        <f>IFERROR(AH21*100/AH28,"")</f>
        <v/>
      </c>
      <c r="AI30" s="20">
        <f>IFERROR(AI21*100/AI28,"")</f>
        <v/>
      </c>
      <c r="AJ30" s="38">
        <f>AI30</f>
        <v/>
      </c>
      <c r="AK30" s="20">
        <f>IFERROR(AK21*100/AK28,"")</f>
        <v/>
      </c>
      <c r="AL30" s="20">
        <f>IFERROR(AL21*100/AL28,"")</f>
        <v/>
      </c>
      <c r="AM30" s="20">
        <f>IFERROR(AM21*100/AM28,"")</f>
        <v/>
      </c>
      <c r="AN30" s="20">
        <f>IFERROR(AN21*100/AN28,"")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0</v>
      </c>
      <c r="F31" s="37" t="n">
        <v>0</v>
      </c>
      <c r="G31" s="18" t="n"/>
      <c r="H31" s="18" t="n"/>
      <c r="I31" s="18" t="n"/>
      <c r="J31" s="18" t="n">
        <v>0</v>
      </c>
      <c r="K31" s="37">
        <f>SUM(G31:J31)</f>
        <v/>
      </c>
      <c r="L31" s="18" t="n"/>
      <c r="M31" s="18" t="n"/>
      <c r="N31" s="18" t="n"/>
      <c r="O31" s="18" t="n">
        <v>10</v>
      </c>
      <c r="P31" s="37">
        <f>SUM(L31:O31)</f>
        <v/>
      </c>
      <c r="Q31" s="18" t="n"/>
      <c r="R31" s="18" t="n"/>
      <c r="S31" s="18" t="n"/>
      <c r="T31" s="18" t="n">
        <v>15</v>
      </c>
      <c r="U31" s="37">
        <f>SUM(Q31:T31)</f>
        <v/>
      </c>
      <c r="V31" s="18" t="n"/>
      <c r="W31" s="18" t="n"/>
      <c r="X31" s="18" t="n"/>
      <c r="Y31" s="18" t="n">
        <v>20</v>
      </c>
      <c r="Z31" s="37">
        <f>SUM(V31:Y31)</f>
        <v/>
      </c>
      <c r="AA31" s="18" t="n"/>
      <c r="AB31" s="19" t="n"/>
      <c r="AC31" s="20" t="n"/>
      <c r="AD31" s="20">
        <f>변수!AD37</f>
        <v/>
      </c>
      <c r="AE31" s="38">
        <f>SUM(AA31:AD31)</f>
        <v/>
      </c>
      <c r="AF31" s="20" t="n"/>
      <c r="AG31" s="20" t="n"/>
      <c r="AH31" s="20" t="n"/>
      <c r="AI31" s="20">
        <f>변수!AI37</f>
        <v/>
      </c>
      <c r="AJ31" s="38">
        <f>SUM(AF31:AI31)</f>
        <v/>
      </c>
      <c r="AK31" s="20" t="n"/>
      <c r="AL31" s="20" t="n"/>
      <c r="AM31" s="20" t="n"/>
      <c r="AN31" s="20">
        <f>변수!AN37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>
        <f>IFERROR(변수!I18/(E29+G29+H29+I29),"")</f>
        <v/>
      </c>
      <c r="J32" s="13">
        <f>IFERROR(변수!J18/(G29+H29+I29+J29),"")</f>
        <v/>
      </c>
      <c r="K32" s="14">
        <f>J32</f>
        <v/>
      </c>
      <c r="L32" s="13">
        <f>IFERROR(변수!L18/(H29+I29+J29+L29),"")</f>
        <v/>
      </c>
      <c r="M32" s="13">
        <f>IFERROR(변수!M18/(I29+J29+L29+M29),"")</f>
        <v/>
      </c>
      <c r="N32" s="13">
        <f>IFERROR(변수!N18/(J29+L29+M29+N29),"")</f>
        <v/>
      </c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>
        <f>IFERROR(변수!R18/(N29+O29+Q29+R29),"")</f>
        <v/>
      </c>
      <c r="S32" s="13">
        <f>IFERROR(변수!S18/(O29+Q29+R29+S29),"")</f>
        <v/>
      </c>
      <c r="T32" s="13">
        <f>IFERROR(변수!T18/(Q29+R29+S29+T29),"")</f>
        <v/>
      </c>
      <c r="U32" s="14">
        <f>T32</f>
        <v/>
      </c>
      <c r="V32" s="13">
        <f>IFERROR(변수!V18/(R29+S29+T29+V29),"")</f>
        <v/>
      </c>
      <c r="W32" s="13">
        <f>IFERROR(변수!W18/(S29+T29+V29+W29),"")</f>
        <v/>
      </c>
      <c r="X32" s="13">
        <f>IFERROR(변수!X18/(T29+V29+W29+X29),"")</f>
        <v/>
      </c>
      <c r="Y32" s="13">
        <f>IFERROR(변수!Y18/(V29+W29+X29+Y29),"")</f>
        <v/>
      </c>
      <c r="Z32" s="14">
        <f>Y32</f>
        <v/>
      </c>
      <c r="AA32" s="13">
        <f>IFERROR(변수!AA18/(W29+X29+Y29+AA29),"")</f>
        <v/>
      </c>
      <c r="AB32" s="15">
        <f>IFERROR(변수!AB18/(X29+Y29+AA29+AB29),"")</f>
        <v/>
      </c>
      <c r="AC32" s="39">
        <f>IFERROR(변수!$D$40/(Y29+AA29+AB29+AC29),"")</f>
        <v/>
      </c>
      <c r="AD32" s="39">
        <f>IFERROR(변수!$D$40/(AA29+AB29+AC29+AD29),"")</f>
        <v/>
      </c>
      <c r="AE32" s="40">
        <f>AD32</f>
        <v/>
      </c>
      <c r="AF32" s="39">
        <f>IFERROR(변수!$D$40/(AB29+AC29+AD29+AF29),"")</f>
        <v/>
      </c>
      <c r="AG32" s="39">
        <f>IFERROR(변수!$D$40/(AC29+AD29+AF29+AG29),"")</f>
        <v/>
      </c>
      <c r="AH32" s="39">
        <f>IFERROR(변수!$D$40/(AD29+AF29+AG29+AH29),"")</f>
        <v/>
      </c>
      <c r="AI32" s="39">
        <f>IFERROR(변수!$D$40/(AF29+AG29+AH29+AI29),"")</f>
        <v/>
      </c>
      <c r="AJ32" s="40">
        <f>AI32</f>
        <v/>
      </c>
      <c r="AK32" s="39">
        <f>IFERROR(변수!$D$40/(AG29+AH29+AI29+AK29),"")</f>
        <v/>
      </c>
      <c r="AL32" s="39">
        <f>IFERROR(변수!$D$40/(AH29+AI29+AK29+AL29),"")</f>
        <v/>
      </c>
      <c r="AM32" s="39">
        <f>IFERROR(변수!$D$40/(AI29+AK29+AL29+AM29),"")</f>
        <v/>
      </c>
      <c r="AN32" s="39">
        <f>IFERROR(변수!$D$40/(AK29+AL29+AM29+AN29),"")</f>
        <v/>
      </c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IFERROR(변수!$D$40/AC30,"")</f>
        <v/>
      </c>
      <c r="AD33" s="39">
        <f>IFERROR(변수!$D$40/AD30,"")</f>
        <v/>
      </c>
      <c r="AE33" s="40">
        <f>AD33</f>
        <v/>
      </c>
      <c r="AF33" s="39">
        <f>IFERROR(변수!$D$40/AF30,"")</f>
        <v/>
      </c>
      <c r="AG33" s="39">
        <f>IFERROR(변수!$D$40/AG30,"")</f>
        <v/>
      </c>
      <c r="AH33" s="39">
        <f>IFERROR(변수!$D$40/AH30,"")</f>
        <v/>
      </c>
      <c r="AI33" s="39">
        <f>IFERROR(변수!$D$40/AI30,"")</f>
        <v/>
      </c>
      <c r="AJ33" s="40">
        <f>AI33</f>
        <v/>
      </c>
      <c r="AK33" s="39">
        <f>IFERROR(변수!$D$40/AK30,"")</f>
        <v/>
      </c>
      <c r="AL33" s="39">
        <f>IFERROR(변수!$D$40/AL30,"")</f>
        <v/>
      </c>
      <c r="AM33" s="39">
        <f>IFERROR(변수!$D$40/AM30,"")</f>
        <v/>
      </c>
      <c r="AN33" s="39">
        <f>IFERROR(변수!$D$40/AN30,"")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132.03</v>
      </c>
      <c r="F34" s="37" t="n"/>
      <c r="G34" s="18" t="n">
        <v>132.63</v>
      </c>
      <c r="H34" s="18" t="n">
        <v>144.53</v>
      </c>
      <c r="I34" s="18" t="n">
        <v>169.45</v>
      </c>
      <c r="J34" s="18" t="n">
        <v>190.07</v>
      </c>
      <c r="K34" s="37">
        <f>SUM(G34:J34)</f>
        <v/>
      </c>
      <c r="L34" s="18" t="n">
        <v>189.67</v>
      </c>
      <c r="M34" s="18" t="n">
        <v>196.65</v>
      </c>
      <c r="N34" s="18" t="n">
        <v>197.04</v>
      </c>
      <c r="O34" s="18" t="n">
        <v>232.9</v>
      </c>
      <c r="P34" s="37">
        <f>SUM(L34:O34)</f>
        <v/>
      </c>
      <c r="Q34" s="18" t="n">
        <v>213.9</v>
      </c>
      <c r="R34" s="18" t="n">
        <v>205.62</v>
      </c>
      <c r="S34" s="18" t="n">
        <v>190.49</v>
      </c>
      <c r="T34" s="18" t="n">
        <v>242.65</v>
      </c>
      <c r="U34" s="37">
        <f>SUM(Q34:T34)</f>
        <v/>
      </c>
      <c r="V34" s="18" t="n">
        <v>217.45</v>
      </c>
      <c r="W34" s="18" t="n">
        <v>236.69</v>
      </c>
      <c r="X34" s="18" t="n">
        <v>242.19</v>
      </c>
      <c r="Y34" s="18" t="n">
        <v>258.99</v>
      </c>
      <c r="Z34" s="37">
        <f>SUM(V34:Y34)</f>
        <v/>
      </c>
      <c r="AA34" s="18" t="n">
        <v>250.21</v>
      </c>
      <c r="AB34" s="19" t="n">
        <v>313.58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4.88</v>
      </c>
      <c r="F35" s="37" t="n"/>
      <c r="G35" s="18" t="n">
        <v>7.93</v>
      </c>
      <c r="H35" s="18" t="n">
        <v>8.57</v>
      </c>
      <c r="I35" s="18" t="n">
        <v>9.199999999999999</v>
      </c>
      <c r="J35" s="18" t="n">
        <v>9.109999999999999</v>
      </c>
      <c r="K35" s="37">
        <f>SUM(G35:J35)</f>
        <v/>
      </c>
      <c r="L35" s="18" t="n">
        <v>16.62</v>
      </c>
      <c r="M35" s="18" t="n">
        <v>26.97</v>
      </c>
      <c r="N35" s="18" t="n">
        <v>33.12</v>
      </c>
      <c r="O35" s="18" t="n">
        <v>41.67</v>
      </c>
      <c r="P35" s="37">
        <f>SUM(L35:O35)</f>
        <v/>
      </c>
      <c r="Q35" s="18" t="n">
        <v>39.13</v>
      </c>
      <c r="R35" s="18" t="n">
        <v>41.9</v>
      </c>
      <c r="S35" s="18" t="n">
        <v>32.82</v>
      </c>
      <c r="T35" s="18" t="n">
        <v>24.26</v>
      </c>
      <c r="U35" s="37">
        <f>SUM(Q35:T35)</f>
        <v/>
      </c>
      <c r="V35" s="18" t="n">
        <v>28.09</v>
      </c>
      <c r="W35" s="18" t="n">
        <v>33.41</v>
      </c>
      <c r="X35" s="18" t="n">
        <v>29.53</v>
      </c>
      <c r="Y35" s="18" t="n">
        <v>24.37</v>
      </c>
      <c r="Z35" s="37">
        <f>SUM(V35:Y35)</f>
        <v/>
      </c>
      <c r="AA35" s="18" t="n">
        <v>40.26</v>
      </c>
      <c r="AB35" s="19" t="n">
        <v>42.97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2">
        <f>IFERROR(F17/F5,"")</f>
        <v/>
      </c>
      <c r="G37" s="21">
        <f>IFERROR(G17/G5,"")</f>
        <v/>
      </c>
      <c r="H37" s="21">
        <f>IFERROR(H17/H5,"")</f>
        <v/>
      </c>
      <c r="I37" s="21">
        <f>IFERROR(I17/I5,"")</f>
        <v/>
      </c>
      <c r="J37" s="21">
        <f>IFERROR(J17/J5,"")</f>
        <v/>
      </c>
      <c r="K37" s="22">
        <f>IFERROR(K17/K5,"")</f>
        <v/>
      </c>
      <c r="L37" s="21">
        <f>IFERROR(L17/L5,"")</f>
        <v/>
      </c>
      <c r="M37" s="21">
        <f>IFERROR(M17/M5,"")</f>
        <v/>
      </c>
      <c r="N37" s="21">
        <f>IFERROR(N17/N5,"")</f>
        <v/>
      </c>
      <c r="O37" s="21">
        <f>IFERROR(O17/O5,"")</f>
        <v/>
      </c>
      <c r="P37" s="22">
        <f>IFERROR(P17/P5,"")</f>
        <v/>
      </c>
      <c r="Q37" s="21">
        <f>IFERROR(Q17/Q5,"")</f>
        <v/>
      </c>
      <c r="R37" s="21">
        <f>IFERROR(R17/R5,"")</f>
        <v/>
      </c>
      <c r="S37" s="21">
        <f>IFERROR(S17/S5,"")</f>
        <v/>
      </c>
      <c r="T37" s="21">
        <f>IFERROR(T17/T5,"")</f>
        <v/>
      </c>
      <c r="U37" s="22">
        <f>IFERROR(U17/U5,"")</f>
        <v/>
      </c>
      <c r="V37" s="21">
        <f>IFERROR(V17/V5,"")</f>
        <v/>
      </c>
      <c r="W37" s="21">
        <f>IFERROR(W17/W5,"")</f>
        <v/>
      </c>
      <c r="X37" s="21">
        <f>IFERROR(X17/X5,"")</f>
        <v/>
      </c>
      <c r="Y37" s="21">
        <f>IFERROR(Y17/Y5,"")</f>
        <v/>
      </c>
      <c r="Z37" s="22">
        <f>IFERROR(Z17/Z5,"")</f>
        <v/>
      </c>
      <c r="AA37" s="21">
        <f>IFERROR(AA17/AA5,"")</f>
        <v/>
      </c>
      <c r="AB37" s="23">
        <f>IFERROR(AB17/AB5,"")</f>
        <v/>
      </c>
      <c r="AC37" s="32">
        <f>IFERROR(AC17/AC5,"")</f>
        <v/>
      </c>
      <c r="AD37" s="32">
        <f>IFERROR(AD17/AD5,"")</f>
        <v/>
      </c>
      <c r="AE37" s="25">
        <f>IFERROR(AE17/AE5,"")</f>
        <v/>
      </c>
      <c r="AF37" s="32">
        <f>IFERROR(AF17/AF5,"")</f>
        <v/>
      </c>
      <c r="AG37" s="32">
        <f>IFERROR(AG17/AG5,"")</f>
        <v/>
      </c>
      <c r="AH37" s="32">
        <f>IFERROR(AH17/AH5,"")</f>
        <v/>
      </c>
      <c r="AI37" s="32">
        <f>IFERROR(AI17/AI5,"")</f>
        <v/>
      </c>
      <c r="AJ37" s="25">
        <f>IFERROR(AJ17/AJ5,"")</f>
        <v/>
      </c>
      <c r="AK37" s="32">
        <f>IFERROR(AK17/AK5,"")</f>
        <v/>
      </c>
      <c r="AL37" s="32">
        <f>IFERROR(AL17/AL5,"")</f>
        <v/>
      </c>
      <c r="AM37" s="32">
        <f>IFERROR(AM17/AM5,"")</f>
        <v/>
      </c>
      <c r="AN37" s="32">
        <f>IFERROR(AN17/AN5,"")</f>
        <v/>
      </c>
      <c r="AO37" s="25">
        <f>IFERROR(AO17/AO5,"")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2">
        <f>IFERROR(AC6/AC5,"")</f>
        <v/>
      </c>
      <c r="AD38" s="32">
        <f>IFERROR(AD6/AD5,"")</f>
        <v/>
      </c>
      <c r="AE38" s="25">
        <f>IFERROR(AE6/AE5,"")</f>
        <v/>
      </c>
      <c r="AF38" s="32">
        <f>IFERROR(AF6/AF5,"")</f>
        <v/>
      </c>
      <c r="AG38" s="32">
        <f>IFERROR(AG6/AG5,"")</f>
        <v/>
      </c>
      <c r="AH38" s="32">
        <f>IFERROR(AH6/AH5,"")</f>
        <v/>
      </c>
      <c r="AI38" s="32">
        <f>IFERROR(AI6/AI5,"")</f>
        <v/>
      </c>
      <c r="AJ38" s="25">
        <f>IFERROR(AJ6/AJ5,"")</f>
        <v/>
      </c>
      <c r="AK38" s="32">
        <f>IFERROR(AK6/AK5,"")</f>
        <v/>
      </c>
      <c r="AL38" s="32">
        <f>IFERROR(AL6/AL5,"")</f>
        <v/>
      </c>
      <c r="AM38" s="32">
        <f>IFERROR(AM6/AM5,"")</f>
        <v/>
      </c>
      <c r="AN38" s="32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2">
        <f>IFERROR(AC8/AC5,"")</f>
        <v/>
      </c>
      <c r="AD39" s="32">
        <f>IFERROR(AD8/AD5,"")</f>
        <v/>
      </c>
      <c r="AE39" s="25">
        <f>IFERROR(AE8/AE5,"")</f>
        <v/>
      </c>
      <c r="AF39" s="32">
        <f>IFERROR(AF8/AF5,"")</f>
        <v/>
      </c>
      <c r="AG39" s="32">
        <f>IFERROR(AG8/AG5,"")</f>
        <v/>
      </c>
      <c r="AH39" s="32">
        <f>IFERROR(AH8/AH5,"")</f>
        <v/>
      </c>
      <c r="AI39" s="32">
        <f>IFERROR(AI8/AI5,"")</f>
        <v/>
      </c>
      <c r="AJ39" s="25">
        <f>IFERROR(AJ8/AJ5,"")</f>
        <v/>
      </c>
      <c r="AK39" s="32">
        <f>IFERROR(AK8/AK5,"")</f>
        <v/>
      </c>
      <c r="AL39" s="32">
        <f>IFERROR(AL8/AL5,"")</f>
        <v/>
      </c>
      <c r="AM39" s="32">
        <f>IFERROR(AM8/AM5,"")</f>
        <v/>
      </c>
      <c r="AN39" s="32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3">
        <f>IFERROR(VLOOKUP($A28,subQ,MATCH(X$1,SUBQH,0),0),"")</f>
        <v/>
      </c>
      <c r="Y28" s="33">
        <f>IFERROR(VLOOKUP($A28,subQ,MATCH(Y$1,SUBQH,0),0),"")</f>
        <v/>
      </c>
      <c r="Z28" s="33">
        <f>IFERROR(VLOOKUP($A28,subQ,MATCH(Z$1,SUBQH,0),0),"")</f>
        <v/>
      </c>
      <c r="AA28" s="33">
        <f>IFERROR(VLOOKUP($A28,subQ,MATCH(AA$1,SUBQH,0),0),"")</f>
        <v/>
      </c>
      <c r="AB28" s="33">
        <f>IFERROR(VLOOKUP($A28,subQ,MATCH(AB$1,SUBQH,0),0),"")</f>
        <v/>
      </c>
      <c r="AC28" s="33">
        <f>IFERROR(VLOOKUP($A28,subQ,MATCH(AC$1,SUBQH,0),0),"")</f>
        <v/>
      </c>
      <c r="AD28" s="33">
        <f>IFERROR(VLOOKUP($A28,subQ,MATCH(AD$1,SUBQH,0),0),"")</f>
        <v/>
      </c>
      <c r="AE28" s="33">
        <f>IFERROR(VLOOKUP($A28,subQ,MATCH(AE$1,SUBQH,0),0),"")</f>
        <v/>
      </c>
      <c r="AF28" s="33">
        <f>IFERROR(VLOOKUP($A28,subQ,MATCH(AF$1,SUBQH,0),0),"")</f>
        <v/>
      </c>
      <c r="AG28" s="33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2">
        <f>IFERROR(VLOOKUP($A36,subQ,MATCH(X$1,SUBQH,0),0),"")</f>
        <v/>
      </c>
      <c r="Y36" s="32">
        <f>IFERROR(VLOOKUP($A36,subQ,MATCH(Y$1,SUBQH,0),0),"")</f>
        <v/>
      </c>
      <c r="Z36" s="32">
        <f>IFERROR(VLOOKUP($A36,subQ,MATCH(Z$1,SUBQH,0),0),"")</f>
        <v/>
      </c>
      <c r="AA36" s="32">
        <f>IFERROR(VLOOKUP($A36,subQ,MATCH(AA$1,SUBQH,0),0),"")</f>
        <v/>
      </c>
      <c r="AB36" s="32">
        <f>IFERROR(VLOOKUP($A36,subQ,MATCH(AB$1,SUBQH,0),0),"")</f>
        <v/>
      </c>
      <c r="AC36" s="32">
        <f>IFERROR(VLOOKUP($A36,subQ,MATCH(AC$1,SUBQH,0),0),"")</f>
        <v/>
      </c>
      <c r="AD36" s="32">
        <f>IFERROR(VLOOKUP($A36,subQ,MATCH(AD$1,SUBQH,0),0),"")</f>
        <v/>
      </c>
      <c r="AE36" s="32">
        <f>IFERROR(VLOOKUP($A36,subQ,MATCH(AE$1,SUBQH,0),0),"")</f>
        <v/>
      </c>
      <c r="AF36" s="32">
        <f>IFERROR(VLOOKUP($A36,subQ,MATCH(AF$1,SUBQH,0),0),"")</f>
        <v/>
      </c>
      <c r="AG36" s="32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2">
        <f>IFERROR(X5/T5-1,"")</f>
        <v/>
      </c>
      <c r="Y37" s="32">
        <f>IFERROR(Y5/U5-1,"")</f>
        <v/>
      </c>
      <c r="Z37" s="32">
        <f>IFERROR(Z5/V5-1,"")</f>
        <v/>
      </c>
      <c r="AA37" s="32">
        <f>IFERROR(AA5/W5-1,"")</f>
        <v/>
      </c>
      <c r="AB37" s="32">
        <f>IFERROR(AB5/X5-1,"")</f>
        <v/>
      </c>
      <c r="AC37" s="32">
        <f>IFERROR(AC5/Y5-1,"")</f>
        <v/>
      </c>
      <c r="AD37" s="32">
        <f>IFERROR(AD5/Z5-1,"")</f>
        <v/>
      </c>
      <c r="AE37" s="32">
        <f>IFERROR(AE5/AA5-1,"")</f>
        <v/>
      </c>
      <c r="AF37" s="32">
        <f>IFERROR(AF5/AB5-1,"")</f>
        <v/>
      </c>
      <c r="AG37" s="32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2">
        <f>IFERROR(X9/T9-1,"")</f>
        <v/>
      </c>
      <c r="Y38" s="32">
        <f>IFERROR(Y9/U9-1,"")</f>
        <v/>
      </c>
      <c r="Z38" s="32">
        <f>IFERROR(Z9/V9-1,"")</f>
        <v/>
      </c>
      <c r="AA38" s="32">
        <f>IFERROR(AA9/W9-1,"")</f>
        <v/>
      </c>
      <c r="AB38" s="32">
        <f>IFERROR(AB9/X9-1,"")</f>
        <v/>
      </c>
      <c r="AC38" s="32">
        <f>IFERROR(AC9/Y9-1,"")</f>
        <v/>
      </c>
      <c r="AD38" s="32">
        <f>IFERROR(AD9/Z9-1,"")</f>
        <v/>
      </c>
      <c r="AE38" s="32">
        <f>IFERROR(AE9/AA9-1,"")</f>
        <v/>
      </c>
      <c r="AF38" s="32">
        <f>IFERROR(AF9/AB9-1,"")</f>
        <v/>
      </c>
      <c r="AG38" s="32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IFERROR(I17/E17-1,"")</f>
        <v/>
      </c>
      <c r="J39" s="21">
        <f>IFERROR(J17/F17-1,"")</f>
        <v/>
      </c>
      <c r="K39" s="21">
        <f>IFERROR(K17/G17-1,"")</f>
        <v/>
      </c>
      <c r="L39" s="21">
        <f>IFERROR(L17/H17-1,"")</f>
        <v/>
      </c>
      <c r="M39" s="21">
        <f>IFERROR(M17/I17-1,"")</f>
        <v/>
      </c>
      <c r="N39" s="21">
        <f>IFERROR(N17/J17-1,"")</f>
        <v/>
      </c>
      <c r="O39" s="21">
        <f>IFERROR(O17/K17-1,"")</f>
        <v/>
      </c>
      <c r="P39" s="21">
        <f>IFERROR(P17/L17-1,"")</f>
        <v/>
      </c>
      <c r="Q39" s="21">
        <f>IFERROR(Q17/M17-1,"")</f>
        <v/>
      </c>
      <c r="R39" s="21">
        <f>IFERROR(R17/N17-1,"")</f>
        <v/>
      </c>
      <c r="S39" s="21">
        <f>IFERROR(S17/O17-1,"")</f>
        <v/>
      </c>
      <c r="T39" s="21">
        <f>IFERROR(T17/P17-1,"")</f>
        <v/>
      </c>
      <c r="U39" s="21">
        <f>IFERROR(U17/Q17-1,"")</f>
        <v/>
      </c>
      <c r="V39" s="21">
        <f>IFERROR(V17/R17-1,"")</f>
        <v/>
      </c>
      <c r="W39" s="46">
        <f>IFERROR(W17/S17-1,"")</f>
        <v/>
      </c>
      <c r="X39" s="32">
        <f>IFERROR(X17/T17-1,"")</f>
        <v/>
      </c>
      <c r="Y39" s="32">
        <f>IFERROR(Y17/U17-1,"")</f>
        <v/>
      </c>
      <c r="Z39" s="32">
        <f>IFERROR(Z17/V17-1,"")</f>
        <v/>
      </c>
      <c r="AA39" s="32">
        <f>IFERROR(AA17/W17-1,"")</f>
        <v/>
      </c>
      <c r="AB39" s="32">
        <f>IFERROR(AB17/X17-1,"")</f>
        <v/>
      </c>
      <c r="AC39" s="32">
        <f>IFERROR(AC17/Y17-1,"")</f>
        <v/>
      </c>
      <c r="AD39" s="32">
        <f>IFERROR(AD17/Z17-1,"")</f>
        <v/>
      </c>
      <c r="AE39" s="32">
        <f>IFERROR(AE17/AA17-1,"")</f>
        <v/>
      </c>
      <c r="AF39" s="32">
        <f>IFERROR(AF17/AB17-1,"")</f>
        <v/>
      </c>
      <c r="AG39" s="32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2">
        <f>IFERROR(J5/I5-1,"")</f>
        <v/>
      </c>
      <c r="K37" s="32">
        <f>IFERROR(K5/J5-1,"")</f>
        <v/>
      </c>
      <c r="L37" s="32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2">
        <f>IFERROR(J9/I9-1,"")</f>
        <v/>
      </c>
      <c r="K38" s="32">
        <f>IFERROR(K9/J9-1,"")</f>
        <v/>
      </c>
      <c r="L38" s="32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IFERROR(F17/E17-1,"")</f>
        <v/>
      </c>
      <c r="G39" s="21">
        <f>IFERROR(G17/F17-1,"")</f>
        <v/>
      </c>
      <c r="H39" s="21">
        <f>IFERROR(H17/G17-1,"")</f>
        <v/>
      </c>
      <c r="I39" s="46">
        <f>IFERROR(I17/H17-1,"")</f>
        <v/>
      </c>
      <c r="J39" s="32">
        <f>IFERROR(J17/I17-1,"")</f>
        <v/>
      </c>
      <c r="K39" s="32">
        <f>IFERROR(K17/J17-1,"")</f>
        <v/>
      </c>
      <c r="L39" s="32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297.1</v>
      </c>
    </row>
    <row r="30">
      <c r="C30" s="2" t="inlineStr">
        <is>
          <t>bps_latest</t>
        </is>
      </c>
      <c r="D30" t="n">
        <v>2189.8</v>
      </c>
    </row>
    <row r="31">
      <c r="C31" s="2" t="inlineStr">
        <is>
          <t>per_now</t>
        </is>
      </c>
      <c r="D31" t="n">
        <v>9.359999999999999</v>
      </c>
    </row>
    <row r="32">
      <c r="C32" s="2" t="inlineStr">
        <is>
          <t>pbr_now</t>
        </is>
      </c>
      <c r="D32" t="n">
        <v>1.27</v>
      </c>
    </row>
    <row r="33">
      <c r="C33" s="2" t="inlineStr">
        <is>
          <t>roe_fwd</t>
        </is>
      </c>
      <c r="D33" t="n">
        <v>0.1357</v>
      </c>
    </row>
    <row r="34">
      <c r="C34" s="2" t="inlineStr">
        <is>
          <t>fair_pbr</t>
        </is>
      </c>
      <c r="D34" t="n">
        <v>1.51</v>
      </c>
    </row>
    <row r="35">
      <c r="C35" s="2" t="inlineStr">
        <is>
          <t>fair_value_pbr</t>
        </is>
      </c>
      <c r="D35" t="n">
        <v>3300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