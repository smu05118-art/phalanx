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80224억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85287억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88687억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92009억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95873억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101010억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107090억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113604억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120051억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125764억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모델값 역산(implied): v / 매출액
매출액 × 판관비율 12.31%(최근 4분기 중위)</t>
      </text>
    </comment>
    <comment ref="AD22" authorId="0" shapeId="0">
      <text>
        <t>모델값 역산(implied): v / 매출액
매출액 × 판관비율 12.31%(최근 4분기 중위)</t>
      </text>
    </comment>
    <comment ref="AF22" authorId="0" shapeId="0">
      <text>
        <t>모델값 역산(implied): v / 매출액
매출액 × 판관비율 12.31%(최근 4분기 중위)</t>
      </text>
    </comment>
    <comment ref="AG22" authorId="0" shapeId="0">
      <text>
        <t>모델값 역산(implied): v / 매출액
매출액 × 판관비율 12.31%(최근 4분기 중위)</t>
      </text>
    </comment>
    <comment ref="AH22" authorId="0" shapeId="0">
      <text>
        <t>모델값 역산(implied): v / 매출액
매출액 × 판관비율 12.31%(최근 4분기 중위)</t>
      </text>
    </comment>
    <comment ref="AI22" authorId="0" shapeId="0">
      <text>
        <t>모델값 역산(implied): v / 매출액
매출액 × 판관비율 12.31%(최근 4분기 중위)</t>
      </text>
    </comment>
    <comment ref="AK22" authorId="0" shapeId="0">
      <text>
        <t>모델값 역산(implied): v / 매출액
매출액 × 판관비율 12.31%(최근 4분기 중위)</t>
      </text>
    </comment>
    <comment ref="AL22" authorId="0" shapeId="0">
      <text>
        <t>모델값 역산(implied): v / 매출액
매출액 × 판관비율 12.31%(최근 4분기 중위)</t>
      </text>
    </comment>
    <comment ref="AM22" authorId="0" shapeId="0">
      <text>
        <t>모델값 역산(implied): v / 매출액
매출액 × 판관비율 12.31%(최근 4분기 중위)</t>
      </text>
    </comment>
    <comment ref="AN22" authorId="0" shapeId="0">
      <text>
        <t>모델값 역산(implied): v / 매출액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v / 전년동기 − 1
최근 8분기 OPM 중위 19.6% 유지</t>
      </text>
    </comment>
    <comment ref="AD24" authorId="0" shapeId="0">
      <text>
        <t>모델값 역산(implied): v / 전년동기 − 1
최근 8분기 OPM 중위 19.6% 유지</t>
      </text>
    </comment>
    <comment ref="AF24" authorId="0" shapeId="0">
      <text>
        <t>모델값 역산(implied): v / 전년동기 − 1
최근 8분기 OPM 중위 19.6% 유지</t>
      </text>
    </comment>
    <comment ref="AG24" authorId="0" shapeId="0">
      <text>
        <t>모델값 역산(implied): v / 전년동기 − 1
최근 8분기 OPM 중위 19.6% 유지</t>
      </text>
    </comment>
    <comment ref="AH24" authorId="0" shapeId="0">
      <text>
        <t>모델값 역산(implied): v / 전년동기 − 1
최근 8분기 OPM 중위 19.6% 유지</t>
      </text>
    </comment>
    <comment ref="AI24" authorId="0" shapeId="0">
      <text>
        <t>모델값 역산(implied): v / 전년동기 − 1
최근 8분기 OPM 중위 19.6% 유지</t>
      </text>
    </comment>
    <comment ref="AK24" authorId="0" shapeId="0">
      <text>
        <t>모델값 역산(implied): v / 전년동기 − 1
최근 8분기 OPM 중위 19.6% 유지</t>
      </text>
    </comment>
    <comment ref="AL24" authorId="0" shapeId="0">
      <text>
        <t>모델값 역산(implied): v / 전년동기 − 1
최근 8분기 OPM 중위 19.6% 유지</t>
      </text>
    </comment>
    <comment ref="AM24" authorId="0" shapeId="0">
      <text>
        <t>모델값 역산(implied): v / 전년동기 − 1
최근 8분기 OPM 중위 19.6% 유지</t>
      </text>
    </comment>
    <comment ref="AN24" authorId="0" shapeId="0">
      <text>
        <t>모델값 역산(implied): v / 전년동기 − 1
최근 8분기 OPM 중위 19.6% 유지</t>
      </text>
    </comment>
    <comment ref="AC25" authorId="0" shapeId="0">
      <text>
        <t>모델값 역산(implied): 모델 v 그대로
이자손익 = 이자발생자산 639억 × 1.55% − 총차입금 290억 × 0.00% (연율, CF 실측) ÷ 4; 환·평가손익 0 가정</t>
      </text>
    </comment>
    <comment ref="AD25" authorId="0" shapeId="0">
      <text>
        <t>모델값 역산(implied): 모델 v 그대로
이자손익 = 이자발생자산 668억 × 1.55% − 총차입금 290억 × 0.00% (연율, CF 실측) ÷ 4; 환·평가손익 0 가정</t>
      </text>
    </comment>
    <comment ref="AF25" authorId="0" shapeId="0">
      <text>
        <t>모델값 역산(implied): 모델 v 그대로
이자손익 = 이자발생자산 708억 × 1.55% − 총차입금 290억 × 0.00% (연율, CF 실측) ÷ 4; 환·평가손익 0 가정</t>
      </text>
    </comment>
    <comment ref="AG25" authorId="0" shapeId="0">
      <text>
        <t>모델값 역산(implied): 모델 v 그대로
이자손익 = 이자발생자산 738억 × 1.55% − 총차입금 290억 × 0.00% (연율, CF 실측) ÷ 4; 환·평가손익 0 가정</t>
      </text>
    </comment>
    <comment ref="AH25" authorId="0" shapeId="0">
      <text>
        <t>모델값 역산(implied): 모델 v 그대로
이자손익 = 이자발생자산 772억 × 1.55% − 총차입금 290억 × 0.00% (연율, CF 실측) ÷ 4; 환·평가손익 0 가정</t>
      </text>
    </comment>
    <comment ref="AI25" authorId="0" shapeId="0">
      <text>
        <t>모델값 역산(implied): 모델 v 그대로
이자손익 = 이자발생자산 806억 × 1.55% − 총차입금 290억 × 0.00% (연율, CF 실측) ÷ 4; 환·평가손익 0 가정</t>
      </text>
    </comment>
    <comment ref="AK25" authorId="0" shapeId="0">
      <text>
        <t>모델값 역산(implied): 모델 v 그대로
이자손익 = 이자발생자산 853억 × 1.55% − 총차입금 290억 × 0.00% (연율, CF 실측) ÷ 4; 환·평가손익 0 가정</t>
      </text>
    </comment>
    <comment ref="AL25" authorId="0" shapeId="0">
      <text>
        <t>모델값 역산(implied): 모델 v 그대로
이자손익 = 이자발생자산 890억 × 1.55% − 총차입금 290억 × 0.00% (연율, CF 실측) ÷ 4; 환·평가손익 0 가정</t>
      </text>
    </comment>
    <comment ref="AM25" authorId="0" shapeId="0">
      <text>
        <t>모델값 역산(implied): 모델 v 그대로
이자손익 = 이자발생자산 931억 × 1.55% − 총차입금 290억 × 0.00% (연율, CF 실측) ÷ 4; 환·평가손익 0 가정</t>
      </text>
    </comment>
    <comment ref="AN25" authorId="0" shapeId="0">
      <text>
        <t>모델값 역산(implied): 모델 v 그대로
이자손익 = 이자발생자산 974억 × 1.55% − 총차입금 290억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4.3% → 5~27% 클립)</t>
      </text>
    </comment>
    <comment ref="AD27" authorId="0" shapeId="0">
      <text>
        <t>모델값 역산(implied): v / 세전이익
max(세전, 0) × 세율 5.0%(최근 12분기 유효세율 4.3% → 5~27% 클립)</t>
      </text>
    </comment>
    <comment ref="AF27" authorId="0" shapeId="0">
      <text>
        <t>모델값 역산(implied): v / 세전이익
max(세전, 0) × 세율 5.0%(최근 12분기 유효세율 4.3% → 5~27% 클립)</t>
      </text>
    </comment>
    <comment ref="AG27" authorId="0" shapeId="0">
      <text>
        <t>모델값 역산(implied): v / 세전이익
max(세전, 0) × 세율 5.0%(최근 12분기 유효세율 4.3% → 5~27% 클립)</t>
      </text>
    </comment>
    <comment ref="AH27" authorId="0" shapeId="0">
      <text>
        <t>모델값 역산(implied): v / 세전이익
max(세전, 0) × 세율 5.0%(최근 12분기 유효세율 4.3% → 5~27% 클립)</t>
      </text>
    </comment>
    <comment ref="AI27" authorId="0" shapeId="0">
      <text>
        <t>모델값 역산(implied): v / 세전이익
max(세전, 0) × 세율 5.0%(최근 12분기 유효세율 4.3% → 5~27% 클립)</t>
      </text>
    </comment>
    <comment ref="AK27" authorId="0" shapeId="0">
      <text>
        <t>모델값 역산(implied): v / 세전이익
max(세전, 0) × 세율 5.0%(최근 12분기 유효세율 4.3% → 5~27% 클립)</t>
      </text>
    </comment>
    <comment ref="AL27" authorId="0" shapeId="0">
      <text>
        <t>모델값 역산(implied): v / 세전이익
max(세전, 0) × 세율 5.0%(최근 12분기 유효세율 4.3% → 5~27% 클립)</t>
      </text>
    </comment>
    <comment ref="AM27" authorId="0" shapeId="0">
      <text>
        <t>모델값 역산(implied): v / 세전이익
max(세전, 0) × 세율 5.0%(최근 12분기 유효세율 4.3% → 5~27% 클립)</t>
      </text>
    </comment>
    <comment ref="AN27" authorId="0" shapeId="0">
      <text>
        <t>모델값 역산(implied): v / 세전이익
max(세전, 0) × 세율 5.0%(최근 12분기 유효세율 4.3% → 5~27% 클립)</t>
      </text>
    </comment>
    <comment ref="AC28" authorId="0" shapeId="0">
      <text>
        <t>모델값 역산(implied): v / 당기순이익
당기순이익 × (1 − 비지배 비중 42.9%, 최근 8분기 실측)</t>
      </text>
    </comment>
    <comment ref="AD28" authorId="0" shapeId="0">
      <text>
        <t>모델값 역산(implied): v / 당기순이익
당기순이익 × (1 − 비지배 비중 42.9%, 최근 8분기 실측)</t>
      </text>
    </comment>
    <comment ref="AF28" authorId="0" shapeId="0">
      <text>
        <t>모델값 역산(implied): v / 당기순이익
당기순이익 × (1 − 비지배 비중 42.9%, 최근 8분기 실측)</t>
      </text>
    </comment>
    <comment ref="AG28" authorId="0" shapeId="0">
      <text>
        <t>모델값 역산(implied): v / 당기순이익
당기순이익 × (1 − 비지배 비중 42.9%, 최근 8분기 실측)</t>
      </text>
    </comment>
    <comment ref="AH28" authorId="0" shapeId="0">
      <text>
        <t>모델값 역산(implied): v / 당기순이익
당기순이익 × (1 − 비지배 비중 42.9%, 최근 8분기 실측)</t>
      </text>
    </comment>
    <comment ref="AI28" authorId="0" shapeId="0">
      <text>
        <t>모델값 역산(implied): v / 당기순이익
당기순이익 × (1 − 비지배 비중 42.9%, 최근 8분기 실측)</t>
      </text>
    </comment>
    <comment ref="AK28" authorId="0" shapeId="0">
      <text>
        <t>모델값 역산(implied): v / 당기순이익
당기순이익 × (1 − 비지배 비중 42.9%, 최근 8분기 실측)</t>
      </text>
    </comment>
    <comment ref="AL28" authorId="0" shapeId="0">
      <text>
        <t>모델값 역산(implied): v / 당기순이익
당기순이익 × (1 − 비지배 비중 42.9%, 최근 8분기 실측)</t>
      </text>
    </comment>
    <comment ref="AM28" authorId="0" shapeId="0">
      <text>
        <t>모델값 역산(implied): v / 당기순이익
당기순이익 × (1 − 비지배 비중 42.9%, 최근 8분기 실측)</t>
      </text>
    </comment>
    <comment ref="AN28" authorId="0" shapeId="0">
      <text>
        <t>모델값 역산(implied): v / 당기순이익
당기순이익 × (1 − 비지배 비중 42.9%,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80224억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85287억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88687억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92009억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95873억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101010억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107090억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113604억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120051억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125764억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19.6% 유지
[yoy]</t>
      </text>
    </comment>
    <comment ref="AD10" authorId="0" shapeId="0">
      <text>
        <t>추정: 최근 8분기 OPM 중위 19.6% 유지
[yoy]</t>
      </text>
    </comment>
    <comment ref="AF10" authorId="0" shapeId="0">
      <text>
        <t>추정: 최근 8분기 OPM 중위 19.6% 유지
[yoy]</t>
      </text>
    </comment>
    <comment ref="AG10" authorId="0" shapeId="0">
      <text>
        <t>추정: 최근 8분기 OPM 중위 19.6% 유지
[yoy]</t>
      </text>
    </comment>
    <comment ref="AH10" authorId="0" shapeId="0">
      <text>
        <t>추정: 최근 8분기 OPM 중위 19.6% 유지
[yoy]</t>
      </text>
    </comment>
    <comment ref="AI10" authorId="0" shapeId="0">
      <text>
        <t>추정: 최근 8분기 OPM 중위 19.6% 유지
[yoy]</t>
      </text>
    </comment>
    <comment ref="AK10" authorId="0" shapeId="0">
      <text>
        <t>추정: 최근 8분기 OPM 중위 19.6% 유지
[yoy]</t>
      </text>
    </comment>
    <comment ref="AL10" authorId="0" shapeId="0">
      <text>
        <t>추정: 최근 8분기 OPM 중위 19.6% 유지
[yoy]</t>
      </text>
    </comment>
    <comment ref="AM10" authorId="0" shapeId="0">
      <text>
        <t>추정: 최근 8분기 OPM 중위 19.6% 유지
[yoy]</t>
      </text>
    </comment>
    <comment ref="AN10" authorId="0" shapeId="0">
      <text>
        <t>추정: 최근 8분기 OPM 중위 19.6% 유지
[yoy]</t>
      </text>
    </comment>
    <comment ref="AC11" authorId="0" shapeId="0">
      <text>
        <t>추정: 이자손익 = 이자발생자산 639억 × 1.55% − 총차입금 290억 × 0.00% (연율, CF 실측) ÷ 4; 환·평가손익 0 가정
[abs]</t>
      </text>
    </comment>
    <comment ref="AD11" authorId="0" shapeId="0">
      <text>
        <t>추정: 이자손익 = 이자발생자산 668억 × 1.55% − 총차입금 290억 × 0.00% (연율, CF 실측) ÷ 4; 환·평가손익 0 가정
[abs]</t>
      </text>
    </comment>
    <comment ref="AF11" authorId="0" shapeId="0">
      <text>
        <t>추정: 이자손익 = 이자발생자산 708억 × 1.55% − 총차입금 290억 × 0.00% (연율, CF 실측) ÷ 4; 환·평가손익 0 가정
[abs]</t>
      </text>
    </comment>
    <comment ref="AG11" authorId="0" shapeId="0">
      <text>
        <t>추정: 이자손익 = 이자발생자산 738억 × 1.55% − 총차입금 290억 × 0.00% (연율, CF 실측) ÷ 4; 환·평가손익 0 가정
[abs]</t>
      </text>
    </comment>
    <comment ref="AH11" authorId="0" shapeId="0">
      <text>
        <t>추정: 이자손익 = 이자발생자산 772억 × 1.55% − 총차입금 290억 × 0.00% (연율, CF 실측) ÷ 4; 환·평가손익 0 가정
[abs]</t>
      </text>
    </comment>
    <comment ref="AI11" authorId="0" shapeId="0">
      <text>
        <t>추정: 이자손익 = 이자발생자산 806억 × 1.55% − 총차입금 290억 × 0.00% (연율, CF 실측) ÷ 4; 환·평가손익 0 가정
[abs]</t>
      </text>
    </comment>
    <comment ref="AK11" authorId="0" shapeId="0">
      <text>
        <t>추정: 이자손익 = 이자발생자산 853억 × 1.55% − 총차입금 290억 × 0.00% (연율, CF 실측) ÷ 4; 환·평가손익 0 가정
[abs]</t>
      </text>
    </comment>
    <comment ref="AL11" authorId="0" shapeId="0">
      <text>
        <t>추정: 이자손익 = 이자발생자산 890억 × 1.55% − 총차입금 290억 × 0.00% (연율, CF 실측) ÷ 4; 환·평가손익 0 가정
[abs]</t>
      </text>
    </comment>
    <comment ref="AM11" authorId="0" shapeId="0">
      <text>
        <t>추정: 이자손익 = 이자발생자산 931억 × 1.55% − 총차입금 290억 × 0.00% (연율, CF 실측) ÷ 4; 환·평가손익 0 가정
[abs]</t>
      </text>
    </comment>
    <comment ref="AN11" authorId="0" shapeId="0">
      <text>
        <t>추정: 이자손익 = 이자발생자산 974억 × 1.55% − 총차입금 290억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4.3% → 5~27% 클립)
[ratio]</t>
      </text>
    </comment>
    <comment ref="AD14" authorId="0" shapeId="0">
      <text>
        <t>추정: max(세전, 0) × 세율 5.0%(최근 12분기 유효세율 4.3% → 5~27% 클립)
[ratio]</t>
      </text>
    </comment>
    <comment ref="AF14" authorId="0" shapeId="0">
      <text>
        <t>추정: max(세전, 0) × 세율 5.0%(최근 12분기 유효세율 4.3% → 5~27% 클립)
[ratio]</t>
      </text>
    </comment>
    <comment ref="AG14" authorId="0" shapeId="0">
      <text>
        <t>추정: max(세전, 0) × 세율 5.0%(최근 12분기 유효세율 4.3% → 5~27% 클립)
[ratio]</t>
      </text>
    </comment>
    <comment ref="AH14" authorId="0" shapeId="0">
      <text>
        <t>추정: max(세전, 0) × 세율 5.0%(최근 12분기 유효세율 4.3% → 5~27% 클립)
[ratio]</t>
      </text>
    </comment>
    <comment ref="AI14" authorId="0" shapeId="0">
      <text>
        <t>추정: max(세전, 0) × 세율 5.0%(최근 12분기 유효세율 4.3% → 5~27% 클립)
[ratio]</t>
      </text>
    </comment>
    <comment ref="AK14" authorId="0" shapeId="0">
      <text>
        <t>추정: max(세전, 0) × 세율 5.0%(최근 12분기 유효세율 4.3% → 5~27% 클립)
[ratio]</t>
      </text>
    </comment>
    <comment ref="AL14" authorId="0" shapeId="0">
      <text>
        <t>추정: max(세전, 0) × 세율 5.0%(최근 12분기 유효세율 4.3% → 5~27% 클립)
[ratio]</t>
      </text>
    </comment>
    <comment ref="AM14" authorId="0" shapeId="0">
      <text>
        <t>추정: max(세전, 0) × 세율 5.0%(최근 12분기 유효세율 4.3% → 5~27% 클립)
[ratio]</t>
      </text>
    </comment>
    <comment ref="AN14" authorId="0" shapeId="0">
      <text>
        <t>추정: max(세전, 0) × 세율 5.0%(최근 12분기 유효세율 4.3%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42.9%, 최근 8분기 실측)
[ratio]</t>
      </text>
    </comment>
    <comment ref="AD16" authorId="0" shapeId="0">
      <text>
        <t>추정: 당기순이익 × (1 − 비지배 비중 42.9%, 최근 8분기 실측)
[ratio]</t>
      </text>
    </comment>
    <comment ref="AF16" authorId="0" shapeId="0">
      <text>
        <t>추정: 당기순이익 × (1 − 비지배 비중 42.9%, 최근 8분기 실측)
[ratio]</t>
      </text>
    </comment>
    <comment ref="AG16" authorId="0" shapeId="0">
      <text>
        <t>추정: 당기순이익 × (1 − 비지배 비중 42.9%, 최근 8분기 실측)
[ratio]</t>
      </text>
    </comment>
    <comment ref="AH16" authorId="0" shapeId="0">
      <text>
        <t>추정: 당기순이익 × (1 − 비지배 비중 42.9%, 최근 8분기 실측)
[ratio]</t>
      </text>
    </comment>
    <comment ref="AI16" authorId="0" shapeId="0">
      <text>
        <t>추정: 당기순이익 × (1 − 비지배 비중 42.9%, 최근 8분기 실측)
[ratio]</t>
      </text>
    </comment>
    <comment ref="AK16" authorId="0" shapeId="0">
      <text>
        <t>추정: 당기순이익 × (1 − 비지배 비중 42.9%, 최근 8분기 실측)
[ratio]</t>
      </text>
    </comment>
    <comment ref="AL16" authorId="0" shapeId="0">
      <text>
        <t>추정: 당기순이익 × (1 − 비지배 비중 42.9%, 최근 8분기 실측)
[ratio]</t>
      </text>
    </comment>
    <comment ref="AM16" authorId="0" shapeId="0">
      <text>
        <t>추정: 당기순이익 × (1 − 비지배 비중 42.9%, 최근 8분기 실측)
[ratio]</t>
      </text>
    </comment>
    <comment ref="AN16" authorId="0" shapeId="0">
      <text>
        <t>추정: 당기순이익 × (1 − 비지배 비중 42.9%,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assets/models/333430.json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22.8, "wape_trend": 36.0,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0.027993</v>
      </c>
      <c r="AD21" s="24" t="n">
        <v>0.317923</v>
      </c>
      <c r="AE21" s="25" t="n"/>
      <c r="AF21" s="24" t="n">
        <v>0.23423</v>
      </c>
      <c r="AG21" s="24" t="n">
        <v>0.016465</v>
      </c>
      <c r="AH21" s="24" t="n">
        <v>0.195079</v>
      </c>
      <c r="AI21" s="24" t="n">
        <v>0.184377</v>
      </c>
      <c r="AJ21" s="25" t="n"/>
      <c r="AK21" s="24" t="n">
        <v>0.20754</v>
      </c>
      <c r="AL21" s="24" t="n">
        <v>0.234724</v>
      </c>
      <c r="AM21" s="24" t="n">
        <v>0.252198</v>
      </c>
      <c r="AN21" s="24" t="n">
        <v>0.245056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0.123096</v>
      </c>
      <c r="AD22" s="24" t="n">
        <v>0.123117</v>
      </c>
      <c r="AE22" s="25">
        <f>IFERROR(subQ!AE8/subQ!AE5,"")</f>
        <v/>
      </c>
      <c r="AF22" s="24" t="n">
        <v>0.123088</v>
      </c>
      <c r="AG22" s="24" t="n">
        <v>0.123121</v>
      </c>
      <c r="AH22" s="24" t="n">
        <v>0.12312</v>
      </c>
      <c r="AI22" s="24" t="n">
        <v>0.123095</v>
      </c>
      <c r="AJ22" s="25">
        <f>IFERROR(subQ!AJ8/subQ!AJ5,"")</f>
        <v/>
      </c>
      <c r="AK22" s="24" t="n">
        <v>0.123097</v>
      </c>
      <c r="AL22" s="24" t="n">
        <v>0.123085</v>
      </c>
      <c r="AM22" s="24" t="n">
        <v>0.123104</v>
      </c>
      <c r="AN22" s="24" t="n">
        <v>0.123112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0.195643</v>
      </c>
      <c r="AD23" s="24" t="n">
        <v>0.195664</v>
      </c>
      <c r="AE23" s="25">
        <f>IFERROR(subQ!AE9/subQ!AE5,"")</f>
        <v/>
      </c>
      <c r="AF23" s="24" t="n">
        <v>0.195667</v>
      </c>
      <c r="AG23" s="24" t="n">
        <v>0.195623</v>
      </c>
      <c r="AH23" s="24" t="n">
        <v>0.195623</v>
      </c>
      <c r="AI23" s="24" t="n">
        <v>0.195642</v>
      </c>
      <c r="AJ23" s="25">
        <f>IFERROR(subQ!AJ9/subQ!AJ5,"")</f>
        <v/>
      </c>
      <c r="AK23" s="24" t="n">
        <v>0.195645</v>
      </c>
      <c r="AL23" s="24" t="n">
        <v>0.19565</v>
      </c>
      <c r="AM23" s="24" t="n">
        <v>0.195656</v>
      </c>
      <c r="AN23" s="24" t="n">
        <v>0.195643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-0.192736</v>
      </c>
      <c r="AD24" s="24" t="n">
        <v>-0.460414</v>
      </c>
      <c r="AE24" s="25" t="n"/>
      <c r="AF24" s="24" t="n">
        <v>0.025695</v>
      </c>
      <c r="AG24" s="24" t="n">
        <v>-0.464989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2.48</v>
      </c>
      <c r="AD25" s="29" t="n">
        <v>2.59</v>
      </c>
      <c r="AE25" s="30">
        <f>subQ!AE11</f>
        <v/>
      </c>
      <c r="AF25" s="29" t="n">
        <v>2.74</v>
      </c>
      <c r="AG25" s="29" t="n">
        <v>2.86</v>
      </c>
      <c r="AH25" s="29" t="n">
        <v>2.99</v>
      </c>
      <c r="AI25" s="29" t="n">
        <v>3.12</v>
      </c>
      <c r="AJ25" s="30">
        <f>subQ!AJ11</f>
        <v/>
      </c>
      <c r="AK25" s="29" t="n">
        <v>3.31</v>
      </c>
      <c r="AL25" s="29" t="n">
        <v>3.45</v>
      </c>
      <c r="AM25" s="29" t="n">
        <v>3.61</v>
      </c>
      <c r="AN25" s="29" t="n">
        <v>3.77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0.04995</v>
      </c>
      <c r="AD27" s="24" t="n">
        <v>0.050072</v>
      </c>
      <c r="AE27" s="25">
        <f>IFERROR(subQ!AE14/subQ!AE13,"")</f>
        <v/>
      </c>
      <c r="AF27" s="24" t="n">
        <v>0.050141</v>
      </c>
      <c r="AG27" s="24" t="n">
        <v>0.0501</v>
      </c>
      <c r="AH27" s="24" t="n">
        <v>0.050069</v>
      </c>
      <c r="AI27" s="24" t="n">
        <v>0.05008</v>
      </c>
      <c r="AJ27" s="25">
        <f>IFERROR(subQ!AJ14/subQ!AJ13,"")</f>
        <v/>
      </c>
      <c r="AK27" s="24" t="n">
        <v>0.050091</v>
      </c>
      <c r="AL27" s="24" t="n">
        <v>0.049885</v>
      </c>
      <c r="AM27" s="24" t="n">
        <v>0.050078</v>
      </c>
      <c r="AN27" s="24" t="n">
        <v>0.050008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0.570682</v>
      </c>
      <c r="AD28" s="24" t="n">
        <v>0.570783</v>
      </c>
      <c r="AE28" s="25">
        <f>IFERROR(subQ!AE16/subQ!AE15,"")</f>
        <v/>
      </c>
      <c r="AF28" s="24" t="n">
        <v>0.57058</v>
      </c>
      <c r="AG28" s="24" t="n">
        <v>0.570701</v>
      </c>
      <c r="AH28" s="24" t="n">
        <v>0.570597</v>
      </c>
      <c r="AI28" s="24" t="n">
        <v>0.570703</v>
      </c>
      <c r="AJ28" s="25">
        <f>IFERROR(subQ!AJ16/subQ!AJ15,"")</f>
        <v/>
      </c>
      <c r="AK28" s="24" t="n">
        <v>0.570765</v>
      </c>
      <c r="AL28" s="24" t="n">
        <v>0.570873</v>
      </c>
      <c r="AM28" s="24" t="n">
        <v>0.570662</v>
      </c>
      <c r="AN28" s="24" t="n">
        <v>0.570869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0.0028</v>
      </c>
      <c r="AD30" s="29" t="n">
        <v>0</v>
      </c>
      <c r="AE30" s="30" t="n"/>
      <c r="AF30" s="29" t="n">
        <v>0.01</v>
      </c>
      <c r="AG30" s="29" t="n">
        <v>0</v>
      </c>
      <c r="AH30" s="29" t="n">
        <v>0</v>
      </c>
      <c r="AI30" s="29" t="n">
        <v>0</v>
      </c>
      <c r="AJ30" s="30" t="n"/>
      <c r="AK30" s="29" t="n">
        <v>-0</v>
      </c>
      <c r="AL30" s="29" t="n">
        <v>0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0.0025</v>
      </c>
      <c r="AD31" s="29" t="n">
        <v>0</v>
      </c>
      <c r="AE31" s="30" t="n"/>
      <c r="AF31" s="29" t="n">
        <v>-0.01</v>
      </c>
      <c r="AG31" s="29" t="n">
        <v>-0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0.116314</v>
      </c>
      <c r="AD33" s="24" t="n">
        <v>0.144495</v>
      </c>
      <c r="AE33" s="25" t="n"/>
      <c r="AF33" s="24" t="n">
        <v>0.096108</v>
      </c>
      <c r="AG33" s="24" t="n">
        <v>0.09653</v>
      </c>
      <c r="AH33" s="24" t="n">
        <v>0.09056400000000001</v>
      </c>
      <c r="AI33" s="24" t="n">
        <v>0.114239</v>
      </c>
      <c r="AJ33" s="25" t="n"/>
      <c r="AK33" s="24" t="n">
        <v>0.079434</v>
      </c>
      <c r="AL33" s="24" t="n">
        <v>0.08269700000000001</v>
      </c>
      <c r="AM33" s="24" t="n">
        <v>0.07963000000000001</v>
      </c>
      <c r="AN33" s="24" t="n">
        <v>0.100986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0.044906</v>
      </c>
      <c r="AD34" s="24" t="n">
        <v>0.059631</v>
      </c>
      <c r="AE34" s="25" t="n"/>
      <c r="AF34" s="24" t="n">
        <v>0.042828</v>
      </c>
      <c r="AG34" s="24" t="n">
        <v>0.045214</v>
      </c>
      <c r="AH34" s="24" t="n">
        <v>0.044502</v>
      </c>
      <c r="AI34" s="24" t="n">
        <v>0.058611</v>
      </c>
      <c r="AJ34" s="25" t="n"/>
      <c r="AK34" s="24" t="n">
        <v>0.042896</v>
      </c>
      <c r="AL34" s="24" t="n">
        <v>0.046222</v>
      </c>
      <c r="AM34" s="24" t="n">
        <v>0.04606</v>
      </c>
      <c r="AN34" s="24" t="n">
        <v>0.060287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-0.758009</v>
      </c>
      <c r="AD40" s="24" t="n">
        <v>-0.642109</v>
      </c>
      <c r="AE40" s="25" t="n"/>
      <c r="AF40" s="24" t="n">
        <v>-0.436094</v>
      </c>
      <c r="AG40" s="24" t="n">
        <v>0.301837</v>
      </c>
      <c r="AH40" s="24" t="n">
        <v>0.686761</v>
      </c>
      <c r="AI40" s="24" t="n">
        <v>0.320976</v>
      </c>
      <c r="AJ40" s="25" t="n"/>
      <c r="AK40" s="24" t="n">
        <v>0.176791</v>
      </c>
      <c r="AL40" s="24" t="n">
        <v>-0.170027</v>
      </c>
      <c r="AM40" s="24" t="n">
        <v>-0.178697</v>
      </c>
      <c r="AN40" s="24" t="n">
        <v>-0.189808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-0.512941</v>
      </c>
      <c r="AD41" s="24" t="n">
        <v>-0.575107</v>
      </c>
      <c r="AE41" s="25" t="n"/>
      <c r="AF41" s="24" t="n">
        <v>-0.483871</v>
      </c>
      <c r="AG41" s="24" t="n">
        <v>-0.347368</v>
      </c>
      <c r="AH41" s="24" t="n">
        <v>-0.130435</v>
      </c>
      <c r="AI41" s="24" t="n">
        <v>-0.126263</v>
      </c>
      <c r="AJ41" s="25" t="n"/>
      <c r="AK41" s="24" t="n">
        <v>-0.125</v>
      </c>
      <c r="AL41" s="24" t="n">
        <v>-0.129032</v>
      </c>
      <c r="AM41" s="24" t="n">
        <v>-0.133333</v>
      </c>
      <c r="AN41" s="24" t="n">
        <v>-0.138728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0.195643</v>
      </c>
      <c r="AD43" s="24" t="n">
        <v>0.195664</v>
      </c>
      <c r="AE43" s="25">
        <f>IFERROR(subQ!AE34/subQ!AE33,"")</f>
        <v/>
      </c>
      <c r="AF43" s="24" t="n">
        <v>0.195667</v>
      </c>
      <c r="AG43" s="24" t="n">
        <v>0.195623</v>
      </c>
      <c r="AH43" s="24" t="n">
        <v>0.195623</v>
      </c>
      <c r="AI43" s="24" t="n">
        <v>0.195642</v>
      </c>
      <c r="AJ43" s="25">
        <f>IFERROR(subQ!AJ34/subQ!AJ33,"")</f>
        <v/>
      </c>
      <c r="AK43" s="24" t="n">
        <v>0.195645</v>
      </c>
      <c r="AL43" s="24" t="n">
        <v>0.19565</v>
      </c>
      <c r="AM43" s="24" t="n">
        <v>0.195656</v>
      </c>
      <c r="AN43" s="24" t="n">
        <v>0.195643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3660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35.0배가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0.1231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4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4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4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4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4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4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4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4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4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4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4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4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4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4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4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4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4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4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4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4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4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4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4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4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4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4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4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4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4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4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4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4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4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4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4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4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4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4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4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4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4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4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4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4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4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4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4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4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4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4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4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4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4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4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4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4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4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4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4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4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4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4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4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4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4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4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4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4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4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4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4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4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4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4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4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4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4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4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4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4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4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4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4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4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4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4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4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4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4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4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4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4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4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4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4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4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4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4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4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4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4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4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4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4" t="n">
        <v>0</v>
      </c>
      <c r="V25" s="18" t="n">
        <v>0</v>
      </c>
      <c r="W25" s="18" t="n">
        <v>0</v>
      </c>
      <c r="Y25" s="18" t="n">
        <v>0</v>
      </c>
      <c r="Z25" s="34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4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4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4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4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4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4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4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4" t="n">
        <v>13496.04</v>
      </c>
      <c r="Q27" s="18" t="n">
        <v>5850.12</v>
      </c>
      <c r="R27" s="18" t="n">
        <v>8849.959999999999</v>
      </c>
      <c r="S27" s="18" t="n">
        <v>4016.64</v>
      </c>
      <c r="T27" s="18" t="n">
        <v>1500</v>
      </c>
      <c r="U27" s="34" t="n">
        <v>1500</v>
      </c>
      <c r="V27" s="18" t="n">
        <v>700</v>
      </c>
      <c r="W27" s="18" t="n">
        <v>2000</v>
      </c>
      <c r="X27" s="18" t="n">
        <v>2000</v>
      </c>
      <c r="Y27" s="18" t="n">
        <v>9700</v>
      </c>
      <c r="Z27" s="34" t="n">
        <v>9700</v>
      </c>
      <c r="AA27" s="18" t="n">
        <v>15700</v>
      </c>
      <c r="AB27" s="19" t="n">
        <v>15700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4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4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4" t="n">
        <v>13496.04</v>
      </c>
      <c r="Q28" s="18" t="n">
        <v>5850.12</v>
      </c>
      <c r="R28" s="18" t="n">
        <v>8849.959999999999</v>
      </c>
      <c r="S28" s="18" t="n">
        <v>4016.64</v>
      </c>
      <c r="T28" s="18" t="n">
        <v>1500</v>
      </c>
      <c r="U28" s="34" t="n">
        <v>1500</v>
      </c>
      <c r="V28" s="18" t="n">
        <v>700</v>
      </c>
      <c r="W28" s="18" t="n">
        <v>2000</v>
      </c>
      <c r="X28" s="18" t="n">
        <v>2000</v>
      </c>
      <c r="Y28" s="18" t="n">
        <v>9700</v>
      </c>
      <c r="Z28" s="34" t="n">
        <v>9700</v>
      </c>
      <c r="AA28" s="18" t="n">
        <v>15700</v>
      </c>
      <c r="AB28" s="19" t="n">
        <v>15700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4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4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4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4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4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4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4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4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4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4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4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4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4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4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4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4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4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4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4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4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4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4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4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4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4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4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4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4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4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4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4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4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4" t="n">
        <v>11603.96</v>
      </c>
      <c r="Q35" s="18" t="n">
        <v>19041.47</v>
      </c>
      <c r="R35" s="18" t="n">
        <v>18478.98</v>
      </c>
      <c r="S35" s="18" t="n">
        <v>24174.88</v>
      </c>
      <c r="T35" s="18" t="n">
        <v>25500</v>
      </c>
      <c r="U35" s="34" t="n">
        <v>25500</v>
      </c>
      <c r="V35" s="18" t="n">
        <v>25500</v>
      </c>
      <c r="W35" s="18" t="n">
        <v>25500</v>
      </c>
      <c r="X35" s="18" t="n">
        <v>27000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4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4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4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4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4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4" t="n">
        <v>22.71</v>
      </c>
      <c r="G37" s="18" t="n">
        <v>19.33</v>
      </c>
      <c r="H37" s="18" t="n">
        <v>79.54000000000001</v>
      </c>
      <c r="I37" s="18" t="n">
        <v>72.28</v>
      </c>
      <c r="J37" s="18" t="n">
        <v>64.83</v>
      </c>
      <c r="K37" s="34" t="n">
        <v>64.83</v>
      </c>
      <c r="L37" s="18" t="n">
        <v>57.2</v>
      </c>
      <c r="M37" s="18" t="n">
        <v>49.37</v>
      </c>
      <c r="N37" s="18" t="n">
        <v>44.7</v>
      </c>
      <c r="O37" s="18" t="n">
        <v>40.67</v>
      </c>
      <c r="P37" s="34" t="n">
        <v>40.67</v>
      </c>
      <c r="Q37" s="18" t="n">
        <v>36.57</v>
      </c>
      <c r="R37" s="18" t="n">
        <v>32.39</v>
      </c>
      <c r="S37" s="18" t="n">
        <v>28.12</v>
      </c>
      <c r="T37" s="18" t="n">
        <v>23.78</v>
      </c>
      <c r="U37" s="34" t="n">
        <v>23.78</v>
      </c>
      <c r="V37" s="18" t="n">
        <v>19.35</v>
      </c>
      <c r="W37" s="18" t="n">
        <v>16.27</v>
      </c>
      <c r="X37" s="18" t="n">
        <v>10.22</v>
      </c>
      <c r="Y37" s="18" t="n">
        <v>5.53</v>
      </c>
      <c r="Z37" s="34" t="n">
        <v>5.53</v>
      </c>
      <c r="AA37" s="18" t="n">
        <v>1.74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630.95</v>
      </c>
      <c r="F38" s="34" t="n">
        <v>630.95</v>
      </c>
      <c r="G38" s="18" t="n">
        <v>512.5599999999999</v>
      </c>
      <c r="H38" s="18" t="n">
        <v>296.88</v>
      </c>
      <c r="I38" s="18" t="n">
        <v>488.56</v>
      </c>
      <c r="J38" s="18" t="n">
        <v>585.95</v>
      </c>
      <c r="K38" s="34" t="n">
        <v>585.95</v>
      </c>
      <c r="L38" s="18" t="n">
        <v>676.79</v>
      </c>
      <c r="M38" s="18" t="n">
        <v>598.76</v>
      </c>
      <c r="N38" s="18" t="n">
        <v>614.64</v>
      </c>
      <c r="O38" s="18" t="n">
        <v>130.51</v>
      </c>
      <c r="P38" s="34" t="n">
        <v>130.51</v>
      </c>
      <c r="Q38" s="18" t="n">
        <v>316.54</v>
      </c>
      <c r="R38" s="18" t="n">
        <v>297.87</v>
      </c>
      <c r="S38" s="18" t="n">
        <v>416.61</v>
      </c>
      <c r="T38" s="18" t="n">
        <v>299.98</v>
      </c>
      <c r="U38" s="34" t="n">
        <v>299.98</v>
      </c>
      <c r="V38" s="18" t="n">
        <v>403.05</v>
      </c>
      <c r="W38" s="18" t="n">
        <v>441.8</v>
      </c>
      <c r="X38" s="18" t="n">
        <v>616.27</v>
      </c>
      <c r="Y38" s="18" t="n">
        <v>340.05</v>
      </c>
      <c r="Z38" s="34" t="n">
        <v>340.05</v>
      </c>
      <c r="AA38" s="18" t="n">
        <v>434.04</v>
      </c>
      <c r="AB38" s="19" t="n">
        <v>475.1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4518.89</v>
      </c>
      <c r="F39" s="34" t="n">
        <v>4518.89</v>
      </c>
      <c r="G39" s="18" t="n">
        <v>4665.37</v>
      </c>
      <c r="H39" s="18" t="n">
        <v>4664.55</v>
      </c>
      <c r="I39" s="18" t="n">
        <v>4776.51</v>
      </c>
      <c r="J39" s="18" t="n">
        <v>4328.76</v>
      </c>
      <c r="K39" s="34" t="n">
        <v>4328.76</v>
      </c>
      <c r="L39" s="18" t="n">
        <v>4355.51</v>
      </c>
      <c r="M39" s="18" t="n">
        <v>4700.07</v>
      </c>
      <c r="N39" s="18" t="n">
        <v>4524.69</v>
      </c>
      <c r="O39" s="18" t="n">
        <v>2608.08</v>
      </c>
      <c r="P39" s="34" t="n">
        <v>2608.08</v>
      </c>
      <c r="Q39" s="18" t="n">
        <v>2521.67</v>
      </c>
      <c r="R39" s="18" t="n">
        <v>2480.24</v>
      </c>
      <c r="S39" s="18" t="n">
        <v>2439.18</v>
      </c>
      <c r="T39" s="18" t="n">
        <v>2174.18</v>
      </c>
      <c r="U39" s="34" t="n">
        <v>2174.18</v>
      </c>
      <c r="V39" s="18" t="n">
        <v>2175.61</v>
      </c>
      <c r="W39" s="18" t="n">
        <v>2251.21</v>
      </c>
      <c r="X39" s="18" t="n">
        <v>2246.71</v>
      </c>
      <c r="Y39" s="18" t="n">
        <v>2473.02</v>
      </c>
      <c r="Z39" s="34" t="n">
        <v>2473.02</v>
      </c>
      <c r="AA39" s="18" t="n">
        <v>2463.75</v>
      </c>
      <c r="AB39" s="19" t="n">
        <v>2413.66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25904.84</v>
      </c>
      <c r="F40" s="34" t="n">
        <v>25904.84</v>
      </c>
      <c r="G40" s="18" t="n">
        <v>44025.35</v>
      </c>
      <c r="H40" s="18" t="n">
        <v>41635.61</v>
      </c>
      <c r="I40" s="18" t="n">
        <v>43205.02</v>
      </c>
      <c r="J40" s="18" t="n">
        <v>41084.32</v>
      </c>
      <c r="K40" s="34" t="n">
        <v>41084.32</v>
      </c>
      <c r="L40" s="18" t="n">
        <v>37871.83</v>
      </c>
      <c r="M40" s="18" t="n">
        <v>36538.79</v>
      </c>
      <c r="N40" s="18" t="n">
        <v>36327.43</v>
      </c>
      <c r="O40" s="18" t="n">
        <v>33427.35</v>
      </c>
      <c r="P40" s="34" t="n">
        <v>33427.35</v>
      </c>
      <c r="Q40" s="18" t="n">
        <v>33287.68</v>
      </c>
      <c r="R40" s="18" t="n">
        <v>37926.64</v>
      </c>
      <c r="S40" s="18" t="n">
        <v>38884.54</v>
      </c>
      <c r="T40" s="18" t="n">
        <v>38829.41</v>
      </c>
      <c r="U40" s="34" t="n">
        <v>38829.41</v>
      </c>
      <c r="V40" s="18" t="n">
        <v>36542.97</v>
      </c>
      <c r="W40" s="18" t="n">
        <v>35746.77</v>
      </c>
      <c r="X40" s="18" t="n">
        <v>37317.51</v>
      </c>
      <c r="Y40" s="18" t="n">
        <v>38267.46</v>
      </c>
      <c r="Z40" s="34" t="n">
        <v>38267.46</v>
      </c>
      <c r="AA40" s="18" t="n">
        <v>38622.78</v>
      </c>
      <c r="AB40" s="19" t="n">
        <v>39634.29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30945.35</v>
      </c>
      <c r="F41" s="34" t="n">
        <v>30945.35</v>
      </c>
      <c r="G41" s="18" t="n">
        <v>31581.67</v>
      </c>
      <c r="H41" s="18" t="n">
        <v>31590.6</v>
      </c>
      <c r="I41" s="18" t="n">
        <v>34474.02</v>
      </c>
      <c r="J41" s="18" t="n">
        <v>33515.97</v>
      </c>
      <c r="K41" s="34" t="n">
        <v>33515.97</v>
      </c>
      <c r="L41" s="18" t="n">
        <v>33999.96</v>
      </c>
      <c r="M41" s="18" t="n">
        <v>35551.78</v>
      </c>
      <c r="N41" s="18" t="n">
        <v>34960.55</v>
      </c>
      <c r="O41" s="18" t="n">
        <v>38022.25</v>
      </c>
      <c r="P41" s="34" t="n">
        <v>38022.25</v>
      </c>
      <c r="Q41" s="18" t="n">
        <v>38072</v>
      </c>
      <c r="R41" s="18" t="n">
        <v>35615.84</v>
      </c>
      <c r="S41" s="18" t="n">
        <v>36906.03</v>
      </c>
      <c r="T41" s="18" t="n">
        <v>37955.35</v>
      </c>
      <c r="U41" s="34" t="n">
        <v>37955.35</v>
      </c>
      <c r="V41" s="18" t="n">
        <v>38745.71</v>
      </c>
      <c r="W41" s="18" t="n">
        <v>39613.65</v>
      </c>
      <c r="X41" s="18" t="n">
        <v>41127.73</v>
      </c>
      <c r="Y41" s="18" t="n">
        <v>45836.29</v>
      </c>
      <c r="Z41" s="34" t="n">
        <v>45836.29</v>
      </c>
      <c r="AA41" s="18" t="n">
        <v>48318.94</v>
      </c>
      <c r="AB41" s="19" t="n">
        <v>52710.25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3072.67</v>
      </c>
      <c r="F42" s="34" t="n">
        <v>3072.67</v>
      </c>
      <c r="G42" s="18" t="n">
        <v>3072.67</v>
      </c>
      <c r="H42" s="18" t="n">
        <v>3072.67</v>
      </c>
      <c r="I42" s="18" t="n">
        <v>3072.67</v>
      </c>
      <c r="J42" s="18" t="n">
        <v>3072.67</v>
      </c>
      <c r="K42" s="34" t="n">
        <v>3072.67</v>
      </c>
      <c r="L42" s="18" t="n">
        <v>3072.67</v>
      </c>
      <c r="M42" s="18" t="n">
        <v>3072.67</v>
      </c>
      <c r="N42" s="18" t="n">
        <v>3072.67</v>
      </c>
      <c r="O42" s="18" t="n">
        <v>3072.67</v>
      </c>
      <c r="P42" s="34" t="n">
        <v>3072.67</v>
      </c>
      <c r="Q42" s="18" t="n">
        <v>3072.67</v>
      </c>
      <c r="R42" s="18" t="n">
        <v>3072.67</v>
      </c>
      <c r="S42" s="18" t="n">
        <v>3072.67</v>
      </c>
      <c r="T42" s="18" t="n">
        <v>3072.67</v>
      </c>
      <c r="U42" s="34" t="n">
        <v>3072.67</v>
      </c>
      <c r="V42" s="18" t="n">
        <v>3072.67</v>
      </c>
      <c r="W42" s="18" t="n">
        <v>3072.67</v>
      </c>
      <c r="X42" s="18" t="n">
        <v>3072.67</v>
      </c>
      <c r="Y42" s="18" t="n">
        <v>3072.67</v>
      </c>
      <c r="Z42" s="34" t="n">
        <v>3072.67</v>
      </c>
      <c r="AA42" s="18" t="n">
        <v>3072.67</v>
      </c>
      <c r="AB42" s="19" t="n">
        <v>3072.67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22064.38</v>
      </c>
      <c r="F43" s="34" t="n">
        <v>22064.38</v>
      </c>
      <c r="G43" s="18" t="n">
        <v>22064.38</v>
      </c>
      <c r="H43" s="18" t="n">
        <v>22064.38</v>
      </c>
      <c r="I43" s="18" t="n">
        <v>22064.38</v>
      </c>
      <c r="J43" s="18" t="n">
        <v>22064.38</v>
      </c>
      <c r="K43" s="34" t="n">
        <v>22064.38</v>
      </c>
      <c r="L43" s="18" t="n">
        <v>22064.38</v>
      </c>
      <c r="M43" s="18" t="n">
        <v>22064.38</v>
      </c>
      <c r="N43" s="18" t="n">
        <v>22064.38</v>
      </c>
      <c r="O43" s="18" t="n">
        <v>22064.38</v>
      </c>
      <c r="P43" s="34" t="n">
        <v>22064.38</v>
      </c>
      <c r="Q43" s="18" t="n">
        <v>21953.97</v>
      </c>
      <c r="R43" s="18" t="n">
        <v>21953.97</v>
      </c>
      <c r="S43" s="18" t="n">
        <v>21960.74</v>
      </c>
      <c r="T43" s="18" t="n">
        <v>21960.74</v>
      </c>
      <c r="U43" s="34" t="n">
        <v>21960.74</v>
      </c>
      <c r="V43" s="18" t="n">
        <v>21960.74</v>
      </c>
      <c r="W43" s="18" t="n">
        <v>21960.74</v>
      </c>
      <c r="X43" s="18" t="n">
        <v>21960.74</v>
      </c>
      <c r="Y43" s="18" t="n">
        <v>21930.31</v>
      </c>
      <c r="Z43" s="34" t="n">
        <v>21930.31</v>
      </c>
      <c r="AA43" s="18" t="n">
        <v>21930.31</v>
      </c>
      <c r="AB43" s="19" t="n">
        <v>21930.31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0</v>
      </c>
      <c r="F44" s="34" t="n">
        <v>0</v>
      </c>
      <c r="G44" s="18" t="n">
        <v>0</v>
      </c>
      <c r="H44" s="18" t="n">
        <v>0</v>
      </c>
      <c r="I44" s="18" t="n">
        <v>0</v>
      </c>
      <c r="J44" s="18" t="n">
        <v>0</v>
      </c>
      <c r="K44" s="34" t="n">
        <v>0</v>
      </c>
      <c r="L44" s="18" t="n">
        <v>0</v>
      </c>
      <c r="M44" s="18" t="n">
        <v>0</v>
      </c>
      <c r="N44" s="18" t="n">
        <v>0</v>
      </c>
      <c r="O44" s="18" t="n">
        <v>0</v>
      </c>
      <c r="P44" s="34" t="n">
        <v>0</v>
      </c>
      <c r="Q44" s="18" t="n">
        <v>0</v>
      </c>
      <c r="R44" s="18" t="n">
        <v>0</v>
      </c>
      <c r="S44" s="18" t="n">
        <v>-141.91</v>
      </c>
      <c r="T44" s="18" t="n">
        <v>-141.91</v>
      </c>
      <c r="U44" s="34" t="n">
        <v>-141.91</v>
      </c>
      <c r="V44" s="18" t="n">
        <v>-141.91</v>
      </c>
      <c r="W44" s="18" t="n">
        <v>-141.91</v>
      </c>
      <c r="X44" s="18" t="n">
        <v>-141.91</v>
      </c>
      <c r="Y44" s="18" t="n">
        <v>-141.91</v>
      </c>
      <c r="Z44" s="34" t="n">
        <v>-141.91</v>
      </c>
      <c r="AA44" s="18" t="n">
        <v>-141.91</v>
      </c>
      <c r="AB44" s="19" t="n">
        <v>-141.91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-58.8</v>
      </c>
      <c r="F45" s="34" t="n">
        <v>-58.8</v>
      </c>
      <c r="G45" s="18" t="n">
        <v>426.31</v>
      </c>
      <c r="H45" s="18" t="n">
        <v>143.93</v>
      </c>
      <c r="I45" s="18" t="n">
        <v>574.83</v>
      </c>
      <c r="J45" s="18" t="n">
        <v>84.87</v>
      </c>
      <c r="K45" s="34" t="n">
        <v>84.87</v>
      </c>
      <c r="L45" s="18" t="n">
        <v>284.11</v>
      </c>
      <c r="M45" s="18" t="n">
        <v>1328.1</v>
      </c>
      <c r="N45" s="18" t="n">
        <v>830.99</v>
      </c>
      <c r="O45" s="18" t="n">
        <v>694.91</v>
      </c>
      <c r="P45" s="34" t="n">
        <v>694.91</v>
      </c>
      <c r="Q45" s="18" t="n">
        <v>387.93</v>
      </c>
      <c r="R45" s="18" t="n">
        <v>254.48</v>
      </c>
      <c r="S45" s="18" t="n">
        <v>119.21</v>
      </c>
      <c r="T45" s="18" t="n">
        <v>-969.72</v>
      </c>
      <c r="U45" s="34" t="n">
        <v>-969.72</v>
      </c>
      <c r="V45" s="18" t="n">
        <v>-950.04</v>
      </c>
      <c r="W45" s="18" t="n">
        <v>-667.1900000000001</v>
      </c>
      <c r="X45" s="18" t="n">
        <v>-667.23</v>
      </c>
      <c r="Y45" s="18" t="n">
        <v>-623.74</v>
      </c>
      <c r="Z45" s="34" t="n">
        <v>-623.74</v>
      </c>
      <c r="AA45" s="18" t="n">
        <v>-640.0700000000001</v>
      </c>
      <c r="AB45" s="19" t="n">
        <v>-802.47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5867.09</v>
      </c>
      <c r="F46" s="34" t="n">
        <v>5867.09</v>
      </c>
      <c r="G46" s="18" t="n">
        <v>6018.3</v>
      </c>
      <c r="H46" s="18" t="n">
        <v>6309.62</v>
      </c>
      <c r="I46" s="18" t="n">
        <v>8762.129999999999</v>
      </c>
      <c r="J46" s="18" t="n">
        <v>8294.040000000001</v>
      </c>
      <c r="K46" s="34" t="n">
        <v>8294.040000000001</v>
      </c>
      <c r="L46" s="18" t="n">
        <v>8578.799999999999</v>
      </c>
      <c r="M46" s="18" t="n">
        <v>9086.629999999999</v>
      </c>
      <c r="N46" s="18" t="n">
        <v>8992.51</v>
      </c>
      <c r="O46" s="18" t="n">
        <v>12190.29</v>
      </c>
      <c r="P46" s="34" t="n">
        <v>12190.29</v>
      </c>
      <c r="Q46" s="18" t="n">
        <v>12657.43</v>
      </c>
      <c r="R46" s="18" t="n">
        <v>10334.72</v>
      </c>
      <c r="S46" s="18" t="n">
        <v>11895.32</v>
      </c>
      <c r="T46" s="18" t="n">
        <v>14033.57</v>
      </c>
      <c r="U46" s="34" t="n">
        <v>14033.57</v>
      </c>
      <c r="V46" s="18" t="n">
        <v>14804.25</v>
      </c>
      <c r="W46" s="18" t="n">
        <v>15389.34</v>
      </c>
      <c r="X46" s="18" t="n">
        <v>16903.46</v>
      </c>
      <c r="Y46" s="18" t="n">
        <v>21598.96</v>
      </c>
      <c r="Z46" s="34" t="n">
        <v>21598.96</v>
      </c>
      <c r="AA46" s="18" t="n">
        <v>24097.94</v>
      </c>
      <c r="AB46" s="19" t="n">
        <v>28651.66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비지배주주지분</t>
        </is>
      </c>
      <c r="E47" s="18" t="n">
        <v>28118.13</v>
      </c>
      <c r="F47" s="34" t="n">
        <v>28118.13</v>
      </c>
      <c r="G47" s="18" t="n">
        <v>27866.96</v>
      </c>
      <c r="H47" s="18" t="n">
        <v>28397.08</v>
      </c>
      <c r="I47" s="18" t="n">
        <v>28534.95</v>
      </c>
      <c r="J47" s="18" t="n">
        <v>29333.62</v>
      </c>
      <c r="K47" s="34" t="n">
        <v>29333.62</v>
      </c>
      <c r="L47" s="18" t="n">
        <v>29759.89</v>
      </c>
      <c r="M47" s="18" t="n">
        <v>29907.34</v>
      </c>
      <c r="N47" s="18" t="n">
        <v>29979.13</v>
      </c>
      <c r="O47" s="18" t="n">
        <v>33166.02</v>
      </c>
      <c r="P47" s="34" t="n">
        <v>33166.02</v>
      </c>
      <c r="Q47" s="18" t="n">
        <v>34135.86</v>
      </c>
      <c r="R47" s="18" t="n">
        <v>34830.07</v>
      </c>
      <c r="S47" s="18" t="n">
        <v>35340</v>
      </c>
      <c r="T47" s="18" t="n">
        <v>38758.62</v>
      </c>
      <c r="U47" s="34" t="n">
        <v>38758.62</v>
      </c>
      <c r="V47" s="18" t="n">
        <v>38988.16</v>
      </c>
      <c r="W47" s="18" t="n">
        <v>39335.48</v>
      </c>
      <c r="X47" s="18" t="n">
        <v>41637.62</v>
      </c>
      <c r="Y47" s="18" t="n">
        <v>45036.05</v>
      </c>
      <c r="Z47" s="34" t="n">
        <v>45036.05</v>
      </c>
      <c r="AA47" s="18" t="n">
        <v>46200.7</v>
      </c>
      <c r="AB47" s="19" t="n">
        <v>48465.03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59063.48</v>
      </c>
      <c r="F48" s="34" t="n">
        <v>59063.48</v>
      </c>
      <c r="G48" s="18" t="n">
        <v>59448.63</v>
      </c>
      <c r="H48" s="18" t="n">
        <v>59987.68</v>
      </c>
      <c r="I48" s="18" t="n">
        <v>63008.97</v>
      </c>
      <c r="J48" s="18" t="n">
        <v>62849.59</v>
      </c>
      <c r="K48" s="34" t="n">
        <v>62849.59</v>
      </c>
      <c r="L48" s="18" t="n">
        <v>63759.85</v>
      </c>
      <c r="M48" s="18" t="n">
        <v>65459.12</v>
      </c>
      <c r="N48" s="18" t="n">
        <v>64939.69</v>
      </c>
      <c r="O48" s="18" t="n">
        <v>71188.27</v>
      </c>
      <c r="P48" s="34" t="n">
        <v>71188.27</v>
      </c>
      <c r="Q48" s="18" t="n">
        <v>72207.86</v>
      </c>
      <c r="R48" s="18" t="n">
        <v>70445.91</v>
      </c>
      <c r="S48" s="18" t="n">
        <v>72246.03</v>
      </c>
      <c r="T48" s="18" t="n">
        <v>76713.97</v>
      </c>
      <c r="U48" s="34" t="n">
        <v>76713.97</v>
      </c>
      <c r="V48" s="18" t="n">
        <v>77733.87</v>
      </c>
      <c r="W48" s="18" t="n">
        <v>78949.13</v>
      </c>
      <c r="X48" s="18" t="n">
        <v>82765.35000000001</v>
      </c>
      <c r="Y48" s="18" t="n">
        <v>90872.35000000001</v>
      </c>
      <c r="Z48" s="34" t="n">
        <v>90872.35000000001</v>
      </c>
      <c r="AA48" s="18" t="n">
        <v>94519.64</v>
      </c>
      <c r="AB48" s="19" t="n">
        <v>101175.28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84968.32000000001</v>
      </c>
      <c r="F49" s="34" t="n">
        <v>84968.32000000001</v>
      </c>
      <c r="G49" s="18" t="n">
        <v>103473.98</v>
      </c>
      <c r="H49" s="18" t="n">
        <v>101623.3</v>
      </c>
      <c r="I49" s="18" t="n">
        <v>106213.99</v>
      </c>
      <c r="J49" s="18" t="n">
        <v>103933.91</v>
      </c>
      <c r="K49" s="34" t="n">
        <v>103933.91</v>
      </c>
      <c r="L49" s="18" t="n">
        <v>101631.68</v>
      </c>
      <c r="M49" s="18" t="n">
        <v>101997.91</v>
      </c>
      <c r="N49" s="18" t="n">
        <v>101267.12</v>
      </c>
      <c r="O49" s="18" t="n">
        <v>104615.62</v>
      </c>
      <c r="P49" s="34" t="n">
        <v>104615.62</v>
      </c>
      <c r="Q49" s="18" t="n">
        <v>105495.54</v>
      </c>
      <c r="R49" s="18" t="n">
        <v>108372.55</v>
      </c>
      <c r="S49" s="18" t="n">
        <v>111130.57</v>
      </c>
      <c r="T49" s="18" t="n">
        <v>115543.39</v>
      </c>
      <c r="U49" s="34" t="n">
        <v>115543.39</v>
      </c>
      <c r="V49" s="18" t="n">
        <v>114276.84</v>
      </c>
      <c r="W49" s="18" t="n">
        <v>114695.9</v>
      </c>
      <c r="X49" s="18" t="n">
        <v>120082.86</v>
      </c>
      <c r="Y49" s="18" t="n">
        <v>129139.81</v>
      </c>
      <c r="Z49" s="34" t="n">
        <v>129139.81</v>
      </c>
      <c r="AA49" s="18" t="n">
        <v>133142.42</v>
      </c>
      <c r="AB49" s="19" t="n">
        <v>140809.57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8814.99</v>
      </c>
      <c r="F50" s="34" t="n">
        <v>8814.99</v>
      </c>
      <c r="G50" s="18" t="n">
        <v>25186.21</v>
      </c>
      <c r="H50" s="18" t="n">
        <v>25100</v>
      </c>
      <c r="I50" s="18" t="n">
        <v>25800</v>
      </c>
      <c r="J50" s="18" t="n">
        <v>25800</v>
      </c>
      <c r="K50" s="34" t="n">
        <v>25800</v>
      </c>
      <c r="L50" s="18" t="n">
        <v>25800</v>
      </c>
      <c r="M50" s="18" t="n">
        <v>25100</v>
      </c>
      <c r="N50" s="18" t="n">
        <v>25100</v>
      </c>
      <c r="O50" s="18" t="n">
        <v>25100</v>
      </c>
      <c r="P50" s="34" t="n">
        <v>25100</v>
      </c>
      <c r="Q50" s="18" t="n">
        <v>24891.59</v>
      </c>
      <c r="R50" s="18" t="n">
        <v>27328.94</v>
      </c>
      <c r="S50" s="18" t="n">
        <v>28191.52</v>
      </c>
      <c r="T50" s="18" t="n">
        <v>27000</v>
      </c>
      <c r="U50" s="34" t="n">
        <v>27000</v>
      </c>
      <c r="V50" s="18" t="n">
        <v>26200</v>
      </c>
      <c r="W50" s="18" t="n">
        <v>27500</v>
      </c>
      <c r="X50" s="18" t="n">
        <v>29000</v>
      </c>
      <c r="Y50" s="18" t="n">
        <v>29000</v>
      </c>
      <c r="Z50" s="34" t="n">
        <v>29000</v>
      </c>
      <c r="AA50" s="18" t="n">
        <v>29000</v>
      </c>
      <c r="AB50" s="19" t="n">
        <v>29000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-4903.09</v>
      </c>
      <c r="F51" s="34" t="n">
        <v>-4903.09</v>
      </c>
      <c r="G51" s="18" t="n">
        <v>12718.97</v>
      </c>
      <c r="H51" s="18" t="n">
        <v>19623.11</v>
      </c>
      <c r="I51" s="18" t="n">
        <v>18526.88</v>
      </c>
      <c r="J51" s="18" t="n">
        <v>17680.74</v>
      </c>
      <c r="K51" s="34" t="n">
        <v>17680.74</v>
      </c>
      <c r="L51" s="18" t="n">
        <v>12595.54</v>
      </c>
      <c r="M51" s="18" t="n">
        <v>9167.09</v>
      </c>
      <c r="N51" s="18" t="n">
        <v>5702.96</v>
      </c>
      <c r="O51" s="18" t="n">
        <v>4757.14</v>
      </c>
      <c r="P51" s="34" t="n">
        <v>4757.14</v>
      </c>
      <c r="Q51" s="18" t="n">
        <v>420.88</v>
      </c>
      <c r="R51" s="18" t="n">
        <v>806.5</v>
      </c>
      <c r="S51" s="18" t="n">
        <v>-313.31</v>
      </c>
      <c r="T51" s="18" t="n">
        <v>-6158.79</v>
      </c>
      <c r="U51" s="34" t="n">
        <v>-6158.79</v>
      </c>
      <c r="V51" s="18" t="n">
        <v>-4387.1</v>
      </c>
      <c r="W51" s="18" t="n">
        <v>-4718.9</v>
      </c>
      <c r="X51" s="18" t="n">
        <v>-7756.5</v>
      </c>
      <c r="Y51" s="18" t="n">
        <v>-14444.64</v>
      </c>
      <c r="Z51" s="34" t="n">
        <v>-14444.64</v>
      </c>
      <c r="AA51" s="18" t="n">
        <v>-18465.4</v>
      </c>
      <c r="AB51" s="19" t="n">
        <v>-24692.88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20609.45</v>
      </c>
      <c r="F52" s="34" t="n">
        <v>20609.45</v>
      </c>
      <c r="G52" s="18" t="n">
        <v>19980.54</v>
      </c>
      <c r="H52" s="18" t="n">
        <v>14146.56</v>
      </c>
      <c r="I52" s="18" t="n">
        <v>16634.19</v>
      </c>
      <c r="J52" s="18" t="n">
        <v>16666.58</v>
      </c>
      <c r="K52" s="34" t="n">
        <v>16666.58</v>
      </c>
      <c r="L52" s="18" t="n">
        <v>21943.13</v>
      </c>
      <c r="M52" s="18" t="n">
        <v>25927.85</v>
      </c>
      <c r="N52" s="18" t="n">
        <v>28645.33</v>
      </c>
      <c r="O52" s="18" t="n">
        <v>29521.01</v>
      </c>
      <c r="P52" s="34" t="n">
        <v>29521.01</v>
      </c>
      <c r="Q52" s="18" t="n">
        <v>33456.81</v>
      </c>
      <c r="R52" s="18" t="n">
        <v>35176.51</v>
      </c>
      <c r="S52" s="18" t="n">
        <v>36498.33</v>
      </c>
      <c r="T52" s="18" t="n">
        <v>40346.61</v>
      </c>
      <c r="U52" s="34" t="n">
        <v>40346.61</v>
      </c>
      <c r="V52" s="18" t="n">
        <v>38173.42</v>
      </c>
      <c r="W52" s="18" t="n">
        <v>40141.43</v>
      </c>
      <c r="X52" s="18" t="n">
        <v>44978.63</v>
      </c>
      <c r="Y52" s="18" t="n">
        <v>51362.93</v>
      </c>
      <c r="Z52" s="34" t="n">
        <v>51362.93</v>
      </c>
      <c r="AA52" s="18" t="n">
        <v>55925.97</v>
      </c>
      <c r="AB52" s="19" t="n">
        <v>63939.75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4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4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4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P54" s="9" t="n"/>
      <c r="T54" s="18" t="n">
        <v>58.75</v>
      </c>
      <c r="U54" s="34" t="n">
        <v>58.75</v>
      </c>
      <c r="V54" s="18" t="n">
        <v>63.56</v>
      </c>
      <c r="W54" s="18" t="n">
        <v>67.15000000000001</v>
      </c>
      <c r="X54" s="18" t="n">
        <v>72.54000000000001</v>
      </c>
      <c r="Y54" s="18" t="n">
        <v>81.48999999999999</v>
      </c>
      <c r="Z54" s="34" t="n">
        <v>81.48999999999999</v>
      </c>
      <c r="AA54" s="18" t="n">
        <v>87.31</v>
      </c>
      <c r="AB54" s="19" t="n">
        <v>77.69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Y55" s="18" t="n">
        <v>8169.29</v>
      </c>
      <c r="Z55" s="34" t="n">
        <v>8169.29</v>
      </c>
      <c r="AA55" s="18" t="n">
        <v>8169.29</v>
      </c>
      <c r="AB55" s="19" t="n">
        <v>8169.29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P56" s="9" t="n"/>
      <c r="U56" s="9" t="n"/>
      <c r="Z56" s="9" t="n"/>
      <c r="AB56" s="19" t="n">
        <v>986.25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21748.81</v>
      </c>
      <c r="F57" s="9" t="n"/>
      <c r="G57" s="18" t="n">
        <v>15376.48</v>
      </c>
      <c r="H57" s="18" t="n">
        <v>14025.4</v>
      </c>
      <c r="I57" s="18" t="n">
        <v>17264.06</v>
      </c>
      <c r="J57" s="18" t="n">
        <v>18371.06</v>
      </c>
      <c r="K57" s="34" t="n">
        <v>65037</v>
      </c>
      <c r="L57" s="18" t="n">
        <v>14527.81</v>
      </c>
      <c r="M57" s="18" t="n">
        <v>13672.86</v>
      </c>
      <c r="N57" s="18" t="n">
        <v>9753.719999999999</v>
      </c>
      <c r="O57" s="18" t="n">
        <v>15017.21</v>
      </c>
      <c r="P57" s="34" t="n">
        <v>52971.6</v>
      </c>
      <c r="Q57" s="18" t="n">
        <v>9913.209999999999</v>
      </c>
      <c r="R57" s="18" t="n">
        <v>11442.1</v>
      </c>
      <c r="S57" s="18" t="n">
        <v>12507.9</v>
      </c>
      <c r="T57" s="18" t="n">
        <v>17930.02</v>
      </c>
      <c r="U57" s="34" t="n">
        <v>51793.23</v>
      </c>
      <c r="V57" s="18" t="n">
        <v>10028.74</v>
      </c>
      <c r="W57" s="18" t="n">
        <v>11587.63</v>
      </c>
      <c r="X57" s="18" t="n">
        <v>13797.76</v>
      </c>
      <c r="Y57" s="18" t="n">
        <v>15259.62</v>
      </c>
      <c r="Z57" s="34" t="n">
        <v>50673.75</v>
      </c>
      <c r="AA57" s="18" t="n">
        <v>12078.79</v>
      </c>
      <c r="AB57" s="19" t="n">
        <v>16228.79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17917.43</v>
      </c>
      <c r="F58" s="9" t="n"/>
      <c r="G58" s="18" t="n">
        <v>13852.56</v>
      </c>
      <c r="H58" s="18" t="n">
        <v>11854.29</v>
      </c>
      <c r="I58" s="18" t="n">
        <v>12570.9</v>
      </c>
      <c r="J58" s="18" t="n">
        <v>15405.7</v>
      </c>
      <c r="K58" s="34" t="n">
        <v>53683.45</v>
      </c>
      <c r="L58" s="18" t="n">
        <v>12022.23</v>
      </c>
      <c r="M58" s="18" t="n">
        <v>11166.29</v>
      </c>
      <c r="N58" s="18" t="n">
        <v>7708.14</v>
      </c>
      <c r="O58" s="18" t="n">
        <v>9351.67</v>
      </c>
      <c r="P58" s="34" t="n">
        <v>40248.33</v>
      </c>
      <c r="Q58" s="18" t="n">
        <v>8070.84</v>
      </c>
      <c r="R58" s="18" t="n">
        <v>8683.49</v>
      </c>
      <c r="S58" s="18" t="n">
        <v>8177.6</v>
      </c>
      <c r="T58" s="18" t="n">
        <v>12755.75</v>
      </c>
      <c r="U58" s="34" t="n">
        <v>37687.68</v>
      </c>
      <c r="V58" s="18" t="n">
        <v>7653.67</v>
      </c>
      <c r="W58" s="18" t="n">
        <v>8714.77</v>
      </c>
      <c r="X58" s="18" t="n">
        <v>8758.02</v>
      </c>
      <c r="Y58" s="18" t="n">
        <v>7847.02</v>
      </c>
      <c r="Z58" s="34" t="n">
        <v>32973.48</v>
      </c>
      <c r="AA58" s="18" t="n">
        <v>8101.95</v>
      </c>
      <c r="AB58" s="19" t="n">
        <v>8844.889999999999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3831.37</v>
      </c>
      <c r="F59" s="9" t="n"/>
      <c r="G59" s="18" t="n">
        <v>1523.93</v>
      </c>
      <c r="H59" s="18" t="n">
        <v>2171.12</v>
      </c>
      <c r="I59" s="18" t="n">
        <v>4693.16</v>
      </c>
      <c r="J59" s="18" t="n">
        <v>2965.36</v>
      </c>
      <c r="K59" s="34" t="n">
        <v>11353.57</v>
      </c>
      <c r="L59" s="18" t="n">
        <v>2505.58</v>
      </c>
      <c r="M59" s="18" t="n">
        <v>2506.57</v>
      </c>
      <c r="N59" s="18" t="n">
        <v>2045.58</v>
      </c>
      <c r="O59" s="18" t="n">
        <v>5665.55</v>
      </c>
      <c r="P59" s="34" t="n">
        <v>12723.28</v>
      </c>
      <c r="Q59" s="18" t="n">
        <v>1842.37</v>
      </c>
      <c r="R59" s="18" t="n">
        <v>2758.6</v>
      </c>
      <c r="S59" s="18" t="n">
        <v>4330.29</v>
      </c>
      <c r="T59" s="18" t="n">
        <v>5174.27</v>
      </c>
      <c r="U59" s="34" t="n">
        <v>14105.53</v>
      </c>
      <c r="V59" s="18" t="n">
        <v>2375.07</v>
      </c>
      <c r="W59" s="18" t="n">
        <v>2872.87</v>
      </c>
      <c r="X59" s="18" t="n">
        <v>5039.74</v>
      </c>
      <c r="Y59" s="18" t="n">
        <v>7412.6</v>
      </c>
      <c r="Z59" s="34" t="n">
        <v>17700.28</v>
      </c>
      <c r="AA59" s="18" t="n">
        <v>3976.84</v>
      </c>
      <c r="AB59" s="19" t="n">
        <v>7383.9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1915.7</v>
      </c>
      <c r="F60" s="9" t="n"/>
      <c r="G60" s="18" t="n">
        <v>1969.61</v>
      </c>
      <c r="H60" s="18" t="n">
        <v>1665.36</v>
      </c>
      <c r="I60" s="18" t="n">
        <v>2002.12</v>
      </c>
      <c r="J60" s="18" t="n">
        <v>2487.69</v>
      </c>
      <c r="K60" s="34" t="n">
        <v>8124.78</v>
      </c>
      <c r="L60" s="18" t="n">
        <v>1947.67</v>
      </c>
      <c r="M60" s="18" t="n">
        <v>1536.92</v>
      </c>
      <c r="N60" s="18" t="n">
        <v>2263.27</v>
      </c>
      <c r="O60" s="18" t="n">
        <v>1682.08</v>
      </c>
      <c r="P60" s="34" t="n">
        <v>7429.94</v>
      </c>
      <c r="Q60" s="18" t="n">
        <v>1872.9</v>
      </c>
      <c r="R60" s="18" t="n">
        <v>1742.66</v>
      </c>
      <c r="S60" s="18" t="n">
        <v>1821.76</v>
      </c>
      <c r="T60" s="18" t="n">
        <v>1754.48</v>
      </c>
      <c r="U60" s="34" t="n">
        <v>7191.8</v>
      </c>
      <c r="V60" s="18" t="n">
        <v>1672.7</v>
      </c>
      <c r="W60" s="18" t="n">
        <v>1587.14</v>
      </c>
      <c r="X60" s="18" t="n">
        <v>1696.39</v>
      </c>
      <c r="Y60" s="18" t="n">
        <v>1880.87</v>
      </c>
      <c r="Z60" s="34" t="n">
        <v>6837.1</v>
      </c>
      <c r="AA60" s="18" t="n">
        <v>1673.27</v>
      </c>
      <c r="AB60" s="19" t="n">
        <v>1451.25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1915.67</v>
      </c>
      <c r="F61" s="9" t="n"/>
      <c r="G61" s="18" t="n">
        <v>-445.69</v>
      </c>
      <c r="H61" s="18" t="n">
        <v>505.76</v>
      </c>
      <c r="I61" s="18" t="n">
        <v>2691.04</v>
      </c>
      <c r="J61" s="18" t="n">
        <v>477.67</v>
      </c>
      <c r="K61" s="34" t="n">
        <v>3228.78</v>
      </c>
      <c r="L61" s="18" t="n">
        <v>557.91</v>
      </c>
      <c r="M61" s="18" t="n">
        <v>969.65</v>
      </c>
      <c r="N61" s="18" t="n">
        <v>-217.68</v>
      </c>
      <c r="O61" s="18" t="n">
        <v>3983.47</v>
      </c>
      <c r="P61" s="34" t="n">
        <v>5293.35</v>
      </c>
      <c r="Q61" s="18" t="n">
        <v>-30.54</v>
      </c>
      <c r="R61" s="18" t="n">
        <v>1015.94</v>
      </c>
      <c r="S61" s="18" t="n">
        <v>2508.54</v>
      </c>
      <c r="T61" s="18" t="n">
        <v>3419.79</v>
      </c>
      <c r="U61" s="34" t="n">
        <v>6913.73</v>
      </c>
      <c r="V61" s="18" t="n">
        <v>702.37</v>
      </c>
      <c r="W61" s="18" t="n">
        <v>1285.73</v>
      </c>
      <c r="X61" s="18" t="n">
        <v>3343.35</v>
      </c>
      <c r="Y61" s="18" t="n">
        <v>5531.72</v>
      </c>
      <c r="Z61" s="34" t="n">
        <v>10863.17</v>
      </c>
      <c r="AA61" s="18" t="n">
        <v>2303.57</v>
      </c>
      <c r="AB61" s="19" t="n">
        <v>5932.66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44.14</v>
      </c>
      <c r="F62" s="9" t="n"/>
      <c r="G62" s="18" t="n">
        <v>54.48</v>
      </c>
      <c r="H62" s="18" t="n">
        <v>-10.65</v>
      </c>
      <c r="I62" s="18" t="n">
        <v>35.18</v>
      </c>
      <c r="J62" s="18" t="n">
        <v>33.51</v>
      </c>
      <c r="K62" s="34" t="n">
        <v>112.52</v>
      </c>
      <c r="L62" s="18" t="n">
        <v>30.51</v>
      </c>
      <c r="M62" s="18" t="n">
        <v>14.13</v>
      </c>
      <c r="N62" s="18" t="n">
        <v>21.12</v>
      </c>
      <c r="O62" s="18" t="n">
        <v>331.85</v>
      </c>
      <c r="P62" s="34" t="n">
        <v>397.61</v>
      </c>
      <c r="Q62" s="18" t="n">
        <v>50.33</v>
      </c>
      <c r="R62" s="18" t="n">
        <v>21.5</v>
      </c>
      <c r="S62" s="18" t="n">
        <v>222.35</v>
      </c>
      <c r="T62" s="18" t="n">
        <v>32.43</v>
      </c>
      <c r="U62" s="34" t="n">
        <v>326.61</v>
      </c>
      <c r="V62" s="18" t="n">
        <v>8.640000000000001</v>
      </c>
      <c r="W62" s="18" t="n">
        <v>44.04</v>
      </c>
      <c r="X62" s="18" t="n">
        <v>18.81</v>
      </c>
      <c r="Y62" s="18" t="n">
        <v>59.27</v>
      </c>
      <c r="Z62" s="34" t="n">
        <v>130.76</v>
      </c>
      <c r="AA62" s="18" t="n">
        <v>44.82</v>
      </c>
      <c r="AB62" s="19" t="n">
        <v>266.91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49.71</v>
      </c>
      <c r="F63" s="9" t="n"/>
      <c r="G63" s="18" t="n">
        <v>54.52</v>
      </c>
      <c r="H63" s="18" t="n">
        <v>64.73</v>
      </c>
      <c r="I63" s="18" t="n">
        <v>36.4</v>
      </c>
      <c r="J63" s="18" t="n">
        <v>35.21</v>
      </c>
      <c r="K63" s="34" t="n">
        <v>190.86</v>
      </c>
      <c r="L63" s="18" t="n">
        <v>34.68</v>
      </c>
      <c r="M63" s="18" t="n">
        <v>25.86</v>
      </c>
      <c r="N63" s="18" t="n">
        <v>18.26</v>
      </c>
      <c r="O63" s="18" t="n">
        <v>333.39</v>
      </c>
      <c r="P63" s="34" t="n">
        <v>412.19</v>
      </c>
      <c r="Q63" s="18" t="n">
        <v>52.17</v>
      </c>
      <c r="R63" s="18" t="n">
        <v>22.26</v>
      </c>
      <c r="S63" s="18" t="n">
        <v>224.67</v>
      </c>
      <c r="T63" s="18" t="n">
        <v>54.04</v>
      </c>
      <c r="U63" s="34" t="n">
        <v>353.14</v>
      </c>
      <c r="V63" s="18" t="n">
        <v>25.19</v>
      </c>
      <c r="W63" s="18" t="n">
        <v>44.5</v>
      </c>
      <c r="X63" s="18" t="n">
        <v>18.44</v>
      </c>
      <c r="Y63" s="18" t="n">
        <v>60.61</v>
      </c>
      <c r="Z63" s="34" t="n">
        <v>148.74</v>
      </c>
      <c r="AA63" s="18" t="n">
        <v>65.09</v>
      </c>
      <c r="AB63" s="19" t="n">
        <v>312.2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-18959.88</v>
      </c>
      <c r="F64" s="9" t="n"/>
      <c r="G64" s="18" t="n">
        <v>0.04</v>
      </c>
      <c r="H64" s="18" t="n">
        <v>75.37</v>
      </c>
      <c r="I64" s="18" t="n">
        <v>1.22</v>
      </c>
      <c r="J64" s="18" t="n">
        <v>1.68</v>
      </c>
      <c r="K64" s="34" t="n">
        <v>78.31</v>
      </c>
      <c r="L64" s="18" t="n">
        <v>4.18</v>
      </c>
      <c r="M64" s="18" t="n">
        <v>11.73</v>
      </c>
      <c r="N64" s="18" t="n">
        <v>-2.86</v>
      </c>
      <c r="O64" s="18" t="n">
        <v>1.54</v>
      </c>
      <c r="P64" s="34" t="n">
        <v>14.59</v>
      </c>
      <c r="Q64" s="18" t="n">
        <v>1.84</v>
      </c>
      <c r="R64" s="18" t="n">
        <v>0.76</v>
      </c>
      <c r="S64" s="18" t="n">
        <v>2.32</v>
      </c>
      <c r="T64" s="18" t="n">
        <v>21.61</v>
      </c>
      <c r="U64" s="34" t="n">
        <v>26.53</v>
      </c>
      <c r="V64" s="18" t="n">
        <v>16.55</v>
      </c>
      <c r="W64" s="18" t="n">
        <v>0.46</v>
      </c>
      <c r="X64" s="18" t="n">
        <v>-0.37</v>
      </c>
      <c r="Y64" s="18" t="n">
        <v>1.34</v>
      </c>
      <c r="Z64" s="34" t="n">
        <v>17.98</v>
      </c>
      <c r="AA64" s="18" t="n">
        <v>20.27</v>
      </c>
      <c r="AB64" s="19" t="n">
        <v>45.29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453.64</v>
      </c>
      <c r="F65" s="9" t="n"/>
      <c r="G65" s="18" t="n">
        <v>280.79</v>
      </c>
      <c r="H65" s="18" t="n">
        <v>36.45</v>
      </c>
      <c r="I65" s="18" t="n">
        <v>702.7</v>
      </c>
      <c r="J65" s="18" t="n">
        <v>-792.24</v>
      </c>
      <c r="K65" s="34" t="n">
        <v>227.7</v>
      </c>
      <c r="L65" s="18" t="n">
        <v>118.42</v>
      </c>
      <c r="M65" s="18" t="n">
        <v>-183.59</v>
      </c>
      <c r="N65" s="18" t="n">
        <v>80.61</v>
      </c>
      <c r="O65" s="18" t="n">
        <v>190.12</v>
      </c>
      <c r="P65" s="34" t="n">
        <v>205.56</v>
      </c>
      <c r="Q65" s="18" t="n">
        <v>517.72</v>
      </c>
      <c r="R65" s="18" t="n">
        <v>-351.08</v>
      </c>
      <c r="S65" s="18" t="n">
        <v>-204.31</v>
      </c>
      <c r="T65" s="18" t="n">
        <v>945.26</v>
      </c>
      <c r="U65" s="34" t="n">
        <v>907.59</v>
      </c>
      <c r="V65" s="18" t="n">
        <v>469.26</v>
      </c>
      <c r="W65" s="18" t="n">
        <v>-283.78</v>
      </c>
      <c r="X65" s="18" t="n">
        <v>847.38</v>
      </c>
      <c r="Y65" s="18" t="n">
        <v>748.6</v>
      </c>
      <c r="Z65" s="34" t="n">
        <v>1781.46</v>
      </c>
      <c r="AA65" s="18" t="n">
        <v>1994.49</v>
      </c>
      <c r="AB65" s="19" t="n">
        <v>2724.06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689.84</v>
      </c>
      <c r="F66" s="9" t="n"/>
      <c r="G66" s="18" t="n">
        <v>453.75</v>
      </c>
      <c r="H66" s="18" t="n">
        <v>314.73</v>
      </c>
      <c r="I66" s="18" t="n">
        <v>959.01</v>
      </c>
      <c r="J66" s="18" t="n">
        <v>-288.23</v>
      </c>
      <c r="K66" s="34" t="n">
        <v>1439.26</v>
      </c>
      <c r="L66" s="18" t="n">
        <v>512.3200000000001</v>
      </c>
      <c r="M66" s="18" t="n">
        <v>223.33</v>
      </c>
      <c r="N66" s="18" t="n">
        <v>515.3099999999999</v>
      </c>
      <c r="O66" s="18" t="n">
        <v>604.74</v>
      </c>
      <c r="P66" s="34" t="n">
        <v>1855.7</v>
      </c>
      <c r="Q66" s="18" t="n">
        <v>812.26</v>
      </c>
      <c r="R66" s="18" t="n">
        <v>323.39</v>
      </c>
      <c r="S66" s="18" t="n">
        <v>414.44</v>
      </c>
      <c r="T66" s="18" t="n">
        <v>1417.13</v>
      </c>
      <c r="U66" s="34" t="n">
        <v>2967.22</v>
      </c>
      <c r="V66" s="18" t="n">
        <v>748.4</v>
      </c>
      <c r="W66" s="18" t="n">
        <v>163.67</v>
      </c>
      <c r="X66" s="18" t="n">
        <v>1046.88</v>
      </c>
      <c r="Y66" s="18" t="n">
        <v>1559.87</v>
      </c>
      <c r="Z66" s="34" t="n">
        <v>3518.82</v>
      </c>
      <c r="AA66" s="18" t="n">
        <v>3963.16</v>
      </c>
      <c r="AB66" s="19" t="n">
        <v>2937.27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-812.4400000000001</v>
      </c>
      <c r="F67" s="9" t="n"/>
      <c r="G67" s="18" t="n">
        <v>172.96</v>
      </c>
      <c r="H67" s="18" t="n">
        <v>278.28</v>
      </c>
      <c r="I67" s="18" t="n">
        <v>256.31</v>
      </c>
      <c r="J67" s="18" t="n">
        <v>504</v>
      </c>
      <c r="K67" s="34" t="n">
        <v>1211.55</v>
      </c>
      <c r="L67" s="18" t="n">
        <v>393.89</v>
      </c>
      <c r="M67" s="18" t="n">
        <v>406.93</v>
      </c>
      <c r="N67" s="18" t="n">
        <v>434.7</v>
      </c>
      <c r="O67" s="18" t="n">
        <v>414.62</v>
      </c>
      <c r="P67" s="34" t="n">
        <v>1650.14</v>
      </c>
      <c r="Q67" s="18" t="n">
        <v>294.54</v>
      </c>
      <c r="R67" s="18" t="n">
        <v>674.47</v>
      </c>
      <c r="S67" s="18" t="n">
        <v>618.75</v>
      </c>
      <c r="T67" s="18" t="n">
        <v>471.87</v>
      </c>
      <c r="U67" s="34" t="n">
        <v>2059.63</v>
      </c>
      <c r="V67" s="18" t="n">
        <v>279.14</v>
      </c>
      <c r="W67" s="18" t="n">
        <v>447.45</v>
      </c>
      <c r="X67" s="18" t="n">
        <v>199.5</v>
      </c>
      <c r="Y67" s="18" t="n">
        <v>811.27</v>
      </c>
      <c r="Z67" s="34" t="n">
        <v>1737.36</v>
      </c>
      <c r="AA67" s="18" t="n">
        <v>1968.67</v>
      </c>
      <c r="AB67" s="19" t="n">
        <v>213.21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2413.46</v>
      </c>
      <c r="F68" s="9" t="n"/>
      <c r="G68" s="18" t="n">
        <v>-110.42</v>
      </c>
      <c r="H68" s="18" t="n">
        <v>531.5599999999999</v>
      </c>
      <c r="I68" s="18" t="n">
        <v>3428.91</v>
      </c>
      <c r="J68" s="18" t="n">
        <v>-281.04</v>
      </c>
      <c r="K68" s="34" t="n">
        <v>3569.01</v>
      </c>
      <c r="L68" s="18" t="n">
        <v>706.84</v>
      </c>
      <c r="M68" s="18" t="n">
        <v>800.1900000000001</v>
      </c>
      <c r="N68" s="18" t="n">
        <v>-115.95</v>
      </c>
      <c r="O68" s="18" t="n">
        <v>4505.44</v>
      </c>
      <c r="P68" s="34" t="n">
        <v>5896.52</v>
      </c>
      <c r="Q68" s="18" t="n">
        <v>537.51</v>
      </c>
      <c r="R68" s="18" t="n">
        <v>686.36</v>
      </c>
      <c r="S68" s="18" t="n">
        <v>2526.57</v>
      </c>
      <c r="T68" s="18" t="n">
        <v>4397.48</v>
      </c>
      <c r="U68" s="34" t="n">
        <v>8147.92</v>
      </c>
      <c r="V68" s="18" t="n">
        <v>1180.26</v>
      </c>
      <c r="W68" s="18" t="n">
        <v>1045.99</v>
      </c>
      <c r="X68" s="18" t="n">
        <v>4209.55</v>
      </c>
      <c r="Y68" s="18" t="n">
        <v>6339.59</v>
      </c>
      <c r="Z68" s="34" t="n">
        <v>12775.39</v>
      </c>
      <c r="AA68" s="18" t="n">
        <v>4342.89</v>
      </c>
      <c r="AB68" s="19" t="n">
        <v>8923.620000000001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521.03</v>
      </c>
      <c r="F69" s="9" t="n"/>
      <c r="G69" s="18" t="n">
        <v>24.66</v>
      </c>
      <c r="H69" s="18" t="n">
        <v>37.11</v>
      </c>
      <c r="I69" s="18" t="n">
        <v>780.4</v>
      </c>
      <c r="J69" s="18" t="n">
        <v>-653.23</v>
      </c>
      <c r="K69" s="34" t="n">
        <v>188.94</v>
      </c>
      <c r="L69" s="18" t="n">
        <v>-9.029999999999999</v>
      </c>
      <c r="M69" s="18" t="n">
        <v>138.78</v>
      </c>
      <c r="N69" s="18" t="n">
        <v>-98.04000000000001</v>
      </c>
      <c r="O69" s="18" t="n">
        <v>-1812.68</v>
      </c>
      <c r="P69" s="34" t="n">
        <v>-1780.97</v>
      </c>
      <c r="Q69" s="18" t="n">
        <v>69.37</v>
      </c>
      <c r="R69" s="18" t="n">
        <v>2401.36</v>
      </c>
      <c r="S69" s="18" t="n">
        <v>299.78</v>
      </c>
      <c r="T69" s="18" t="n">
        <v>-1140.85</v>
      </c>
      <c r="U69" s="34" t="n">
        <v>1629.66</v>
      </c>
      <c r="V69" s="18" t="n">
        <v>169.64</v>
      </c>
      <c r="W69" s="18" t="n">
        <v>129.71</v>
      </c>
      <c r="X69" s="18" t="n">
        <v>383.78</v>
      </c>
      <c r="Y69" s="18" t="n">
        <v>-1593.5</v>
      </c>
      <c r="Z69" s="34" t="n">
        <v>-910.37</v>
      </c>
      <c r="AA69" s="18" t="n">
        <v>668.1900000000001</v>
      </c>
      <c r="AB69" s="19" t="n">
        <v>2171.17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1892.43</v>
      </c>
      <c r="F70" s="9" t="n"/>
      <c r="G70" s="18" t="n">
        <v>-135.08</v>
      </c>
      <c r="H70" s="18" t="n">
        <v>494.45</v>
      </c>
      <c r="I70" s="18" t="n">
        <v>2648.51</v>
      </c>
      <c r="J70" s="18" t="n">
        <v>372.18</v>
      </c>
      <c r="K70" s="34" t="n">
        <v>3380.06</v>
      </c>
      <c r="L70" s="18" t="n">
        <v>715.87</v>
      </c>
      <c r="M70" s="18" t="n">
        <v>661.41</v>
      </c>
      <c r="N70" s="18" t="n">
        <v>-17.92</v>
      </c>
      <c r="O70" s="18" t="n">
        <v>6318.12</v>
      </c>
      <c r="P70" s="34" t="n">
        <v>7677.48</v>
      </c>
      <c r="Q70" s="18" t="n">
        <v>468.14</v>
      </c>
      <c r="R70" s="18" t="n">
        <v>-1715</v>
      </c>
      <c r="S70" s="18" t="n">
        <v>2226.8</v>
      </c>
      <c r="T70" s="18" t="n">
        <v>5538.34</v>
      </c>
      <c r="U70" s="34" t="n">
        <v>6518.28</v>
      </c>
      <c r="V70" s="18" t="n">
        <v>1010.62</v>
      </c>
      <c r="W70" s="18" t="n">
        <v>916.28</v>
      </c>
      <c r="X70" s="18" t="n">
        <v>3825.76</v>
      </c>
      <c r="Y70" s="18" t="n">
        <v>7933.09</v>
      </c>
      <c r="Z70" s="34" t="n">
        <v>13685.75</v>
      </c>
      <c r="AA70" s="18" t="n">
        <v>3674.7</v>
      </c>
      <c r="AB70" s="19" t="n">
        <v>6752.45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1822.28</v>
      </c>
      <c r="F71" s="9" t="n"/>
      <c r="G71" s="18" t="n">
        <v>385.16</v>
      </c>
      <c r="H71" s="18" t="n">
        <v>539.05</v>
      </c>
      <c r="I71" s="18" t="n">
        <v>3021.28</v>
      </c>
      <c r="J71" s="18" t="n">
        <v>-159.38</v>
      </c>
      <c r="K71" s="34" t="n">
        <v>3786.11</v>
      </c>
      <c r="L71" s="18" t="n">
        <v>910.26</v>
      </c>
      <c r="M71" s="18" t="n">
        <v>1699.27</v>
      </c>
      <c r="N71" s="18" t="n">
        <v>-519.4299999999999</v>
      </c>
      <c r="O71" s="18" t="n">
        <v>6248.58</v>
      </c>
      <c r="P71" s="34" t="n">
        <v>8338.68</v>
      </c>
      <c r="Q71" s="18" t="n">
        <v>150.03</v>
      </c>
      <c r="R71" s="18" t="n">
        <v>-1761.96</v>
      </c>
      <c r="S71" s="18" t="n">
        <v>2081.75</v>
      </c>
      <c r="T71" s="18" t="n">
        <v>4467.95</v>
      </c>
      <c r="U71" s="34" t="n">
        <v>4937.77</v>
      </c>
      <c r="V71" s="18" t="n">
        <v>1019.9</v>
      </c>
      <c r="W71" s="18" t="n">
        <v>1215.26</v>
      </c>
      <c r="X71" s="18" t="n">
        <v>3816.22</v>
      </c>
      <c r="Y71" s="18" t="n">
        <v>8137.43</v>
      </c>
      <c r="Z71" s="34" t="n">
        <v>14188.81</v>
      </c>
      <c r="AA71" s="18" t="n">
        <v>3647.3</v>
      </c>
      <c r="AB71" s="19" t="n">
        <v>6655.63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1217.16</v>
      </c>
      <c r="F72" s="9" t="n"/>
      <c r="G72" s="18" t="n">
        <v>108.44</v>
      </c>
      <c r="H72" s="18" t="n">
        <v>175.03</v>
      </c>
      <c r="I72" s="18" t="n">
        <v>2883.42</v>
      </c>
      <c r="J72" s="18" t="n">
        <v>-1112.65</v>
      </c>
      <c r="K72" s="34" t="n">
        <v>2054.24</v>
      </c>
      <c r="L72" s="18" t="n">
        <v>285.76</v>
      </c>
      <c r="M72" s="18" t="n">
        <v>513.73</v>
      </c>
      <c r="N72" s="18" t="n">
        <v>-93.2</v>
      </c>
      <c r="O72" s="18" t="n">
        <v>3134.33</v>
      </c>
      <c r="P72" s="34" t="n">
        <v>3840.62</v>
      </c>
      <c r="Q72" s="18" t="n">
        <v>473.3</v>
      </c>
      <c r="R72" s="18" t="n">
        <v>-2434.95</v>
      </c>
      <c r="S72" s="18" t="n">
        <v>1563.93</v>
      </c>
      <c r="T72" s="18" t="n">
        <v>2135.3</v>
      </c>
      <c r="U72" s="34" t="n">
        <v>1737.58</v>
      </c>
      <c r="V72" s="18" t="n">
        <v>774</v>
      </c>
      <c r="W72" s="18" t="n">
        <v>567.14</v>
      </c>
      <c r="X72" s="18" t="n">
        <v>1517.51</v>
      </c>
      <c r="Y72" s="18" t="n">
        <v>4593.86</v>
      </c>
      <c r="Z72" s="34" t="n">
        <v>7452.51</v>
      </c>
      <c r="AA72" s="18" t="n">
        <v>2502.49</v>
      </c>
      <c r="AB72" s="19" t="n">
        <v>4540.74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787.47</v>
      </c>
      <c r="F73" s="9" t="n"/>
      <c r="G73" s="18" t="n">
        <v>243.52</v>
      </c>
      <c r="H73" s="18" t="n">
        <v>319.43</v>
      </c>
      <c r="I73" s="18" t="n">
        <v>137.87</v>
      </c>
      <c r="J73" s="18" t="n">
        <v>547.24</v>
      </c>
      <c r="K73" s="34" t="n">
        <v>1248.06</v>
      </c>
      <c r="L73" s="18" t="n">
        <v>430.11</v>
      </c>
      <c r="M73" s="18" t="n">
        <v>147.68</v>
      </c>
      <c r="N73" s="18" t="n">
        <v>75.29000000000001</v>
      </c>
      <c r="O73" s="18" t="n">
        <v>3183.8</v>
      </c>
      <c r="P73" s="34" t="n">
        <v>3836.88</v>
      </c>
      <c r="Q73" s="18" t="n">
        <v>-5.16</v>
      </c>
      <c r="R73" s="18" t="n">
        <v>719.95</v>
      </c>
      <c r="S73" s="18" t="n">
        <v>662.87</v>
      </c>
      <c r="T73" s="18" t="n">
        <v>3403.04</v>
      </c>
      <c r="U73" s="34" t="n">
        <v>4780.7</v>
      </c>
      <c r="V73" s="18" t="n">
        <v>236.62</v>
      </c>
      <c r="W73" s="18" t="n">
        <v>349.14</v>
      </c>
      <c r="X73" s="18" t="n">
        <v>2308.25</v>
      </c>
      <c r="Y73" s="18" t="n">
        <v>3339.23</v>
      </c>
      <c r="Z73" s="34" t="n">
        <v>6233.24</v>
      </c>
      <c r="AA73" s="18" t="n">
        <v>1172.22</v>
      </c>
      <c r="AB73" s="19" t="n">
        <v>2211.71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1892.43</v>
      </c>
      <c r="F74" s="9" t="n"/>
      <c r="G74" s="18" t="n">
        <v>-135.08</v>
      </c>
      <c r="H74" s="18" t="n">
        <v>494.45</v>
      </c>
      <c r="I74" s="18" t="n">
        <v>2648.51</v>
      </c>
      <c r="J74" s="18" t="n">
        <v>372.18</v>
      </c>
      <c r="K74" s="34" t="n">
        <v>3380.06</v>
      </c>
      <c r="L74" s="18" t="n">
        <v>715.87</v>
      </c>
      <c r="M74" s="18" t="n">
        <v>661.41</v>
      </c>
      <c r="N74" s="18" t="n">
        <v>-17.92</v>
      </c>
      <c r="O74" s="18" t="n">
        <v>6318.12</v>
      </c>
      <c r="P74" s="34" t="n">
        <v>7677.48</v>
      </c>
      <c r="Q74" s="18" t="n">
        <v>468.14</v>
      </c>
      <c r="R74" s="18" t="n">
        <v>-1715</v>
      </c>
      <c r="S74" s="18" t="n">
        <v>2226.8</v>
      </c>
      <c r="T74" s="18" t="n">
        <v>5538.34</v>
      </c>
      <c r="U74" s="34" t="n">
        <v>6518.28</v>
      </c>
      <c r="V74" s="18" t="n">
        <v>1010.62</v>
      </c>
      <c r="W74" s="18" t="n">
        <v>916.28</v>
      </c>
      <c r="X74" s="18" t="n">
        <v>3825.76</v>
      </c>
      <c r="Y74" s="18" t="n">
        <v>7933.09</v>
      </c>
      <c r="Z74" s="34" t="n">
        <v>13685.75</v>
      </c>
      <c r="AA74" s="18" t="n">
        <v>3674.7</v>
      </c>
      <c r="AB74" s="19" t="n">
        <v>6752.45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2457.05</v>
      </c>
      <c r="F75" s="9" t="n"/>
      <c r="G75" s="18" t="n">
        <v>-1028.77</v>
      </c>
      <c r="H75" s="18" t="n">
        <v>-3735.34</v>
      </c>
      <c r="I75" s="18" t="n">
        <v>1831.9</v>
      </c>
      <c r="J75" s="18" t="n">
        <v>1239.42</v>
      </c>
      <c r="K75" s="34" t="n">
        <v>-1692.79</v>
      </c>
      <c r="L75" s="18" t="n">
        <v>5112.89</v>
      </c>
      <c r="M75" s="18" t="n">
        <v>3585.61</v>
      </c>
      <c r="N75" s="18" t="n">
        <v>3461.97</v>
      </c>
      <c r="O75" s="18" t="n">
        <v>318.91</v>
      </c>
      <c r="P75" s="34" t="n">
        <v>12479.38</v>
      </c>
      <c r="Q75" s="18" t="n">
        <v>3594</v>
      </c>
      <c r="R75" s="18" t="n">
        <v>-230.18</v>
      </c>
      <c r="S75" s="18" t="n">
        <v>1354.48</v>
      </c>
      <c r="T75" s="18" t="n">
        <v>5018.51</v>
      </c>
      <c r="U75" s="34" t="n">
        <v>9736.809999999999</v>
      </c>
      <c r="V75" s="18" t="n">
        <v>-1860.32</v>
      </c>
      <c r="W75" s="18" t="n">
        <v>675.48</v>
      </c>
      <c r="X75" s="18" t="n">
        <v>2521.03</v>
      </c>
      <c r="Y75" s="18" t="n">
        <v>5392.73</v>
      </c>
      <c r="Z75" s="34" t="n">
        <v>6728.92</v>
      </c>
      <c r="AA75" s="18" t="n">
        <v>2812.89</v>
      </c>
      <c r="AB75" s="19" t="n">
        <v>5430.92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G76" s="18" t="n">
        <v>0</v>
      </c>
      <c r="H76" s="18" t="n">
        <v>0.51</v>
      </c>
      <c r="I76" s="18" t="n">
        <v>31.36</v>
      </c>
      <c r="J76" s="18" t="n">
        <v>0</v>
      </c>
      <c r="K76" s="34" t="n">
        <v>31.87</v>
      </c>
      <c r="L76" s="18" t="n">
        <v>0</v>
      </c>
      <c r="M76" s="18" t="n">
        <v>96.40000000000001</v>
      </c>
      <c r="N76" s="18" t="n">
        <v>0</v>
      </c>
      <c r="O76" s="18" t="n">
        <v>0</v>
      </c>
      <c r="P76" s="34" t="n">
        <v>96.40000000000001</v>
      </c>
      <c r="S76" s="18" t="n">
        <v>0</v>
      </c>
      <c r="T76" s="18" t="n">
        <v>0</v>
      </c>
      <c r="U76" s="9" t="n"/>
      <c r="X76" s="18" t="n">
        <v>3.16</v>
      </c>
      <c r="Y76" s="18" t="n">
        <v>9.57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-2.44</v>
      </c>
      <c r="F77" s="9" t="n"/>
      <c r="G77" s="18" t="n">
        <v>-210.79</v>
      </c>
      <c r="H77" s="18" t="n">
        <v>-222.29</v>
      </c>
      <c r="I77" s="18" t="n">
        <v>-245.64</v>
      </c>
      <c r="J77" s="18" t="n">
        <v>-11.7</v>
      </c>
      <c r="K77" s="34" t="n">
        <v>-690.42</v>
      </c>
      <c r="L77" s="18" t="n">
        <v>-99.55</v>
      </c>
      <c r="M77" s="18" t="n">
        <v>-128.36</v>
      </c>
      <c r="N77" s="18" t="n">
        <v>-100.3</v>
      </c>
      <c r="O77" s="18" t="n">
        <v>-110.76</v>
      </c>
      <c r="P77" s="34" t="n">
        <v>-438.97</v>
      </c>
      <c r="Q77" s="18" t="n">
        <v>-39.58</v>
      </c>
      <c r="R77" s="18" t="n">
        <v>-63.81</v>
      </c>
      <c r="S77" s="18" t="n">
        <v>-83.51000000000001</v>
      </c>
      <c r="T77" s="18" t="n">
        <v>-155.74</v>
      </c>
      <c r="U77" s="34" t="n">
        <v>-342.64</v>
      </c>
      <c r="V77" s="18" t="n">
        <v>-1366.89</v>
      </c>
      <c r="W77" s="18" t="n">
        <v>-1585.82</v>
      </c>
      <c r="X77" s="18" t="n">
        <v>-184.75</v>
      </c>
      <c r="Y77" s="18" t="n">
        <v>-6.89</v>
      </c>
      <c r="Z77" s="34" t="n">
        <v>-3144.35</v>
      </c>
      <c r="AA77" s="18" t="n">
        <v>-158.13</v>
      </c>
      <c r="AB77" s="19" t="n">
        <v>-368.97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-333.21</v>
      </c>
      <c r="F78" s="9" t="n"/>
      <c r="G78" s="18" t="n">
        <v>-14413</v>
      </c>
      <c r="H78" s="18" t="n">
        <v>-2989.63</v>
      </c>
      <c r="I78" s="18" t="n">
        <v>-524.1799999999999</v>
      </c>
      <c r="J78" s="18" t="n">
        <v>-149.56</v>
      </c>
      <c r="K78" s="34" t="n">
        <v>-18076.37</v>
      </c>
      <c r="L78" s="18" t="n">
        <v>18.23</v>
      </c>
      <c r="M78" s="18" t="n">
        <v>10.15</v>
      </c>
      <c r="N78" s="18" t="n">
        <v>17.96</v>
      </c>
      <c r="O78" s="18" t="n">
        <v>409.25</v>
      </c>
      <c r="P78" s="34" t="n">
        <v>455.59</v>
      </c>
      <c r="Q78" s="18" t="n">
        <v>443.36</v>
      </c>
      <c r="R78" s="18" t="n">
        <v>-30.35</v>
      </c>
      <c r="S78" s="18" t="n">
        <v>178.75</v>
      </c>
      <c r="T78" s="18" t="n">
        <v>2434.47</v>
      </c>
      <c r="U78" s="34" t="n">
        <v>3026.23</v>
      </c>
      <c r="V78" s="18" t="n">
        <v>-120.95</v>
      </c>
      <c r="W78" s="18" t="n">
        <v>-882.51</v>
      </c>
      <c r="X78" s="18" t="n">
        <v>-5983.97</v>
      </c>
      <c r="Y78" s="18" t="n">
        <v>-3743.78</v>
      </c>
      <c r="Z78" s="34" t="n">
        <v>-10731.21</v>
      </c>
      <c r="AA78" s="18" t="n">
        <v>-4458.81</v>
      </c>
      <c r="AB78" s="19" t="n">
        <v>-8322.719999999999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600</v>
      </c>
      <c r="F79" s="9" t="n"/>
      <c r="G79" s="18" t="n">
        <v>1.36</v>
      </c>
      <c r="H79" s="18" t="n">
        <v>0</v>
      </c>
      <c r="I79" s="18" t="n">
        <v>0</v>
      </c>
      <c r="J79" s="18" t="n">
        <v>4.25</v>
      </c>
      <c r="K79" s="34" t="n">
        <v>5.61</v>
      </c>
      <c r="L79" s="18" t="n">
        <v>0</v>
      </c>
      <c r="M79" s="18" t="n">
        <v>4</v>
      </c>
      <c r="N79" s="18" t="n">
        <v>0</v>
      </c>
      <c r="O79" s="18" t="n">
        <v>0</v>
      </c>
      <c r="P79" s="34" t="n">
        <v>4</v>
      </c>
      <c r="S79" s="18" t="n">
        <v>2.05</v>
      </c>
      <c r="T79" s="18" t="n">
        <v>6.57</v>
      </c>
      <c r="U79" s="9" t="n"/>
      <c r="X79" s="18" t="n">
        <v>0</v>
      </c>
      <c r="Y79" s="18" t="n">
        <v>8.699999999999999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1659.14</v>
      </c>
      <c r="F80" s="9" t="n"/>
      <c r="G80" s="18" t="n">
        <v>16389.08</v>
      </c>
      <c r="H80" s="18" t="n">
        <v>1931.13</v>
      </c>
      <c r="I80" s="18" t="n">
        <v>673.41</v>
      </c>
      <c r="J80" s="18" t="n">
        <v>126.81</v>
      </c>
      <c r="K80" s="34" t="n">
        <v>19120.43</v>
      </c>
      <c r="L80" s="18" t="n">
        <v>1.8</v>
      </c>
      <c r="M80" s="18" t="n">
        <v>36.57</v>
      </c>
      <c r="N80" s="18" t="n">
        <v>4.88</v>
      </c>
      <c r="O80" s="18" t="n">
        <v>70.25</v>
      </c>
      <c r="P80" s="34" t="n">
        <v>113.5</v>
      </c>
      <c r="Q80" s="18" t="n">
        <v>73.62</v>
      </c>
      <c r="R80" s="18" t="n">
        <v>12.5</v>
      </c>
      <c r="S80" s="18" t="n">
        <v>91.13</v>
      </c>
      <c r="T80" s="18" t="n">
        <v>60.7</v>
      </c>
      <c r="U80" s="34" t="n">
        <v>237.95</v>
      </c>
      <c r="V80" s="18" t="n">
        <v>123.47</v>
      </c>
      <c r="W80" s="18" t="n">
        <v>62.74</v>
      </c>
      <c r="X80" s="18" t="n">
        <v>29.68</v>
      </c>
      <c r="Y80" s="18" t="n">
        <v>61.65</v>
      </c>
      <c r="Z80" s="34" t="n">
        <v>277.54</v>
      </c>
      <c r="AA80" s="18" t="n">
        <v>46.47</v>
      </c>
      <c r="AB80" s="19" t="n">
        <v>19.66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1708.64</v>
      </c>
      <c r="F81" s="9" t="n"/>
      <c r="G81" s="18" t="n">
        <v>16389.08</v>
      </c>
      <c r="H81" s="18" t="n">
        <v>1936.63</v>
      </c>
      <c r="I81" s="18" t="n">
        <v>673.41</v>
      </c>
      <c r="J81" s="18" t="n">
        <v>155.56</v>
      </c>
      <c r="K81" s="34" t="n">
        <v>19154.68</v>
      </c>
      <c r="L81" s="18" t="n">
        <v>1.8</v>
      </c>
      <c r="M81" s="18" t="n">
        <v>36.57</v>
      </c>
      <c r="N81" s="18" t="n">
        <v>13.29</v>
      </c>
      <c r="O81" s="18" t="n">
        <v>70.25</v>
      </c>
      <c r="P81" s="34" t="n">
        <v>121.91</v>
      </c>
      <c r="Q81" s="18" t="n">
        <v>73.62</v>
      </c>
      <c r="R81" s="18" t="n">
        <v>12.5</v>
      </c>
      <c r="S81" s="18" t="n">
        <v>97.73</v>
      </c>
      <c r="T81" s="18" t="n">
        <v>60.7</v>
      </c>
      <c r="U81" s="34" t="n">
        <v>244.55</v>
      </c>
      <c r="V81" s="18" t="n">
        <v>123.47</v>
      </c>
      <c r="W81" s="18" t="n">
        <v>62.74</v>
      </c>
      <c r="X81" s="18" t="n">
        <v>29.68</v>
      </c>
      <c r="Y81" s="18" t="n">
        <v>61.65</v>
      </c>
      <c r="Z81" s="34" t="n">
        <v>277.54</v>
      </c>
      <c r="AA81" s="18" t="n">
        <v>47.03</v>
      </c>
      <c r="AB81" s="19" t="n">
        <v>19.66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49.5</v>
      </c>
      <c r="F82" s="9" t="n"/>
      <c r="G82" s="18" t="n">
        <v>0</v>
      </c>
      <c r="H82" s="18" t="n">
        <v>5.5</v>
      </c>
      <c r="I82" s="18" t="n">
        <v>0</v>
      </c>
      <c r="J82" s="18" t="n">
        <v>28.75</v>
      </c>
      <c r="K82" s="34" t="n">
        <v>34.25</v>
      </c>
      <c r="L82" s="18" t="n">
        <v>0</v>
      </c>
      <c r="M82" s="18" t="n">
        <v>0</v>
      </c>
      <c r="N82" s="18" t="n">
        <v>8.41</v>
      </c>
      <c r="O82" s="18" t="n">
        <v>0</v>
      </c>
      <c r="P82" s="34" t="n">
        <v>8.41</v>
      </c>
      <c r="T82" s="18" t="n">
        <v>0</v>
      </c>
      <c r="U82" s="9" t="n"/>
      <c r="Y82" s="18" t="n">
        <v>0</v>
      </c>
      <c r="Z82" s="9" t="n"/>
      <c r="AA82" s="18" t="n">
        <v>0.5600000000000001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4398.03</v>
      </c>
      <c r="F83" s="9" t="n"/>
      <c r="G83" s="18" t="n">
        <v>16160.48</v>
      </c>
      <c r="H83" s="18" t="n">
        <v>-288.55</v>
      </c>
      <c r="I83" s="18" t="n">
        <v>501.91</v>
      </c>
      <c r="J83" s="18" t="n">
        <v>-233.49</v>
      </c>
      <c r="K83" s="34" t="n">
        <v>16140.35</v>
      </c>
      <c r="L83" s="18" t="n">
        <v>-107.59</v>
      </c>
      <c r="M83" s="18" t="n">
        <v>-808.55</v>
      </c>
      <c r="N83" s="18" t="n">
        <v>-110.39</v>
      </c>
      <c r="O83" s="18" t="n">
        <v>-110.44</v>
      </c>
      <c r="P83" s="34" t="n">
        <v>-1136.97</v>
      </c>
      <c r="Q83" s="18" t="n">
        <v>552.6900000000001</v>
      </c>
      <c r="R83" s="18" t="n">
        <v>2328.26</v>
      </c>
      <c r="S83" s="18" t="n">
        <v>471.08</v>
      </c>
      <c r="T83" s="18" t="n">
        <v>-901.2</v>
      </c>
      <c r="U83" s="34" t="n">
        <v>2450.83</v>
      </c>
      <c r="V83" s="18" t="n">
        <v>-592.3099999999999</v>
      </c>
      <c r="W83" s="18" t="n">
        <v>1077.51</v>
      </c>
      <c r="X83" s="18" t="n">
        <v>1494.3</v>
      </c>
      <c r="Y83" s="18" t="n">
        <v>-5.37</v>
      </c>
      <c r="Z83" s="34" t="n">
        <v>1974.13</v>
      </c>
      <c r="AA83" s="18" t="n">
        <v>-5.47</v>
      </c>
      <c r="AB83" s="19" t="n">
        <v>-4.52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5000</v>
      </c>
      <c r="F84" s="9" t="n"/>
      <c r="G84" s="18" t="n">
        <v>8500</v>
      </c>
      <c r="H84" s="18" t="n">
        <v>0</v>
      </c>
      <c r="I84" s="18" t="n">
        <v>0</v>
      </c>
      <c r="J84" s="18" t="n">
        <v>0</v>
      </c>
      <c r="K84" s="34" t="n">
        <v>8500</v>
      </c>
      <c r="L84" s="18" t="n">
        <v>0</v>
      </c>
      <c r="M84" s="18" t="n">
        <v>0</v>
      </c>
      <c r="N84" s="18" t="n">
        <v>0</v>
      </c>
      <c r="O84" s="18" t="n">
        <v>0</v>
      </c>
      <c r="P84" s="34" t="n">
        <v>0</v>
      </c>
      <c r="Q84" s="18" t="n">
        <v>8000</v>
      </c>
      <c r="R84" s="18" t="n">
        <v>0</v>
      </c>
      <c r="S84" s="18" t="n">
        <v>9800</v>
      </c>
      <c r="T84" s="18" t="n">
        <v>7700</v>
      </c>
      <c r="U84" s="34" t="n">
        <v>25500</v>
      </c>
      <c r="V84" s="18" t="n">
        <v>0</v>
      </c>
      <c r="W84" s="18" t="n">
        <v>0</v>
      </c>
      <c r="X84" s="18" t="n">
        <v>1500</v>
      </c>
      <c r="Y84" s="18" t="n">
        <v>0</v>
      </c>
      <c r="Z84" s="34" t="n">
        <v>1500</v>
      </c>
      <c r="AA84" s="18" t="n">
        <v>2000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471.77</v>
      </c>
      <c r="F85" s="9" t="n"/>
      <c r="G85" s="18" t="n">
        <v>210.74</v>
      </c>
      <c r="H85" s="18" t="n">
        <v>202.33</v>
      </c>
      <c r="I85" s="18" t="n">
        <v>198.1</v>
      </c>
      <c r="J85" s="18" t="n">
        <v>233.49</v>
      </c>
      <c r="K85" s="34" t="n">
        <v>844.66</v>
      </c>
      <c r="L85" s="18" t="n">
        <v>107.59</v>
      </c>
      <c r="M85" s="18" t="n">
        <v>108.55</v>
      </c>
      <c r="N85" s="18" t="n">
        <v>110.39</v>
      </c>
      <c r="O85" s="18" t="n">
        <v>110.44</v>
      </c>
      <c r="P85" s="34" t="n">
        <v>436.97</v>
      </c>
      <c r="Q85" s="18" t="n">
        <v>108.47</v>
      </c>
      <c r="R85" s="18" t="n">
        <v>109.09</v>
      </c>
      <c r="S85" s="18" t="n">
        <v>109.87</v>
      </c>
      <c r="U85" s="9" t="n"/>
      <c r="V85" s="18" t="n">
        <v>8.99</v>
      </c>
      <c r="W85" s="18" t="n">
        <v>5.81</v>
      </c>
      <c r="X85" s="18" t="n">
        <v>5.7</v>
      </c>
      <c r="Y85" s="18" t="n">
        <v>5.37</v>
      </c>
      <c r="Z85" s="34" t="n">
        <v>25.87</v>
      </c>
      <c r="AA85" s="18" t="n">
        <v>5.47</v>
      </c>
      <c r="AB85" s="19" t="n">
        <v>4.52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700</v>
      </c>
      <c r="K86" s="34" t="n">
        <v>700</v>
      </c>
      <c r="L86" s="18" t="n">
        <v>0</v>
      </c>
      <c r="M86" s="18" t="n">
        <v>700</v>
      </c>
      <c r="N86" s="18" t="n">
        <v>0</v>
      </c>
      <c r="O86" s="18" t="n">
        <v>0</v>
      </c>
      <c r="P86" s="34" t="n">
        <v>700</v>
      </c>
      <c r="Q86" s="18" t="n">
        <v>8000</v>
      </c>
      <c r="R86" s="18" t="n">
        <v>0</v>
      </c>
      <c r="S86" s="18" t="n">
        <v>4000</v>
      </c>
      <c r="T86" s="18" t="n">
        <v>1100</v>
      </c>
      <c r="U86" s="34" t="n">
        <v>13100</v>
      </c>
      <c r="V86" s="18" t="n">
        <v>800</v>
      </c>
      <c r="W86" s="18" t="n">
        <v>700</v>
      </c>
      <c r="X86" s="18" t="n">
        <v>0</v>
      </c>
      <c r="Y86" s="18" t="n">
        <v>0</v>
      </c>
      <c r="Z86" s="34" t="n">
        <v>1500</v>
      </c>
      <c r="AA86" s="18" t="n">
        <v>2000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128.13</v>
      </c>
      <c r="F87" s="9" t="n"/>
      <c r="G87" s="18" t="n">
        <v>128.78</v>
      </c>
      <c r="H87" s="18" t="n">
        <v>86.20999999999999</v>
      </c>
      <c r="I87" s="18" t="n">
        <v>0</v>
      </c>
      <c r="J87" s="18" t="n">
        <v>0</v>
      </c>
      <c r="K87" s="34" t="n">
        <v>214.99</v>
      </c>
      <c r="L87" s="18" t="n">
        <v>0</v>
      </c>
      <c r="M87" s="18" t="n">
        <v>1600</v>
      </c>
      <c r="N87" s="18" t="n">
        <v>0</v>
      </c>
      <c r="O87" s="18" t="n">
        <v>0</v>
      </c>
      <c r="P87" s="34" t="n">
        <v>1600</v>
      </c>
      <c r="S87" s="18" t="n">
        <v>0</v>
      </c>
      <c r="T87" s="18" t="n">
        <v>1896.04</v>
      </c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P88" s="9" t="n"/>
      <c r="Q88" s="18" t="n">
        <v>208.41</v>
      </c>
      <c r="R88" s="18" t="n">
        <v>562.65</v>
      </c>
      <c r="S88" s="18" t="n">
        <v>4937.42</v>
      </c>
      <c r="T88" s="18" t="n">
        <v>5895.48</v>
      </c>
      <c r="U88" s="34" t="n">
        <v>11603.96</v>
      </c>
      <c r="V88" s="18" t="n">
        <v>0</v>
      </c>
      <c r="W88" s="18" t="n">
        <v>0</v>
      </c>
      <c r="X88" s="18" t="n">
        <v>0</v>
      </c>
      <c r="Y88" s="18" t="n">
        <v>0</v>
      </c>
      <c r="Z88" s="34" t="n">
        <v>0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8000</v>
      </c>
      <c r="H89" s="18" t="n">
        <v>0</v>
      </c>
      <c r="I89" s="18" t="n">
        <v>700</v>
      </c>
      <c r="J89" s="18" t="n">
        <v>700</v>
      </c>
      <c r="K89" s="34" t="n">
        <v>9400</v>
      </c>
      <c r="L89" s="18" t="n">
        <v>0</v>
      </c>
      <c r="M89" s="18" t="n">
        <v>1600</v>
      </c>
      <c r="N89" s="18" t="n">
        <v>0</v>
      </c>
      <c r="O89" s="18" t="n">
        <v>0</v>
      </c>
      <c r="P89" s="34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6515.5</v>
      </c>
      <c r="F90" s="9" t="n"/>
      <c r="G90" s="18" t="n">
        <v>714.59</v>
      </c>
      <c r="H90" s="18" t="n">
        <v>-6990.35</v>
      </c>
      <c r="I90" s="18" t="n">
        <v>1791.02</v>
      </c>
      <c r="J90" s="18" t="n">
        <v>847.8099999999999</v>
      </c>
      <c r="K90" s="34" t="n">
        <v>-3636.93</v>
      </c>
      <c r="L90" s="18" t="n">
        <v>5079.57</v>
      </c>
      <c r="M90" s="18" t="n">
        <v>2736.06</v>
      </c>
      <c r="N90" s="18" t="n">
        <v>3465.68</v>
      </c>
      <c r="O90" s="18" t="n">
        <v>467.51</v>
      </c>
      <c r="P90" s="34" t="n">
        <v>11748.82</v>
      </c>
      <c r="Q90" s="18" t="n">
        <v>4604.57</v>
      </c>
      <c r="R90" s="18" t="n">
        <v>2053.33</v>
      </c>
      <c r="S90" s="18" t="n">
        <v>1982.39</v>
      </c>
      <c r="T90" s="18" t="n">
        <v>6652.21</v>
      </c>
      <c r="U90" s="34" t="n">
        <v>15292.5</v>
      </c>
      <c r="V90" s="18" t="n">
        <v>-2569.93</v>
      </c>
      <c r="W90" s="18" t="n">
        <v>702.9299999999999</v>
      </c>
      <c r="X90" s="18" t="n">
        <v>-1803.02</v>
      </c>
      <c r="Y90" s="18" t="n">
        <v>1637.24</v>
      </c>
      <c r="Z90" s="34" t="n">
        <v>-2032.78</v>
      </c>
      <c r="AA90" s="18" t="n">
        <v>-1642.19</v>
      </c>
      <c r="AB90" s="19" t="n">
        <v>-2900.88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6515.49</v>
      </c>
      <c r="F91" s="9" t="n"/>
      <c r="G91" s="18" t="n">
        <v>10467.24</v>
      </c>
      <c r="H91" s="18" t="n">
        <v>-6990.35</v>
      </c>
      <c r="I91" s="18" t="n">
        <v>1791.03</v>
      </c>
      <c r="J91" s="18" t="n">
        <v>847.8</v>
      </c>
      <c r="K91" s="34" t="n">
        <v>6115.72</v>
      </c>
      <c r="L91" s="18" t="n">
        <v>11195.29</v>
      </c>
      <c r="M91" s="18" t="n">
        <v>2736.06</v>
      </c>
      <c r="N91" s="18" t="n">
        <v>3465.69</v>
      </c>
      <c r="O91" s="18" t="n">
        <v>467.5</v>
      </c>
      <c r="P91" s="34" t="n">
        <v>17864.54</v>
      </c>
      <c r="Q91" s="18" t="n">
        <v>22469.11</v>
      </c>
      <c r="R91" s="18" t="n">
        <v>2053.33</v>
      </c>
      <c r="S91" s="18" t="n">
        <v>1982.39</v>
      </c>
      <c r="T91" s="18" t="n">
        <v>6652.21</v>
      </c>
      <c r="U91" s="34" t="n">
        <v>33157.04</v>
      </c>
      <c r="V91" s="18" t="n">
        <v>30587.1</v>
      </c>
      <c r="W91" s="18" t="n">
        <v>702.9400000000001</v>
      </c>
      <c r="X91" s="18" t="n">
        <v>-1803.02</v>
      </c>
      <c r="Y91" s="18" t="n">
        <v>1637.23</v>
      </c>
      <c r="Z91" s="34" t="n">
        <v>31124.25</v>
      </c>
      <c r="AA91" s="18" t="n">
        <v>29482.06</v>
      </c>
      <c r="AB91" s="19" t="n">
        <v>-2900.88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P92" s="9" t="n"/>
      <c r="Q92" s="18" t="n">
        <v>358.89</v>
      </c>
      <c r="U92" s="9" t="n"/>
      <c r="V92" s="18" t="n">
        <v>384.19</v>
      </c>
      <c r="W92" s="18" t="n">
        <v>77.23</v>
      </c>
      <c r="X92" s="18" t="n">
        <v>373.31</v>
      </c>
      <c r="Y92" s="18" t="n">
        <v>44.75</v>
      </c>
      <c r="Z92" s="34" t="n">
        <v>879.48</v>
      </c>
      <c r="AA92" s="18" t="n">
        <v>397.39</v>
      </c>
      <c r="AB92" s="19" t="n">
        <v>22.53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4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4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4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4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4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4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4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4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4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4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4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4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4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4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4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4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4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4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4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4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4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4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4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4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4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4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4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4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4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4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4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4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4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4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4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4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4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4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4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4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4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4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4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4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4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4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4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4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4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4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4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4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4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4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4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4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4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4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4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4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4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4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4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4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4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4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4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4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4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4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4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4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4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4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4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4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4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4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4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4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4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4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4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4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4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4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4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4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4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4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4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4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4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4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4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4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4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4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4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4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4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4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4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4" t="n">
        <v>0</v>
      </c>
      <c r="V25" s="18" t="n">
        <v>0</v>
      </c>
      <c r="W25" s="18" t="n">
        <v>0</v>
      </c>
      <c r="Y25" s="18" t="n">
        <v>0</v>
      </c>
      <c r="Z25" s="34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4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4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4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4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4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4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4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4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4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4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4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4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4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4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4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4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4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4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4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4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4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4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4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4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4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4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4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4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4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4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4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4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4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4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4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4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4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4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4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4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4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4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4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4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4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4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4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4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4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4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4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4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4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4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4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4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4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4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4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4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4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4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4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4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4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4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4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4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4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4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4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4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4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4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4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4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4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4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4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4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4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4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4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4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4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4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4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4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4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4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4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4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4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4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4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4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4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4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4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4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4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4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4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4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4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4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4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4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4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4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4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4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4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4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4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4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4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4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4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4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4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4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4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4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4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4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4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4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4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4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4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4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4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4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4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4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4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4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4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4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4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4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4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4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4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4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4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4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4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4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4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4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4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4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4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4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4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4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4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4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4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4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4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4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4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4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4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4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4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4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4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4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4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4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4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4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4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4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4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4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4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4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4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4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4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4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4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4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4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4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4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4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4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4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4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4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4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4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4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4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4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4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4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4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4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4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4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4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4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4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4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4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4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4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4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4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4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4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4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4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4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4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4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4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4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4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4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4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4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4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4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4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4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4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4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4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4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4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4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4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4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4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4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4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4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4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4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4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4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4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0.0881</v>
      </c>
      <c r="F10" s="34" t="n"/>
      <c r="G10" s="18" t="n">
        <v>-0.029</v>
      </c>
      <c r="H10" s="18" t="n">
        <v>0.0361</v>
      </c>
      <c r="I10" s="18" t="n">
        <v>0.1559</v>
      </c>
      <c r="J10" s="18" t="n">
        <v>0.026</v>
      </c>
      <c r="K10" s="34">
        <f>SUM(G10:J10)</f>
        <v/>
      </c>
      <c r="L10" s="18" t="n">
        <v>0.0384</v>
      </c>
      <c r="M10" s="18" t="n">
        <v>0.0709</v>
      </c>
      <c r="N10" s="18" t="n">
        <v>-0.0223</v>
      </c>
      <c r="O10" s="18" t="n">
        <v>0.2653</v>
      </c>
      <c r="P10" s="34">
        <f>SUM(L10:O10)</f>
        <v/>
      </c>
      <c r="Q10" s="18" t="n">
        <v>-0.0031</v>
      </c>
      <c r="R10" s="18" t="n">
        <v>0.0888</v>
      </c>
      <c r="S10" s="18" t="n">
        <v>0.2006</v>
      </c>
      <c r="T10" s="18" t="n">
        <v>0.1907</v>
      </c>
      <c r="U10" s="34">
        <f>SUM(Q10:T10)</f>
        <v/>
      </c>
      <c r="V10" s="18" t="n">
        <v>0.07000000000000001</v>
      </c>
      <c r="W10" s="18" t="n">
        <v>0.111</v>
      </c>
      <c r="X10" s="18" t="n">
        <v>0.2423</v>
      </c>
      <c r="Y10" s="18" t="n">
        <v>0.3625</v>
      </c>
      <c r="Z10" s="34">
        <f>SUM(V10:Y10)</f>
        <v/>
      </c>
      <c r="AA10" s="18" t="n">
        <v>0.1907</v>
      </c>
      <c r="AB10" s="19" t="n">
        <v>0.3656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24.57</v>
      </c>
      <c r="F26" s="34" t="n"/>
      <c r="G26" s="18" t="n">
        <v>-10.29</v>
      </c>
      <c r="H26" s="18" t="n">
        <v>-37.35</v>
      </c>
      <c r="I26" s="18" t="n">
        <v>18.32</v>
      </c>
      <c r="J26" s="18" t="n">
        <v>12.39</v>
      </c>
      <c r="K26" s="34">
        <f>SUM(G26:J26)</f>
        <v/>
      </c>
      <c r="L26" s="18" t="n">
        <v>51.13</v>
      </c>
      <c r="M26" s="18" t="n">
        <v>35.86</v>
      </c>
      <c r="N26" s="18" t="n">
        <v>34.62</v>
      </c>
      <c r="O26" s="18" t="n">
        <v>3.19</v>
      </c>
      <c r="P26" s="34">
        <f>SUM(L26:O26)</f>
        <v/>
      </c>
      <c r="Q26" s="18" t="n">
        <v>35.94</v>
      </c>
      <c r="R26" s="18" t="n">
        <v>-2.3</v>
      </c>
      <c r="S26" s="18" t="n">
        <v>13.54</v>
      </c>
      <c r="T26" s="18" t="n">
        <v>50.19</v>
      </c>
      <c r="U26" s="34">
        <f>SUM(Q26:T26)</f>
        <v/>
      </c>
      <c r="V26" s="18" t="n">
        <v>-18.6</v>
      </c>
      <c r="W26" s="18" t="n">
        <v>6.75</v>
      </c>
      <c r="X26" s="18" t="n">
        <v>25.21</v>
      </c>
      <c r="Y26" s="18" t="n">
        <v>53.93</v>
      </c>
      <c r="Z26" s="34">
        <f>SUM(V26:Y26)</f>
        <v/>
      </c>
      <c r="AA26" s="18" t="n">
        <v>28.13</v>
      </c>
      <c r="AB26" s="19" t="n">
        <v>54.31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30.727</v>
      </c>
      <c r="F27" s="27">
        <f>E27</f>
        <v/>
      </c>
      <c r="G27" s="26" t="n">
        <v>30.727</v>
      </c>
      <c r="H27" s="26" t="n">
        <v>30.727</v>
      </c>
      <c r="I27" s="26" t="n">
        <v>30.727</v>
      </c>
      <c r="J27" s="26" t="n">
        <v>30.727</v>
      </c>
      <c r="K27" s="27">
        <f>J27</f>
        <v/>
      </c>
      <c r="L27" s="26" t="n">
        <v>30.727</v>
      </c>
      <c r="M27" s="26" t="n">
        <v>30.727</v>
      </c>
      <c r="N27" s="26" t="n">
        <v>30.727</v>
      </c>
      <c r="O27" s="26" t="n">
        <v>30.727</v>
      </c>
      <c r="P27" s="27">
        <f>O27</f>
        <v/>
      </c>
      <c r="Q27" s="26" t="n">
        <v>30.727</v>
      </c>
      <c r="R27" s="26" t="n">
        <v>30.727</v>
      </c>
      <c r="S27" s="26" t="n">
        <v>30.727</v>
      </c>
      <c r="T27" s="26" t="n">
        <v>30.681</v>
      </c>
      <c r="U27" s="27">
        <f>T27</f>
        <v/>
      </c>
      <c r="V27" s="26" t="n">
        <v>30.681</v>
      </c>
      <c r="W27" s="26" t="n">
        <v>30.681</v>
      </c>
      <c r="X27" s="26" t="n">
        <v>30.681</v>
      </c>
      <c r="Y27" s="26" t="n">
        <v>30.681</v>
      </c>
      <c r="Z27" s="27">
        <f>Y27</f>
        <v/>
      </c>
      <c r="AA27" s="26" t="n">
        <v>30.681</v>
      </c>
      <c r="AB27" s="28" t="n">
        <v>30.681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29.66</v>
      </c>
      <c r="J31" s="18" t="n">
        <v>57.2</v>
      </c>
      <c r="K31" s="34">
        <f>SUM(G31:J31)</f>
        <v/>
      </c>
      <c r="L31" s="18" t="n">
        <v>43.31</v>
      </c>
      <c r="M31" s="18" t="n">
        <v>42.95</v>
      </c>
      <c r="N31" s="18" t="n"/>
      <c r="O31" s="18" t="n">
        <v>24.13</v>
      </c>
      <c r="P31" s="34">
        <f>SUM(L31:O31)</f>
        <v/>
      </c>
      <c r="Q31" s="18" t="n">
        <v>22.37</v>
      </c>
      <c r="R31" s="18" t="n">
        <v>88.25</v>
      </c>
      <c r="S31" s="18" t="n">
        <v>37.2</v>
      </c>
      <c r="T31" s="18" t="n">
        <v>63.42</v>
      </c>
      <c r="U31" s="34">
        <f>SUM(Q31:T31)</f>
        <v/>
      </c>
      <c r="V31" s="18" t="n">
        <v>71.04000000000001</v>
      </c>
      <c r="W31" s="18" t="n">
        <v>27.77</v>
      </c>
      <c r="X31" s="18" t="n">
        <v>34.96</v>
      </c>
      <c r="Y31" s="18" t="n">
        <v>28.64</v>
      </c>
      <c r="Z31" s="34">
        <f>SUM(V31:Y31)</f>
        <v/>
      </c>
      <c r="AA31" s="18" t="n">
        <v>19.56</v>
      </c>
      <c r="AB31" s="19" t="n">
        <v>11.43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2.7</v>
      </c>
      <c r="F32" s="34" t="n">
        <v>2.61</v>
      </c>
      <c r="G32" s="18" t="n">
        <v>2.66</v>
      </c>
      <c r="H32" s="18" t="n">
        <v>3.58</v>
      </c>
      <c r="I32" s="18" t="n">
        <v>3.77</v>
      </c>
      <c r="J32" s="18" t="n">
        <v>3.5</v>
      </c>
      <c r="K32" s="34">
        <f>SUM(G32:J32)</f>
        <v/>
      </c>
      <c r="L32" s="18" t="n">
        <v>2.84</v>
      </c>
      <c r="M32" s="18" t="n">
        <v>3.1</v>
      </c>
      <c r="N32" s="18" t="n">
        <v>3.42</v>
      </c>
      <c r="O32" s="18" t="n">
        <v>2.44</v>
      </c>
      <c r="P32" s="34">
        <f>SUM(L32:O32)</f>
        <v/>
      </c>
      <c r="Q32" s="18" t="n">
        <v>2.37</v>
      </c>
      <c r="R32" s="18" t="n">
        <v>2.68</v>
      </c>
      <c r="S32" s="18" t="n">
        <v>2.76</v>
      </c>
      <c r="T32" s="18" t="n">
        <v>2.91</v>
      </c>
      <c r="U32" s="34">
        <f>SUM(Q32:T32)</f>
        <v/>
      </c>
      <c r="V32" s="18" t="n">
        <v>3.74</v>
      </c>
      <c r="W32" s="18" t="n">
        <v>3.53</v>
      </c>
      <c r="X32" s="18" t="n">
        <v>4.25</v>
      </c>
      <c r="Y32" s="18" t="n">
        <v>4.66</v>
      </c>
      <c r="Z32" s="34">
        <f>SUM(V32:Y32)</f>
        <v/>
      </c>
      <c r="AA32" s="18" t="n">
        <v>3.72</v>
      </c>
      <c r="AB32" s="19" t="n">
        <v>2.85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217.49</v>
      </c>
      <c r="F33" s="34" t="n"/>
      <c r="G33" s="18" t="n">
        <v>153.76</v>
      </c>
      <c r="H33" s="18" t="n">
        <v>140.25</v>
      </c>
      <c r="I33" s="18" t="n">
        <v>172.64</v>
      </c>
      <c r="J33" s="18" t="n">
        <v>183.71</v>
      </c>
      <c r="K33" s="34">
        <f>SUM(G33:J33)</f>
        <v/>
      </c>
      <c r="L33" s="18" t="n">
        <v>145.28</v>
      </c>
      <c r="M33" s="18" t="n">
        <v>136.73</v>
      </c>
      <c r="N33" s="18" t="n">
        <v>97.54000000000001</v>
      </c>
      <c r="O33" s="18" t="n">
        <v>150.17</v>
      </c>
      <c r="P33" s="34">
        <f>SUM(L33:O33)</f>
        <v/>
      </c>
      <c r="Q33" s="18" t="n">
        <v>99.13</v>
      </c>
      <c r="R33" s="18" t="n">
        <v>114.42</v>
      </c>
      <c r="S33" s="18" t="n">
        <v>125.08</v>
      </c>
      <c r="T33" s="18" t="n">
        <v>179.3</v>
      </c>
      <c r="U33" s="34">
        <f>SUM(Q33:T33)</f>
        <v/>
      </c>
      <c r="V33" s="18" t="n">
        <v>100.29</v>
      </c>
      <c r="W33" s="18" t="n">
        <v>115.88</v>
      </c>
      <c r="X33" s="18" t="n">
        <v>137.98</v>
      </c>
      <c r="Y33" s="18" t="n">
        <v>152.6</v>
      </c>
      <c r="Z33" s="34">
        <f>SUM(V33:Y33)</f>
        <v/>
      </c>
      <c r="AA33" s="18" t="n">
        <v>120.79</v>
      </c>
      <c r="AB33" s="19" t="n">
        <v>162.29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19.16</v>
      </c>
      <c r="F34" s="34" t="n"/>
      <c r="G34" s="18" t="n">
        <v>-4.46</v>
      </c>
      <c r="H34" s="18" t="n">
        <v>5.06</v>
      </c>
      <c r="I34" s="18" t="n">
        <v>26.91</v>
      </c>
      <c r="J34" s="18" t="n">
        <v>4.78</v>
      </c>
      <c r="K34" s="34">
        <f>SUM(G34:J34)</f>
        <v/>
      </c>
      <c r="L34" s="18" t="n">
        <v>5.58</v>
      </c>
      <c r="M34" s="18" t="n">
        <v>9.699999999999999</v>
      </c>
      <c r="N34" s="18" t="n">
        <v>-2.18</v>
      </c>
      <c r="O34" s="18" t="n">
        <v>39.83</v>
      </c>
      <c r="P34" s="34">
        <f>SUM(L34:O34)</f>
        <v/>
      </c>
      <c r="Q34" s="18" t="n">
        <v>-0.31</v>
      </c>
      <c r="R34" s="18" t="n">
        <v>10.16</v>
      </c>
      <c r="S34" s="18" t="n">
        <v>25.09</v>
      </c>
      <c r="T34" s="18" t="n">
        <v>34.2</v>
      </c>
      <c r="U34" s="34">
        <f>SUM(Q34:T34)</f>
        <v/>
      </c>
      <c r="V34" s="18" t="n">
        <v>7.02</v>
      </c>
      <c r="W34" s="18" t="n">
        <v>12.86</v>
      </c>
      <c r="X34" s="18" t="n">
        <v>33.43</v>
      </c>
      <c r="Y34" s="18" t="n">
        <v>55.32</v>
      </c>
      <c r="Z34" s="34">
        <f>SUM(V34:Y34)</f>
        <v/>
      </c>
      <c r="AA34" s="18" t="n">
        <v>23.04</v>
      </c>
      <c r="AB34" s="19" t="n">
        <v>59.33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246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14.88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0.1432</v>
      </c>
    </row>
    <row r="34">
      <c r="C34" s="2" t="inlineStr">
        <is>
          <t>fair_pbr</t>
        </is>
      </c>
      <c r="D34" t="n">
        <v>1.59</v>
      </c>
    </row>
    <row r="35">
      <c r="C35" s="2" t="inlineStr">
        <is>
          <t>fair_value_pbr</t>
        </is>
      </c>
      <c r="D35" t="n">
        <v>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