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85181억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88310억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91234억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94611억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99305억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105085억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111436억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117858억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123684억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3절 스칼라 '판관비율' 참조 — 숫자로 덮어쓰면 이 분기만 바뀐다
매출액 × 판관비율 12.31%(최근 4분기 중위)</t>
      </text>
    </comment>
    <comment ref="AD22" authorId="0" shapeId="0">
      <text>
        <t>3절 스칼라 '판관비율' 참조 — 숫자로 덮어쓰면 이 분기만 바뀐다
매출액 × 판관비율 12.31%(최근 4분기 중위)</t>
      </text>
    </comment>
    <comment ref="AF22" authorId="0" shapeId="0">
      <text>
        <t>3절 스칼라 '판관비율' 참조 — 숫자로 덮어쓰면 이 분기만 바뀐다
매출액 × 판관비율 12.31%(최근 4분기 중위)</t>
      </text>
    </comment>
    <comment ref="AG22" authorId="0" shapeId="0">
      <text>
        <t>3절 스칼라 '판관비율' 참조 — 숫자로 덮어쓰면 이 분기만 바뀐다
매출액 × 판관비율 12.31%(최근 4분기 중위)</t>
      </text>
    </comment>
    <comment ref="AH22" authorId="0" shapeId="0">
      <text>
        <t>3절 스칼라 '판관비율' 참조 — 숫자로 덮어쓰면 이 분기만 바뀐다
매출액 × 판관비율 12.31%(최근 4분기 중위)</t>
      </text>
    </comment>
    <comment ref="AI22" authorId="0" shapeId="0">
      <text>
        <t>3절 스칼라 '판관비율' 참조 — 숫자로 덮어쓰면 이 분기만 바뀐다
매출액 × 판관비율 12.31%(최근 4분기 중위)</t>
      </text>
    </comment>
    <comment ref="AK22" authorId="0" shapeId="0">
      <text>
        <t>3절 스칼라 '판관비율' 참조 — 숫자로 덮어쓰면 이 분기만 바뀐다
매출액 × 판관비율 12.31%(최근 4분기 중위)</t>
      </text>
    </comment>
    <comment ref="AL22" authorId="0" shapeId="0">
      <text>
        <t>3절 스칼라 '판관비율' 참조 — 숫자로 덮어쓰면 이 분기만 바뀐다
매출액 × 판관비율 12.31%(최근 4분기 중위)</t>
      </text>
    </comment>
    <comment ref="AM22" authorId="0" shapeId="0">
      <text>
        <t>3절 스칼라 '판관비율' 참조 — 숫자로 덮어쓰면 이 분기만 바뀐다
매출액 × 판관비율 12.31%(최근 4분기 중위)</t>
      </text>
    </comment>
    <comment ref="AN22" authorId="0" shapeId="0">
      <text>
        <t>3절 스칼라 '판관비율' 참조 — 숫자로 덮어쓰면 이 분기만 바뀐다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D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F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G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H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I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K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L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M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N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C27" authorId="0" shapeId="0">
      <text>
        <t>3절 스칼라 '지배주주비중' 참조 — 숫자로 덮어쓰면 이 분기만 바뀐다
당기순이익 × (1 − 비지배 비중 42.9%, 최근 8분기 실측)</t>
      </text>
    </comment>
    <comment ref="AD27" authorId="0" shapeId="0">
      <text>
        <t>3절 스칼라 '지배주주비중' 참조 — 숫자로 덮어쓰면 이 분기만 바뀐다
당기순이익 × (1 − 비지배 비중 42.9%, 최근 8분기 실측)</t>
      </text>
    </comment>
    <comment ref="AF27" authorId="0" shapeId="0">
      <text>
        <t>3절 스칼라 '지배주주비중' 참조 — 숫자로 덮어쓰면 이 분기만 바뀐다
당기순이익 × (1 − 비지배 비중 42.9%, 최근 8분기 실측)</t>
      </text>
    </comment>
    <comment ref="AG27" authorId="0" shapeId="0">
      <text>
        <t>3절 스칼라 '지배주주비중' 참조 — 숫자로 덮어쓰면 이 분기만 바뀐다
당기순이익 × (1 − 비지배 비중 42.9%, 최근 8분기 실측)</t>
      </text>
    </comment>
    <comment ref="AH27" authorId="0" shapeId="0">
      <text>
        <t>3절 스칼라 '지배주주비중' 참조 — 숫자로 덮어쓰면 이 분기만 바뀐다
당기순이익 × (1 − 비지배 비중 42.9%, 최근 8분기 실측)</t>
      </text>
    </comment>
    <comment ref="AI27" authorId="0" shapeId="0">
      <text>
        <t>3절 스칼라 '지배주주비중' 참조 — 숫자로 덮어쓰면 이 분기만 바뀐다
당기순이익 × (1 − 비지배 비중 42.9%, 최근 8분기 실측)</t>
      </text>
    </comment>
    <comment ref="AK27" authorId="0" shapeId="0">
      <text>
        <t>3절 스칼라 '지배주주비중' 참조 — 숫자로 덮어쓰면 이 분기만 바뀐다
당기순이익 × (1 − 비지배 비중 42.9%, 최근 8분기 실측)</t>
      </text>
    </comment>
    <comment ref="AL27" authorId="0" shapeId="0">
      <text>
        <t>3절 스칼라 '지배주주비중' 참조 — 숫자로 덮어쓰면 이 분기만 바뀐다
당기순이익 × (1 − 비지배 비중 42.9%, 최근 8분기 실측)</t>
      </text>
    </comment>
    <comment ref="AM27" authorId="0" shapeId="0">
      <text>
        <t>3절 스칼라 '지배주주비중' 참조 — 숫자로 덮어쓰면 이 분기만 바뀐다
당기순이익 × (1 − 비지배 비중 42.9%, 최근 8분기 실측)</t>
      </text>
    </comment>
    <comment ref="AN27" authorId="0" shapeId="0">
      <text>
        <t>3절 스칼라 '지배주주비중' 참조 — 숫자로 덮어쓰면 이 분기만 바뀐다
당기순이익 × (1 − 비지배 비중 42.9%,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85181억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88310억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91234억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94611억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99305억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105085억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111436억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117858억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123684억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AC10" authorId="0" shapeId="0">
      <text>
        <t>추정: 최근 8분기 OPM 중위 19.6% 유지
[divide]</t>
      </text>
    </comment>
    <comment ref="AD10" authorId="0" shapeId="0">
      <text>
        <t>추정: 최근 8분기 OPM 중위 19.6% 유지
[divide]</t>
      </text>
    </comment>
    <comment ref="AF10" authorId="0" shapeId="0">
      <text>
        <t>추정: 최근 8분기 OPM 중위 19.6% 유지
[divide]</t>
      </text>
    </comment>
    <comment ref="AG10" authorId="0" shapeId="0">
      <text>
        <t>추정: 최근 8분기 OPM 중위 19.6% 유지
[divide]</t>
      </text>
    </comment>
    <comment ref="AH10" authorId="0" shapeId="0">
      <text>
        <t>추정: 최근 8분기 OPM 중위 19.6% 유지
[divide]</t>
      </text>
    </comment>
    <comment ref="AI10" authorId="0" shapeId="0">
      <text>
        <t>추정: 최근 8분기 OPM 중위 19.6% 유지
[divide]</t>
      </text>
    </comment>
    <comment ref="AK10" authorId="0" shapeId="0">
      <text>
        <t>추정: 최근 8분기 OPM 중위 19.6% 유지
[divide]</t>
      </text>
    </comment>
    <comment ref="AL10" authorId="0" shapeId="0">
      <text>
        <t>추정: 최근 8분기 OPM 중위 19.6% 유지
[divide]</t>
      </text>
    </comment>
    <comment ref="AM10" authorId="0" shapeId="0">
      <text>
        <t>추정: 최근 8분기 OPM 중위 19.6% 유지
[divide]</t>
      </text>
    </comment>
    <comment ref="AN10" authorId="0" shapeId="0">
      <text>
        <t>추정: 최근 8분기 OPM 중위 19.6%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926억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[interest]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[interest]</t>
      </text>
    </comment>
    <comment ref="AF12" authorId="0" shapeId="0">
      <text>
        <t>추정: 이자발생자산 698억 × 1.66%(주석 이자수익 ÷ 평균 이자발생자산(2025Q3~2026Q2)) − 총차입금 290억 × 3.62%(주석 이자비용 ÷ 평균 총차입금(2025Q3~2026Q2)) (연율) ÷ 4
[interest]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[interest]</t>
      </text>
    </comment>
    <comment ref="AH12" authorId="0" shapeId="0">
      <text>
        <t>추정: 이자발생자산 753억 × 1.66%(주석 이자수익 ÷ 평균 이자발생자산(2025Q3~2026Q2)) − 총차입금 290억 × 3.62%(주석 이자비용 ÷ 평균 총차입금(2025Q3~2026Q2)) (연율) ÷ 4
[interest]</t>
      </text>
    </comment>
    <comment ref="AI12" authorId="0" shapeId="0">
      <text>
        <t>추정: 이자발생자산 782억 × 1.66%(주석 이자수익 ÷ 평균 이자발생자산(2025Q3~2026Q2)) − 총차입금 290억 × 3.62%(주석 이자비용 ÷ 평균 총차입금(2025Q3~2026Q2)) (연율) ÷ 4
[interest]</t>
      </text>
    </comment>
    <comment ref="AK12" authorId="0" shapeId="0">
      <text>
        <t>추정: 이자발생자산 823억 × 1.66%(주석 이자수익 ÷ 평균 이자발생자산(2025Q3~2026Q2)) − 총차입금 290억 × 3.62%(주석 이자비용 ÷ 평균 총차입금(2025Q3~2026Q2)) (연율) ÷ 4
[interest]</t>
      </text>
    </comment>
    <comment ref="AL12" authorId="0" shapeId="0">
      <text>
        <t>추정: 이자발생자산 854억 × 1.66%(주석 이자수익 ÷ 평균 이자발생자산(2025Q3~2026Q2)) − 총차입금 290억 × 3.62%(주석 이자비용 ÷ 평균 총차입금(2025Q3~2026Q2)) (연율) ÷ 4
[interest]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[interest]</t>
      </text>
    </comment>
    <comment ref="AN12" authorId="0" shapeId="0">
      <text>
        <t>추정: 이자발생자산 926억 × 1.66%(주석 이자수익 ÷ 평균 이자발생자산(2025Q3~2026Q2)) − 총차입금 290억 × 3.62%(주석 이자비용 ÷ 평균 총차입금(2025Q3~2026Q2))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0원 유지
[abs]</t>
      </text>
    </comment>
    <comment ref="AI32" authorId="0" shapeId="0">
      <text>
        <t>추정: 직전 결산 DPS 0원 유지
[abs]</t>
      </text>
    </comment>
    <comment ref="AN32" authorId="0" shapeId="0">
      <text>
        <t>추정: 직전 결산 DPS 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12.13% — 법인세 = MAX(세전,0) × 세율, 추정 전 분기 연결(Σ법인세/Σmax(세전,0) 역산, 재현 오차 ≤ 0.05억). 모델 가정 12.13% · 근거: 최근 12분기 유효세율 4.3% 가 5~27% 밖 → 클립 대신 최근 8분기 중 세전 &gt; 0 인 8분기(2024Q3~2026Q2)의 법인세/세전 중위 12.1%</t>
        </is>
      </c>
    </row>
    <row r="23">
      <c r="A23" t="inlineStr">
        <is>
          <t>· 판관비율 12.31% — 판관비 = 매출액 × 판관비율, 추정 전 분기 연결</t>
        </is>
      </c>
    </row>
    <row r="24">
      <c r="A24" t="inlineStr">
        <is>
          <t>· 지배주주 비중 57.1% — 지배주주순이익 = 당기순이익 × 비중, 추정 전 분기 연결</t>
        </is>
      </c>
    </row>
    <row r="25">
      <c r="A25" t="inlineStr">
        <is>
          <t>· 이자율 자산 1.66% / 부채 3.63% — 이자손익 = (전분기 이자발생자산 × 자산이자율 − 전분기 총차입금 × 부채이자율)/4, 최소자승 역산(모델 assumptions [0.0166,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35.0배가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assets/models/333430.json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20" t="n">
        <v>3440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20" t="n">
        <v>4190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20" t="n">
        <v>3420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20" t="n">
        <v>3769.2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0.02799295</v>
      </c>
      <c r="AD21" s="24" t="n">
        <v>0.316284416</v>
      </c>
      <c r="AE21" s="25" t="n"/>
      <c r="AF21" s="24" t="n">
        <v>0.229013833</v>
      </c>
      <c r="AG21" s="24" t="n">
        <v>0.007900157999999999</v>
      </c>
      <c r="AH21" s="24" t="n">
        <v>0.179357022</v>
      </c>
      <c r="AI21" s="24" t="n">
        <v>0.165836901</v>
      </c>
      <c r="AJ21" s="25" t="n"/>
      <c r="AK21" s="24" t="n">
        <v>0.18996295</v>
      </c>
      <c r="AL21" s="24" t="n">
        <v>0.221434248</v>
      </c>
      <c r="AM21" s="24" t="n">
        <v>0.245695839</v>
      </c>
      <c r="AN21" s="24" t="n">
        <v>0.245462698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0.195642978</v>
      </c>
      <c r="AD23" s="24" t="n">
        <v>0.195658668</v>
      </c>
      <c r="AE23" s="25">
        <f>IFERROR(subQ!AE9/subQ!AE5,"")</f>
        <v/>
      </c>
      <c r="AF23" s="24" t="n">
        <v>0.195621421</v>
      </c>
      <c r="AG23" s="24" t="n">
        <v>0.195634896</v>
      </c>
      <c r="AH23" s="24" t="n">
        <v>0.195659971</v>
      </c>
      <c r="AI23" s="24" t="n">
        <v>0.195627109</v>
      </c>
      <c r="AJ23" s="25">
        <f>IFERROR(subQ!AJ9/subQ!AJ5,"")</f>
        <v/>
      </c>
      <c r="AK23" s="24" t="n">
        <v>0.195641098</v>
      </c>
      <c r="AL23" s="24" t="n">
        <v>0.195655438</v>
      </c>
      <c r="AM23" s="24" t="n">
        <v>0.195652174</v>
      </c>
      <c r="AN23" s="24" t="n">
        <v>0.195645465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-7.317e-06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0.001012104</v>
      </c>
      <c r="AD29" s="30" t="n">
        <v>0.006133997</v>
      </c>
      <c r="AE29" s="31" t="n"/>
      <c r="AF29" s="30" t="n">
        <v>-0.012718846</v>
      </c>
      <c r="AG29" s="30" t="n">
        <v>0.002221991</v>
      </c>
      <c r="AH29" s="30" t="n">
        <v>0.007515986</v>
      </c>
      <c r="AI29" s="30" t="n">
        <v>-0.002698375</v>
      </c>
      <c r="AJ29" s="31" t="n"/>
      <c r="AK29" s="30" t="n">
        <v>0.001037622</v>
      </c>
      <c r="AL29" s="30" t="n">
        <v>0.004860349</v>
      </c>
      <c r="AM29" s="30" t="n">
        <v>-0.00063755</v>
      </c>
      <c r="AN29" s="30" t="n">
        <v>0.007285724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0.003619252</v>
      </c>
      <c r="AD30" s="30" t="n">
        <v>-0.00553138</v>
      </c>
      <c r="AE30" s="31" t="n"/>
      <c r="AF30" s="30" t="n">
        <v>0.001107718</v>
      </c>
      <c r="AG30" s="30" t="n">
        <v>-0.000740203</v>
      </c>
      <c r="AH30" s="30" t="n">
        <v>0.004640381</v>
      </c>
      <c r="AI30" s="30" t="n">
        <v>-0.004719142</v>
      </c>
      <c r="AJ30" s="31" t="n"/>
      <c r="AK30" s="30" t="n">
        <v>-0.001744552</v>
      </c>
      <c r="AL30" s="30" t="n">
        <v>0.00482694</v>
      </c>
      <c r="AM30" s="30" t="n">
        <v>0.000605205</v>
      </c>
      <c r="AN30" s="30" t="n">
        <v>-0.003164337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0.098859266</v>
      </c>
      <c r="AD32" s="24" t="n">
        <v>0.127662711</v>
      </c>
      <c r="AE32" s="25" t="n"/>
      <c r="AF32" s="24" t="n">
        <v>0.08418850899999999</v>
      </c>
      <c r="AG32" s="24" t="n">
        <v>0.085759932</v>
      </c>
      <c r="AH32" s="24" t="n">
        <v>0.081068325</v>
      </c>
      <c r="AI32" s="24" t="n">
        <v>0.10477927</v>
      </c>
      <c r="AJ32" s="25" t="n"/>
      <c r="AK32" s="24" t="n">
        <v>0.072200656</v>
      </c>
      <c r="AL32" s="24" t="n">
        <v>0.076205962</v>
      </c>
      <c r="AM32" s="24" t="n">
        <v>0.07405318299999999</v>
      </c>
      <c r="AN32" s="24" t="n">
        <v>0.09603121000000001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0.038180475</v>
      </c>
      <c r="AD33" s="24" t="n">
        <v>0.052183607</v>
      </c>
      <c r="AE33" s="25" t="n"/>
      <c r="AF33" s="24" t="n">
        <v>0.036881667</v>
      </c>
      <c r="AG33" s="24" t="n">
        <v>0.039284186</v>
      </c>
      <c r="AH33" s="24" t="n">
        <v>0.038795738</v>
      </c>
      <c r="AI33" s="24" t="n">
        <v>0.052183255</v>
      </c>
      <c r="AJ33" s="25" t="n"/>
      <c r="AK33" s="24" t="n">
        <v>0.037755573</v>
      </c>
      <c r="AL33" s="24" t="n">
        <v>0.04117275</v>
      </c>
      <c r="AM33" s="24" t="n">
        <v>0.041344629</v>
      </c>
      <c r="AN33" s="24" t="n">
        <v>0.055325079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0.28032345</v>
      </c>
      <c r="AD35" s="24" t="n">
        <v>-0.383617194</v>
      </c>
      <c r="AE35" s="25" t="n"/>
      <c r="AF35" s="24" t="n">
        <v>-0.192005103</v>
      </c>
      <c r="AG35" s="24" t="n">
        <v>0.932858596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0</v>
      </c>
      <c r="AE38" s="31">
        <f>subQ!AE32</f>
        <v/>
      </c>
      <c r="AF38" s="33" t="n"/>
      <c r="AG38" s="33" t="n"/>
      <c r="AH38" s="33" t="n"/>
      <c r="AI38" s="30" t="n">
        <v>0</v>
      </c>
      <c r="AJ38" s="31">
        <f>subQ!AJ32</f>
        <v/>
      </c>
      <c r="AK38" s="33" t="n"/>
      <c r="AL38" s="33" t="n"/>
      <c r="AM38" s="33" t="n"/>
      <c r="AN38" s="30" t="n">
        <v>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3440</v>
      </c>
      <c r="E41" s="2" t="inlineStr">
        <is>
          <t>원 — 네이버 정규장 종가(aik 확정종가 대조 · aik 3,755원)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20261012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35.0배가 캡 5~30 밖 — 턴어라운드 초기 TTM EPS 왜곡)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0.1213154879700031</v>
      </c>
      <c r="E48" s="2" t="inlineStr">
        <is>
          <t>연결 — 법인세 = MAX(세전,0) × 세율(역산, 재현 오차 ≤ 0.05억 · 모델 assumptions 0.1213) · 최근 12분기 유효세율 4.3% 가 5~27% 밖 → 클립 대신 최근 8분기 중 세전 &gt; 0 인 8분기(2024Q3~2026Q2)의 법인세/세전 중위 12.1%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0.1231010431327096</v>
      </c>
      <c r="E49" s="2" t="inlineStr">
        <is>
          <t>연결 — 판관비 = 매출액 × 판관비율(역산, 재현 오차 ≤ 0.05억 · 모델 assumptions 0.1231)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0.5707554159381204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0.01661763354585222</v>
      </c>
      <c r="E51" s="2" t="inlineStr">
        <is>
          <t>연결 — 이자손익 = (전분기 이자발생자산 × 자산이자율 − 전분기 총차입금 × 부채이자율)/4(역산, 재현 오차 ≤ 0.05억 · 모델 assumptions 0.0166)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0.03625088160501328</v>
      </c>
      <c r="E52" s="2" t="inlineStr">
        <is>
          <t>연결 — 같은 수식의 부채 쪽(총차입금 행이 없으면 0)(역산, 재현 오차 ≤ 0.05억 · 모델 assumptions 0.0362)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7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7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7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7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7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7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7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7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7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7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7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7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7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7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7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7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7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7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7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7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7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7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7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7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7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7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7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7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7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7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7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7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7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7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7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7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7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7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7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7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7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7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7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7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7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7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7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7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7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7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7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7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7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7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7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7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7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7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7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7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7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7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7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7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7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7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7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7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7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7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7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7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7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7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7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7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7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7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7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7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7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7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7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7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7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7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7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7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7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7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7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7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7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7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7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7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7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7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7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7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7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7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7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7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7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7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7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7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7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7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7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7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7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7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7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7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7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7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7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7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7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7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7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7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7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7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7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7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7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7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7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7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7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7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7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7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7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7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7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7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7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7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7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7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7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7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7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7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7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7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7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7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7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7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7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7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7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7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7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7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7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7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7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7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7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7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7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7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7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7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7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7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7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7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7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7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7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7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7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7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7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7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7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7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7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7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7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7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7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7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7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7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7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7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7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7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7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7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7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7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7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7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7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7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7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7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7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7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7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7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7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7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7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7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7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7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7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7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7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7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7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7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7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7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7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7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5.58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7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7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7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7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7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7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7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7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7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7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7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7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236.2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7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7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7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7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7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7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7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7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7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7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7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7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7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7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7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7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7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7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7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7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7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7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7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7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7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7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7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7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7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7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7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7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7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7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7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7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7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7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7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7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7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7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7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7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7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7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7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7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7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7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7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7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7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7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7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7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7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7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7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7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7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7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7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7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7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7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7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7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7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7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7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7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7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7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7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7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7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7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7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7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7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7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7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7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7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7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7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7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7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7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7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7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7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7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7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7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7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7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7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7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7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7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7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7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7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7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7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7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7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7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7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7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7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7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7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7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7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7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7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7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7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7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7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7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7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7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7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7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7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7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7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7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7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7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7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7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7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7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7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7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7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7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7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7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7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7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7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7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7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7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7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7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7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7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7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7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7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7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7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7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7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7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7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7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7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7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7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7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7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7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7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7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7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7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7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7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7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7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7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7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7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7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7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7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7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7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7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7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7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7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7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7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7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7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7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7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7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7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7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7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7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7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7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7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7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7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7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7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7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7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7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7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7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7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7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7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7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7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7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7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7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7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7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7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7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7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7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7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7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7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7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7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7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7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7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7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7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7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7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7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7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7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7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7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7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7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7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7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7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7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7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7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7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7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7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7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7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7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7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7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7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7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7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7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7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7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7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7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7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7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7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7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7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7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7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7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7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7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7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7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7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7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7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7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7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7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7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7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7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7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7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7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7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7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7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7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7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7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7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7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7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7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7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7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7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7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7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7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7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7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7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7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7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7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7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7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7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7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7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7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7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7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7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7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7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7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7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7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7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7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7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7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7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7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7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7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7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7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7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7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7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7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7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7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7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7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7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7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7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7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7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7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7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7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7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7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7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7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7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7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7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7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7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7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7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7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7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7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7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7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7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7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7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7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7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7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7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7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7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7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7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7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7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7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7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7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7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7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7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7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7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7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7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7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7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7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7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7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7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7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7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7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7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7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7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7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7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7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7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7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7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7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7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7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7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7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7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7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7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7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7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7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7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7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7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7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30.727</v>
      </c>
      <c r="F29" s="28">
        <f>E29</f>
        <v/>
      </c>
      <c r="G29" s="27" t="n">
        <v>30.727</v>
      </c>
      <c r="H29" s="27" t="n">
        <v>30.727</v>
      </c>
      <c r="I29" s="27" t="n">
        <v>30.727</v>
      </c>
      <c r="J29" s="27" t="n">
        <v>30.727</v>
      </c>
      <c r="K29" s="28">
        <f>J29</f>
        <v/>
      </c>
      <c r="L29" s="27" t="n">
        <v>30.727</v>
      </c>
      <c r="M29" s="27" t="n">
        <v>30.727</v>
      </c>
      <c r="N29" s="27" t="n">
        <v>30.727</v>
      </c>
      <c r="O29" s="27" t="n">
        <v>30.727</v>
      </c>
      <c r="P29" s="28">
        <f>O29</f>
        <v/>
      </c>
      <c r="Q29" s="27" t="n">
        <v>30.727</v>
      </c>
      <c r="R29" s="27" t="n">
        <v>30.727</v>
      </c>
      <c r="S29" s="27" t="n">
        <v>30.727</v>
      </c>
      <c r="T29" s="27" t="n">
        <v>30.681</v>
      </c>
      <c r="U29" s="28">
        <f>T29</f>
        <v/>
      </c>
      <c r="V29" s="27" t="n">
        <v>30.681</v>
      </c>
      <c r="W29" s="27" t="n">
        <v>30.681</v>
      </c>
      <c r="X29" s="27" t="n">
        <v>30.681</v>
      </c>
      <c r="Y29" s="27" t="n">
        <v>30.681</v>
      </c>
      <c r="Z29" s="28">
        <f>Y29</f>
        <v/>
      </c>
      <c r="AA29" s="27" t="n">
        <v>30.681</v>
      </c>
      <c r="AB29" s="29" t="n">
        <v>30.681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0</v>
      </c>
      <c r="K32" s="37">
        <f>SUM(G32:J32)</f>
        <v/>
      </c>
      <c r="L32" s="18" t="n"/>
      <c r="M32" s="18" t="n"/>
      <c r="N32" s="18" t="n"/>
      <c r="O32" s="18" t="n">
        <v>0</v>
      </c>
      <c r="P32" s="37">
        <f>SUM(L32:O32)</f>
        <v/>
      </c>
      <c r="Q32" s="18" t="n"/>
      <c r="R32" s="18" t="n"/>
      <c r="S32" s="18" t="n"/>
      <c r="T32" s="18" t="n">
        <v>0</v>
      </c>
      <c r="U32" s="37">
        <f>SUM(Q32:T32)</f>
        <v/>
      </c>
      <c r="V32" s="18" t="n"/>
      <c r="W32" s="18" t="n"/>
      <c r="X32" s="18" t="n"/>
      <c r="Y32" s="18" t="n">
        <v>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 t="n"/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7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7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7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7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7">
        <f>SUM(V35:Y35)</f>
        <v/>
      </c>
      <c r="AA35" s="18" t="n">
        <v>120.79</v>
      </c>
      <c r="AB35" s="19" t="n">
        <v>162.29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7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7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7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7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7">
        <f>SUM(V36:Y36)</f>
        <v/>
      </c>
      <c r="AA36" s="18" t="n">
        <v>23.04</v>
      </c>
      <c r="AB36" s="19" t="n">
        <v>59.33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210.6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16.33</v>
      </c>
    </row>
    <row r="32">
      <c r="C32" s="2" t="inlineStr">
        <is>
          <t>pbr_now</t>
        </is>
      </c>
      <c r="D32" t="n">
        <v>2</v>
      </c>
    </row>
    <row r="33">
      <c r="C33" s="2" t="inlineStr">
        <is>
          <t>roe_fwd</t>
        </is>
      </c>
      <c r="D33" t="n">
        <v>0.1226</v>
      </c>
    </row>
    <row r="34">
      <c r="C34" s="2" t="inlineStr">
        <is>
          <t>fair_pbr</t>
        </is>
      </c>
      <c r="D34" t="n">
        <v>1.36</v>
      </c>
    </row>
    <row r="35">
      <c r="C35" s="2" t="inlineStr">
        <is>
          <t>fair_value_pbr</t>
        </is>
      </c>
      <c r="D35" t="n">
        <v>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